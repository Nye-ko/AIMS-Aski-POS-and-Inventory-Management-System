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3 - BK FILES 2026\06 JUNE 2026\01 PRINTING &amp; COOP STORE JUNE 2026\"/>
    </mc:Choice>
  </mc:AlternateContent>
  <xr:revisionPtr revIDLastSave="0" documentId="13_ncr:1_{C1751F94-9561-4F4E-98F6-47F20A80B4A1}" xr6:coauthVersionLast="47" xr6:coauthVersionMax="47" xr10:uidLastSave="{00000000-0000-0000-0000-000000000000}"/>
  <bookViews>
    <workbookView xWindow="-120" yWindow="-120" windowWidth="20730" windowHeight="11160" tabRatio="552" activeTab="2" xr2:uid="{00000000-000D-0000-FFFF-FFFF00000000}"/>
  </bookViews>
  <sheets>
    <sheet name="PRINTING" sheetId="5" r:id="rId1"/>
    <sheet name="VB-3" sheetId="15" r:id="rId2"/>
    <sheet name="CONVIE - final" sheetId="16" r:id="rId3"/>
    <sheet name="VB-final" sheetId="17" r:id="rId4"/>
    <sheet name="JUNE SALES-" sheetId="22" r:id="rId5"/>
    <sheet name="VARIANCE-checking" sheetId="24" r:id="rId6"/>
    <sheet name="KINALANGUYAN" sheetId="25" r:id="rId7"/>
    <sheet name="PURCHASES+" sheetId="18" r:id="rId8"/>
    <sheet name="RETAIL+" sheetId="21" r:id="rId9"/>
    <sheet name="PULL OUT-" sheetId="19" r:id="rId10"/>
  </sheets>
  <definedNames>
    <definedName name="_xlnm._FilterDatabase" localSheetId="2" hidden="1">'CONVIE - final'!$A$5:$AE$1939</definedName>
    <definedName name="_xlnm._FilterDatabase" localSheetId="4" hidden="1">'JUNE SALES-'!$A$3:$L$1495</definedName>
    <definedName name="_xlnm._FilterDatabase" localSheetId="6" hidden="1">KINALANGUYAN!$A$1:$L$155</definedName>
    <definedName name="_xlnm._FilterDatabase" localSheetId="0" hidden="1">PRINTING!$B$5:$X$226</definedName>
    <definedName name="_xlnm._FilterDatabase" localSheetId="9" hidden="1">'PULL OUT-'!$A$4:$F$21</definedName>
    <definedName name="_xlnm._FilterDatabase" localSheetId="7" hidden="1">'PURCHASES+'!$A$3:$J$133</definedName>
    <definedName name="_xlnm.Print_Area" localSheetId="2">'CONVIE - final'!$A:$R</definedName>
    <definedName name="_xlnm.Print_Area" localSheetId="0">PRINTING!$A$1:$M$243</definedName>
    <definedName name="_xlnm.Print_Area" localSheetId="5">'VARIANCE-checking'!$A$1:$M$676</definedName>
    <definedName name="_xlnm.Print_Area" localSheetId="1">'VB-3'!$A$1:$K$42</definedName>
    <definedName name="_xlnm.Print_Area" localSheetId="3">'VB-final'!$A$1:$H$121</definedName>
  </definedNames>
  <calcPr calcId="181029"/>
</workbook>
</file>

<file path=xl/calcChain.xml><?xml version="1.0" encoding="utf-8"?>
<calcChain xmlns="http://schemas.openxmlformats.org/spreadsheetml/2006/main">
  <c r="D1943" i="16" l="1"/>
  <c r="D1942" i="16"/>
  <c r="S304" i="16"/>
  <c r="T304" i="16" s="1"/>
  <c r="O304" i="16"/>
  <c r="L304" i="16"/>
  <c r="N304" i="16" s="1"/>
  <c r="S270" i="16"/>
  <c r="T270" i="16" s="1"/>
  <c r="O270" i="16"/>
  <c r="L270" i="16"/>
  <c r="N270" i="16" s="1"/>
  <c r="Q270" i="16" s="1"/>
  <c r="S268" i="16"/>
  <c r="T268" i="16" s="1"/>
  <c r="O268" i="16"/>
  <c r="L268" i="16"/>
  <c r="N268" i="16" s="1"/>
  <c r="S183" i="16"/>
  <c r="T183" i="16" s="1"/>
  <c r="O183" i="16"/>
  <c r="L183" i="16"/>
  <c r="N183" i="16" s="1"/>
  <c r="S179" i="16"/>
  <c r="T179" i="16" s="1"/>
  <c r="O179" i="16"/>
  <c r="L179" i="16"/>
  <c r="N179" i="16" s="1"/>
  <c r="S176" i="16"/>
  <c r="T176" i="16" s="1"/>
  <c r="O176" i="16"/>
  <c r="L176" i="16"/>
  <c r="P176" i="16" s="1"/>
  <c r="S151" i="16"/>
  <c r="T151" i="16" s="1"/>
  <c r="L151" i="16"/>
  <c r="N151" i="16" s="1"/>
  <c r="S70" i="16"/>
  <c r="T70" i="16" s="1"/>
  <c r="L70" i="16"/>
  <c r="N70" i="16" s="1"/>
  <c r="S32" i="16"/>
  <c r="T32" i="16" s="1"/>
  <c r="O32" i="16"/>
  <c r="L32" i="16"/>
  <c r="N32" i="16" s="1"/>
  <c r="F121" i="17"/>
  <c r="G121" i="17"/>
  <c r="E121" i="17"/>
  <c r="D121" i="17"/>
  <c r="H392" i="16"/>
  <c r="H391" i="16"/>
  <c r="G486" i="16"/>
  <c r="G469" i="16"/>
  <c r="M157" i="16"/>
  <c r="G529" i="16"/>
  <c r="G918" i="16"/>
  <c r="G426" i="16"/>
  <c r="G992" i="16"/>
  <c r="G677" i="16"/>
  <c r="G776" i="16"/>
  <c r="G1332" i="16"/>
  <c r="Q304" i="16" l="1"/>
  <c r="P304" i="16"/>
  <c r="P270" i="16"/>
  <c r="Q179" i="16"/>
  <c r="Q268" i="16"/>
  <c r="P268" i="16"/>
  <c r="Q183" i="16"/>
  <c r="P183" i="16"/>
  <c r="P179" i="16"/>
  <c r="N176" i="16"/>
  <c r="Q176" i="16" s="1"/>
  <c r="P151" i="16"/>
  <c r="O151" i="16"/>
  <c r="Q151" i="16" s="1"/>
  <c r="P70" i="16"/>
  <c r="O70" i="16"/>
  <c r="Q70" i="16" s="1"/>
  <c r="Q32" i="16"/>
  <c r="P32" i="16"/>
  <c r="G1339" i="16"/>
  <c r="G1330" i="16"/>
  <c r="L1330" i="16" s="1"/>
  <c r="L6" i="16"/>
  <c r="L1873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7" i="16"/>
  <c r="L178" i="16"/>
  <c r="L180" i="16"/>
  <c r="L181" i="16"/>
  <c r="L182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9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1" i="16"/>
  <c r="L582" i="16"/>
  <c r="L583" i="16"/>
  <c r="L584" i="16"/>
  <c r="L585" i="16"/>
  <c r="L587" i="16"/>
  <c r="L588" i="16"/>
  <c r="L590" i="16"/>
  <c r="L591" i="16"/>
  <c r="L592" i="16"/>
  <c r="L593" i="16"/>
  <c r="L594" i="16"/>
  <c r="L595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67" i="16"/>
  <c r="L668" i="16"/>
  <c r="L669" i="16"/>
  <c r="L670" i="16"/>
  <c r="L671" i="16"/>
  <c r="L672" i="16"/>
  <c r="L673" i="16"/>
  <c r="L674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1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7" i="16"/>
  <c r="L768" i="16"/>
  <c r="L769" i="16"/>
  <c r="L770" i="16"/>
  <c r="L771" i="16"/>
  <c r="L772" i="16"/>
  <c r="L773" i="16"/>
  <c r="L774" i="16"/>
  <c r="L775" i="16"/>
  <c r="L776" i="16"/>
  <c r="L777" i="16"/>
  <c r="L778" i="16"/>
  <c r="L779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8" i="16"/>
  <c r="L809" i="16"/>
  <c r="L810" i="16"/>
  <c r="L811" i="16"/>
  <c r="L812" i="16"/>
  <c r="L813" i="16"/>
  <c r="L814" i="16"/>
  <c r="L815" i="16"/>
  <c r="L816" i="16"/>
  <c r="L817" i="16"/>
  <c r="L818" i="16"/>
  <c r="L819" i="16"/>
  <c r="L820" i="16"/>
  <c r="L821" i="16"/>
  <c r="L822" i="16"/>
  <c r="L823" i="16"/>
  <c r="L824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0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7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7" i="16"/>
  <c r="L998" i="16"/>
  <c r="L999" i="16"/>
  <c r="L1000" i="16"/>
  <c r="L1001" i="16"/>
  <c r="L1002" i="16"/>
  <c r="L1003" i="16"/>
  <c r="L1004" i="16"/>
  <c r="L1005" i="16"/>
  <c r="L1006" i="16"/>
  <c r="L1007" i="16"/>
  <c r="L1008" i="16"/>
  <c r="L1009" i="16"/>
  <c r="L1010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52" i="16"/>
  <c r="L1053" i="16"/>
  <c r="L1054" i="16"/>
  <c r="L1055" i="16"/>
  <c r="L1056" i="16"/>
  <c r="L1057" i="16"/>
  <c r="L1058" i="16"/>
  <c r="L1059" i="16"/>
  <c r="L1060" i="16"/>
  <c r="L1061" i="16"/>
  <c r="L1062" i="16"/>
  <c r="L1063" i="16"/>
  <c r="L1064" i="16"/>
  <c r="L1065" i="16"/>
  <c r="L1066" i="16"/>
  <c r="L1067" i="16"/>
  <c r="L1068" i="16"/>
  <c r="L1069" i="16"/>
  <c r="L1070" i="16"/>
  <c r="L1071" i="16"/>
  <c r="L1072" i="16"/>
  <c r="L1073" i="16"/>
  <c r="L1074" i="16"/>
  <c r="L1075" i="16"/>
  <c r="L1076" i="16"/>
  <c r="L1077" i="16"/>
  <c r="L1079" i="16"/>
  <c r="L1080" i="16"/>
  <c r="L1081" i="16"/>
  <c r="L1082" i="16"/>
  <c r="L1083" i="16"/>
  <c r="L1084" i="16"/>
  <c r="L1085" i="16"/>
  <c r="L1086" i="16"/>
  <c r="L1087" i="16"/>
  <c r="L1088" i="16"/>
  <c r="L1089" i="16"/>
  <c r="L1090" i="16"/>
  <c r="L1091" i="16"/>
  <c r="L1092" i="16"/>
  <c r="L1093" i="16"/>
  <c r="L1094" i="16"/>
  <c r="L1095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29" i="16"/>
  <c r="L1130" i="16"/>
  <c r="L1131" i="16"/>
  <c r="L1132" i="16"/>
  <c r="L1133" i="16"/>
  <c r="L1134" i="16"/>
  <c r="L1135" i="16"/>
  <c r="L1136" i="16"/>
  <c r="L1137" i="16"/>
  <c r="L1138" i="16"/>
  <c r="L1139" i="16"/>
  <c r="L1140" i="16"/>
  <c r="L1141" i="16"/>
  <c r="L1142" i="16"/>
  <c r="L1143" i="16"/>
  <c r="L1144" i="16"/>
  <c r="L1145" i="16"/>
  <c r="L1146" i="16"/>
  <c r="L1147" i="16"/>
  <c r="L1148" i="16"/>
  <c r="L1149" i="16"/>
  <c r="L1150" i="16"/>
  <c r="L1151" i="16"/>
  <c r="L1152" i="16"/>
  <c r="L1153" i="16"/>
  <c r="L1154" i="16"/>
  <c r="L1155" i="16"/>
  <c r="L1156" i="16"/>
  <c r="L1157" i="16"/>
  <c r="L1158" i="16"/>
  <c r="L1159" i="16"/>
  <c r="L1160" i="16"/>
  <c r="L1161" i="16"/>
  <c r="L1162" i="16"/>
  <c r="L1163" i="16"/>
  <c r="L1164" i="16"/>
  <c r="L1165" i="16"/>
  <c r="L1166" i="16"/>
  <c r="L1167" i="16"/>
  <c r="L1168" i="16"/>
  <c r="L1169" i="16"/>
  <c r="L1170" i="16"/>
  <c r="L1171" i="16"/>
  <c r="L1172" i="16"/>
  <c r="L1173" i="16"/>
  <c r="L1174" i="16"/>
  <c r="L1175" i="16"/>
  <c r="L1176" i="16"/>
  <c r="L1177" i="16"/>
  <c r="L1178" i="16"/>
  <c r="L1179" i="16"/>
  <c r="L1180" i="16"/>
  <c r="L1181" i="16"/>
  <c r="L1182" i="16"/>
  <c r="L1183" i="16"/>
  <c r="L1184" i="16"/>
  <c r="L1185" i="16"/>
  <c r="L1186" i="16"/>
  <c r="L1187" i="16"/>
  <c r="L1188" i="16"/>
  <c r="L1189" i="16"/>
  <c r="L1190" i="16"/>
  <c r="L1191" i="16"/>
  <c r="L1192" i="16"/>
  <c r="L1193" i="16"/>
  <c r="L1194" i="16"/>
  <c r="L1195" i="16"/>
  <c r="L1196" i="16"/>
  <c r="L1197" i="16"/>
  <c r="L1198" i="16"/>
  <c r="L1199" i="16"/>
  <c r="L1200" i="16"/>
  <c r="L1201" i="16"/>
  <c r="L1202" i="16"/>
  <c r="L1203" i="16"/>
  <c r="L1204" i="16"/>
  <c r="L1205" i="16"/>
  <c r="L1206" i="16"/>
  <c r="L1207" i="16"/>
  <c r="L1208" i="16"/>
  <c r="L1209" i="16"/>
  <c r="L1210" i="16"/>
  <c r="L1211" i="16"/>
  <c r="L1212" i="16"/>
  <c r="L1213" i="16"/>
  <c r="L1214" i="16"/>
  <c r="L1215" i="16"/>
  <c r="L1216" i="16"/>
  <c r="L1217" i="16"/>
  <c r="L1218" i="16"/>
  <c r="L1219" i="16"/>
  <c r="L1220" i="16"/>
  <c r="L1221" i="16"/>
  <c r="L1222" i="16"/>
  <c r="L1223" i="16"/>
  <c r="L1224" i="16"/>
  <c r="L1225" i="16"/>
  <c r="L1226" i="16"/>
  <c r="L1227" i="16"/>
  <c r="L1228" i="16"/>
  <c r="L1229" i="16"/>
  <c r="L1230" i="16"/>
  <c r="L1231" i="16"/>
  <c r="L1232" i="16"/>
  <c r="L1233" i="16"/>
  <c r="L1234" i="16"/>
  <c r="L1235" i="16"/>
  <c r="L1236" i="16"/>
  <c r="L1237" i="16"/>
  <c r="L1238" i="16"/>
  <c r="L1239" i="16"/>
  <c r="L1240" i="16"/>
  <c r="L1241" i="16"/>
  <c r="L1242" i="16"/>
  <c r="L1243" i="16"/>
  <c r="L1244" i="16"/>
  <c r="L1245" i="16"/>
  <c r="L1246" i="16"/>
  <c r="L1247" i="16"/>
  <c r="L1248" i="16"/>
  <c r="L1249" i="16"/>
  <c r="L1250" i="16"/>
  <c r="L1251" i="16"/>
  <c r="L1252" i="16"/>
  <c r="L1253" i="16"/>
  <c r="L1254" i="16"/>
  <c r="L1255" i="16"/>
  <c r="L1256" i="16"/>
  <c r="L1257" i="16"/>
  <c r="L1258" i="16"/>
  <c r="L1259" i="16"/>
  <c r="L1260" i="16"/>
  <c r="L1261" i="16"/>
  <c r="L1262" i="16"/>
  <c r="L1263" i="16"/>
  <c r="L1264" i="16"/>
  <c r="L1265" i="16"/>
  <c r="L1266" i="16"/>
  <c r="L1267" i="16"/>
  <c r="L1268" i="16"/>
  <c r="L1269" i="16"/>
  <c r="L1270" i="16"/>
  <c r="L1271" i="16"/>
  <c r="L1272" i="16"/>
  <c r="L1273" i="16"/>
  <c r="L1274" i="16"/>
  <c r="L1275" i="16"/>
  <c r="L1276" i="16"/>
  <c r="L1277" i="16"/>
  <c r="L1278" i="16"/>
  <c r="L1279" i="16"/>
  <c r="L1280" i="16"/>
  <c r="L1281" i="16"/>
  <c r="L1282" i="16"/>
  <c r="L1283" i="16"/>
  <c r="L1284" i="16"/>
  <c r="L1285" i="16"/>
  <c r="L1286" i="16"/>
  <c r="L1287" i="16"/>
  <c r="L1288" i="16"/>
  <c r="L1289" i="16"/>
  <c r="L1290" i="16"/>
  <c r="L1291" i="16"/>
  <c r="L1292" i="16"/>
  <c r="L1293" i="16"/>
  <c r="L1294" i="16"/>
  <c r="L1295" i="16"/>
  <c r="L1296" i="16"/>
  <c r="L1297" i="16"/>
  <c r="L1298" i="16"/>
  <c r="L1299" i="16"/>
  <c r="L1300" i="16"/>
  <c r="L1301" i="16"/>
  <c r="L1302" i="16"/>
  <c r="L1303" i="16"/>
  <c r="L1304" i="16"/>
  <c r="L1305" i="16"/>
  <c r="L1306" i="16"/>
  <c r="L1307" i="16"/>
  <c r="L1308" i="16"/>
  <c r="L1309" i="16"/>
  <c r="L1310" i="16"/>
  <c r="L1311" i="16"/>
  <c r="L1312" i="16"/>
  <c r="L1313" i="16"/>
  <c r="L1314" i="16"/>
  <c r="L1315" i="16"/>
  <c r="L1316" i="16"/>
  <c r="L1317" i="16"/>
  <c r="L1318" i="16"/>
  <c r="L1319" i="16"/>
  <c r="L1320" i="16"/>
  <c r="L1321" i="16"/>
  <c r="L1322" i="16"/>
  <c r="L1323" i="16"/>
  <c r="L1324" i="16"/>
  <c r="L1325" i="16"/>
  <c r="L1326" i="16"/>
  <c r="L1327" i="16"/>
  <c r="L1328" i="16"/>
  <c r="L1329" i="16"/>
  <c r="L1331" i="16"/>
  <c r="L1332" i="16"/>
  <c r="L1333" i="16"/>
  <c r="L1334" i="16"/>
  <c r="L1335" i="16"/>
  <c r="L1336" i="16"/>
  <c r="L1337" i="16"/>
  <c r="L1338" i="16"/>
  <c r="L1339" i="16"/>
  <c r="L1340" i="16"/>
  <c r="L1341" i="16"/>
  <c r="L1342" i="16"/>
  <c r="L1343" i="16"/>
  <c r="L1344" i="16"/>
  <c r="L1345" i="16"/>
  <c r="L1346" i="16"/>
  <c r="L1347" i="16"/>
  <c r="L1348" i="16"/>
  <c r="L1349" i="16"/>
  <c r="L1350" i="16"/>
  <c r="L1351" i="16"/>
  <c r="L1352" i="16"/>
  <c r="L1353" i="16"/>
  <c r="L1354" i="16"/>
  <c r="L1355" i="16"/>
  <c r="L1356" i="16"/>
  <c r="L1357" i="16"/>
  <c r="L1358" i="16"/>
  <c r="L1359" i="16"/>
  <c r="L1360" i="16"/>
  <c r="L1361" i="16"/>
  <c r="L1362" i="16"/>
  <c r="L1363" i="16"/>
  <c r="L1364" i="16"/>
  <c r="L1365" i="16"/>
  <c r="L1366" i="16"/>
  <c r="L1367" i="16"/>
  <c r="L1368" i="16"/>
  <c r="L1369" i="16"/>
  <c r="L1370" i="16"/>
  <c r="L1371" i="16"/>
  <c r="L1372" i="16"/>
  <c r="L1373" i="16"/>
  <c r="L1374" i="16"/>
  <c r="L1375" i="16"/>
  <c r="L1376" i="16"/>
  <c r="L1377" i="16"/>
  <c r="L1378" i="16"/>
  <c r="L1379" i="16"/>
  <c r="L1380" i="16"/>
  <c r="L1381" i="16"/>
  <c r="L1382" i="16"/>
  <c r="L1383" i="16"/>
  <c r="L1384" i="16"/>
  <c r="L1385" i="16"/>
  <c r="L1386" i="16"/>
  <c r="L1387" i="16"/>
  <c r="L1388" i="16"/>
  <c r="L1389" i="16"/>
  <c r="L1390" i="16"/>
  <c r="L1391" i="16"/>
  <c r="L1392" i="16"/>
  <c r="L1393" i="16"/>
  <c r="L1394" i="16"/>
  <c r="L1395" i="16"/>
  <c r="L1396" i="16"/>
  <c r="L1397" i="16"/>
  <c r="L1398" i="16"/>
  <c r="L1399" i="16"/>
  <c r="L1400" i="16"/>
  <c r="L1401" i="16"/>
  <c r="L1402" i="16"/>
  <c r="L1403" i="16"/>
  <c r="L1404" i="16"/>
  <c r="L1405" i="16"/>
  <c r="L1406" i="16"/>
  <c r="L1407" i="16"/>
  <c r="L1408" i="16"/>
  <c r="L1409" i="16"/>
  <c r="L1410" i="16"/>
  <c r="L1411" i="16"/>
  <c r="L1412" i="16"/>
  <c r="L1413" i="16"/>
  <c r="L1414" i="16"/>
  <c r="L1415" i="16"/>
  <c r="L1416" i="16"/>
  <c r="L1417" i="16"/>
  <c r="L1418" i="16"/>
  <c r="L1419" i="16"/>
  <c r="L1420" i="16"/>
  <c r="L1421" i="16"/>
  <c r="L1422" i="16"/>
  <c r="L1423" i="16"/>
  <c r="L1424" i="16"/>
  <c r="L1425" i="16"/>
  <c r="L1426" i="16"/>
  <c r="L1427" i="16"/>
  <c r="L1428" i="16"/>
  <c r="L1429" i="16"/>
  <c r="L1430" i="16"/>
  <c r="L1431" i="16"/>
  <c r="L1432" i="16"/>
  <c r="L1433" i="16"/>
  <c r="L1434" i="16"/>
  <c r="L1435" i="16"/>
  <c r="L1436" i="16"/>
  <c r="L1437" i="16"/>
  <c r="L1438" i="16"/>
  <c r="L1439" i="16"/>
  <c r="L1440" i="16"/>
  <c r="L1441" i="16"/>
  <c r="L1442" i="16"/>
  <c r="L1443" i="16"/>
  <c r="L1444" i="16"/>
  <c r="L1445" i="16"/>
  <c r="L1446" i="16"/>
  <c r="L1447" i="16"/>
  <c r="L1448" i="16"/>
  <c r="L1449" i="16"/>
  <c r="L1450" i="16"/>
  <c r="L1451" i="16"/>
  <c r="L1452" i="16"/>
  <c r="L1453" i="16"/>
  <c r="L1454" i="16"/>
  <c r="L1455" i="16"/>
  <c r="L1456" i="16"/>
  <c r="L1457" i="16"/>
  <c r="L1458" i="16"/>
  <c r="L1459" i="16"/>
  <c r="L1460" i="16"/>
  <c r="L1461" i="16"/>
  <c r="L1462" i="16"/>
  <c r="L1463" i="16"/>
  <c r="L1464" i="16"/>
  <c r="L1465" i="16"/>
  <c r="L1466" i="16"/>
  <c r="L1467" i="16"/>
  <c r="L1468" i="16"/>
  <c r="L1469" i="16"/>
  <c r="L1470" i="16"/>
  <c r="L1471" i="16"/>
  <c r="L1472" i="16"/>
  <c r="L1473" i="16"/>
  <c r="L1474" i="16"/>
  <c r="L1475" i="16"/>
  <c r="L1476" i="16"/>
  <c r="L1477" i="16"/>
  <c r="L1478" i="16"/>
  <c r="L1479" i="16"/>
  <c r="L1480" i="16"/>
  <c r="L1481" i="16"/>
  <c r="L1482" i="16"/>
  <c r="L1483" i="16"/>
  <c r="L1484" i="16"/>
  <c r="L1485" i="16"/>
  <c r="L1486" i="16"/>
  <c r="L1487" i="16"/>
  <c r="L1488" i="16"/>
  <c r="L1489" i="16"/>
  <c r="L1490" i="16"/>
  <c r="L1491" i="16"/>
  <c r="L1492" i="16"/>
  <c r="L1493" i="16"/>
  <c r="L1494" i="16"/>
  <c r="L1495" i="16"/>
  <c r="L1496" i="16"/>
  <c r="L1497" i="16"/>
  <c r="L1498" i="16"/>
  <c r="L1499" i="16"/>
  <c r="L1500" i="16"/>
  <c r="L1501" i="16"/>
  <c r="L1502" i="16"/>
  <c r="L1503" i="16"/>
  <c r="L1504" i="16"/>
  <c r="L1505" i="16"/>
  <c r="L1506" i="16"/>
  <c r="L1507" i="16"/>
  <c r="L1508" i="16"/>
  <c r="L1509" i="16"/>
  <c r="L1510" i="16"/>
  <c r="L1511" i="16"/>
  <c r="L1512" i="16"/>
  <c r="L1513" i="16"/>
  <c r="L1514" i="16"/>
  <c r="L1515" i="16"/>
  <c r="L1516" i="16"/>
  <c r="L1517" i="16"/>
  <c r="L1518" i="16"/>
  <c r="L1519" i="16"/>
  <c r="L1520" i="16"/>
  <c r="L1521" i="16"/>
  <c r="L1522" i="16"/>
  <c r="L1523" i="16"/>
  <c r="L1524" i="16"/>
  <c r="L1525" i="16"/>
  <c r="L1526" i="16"/>
  <c r="L1527" i="16"/>
  <c r="L1528" i="16"/>
  <c r="L1529" i="16"/>
  <c r="L1530" i="16"/>
  <c r="L1531" i="16"/>
  <c r="L1532" i="16"/>
  <c r="L1533" i="16"/>
  <c r="L1534" i="16"/>
  <c r="L1535" i="16"/>
  <c r="L1536" i="16"/>
  <c r="L1537" i="16"/>
  <c r="L1538" i="16"/>
  <c r="L1539" i="16"/>
  <c r="L1540" i="16"/>
  <c r="L1541" i="16"/>
  <c r="L1542" i="16"/>
  <c r="L1543" i="16"/>
  <c r="L1544" i="16"/>
  <c r="L1545" i="16"/>
  <c r="L1546" i="16"/>
  <c r="L1547" i="16"/>
  <c r="L1548" i="16"/>
  <c r="L1549" i="16"/>
  <c r="L1550" i="16"/>
  <c r="L1551" i="16"/>
  <c r="L1552" i="16"/>
  <c r="L1553" i="16"/>
  <c r="L1554" i="16"/>
  <c r="L1555" i="16"/>
  <c r="L1556" i="16"/>
  <c r="L1557" i="16"/>
  <c r="L1558" i="16"/>
  <c r="L1559" i="16"/>
  <c r="L1560" i="16"/>
  <c r="L1561" i="16"/>
  <c r="L1562" i="16"/>
  <c r="L1563" i="16"/>
  <c r="L1564" i="16"/>
  <c r="L1565" i="16"/>
  <c r="L1566" i="16"/>
  <c r="L1567" i="16"/>
  <c r="L1568" i="16"/>
  <c r="L1569" i="16"/>
  <c r="L1570" i="16"/>
  <c r="L1571" i="16"/>
  <c r="L1572" i="16"/>
  <c r="L1573" i="16"/>
  <c r="L1574" i="16"/>
  <c r="L1575" i="16"/>
  <c r="L1576" i="16"/>
  <c r="L1577" i="16"/>
  <c r="L1578" i="16"/>
  <c r="L1579" i="16"/>
  <c r="L1580" i="16"/>
  <c r="L1581" i="16"/>
  <c r="L1582" i="16"/>
  <c r="L1583" i="16"/>
  <c r="L1584" i="16"/>
  <c r="L1585" i="16"/>
  <c r="L1586" i="16"/>
  <c r="L1587" i="16"/>
  <c r="L1588" i="16"/>
  <c r="L1589" i="16"/>
  <c r="L1590" i="16"/>
  <c r="L1591" i="16"/>
  <c r="L1592" i="16"/>
  <c r="L1593" i="16"/>
  <c r="L1594" i="16"/>
  <c r="L1595" i="16"/>
  <c r="L1596" i="16"/>
  <c r="L1597" i="16"/>
  <c r="L1598" i="16"/>
  <c r="L1599" i="16"/>
  <c r="L1600" i="16"/>
  <c r="L1601" i="16"/>
  <c r="L1602" i="16"/>
  <c r="L1603" i="16"/>
  <c r="L1604" i="16"/>
  <c r="L1605" i="16"/>
  <c r="L1606" i="16"/>
  <c r="L1607" i="16"/>
  <c r="L1608" i="16"/>
  <c r="L1609" i="16"/>
  <c r="L1610" i="16"/>
  <c r="L1611" i="16"/>
  <c r="L1612" i="16"/>
  <c r="L1613" i="16"/>
  <c r="L1614" i="16"/>
  <c r="L1615" i="16"/>
  <c r="L1616" i="16"/>
  <c r="L1617" i="16"/>
  <c r="L1618" i="16"/>
  <c r="L1619" i="16"/>
  <c r="L1620" i="16"/>
  <c r="L1621" i="16"/>
  <c r="L1622" i="16"/>
  <c r="L1623" i="16"/>
  <c r="L1624" i="16"/>
  <c r="L1625" i="16"/>
  <c r="L1626" i="16"/>
  <c r="L1627" i="16"/>
  <c r="L1628" i="16"/>
  <c r="L1629" i="16"/>
  <c r="L1630" i="16"/>
  <c r="L1631" i="16"/>
  <c r="L1632" i="16"/>
  <c r="L1633" i="16"/>
  <c r="L1634" i="16"/>
  <c r="L1635" i="16"/>
  <c r="L1636" i="16"/>
  <c r="L1637" i="16"/>
  <c r="L1638" i="16"/>
  <c r="L1639" i="16"/>
  <c r="L1640" i="16"/>
  <c r="L1641" i="16"/>
  <c r="L1642" i="16"/>
  <c r="L1643" i="16"/>
  <c r="L1644" i="16"/>
  <c r="L1645" i="16"/>
  <c r="L1646" i="16"/>
  <c r="L1647" i="16"/>
  <c r="L1648" i="16"/>
  <c r="L1649" i="16"/>
  <c r="L1650" i="16"/>
  <c r="L1651" i="16"/>
  <c r="L1652" i="16"/>
  <c r="L1653" i="16"/>
  <c r="L1654" i="16"/>
  <c r="L1655" i="16"/>
  <c r="L1656" i="16"/>
  <c r="L1657" i="16"/>
  <c r="L1658" i="16"/>
  <c r="L1659" i="16"/>
  <c r="L1660" i="16"/>
  <c r="L1661" i="16"/>
  <c r="L1662" i="16"/>
  <c r="L1663" i="16"/>
  <c r="L1664" i="16"/>
  <c r="L1665" i="16"/>
  <c r="L1666" i="16"/>
  <c r="L1667" i="16"/>
  <c r="L1668" i="16"/>
  <c r="L1669" i="16"/>
  <c r="L1670" i="16"/>
  <c r="L1671" i="16"/>
  <c r="L1672" i="16"/>
  <c r="L1673" i="16"/>
  <c r="L1674" i="16"/>
  <c r="L1675" i="16"/>
  <c r="L1676" i="16"/>
  <c r="L1677" i="16"/>
  <c r="L1678" i="16"/>
  <c r="L1679" i="16"/>
  <c r="L1680" i="16"/>
  <c r="L1681" i="16"/>
  <c r="L1682" i="16"/>
  <c r="L1683" i="16"/>
  <c r="L1684" i="16"/>
  <c r="L1685" i="16"/>
  <c r="L1686" i="16"/>
  <c r="L1687" i="16"/>
  <c r="L1688" i="16"/>
  <c r="L1689" i="16"/>
  <c r="L1690" i="16"/>
  <c r="L1691" i="16"/>
  <c r="L1692" i="16"/>
  <c r="L1693" i="16"/>
  <c r="L1694" i="16"/>
  <c r="L1695" i="16"/>
  <c r="L1696" i="16"/>
  <c r="L1697" i="16"/>
  <c r="L1698" i="16"/>
  <c r="L1699" i="16"/>
  <c r="L1700" i="16"/>
  <c r="L1701" i="16"/>
  <c r="L1702" i="16"/>
  <c r="L1703" i="16"/>
  <c r="L1704" i="16"/>
  <c r="L1705" i="16"/>
  <c r="L1706" i="16"/>
  <c r="L1707" i="16"/>
  <c r="L1708" i="16"/>
  <c r="L1709" i="16"/>
  <c r="L1710" i="16"/>
  <c r="L1711" i="16"/>
  <c r="L1712" i="16"/>
  <c r="L1713" i="16"/>
  <c r="L1714" i="16"/>
  <c r="L1715" i="16"/>
  <c r="L1716" i="16"/>
  <c r="L1717" i="16"/>
  <c r="L1718" i="16"/>
  <c r="L1719" i="16"/>
  <c r="L1720" i="16"/>
  <c r="L1721" i="16"/>
  <c r="L1722" i="16"/>
  <c r="L1723" i="16"/>
  <c r="L1724" i="16"/>
  <c r="L1725" i="16"/>
  <c r="L1726" i="16"/>
  <c r="L1727" i="16"/>
  <c r="L1728" i="16"/>
  <c r="L1729" i="16"/>
  <c r="L1730" i="16"/>
  <c r="L1731" i="16"/>
  <c r="L1732" i="16"/>
  <c r="L1733" i="16"/>
  <c r="L1734" i="16"/>
  <c r="L1735" i="16"/>
  <c r="L1736" i="16"/>
  <c r="L1737" i="16"/>
  <c r="L1738" i="16"/>
  <c r="L1739" i="16"/>
  <c r="L1740" i="16"/>
  <c r="L1741" i="16"/>
  <c r="L1742" i="16"/>
  <c r="L1743" i="16"/>
  <c r="L1744" i="16"/>
  <c r="L1745" i="16"/>
  <c r="L1746" i="16"/>
  <c r="L1747" i="16"/>
  <c r="L1748" i="16"/>
  <c r="L1749" i="16"/>
  <c r="L1750" i="16"/>
  <c r="L1751" i="16"/>
  <c r="L1752" i="16"/>
  <c r="L1753" i="16"/>
  <c r="L1754" i="16"/>
  <c r="L1755" i="16"/>
  <c r="L1756" i="16"/>
  <c r="L1757" i="16"/>
  <c r="L1758" i="16"/>
  <c r="L1759" i="16"/>
  <c r="L1760" i="16"/>
  <c r="L1761" i="16"/>
  <c r="L1762" i="16"/>
  <c r="L1763" i="16"/>
  <c r="L1764" i="16"/>
  <c r="L1765" i="16"/>
  <c r="L1766" i="16"/>
  <c r="L1767" i="16"/>
  <c r="L1768" i="16"/>
  <c r="L1769" i="16"/>
  <c r="L1770" i="16"/>
  <c r="L1771" i="16"/>
  <c r="L1772" i="16"/>
  <c r="L1773" i="16"/>
  <c r="L1774" i="16"/>
  <c r="L1775" i="16"/>
  <c r="L1776" i="16"/>
  <c r="L1777" i="16"/>
  <c r="L1778" i="16"/>
  <c r="L1779" i="16"/>
  <c r="L1780" i="16"/>
  <c r="L1781" i="16"/>
  <c r="L1782" i="16"/>
  <c r="L1783" i="16"/>
  <c r="L1784" i="16"/>
  <c r="L1785" i="16"/>
  <c r="L1786" i="16"/>
  <c r="L1787" i="16"/>
  <c r="L1788" i="16"/>
  <c r="L1789" i="16"/>
  <c r="L1790" i="16"/>
  <c r="L1791" i="16"/>
  <c r="L1792" i="16"/>
  <c r="L1793" i="16"/>
  <c r="L1794" i="16"/>
  <c r="L1795" i="16"/>
  <c r="L1796" i="16"/>
  <c r="L1797" i="16"/>
  <c r="L1798" i="16"/>
  <c r="L1799" i="16"/>
  <c r="L1800" i="16"/>
  <c r="L1801" i="16"/>
  <c r="L1802" i="16"/>
  <c r="L1803" i="16"/>
  <c r="L1804" i="16"/>
  <c r="L1805" i="16"/>
  <c r="L1806" i="16"/>
  <c r="L1807" i="16"/>
  <c r="L1808" i="16"/>
  <c r="L1809" i="16"/>
  <c r="L1810" i="16"/>
  <c r="L1811" i="16"/>
  <c r="L1812" i="16"/>
  <c r="L1813" i="16"/>
  <c r="L1814" i="16"/>
  <c r="L1815" i="16"/>
  <c r="L1816" i="16"/>
  <c r="L1817" i="16"/>
  <c r="L1818" i="16"/>
  <c r="L1819" i="16"/>
  <c r="L1820" i="16"/>
  <c r="L1821" i="16"/>
  <c r="L1822" i="16"/>
  <c r="L1823" i="16"/>
  <c r="L1824" i="16"/>
  <c r="L1825" i="16"/>
  <c r="L1826" i="16"/>
  <c r="L1827" i="16"/>
  <c r="L1828" i="16"/>
  <c r="L1829" i="16"/>
  <c r="L1830" i="16"/>
  <c r="L1831" i="16"/>
  <c r="L1832" i="16"/>
  <c r="L1833" i="16"/>
  <c r="L1834" i="16"/>
  <c r="L1835" i="16"/>
  <c r="L1836" i="16"/>
  <c r="L1837" i="16"/>
  <c r="L1838" i="16"/>
  <c r="L1839" i="16"/>
  <c r="L1840" i="16"/>
  <c r="L1841" i="16"/>
  <c r="L1842" i="16"/>
  <c r="L1843" i="16"/>
  <c r="L1844" i="16"/>
  <c r="L1845" i="16"/>
  <c r="L1846" i="16"/>
  <c r="L1847" i="16"/>
  <c r="L1848" i="16"/>
  <c r="L1849" i="16"/>
  <c r="L1850" i="16"/>
  <c r="L1851" i="16"/>
  <c r="L1852" i="16"/>
  <c r="L1853" i="16"/>
  <c r="L1854" i="16"/>
  <c r="L1855" i="16"/>
  <c r="L1856" i="16"/>
  <c r="L1857" i="16"/>
  <c r="L1858" i="16"/>
  <c r="L1859" i="16"/>
  <c r="L1860" i="16"/>
  <c r="L1861" i="16"/>
  <c r="L1862" i="16"/>
  <c r="L1863" i="16"/>
  <c r="L1864" i="16"/>
  <c r="L1865" i="16"/>
  <c r="L1866" i="16"/>
  <c r="L1867" i="16"/>
  <c r="L1868" i="16"/>
  <c r="L1869" i="16"/>
  <c r="L1870" i="16"/>
  <c r="L1871" i="16"/>
  <c r="L1872" i="16"/>
  <c r="L1874" i="16"/>
  <c r="L1875" i="16"/>
  <c r="L1876" i="16"/>
  <c r="L1877" i="16"/>
  <c r="L1878" i="16"/>
  <c r="L1879" i="16"/>
  <c r="L1880" i="16"/>
  <c r="L1881" i="16"/>
  <c r="L1882" i="16"/>
  <c r="L1883" i="16"/>
  <c r="L1884" i="16"/>
  <c r="L1885" i="16"/>
  <c r="L1886" i="16"/>
  <c r="L1887" i="16"/>
  <c r="L1888" i="16"/>
  <c r="L1889" i="16"/>
  <c r="L1890" i="16"/>
  <c r="L1891" i="16"/>
  <c r="L1892" i="16"/>
  <c r="L1893" i="16"/>
  <c r="L1894" i="16"/>
  <c r="L1895" i="16"/>
  <c r="L1896" i="16"/>
  <c r="L1897" i="16"/>
  <c r="L1898" i="16"/>
  <c r="L1899" i="16"/>
  <c r="L1900" i="16"/>
  <c r="L1901" i="16"/>
  <c r="L1902" i="16"/>
  <c r="L1903" i="16"/>
  <c r="L1904" i="16"/>
  <c r="L1905" i="16"/>
  <c r="L1906" i="16"/>
  <c r="L1907" i="16"/>
  <c r="L1908" i="16"/>
  <c r="L1909" i="16"/>
  <c r="L1910" i="16"/>
  <c r="L1911" i="16"/>
  <c r="L1912" i="16"/>
  <c r="L1913" i="16"/>
  <c r="L1914" i="16"/>
  <c r="L1915" i="16"/>
  <c r="L1916" i="16"/>
  <c r="L1917" i="16"/>
  <c r="L1918" i="16"/>
  <c r="L1919" i="16"/>
  <c r="L1920" i="16"/>
  <c r="L1921" i="16"/>
  <c r="L1922" i="16"/>
  <c r="L1923" i="16"/>
  <c r="L1924" i="16"/>
  <c r="L1925" i="16"/>
  <c r="L1926" i="16"/>
  <c r="L1927" i="16"/>
  <c r="L1928" i="16"/>
  <c r="L1929" i="16"/>
  <c r="L1930" i="16"/>
  <c r="L1931" i="16"/>
  <c r="L1932" i="16"/>
  <c r="L1934" i="16"/>
  <c r="L1935" i="16"/>
  <c r="P1935" i="16" s="1"/>
  <c r="L1936" i="16"/>
  <c r="L1937" i="16"/>
  <c r="L1938" i="16"/>
  <c r="L155" i="25"/>
  <c r="K155" i="25"/>
  <c r="L154" i="25"/>
  <c r="K154" i="25"/>
  <c r="L153" i="25"/>
  <c r="K153" i="25"/>
  <c r="L152" i="25"/>
  <c r="K152" i="25"/>
  <c r="L151" i="25"/>
  <c r="K151" i="25"/>
  <c r="L150" i="25"/>
  <c r="K150" i="25"/>
  <c r="L149" i="25"/>
  <c r="K149" i="25"/>
  <c r="L148" i="25"/>
  <c r="K148" i="25"/>
  <c r="L147" i="25"/>
  <c r="K147" i="25"/>
  <c r="L146" i="25"/>
  <c r="K146" i="25"/>
  <c r="L145" i="25"/>
  <c r="K145" i="25"/>
  <c r="L144" i="25"/>
  <c r="K144" i="25"/>
  <c r="L143" i="25"/>
  <c r="K143" i="25"/>
  <c r="L142" i="25"/>
  <c r="K142" i="25"/>
  <c r="L141" i="25"/>
  <c r="K141" i="25"/>
  <c r="L140" i="25"/>
  <c r="K140" i="25"/>
  <c r="L139" i="25"/>
  <c r="K139" i="25"/>
  <c r="L138" i="25"/>
  <c r="K138" i="25"/>
  <c r="L137" i="25"/>
  <c r="K137" i="25"/>
  <c r="L136" i="25"/>
  <c r="K136" i="25"/>
  <c r="L135" i="25"/>
  <c r="K135" i="25"/>
  <c r="L134" i="25"/>
  <c r="K134" i="25"/>
  <c r="L133" i="25"/>
  <c r="K133" i="25"/>
  <c r="L132" i="25"/>
  <c r="K132" i="25"/>
  <c r="L131" i="25"/>
  <c r="K131" i="25"/>
  <c r="L130" i="25"/>
  <c r="K130" i="25"/>
  <c r="L129" i="25"/>
  <c r="K129" i="25"/>
  <c r="L128" i="25"/>
  <c r="K128" i="25"/>
  <c r="L127" i="25"/>
  <c r="K127" i="25"/>
  <c r="L126" i="25"/>
  <c r="K126" i="25"/>
  <c r="L125" i="25"/>
  <c r="K125" i="25"/>
  <c r="L124" i="25"/>
  <c r="K124" i="25"/>
  <c r="L123" i="25"/>
  <c r="K123" i="25"/>
  <c r="L122" i="25"/>
  <c r="K122" i="25"/>
  <c r="L121" i="25"/>
  <c r="K121" i="25"/>
  <c r="L120" i="25"/>
  <c r="K120" i="25"/>
  <c r="L119" i="25"/>
  <c r="K119" i="25"/>
  <c r="L118" i="25"/>
  <c r="K118" i="25"/>
  <c r="L117" i="25"/>
  <c r="K117" i="25"/>
  <c r="L116" i="25"/>
  <c r="K116" i="25"/>
  <c r="L115" i="25"/>
  <c r="K115" i="25"/>
  <c r="I115" i="25"/>
  <c r="L114" i="25"/>
  <c r="I114" i="25"/>
  <c r="K114" i="25" s="1"/>
  <c r="L113" i="25"/>
  <c r="K113" i="25"/>
  <c r="L112" i="25"/>
  <c r="K112" i="25"/>
  <c r="L111" i="25"/>
  <c r="K111" i="25"/>
  <c r="L110" i="25"/>
  <c r="K110" i="25"/>
  <c r="L109" i="25"/>
  <c r="K109" i="25"/>
  <c r="L108" i="25"/>
  <c r="K108" i="25"/>
  <c r="L107" i="25"/>
  <c r="K107" i="25"/>
  <c r="L106" i="25"/>
  <c r="K106" i="25"/>
  <c r="L105" i="25"/>
  <c r="K105" i="25"/>
  <c r="L104" i="25"/>
  <c r="K104" i="25"/>
  <c r="L103" i="25"/>
  <c r="K103" i="25"/>
  <c r="L102" i="25"/>
  <c r="K102" i="25"/>
  <c r="L101" i="25"/>
  <c r="K101" i="25"/>
  <c r="L100" i="25"/>
  <c r="K100" i="25"/>
  <c r="L99" i="25"/>
  <c r="K99" i="25"/>
  <c r="L98" i="25"/>
  <c r="K98" i="25"/>
  <c r="L97" i="25"/>
  <c r="K97" i="25"/>
  <c r="L96" i="25"/>
  <c r="K96" i="25"/>
  <c r="L95" i="25"/>
  <c r="K95" i="25"/>
  <c r="L94" i="25"/>
  <c r="K94" i="25"/>
  <c r="L93" i="25"/>
  <c r="K93" i="25"/>
  <c r="L92" i="25"/>
  <c r="K92" i="25"/>
  <c r="L91" i="25"/>
  <c r="K91" i="25"/>
  <c r="L90" i="25"/>
  <c r="K90" i="25"/>
  <c r="L89" i="25"/>
  <c r="K89" i="25"/>
  <c r="L88" i="25"/>
  <c r="K88" i="25"/>
  <c r="L87" i="25"/>
  <c r="K87" i="25"/>
  <c r="L86" i="25"/>
  <c r="K86" i="25"/>
  <c r="L85" i="25"/>
  <c r="K85" i="25"/>
  <c r="L84" i="25"/>
  <c r="K84" i="25"/>
  <c r="L83" i="25"/>
  <c r="K83" i="25"/>
  <c r="L82" i="25"/>
  <c r="K82" i="25"/>
  <c r="L81" i="25"/>
  <c r="K81" i="25"/>
  <c r="L80" i="25"/>
  <c r="K80" i="25"/>
  <c r="L79" i="25"/>
  <c r="K79" i="25"/>
  <c r="L78" i="25"/>
  <c r="K78" i="25"/>
  <c r="L77" i="25"/>
  <c r="K77" i="25"/>
  <c r="L76" i="25"/>
  <c r="K76" i="25"/>
  <c r="L75" i="25"/>
  <c r="K75" i="25"/>
  <c r="L74" i="25"/>
  <c r="K74" i="25"/>
  <c r="L73" i="25"/>
  <c r="K73" i="25"/>
  <c r="L72" i="25"/>
  <c r="K72" i="25"/>
  <c r="L71" i="25"/>
  <c r="K71" i="25"/>
  <c r="L70" i="25"/>
  <c r="K70" i="25"/>
  <c r="L69" i="25"/>
  <c r="K69" i="25"/>
  <c r="L68" i="25"/>
  <c r="K68" i="25"/>
  <c r="L67" i="25"/>
  <c r="K67" i="25"/>
  <c r="L66" i="25"/>
  <c r="K66" i="25"/>
  <c r="L65" i="25"/>
  <c r="K65" i="25"/>
  <c r="L64" i="25"/>
  <c r="K64" i="25"/>
  <c r="L63" i="25"/>
  <c r="K63" i="25"/>
  <c r="L62" i="25"/>
  <c r="K62" i="25"/>
  <c r="L61" i="25"/>
  <c r="K61" i="25"/>
  <c r="L60" i="25"/>
  <c r="K60" i="25"/>
  <c r="L59" i="25"/>
  <c r="K59" i="25"/>
  <c r="L58" i="25"/>
  <c r="K58" i="25"/>
  <c r="L57" i="25"/>
  <c r="K57" i="25"/>
  <c r="L56" i="25"/>
  <c r="K56" i="25"/>
  <c r="L55" i="25"/>
  <c r="K55" i="25"/>
  <c r="L54" i="25"/>
  <c r="K54" i="25"/>
  <c r="L53" i="25"/>
  <c r="K53" i="25"/>
  <c r="L52" i="25"/>
  <c r="K52" i="25"/>
  <c r="L51" i="25"/>
  <c r="K51" i="25"/>
  <c r="L50" i="25"/>
  <c r="K50" i="25"/>
  <c r="L49" i="25"/>
  <c r="K49" i="25"/>
  <c r="L48" i="25"/>
  <c r="K48" i="25"/>
  <c r="L47" i="25"/>
  <c r="K47" i="25"/>
  <c r="L46" i="25"/>
  <c r="K46" i="25"/>
  <c r="L45" i="25"/>
  <c r="K45" i="25"/>
  <c r="L44" i="25"/>
  <c r="K44" i="25"/>
  <c r="L43" i="25"/>
  <c r="K43" i="25"/>
  <c r="L42" i="25"/>
  <c r="K42" i="25"/>
  <c r="L41" i="25"/>
  <c r="K41" i="25"/>
  <c r="L40" i="25"/>
  <c r="K40" i="25"/>
  <c r="L39" i="25"/>
  <c r="K39" i="25"/>
  <c r="L38" i="25"/>
  <c r="K38" i="25"/>
  <c r="L37" i="25"/>
  <c r="K37" i="25"/>
  <c r="L36" i="25"/>
  <c r="K36" i="25"/>
  <c r="L35" i="25"/>
  <c r="K35" i="25"/>
  <c r="L34" i="25"/>
  <c r="K34" i="25"/>
  <c r="L33" i="25"/>
  <c r="K33" i="25"/>
  <c r="L32" i="25"/>
  <c r="K32" i="25"/>
  <c r="L31" i="25"/>
  <c r="K31" i="25"/>
  <c r="L30" i="25"/>
  <c r="K30" i="25"/>
  <c r="L29" i="25"/>
  <c r="K29" i="25"/>
  <c r="L28" i="25"/>
  <c r="K28" i="25"/>
  <c r="L27" i="25"/>
  <c r="K27" i="25"/>
  <c r="L26" i="25"/>
  <c r="K26" i="25"/>
  <c r="L25" i="25"/>
  <c r="K25" i="25"/>
  <c r="L24" i="25"/>
  <c r="K24" i="25"/>
  <c r="L23" i="25"/>
  <c r="K23" i="25"/>
  <c r="L22" i="25"/>
  <c r="K22" i="25"/>
  <c r="L21" i="25"/>
  <c r="K21" i="25"/>
  <c r="L20" i="25"/>
  <c r="K20" i="25"/>
  <c r="L19" i="25"/>
  <c r="K19" i="25"/>
  <c r="L18" i="25"/>
  <c r="K18" i="25"/>
  <c r="L17" i="25"/>
  <c r="K17" i="25"/>
  <c r="L16" i="25"/>
  <c r="K16" i="25"/>
  <c r="L15" i="25"/>
  <c r="K15" i="25"/>
  <c r="L14" i="25"/>
  <c r="K14" i="25"/>
  <c r="L13" i="25"/>
  <c r="K13" i="25"/>
  <c r="L12" i="25"/>
  <c r="K12" i="25"/>
  <c r="L11" i="25"/>
  <c r="K11" i="25"/>
  <c r="L10" i="25"/>
  <c r="K10" i="25"/>
  <c r="L9" i="25"/>
  <c r="K9" i="25"/>
  <c r="L8" i="25"/>
  <c r="K8" i="25"/>
  <c r="L7" i="25"/>
  <c r="K7" i="25"/>
  <c r="L6" i="25"/>
  <c r="K6" i="25"/>
  <c r="L5" i="25"/>
  <c r="K5" i="25"/>
  <c r="L4" i="25"/>
  <c r="K4" i="25"/>
  <c r="L3" i="25"/>
  <c r="K3" i="25"/>
  <c r="L2" i="25"/>
  <c r="K2" i="25"/>
  <c r="M1291" i="16" l="1"/>
  <c r="M1098" i="16"/>
  <c r="M799" i="16"/>
  <c r="M102" i="16"/>
  <c r="L675" i="24"/>
  <c r="K675" i="24"/>
  <c r="L300" i="24"/>
  <c r="K300" i="24"/>
  <c r="D53" i="17"/>
  <c r="E53" i="17"/>
  <c r="F53" i="17"/>
  <c r="G53" i="17"/>
  <c r="F57" i="17"/>
  <c r="G57" i="17"/>
  <c r="G1078" i="16"/>
  <c r="L1078" i="16" s="1"/>
  <c r="M1260" i="16"/>
  <c r="G535" i="16"/>
  <c r="L535" i="16" s="1"/>
  <c r="M411" i="16"/>
  <c r="M486" i="16"/>
  <c r="M457" i="16"/>
  <c r="M472" i="16"/>
  <c r="M1146" i="16"/>
  <c r="M557" i="16"/>
  <c r="M879" i="16"/>
  <c r="M1238" i="16"/>
  <c r="M1270" i="16"/>
  <c r="M1285" i="16"/>
  <c r="M1160" i="16"/>
  <c r="M1102" i="16"/>
  <c r="M1122" i="16"/>
  <c r="M1126" i="16"/>
  <c r="M1121" i="16"/>
  <c r="M962" i="16"/>
  <c r="M1266" i="16"/>
  <c r="M974" i="16"/>
  <c r="M937" i="16"/>
  <c r="M991" i="16"/>
  <c r="M992" i="16"/>
  <c r="M1077" i="16"/>
  <c r="M1373" i="16"/>
  <c r="G981" i="16"/>
  <c r="L981" i="16" s="1"/>
  <c r="M357" i="16" l="1"/>
  <c r="M391" i="16"/>
  <c r="M93" i="16"/>
  <c r="M82" i="16"/>
  <c r="M40" i="16"/>
  <c r="M87" i="16"/>
  <c r="M101" i="16"/>
  <c r="M85" i="16"/>
  <c r="M72" i="16"/>
  <c r="M38" i="16"/>
  <c r="M44" i="16"/>
  <c r="M89" i="16"/>
  <c r="M8" i="16"/>
  <c r="M59" i="16"/>
  <c r="M212" i="16"/>
  <c r="M10" i="16"/>
  <c r="M701" i="16"/>
  <c r="M950" i="16"/>
  <c r="M1361" i="16"/>
  <c r="M542" i="16"/>
  <c r="M188" i="16"/>
  <c r="M54" i="16"/>
  <c r="M538" i="16"/>
  <c r="M606" i="16"/>
  <c r="M604" i="16"/>
  <c r="M518" i="16"/>
  <c r="M519" i="16"/>
  <c r="M513" i="16"/>
  <c r="M636" i="16"/>
  <c r="M1734" i="16"/>
  <c r="M509" i="16"/>
  <c r="M1307" i="16"/>
  <c r="M1262" i="16"/>
  <c r="M1254" i="16"/>
  <c r="M1256" i="16"/>
  <c r="M1337" i="16"/>
  <c r="M1339" i="16"/>
  <c r="M1329" i="16"/>
  <c r="M1253" i="16"/>
  <c r="M1235" i="16"/>
  <c r="M1320" i="16"/>
  <c r="M1226" i="16"/>
  <c r="M1331" i="16"/>
  <c r="M1286" i="16"/>
  <c r="M1325" i="16"/>
  <c r="M1292" i="16"/>
  <c r="M1247" i="16"/>
  <c r="M1905" i="16"/>
  <c r="M559" i="16"/>
  <c r="M677" i="16"/>
  <c r="M665" i="16"/>
  <c r="M1368" i="16"/>
  <c r="M1359" i="16"/>
  <c r="M1222" i="16"/>
  <c r="M1375" i="16"/>
  <c r="M1369" i="16"/>
  <c r="M1374" i="16"/>
  <c r="M1367" i="16"/>
  <c r="M1000" i="16"/>
  <c r="M1014" i="16" l="1"/>
  <c r="M1363" i="16"/>
  <c r="M969" i="16"/>
  <c r="M1340" i="16"/>
  <c r="M1179" i="16"/>
  <c r="M1173" i="16"/>
  <c r="M1171" i="16"/>
  <c r="M1172" i="16"/>
  <c r="M1332" i="16"/>
  <c r="M1151" i="16"/>
  <c r="M1314" i="16"/>
  <c r="M1251" i="16"/>
  <c r="M1110" i="16"/>
  <c r="M497" i="16"/>
  <c r="M1706" i="16"/>
  <c r="M1708" i="16"/>
  <c r="M637" i="16"/>
  <c r="M448" i="16"/>
  <c r="M802" i="16"/>
  <c r="M1550" i="16"/>
  <c r="M1819" i="16"/>
  <c r="M1895" i="16"/>
  <c r="M373" i="16" l="1"/>
  <c r="M366" i="16"/>
  <c r="M354" i="16"/>
  <c r="M139" i="16"/>
  <c r="M136" i="16"/>
  <c r="M134" i="16"/>
  <c r="AD123" i="16"/>
  <c r="AE123" i="16" s="1"/>
  <c r="S123" i="16"/>
  <c r="T123" i="16" s="1"/>
  <c r="O123" i="16"/>
  <c r="P123" i="16"/>
  <c r="M117" i="16"/>
  <c r="N123" i="16" l="1"/>
  <c r="Q123" i="16" s="1"/>
  <c r="M9" i="16"/>
  <c r="E94" i="19"/>
  <c r="J228" i="16"/>
  <c r="L228" i="16" s="1"/>
  <c r="J229" i="16"/>
  <c r="L229" i="16" s="1"/>
  <c r="G586" i="16"/>
  <c r="L586" i="16" s="1"/>
  <c r="G589" i="16"/>
  <c r="J589" i="16"/>
  <c r="J356" i="16"/>
  <c r="L356" i="16" s="1"/>
  <c r="G1035" i="16"/>
  <c r="L1035" i="16" s="1"/>
  <c r="J1933" i="16"/>
  <c r="L1933" i="16" s="1"/>
  <c r="L589" i="16" l="1"/>
  <c r="J324" i="16"/>
  <c r="L324" i="16" s="1"/>
  <c r="E30" i="21"/>
  <c r="O1762" i="16"/>
  <c r="P1762" i="16"/>
  <c r="O1761" i="16"/>
  <c r="N1761" i="16"/>
  <c r="O1760" i="16"/>
  <c r="N1760" i="16"/>
  <c r="N1757" i="16"/>
  <c r="O1757" i="16"/>
  <c r="P1758" i="16"/>
  <c r="O1758" i="16"/>
  <c r="P1759" i="16"/>
  <c r="O1759" i="16"/>
  <c r="N1763" i="16"/>
  <c r="O1763" i="16"/>
  <c r="N1764" i="16"/>
  <c r="O1764" i="16"/>
  <c r="P1765" i="16"/>
  <c r="O1765" i="16"/>
  <c r="P1766" i="16"/>
  <c r="O1766" i="16"/>
  <c r="N1767" i="16"/>
  <c r="O1767" i="16"/>
  <c r="S388" i="16"/>
  <c r="T388" i="16" s="1"/>
  <c r="O388" i="16"/>
  <c r="N388" i="16"/>
  <c r="S387" i="16"/>
  <c r="T387" i="16" s="1"/>
  <c r="O387" i="16"/>
  <c r="P387" i="16"/>
  <c r="S412" i="16"/>
  <c r="T412" i="16" s="1"/>
  <c r="O412" i="16"/>
  <c r="N412" i="16"/>
  <c r="Q1764" i="16" l="1"/>
  <c r="Q1760" i="16"/>
  <c r="N1759" i="16"/>
  <c r="Q1759" i="16" s="1"/>
  <c r="P1760" i="16"/>
  <c r="N1762" i="16"/>
  <c r="Q1762" i="16" s="1"/>
  <c r="Q1761" i="16"/>
  <c r="N1766" i="16"/>
  <c r="Q1766" i="16" s="1"/>
  <c r="P1761" i="16"/>
  <c r="P1764" i="16"/>
  <c r="Q1767" i="16"/>
  <c r="Q1763" i="16"/>
  <c r="Q1757" i="16"/>
  <c r="N1765" i="16"/>
  <c r="Q1765" i="16" s="1"/>
  <c r="N1758" i="16"/>
  <c r="Q1758" i="16" s="1"/>
  <c r="P1757" i="16"/>
  <c r="P1767" i="16"/>
  <c r="P1763" i="16"/>
  <c r="Q388" i="16"/>
  <c r="P388" i="16"/>
  <c r="N387" i="16"/>
  <c r="Q387" i="16" s="1"/>
  <c r="Q412" i="16"/>
  <c r="P412" i="16"/>
  <c r="S241" i="16"/>
  <c r="T241" i="16" s="1"/>
  <c r="O241" i="16"/>
  <c r="N241" i="16"/>
  <c r="S368" i="16"/>
  <c r="T368" i="16" s="1"/>
  <c r="O368" i="16"/>
  <c r="N368" i="16"/>
  <c r="S1148" i="16"/>
  <c r="T1148" i="16" s="1"/>
  <c r="O1148" i="16"/>
  <c r="N1148" i="16"/>
  <c r="S1147" i="16"/>
  <c r="T1147" i="16" s="1"/>
  <c r="O1147" i="16"/>
  <c r="N1147" i="16"/>
  <c r="S1043" i="16"/>
  <c r="T1043" i="16" s="1"/>
  <c r="O1043" i="16"/>
  <c r="N1043" i="16"/>
  <c r="N1044" i="16"/>
  <c r="O1044" i="16"/>
  <c r="S1044" i="16"/>
  <c r="T1044" i="16" s="1"/>
  <c r="S1046" i="16"/>
  <c r="T1046" i="16" s="1"/>
  <c r="O1046" i="16"/>
  <c r="N1046" i="16"/>
  <c r="S1030" i="16"/>
  <c r="T1030" i="16" s="1"/>
  <c r="O1030" i="16"/>
  <c r="N1030" i="16"/>
  <c r="Q368" i="16" l="1"/>
  <c r="Q241" i="16"/>
  <c r="Q1148" i="16"/>
  <c r="P241" i="16"/>
  <c r="P368" i="16"/>
  <c r="Q1147" i="16"/>
  <c r="Q1043" i="16"/>
  <c r="P1148" i="16"/>
  <c r="P1147" i="16"/>
  <c r="Q1046" i="16"/>
  <c r="P1044" i="16"/>
  <c r="P1043" i="16"/>
  <c r="Q1044" i="16"/>
  <c r="P1046" i="16"/>
  <c r="P1030" i="16"/>
  <c r="Q1030" i="16"/>
  <c r="S1029" i="16"/>
  <c r="T1029" i="16" s="1"/>
  <c r="O1029" i="16"/>
  <c r="N1029" i="16"/>
  <c r="S1028" i="16"/>
  <c r="T1028" i="16" s="1"/>
  <c r="O1028" i="16"/>
  <c r="N1028" i="16"/>
  <c r="S1033" i="16"/>
  <c r="T1033" i="16" s="1"/>
  <c r="O1033" i="16"/>
  <c r="N1033" i="16"/>
  <c r="S1027" i="16"/>
  <c r="T1027" i="16" s="1"/>
  <c r="O1027" i="16"/>
  <c r="N1027" i="16"/>
  <c r="S1026" i="16"/>
  <c r="T1026" i="16" s="1"/>
  <c r="O1026" i="16"/>
  <c r="P1026" i="16"/>
  <c r="S413" i="16"/>
  <c r="T413" i="16" s="1"/>
  <c r="O413" i="16"/>
  <c r="N413" i="16"/>
  <c r="S165" i="16"/>
  <c r="T165" i="16" s="1"/>
  <c r="O165" i="16"/>
  <c r="N165" i="16"/>
  <c r="S163" i="16"/>
  <c r="T163" i="16" s="1"/>
  <c r="O163" i="16"/>
  <c r="N163" i="16"/>
  <c r="S1591" i="16"/>
  <c r="T1591" i="16" s="1"/>
  <c r="O1591" i="16"/>
  <c r="P1591" i="16"/>
  <c r="S1619" i="16"/>
  <c r="T1619" i="16" s="1"/>
  <c r="O1619" i="16"/>
  <c r="N1619" i="16"/>
  <c r="S1618" i="16"/>
  <c r="T1618" i="16" s="1"/>
  <c r="O1618" i="16"/>
  <c r="N1618" i="16"/>
  <c r="S1597" i="16"/>
  <c r="T1597" i="16" s="1"/>
  <c r="O1597" i="16"/>
  <c r="N1597" i="16"/>
  <c r="S1596" i="16"/>
  <c r="T1596" i="16" s="1"/>
  <c r="O1596" i="16"/>
  <c r="N1596" i="16"/>
  <c r="S968" i="16"/>
  <c r="T968" i="16" s="1"/>
  <c r="O968" i="16"/>
  <c r="N968" i="16"/>
  <c r="S451" i="16"/>
  <c r="T451" i="16" s="1"/>
  <c r="O451" i="16"/>
  <c r="N451" i="16"/>
  <c r="Q1028" i="16" l="1"/>
  <c r="Q1029" i="16"/>
  <c r="Q1033" i="16"/>
  <c r="P1029" i="16"/>
  <c r="Q1027" i="16"/>
  <c r="P1028" i="16"/>
  <c r="P1033" i="16"/>
  <c r="Q413" i="16"/>
  <c r="P1027" i="16"/>
  <c r="N1026" i="16"/>
  <c r="Q1026" i="16" s="1"/>
  <c r="P413" i="16"/>
  <c r="Q163" i="16"/>
  <c r="Q165" i="16"/>
  <c r="P165" i="16"/>
  <c r="P163" i="16"/>
  <c r="Q1618" i="16"/>
  <c r="N1591" i="16"/>
  <c r="Q1591" i="16" s="1"/>
  <c r="Q1619" i="16"/>
  <c r="Q1597" i="16"/>
  <c r="P1619" i="16"/>
  <c r="P1618" i="16"/>
  <c r="Q968" i="16"/>
  <c r="P1597" i="16"/>
  <c r="Q1596" i="16"/>
  <c r="P1596" i="16"/>
  <c r="P968" i="16"/>
  <c r="Q451" i="16"/>
  <c r="P451" i="16"/>
  <c r="G159" i="5" l="1"/>
  <c r="G120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K134" i="5"/>
  <c r="I135" i="5"/>
  <c r="J135" i="5"/>
  <c r="K135" i="5"/>
  <c r="I136" i="5"/>
  <c r="J136" i="5"/>
  <c r="K136" i="5"/>
  <c r="I137" i="5"/>
  <c r="J137" i="5"/>
  <c r="K137" i="5"/>
  <c r="I138" i="5"/>
  <c r="J138" i="5"/>
  <c r="K138" i="5"/>
  <c r="I139" i="5"/>
  <c r="J139" i="5"/>
  <c r="K139" i="5"/>
  <c r="I140" i="5"/>
  <c r="J140" i="5"/>
  <c r="K140" i="5"/>
  <c r="I141" i="5"/>
  <c r="J141" i="5"/>
  <c r="K141" i="5"/>
  <c r="I142" i="5"/>
  <c r="J142" i="5"/>
  <c r="K142" i="5"/>
  <c r="I143" i="5"/>
  <c r="J143" i="5"/>
  <c r="K143" i="5"/>
  <c r="I144" i="5"/>
  <c r="J144" i="5"/>
  <c r="K144" i="5"/>
  <c r="I145" i="5"/>
  <c r="J145" i="5"/>
  <c r="K145" i="5"/>
  <c r="I146" i="5"/>
  <c r="J146" i="5"/>
  <c r="K146" i="5"/>
  <c r="I147" i="5"/>
  <c r="J147" i="5"/>
  <c r="K147" i="5"/>
  <c r="I148" i="5"/>
  <c r="J148" i="5"/>
  <c r="K148" i="5"/>
  <c r="I149" i="5"/>
  <c r="J149" i="5"/>
  <c r="K149" i="5"/>
  <c r="I150" i="5"/>
  <c r="J150" i="5"/>
  <c r="K150" i="5"/>
  <c r="I151" i="5"/>
  <c r="J151" i="5"/>
  <c r="K151" i="5"/>
  <c r="I152" i="5"/>
  <c r="J152" i="5"/>
  <c r="K152" i="5"/>
  <c r="I153" i="5"/>
  <c r="J153" i="5"/>
  <c r="K153" i="5"/>
  <c r="I154" i="5"/>
  <c r="J154" i="5"/>
  <c r="K154" i="5"/>
  <c r="I155" i="5"/>
  <c r="J155" i="5"/>
  <c r="K155" i="5"/>
  <c r="I156" i="5"/>
  <c r="J156" i="5"/>
  <c r="K156" i="5"/>
  <c r="I157" i="5"/>
  <c r="J157" i="5"/>
  <c r="K157" i="5"/>
  <c r="I158" i="5"/>
  <c r="J158" i="5"/>
  <c r="K158" i="5"/>
  <c r="I159" i="5"/>
  <c r="J159" i="5"/>
  <c r="K159" i="5"/>
  <c r="I160" i="5"/>
  <c r="J160" i="5"/>
  <c r="K160" i="5"/>
  <c r="I161" i="5"/>
  <c r="J161" i="5"/>
  <c r="K161" i="5"/>
  <c r="I162" i="5"/>
  <c r="J162" i="5"/>
  <c r="K162" i="5"/>
  <c r="I163" i="5"/>
  <c r="J163" i="5"/>
  <c r="K163" i="5"/>
  <c r="I164" i="5"/>
  <c r="J164" i="5"/>
  <c r="K164" i="5"/>
  <c r="I165" i="5"/>
  <c r="J165" i="5"/>
  <c r="K165" i="5"/>
  <c r="I166" i="5"/>
  <c r="J166" i="5"/>
  <c r="K166" i="5"/>
  <c r="I167" i="5"/>
  <c r="J167" i="5"/>
  <c r="K167" i="5"/>
  <c r="I168" i="5"/>
  <c r="J168" i="5"/>
  <c r="K168" i="5"/>
  <c r="I169" i="5"/>
  <c r="J169" i="5"/>
  <c r="K169" i="5"/>
  <c r="I170" i="5"/>
  <c r="J170" i="5"/>
  <c r="K170" i="5"/>
  <c r="I171" i="5"/>
  <c r="J171" i="5"/>
  <c r="K171" i="5"/>
  <c r="I172" i="5"/>
  <c r="J172" i="5"/>
  <c r="K172" i="5"/>
  <c r="I173" i="5"/>
  <c r="J173" i="5"/>
  <c r="K173" i="5"/>
  <c r="I174" i="5"/>
  <c r="J174" i="5"/>
  <c r="K174" i="5"/>
  <c r="I175" i="5"/>
  <c r="J175" i="5"/>
  <c r="K175" i="5"/>
  <c r="I176" i="5"/>
  <c r="J176" i="5"/>
  <c r="K176" i="5"/>
  <c r="I177" i="5"/>
  <c r="J177" i="5"/>
  <c r="K177" i="5"/>
  <c r="I178" i="5"/>
  <c r="J178" i="5"/>
  <c r="K178" i="5"/>
  <c r="I179" i="5"/>
  <c r="J179" i="5"/>
  <c r="K179" i="5"/>
  <c r="I180" i="5"/>
  <c r="J180" i="5"/>
  <c r="K180" i="5"/>
  <c r="I181" i="5"/>
  <c r="J181" i="5"/>
  <c r="K181" i="5"/>
  <c r="I182" i="5"/>
  <c r="J182" i="5"/>
  <c r="K182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I219" i="5"/>
  <c r="J219" i="5"/>
  <c r="K219" i="5"/>
  <c r="I220" i="5"/>
  <c r="J220" i="5"/>
  <c r="K220" i="5"/>
  <c r="I221" i="5"/>
  <c r="J221" i="5"/>
  <c r="K221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2" i="16"/>
  <c r="O153" i="16"/>
  <c r="O154" i="16"/>
  <c r="O155" i="16"/>
  <c r="O156" i="16"/>
  <c r="O157" i="16"/>
  <c r="O158" i="16"/>
  <c r="O159" i="16"/>
  <c r="O160" i="16"/>
  <c r="O161" i="16"/>
  <c r="O162" i="16"/>
  <c r="O164" i="16"/>
  <c r="O166" i="16"/>
  <c r="O167" i="16"/>
  <c r="O168" i="16"/>
  <c r="O169" i="16"/>
  <c r="O170" i="16"/>
  <c r="O171" i="16"/>
  <c r="O172" i="16"/>
  <c r="O173" i="16"/>
  <c r="O174" i="16"/>
  <c r="O175" i="16"/>
  <c r="O177" i="16"/>
  <c r="O178" i="16"/>
  <c r="O180" i="16"/>
  <c r="O181" i="16"/>
  <c r="O182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9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4" i="16"/>
  <c r="O995" i="16"/>
  <c r="O996" i="16"/>
  <c r="O997" i="16"/>
  <c r="O998" i="16"/>
  <c r="O999" i="16"/>
  <c r="O1000" i="16"/>
  <c r="O1001" i="16"/>
  <c r="O1002" i="16"/>
  <c r="O1003" i="16"/>
  <c r="O1004" i="16"/>
  <c r="O1005" i="16"/>
  <c r="O1006" i="16"/>
  <c r="O1007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31" i="16"/>
  <c r="O1032" i="16"/>
  <c r="O1034" i="16"/>
  <c r="O1035" i="16"/>
  <c r="O1036" i="16"/>
  <c r="O1037" i="16"/>
  <c r="O1038" i="16"/>
  <c r="O1039" i="16"/>
  <c r="O1040" i="16"/>
  <c r="O1041" i="16"/>
  <c r="O1042" i="16"/>
  <c r="O1045" i="16"/>
  <c r="O1047" i="16"/>
  <c r="O1048" i="16"/>
  <c r="O1049" i="16"/>
  <c r="O1050" i="16"/>
  <c r="O1051" i="16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3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5" i="16"/>
  <c r="O1096" i="16"/>
  <c r="O1097" i="16"/>
  <c r="O1098" i="16"/>
  <c r="O1099" i="16"/>
  <c r="O1100" i="16"/>
  <c r="O110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6" i="16"/>
  <c r="O1137" i="16"/>
  <c r="O1138" i="16"/>
  <c r="O1139" i="16"/>
  <c r="O1140" i="16"/>
  <c r="O1141" i="16"/>
  <c r="O1142" i="16"/>
  <c r="O1143" i="16"/>
  <c r="O1144" i="16"/>
  <c r="O1145" i="16"/>
  <c r="O1146" i="16"/>
  <c r="O1149" i="16"/>
  <c r="O1150" i="16"/>
  <c r="O1151" i="16"/>
  <c r="O1152" i="16"/>
  <c r="O1153" i="16"/>
  <c r="O1154" i="16"/>
  <c r="O1155" i="16"/>
  <c r="O1156" i="16"/>
  <c r="O1157" i="16"/>
  <c r="O1158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0" i="16"/>
  <c r="O1201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1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3" i="16"/>
  <c r="O1264" i="16"/>
  <c r="O1265" i="16"/>
  <c r="O1266" i="16"/>
  <c r="O1267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8" i="16"/>
  <c r="O1309" i="16"/>
  <c r="O1310" i="16"/>
  <c r="O1311" i="16"/>
  <c r="O1312" i="16"/>
  <c r="O1313" i="16"/>
  <c r="O1314" i="16"/>
  <c r="O1315" i="16"/>
  <c r="O1316" i="16"/>
  <c r="O1317" i="16"/>
  <c r="O1318" i="16"/>
  <c r="O1319" i="16"/>
  <c r="O1320" i="16"/>
  <c r="O1321" i="16"/>
  <c r="O1322" i="16"/>
  <c r="O1323" i="16"/>
  <c r="O1324" i="16"/>
  <c r="O1325" i="16"/>
  <c r="O1326" i="16"/>
  <c r="O1327" i="16"/>
  <c r="O1328" i="16"/>
  <c r="O1329" i="16"/>
  <c r="O1330" i="16"/>
  <c r="O1331" i="16"/>
  <c r="O1332" i="16"/>
  <c r="O1333" i="16"/>
  <c r="O1334" i="16"/>
  <c r="O1335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09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7" i="16"/>
  <c r="O1428" i="16"/>
  <c r="O1429" i="16"/>
  <c r="O1430" i="16"/>
  <c r="O1431" i="16"/>
  <c r="O1432" i="16"/>
  <c r="O1433" i="16"/>
  <c r="O1434" i="16"/>
  <c r="O1435" i="16"/>
  <c r="O1436" i="16"/>
  <c r="O1437" i="16"/>
  <c r="O1438" i="16"/>
  <c r="O1439" i="16"/>
  <c r="O1440" i="16"/>
  <c r="O1441" i="16"/>
  <c r="O1442" i="16"/>
  <c r="O1443" i="16"/>
  <c r="O1444" i="16"/>
  <c r="O1445" i="16"/>
  <c r="O1446" i="16"/>
  <c r="O1447" i="16"/>
  <c r="O1448" i="16"/>
  <c r="O1449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2" i="16"/>
  <c r="O1593" i="16"/>
  <c r="O1594" i="16"/>
  <c r="O1595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7" i="16"/>
  <c r="O1658" i="16"/>
  <c r="O1659" i="16"/>
  <c r="O1660" i="16"/>
  <c r="O1661" i="16"/>
  <c r="O1662" i="16"/>
  <c r="O1663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4" i="16"/>
  <c r="O1685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7" i="16"/>
  <c r="O1748" i="16"/>
  <c r="O1749" i="16"/>
  <c r="O1750" i="16"/>
  <c r="O1751" i="16"/>
  <c r="O1752" i="16"/>
  <c r="O1753" i="16"/>
  <c r="O1754" i="16"/>
  <c r="O1755" i="16"/>
  <c r="O1756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0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07" i="16"/>
  <c r="O1808" i="16"/>
  <c r="O1809" i="16"/>
  <c r="O1810" i="16"/>
  <c r="O1811" i="16"/>
  <c r="O1812" i="16"/>
  <c r="O1813" i="16"/>
  <c r="O1814" i="16"/>
  <c r="O1815" i="16"/>
  <c r="O1816" i="16"/>
  <c r="O1817" i="16"/>
  <c r="O1818" i="16"/>
  <c r="O1819" i="16"/>
  <c r="O1820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33" i="16"/>
  <c r="O1834" i="16"/>
  <c r="O1835" i="16"/>
  <c r="O1836" i="16"/>
  <c r="O1837" i="16"/>
  <c r="O1838" i="16"/>
  <c r="O1839" i="16"/>
  <c r="O1840" i="16"/>
  <c r="O1841" i="16"/>
  <c r="O1842" i="16"/>
  <c r="O1843" i="16"/>
  <c r="O1844" i="16"/>
  <c r="O1845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895" i="16"/>
  <c r="O1896" i="16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09" i="16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6" i="16"/>
  <c r="I6" i="5"/>
  <c r="N6" i="16"/>
  <c r="O1939" i="16" l="1"/>
  <c r="L225" i="5"/>
  <c r="L221" i="5"/>
  <c r="L217" i="5"/>
  <c r="L213" i="5"/>
  <c r="L209" i="5"/>
  <c r="L205" i="5"/>
  <c r="L201" i="5"/>
  <c r="L197" i="5"/>
  <c r="L78" i="5"/>
  <c r="L74" i="5"/>
  <c r="L70" i="5"/>
  <c r="L66" i="5"/>
  <c r="L62" i="5"/>
  <c r="L58" i="5"/>
  <c r="L54" i="5"/>
  <c r="L50" i="5"/>
  <c r="L46" i="5"/>
  <c r="L42" i="5"/>
  <c r="L38" i="5"/>
  <c r="L34" i="5"/>
  <c r="L30" i="5"/>
  <c r="L26" i="5"/>
  <c r="L22" i="5"/>
  <c r="L18" i="5"/>
  <c r="L14" i="5"/>
  <c r="L193" i="5"/>
  <c r="L104" i="5"/>
  <c r="L189" i="5"/>
  <c r="L223" i="5"/>
  <c r="L219" i="5"/>
  <c r="L215" i="5"/>
  <c r="L211" i="5"/>
  <c r="L207" i="5"/>
  <c r="L203" i="5"/>
  <c r="L199" i="5"/>
  <c r="L195" i="5"/>
  <c r="L191" i="5"/>
  <c r="L187" i="5"/>
  <c r="L184" i="5"/>
  <c r="L180" i="5"/>
  <c r="L100" i="5"/>
  <c r="L182" i="5"/>
  <c r="L102" i="5"/>
  <c r="L98" i="5"/>
  <c r="L222" i="5"/>
  <c r="L218" i="5"/>
  <c r="L214" i="5"/>
  <c r="L210" i="5"/>
  <c r="L206" i="5"/>
  <c r="L202" i="5"/>
  <c r="L198" i="5"/>
  <c r="L194" i="5"/>
  <c r="L190" i="5"/>
  <c r="L186" i="5"/>
  <c r="L183" i="5"/>
  <c r="L179" i="5"/>
  <c r="L156" i="5"/>
  <c r="L152" i="5"/>
  <c r="L144" i="5"/>
  <c r="L124" i="5"/>
  <c r="L103" i="5"/>
  <c r="L99" i="5"/>
  <c r="L91" i="5"/>
  <c r="L87" i="5"/>
  <c r="L83" i="5"/>
  <c r="L224" i="5"/>
  <c r="L220" i="5"/>
  <c r="L216" i="5"/>
  <c r="L212" i="5"/>
  <c r="L208" i="5"/>
  <c r="L204" i="5"/>
  <c r="L200" i="5"/>
  <c r="L196" i="5"/>
  <c r="L192" i="5"/>
  <c r="L188" i="5"/>
  <c r="L185" i="5"/>
  <c r="L181" i="5"/>
  <c r="L177" i="5"/>
  <c r="L173" i="5"/>
  <c r="L169" i="5"/>
  <c r="L165" i="5"/>
  <c r="L161" i="5"/>
  <c r="L158" i="5"/>
  <c r="L154" i="5"/>
  <c r="L150" i="5"/>
  <c r="L146" i="5"/>
  <c r="L142" i="5"/>
  <c r="L138" i="5"/>
  <c r="L134" i="5"/>
  <c r="L130" i="5"/>
  <c r="L126" i="5"/>
  <c r="L122" i="5"/>
  <c r="L119" i="5"/>
  <c r="L116" i="5"/>
  <c r="L112" i="5"/>
  <c r="L108" i="5"/>
  <c r="L105" i="5"/>
  <c r="L101" i="5"/>
  <c r="L97" i="5"/>
  <c r="L96" i="5"/>
  <c r="L93" i="5"/>
  <c r="L89" i="5"/>
  <c r="L85" i="5"/>
  <c r="L81" i="5"/>
  <c r="L45" i="5"/>
  <c r="L29" i="5"/>
  <c r="L79" i="5"/>
  <c r="L76" i="5"/>
  <c r="L72" i="5"/>
  <c r="L68" i="5"/>
  <c r="L64" i="5"/>
  <c r="L61" i="5"/>
  <c r="L60" i="5"/>
  <c r="L59" i="5"/>
  <c r="L57" i="5"/>
  <c r="L56" i="5"/>
  <c r="L55" i="5"/>
  <c r="L53" i="5"/>
  <c r="L52" i="5"/>
  <c r="L51" i="5"/>
  <c r="L49" i="5"/>
  <c r="L48" i="5"/>
  <c r="L47" i="5"/>
  <c r="L44" i="5"/>
  <c r="L43" i="5"/>
  <c r="L41" i="5"/>
  <c r="L40" i="5"/>
  <c r="L39" i="5"/>
  <c r="L37" i="5"/>
  <c r="L36" i="5"/>
  <c r="L35" i="5"/>
  <c r="L33" i="5"/>
  <c r="L32" i="5"/>
  <c r="L31" i="5"/>
  <c r="L28" i="5"/>
  <c r="L27" i="5"/>
  <c r="L25" i="5"/>
  <c r="L24" i="5"/>
  <c r="L23" i="5"/>
  <c r="L21" i="5"/>
  <c r="L20" i="5"/>
  <c r="L19" i="5"/>
  <c r="L17" i="5"/>
  <c r="L16" i="5"/>
  <c r="L15" i="5"/>
  <c r="L13" i="5"/>
  <c r="L178" i="5"/>
  <c r="L174" i="5"/>
  <c r="L170" i="5"/>
  <c r="L166" i="5"/>
  <c r="L162" i="5"/>
  <c r="L159" i="5"/>
  <c r="L155" i="5"/>
  <c r="L151" i="5"/>
  <c r="L147" i="5"/>
  <c r="L143" i="5"/>
  <c r="L139" i="5"/>
  <c r="L135" i="5"/>
  <c r="L131" i="5"/>
  <c r="L127" i="5"/>
  <c r="L123" i="5"/>
  <c r="L120" i="5"/>
  <c r="L117" i="5"/>
  <c r="L113" i="5"/>
  <c r="L109" i="5"/>
  <c r="L175" i="5"/>
  <c r="L171" i="5"/>
  <c r="L167" i="5"/>
  <c r="L163" i="5"/>
  <c r="L148" i="5"/>
  <c r="L140" i="5"/>
  <c r="L136" i="5"/>
  <c r="L132" i="5"/>
  <c r="L128" i="5"/>
  <c r="L114" i="5"/>
  <c r="L110" i="5"/>
  <c r="L106" i="5"/>
  <c r="L176" i="5"/>
  <c r="L172" i="5"/>
  <c r="L168" i="5"/>
  <c r="L164" i="5"/>
  <c r="L160" i="5"/>
  <c r="L157" i="5"/>
  <c r="L153" i="5"/>
  <c r="L149" i="5"/>
  <c r="L145" i="5"/>
  <c r="L141" i="5"/>
  <c r="L137" i="5"/>
  <c r="L133" i="5"/>
  <c r="L129" i="5"/>
  <c r="L125" i="5"/>
  <c r="L121" i="5"/>
  <c r="L118" i="5"/>
  <c r="L115" i="5"/>
  <c r="L111" i="5"/>
  <c r="L107" i="5"/>
  <c r="L94" i="5"/>
  <c r="L90" i="5"/>
  <c r="L86" i="5"/>
  <c r="L82" i="5"/>
  <c r="L75" i="5"/>
  <c r="L71" i="5"/>
  <c r="L67" i="5"/>
  <c r="L63" i="5"/>
  <c r="L95" i="5"/>
  <c r="L92" i="5"/>
  <c r="L88" i="5"/>
  <c r="L84" i="5"/>
  <c r="L80" i="5"/>
  <c r="L77" i="5"/>
  <c r="L73" i="5"/>
  <c r="L69" i="5"/>
  <c r="L65" i="5"/>
  <c r="H133" i="18"/>
  <c r="F133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4" i="18"/>
  <c r="I133" i="18" l="1"/>
  <c r="J1495" i="22" l="1"/>
  <c r="G1495" i="22"/>
  <c r="F1495" i="22"/>
  <c r="E1495" i="22"/>
  <c r="L1494" i="22"/>
  <c r="K1494" i="22"/>
  <c r="L1493" i="22"/>
  <c r="K1493" i="22"/>
  <c r="L1492" i="22"/>
  <c r="K1492" i="22"/>
  <c r="L1491" i="22"/>
  <c r="K1491" i="22"/>
  <c r="L1490" i="22"/>
  <c r="K1490" i="22"/>
  <c r="L1489" i="22"/>
  <c r="K1489" i="22"/>
  <c r="L1488" i="22"/>
  <c r="K1488" i="22"/>
  <c r="L1487" i="22"/>
  <c r="K1487" i="22"/>
  <c r="L1486" i="22"/>
  <c r="K1486" i="22"/>
  <c r="L1485" i="22"/>
  <c r="K1485" i="22"/>
  <c r="L1484" i="22"/>
  <c r="K1484" i="22"/>
  <c r="L1483" i="22"/>
  <c r="K1483" i="22"/>
  <c r="L1482" i="22"/>
  <c r="K1482" i="22"/>
  <c r="L1481" i="22"/>
  <c r="K1481" i="22"/>
  <c r="L1480" i="22"/>
  <c r="K1480" i="22"/>
  <c r="L1479" i="22"/>
  <c r="K1479" i="22"/>
  <c r="L1478" i="22"/>
  <c r="K1478" i="22"/>
  <c r="L1477" i="22"/>
  <c r="K1477" i="22"/>
  <c r="L1476" i="22"/>
  <c r="K1476" i="22"/>
  <c r="L1475" i="22"/>
  <c r="K1475" i="22"/>
  <c r="L1474" i="22"/>
  <c r="K1474" i="22"/>
  <c r="L1473" i="22"/>
  <c r="K1473" i="22"/>
  <c r="L1472" i="22"/>
  <c r="K1472" i="22"/>
  <c r="L1471" i="22"/>
  <c r="K1471" i="22"/>
  <c r="L1470" i="22"/>
  <c r="K1470" i="22"/>
  <c r="L1469" i="22"/>
  <c r="K1469" i="22"/>
  <c r="L1468" i="22"/>
  <c r="K1468" i="22"/>
  <c r="L1467" i="22"/>
  <c r="K1467" i="22"/>
  <c r="L1466" i="22"/>
  <c r="K1466" i="22"/>
  <c r="L1465" i="22"/>
  <c r="K1465" i="22"/>
  <c r="L1464" i="22"/>
  <c r="K1464" i="22"/>
  <c r="L1463" i="22"/>
  <c r="K1463" i="22"/>
  <c r="L1462" i="22"/>
  <c r="K1462" i="22"/>
  <c r="L1461" i="22"/>
  <c r="K1461" i="22"/>
  <c r="L1460" i="22"/>
  <c r="K1460" i="22"/>
  <c r="L1459" i="22"/>
  <c r="K1459" i="22"/>
  <c r="L1458" i="22"/>
  <c r="K1458" i="22"/>
  <c r="L1457" i="22"/>
  <c r="K1457" i="22"/>
  <c r="L1456" i="22"/>
  <c r="K1456" i="22"/>
  <c r="L1455" i="22"/>
  <c r="K1455" i="22"/>
  <c r="L1454" i="22"/>
  <c r="K1454" i="22"/>
  <c r="L1453" i="22"/>
  <c r="K1453" i="22"/>
  <c r="L1452" i="22"/>
  <c r="K1452" i="22"/>
  <c r="L1451" i="22"/>
  <c r="K1451" i="22"/>
  <c r="L1450" i="22"/>
  <c r="K1450" i="22"/>
  <c r="L1449" i="22"/>
  <c r="K1449" i="22"/>
  <c r="L1448" i="22"/>
  <c r="K1448" i="22"/>
  <c r="L1447" i="22"/>
  <c r="K1447" i="22"/>
  <c r="L1446" i="22"/>
  <c r="K1446" i="22"/>
  <c r="L1445" i="22"/>
  <c r="K1445" i="22"/>
  <c r="L1444" i="22"/>
  <c r="K1444" i="22"/>
  <c r="L1443" i="22"/>
  <c r="K1443" i="22"/>
  <c r="L1442" i="22"/>
  <c r="K1442" i="22"/>
  <c r="L1441" i="22"/>
  <c r="K1441" i="22"/>
  <c r="L1440" i="22"/>
  <c r="K1440" i="22"/>
  <c r="L1439" i="22"/>
  <c r="K1439" i="22"/>
  <c r="L1438" i="22"/>
  <c r="K1438" i="22"/>
  <c r="L1437" i="22"/>
  <c r="K1437" i="22"/>
  <c r="L1436" i="22"/>
  <c r="K1436" i="22"/>
  <c r="L1435" i="22"/>
  <c r="K1435" i="22"/>
  <c r="L1434" i="22"/>
  <c r="K1434" i="22"/>
  <c r="L1433" i="22"/>
  <c r="K1433" i="22"/>
  <c r="L1432" i="22"/>
  <c r="K1432" i="22"/>
  <c r="L1431" i="22"/>
  <c r="K1431" i="22"/>
  <c r="L1430" i="22"/>
  <c r="K1430" i="22"/>
  <c r="L1429" i="22"/>
  <c r="K1429" i="22"/>
  <c r="L1428" i="22"/>
  <c r="K1428" i="22"/>
  <c r="L1427" i="22"/>
  <c r="K1427" i="22"/>
  <c r="L1426" i="22"/>
  <c r="K1426" i="22"/>
  <c r="L1425" i="22"/>
  <c r="K1425" i="22"/>
  <c r="L1424" i="22"/>
  <c r="K1424" i="22"/>
  <c r="L1423" i="22"/>
  <c r="K1423" i="22"/>
  <c r="L1422" i="22"/>
  <c r="K1422" i="22"/>
  <c r="L1421" i="22"/>
  <c r="K1421" i="22"/>
  <c r="L1420" i="22"/>
  <c r="K1420" i="22"/>
  <c r="L1419" i="22"/>
  <c r="K1419" i="22"/>
  <c r="L1418" i="22"/>
  <c r="K1418" i="22"/>
  <c r="L1417" i="22"/>
  <c r="K1417" i="22"/>
  <c r="L1416" i="22"/>
  <c r="K1416" i="22"/>
  <c r="L1415" i="22"/>
  <c r="K1415" i="22"/>
  <c r="L1414" i="22"/>
  <c r="K1414" i="22"/>
  <c r="L1413" i="22"/>
  <c r="K1413" i="22"/>
  <c r="L1412" i="22"/>
  <c r="K1412" i="22"/>
  <c r="L1411" i="22"/>
  <c r="K1411" i="22"/>
  <c r="L1410" i="22"/>
  <c r="K1410" i="22"/>
  <c r="L1409" i="22"/>
  <c r="K1409" i="22"/>
  <c r="L1408" i="22"/>
  <c r="K1408" i="22"/>
  <c r="L1407" i="22"/>
  <c r="K1407" i="22"/>
  <c r="L1406" i="22"/>
  <c r="K1406" i="22"/>
  <c r="L1405" i="22"/>
  <c r="K1405" i="22"/>
  <c r="L1404" i="22"/>
  <c r="K1404" i="22"/>
  <c r="L1403" i="22"/>
  <c r="H1403" i="22"/>
  <c r="K1403" i="22" s="1"/>
  <c r="L1402" i="22"/>
  <c r="H1402" i="22"/>
  <c r="K1402" i="22" s="1"/>
  <c r="L1401" i="22"/>
  <c r="H1401" i="22"/>
  <c r="K1401" i="22" s="1"/>
  <c r="L1400" i="22"/>
  <c r="H1400" i="22"/>
  <c r="K1400" i="22" s="1"/>
  <c r="L1399" i="22"/>
  <c r="H1399" i="22"/>
  <c r="K1399" i="22" s="1"/>
  <c r="L1398" i="22"/>
  <c r="H1398" i="22"/>
  <c r="K1398" i="22" s="1"/>
  <c r="L1397" i="22"/>
  <c r="H1397" i="22"/>
  <c r="K1397" i="22" s="1"/>
  <c r="L1396" i="22"/>
  <c r="H1396" i="22"/>
  <c r="K1396" i="22" s="1"/>
  <c r="L1395" i="22"/>
  <c r="H1395" i="22"/>
  <c r="K1395" i="22" s="1"/>
  <c r="L1394" i="22"/>
  <c r="H1394" i="22"/>
  <c r="K1394" i="22" s="1"/>
  <c r="L1393" i="22"/>
  <c r="H1393" i="22"/>
  <c r="K1393" i="22" s="1"/>
  <c r="L1392" i="22"/>
  <c r="H1392" i="22"/>
  <c r="K1392" i="22" s="1"/>
  <c r="L1391" i="22"/>
  <c r="H1391" i="22"/>
  <c r="K1391" i="22" s="1"/>
  <c r="L1390" i="22"/>
  <c r="H1390" i="22"/>
  <c r="K1390" i="22" s="1"/>
  <c r="L1389" i="22"/>
  <c r="H1389" i="22"/>
  <c r="K1389" i="22" s="1"/>
  <c r="L1388" i="22"/>
  <c r="H1388" i="22"/>
  <c r="K1388" i="22" s="1"/>
  <c r="L1387" i="22"/>
  <c r="H1387" i="22"/>
  <c r="K1387" i="22" s="1"/>
  <c r="L1386" i="22"/>
  <c r="H1386" i="22"/>
  <c r="K1386" i="22" s="1"/>
  <c r="L1385" i="22"/>
  <c r="H1385" i="22"/>
  <c r="K1385" i="22" s="1"/>
  <c r="L1384" i="22"/>
  <c r="H1384" i="22"/>
  <c r="K1384" i="22" s="1"/>
  <c r="L1383" i="22"/>
  <c r="H1383" i="22"/>
  <c r="K1383" i="22" s="1"/>
  <c r="L1382" i="22"/>
  <c r="H1382" i="22"/>
  <c r="K1382" i="22" s="1"/>
  <c r="L1381" i="22"/>
  <c r="H1381" i="22"/>
  <c r="K1381" i="22" s="1"/>
  <c r="L1380" i="22"/>
  <c r="H1380" i="22"/>
  <c r="K1380" i="22" s="1"/>
  <c r="L1379" i="22"/>
  <c r="H1379" i="22"/>
  <c r="K1379" i="22" s="1"/>
  <c r="L1378" i="22"/>
  <c r="H1378" i="22"/>
  <c r="K1378" i="22" s="1"/>
  <c r="L1377" i="22"/>
  <c r="H1377" i="22"/>
  <c r="K1377" i="22" s="1"/>
  <c r="L1376" i="22"/>
  <c r="H1376" i="22"/>
  <c r="K1376" i="22" s="1"/>
  <c r="L1375" i="22"/>
  <c r="H1375" i="22"/>
  <c r="K1375" i="22" s="1"/>
  <c r="L1374" i="22"/>
  <c r="H1374" i="22"/>
  <c r="K1374" i="22" s="1"/>
  <c r="L1373" i="22"/>
  <c r="H1373" i="22"/>
  <c r="K1373" i="22" s="1"/>
  <c r="L1372" i="22"/>
  <c r="H1372" i="22"/>
  <c r="K1372" i="22" s="1"/>
  <c r="L1371" i="22"/>
  <c r="H1371" i="22"/>
  <c r="K1371" i="22" s="1"/>
  <c r="L1370" i="22"/>
  <c r="H1370" i="22"/>
  <c r="K1370" i="22" s="1"/>
  <c r="L1369" i="22"/>
  <c r="H1369" i="22"/>
  <c r="K1369" i="22" s="1"/>
  <c r="L1368" i="22"/>
  <c r="H1368" i="22"/>
  <c r="K1368" i="22" s="1"/>
  <c r="L1367" i="22"/>
  <c r="H1367" i="22"/>
  <c r="K1367" i="22" s="1"/>
  <c r="L1366" i="22"/>
  <c r="H1366" i="22"/>
  <c r="K1366" i="22" s="1"/>
  <c r="L1365" i="22"/>
  <c r="H1365" i="22"/>
  <c r="K1365" i="22" s="1"/>
  <c r="L1364" i="22"/>
  <c r="H1364" i="22"/>
  <c r="K1364" i="22" s="1"/>
  <c r="L1363" i="22"/>
  <c r="H1363" i="22"/>
  <c r="K1363" i="22" s="1"/>
  <c r="L1362" i="22"/>
  <c r="H1362" i="22"/>
  <c r="K1362" i="22" s="1"/>
  <c r="L1361" i="22"/>
  <c r="H1361" i="22"/>
  <c r="K1361" i="22" s="1"/>
  <c r="L1360" i="22"/>
  <c r="H1360" i="22"/>
  <c r="K1360" i="22" s="1"/>
  <c r="L1359" i="22"/>
  <c r="H1359" i="22"/>
  <c r="K1359" i="22" s="1"/>
  <c r="L1358" i="22"/>
  <c r="H1358" i="22"/>
  <c r="K1358" i="22" s="1"/>
  <c r="L1357" i="22"/>
  <c r="H1357" i="22"/>
  <c r="K1357" i="22" s="1"/>
  <c r="L1356" i="22"/>
  <c r="H1356" i="22"/>
  <c r="K1356" i="22" s="1"/>
  <c r="L1355" i="22"/>
  <c r="H1355" i="22"/>
  <c r="K1355" i="22" s="1"/>
  <c r="L1354" i="22"/>
  <c r="H1354" i="22"/>
  <c r="K1354" i="22" s="1"/>
  <c r="L1353" i="22"/>
  <c r="H1353" i="22"/>
  <c r="K1353" i="22" s="1"/>
  <c r="L1352" i="22"/>
  <c r="H1352" i="22"/>
  <c r="K1352" i="22" s="1"/>
  <c r="L1351" i="22"/>
  <c r="H1351" i="22"/>
  <c r="K1351" i="22" s="1"/>
  <c r="L1350" i="22"/>
  <c r="H1350" i="22"/>
  <c r="K1350" i="22" s="1"/>
  <c r="L1349" i="22"/>
  <c r="H1349" i="22"/>
  <c r="K1349" i="22" s="1"/>
  <c r="L1348" i="22"/>
  <c r="H1348" i="22"/>
  <c r="K1348" i="22" s="1"/>
  <c r="L1347" i="22"/>
  <c r="H1347" i="22"/>
  <c r="K1347" i="22" s="1"/>
  <c r="L1346" i="22"/>
  <c r="H1346" i="22"/>
  <c r="K1346" i="22" s="1"/>
  <c r="L1345" i="22"/>
  <c r="H1345" i="22"/>
  <c r="K1345" i="22" s="1"/>
  <c r="L1344" i="22"/>
  <c r="H1344" i="22"/>
  <c r="K1344" i="22" s="1"/>
  <c r="L1343" i="22"/>
  <c r="H1343" i="22"/>
  <c r="K1343" i="22" s="1"/>
  <c r="L1342" i="22"/>
  <c r="H1342" i="22"/>
  <c r="K1342" i="22" s="1"/>
  <c r="L1341" i="22"/>
  <c r="H1341" i="22"/>
  <c r="K1341" i="22" s="1"/>
  <c r="L1340" i="22"/>
  <c r="H1340" i="22"/>
  <c r="K1340" i="22" s="1"/>
  <c r="L1339" i="22"/>
  <c r="H1339" i="22"/>
  <c r="K1339" i="22" s="1"/>
  <c r="L1338" i="22"/>
  <c r="H1338" i="22"/>
  <c r="K1338" i="22" s="1"/>
  <c r="L1337" i="22"/>
  <c r="H1337" i="22"/>
  <c r="K1337" i="22" s="1"/>
  <c r="L1336" i="22"/>
  <c r="H1336" i="22"/>
  <c r="K1336" i="22" s="1"/>
  <c r="L1335" i="22"/>
  <c r="H1335" i="22"/>
  <c r="K1335" i="22" s="1"/>
  <c r="L1334" i="22"/>
  <c r="H1334" i="22"/>
  <c r="K1334" i="22" s="1"/>
  <c r="L1333" i="22"/>
  <c r="H1333" i="22"/>
  <c r="K1333" i="22" s="1"/>
  <c r="L1332" i="22"/>
  <c r="H1332" i="22"/>
  <c r="K1332" i="22" s="1"/>
  <c r="L1331" i="22"/>
  <c r="H1331" i="22"/>
  <c r="K1331" i="22" s="1"/>
  <c r="L1330" i="22"/>
  <c r="H1330" i="22"/>
  <c r="K1330" i="22" s="1"/>
  <c r="L1329" i="22"/>
  <c r="H1329" i="22"/>
  <c r="K1329" i="22" s="1"/>
  <c r="L1328" i="22"/>
  <c r="H1328" i="22"/>
  <c r="K1328" i="22" s="1"/>
  <c r="L1327" i="22"/>
  <c r="H1327" i="22"/>
  <c r="K1327" i="22" s="1"/>
  <c r="L1326" i="22"/>
  <c r="H1326" i="22"/>
  <c r="K1326" i="22" s="1"/>
  <c r="L1325" i="22"/>
  <c r="H1325" i="22"/>
  <c r="K1325" i="22" s="1"/>
  <c r="L1324" i="22"/>
  <c r="H1324" i="22"/>
  <c r="K1324" i="22" s="1"/>
  <c r="L1323" i="22"/>
  <c r="H1323" i="22"/>
  <c r="K1323" i="22" s="1"/>
  <c r="L1322" i="22"/>
  <c r="H1322" i="22"/>
  <c r="K1322" i="22" s="1"/>
  <c r="L1321" i="22"/>
  <c r="H1321" i="22"/>
  <c r="K1321" i="22" s="1"/>
  <c r="L1320" i="22"/>
  <c r="H1320" i="22"/>
  <c r="K1320" i="22" s="1"/>
  <c r="L1319" i="22"/>
  <c r="H1319" i="22"/>
  <c r="K1319" i="22" s="1"/>
  <c r="L1318" i="22"/>
  <c r="H1318" i="22"/>
  <c r="K1318" i="22" s="1"/>
  <c r="L1317" i="22"/>
  <c r="H1317" i="22"/>
  <c r="K1317" i="22" s="1"/>
  <c r="L1316" i="22"/>
  <c r="H1316" i="22"/>
  <c r="K1316" i="22" s="1"/>
  <c r="L1315" i="22"/>
  <c r="H1315" i="22"/>
  <c r="K1315" i="22" s="1"/>
  <c r="L1314" i="22"/>
  <c r="H1314" i="22"/>
  <c r="K1314" i="22" s="1"/>
  <c r="L1313" i="22"/>
  <c r="H1313" i="22"/>
  <c r="K1313" i="22" s="1"/>
  <c r="L1312" i="22"/>
  <c r="H1312" i="22"/>
  <c r="K1312" i="22" s="1"/>
  <c r="L1311" i="22"/>
  <c r="H1311" i="22"/>
  <c r="K1311" i="22" s="1"/>
  <c r="L1310" i="22"/>
  <c r="H1310" i="22"/>
  <c r="K1310" i="22" s="1"/>
  <c r="L1309" i="22"/>
  <c r="H1309" i="22"/>
  <c r="K1309" i="22" s="1"/>
  <c r="L1308" i="22"/>
  <c r="H1308" i="22"/>
  <c r="K1308" i="22" s="1"/>
  <c r="L1307" i="22"/>
  <c r="H1307" i="22"/>
  <c r="K1307" i="22" s="1"/>
  <c r="L1306" i="22"/>
  <c r="H1306" i="22"/>
  <c r="K1306" i="22" s="1"/>
  <c r="L1305" i="22"/>
  <c r="H1305" i="22"/>
  <c r="K1305" i="22" s="1"/>
  <c r="L1304" i="22"/>
  <c r="H1304" i="22"/>
  <c r="K1304" i="22" s="1"/>
  <c r="L1303" i="22"/>
  <c r="H1303" i="22"/>
  <c r="K1303" i="22" s="1"/>
  <c r="L1302" i="22"/>
  <c r="H1302" i="22"/>
  <c r="K1302" i="22" s="1"/>
  <c r="L1301" i="22"/>
  <c r="H1301" i="22"/>
  <c r="K1301" i="22" s="1"/>
  <c r="L1300" i="22"/>
  <c r="H1300" i="22"/>
  <c r="K1300" i="22" s="1"/>
  <c r="L1299" i="22"/>
  <c r="H1299" i="22"/>
  <c r="K1299" i="22" s="1"/>
  <c r="L1298" i="22"/>
  <c r="H1298" i="22"/>
  <c r="K1298" i="22" s="1"/>
  <c r="L1297" i="22"/>
  <c r="H1297" i="22"/>
  <c r="K1297" i="22" s="1"/>
  <c r="L1296" i="22"/>
  <c r="H1296" i="22"/>
  <c r="K1296" i="22" s="1"/>
  <c r="L1295" i="22"/>
  <c r="H1295" i="22"/>
  <c r="K1295" i="22" s="1"/>
  <c r="L1294" i="22"/>
  <c r="H1294" i="22"/>
  <c r="K1294" i="22" s="1"/>
  <c r="L1293" i="22"/>
  <c r="H1293" i="22"/>
  <c r="K1293" i="22" s="1"/>
  <c r="L1292" i="22"/>
  <c r="H1292" i="22"/>
  <c r="K1292" i="22" s="1"/>
  <c r="L1291" i="22"/>
  <c r="H1291" i="22"/>
  <c r="K1291" i="22" s="1"/>
  <c r="L1290" i="22"/>
  <c r="H1290" i="22"/>
  <c r="K1290" i="22" s="1"/>
  <c r="L1289" i="22"/>
  <c r="H1289" i="22"/>
  <c r="K1289" i="22" s="1"/>
  <c r="L1288" i="22"/>
  <c r="H1288" i="22"/>
  <c r="K1288" i="22" s="1"/>
  <c r="L1287" i="22"/>
  <c r="H1287" i="22"/>
  <c r="K1287" i="22" s="1"/>
  <c r="L1286" i="22"/>
  <c r="H1286" i="22"/>
  <c r="K1286" i="22" s="1"/>
  <c r="L1285" i="22"/>
  <c r="H1285" i="22"/>
  <c r="K1285" i="22" s="1"/>
  <c r="L1284" i="22"/>
  <c r="H1284" i="22"/>
  <c r="K1284" i="22" s="1"/>
  <c r="L1283" i="22"/>
  <c r="H1283" i="22"/>
  <c r="K1283" i="22" s="1"/>
  <c r="L1282" i="22"/>
  <c r="H1282" i="22"/>
  <c r="K1282" i="22" s="1"/>
  <c r="L1281" i="22"/>
  <c r="H1281" i="22"/>
  <c r="K1281" i="22" s="1"/>
  <c r="L1280" i="22"/>
  <c r="H1280" i="22"/>
  <c r="K1280" i="22" s="1"/>
  <c r="L1279" i="22"/>
  <c r="H1279" i="22"/>
  <c r="K1279" i="22" s="1"/>
  <c r="L1278" i="22"/>
  <c r="H1278" i="22"/>
  <c r="K1278" i="22" s="1"/>
  <c r="L1277" i="22"/>
  <c r="H1277" i="22"/>
  <c r="K1277" i="22" s="1"/>
  <c r="L1276" i="22"/>
  <c r="H1276" i="22"/>
  <c r="K1276" i="22" s="1"/>
  <c r="L1275" i="22"/>
  <c r="H1275" i="22"/>
  <c r="K1275" i="22" s="1"/>
  <c r="L1274" i="22"/>
  <c r="H1274" i="22"/>
  <c r="K1274" i="22" s="1"/>
  <c r="L1273" i="22"/>
  <c r="H1273" i="22"/>
  <c r="K1273" i="22" s="1"/>
  <c r="L1272" i="22"/>
  <c r="H1272" i="22"/>
  <c r="K1272" i="22" s="1"/>
  <c r="L1271" i="22"/>
  <c r="H1271" i="22"/>
  <c r="K1271" i="22" s="1"/>
  <c r="L1270" i="22"/>
  <c r="H1270" i="22"/>
  <c r="K1270" i="22" s="1"/>
  <c r="L1269" i="22"/>
  <c r="H1269" i="22"/>
  <c r="K1269" i="22" s="1"/>
  <c r="L1268" i="22"/>
  <c r="H1268" i="22"/>
  <c r="K1268" i="22" s="1"/>
  <c r="L1267" i="22"/>
  <c r="H1267" i="22"/>
  <c r="K1267" i="22" s="1"/>
  <c r="L1266" i="22"/>
  <c r="H1266" i="22"/>
  <c r="K1266" i="22" s="1"/>
  <c r="L1265" i="22"/>
  <c r="H1265" i="22"/>
  <c r="K1265" i="22" s="1"/>
  <c r="L1264" i="22"/>
  <c r="H1264" i="22"/>
  <c r="K1264" i="22" s="1"/>
  <c r="L1263" i="22"/>
  <c r="H1263" i="22"/>
  <c r="K1263" i="22" s="1"/>
  <c r="L1262" i="22"/>
  <c r="H1262" i="22"/>
  <c r="K1262" i="22" s="1"/>
  <c r="L1261" i="22"/>
  <c r="H1261" i="22"/>
  <c r="K1261" i="22" s="1"/>
  <c r="L1260" i="22"/>
  <c r="H1260" i="22"/>
  <c r="K1260" i="22" s="1"/>
  <c r="L1259" i="22"/>
  <c r="H1259" i="22"/>
  <c r="K1259" i="22" s="1"/>
  <c r="L1258" i="22"/>
  <c r="H1258" i="22"/>
  <c r="K1258" i="22" s="1"/>
  <c r="L1257" i="22"/>
  <c r="H1257" i="22"/>
  <c r="K1257" i="22" s="1"/>
  <c r="L1256" i="22"/>
  <c r="H1256" i="22"/>
  <c r="K1256" i="22" s="1"/>
  <c r="L1255" i="22"/>
  <c r="H1255" i="22"/>
  <c r="K1255" i="22" s="1"/>
  <c r="L1254" i="22"/>
  <c r="H1254" i="22"/>
  <c r="K1254" i="22" s="1"/>
  <c r="L1253" i="22"/>
  <c r="H1253" i="22"/>
  <c r="K1253" i="22" s="1"/>
  <c r="L1252" i="22"/>
  <c r="H1252" i="22"/>
  <c r="K1252" i="22" s="1"/>
  <c r="L1251" i="22"/>
  <c r="H1251" i="22"/>
  <c r="K1251" i="22" s="1"/>
  <c r="L1250" i="22"/>
  <c r="H1250" i="22"/>
  <c r="K1250" i="22" s="1"/>
  <c r="L1249" i="22"/>
  <c r="H1249" i="22"/>
  <c r="K1249" i="22" s="1"/>
  <c r="L1248" i="22"/>
  <c r="H1248" i="22"/>
  <c r="K1248" i="22" s="1"/>
  <c r="L1247" i="22"/>
  <c r="H1247" i="22"/>
  <c r="K1247" i="22" s="1"/>
  <c r="L1246" i="22"/>
  <c r="H1246" i="22"/>
  <c r="K1246" i="22" s="1"/>
  <c r="L1245" i="22"/>
  <c r="H1245" i="22"/>
  <c r="K1245" i="22" s="1"/>
  <c r="L1244" i="22"/>
  <c r="H1244" i="22"/>
  <c r="K1244" i="22" s="1"/>
  <c r="L1243" i="22"/>
  <c r="H1243" i="22"/>
  <c r="K1243" i="22" s="1"/>
  <c r="L1242" i="22"/>
  <c r="H1242" i="22"/>
  <c r="K1242" i="22" s="1"/>
  <c r="L1241" i="22"/>
  <c r="H1241" i="22"/>
  <c r="K1241" i="22" s="1"/>
  <c r="L1240" i="22"/>
  <c r="H1240" i="22"/>
  <c r="K1240" i="22" s="1"/>
  <c r="L1239" i="22"/>
  <c r="H1239" i="22"/>
  <c r="K1239" i="22" s="1"/>
  <c r="L1238" i="22"/>
  <c r="H1238" i="22"/>
  <c r="K1238" i="22" s="1"/>
  <c r="L1237" i="22"/>
  <c r="H1237" i="22"/>
  <c r="K1237" i="22" s="1"/>
  <c r="L1236" i="22"/>
  <c r="H1236" i="22"/>
  <c r="K1236" i="22" s="1"/>
  <c r="L1235" i="22"/>
  <c r="H1235" i="22"/>
  <c r="K1235" i="22" s="1"/>
  <c r="L1234" i="22"/>
  <c r="H1234" i="22"/>
  <c r="K1234" i="22" s="1"/>
  <c r="L1233" i="22"/>
  <c r="H1233" i="22"/>
  <c r="K1233" i="22" s="1"/>
  <c r="L1232" i="22"/>
  <c r="H1232" i="22"/>
  <c r="K1232" i="22" s="1"/>
  <c r="L1231" i="22"/>
  <c r="H1231" i="22"/>
  <c r="K1231" i="22" s="1"/>
  <c r="L1230" i="22"/>
  <c r="H1230" i="22"/>
  <c r="K1230" i="22" s="1"/>
  <c r="L1229" i="22"/>
  <c r="H1229" i="22"/>
  <c r="K1229" i="22" s="1"/>
  <c r="L1228" i="22"/>
  <c r="H1228" i="22"/>
  <c r="K1228" i="22" s="1"/>
  <c r="L1227" i="22"/>
  <c r="H1227" i="22"/>
  <c r="K1227" i="22" s="1"/>
  <c r="L1226" i="22"/>
  <c r="H1226" i="22"/>
  <c r="K1226" i="22" s="1"/>
  <c r="L1225" i="22"/>
  <c r="H1225" i="22"/>
  <c r="K1225" i="22" s="1"/>
  <c r="L1224" i="22"/>
  <c r="H1224" i="22"/>
  <c r="K1224" i="22" s="1"/>
  <c r="L1223" i="22"/>
  <c r="H1223" i="22"/>
  <c r="K1223" i="22" s="1"/>
  <c r="L1222" i="22"/>
  <c r="H1222" i="22"/>
  <c r="K1222" i="22" s="1"/>
  <c r="L1221" i="22"/>
  <c r="H1221" i="22"/>
  <c r="K1221" i="22" s="1"/>
  <c r="L1220" i="22"/>
  <c r="H1220" i="22"/>
  <c r="K1220" i="22" s="1"/>
  <c r="L1219" i="22"/>
  <c r="H1219" i="22"/>
  <c r="K1219" i="22" s="1"/>
  <c r="L1218" i="22"/>
  <c r="H1218" i="22"/>
  <c r="K1218" i="22" s="1"/>
  <c r="L1217" i="22"/>
  <c r="H1217" i="22"/>
  <c r="K1217" i="22" s="1"/>
  <c r="L1216" i="22"/>
  <c r="H1216" i="22"/>
  <c r="K1216" i="22" s="1"/>
  <c r="L1215" i="22"/>
  <c r="H1215" i="22"/>
  <c r="K1215" i="22" s="1"/>
  <c r="L1214" i="22"/>
  <c r="H1214" i="22"/>
  <c r="K1214" i="22" s="1"/>
  <c r="L1213" i="22"/>
  <c r="H1213" i="22"/>
  <c r="K1213" i="22" s="1"/>
  <c r="L1212" i="22"/>
  <c r="H1212" i="22"/>
  <c r="K1212" i="22" s="1"/>
  <c r="L1211" i="22"/>
  <c r="H1211" i="22"/>
  <c r="K1211" i="22" s="1"/>
  <c r="L1210" i="22"/>
  <c r="H1210" i="22"/>
  <c r="K1210" i="22" s="1"/>
  <c r="L1209" i="22"/>
  <c r="H1209" i="22"/>
  <c r="K1209" i="22" s="1"/>
  <c r="L1208" i="22"/>
  <c r="H1208" i="22"/>
  <c r="K1208" i="22" s="1"/>
  <c r="L1207" i="22"/>
  <c r="H1207" i="22"/>
  <c r="K1207" i="22" s="1"/>
  <c r="L1206" i="22"/>
  <c r="H1206" i="22"/>
  <c r="K1206" i="22" s="1"/>
  <c r="L1205" i="22"/>
  <c r="H1205" i="22"/>
  <c r="K1205" i="22" s="1"/>
  <c r="L1204" i="22"/>
  <c r="H1204" i="22"/>
  <c r="K1204" i="22" s="1"/>
  <c r="L1203" i="22"/>
  <c r="H1203" i="22"/>
  <c r="K1203" i="22" s="1"/>
  <c r="L1202" i="22"/>
  <c r="H1202" i="22"/>
  <c r="K1202" i="22" s="1"/>
  <c r="L1201" i="22"/>
  <c r="H1201" i="22"/>
  <c r="K1201" i="22" s="1"/>
  <c r="L1200" i="22"/>
  <c r="H1200" i="22"/>
  <c r="K1200" i="22" s="1"/>
  <c r="L1199" i="22"/>
  <c r="H1199" i="22"/>
  <c r="K1199" i="22" s="1"/>
  <c r="L1198" i="22"/>
  <c r="H1198" i="22"/>
  <c r="K1198" i="22" s="1"/>
  <c r="L1197" i="22"/>
  <c r="H1197" i="22"/>
  <c r="K1197" i="22" s="1"/>
  <c r="L1196" i="22"/>
  <c r="H1196" i="22"/>
  <c r="K1196" i="22" s="1"/>
  <c r="L1195" i="22"/>
  <c r="H1195" i="22"/>
  <c r="K1195" i="22" s="1"/>
  <c r="L1194" i="22"/>
  <c r="H1194" i="22"/>
  <c r="K1194" i="22" s="1"/>
  <c r="L1193" i="22"/>
  <c r="H1193" i="22"/>
  <c r="K1193" i="22" s="1"/>
  <c r="L1192" i="22"/>
  <c r="H1192" i="22"/>
  <c r="K1192" i="22" s="1"/>
  <c r="L1191" i="22"/>
  <c r="H1191" i="22"/>
  <c r="K1191" i="22" s="1"/>
  <c r="L1190" i="22"/>
  <c r="H1190" i="22"/>
  <c r="K1190" i="22" s="1"/>
  <c r="L1189" i="22"/>
  <c r="H1189" i="22"/>
  <c r="K1189" i="22" s="1"/>
  <c r="L1188" i="22"/>
  <c r="H1188" i="22"/>
  <c r="K1188" i="22" s="1"/>
  <c r="L1187" i="22"/>
  <c r="H1187" i="22"/>
  <c r="K1187" i="22" s="1"/>
  <c r="L1186" i="22"/>
  <c r="H1186" i="22"/>
  <c r="K1186" i="22" s="1"/>
  <c r="L1185" i="22"/>
  <c r="H1185" i="22"/>
  <c r="K1185" i="22" s="1"/>
  <c r="L1184" i="22"/>
  <c r="H1184" i="22"/>
  <c r="K1184" i="22" s="1"/>
  <c r="L1183" i="22"/>
  <c r="H1183" i="22"/>
  <c r="K1183" i="22" s="1"/>
  <c r="L1182" i="22"/>
  <c r="H1182" i="22"/>
  <c r="K1182" i="22" s="1"/>
  <c r="L1181" i="22"/>
  <c r="H1181" i="22"/>
  <c r="K1181" i="22" s="1"/>
  <c r="L1180" i="22"/>
  <c r="H1180" i="22"/>
  <c r="K1180" i="22" s="1"/>
  <c r="L1179" i="22"/>
  <c r="H1179" i="22"/>
  <c r="K1179" i="22" s="1"/>
  <c r="L1178" i="22"/>
  <c r="H1178" i="22"/>
  <c r="K1178" i="22" s="1"/>
  <c r="L1177" i="22"/>
  <c r="H1177" i="22"/>
  <c r="K1177" i="22" s="1"/>
  <c r="L1176" i="22"/>
  <c r="H1176" i="22"/>
  <c r="K1176" i="22" s="1"/>
  <c r="L1175" i="22"/>
  <c r="H1175" i="22"/>
  <c r="K1175" i="22" s="1"/>
  <c r="L1174" i="22"/>
  <c r="H1174" i="22"/>
  <c r="K1174" i="22" s="1"/>
  <c r="L1173" i="22"/>
  <c r="H1173" i="22"/>
  <c r="K1173" i="22" s="1"/>
  <c r="L1172" i="22"/>
  <c r="H1172" i="22"/>
  <c r="K1172" i="22" s="1"/>
  <c r="L1171" i="22"/>
  <c r="H1171" i="22"/>
  <c r="K1171" i="22" s="1"/>
  <c r="L1170" i="22"/>
  <c r="H1170" i="22"/>
  <c r="K1170" i="22" s="1"/>
  <c r="L1169" i="22"/>
  <c r="H1169" i="22"/>
  <c r="K1169" i="22" s="1"/>
  <c r="L1168" i="22"/>
  <c r="H1168" i="22"/>
  <c r="K1168" i="22" s="1"/>
  <c r="L1167" i="22"/>
  <c r="H1167" i="22"/>
  <c r="K1167" i="22" s="1"/>
  <c r="L1166" i="22"/>
  <c r="H1166" i="22"/>
  <c r="K1166" i="22" s="1"/>
  <c r="L1165" i="22"/>
  <c r="H1165" i="22"/>
  <c r="K1165" i="22" s="1"/>
  <c r="L1164" i="22"/>
  <c r="H1164" i="22"/>
  <c r="K1164" i="22" s="1"/>
  <c r="L1163" i="22"/>
  <c r="H1163" i="22"/>
  <c r="K1163" i="22" s="1"/>
  <c r="L1162" i="22"/>
  <c r="H1162" i="22"/>
  <c r="K1162" i="22" s="1"/>
  <c r="L1161" i="22"/>
  <c r="H1161" i="22"/>
  <c r="K1161" i="22" s="1"/>
  <c r="L1160" i="22"/>
  <c r="H1160" i="22"/>
  <c r="K1160" i="22" s="1"/>
  <c r="L1159" i="22"/>
  <c r="H1159" i="22"/>
  <c r="K1159" i="22" s="1"/>
  <c r="L1158" i="22"/>
  <c r="H1158" i="22"/>
  <c r="K1158" i="22" s="1"/>
  <c r="L1157" i="22"/>
  <c r="H1157" i="22"/>
  <c r="K1157" i="22" s="1"/>
  <c r="L1156" i="22"/>
  <c r="H1156" i="22"/>
  <c r="K1156" i="22" s="1"/>
  <c r="L1155" i="22"/>
  <c r="H1155" i="22"/>
  <c r="K1155" i="22" s="1"/>
  <c r="L1154" i="22"/>
  <c r="H1154" i="22"/>
  <c r="K1154" i="22" s="1"/>
  <c r="L1153" i="22"/>
  <c r="H1153" i="22"/>
  <c r="K1153" i="22" s="1"/>
  <c r="L1152" i="22"/>
  <c r="H1152" i="22"/>
  <c r="K1152" i="22" s="1"/>
  <c r="L1151" i="22"/>
  <c r="H1151" i="22"/>
  <c r="K1151" i="22" s="1"/>
  <c r="L1150" i="22"/>
  <c r="H1150" i="22"/>
  <c r="K1150" i="22" s="1"/>
  <c r="L1149" i="22"/>
  <c r="H1149" i="22"/>
  <c r="K1149" i="22" s="1"/>
  <c r="L1148" i="22"/>
  <c r="H1148" i="22"/>
  <c r="K1148" i="22" s="1"/>
  <c r="L1147" i="22"/>
  <c r="H1147" i="22"/>
  <c r="K1147" i="22" s="1"/>
  <c r="L1146" i="22"/>
  <c r="H1146" i="22"/>
  <c r="K1146" i="22" s="1"/>
  <c r="L1145" i="22"/>
  <c r="H1145" i="22"/>
  <c r="K1145" i="22" s="1"/>
  <c r="L1144" i="22"/>
  <c r="H1144" i="22"/>
  <c r="K1144" i="22" s="1"/>
  <c r="L1143" i="22"/>
  <c r="H1143" i="22"/>
  <c r="K1143" i="22" s="1"/>
  <c r="L1142" i="22"/>
  <c r="H1142" i="22"/>
  <c r="K1142" i="22" s="1"/>
  <c r="L1141" i="22"/>
  <c r="H1141" i="22"/>
  <c r="K1141" i="22" s="1"/>
  <c r="L1140" i="22"/>
  <c r="H1140" i="22"/>
  <c r="K1140" i="22" s="1"/>
  <c r="L1139" i="22"/>
  <c r="H1139" i="22"/>
  <c r="K1139" i="22" s="1"/>
  <c r="L1138" i="22"/>
  <c r="H1138" i="22"/>
  <c r="K1138" i="22" s="1"/>
  <c r="L1137" i="22"/>
  <c r="H1137" i="22"/>
  <c r="K1137" i="22" s="1"/>
  <c r="L1136" i="22"/>
  <c r="H1136" i="22"/>
  <c r="K1136" i="22" s="1"/>
  <c r="L1135" i="22"/>
  <c r="H1135" i="22"/>
  <c r="K1135" i="22" s="1"/>
  <c r="L1134" i="22"/>
  <c r="H1134" i="22"/>
  <c r="K1134" i="22" s="1"/>
  <c r="L1133" i="22"/>
  <c r="H1133" i="22"/>
  <c r="K1133" i="22" s="1"/>
  <c r="L1132" i="22"/>
  <c r="H1132" i="22"/>
  <c r="K1132" i="22" s="1"/>
  <c r="L1131" i="22"/>
  <c r="H1131" i="22"/>
  <c r="K1131" i="22" s="1"/>
  <c r="L1130" i="22"/>
  <c r="H1130" i="22"/>
  <c r="K1130" i="22" s="1"/>
  <c r="L1129" i="22"/>
  <c r="H1129" i="22"/>
  <c r="K1129" i="22" s="1"/>
  <c r="L1128" i="22"/>
  <c r="H1128" i="22"/>
  <c r="K1128" i="22" s="1"/>
  <c r="L1127" i="22"/>
  <c r="H1127" i="22"/>
  <c r="K1127" i="22" s="1"/>
  <c r="L1126" i="22"/>
  <c r="H1126" i="22"/>
  <c r="K1126" i="22" s="1"/>
  <c r="L1125" i="22"/>
  <c r="H1125" i="22"/>
  <c r="K1125" i="22" s="1"/>
  <c r="L1124" i="22"/>
  <c r="H1124" i="22"/>
  <c r="K1124" i="22" s="1"/>
  <c r="L1123" i="22"/>
  <c r="H1123" i="22"/>
  <c r="K1123" i="22" s="1"/>
  <c r="L1122" i="22"/>
  <c r="H1122" i="22"/>
  <c r="K1122" i="22" s="1"/>
  <c r="L1121" i="22"/>
  <c r="H1121" i="22"/>
  <c r="K1121" i="22" s="1"/>
  <c r="L1120" i="22"/>
  <c r="H1120" i="22"/>
  <c r="K1120" i="22" s="1"/>
  <c r="L1119" i="22"/>
  <c r="H1119" i="22"/>
  <c r="K1119" i="22" s="1"/>
  <c r="L1118" i="22"/>
  <c r="H1118" i="22"/>
  <c r="K1118" i="22" s="1"/>
  <c r="L1117" i="22"/>
  <c r="H1117" i="22"/>
  <c r="K1117" i="22" s="1"/>
  <c r="L1116" i="22"/>
  <c r="H1116" i="22"/>
  <c r="K1116" i="22" s="1"/>
  <c r="L1115" i="22"/>
  <c r="H1115" i="22"/>
  <c r="K1115" i="22" s="1"/>
  <c r="L1114" i="22"/>
  <c r="H1114" i="22"/>
  <c r="K1114" i="22" s="1"/>
  <c r="L1113" i="22"/>
  <c r="H1113" i="22"/>
  <c r="K1113" i="22" s="1"/>
  <c r="L1112" i="22"/>
  <c r="H1112" i="22"/>
  <c r="K1112" i="22" s="1"/>
  <c r="L1111" i="22"/>
  <c r="H1111" i="22"/>
  <c r="K1111" i="22" s="1"/>
  <c r="L1110" i="22"/>
  <c r="H1110" i="22"/>
  <c r="K1110" i="22" s="1"/>
  <c r="L1109" i="22"/>
  <c r="H1109" i="22"/>
  <c r="K1109" i="22" s="1"/>
  <c r="L1108" i="22"/>
  <c r="H1108" i="22"/>
  <c r="K1108" i="22" s="1"/>
  <c r="L1107" i="22"/>
  <c r="H1107" i="22"/>
  <c r="K1107" i="22" s="1"/>
  <c r="L1106" i="22"/>
  <c r="H1106" i="22"/>
  <c r="K1106" i="22" s="1"/>
  <c r="L1105" i="22"/>
  <c r="H1105" i="22"/>
  <c r="K1105" i="22" s="1"/>
  <c r="L1104" i="22"/>
  <c r="H1104" i="22"/>
  <c r="K1104" i="22" s="1"/>
  <c r="L1103" i="22"/>
  <c r="H1103" i="22"/>
  <c r="K1103" i="22" s="1"/>
  <c r="L1102" i="22"/>
  <c r="H1102" i="22"/>
  <c r="K1102" i="22" s="1"/>
  <c r="L1101" i="22"/>
  <c r="H1101" i="22"/>
  <c r="K1101" i="22" s="1"/>
  <c r="L1100" i="22"/>
  <c r="H1100" i="22"/>
  <c r="K1100" i="22" s="1"/>
  <c r="L1099" i="22"/>
  <c r="H1099" i="22"/>
  <c r="K1099" i="22" s="1"/>
  <c r="L1098" i="22"/>
  <c r="H1098" i="22"/>
  <c r="K1098" i="22" s="1"/>
  <c r="L1097" i="22"/>
  <c r="H1097" i="22"/>
  <c r="K1097" i="22" s="1"/>
  <c r="L1096" i="22"/>
  <c r="H1096" i="22"/>
  <c r="K1096" i="22" s="1"/>
  <c r="L1095" i="22"/>
  <c r="H1095" i="22"/>
  <c r="K1095" i="22" s="1"/>
  <c r="L1094" i="22"/>
  <c r="H1094" i="22"/>
  <c r="K1094" i="22" s="1"/>
  <c r="L1093" i="22"/>
  <c r="H1093" i="22"/>
  <c r="K1093" i="22" s="1"/>
  <c r="L1092" i="22"/>
  <c r="H1092" i="22"/>
  <c r="K1092" i="22" s="1"/>
  <c r="L1091" i="22"/>
  <c r="H1091" i="22"/>
  <c r="K1091" i="22" s="1"/>
  <c r="L1090" i="22"/>
  <c r="H1090" i="22"/>
  <c r="K1090" i="22" s="1"/>
  <c r="L1089" i="22"/>
  <c r="H1089" i="22"/>
  <c r="K1089" i="22" s="1"/>
  <c r="L1088" i="22"/>
  <c r="H1088" i="22"/>
  <c r="K1088" i="22" s="1"/>
  <c r="L1087" i="22"/>
  <c r="K1087" i="22"/>
  <c r="H1087" i="22"/>
  <c r="L1086" i="22"/>
  <c r="H1086" i="22"/>
  <c r="K1086" i="22" s="1"/>
  <c r="L1085" i="22"/>
  <c r="H1085" i="22"/>
  <c r="K1085" i="22" s="1"/>
  <c r="L1084" i="22"/>
  <c r="H1084" i="22"/>
  <c r="K1084" i="22" s="1"/>
  <c r="L1083" i="22"/>
  <c r="H1083" i="22"/>
  <c r="K1083" i="22" s="1"/>
  <c r="L1082" i="22"/>
  <c r="H1082" i="22"/>
  <c r="K1082" i="22" s="1"/>
  <c r="L1081" i="22"/>
  <c r="H1081" i="22"/>
  <c r="K1081" i="22" s="1"/>
  <c r="L1080" i="22"/>
  <c r="H1080" i="22"/>
  <c r="K1080" i="22" s="1"/>
  <c r="L1079" i="22"/>
  <c r="H1079" i="22"/>
  <c r="K1079" i="22" s="1"/>
  <c r="L1078" i="22"/>
  <c r="H1078" i="22"/>
  <c r="K1078" i="22" s="1"/>
  <c r="L1077" i="22"/>
  <c r="H1077" i="22"/>
  <c r="K1077" i="22" s="1"/>
  <c r="L1076" i="22"/>
  <c r="H1076" i="22"/>
  <c r="K1076" i="22" s="1"/>
  <c r="L1075" i="22"/>
  <c r="H1075" i="22"/>
  <c r="K1075" i="22" s="1"/>
  <c r="L1074" i="22"/>
  <c r="H1074" i="22"/>
  <c r="K1074" i="22" s="1"/>
  <c r="L1073" i="22"/>
  <c r="H1073" i="22"/>
  <c r="K1073" i="22" s="1"/>
  <c r="L1072" i="22"/>
  <c r="H1072" i="22"/>
  <c r="K1072" i="22" s="1"/>
  <c r="L1071" i="22"/>
  <c r="H1071" i="22"/>
  <c r="K1071" i="22" s="1"/>
  <c r="L1070" i="22"/>
  <c r="H1070" i="22"/>
  <c r="K1070" i="22" s="1"/>
  <c r="L1069" i="22"/>
  <c r="H1069" i="22"/>
  <c r="K1069" i="22" s="1"/>
  <c r="L1068" i="22"/>
  <c r="H1068" i="22"/>
  <c r="K1068" i="22" s="1"/>
  <c r="L1067" i="22"/>
  <c r="H1067" i="22"/>
  <c r="K1067" i="22" s="1"/>
  <c r="L1066" i="22"/>
  <c r="H1066" i="22"/>
  <c r="K1066" i="22" s="1"/>
  <c r="L1065" i="22"/>
  <c r="H1065" i="22"/>
  <c r="K1065" i="22" s="1"/>
  <c r="L1064" i="22"/>
  <c r="H1064" i="22"/>
  <c r="K1064" i="22" s="1"/>
  <c r="L1063" i="22"/>
  <c r="H1063" i="22"/>
  <c r="K1063" i="22" s="1"/>
  <c r="L1062" i="22"/>
  <c r="H1062" i="22"/>
  <c r="K1062" i="22" s="1"/>
  <c r="L1061" i="22"/>
  <c r="H1061" i="22"/>
  <c r="K1061" i="22" s="1"/>
  <c r="L1060" i="22"/>
  <c r="H1060" i="22"/>
  <c r="K1060" i="22" s="1"/>
  <c r="L1059" i="22"/>
  <c r="H1059" i="22"/>
  <c r="K1059" i="22" s="1"/>
  <c r="L1058" i="22"/>
  <c r="H1058" i="22"/>
  <c r="K1058" i="22" s="1"/>
  <c r="L1057" i="22"/>
  <c r="H1057" i="22"/>
  <c r="K1057" i="22" s="1"/>
  <c r="L1056" i="22"/>
  <c r="H1056" i="22"/>
  <c r="K1056" i="22" s="1"/>
  <c r="L1055" i="22"/>
  <c r="H1055" i="22"/>
  <c r="K1055" i="22" s="1"/>
  <c r="L1054" i="22"/>
  <c r="H1054" i="22"/>
  <c r="K1054" i="22" s="1"/>
  <c r="L1053" i="22"/>
  <c r="H1053" i="22"/>
  <c r="K1053" i="22" s="1"/>
  <c r="L1052" i="22"/>
  <c r="H1052" i="22"/>
  <c r="K1052" i="22" s="1"/>
  <c r="L1051" i="22"/>
  <c r="H1051" i="22"/>
  <c r="K1051" i="22" s="1"/>
  <c r="L1050" i="22"/>
  <c r="H1050" i="22"/>
  <c r="K1050" i="22" s="1"/>
  <c r="L1049" i="22"/>
  <c r="H1049" i="22"/>
  <c r="K1049" i="22" s="1"/>
  <c r="L1048" i="22"/>
  <c r="H1048" i="22"/>
  <c r="K1048" i="22" s="1"/>
  <c r="L1047" i="22"/>
  <c r="H1047" i="22"/>
  <c r="K1047" i="22" s="1"/>
  <c r="L1046" i="22"/>
  <c r="H1046" i="22"/>
  <c r="K1046" i="22" s="1"/>
  <c r="L1045" i="22"/>
  <c r="H1045" i="22"/>
  <c r="K1045" i="22" s="1"/>
  <c r="L1044" i="22"/>
  <c r="H1044" i="22"/>
  <c r="K1044" i="22" s="1"/>
  <c r="L1043" i="22"/>
  <c r="H1043" i="22"/>
  <c r="K1043" i="22" s="1"/>
  <c r="L1042" i="22"/>
  <c r="H1042" i="22"/>
  <c r="K1042" i="22" s="1"/>
  <c r="L1041" i="22"/>
  <c r="H1041" i="22"/>
  <c r="K1041" i="22" s="1"/>
  <c r="L1040" i="22"/>
  <c r="H1040" i="22"/>
  <c r="K1040" i="22" s="1"/>
  <c r="L1039" i="22"/>
  <c r="H1039" i="22"/>
  <c r="K1039" i="22" s="1"/>
  <c r="L1038" i="22"/>
  <c r="H1038" i="22"/>
  <c r="K1038" i="22" s="1"/>
  <c r="L1037" i="22"/>
  <c r="H1037" i="22"/>
  <c r="K1037" i="22" s="1"/>
  <c r="L1036" i="22"/>
  <c r="H1036" i="22"/>
  <c r="K1036" i="22" s="1"/>
  <c r="L1035" i="22"/>
  <c r="H1035" i="22"/>
  <c r="K1035" i="22" s="1"/>
  <c r="L1034" i="22"/>
  <c r="H1034" i="22"/>
  <c r="K1034" i="22" s="1"/>
  <c r="L1033" i="22"/>
  <c r="H1033" i="22"/>
  <c r="K1033" i="22" s="1"/>
  <c r="L1032" i="22"/>
  <c r="H1032" i="22"/>
  <c r="K1032" i="22" s="1"/>
  <c r="L1031" i="22"/>
  <c r="H1031" i="22"/>
  <c r="K1031" i="22" s="1"/>
  <c r="L1030" i="22"/>
  <c r="H1030" i="22"/>
  <c r="K1030" i="22" s="1"/>
  <c r="L1029" i="22"/>
  <c r="H1029" i="22"/>
  <c r="K1029" i="22" s="1"/>
  <c r="L1028" i="22"/>
  <c r="H1028" i="22"/>
  <c r="K1028" i="22" s="1"/>
  <c r="L1027" i="22"/>
  <c r="H1027" i="22"/>
  <c r="K1027" i="22" s="1"/>
  <c r="L1026" i="22"/>
  <c r="H1026" i="22"/>
  <c r="K1026" i="22" s="1"/>
  <c r="L1025" i="22"/>
  <c r="H1025" i="22"/>
  <c r="K1025" i="22" s="1"/>
  <c r="L1024" i="22"/>
  <c r="H1024" i="22"/>
  <c r="K1024" i="22" s="1"/>
  <c r="L1023" i="22"/>
  <c r="H1023" i="22"/>
  <c r="K1023" i="22" s="1"/>
  <c r="L1022" i="22"/>
  <c r="K1022" i="22"/>
  <c r="H1022" i="22"/>
  <c r="L1021" i="22"/>
  <c r="H1021" i="22"/>
  <c r="K1021" i="22" s="1"/>
  <c r="L1020" i="22"/>
  <c r="H1020" i="22"/>
  <c r="K1020" i="22" s="1"/>
  <c r="L1019" i="22"/>
  <c r="H1019" i="22"/>
  <c r="K1019" i="22" s="1"/>
  <c r="L1018" i="22"/>
  <c r="H1018" i="22"/>
  <c r="K1018" i="22" s="1"/>
  <c r="L1017" i="22"/>
  <c r="H1017" i="22"/>
  <c r="K1017" i="22" s="1"/>
  <c r="L1016" i="22"/>
  <c r="H1016" i="22"/>
  <c r="K1016" i="22" s="1"/>
  <c r="L1015" i="22"/>
  <c r="H1015" i="22"/>
  <c r="K1015" i="22" s="1"/>
  <c r="L1014" i="22"/>
  <c r="H1014" i="22"/>
  <c r="K1014" i="22" s="1"/>
  <c r="L1013" i="22"/>
  <c r="H1013" i="22"/>
  <c r="K1013" i="22" s="1"/>
  <c r="L1012" i="22"/>
  <c r="H1012" i="22"/>
  <c r="K1012" i="22" s="1"/>
  <c r="L1011" i="22"/>
  <c r="H1011" i="22"/>
  <c r="K1011" i="22" s="1"/>
  <c r="L1010" i="22"/>
  <c r="H1010" i="22"/>
  <c r="K1010" i="22" s="1"/>
  <c r="L1009" i="22"/>
  <c r="H1009" i="22"/>
  <c r="K1009" i="22" s="1"/>
  <c r="L1008" i="22"/>
  <c r="H1008" i="22"/>
  <c r="K1008" i="22" s="1"/>
  <c r="L1007" i="22"/>
  <c r="H1007" i="22"/>
  <c r="K1007" i="22" s="1"/>
  <c r="L1006" i="22"/>
  <c r="H1006" i="22"/>
  <c r="K1006" i="22" s="1"/>
  <c r="L1005" i="22"/>
  <c r="H1005" i="22"/>
  <c r="K1005" i="22" s="1"/>
  <c r="L1004" i="22"/>
  <c r="H1004" i="22"/>
  <c r="K1004" i="22" s="1"/>
  <c r="L1003" i="22"/>
  <c r="H1003" i="22"/>
  <c r="K1003" i="22" s="1"/>
  <c r="L1002" i="22"/>
  <c r="H1002" i="22"/>
  <c r="K1002" i="22" s="1"/>
  <c r="L1001" i="22"/>
  <c r="H1001" i="22"/>
  <c r="K1001" i="22" s="1"/>
  <c r="L1000" i="22"/>
  <c r="H1000" i="22"/>
  <c r="K1000" i="22" s="1"/>
  <c r="L999" i="22"/>
  <c r="H999" i="22"/>
  <c r="K999" i="22" s="1"/>
  <c r="L998" i="22"/>
  <c r="H998" i="22"/>
  <c r="K998" i="22" s="1"/>
  <c r="L997" i="22"/>
  <c r="H997" i="22"/>
  <c r="K997" i="22" s="1"/>
  <c r="L996" i="22"/>
  <c r="H996" i="22"/>
  <c r="K996" i="22" s="1"/>
  <c r="L995" i="22"/>
  <c r="H995" i="22"/>
  <c r="K995" i="22" s="1"/>
  <c r="L994" i="22"/>
  <c r="H994" i="22"/>
  <c r="K994" i="22" s="1"/>
  <c r="L993" i="22"/>
  <c r="H993" i="22"/>
  <c r="K993" i="22" s="1"/>
  <c r="L992" i="22"/>
  <c r="H992" i="22"/>
  <c r="K992" i="22" s="1"/>
  <c r="L991" i="22"/>
  <c r="H991" i="22"/>
  <c r="K991" i="22" s="1"/>
  <c r="L990" i="22"/>
  <c r="H990" i="22"/>
  <c r="K990" i="22" s="1"/>
  <c r="L989" i="22"/>
  <c r="H989" i="22"/>
  <c r="K989" i="22" s="1"/>
  <c r="L988" i="22"/>
  <c r="H988" i="22"/>
  <c r="K988" i="22" s="1"/>
  <c r="L987" i="22"/>
  <c r="H987" i="22"/>
  <c r="K987" i="22" s="1"/>
  <c r="L986" i="22"/>
  <c r="H986" i="22"/>
  <c r="K986" i="22" s="1"/>
  <c r="L985" i="22"/>
  <c r="H985" i="22"/>
  <c r="K985" i="22" s="1"/>
  <c r="L984" i="22"/>
  <c r="H984" i="22"/>
  <c r="K984" i="22" s="1"/>
  <c r="L983" i="22"/>
  <c r="H983" i="22"/>
  <c r="K983" i="22" s="1"/>
  <c r="L982" i="22"/>
  <c r="H982" i="22"/>
  <c r="K982" i="22" s="1"/>
  <c r="L981" i="22"/>
  <c r="H981" i="22"/>
  <c r="K981" i="22" s="1"/>
  <c r="L980" i="22"/>
  <c r="H980" i="22"/>
  <c r="K980" i="22" s="1"/>
  <c r="L979" i="22"/>
  <c r="H979" i="22"/>
  <c r="K979" i="22" s="1"/>
  <c r="L978" i="22"/>
  <c r="H978" i="22"/>
  <c r="K978" i="22" s="1"/>
  <c r="L977" i="22"/>
  <c r="H977" i="22"/>
  <c r="K977" i="22" s="1"/>
  <c r="L976" i="22"/>
  <c r="H976" i="22"/>
  <c r="K976" i="22" s="1"/>
  <c r="L975" i="22"/>
  <c r="H975" i="22"/>
  <c r="K975" i="22" s="1"/>
  <c r="L974" i="22"/>
  <c r="H974" i="22"/>
  <c r="K974" i="22" s="1"/>
  <c r="L973" i="22"/>
  <c r="H973" i="22"/>
  <c r="K973" i="22" s="1"/>
  <c r="L972" i="22"/>
  <c r="H972" i="22"/>
  <c r="K972" i="22" s="1"/>
  <c r="L971" i="22"/>
  <c r="H971" i="22"/>
  <c r="K971" i="22" s="1"/>
  <c r="L970" i="22"/>
  <c r="H970" i="22"/>
  <c r="K970" i="22" s="1"/>
  <c r="L969" i="22"/>
  <c r="H969" i="22"/>
  <c r="K969" i="22" s="1"/>
  <c r="L968" i="22"/>
  <c r="H968" i="22"/>
  <c r="K968" i="22" s="1"/>
  <c r="L967" i="22"/>
  <c r="H967" i="22"/>
  <c r="K967" i="22" s="1"/>
  <c r="L966" i="22"/>
  <c r="H966" i="22"/>
  <c r="K966" i="22" s="1"/>
  <c r="L965" i="22"/>
  <c r="H965" i="22"/>
  <c r="K965" i="22" s="1"/>
  <c r="L964" i="22"/>
  <c r="H964" i="22"/>
  <c r="K964" i="22" s="1"/>
  <c r="L963" i="22"/>
  <c r="H963" i="22"/>
  <c r="K963" i="22" s="1"/>
  <c r="L962" i="22"/>
  <c r="H962" i="22"/>
  <c r="K962" i="22" s="1"/>
  <c r="L961" i="22"/>
  <c r="H961" i="22"/>
  <c r="K961" i="22" s="1"/>
  <c r="L960" i="22"/>
  <c r="H960" i="22"/>
  <c r="K960" i="22" s="1"/>
  <c r="L959" i="22"/>
  <c r="H959" i="22"/>
  <c r="K959" i="22" s="1"/>
  <c r="L958" i="22"/>
  <c r="H958" i="22"/>
  <c r="K958" i="22" s="1"/>
  <c r="L957" i="22"/>
  <c r="H957" i="22"/>
  <c r="K957" i="22" s="1"/>
  <c r="L956" i="22"/>
  <c r="H956" i="22"/>
  <c r="K956" i="22" s="1"/>
  <c r="L955" i="22"/>
  <c r="H955" i="22"/>
  <c r="K955" i="22" s="1"/>
  <c r="L954" i="22"/>
  <c r="H954" i="22"/>
  <c r="K954" i="22" s="1"/>
  <c r="L953" i="22"/>
  <c r="H953" i="22"/>
  <c r="K953" i="22" s="1"/>
  <c r="L952" i="22"/>
  <c r="H952" i="22"/>
  <c r="K952" i="22" s="1"/>
  <c r="L951" i="22"/>
  <c r="H951" i="22"/>
  <c r="K951" i="22" s="1"/>
  <c r="L950" i="22"/>
  <c r="H950" i="22"/>
  <c r="K950" i="22" s="1"/>
  <c r="L949" i="22"/>
  <c r="H949" i="22"/>
  <c r="K949" i="22" s="1"/>
  <c r="L948" i="22"/>
  <c r="H948" i="22"/>
  <c r="K948" i="22" s="1"/>
  <c r="L947" i="22"/>
  <c r="H947" i="22"/>
  <c r="K947" i="22" s="1"/>
  <c r="L946" i="22"/>
  <c r="H946" i="22"/>
  <c r="K946" i="22" s="1"/>
  <c r="L945" i="22"/>
  <c r="H945" i="22"/>
  <c r="K945" i="22" s="1"/>
  <c r="L944" i="22"/>
  <c r="H944" i="22"/>
  <c r="K944" i="22" s="1"/>
  <c r="L943" i="22"/>
  <c r="H943" i="22"/>
  <c r="K943" i="22" s="1"/>
  <c r="L942" i="22"/>
  <c r="H942" i="22"/>
  <c r="K942" i="22" s="1"/>
  <c r="L941" i="22"/>
  <c r="H941" i="22"/>
  <c r="K941" i="22" s="1"/>
  <c r="L940" i="22"/>
  <c r="H940" i="22"/>
  <c r="K940" i="22" s="1"/>
  <c r="L939" i="22"/>
  <c r="H939" i="22"/>
  <c r="K939" i="22" s="1"/>
  <c r="L938" i="22"/>
  <c r="H938" i="22"/>
  <c r="K938" i="22" s="1"/>
  <c r="L937" i="22"/>
  <c r="H937" i="22"/>
  <c r="K937" i="22" s="1"/>
  <c r="L936" i="22"/>
  <c r="H936" i="22"/>
  <c r="K936" i="22" s="1"/>
  <c r="L935" i="22"/>
  <c r="H935" i="22"/>
  <c r="K935" i="22" s="1"/>
  <c r="L934" i="22"/>
  <c r="H934" i="22"/>
  <c r="K934" i="22" s="1"/>
  <c r="L933" i="22"/>
  <c r="H933" i="22"/>
  <c r="K933" i="22" s="1"/>
  <c r="L932" i="22"/>
  <c r="H932" i="22"/>
  <c r="K932" i="22" s="1"/>
  <c r="L931" i="22"/>
  <c r="H931" i="22"/>
  <c r="K931" i="22" s="1"/>
  <c r="L930" i="22"/>
  <c r="H930" i="22"/>
  <c r="K930" i="22" s="1"/>
  <c r="L929" i="22"/>
  <c r="H929" i="22"/>
  <c r="K929" i="22" s="1"/>
  <c r="L928" i="22"/>
  <c r="H928" i="22"/>
  <c r="K928" i="22" s="1"/>
  <c r="L927" i="22"/>
  <c r="H927" i="22"/>
  <c r="K927" i="22" s="1"/>
  <c r="L926" i="22"/>
  <c r="H926" i="22"/>
  <c r="K926" i="22" s="1"/>
  <c r="L925" i="22"/>
  <c r="H925" i="22"/>
  <c r="K925" i="22" s="1"/>
  <c r="L924" i="22"/>
  <c r="H924" i="22"/>
  <c r="K924" i="22" s="1"/>
  <c r="L923" i="22"/>
  <c r="H923" i="22"/>
  <c r="K923" i="22" s="1"/>
  <c r="L922" i="22"/>
  <c r="H922" i="22"/>
  <c r="K922" i="22" s="1"/>
  <c r="L921" i="22"/>
  <c r="H921" i="22"/>
  <c r="K921" i="22" s="1"/>
  <c r="L920" i="22"/>
  <c r="H920" i="22"/>
  <c r="K920" i="22" s="1"/>
  <c r="L919" i="22"/>
  <c r="H919" i="22"/>
  <c r="K919" i="22" s="1"/>
  <c r="L918" i="22"/>
  <c r="H918" i="22"/>
  <c r="K918" i="22" s="1"/>
  <c r="L917" i="22"/>
  <c r="H917" i="22"/>
  <c r="K917" i="22" s="1"/>
  <c r="L916" i="22"/>
  <c r="H916" i="22"/>
  <c r="K916" i="22" s="1"/>
  <c r="L915" i="22"/>
  <c r="H915" i="22"/>
  <c r="K915" i="22" s="1"/>
  <c r="L914" i="22"/>
  <c r="H914" i="22"/>
  <c r="K914" i="22" s="1"/>
  <c r="L913" i="22"/>
  <c r="H913" i="22"/>
  <c r="K913" i="22" s="1"/>
  <c r="L912" i="22"/>
  <c r="H912" i="22"/>
  <c r="K912" i="22" s="1"/>
  <c r="L911" i="22"/>
  <c r="H911" i="22"/>
  <c r="K911" i="22" s="1"/>
  <c r="L910" i="22"/>
  <c r="H910" i="22"/>
  <c r="K910" i="22" s="1"/>
  <c r="L909" i="22"/>
  <c r="H909" i="22"/>
  <c r="K909" i="22" s="1"/>
  <c r="L908" i="22"/>
  <c r="H908" i="22"/>
  <c r="K908" i="22" s="1"/>
  <c r="L907" i="22"/>
  <c r="H907" i="22"/>
  <c r="K907" i="22" s="1"/>
  <c r="L906" i="22"/>
  <c r="H906" i="22"/>
  <c r="K906" i="22" s="1"/>
  <c r="L905" i="22"/>
  <c r="H905" i="22"/>
  <c r="K905" i="22" s="1"/>
  <c r="L904" i="22"/>
  <c r="H904" i="22"/>
  <c r="K904" i="22" s="1"/>
  <c r="L903" i="22"/>
  <c r="H903" i="22"/>
  <c r="K903" i="22" s="1"/>
  <c r="L902" i="22"/>
  <c r="H902" i="22"/>
  <c r="K902" i="22" s="1"/>
  <c r="L901" i="22"/>
  <c r="H901" i="22"/>
  <c r="K901" i="22" s="1"/>
  <c r="L900" i="22"/>
  <c r="H900" i="22"/>
  <c r="K900" i="22" s="1"/>
  <c r="L899" i="22"/>
  <c r="H899" i="22"/>
  <c r="K899" i="22" s="1"/>
  <c r="L898" i="22"/>
  <c r="H898" i="22"/>
  <c r="K898" i="22" s="1"/>
  <c r="L897" i="22"/>
  <c r="H897" i="22"/>
  <c r="K897" i="22" s="1"/>
  <c r="L896" i="22"/>
  <c r="H896" i="22"/>
  <c r="K896" i="22" s="1"/>
  <c r="L895" i="22"/>
  <c r="H895" i="22"/>
  <c r="K895" i="22" s="1"/>
  <c r="L894" i="22"/>
  <c r="H894" i="22"/>
  <c r="K894" i="22" s="1"/>
  <c r="L893" i="22"/>
  <c r="H893" i="22"/>
  <c r="K893" i="22" s="1"/>
  <c r="L892" i="22"/>
  <c r="H892" i="22"/>
  <c r="K892" i="22" s="1"/>
  <c r="L891" i="22"/>
  <c r="H891" i="22"/>
  <c r="K891" i="22" s="1"/>
  <c r="L890" i="22"/>
  <c r="H890" i="22"/>
  <c r="K890" i="22" s="1"/>
  <c r="L889" i="22"/>
  <c r="H889" i="22"/>
  <c r="K889" i="22" s="1"/>
  <c r="L888" i="22"/>
  <c r="H888" i="22"/>
  <c r="K888" i="22" s="1"/>
  <c r="L887" i="22"/>
  <c r="H887" i="22"/>
  <c r="K887" i="22" s="1"/>
  <c r="L886" i="22"/>
  <c r="H886" i="22"/>
  <c r="K886" i="22" s="1"/>
  <c r="L885" i="22"/>
  <c r="H885" i="22"/>
  <c r="K885" i="22" s="1"/>
  <c r="L884" i="22"/>
  <c r="H884" i="22"/>
  <c r="K884" i="22" s="1"/>
  <c r="L883" i="22"/>
  <c r="H883" i="22"/>
  <c r="K883" i="22" s="1"/>
  <c r="L882" i="22"/>
  <c r="H882" i="22"/>
  <c r="K882" i="22" s="1"/>
  <c r="L881" i="22"/>
  <c r="H881" i="22"/>
  <c r="K881" i="22" s="1"/>
  <c r="L880" i="22"/>
  <c r="H880" i="22"/>
  <c r="K880" i="22" s="1"/>
  <c r="L879" i="22"/>
  <c r="H879" i="22"/>
  <c r="K879" i="22" s="1"/>
  <c r="L878" i="22"/>
  <c r="H878" i="22"/>
  <c r="K878" i="22" s="1"/>
  <c r="L877" i="22"/>
  <c r="H877" i="22"/>
  <c r="K877" i="22" s="1"/>
  <c r="L876" i="22"/>
  <c r="H876" i="22"/>
  <c r="K876" i="22" s="1"/>
  <c r="L875" i="22"/>
  <c r="H875" i="22"/>
  <c r="K875" i="22" s="1"/>
  <c r="L874" i="22"/>
  <c r="K874" i="22"/>
  <c r="H874" i="22"/>
  <c r="L873" i="22"/>
  <c r="H873" i="22"/>
  <c r="K873" i="22" s="1"/>
  <c r="L872" i="22"/>
  <c r="H872" i="22"/>
  <c r="K872" i="22" s="1"/>
  <c r="L871" i="22"/>
  <c r="H871" i="22"/>
  <c r="K871" i="22" s="1"/>
  <c r="L870" i="22"/>
  <c r="H870" i="22"/>
  <c r="K870" i="22" s="1"/>
  <c r="L869" i="22"/>
  <c r="H869" i="22"/>
  <c r="K869" i="22" s="1"/>
  <c r="L868" i="22"/>
  <c r="H868" i="22"/>
  <c r="K868" i="22" s="1"/>
  <c r="L867" i="22"/>
  <c r="H867" i="22"/>
  <c r="K867" i="22" s="1"/>
  <c r="L866" i="22"/>
  <c r="H866" i="22"/>
  <c r="K866" i="22" s="1"/>
  <c r="L865" i="22"/>
  <c r="H865" i="22"/>
  <c r="K865" i="22" s="1"/>
  <c r="L864" i="22"/>
  <c r="H864" i="22"/>
  <c r="K864" i="22" s="1"/>
  <c r="L863" i="22"/>
  <c r="H863" i="22"/>
  <c r="K863" i="22" s="1"/>
  <c r="L862" i="22"/>
  <c r="H862" i="22"/>
  <c r="K862" i="22" s="1"/>
  <c r="L861" i="22"/>
  <c r="H861" i="22"/>
  <c r="K861" i="22" s="1"/>
  <c r="L860" i="22"/>
  <c r="H860" i="22"/>
  <c r="K860" i="22" s="1"/>
  <c r="L859" i="22"/>
  <c r="K859" i="22"/>
  <c r="L858" i="22"/>
  <c r="K858" i="22"/>
  <c r="L857" i="22"/>
  <c r="K857" i="22"/>
  <c r="L856" i="22"/>
  <c r="K856" i="22"/>
  <c r="L855" i="22"/>
  <c r="K855" i="22"/>
  <c r="L854" i="22"/>
  <c r="K854" i="22"/>
  <c r="L853" i="22"/>
  <c r="K853" i="22"/>
  <c r="L852" i="22"/>
  <c r="K852" i="22"/>
  <c r="L851" i="22"/>
  <c r="K851" i="22"/>
  <c r="L850" i="22"/>
  <c r="K850" i="22"/>
  <c r="L849" i="22"/>
  <c r="K849" i="22"/>
  <c r="L848" i="22"/>
  <c r="K848" i="22"/>
  <c r="L847" i="22"/>
  <c r="K847" i="22"/>
  <c r="L846" i="22"/>
  <c r="K846" i="22"/>
  <c r="L845" i="22"/>
  <c r="K845" i="22"/>
  <c r="L844" i="22"/>
  <c r="K844" i="22"/>
  <c r="L843" i="22"/>
  <c r="K843" i="22"/>
  <c r="L842" i="22"/>
  <c r="K842" i="22"/>
  <c r="L841" i="22"/>
  <c r="K841" i="22"/>
  <c r="L840" i="22"/>
  <c r="K840" i="22"/>
  <c r="L839" i="22"/>
  <c r="K839" i="22"/>
  <c r="L838" i="22"/>
  <c r="K838" i="22"/>
  <c r="L837" i="22"/>
  <c r="K837" i="22"/>
  <c r="L836" i="22"/>
  <c r="K836" i="22"/>
  <c r="L835" i="22"/>
  <c r="K835" i="22"/>
  <c r="L834" i="22"/>
  <c r="K834" i="22"/>
  <c r="L833" i="22"/>
  <c r="K833" i="22"/>
  <c r="L832" i="22"/>
  <c r="K832" i="22"/>
  <c r="L831" i="22"/>
  <c r="K831" i="22"/>
  <c r="L830" i="22"/>
  <c r="K830" i="22"/>
  <c r="L829" i="22"/>
  <c r="K829" i="22"/>
  <c r="L828" i="22"/>
  <c r="K828" i="22"/>
  <c r="L827" i="22"/>
  <c r="K827" i="22"/>
  <c r="L826" i="22"/>
  <c r="K826" i="22"/>
  <c r="L825" i="22"/>
  <c r="K825" i="22"/>
  <c r="L824" i="22"/>
  <c r="K824" i="22"/>
  <c r="L823" i="22"/>
  <c r="K823" i="22"/>
  <c r="L822" i="22"/>
  <c r="K822" i="22"/>
  <c r="L821" i="22"/>
  <c r="K821" i="22"/>
  <c r="L820" i="22"/>
  <c r="K820" i="22"/>
  <c r="L819" i="22"/>
  <c r="I819" i="22"/>
  <c r="K819" i="22" s="1"/>
  <c r="L818" i="22"/>
  <c r="I818" i="22"/>
  <c r="L817" i="22"/>
  <c r="K817" i="22"/>
  <c r="L816" i="22"/>
  <c r="K816" i="22"/>
  <c r="L815" i="22"/>
  <c r="K815" i="22"/>
  <c r="L814" i="22"/>
  <c r="K814" i="22"/>
  <c r="L813" i="22"/>
  <c r="K813" i="22"/>
  <c r="L812" i="22"/>
  <c r="K812" i="22"/>
  <c r="L811" i="22"/>
  <c r="K811" i="22"/>
  <c r="L810" i="22"/>
  <c r="K810" i="22"/>
  <c r="L809" i="22"/>
  <c r="K809" i="22"/>
  <c r="L808" i="22"/>
  <c r="K808" i="22"/>
  <c r="L807" i="22"/>
  <c r="K807" i="22"/>
  <c r="L806" i="22"/>
  <c r="K806" i="22"/>
  <c r="L805" i="22"/>
  <c r="K805" i="22"/>
  <c r="L804" i="22"/>
  <c r="K804" i="22"/>
  <c r="L803" i="22"/>
  <c r="K803" i="22"/>
  <c r="L802" i="22"/>
  <c r="K802" i="22"/>
  <c r="L801" i="22"/>
  <c r="K801" i="22"/>
  <c r="L800" i="22"/>
  <c r="K800" i="22"/>
  <c r="L799" i="22"/>
  <c r="K799" i="22"/>
  <c r="L798" i="22"/>
  <c r="K798" i="22"/>
  <c r="L797" i="22"/>
  <c r="K797" i="22"/>
  <c r="L796" i="22"/>
  <c r="K796" i="22"/>
  <c r="L795" i="22"/>
  <c r="K795" i="22"/>
  <c r="L794" i="22"/>
  <c r="K794" i="22"/>
  <c r="L793" i="22"/>
  <c r="K793" i="22"/>
  <c r="L792" i="22"/>
  <c r="K792" i="22"/>
  <c r="L791" i="22"/>
  <c r="K791" i="22"/>
  <c r="L790" i="22"/>
  <c r="K790" i="22"/>
  <c r="L789" i="22"/>
  <c r="K789" i="22"/>
  <c r="L788" i="22"/>
  <c r="K788" i="22"/>
  <c r="L787" i="22"/>
  <c r="K787" i="22"/>
  <c r="L786" i="22"/>
  <c r="K786" i="22"/>
  <c r="L785" i="22"/>
  <c r="K785" i="22"/>
  <c r="L784" i="22"/>
  <c r="K784" i="22"/>
  <c r="L783" i="22"/>
  <c r="K783" i="22"/>
  <c r="L782" i="22"/>
  <c r="K782" i="22"/>
  <c r="L781" i="22"/>
  <c r="K781" i="22"/>
  <c r="L780" i="22"/>
  <c r="K780" i="22"/>
  <c r="L779" i="22"/>
  <c r="K779" i="22"/>
  <c r="L778" i="22"/>
  <c r="K778" i="22"/>
  <c r="L777" i="22"/>
  <c r="K777" i="22"/>
  <c r="L776" i="22"/>
  <c r="K776" i="22"/>
  <c r="L775" i="22"/>
  <c r="K775" i="22"/>
  <c r="L774" i="22"/>
  <c r="K774" i="22"/>
  <c r="L773" i="22"/>
  <c r="K773" i="22"/>
  <c r="L772" i="22"/>
  <c r="K772" i="22"/>
  <c r="L771" i="22"/>
  <c r="K771" i="22"/>
  <c r="L770" i="22"/>
  <c r="K770" i="22"/>
  <c r="L769" i="22"/>
  <c r="K769" i="22"/>
  <c r="L768" i="22"/>
  <c r="K768" i="22"/>
  <c r="L767" i="22"/>
  <c r="K767" i="22"/>
  <c r="L766" i="22"/>
  <c r="K766" i="22"/>
  <c r="L765" i="22"/>
  <c r="K765" i="22"/>
  <c r="L764" i="22"/>
  <c r="K764" i="22"/>
  <c r="L763" i="22"/>
  <c r="K763" i="22"/>
  <c r="L762" i="22"/>
  <c r="K762" i="22"/>
  <c r="L761" i="22"/>
  <c r="K761" i="22"/>
  <c r="L760" i="22"/>
  <c r="K760" i="22"/>
  <c r="L759" i="22"/>
  <c r="K759" i="22"/>
  <c r="L758" i="22"/>
  <c r="K758" i="22"/>
  <c r="L757" i="22"/>
  <c r="K757" i="22"/>
  <c r="L756" i="22"/>
  <c r="K756" i="22"/>
  <c r="L755" i="22"/>
  <c r="K755" i="22"/>
  <c r="L754" i="22"/>
  <c r="K754" i="22"/>
  <c r="L753" i="22"/>
  <c r="K753" i="22"/>
  <c r="L752" i="22"/>
  <c r="K752" i="22"/>
  <c r="L751" i="22"/>
  <c r="K751" i="22"/>
  <c r="L750" i="22"/>
  <c r="K750" i="22"/>
  <c r="L749" i="22"/>
  <c r="K749" i="22"/>
  <c r="L748" i="22"/>
  <c r="K748" i="22"/>
  <c r="L747" i="22"/>
  <c r="K747" i="22"/>
  <c r="L746" i="22"/>
  <c r="K746" i="22"/>
  <c r="L745" i="22"/>
  <c r="K745" i="22"/>
  <c r="L744" i="22"/>
  <c r="K744" i="22"/>
  <c r="L743" i="22"/>
  <c r="K743" i="22"/>
  <c r="L742" i="22"/>
  <c r="K742" i="22"/>
  <c r="L741" i="22"/>
  <c r="K741" i="22"/>
  <c r="L740" i="22"/>
  <c r="K740" i="22"/>
  <c r="L739" i="22"/>
  <c r="K739" i="22"/>
  <c r="L738" i="22"/>
  <c r="K738" i="22"/>
  <c r="L737" i="22"/>
  <c r="K737" i="22"/>
  <c r="L736" i="22"/>
  <c r="K736" i="22"/>
  <c r="L735" i="22"/>
  <c r="K735" i="22"/>
  <c r="L734" i="22"/>
  <c r="K734" i="22"/>
  <c r="L733" i="22"/>
  <c r="K733" i="22"/>
  <c r="L732" i="22"/>
  <c r="K732" i="22"/>
  <c r="L731" i="22"/>
  <c r="K731" i="22"/>
  <c r="L730" i="22"/>
  <c r="K730" i="22"/>
  <c r="L729" i="22"/>
  <c r="K729" i="22"/>
  <c r="L728" i="22"/>
  <c r="K728" i="22"/>
  <c r="L727" i="22"/>
  <c r="K727" i="22"/>
  <c r="L726" i="22"/>
  <c r="K726" i="22"/>
  <c r="L725" i="22"/>
  <c r="K725" i="22"/>
  <c r="L724" i="22"/>
  <c r="K724" i="22"/>
  <c r="L723" i="22"/>
  <c r="K723" i="22"/>
  <c r="L722" i="22"/>
  <c r="K722" i="22"/>
  <c r="L721" i="22"/>
  <c r="K721" i="22"/>
  <c r="L720" i="22"/>
  <c r="K720" i="22"/>
  <c r="L719" i="22"/>
  <c r="K719" i="22"/>
  <c r="L718" i="22"/>
  <c r="K718" i="22"/>
  <c r="L717" i="22"/>
  <c r="K717" i="22"/>
  <c r="L716" i="22"/>
  <c r="K716" i="22"/>
  <c r="L715" i="22"/>
  <c r="K715" i="22"/>
  <c r="L714" i="22"/>
  <c r="K714" i="22"/>
  <c r="L713" i="22"/>
  <c r="K713" i="22"/>
  <c r="L712" i="22"/>
  <c r="K712" i="22"/>
  <c r="L711" i="22"/>
  <c r="K711" i="22"/>
  <c r="L710" i="22"/>
  <c r="K710" i="22"/>
  <c r="L709" i="22"/>
  <c r="K709" i="22"/>
  <c r="L708" i="22"/>
  <c r="K708" i="22"/>
  <c r="L707" i="22"/>
  <c r="K707" i="22"/>
  <c r="L706" i="22"/>
  <c r="K706" i="22"/>
  <c r="L705" i="22"/>
  <c r="H705" i="22"/>
  <c r="K705" i="22" s="1"/>
  <c r="L704" i="22"/>
  <c r="H704" i="22"/>
  <c r="K704" i="22" s="1"/>
  <c r="L703" i="22"/>
  <c r="H703" i="22"/>
  <c r="K703" i="22" s="1"/>
  <c r="L702" i="22"/>
  <c r="H702" i="22"/>
  <c r="K702" i="22" s="1"/>
  <c r="L701" i="22"/>
  <c r="H701" i="22"/>
  <c r="K701" i="22" s="1"/>
  <c r="L700" i="22"/>
  <c r="H700" i="22"/>
  <c r="K700" i="22" s="1"/>
  <c r="L699" i="22"/>
  <c r="H699" i="22"/>
  <c r="K699" i="22" s="1"/>
  <c r="L698" i="22"/>
  <c r="H698" i="22"/>
  <c r="K698" i="22" s="1"/>
  <c r="L697" i="22"/>
  <c r="H697" i="22"/>
  <c r="K697" i="22" s="1"/>
  <c r="L696" i="22"/>
  <c r="H696" i="22"/>
  <c r="K696" i="22" s="1"/>
  <c r="L695" i="22"/>
  <c r="H695" i="22"/>
  <c r="K695" i="22" s="1"/>
  <c r="L694" i="22"/>
  <c r="H694" i="22"/>
  <c r="K694" i="22" s="1"/>
  <c r="L693" i="22"/>
  <c r="H693" i="22"/>
  <c r="K693" i="22" s="1"/>
  <c r="L692" i="22"/>
  <c r="H692" i="22"/>
  <c r="K692" i="22" s="1"/>
  <c r="L691" i="22"/>
  <c r="H691" i="22"/>
  <c r="K691" i="22" s="1"/>
  <c r="L690" i="22"/>
  <c r="H690" i="22"/>
  <c r="K690" i="22" s="1"/>
  <c r="L689" i="22"/>
  <c r="H689" i="22"/>
  <c r="K689" i="22" s="1"/>
  <c r="L688" i="22"/>
  <c r="H688" i="22"/>
  <c r="K688" i="22" s="1"/>
  <c r="L687" i="22"/>
  <c r="H687" i="22"/>
  <c r="K687" i="22" s="1"/>
  <c r="L686" i="22"/>
  <c r="H686" i="22"/>
  <c r="K686" i="22" s="1"/>
  <c r="L685" i="22"/>
  <c r="H685" i="22"/>
  <c r="K685" i="22" s="1"/>
  <c r="L684" i="22"/>
  <c r="H684" i="22"/>
  <c r="K684" i="22" s="1"/>
  <c r="L683" i="22"/>
  <c r="H683" i="22"/>
  <c r="K683" i="22" s="1"/>
  <c r="L682" i="22"/>
  <c r="H682" i="22"/>
  <c r="K682" i="22" s="1"/>
  <c r="L681" i="22"/>
  <c r="H681" i="22"/>
  <c r="K681" i="22" s="1"/>
  <c r="L680" i="22"/>
  <c r="H680" i="22"/>
  <c r="K680" i="22" s="1"/>
  <c r="L679" i="22"/>
  <c r="H679" i="22"/>
  <c r="K679" i="22" s="1"/>
  <c r="L678" i="22"/>
  <c r="H678" i="22"/>
  <c r="K678" i="22" s="1"/>
  <c r="L677" i="22"/>
  <c r="H677" i="22"/>
  <c r="K677" i="22" s="1"/>
  <c r="L676" i="22"/>
  <c r="H676" i="22"/>
  <c r="K676" i="22" s="1"/>
  <c r="L675" i="22"/>
  <c r="H675" i="22"/>
  <c r="K675" i="22" s="1"/>
  <c r="L674" i="22"/>
  <c r="H674" i="22"/>
  <c r="K674" i="22" s="1"/>
  <c r="L673" i="22"/>
  <c r="H673" i="22"/>
  <c r="K673" i="22" s="1"/>
  <c r="L672" i="22"/>
  <c r="H672" i="22"/>
  <c r="K672" i="22" s="1"/>
  <c r="L671" i="22"/>
  <c r="H671" i="22"/>
  <c r="K671" i="22" s="1"/>
  <c r="L670" i="22"/>
  <c r="H670" i="22"/>
  <c r="K670" i="22" s="1"/>
  <c r="L669" i="22"/>
  <c r="H669" i="22"/>
  <c r="K669" i="22" s="1"/>
  <c r="L668" i="22"/>
  <c r="H668" i="22"/>
  <c r="K668" i="22" s="1"/>
  <c r="L667" i="22"/>
  <c r="H667" i="22"/>
  <c r="K667" i="22" s="1"/>
  <c r="L666" i="22"/>
  <c r="H666" i="22"/>
  <c r="K666" i="22" s="1"/>
  <c r="L665" i="22"/>
  <c r="H665" i="22"/>
  <c r="K665" i="22" s="1"/>
  <c r="L664" i="22"/>
  <c r="H664" i="22"/>
  <c r="K664" i="22" s="1"/>
  <c r="L663" i="22"/>
  <c r="H663" i="22"/>
  <c r="K663" i="22" s="1"/>
  <c r="L662" i="22"/>
  <c r="H662" i="22"/>
  <c r="K662" i="22" s="1"/>
  <c r="L661" i="22"/>
  <c r="H661" i="22"/>
  <c r="K661" i="22" s="1"/>
  <c r="L660" i="22"/>
  <c r="H660" i="22"/>
  <c r="K660" i="22" s="1"/>
  <c r="L659" i="22"/>
  <c r="H659" i="22"/>
  <c r="K659" i="22" s="1"/>
  <c r="L658" i="22"/>
  <c r="H658" i="22"/>
  <c r="K658" i="22" s="1"/>
  <c r="L657" i="22"/>
  <c r="H657" i="22"/>
  <c r="K657" i="22" s="1"/>
  <c r="L656" i="22"/>
  <c r="H656" i="22"/>
  <c r="K656" i="22" s="1"/>
  <c r="L655" i="22"/>
  <c r="H655" i="22"/>
  <c r="K655" i="22" s="1"/>
  <c r="L654" i="22"/>
  <c r="H654" i="22"/>
  <c r="K654" i="22" s="1"/>
  <c r="L653" i="22"/>
  <c r="H653" i="22"/>
  <c r="K653" i="22" s="1"/>
  <c r="L652" i="22"/>
  <c r="H652" i="22"/>
  <c r="K652" i="22" s="1"/>
  <c r="L651" i="22"/>
  <c r="H651" i="22"/>
  <c r="K651" i="22" s="1"/>
  <c r="L650" i="22"/>
  <c r="H650" i="22"/>
  <c r="K650" i="22" s="1"/>
  <c r="L649" i="22"/>
  <c r="H649" i="22"/>
  <c r="K649" i="22" s="1"/>
  <c r="L648" i="22"/>
  <c r="H648" i="22"/>
  <c r="K648" i="22" s="1"/>
  <c r="L647" i="22"/>
  <c r="H647" i="22"/>
  <c r="K647" i="22" s="1"/>
  <c r="L646" i="22"/>
  <c r="H646" i="22"/>
  <c r="K646" i="22" s="1"/>
  <c r="L645" i="22"/>
  <c r="H645" i="22"/>
  <c r="K645" i="22" s="1"/>
  <c r="L644" i="22"/>
  <c r="H644" i="22"/>
  <c r="K644" i="22" s="1"/>
  <c r="L643" i="22"/>
  <c r="H643" i="22"/>
  <c r="K643" i="22" s="1"/>
  <c r="L642" i="22"/>
  <c r="H642" i="22"/>
  <c r="K642" i="22" s="1"/>
  <c r="L641" i="22"/>
  <c r="H641" i="22"/>
  <c r="K641" i="22" s="1"/>
  <c r="L640" i="22"/>
  <c r="H640" i="22"/>
  <c r="K640" i="22" s="1"/>
  <c r="L639" i="22"/>
  <c r="H639" i="22"/>
  <c r="K639" i="22" s="1"/>
  <c r="L638" i="22"/>
  <c r="H638" i="22"/>
  <c r="K638" i="22" s="1"/>
  <c r="L637" i="22"/>
  <c r="H637" i="22"/>
  <c r="K637" i="22" s="1"/>
  <c r="L636" i="22"/>
  <c r="H636" i="22"/>
  <c r="K636" i="22" s="1"/>
  <c r="L635" i="22"/>
  <c r="H635" i="22"/>
  <c r="K635" i="22" s="1"/>
  <c r="L634" i="22"/>
  <c r="H634" i="22"/>
  <c r="K634" i="22" s="1"/>
  <c r="L633" i="22"/>
  <c r="H633" i="22"/>
  <c r="K633" i="22" s="1"/>
  <c r="L632" i="22"/>
  <c r="H632" i="22"/>
  <c r="K632" i="22" s="1"/>
  <c r="L631" i="22"/>
  <c r="H631" i="22"/>
  <c r="K631" i="22" s="1"/>
  <c r="L630" i="22"/>
  <c r="H630" i="22"/>
  <c r="K630" i="22" s="1"/>
  <c r="L629" i="22"/>
  <c r="H629" i="22"/>
  <c r="K629" i="22" s="1"/>
  <c r="L628" i="22"/>
  <c r="H628" i="22"/>
  <c r="K628" i="22" s="1"/>
  <c r="L627" i="22"/>
  <c r="H627" i="22"/>
  <c r="K627" i="22" s="1"/>
  <c r="L626" i="22"/>
  <c r="H626" i="22"/>
  <c r="K626" i="22" s="1"/>
  <c r="L625" i="22"/>
  <c r="H625" i="22"/>
  <c r="K625" i="22" s="1"/>
  <c r="L624" i="22"/>
  <c r="H624" i="22"/>
  <c r="K624" i="22" s="1"/>
  <c r="L623" i="22"/>
  <c r="H623" i="22"/>
  <c r="K623" i="22" s="1"/>
  <c r="L622" i="22"/>
  <c r="H622" i="22"/>
  <c r="K622" i="22" s="1"/>
  <c r="L621" i="22"/>
  <c r="H621" i="22"/>
  <c r="K621" i="22" s="1"/>
  <c r="L620" i="22"/>
  <c r="H620" i="22"/>
  <c r="K620" i="22" s="1"/>
  <c r="L619" i="22"/>
  <c r="H619" i="22"/>
  <c r="K619" i="22" s="1"/>
  <c r="L618" i="22"/>
  <c r="H618" i="22"/>
  <c r="K618" i="22" s="1"/>
  <c r="L617" i="22"/>
  <c r="H617" i="22"/>
  <c r="K617" i="22" s="1"/>
  <c r="L616" i="22"/>
  <c r="H616" i="22"/>
  <c r="K616" i="22" s="1"/>
  <c r="L615" i="22"/>
  <c r="H615" i="22"/>
  <c r="K615" i="22" s="1"/>
  <c r="L614" i="22"/>
  <c r="H614" i="22"/>
  <c r="K614" i="22" s="1"/>
  <c r="L613" i="22"/>
  <c r="H613" i="22"/>
  <c r="K613" i="22" s="1"/>
  <c r="L612" i="22"/>
  <c r="H612" i="22"/>
  <c r="K612" i="22" s="1"/>
  <c r="L611" i="22"/>
  <c r="H611" i="22"/>
  <c r="K611" i="22" s="1"/>
  <c r="L610" i="22"/>
  <c r="H610" i="22"/>
  <c r="K610" i="22" s="1"/>
  <c r="L609" i="22"/>
  <c r="H609" i="22"/>
  <c r="K609" i="22" s="1"/>
  <c r="L608" i="22"/>
  <c r="H608" i="22"/>
  <c r="K608" i="22" s="1"/>
  <c r="L607" i="22"/>
  <c r="H607" i="22"/>
  <c r="K607" i="22" s="1"/>
  <c r="L606" i="22"/>
  <c r="H606" i="22"/>
  <c r="K606" i="22" s="1"/>
  <c r="L605" i="22"/>
  <c r="H605" i="22"/>
  <c r="K605" i="22" s="1"/>
  <c r="L604" i="22"/>
  <c r="H604" i="22"/>
  <c r="K604" i="22" s="1"/>
  <c r="L603" i="22"/>
  <c r="H603" i="22"/>
  <c r="K603" i="22" s="1"/>
  <c r="L602" i="22"/>
  <c r="H602" i="22"/>
  <c r="K602" i="22" s="1"/>
  <c r="L601" i="22"/>
  <c r="H601" i="22"/>
  <c r="K601" i="22" s="1"/>
  <c r="L600" i="22"/>
  <c r="H600" i="22"/>
  <c r="K600" i="22" s="1"/>
  <c r="L599" i="22"/>
  <c r="H599" i="22"/>
  <c r="K599" i="22" s="1"/>
  <c r="L598" i="22"/>
  <c r="H598" i="22"/>
  <c r="K598" i="22" s="1"/>
  <c r="L597" i="22"/>
  <c r="H597" i="22"/>
  <c r="K597" i="22" s="1"/>
  <c r="L596" i="22"/>
  <c r="H596" i="22"/>
  <c r="K596" i="22" s="1"/>
  <c r="L595" i="22"/>
  <c r="H595" i="22"/>
  <c r="K595" i="22" s="1"/>
  <c r="L594" i="22"/>
  <c r="H594" i="22"/>
  <c r="K594" i="22" s="1"/>
  <c r="L593" i="22"/>
  <c r="H593" i="22"/>
  <c r="K593" i="22" s="1"/>
  <c r="L592" i="22"/>
  <c r="H592" i="22"/>
  <c r="K592" i="22" s="1"/>
  <c r="L591" i="22"/>
  <c r="H591" i="22"/>
  <c r="K591" i="22" s="1"/>
  <c r="L590" i="22"/>
  <c r="H590" i="22"/>
  <c r="K590" i="22" s="1"/>
  <c r="L589" i="22"/>
  <c r="H589" i="22"/>
  <c r="K589" i="22" s="1"/>
  <c r="L588" i="22"/>
  <c r="H588" i="22"/>
  <c r="K588" i="22" s="1"/>
  <c r="L587" i="22"/>
  <c r="H587" i="22"/>
  <c r="K587" i="22" s="1"/>
  <c r="L586" i="22"/>
  <c r="H586" i="22"/>
  <c r="K586" i="22" s="1"/>
  <c r="L585" i="22"/>
  <c r="H585" i="22"/>
  <c r="K585" i="22" s="1"/>
  <c r="L584" i="22"/>
  <c r="H584" i="22"/>
  <c r="K584" i="22" s="1"/>
  <c r="L583" i="22"/>
  <c r="H583" i="22"/>
  <c r="K583" i="22" s="1"/>
  <c r="L582" i="22"/>
  <c r="H582" i="22"/>
  <c r="K582" i="22" s="1"/>
  <c r="L581" i="22"/>
  <c r="H581" i="22"/>
  <c r="K581" i="22" s="1"/>
  <c r="L580" i="22"/>
  <c r="H580" i="22"/>
  <c r="K580" i="22" s="1"/>
  <c r="L579" i="22"/>
  <c r="H579" i="22"/>
  <c r="K579" i="22" s="1"/>
  <c r="L578" i="22"/>
  <c r="H578" i="22"/>
  <c r="K578" i="22" s="1"/>
  <c r="L577" i="22"/>
  <c r="H577" i="22"/>
  <c r="K577" i="22" s="1"/>
  <c r="L576" i="22"/>
  <c r="H576" i="22"/>
  <c r="K576" i="22" s="1"/>
  <c r="L575" i="22"/>
  <c r="H575" i="22"/>
  <c r="K575" i="22" s="1"/>
  <c r="L574" i="22"/>
  <c r="H574" i="22"/>
  <c r="K574" i="22" s="1"/>
  <c r="L573" i="22"/>
  <c r="H573" i="22"/>
  <c r="K573" i="22" s="1"/>
  <c r="L572" i="22"/>
  <c r="H572" i="22"/>
  <c r="K572" i="22" s="1"/>
  <c r="L571" i="22"/>
  <c r="H571" i="22"/>
  <c r="K571" i="22" s="1"/>
  <c r="L570" i="22"/>
  <c r="H570" i="22"/>
  <c r="K570" i="22" s="1"/>
  <c r="L569" i="22"/>
  <c r="H569" i="22"/>
  <c r="K569" i="22" s="1"/>
  <c r="L568" i="22"/>
  <c r="H568" i="22"/>
  <c r="K568" i="22" s="1"/>
  <c r="L567" i="22"/>
  <c r="H567" i="22"/>
  <c r="K567" i="22" s="1"/>
  <c r="L566" i="22"/>
  <c r="H566" i="22"/>
  <c r="K566" i="22" s="1"/>
  <c r="L565" i="22"/>
  <c r="H565" i="22"/>
  <c r="K565" i="22" s="1"/>
  <c r="L564" i="22"/>
  <c r="H564" i="22"/>
  <c r="K564" i="22" s="1"/>
  <c r="L563" i="22"/>
  <c r="H563" i="22"/>
  <c r="K563" i="22" s="1"/>
  <c r="L562" i="22"/>
  <c r="H562" i="22"/>
  <c r="K562" i="22" s="1"/>
  <c r="L561" i="22"/>
  <c r="H561" i="22"/>
  <c r="K561" i="22" s="1"/>
  <c r="L560" i="22"/>
  <c r="H560" i="22"/>
  <c r="K560" i="22" s="1"/>
  <c r="L559" i="22"/>
  <c r="H559" i="22"/>
  <c r="K559" i="22" s="1"/>
  <c r="L558" i="22"/>
  <c r="H558" i="22"/>
  <c r="K558" i="22" s="1"/>
  <c r="L557" i="22"/>
  <c r="H557" i="22"/>
  <c r="K557" i="22" s="1"/>
  <c r="L556" i="22"/>
  <c r="H556" i="22"/>
  <c r="K556" i="22" s="1"/>
  <c r="L555" i="22"/>
  <c r="H555" i="22"/>
  <c r="K555" i="22" s="1"/>
  <c r="L554" i="22"/>
  <c r="H554" i="22"/>
  <c r="K554" i="22" s="1"/>
  <c r="L553" i="22"/>
  <c r="H553" i="22"/>
  <c r="K553" i="22" s="1"/>
  <c r="L552" i="22"/>
  <c r="H552" i="22"/>
  <c r="K552" i="22" s="1"/>
  <c r="L551" i="22"/>
  <c r="H551" i="22"/>
  <c r="K551" i="22" s="1"/>
  <c r="L550" i="22"/>
  <c r="H550" i="22"/>
  <c r="K550" i="22" s="1"/>
  <c r="L549" i="22"/>
  <c r="H549" i="22"/>
  <c r="K549" i="22" s="1"/>
  <c r="L548" i="22"/>
  <c r="H548" i="22"/>
  <c r="K548" i="22" s="1"/>
  <c r="L547" i="22"/>
  <c r="H547" i="22"/>
  <c r="K547" i="22" s="1"/>
  <c r="L546" i="22"/>
  <c r="H546" i="22"/>
  <c r="K546" i="22" s="1"/>
  <c r="L545" i="22"/>
  <c r="H545" i="22"/>
  <c r="K545" i="22" s="1"/>
  <c r="L544" i="22"/>
  <c r="H544" i="22"/>
  <c r="K544" i="22" s="1"/>
  <c r="L543" i="22"/>
  <c r="H543" i="22"/>
  <c r="K543" i="22" s="1"/>
  <c r="L542" i="22"/>
  <c r="H542" i="22"/>
  <c r="K542" i="22" s="1"/>
  <c r="L541" i="22"/>
  <c r="H541" i="22"/>
  <c r="K541" i="22" s="1"/>
  <c r="L540" i="22"/>
  <c r="H540" i="22"/>
  <c r="K540" i="22" s="1"/>
  <c r="L539" i="22"/>
  <c r="H539" i="22"/>
  <c r="K539" i="22" s="1"/>
  <c r="L538" i="22"/>
  <c r="H538" i="22"/>
  <c r="K538" i="22" s="1"/>
  <c r="L537" i="22"/>
  <c r="H537" i="22"/>
  <c r="K537" i="22" s="1"/>
  <c r="L536" i="22"/>
  <c r="H536" i="22"/>
  <c r="K536" i="22" s="1"/>
  <c r="L535" i="22"/>
  <c r="H535" i="22"/>
  <c r="K535" i="22" s="1"/>
  <c r="L534" i="22"/>
  <c r="H534" i="22"/>
  <c r="K534" i="22" s="1"/>
  <c r="L533" i="22"/>
  <c r="H533" i="22"/>
  <c r="K533" i="22" s="1"/>
  <c r="L532" i="22"/>
  <c r="H532" i="22"/>
  <c r="K532" i="22" s="1"/>
  <c r="L531" i="22"/>
  <c r="H531" i="22"/>
  <c r="K531" i="22" s="1"/>
  <c r="L530" i="22"/>
  <c r="H530" i="22"/>
  <c r="K530" i="22" s="1"/>
  <c r="L529" i="22"/>
  <c r="H529" i="22"/>
  <c r="K529" i="22" s="1"/>
  <c r="L528" i="22"/>
  <c r="H528" i="22"/>
  <c r="K528" i="22" s="1"/>
  <c r="L527" i="22"/>
  <c r="H527" i="22"/>
  <c r="K527" i="22" s="1"/>
  <c r="L526" i="22"/>
  <c r="H526" i="22"/>
  <c r="K526" i="22" s="1"/>
  <c r="L525" i="22"/>
  <c r="H525" i="22"/>
  <c r="K525" i="22" s="1"/>
  <c r="L524" i="22"/>
  <c r="H524" i="22"/>
  <c r="K524" i="22" s="1"/>
  <c r="L523" i="22"/>
  <c r="H523" i="22"/>
  <c r="K523" i="22" s="1"/>
  <c r="L522" i="22"/>
  <c r="H522" i="22"/>
  <c r="K522" i="22" s="1"/>
  <c r="L521" i="22"/>
  <c r="H521" i="22"/>
  <c r="K521" i="22" s="1"/>
  <c r="L520" i="22"/>
  <c r="H520" i="22"/>
  <c r="K520" i="22" s="1"/>
  <c r="L519" i="22"/>
  <c r="H519" i="22"/>
  <c r="K519" i="22" s="1"/>
  <c r="L518" i="22"/>
  <c r="H518" i="22"/>
  <c r="K518" i="22" s="1"/>
  <c r="L517" i="22"/>
  <c r="H517" i="22"/>
  <c r="K517" i="22" s="1"/>
  <c r="L516" i="22"/>
  <c r="H516" i="22"/>
  <c r="K516" i="22" s="1"/>
  <c r="L515" i="22"/>
  <c r="H515" i="22"/>
  <c r="K515" i="22" s="1"/>
  <c r="L514" i="22"/>
  <c r="H514" i="22"/>
  <c r="K514" i="22" s="1"/>
  <c r="L513" i="22"/>
  <c r="H513" i="22"/>
  <c r="K513" i="22" s="1"/>
  <c r="L512" i="22"/>
  <c r="H512" i="22"/>
  <c r="K512" i="22" s="1"/>
  <c r="L511" i="22"/>
  <c r="H511" i="22"/>
  <c r="K511" i="22" s="1"/>
  <c r="L510" i="22"/>
  <c r="H510" i="22"/>
  <c r="K510" i="22" s="1"/>
  <c r="L509" i="22"/>
  <c r="H509" i="22"/>
  <c r="K509" i="22" s="1"/>
  <c r="L508" i="22"/>
  <c r="H508" i="22"/>
  <c r="K508" i="22" s="1"/>
  <c r="L507" i="22"/>
  <c r="H507" i="22"/>
  <c r="K507" i="22" s="1"/>
  <c r="L506" i="22"/>
  <c r="H506" i="22"/>
  <c r="K506" i="22" s="1"/>
  <c r="L505" i="22"/>
  <c r="H505" i="22"/>
  <c r="K505" i="22" s="1"/>
  <c r="L504" i="22"/>
  <c r="H504" i="22"/>
  <c r="K504" i="22" s="1"/>
  <c r="L503" i="22"/>
  <c r="H503" i="22"/>
  <c r="K503" i="22" s="1"/>
  <c r="L502" i="22"/>
  <c r="H502" i="22"/>
  <c r="K502" i="22" s="1"/>
  <c r="L501" i="22"/>
  <c r="H501" i="22"/>
  <c r="K501" i="22" s="1"/>
  <c r="L500" i="22"/>
  <c r="H500" i="22"/>
  <c r="K500" i="22" s="1"/>
  <c r="L499" i="22"/>
  <c r="H499" i="22"/>
  <c r="K499" i="22" s="1"/>
  <c r="L498" i="22"/>
  <c r="H498" i="22"/>
  <c r="K498" i="22" s="1"/>
  <c r="L497" i="22"/>
  <c r="H497" i="22"/>
  <c r="K497" i="22" s="1"/>
  <c r="L496" i="22"/>
  <c r="H496" i="22"/>
  <c r="K496" i="22" s="1"/>
  <c r="L495" i="22"/>
  <c r="H495" i="22"/>
  <c r="K495" i="22" s="1"/>
  <c r="L494" i="22"/>
  <c r="H494" i="22"/>
  <c r="K494" i="22" s="1"/>
  <c r="L493" i="22"/>
  <c r="H493" i="22"/>
  <c r="K493" i="22" s="1"/>
  <c r="L492" i="22"/>
  <c r="H492" i="22"/>
  <c r="K492" i="22" s="1"/>
  <c r="L491" i="22"/>
  <c r="H491" i="22"/>
  <c r="K491" i="22" s="1"/>
  <c r="L490" i="22"/>
  <c r="H490" i="22"/>
  <c r="K490" i="22" s="1"/>
  <c r="L489" i="22"/>
  <c r="H489" i="22"/>
  <c r="K489" i="22" s="1"/>
  <c r="L488" i="22"/>
  <c r="H488" i="22"/>
  <c r="K488" i="22" s="1"/>
  <c r="L487" i="22"/>
  <c r="H487" i="22"/>
  <c r="K487" i="22" s="1"/>
  <c r="L486" i="22"/>
  <c r="H486" i="22"/>
  <c r="K486" i="22" s="1"/>
  <c r="L485" i="22"/>
  <c r="H485" i="22"/>
  <c r="K485" i="22" s="1"/>
  <c r="L484" i="22"/>
  <c r="H484" i="22"/>
  <c r="K484" i="22" s="1"/>
  <c r="L483" i="22"/>
  <c r="H483" i="22"/>
  <c r="K483" i="22" s="1"/>
  <c r="L482" i="22"/>
  <c r="H482" i="22"/>
  <c r="K482" i="22" s="1"/>
  <c r="L481" i="22"/>
  <c r="H481" i="22"/>
  <c r="K481" i="22" s="1"/>
  <c r="L480" i="22"/>
  <c r="H480" i="22"/>
  <c r="K480" i="22" s="1"/>
  <c r="L479" i="22"/>
  <c r="H479" i="22"/>
  <c r="K479" i="22" s="1"/>
  <c r="L478" i="22"/>
  <c r="H478" i="22"/>
  <c r="K478" i="22" s="1"/>
  <c r="L477" i="22"/>
  <c r="H477" i="22"/>
  <c r="K477" i="22" s="1"/>
  <c r="L476" i="22"/>
  <c r="H476" i="22"/>
  <c r="K476" i="22" s="1"/>
  <c r="L475" i="22"/>
  <c r="H475" i="22"/>
  <c r="K475" i="22" s="1"/>
  <c r="L474" i="22"/>
  <c r="H474" i="22"/>
  <c r="K474" i="22" s="1"/>
  <c r="L473" i="22"/>
  <c r="H473" i="22"/>
  <c r="K473" i="22" s="1"/>
  <c r="L472" i="22"/>
  <c r="H472" i="22"/>
  <c r="K472" i="22" s="1"/>
  <c r="L471" i="22"/>
  <c r="H471" i="22"/>
  <c r="K471" i="22" s="1"/>
  <c r="L470" i="22"/>
  <c r="H470" i="22"/>
  <c r="K470" i="22" s="1"/>
  <c r="L469" i="22"/>
  <c r="H469" i="22"/>
  <c r="K469" i="22" s="1"/>
  <c r="L468" i="22"/>
  <c r="H468" i="22"/>
  <c r="K468" i="22" s="1"/>
  <c r="L467" i="22"/>
  <c r="H467" i="22"/>
  <c r="K467" i="22" s="1"/>
  <c r="L466" i="22"/>
  <c r="H466" i="22"/>
  <c r="K466" i="22" s="1"/>
  <c r="L465" i="22"/>
  <c r="H465" i="22"/>
  <c r="K465" i="22" s="1"/>
  <c r="L464" i="22"/>
  <c r="H464" i="22"/>
  <c r="K464" i="22" s="1"/>
  <c r="L463" i="22"/>
  <c r="H463" i="22"/>
  <c r="K463" i="22" s="1"/>
  <c r="L462" i="22"/>
  <c r="H462" i="22"/>
  <c r="K462" i="22" s="1"/>
  <c r="L461" i="22"/>
  <c r="H461" i="22"/>
  <c r="K461" i="22" s="1"/>
  <c r="L460" i="22"/>
  <c r="H460" i="22"/>
  <c r="K460" i="22" s="1"/>
  <c r="L459" i="22"/>
  <c r="H459" i="22"/>
  <c r="K459" i="22" s="1"/>
  <c r="L458" i="22"/>
  <c r="K458" i="22"/>
  <c r="H458" i="22"/>
  <c r="L457" i="22"/>
  <c r="H457" i="22"/>
  <c r="K457" i="22" s="1"/>
  <c r="L456" i="22"/>
  <c r="H456" i="22"/>
  <c r="K456" i="22" s="1"/>
  <c r="L455" i="22"/>
  <c r="H455" i="22"/>
  <c r="K455" i="22" s="1"/>
  <c r="L454" i="22"/>
  <c r="H454" i="22"/>
  <c r="K454" i="22" s="1"/>
  <c r="L453" i="22"/>
  <c r="H453" i="22"/>
  <c r="K453" i="22" s="1"/>
  <c r="L452" i="22"/>
  <c r="H452" i="22"/>
  <c r="K452" i="22" s="1"/>
  <c r="L451" i="22"/>
  <c r="H451" i="22"/>
  <c r="K451" i="22" s="1"/>
  <c r="L450" i="22"/>
  <c r="H450" i="22"/>
  <c r="K450" i="22" s="1"/>
  <c r="L449" i="22"/>
  <c r="H449" i="22"/>
  <c r="K449" i="22" s="1"/>
  <c r="L448" i="22"/>
  <c r="H448" i="22"/>
  <c r="K448" i="22" s="1"/>
  <c r="L447" i="22"/>
  <c r="H447" i="22"/>
  <c r="K447" i="22" s="1"/>
  <c r="L446" i="22"/>
  <c r="H446" i="22"/>
  <c r="K446" i="22" s="1"/>
  <c r="L445" i="22"/>
  <c r="H445" i="22"/>
  <c r="K445" i="22" s="1"/>
  <c r="L444" i="22"/>
  <c r="H444" i="22"/>
  <c r="K444" i="22" s="1"/>
  <c r="L443" i="22"/>
  <c r="H443" i="22"/>
  <c r="K443" i="22" s="1"/>
  <c r="L442" i="22"/>
  <c r="H442" i="22"/>
  <c r="K442" i="22" s="1"/>
  <c r="L441" i="22"/>
  <c r="H441" i="22"/>
  <c r="K441" i="22" s="1"/>
  <c r="L440" i="22"/>
  <c r="H440" i="22"/>
  <c r="K440" i="22" s="1"/>
  <c r="L439" i="22"/>
  <c r="H439" i="22"/>
  <c r="K439" i="22" s="1"/>
  <c r="L438" i="22"/>
  <c r="H438" i="22"/>
  <c r="K438" i="22" s="1"/>
  <c r="L437" i="22"/>
  <c r="H437" i="22"/>
  <c r="K437" i="22" s="1"/>
  <c r="L436" i="22"/>
  <c r="H436" i="22"/>
  <c r="K436" i="22" s="1"/>
  <c r="L435" i="22"/>
  <c r="H435" i="22"/>
  <c r="K435" i="22" s="1"/>
  <c r="L434" i="22"/>
  <c r="H434" i="22"/>
  <c r="K434" i="22" s="1"/>
  <c r="L433" i="22"/>
  <c r="H433" i="22"/>
  <c r="K433" i="22" s="1"/>
  <c r="L432" i="22"/>
  <c r="H432" i="22"/>
  <c r="K432" i="22" s="1"/>
  <c r="L431" i="22"/>
  <c r="H431" i="22"/>
  <c r="K431" i="22" s="1"/>
  <c r="L430" i="22"/>
  <c r="H430" i="22"/>
  <c r="K430" i="22" s="1"/>
  <c r="L429" i="22"/>
  <c r="H429" i="22"/>
  <c r="K429" i="22" s="1"/>
  <c r="L428" i="22"/>
  <c r="H428" i="22"/>
  <c r="K428" i="22" s="1"/>
  <c r="L427" i="22"/>
  <c r="H427" i="22"/>
  <c r="K427" i="22" s="1"/>
  <c r="L426" i="22"/>
  <c r="H426" i="22"/>
  <c r="K426" i="22" s="1"/>
  <c r="L425" i="22"/>
  <c r="H425" i="22"/>
  <c r="K425" i="22" s="1"/>
  <c r="L424" i="22"/>
  <c r="H424" i="22"/>
  <c r="K424" i="22" s="1"/>
  <c r="L423" i="22"/>
  <c r="H423" i="22"/>
  <c r="K423" i="22" s="1"/>
  <c r="L422" i="22"/>
  <c r="H422" i="22"/>
  <c r="K422" i="22" s="1"/>
  <c r="L421" i="22"/>
  <c r="H421" i="22"/>
  <c r="K421" i="22" s="1"/>
  <c r="L420" i="22"/>
  <c r="H420" i="22"/>
  <c r="K420" i="22" s="1"/>
  <c r="L419" i="22"/>
  <c r="H419" i="22"/>
  <c r="K419" i="22" s="1"/>
  <c r="L418" i="22"/>
  <c r="K418" i="22"/>
  <c r="H418" i="22"/>
  <c r="L417" i="22"/>
  <c r="H417" i="22"/>
  <c r="K417" i="22" s="1"/>
  <c r="L416" i="22"/>
  <c r="H416" i="22"/>
  <c r="K416" i="22" s="1"/>
  <c r="L415" i="22"/>
  <c r="H415" i="22"/>
  <c r="K415" i="22" s="1"/>
  <c r="L414" i="22"/>
  <c r="H414" i="22"/>
  <c r="K414" i="22" s="1"/>
  <c r="L413" i="22"/>
  <c r="H413" i="22"/>
  <c r="K413" i="22" s="1"/>
  <c r="L412" i="22"/>
  <c r="H412" i="22"/>
  <c r="K412" i="22" s="1"/>
  <c r="L411" i="22"/>
  <c r="H411" i="22"/>
  <c r="K411" i="22" s="1"/>
  <c r="L410" i="22"/>
  <c r="H410" i="22"/>
  <c r="K410" i="22" s="1"/>
  <c r="L409" i="22"/>
  <c r="H409" i="22"/>
  <c r="K409" i="22" s="1"/>
  <c r="L408" i="22"/>
  <c r="H408" i="22"/>
  <c r="K408" i="22" s="1"/>
  <c r="L407" i="22"/>
  <c r="H407" i="22"/>
  <c r="K407" i="22" s="1"/>
  <c r="L406" i="22"/>
  <c r="H406" i="22"/>
  <c r="K406" i="22" s="1"/>
  <c r="L405" i="22"/>
  <c r="H405" i="22"/>
  <c r="K405" i="22" s="1"/>
  <c r="L404" i="22"/>
  <c r="H404" i="22"/>
  <c r="K404" i="22" s="1"/>
  <c r="L403" i="22"/>
  <c r="H403" i="22"/>
  <c r="K403" i="22" s="1"/>
  <c r="L402" i="22"/>
  <c r="H402" i="22"/>
  <c r="K402" i="22" s="1"/>
  <c r="L401" i="22"/>
  <c r="H401" i="22"/>
  <c r="K401" i="22" s="1"/>
  <c r="L400" i="22"/>
  <c r="H400" i="22"/>
  <c r="K400" i="22" s="1"/>
  <c r="L399" i="22"/>
  <c r="H399" i="22"/>
  <c r="K399" i="22" s="1"/>
  <c r="L398" i="22"/>
  <c r="H398" i="22"/>
  <c r="K398" i="22" s="1"/>
  <c r="L397" i="22"/>
  <c r="H397" i="22"/>
  <c r="K397" i="22" s="1"/>
  <c r="L396" i="22"/>
  <c r="H396" i="22"/>
  <c r="K396" i="22" s="1"/>
  <c r="L395" i="22"/>
  <c r="H395" i="22"/>
  <c r="K395" i="22" s="1"/>
  <c r="L394" i="22"/>
  <c r="H394" i="22"/>
  <c r="K394" i="22" s="1"/>
  <c r="L393" i="22"/>
  <c r="H393" i="22"/>
  <c r="K393" i="22" s="1"/>
  <c r="L392" i="22"/>
  <c r="H392" i="22"/>
  <c r="K392" i="22" s="1"/>
  <c r="L391" i="22"/>
  <c r="H391" i="22"/>
  <c r="K391" i="22" s="1"/>
  <c r="L390" i="22"/>
  <c r="H390" i="22"/>
  <c r="K390" i="22" s="1"/>
  <c r="L389" i="22"/>
  <c r="H389" i="22"/>
  <c r="K389" i="22" s="1"/>
  <c r="L388" i="22"/>
  <c r="H388" i="22"/>
  <c r="K388" i="22" s="1"/>
  <c r="L387" i="22"/>
  <c r="H387" i="22"/>
  <c r="K387" i="22" s="1"/>
  <c r="L386" i="22"/>
  <c r="H386" i="22"/>
  <c r="K386" i="22" s="1"/>
  <c r="L385" i="22"/>
  <c r="H385" i="22"/>
  <c r="K385" i="22" s="1"/>
  <c r="L384" i="22"/>
  <c r="H384" i="22"/>
  <c r="K384" i="22" s="1"/>
  <c r="L383" i="22"/>
  <c r="H383" i="22"/>
  <c r="K383" i="22" s="1"/>
  <c r="L382" i="22"/>
  <c r="H382" i="22"/>
  <c r="K382" i="22" s="1"/>
  <c r="L381" i="22"/>
  <c r="H381" i="22"/>
  <c r="K381" i="22" s="1"/>
  <c r="L380" i="22"/>
  <c r="H380" i="22"/>
  <c r="K380" i="22" s="1"/>
  <c r="L379" i="22"/>
  <c r="H379" i="22"/>
  <c r="K379" i="22" s="1"/>
  <c r="L378" i="22"/>
  <c r="H378" i="22"/>
  <c r="K378" i="22" s="1"/>
  <c r="L377" i="22"/>
  <c r="H377" i="22"/>
  <c r="K377" i="22" s="1"/>
  <c r="L376" i="22"/>
  <c r="H376" i="22"/>
  <c r="K376" i="22" s="1"/>
  <c r="L375" i="22"/>
  <c r="H375" i="22"/>
  <c r="K375" i="22" s="1"/>
  <c r="L374" i="22"/>
  <c r="H374" i="22"/>
  <c r="K374" i="22" s="1"/>
  <c r="L373" i="22"/>
  <c r="H373" i="22"/>
  <c r="K373" i="22" s="1"/>
  <c r="L372" i="22"/>
  <c r="H372" i="22"/>
  <c r="K372" i="22" s="1"/>
  <c r="L371" i="22"/>
  <c r="H371" i="22"/>
  <c r="K371" i="22" s="1"/>
  <c r="L370" i="22"/>
  <c r="H370" i="22"/>
  <c r="K370" i="22" s="1"/>
  <c r="L369" i="22"/>
  <c r="H369" i="22"/>
  <c r="K369" i="22" s="1"/>
  <c r="L368" i="22"/>
  <c r="H368" i="22"/>
  <c r="K368" i="22" s="1"/>
  <c r="L367" i="22"/>
  <c r="H367" i="22"/>
  <c r="K367" i="22" s="1"/>
  <c r="L366" i="22"/>
  <c r="H366" i="22"/>
  <c r="K366" i="22" s="1"/>
  <c r="L365" i="22"/>
  <c r="H365" i="22"/>
  <c r="K365" i="22" s="1"/>
  <c r="L364" i="22"/>
  <c r="H364" i="22"/>
  <c r="K364" i="22" s="1"/>
  <c r="L363" i="22"/>
  <c r="H363" i="22"/>
  <c r="K363" i="22" s="1"/>
  <c r="L362" i="22"/>
  <c r="H362" i="22"/>
  <c r="K362" i="22" s="1"/>
  <c r="L361" i="22"/>
  <c r="H361" i="22"/>
  <c r="K361" i="22" s="1"/>
  <c r="L360" i="22"/>
  <c r="H360" i="22"/>
  <c r="K360" i="22" s="1"/>
  <c r="L359" i="22"/>
  <c r="H359" i="22"/>
  <c r="K359" i="22" s="1"/>
  <c r="L358" i="22"/>
  <c r="H358" i="22"/>
  <c r="K358" i="22" s="1"/>
  <c r="L357" i="22"/>
  <c r="H357" i="22"/>
  <c r="K357" i="22" s="1"/>
  <c r="L356" i="22"/>
  <c r="H356" i="22"/>
  <c r="K356" i="22" s="1"/>
  <c r="L355" i="22"/>
  <c r="H355" i="22"/>
  <c r="K355" i="22" s="1"/>
  <c r="L354" i="22"/>
  <c r="H354" i="22"/>
  <c r="K354" i="22" s="1"/>
  <c r="L353" i="22"/>
  <c r="H353" i="22"/>
  <c r="K353" i="22" s="1"/>
  <c r="L352" i="22"/>
  <c r="H352" i="22"/>
  <c r="K352" i="22" s="1"/>
  <c r="L351" i="22"/>
  <c r="H351" i="22"/>
  <c r="K351" i="22" s="1"/>
  <c r="L350" i="22"/>
  <c r="H350" i="22"/>
  <c r="K350" i="22" s="1"/>
  <c r="L349" i="22"/>
  <c r="H349" i="22"/>
  <c r="K349" i="22" s="1"/>
  <c r="L348" i="22"/>
  <c r="H348" i="22"/>
  <c r="K348" i="22" s="1"/>
  <c r="L347" i="22"/>
  <c r="H347" i="22"/>
  <c r="K347" i="22" s="1"/>
  <c r="L346" i="22"/>
  <c r="H346" i="22"/>
  <c r="K346" i="22" s="1"/>
  <c r="L345" i="22"/>
  <c r="H345" i="22"/>
  <c r="K345" i="22" s="1"/>
  <c r="L344" i="22"/>
  <c r="H344" i="22"/>
  <c r="K344" i="22" s="1"/>
  <c r="L343" i="22"/>
  <c r="H343" i="22"/>
  <c r="K343" i="22" s="1"/>
  <c r="L342" i="22"/>
  <c r="H342" i="22"/>
  <c r="K342" i="22" s="1"/>
  <c r="L341" i="22"/>
  <c r="H341" i="22"/>
  <c r="K341" i="22" s="1"/>
  <c r="L340" i="22"/>
  <c r="H340" i="22"/>
  <c r="K340" i="22" s="1"/>
  <c r="L339" i="22"/>
  <c r="H339" i="22"/>
  <c r="K339" i="22" s="1"/>
  <c r="L338" i="22"/>
  <c r="H338" i="22"/>
  <c r="K338" i="22" s="1"/>
  <c r="L337" i="22"/>
  <c r="H337" i="22"/>
  <c r="K337" i="22" s="1"/>
  <c r="L336" i="22"/>
  <c r="H336" i="22"/>
  <c r="K336" i="22" s="1"/>
  <c r="L335" i="22"/>
  <c r="H335" i="22"/>
  <c r="K335" i="22" s="1"/>
  <c r="L334" i="22"/>
  <c r="H334" i="22"/>
  <c r="K334" i="22" s="1"/>
  <c r="L333" i="22"/>
  <c r="H333" i="22"/>
  <c r="K333" i="22" s="1"/>
  <c r="L332" i="22"/>
  <c r="H332" i="22"/>
  <c r="K332" i="22" s="1"/>
  <c r="L331" i="22"/>
  <c r="H331" i="22"/>
  <c r="K331" i="22" s="1"/>
  <c r="L330" i="22"/>
  <c r="H330" i="22"/>
  <c r="K330" i="22" s="1"/>
  <c r="L329" i="22"/>
  <c r="H329" i="22"/>
  <c r="K329" i="22" s="1"/>
  <c r="L328" i="22"/>
  <c r="H328" i="22"/>
  <c r="K328" i="22" s="1"/>
  <c r="L327" i="22"/>
  <c r="H327" i="22"/>
  <c r="K327" i="22" s="1"/>
  <c r="L326" i="22"/>
  <c r="H326" i="22"/>
  <c r="K326" i="22" s="1"/>
  <c r="L325" i="22"/>
  <c r="H325" i="22"/>
  <c r="K325" i="22" s="1"/>
  <c r="L324" i="22"/>
  <c r="H324" i="22"/>
  <c r="K324" i="22" s="1"/>
  <c r="L323" i="22"/>
  <c r="H323" i="22"/>
  <c r="K323" i="22" s="1"/>
  <c r="L322" i="22"/>
  <c r="H322" i="22"/>
  <c r="K322" i="22" s="1"/>
  <c r="L321" i="22"/>
  <c r="H321" i="22"/>
  <c r="K321" i="22" s="1"/>
  <c r="L320" i="22"/>
  <c r="H320" i="22"/>
  <c r="K320" i="22" s="1"/>
  <c r="L319" i="22"/>
  <c r="H319" i="22"/>
  <c r="K319" i="22" s="1"/>
  <c r="L318" i="22"/>
  <c r="H318" i="22"/>
  <c r="K318" i="22" s="1"/>
  <c r="L317" i="22"/>
  <c r="H317" i="22"/>
  <c r="K317" i="22" s="1"/>
  <c r="L316" i="22"/>
  <c r="H316" i="22"/>
  <c r="K316" i="22" s="1"/>
  <c r="L315" i="22"/>
  <c r="H315" i="22"/>
  <c r="K315" i="22" s="1"/>
  <c r="L314" i="22"/>
  <c r="H314" i="22"/>
  <c r="K314" i="22" s="1"/>
  <c r="L313" i="22"/>
  <c r="H313" i="22"/>
  <c r="K313" i="22" s="1"/>
  <c r="L312" i="22"/>
  <c r="H312" i="22"/>
  <c r="K312" i="22" s="1"/>
  <c r="L311" i="22"/>
  <c r="H311" i="22"/>
  <c r="K311" i="22" s="1"/>
  <c r="L310" i="22"/>
  <c r="H310" i="22"/>
  <c r="K310" i="22" s="1"/>
  <c r="L309" i="22"/>
  <c r="H309" i="22"/>
  <c r="K309" i="22" s="1"/>
  <c r="L308" i="22"/>
  <c r="H308" i="22"/>
  <c r="K308" i="22" s="1"/>
  <c r="L307" i="22"/>
  <c r="H307" i="22"/>
  <c r="K307" i="22" s="1"/>
  <c r="L306" i="22"/>
  <c r="H306" i="22"/>
  <c r="K306" i="22" s="1"/>
  <c r="L305" i="22"/>
  <c r="H305" i="22"/>
  <c r="K305" i="22" s="1"/>
  <c r="L304" i="22"/>
  <c r="H304" i="22"/>
  <c r="K304" i="22" s="1"/>
  <c r="L303" i="22"/>
  <c r="H303" i="22"/>
  <c r="K303" i="22" s="1"/>
  <c r="L302" i="22"/>
  <c r="H302" i="22"/>
  <c r="K302" i="22" s="1"/>
  <c r="L301" i="22"/>
  <c r="H301" i="22"/>
  <c r="K301" i="22" s="1"/>
  <c r="L300" i="22"/>
  <c r="H300" i="22"/>
  <c r="K300" i="22" s="1"/>
  <c r="L299" i="22"/>
  <c r="H299" i="22"/>
  <c r="K299" i="22" s="1"/>
  <c r="L298" i="22"/>
  <c r="H298" i="22"/>
  <c r="K298" i="22" s="1"/>
  <c r="L297" i="22"/>
  <c r="H297" i="22"/>
  <c r="K297" i="22" s="1"/>
  <c r="L296" i="22"/>
  <c r="H296" i="22"/>
  <c r="K296" i="22" s="1"/>
  <c r="L295" i="22"/>
  <c r="H295" i="22"/>
  <c r="K295" i="22" s="1"/>
  <c r="L294" i="22"/>
  <c r="H294" i="22"/>
  <c r="K294" i="22" s="1"/>
  <c r="L293" i="22"/>
  <c r="H293" i="22"/>
  <c r="K293" i="22" s="1"/>
  <c r="L292" i="22"/>
  <c r="H292" i="22"/>
  <c r="K292" i="22" s="1"/>
  <c r="L291" i="22"/>
  <c r="H291" i="22"/>
  <c r="K291" i="22" s="1"/>
  <c r="L290" i="22"/>
  <c r="H290" i="22"/>
  <c r="K290" i="22" s="1"/>
  <c r="L289" i="22"/>
  <c r="H289" i="22"/>
  <c r="K289" i="22" s="1"/>
  <c r="L288" i="22"/>
  <c r="H288" i="22"/>
  <c r="K288" i="22" s="1"/>
  <c r="L287" i="22"/>
  <c r="H287" i="22"/>
  <c r="K287" i="22" s="1"/>
  <c r="L286" i="22"/>
  <c r="H286" i="22"/>
  <c r="K286" i="22" s="1"/>
  <c r="L285" i="22"/>
  <c r="H285" i="22"/>
  <c r="K285" i="22" s="1"/>
  <c r="L284" i="22"/>
  <c r="H284" i="22"/>
  <c r="K284" i="22" s="1"/>
  <c r="L283" i="22"/>
  <c r="H283" i="22"/>
  <c r="K283" i="22" s="1"/>
  <c r="L282" i="22"/>
  <c r="H282" i="22"/>
  <c r="K282" i="22" s="1"/>
  <c r="L281" i="22"/>
  <c r="H281" i="22"/>
  <c r="K281" i="22" s="1"/>
  <c r="L280" i="22"/>
  <c r="H280" i="22"/>
  <c r="K280" i="22" s="1"/>
  <c r="L279" i="22"/>
  <c r="H279" i="22"/>
  <c r="K279" i="22" s="1"/>
  <c r="L278" i="22"/>
  <c r="H278" i="22"/>
  <c r="K278" i="22" s="1"/>
  <c r="L277" i="22"/>
  <c r="H277" i="22"/>
  <c r="K277" i="22" s="1"/>
  <c r="L276" i="22"/>
  <c r="H276" i="22"/>
  <c r="K276" i="22" s="1"/>
  <c r="L275" i="22"/>
  <c r="H275" i="22"/>
  <c r="K275" i="22" s="1"/>
  <c r="L274" i="22"/>
  <c r="H274" i="22"/>
  <c r="K274" i="22" s="1"/>
  <c r="L273" i="22"/>
  <c r="H273" i="22"/>
  <c r="K273" i="22" s="1"/>
  <c r="L272" i="22"/>
  <c r="K272" i="22"/>
  <c r="H272" i="22"/>
  <c r="L271" i="22"/>
  <c r="H271" i="22"/>
  <c r="K271" i="22" s="1"/>
  <c r="L270" i="22"/>
  <c r="H270" i="22"/>
  <c r="K270" i="22" s="1"/>
  <c r="L269" i="22"/>
  <c r="H269" i="22"/>
  <c r="K269" i="22" s="1"/>
  <c r="L268" i="22"/>
  <c r="H268" i="22"/>
  <c r="K268" i="22" s="1"/>
  <c r="L267" i="22"/>
  <c r="H267" i="22"/>
  <c r="K267" i="22" s="1"/>
  <c r="L266" i="22"/>
  <c r="H266" i="22"/>
  <c r="K266" i="22" s="1"/>
  <c r="L265" i="22"/>
  <c r="H265" i="22"/>
  <c r="K265" i="22" s="1"/>
  <c r="L264" i="22"/>
  <c r="H264" i="22"/>
  <c r="K264" i="22" s="1"/>
  <c r="L263" i="22"/>
  <c r="H263" i="22"/>
  <c r="K263" i="22" s="1"/>
  <c r="L262" i="22"/>
  <c r="H262" i="22"/>
  <c r="K262" i="22" s="1"/>
  <c r="L261" i="22"/>
  <c r="H261" i="22"/>
  <c r="K261" i="22" s="1"/>
  <c r="L260" i="22"/>
  <c r="H260" i="22"/>
  <c r="K260" i="22" s="1"/>
  <c r="L259" i="22"/>
  <c r="H259" i="22"/>
  <c r="K259" i="22" s="1"/>
  <c r="L258" i="22"/>
  <c r="H258" i="22"/>
  <c r="K258" i="22" s="1"/>
  <c r="L257" i="22"/>
  <c r="H257" i="22"/>
  <c r="K257" i="22" s="1"/>
  <c r="L256" i="22"/>
  <c r="H256" i="22"/>
  <c r="K256" i="22" s="1"/>
  <c r="L255" i="22"/>
  <c r="H255" i="22"/>
  <c r="K255" i="22" s="1"/>
  <c r="L254" i="22"/>
  <c r="H254" i="22"/>
  <c r="K254" i="22" s="1"/>
  <c r="L253" i="22"/>
  <c r="H253" i="22"/>
  <c r="K253" i="22" s="1"/>
  <c r="L252" i="22"/>
  <c r="H252" i="22"/>
  <c r="K252" i="22" s="1"/>
  <c r="L251" i="22"/>
  <c r="H251" i="22"/>
  <c r="K251" i="22" s="1"/>
  <c r="L250" i="22"/>
  <c r="H250" i="22"/>
  <c r="K250" i="22" s="1"/>
  <c r="L249" i="22"/>
  <c r="H249" i="22"/>
  <c r="K249" i="22" s="1"/>
  <c r="L248" i="22"/>
  <c r="H248" i="22"/>
  <c r="K248" i="22" s="1"/>
  <c r="L247" i="22"/>
  <c r="H247" i="22"/>
  <c r="K247" i="22" s="1"/>
  <c r="L246" i="22"/>
  <c r="H246" i="22"/>
  <c r="K246" i="22" s="1"/>
  <c r="L245" i="22"/>
  <c r="H245" i="22"/>
  <c r="K245" i="22" s="1"/>
  <c r="L244" i="22"/>
  <c r="H244" i="22"/>
  <c r="K244" i="22" s="1"/>
  <c r="L243" i="22"/>
  <c r="H243" i="22"/>
  <c r="K243" i="22" s="1"/>
  <c r="L242" i="22"/>
  <c r="H242" i="22"/>
  <c r="K242" i="22" s="1"/>
  <c r="L241" i="22"/>
  <c r="H241" i="22"/>
  <c r="K241" i="22" s="1"/>
  <c r="L240" i="22"/>
  <c r="H240" i="22"/>
  <c r="K240" i="22" s="1"/>
  <c r="L239" i="22"/>
  <c r="H239" i="22"/>
  <c r="K239" i="22" s="1"/>
  <c r="L238" i="22"/>
  <c r="H238" i="22"/>
  <c r="K238" i="22" s="1"/>
  <c r="L237" i="22"/>
  <c r="H237" i="22"/>
  <c r="K237" i="22" s="1"/>
  <c r="L236" i="22"/>
  <c r="H236" i="22"/>
  <c r="K236" i="22" s="1"/>
  <c r="L235" i="22"/>
  <c r="H235" i="22"/>
  <c r="K235" i="22" s="1"/>
  <c r="L234" i="22"/>
  <c r="H234" i="22"/>
  <c r="K234" i="22" s="1"/>
  <c r="L233" i="22"/>
  <c r="H233" i="22"/>
  <c r="K233" i="22" s="1"/>
  <c r="L232" i="22"/>
  <c r="H232" i="22"/>
  <c r="K232" i="22" s="1"/>
  <c r="L231" i="22"/>
  <c r="H231" i="22"/>
  <c r="K231" i="22" s="1"/>
  <c r="L230" i="22"/>
  <c r="H230" i="22"/>
  <c r="K230" i="22" s="1"/>
  <c r="L229" i="22"/>
  <c r="H229" i="22"/>
  <c r="K229" i="22" s="1"/>
  <c r="L228" i="22"/>
  <c r="H228" i="22"/>
  <c r="K228" i="22" s="1"/>
  <c r="L227" i="22"/>
  <c r="H227" i="22"/>
  <c r="K227" i="22" s="1"/>
  <c r="L226" i="22"/>
  <c r="H226" i="22"/>
  <c r="K226" i="22" s="1"/>
  <c r="L225" i="22"/>
  <c r="H225" i="22"/>
  <c r="K225" i="22" s="1"/>
  <c r="L224" i="22"/>
  <c r="H224" i="22"/>
  <c r="K224" i="22" s="1"/>
  <c r="L223" i="22"/>
  <c r="H223" i="22"/>
  <c r="K223" i="22" s="1"/>
  <c r="L222" i="22"/>
  <c r="H222" i="22"/>
  <c r="K222" i="22" s="1"/>
  <c r="L221" i="22"/>
  <c r="H221" i="22"/>
  <c r="K221" i="22" s="1"/>
  <c r="L220" i="22"/>
  <c r="H220" i="22"/>
  <c r="K220" i="22" s="1"/>
  <c r="L219" i="22"/>
  <c r="H219" i="22"/>
  <c r="K219" i="22" s="1"/>
  <c r="L218" i="22"/>
  <c r="K218" i="22"/>
  <c r="H218" i="22"/>
  <c r="L217" i="22"/>
  <c r="H217" i="22"/>
  <c r="K217" i="22" s="1"/>
  <c r="L216" i="22"/>
  <c r="H216" i="22"/>
  <c r="K216" i="22" s="1"/>
  <c r="L215" i="22"/>
  <c r="H215" i="22"/>
  <c r="K215" i="22" s="1"/>
  <c r="L214" i="22"/>
  <c r="H214" i="22"/>
  <c r="K214" i="22" s="1"/>
  <c r="L213" i="22"/>
  <c r="H213" i="22"/>
  <c r="K213" i="22" s="1"/>
  <c r="L212" i="22"/>
  <c r="H212" i="22"/>
  <c r="K212" i="22" s="1"/>
  <c r="L211" i="22"/>
  <c r="H211" i="22"/>
  <c r="K211" i="22" s="1"/>
  <c r="L210" i="22"/>
  <c r="H210" i="22"/>
  <c r="K210" i="22" s="1"/>
  <c r="L209" i="22"/>
  <c r="H209" i="22"/>
  <c r="K209" i="22" s="1"/>
  <c r="L208" i="22"/>
  <c r="H208" i="22"/>
  <c r="K208" i="22" s="1"/>
  <c r="L207" i="22"/>
  <c r="H207" i="22"/>
  <c r="K207" i="22" s="1"/>
  <c r="L206" i="22"/>
  <c r="H206" i="22"/>
  <c r="K206" i="22" s="1"/>
  <c r="L205" i="22"/>
  <c r="H205" i="22"/>
  <c r="K205" i="22" s="1"/>
  <c r="L204" i="22"/>
  <c r="H204" i="22"/>
  <c r="K204" i="22" s="1"/>
  <c r="L203" i="22"/>
  <c r="H203" i="22"/>
  <c r="K203" i="22" s="1"/>
  <c r="L202" i="22"/>
  <c r="H202" i="22"/>
  <c r="K202" i="22" s="1"/>
  <c r="L201" i="22"/>
  <c r="H201" i="22"/>
  <c r="K201" i="22" s="1"/>
  <c r="L200" i="22"/>
  <c r="H200" i="22"/>
  <c r="K200" i="22" s="1"/>
  <c r="L199" i="22"/>
  <c r="H199" i="22"/>
  <c r="K199" i="22" s="1"/>
  <c r="L198" i="22"/>
  <c r="H198" i="22"/>
  <c r="K198" i="22" s="1"/>
  <c r="L197" i="22"/>
  <c r="H197" i="22"/>
  <c r="K197" i="22" s="1"/>
  <c r="L196" i="22"/>
  <c r="H196" i="22"/>
  <c r="K196" i="22" s="1"/>
  <c r="L195" i="22"/>
  <c r="H195" i="22"/>
  <c r="K195" i="22" s="1"/>
  <c r="L194" i="22"/>
  <c r="H194" i="22"/>
  <c r="K194" i="22" s="1"/>
  <c r="L193" i="22"/>
  <c r="H193" i="22"/>
  <c r="K193" i="22" s="1"/>
  <c r="L192" i="22"/>
  <c r="H192" i="22"/>
  <c r="K192" i="22" s="1"/>
  <c r="L191" i="22"/>
  <c r="H191" i="22"/>
  <c r="K191" i="22" s="1"/>
  <c r="L190" i="22"/>
  <c r="H190" i="22"/>
  <c r="K190" i="22" s="1"/>
  <c r="L189" i="22"/>
  <c r="H189" i="22"/>
  <c r="K189" i="22" s="1"/>
  <c r="L188" i="22"/>
  <c r="H188" i="22"/>
  <c r="K188" i="22" s="1"/>
  <c r="L187" i="22"/>
  <c r="H187" i="22"/>
  <c r="K187" i="22" s="1"/>
  <c r="L186" i="22"/>
  <c r="H186" i="22"/>
  <c r="K186" i="22" s="1"/>
  <c r="L185" i="22"/>
  <c r="H185" i="22"/>
  <c r="K185" i="22" s="1"/>
  <c r="L184" i="22"/>
  <c r="H184" i="22"/>
  <c r="K184" i="22" s="1"/>
  <c r="L183" i="22"/>
  <c r="H183" i="22"/>
  <c r="K183" i="22" s="1"/>
  <c r="L182" i="22"/>
  <c r="H182" i="22"/>
  <c r="K182" i="22" s="1"/>
  <c r="L181" i="22"/>
  <c r="H181" i="22"/>
  <c r="K181" i="22" s="1"/>
  <c r="L180" i="22"/>
  <c r="H180" i="22"/>
  <c r="K180" i="22" s="1"/>
  <c r="L179" i="22"/>
  <c r="H179" i="22"/>
  <c r="K179" i="22" s="1"/>
  <c r="L178" i="22"/>
  <c r="H178" i="22"/>
  <c r="K178" i="22" s="1"/>
  <c r="L177" i="22"/>
  <c r="H177" i="22"/>
  <c r="K177" i="22" s="1"/>
  <c r="L176" i="22"/>
  <c r="H176" i="22"/>
  <c r="K176" i="22" s="1"/>
  <c r="L175" i="22"/>
  <c r="H175" i="22"/>
  <c r="K175" i="22" s="1"/>
  <c r="L174" i="22"/>
  <c r="H174" i="22"/>
  <c r="K174" i="22" s="1"/>
  <c r="L173" i="22"/>
  <c r="H173" i="22"/>
  <c r="K173" i="22" s="1"/>
  <c r="L172" i="22"/>
  <c r="H172" i="22"/>
  <c r="K172" i="22" s="1"/>
  <c r="L171" i="22"/>
  <c r="H171" i="22"/>
  <c r="K171" i="22" s="1"/>
  <c r="L170" i="22"/>
  <c r="H170" i="22"/>
  <c r="K170" i="22" s="1"/>
  <c r="L169" i="22"/>
  <c r="H169" i="22"/>
  <c r="K169" i="22" s="1"/>
  <c r="L168" i="22"/>
  <c r="H168" i="22"/>
  <c r="K168" i="22" s="1"/>
  <c r="L167" i="22"/>
  <c r="H167" i="22"/>
  <c r="K167" i="22" s="1"/>
  <c r="L166" i="22"/>
  <c r="H166" i="22"/>
  <c r="K166" i="22" s="1"/>
  <c r="L165" i="22"/>
  <c r="H165" i="22"/>
  <c r="K165" i="22" s="1"/>
  <c r="L164" i="22"/>
  <c r="H164" i="22"/>
  <c r="K164" i="22" s="1"/>
  <c r="L163" i="22"/>
  <c r="H163" i="22"/>
  <c r="K163" i="22" s="1"/>
  <c r="L162" i="22"/>
  <c r="H162" i="22"/>
  <c r="K162" i="22" s="1"/>
  <c r="L161" i="22"/>
  <c r="H161" i="22"/>
  <c r="K161" i="22" s="1"/>
  <c r="L160" i="22"/>
  <c r="H160" i="22"/>
  <c r="K160" i="22" s="1"/>
  <c r="L159" i="22"/>
  <c r="H159" i="22"/>
  <c r="K159" i="22" s="1"/>
  <c r="L158" i="22"/>
  <c r="H158" i="22"/>
  <c r="K158" i="22" s="1"/>
  <c r="L157" i="22"/>
  <c r="H157" i="22"/>
  <c r="K157" i="22" s="1"/>
  <c r="L156" i="22"/>
  <c r="H156" i="22"/>
  <c r="K156" i="22" s="1"/>
  <c r="L155" i="22"/>
  <c r="H155" i="22"/>
  <c r="K155" i="22" s="1"/>
  <c r="L154" i="22"/>
  <c r="H154" i="22"/>
  <c r="K154" i="22" s="1"/>
  <c r="L153" i="22"/>
  <c r="H153" i="22"/>
  <c r="K153" i="22" s="1"/>
  <c r="L152" i="22"/>
  <c r="H152" i="22"/>
  <c r="K152" i="22" s="1"/>
  <c r="L151" i="22"/>
  <c r="H151" i="22"/>
  <c r="K151" i="22" s="1"/>
  <c r="L150" i="22"/>
  <c r="H150" i="22"/>
  <c r="K150" i="22" s="1"/>
  <c r="L149" i="22"/>
  <c r="H149" i="22"/>
  <c r="K149" i="22" s="1"/>
  <c r="L148" i="22"/>
  <c r="H148" i="22"/>
  <c r="K148" i="22" s="1"/>
  <c r="L147" i="22"/>
  <c r="H147" i="22"/>
  <c r="K147" i="22" s="1"/>
  <c r="L146" i="22"/>
  <c r="H146" i="22"/>
  <c r="K146" i="22" s="1"/>
  <c r="L145" i="22"/>
  <c r="H145" i="22"/>
  <c r="K145" i="22" s="1"/>
  <c r="L144" i="22"/>
  <c r="H144" i="22"/>
  <c r="K144" i="22" s="1"/>
  <c r="L143" i="22"/>
  <c r="H143" i="22"/>
  <c r="K143" i="22" s="1"/>
  <c r="L142" i="22"/>
  <c r="H142" i="22"/>
  <c r="K142" i="22" s="1"/>
  <c r="L141" i="22"/>
  <c r="H141" i="22"/>
  <c r="K141" i="22" s="1"/>
  <c r="L140" i="22"/>
  <c r="H140" i="22"/>
  <c r="K140" i="22" s="1"/>
  <c r="L139" i="22"/>
  <c r="H139" i="22"/>
  <c r="K139" i="22" s="1"/>
  <c r="L138" i="22"/>
  <c r="H138" i="22"/>
  <c r="K138" i="22" s="1"/>
  <c r="L137" i="22"/>
  <c r="H137" i="22"/>
  <c r="K137" i="22" s="1"/>
  <c r="L136" i="22"/>
  <c r="H136" i="22"/>
  <c r="K136" i="22" s="1"/>
  <c r="L135" i="22"/>
  <c r="H135" i="22"/>
  <c r="K135" i="22" s="1"/>
  <c r="L134" i="22"/>
  <c r="H134" i="22"/>
  <c r="K134" i="22" s="1"/>
  <c r="L133" i="22"/>
  <c r="H133" i="22"/>
  <c r="K133" i="22" s="1"/>
  <c r="L132" i="22"/>
  <c r="H132" i="22"/>
  <c r="K132" i="22" s="1"/>
  <c r="L131" i="22"/>
  <c r="H131" i="22"/>
  <c r="K131" i="22" s="1"/>
  <c r="L130" i="22"/>
  <c r="H130" i="22"/>
  <c r="K130" i="22" s="1"/>
  <c r="L129" i="22"/>
  <c r="H129" i="22"/>
  <c r="K129" i="22" s="1"/>
  <c r="L128" i="22"/>
  <c r="H128" i="22"/>
  <c r="K128" i="22" s="1"/>
  <c r="L127" i="22"/>
  <c r="H127" i="22"/>
  <c r="K127" i="22" s="1"/>
  <c r="L126" i="22"/>
  <c r="H126" i="22"/>
  <c r="K126" i="22" s="1"/>
  <c r="L125" i="22"/>
  <c r="H125" i="22"/>
  <c r="K125" i="22" s="1"/>
  <c r="L124" i="22"/>
  <c r="H124" i="22"/>
  <c r="K124" i="22" s="1"/>
  <c r="L123" i="22"/>
  <c r="H123" i="22"/>
  <c r="K123" i="22" s="1"/>
  <c r="L122" i="22"/>
  <c r="H122" i="22"/>
  <c r="K122" i="22" s="1"/>
  <c r="L121" i="22"/>
  <c r="H121" i="22"/>
  <c r="K121" i="22" s="1"/>
  <c r="L120" i="22"/>
  <c r="H120" i="22"/>
  <c r="K120" i="22" s="1"/>
  <c r="L119" i="22"/>
  <c r="H119" i="22"/>
  <c r="K119" i="22" s="1"/>
  <c r="L118" i="22"/>
  <c r="H118" i="22"/>
  <c r="K118" i="22" s="1"/>
  <c r="L117" i="22"/>
  <c r="H117" i="22"/>
  <c r="K117" i="22" s="1"/>
  <c r="L116" i="22"/>
  <c r="H116" i="22"/>
  <c r="K116" i="22" s="1"/>
  <c r="L115" i="22"/>
  <c r="H115" i="22"/>
  <c r="K115" i="22" s="1"/>
  <c r="L114" i="22"/>
  <c r="H114" i="22"/>
  <c r="K114" i="22" s="1"/>
  <c r="L113" i="22"/>
  <c r="H113" i="22"/>
  <c r="K113" i="22" s="1"/>
  <c r="L112" i="22"/>
  <c r="H112" i="22"/>
  <c r="K112" i="22" s="1"/>
  <c r="L111" i="22"/>
  <c r="H111" i="22"/>
  <c r="K111" i="22" s="1"/>
  <c r="L110" i="22"/>
  <c r="H110" i="22"/>
  <c r="K110" i="22" s="1"/>
  <c r="L109" i="22"/>
  <c r="H109" i="22"/>
  <c r="K109" i="22" s="1"/>
  <c r="L108" i="22"/>
  <c r="H108" i="22"/>
  <c r="K108" i="22" s="1"/>
  <c r="L107" i="22"/>
  <c r="H107" i="22"/>
  <c r="K107" i="22" s="1"/>
  <c r="L106" i="22"/>
  <c r="H106" i="22"/>
  <c r="K106" i="22" s="1"/>
  <c r="L105" i="22"/>
  <c r="H105" i="22"/>
  <c r="K105" i="22" s="1"/>
  <c r="L104" i="22"/>
  <c r="H104" i="22"/>
  <c r="K104" i="22" s="1"/>
  <c r="L103" i="22"/>
  <c r="H103" i="22"/>
  <c r="K103" i="22" s="1"/>
  <c r="L102" i="22"/>
  <c r="H102" i="22"/>
  <c r="K102" i="22" s="1"/>
  <c r="L101" i="22"/>
  <c r="H101" i="22"/>
  <c r="K101" i="22" s="1"/>
  <c r="L100" i="22"/>
  <c r="H100" i="22"/>
  <c r="K100" i="22" s="1"/>
  <c r="L99" i="22"/>
  <c r="H99" i="22"/>
  <c r="K99" i="22" s="1"/>
  <c r="L98" i="22"/>
  <c r="H98" i="22"/>
  <c r="K98" i="22" s="1"/>
  <c r="L97" i="22"/>
  <c r="H97" i="22"/>
  <c r="K97" i="22" s="1"/>
  <c r="L96" i="22"/>
  <c r="H96" i="22"/>
  <c r="K96" i="22" s="1"/>
  <c r="L95" i="22"/>
  <c r="H95" i="22"/>
  <c r="K95" i="22" s="1"/>
  <c r="L94" i="22"/>
  <c r="H94" i="22"/>
  <c r="K94" i="22" s="1"/>
  <c r="L93" i="22"/>
  <c r="H93" i="22"/>
  <c r="K93" i="22" s="1"/>
  <c r="L92" i="22"/>
  <c r="H92" i="22"/>
  <c r="K92" i="22" s="1"/>
  <c r="L91" i="22"/>
  <c r="H91" i="22"/>
  <c r="K91" i="22" s="1"/>
  <c r="L90" i="22"/>
  <c r="H90" i="22"/>
  <c r="K90" i="22" s="1"/>
  <c r="L89" i="22"/>
  <c r="H89" i="22"/>
  <c r="K89" i="22" s="1"/>
  <c r="L88" i="22"/>
  <c r="H88" i="22"/>
  <c r="K88" i="22" s="1"/>
  <c r="L87" i="22"/>
  <c r="H87" i="22"/>
  <c r="K87" i="22" s="1"/>
  <c r="L86" i="22"/>
  <c r="H86" i="22"/>
  <c r="K86" i="22" s="1"/>
  <c r="L85" i="22"/>
  <c r="H85" i="22"/>
  <c r="K85" i="22" s="1"/>
  <c r="L84" i="22"/>
  <c r="H84" i="22"/>
  <c r="K84" i="22" s="1"/>
  <c r="L83" i="22"/>
  <c r="H83" i="22"/>
  <c r="K83" i="22" s="1"/>
  <c r="L82" i="22"/>
  <c r="H82" i="22"/>
  <c r="K82" i="22" s="1"/>
  <c r="L81" i="22"/>
  <c r="H81" i="22"/>
  <c r="K81" i="22" s="1"/>
  <c r="L80" i="22"/>
  <c r="H80" i="22"/>
  <c r="K80" i="22" s="1"/>
  <c r="L79" i="22"/>
  <c r="H79" i="22"/>
  <c r="K79" i="22" s="1"/>
  <c r="L78" i="22"/>
  <c r="H78" i="22"/>
  <c r="K78" i="22" s="1"/>
  <c r="L77" i="22"/>
  <c r="H77" i="22"/>
  <c r="K77" i="22" s="1"/>
  <c r="L76" i="22"/>
  <c r="H76" i="22"/>
  <c r="K76" i="22" s="1"/>
  <c r="L75" i="22"/>
  <c r="H75" i="22"/>
  <c r="K75" i="22" s="1"/>
  <c r="L74" i="22"/>
  <c r="H74" i="22"/>
  <c r="K74" i="22" s="1"/>
  <c r="L73" i="22"/>
  <c r="H73" i="22"/>
  <c r="K73" i="22" s="1"/>
  <c r="L72" i="22"/>
  <c r="H72" i="22"/>
  <c r="K72" i="22" s="1"/>
  <c r="L71" i="22"/>
  <c r="H71" i="22"/>
  <c r="K71" i="22" s="1"/>
  <c r="L70" i="22"/>
  <c r="H70" i="22"/>
  <c r="K70" i="22" s="1"/>
  <c r="L69" i="22"/>
  <c r="H69" i="22"/>
  <c r="K69" i="22" s="1"/>
  <c r="L68" i="22"/>
  <c r="H68" i="22"/>
  <c r="K68" i="22" s="1"/>
  <c r="L67" i="22"/>
  <c r="H67" i="22"/>
  <c r="K67" i="22" s="1"/>
  <c r="L66" i="22"/>
  <c r="H66" i="22"/>
  <c r="K66" i="22" s="1"/>
  <c r="L65" i="22"/>
  <c r="H65" i="22"/>
  <c r="K65" i="22" s="1"/>
  <c r="L64" i="22"/>
  <c r="H64" i="22"/>
  <c r="K64" i="22" s="1"/>
  <c r="L63" i="22"/>
  <c r="H63" i="22"/>
  <c r="K63" i="22" s="1"/>
  <c r="L62" i="22"/>
  <c r="H62" i="22"/>
  <c r="K62" i="22" s="1"/>
  <c r="L61" i="22"/>
  <c r="H61" i="22"/>
  <c r="K61" i="22" s="1"/>
  <c r="L60" i="22"/>
  <c r="H60" i="22"/>
  <c r="K60" i="22" s="1"/>
  <c r="L59" i="22"/>
  <c r="H59" i="22"/>
  <c r="K59" i="22" s="1"/>
  <c r="L58" i="22"/>
  <c r="H58" i="22"/>
  <c r="K58" i="22" s="1"/>
  <c r="L57" i="22"/>
  <c r="H57" i="22"/>
  <c r="K57" i="22" s="1"/>
  <c r="L56" i="22"/>
  <c r="H56" i="22"/>
  <c r="K56" i="22" s="1"/>
  <c r="L55" i="22"/>
  <c r="H55" i="22"/>
  <c r="K55" i="22" s="1"/>
  <c r="L54" i="22"/>
  <c r="H54" i="22"/>
  <c r="K54" i="22" s="1"/>
  <c r="L53" i="22"/>
  <c r="H53" i="22"/>
  <c r="K53" i="22" s="1"/>
  <c r="L52" i="22"/>
  <c r="H52" i="22"/>
  <c r="K52" i="22" s="1"/>
  <c r="L51" i="22"/>
  <c r="H51" i="22"/>
  <c r="K51" i="22" s="1"/>
  <c r="L50" i="22"/>
  <c r="H50" i="22"/>
  <c r="K50" i="22" s="1"/>
  <c r="L49" i="22"/>
  <c r="H49" i="22"/>
  <c r="K49" i="22" s="1"/>
  <c r="L48" i="22"/>
  <c r="H48" i="22"/>
  <c r="K48" i="22" s="1"/>
  <c r="L47" i="22"/>
  <c r="H47" i="22"/>
  <c r="K47" i="22" s="1"/>
  <c r="L46" i="22"/>
  <c r="H46" i="22"/>
  <c r="K46" i="22" s="1"/>
  <c r="L45" i="22"/>
  <c r="H45" i="22"/>
  <c r="K45" i="22" s="1"/>
  <c r="L44" i="22"/>
  <c r="H44" i="22"/>
  <c r="K44" i="22" s="1"/>
  <c r="L43" i="22"/>
  <c r="H43" i="22"/>
  <c r="K43" i="22" s="1"/>
  <c r="L42" i="22"/>
  <c r="K42" i="22"/>
  <c r="H42" i="22"/>
  <c r="L41" i="22"/>
  <c r="H41" i="22"/>
  <c r="K41" i="22" s="1"/>
  <c r="L40" i="22"/>
  <c r="H40" i="22"/>
  <c r="K40" i="22" s="1"/>
  <c r="L39" i="22"/>
  <c r="H39" i="22"/>
  <c r="K39" i="22" s="1"/>
  <c r="L38" i="22"/>
  <c r="H38" i="22"/>
  <c r="K38" i="22" s="1"/>
  <c r="L37" i="22"/>
  <c r="H37" i="22"/>
  <c r="K37" i="22" s="1"/>
  <c r="L36" i="22"/>
  <c r="H36" i="22"/>
  <c r="K36" i="22" s="1"/>
  <c r="L35" i="22"/>
  <c r="H35" i="22"/>
  <c r="K35" i="22" s="1"/>
  <c r="L34" i="22"/>
  <c r="H34" i="22"/>
  <c r="K34" i="22" s="1"/>
  <c r="L33" i="22"/>
  <c r="H33" i="22"/>
  <c r="K33" i="22" s="1"/>
  <c r="L32" i="22"/>
  <c r="H32" i="22"/>
  <c r="K32" i="22" s="1"/>
  <c r="L31" i="22"/>
  <c r="H31" i="22"/>
  <c r="K31" i="22" s="1"/>
  <c r="L30" i="22"/>
  <c r="H30" i="22"/>
  <c r="K30" i="22" s="1"/>
  <c r="L29" i="22"/>
  <c r="H29" i="22"/>
  <c r="K29" i="22" s="1"/>
  <c r="L28" i="22"/>
  <c r="H28" i="22"/>
  <c r="K28" i="22" s="1"/>
  <c r="L27" i="22"/>
  <c r="H27" i="22"/>
  <c r="K27" i="22" s="1"/>
  <c r="L26" i="22"/>
  <c r="H26" i="22"/>
  <c r="K26" i="22" s="1"/>
  <c r="L25" i="22"/>
  <c r="H25" i="22"/>
  <c r="K25" i="22" s="1"/>
  <c r="L24" i="22"/>
  <c r="H24" i="22"/>
  <c r="K24" i="22" s="1"/>
  <c r="L23" i="22"/>
  <c r="H23" i="22"/>
  <c r="K23" i="22" s="1"/>
  <c r="L22" i="22"/>
  <c r="H22" i="22"/>
  <c r="K22" i="22" s="1"/>
  <c r="L21" i="22"/>
  <c r="H21" i="22"/>
  <c r="K21" i="22" s="1"/>
  <c r="L20" i="22"/>
  <c r="H20" i="22"/>
  <c r="K20" i="22" s="1"/>
  <c r="L19" i="22"/>
  <c r="H19" i="22"/>
  <c r="K19" i="22" s="1"/>
  <c r="L18" i="22"/>
  <c r="H18" i="22"/>
  <c r="K18" i="22" s="1"/>
  <c r="L17" i="22"/>
  <c r="H17" i="22"/>
  <c r="K17" i="22" s="1"/>
  <c r="L16" i="22"/>
  <c r="H16" i="22"/>
  <c r="K16" i="22" s="1"/>
  <c r="L15" i="22"/>
  <c r="H15" i="22"/>
  <c r="K15" i="22" s="1"/>
  <c r="L14" i="22"/>
  <c r="H14" i="22"/>
  <c r="K14" i="22" s="1"/>
  <c r="L13" i="22"/>
  <c r="H13" i="22"/>
  <c r="K13" i="22" s="1"/>
  <c r="L12" i="22"/>
  <c r="H12" i="22"/>
  <c r="K12" i="22" s="1"/>
  <c r="L11" i="22"/>
  <c r="H11" i="22"/>
  <c r="K11" i="22" s="1"/>
  <c r="L10" i="22"/>
  <c r="H10" i="22"/>
  <c r="K10" i="22" s="1"/>
  <c r="L9" i="22"/>
  <c r="H9" i="22"/>
  <c r="K9" i="22" s="1"/>
  <c r="L8" i="22"/>
  <c r="H8" i="22"/>
  <c r="K8" i="22" s="1"/>
  <c r="L7" i="22"/>
  <c r="H7" i="22"/>
  <c r="K7" i="22" s="1"/>
  <c r="L6" i="22"/>
  <c r="H6" i="22"/>
  <c r="K6" i="22" s="1"/>
  <c r="L5" i="22"/>
  <c r="H5" i="22"/>
  <c r="K5" i="22" s="1"/>
  <c r="L4" i="22"/>
  <c r="H4" i="22"/>
  <c r="K4" i="22" s="1"/>
  <c r="I1495" i="22" l="1"/>
  <c r="K818" i="22"/>
  <c r="L1495" i="22"/>
  <c r="K1495" i="22"/>
  <c r="H1495" i="22"/>
  <c r="A2" i="22" l="1"/>
  <c r="A2" i="21"/>
  <c r="A2" i="19"/>
  <c r="A2" i="18"/>
  <c r="A2" i="17"/>
  <c r="B2" i="16"/>
  <c r="G1939" i="16"/>
  <c r="E1942" i="16" s="1"/>
  <c r="I1939" i="16"/>
  <c r="J1939" i="16"/>
  <c r="K1939" i="16"/>
  <c r="M1939" i="16"/>
  <c r="N958" i="16" l="1"/>
  <c r="N937" i="16"/>
  <c r="N1128" i="16"/>
  <c r="S1938" i="16"/>
  <c r="T1938" i="16" s="1"/>
  <c r="N1938" i="16"/>
  <c r="S1937" i="16"/>
  <c r="T1937" i="16" s="1"/>
  <c r="N1937" i="16"/>
  <c r="N1936" i="16"/>
  <c r="N1935" i="16"/>
  <c r="N1933" i="16"/>
  <c r="N1931" i="16"/>
  <c r="N1930" i="16"/>
  <c r="N1927" i="16"/>
  <c r="N1926" i="16"/>
  <c r="N1924" i="16"/>
  <c r="N1923" i="16"/>
  <c r="N1920" i="16"/>
  <c r="N1919" i="16"/>
  <c r="N1917" i="16"/>
  <c r="N1916" i="16"/>
  <c r="N1915" i="16"/>
  <c r="N1913" i="16"/>
  <c r="N1912" i="16"/>
  <c r="N1911" i="16"/>
  <c r="N1908" i="16"/>
  <c r="N1907" i="16"/>
  <c r="N1906" i="16"/>
  <c r="N1905" i="16"/>
  <c r="N1904" i="16"/>
  <c r="N1903" i="16"/>
  <c r="N1900" i="16"/>
  <c r="AD1899" i="16"/>
  <c r="AE1899" i="16" s="1"/>
  <c r="S1899" i="16"/>
  <c r="T1899" i="16" s="1"/>
  <c r="N1899" i="16"/>
  <c r="S1898" i="16"/>
  <c r="T1898" i="16" s="1"/>
  <c r="N1898" i="16"/>
  <c r="S1897" i="16"/>
  <c r="T1897" i="16" s="1"/>
  <c r="N1897" i="16"/>
  <c r="S1896" i="16"/>
  <c r="T1896" i="16" s="1"/>
  <c r="N1896" i="16"/>
  <c r="S1895" i="16"/>
  <c r="T1895" i="16" s="1"/>
  <c r="N1895" i="16"/>
  <c r="S1894" i="16"/>
  <c r="T1894" i="16" s="1"/>
  <c r="N1894" i="16"/>
  <c r="AD1893" i="16"/>
  <c r="AE1893" i="16" s="1"/>
  <c r="S1893" i="16"/>
  <c r="T1893" i="16" s="1"/>
  <c r="N1893" i="16"/>
  <c r="AD1892" i="16"/>
  <c r="AE1892" i="16" s="1"/>
  <c r="S1892" i="16"/>
  <c r="T1892" i="16" s="1"/>
  <c r="N1892" i="16"/>
  <c r="AD1891" i="16"/>
  <c r="AE1891" i="16" s="1"/>
  <c r="S1891" i="16"/>
  <c r="T1891" i="16" s="1"/>
  <c r="N1891" i="16"/>
  <c r="AD1890" i="16"/>
  <c r="AE1890" i="16" s="1"/>
  <c r="S1890" i="16"/>
  <c r="T1890" i="16" s="1"/>
  <c r="N1890" i="16"/>
  <c r="AD1889" i="16"/>
  <c r="AE1889" i="16" s="1"/>
  <c r="S1889" i="16"/>
  <c r="T1889" i="16" s="1"/>
  <c r="N1889" i="16"/>
  <c r="S1888" i="16"/>
  <c r="T1888" i="16" s="1"/>
  <c r="N1888" i="16"/>
  <c r="AD1887" i="16"/>
  <c r="AE1887" i="16" s="1"/>
  <c r="S1887" i="16"/>
  <c r="T1887" i="16" s="1"/>
  <c r="N1887" i="16"/>
  <c r="AD1886" i="16"/>
  <c r="AE1886" i="16" s="1"/>
  <c r="S1886" i="16"/>
  <c r="T1886" i="16" s="1"/>
  <c r="N1886" i="16"/>
  <c r="S1885" i="16"/>
  <c r="T1885" i="16" s="1"/>
  <c r="N1885" i="16"/>
  <c r="S1884" i="16"/>
  <c r="T1884" i="16" s="1"/>
  <c r="N1884" i="16"/>
  <c r="AD1883" i="16"/>
  <c r="AE1883" i="16" s="1"/>
  <c r="S1883" i="16"/>
  <c r="T1883" i="16" s="1"/>
  <c r="N1883" i="16"/>
  <c r="S1882" i="16"/>
  <c r="T1882" i="16" s="1"/>
  <c r="N1882" i="16"/>
  <c r="AD1881" i="16"/>
  <c r="AE1881" i="16" s="1"/>
  <c r="S1881" i="16"/>
  <c r="T1881" i="16" s="1"/>
  <c r="AD1880" i="16"/>
  <c r="AE1880" i="16" s="1"/>
  <c r="S1880" i="16"/>
  <c r="T1880" i="16" s="1"/>
  <c r="N1880" i="16"/>
  <c r="S1879" i="16"/>
  <c r="T1879" i="16" s="1"/>
  <c r="N1879" i="16"/>
  <c r="S1878" i="16"/>
  <c r="T1878" i="16" s="1"/>
  <c r="S1877" i="16"/>
  <c r="T1877" i="16" s="1"/>
  <c r="N1877" i="16"/>
  <c r="U1876" i="16"/>
  <c r="S1876" i="16" s="1"/>
  <c r="T1876" i="16" s="1"/>
  <c r="N1876" i="16"/>
  <c r="U1875" i="16"/>
  <c r="S1875" i="16" s="1"/>
  <c r="T1875" i="16" s="1"/>
  <c r="N1875" i="16"/>
  <c r="S1874" i="16"/>
  <c r="T1874" i="16" s="1"/>
  <c r="N1874" i="16"/>
  <c r="S1873" i="16"/>
  <c r="T1873" i="16" s="1"/>
  <c r="N1873" i="16"/>
  <c r="S1872" i="16"/>
  <c r="T1872" i="16" s="1"/>
  <c r="N1872" i="16"/>
  <c r="S1871" i="16"/>
  <c r="T1871" i="16" s="1"/>
  <c r="N1871" i="16"/>
  <c r="S1870" i="16"/>
  <c r="T1870" i="16" s="1"/>
  <c r="N1870" i="16"/>
  <c r="S1869" i="16"/>
  <c r="T1869" i="16" s="1"/>
  <c r="N1869" i="16"/>
  <c r="S1868" i="16"/>
  <c r="T1868" i="16" s="1"/>
  <c r="S1867" i="16"/>
  <c r="T1867" i="16" s="1"/>
  <c r="N1867" i="16"/>
  <c r="S1866" i="16"/>
  <c r="T1866" i="16" s="1"/>
  <c r="N1866" i="16"/>
  <c r="S1865" i="16"/>
  <c r="T1865" i="16" s="1"/>
  <c r="N1865" i="16"/>
  <c r="S1864" i="16"/>
  <c r="T1864" i="16" s="1"/>
  <c r="N1864" i="16"/>
  <c r="S1863" i="16"/>
  <c r="T1863" i="16" s="1"/>
  <c r="N1863" i="16"/>
  <c r="S1862" i="16"/>
  <c r="T1862" i="16" s="1"/>
  <c r="S1861" i="16"/>
  <c r="T1861" i="16" s="1"/>
  <c r="N1861" i="16"/>
  <c r="S1860" i="16"/>
  <c r="T1860" i="16" s="1"/>
  <c r="N1860" i="16"/>
  <c r="S1859" i="16"/>
  <c r="T1859" i="16" s="1"/>
  <c r="N1859" i="16"/>
  <c r="S1858" i="16"/>
  <c r="T1858" i="16" s="1"/>
  <c r="N1858" i="16"/>
  <c r="S1857" i="16"/>
  <c r="T1857" i="16" s="1"/>
  <c r="N1857" i="16"/>
  <c r="S1856" i="16"/>
  <c r="T1856" i="16" s="1"/>
  <c r="N1856" i="16"/>
  <c r="S1855" i="16"/>
  <c r="T1855" i="16" s="1"/>
  <c r="S1854" i="16"/>
  <c r="T1854" i="16" s="1"/>
  <c r="N1854" i="16"/>
  <c r="S1853" i="16"/>
  <c r="T1853" i="16" s="1"/>
  <c r="S1852" i="16"/>
  <c r="T1852" i="16" s="1"/>
  <c r="N1852" i="16"/>
  <c r="S1851" i="16"/>
  <c r="T1851" i="16" s="1"/>
  <c r="S1850" i="16"/>
  <c r="T1850" i="16" s="1"/>
  <c r="S1849" i="16"/>
  <c r="T1849" i="16" s="1"/>
  <c r="S1848" i="16"/>
  <c r="T1848" i="16" s="1"/>
  <c r="N1848" i="16"/>
  <c r="S1847" i="16"/>
  <c r="T1847" i="16" s="1"/>
  <c r="N1847" i="16"/>
  <c r="S1846" i="16"/>
  <c r="T1846" i="16" s="1"/>
  <c r="N1846" i="16"/>
  <c r="S1845" i="16"/>
  <c r="T1845" i="16" s="1"/>
  <c r="S1844" i="16"/>
  <c r="T1844" i="16" s="1"/>
  <c r="N1844" i="16"/>
  <c r="S1843" i="16"/>
  <c r="T1843" i="16" s="1"/>
  <c r="N1843" i="16"/>
  <c r="S1842" i="16"/>
  <c r="T1842" i="16" s="1"/>
  <c r="N1842" i="16"/>
  <c r="S1841" i="16"/>
  <c r="T1841" i="16" s="1"/>
  <c r="S1840" i="16"/>
  <c r="T1840" i="16" s="1"/>
  <c r="N1840" i="16"/>
  <c r="S1839" i="16"/>
  <c r="T1839" i="16" s="1"/>
  <c r="N1839" i="16"/>
  <c r="S1838" i="16"/>
  <c r="T1838" i="16" s="1"/>
  <c r="N1838" i="16"/>
  <c r="S1837" i="16"/>
  <c r="T1837" i="16" s="1"/>
  <c r="S1836" i="16"/>
  <c r="T1836" i="16" s="1"/>
  <c r="N1836" i="16"/>
  <c r="S1835" i="16"/>
  <c r="T1835" i="16" s="1"/>
  <c r="N1835" i="16"/>
  <c r="S1834" i="16"/>
  <c r="T1834" i="16" s="1"/>
  <c r="S1833" i="16"/>
  <c r="T1833" i="16" s="1"/>
  <c r="S1832" i="16"/>
  <c r="T1832" i="16" s="1"/>
  <c r="N1832" i="16"/>
  <c r="S1831" i="16"/>
  <c r="T1831" i="16" s="1"/>
  <c r="N1831" i="16"/>
  <c r="S1830" i="16"/>
  <c r="T1830" i="16" s="1"/>
  <c r="S1829" i="16"/>
  <c r="T1829" i="16" s="1"/>
  <c r="S1828" i="16"/>
  <c r="T1828" i="16" s="1"/>
  <c r="N1828" i="16"/>
  <c r="S1827" i="16"/>
  <c r="T1827" i="16" s="1"/>
  <c r="S1826" i="16"/>
  <c r="T1826" i="16" s="1"/>
  <c r="S1825" i="16"/>
  <c r="T1825" i="16" s="1"/>
  <c r="S1824" i="16"/>
  <c r="T1824" i="16" s="1"/>
  <c r="N1824" i="16"/>
  <c r="S1823" i="16"/>
  <c r="T1823" i="16" s="1"/>
  <c r="S1822" i="16"/>
  <c r="T1822" i="16" s="1"/>
  <c r="S1821" i="16"/>
  <c r="T1821" i="16" s="1"/>
  <c r="N1821" i="16"/>
  <c r="S1820" i="16"/>
  <c r="T1820" i="16" s="1"/>
  <c r="N1820" i="16"/>
  <c r="S1819" i="16"/>
  <c r="T1819" i="16" s="1"/>
  <c r="N1819" i="16"/>
  <c r="S1818" i="16"/>
  <c r="T1818" i="16" s="1"/>
  <c r="S1817" i="16"/>
  <c r="T1817" i="16" s="1"/>
  <c r="N1817" i="16"/>
  <c r="S1816" i="16"/>
  <c r="T1816" i="16" s="1"/>
  <c r="N1816" i="16"/>
  <c r="S1815" i="16"/>
  <c r="T1815" i="16" s="1"/>
  <c r="N1815" i="16"/>
  <c r="S1814" i="16"/>
  <c r="T1814" i="16" s="1"/>
  <c r="S1813" i="16"/>
  <c r="T1813" i="16" s="1"/>
  <c r="N1813" i="16"/>
  <c r="S1812" i="16"/>
  <c r="T1812" i="16" s="1"/>
  <c r="N1812" i="16"/>
  <c r="S1811" i="16"/>
  <c r="T1811" i="16" s="1"/>
  <c r="S1810" i="16"/>
  <c r="T1810" i="16" s="1"/>
  <c r="N1810" i="16"/>
  <c r="S1809" i="16"/>
  <c r="T1809" i="16" s="1"/>
  <c r="N1809" i="16"/>
  <c r="S1808" i="16"/>
  <c r="T1808" i="16" s="1"/>
  <c r="N1808" i="16"/>
  <c r="S1807" i="16"/>
  <c r="T1807" i="16" s="1"/>
  <c r="S1806" i="16"/>
  <c r="T1806" i="16" s="1"/>
  <c r="S1805" i="16"/>
  <c r="T1805" i="16" s="1"/>
  <c r="N1805" i="16"/>
  <c r="S1804" i="16"/>
  <c r="T1804" i="16" s="1"/>
  <c r="N1804" i="16"/>
  <c r="S1803" i="16"/>
  <c r="T1803" i="16" s="1"/>
  <c r="S1802" i="16"/>
  <c r="T1802" i="16" s="1"/>
  <c r="N1802" i="16"/>
  <c r="S1801" i="16"/>
  <c r="T1801" i="16" s="1"/>
  <c r="N1801" i="16"/>
  <c r="S1800" i="16"/>
  <c r="T1800" i="16" s="1"/>
  <c r="S1799" i="16"/>
  <c r="T1799" i="16" s="1"/>
  <c r="S1798" i="16"/>
  <c r="T1798" i="16" s="1"/>
  <c r="N1798" i="16"/>
  <c r="S1797" i="16"/>
  <c r="T1797" i="16" s="1"/>
  <c r="N1797" i="16"/>
  <c r="S1796" i="16"/>
  <c r="T1796" i="16" s="1"/>
  <c r="N1796" i="16"/>
  <c r="S1795" i="16"/>
  <c r="T1795" i="16" s="1"/>
  <c r="S1794" i="16"/>
  <c r="T1794" i="16" s="1"/>
  <c r="N1794" i="16"/>
  <c r="S1793" i="16"/>
  <c r="T1793" i="16" s="1"/>
  <c r="N1793" i="16"/>
  <c r="S1792" i="16"/>
  <c r="T1792" i="16" s="1"/>
  <c r="N1792" i="16"/>
  <c r="S1791" i="16"/>
  <c r="T1791" i="16" s="1"/>
  <c r="S1790" i="16"/>
  <c r="T1790" i="16" s="1"/>
  <c r="S1789" i="16"/>
  <c r="T1789" i="16" s="1"/>
  <c r="N1789" i="16"/>
  <c r="S1788" i="16"/>
  <c r="T1788" i="16" s="1"/>
  <c r="N1788" i="16"/>
  <c r="S1787" i="16"/>
  <c r="T1787" i="16" s="1"/>
  <c r="N1787" i="16"/>
  <c r="S1786" i="16"/>
  <c r="T1786" i="16" s="1"/>
  <c r="U1785" i="16"/>
  <c r="S1785" i="16" s="1"/>
  <c r="T1785" i="16" s="1"/>
  <c r="S1784" i="16"/>
  <c r="T1784" i="16" s="1"/>
  <c r="N1784" i="16"/>
  <c r="S1783" i="16"/>
  <c r="T1783" i="16" s="1"/>
  <c r="N1783" i="16"/>
  <c r="S1782" i="16"/>
  <c r="T1782" i="16" s="1"/>
  <c r="N1782" i="16"/>
  <c r="S1781" i="16"/>
  <c r="T1781" i="16" s="1"/>
  <c r="N1781" i="16"/>
  <c r="S1780" i="16"/>
  <c r="T1780" i="16" s="1"/>
  <c r="N1780" i="16"/>
  <c r="S1779" i="16"/>
  <c r="T1779" i="16" s="1"/>
  <c r="N1779" i="16"/>
  <c r="S1778" i="16"/>
  <c r="T1778" i="16" s="1"/>
  <c r="N1778" i="16"/>
  <c r="S1777" i="16"/>
  <c r="T1777" i="16" s="1"/>
  <c r="S1776" i="16"/>
  <c r="T1776" i="16" s="1"/>
  <c r="N1776" i="16"/>
  <c r="S1775" i="16"/>
  <c r="T1775" i="16" s="1"/>
  <c r="N1775" i="16"/>
  <c r="S1774" i="16"/>
  <c r="T1774" i="16" s="1"/>
  <c r="N1774" i="16"/>
  <c r="S1773" i="16"/>
  <c r="T1773" i="16" s="1"/>
  <c r="N1773" i="16"/>
  <c r="S1772" i="16"/>
  <c r="T1772" i="16" s="1"/>
  <c r="S1771" i="16"/>
  <c r="T1771" i="16" s="1"/>
  <c r="N1771" i="16"/>
  <c r="S1770" i="16"/>
  <c r="T1770" i="16" s="1"/>
  <c r="N1770" i="16"/>
  <c r="S1769" i="16"/>
  <c r="T1769" i="16" s="1"/>
  <c r="N1769" i="16"/>
  <c r="S1768" i="16"/>
  <c r="T1768" i="16" s="1"/>
  <c r="S1756" i="16"/>
  <c r="T1756" i="16" s="1"/>
  <c r="S1755" i="16"/>
  <c r="T1755" i="16" s="1"/>
  <c r="N1755" i="16"/>
  <c r="S1754" i="16"/>
  <c r="T1754" i="16" s="1"/>
  <c r="N1754" i="16"/>
  <c r="S1753" i="16"/>
  <c r="T1753" i="16" s="1"/>
  <c r="AD1752" i="16"/>
  <c r="AE1752" i="16" s="1"/>
  <c r="S1752" i="16"/>
  <c r="T1752" i="16" s="1"/>
  <c r="N1752" i="16"/>
  <c r="AD1751" i="16"/>
  <c r="AE1751" i="16" s="1"/>
  <c r="S1751" i="16"/>
  <c r="T1751" i="16" s="1"/>
  <c r="N1751" i="16"/>
  <c r="S1750" i="16"/>
  <c r="T1750" i="16" s="1"/>
  <c r="S1749" i="16"/>
  <c r="T1749" i="16" s="1"/>
  <c r="S1748" i="16"/>
  <c r="T1748" i="16" s="1"/>
  <c r="S1747" i="16"/>
  <c r="T1747" i="16" s="1"/>
  <c r="N1747" i="16"/>
  <c r="S1746" i="16"/>
  <c r="T1746" i="16" s="1"/>
  <c r="N1746" i="16"/>
  <c r="S1745" i="16"/>
  <c r="T1745" i="16" s="1"/>
  <c r="N1745" i="16"/>
  <c r="S1744" i="16"/>
  <c r="T1744" i="16" s="1"/>
  <c r="S1743" i="16"/>
  <c r="T1743" i="16" s="1"/>
  <c r="N1743" i="16"/>
  <c r="S1742" i="16"/>
  <c r="T1742" i="16" s="1"/>
  <c r="N1742" i="16"/>
  <c r="S1741" i="16"/>
  <c r="T1741" i="16" s="1"/>
  <c r="N1741" i="16"/>
  <c r="S1740" i="16"/>
  <c r="T1740" i="16" s="1"/>
  <c r="S1739" i="16"/>
  <c r="T1739" i="16" s="1"/>
  <c r="N1739" i="16"/>
  <c r="S1738" i="16"/>
  <c r="T1738" i="16" s="1"/>
  <c r="N1738" i="16"/>
  <c r="AD1737" i="16"/>
  <c r="AE1737" i="16" s="1"/>
  <c r="S1737" i="16"/>
  <c r="T1737" i="16" s="1"/>
  <c r="N1737" i="16"/>
  <c r="S1736" i="16"/>
  <c r="T1736" i="16" s="1"/>
  <c r="N1736" i="16"/>
  <c r="S1735" i="16"/>
  <c r="T1735" i="16" s="1"/>
  <c r="N1735" i="16"/>
  <c r="S1734" i="16"/>
  <c r="T1734" i="16" s="1"/>
  <c r="S1733" i="16"/>
  <c r="T1733" i="16" s="1"/>
  <c r="N1733" i="16"/>
  <c r="S1732" i="16"/>
  <c r="T1732" i="16" s="1"/>
  <c r="N1732" i="16"/>
  <c r="S1731" i="16"/>
  <c r="T1731" i="16" s="1"/>
  <c r="N1731" i="16"/>
  <c r="S1730" i="16"/>
  <c r="T1730" i="16" s="1"/>
  <c r="W1729" i="16"/>
  <c r="AD1729" i="16" s="1"/>
  <c r="AE1729" i="16" s="1"/>
  <c r="S1728" i="16"/>
  <c r="T1728" i="16" s="1"/>
  <c r="S1727" i="16"/>
  <c r="T1727" i="16" s="1"/>
  <c r="S1726" i="16"/>
  <c r="T1726" i="16" s="1"/>
  <c r="N1726" i="16"/>
  <c r="S1725" i="16"/>
  <c r="T1725" i="16" s="1"/>
  <c r="S1724" i="16"/>
  <c r="T1724" i="16" s="1"/>
  <c r="S1723" i="16"/>
  <c r="T1723" i="16" s="1"/>
  <c r="S1722" i="16"/>
  <c r="T1722" i="16" s="1"/>
  <c r="N1722" i="16"/>
  <c r="S1721" i="16"/>
  <c r="T1721" i="16" s="1"/>
  <c r="S1720" i="16"/>
  <c r="T1720" i="16" s="1"/>
  <c r="S1719" i="16"/>
  <c r="T1719" i="16" s="1"/>
  <c r="S1718" i="16"/>
  <c r="T1718" i="16" s="1"/>
  <c r="N1718" i="16"/>
  <c r="S1717" i="16"/>
  <c r="T1717" i="16" s="1"/>
  <c r="N1717" i="16"/>
  <c r="U1716" i="16"/>
  <c r="S1716" i="16" s="1"/>
  <c r="T1716" i="16" s="1"/>
  <c r="S1715" i="16"/>
  <c r="T1715" i="16" s="1"/>
  <c r="N1715" i="16"/>
  <c r="S1714" i="16"/>
  <c r="T1714" i="16" s="1"/>
  <c r="S1713" i="16"/>
  <c r="T1713" i="16" s="1"/>
  <c r="AD1712" i="16"/>
  <c r="AE1712" i="16" s="1"/>
  <c r="S1712" i="16"/>
  <c r="T1712" i="16" s="1"/>
  <c r="S1711" i="16"/>
  <c r="T1711" i="16" s="1"/>
  <c r="S1710" i="16"/>
  <c r="T1710" i="16" s="1"/>
  <c r="N1710" i="16"/>
  <c r="S1709" i="16"/>
  <c r="T1709" i="16" s="1"/>
  <c r="N1709" i="16"/>
  <c r="S1708" i="16"/>
  <c r="T1708" i="16" s="1"/>
  <c r="N1708" i="16"/>
  <c r="S1707" i="16"/>
  <c r="T1707" i="16" s="1"/>
  <c r="S1706" i="16"/>
  <c r="T1706" i="16" s="1"/>
  <c r="N1706" i="16"/>
  <c r="S1705" i="16"/>
  <c r="T1705" i="16" s="1"/>
  <c r="S1704" i="16"/>
  <c r="T1704" i="16" s="1"/>
  <c r="S1703" i="16"/>
  <c r="T1703" i="16" s="1"/>
  <c r="S1702" i="16"/>
  <c r="T1702" i="16" s="1"/>
  <c r="N1702" i="16"/>
  <c r="S1701" i="16"/>
  <c r="T1701" i="16" s="1"/>
  <c r="S1700" i="16"/>
  <c r="T1700" i="16" s="1"/>
  <c r="S1699" i="16"/>
  <c r="T1699" i="16" s="1"/>
  <c r="S1698" i="16"/>
  <c r="T1698" i="16" s="1"/>
  <c r="N1698" i="16"/>
  <c r="S1697" i="16"/>
  <c r="T1697" i="16" s="1"/>
  <c r="S1696" i="16"/>
  <c r="T1696" i="16" s="1"/>
  <c r="S1695" i="16"/>
  <c r="T1695" i="16" s="1"/>
  <c r="S1694" i="16"/>
  <c r="T1694" i="16" s="1"/>
  <c r="N1694" i="16"/>
  <c r="S1693" i="16"/>
  <c r="T1693" i="16" s="1"/>
  <c r="N1693" i="16"/>
  <c r="S1692" i="16"/>
  <c r="T1692" i="16" s="1"/>
  <c r="N1692" i="16"/>
  <c r="S1691" i="16"/>
  <c r="T1691" i="16" s="1"/>
  <c r="S1690" i="16"/>
  <c r="T1690" i="16" s="1"/>
  <c r="N1690" i="16"/>
  <c r="S1689" i="16"/>
  <c r="T1689" i="16" s="1"/>
  <c r="N1689" i="16"/>
  <c r="U1688" i="16"/>
  <c r="S1688" i="16" s="1"/>
  <c r="T1688" i="16" s="1"/>
  <c r="N1688" i="16"/>
  <c r="U1687" i="16"/>
  <c r="S1687" i="16" s="1"/>
  <c r="T1687" i="16" s="1"/>
  <c r="N1687" i="16"/>
  <c r="S1686" i="16"/>
  <c r="T1686" i="16" s="1"/>
  <c r="N1686" i="16"/>
  <c r="S1685" i="16"/>
  <c r="T1685" i="16" s="1"/>
  <c r="N1685" i="16"/>
  <c r="S1684" i="16"/>
  <c r="T1684" i="16" s="1"/>
  <c r="N1684" i="16"/>
  <c r="S1683" i="16"/>
  <c r="T1683" i="16" s="1"/>
  <c r="AD1682" i="16"/>
  <c r="AE1682" i="16" s="1"/>
  <c r="S1682" i="16"/>
  <c r="T1682" i="16" s="1"/>
  <c r="AD1681" i="16"/>
  <c r="AE1681" i="16" s="1"/>
  <c r="S1681" i="16"/>
  <c r="T1681" i="16" s="1"/>
  <c r="N1681" i="16"/>
  <c r="S1680" i="16"/>
  <c r="T1680" i="16" s="1"/>
  <c r="N1680" i="16"/>
  <c r="S1679" i="16"/>
  <c r="T1679" i="16" s="1"/>
  <c r="U1678" i="16"/>
  <c r="S1678" i="16" s="1"/>
  <c r="T1678" i="16" s="1"/>
  <c r="S1677" i="16"/>
  <c r="T1677" i="16" s="1"/>
  <c r="N1677" i="16"/>
  <c r="S1676" i="16"/>
  <c r="T1676" i="16" s="1"/>
  <c r="N1676" i="16"/>
  <c r="S1675" i="16"/>
  <c r="T1675" i="16" s="1"/>
  <c r="N1675" i="16"/>
  <c r="S1674" i="16"/>
  <c r="T1674" i="16" s="1"/>
  <c r="S1673" i="16"/>
  <c r="T1673" i="16" s="1"/>
  <c r="N1673" i="16"/>
  <c r="S1672" i="16"/>
  <c r="T1672" i="16" s="1"/>
  <c r="N1672" i="16"/>
  <c r="S1671" i="16"/>
  <c r="T1671" i="16" s="1"/>
  <c r="N1671" i="16"/>
  <c r="S1670" i="16"/>
  <c r="T1670" i="16" s="1"/>
  <c r="S1669" i="16"/>
  <c r="N1669" i="16"/>
  <c r="S1668" i="16"/>
  <c r="N1668" i="16"/>
  <c r="S1667" i="16"/>
  <c r="T1667" i="16" s="1"/>
  <c r="N1667" i="16"/>
  <c r="S1666" i="16"/>
  <c r="T1666" i="16" s="1"/>
  <c r="N1666" i="16"/>
  <c r="S1665" i="16"/>
  <c r="T1665" i="16" s="1"/>
  <c r="N1665" i="16"/>
  <c r="U1664" i="16"/>
  <c r="S1664" i="16" s="1"/>
  <c r="T1664" i="16" s="1"/>
  <c r="S1663" i="16"/>
  <c r="T1663" i="16" s="1"/>
  <c r="S1662" i="16"/>
  <c r="T1662" i="16" s="1"/>
  <c r="N1662" i="16"/>
  <c r="S1661" i="16"/>
  <c r="T1661" i="16" s="1"/>
  <c r="S1660" i="16"/>
  <c r="T1660" i="16" s="1"/>
  <c r="S1659" i="16"/>
  <c r="T1659" i="16" s="1"/>
  <c r="S1658" i="16"/>
  <c r="T1658" i="16" s="1"/>
  <c r="N1658" i="16"/>
  <c r="S1657" i="16"/>
  <c r="T1657" i="16" s="1"/>
  <c r="N1657" i="16"/>
  <c r="S1656" i="16"/>
  <c r="N1656" i="16"/>
  <c r="U1655" i="16"/>
  <c r="S1655" i="16" s="1"/>
  <c r="T1655" i="16" s="1"/>
  <c r="S1654" i="16"/>
  <c r="T1654" i="16" s="1"/>
  <c r="S1653" i="16"/>
  <c r="T1653" i="16" s="1"/>
  <c r="S1652" i="16"/>
  <c r="T1652" i="16" s="1"/>
  <c r="S1651" i="16"/>
  <c r="T1651" i="16" s="1"/>
  <c r="S1650" i="16"/>
  <c r="N1650" i="16"/>
  <c r="S1649" i="16"/>
  <c r="T1649" i="16" s="1"/>
  <c r="S1648" i="16"/>
  <c r="T1648" i="16" s="1"/>
  <c r="AA1647" i="16"/>
  <c r="AD1647" i="16" s="1"/>
  <c r="AE1647" i="16" s="1"/>
  <c r="AD1646" i="16"/>
  <c r="AE1646" i="16" s="1"/>
  <c r="S1646" i="16"/>
  <c r="T1646" i="16" s="1"/>
  <c r="N1646" i="16"/>
  <c r="AD1645" i="16"/>
  <c r="AE1645" i="16" s="1"/>
  <c r="U1645" i="16"/>
  <c r="S1645" i="16" s="1"/>
  <c r="T1645" i="16" s="1"/>
  <c r="N1645" i="16"/>
  <c r="S1644" i="16"/>
  <c r="T1644" i="16" s="1"/>
  <c r="S1643" i="16"/>
  <c r="T1643" i="16" s="1"/>
  <c r="S1642" i="16"/>
  <c r="T1642" i="16" s="1"/>
  <c r="S1641" i="16"/>
  <c r="T1641" i="16" s="1"/>
  <c r="S1640" i="16"/>
  <c r="T1640" i="16" s="1"/>
  <c r="S1639" i="16"/>
  <c r="T1639" i="16" s="1"/>
  <c r="N1639" i="16"/>
  <c r="S1638" i="16"/>
  <c r="T1638" i="16" s="1"/>
  <c r="N1638" i="16"/>
  <c r="S1637" i="16"/>
  <c r="T1637" i="16" s="1"/>
  <c r="N1637" i="16"/>
  <c r="AD1636" i="16"/>
  <c r="AE1636" i="16" s="1"/>
  <c r="S1636" i="16"/>
  <c r="T1636" i="16" s="1"/>
  <c r="S1635" i="16"/>
  <c r="T1635" i="16" s="1"/>
  <c r="S1634" i="16"/>
  <c r="T1634" i="16" s="1"/>
  <c r="S1633" i="16"/>
  <c r="T1633" i="16" s="1"/>
  <c r="N1633" i="16"/>
  <c r="S1632" i="16"/>
  <c r="T1632" i="16" s="1"/>
  <c r="N1632" i="16"/>
  <c r="U1631" i="16"/>
  <c r="S1631" i="16" s="1"/>
  <c r="T1631" i="16" s="1"/>
  <c r="S1630" i="16"/>
  <c r="T1630" i="16" s="1"/>
  <c r="S1629" i="16"/>
  <c r="T1629" i="16" s="1"/>
  <c r="N1629" i="16"/>
  <c r="U1628" i="16"/>
  <c r="S1628" i="16" s="1"/>
  <c r="T1628" i="16" s="1"/>
  <c r="N1628" i="16"/>
  <c r="S1627" i="16"/>
  <c r="T1627" i="16" s="1"/>
  <c r="N1627" i="16"/>
  <c r="S1626" i="16"/>
  <c r="T1626" i="16" s="1"/>
  <c r="S1625" i="16"/>
  <c r="T1625" i="16" s="1"/>
  <c r="N1625" i="16"/>
  <c r="S1624" i="16"/>
  <c r="T1624" i="16" s="1"/>
  <c r="N1624" i="16"/>
  <c r="S1623" i="16"/>
  <c r="T1623" i="16" s="1"/>
  <c r="N1623" i="16"/>
  <c r="S1622" i="16"/>
  <c r="T1622" i="16" s="1"/>
  <c r="S1621" i="16"/>
  <c r="T1621" i="16" s="1"/>
  <c r="S1620" i="16"/>
  <c r="T1620" i="16" s="1"/>
  <c r="N1620" i="16"/>
  <c r="S1617" i="16"/>
  <c r="T1617" i="16" s="1"/>
  <c r="N1617" i="16"/>
  <c r="S1616" i="16"/>
  <c r="T1616" i="16" s="1"/>
  <c r="N1616" i="16"/>
  <c r="S1615" i="16"/>
  <c r="T1615" i="16" s="1"/>
  <c r="N1615" i="16"/>
  <c r="S1614" i="16"/>
  <c r="T1614" i="16" s="1"/>
  <c r="N1614" i="16"/>
  <c r="S1613" i="16"/>
  <c r="T1613" i="16" s="1"/>
  <c r="N1613" i="16"/>
  <c r="S1612" i="16"/>
  <c r="T1612" i="16" s="1"/>
  <c r="S1611" i="16"/>
  <c r="T1611" i="16" s="1"/>
  <c r="S1610" i="16"/>
  <c r="T1610" i="16" s="1"/>
  <c r="N1610" i="16"/>
  <c r="S1609" i="16"/>
  <c r="T1609" i="16" s="1"/>
  <c r="N1609" i="16"/>
  <c r="S1608" i="16"/>
  <c r="T1608" i="16" s="1"/>
  <c r="N1608" i="16"/>
  <c r="S1607" i="16"/>
  <c r="T1607" i="16" s="1"/>
  <c r="N1607" i="16"/>
  <c r="S1606" i="16"/>
  <c r="T1606" i="16" s="1"/>
  <c r="N1606" i="16"/>
  <c r="S1605" i="16"/>
  <c r="T1605" i="16" s="1"/>
  <c r="N1605" i="16"/>
  <c r="S1604" i="16"/>
  <c r="T1604" i="16" s="1"/>
  <c r="N1604" i="16"/>
  <c r="S1603" i="16"/>
  <c r="T1603" i="16" s="1"/>
  <c r="N1603" i="16"/>
  <c r="S1602" i="16"/>
  <c r="T1602" i="16" s="1"/>
  <c r="N1602" i="16"/>
  <c r="S1601" i="16"/>
  <c r="T1601" i="16" s="1"/>
  <c r="N1601" i="16"/>
  <c r="S1600" i="16"/>
  <c r="T1600" i="16" s="1"/>
  <c r="S1599" i="16"/>
  <c r="T1599" i="16" s="1"/>
  <c r="S1598" i="16"/>
  <c r="T1598" i="16" s="1"/>
  <c r="N1598" i="16"/>
  <c r="S1595" i="16"/>
  <c r="T1595" i="16" s="1"/>
  <c r="N1595" i="16"/>
  <c r="S1594" i="16"/>
  <c r="T1594" i="16" s="1"/>
  <c r="N1594" i="16"/>
  <c r="S1593" i="16"/>
  <c r="T1593" i="16" s="1"/>
  <c r="N1593" i="16"/>
  <c r="S1592" i="16"/>
  <c r="T1592" i="16" s="1"/>
  <c r="N1592" i="16"/>
  <c r="S1590" i="16"/>
  <c r="T1590" i="16" s="1"/>
  <c r="N1590" i="16"/>
  <c r="S1589" i="16"/>
  <c r="T1589" i="16" s="1"/>
  <c r="S1588" i="16"/>
  <c r="T1588" i="16" s="1"/>
  <c r="S1587" i="16"/>
  <c r="T1587" i="16" s="1"/>
  <c r="N1587" i="16"/>
  <c r="S1586" i="16"/>
  <c r="T1586" i="16" s="1"/>
  <c r="N1586" i="16"/>
  <c r="S1585" i="16"/>
  <c r="T1585" i="16" s="1"/>
  <c r="N1585" i="16"/>
  <c r="S1584" i="16"/>
  <c r="T1584" i="16" s="1"/>
  <c r="N1584" i="16"/>
  <c r="S1583" i="16"/>
  <c r="T1583" i="16" s="1"/>
  <c r="S1582" i="16"/>
  <c r="T1582" i="16" s="1"/>
  <c r="N1582" i="16"/>
  <c r="S1581" i="16"/>
  <c r="T1581" i="16" s="1"/>
  <c r="N1581" i="16"/>
  <c r="S1580" i="16"/>
  <c r="S1579" i="16"/>
  <c r="T1579" i="16" s="1"/>
  <c r="N1579" i="16"/>
  <c r="S1578" i="16"/>
  <c r="T1578" i="16" s="1"/>
  <c r="N1578" i="16"/>
  <c r="S1577" i="16"/>
  <c r="T1577" i="16" s="1"/>
  <c r="N1577" i="16"/>
  <c r="S1576" i="16"/>
  <c r="T1576" i="16" s="1"/>
  <c r="N1576" i="16"/>
  <c r="S1575" i="16"/>
  <c r="T1575" i="16" s="1"/>
  <c r="N1575" i="16"/>
  <c r="S1574" i="16"/>
  <c r="T1574" i="16" s="1"/>
  <c r="N1574" i="16"/>
  <c r="S1573" i="16"/>
  <c r="T1573" i="16" s="1"/>
  <c r="N1573" i="16"/>
  <c r="S1572" i="16"/>
  <c r="T1572" i="16" s="1"/>
  <c r="N1572" i="16"/>
  <c r="S1571" i="16"/>
  <c r="T1571" i="16" s="1"/>
  <c r="N1571" i="16"/>
  <c r="S1570" i="16"/>
  <c r="T1570" i="16" s="1"/>
  <c r="S1569" i="16"/>
  <c r="T1569" i="16" s="1"/>
  <c r="S1568" i="16"/>
  <c r="T1568" i="16" s="1"/>
  <c r="N1568" i="16"/>
  <c r="S1567" i="16"/>
  <c r="T1567" i="16" s="1"/>
  <c r="N1567" i="16"/>
  <c r="S1566" i="16"/>
  <c r="T1566" i="16" s="1"/>
  <c r="S1565" i="16"/>
  <c r="T1565" i="16" s="1"/>
  <c r="N1565" i="16"/>
  <c r="S1564" i="16"/>
  <c r="T1564" i="16" s="1"/>
  <c r="N1564" i="16"/>
  <c r="S1563" i="16"/>
  <c r="T1563" i="16" s="1"/>
  <c r="N1563" i="16"/>
  <c r="S1562" i="16"/>
  <c r="T1562" i="16" s="1"/>
  <c r="N1562" i="16"/>
  <c r="S1561" i="16"/>
  <c r="T1561" i="16" s="1"/>
  <c r="N1561" i="16"/>
  <c r="S1560" i="16"/>
  <c r="T1560" i="16" s="1"/>
  <c r="N1560" i="16"/>
  <c r="S1559" i="16"/>
  <c r="T1559" i="16" s="1"/>
  <c r="N1559" i="16"/>
  <c r="S1558" i="16"/>
  <c r="T1558" i="16" s="1"/>
  <c r="N1558" i="16"/>
  <c r="S1557" i="16"/>
  <c r="T1557" i="16" s="1"/>
  <c r="N1557" i="16"/>
  <c r="S1556" i="16"/>
  <c r="T1556" i="16" s="1"/>
  <c r="N1556" i="16"/>
  <c r="S1555" i="16"/>
  <c r="T1555" i="16" s="1"/>
  <c r="N1555" i="16"/>
  <c r="S1554" i="16"/>
  <c r="T1554" i="16" s="1"/>
  <c r="N1554" i="16"/>
  <c r="S1553" i="16"/>
  <c r="T1553" i="16" s="1"/>
  <c r="N1553" i="16"/>
  <c r="S1552" i="16"/>
  <c r="T1552" i="16" s="1"/>
  <c r="N1552" i="16"/>
  <c r="S1551" i="16"/>
  <c r="T1551" i="16" s="1"/>
  <c r="S1550" i="16"/>
  <c r="T1550" i="16" s="1"/>
  <c r="S1549" i="16"/>
  <c r="T1549" i="16" s="1"/>
  <c r="N1549" i="16"/>
  <c r="S1548" i="16"/>
  <c r="T1548" i="16" s="1"/>
  <c r="N1548" i="16"/>
  <c r="S1547" i="16"/>
  <c r="T1547" i="16" s="1"/>
  <c r="N1547" i="16"/>
  <c r="S1546" i="16"/>
  <c r="T1546" i="16" s="1"/>
  <c r="N1546" i="16"/>
  <c r="S1545" i="16"/>
  <c r="T1545" i="16" s="1"/>
  <c r="N1545" i="16"/>
  <c r="S1544" i="16"/>
  <c r="T1544" i="16" s="1"/>
  <c r="N1544" i="16"/>
  <c r="S1543" i="16"/>
  <c r="T1543" i="16" s="1"/>
  <c r="S1542" i="16"/>
  <c r="T1542" i="16" s="1"/>
  <c r="S1541" i="16"/>
  <c r="T1541" i="16" s="1"/>
  <c r="N1541" i="16"/>
  <c r="S1540" i="16"/>
  <c r="T1540" i="16" s="1"/>
  <c r="N1540" i="16"/>
  <c r="S1539" i="16"/>
  <c r="T1539" i="16" s="1"/>
  <c r="N1539" i="16"/>
  <c r="S1538" i="16"/>
  <c r="T1538" i="16" s="1"/>
  <c r="N1538" i="16"/>
  <c r="S1537" i="16"/>
  <c r="T1537" i="16" s="1"/>
  <c r="N1537" i="16"/>
  <c r="S1536" i="16"/>
  <c r="T1536" i="16" s="1"/>
  <c r="N1536" i="16"/>
  <c r="S1535" i="16"/>
  <c r="T1535" i="16" s="1"/>
  <c r="N1535" i="16"/>
  <c r="S1534" i="16"/>
  <c r="T1534" i="16" s="1"/>
  <c r="N1534" i="16"/>
  <c r="S1533" i="16"/>
  <c r="T1533" i="16" s="1"/>
  <c r="N1533" i="16"/>
  <c r="S1532" i="16"/>
  <c r="T1532" i="16" s="1"/>
  <c r="N1532" i="16"/>
  <c r="S1531" i="16"/>
  <c r="T1531" i="16" s="1"/>
  <c r="S1530" i="16"/>
  <c r="T1530" i="16" s="1"/>
  <c r="S1529" i="16"/>
  <c r="T1529" i="16" s="1"/>
  <c r="N1529" i="16"/>
  <c r="S1528" i="16"/>
  <c r="T1528" i="16" s="1"/>
  <c r="N1528" i="16"/>
  <c r="S1527" i="16"/>
  <c r="T1527" i="16" s="1"/>
  <c r="N1527" i="16"/>
  <c r="S1526" i="16"/>
  <c r="T1526" i="16" s="1"/>
  <c r="N1526" i="16"/>
  <c r="S1525" i="16"/>
  <c r="T1525" i="16" s="1"/>
  <c r="N1525" i="16"/>
  <c r="S1524" i="16"/>
  <c r="T1524" i="16" s="1"/>
  <c r="N1524" i="16"/>
  <c r="S1523" i="16"/>
  <c r="T1523" i="16" s="1"/>
  <c r="N1523" i="16"/>
  <c r="S1522" i="16"/>
  <c r="T1522" i="16" s="1"/>
  <c r="N1522" i="16"/>
  <c r="S1521" i="16"/>
  <c r="T1521" i="16" s="1"/>
  <c r="N1521" i="16"/>
  <c r="S1520" i="16"/>
  <c r="T1520" i="16" s="1"/>
  <c r="N1520" i="16"/>
  <c r="S1519" i="16"/>
  <c r="T1519" i="16" s="1"/>
  <c r="S1518" i="16"/>
  <c r="T1518" i="16" s="1"/>
  <c r="S1517" i="16"/>
  <c r="T1517" i="16" s="1"/>
  <c r="N1517" i="16"/>
  <c r="S1516" i="16"/>
  <c r="T1516" i="16" s="1"/>
  <c r="N1516" i="16"/>
  <c r="S1515" i="16"/>
  <c r="T1515" i="16" s="1"/>
  <c r="S1514" i="16"/>
  <c r="T1514" i="16" s="1"/>
  <c r="AD1513" i="16"/>
  <c r="AE1513" i="16" s="1"/>
  <c r="S1513" i="16"/>
  <c r="T1513" i="16" s="1"/>
  <c r="N1513" i="16"/>
  <c r="AD1512" i="16"/>
  <c r="AE1512" i="16" s="1"/>
  <c r="S1512" i="16"/>
  <c r="T1512" i="16" s="1"/>
  <c r="N1512" i="16"/>
  <c r="AD1511" i="16"/>
  <c r="AE1511" i="16" s="1"/>
  <c r="S1511" i="16"/>
  <c r="T1511" i="16" s="1"/>
  <c r="N1511" i="16"/>
  <c r="AD1510" i="16"/>
  <c r="AE1510" i="16" s="1"/>
  <c r="S1510" i="16"/>
  <c r="T1510" i="16" s="1"/>
  <c r="N1510" i="16"/>
  <c r="AD1509" i="16"/>
  <c r="AE1509" i="16" s="1"/>
  <c r="S1509" i="16"/>
  <c r="T1509" i="16" s="1"/>
  <c r="AD1508" i="16"/>
  <c r="AE1508" i="16" s="1"/>
  <c r="S1508" i="16"/>
  <c r="T1508" i="16" s="1"/>
  <c r="N1508" i="16"/>
  <c r="AD1507" i="16"/>
  <c r="AE1507" i="16" s="1"/>
  <c r="S1507" i="16"/>
  <c r="T1507" i="16" s="1"/>
  <c r="N1507" i="16"/>
  <c r="S1506" i="16"/>
  <c r="T1506" i="16" s="1"/>
  <c r="N1506" i="16"/>
  <c r="S1505" i="16"/>
  <c r="T1505" i="16" s="1"/>
  <c r="N1505" i="16"/>
  <c r="S1504" i="16"/>
  <c r="T1504" i="16" s="1"/>
  <c r="N1504" i="16"/>
  <c r="S1503" i="16"/>
  <c r="T1503" i="16" s="1"/>
  <c r="N1503" i="16"/>
  <c r="S1502" i="16"/>
  <c r="T1502" i="16" s="1"/>
  <c r="N1502" i="16"/>
  <c r="S1501" i="16"/>
  <c r="T1501" i="16" s="1"/>
  <c r="AD1500" i="16"/>
  <c r="AE1500" i="16" s="1"/>
  <c r="S1500" i="16"/>
  <c r="T1500" i="16" s="1"/>
  <c r="N1500" i="16"/>
  <c r="AD1499" i="16"/>
  <c r="AE1499" i="16" s="1"/>
  <c r="S1499" i="16"/>
  <c r="T1499" i="16" s="1"/>
  <c r="N1499" i="16"/>
  <c r="AD1498" i="16"/>
  <c r="AE1498" i="16" s="1"/>
  <c r="S1498" i="16"/>
  <c r="T1498" i="16" s="1"/>
  <c r="N1498" i="16"/>
  <c r="S1497" i="16"/>
  <c r="T1497" i="16" s="1"/>
  <c r="N1497" i="16"/>
  <c r="S1496" i="16"/>
  <c r="T1496" i="16" s="1"/>
  <c r="N1496" i="16"/>
  <c r="S1495" i="16"/>
  <c r="T1495" i="16" s="1"/>
  <c r="N1495" i="16"/>
  <c r="S1494" i="16"/>
  <c r="T1494" i="16" s="1"/>
  <c r="N1494" i="16"/>
  <c r="S1493" i="16"/>
  <c r="T1493" i="16" s="1"/>
  <c r="N1493" i="16"/>
  <c r="S1492" i="16"/>
  <c r="T1492" i="16" s="1"/>
  <c r="N1492" i="16"/>
  <c r="S1491" i="16"/>
  <c r="T1491" i="16" s="1"/>
  <c r="S1490" i="16"/>
  <c r="T1490" i="16" s="1"/>
  <c r="S1489" i="16"/>
  <c r="T1489" i="16" s="1"/>
  <c r="N1489" i="16"/>
  <c r="S1488" i="16"/>
  <c r="T1488" i="16" s="1"/>
  <c r="N1488" i="16"/>
  <c r="S1487" i="16"/>
  <c r="T1487" i="16" s="1"/>
  <c r="S1486" i="16"/>
  <c r="T1486" i="16" s="1"/>
  <c r="S1485" i="16"/>
  <c r="T1485" i="16" s="1"/>
  <c r="N1485" i="16"/>
  <c r="S1484" i="16"/>
  <c r="T1484" i="16" s="1"/>
  <c r="N1484" i="16"/>
  <c r="S1483" i="16"/>
  <c r="T1483" i="16" s="1"/>
  <c r="N1483" i="16"/>
  <c r="S1482" i="16"/>
  <c r="T1482" i="16" s="1"/>
  <c r="N1482" i="16"/>
  <c r="S1481" i="16"/>
  <c r="T1481" i="16" s="1"/>
  <c r="N1481" i="16"/>
  <c r="S1480" i="16"/>
  <c r="T1480" i="16" s="1"/>
  <c r="N1480" i="16"/>
  <c r="S1479" i="16"/>
  <c r="T1479" i="16" s="1"/>
  <c r="S1478" i="16"/>
  <c r="T1478" i="16" s="1"/>
  <c r="S1477" i="16"/>
  <c r="T1477" i="16" s="1"/>
  <c r="N1477" i="16"/>
  <c r="S1476" i="16"/>
  <c r="T1476" i="16" s="1"/>
  <c r="N1476" i="16"/>
  <c r="S1475" i="16"/>
  <c r="T1475" i="16" s="1"/>
  <c r="N1475" i="16"/>
  <c r="S1474" i="16"/>
  <c r="T1474" i="16" s="1"/>
  <c r="N1474" i="16"/>
  <c r="S1473" i="16"/>
  <c r="T1473" i="16" s="1"/>
  <c r="N1473" i="16"/>
  <c r="S1472" i="16"/>
  <c r="T1472" i="16" s="1"/>
  <c r="N1472" i="16"/>
  <c r="S1471" i="16"/>
  <c r="T1471" i="16" s="1"/>
  <c r="S1470" i="16"/>
  <c r="T1470" i="16" s="1"/>
  <c r="S1469" i="16"/>
  <c r="T1469" i="16" s="1"/>
  <c r="N1469" i="16"/>
  <c r="S1468" i="16"/>
  <c r="T1468" i="16" s="1"/>
  <c r="N1468" i="16"/>
  <c r="S1467" i="16"/>
  <c r="T1467" i="16" s="1"/>
  <c r="S1466" i="16"/>
  <c r="T1466" i="16" s="1"/>
  <c r="S1465" i="16"/>
  <c r="T1465" i="16" s="1"/>
  <c r="N1465" i="16"/>
  <c r="S1464" i="16"/>
  <c r="T1464" i="16" s="1"/>
  <c r="N1464" i="16"/>
  <c r="S1463" i="16"/>
  <c r="T1463" i="16" s="1"/>
  <c r="S1462" i="16"/>
  <c r="T1462" i="16" s="1"/>
  <c r="S1461" i="16"/>
  <c r="T1461" i="16" s="1"/>
  <c r="N1461" i="16"/>
  <c r="S1460" i="16"/>
  <c r="T1460" i="16" s="1"/>
  <c r="N1460" i="16"/>
  <c r="S1459" i="16"/>
  <c r="T1459" i="16" s="1"/>
  <c r="S1458" i="16"/>
  <c r="T1458" i="16" s="1"/>
  <c r="S1457" i="16"/>
  <c r="T1457" i="16" s="1"/>
  <c r="N1457" i="16"/>
  <c r="S1456" i="16"/>
  <c r="T1456" i="16" s="1"/>
  <c r="N1456" i="16"/>
  <c r="S1455" i="16"/>
  <c r="T1455" i="16" s="1"/>
  <c r="N1455" i="16"/>
  <c r="S1454" i="16"/>
  <c r="T1454" i="16" s="1"/>
  <c r="S1453" i="16"/>
  <c r="T1453" i="16" s="1"/>
  <c r="N1453" i="16"/>
  <c r="S1452" i="16"/>
  <c r="T1452" i="16" s="1"/>
  <c r="N1452" i="16"/>
  <c r="S1451" i="16"/>
  <c r="T1451" i="16" s="1"/>
  <c r="S1450" i="16"/>
  <c r="T1450" i="16" s="1"/>
  <c r="S1449" i="16"/>
  <c r="T1449" i="16" s="1"/>
  <c r="N1449" i="16"/>
  <c r="S1448" i="16"/>
  <c r="T1448" i="16" s="1"/>
  <c r="N1448" i="16"/>
  <c r="S1447" i="16"/>
  <c r="T1447" i="16" s="1"/>
  <c r="S1446" i="16"/>
  <c r="T1446" i="16" s="1"/>
  <c r="N1446" i="16"/>
  <c r="S1445" i="16"/>
  <c r="T1445" i="16" s="1"/>
  <c r="N1445" i="16"/>
  <c r="S1444" i="16"/>
  <c r="T1444" i="16" s="1"/>
  <c r="N1444" i="16"/>
  <c r="S1443" i="16"/>
  <c r="T1443" i="16" s="1"/>
  <c r="S1442" i="16"/>
  <c r="T1442" i="16" s="1"/>
  <c r="N1442" i="16"/>
  <c r="S1441" i="16"/>
  <c r="T1441" i="16" s="1"/>
  <c r="N1441" i="16"/>
  <c r="S1440" i="16"/>
  <c r="T1440" i="16" s="1"/>
  <c r="N1440" i="16"/>
  <c r="S1439" i="16"/>
  <c r="T1439" i="16" s="1"/>
  <c r="N1439" i="16"/>
  <c r="S1438" i="16"/>
  <c r="T1438" i="16" s="1"/>
  <c r="N1438" i="16"/>
  <c r="S1437" i="16"/>
  <c r="T1437" i="16" s="1"/>
  <c r="N1437" i="16"/>
  <c r="S1436" i="16"/>
  <c r="T1436" i="16" s="1"/>
  <c r="N1436" i="16"/>
  <c r="S1435" i="16"/>
  <c r="T1435" i="16" s="1"/>
  <c r="N1435" i="16"/>
  <c r="S1434" i="16"/>
  <c r="T1434" i="16" s="1"/>
  <c r="N1434" i="16"/>
  <c r="S1433" i="16"/>
  <c r="T1433" i="16" s="1"/>
  <c r="N1433" i="16"/>
  <c r="S1432" i="16"/>
  <c r="T1432" i="16" s="1"/>
  <c r="N1432" i="16"/>
  <c r="S1431" i="16"/>
  <c r="T1431" i="16" s="1"/>
  <c r="N1431" i="16"/>
  <c r="S1430" i="16"/>
  <c r="T1430" i="16" s="1"/>
  <c r="N1430" i="16"/>
  <c r="S1429" i="16"/>
  <c r="T1429" i="16" s="1"/>
  <c r="N1429" i="16"/>
  <c r="S1428" i="16"/>
  <c r="T1428" i="16" s="1"/>
  <c r="N1428" i="16"/>
  <c r="S1427" i="16"/>
  <c r="T1427" i="16" s="1"/>
  <c r="N1427" i="16"/>
  <c r="S1426" i="16"/>
  <c r="T1426" i="16" s="1"/>
  <c r="N1426" i="16"/>
  <c r="S1425" i="16"/>
  <c r="T1425" i="16" s="1"/>
  <c r="N1425" i="16"/>
  <c r="S1424" i="16"/>
  <c r="T1424" i="16" s="1"/>
  <c r="N1424" i="16"/>
  <c r="S1423" i="16"/>
  <c r="T1423" i="16" s="1"/>
  <c r="S1422" i="16"/>
  <c r="T1422" i="16" s="1"/>
  <c r="N1422" i="16"/>
  <c r="S1421" i="16"/>
  <c r="T1421" i="16" s="1"/>
  <c r="N1421" i="16"/>
  <c r="S1420" i="16"/>
  <c r="T1420" i="16" s="1"/>
  <c r="N1420" i="16"/>
  <c r="S1419" i="16"/>
  <c r="T1419" i="16" s="1"/>
  <c r="S1418" i="16"/>
  <c r="T1418" i="16" s="1"/>
  <c r="N1418" i="16"/>
  <c r="S1417" i="16"/>
  <c r="T1417" i="16" s="1"/>
  <c r="N1417" i="16"/>
  <c r="S1416" i="16"/>
  <c r="T1416" i="16" s="1"/>
  <c r="N1416" i="16"/>
  <c r="S1415" i="16"/>
  <c r="T1415" i="16" s="1"/>
  <c r="N1415" i="16"/>
  <c r="S1414" i="16"/>
  <c r="T1414" i="16" s="1"/>
  <c r="N1414" i="16"/>
  <c r="S1413" i="16"/>
  <c r="T1413" i="16" s="1"/>
  <c r="N1413" i="16"/>
  <c r="S1412" i="16"/>
  <c r="T1412" i="16" s="1"/>
  <c r="N1412" i="16"/>
  <c r="S1411" i="16"/>
  <c r="T1411" i="16" s="1"/>
  <c r="N1411" i="16"/>
  <c r="S1410" i="16"/>
  <c r="T1410" i="16" s="1"/>
  <c r="N1410" i="16"/>
  <c r="S1409" i="16"/>
  <c r="T1409" i="16" s="1"/>
  <c r="N1409" i="16"/>
  <c r="S1408" i="16"/>
  <c r="T1408" i="16" s="1"/>
  <c r="N1408" i="16"/>
  <c r="S1407" i="16"/>
  <c r="T1407" i="16" s="1"/>
  <c r="N1407" i="16"/>
  <c r="S1406" i="16"/>
  <c r="T1406" i="16" s="1"/>
  <c r="N1406" i="16"/>
  <c r="S1405" i="16"/>
  <c r="T1405" i="16" s="1"/>
  <c r="N1405" i="16"/>
  <c r="S1404" i="16"/>
  <c r="T1404" i="16" s="1"/>
  <c r="N1404" i="16"/>
  <c r="S1403" i="16"/>
  <c r="T1403" i="16" s="1"/>
  <c r="S1402" i="16"/>
  <c r="T1402" i="16" s="1"/>
  <c r="N1402" i="16"/>
  <c r="S1401" i="16"/>
  <c r="T1401" i="16" s="1"/>
  <c r="S1400" i="16"/>
  <c r="T1400" i="16" s="1"/>
  <c r="N1400" i="16"/>
  <c r="S1399" i="16"/>
  <c r="T1399" i="16" s="1"/>
  <c r="N1399" i="16"/>
  <c r="S1398" i="16"/>
  <c r="T1398" i="16" s="1"/>
  <c r="N1398" i="16"/>
  <c r="S1397" i="16"/>
  <c r="T1397" i="16" s="1"/>
  <c r="N1397" i="16"/>
  <c r="S1396" i="16"/>
  <c r="T1396" i="16" s="1"/>
  <c r="S1395" i="16"/>
  <c r="T1395" i="16" s="1"/>
  <c r="N1395" i="16"/>
  <c r="S1394" i="16"/>
  <c r="T1394" i="16" s="1"/>
  <c r="N1394" i="16"/>
  <c r="S1393" i="16"/>
  <c r="T1393" i="16" s="1"/>
  <c r="S1392" i="16"/>
  <c r="T1392" i="16" s="1"/>
  <c r="S1391" i="16"/>
  <c r="T1391" i="16" s="1"/>
  <c r="N1391" i="16"/>
  <c r="S1390" i="16"/>
  <c r="T1390" i="16" s="1"/>
  <c r="N1390" i="16"/>
  <c r="S1389" i="16"/>
  <c r="T1389" i="16" s="1"/>
  <c r="N1389" i="16"/>
  <c r="S1388" i="16"/>
  <c r="T1388" i="16" s="1"/>
  <c r="N1388" i="16"/>
  <c r="S1387" i="16"/>
  <c r="T1387" i="16" s="1"/>
  <c r="N1387" i="16"/>
  <c r="AD1386" i="16"/>
  <c r="AE1386" i="16" s="1"/>
  <c r="S1386" i="16"/>
  <c r="T1386" i="16" s="1"/>
  <c r="N1386" i="16"/>
  <c r="S1385" i="16"/>
  <c r="T1385" i="16" s="1"/>
  <c r="N1385" i="16"/>
  <c r="AD1384" i="16"/>
  <c r="AE1384" i="16" s="1"/>
  <c r="S1384" i="16"/>
  <c r="T1384" i="16" s="1"/>
  <c r="N1384" i="16"/>
  <c r="S1383" i="16"/>
  <c r="T1383" i="16" s="1"/>
  <c r="N1383" i="16"/>
  <c r="S1382" i="16"/>
  <c r="T1382" i="16" s="1"/>
  <c r="N1382" i="16"/>
  <c r="S1381" i="16"/>
  <c r="T1381" i="16" s="1"/>
  <c r="N1381" i="16"/>
  <c r="S1380" i="16"/>
  <c r="T1380" i="16" s="1"/>
  <c r="N1380" i="16"/>
  <c r="S1379" i="16"/>
  <c r="T1379" i="16" s="1"/>
  <c r="N1379" i="16"/>
  <c r="S1378" i="16"/>
  <c r="T1378" i="16" s="1"/>
  <c r="N1378" i="16"/>
  <c r="S1377" i="16"/>
  <c r="T1377" i="16" s="1"/>
  <c r="N1377" i="16"/>
  <c r="S1376" i="16"/>
  <c r="T1376" i="16" s="1"/>
  <c r="N1376" i="16"/>
  <c r="S1375" i="16"/>
  <c r="T1375" i="16" s="1"/>
  <c r="N1375" i="16"/>
  <c r="S1374" i="16"/>
  <c r="T1374" i="16" s="1"/>
  <c r="N1374" i="16"/>
  <c r="U1373" i="16"/>
  <c r="S1373" i="16" s="1"/>
  <c r="T1373" i="16" s="1"/>
  <c r="S1372" i="16"/>
  <c r="T1372" i="16" s="1"/>
  <c r="N1372" i="16"/>
  <c r="S1371" i="16"/>
  <c r="T1371" i="16" s="1"/>
  <c r="N1371" i="16"/>
  <c r="S1370" i="16"/>
  <c r="T1370" i="16" s="1"/>
  <c r="N1370" i="16"/>
  <c r="U1369" i="16"/>
  <c r="S1369" i="16" s="1"/>
  <c r="T1369" i="16" s="1"/>
  <c r="N1369" i="16"/>
  <c r="AD1368" i="16"/>
  <c r="AE1368" i="16" s="1"/>
  <c r="S1368" i="16"/>
  <c r="T1368" i="16" s="1"/>
  <c r="N1368" i="16"/>
  <c r="S1367" i="16"/>
  <c r="T1367" i="16" s="1"/>
  <c r="N1367" i="16"/>
  <c r="S1366" i="16"/>
  <c r="T1366" i="16" s="1"/>
  <c r="N1366" i="16"/>
  <c r="S1365" i="16"/>
  <c r="T1365" i="16" s="1"/>
  <c r="N1365" i="16"/>
  <c r="S1364" i="16"/>
  <c r="T1364" i="16" s="1"/>
  <c r="N1364" i="16"/>
  <c r="S1363" i="16"/>
  <c r="T1363" i="16" s="1"/>
  <c r="N1363" i="16"/>
  <c r="S1362" i="16"/>
  <c r="T1362" i="16" s="1"/>
  <c r="N1362" i="16"/>
  <c r="U1361" i="16"/>
  <c r="S1361" i="16" s="1"/>
  <c r="T1361" i="16" s="1"/>
  <c r="N1361" i="16"/>
  <c r="S1360" i="16"/>
  <c r="T1360" i="16" s="1"/>
  <c r="N1360" i="16"/>
  <c r="U1359" i="16"/>
  <c r="S1359" i="16" s="1"/>
  <c r="T1359" i="16" s="1"/>
  <c r="N1359" i="16"/>
  <c r="S1358" i="16"/>
  <c r="T1358" i="16" s="1"/>
  <c r="N1358" i="16"/>
  <c r="U1357" i="16"/>
  <c r="S1357" i="16" s="1"/>
  <c r="T1357" i="16" s="1"/>
  <c r="S1356" i="16"/>
  <c r="T1356" i="16" s="1"/>
  <c r="N1356" i="16"/>
  <c r="AD1355" i="16"/>
  <c r="AE1355" i="16" s="1"/>
  <c r="S1355" i="16"/>
  <c r="T1355" i="16" s="1"/>
  <c r="S1354" i="16"/>
  <c r="T1354" i="16" s="1"/>
  <c r="N1354" i="16"/>
  <c r="S1353" i="16"/>
  <c r="T1353" i="16" s="1"/>
  <c r="N1353" i="16"/>
  <c r="S1352" i="16"/>
  <c r="T1352" i="16" s="1"/>
  <c r="N1352" i="16"/>
  <c r="S1351" i="16"/>
  <c r="T1351" i="16" s="1"/>
  <c r="N1351" i="16"/>
  <c r="S1350" i="16"/>
  <c r="T1350" i="16" s="1"/>
  <c r="N1350" i="16"/>
  <c r="S1349" i="16"/>
  <c r="T1349" i="16" s="1"/>
  <c r="N1349" i="16"/>
  <c r="S1348" i="16"/>
  <c r="T1348" i="16" s="1"/>
  <c r="N1348" i="16"/>
  <c r="S1347" i="16"/>
  <c r="T1347" i="16" s="1"/>
  <c r="N1347" i="16"/>
  <c r="S1346" i="16"/>
  <c r="T1346" i="16" s="1"/>
  <c r="N1346" i="16"/>
  <c r="S1345" i="16"/>
  <c r="T1345" i="16" s="1"/>
  <c r="N1345" i="16"/>
  <c r="S1344" i="16"/>
  <c r="T1344" i="16" s="1"/>
  <c r="N1344" i="16"/>
  <c r="S1343" i="16"/>
  <c r="T1343" i="16" s="1"/>
  <c r="N1343" i="16"/>
  <c r="S1342" i="16"/>
  <c r="T1342" i="16" s="1"/>
  <c r="N1342" i="16"/>
  <c r="S1341" i="16"/>
  <c r="T1341" i="16" s="1"/>
  <c r="N1341" i="16"/>
  <c r="S1340" i="16"/>
  <c r="T1340" i="16" s="1"/>
  <c r="S1339" i="16"/>
  <c r="T1339" i="16" s="1"/>
  <c r="N1339" i="16"/>
  <c r="S1338" i="16"/>
  <c r="T1338" i="16" s="1"/>
  <c r="N1338" i="16"/>
  <c r="U1337" i="16"/>
  <c r="S1337" i="16" s="1"/>
  <c r="T1337" i="16" s="1"/>
  <c r="N1337" i="16"/>
  <c r="S1336" i="16"/>
  <c r="T1336" i="16" s="1"/>
  <c r="N1336" i="16"/>
  <c r="S1335" i="16"/>
  <c r="T1335" i="16" s="1"/>
  <c r="N1335" i="16"/>
  <c r="S1334" i="16"/>
  <c r="T1334" i="16" s="1"/>
  <c r="N1334" i="16"/>
  <c r="S1333" i="16"/>
  <c r="T1333" i="16" s="1"/>
  <c r="N1333" i="16"/>
  <c r="S1332" i="16"/>
  <c r="T1332" i="16" s="1"/>
  <c r="S1331" i="16"/>
  <c r="T1331" i="16" s="1"/>
  <c r="N1331" i="16"/>
  <c r="S1330" i="16"/>
  <c r="T1330" i="16" s="1"/>
  <c r="N1330" i="16"/>
  <c r="S1329" i="16"/>
  <c r="T1329" i="16" s="1"/>
  <c r="N1329" i="16"/>
  <c r="S1328" i="16"/>
  <c r="T1328" i="16" s="1"/>
  <c r="N1328" i="16"/>
  <c r="S1327" i="16"/>
  <c r="T1327" i="16" s="1"/>
  <c r="N1327" i="16"/>
  <c r="Y1326" i="16"/>
  <c r="S1326" i="16" s="1"/>
  <c r="T1326" i="16" s="1"/>
  <c r="N1326" i="16"/>
  <c r="U1325" i="16"/>
  <c r="S1325" i="16" s="1"/>
  <c r="T1325" i="16" s="1"/>
  <c r="N1325" i="16"/>
  <c r="S1324" i="16"/>
  <c r="T1324" i="16" s="1"/>
  <c r="N1324" i="16"/>
  <c r="S1323" i="16"/>
  <c r="T1323" i="16" s="1"/>
  <c r="S1322" i="16"/>
  <c r="T1322" i="16" s="1"/>
  <c r="N1322" i="16"/>
  <c r="S1321" i="16"/>
  <c r="T1321" i="16" s="1"/>
  <c r="N1321" i="16"/>
  <c r="S1320" i="16"/>
  <c r="T1320" i="16" s="1"/>
  <c r="N1320" i="16"/>
  <c r="S1319" i="16"/>
  <c r="T1319" i="16" s="1"/>
  <c r="N1319" i="16"/>
  <c r="S1318" i="16"/>
  <c r="T1318" i="16" s="1"/>
  <c r="N1318" i="16"/>
  <c r="S1317" i="16"/>
  <c r="T1317" i="16" s="1"/>
  <c r="N1317" i="16"/>
  <c r="S1316" i="16"/>
  <c r="T1316" i="16" s="1"/>
  <c r="N1316" i="16"/>
  <c r="AD1315" i="16"/>
  <c r="AE1315" i="16" s="1"/>
  <c r="S1315" i="16"/>
  <c r="T1315" i="16" s="1"/>
  <c r="N1315" i="16"/>
  <c r="Y1314" i="16"/>
  <c r="S1314" i="16" s="1"/>
  <c r="T1314" i="16" s="1"/>
  <c r="N1314" i="16"/>
  <c r="S1313" i="16"/>
  <c r="T1313" i="16" s="1"/>
  <c r="N1313" i="16"/>
  <c r="S1312" i="16"/>
  <c r="T1312" i="16" s="1"/>
  <c r="N1312" i="16"/>
  <c r="S1311" i="16"/>
  <c r="T1311" i="16" s="1"/>
  <c r="N1311" i="16"/>
  <c r="S1310" i="16"/>
  <c r="T1310" i="16" s="1"/>
  <c r="N1310" i="16"/>
  <c r="S1309" i="16"/>
  <c r="T1309" i="16" s="1"/>
  <c r="N1309" i="16"/>
  <c r="S1308" i="16"/>
  <c r="T1308" i="16" s="1"/>
  <c r="N1308" i="16"/>
  <c r="S1307" i="16"/>
  <c r="T1307" i="16" s="1"/>
  <c r="N1307" i="16"/>
  <c r="S1306" i="16"/>
  <c r="T1306" i="16" s="1"/>
  <c r="N1306" i="16"/>
  <c r="S1305" i="16"/>
  <c r="T1305" i="16" s="1"/>
  <c r="N1305" i="16"/>
  <c r="S1304" i="16"/>
  <c r="T1304" i="16" s="1"/>
  <c r="S1303" i="16"/>
  <c r="T1303" i="16" s="1"/>
  <c r="N1303" i="16"/>
  <c r="S1302" i="16"/>
  <c r="T1302" i="16" s="1"/>
  <c r="N1302" i="16"/>
  <c r="S1301" i="16"/>
  <c r="T1301" i="16" s="1"/>
  <c r="N1301" i="16"/>
  <c r="S1300" i="16"/>
  <c r="T1300" i="16" s="1"/>
  <c r="N1300" i="16"/>
  <c r="S1299" i="16"/>
  <c r="T1299" i="16" s="1"/>
  <c r="N1299" i="16"/>
  <c r="AD1298" i="16"/>
  <c r="AE1298" i="16" s="1"/>
  <c r="S1298" i="16"/>
  <c r="T1298" i="16" s="1"/>
  <c r="N1298" i="16"/>
  <c r="S1297" i="16"/>
  <c r="T1297" i="16" s="1"/>
  <c r="N1297" i="16"/>
  <c r="S1296" i="16"/>
  <c r="T1296" i="16" s="1"/>
  <c r="N1296" i="16"/>
  <c r="S1295" i="16"/>
  <c r="T1295" i="16" s="1"/>
  <c r="N1295" i="16"/>
  <c r="S1294" i="16"/>
  <c r="T1294" i="16" s="1"/>
  <c r="AD1293" i="16"/>
  <c r="AE1293" i="16" s="1"/>
  <c r="S1293" i="16"/>
  <c r="T1293" i="16" s="1"/>
  <c r="N1293" i="16"/>
  <c r="U1292" i="16"/>
  <c r="S1292" i="16" s="1"/>
  <c r="T1292" i="16" s="1"/>
  <c r="N1292" i="16"/>
  <c r="Y1291" i="16"/>
  <c r="S1291" i="16" s="1"/>
  <c r="T1291" i="16" s="1"/>
  <c r="N1291" i="16"/>
  <c r="Y1290" i="16"/>
  <c r="S1290" i="16" s="1"/>
  <c r="T1290" i="16" s="1"/>
  <c r="N1290" i="16"/>
  <c r="S1289" i="16"/>
  <c r="T1289" i="16" s="1"/>
  <c r="S1288" i="16"/>
  <c r="T1288" i="16" s="1"/>
  <c r="N1288" i="16"/>
  <c r="S1287" i="16"/>
  <c r="T1287" i="16" s="1"/>
  <c r="N1287" i="16"/>
  <c r="Y1286" i="16"/>
  <c r="S1286" i="16" s="1"/>
  <c r="T1286" i="16" s="1"/>
  <c r="N1286" i="16"/>
  <c r="S1285" i="16"/>
  <c r="T1285" i="16" s="1"/>
  <c r="N1285" i="16"/>
  <c r="S1284" i="16"/>
  <c r="T1284" i="16" s="1"/>
  <c r="N1284" i="16"/>
  <c r="S1283" i="16"/>
  <c r="T1283" i="16" s="1"/>
  <c r="N1283" i="16"/>
  <c r="AD1282" i="16"/>
  <c r="AE1282" i="16" s="1"/>
  <c r="S1282" i="16"/>
  <c r="T1282" i="16" s="1"/>
  <c r="N1282" i="16"/>
  <c r="S1281" i="16"/>
  <c r="T1281" i="16" s="1"/>
  <c r="N1281" i="16"/>
  <c r="S1280" i="16"/>
  <c r="T1280" i="16" s="1"/>
  <c r="N1280" i="16"/>
  <c r="S1279" i="16"/>
  <c r="T1279" i="16" s="1"/>
  <c r="N1279" i="16"/>
  <c r="S1278" i="16"/>
  <c r="T1278" i="16" s="1"/>
  <c r="S1277" i="16"/>
  <c r="T1277" i="16" s="1"/>
  <c r="N1277" i="16"/>
  <c r="S1276" i="16"/>
  <c r="T1276" i="16" s="1"/>
  <c r="N1276" i="16"/>
  <c r="S1275" i="16"/>
  <c r="T1275" i="16" s="1"/>
  <c r="N1275" i="16"/>
  <c r="S1274" i="16"/>
  <c r="T1274" i="16" s="1"/>
  <c r="N1274" i="16"/>
  <c r="S1273" i="16"/>
  <c r="T1273" i="16" s="1"/>
  <c r="N1273" i="16"/>
  <c r="S1272" i="16"/>
  <c r="T1272" i="16" s="1"/>
  <c r="N1272" i="16"/>
  <c r="S1271" i="16"/>
  <c r="T1271" i="16" s="1"/>
  <c r="N1271" i="16"/>
  <c r="S1270" i="16"/>
  <c r="T1270" i="16" s="1"/>
  <c r="N1270" i="16"/>
  <c r="S1269" i="16"/>
  <c r="T1269" i="16" s="1"/>
  <c r="N1269" i="16"/>
  <c r="S1268" i="16"/>
  <c r="T1268" i="16" s="1"/>
  <c r="N1268" i="16"/>
  <c r="S1267" i="16"/>
  <c r="T1267" i="16" s="1"/>
  <c r="N1267" i="16"/>
  <c r="S1266" i="16"/>
  <c r="T1266" i="16" s="1"/>
  <c r="U1265" i="16"/>
  <c r="S1265" i="16" s="1"/>
  <c r="T1265" i="16" s="1"/>
  <c r="N1265" i="16"/>
  <c r="S1264" i="16"/>
  <c r="T1264" i="16" s="1"/>
  <c r="N1264" i="16"/>
  <c r="S1263" i="16"/>
  <c r="T1263" i="16" s="1"/>
  <c r="N1263" i="16"/>
  <c r="S1262" i="16"/>
  <c r="T1262" i="16" s="1"/>
  <c r="N1262" i="16"/>
  <c r="S1261" i="16"/>
  <c r="T1261" i="16" s="1"/>
  <c r="N1261" i="16"/>
  <c r="U1260" i="16"/>
  <c r="S1260" i="16" s="1"/>
  <c r="T1260" i="16" s="1"/>
  <c r="N1260" i="16"/>
  <c r="S1259" i="16"/>
  <c r="T1259" i="16" s="1"/>
  <c r="N1259" i="16"/>
  <c r="S1258" i="16"/>
  <c r="T1258" i="16" s="1"/>
  <c r="N1258" i="16"/>
  <c r="S1257" i="16"/>
  <c r="T1257" i="16" s="1"/>
  <c r="N1257" i="16"/>
  <c r="S1256" i="16"/>
  <c r="T1256" i="16" s="1"/>
  <c r="S1255" i="16"/>
  <c r="T1255" i="16" s="1"/>
  <c r="N1255" i="16"/>
  <c r="AD1254" i="16"/>
  <c r="AE1254" i="16" s="1"/>
  <c r="Y1254" i="16"/>
  <c r="S1254" i="16" s="1"/>
  <c r="T1254" i="16" s="1"/>
  <c r="N1254" i="16"/>
  <c r="U1253" i="16"/>
  <c r="S1253" i="16" s="1"/>
  <c r="T1253" i="16" s="1"/>
  <c r="N1253" i="16"/>
  <c r="S1252" i="16"/>
  <c r="T1252" i="16" s="1"/>
  <c r="S1251" i="16"/>
  <c r="T1251" i="16" s="1"/>
  <c r="N1251" i="16"/>
  <c r="U1250" i="16"/>
  <c r="S1250" i="16" s="1"/>
  <c r="T1250" i="16" s="1"/>
  <c r="N1250" i="16"/>
  <c r="S1249" i="16"/>
  <c r="T1249" i="16" s="1"/>
  <c r="N1249" i="16"/>
  <c r="Y1248" i="16"/>
  <c r="U1248" i="16"/>
  <c r="N1248" i="16"/>
  <c r="U1247" i="16"/>
  <c r="S1247" i="16" s="1"/>
  <c r="T1247" i="16" s="1"/>
  <c r="N1247" i="16"/>
  <c r="S1246" i="16"/>
  <c r="T1246" i="16" s="1"/>
  <c r="N1246" i="16"/>
  <c r="S1245" i="16"/>
  <c r="T1245" i="16" s="1"/>
  <c r="S1244" i="16"/>
  <c r="T1244" i="16" s="1"/>
  <c r="N1244" i="16"/>
  <c r="S1243" i="16"/>
  <c r="T1243" i="16" s="1"/>
  <c r="N1243" i="16"/>
  <c r="S1242" i="16"/>
  <c r="T1242" i="16" s="1"/>
  <c r="N1242" i="16"/>
  <c r="S1241" i="16"/>
  <c r="T1241" i="16" s="1"/>
  <c r="N1241" i="16"/>
  <c r="S1240" i="16"/>
  <c r="T1240" i="16" s="1"/>
  <c r="N1240" i="16"/>
  <c r="S1239" i="16"/>
  <c r="T1239" i="16" s="1"/>
  <c r="N1239" i="16"/>
  <c r="S1238" i="16"/>
  <c r="T1238" i="16" s="1"/>
  <c r="N1238" i="16"/>
  <c r="U1237" i="16"/>
  <c r="S1237" i="16" s="1"/>
  <c r="T1237" i="16" s="1"/>
  <c r="S1236" i="16"/>
  <c r="T1236" i="16" s="1"/>
  <c r="N1236" i="16"/>
  <c r="S1235" i="16"/>
  <c r="T1235" i="16" s="1"/>
  <c r="N1235" i="16"/>
  <c r="AD1234" i="16"/>
  <c r="AE1234" i="16" s="1"/>
  <c r="S1234" i="16"/>
  <c r="T1234" i="16" s="1"/>
  <c r="N1234" i="16"/>
  <c r="S1233" i="16"/>
  <c r="T1233" i="16" s="1"/>
  <c r="N1233" i="16"/>
  <c r="S1232" i="16"/>
  <c r="T1232" i="16" s="1"/>
  <c r="N1232" i="16"/>
  <c r="S1231" i="16"/>
  <c r="T1231" i="16" s="1"/>
  <c r="N1231" i="16"/>
  <c r="S1230" i="16"/>
  <c r="T1230" i="16" s="1"/>
  <c r="N1230" i="16"/>
  <c r="S1229" i="16"/>
  <c r="T1229" i="16" s="1"/>
  <c r="N1229" i="16"/>
  <c r="AD1228" i="16"/>
  <c r="AE1228" i="16" s="1"/>
  <c r="S1228" i="16"/>
  <c r="T1228" i="16" s="1"/>
  <c r="N1228" i="16"/>
  <c r="S1227" i="16"/>
  <c r="T1227" i="16" s="1"/>
  <c r="N1227" i="16"/>
  <c r="AD1226" i="16"/>
  <c r="AE1226" i="16" s="1"/>
  <c r="U1226" i="16"/>
  <c r="S1226" i="16" s="1"/>
  <c r="T1226" i="16" s="1"/>
  <c r="S1225" i="16"/>
  <c r="T1225" i="16" s="1"/>
  <c r="N1225" i="16"/>
  <c r="S1224" i="16"/>
  <c r="T1224" i="16" s="1"/>
  <c r="N1224" i="16"/>
  <c r="S1223" i="16"/>
  <c r="T1223" i="16" s="1"/>
  <c r="N1223" i="16"/>
  <c r="S1222" i="16"/>
  <c r="T1222" i="16" s="1"/>
  <c r="N1222" i="16"/>
  <c r="S1221" i="16"/>
  <c r="T1221" i="16" s="1"/>
  <c r="N1221" i="16"/>
  <c r="S1220" i="16"/>
  <c r="T1220" i="16" s="1"/>
  <c r="N1220" i="16"/>
  <c r="S1219" i="16"/>
  <c r="T1219" i="16" s="1"/>
  <c r="N1219" i="16"/>
  <c r="S1218" i="16"/>
  <c r="T1218" i="16" s="1"/>
  <c r="S1217" i="16"/>
  <c r="T1217" i="16" s="1"/>
  <c r="N1217" i="16"/>
  <c r="S1216" i="16"/>
  <c r="T1216" i="16" s="1"/>
  <c r="N1216" i="16"/>
  <c r="S1215" i="16"/>
  <c r="T1215" i="16" s="1"/>
  <c r="N1215" i="16"/>
  <c r="S1214" i="16"/>
  <c r="T1214" i="16" s="1"/>
  <c r="N1214" i="16"/>
  <c r="S1213" i="16"/>
  <c r="T1213" i="16" s="1"/>
  <c r="N1213" i="16"/>
  <c r="S1212" i="16"/>
  <c r="T1212" i="16" s="1"/>
  <c r="N1212" i="16"/>
  <c r="U1211" i="16"/>
  <c r="S1211" i="16" s="1"/>
  <c r="N1211" i="16"/>
  <c r="U1210" i="16"/>
  <c r="S1210" i="16" s="1"/>
  <c r="T1210" i="16" s="1"/>
  <c r="N1210" i="16"/>
  <c r="AD1209" i="16"/>
  <c r="AE1209" i="16" s="1"/>
  <c r="S1209" i="16"/>
  <c r="T1209" i="16" s="1"/>
  <c r="S1208" i="16"/>
  <c r="T1208" i="16" s="1"/>
  <c r="N1208" i="16"/>
  <c r="S1207" i="16"/>
  <c r="T1207" i="16" s="1"/>
  <c r="N1207" i="16"/>
  <c r="S1206" i="16"/>
  <c r="T1206" i="16" s="1"/>
  <c r="S1205" i="16"/>
  <c r="T1205" i="16" s="1"/>
  <c r="S1204" i="16"/>
  <c r="T1204" i="16" s="1"/>
  <c r="S1203" i="16"/>
  <c r="T1203" i="16" s="1"/>
  <c r="N1203" i="16"/>
  <c r="S1202" i="16"/>
  <c r="T1202" i="16" s="1"/>
  <c r="N1202" i="16"/>
  <c r="S1201" i="16"/>
  <c r="T1201" i="16" s="1"/>
  <c r="S1200" i="16"/>
  <c r="T1200" i="16" s="1"/>
  <c r="N1200" i="16"/>
  <c r="S1199" i="16"/>
  <c r="T1199" i="16" s="1"/>
  <c r="N1199" i="16"/>
  <c r="S1198" i="16"/>
  <c r="T1198" i="16" s="1"/>
  <c r="N1198" i="16"/>
  <c r="S1197" i="16"/>
  <c r="T1197" i="16" s="1"/>
  <c r="S1196" i="16"/>
  <c r="T1196" i="16" s="1"/>
  <c r="N1196" i="16"/>
  <c r="S1195" i="16"/>
  <c r="T1195" i="16" s="1"/>
  <c r="N1195" i="16"/>
  <c r="S1194" i="16"/>
  <c r="T1194" i="16" s="1"/>
  <c r="N1194" i="16"/>
  <c r="S1193" i="16"/>
  <c r="T1193" i="16" s="1"/>
  <c r="S1192" i="16"/>
  <c r="T1192" i="16" s="1"/>
  <c r="N1192" i="16"/>
  <c r="S1191" i="16"/>
  <c r="T1191" i="16" s="1"/>
  <c r="N1191" i="16"/>
  <c r="S1190" i="16"/>
  <c r="T1190" i="16" s="1"/>
  <c r="N1190" i="16"/>
  <c r="S1189" i="16"/>
  <c r="T1189" i="16" s="1"/>
  <c r="S1188" i="16"/>
  <c r="T1188" i="16" s="1"/>
  <c r="N1188" i="16"/>
  <c r="S1187" i="16"/>
  <c r="T1187" i="16" s="1"/>
  <c r="N1187" i="16"/>
  <c r="S1186" i="16"/>
  <c r="T1186" i="16" s="1"/>
  <c r="N1186" i="16"/>
  <c r="S1185" i="16"/>
  <c r="T1185" i="16" s="1"/>
  <c r="S1184" i="16"/>
  <c r="T1184" i="16" s="1"/>
  <c r="S1183" i="16"/>
  <c r="T1183" i="16" s="1"/>
  <c r="N1183" i="16"/>
  <c r="S1182" i="16"/>
  <c r="T1182" i="16" s="1"/>
  <c r="N1182" i="16"/>
  <c r="AD1181" i="16"/>
  <c r="AE1181" i="16" s="1"/>
  <c r="S1181" i="16"/>
  <c r="T1181" i="16" s="1"/>
  <c r="N1181" i="16"/>
  <c r="S1180" i="16"/>
  <c r="T1180" i="16" s="1"/>
  <c r="S1179" i="16"/>
  <c r="T1179" i="16" s="1"/>
  <c r="S1178" i="16"/>
  <c r="T1178" i="16" s="1"/>
  <c r="N1178" i="16"/>
  <c r="S1177" i="16"/>
  <c r="T1177" i="16" s="1"/>
  <c r="N1177" i="16"/>
  <c r="S1176" i="16"/>
  <c r="T1176" i="16" s="1"/>
  <c r="N1176" i="16"/>
  <c r="S1175" i="16"/>
  <c r="T1175" i="16" s="1"/>
  <c r="S1174" i="16"/>
  <c r="T1174" i="16" s="1"/>
  <c r="N1174" i="16"/>
  <c r="S1173" i="16"/>
  <c r="T1173" i="16" s="1"/>
  <c r="N1173" i="16"/>
  <c r="Y1172" i="16"/>
  <c r="S1172" i="16" s="1"/>
  <c r="T1172" i="16" s="1"/>
  <c r="N1172" i="16"/>
  <c r="S1171" i="16"/>
  <c r="T1171" i="16" s="1"/>
  <c r="N1171" i="16"/>
  <c r="S1170" i="16"/>
  <c r="T1170" i="16" s="1"/>
  <c r="S1169" i="16"/>
  <c r="T1169" i="16" s="1"/>
  <c r="N1169" i="16"/>
  <c r="S1168" i="16"/>
  <c r="T1168" i="16" s="1"/>
  <c r="N1168" i="16"/>
  <c r="S1167" i="16"/>
  <c r="T1167" i="16" s="1"/>
  <c r="N1167" i="16"/>
  <c r="S1166" i="16"/>
  <c r="T1166" i="16" s="1"/>
  <c r="N1166" i="16"/>
  <c r="S1165" i="16"/>
  <c r="T1165" i="16" s="1"/>
  <c r="N1165" i="16"/>
  <c r="S1164" i="16"/>
  <c r="T1164" i="16" s="1"/>
  <c r="N1164" i="16"/>
  <c r="S1163" i="16"/>
  <c r="T1163" i="16" s="1"/>
  <c r="N1163" i="16"/>
  <c r="S1162" i="16"/>
  <c r="T1162" i="16" s="1"/>
  <c r="N1162" i="16"/>
  <c r="S1161" i="16"/>
  <c r="T1161" i="16" s="1"/>
  <c r="U1160" i="16"/>
  <c r="S1160" i="16" s="1"/>
  <c r="T1160" i="16" s="1"/>
  <c r="N1160" i="16"/>
  <c r="S1159" i="16"/>
  <c r="T1159" i="16" s="1"/>
  <c r="N1159" i="16"/>
  <c r="S1158" i="16"/>
  <c r="T1158" i="16" s="1"/>
  <c r="N1158" i="16"/>
  <c r="S1157" i="16"/>
  <c r="T1157" i="16" s="1"/>
  <c r="N1157" i="16"/>
  <c r="S1156" i="16"/>
  <c r="T1156" i="16" s="1"/>
  <c r="N1156" i="16"/>
  <c r="S1155" i="16"/>
  <c r="T1155" i="16" s="1"/>
  <c r="N1155" i="16"/>
  <c r="AD1154" i="16"/>
  <c r="AE1154" i="16" s="1"/>
  <c r="U1154" i="16"/>
  <c r="S1154" i="16" s="1"/>
  <c r="T1154" i="16" s="1"/>
  <c r="N1154" i="16"/>
  <c r="AD1153" i="16"/>
  <c r="AE1153" i="16" s="1"/>
  <c r="S1153" i="16"/>
  <c r="T1153" i="16" s="1"/>
  <c r="N1153" i="16"/>
  <c r="AD1152" i="16"/>
  <c r="AE1152" i="16" s="1"/>
  <c r="S1152" i="16"/>
  <c r="T1152" i="16" s="1"/>
  <c r="N1152" i="16"/>
  <c r="Y1151" i="16"/>
  <c r="S1151" i="16" s="1"/>
  <c r="T1151" i="16" s="1"/>
  <c r="N1151" i="16"/>
  <c r="U1150" i="16"/>
  <c r="S1150" i="16" s="1"/>
  <c r="T1150" i="16" s="1"/>
  <c r="N1150" i="16"/>
  <c r="S1149" i="16"/>
  <c r="T1149" i="16" s="1"/>
  <c r="S1146" i="16"/>
  <c r="T1146" i="16" s="1"/>
  <c r="N1146" i="16"/>
  <c r="S1145" i="16"/>
  <c r="T1145" i="16" s="1"/>
  <c r="N1145" i="16"/>
  <c r="S1144" i="16"/>
  <c r="T1144" i="16" s="1"/>
  <c r="N1144" i="16"/>
  <c r="S1143" i="16"/>
  <c r="T1143" i="16" s="1"/>
  <c r="N1143" i="16"/>
  <c r="S1142" i="16"/>
  <c r="T1142" i="16" s="1"/>
  <c r="N1142" i="16"/>
  <c r="S1141" i="16"/>
  <c r="T1141" i="16" s="1"/>
  <c r="N1141" i="16"/>
  <c r="S1140" i="16"/>
  <c r="T1140" i="16" s="1"/>
  <c r="N1140" i="16"/>
  <c r="S1139" i="16"/>
  <c r="T1139" i="16" s="1"/>
  <c r="S1138" i="16"/>
  <c r="T1138" i="16" s="1"/>
  <c r="N1138" i="16"/>
  <c r="S1137" i="16"/>
  <c r="T1137" i="16" s="1"/>
  <c r="N1137" i="16"/>
  <c r="S1136" i="16"/>
  <c r="T1136" i="16" s="1"/>
  <c r="N1136" i="16"/>
  <c r="S1135" i="16"/>
  <c r="T1135" i="16" s="1"/>
  <c r="N1135" i="16"/>
  <c r="S1134" i="16"/>
  <c r="T1134" i="16" s="1"/>
  <c r="N1134" i="16"/>
  <c r="S1133" i="16"/>
  <c r="T1133" i="16" s="1"/>
  <c r="N1133" i="16"/>
  <c r="S1132" i="16"/>
  <c r="T1132" i="16" s="1"/>
  <c r="N1132" i="16"/>
  <c r="S1131" i="16"/>
  <c r="T1131" i="16" s="1"/>
  <c r="N1131" i="16"/>
  <c r="S1130" i="16"/>
  <c r="T1130" i="16" s="1"/>
  <c r="N1130" i="16"/>
  <c r="S1129" i="16"/>
  <c r="T1129" i="16" s="1"/>
  <c r="N1129" i="16"/>
  <c r="S1128" i="16"/>
  <c r="T1128" i="16" s="1"/>
  <c r="S1127" i="16"/>
  <c r="T1127" i="16" s="1"/>
  <c r="N1127" i="16"/>
  <c r="S1126" i="16"/>
  <c r="T1126" i="16" s="1"/>
  <c r="N1126" i="16"/>
  <c r="S1125" i="16"/>
  <c r="T1125" i="16" s="1"/>
  <c r="S1124" i="16"/>
  <c r="T1124" i="16" s="1"/>
  <c r="N1124" i="16"/>
  <c r="S1123" i="16"/>
  <c r="T1123" i="16" s="1"/>
  <c r="S1122" i="16"/>
  <c r="T1122" i="16" s="1"/>
  <c r="N1122" i="16"/>
  <c r="S1121" i="16"/>
  <c r="T1121" i="16" s="1"/>
  <c r="S1120" i="16"/>
  <c r="T1120" i="16" s="1"/>
  <c r="N1120" i="16"/>
  <c r="S1119" i="16"/>
  <c r="T1119" i="16" s="1"/>
  <c r="N1119" i="16"/>
  <c r="S1118" i="16"/>
  <c r="T1118" i="16" s="1"/>
  <c r="N1118" i="16"/>
  <c r="S1117" i="16"/>
  <c r="T1117" i="16" s="1"/>
  <c r="U1116" i="16"/>
  <c r="S1116" i="16" s="1"/>
  <c r="T1116" i="16" s="1"/>
  <c r="N1116" i="16"/>
  <c r="S1115" i="16"/>
  <c r="T1115" i="16" s="1"/>
  <c r="N1115" i="16"/>
  <c r="S1114" i="16"/>
  <c r="T1114" i="16" s="1"/>
  <c r="N1114" i="16"/>
  <c r="S1113" i="16"/>
  <c r="T1113" i="16" s="1"/>
  <c r="N1113" i="16"/>
  <c r="S1112" i="16"/>
  <c r="T1112" i="16" s="1"/>
  <c r="N1112" i="16"/>
  <c r="S1111" i="16"/>
  <c r="T1111" i="16" s="1"/>
  <c r="N1111" i="16"/>
  <c r="S1110" i="16"/>
  <c r="T1110" i="16" s="1"/>
  <c r="N1110" i="16"/>
  <c r="S1109" i="16"/>
  <c r="T1109" i="16" s="1"/>
  <c r="N1109" i="16"/>
  <c r="AD1108" i="16"/>
  <c r="AE1108" i="16" s="1"/>
  <c r="S1108" i="16"/>
  <c r="T1108" i="16" s="1"/>
  <c r="S1107" i="16"/>
  <c r="T1107" i="16" s="1"/>
  <c r="N1107" i="16"/>
  <c r="S1106" i="16"/>
  <c r="T1106" i="16" s="1"/>
  <c r="N1106" i="16"/>
  <c r="S1105" i="16"/>
  <c r="T1105" i="16" s="1"/>
  <c r="U1104" i="16"/>
  <c r="S1104" i="16" s="1"/>
  <c r="N1104" i="16"/>
  <c r="U1103" i="16"/>
  <c r="S1103" i="16" s="1"/>
  <c r="T1103" i="16" s="1"/>
  <c r="AE1102" i="16"/>
  <c r="U1102" i="16"/>
  <c r="S1102" i="16" s="1"/>
  <c r="T1102" i="16" s="1"/>
  <c r="N1102" i="16"/>
  <c r="AE1101" i="16"/>
  <c r="U1101" i="16"/>
  <c r="S1101" i="16" s="1"/>
  <c r="T1101" i="16" s="1"/>
  <c r="N1101" i="16"/>
  <c r="S1100" i="16"/>
  <c r="T1100" i="16" s="1"/>
  <c r="N1100" i="16"/>
  <c r="S1099" i="16"/>
  <c r="T1099" i="16" s="1"/>
  <c r="N1099" i="16"/>
  <c r="S1098" i="16"/>
  <c r="T1098" i="16" s="1"/>
  <c r="S1097" i="16"/>
  <c r="T1097" i="16" s="1"/>
  <c r="N1097" i="16"/>
  <c r="AD1096" i="16"/>
  <c r="AE1096" i="16" s="1"/>
  <c r="S1096" i="16"/>
  <c r="T1096" i="16" s="1"/>
  <c r="N1096" i="16"/>
  <c r="S1095" i="16"/>
  <c r="T1095" i="16" s="1"/>
  <c r="N1095" i="16"/>
  <c r="S1094" i="16"/>
  <c r="T1094" i="16" s="1"/>
  <c r="N1094" i="16"/>
  <c r="S1093" i="16"/>
  <c r="T1093" i="16" s="1"/>
  <c r="N1093" i="16"/>
  <c r="S1092" i="16"/>
  <c r="T1092" i="16" s="1"/>
  <c r="N1092" i="16"/>
  <c r="S1091" i="16"/>
  <c r="T1091" i="16" s="1"/>
  <c r="S1090" i="16"/>
  <c r="T1090" i="16" s="1"/>
  <c r="N1090" i="16"/>
  <c r="S1089" i="16"/>
  <c r="T1089" i="16" s="1"/>
  <c r="N1089" i="16"/>
  <c r="S1088" i="16"/>
  <c r="T1088" i="16" s="1"/>
  <c r="N1088" i="16"/>
  <c r="AD1087" i="16"/>
  <c r="AE1087" i="16" s="1"/>
  <c r="S1087" i="16"/>
  <c r="T1087" i="16" s="1"/>
  <c r="N1087" i="16"/>
  <c r="AD1086" i="16"/>
  <c r="AE1086" i="16" s="1"/>
  <c r="S1086" i="16"/>
  <c r="T1086" i="16" s="1"/>
  <c r="N1086" i="16"/>
  <c r="S1085" i="16"/>
  <c r="T1085" i="16" s="1"/>
  <c r="N1085" i="16"/>
  <c r="S1084" i="16"/>
  <c r="T1084" i="16" s="1"/>
  <c r="S1083" i="16"/>
  <c r="T1083" i="16" s="1"/>
  <c r="S1082" i="16"/>
  <c r="T1082" i="16" s="1"/>
  <c r="N1082" i="16"/>
  <c r="S1081" i="16"/>
  <c r="T1081" i="16" s="1"/>
  <c r="N1081" i="16"/>
  <c r="S1080" i="16"/>
  <c r="T1080" i="16" s="1"/>
  <c r="N1080" i="16"/>
  <c r="S1079" i="16"/>
  <c r="T1079" i="16" s="1"/>
  <c r="N1079" i="16"/>
  <c r="S1078" i="16"/>
  <c r="T1078" i="16" s="1"/>
  <c r="N1078" i="16"/>
  <c r="S1077" i="16"/>
  <c r="T1077" i="16" s="1"/>
  <c r="S1076" i="16"/>
  <c r="T1076" i="16" s="1"/>
  <c r="U1075" i="16"/>
  <c r="S1075" i="16" s="1"/>
  <c r="T1075" i="16" s="1"/>
  <c r="S1074" i="16"/>
  <c r="T1074" i="16" s="1"/>
  <c r="N1074" i="16"/>
  <c r="S1073" i="16"/>
  <c r="T1073" i="16" s="1"/>
  <c r="N1073" i="16"/>
  <c r="S1072" i="16"/>
  <c r="T1072" i="16" s="1"/>
  <c r="S1071" i="16"/>
  <c r="T1071" i="16" s="1"/>
  <c r="S1070" i="16"/>
  <c r="T1070" i="16" s="1"/>
  <c r="N1070" i="16"/>
  <c r="S1069" i="16"/>
  <c r="T1069" i="16" s="1"/>
  <c r="N1069" i="16"/>
  <c r="S1068" i="16"/>
  <c r="T1068" i="16" s="1"/>
  <c r="AD1067" i="16"/>
  <c r="AE1067" i="16" s="1"/>
  <c r="S1067" i="16"/>
  <c r="T1067" i="16" s="1"/>
  <c r="N1067" i="16"/>
  <c r="AD1066" i="16"/>
  <c r="AE1066" i="16" s="1"/>
  <c r="U1066" i="16"/>
  <c r="S1066" i="16" s="1"/>
  <c r="T1066" i="16" s="1"/>
  <c r="N1066" i="16"/>
  <c r="U1065" i="16"/>
  <c r="S1065" i="16" s="1"/>
  <c r="T1065" i="16" s="1"/>
  <c r="N1065" i="16"/>
  <c r="AE1064" i="16"/>
  <c r="S1064" i="16"/>
  <c r="T1064" i="16" s="1"/>
  <c r="N1064" i="16"/>
  <c r="S1063" i="16"/>
  <c r="T1063" i="16" s="1"/>
  <c r="N1063" i="16"/>
  <c r="S1062" i="16"/>
  <c r="T1062" i="16" s="1"/>
  <c r="N1062" i="16"/>
  <c r="S1061" i="16"/>
  <c r="T1061" i="16" s="1"/>
  <c r="N1061" i="16"/>
  <c r="S1060" i="16"/>
  <c r="T1060" i="16" s="1"/>
  <c r="N1060" i="16"/>
  <c r="S1059" i="16"/>
  <c r="T1059" i="16" s="1"/>
  <c r="N1059" i="16"/>
  <c r="S1058" i="16"/>
  <c r="T1058" i="16" s="1"/>
  <c r="N1058" i="16"/>
  <c r="S1057" i="16"/>
  <c r="T1057" i="16" s="1"/>
  <c r="N1057" i="16"/>
  <c r="S1056" i="16"/>
  <c r="T1056" i="16" s="1"/>
  <c r="N1056" i="16"/>
  <c r="S1055" i="16"/>
  <c r="T1055" i="16" s="1"/>
  <c r="S1054" i="16"/>
  <c r="T1054" i="16" s="1"/>
  <c r="N1054" i="16"/>
  <c r="S1053" i="16"/>
  <c r="T1053" i="16" s="1"/>
  <c r="N1053" i="16"/>
  <c r="S1052" i="16"/>
  <c r="T1052" i="16" s="1"/>
  <c r="N1052" i="16"/>
  <c r="S1051" i="16"/>
  <c r="T1051" i="16" s="1"/>
  <c r="N1051" i="16"/>
  <c r="S1050" i="16"/>
  <c r="T1050" i="16" s="1"/>
  <c r="N1050" i="16"/>
  <c r="S1049" i="16"/>
  <c r="T1049" i="16" s="1"/>
  <c r="S1048" i="16"/>
  <c r="T1048" i="16" s="1"/>
  <c r="N1048" i="16"/>
  <c r="S1047" i="16"/>
  <c r="T1047" i="16" s="1"/>
  <c r="S1045" i="16"/>
  <c r="T1045" i="16" s="1"/>
  <c r="N1045" i="16"/>
  <c r="S1042" i="16"/>
  <c r="T1042" i="16" s="1"/>
  <c r="N1042" i="16"/>
  <c r="S1041" i="16"/>
  <c r="T1041" i="16" s="1"/>
  <c r="N1041" i="16"/>
  <c r="S1040" i="16"/>
  <c r="T1040" i="16" s="1"/>
  <c r="N1040" i="16"/>
  <c r="U1039" i="16"/>
  <c r="S1039" i="16" s="1"/>
  <c r="T1039" i="16" s="1"/>
  <c r="N1039" i="16"/>
  <c r="S1038" i="16"/>
  <c r="T1038" i="16" s="1"/>
  <c r="N1038" i="16"/>
  <c r="S1037" i="16"/>
  <c r="T1037" i="16" s="1"/>
  <c r="N1037" i="16"/>
  <c r="S1036" i="16"/>
  <c r="T1036" i="16" s="1"/>
  <c r="N1036" i="16"/>
  <c r="U1035" i="16"/>
  <c r="S1035" i="16" s="1"/>
  <c r="T1035" i="16" s="1"/>
  <c r="N1035" i="16"/>
  <c r="S1034" i="16"/>
  <c r="T1034" i="16" s="1"/>
  <c r="N1034" i="16"/>
  <c r="S1032" i="16"/>
  <c r="T1032" i="16" s="1"/>
  <c r="N1032" i="16"/>
  <c r="S1031" i="16"/>
  <c r="T1031" i="16" s="1"/>
  <c r="N1031" i="16"/>
  <c r="S1025" i="16"/>
  <c r="T1025" i="16" s="1"/>
  <c r="N1025" i="16"/>
  <c r="S1024" i="16"/>
  <c r="T1024" i="16" s="1"/>
  <c r="N1024" i="16"/>
  <c r="S1023" i="16"/>
  <c r="T1023" i="16" s="1"/>
  <c r="N1023" i="16"/>
  <c r="S1022" i="16"/>
  <c r="T1022" i="16" s="1"/>
  <c r="N1022" i="16"/>
  <c r="S1021" i="16"/>
  <c r="T1021" i="16" s="1"/>
  <c r="N1021" i="16"/>
  <c r="S1020" i="16"/>
  <c r="T1020" i="16" s="1"/>
  <c r="N1020" i="16"/>
  <c r="S1019" i="16"/>
  <c r="T1019" i="16" s="1"/>
  <c r="S1018" i="16"/>
  <c r="T1018" i="16" s="1"/>
  <c r="N1018" i="16"/>
  <c r="S1017" i="16"/>
  <c r="T1017" i="16" s="1"/>
  <c r="S1016" i="16"/>
  <c r="T1016" i="16" s="1"/>
  <c r="N1016" i="16"/>
  <c r="S1015" i="16"/>
  <c r="T1015" i="16" s="1"/>
  <c r="N1015" i="16"/>
  <c r="S1014" i="16"/>
  <c r="T1014" i="16" s="1"/>
  <c r="N1014" i="16"/>
  <c r="S1013" i="16"/>
  <c r="T1013" i="16" s="1"/>
  <c r="N1013" i="16"/>
  <c r="S1012" i="16"/>
  <c r="T1012" i="16" s="1"/>
  <c r="N1012" i="16"/>
  <c r="S1011" i="16"/>
  <c r="T1011" i="16" s="1"/>
  <c r="N1011" i="16"/>
  <c r="S1010" i="16"/>
  <c r="T1010" i="16" s="1"/>
  <c r="N1010" i="16"/>
  <c r="S1009" i="16"/>
  <c r="T1009" i="16" s="1"/>
  <c r="N1009" i="16"/>
  <c r="S1008" i="16"/>
  <c r="T1008" i="16" s="1"/>
  <c r="N1008" i="16"/>
  <c r="S1007" i="16"/>
  <c r="T1007" i="16" s="1"/>
  <c r="S1006" i="16"/>
  <c r="T1006" i="16" s="1"/>
  <c r="N1006" i="16"/>
  <c r="S1005" i="16"/>
  <c r="T1005" i="16" s="1"/>
  <c r="S1004" i="16"/>
  <c r="T1004" i="16" s="1"/>
  <c r="N1004" i="16"/>
  <c r="S1003" i="16"/>
  <c r="T1003" i="16" s="1"/>
  <c r="N1003" i="16"/>
  <c r="S1002" i="16"/>
  <c r="T1002" i="16" s="1"/>
  <c r="N1002" i="16"/>
  <c r="S1001" i="16"/>
  <c r="T1001" i="16" s="1"/>
  <c r="N1001" i="16"/>
  <c r="S1000" i="16"/>
  <c r="T1000" i="16" s="1"/>
  <c r="N1000" i="16"/>
  <c r="S999" i="16"/>
  <c r="T999" i="16" s="1"/>
  <c r="N999" i="16"/>
  <c r="S998" i="16"/>
  <c r="T998" i="16" s="1"/>
  <c r="N998" i="16"/>
  <c r="S997" i="16"/>
  <c r="T997" i="16" s="1"/>
  <c r="N997" i="16"/>
  <c r="S996" i="16"/>
  <c r="T996" i="16" s="1"/>
  <c r="N996" i="16"/>
  <c r="S995" i="16"/>
  <c r="T995" i="16" s="1"/>
  <c r="N995" i="16"/>
  <c r="S994" i="16"/>
  <c r="T994" i="16" s="1"/>
  <c r="N994" i="16"/>
  <c r="S993" i="16"/>
  <c r="T993" i="16" s="1"/>
  <c r="N993" i="16"/>
  <c r="S992" i="16"/>
  <c r="T992" i="16" s="1"/>
  <c r="N992" i="16"/>
  <c r="S991" i="16"/>
  <c r="T991" i="16" s="1"/>
  <c r="N991" i="16"/>
  <c r="S990" i="16"/>
  <c r="T990" i="16" s="1"/>
  <c r="S989" i="16"/>
  <c r="T989" i="16" s="1"/>
  <c r="N989" i="16"/>
  <c r="AD988" i="16"/>
  <c r="AE988" i="16" s="1"/>
  <c r="S988" i="16"/>
  <c r="T988" i="16" s="1"/>
  <c r="N988" i="16"/>
  <c r="S987" i="16"/>
  <c r="T987" i="16" s="1"/>
  <c r="N987" i="16"/>
  <c r="S986" i="16"/>
  <c r="T986" i="16" s="1"/>
  <c r="N986" i="16"/>
  <c r="S985" i="16"/>
  <c r="T985" i="16" s="1"/>
  <c r="N985" i="16"/>
  <c r="S984" i="16"/>
  <c r="T984" i="16" s="1"/>
  <c r="N984" i="16"/>
  <c r="S983" i="16"/>
  <c r="T983" i="16" s="1"/>
  <c r="N983" i="16"/>
  <c r="S982" i="16"/>
  <c r="T982" i="16" s="1"/>
  <c r="N982" i="16"/>
  <c r="S981" i="16"/>
  <c r="T981" i="16" s="1"/>
  <c r="N981" i="16"/>
  <c r="S980" i="16"/>
  <c r="T980" i="16" s="1"/>
  <c r="N980" i="16"/>
  <c r="S979" i="16"/>
  <c r="T979" i="16" s="1"/>
  <c r="N979" i="16"/>
  <c r="S978" i="16"/>
  <c r="T978" i="16" s="1"/>
  <c r="N978" i="16"/>
  <c r="S977" i="16"/>
  <c r="T977" i="16" s="1"/>
  <c r="N977" i="16"/>
  <c r="S976" i="16"/>
  <c r="T976" i="16" s="1"/>
  <c r="N976" i="16"/>
  <c r="S975" i="16"/>
  <c r="T975" i="16" s="1"/>
  <c r="N975" i="16"/>
  <c r="S974" i="16"/>
  <c r="T974" i="16" s="1"/>
  <c r="S973" i="16"/>
  <c r="T973" i="16" s="1"/>
  <c r="N973" i="16"/>
  <c r="S972" i="16"/>
  <c r="T972" i="16" s="1"/>
  <c r="N972" i="16"/>
  <c r="S971" i="16"/>
  <c r="T971" i="16" s="1"/>
  <c r="N971" i="16"/>
  <c r="S970" i="16"/>
  <c r="T970" i="16" s="1"/>
  <c r="N970" i="16"/>
  <c r="S969" i="16"/>
  <c r="T969" i="16" s="1"/>
  <c r="N969" i="16"/>
  <c r="S967" i="16"/>
  <c r="T967" i="16" s="1"/>
  <c r="N967" i="16"/>
  <c r="S966" i="16"/>
  <c r="T966" i="16" s="1"/>
  <c r="N966" i="16"/>
  <c r="S965" i="16"/>
  <c r="T965" i="16" s="1"/>
  <c r="N965" i="16"/>
  <c r="S964" i="16"/>
  <c r="T964" i="16" s="1"/>
  <c r="N964" i="16"/>
  <c r="S963" i="16"/>
  <c r="T963" i="16" s="1"/>
  <c r="N963" i="16"/>
  <c r="U962" i="16"/>
  <c r="S962" i="16" s="1"/>
  <c r="T962" i="16" s="1"/>
  <c r="N962" i="16"/>
  <c r="S961" i="16"/>
  <c r="T961" i="16" s="1"/>
  <c r="N961" i="16"/>
  <c r="S960" i="16"/>
  <c r="T960" i="16" s="1"/>
  <c r="N960" i="16"/>
  <c r="S959" i="16"/>
  <c r="T959" i="16" s="1"/>
  <c r="N959" i="16"/>
  <c r="S958" i="16"/>
  <c r="T958" i="16" s="1"/>
  <c r="S957" i="16"/>
  <c r="T957" i="16" s="1"/>
  <c r="N957" i="16"/>
  <c r="S956" i="16"/>
  <c r="T956" i="16" s="1"/>
  <c r="N956" i="16"/>
  <c r="S955" i="16"/>
  <c r="T955" i="16" s="1"/>
  <c r="N955" i="16"/>
  <c r="S954" i="16"/>
  <c r="T954" i="16" s="1"/>
  <c r="N954" i="16"/>
  <c r="S953" i="16"/>
  <c r="T953" i="16" s="1"/>
  <c r="N953" i="16"/>
  <c r="AD952" i="16"/>
  <c r="AE952" i="16" s="1"/>
  <c r="S952" i="16"/>
  <c r="T952" i="16" s="1"/>
  <c r="N952" i="16"/>
  <c r="S951" i="16"/>
  <c r="T951" i="16" s="1"/>
  <c r="N951" i="16"/>
  <c r="S950" i="16"/>
  <c r="T950" i="16" s="1"/>
  <c r="S949" i="16"/>
  <c r="T949" i="16" s="1"/>
  <c r="N949" i="16"/>
  <c r="AD948" i="16"/>
  <c r="AE948" i="16" s="1"/>
  <c r="S948" i="16"/>
  <c r="T948" i="16" s="1"/>
  <c r="S947" i="16"/>
  <c r="T947" i="16" s="1"/>
  <c r="N947" i="16"/>
  <c r="S946" i="16"/>
  <c r="T946" i="16" s="1"/>
  <c r="N946" i="16"/>
  <c r="S945" i="16"/>
  <c r="T945" i="16" s="1"/>
  <c r="N945" i="16"/>
  <c r="S944" i="16"/>
  <c r="T944" i="16" s="1"/>
  <c r="N944" i="16"/>
  <c r="S943" i="16"/>
  <c r="T943" i="16" s="1"/>
  <c r="N943" i="16"/>
  <c r="S942" i="16"/>
  <c r="T942" i="16" s="1"/>
  <c r="N942" i="16"/>
  <c r="S941" i="16"/>
  <c r="T941" i="16" s="1"/>
  <c r="N941" i="16"/>
  <c r="S940" i="16"/>
  <c r="T940" i="16" s="1"/>
  <c r="N940" i="16"/>
  <c r="AD939" i="16"/>
  <c r="AE939" i="16" s="1"/>
  <c r="S939" i="16"/>
  <c r="T939" i="16" s="1"/>
  <c r="S938" i="16"/>
  <c r="T938" i="16" s="1"/>
  <c r="N938" i="16"/>
  <c r="AD937" i="16"/>
  <c r="AE937" i="16" s="1"/>
  <c r="U937" i="16"/>
  <c r="S937" i="16" s="1"/>
  <c r="T937" i="16" s="1"/>
  <c r="S936" i="16"/>
  <c r="T936" i="16" s="1"/>
  <c r="S935" i="16"/>
  <c r="T935" i="16" s="1"/>
  <c r="N935" i="16"/>
  <c r="S934" i="16"/>
  <c r="T934" i="16" s="1"/>
  <c r="N934" i="16"/>
  <c r="S933" i="16"/>
  <c r="T933" i="16" s="1"/>
  <c r="N933" i="16"/>
  <c r="S932" i="16"/>
  <c r="T932" i="16" s="1"/>
  <c r="S931" i="16"/>
  <c r="T931" i="16" s="1"/>
  <c r="N931" i="16"/>
  <c r="S930" i="16"/>
  <c r="T930" i="16" s="1"/>
  <c r="S929" i="16"/>
  <c r="T929" i="16" s="1"/>
  <c r="S928" i="16"/>
  <c r="T928" i="16" s="1"/>
  <c r="N928" i="16"/>
  <c r="S927" i="16"/>
  <c r="T927" i="16" s="1"/>
  <c r="N927" i="16"/>
  <c r="S926" i="16"/>
  <c r="T926" i="16" s="1"/>
  <c r="N926" i="16"/>
  <c r="S925" i="16"/>
  <c r="T925" i="16" s="1"/>
  <c r="S924" i="16"/>
  <c r="T924" i="16" s="1"/>
  <c r="N924" i="16"/>
  <c r="S923" i="16"/>
  <c r="T923" i="16" s="1"/>
  <c r="N923" i="16"/>
  <c r="S922" i="16"/>
  <c r="T922" i="16" s="1"/>
  <c r="N922" i="16"/>
  <c r="S921" i="16"/>
  <c r="T921" i="16" s="1"/>
  <c r="S920" i="16"/>
  <c r="T920" i="16" s="1"/>
  <c r="N920" i="16"/>
  <c r="S919" i="16"/>
  <c r="T919" i="16" s="1"/>
  <c r="N919" i="16"/>
  <c r="S918" i="16"/>
  <c r="T918" i="16" s="1"/>
  <c r="N918" i="16"/>
  <c r="S917" i="16"/>
  <c r="T917" i="16" s="1"/>
  <c r="S916" i="16"/>
  <c r="T916" i="16" s="1"/>
  <c r="N916" i="16"/>
  <c r="S915" i="16"/>
  <c r="T915" i="16" s="1"/>
  <c r="N915" i="16"/>
  <c r="S914" i="16"/>
  <c r="T914" i="16" s="1"/>
  <c r="S913" i="16"/>
  <c r="T913" i="16" s="1"/>
  <c r="S912" i="16"/>
  <c r="T912" i="16" s="1"/>
  <c r="N912" i="16"/>
  <c r="S911" i="16"/>
  <c r="T911" i="16" s="1"/>
  <c r="N911" i="16"/>
  <c r="S910" i="16"/>
  <c r="T910" i="16" s="1"/>
  <c r="S909" i="16"/>
  <c r="T909" i="16" s="1"/>
  <c r="S908" i="16"/>
  <c r="T908" i="16" s="1"/>
  <c r="N908" i="16"/>
  <c r="S907" i="16"/>
  <c r="T907" i="16" s="1"/>
  <c r="N907" i="16"/>
  <c r="S906" i="16"/>
  <c r="T906" i="16" s="1"/>
  <c r="S905" i="16"/>
  <c r="T905" i="16" s="1"/>
  <c r="S904" i="16"/>
  <c r="T904" i="16" s="1"/>
  <c r="N904" i="16"/>
  <c r="S903" i="16"/>
  <c r="T903" i="16" s="1"/>
  <c r="N903" i="16"/>
  <c r="S902" i="16"/>
  <c r="T902" i="16" s="1"/>
  <c r="N902" i="16"/>
  <c r="S901" i="16"/>
  <c r="T901" i="16" s="1"/>
  <c r="U900" i="16"/>
  <c r="S900" i="16" s="1"/>
  <c r="T900" i="16" s="1"/>
  <c r="N900" i="16"/>
  <c r="S899" i="16"/>
  <c r="T899" i="16" s="1"/>
  <c r="N899" i="16"/>
  <c r="S898" i="16"/>
  <c r="T898" i="16" s="1"/>
  <c r="N898" i="16"/>
  <c r="S897" i="16"/>
  <c r="T897" i="16" s="1"/>
  <c r="U896" i="16"/>
  <c r="S896" i="16" s="1"/>
  <c r="T896" i="16" s="1"/>
  <c r="N896" i="16"/>
  <c r="S895" i="16"/>
  <c r="T895" i="16" s="1"/>
  <c r="S894" i="16"/>
  <c r="T894" i="16" s="1"/>
  <c r="N894" i="16"/>
  <c r="S893" i="16"/>
  <c r="T893" i="16" s="1"/>
  <c r="N893" i="16"/>
  <c r="S892" i="16"/>
  <c r="T892" i="16" s="1"/>
  <c r="N892" i="16"/>
  <c r="S891" i="16"/>
  <c r="T891" i="16" s="1"/>
  <c r="N891" i="16"/>
  <c r="S890" i="16"/>
  <c r="T890" i="16" s="1"/>
  <c r="N890" i="16"/>
  <c r="S889" i="16"/>
  <c r="T889" i="16" s="1"/>
  <c r="N889" i="16"/>
  <c r="S888" i="16"/>
  <c r="T888" i="16" s="1"/>
  <c r="S887" i="16"/>
  <c r="T887" i="16" s="1"/>
  <c r="S886" i="16"/>
  <c r="T886" i="16" s="1"/>
  <c r="N886" i="16"/>
  <c r="S885" i="16"/>
  <c r="T885" i="16" s="1"/>
  <c r="N885" i="16"/>
  <c r="S884" i="16"/>
  <c r="T884" i="16" s="1"/>
  <c r="S883" i="16"/>
  <c r="T883" i="16" s="1"/>
  <c r="S882" i="16"/>
  <c r="T882" i="16" s="1"/>
  <c r="N882" i="16"/>
  <c r="S881" i="16"/>
  <c r="T881" i="16" s="1"/>
  <c r="N881" i="16"/>
  <c r="S880" i="16"/>
  <c r="T880" i="16" s="1"/>
  <c r="S879" i="16"/>
  <c r="T879" i="16" s="1"/>
  <c r="AD878" i="16"/>
  <c r="AE878" i="16" s="1"/>
  <c r="S878" i="16"/>
  <c r="T878" i="16" s="1"/>
  <c r="N878" i="16"/>
  <c r="AD877" i="16"/>
  <c r="AE877" i="16" s="1"/>
  <c r="S877" i="16"/>
  <c r="T877" i="16" s="1"/>
  <c r="N877" i="16"/>
  <c r="S876" i="16"/>
  <c r="T876" i="16" s="1"/>
  <c r="S875" i="16"/>
  <c r="T875" i="16" s="1"/>
  <c r="N875" i="16"/>
  <c r="S874" i="16"/>
  <c r="T874" i="16" s="1"/>
  <c r="N874" i="16"/>
  <c r="S873" i="16"/>
  <c r="T873" i="16" s="1"/>
  <c r="N873" i="16"/>
  <c r="S872" i="16"/>
  <c r="T872" i="16" s="1"/>
  <c r="S871" i="16"/>
  <c r="T871" i="16" s="1"/>
  <c r="N871" i="16"/>
  <c r="S870" i="16"/>
  <c r="T870" i="16" s="1"/>
  <c r="N870" i="16"/>
  <c r="S869" i="16"/>
  <c r="T869" i="16" s="1"/>
  <c r="N869" i="16"/>
  <c r="S868" i="16"/>
  <c r="T868" i="16" s="1"/>
  <c r="N868" i="16"/>
  <c r="S867" i="16"/>
  <c r="T867" i="16" s="1"/>
  <c r="N867" i="16"/>
  <c r="S866" i="16"/>
  <c r="T866" i="16" s="1"/>
  <c r="N866" i="16"/>
  <c r="S865" i="16"/>
  <c r="T865" i="16" s="1"/>
  <c r="N865" i="16"/>
  <c r="S864" i="16"/>
  <c r="T864" i="16" s="1"/>
  <c r="S863" i="16"/>
  <c r="T863" i="16" s="1"/>
  <c r="N863" i="16"/>
  <c r="S862" i="16"/>
  <c r="T862" i="16" s="1"/>
  <c r="N862" i="16"/>
  <c r="S861" i="16"/>
  <c r="T861" i="16" s="1"/>
  <c r="N861" i="16"/>
  <c r="S860" i="16"/>
  <c r="T860" i="16" s="1"/>
  <c r="S859" i="16"/>
  <c r="T859" i="16" s="1"/>
  <c r="N859" i="16"/>
  <c r="AD858" i="16"/>
  <c r="AE858" i="16" s="1"/>
  <c r="S858" i="16"/>
  <c r="T858" i="16" s="1"/>
  <c r="N858" i="16"/>
  <c r="S857" i="16"/>
  <c r="T857" i="16" s="1"/>
  <c r="N857" i="16"/>
  <c r="S856" i="16"/>
  <c r="T856" i="16" s="1"/>
  <c r="N856" i="16"/>
  <c r="AD855" i="16"/>
  <c r="AE855" i="16" s="1"/>
  <c r="S855" i="16"/>
  <c r="T855" i="16" s="1"/>
  <c r="N855" i="16"/>
  <c r="S854" i="16"/>
  <c r="T854" i="16" s="1"/>
  <c r="N854" i="16"/>
  <c r="S853" i="16"/>
  <c r="T853" i="16" s="1"/>
  <c r="N853" i="16"/>
  <c r="S852" i="16"/>
  <c r="T852" i="16" s="1"/>
  <c r="S851" i="16"/>
  <c r="T851" i="16" s="1"/>
  <c r="N851" i="16"/>
  <c r="S850" i="16"/>
  <c r="T850" i="16" s="1"/>
  <c r="N850" i="16"/>
  <c r="S849" i="16"/>
  <c r="T849" i="16" s="1"/>
  <c r="N849" i="16"/>
  <c r="S848" i="16"/>
  <c r="T848" i="16" s="1"/>
  <c r="S847" i="16"/>
  <c r="T847" i="16" s="1"/>
  <c r="N847" i="16"/>
  <c r="S846" i="16"/>
  <c r="T846" i="16" s="1"/>
  <c r="N846" i="16"/>
  <c r="S845" i="16"/>
  <c r="T845" i="16" s="1"/>
  <c r="S844" i="16"/>
  <c r="T844" i="16" s="1"/>
  <c r="S843" i="16"/>
  <c r="T843" i="16" s="1"/>
  <c r="N843" i="16"/>
  <c r="S842" i="16"/>
  <c r="T842" i="16" s="1"/>
  <c r="N842" i="16"/>
  <c r="S841" i="16"/>
  <c r="T841" i="16" s="1"/>
  <c r="S840" i="16"/>
  <c r="T840" i="16" s="1"/>
  <c r="S839" i="16"/>
  <c r="T839" i="16" s="1"/>
  <c r="N839" i="16"/>
  <c r="AD838" i="16"/>
  <c r="AE838" i="16" s="1"/>
  <c r="S838" i="16"/>
  <c r="T838" i="16" s="1"/>
  <c r="S837" i="16"/>
  <c r="T837" i="16" s="1"/>
  <c r="N837" i="16"/>
  <c r="S836" i="16"/>
  <c r="T836" i="16" s="1"/>
  <c r="N836" i="16"/>
  <c r="S835" i="16"/>
  <c r="T835" i="16" s="1"/>
  <c r="N835" i="16"/>
  <c r="AD834" i="16"/>
  <c r="AE834" i="16" s="1"/>
  <c r="S834" i="16"/>
  <c r="T834" i="16" s="1"/>
  <c r="N834" i="16"/>
  <c r="S833" i="16"/>
  <c r="T833" i="16" s="1"/>
  <c r="S832" i="16"/>
  <c r="T832" i="16" s="1"/>
  <c r="S831" i="16"/>
  <c r="T831" i="16" s="1"/>
  <c r="N831" i="16"/>
  <c r="S830" i="16"/>
  <c r="T830" i="16" s="1"/>
  <c r="N830" i="16"/>
  <c r="S829" i="16"/>
  <c r="T829" i="16" s="1"/>
  <c r="S828" i="16"/>
  <c r="T828" i="16" s="1"/>
  <c r="AD827" i="16"/>
  <c r="AE827" i="16" s="1"/>
  <c r="S827" i="16"/>
  <c r="T827" i="16" s="1"/>
  <c r="N827" i="16"/>
  <c r="AD826" i="16"/>
  <c r="AE826" i="16" s="1"/>
  <c r="S826" i="16"/>
  <c r="T826" i="16" s="1"/>
  <c r="N826" i="16"/>
  <c r="S825" i="16"/>
  <c r="T825" i="16" s="1"/>
  <c r="S824" i="16"/>
  <c r="T824" i="16" s="1"/>
  <c r="S823" i="16"/>
  <c r="T823" i="16" s="1"/>
  <c r="N823" i="16"/>
  <c r="S822" i="16"/>
  <c r="T822" i="16" s="1"/>
  <c r="S821" i="16"/>
  <c r="T821" i="16" s="1"/>
  <c r="N821" i="16"/>
  <c r="S820" i="16"/>
  <c r="T820" i="16" s="1"/>
  <c r="N820" i="16"/>
  <c r="S819" i="16"/>
  <c r="T819" i="16" s="1"/>
  <c r="S818" i="16"/>
  <c r="T818" i="16" s="1"/>
  <c r="S817" i="16"/>
  <c r="T817" i="16" s="1"/>
  <c r="N817" i="16"/>
  <c r="S816" i="16"/>
  <c r="T816" i="16" s="1"/>
  <c r="N816" i="16"/>
  <c r="S815" i="16"/>
  <c r="T815" i="16" s="1"/>
  <c r="S814" i="16"/>
  <c r="T814" i="16" s="1"/>
  <c r="N814" i="16"/>
  <c r="S813" i="16"/>
  <c r="T813" i="16" s="1"/>
  <c r="N813" i="16"/>
  <c r="S812" i="16"/>
  <c r="T812" i="16" s="1"/>
  <c r="S811" i="16"/>
  <c r="T811" i="16" s="1"/>
  <c r="S810" i="16"/>
  <c r="T810" i="16" s="1"/>
  <c r="N810" i="16"/>
  <c r="S809" i="16"/>
  <c r="T809" i="16" s="1"/>
  <c r="N809" i="16"/>
  <c r="S808" i="16"/>
  <c r="T808" i="16" s="1"/>
  <c r="S807" i="16"/>
  <c r="T807" i="16" s="1"/>
  <c r="N807" i="16"/>
  <c r="S806" i="16"/>
  <c r="T806" i="16" s="1"/>
  <c r="N806" i="16"/>
  <c r="S805" i="16"/>
  <c r="T805" i="16" s="1"/>
  <c r="S804" i="16"/>
  <c r="T804" i="16" s="1"/>
  <c r="S803" i="16"/>
  <c r="T803" i="16" s="1"/>
  <c r="N803" i="16"/>
  <c r="S802" i="16"/>
  <c r="T802" i="16" s="1"/>
  <c r="N802" i="16"/>
  <c r="S801" i="16"/>
  <c r="T801" i="16" s="1"/>
  <c r="N801" i="16"/>
  <c r="S800" i="16"/>
  <c r="T800" i="16" s="1"/>
  <c r="N800" i="16"/>
  <c r="W799" i="16"/>
  <c r="AD799" i="16" s="1"/>
  <c r="AE799" i="16" s="1"/>
  <c r="U799" i="16"/>
  <c r="N799" i="16"/>
  <c r="S798" i="16"/>
  <c r="T798" i="16" s="1"/>
  <c r="N798" i="16"/>
  <c r="S797" i="16"/>
  <c r="T797" i="16" s="1"/>
  <c r="S796" i="16"/>
  <c r="T796" i="16" s="1"/>
  <c r="S795" i="16"/>
  <c r="T795" i="16" s="1"/>
  <c r="N795" i="16"/>
  <c r="S794" i="16"/>
  <c r="T794" i="16" s="1"/>
  <c r="N794" i="16"/>
  <c r="S793" i="16"/>
  <c r="T793" i="16" s="1"/>
  <c r="S792" i="16"/>
  <c r="T792" i="16" s="1"/>
  <c r="N792" i="16"/>
  <c r="S791" i="16"/>
  <c r="T791" i="16" s="1"/>
  <c r="S790" i="16"/>
  <c r="T790" i="16" s="1"/>
  <c r="N790" i="16"/>
  <c r="S789" i="16"/>
  <c r="T789" i="16" s="1"/>
  <c r="N789" i="16"/>
  <c r="S788" i="16"/>
  <c r="T788" i="16" s="1"/>
  <c r="N788" i="16"/>
  <c r="S787" i="16"/>
  <c r="T787" i="16" s="1"/>
  <c r="S786" i="16"/>
  <c r="T786" i="16" s="1"/>
  <c r="N786" i="16"/>
  <c r="S785" i="16"/>
  <c r="T785" i="16" s="1"/>
  <c r="N785" i="16"/>
  <c r="S784" i="16"/>
  <c r="T784" i="16" s="1"/>
  <c r="N784" i="16"/>
  <c r="S783" i="16"/>
  <c r="T783" i="16" s="1"/>
  <c r="N783" i="16"/>
  <c r="S782" i="16"/>
  <c r="T782" i="16" s="1"/>
  <c r="N782" i="16"/>
  <c r="S781" i="16"/>
  <c r="T781" i="16" s="1"/>
  <c r="N781" i="16"/>
  <c r="S780" i="16"/>
  <c r="T780" i="16" s="1"/>
  <c r="N780" i="16"/>
  <c r="S779" i="16"/>
  <c r="T779" i="16" s="1"/>
  <c r="N779" i="16"/>
  <c r="S778" i="16"/>
  <c r="T778" i="16" s="1"/>
  <c r="S777" i="16"/>
  <c r="T777" i="16" s="1"/>
  <c r="N777" i="16"/>
  <c r="U776" i="16"/>
  <c r="S776" i="16" s="1"/>
  <c r="T776" i="16" s="1"/>
  <c r="N776" i="16"/>
  <c r="S775" i="16"/>
  <c r="T775" i="16" s="1"/>
  <c r="N775" i="16"/>
  <c r="S774" i="16"/>
  <c r="T774" i="16" s="1"/>
  <c r="N774" i="16"/>
  <c r="S773" i="16"/>
  <c r="T773" i="16" s="1"/>
  <c r="N773" i="16"/>
  <c r="S772" i="16"/>
  <c r="T772" i="16" s="1"/>
  <c r="N772" i="16"/>
  <c r="S771" i="16"/>
  <c r="T771" i="16" s="1"/>
  <c r="N771" i="16"/>
  <c r="S770" i="16"/>
  <c r="T770" i="16" s="1"/>
  <c r="N770" i="16"/>
  <c r="AD769" i="16"/>
  <c r="AE769" i="16" s="1"/>
  <c r="S769" i="16"/>
  <c r="T769" i="16" s="1"/>
  <c r="N769" i="16"/>
  <c r="AD768" i="16"/>
  <c r="AE768" i="16" s="1"/>
  <c r="S768" i="16"/>
  <c r="T768" i="16" s="1"/>
  <c r="N768" i="16"/>
  <c r="AD767" i="16"/>
  <c r="AE767" i="16" s="1"/>
  <c r="S767" i="16"/>
  <c r="T767" i="16" s="1"/>
  <c r="N767" i="16"/>
  <c r="S766" i="16"/>
  <c r="T766" i="16" s="1"/>
  <c r="S765" i="16"/>
  <c r="T765" i="16" s="1"/>
  <c r="N765" i="16"/>
  <c r="S764" i="16"/>
  <c r="T764" i="16" s="1"/>
  <c r="N764" i="16"/>
  <c r="S763" i="16"/>
  <c r="T763" i="16" s="1"/>
  <c r="N763" i="16"/>
  <c r="S762" i="16"/>
  <c r="T762" i="16" s="1"/>
  <c r="N762" i="16"/>
  <c r="S761" i="16"/>
  <c r="T761" i="16" s="1"/>
  <c r="N761" i="16"/>
  <c r="S760" i="16"/>
  <c r="T760" i="16" s="1"/>
  <c r="N760" i="16"/>
  <c r="S759" i="16"/>
  <c r="T759" i="16" s="1"/>
  <c r="N759" i="16"/>
  <c r="S758" i="16"/>
  <c r="T758" i="16" s="1"/>
  <c r="N758" i="16"/>
  <c r="AD757" i="16"/>
  <c r="AE757" i="16" s="1"/>
  <c r="S757" i="16"/>
  <c r="T757" i="16" s="1"/>
  <c r="N757" i="16"/>
  <c r="S756" i="16"/>
  <c r="T756" i="16" s="1"/>
  <c r="N756" i="16"/>
  <c r="S755" i="16"/>
  <c r="T755" i="16" s="1"/>
  <c r="N755" i="16"/>
  <c r="AD754" i="16"/>
  <c r="AE754" i="16" s="1"/>
  <c r="S754" i="16"/>
  <c r="T754" i="16" s="1"/>
  <c r="N754" i="16"/>
  <c r="S753" i="16"/>
  <c r="T753" i="16" s="1"/>
  <c r="N753" i="16"/>
  <c r="S752" i="16"/>
  <c r="T752" i="16" s="1"/>
  <c r="N752" i="16"/>
  <c r="S751" i="16"/>
  <c r="T751" i="16" s="1"/>
  <c r="N751" i="16"/>
  <c r="S750" i="16"/>
  <c r="T750" i="16" s="1"/>
  <c r="N750" i="16"/>
  <c r="S749" i="16"/>
  <c r="T749" i="16" s="1"/>
  <c r="N749" i="16"/>
  <c r="S748" i="16"/>
  <c r="N748" i="16"/>
  <c r="S747" i="16"/>
  <c r="T747" i="16" s="1"/>
  <c r="N747" i="16"/>
  <c r="S746" i="16"/>
  <c r="T746" i="16" s="1"/>
  <c r="N746" i="16"/>
  <c r="AD745" i="16"/>
  <c r="AE745" i="16" s="1"/>
  <c r="S745" i="16"/>
  <c r="T745" i="16" s="1"/>
  <c r="N745" i="16"/>
  <c r="S744" i="16"/>
  <c r="T744" i="16" s="1"/>
  <c r="N744" i="16"/>
  <c r="S743" i="16"/>
  <c r="T743" i="16" s="1"/>
  <c r="N743" i="16"/>
  <c r="S742" i="16"/>
  <c r="T742" i="16" s="1"/>
  <c r="N742" i="16"/>
  <c r="S741" i="16"/>
  <c r="T741" i="16" s="1"/>
  <c r="N741" i="16"/>
  <c r="S740" i="16"/>
  <c r="T740" i="16" s="1"/>
  <c r="N740" i="16"/>
  <c r="S739" i="16"/>
  <c r="T739" i="16" s="1"/>
  <c r="N739" i="16"/>
  <c r="S738" i="16"/>
  <c r="T738" i="16" s="1"/>
  <c r="N738" i="16"/>
  <c r="S737" i="16"/>
  <c r="T737" i="16" s="1"/>
  <c r="S736" i="16"/>
  <c r="T736" i="16" s="1"/>
  <c r="N736" i="16"/>
  <c r="S735" i="16"/>
  <c r="T735" i="16" s="1"/>
  <c r="N735" i="16"/>
  <c r="S734" i="16"/>
  <c r="T734" i="16" s="1"/>
  <c r="N734" i="16"/>
  <c r="S733" i="16"/>
  <c r="T733" i="16" s="1"/>
  <c r="N733" i="16"/>
  <c r="S732" i="16"/>
  <c r="T732" i="16" s="1"/>
  <c r="N732" i="16"/>
  <c r="S731" i="16"/>
  <c r="T731" i="16" s="1"/>
  <c r="N731" i="16"/>
  <c r="AD730" i="16"/>
  <c r="AE730" i="16" s="1"/>
  <c r="S730" i="16"/>
  <c r="T730" i="16" s="1"/>
  <c r="N730" i="16"/>
  <c r="S729" i="16"/>
  <c r="T729" i="16" s="1"/>
  <c r="N729" i="16"/>
  <c r="S728" i="16"/>
  <c r="T728" i="16" s="1"/>
  <c r="N728" i="16"/>
  <c r="S727" i="16"/>
  <c r="T727" i="16" s="1"/>
  <c r="N727" i="16"/>
  <c r="S726" i="16"/>
  <c r="T726" i="16" s="1"/>
  <c r="N726" i="16"/>
  <c r="S725" i="16"/>
  <c r="T725" i="16" s="1"/>
  <c r="N725" i="16"/>
  <c r="S724" i="16"/>
  <c r="T724" i="16" s="1"/>
  <c r="N724" i="16"/>
  <c r="S723" i="16"/>
  <c r="T723" i="16" s="1"/>
  <c r="N723" i="16"/>
  <c r="S722" i="16"/>
  <c r="T722" i="16" s="1"/>
  <c r="N722" i="16"/>
  <c r="S721" i="16"/>
  <c r="T721" i="16" s="1"/>
  <c r="N721" i="16"/>
  <c r="S720" i="16"/>
  <c r="T720" i="16" s="1"/>
  <c r="N720" i="16"/>
  <c r="S719" i="16"/>
  <c r="T719" i="16" s="1"/>
  <c r="S718" i="16"/>
  <c r="T718" i="16" s="1"/>
  <c r="N718" i="16"/>
  <c r="S717" i="16"/>
  <c r="T717" i="16" s="1"/>
  <c r="N717" i="16"/>
  <c r="S716" i="16"/>
  <c r="T716" i="16" s="1"/>
  <c r="N716" i="16"/>
  <c r="S715" i="16"/>
  <c r="T715" i="16" s="1"/>
  <c r="N715" i="16"/>
  <c r="S714" i="16"/>
  <c r="T714" i="16" s="1"/>
  <c r="N714" i="16"/>
  <c r="S713" i="16"/>
  <c r="T713" i="16" s="1"/>
  <c r="N713" i="16"/>
  <c r="S712" i="16"/>
  <c r="T712" i="16" s="1"/>
  <c r="N712" i="16"/>
  <c r="S711" i="16"/>
  <c r="T711" i="16" s="1"/>
  <c r="S710" i="16"/>
  <c r="T710" i="16" s="1"/>
  <c r="N710" i="16"/>
  <c r="S709" i="16"/>
  <c r="T709" i="16" s="1"/>
  <c r="N709" i="16"/>
  <c r="S708" i="16"/>
  <c r="T708" i="16" s="1"/>
  <c r="N708" i="16"/>
  <c r="S707" i="16"/>
  <c r="T707" i="16" s="1"/>
  <c r="N707" i="16"/>
  <c r="S706" i="16"/>
  <c r="T706" i="16" s="1"/>
  <c r="N706" i="16"/>
  <c r="S705" i="16"/>
  <c r="T705" i="16" s="1"/>
  <c r="N705" i="16"/>
  <c r="S704" i="16"/>
  <c r="T704" i="16" s="1"/>
  <c r="N704" i="16"/>
  <c r="S703" i="16"/>
  <c r="T703" i="16" s="1"/>
  <c r="S702" i="16"/>
  <c r="T702" i="16" s="1"/>
  <c r="N702" i="16"/>
  <c r="S701" i="16"/>
  <c r="T701" i="16" s="1"/>
  <c r="N701" i="16"/>
  <c r="S700" i="16"/>
  <c r="T700" i="16" s="1"/>
  <c r="N700" i="16"/>
  <c r="S699" i="16"/>
  <c r="T699" i="16" s="1"/>
  <c r="AD698" i="16"/>
  <c r="AE698" i="16" s="1"/>
  <c r="S698" i="16"/>
  <c r="T698" i="16" s="1"/>
  <c r="N698" i="16"/>
  <c r="S697" i="16"/>
  <c r="T697" i="16" s="1"/>
  <c r="N697" i="16"/>
  <c r="S696" i="16"/>
  <c r="T696" i="16" s="1"/>
  <c r="N696" i="16"/>
  <c r="S695" i="16"/>
  <c r="T695" i="16" s="1"/>
  <c r="N695" i="16"/>
  <c r="S694" i="16"/>
  <c r="T694" i="16" s="1"/>
  <c r="N694" i="16"/>
  <c r="S693" i="16"/>
  <c r="T693" i="16" s="1"/>
  <c r="N693" i="16"/>
  <c r="S692" i="16"/>
  <c r="T692" i="16" s="1"/>
  <c r="N692" i="16"/>
  <c r="S691" i="16"/>
  <c r="T691" i="16" s="1"/>
  <c r="N691" i="16"/>
  <c r="S690" i="16"/>
  <c r="T690" i="16" s="1"/>
  <c r="N690" i="16"/>
  <c r="S689" i="16"/>
  <c r="T689" i="16" s="1"/>
  <c r="N689" i="16"/>
  <c r="S688" i="16"/>
  <c r="T688" i="16" s="1"/>
  <c r="S687" i="16"/>
  <c r="T687" i="16" s="1"/>
  <c r="N687" i="16"/>
  <c r="S686" i="16"/>
  <c r="T686" i="16" s="1"/>
  <c r="N686" i="16"/>
  <c r="S685" i="16"/>
  <c r="T685" i="16" s="1"/>
  <c r="N685" i="16"/>
  <c r="S684" i="16"/>
  <c r="T684" i="16" s="1"/>
  <c r="N684" i="16"/>
  <c r="S683" i="16"/>
  <c r="T683" i="16" s="1"/>
  <c r="N683" i="16"/>
  <c r="S682" i="16"/>
  <c r="T682" i="16" s="1"/>
  <c r="N682" i="16"/>
  <c r="S681" i="16"/>
  <c r="T681" i="16" s="1"/>
  <c r="N681" i="16"/>
  <c r="S680" i="16"/>
  <c r="T680" i="16" s="1"/>
  <c r="N680" i="16"/>
  <c r="S679" i="16"/>
  <c r="T679" i="16" s="1"/>
  <c r="N679" i="16"/>
  <c r="S678" i="16"/>
  <c r="T678" i="16" s="1"/>
  <c r="N678" i="16"/>
  <c r="S677" i="16"/>
  <c r="T677" i="16" s="1"/>
  <c r="N677" i="16"/>
  <c r="S676" i="16"/>
  <c r="T676" i="16" s="1"/>
  <c r="N676" i="16"/>
  <c r="S675" i="16"/>
  <c r="T675" i="16" s="1"/>
  <c r="N675" i="16"/>
  <c r="S674" i="16"/>
  <c r="T674" i="16" s="1"/>
  <c r="N674" i="16"/>
  <c r="S673" i="16"/>
  <c r="T673" i="16" s="1"/>
  <c r="N673" i="16"/>
  <c r="S672" i="16"/>
  <c r="T672" i="16" s="1"/>
  <c r="N672" i="16"/>
  <c r="S671" i="16"/>
  <c r="T671" i="16" s="1"/>
  <c r="N671" i="16"/>
  <c r="S670" i="16"/>
  <c r="T670" i="16" s="1"/>
  <c r="N670" i="16"/>
  <c r="S669" i="16"/>
  <c r="T669" i="16" s="1"/>
  <c r="S668" i="16"/>
  <c r="T668" i="16" s="1"/>
  <c r="N668" i="16"/>
  <c r="S667" i="16"/>
  <c r="T667" i="16" s="1"/>
  <c r="N667" i="16"/>
  <c r="S666" i="16"/>
  <c r="T666" i="16" s="1"/>
  <c r="N666" i="16"/>
  <c r="S665" i="16"/>
  <c r="T665" i="16" s="1"/>
  <c r="N665" i="16"/>
  <c r="S664" i="16"/>
  <c r="T664" i="16" s="1"/>
  <c r="S663" i="16"/>
  <c r="T663" i="16" s="1"/>
  <c r="N663" i="16"/>
  <c r="S662" i="16"/>
  <c r="T662" i="16" s="1"/>
  <c r="AD661" i="16"/>
  <c r="AE661" i="16" s="1"/>
  <c r="S661" i="16"/>
  <c r="T661" i="16" s="1"/>
  <c r="N661" i="16"/>
  <c r="S660" i="16"/>
  <c r="T660" i="16" s="1"/>
  <c r="W659" i="16"/>
  <c r="AD659" i="16" s="1"/>
  <c r="AE659" i="16" s="1"/>
  <c r="N659" i="16"/>
  <c r="S658" i="16"/>
  <c r="T658" i="16" s="1"/>
  <c r="N658" i="16"/>
  <c r="S657" i="16"/>
  <c r="T657" i="16" s="1"/>
  <c r="N657" i="16"/>
  <c r="S656" i="16"/>
  <c r="T656" i="16" s="1"/>
  <c r="N656" i="16"/>
  <c r="S655" i="16"/>
  <c r="T655" i="16" s="1"/>
  <c r="N655" i="16"/>
  <c r="S654" i="16"/>
  <c r="T654" i="16" s="1"/>
  <c r="S653" i="16"/>
  <c r="T653" i="16" s="1"/>
  <c r="N653" i="16"/>
  <c r="S652" i="16"/>
  <c r="T652" i="16" s="1"/>
  <c r="S651" i="16"/>
  <c r="T651" i="16" s="1"/>
  <c r="N651" i="16"/>
  <c r="AD650" i="16"/>
  <c r="AE650" i="16" s="1"/>
  <c r="S650" i="16"/>
  <c r="T650" i="16" s="1"/>
  <c r="N650" i="16"/>
  <c r="AD649" i="16"/>
  <c r="AE649" i="16" s="1"/>
  <c r="S649" i="16"/>
  <c r="T649" i="16" s="1"/>
  <c r="N649" i="16"/>
  <c r="S648" i="16"/>
  <c r="T648" i="16" s="1"/>
  <c r="N648" i="16"/>
  <c r="S647" i="16"/>
  <c r="T647" i="16" s="1"/>
  <c r="N647" i="16"/>
  <c r="S646" i="16"/>
  <c r="T646" i="16" s="1"/>
  <c r="N646" i="16"/>
  <c r="S645" i="16"/>
  <c r="T645" i="16" s="1"/>
  <c r="N645" i="16"/>
  <c r="S644" i="16"/>
  <c r="T644" i="16" s="1"/>
  <c r="N644" i="16"/>
  <c r="S643" i="16"/>
  <c r="T643" i="16" s="1"/>
  <c r="S642" i="16"/>
  <c r="T642" i="16" s="1"/>
  <c r="N642" i="16"/>
  <c r="S641" i="16"/>
  <c r="T641" i="16" s="1"/>
  <c r="N641" i="16"/>
  <c r="S640" i="16"/>
  <c r="T640" i="16" s="1"/>
  <c r="N640" i="16"/>
  <c r="AD639" i="16"/>
  <c r="AE639" i="16" s="1"/>
  <c r="S639" i="16"/>
  <c r="T639" i="16" s="1"/>
  <c r="AD638" i="16"/>
  <c r="AE638" i="16" s="1"/>
  <c r="S638" i="16"/>
  <c r="T638" i="16" s="1"/>
  <c r="N638" i="16"/>
  <c r="AD637" i="16"/>
  <c r="AE637" i="16" s="1"/>
  <c r="S637" i="16"/>
  <c r="T637" i="16" s="1"/>
  <c r="N637" i="16"/>
  <c r="AD636" i="16"/>
  <c r="AE636" i="16" s="1"/>
  <c r="S636" i="16"/>
  <c r="T636" i="16" s="1"/>
  <c r="N636" i="16"/>
  <c r="S635" i="16"/>
  <c r="T635" i="16" s="1"/>
  <c r="N635" i="16"/>
  <c r="AD634" i="16"/>
  <c r="AE634" i="16" s="1"/>
  <c r="S634" i="16"/>
  <c r="T634" i="16" s="1"/>
  <c r="S633" i="16"/>
  <c r="T633" i="16" s="1"/>
  <c r="N633" i="16"/>
  <c r="S632" i="16"/>
  <c r="T632" i="16" s="1"/>
  <c r="N632" i="16"/>
  <c r="S631" i="16"/>
  <c r="T631" i="16" s="1"/>
  <c r="N631" i="16"/>
  <c r="S630" i="16"/>
  <c r="T630" i="16" s="1"/>
  <c r="N630" i="16"/>
  <c r="S629" i="16"/>
  <c r="T629" i="16" s="1"/>
  <c r="N629" i="16"/>
  <c r="S628" i="16"/>
  <c r="T628" i="16" s="1"/>
  <c r="N628" i="16"/>
  <c r="S627" i="16"/>
  <c r="T627" i="16" s="1"/>
  <c r="S626" i="16"/>
  <c r="T626" i="16" s="1"/>
  <c r="N626" i="16"/>
  <c r="S625" i="16"/>
  <c r="T625" i="16" s="1"/>
  <c r="N625" i="16"/>
  <c r="S624" i="16"/>
  <c r="T624" i="16" s="1"/>
  <c r="N624" i="16"/>
  <c r="S623" i="16"/>
  <c r="T623" i="16" s="1"/>
  <c r="N623" i="16"/>
  <c r="S622" i="16"/>
  <c r="T622" i="16" s="1"/>
  <c r="N622" i="16"/>
  <c r="S621" i="16"/>
  <c r="T621" i="16" s="1"/>
  <c r="N621" i="16"/>
  <c r="S620" i="16"/>
  <c r="T620" i="16" s="1"/>
  <c r="N620" i="16"/>
  <c r="S619" i="16"/>
  <c r="T619" i="16" s="1"/>
  <c r="S618" i="16"/>
  <c r="T618" i="16" s="1"/>
  <c r="N618" i="16"/>
  <c r="S617" i="16"/>
  <c r="T617" i="16" s="1"/>
  <c r="N617" i="16"/>
  <c r="S616" i="16"/>
  <c r="T616" i="16" s="1"/>
  <c r="N616" i="16"/>
  <c r="S615" i="16"/>
  <c r="T615" i="16" s="1"/>
  <c r="N615" i="16"/>
  <c r="S614" i="16"/>
  <c r="T614" i="16" s="1"/>
  <c r="N614" i="16"/>
  <c r="S613" i="16"/>
  <c r="T613" i="16" s="1"/>
  <c r="N613" i="16"/>
  <c r="S612" i="16"/>
  <c r="T612" i="16" s="1"/>
  <c r="N612" i="16"/>
  <c r="S611" i="16"/>
  <c r="T611" i="16" s="1"/>
  <c r="S610" i="16"/>
  <c r="T610" i="16" s="1"/>
  <c r="N610" i="16"/>
  <c r="S609" i="16"/>
  <c r="T609" i="16" s="1"/>
  <c r="N609" i="16"/>
  <c r="S608" i="16"/>
  <c r="T608" i="16" s="1"/>
  <c r="N608" i="16"/>
  <c r="AD607" i="16"/>
  <c r="AE607" i="16" s="1"/>
  <c r="S607" i="16"/>
  <c r="T607" i="16" s="1"/>
  <c r="W606" i="16"/>
  <c r="AD606" i="16" s="1"/>
  <c r="AE606" i="16" s="1"/>
  <c r="N606" i="16"/>
  <c r="S605" i="16"/>
  <c r="T605" i="16" s="1"/>
  <c r="N605" i="16"/>
  <c r="AD604" i="16"/>
  <c r="AE604" i="16" s="1"/>
  <c r="S604" i="16"/>
  <c r="T604" i="16" s="1"/>
  <c r="N604" i="16"/>
  <c r="W603" i="16"/>
  <c r="AD603" i="16" s="1"/>
  <c r="AE603" i="16" s="1"/>
  <c r="N603" i="16"/>
  <c r="S602" i="16"/>
  <c r="T602" i="16" s="1"/>
  <c r="N602" i="16"/>
  <c r="S601" i="16"/>
  <c r="T601" i="16" s="1"/>
  <c r="N601" i="16"/>
  <c r="S600" i="16"/>
  <c r="T600" i="16" s="1"/>
  <c r="N600" i="16"/>
  <c r="S599" i="16"/>
  <c r="T599" i="16" s="1"/>
  <c r="N599" i="16"/>
  <c r="S598" i="16"/>
  <c r="T598" i="16" s="1"/>
  <c r="N598" i="16"/>
  <c r="S597" i="16"/>
  <c r="T597" i="16" s="1"/>
  <c r="N597" i="16"/>
  <c r="S596" i="16"/>
  <c r="T596" i="16" s="1"/>
  <c r="N596" i="16"/>
  <c r="S595" i="16"/>
  <c r="T595" i="16" s="1"/>
  <c r="N595" i="16"/>
  <c r="S594" i="16"/>
  <c r="T594" i="16" s="1"/>
  <c r="N594" i="16"/>
  <c r="S593" i="16"/>
  <c r="T593" i="16" s="1"/>
  <c r="N593" i="16"/>
  <c r="AD592" i="16"/>
  <c r="AE592" i="16" s="1"/>
  <c r="S592" i="16"/>
  <c r="T592" i="16" s="1"/>
  <c r="N592" i="16"/>
  <c r="S591" i="16"/>
  <c r="T591" i="16" s="1"/>
  <c r="N591" i="16"/>
  <c r="AD590" i="16"/>
  <c r="AE590" i="16" s="1"/>
  <c r="S590" i="16"/>
  <c r="T590" i="16" s="1"/>
  <c r="N590" i="16"/>
  <c r="AD589" i="16"/>
  <c r="AE589" i="16" s="1"/>
  <c r="S589" i="16"/>
  <c r="T589" i="16" s="1"/>
  <c r="N589" i="16"/>
  <c r="S588" i="16"/>
  <c r="T588" i="16" s="1"/>
  <c r="N588" i="16"/>
  <c r="S587" i="16"/>
  <c r="T587" i="16" s="1"/>
  <c r="N587" i="16"/>
  <c r="S586" i="16"/>
  <c r="T586" i="16" s="1"/>
  <c r="N586" i="16"/>
  <c r="AD585" i="16"/>
  <c r="AE585" i="16" s="1"/>
  <c r="S585" i="16"/>
  <c r="T585" i="16" s="1"/>
  <c r="N585" i="16"/>
  <c r="AD584" i="16"/>
  <c r="AE584" i="16" s="1"/>
  <c r="S584" i="16"/>
  <c r="T584" i="16" s="1"/>
  <c r="N584" i="16"/>
  <c r="U583" i="16"/>
  <c r="S583" i="16" s="1"/>
  <c r="N583" i="16"/>
  <c r="S582" i="16"/>
  <c r="T582" i="16" s="1"/>
  <c r="S581" i="16"/>
  <c r="T581" i="16" s="1"/>
  <c r="N581" i="16"/>
  <c r="S580" i="16"/>
  <c r="T580" i="16" s="1"/>
  <c r="S579" i="16"/>
  <c r="T579" i="16" s="1"/>
  <c r="N579" i="16"/>
  <c r="S578" i="16"/>
  <c r="T578" i="16" s="1"/>
  <c r="N578" i="16"/>
  <c r="S577" i="16"/>
  <c r="T577" i="16" s="1"/>
  <c r="N577" i="16"/>
  <c r="S576" i="16"/>
  <c r="T576" i="16" s="1"/>
  <c r="N576" i="16"/>
  <c r="S575" i="16"/>
  <c r="T575" i="16" s="1"/>
  <c r="N575" i="16"/>
  <c r="S574" i="16"/>
  <c r="T574" i="16" s="1"/>
  <c r="S573" i="16"/>
  <c r="T573" i="16" s="1"/>
  <c r="N573" i="16"/>
  <c r="AD572" i="16"/>
  <c r="AE572" i="16" s="1"/>
  <c r="U572" i="16"/>
  <c r="S572" i="16" s="1"/>
  <c r="T572" i="16" s="1"/>
  <c r="N572" i="16"/>
  <c r="S571" i="16"/>
  <c r="T571" i="16" s="1"/>
  <c r="N571" i="16"/>
  <c r="S570" i="16"/>
  <c r="T570" i="16" s="1"/>
  <c r="N570" i="16"/>
  <c r="S569" i="16"/>
  <c r="T569" i="16" s="1"/>
  <c r="N569" i="16"/>
  <c r="S568" i="16"/>
  <c r="T568" i="16" s="1"/>
  <c r="N568" i="16"/>
  <c r="AD567" i="16"/>
  <c r="AE567" i="16" s="1"/>
  <c r="S567" i="16"/>
  <c r="T567" i="16" s="1"/>
  <c r="N567" i="16"/>
  <c r="S566" i="16"/>
  <c r="T566" i="16" s="1"/>
  <c r="N566" i="16"/>
  <c r="S565" i="16"/>
  <c r="T565" i="16" s="1"/>
  <c r="N565" i="16"/>
  <c r="S564" i="16"/>
  <c r="T564" i="16" s="1"/>
  <c r="N564" i="16"/>
  <c r="S563" i="16"/>
  <c r="T563" i="16" s="1"/>
  <c r="N563" i="16"/>
  <c r="S562" i="16"/>
  <c r="T562" i="16" s="1"/>
  <c r="N562" i="16"/>
  <c r="S561" i="16"/>
  <c r="T561" i="16" s="1"/>
  <c r="N561" i="16"/>
  <c r="AD560" i="16"/>
  <c r="AE560" i="16" s="1"/>
  <c r="S560" i="16"/>
  <c r="T560" i="16" s="1"/>
  <c r="N560" i="16"/>
  <c r="S559" i="16"/>
  <c r="T559" i="16" s="1"/>
  <c r="N559" i="16"/>
  <c r="S558" i="16"/>
  <c r="T558" i="16" s="1"/>
  <c r="N558" i="16"/>
  <c r="AD557" i="16"/>
  <c r="AE557" i="16" s="1"/>
  <c r="S557" i="16"/>
  <c r="T557" i="16" s="1"/>
  <c r="S556" i="16"/>
  <c r="T556" i="16" s="1"/>
  <c r="N556" i="16"/>
  <c r="S555" i="16"/>
  <c r="T555" i="16" s="1"/>
  <c r="N555" i="16"/>
  <c r="S554" i="16"/>
  <c r="T554" i="16" s="1"/>
  <c r="N554" i="16"/>
  <c r="S553" i="16"/>
  <c r="T553" i="16" s="1"/>
  <c r="N553" i="16"/>
  <c r="S552" i="16"/>
  <c r="T552" i="16" s="1"/>
  <c r="N552" i="16"/>
  <c r="S551" i="16"/>
  <c r="T551" i="16" s="1"/>
  <c r="AD550" i="16"/>
  <c r="AE550" i="16" s="1"/>
  <c r="S550" i="16"/>
  <c r="T550" i="16" s="1"/>
  <c r="N550" i="16"/>
  <c r="AD549" i="16"/>
  <c r="AE549" i="16" s="1"/>
  <c r="S549" i="16"/>
  <c r="T549" i="16" s="1"/>
  <c r="N549" i="16"/>
  <c r="S548" i="16"/>
  <c r="T548" i="16" s="1"/>
  <c r="N548" i="16"/>
  <c r="S547" i="16"/>
  <c r="T547" i="16" s="1"/>
  <c r="N547" i="16"/>
  <c r="S546" i="16"/>
  <c r="T546" i="16" s="1"/>
  <c r="N546" i="16"/>
  <c r="S545" i="16"/>
  <c r="T545" i="16" s="1"/>
  <c r="N545" i="16"/>
  <c r="S544" i="16"/>
  <c r="T544" i="16" s="1"/>
  <c r="N544" i="16"/>
  <c r="S543" i="16"/>
  <c r="T543" i="16" s="1"/>
  <c r="N543" i="16"/>
  <c r="AD542" i="16"/>
  <c r="AE542" i="16" s="1"/>
  <c r="S542" i="16"/>
  <c r="T542" i="16" s="1"/>
  <c r="N542" i="16"/>
  <c r="AD541" i="16"/>
  <c r="AE541" i="16" s="1"/>
  <c r="S541" i="16"/>
  <c r="T541" i="16" s="1"/>
  <c r="N541" i="16"/>
  <c r="W540" i="16"/>
  <c r="S540" i="16" s="1"/>
  <c r="T540" i="16" s="1"/>
  <c r="N540" i="16"/>
  <c r="AD539" i="16"/>
  <c r="AE539" i="16" s="1"/>
  <c r="S539" i="16"/>
  <c r="T539" i="16" s="1"/>
  <c r="N539" i="16"/>
  <c r="U538" i="16"/>
  <c r="S538" i="16" s="1"/>
  <c r="T538" i="16" s="1"/>
  <c r="N538" i="16"/>
  <c r="S537" i="16"/>
  <c r="T537" i="16" s="1"/>
  <c r="W536" i="16"/>
  <c r="S536" i="16" s="1"/>
  <c r="T536" i="16" s="1"/>
  <c r="S535" i="16"/>
  <c r="T535" i="16" s="1"/>
  <c r="N535" i="16"/>
  <c r="S534" i="16"/>
  <c r="T534" i="16" s="1"/>
  <c r="N534" i="16"/>
  <c r="AD533" i="16"/>
  <c r="AE533" i="16" s="1"/>
  <c r="S533" i="16"/>
  <c r="T533" i="16" s="1"/>
  <c r="N533" i="16"/>
  <c r="S532" i="16"/>
  <c r="T532" i="16" s="1"/>
  <c r="N532" i="16"/>
  <c r="S531" i="16"/>
  <c r="T531" i="16" s="1"/>
  <c r="N531" i="16"/>
  <c r="AD530" i="16"/>
  <c r="AE530" i="16" s="1"/>
  <c r="S530" i="16"/>
  <c r="T530" i="16" s="1"/>
  <c r="N530" i="16"/>
  <c r="S529" i="16"/>
  <c r="T529" i="16" s="1"/>
  <c r="N529" i="16"/>
  <c r="S528" i="16"/>
  <c r="T528" i="16" s="1"/>
  <c r="S527" i="16"/>
  <c r="T527" i="16" s="1"/>
  <c r="S526" i="16"/>
  <c r="T526" i="16" s="1"/>
  <c r="N526" i="16"/>
  <c r="S525" i="16"/>
  <c r="T525" i="16" s="1"/>
  <c r="N525" i="16"/>
  <c r="AD524" i="16"/>
  <c r="AE524" i="16" s="1"/>
  <c r="S524" i="16"/>
  <c r="T524" i="16" s="1"/>
  <c r="N524" i="16"/>
  <c r="S523" i="16"/>
  <c r="T523" i="16" s="1"/>
  <c r="AD522" i="16"/>
  <c r="AE522" i="16" s="1"/>
  <c r="S522" i="16"/>
  <c r="T522" i="16" s="1"/>
  <c r="N522" i="16"/>
  <c r="AD521" i="16"/>
  <c r="AE521" i="16" s="1"/>
  <c r="S521" i="16"/>
  <c r="T521" i="16" s="1"/>
  <c r="AD520" i="16"/>
  <c r="AE520" i="16" s="1"/>
  <c r="S520" i="16"/>
  <c r="T520" i="16" s="1"/>
  <c r="N520" i="16"/>
  <c r="W519" i="16"/>
  <c r="S519" i="16" s="1"/>
  <c r="T519" i="16" s="1"/>
  <c r="N519" i="16"/>
  <c r="W518" i="16"/>
  <c r="S518" i="16" s="1"/>
  <c r="T518" i="16" s="1"/>
  <c r="N518" i="16"/>
  <c r="AD517" i="16"/>
  <c r="AE517" i="16" s="1"/>
  <c r="S517" i="16"/>
  <c r="T517" i="16" s="1"/>
  <c r="N517" i="16"/>
  <c r="AD516" i="16"/>
  <c r="AE516" i="16" s="1"/>
  <c r="S516" i="16"/>
  <c r="T516" i="16" s="1"/>
  <c r="N516" i="16"/>
  <c r="AD515" i="16"/>
  <c r="AE515" i="16" s="1"/>
  <c r="S515" i="16"/>
  <c r="T515" i="16" s="1"/>
  <c r="N515" i="16"/>
  <c r="AD514" i="16"/>
  <c r="AE514" i="16" s="1"/>
  <c r="S514" i="16"/>
  <c r="T514" i="16" s="1"/>
  <c r="N514" i="16"/>
  <c r="W513" i="16"/>
  <c r="S513" i="16" s="1"/>
  <c r="T513" i="16" s="1"/>
  <c r="N513" i="16"/>
  <c r="S512" i="16"/>
  <c r="T512" i="16" s="1"/>
  <c r="N512" i="16"/>
  <c r="S511" i="16"/>
  <c r="T511" i="16" s="1"/>
  <c r="N511" i="16"/>
  <c r="S510" i="16"/>
  <c r="T510" i="16" s="1"/>
  <c r="AD509" i="16"/>
  <c r="AE509" i="16" s="1"/>
  <c r="S509" i="16"/>
  <c r="T509" i="16" s="1"/>
  <c r="N509" i="16"/>
  <c r="S508" i="16"/>
  <c r="T508" i="16" s="1"/>
  <c r="N508" i="16"/>
  <c r="S507" i="16"/>
  <c r="T507" i="16" s="1"/>
  <c r="S506" i="16"/>
  <c r="T506" i="16" s="1"/>
  <c r="S505" i="16"/>
  <c r="T505" i="16" s="1"/>
  <c r="N505" i="16"/>
  <c r="S504" i="16"/>
  <c r="T504" i="16" s="1"/>
  <c r="S503" i="16"/>
  <c r="T503" i="16" s="1"/>
  <c r="AE502" i="16"/>
  <c r="U502" i="16"/>
  <c r="S502" i="16" s="1"/>
  <c r="T502" i="16" s="1"/>
  <c r="N502" i="16"/>
  <c r="S501" i="16"/>
  <c r="T501" i="16" s="1"/>
  <c r="S500" i="16"/>
  <c r="T500" i="16" s="1"/>
  <c r="S499" i="16"/>
  <c r="T499" i="16" s="1"/>
  <c r="N499" i="16"/>
  <c r="S498" i="16"/>
  <c r="T498" i="16" s="1"/>
  <c r="N498" i="16"/>
  <c r="S497" i="16"/>
  <c r="T497" i="16" s="1"/>
  <c r="S496" i="16"/>
  <c r="T496" i="16" s="1"/>
  <c r="N496" i="16"/>
  <c r="AD495" i="16"/>
  <c r="AE495" i="16" s="1"/>
  <c r="S495" i="16"/>
  <c r="T495" i="16" s="1"/>
  <c r="AD494" i="16"/>
  <c r="AE494" i="16" s="1"/>
  <c r="S494" i="16"/>
  <c r="T494" i="16" s="1"/>
  <c r="S493" i="16"/>
  <c r="T493" i="16" s="1"/>
  <c r="N493" i="16"/>
  <c r="S492" i="16"/>
  <c r="T492" i="16" s="1"/>
  <c r="N492" i="16"/>
  <c r="S491" i="16"/>
  <c r="T491" i="16" s="1"/>
  <c r="N491" i="16"/>
  <c r="S490" i="16"/>
  <c r="T490" i="16" s="1"/>
  <c r="N490" i="16"/>
  <c r="S489" i="16"/>
  <c r="T489" i="16" s="1"/>
  <c r="N489" i="16"/>
  <c r="S488" i="16"/>
  <c r="T488" i="16" s="1"/>
  <c r="N488" i="16"/>
  <c r="S487" i="16"/>
  <c r="T487" i="16" s="1"/>
  <c r="N487" i="16"/>
  <c r="S486" i="16"/>
  <c r="T486" i="16" s="1"/>
  <c r="N486" i="16"/>
  <c r="S485" i="16"/>
  <c r="T485" i="16" s="1"/>
  <c r="S484" i="16"/>
  <c r="T484" i="16" s="1"/>
  <c r="N484" i="16"/>
  <c r="S483" i="16"/>
  <c r="T483" i="16" s="1"/>
  <c r="S482" i="16"/>
  <c r="T482" i="16" s="1"/>
  <c r="S481" i="16"/>
  <c r="T481" i="16" s="1"/>
  <c r="N481" i="16"/>
  <c r="S480" i="16"/>
  <c r="T480" i="16" s="1"/>
  <c r="N480" i="16"/>
  <c r="S479" i="16"/>
  <c r="T479" i="16" s="1"/>
  <c r="S478" i="16"/>
  <c r="T478" i="16" s="1"/>
  <c r="S477" i="16"/>
  <c r="T477" i="16" s="1"/>
  <c r="U476" i="16"/>
  <c r="S476" i="16" s="1"/>
  <c r="T476" i="16" s="1"/>
  <c r="N476" i="16"/>
  <c r="U475" i="16"/>
  <c r="S475" i="16" s="1"/>
  <c r="T475" i="16" s="1"/>
  <c r="U474" i="16"/>
  <c r="S474" i="16" s="1"/>
  <c r="T474" i="16" s="1"/>
  <c r="N474" i="16"/>
  <c r="W473" i="16"/>
  <c r="S473" i="16" s="1"/>
  <c r="T473" i="16" s="1"/>
  <c r="N473" i="16"/>
  <c r="AD472" i="16"/>
  <c r="AE472" i="16" s="1"/>
  <c r="S472" i="16"/>
  <c r="T472" i="16" s="1"/>
  <c r="N472" i="16"/>
  <c r="S471" i="16"/>
  <c r="T471" i="16" s="1"/>
  <c r="N471" i="16"/>
  <c r="S470" i="16"/>
  <c r="T470" i="16" s="1"/>
  <c r="AD469" i="16"/>
  <c r="AE469" i="16" s="1"/>
  <c r="S469" i="16"/>
  <c r="T469" i="16" s="1"/>
  <c r="N469" i="16"/>
  <c r="S468" i="16"/>
  <c r="T468" i="16" s="1"/>
  <c r="N468" i="16"/>
  <c r="S467" i="16"/>
  <c r="T467" i="16" s="1"/>
  <c r="S466" i="16"/>
  <c r="T466" i="16" s="1"/>
  <c r="AD465" i="16"/>
  <c r="AE465" i="16" s="1"/>
  <c r="S465" i="16"/>
  <c r="T465" i="16" s="1"/>
  <c r="S464" i="16"/>
  <c r="T464" i="16" s="1"/>
  <c r="N464" i="16"/>
  <c r="S463" i="16"/>
  <c r="T463" i="16" s="1"/>
  <c r="N463" i="16"/>
  <c r="AD462" i="16"/>
  <c r="AE462" i="16" s="1"/>
  <c r="S462" i="16"/>
  <c r="T462" i="16" s="1"/>
  <c r="S461" i="16"/>
  <c r="T461" i="16" s="1"/>
  <c r="N461" i="16"/>
  <c r="S460" i="16"/>
  <c r="T460" i="16" s="1"/>
  <c r="N460" i="16"/>
  <c r="S459" i="16"/>
  <c r="T459" i="16" s="1"/>
  <c r="S458" i="16"/>
  <c r="T458" i="16" s="1"/>
  <c r="AD457" i="16"/>
  <c r="AE457" i="16" s="1"/>
  <c r="U457" i="16"/>
  <c r="S457" i="16" s="1"/>
  <c r="N457" i="16"/>
  <c r="S456" i="16"/>
  <c r="T456" i="16" s="1"/>
  <c r="S455" i="16"/>
  <c r="T455" i="16" s="1"/>
  <c r="N455" i="16"/>
  <c r="S454" i="16"/>
  <c r="T454" i="16" s="1"/>
  <c r="S453" i="16"/>
  <c r="T453" i="16" s="1"/>
  <c r="S452" i="16"/>
  <c r="T452" i="16" s="1"/>
  <c r="N452" i="16"/>
  <c r="AD450" i="16"/>
  <c r="AE450" i="16" s="1"/>
  <c r="S450" i="16"/>
  <c r="T450" i="16" s="1"/>
  <c r="N450" i="16"/>
  <c r="S449" i="16"/>
  <c r="T449" i="16" s="1"/>
  <c r="U448" i="16"/>
  <c r="S448" i="16" s="1"/>
  <c r="T448" i="16" s="1"/>
  <c r="N448" i="16"/>
  <c r="AD447" i="16"/>
  <c r="AE447" i="16" s="1"/>
  <c r="S447" i="16"/>
  <c r="T447" i="16" s="1"/>
  <c r="N447" i="16"/>
  <c r="U446" i="16"/>
  <c r="S446" i="16" s="1"/>
  <c r="T446" i="16" s="1"/>
  <c r="N446" i="16"/>
  <c r="S445" i="16"/>
  <c r="T445" i="16" s="1"/>
  <c r="S444" i="16"/>
  <c r="T444" i="16" s="1"/>
  <c r="N444" i="16"/>
  <c r="S443" i="16"/>
  <c r="T443" i="16" s="1"/>
  <c r="N443" i="16"/>
  <c r="S442" i="16"/>
  <c r="T442" i="16" s="1"/>
  <c r="AD441" i="16"/>
  <c r="AE441" i="16" s="1"/>
  <c r="U441" i="16"/>
  <c r="S441" i="16" s="1"/>
  <c r="T441" i="16" s="1"/>
  <c r="N441" i="16"/>
  <c r="S440" i="16"/>
  <c r="T440" i="16" s="1"/>
  <c r="S439" i="16"/>
  <c r="T439" i="16" s="1"/>
  <c r="AD438" i="16"/>
  <c r="AE438" i="16" s="1"/>
  <c r="S438" i="16"/>
  <c r="T438" i="16" s="1"/>
  <c r="N438" i="16"/>
  <c r="S437" i="16"/>
  <c r="T437" i="16" s="1"/>
  <c r="AD436" i="16"/>
  <c r="AE436" i="16" s="1"/>
  <c r="S436" i="16"/>
  <c r="T436" i="16" s="1"/>
  <c r="N436" i="16"/>
  <c r="S435" i="16"/>
  <c r="T435" i="16" s="1"/>
  <c r="AD434" i="16"/>
  <c r="AE434" i="16" s="1"/>
  <c r="S434" i="16"/>
  <c r="T434" i="16" s="1"/>
  <c r="N434" i="16"/>
  <c r="S433" i="16"/>
  <c r="T433" i="16" s="1"/>
  <c r="N433" i="16"/>
  <c r="S432" i="16"/>
  <c r="T432" i="16" s="1"/>
  <c r="N432" i="16"/>
  <c r="S431" i="16"/>
  <c r="T431" i="16" s="1"/>
  <c r="N431" i="16"/>
  <c r="S430" i="16"/>
  <c r="T430" i="16" s="1"/>
  <c r="N430" i="16"/>
  <c r="S429" i="16"/>
  <c r="T429" i="16" s="1"/>
  <c r="S428" i="16"/>
  <c r="T428" i="16" s="1"/>
  <c r="S427" i="16"/>
  <c r="T427" i="16" s="1"/>
  <c r="N427" i="16"/>
  <c r="S426" i="16"/>
  <c r="T426" i="16" s="1"/>
  <c r="N426" i="16"/>
  <c r="S425" i="16"/>
  <c r="T425" i="16" s="1"/>
  <c r="N425" i="16"/>
  <c r="AD424" i="16"/>
  <c r="AE424" i="16" s="1"/>
  <c r="S424" i="16"/>
  <c r="T424" i="16" s="1"/>
  <c r="N424" i="16"/>
  <c r="S423" i="16"/>
  <c r="T423" i="16" s="1"/>
  <c r="N423" i="16"/>
  <c r="S422" i="16"/>
  <c r="T422" i="16" s="1"/>
  <c r="N422" i="16"/>
  <c r="AD421" i="16"/>
  <c r="AE421" i="16" s="1"/>
  <c r="S421" i="16"/>
  <c r="T421" i="16" s="1"/>
  <c r="N421" i="16"/>
  <c r="S420" i="16"/>
  <c r="T420" i="16" s="1"/>
  <c r="N420" i="16"/>
  <c r="AD419" i="16"/>
  <c r="AE419" i="16" s="1"/>
  <c r="S419" i="16"/>
  <c r="T419" i="16" s="1"/>
  <c r="N419" i="16"/>
  <c r="AD418" i="16"/>
  <c r="AE418" i="16" s="1"/>
  <c r="S418" i="16"/>
  <c r="T418" i="16" s="1"/>
  <c r="S417" i="16"/>
  <c r="T417" i="16" s="1"/>
  <c r="N417" i="16"/>
  <c r="S416" i="16"/>
  <c r="T416" i="16" s="1"/>
  <c r="N416" i="16"/>
  <c r="S415" i="16"/>
  <c r="T415" i="16" s="1"/>
  <c r="N415" i="16"/>
  <c r="S414" i="16"/>
  <c r="T414" i="16" s="1"/>
  <c r="S411" i="16"/>
  <c r="T411" i="16" s="1"/>
  <c r="N411" i="16"/>
  <c r="S410" i="16"/>
  <c r="T410" i="16" s="1"/>
  <c r="S409" i="16"/>
  <c r="T409" i="16" s="1"/>
  <c r="S408" i="16"/>
  <c r="T408" i="16" s="1"/>
  <c r="N408" i="16"/>
  <c r="S407" i="16"/>
  <c r="T407" i="16" s="1"/>
  <c r="N407" i="16"/>
  <c r="S406" i="16"/>
  <c r="T406" i="16" s="1"/>
  <c r="N406" i="16"/>
  <c r="S405" i="16"/>
  <c r="T405" i="16" s="1"/>
  <c r="N405" i="16"/>
  <c r="S404" i="16"/>
  <c r="T404" i="16" s="1"/>
  <c r="N404" i="16"/>
  <c r="S403" i="16"/>
  <c r="T403" i="16" s="1"/>
  <c r="S402" i="16"/>
  <c r="T402" i="16" s="1"/>
  <c r="AD401" i="16"/>
  <c r="AE401" i="16" s="1"/>
  <c r="S401" i="16"/>
  <c r="T401" i="16" s="1"/>
  <c r="W400" i="16"/>
  <c r="S400" i="16" s="1"/>
  <c r="T400" i="16" s="1"/>
  <c r="N400" i="16"/>
  <c r="S399" i="16"/>
  <c r="T399" i="16" s="1"/>
  <c r="N399" i="16"/>
  <c r="S398" i="16"/>
  <c r="T398" i="16" s="1"/>
  <c r="S397" i="16"/>
  <c r="T397" i="16" s="1"/>
  <c r="N397" i="16"/>
  <c r="AD396" i="16"/>
  <c r="AE396" i="16" s="1"/>
  <c r="S396" i="16"/>
  <c r="T396" i="16" s="1"/>
  <c r="S395" i="16"/>
  <c r="T395" i="16" s="1"/>
  <c r="AD394" i="16"/>
  <c r="AE394" i="16" s="1"/>
  <c r="S394" i="16"/>
  <c r="T394" i="16" s="1"/>
  <c r="AD393" i="16"/>
  <c r="AE393" i="16" s="1"/>
  <c r="S393" i="16"/>
  <c r="T393" i="16" s="1"/>
  <c r="AD392" i="16"/>
  <c r="AE392" i="16" s="1"/>
  <c r="S392" i="16"/>
  <c r="T392" i="16" s="1"/>
  <c r="AD391" i="16"/>
  <c r="AE391" i="16" s="1"/>
  <c r="S391" i="16"/>
  <c r="T391" i="16" s="1"/>
  <c r="S390" i="16"/>
  <c r="T390" i="16" s="1"/>
  <c r="N390" i="16"/>
  <c r="S389" i="16"/>
  <c r="T389" i="16" s="1"/>
  <c r="N389" i="16"/>
  <c r="S386" i="16"/>
  <c r="T386" i="16" s="1"/>
  <c r="S385" i="16"/>
  <c r="T385" i="16" s="1"/>
  <c r="S384" i="16"/>
  <c r="T384" i="16" s="1"/>
  <c r="N384" i="16"/>
  <c r="S383" i="16"/>
  <c r="T383" i="16" s="1"/>
  <c r="N383" i="16"/>
  <c r="S382" i="16"/>
  <c r="T382" i="16" s="1"/>
  <c r="S381" i="16"/>
  <c r="T381" i="16" s="1"/>
  <c r="S380" i="16"/>
  <c r="T380" i="16" s="1"/>
  <c r="N380" i="16"/>
  <c r="S379" i="16"/>
  <c r="T379" i="16" s="1"/>
  <c r="N379" i="16"/>
  <c r="S378" i="16"/>
  <c r="T378" i="16" s="1"/>
  <c r="AD377" i="16"/>
  <c r="AE377" i="16" s="1"/>
  <c r="S377" i="16"/>
  <c r="T377" i="16" s="1"/>
  <c r="N377" i="16"/>
  <c r="S376" i="16"/>
  <c r="T376" i="16" s="1"/>
  <c r="N376" i="16"/>
  <c r="S375" i="16"/>
  <c r="T375" i="16" s="1"/>
  <c r="S374" i="16"/>
  <c r="T374" i="16" s="1"/>
  <c r="N374" i="16"/>
  <c r="S373" i="16"/>
  <c r="T373" i="16" s="1"/>
  <c r="S372" i="16"/>
  <c r="T372" i="16" s="1"/>
  <c r="S371" i="16"/>
  <c r="T371" i="16" s="1"/>
  <c r="S370" i="16"/>
  <c r="T370" i="16" s="1"/>
  <c r="N370" i="16"/>
  <c r="S369" i="16"/>
  <c r="T369" i="16" s="1"/>
  <c r="S367" i="16"/>
  <c r="T367" i="16" s="1"/>
  <c r="N367" i="16"/>
  <c r="S366" i="16"/>
  <c r="T366" i="16" s="1"/>
  <c r="N366" i="16"/>
  <c r="S365" i="16"/>
  <c r="T365" i="16" s="1"/>
  <c r="N365" i="16"/>
  <c r="S364" i="16"/>
  <c r="T364" i="16" s="1"/>
  <c r="N364" i="16"/>
  <c r="S363" i="16"/>
  <c r="T363" i="16" s="1"/>
  <c r="S362" i="16"/>
  <c r="T362" i="16" s="1"/>
  <c r="AD361" i="16"/>
  <c r="AE361" i="16" s="1"/>
  <c r="S361" i="16"/>
  <c r="T361" i="16" s="1"/>
  <c r="S360" i="16"/>
  <c r="T360" i="16" s="1"/>
  <c r="S359" i="16"/>
  <c r="T359" i="16" s="1"/>
  <c r="N359" i="16"/>
  <c r="S358" i="16"/>
  <c r="T358" i="16" s="1"/>
  <c r="N358" i="16"/>
  <c r="AD357" i="16"/>
  <c r="AE357" i="16" s="1"/>
  <c r="S357" i="16"/>
  <c r="T357" i="16" s="1"/>
  <c r="N357" i="16"/>
  <c r="AD356" i="16"/>
  <c r="AE356" i="16" s="1"/>
  <c r="S356" i="16"/>
  <c r="N356" i="16"/>
  <c r="S355" i="16"/>
  <c r="T355" i="16" s="1"/>
  <c r="N355" i="16"/>
  <c r="S354" i="16"/>
  <c r="T354" i="16" s="1"/>
  <c r="S353" i="16"/>
  <c r="T353" i="16" s="1"/>
  <c r="S352" i="16"/>
  <c r="T352" i="16" s="1"/>
  <c r="N352" i="16"/>
  <c r="W351" i="16"/>
  <c r="S351" i="16" s="1"/>
  <c r="T351" i="16" s="1"/>
  <c r="S350" i="16"/>
  <c r="T350" i="16" s="1"/>
  <c r="S349" i="16"/>
  <c r="T349" i="16" s="1"/>
  <c r="N349" i="16"/>
  <c r="S348" i="16"/>
  <c r="T348" i="16" s="1"/>
  <c r="N348" i="16"/>
  <c r="S347" i="16"/>
  <c r="T347" i="16" s="1"/>
  <c r="S346" i="16"/>
  <c r="T346" i="16" s="1"/>
  <c r="S345" i="16"/>
  <c r="T345" i="16" s="1"/>
  <c r="N345" i="16"/>
  <c r="S344" i="16"/>
  <c r="T344" i="16" s="1"/>
  <c r="N344" i="16"/>
  <c r="S343" i="16"/>
  <c r="T343" i="16" s="1"/>
  <c r="S342" i="16"/>
  <c r="T342" i="16" s="1"/>
  <c r="S341" i="16"/>
  <c r="T341" i="16" s="1"/>
  <c r="N341" i="16"/>
  <c r="S340" i="16"/>
  <c r="T340" i="16" s="1"/>
  <c r="N340" i="16"/>
  <c r="AD339" i="16"/>
  <c r="AE339" i="16" s="1"/>
  <c r="S339" i="16"/>
  <c r="T339" i="16" s="1"/>
  <c r="N339" i="16"/>
  <c r="S338" i="16"/>
  <c r="T338" i="16" s="1"/>
  <c r="S337" i="16"/>
  <c r="T337" i="16" s="1"/>
  <c r="S336" i="16"/>
  <c r="T336" i="16" s="1"/>
  <c r="N336" i="16"/>
  <c r="S335" i="16"/>
  <c r="T335" i="16" s="1"/>
  <c r="N335" i="16"/>
  <c r="S334" i="16"/>
  <c r="T334" i="16" s="1"/>
  <c r="S333" i="16"/>
  <c r="T333" i="16" s="1"/>
  <c r="AD332" i="16"/>
  <c r="AE332" i="16" s="1"/>
  <c r="S332" i="16"/>
  <c r="T332" i="16" s="1"/>
  <c r="N332" i="16"/>
  <c r="S331" i="16"/>
  <c r="T331" i="16" s="1"/>
  <c r="S330" i="16"/>
  <c r="T330" i="16" s="1"/>
  <c r="N330" i="16"/>
  <c r="AD329" i="16"/>
  <c r="AE329" i="16" s="1"/>
  <c r="S329" i="16"/>
  <c r="T329" i="16" s="1"/>
  <c r="N329" i="16"/>
  <c r="S328" i="16"/>
  <c r="T328" i="16" s="1"/>
  <c r="S327" i="16"/>
  <c r="T327" i="16" s="1"/>
  <c r="N327" i="16"/>
  <c r="S326" i="16"/>
  <c r="T326" i="16" s="1"/>
  <c r="S325" i="16"/>
  <c r="T325" i="16" s="1"/>
  <c r="S324" i="16"/>
  <c r="T324" i="16" s="1"/>
  <c r="S323" i="16"/>
  <c r="T323" i="16" s="1"/>
  <c r="N323" i="16"/>
  <c r="S322" i="16"/>
  <c r="T322" i="16" s="1"/>
  <c r="N322" i="16"/>
  <c r="S321" i="16"/>
  <c r="T321" i="16" s="1"/>
  <c r="S320" i="16"/>
  <c r="T320" i="16" s="1"/>
  <c r="N320" i="16"/>
  <c r="S319" i="16"/>
  <c r="T319" i="16" s="1"/>
  <c r="N319" i="16"/>
  <c r="S318" i="16"/>
  <c r="T318" i="16" s="1"/>
  <c r="W317" i="16"/>
  <c r="S317" i="16" s="1"/>
  <c r="T317" i="16" s="1"/>
  <c r="N317" i="16"/>
  <c r="W316" i="16"/>
  <c r="S316" i="16" s="1"/>
  <c r="T316" i="16" s="1"/>
  <c r="AD315" i="16"/>
  <c r="AE315" i="16" s="1"/>
  <c r="S315" i="16"/>
  <c r="T315" i="16" s="1"/>
  <c r="N315" i="16"/>
  <c r="S314" i="16"/>
  <c r="T314" i="16" s="1"/>
  <c r="S313" i="16"/>
  <c r="T313" i="16" s="1"/>
  <c r="S312" i="16"/>
  <c r="T312" i="16" s="1"/>
  <c r="N312" i="16"/>
  <c r="S311" i="16"/>
  <c r="T311" i="16" s="1"/>
  <c r="N311" i="16"/>
  <c r="S310" i="16"/>
  <c r="T310" i="16" s="1"/>
  <c r="S309" i="16"/>
  <c r="T309" i="16" s="1"/>
  <c r="N309" i="16"/>
  <c r="S308" i="16"/>
  <c r="T308" i="16" s="1"/>
  <c r="N308" i="16"/>
  <c r="S307" i="16"/>
  <c r="T307" i="16" s="1"/>
  <c r="N307" i="16"/>
  <c r="S306" i="16"/>
  <c r="T306" i="16" s="1"/>
  <c r="S305" i="16"/>
  <c r="T305" i="16" s="1"/>
  <c r="S303" i="16"/>
  <c r="T303" i="16" s="1"/>
  <c r="N303" i="16"/>
  <c r="S302" i="16"/>
  <c r="T302" i="16" s="1"/>
  <c r="S301" i="16"/>
  <c r="T301" i="16" s="1"/>
  <c r="AD300" i="16"/>
  <c r="AE300" i="16" s="1"/>
  <c r="S300" i="16"/>
  <c r="T300" i="16" s="1"/>
  <c r="S299" i="16"/>
  <c r="T299" i="16" s="1"/>
  <c r="S298" i="16"/>
  <c r="T298" i="16" s="1"/>
  <c r="N298" i="16"/>
  <c r="S297" i="16"/>
  <c r="N297" i="16"/>
  <c r="S296" i="16"/>
  <c r="T296" i="16" s="1"/>
  <c r="N296" i="16"/>
  <c r="S295" i="16"/>
  <c r="T295" i="16" s="1"/>
  <c r="S294" i="16"/>
  <c r="T294" i="16" s="1"/>
  <c r="N294" i="16"/>
  <c r="S293" i="16"/>
  <c r="T293" i="16" s="1"/>
  <c r="N293" i="16"/>
  <c r="S292" i="16"/>
  <c r="T292" i="16" s="1"/>
  <c r="S291" i="16"/>
  <c r="T291" i="16" s="1"/>
  <c r="S290" i="16"/>
  <c r="T290" i="16" s="1"/>
  <c r="N290" i="16"/>
  <c r="S289" i="16"/>
  <c r="T289" i="16" s="1"/>
  <c r="N289" i="16"/>
  <c r="S288" i="16"/>
  <c r="T288" i="16" s="1"/>
  <c r="N288" i="16"/>
  <c r="S287" i="16"/>
  <c r="T287" i="16" s="1"/>
  <c r="AD286" i="16"/>
  <c r="AE286" i="16" s="1"/>
  <c r="S286" i="16"/>
  <c r="T286" i="16" s="1"/>
  <c r="S285" i="16"/>
  <c r="T285" i="16" s="1"/>
  <c r="S284" i="16"/>
  <c r="T284" i="16" s="1"/>
  <c r="N284" i="16"/>
  <c r="S283" i="16"/>
  <c r="T283" i="16" s="1"/>
  <c r="N283" i="16"/>
  <c r="S282" i="16"/>
  <c r="T282" i="16" s="1"/>
  <c r="N282" i="16"/>
  <c r="AD281" i="16"/>
  <c r="AE281" i="16" s="1"/>
  <c r="S281" i="16"/>
  <c r="T281" i="16" s="1"/>
  <c r="N281" i="16"/>
  <c r="S280" i="16"/>
  <c r="T280" i="16" s="1"/>
  <c r="N280" i="16"/>
  <c r="S279" i="16"/>
  <c r="T279" i="16" s="1"/>
  <c r="AD278" i="16"/>
  <c r="AE278" i="16" s="1"/>
  <c r="S278" i="16"/>
  <c r="T278" i="16" s="1"/>
  <c r="N278" i="16"/>
  <c r="AD277" i="16"/>
  <c r="AE277" i="16" s="1"/>
  <c r="S277" i="16"/>
  <c r="T277" i="16" s="1"/>
  <c r="N277" i="16"/>
  <c r="S276" i="16"/>
  <c r="T276" i="16" s="1"/>
  <c r="N276" i="16"/>
  <c r="S275" i="16"/>
  <c r="T275" i="16" s="1"/>
  <c r="S274" i="16"/>
  <c r="T274" i="16" s="1"/>
  <c r="N274" i="16"/>
  <c r="S273" i="16"/>
  <c r="T273" i="16" s="1"/>
  <c r="N273" i="16"/>
  <c r="S272" i="16"/>
  <c r="T272" i="16" s="1"/>
  <c r="S271" i="16"/>
  <c r="T271" i="16" s="1"/>
  <c r="S269" i="16"/>
  <c r="T269" i="16" s="1"/>
  <c r="N269" i="16"/>
  <c r="S267" i="16"/>
  <c r="T267" i="16" s="1"/>
  <c r="N267" i="16"/>
  <c r="S266" i="16"/>
  <c r="T266" i="16" s="1"/>
  <c r="S265" i="16"/>
  <c r="T265" i="16" s="1"/>
  <c r="AD264" i="16"/>
  <c r="AE264" i="16" s="1"/>
  <c r="S264" i="16"/>
  <c r="T264" i="16" s="1"/>
  <c r="AD263" i="16"/>
  <c r="AE263" i="16" s="1"/>
  <c r="S263" i="16"/>
  <c r="T263" i="16" s="1"/>
  <c r="N263" i="16"/>
  <c r="AD262" i="16"/>
  <c r="AE262" i="16" s="1"/>
  <c r="S262" i="16"/>
  <c r="T262" i="16" s="1"/>
  <c r="AD261" i="16"/>
  <c r="AE261" i="16" s="1"/>
  <c r="S261" i="16"/>
  <c r="T261" i="16" s="1"/>
  <c r="S260" i="16"/>
  <c r="T260" i="16" s="1"/>
  <c r="N260" i="16"/>
  <c r="S259" i="16"/>
  <c r="T259" i="16" s="1"/>
  <c r="N259" i="16"/>
  <c r="AD258" i="16"/>
  <c r="AE258" i="16" s="1"/>
  <c r="S258" i="16"/>
  <c r="T258" i="16" s="1"/>
  <c r="S257" i="16"/>
  <c r="T257" i="16" s="1"/>
  <c r="N257" i="16"/>
  <c r="S256" i="16"/>
  <c r="T256" i="16" s="1"/>
  <c r="N256" i="16"/>
  <c r="S255" i="16"/>
  <c r="T255" i="16" s="1"/>
  <c r="AD254" i="16"/>
  <c r="AE254" i="16" s="1"/>
  <c r="S254" i="16"/>
  <c r="T254" i="16" s="1"/>
  <c r="S253" i="16"/>
  <c r="T253" i="16" s="1"/>
  <c r="S252" i="16"/>
  <c r="T252" i="16" s="1"/>
  <c r="S251" i="16"/>
  <c r="T251" i="16" s="1"/>
  <c r="N251" i="16"/>
  <c r="S250" i="16"/>
  <c r="T250" i="16" s="1"/>
  <c r="N250" i="16"/>
  <c r="S249" i="16"/>
  <c r="T249" i="16" s="1"/>
  <c r="S248" i="16"/>
  <c r="T248" i="16" s="1"/>
  <c r="N248" i="16"/>
  <c r="S247" i="16"/>
  <c r="T247" i="16" s="1"/>
  <c r="S246" i="16"/>
  <c r="T246" i="16" s="1"/>
  <c r="AD245" i="16"/>
  <c r="AE245" i="16" s="1"/>
  <c r="S245" i="16"/>
  <c r="T245" i="16" s="1"/>
  <c r="S244" i="16"/>
  <c r="T244" i="16" s="1"/>
  <c r="S243" i="16"/>
  <c r="T243" i="16" s="1"/>
  <c r="N243" i="16"/>
  <c r="S242" i="16"/>
  <c r="T242" i="16" s="1"/>
  <c r="N242" i="16"/>
  <c r="AD240" i="16"/>
  <c r="AE240" i="16" s="1"/>
  <c r="S240" i="16"/>
  <c r="T240" i="16" s="1"/>
  <c r="S239" i="16"/>
  <c r="T239" i="16" s="1"/>
  <c r="N239" i="16"/>
  <c r="S238" i="16"/>
  <c r="T238" i="16" s="1"/>
  <c r="S237" i="16"/>
  <c r="T237" i="16" s="1"/>
  <c r="S236" i="16"/>
  <c r="T236" i="16" s="1"/>
  <c r="N236" i="16"/>
  <c r="S235" i="16"/>
  <c r="T235" i="16" s="1"/>
  <c r="N235" i="16"/>
  <c r="AD234" i="16"/>
  <c r="AE234" i="16" s="1"/>
  <c r="S234" i="16"/>
  <c r="T234" i="16" s="1"/>
  <c r="N234" i="16"/>
  <c r="AD233" i="16"/>
  <c r="AE233" i="16" s="1"/>
  <c r="S233" i="16"/>
  <c r="T233" i="16" s="1"/>
  <c r="S232" i="16"/>
  <c r="T232" i="16" s="1"/>
  <c r="N232" i="16"/>
  <c r="S231" i="16"/>
  <c r="T231" i="16" s="1"/>
  <c r="N231" i="16"/>
  <c r="S230" i="16"/>
  <c r="T230" i="16" s="1"/>
  <c r="N230" i="16"/>
  <c r="S229" i="16"/>
  <c r="T229" i="16" s="1"/>
  <c r="N229" i="16"/>
  <c r="S228" i="16"/>
  <c r="T228" i="16" s="1"/>
  <c r="S227" i="16"/>
  <c r="T227" i="16" s="1"/>
  <c r="N227" i="16"/>
  <c r="S226" i="16"/>
  <c r="T226" i="16" s="1"/>
  <c r="N226" i="16"/>
  <c r="S225" i="16"/>
  <c r="T225" i="16" s="1"/>
  <c r="N225" i="16"/>
  <c r="S224" i="16"/>
  <c r="T224" i="16" s="1"/>
  <c r="N224" i="16"/>
  <c r="S223" i="16"/>
  <c r="T223" i="16" s="1"/>
  <c r="S222" i="16"/>
  <c r="T222" i="16" s="1"/>
  <c r="S221" i="16"/>
  <c r="T221" i="16" s="1"/>
  <c r="N221" i="16"/>
  <c r="S220" i="16"/>
  <c r="T220" i="16" s="1"/>
  <c r="S219" i="16"/>
  <c r="T219" i="16" s="1"/>
  <c r="S218" i="16"/>
  <c r="T218" i="16" s="1"/>
  <c r="N218" i="16"/>
  <c r="S217" i="16"/>
  <c r="T217" i="16" s="1"/>
  <c r="N217" i="16"/>
  <c r="S216" i="16"/>
  <c r="T216" i="16" s="1"/>
  <c r="S215" i="16"/>
  <c r="T215" i="16" s="1"/>
  <c r="S214" i="16"/>
  <c r="T214" i="16" s="1"/>
  <c r="S213" i="16"/>
  <c r="T213" i="16" s="1"/>
  <c r="N213" i="16"/>
  <c r="S212" i="16"/>
  <c r="T212" i="16" s="1"/>
  <c r="S211" i="16"/>
  <c r="T211" i="16" s="1"/>
  <c r="N211" i="16"/>
  <c r="S210" i="16"/>
  <c r="T210" i="16" s="1"/>
  <c r="N210" i="16"/>
  <c r="S209" i="16"/>
  <c r="T209" i="16" s="1"/>
  <c r="S208" i="16"/>
  <c r="T208" i="16" s="1"/>
  <c r="N208" i="16"/>
  <c r="S207" i="16"/>
  <c r="T207" i="16" s="1"/>
  <c r="S206" i="16"/>
  <c r="T206" i="16" s="1"/>
  <c r="S205" i="16"/>
  <c r="T205" i="16" s="1"/>
  <c r="S204" i="16"/>
  <c r="T204" i="16" s="1"/>
  <c r="S203" i="16"/>
  <c r="T203" i="16" s="1"/>
  <c r="S202" i="16"/>
  <c r="T202" i="16" s="1"/>
  <c r="S201" i="16"/>
  <c r="T201" i="16" s="1"/>
  <c r="S200" i="16"/>
  <c r="T200" i="16" s="1"/>
  <c r="N200" i="16"/>
  <c r="S199" i="16"/>
  <c r="T199" i="16" s="1"/>
  <c r="S198" i="16"/>
  <c r="T198" i="16" s="1"/>
  <c r="S197" i="16"/>
  <c r="T197" i="16" s="1"/>
  <c r="S196" i="16"/>
  <c r="T196" i="16" s="1"/>
  <c r="S195" i="16"/>
  <c r="T195" i="16" s="1"/>
  <c r="S194" i="16"/>
  <c r="T194" i="16" s="1"/>
  <c r="AD193" i="16"/>
  <c r="AE193" i="16" s="1"/>
  <c r="S193" i="16"/>
  <c r="T193" i="16" s="1"/>
  <c r="S192" i="16"/>
  <c r="T192" i="16" s="1"/>
  <c r="S191" i="16"/>
  <c r="T191" i="16" s="1"/>
  <c r="S190" i="16"/>
  <c r="T190" i="16" s="1"/>
  <c r="S189" i="16"/>
  <c r="T189" i="16" s="1"/>
  <c r="N189" i="16"/>
  <c r="AD188" i="16"/>
  <c r="AE188" i="16" s="1"/>
  <c r="S188" i="16"/>
  <c r="T188" i="16" s="1"/>
  <c r="S187" i="16"/>
  <c r="T187" i="16" s="1"/>
  <c r="N187" i="16"/>
  <c r="AD186" i="16"/>
  <c r="AE186" i="16" s="1"/>
  <c r="S186" i="16"/>
  <c r="T186" i="16" s="1"/>
  <c r="S185" i="16"/>
  <c r="T185" i="16" s="1"/>
  <c r="N185" i="16"/>
  <c r="U184" i="16"/>
  <c r="S184" i="16" s="1"/>
  <c r="T184" i="16" s="1"/>
  <c r="S182" i="16"/>
  <c r="T182" i="16" s="1"/>
  <c r="S181" i="16"/>
  <c r="T181" i="16" s="1"/>
  <c r="S180" i="16"/>
  <c r="T180" i="16" s="1"/>
  <c r="S178" i="16"/>
  <c r="T178" i="16" s="1"/>
  <c r="N178" i="16"/>
  <c r="S177" i="16"/>
  <c r="T177" i="16" s="1"/>
  <c r="S175" i="16"/>
  <c r="T175" i="16" s="1"/>
  <c r="S174" i="16"/>
  <c r="T174" i="16" s="1"/>
  <c r="S173" i="16"/>
  <c r="T173" i="16" s="1"/>
  <c r="S172" i="16"/>
  <c r="T172" i="16" s="1"/>
  <c r="S171" i="16"/>
  <c r="T171" i="16" s="1"/>
  <c r="S170" i="16"/>
  <c r="T170" i="16" s="1"/>
  <c r="N170" i="16"/>
  <c r="S169" i="16"/>
  <c r="T169" i="16" s="1"/>
  <c r="N169" i="16"/>
  <c r="S168" i="16"/>
  <c r="T168" i="16" s="1"/>
  <c r="N168" i="16"/>
  <c r="S167" i="16"/>
  <c r="T167" i="16" s="1"/>
  <c r="S166" i="16"/>
  <c r="T166" i="16" s="1"/>
  <c r="S164" i="16"/>
  <c r="T164" i="16" s="1"/>
  <c r="S162" i="16"/>
  <c r="T162" i="16" s="1"/>
  <c r="S161" i="16"/>
  <c r="T161" i="16" s="1"/>
  <c r="S160" i="16"/>
  <c r="T160" i="16" s="1"/>
  <c r="N160" i="16"/>
  <c r="S159" i="16"/>
  <c r="T159" i="16" s="1"/>
  <c r="S158" i="16"/>
  <c r="T158" i="16" s="1"/>
  <c r="AD157" i="16"/>
  <c r="AE157" i="16" s="1"/>
  <c r="S157" i="16"/>
  <c r="T157" i="16" s="1"/>
  <c r="AD156" i="16"/>
  <c r="AE156" i="16" s="1"/>
  <c r="S156" i="16"/>
  <c r="T156" i="16" s="1"/>
  <c r="N156" i="16"/>
  <c r="W155" i="16"/>
  <c r="S155" i="16" s="1"/>
  <c r="T155" i="16" s="1"/>
  <c r="S154" i="16"/>
  <c r="T154" i="16" s="1"/>
  <c r="S153" i="16"/>
  <c r="T153" i="16" s="1"/>
  <c r="S152" i="16"/>
  <c r="T152" i="16" s="1"/>
  <c r="S150" i="16"/>
  <c r="T150" i="16" s="1"/>
  <c r="S149" i="16"/>
  <c r="T149" i="16" s="1"/>
  <c r="S148" i="16"/>
  <c r="T148" i="16" s="1"/>
  <c r="S147" i="16"/>
  <c r="T147" i="16" s="1"/>
  <c r="S146" i="16"/>
  <c r="T146" i="16" s="1"/>
  <c r="S145" i="16"/>
  <c r="T145" i="16" s="1"/>
  <c r="S144" i="16"/>
  <c r="T144" i="16" s="1"/>
  <c r="S143" i="16"/>
  <c r="T143" i="16" s="1"/>
  <c r="N143" i="16"/>
  <c r="S142" i="16"/>
  <c r="T142" i="16" s="1"/>
  <c r="N142" i="16"/>
  <c r="S141" i="16"/>
  <c r="T141" i="16" s="1"/>
  <c r="S140" i="16"/>
  <c r="T140" i="16" s="1"/>
  <c r="N140" i="16"/>
  <c r="S139" i="16"/>
  <c r="T139" i="16" s="1"/>
  <c r="S138" i="16"/>
  <c r="T138" i="16" s="1"/>
  <c r="S137" i="16"/>
  <c r="T137" i="16" s="1"/>
  <c r="S136" i="16"/>
  <c r="T136" i="16" s="1"/>
  <c r="S135" i="16"/>
  <c r="T135" i="16" s="1"/>
  <c r="N135" i="16"/>
  <c r="S134" i="16"/>
  <c r="T134" i="16" s="1"/>
  <c r="S133" i="16"/>
  <c r="T133" i="16" s="1"/>
  <c r="S132" i="16"/>
  <c r="T132" i="16" s="1"/>
  <c r="S131" i="16"/>
  <c r="T131" i="16" s="1"/>
  <c r="N131" i="16"/>
  <c r="S130" i="16"/>
  <c r="T130" i="16" s="1"/>
  <c r="S129" i="16"/>
  <c r="T129" i="16" s="1"/>
  <c r="S128" i="16"/>
  <c r="T128" i="16" s="1"/>
  <c r="S127" i="16"/>
  <c r="T127" i="16" s="1"/>
  <c r="N127" i="16"/>
  <c r="S126" i="16"/>
  <c r="T126" i="16" s="1"/>
  <c r="AD125" i="16"/>
  <c r="AE125" i="16" s="1"/>
  <c r="U125" i="16"/>
  <c r="S125" i="16" s="1"/>
  <c r="T125" i="16" s="1"/>
  <c r="S124" i="16"/>
  <c r="T124" i="16" s="1"/>
  <c r="AD122" i="16"/>
  <c r="AE122" i="16" s="1"/>
  <c r="S122" i="16"/>
  <c r="T122" i="16" s="1"/>
  <c r="N122" i="16"/>
  <c r="S121" i="16"/>
  <c r="T121" i="16" s="1"/>
  <c r="S120" i="16"/>
  <c r="T120" i="16" s="1"/>
  <c r="AD119" i="16"/>
  <c r="AE119" i="16" s="1"/>
  <c r="S119" i="16"/>
  <c r="T119" i="16" s="1"/>
  <c r="AE118" i="16"/>
  <c r="W118" i="16"/>
  <c r="S118" i="16" s="1"/>
  <c r="T118" i="16" s="1"/>
  <c r="N118" i="16"/>
  <c r="U117" i="16"/>
  <c r="S117" i="16" s="1"/>
  <c r="T117" i="16" s="1"/>
  <c r="AD116" i="16"/>
  <c r="AE116" i="16" s="1"/>
  <c r="U116" i="16"/>
  <c r="S116" i="16" s="1"/>
  <c r="T116" i="16" s="1"/>
  <c r="S115" i="16"/>
  <c r="T115" i="16" s="1"/>
  <c r="S114" i="16"/>
  <c r="T114" i="16" s="1"/>
  <c r="S113" i="16"/>
  <c r="T113" i="16" s="1"/>
  <c r="N113" i="16"/>
  <c r="S112" i="16"/>
  <c r="T112" i="16" s="1"/>
  <c r="S111" i="16"/>
  <c r="T111" i="16" s="1"/>
  <c r="S110" i="16"/>
  <c r="T110" i="16" s="1"/>
  <c r="N110" i="16"/>
  <c r="S109" i="16"/>
  <c r="T109" i="16" s="1"/>
  <c r="U108" i="16"/>
  <c r="S108" i="16" s="1"/>
  <c r="T108" i="16" s="1"/>
  <c r="N108" i="16"/>
  <c r="S107" i="16"/>
  <c r="T107" i="16" s="1"/>
  <c r="S106" i="16"/>
  <c r="T106" i="16" s="1"/>
  <c r="S105" i="16"/>
  <c r="T105" i="16" s="1"/>
  <c r="S104" i="16"/>
  <c r="T104" i="16" s="1"/>
  <c r="N104" i="16"/>
  <c r="AD103" i="16"/>
  <c r="AE103" i="16" s="1"/>
  <c r="S103" i="16"/>
  <c r="T103" i="16" s="1"/>
  <c r="AD102" i="16"/>
  <c r="AE102" i="16" s="1"/>
  <c r="S102" i="16"/>
  <c r="T102" i="16" s="1"/>
  <c r="N102" i="16"/>
  <c r="AE101" i="16"/>
  <c r="W101" i="16"/>
  <c r="S101" i="16" s="1"/>
  <c r="T101" i="16" s="1"/>
  <c r="S100" i="16"/>
  <c r="T100" i="16" s="1"/>
  <c r="S99" i="16"/>
  <c r="T99" i="16" s="1"/>
  <c r="AD98" i="16"/>
  <c r="AE98" i="16" s="1"/>
  <c r="S98" i="16"/>
  <c r="T98" i="16" s="1"/>
  <c r="S97" i="16"/>
  <c r="T97" i="16" s="1"/>
  <c r="S96" i="16"/>
  <c r="T96" i="16" s="1"/>
  <c r="S95" i="16"/>
  <c r="T95" i="16" s="1"/>
  <c r="N95" i="16"/>
  <c r="S94" i="16"/>
  <c r="T94" i="16" s="1"/>
  <c r="N94" i="16"/>
  <c r="W93" i="16"/>
  <c r="S93" i="16" s="1"/>
  <c r="T93" i="16" s="1"/>
  <c r="N93" i="16"/>
  <c r="AD92" i="16"/>
  <c r="AE92" i="16" s="1"/>
  <c r="S92" i="16"/>
  <c r="T92" i="16" s="1"/>
  <c r="AD91" i="16"/>
  <c r="AE91" i="16" s="1"/>
  <c r="S91" i="16"/>
  <c r="T91" i="16" s="1"/>
  <c r="S90" i="16"/>
  <c r="T90" i="16" s="1"/>
  <c r="AE89" i="16"/>
  <c r="W89" i="16"/>
  <c r="S89" i="16" s="1"/>
  <c r="T89" i="16" s="1"/>
  <c r="S88" i="16"/>
  <c r="T88" i="16" s="1"/>
  <c r="AE87" i="16"/>
  <c r="W87" i="16"/>
  <c r="S87" i="16" s="1"/>
  <c r="T87" i="16" s="1"/>
  <c r="AD86" i="16"/>
  <c r="AE86" i="16" s="1"/>
  <c r="S86" i="16"/>
  <c r="T86" i="16" s="1"/>
  <c r="S85" i="16"/>
  <c r="T85" i="16" s="1"/>
  <c r="AE84" i="16"/>
  <c r="W84" i="16"/>
  <c r="S84" i="16" s="1"/>
  <c r="T84" i="16" s="1"/>
  <c r="S83" i="16"/>
  <c r="T83" i="16" s="1"/>
  <c r="W82" i="16"/>
  <c r="S82" i="16" s="1"/>
  <c r="T82" i="16" s="1"/>
  <c r="N82" i="16"/>
  <c r="S81" i="16"/>
  <c r="T81" i="16" s="1"/>
  <c r="S80" i="16"/>
  <c r="T80" i="16" s="1"/>
  <c r="AD79" i="16"/>
  <c r="AE79" i="16" s="1"/>
  <c r="S79" i="16"/>
  <c r="T79" i="16" s="1"/>
  <c r="S78" i="16"/>
  <c r="T78" i="16" s="1"/>
  <c r="S77" i="16"/>
  <c r="T77" i="16" s="1"/>
  <c r="S76" i="16"/>
  <c r="T76" i="16" s="1"/>
  <c r="S75" i="16"/>
  <c r="T75" i="16" s="1"/>
  <c r="S74" i="16"/>
  <c r="T74" i="16" s="1"/>
  <c r="S73" i="16"/>
  <c r="T73" i="16" s="1"/>
  <c r="N73" i="16"/>
  <c r="AE72" i="16"/>
  <c r="W72" i="16"/>
  <c r="S72" i="16" s="1"/>
  <c r="T72" i="16" s="1"/>
  <c r="S71" i="16"/>
  <c r="T71" i="16" s="1"/>
  <c r="S69" i="16"/>
  <c r="T69" i="16" s="1"/>
  <c r="S68" i="16"/>
  <c r="T68" i="16" s="1"/>
  <c r="AD67" i="16"/>
  <c r="AE67" i="16" s="1"/>
  <c r="S67" i="16"/>
  <c r="T67" i="16" s="1"/>
  <c r="S66" i="16"/>
  <c r="T66" i="16" s="1"/>
  <c r="S65" i="16"/>
  <c r="T65" i="16" s="1"/>
  <c r="AD64" i="16"/>
  <c r="AE64" i="16" s="1"/>
  <c r="S64" i="16"/>
  <c r="T64" i="16" s="1"/>
  <c r="S63" i="16"/>
  <c r="T63" i="16" s="1"/>
  <c r="S62" i="16"/>
  <c r="T62" i="16" s="1"/>
  <c r="AD61" i="16"/>
  <c r="AE61" i="16" s="1"/>
  <c r="S61" i="16"/>
  <c r="T61" i="16" s="1"/>
  <c r="U60" i="16"/>
  <c r="S60" i="16" s="1"/>
  <c r="T60" i="16" s="1"/>
  <c r="S59" i="16"/>
  <c r="T59" i="16" s="1"/>
  <c r="N59" i="16"/>
  <c r="AD58" i="16"/>
  <c r="AE58" i="16" s="1"/>
  <c r="S58" i="16"/>
  <c r="T58" i="16" s="1"/>
  <c r="AD57" i="16"/>
  <c r="AE57" i="16" s="1"/>
  <c r="S57" i="16"/>
  <c r="T57" i="16" s="1"/>
  <c r="S56" i="16"/>
  <c r="T56" i="16" s="1"/>
  <c r="S55" i="16"/>
  <c r="T55" i="16" s="1"/>
  <c r="N55" i="16"/>
  <c r="AD54" i="16"/>
  <c r="AE54" i="16" s="1"/>
  <c r="S54" i="16"/>
  <c r="T54" i="16" s="1"/>
  <c r="S53" i="16"/>
  <c r="T53" i="16" s="1"/>
  <c r="N53" i="16"/>
  <c r="S52" i="16"/>
  <c r="T52" i="16" s="1"/>
  <c r="N52" i="16"/>
  <c r="S51" i="16"/>
  <c r="T51" i="16" s="1"/>
  <c r="N51" i="16"/>
  <c r="S50" i="16"/>
  <c r="T50" i="16" s="1"/>
  <c r="S49" i="16"/>
  <c r="T49" i="16" s="1"/>
  <c r="S48" i="16"/>
  <c r="T48" i="16" s="1"/>
  <c r="S47" i="16"/>
  <c r="T47" i="16" s="1"/>
  <c r="S46" i="16"/>
  <c r="T46" i="16" s="1"/>
  <c r="S45" i="16"/>
  <c r="T45" i="16" s="1"/>
  <c r="N45" i="16"/>
  <c r="S44" i="16"/>
  <c r="T44" i="16" s="1"/>
  <c r="AD43" i="16"/>
  <c r="AE43" i="16" s="1"/>
  <c r="S43" i="16"/>
  <c r="T43" i="16" s="1"/>
  <c r="N43" i="16"/>
  <c r="S42" i="16"/>
  <c r="T42" i="16" s="1"/>
  <c r="AD41" i="16"/>
  <c r="AE41" i="16" s="1"/>
  <c r="S41" i="16"/>
  <c r="T41" i="16" s="1"/>
  <c r="N41" i="16"/>
  <c r="AD40" i="16"/>
  <c r="AE40" i="16" s="1"/>
  <c r="S40" i="16"/>
  <c r="T40" i="16" s="1"/>
  <c r="AD39" i="16"/>
  <c r="AE39" i="16" s="1"/>
  <c r="S39" i="16"/>
  <c r="T39" i="16" s="1"/>
  <c r="AE38" i="16"/>
  <c r="W38" i="16"/>
  <c r="S38" i="16" s="1"/>
  <c r="T38" i="16" s="1"/>
  <c r="S37" i="16"/>
  <c r="T37" i="16" s="1"/>
  <c r="S36" i="16"/>
  <c r="T36" i="16" s="1"/>
  <c r="S35" i="16"/>
  <c r="T35" i="16" s="1"/>
  <c r="S34" i="16"/>
  <c r="T34" i="16" s="1"/>
  <c r="S33" i="16"/>
  <c r="T33" i="16" s="1"/>
  <c r="S31" i="16"/>
  <c r="T31" i="16" s="1"/>
  <c r="N31" i="16"/>
  <c r="S30" i="16"/>
  <c r="T30" i="16" s="1"/>
  <c r="S29" i="16"/>
  <c r="T29" i="16" s="1"/>
  <c r="S28" i="16"/>
  <c r="T28" i="16" s="1"/>
  <c r="S27" i="16"/>
  <c r="T27" i="16" s="1"/>
  <c r="S26" i="16"/>
  <c r="T26" i="16" s="1"/>
  <c r="S25" i="16"/>
  <c r="T25" i="16" s="1"/>
  <c r="S24" i="16"/>
  <c r="T24" i="16" s="1"/>
  <c r="N24" i="16"/>
  <c r="S23" i="16"/>
  <c r="T23" i="16" s="1"/>
  <c r="N23" i="16"/>
  <c r="S22" i="16"/>
  <c r="T22" i="16" s="1"/>
  <c r="S21" i="16"/>
  <c r="T21" i="16" s="1"/>
  <c r="S20" i="16"/>
  <c r="T20" i="16" s="1"/>
  <c r="S19" i="16"/>
  <c r="T19" i="16" s="1"/>
  <c r="N19" i="16"/>
  <c r="S18" i="16"/>
  <c r="T18" i="16" s="1"/>
  <c r="S17" i="16"/>
  <c r="T17" i="16" s="1"/>
  <c r="AE16" i="16"/>
  <c r="W16" i="16"/>
  <c r="S16" i="16" s="1"/>
  <c r="T16" i="16" s="1"/>
  <c r="S15" i="16"/>
  <c r="T15" i="16" s="1"/>
  <c r="S14" i="16"/>
  <c r="T14" i="16" s="1"/>
  <c r="S13" i="16"/>
  <c r="T13" i="16" s="1"/>
  <c r="N13" i="16"/>
  <c r="S12" i="16"/>
  <c r="T12" i="16" s="1"/>
  <c r="N12" i="16"/>
  <c r="S11" i="16"/>
  <c r="T11" i="16" s="1"/>
  <c r="N11" i="16"/>
  <c r="S10" i="16"/>
  <c r="T10" i="16" s="1"/>
  <c r="S9" i="16"/>
  <c r="T9" i="16" s="1"/>
  <c r="S8" i="16"/>
  <c r="T8" i="16" s="1"/>
  <c r="S7" i="16"/>
  <c r="T7" i="16" s="1"/>
  <c r="S6" i="16"/>
  <c r="T6" i="16" s="1"/>
  <c r="N126" i="16" l="1"/>
  <c r="P126" i="16"/>
  <c r="S1647" i="16"/>
  <c r="T1647" i="16" s="1"/>
  <c r="S1248" i="16"/>
  <c r="T1248" i="16" s="1"/>
  <c r="S1729" i="16"/>
  <c r="T1729" i="16" s="1"/>
  <c r="P1612" i="16"/>
  <c r="N1612" i="16"/>
  <c r="Q1612" i="16" s="1"/>
  <c r="P1622" i="16"/>
  <c r="N1622" i="16"/>
  <c r="Q1622" i="16" s="1"/>
  <c r="P1630" i="16"/>
  <c r="N1630" i="16"/>
  <c r="Q1630" i="16" s="1"/>
  <c r="P1651" i="16"/>
  <c r="N1651" i="16"/>
  <c r="Q1651" i="16" s="1"/>
  <c r="P1830" i="16"/>
  <c r="N1830" i="16"/>
  <c r="Q1830" i="16" s="1"/>
  <c r="P1862" i="16"/>
  <c r="N1862" i="16"/>
  <c r="Q1862" i="16" s="1"/>
  <c r="P1878" i="16"/>
  <c r="N1878" i="16"/>
  <c r="Q1878" i="16" s="1"/>
  <c r="P40" i="16"/>
  <c r="N40" i="16"/>
  <c r="Q40" i="16" s="1"/>
  <c r="P61" i="16"/>
  <c r="N61" i="16"/>
  <c r="Q61" i="16" s="1"/>
  <c r="P77" i="16"/>
  <c r="N77" i="16"/>
  <c r="Q77" i="16" s="1"/>
  <c r="P99" i="16"/>
  <c r="N99" i="16"/>
  <c r="Q99" i="16" s="1"/>
  <c r="P130" i="16"/>
  <c r="N130" i="16"/>
  <c r="Q130" i="16" s="1"/>
  <c r="P201" i="16"/>
  <c r="N201" i="16"/>
  <c r="Q201" i="16" s="1"/>
  <c r="P209" i="16"/>
  <c r="N209" i="16"/>
  <c r="Q209" i="16" s="1"/>
  <c r="P233" i="16"/>
  <c r="N233" i="16"/>
  <c r="Q233" i="16" s="1"/>
  <c r="P240" i="16"/>
  <c r="N240" i="16"/>
  <c r="Q240" i="16" s="1"/>
  <c r="P253" i="16"/>
  <c r="N253" i="16"/>
  <c r="Q253" i="16" s="1"/>
  <c r="P300" i="16"/>
  <c r="N300" i="16"/>
  <c r="Q300" i="16" s="1"/>
  <c r="P326" i="16"/>
  <c r="N326" i="16"/>
  <c r="Q326" i="16" s="1"/>
  <c r="P337" i="16"/>
  <c r="N337" i="16"/>
  <c r="Q337" i="16" s="1"/>
  <c r="P375" i="16"/>
  <c r="N375" i="16"/>
  <c r="Q375" i="16" s="1"/>
  <c r="P435" i="16"/>
  <c r="N435" i="16"/>
  <c r="Q435" i="16" s="1"/>
  <c r="P449" i="16"/>
  <c r="N449" i="16"/>
  <c r="Q449" i="16" s="1"/>
  <c r="P477" i="16"/>
  <c r="N477" i="16"/>
  <c r="Q477" i="16" s="1"/>
  <c r="P494" i="16"/>
  <c r="N494" i="16"/>
  <c r="Q494" i="16" s="1"/>
  <c r="P634" i="16"/>
  <c r="N634" i="16"/>
  <c r="Q634" i="16" s="1"/>
  <c r="P808" i="16"/>
  <c r="N808" i="16"/>
  <c r="Q808" i="16" s="1"/>
  <c r="P832" i="16"/>
  <c r="N832" i="16"/>
  <c r="Q832" i="16" s="1"/>
  <c r="P841" i="16"/>
  <c r="N841" i="16"/>
  <c r="Q841" i="16" s="1"/>
  <c r="P845" i="16"/>
  <c r="N845" i="16"/>
  <c r="Q845" i="16" s="1"/>
  <c r="P880" i="16"/>
  <c r="N880" i="16"/>
  <c r="Q880" i="16" s="1"/>
  <c r="P888" i="16"/>
  <c r="N888" i="16"/>
  <c r="Q888" i="16" s="1"/>
  <c r="P948" i="16"/>
  <c r="N948" i="16"/>
  <c r="Q948" i="16" s="1"/>
  <c r="P990" i="16"/>
  <c r="N990" i="16"/>
  <c r="Q990" i="16" s="1"/>
  <c r="P1005" i="16"/>
  <c r="N1005" i="16"/>
  <c r="Q1005" i="16" s="1"/>
  <c r="P1007" i="16"/>
  <c r="N1007" i="16"/>
  <c r="Q1007" i="16" s="1"/>
  <c r="P1017" i="16"/>
  <c r="N1017" i="16"/>
  <c r="Q1017" i="16" s="1"/>
  <c r="P1019" i="16"/>
  <c r="N1019" i="16"/>
  <c r="Q1019" i="16" s="1"/>
  <c r="P1047" i="16"/>
  <c r="N1047" i="16"/>
  <c r="Q1047" i="16" s="1"/>
  <c r="P1049" i="16"/>
  <c r="N1049" i="16"/>
  <c r="Q1049" i="16" s="1"/>
  <c r="P1055" i="16"/>
  <c r="N1055" i="16"/>
  <c r="Q1055" i="16" s="1"/>
  <c r="P1098" i="16"/>
  <c r="N1098" i="16"/>
  <c r="Q1098" i="16" s="1"/>
  <c r="P1103" i="16"/>
  <c r="N1103" i="16"/>
  <c r="Q1103" i="16" s="1"/>
  <c r="P1139" i="16"/>
  <c r="N1139" i="16"/>
  <c r="Q1139" i="16" s="1"/>
  <c r="P1149" i="16"/>
  <c r="N1149" i="16"/>
  <c r="Q1149" i="16" s="1"/>
  <c r="P1161" i="16"/>
  <c r="N1161" i="16"/>
  <c r="Q1161" i="16" s="1"/>
  <c r="P1175" i="16"/>
  <c r="N1175" i="16"/>
  <c r="Q1175" i="16" s="1"/>
  <c r="P1179" i="16"/>
  <c r="N1179" i="16"/>
  <c r="Q1179" i="16" s="1"/>
  <c r="P1218" i="16"/>
  <c r="N1218" i="16"/>
  <c r="Q1218" i="16" s="1"/>
  <c r="P1226" i="16"/>
  <c r="N1226" i="16"/>
  <c r="Q1226" i="16" s="1"/>
  <c r="P1252" i="16"/>
  <c r="N1252" i="16"/>
  <c r="Q1252" i="16" s="1"/>
  <c r="P1294" i="16"/>
  <c r="N1294" i="16"/>
  <c r="Q1294" i="16" s="1"/>
  <c r="P1323" i="16"/>
  <c r="N1323" i="16"/>
  <c r="Q1323" i="16" s="1"/>
  <c r="P1392" i="16"/>
  <c r="N1392" i="16"/>
  <c r="Q1392" i="16" s="1"/>
  <c r="P1396" i="16"/>
  <c r="N1396" i="16"/>
  <c r="Q1396" i="16" s="1"/>
  <c r="P1450" i="16"/>
  <c r="N1450" i="16"/>
  <c r="Q1450" i="16" s="1"/>
  <c r="P1454" i="16"/>
  <c r="N1454" i="16"/>
  <c r="Q1454" i="16" s="1"/>
  <c r="P1458" i="16"/>
  <c r="N1458" i="16"/>
  <c r="Q1458" i="16" s="1"/>
  <c r="P1462" i="16"/>
  <c r="N1462" i="16"/>
  <c r="Q1462" i="16" s="1"/>
  <c r="P1466" i="16"/>
  <c r="N1466" i="16"/>
  <c r="Q1466" i="16" s="1"/>
  <c r="P1470" i="16"/>
  <c r="N1470" i="16"/>
  <c r="Q1470" i="16" s="1"/>
  <c r="P1478" i="16"/>
  <c r="N1478" i="16"/>
  <c r="Q1478" i="16" s="1"/>
  <c r="P1486" i="16"/>
  <c r="N1486" i="16"/>
  <c r="Q1486" i="16" s="1"/>
  <c r="P1490" i="16"/>
  <c r="N1490" i="16"/>
  <c r="Q1490" i="16" s="1"/>
  <c r="P1515" i="16"/>
  <c r="N1515" i="16"/>
  <c r="Q1515" i="16" s="1"/>
  <c r="P1519" i="16"/>
  <c r="N1519" i="16"/>
  <c r="Q1519" i="16" s="1"/>
  <c r="P1531" i="16"/>
  <c r="N1531" i="16"/>
  <c r="Q1531" i="16" s="1"/>
  <c r="P1543" i="16"/>
  <c r="N1543" i="16"/>
  <c r="Q1543" i="16" s="1"/>
  <c r="P1551" i="16"/>
  <c r="N1551" i="16"/>
  <c r="Q1551" i="16" s="1"/>
  <c r="P1570" i="16"/>
  <c r="N1570" i="16"/>
  <c r="Q1570" i="16" s="1"/>
  <c r="P1580" i="16"/>
  <c r="N1580" i="16"/>
  <c r="P1583" i="16"/>
  <c r="N1583" i="16"/>
  <c r="Q1583" i="16" s="1"/>
  <c r="P1640" i="16"/>
  <c r="N1640" i="16"/>
  <c r="Q1640" i="16" s="1"/>
  <c r="P1642" i="16"/>
  <c r="N1642" i="16"/>
  <c r="Q1642" i="16" s="1"/>
  <c r="P1644" i="16"/>
  <c r="N1644" i="16"/>
  <c r="Q1644" i="16" s="1"/>
  <c r="P1647" i="16"/>
  <c r="N1647" i="16"/>
  <c r="Q1647" i="16" s="1"/>
  <c r="P1648" i="16"/>
  <c r="N1648" i="16"/>
  <c r="Q1648" i="16" s="1"/>
  <c r="P1659" i="16"/>
  <c r="N1659" i="16"/>
  <c r="Q1659" i="16" s="1"/>
  <c r="P1661" i="16"/>
  <c r="N1661" i="16"/>
  <c r="Q1661" i="16" s="1"/>
  <c r="P1663" i="16"/>
  <c r="N1663" i="16"/>
  <c r="Q1663" i="16" s="1"/>
  <c r="P1670" i="16"/>
  <c r="N1670" i="16"/>
  <c r="Q1670" i="16" s="1"/>
  <c r="P1674" i="16"/>
  <c r="N1674" i="16"/>
  <c r="Q1674" i="16" s="1"/>
  <c r="P1678" i="16"/>
  <c r="N1678" i="16"/>
  <c r="Q1678" i="16" s="1"/>
  <c r="P1683" i="16"/>
  <c r="N1683" i="16"/>
  <c r="Q1683" i="16" s="1"/>
  <c r="P1714" i="16"/>
  <c r="N1714" i="16"/>
  <c r="Q1714" i="16" s="1"/>
  <c r="P1716" i="16"/>
  <c r="N1716" i="16"/>
  <c r="Q1716" i="16" s="1"/>
  <c r="P1719" i="16"/>
  <c r="N1719" i="16"/>
  <c r="Q1719" i="16" s="1"/>
  <c r="P1721" i="16"/>
  <c r="N1721" i="16"/>
  <c r="Q1721" i="16" s="1"/>
  <c r="P1723" i="16"/>
  <c r="N1723" i="16"/>
  <c r="Q1723" i="16" s="1"/>
  <c r="P1725" i="16"/>
  <c r="N1725" i="16"/>
  <c r="Q1725" i="16" s="1"/>
  <c r="P1727" i="16"/>
  <c r="N1727" i="16"/>
  <c r="Q1727" i="16" s="1"/>
  <c r="P1729" i="16"/>
  <c r="N1729" i="16"/>
  <c r="Q1729" i="16" s="1"/>
  <c r="P1740" i="16"/>
  <c r="N1740" i="16"/>
  <c r="Q1740" i="16" s="1"/>
  <c r="P1744" i="16"/>
  <c r="N1744" i="16"/>
  <c r="Q1744" i="16" s="1"/>
  <c r="P1748" i="16"/>
  <c r="N1748" i="16"/>
  <c r="Q1748" i="16" s="1"/>
  <c r="P1750" i="16"/>
  <c r="N1750" i="16"/>
  <c r="Q1750" i="16" s="1"/>
  <c r="P1753" i="16"/>
  <c r="N1753" i="16"/>
  <c r="Q1753" i="16" s="1"/>
  <c r="P1768" i="16"/>
  <c r="N1768" i="16"/>
  <c r="Q1768" i="16" s="1"/>
  <c r="P1772" i="16"/>
  <c r="N1772" i="16"/>
  <c r="Q1772" i="16" s="1"/>
  <c r="P1785" i="16"/>
  <c r="N1785" i="16"/>
  <c r="Q1785" i="16" s="1"/>
  <c r="P1791" i="16"/>
  <c r="N1791" i="16"/>
  <c r="Q1791" i="16" s="1"/>
  <c r="P1934" i="16"/>
  <c r="N1934" i="16"/>
  <c r="Q1934" i="16" s="1"/>
  <c r="P21" i="16"/>
  <c r="N21" i="16"/>
  <c r="Q21" i="16" s="1"/>
  <c r="P46" i="16"/>
  <c r="N46" i="16"/>
  <c r="Q46" i="16" s="1"/>
  <c r="P50" i="16"/>
  <c r="N50" i="16"/>
  <c r="Q50" i="16" s="1"/>
  <c r="P54" i="16"/>
  <c r="N54" i="16"/>
  <c r="Q54" i="16" s="1"/>
  <c r="P64" i="16"/>
  <c r="N64" i="16"/>
  <c r="Q64" i="16" s="1"/>
  <c r="P72" i="16"/>
  <c r="N72" i="16"/>
  <c r="Q72" i="16" s="1"/>
  <c r="P87" i="16"/>
  <c r="N87" i="16"/>
  <c r="Q87" i="16" s="1"/>
  <c r="P97" i="16"/>
  <c r="N97" i="16"/>
  <c r="Q97" i="16" s="1"/>
  <c r="P105" i="16"/>
  <c r="N105" i="16"/>
  <c r="Q105" i="16" s="1"/>
  <c r="P116" i="16"/>
  <c r="N116" i="16"/>
  <c r="Q116" i="16" s="1"/>
  <c r="P119" i="16"/>
  <c r="N119" i="16"/>
  <c r="Q119" i="16" s="1"/>
  <c r="P139" i="16"/>
  <c r="N139" i="16"/>
  <c r="Q139" i="16" s="1"/>
  <c r="P141" i="16"/>
  <c r="N141" i="16"/>
  <c r="Q141" i="16" s="1"/>
  <c r="P145" i="16"/>
  <c r="N145" i="16"/>
  <c r="Q145" i="16" s="1"/>
  <c r="P149" i="16"/>
  <c r="N149" i="16"/>
  <c r="Q149" i="16" s="1"/>
  <c r="P153" i="16"/>
  <c r="N153" i="16"/>
  <c r="Q153" i="16" s="1"/>
  <c r="P154" i="16"/>
  <c r="N154" i="16"/>
  <c r="Q154" i="16" s="1"/>
  <c r="P159" i="16"/>
  <c r="N159" i="16"/>
  <c r="Q159" i="16" s="1"/>
  <c r="P164" i="16"/>
  <c r="N164" i="16"/>
  <c r="Q164" i="16" s="1"/>
  <c r="P173" i="16"/>
  <c r="N173" i="16"/>
  <c r="Q173" i="16" s="1"/>
  <c r="P177" i="16"/>
  <c r="N177" i="16"/>
  <c r="Q177" i="16" s="1"/>
  <c r="P190" i="16"/>
  <c r="N190" i="16"/>
  <c r="Q190" i="16" s="1"/>
  <c r="P193" i="16"/>
  <c r="N193" i="16"/>
  <c r="Q193" i="16" s="1"/>
  <c r="P212" i="16"/>
  <c r="N212" i="16"/>
  <c r="Q212" i="16" s="1"/>
  <c r="P244" i="16"/>
  <c r="N244" i="16"/>
  <c r="Q244" i="16" s="1"/>
  <c r="P258" i="16"/>
  <c r="N258" i="16"/>
  <c r="Q258" i="16" s="1"/>
  <c r="P305" i="16"/>
  <c r="N305" i="16"/>
  <c r="Q305" i="16" s="1"/>
  <c r="P331" i="16"/>
  <c r="N331" i="16"/>
  <c r="Q331" i="16" s="1"/>
  <c r="P360" i="16"/>
  <c r="N360" i="16"/>
  <c r="Q360" i="16" s="1"/>
  <c r="P378" i="16"/>
  <c r="N378" i="16"/>
  <c r="Q378" i="16" s="1"/>
  <c r="P382" i="16"/>
  <c r="N382" i="16"/>
  <c r="Q382" i="16" s="1"/>
  <c r="P386" i="16"/>
  <c r="N386" i="16"/>
  <c r="Q386" i="16" s="1"/>
  <c r="P396" i="16"/>
  <c r="N396" i="16"/>
  <c r="Q396" i="16" s="1"/>
  <c r="P454" i="16"/>
  <c r="N454" i="16"/>
  <c r="Q454" i="16" s="1"/>
  <c r="P504" i="16"/>
  <c r="N504" i="16"/>
  <c r="Q504" i="16" s="1"/>
  <c r="P652" i="16"/>
  <c r="N652" i="16"/>
  <c r="Q652" i="16" s="1"/>
  <c r="P703" i="16"/>
  <c r="N703" i="16"/>
  <c r="Q703" i="16" s="1"/>
  <c r="P719" i="16"/>
  <c r="N719" i="16"/>
  <c r="Q719" i="16" s="1"/>
  <c r="P797" i="16"/>
  <c r="N797" i="16"/>
  <c r="Q797" i="16" s="1"/>
  <c r="P909" i="16"/>
  <c r="N909" i="16"/>
  <c r="Q909" i="16" s="1"/>
  <c r="P913" i="16"/>
  <c r="N913" i="16"/>
  <c r="Q913" i="16" s="1"/>
  <c r="P925" i="16"/>
  <c r="N925" i="16"/>
  <c r="Q925" i="16" s="1"/>
  <c r="P939" i="16"/>
  <c r="N939" i="16"/>
  <c r="Q939" i="16" s="1"/>
  <c r="P974" i="16"/>
  <c r="N974" i="16"/>
  <c r="Q974" i="16" s="1"/>
  <c r="P1077" i="16"/>
  <c r="N1077" i="16"/>
  <c r="Q1077" i="16" s="1"/>
  <c r="P1204" i="16"/>
  <c r="N1204" i="16"/>
  <c r="Q1204" i="16" s="1"/>
  <c r="P1588" i="16"/>
  <c r="N1588" i="16"/>
  <c r="Q1588" i="16" s="1"/>
  <c r="P1599" i="16"/>
  <c r="N1599" i="16"/>
  <c r="Q1599" i="16" s="1"/>
  <c r="P1626" i="16"/>
  <c r="N1626" i="16"/>
  <c r="Q1626" i="16" s="1"/>
  <c r="P1634" i="16"/>
  <c r="N1634" i="16"/>
  <c r="Q1634" i="16" s="1"/>
  <c r="P1653" i="16"/>
  <c r="N1653" i="16"/>
  <c r="Q1653" i="16" s="1"/>
  <c r="P1696" i="16"/>
  <c r="N1696" i="16"/>
  <c r="Q1696" i="16" s="1"/>
  <c r="P1712" i="16"/>
  <c r="N1712" i="16"/>
  <c r="Q1712" i="16" s="1"/>
  <c r="P1800" i="16"/>
  <c r="N1800" i="16"/>
  <c r="Q1800" i="16" s="1"/>
  <c r="P1806" i="16"/>
  <c r="N1806" i="16"/>
  <c r="Q1806" i="16" s="1"/>
  <c r="P1822" i="16"/>
  <c r="N1822" i="16"/>
  <c r="Q1822" i="16" s="1"/>
  <c r="P1868" i="16"/>
  <c r="N1868" i="16"/>
  <c r="Q1868" i="16" s="1"/>
  <c r="P10" i="16"/>
  <c r="N10" i="16"/>
  <c r="Q10" i="16" s="1"/>
  <c r="P16" i="16"/>
  <c r="N16" i="16"/>
  <c r="Q16" i="16" s="1"/>
  <c r="P26" i="16"/>
  <c r="N26" i="16"/>
  <c r="Q26" i="16" s="1"/>
  <c r="P35" i="16"/>
  <c r="N35" i="16"/>
  <c r="Q35" i="16" s="1"/>
  <c r="P37" i="16"/>
  <c r="N37" i="16"/>
  <c r="Q37" i="16" s="1"/>
  <c r="P56" i="16"/>
  <c r="N56" i="16"/>
  <c r="Q56" i="16" s="1"/>
  <c r="P66" i="16"/>
  <c r="N66" i="16"/>
  <c r="Q66" i="16" s="1"/>
  <c r="P76" i="16"/>
  <c r="N76" i="16"/>
  <c r="Q76" i="16" s="1"/>
  <c r="P86" i="16"/>
  <c r="N86" i="16"/>
  <c r="Q86" i="16" s="1"/>
  <c r="P92" i="16"/>
  <c r="N92" i="16"/>
  <c r="Q92" i="16" s="1"/>
  <c r="P121" i="16"/>
  <c r="N121" i="16"/>
  <c r="Q121" i="16" s="1"/>
  <c r="P132" i="16"/>
  <c r="N132" i="16"/>
  <c r="Q132" i="16" s="1"/>
  <c r="P195" i="16"/>
  <c r="N195" i="16"/>
  <c r="Q195" i="16" s="1"/>
  <c r="P199" i="16"/>
  <c r="N199" i="16"/>
  <c r="Q199" i="16" s="1"/>
  <c r="P205" i="16"/>
  <c r="N205" i="16"/>
  <c r="Q205" i="16" s="1"/>
  <c r="P249" i="16"/>
  <c r="N249" i="16"/>
  <c r="Q249" i="16" s="1"/>
  <c r="P266" i="16"/>
  <c r="N266" i="16"/>
  <c r="Q266" i="16" s="1"/>
  <c r="P279" i="16"/>
  <c r="N279" i="16"/>
  <c r="Q279" i="16" s="1"/>
  <c r="P292" i="16"/>
  <c r="N292" i="16"/>
  <c r="Q292" i="16" s="1"/>
  <c r="P324" i="16"/>
  <c r="N324" i="16"/>
  <c r="Q324" i="16" s="1"/>
  <c r="P333" i="16"/>
  <c r="N333" i="16"/>
  <c r="Q333" i="16" s="1"/>
  <c r="P362" i="16"/>
  <c r="N362" i="16"/>
  <c r="Q362" i="16" s="1"/>
  <c r="P369" i="16"/>
  <c r="N369" i="16"/>
  <c r="Q369" i="16" s="1"/>
  <c r="P373" i="16"/>
  <c r="N373" i="16"/>
  <c r="Q373" i="16" s="1"/>
  <c r="P475" i="16"/>
  <c r="N475" i="16"/>
  <c r="Q475" i="16" s="1"/>
  <c r="P483" i="16"/>
  <c r="N483" i="16"/>
  <c r="Q483" i="16" s="1"/>
  <c r="P497" i="16"/>
  <c r="N497" i="16"/>
  <c r="Q497" i="16" s="1"/>
  <c r="P500" i="16"/>
  <c r="N500" i="16"/>
  <c r="Q500" i="16" s="1"/>
  <c r="P510" i="16"/>
  <c r="N510" i="16"/>
  <c r="Q510" i="16" s="1"/>
  <c r="P528" i="16"/>
  <c r="N528" i="16"/>
  <c r="Q528" i="16" s="1"/>
  <c r="P574" i="16"/>
  <c r="N574" i="16"/>
  <c r="Q574" i="16" s="1"/>
  <c r="P580" i="16"/>
  <c r="N580" i="16"/>
  <c r="Q580" i="16" s="1"/>
  <c r="P582" i="16"/>
  <c r="N582" i="16"/>
  <c r="Q582" i="16" s="1"/>
  <c r="P619" i="16"/>
  <c r="N619" i="16"/>
  <c r="Q619" i="16" s="1"/>
  <c r="P639" i="16"/>
  <c r="N639" i="16"/>
  <c r="Q639" i="16" s="1"/>
  <c r="P737" i="16"/>
  <c r="N737" i="16"/>
  <c r="Q737" i="16" s="1"/>
  <c r="P805" i="16"/>
  <c r="N805" i="16"/>
  <c r="Q805" i="16" s="1"/>
  <c r="P819" i="16"/>
  <c r="N819" i="16"/>
  <c r="Q819" i="16" s="1"/>
  <c r="P828" i="16"/>
  <c r="N828" i="16"/>
  <c r="Q828" i="16" s="1"/>
  <c r="P18" i="16"/>
  <c r="N18" i="16"/>
  <c r="Q18" i="16" s="1"/>
  <c r="P20" i="16"/>
  <c r="N20" i="16"/>
  <c r="Q20" i="16" s="1"/>
  <c r="P22" i="16"/>
  <c r="N22" i="16"/>
  <c r="Q22" i="16" s="1"/>
  <c r="P39" i="16"/>
  <c r="N39" i="16"/>
  <c r="Q39" i="16" s="1"/>
  <c r="P47" i="16"/>
  <c r="N47" i="16"/>
  <c r="Q47" i="16" s="1"/>
  <c r="P49" i="16"/>
  <c r="N49" i="16"/>
  <c r="Q49" i="16" s="1"/>
  <c r="P58" i="16"/>
  <c r="N58" i="16"/>
  <c r="Q58" i="16" s="1"/>
  <c r="P63" i="16"/>
  <c r="N63" i="16"/>
  <c r="Q63" i="16" s="1"/>
  <c r="P68" i="16"/>
  <c r="N68" i="16"/>
  <c r="Q68" i="16" s="1"/>
  <c r="P71" i="16"/>
  <c r="N71" i="16"/>
  <c r="Q71" i="16" s="1"/>
  <c r="P81" i="16"/>
  <c r="N81" i="16"/>
  <c r="Q81" i="16" s="1"/>
  <c r="P83" i="16"/>
  <c r="N83" i="16"/>
  <c r="Q83" i="16" s="1"/>
  <c r="P91" i="16"/>
  <c r="N91" i="16"/>
  <c r="Q91" i="16" s="1"/>
  <c r="P96" i="16"/>
  <c r="N96" i="16"/>
  <c r="Q96" i="16" s="1"/>
  <c r="P98" i="16"/>
  <c r="N98" i="16"/>
  <c r="Q98" i="16" s="1"/>
  <c r="P106" i="16"/>
  <c r="N106" i="16"/>
  <c r="Q106" i="16" s="1"/>
  <c r="P109" i="16"/>
  <c r="N109" i="16"/>
  <c r="Q109" i="16" s="1"/>
  <c r="P112" i="16"/>
  <c r="N112" i="16"/>
  <c r="Q112" i="16" s="1"/>
  <c r="P114" i="16"/>
  <c r="N114" i="16"/>
  <c r="Q114" i="16" s="1"/>
  <c r="P115" i="16"/>
  <c r="N115" i="16"/>
  <c r="Q115" i="16" s="1"/>
  <c r="P124" i="16"/>
  <c r="N124" i="16"/>
  <c r="Q124" i="16" s="1"/>
  <c r="P134" i="16"/>
  <c r="N134" i="16"/>
  <c r="Q134" i="16" s="1"/>
  <c r="P136" i="16"/>
  <c r="N136" i="16"/>
  <c r="Q136" i="16" s="1"/>
  <c r="P138" i="16"/>
  <c r="N138" i="16"/>
  <c r="Q138" i="16" s="1"/>
  <c r="P144" i="16"/>
  <c r="N144" i="16"/>
  <c r="Q144" i="16" s="1"/>
  <c r="P146" i="16"/>
  <c r="N146" i="16"/>
  <c r="Q146" i="16" s="1"/>
  <c r="P148" i="16"/>
  <c r="N148" i="16"/>
  <c r="Q148" i="16" s="1"/>
  <c r="P150" i="16"/>
  <c r="N150" i="16"/>
  <c r="Q150" i="16" s="1"/>
  <c r="P155" i="16"/>
  <c r="N155" i="16"/>
  <c r="Q155" i="16" s="1"/>
  <c r="P158" i="16"/>
  <c r="N158" i="16"/>
  <c r="Q158" i="16" s="1"/>
  <c r="P162" i="16"/>
  <c r="N162" i="16"/>
  <c r="Q162" i="16" s="1"/>
  <c r="P166" i="16"/>
  <c r="N166" i="16"/>
  <c r="Q166" i="16" s="1"/>
  <c r="P172" i="16"/>
  <c r="N172" i="16"/>
  <c r="Q172" i="16" s="1"/>
  <c r="P175" i="16"/>
  <c r="N175" i="16"/>
  <c r="Q175" i="16" s="1"/>
  <c r="P181" i="16"/>
  <c r="N181" i="16"/>
  <c r="Q181" i="16" s="1"/>
  <c r="P184" i="16"/>
  <c r="N184" i="16"/>
  <c r="Q184" i="16" s="1"/>
  <c r="P186" i="16"/>
  <c r="N186" i="16"/>
  <c r="Q186" i="16" s="1"/>
  <c r="P192" i="16"/>
  <c r="N192" i="16"/>
  <c r="Q192" i="16" s="1"/>
  <c r="P216" i="16"/>
  <c r="N216" i="16"/>
  <c r="Q216" i="16" s="1"/>
  <c r="P220" i="16"/>
  <c r="N220" i="16"/>
  <c r="Q220" i="16" s="1"/>
  <c r="P222" i="16"/>
  <c r="N222" i="16"/>
  <c r="Q222" i="16" s="1"/>
  <c r="P245" i="16"/>
  <c r="N245" i="16"/>
  <c r="Q245" i="16" s="1"/>
  <c r="P255" i="16"/>
  <c r="N255" i="16"/>
  <c r="Q255" i="16" s="1"/>
  <c r="P262" i="16"/>
  <c r="N262" i="16"/>
  <c r="Q262" i="16" s="1"/>
  <c r="P285" i="16"/>
  <c r="N285" i="16"/>
  <c r="Q285" i="16" s="1"/>
  <c r="P302" i="16"/>
  <c r="N302" i="16"/>
  <c r="Q302" i="16" s="1"/>
  <c r="P306" i="16"/>
  <c r="N306" i="16"/>
  <c r="Q306" i="16" s="1"/>
  <c r="P310" i="16"/>
  <c r="N310" i="16"/>
  <c r="Q310" i="16" s="1"/>
  <c r="P314" i="16"/>
  <c r="N314" i="16"/>
  <c r="Q314" i="16" s="1"/>
  <c r="P343" i="16"/>
  <c r="N343" i="16"/>
  <c r="Q343" i="16" s="1"/>
  <c r="P347" i="16"/>
  <c r="N347" i="16"/>
  <c r="Q347" i="16" s="1"/>
  <c r="P351" i="16"/>
  <c r="N351" i="16"/>
  <c r="Q351" i="16" s="1"/>
  <c r="P353" i="16"/>
  <c r="N353" i="16"/>
  <c r="Q353" i="16" s="1"/>
  <c r="P361" i="16"/>
  <c r="N361" i="16"/>
  <c r="Q361" i="16" s="1"/>
  <c r="P381" i="16"/>
  <c r="N381" i="16"/>
  <c r="Q381" i="16" s="1"/>
  <c r="P385" i="16"/>
  <c r="N385" i="16"/>
  <c r="Q385" i="16" s="1"/>
  <c r="P391" i="16"/>
  <c r="N391" i="16"/>
  <c r="Q391" i="16" s="1"/>
  <c r="P393" i="16"/>
  <c r="N393" i="16"/>
  <c r="Q393" i="16" s="1"/>
  <c r="P395" i="16"/>
  <c r="N395" i="16"/>
  <c r="Q395" i="16" s="1"/>
  <c r="P402" i="16"/>
  <c r="N402" i="16"/>
  <c r="Q402" i="16" s="1"/>
  <c r="P409" i="16"/>
  <c r="N409" i="16"/>
  <c r="Q409" i="16" s="1"/>
  <c r="P410" i="16"/>
  <c r="N410" i="16"/>
  <c r="Q410" i="16" s="1"/>
  <c r="P428" i="16"/>
  <c r="N428" i="16"/>
  <c r="Q428" i="16" s="1"/>
  <c r="P437" i="16"/>
  <c r="N437" i="16"/>
  <c r="Q437" i="16" s="1"/>
  <c r="P453" i="16"/>
  <c r="N453" i="16"/>
  <c r="Q453" i="16" s="1"/>
  <c r="P456" i="16"/>
  <c r="N456" i="16"/>
  <c r="Q456" i="16" s="1"/>
  <c r="P465" i="16"/>
  <c r="N465" i="16"/>
  <c r="Q465" i="16" s="1"/>
  <c r="P470" i="16"/>
  <c r="N470" i="16"/>
  <c r="Q470" i="16" s="1"/>
  <c r="P507" i="16"/>
  <c r="N507" i="16"/>
  <c r="Q507" i="16" s="1"/>
  <c r="P523" i="16"/>
  <c r="N523" i="16"/>
  <c r="Q523" i="16" s="1"/>
  <c r="P643" i="16"/>
  <c r="N643" i="16"/>
  <c r="Q643" i="16" s="1"/>
  <c r="P660" i="16"/>
  <c r="N660" i="16"/>
  <c r="Q660" i="16" s="1"/>
  <c r="P766" i="16"/>
  <c r="N766" i="16"/>
  <c r="Q766" i="16" s="1"/>
  <c r="P793" i="16"/>
  <c r="N793" i="16"/>
  <c r="Q793" i="16" s="1"/>
  <c r="P796" i="16"/>
  <c r="N796" i="16"/>
  <c r="Q796" i="16" s="1"/>
  <c r="P838" i="16"/>
  <c r="N838" i="16"/>
  <c r="Q838" i="16" s="1"/>
  <c r="P906" i="16"/>
  <c r="N906" i="16"/>
  <c r="Q906" i="16" s="1"/>
  <c r="P910" i="16"/>
  <c r="N910" i="16"/>
  <c r="Q910" i="16" s="1"/>
  <c r="P914" i="16"/>
  <c r="N914" i="16"/>
  <c r="Q914" i="16" s="1"/>
  <c r="P930" i="16"/>
  <c r="N930" i="16"/>
  <c r="Q930" i="16" s="1"/>
  <c r="P950" i="16"/>
  <c r="N950" i="16"/>
  <c r="Q950" i="16" s="1"/>
  <c r="P1068" i="16"/>
  <c r="N1068" i="16"/>
  <c r="Q1068" i="16" s="1"/>
  <c r="P1072" i="16"/>
  <c r="N1072" i="16"/>
  <c r="Q1072" i="16" s="1"/>
  <c r="P1076" i="16"/>
  <c r="N1076" i="16"/>
  <c r="Q1076" i="16" s="1"/>
  <c r="P1084" i="16"/>
  <c r="N1084" i="16"/>
  <c r="Q1084" i="16" s="1"/>
  <c r="P1091" i="16"/>
  <c r="N1091" i="16"/>
  <c r="Q1091" i="16" s="1"/>
  <c r="P1108" i="16"/>
  <c r="N1108" i="16"/>
  <c r="Q1108" i="16" s="1"/>
  <c r="P1117" i="16"/>
  <c r="N1117" i="16"/>
  <c r="Q1117" i="16" s="1"/>
  <c r="P1121" i="16"/>
  <c r="N1121" i="16"/>
  <c r="Q1121" i="16" s="1"/>
  <c r="P1123" i="16"/>
  <c r="N1123" i="16"/>
  <c r="Q1123" i="16" s="1"/>
  <c r="P1125" i="16"/>
  <c r="N1125" i="16"/>
  <c r="Q1125" i="16" s="1"/>
  <c r="P1185" i="16"/>
  <c r="N1185" i="16"/>
  <c r="Q1185" i="16" s="1"/>
  <c r="P1189" i="16"/>
  <c r="N1189" i="16"/>
  <c r="Q1189" i="16" s="1"/>
  <c r="P1193" i="16"/>
  <c r="N1193" i="16"/>
  <c r="Q1193" i="16" s="1"/>
  <c r="P1197" i="16"/>
  <c r="N1197" i="16"/>
  <c r="Q1197" i="16" s="1"/>
  <c r="P1201" i="16"/>
  <c r="N1201" i="16"/>
  <c r="Q1201" i="16" s="1"/>
  <c r="P1205" i="16"/>
  <c r="N1205" i="16"/>
  <c r="Q1205" i="16" s="1"/>
  <c r="P1209" i="16"/>
  <c r="N1209" i="16"/>
  <c r="Q1209" i="16" s="1"/>
  <c r="P1237" i="16"/>
  <c r="N1237" i="16"/>
  <c r="Q1237" i="16" s="1"/>
  <c r="P1245" i="16"/>
  <c r="N1245" i="16"/>
  <c r="Q1245" i="16" s="1"/>
  <c r="P1256" i="16"/>
  <c r="N1256" i="16"/>
  <c r="Q1256" i="16" s="1"/>
  <c r="P1289" i="16"/>
  <c r="N1289" i="16"/>
  <c r="Q1289" i="16" s="1"/>
  <c r="P1304" i="16"/>
  <c r="N1304" i="16"/>
  <c r="Q1304" i="16" s="1"/>
  <c r="P1501" i="16"/>
  <c r="N1501" i="16"/>
  <c r="Q1501" i="16" s="1"/>
  <c r="P1589" i="16"/>
  <c r="N1589" i="16"/>
  <c r="Q1589" i="16" s="1"/>
  <c r="P1600" i="16"/>
  <c r="N1600" i="16"/>
  <c r="Q1600" i="16" s="1"/>
  <c r="P1611" i="16"/>
  <c r="N1611" i="16"/>
  <c r="Q1611" i="16" s="1"/>
  <c r="P1621" i="16"/>
  <c r="N1621" i="16"/>
  <c r="Q1621" i="16" s="1"/>
  <c r="P1631" i="16"/>
  <c r="N1631" i="16"/>
  <c r="Q1631" i="16" s="1"/>
  <c r="P1635" i="16"/>
  <c r="N1635" i="16"/>
  <c r="Q1635" i="16" s="1"/>
  <c r="P1652" i="16"/>
  <c r="N1652" i="16"/>
  <c r="Q1652" i="16" s="1"/>
  <c r="P1654" i="16"/>
  <c r="N1654" i="16"/>
  <c r="Q1654" i="16" s="1"/>
  <c r="P1682" i="16"/>
  <c r="N1682" i="16"/>
  <c r="Q1682" i="16" s="1"/>
  <c r="P1691" i="16"/>
  <c r="N1691" i="16"/>
  <c r="Q1691" i="16" s="1"/>
  <c r="P1695" i="16"/>
  <c r="N1695" i="16"/>
  <c r="Q1695" i="16" s="1"/>
  <c r="P1697" i="16"/>
  <c r="N1697" i="16"/>
  <c r="Q1697" i="16" s="1"/>
  <c r="P1699" i="16"/>
  <c r="N1699" i="16"/>
  <c r="Q1699" i="16" s="1"/>
  <c r="P1701" i="16"/>
  <c r="N1701" i="16"/>
  <c r="Q1701" i="16" s="1"/>
  <c r="P1703" i="16"/>
  <c r="N1703" i="16"/>
  <c r="Q1703" i="16" s="1"/>
  <c r="P1705" i="16"/>
  <c r="N1705" i="16"/>
  <c r="Q1705" i="16" s="1"/>
  <c r="P1707" i="16"/>
  <c r="N1707" i="16"/>
  <c r="Q1707" i="16" s="1"/>
  <c r="P1711" i="16"/>
  <c r="N1711" i="16"/>
  <c r="Q1711" i="16" s="1"/>
  <c r="P1795" i="16"/>
  <c r="N1795" i="16"/>
  <c r="Q1795" i="16" s="1"/>
  <c r="P1799" i="16"/>
  <c r="N1799" i="16"/>
  <c r="Q1799" i="16" s="1"/>
  <c r="P1803" i="16"/>
  <c r="N1803" i="16"/>
  <c r="Q1803" i="16" s="1"/>
  <c r="P1807" i="16"/>
  <c r="N1807" i="16"/>
  <c r="Q1807" i="16" s="1"/>
  <c r="P1811" i="16"/>
  <c r="N1811" i="16"/>
  <c r="Q1811" i="16" s="1"/>
  <c r="P1823" i="16"/>
  <c r="N1823" i="16"/>
  <c r="Q1823" i="16" s="1"/>
  <c r="P1825" i="16"/>
  <c r="N1825" i="16"/>
  <c r="Q1825" i="16" s="1"/>
  <c r="P1827" i="16"/>
  <c r="N1827" i="16"/>
  <c r="Q1827" i="16" s="1"/>
  <c r="P1829" i="16"/>
  <c r="N1829" i="16"/>
  <c r="Q1829" i="16" s="1"/>
  <c r="P1833" i="16"/>
  <c r="N1833" i="16"/>
  <c r="Q1833" i="16" s="1"/>
  <c r="P1837" i="16"/>
  <c r="N1837" i="16"/>
  <c r="Q1837" i="16" s="1"/>
  <c r="P1841" i="16"/>
  <c r="N1841" i="16"/>
  <c r="Q1841" i="16" s="1"/>
  <c r="P1845" i="16"/>
  <c r="N1845" i="16"/>
  <c r="Q1845" i="16" s="1"/>
  <c r="P1849" i="16"/>
  <c r="N1849" i="16"/>
  <c r="Q1849" i="16" s="1"/>
  <c r="P1851" i="16"/>
  <c r="N1851" i="16"/>
  <c r="Q1851" i="16" s="1"/>
  <c r="P1853" i="16"/>
  <c r="N1853" i="16"/>
  <c r="Q1853" i="16" s="1"/>
  <c r="P1855" i="16"/>
  <c r="N1855" i="16"/>
  <c r="Q1855" i="16" s="1"/>
  <c r="P1901" i="16"/>
  <c r="N1901" i="16"/>
  <c r="Q1901" i="16" s="1"/>
  <c r="P1909" i="16"/>
  <c r="N1909" i="16"/>
  <c r="Q1909" i="16" s="1"/>
  <c r="P1921" i="16"/>
  <c r="N1921" i="16"/>
  <c r="Q1921" i="16" s="1"/>
  <c r="P1928" i="16"/>
  <c r="N1928" i="16"/>
  <c r="Q1928" i="16" s="1"/>
  <c r="P1932" i="16"/>
  <c r="N1932" i="16"/>
  <c r="Q1932" i="16" s="1"/>
  <c r="P17" i="16"/>
  <c r="N17" i="16"/>
  <c r="Q17" i="16" s="1"/>
  <c r="P44" i="16"/>
  <c r="N44" i="16"/>
  <c r="Q44" i="16" s="1"/>
  <c r="P48" i="16"/>
  <c r="N48" i="16"/>
  <c r="Q48" i="16" s="1"/>
  <c r="P62" i="16"/>
  <c r="N62" i="16"/>
  <c r="Q62" i="16" s="1"/>
  <c r="P69" i="16"/>
  <c r="N69" i="16"/>
  <c r="Q69" i="16" s="1"/>
  <c r="P80" i="16"/>
  <c r="N80" i="16"/>
  <c r="Q80" i="16" s="1"/>
  <c r="P84" i="16"/>
  <c r="N84" i="16"/>
  <c r="Q84" i="16" s="1"/>
  <c r="P90" i="16"/>
  <c r="N90" i="16"/>
  <c r="Q90" i="16" s="1"/>
  <c r="P107" i="16"/>
  <c r="N107" i="16"/>
  <c r="Q107" i="16" s="1"/>
  <c r="P111" i="16"/>
  <c r="N111" i="16"/>
  <c r="Q111" i="16" s="1"/>
  <c r="P125" i="16"/>
  <c r="N125" i="16"/>
  <c r="Q125" i="16" s="1"/>
  <c r="P137" i="16"/>
  <c r="N137" i="16"/>
  <c r="Q137" i="16" s="1"/>
  <c r="P147" i="16"/>
  <c r="N147" i="16"/>
  <c r="Q147" i="16" s="1"/>
  <c r="P152" i="16"/>
  <c r="N152" i="16"/>
  <c r="Q152" i="16" s="1"/>
  <c r="P161" i="16"/>
  <c r="N161" i="16"/>
  <c r="Q161" i="16" s="1"/>
  <c r="P167" i="16"/>
  <c r="N167" i="16"/>
  <c r="Q167" i="16" s="1"/>
  <c r="P171" i="16"/>
  <c r="N171" i="16"/>
  <c r="Q171" i="16" s="1"/>
  <c r="P174" i="16"/>
  <c r="N174" i="16"/>
  <c r="Q174" i="16" s="1"/>
  <c r="P180" i="16"/>
  <c r="N180" i="16"/>
  <c r="Q180" i="16" s="1"/>
  <c r="P182" i="16"/>
  <c r="N182" i="16"/>
  <c r="Q182" i="16" s="1"/>
  <c r="P191" i="16"/>
  <c r="N191" i="16"/>
  <c r="Q191" i="16" s="1"/>
  <c r="P219" i="16"/>
  <c r="N219" i="16"/>
  <c r="Q219" i="16" s="1"/>
  <c r="P264" i="16"/>
  <c r="N264" i="16"/>
  <c r="Q264" i="16" s="1"/>
  <c r="P286" i="16"/>
  <c r="N286" i="16"/>
  <c r="Q286" i="16" s="1"/>
  <c r="P301" i="16"/>
  <c r="N301" i="16"/>
  <c r="Q301" i="16" s="1"/>
  <c r="P313" i="16"/>
  <c r="N313" i="16"/>
  <c r="Q313" i="16" s="1"/>
  <c r="P342" i="16"/>
  <c r="N342" i="16"/>
  <c r="Q342" i="16" s="1"/>
  <c r="P346" i="16"/>
  <c r="N346" i="16"/>
  <c r="Q346" i="16" s="1"/>
  <c r="P350" i="16"/>
  <c r="N350" i="16"/>
  <c r="Q350" i="16" s="1"/>
  <c r="P354" i="16"/>
  <c r="N354" i="16"/>
  <c r="Q354" i="16" s="1"/>
  <c r="P403" i="16"/>
  <c r="N403" i="16"/>
  <c r="Q403" i="16" s="1"/>
  <c r="P414" i="16"/>
  <c r="N414" i="16"/>
  <c r="Q414" i="16" s="1"/>
  <c r="P418" i="16"/>
  <c r="N418" i="16"/>
  <c r="Q418" i="16" s="1"/>
  <c r="P429" i="16"/>
  <c r="N429" i="16"/>
  <c r="Q429" i="16" s="1"/>
  <c r="P442" i="16"/>
  <c r="N442" i="16"/>
  <c r="Q442" i="16" s="1"/>
  <c r="P445" i="16"/>
  <c r="N445" i="16"/>
  <c r="Q445" i="16" s="1"/>
  <c r="P495" i="16"/>
  <c r="N495" i="16"/>
  <c r="Q495" i="16" s="1"/>
  <c r="P503" i="16"/>
  <c r="N503" i="16"/>
  <c r="Q503" i="16" s="1"/>
  <c r="P506" i="16"/>
  <c r="N506" i="16"/>
  <c r="Q506" i="16" s="1"/>
  <c r="P521" i="16"/>
  <c r="N521" i="16"/>
  <c r="Q521" i="16" s="1"/>
  <c r="P607" i="16"/>
  <c r="N607" i="16"/>
  <c r="Q607" i="16" s="1"/>
  <c r="P654" i="16"/>
  <c r="N654" i="16"/>
  <c r="Q654" i="16" s="1"/>
  <c r="P699" i="16"/>
  <c r="N699" i="16"/>
  <c r="Q699" i="16" s="1"/>
  <c r="P711" i="16"/>
  <c r="N711" i="16"/>
  <c r="Q711" i="16" s="1"/>
  <c r="P791" i="16"/>
  <c r="N791" i="16"/>
  <c r="Q791" i="16" s="1"/>
  <c r="P897" i="16"/>
  <c r="N897" i="16"/>
  <c r="Q897" i="16" s="1"/>
  <c r="P901" i="16"/>
  <c r="N901" i="16"/>
  <c r="Q901" i="16" s="1"/>
  <c r="P905" i="16"/>
  <c r="N905" i="16"/>
  <c r="Q905" i="16" s="1"/>
  <c r="P917" i="16"/>
  <c r="N917" i="16"/>
  <c r="Q917" i="16" s="1"/>
  <c r="P921" i="16"/>
  <c r="N921" i="16"/>
  <c r="Q921" i="16" s="1"/>
  <c r="P929" i="16"/>
  <c r="N929" i="16"/>
  <c r="Q929" i="16" s="1"/>
  <c r="P932" i="16"/>
  <c r="N932" i="16"/>
  <c r="Q932" i="16" s="1"/>
  <c r="P936" i="16"/>
  <c r="N936" i="16"/>
  <c r="Q936" i="16" s="1"/>
  <c r="P1071" i="16"/>
  <c r="N1071" i="16"/>
  <c r="Q1071" i="16" s="1"/>
  <c r="P1075" i="16"/>
  <c r="N1075" i="16"/>
  <c r="Q1075" i="16" s="1"/>
  <c r="P1083" i="16"/>
  <c r="N1083" i="16"/>
  <c r="Q1083" i="16" s="1"/>
  <c r="P1105" i="16"/>
  <c r="N1105" i="16"/>
  <c r="Q1105" i="16" s="1"/>
  <c r="P1184" i="16"/>
  <c r="N1184" i="16"/>
  <c r="Q1184" i="16" s="1"/>
  <c r="P1206" i="16"/>
  <c r="N1206" i="16"/>
  <c r="Q1206" i="16" s="1"/>
  <c r="P1357" i="16"/>
  <c r="N1357" i="16"/>
  <c r="Q1357" i="16" s="1"/>
  <c r="P1509" i="16"/>
  <c r="N1509" i="16"/>
  <c r="Q1509" i="16" s="1"/>
  <c r="P1636" i="16"/>
  <c r="N1636" i="16"/>
  <c r="Q1636" i="16" s="1"/>
  <c r="P1655" i="16"/>
  <c r="N1655" i="16"/>
  <c r="Q1655" i="16" s="1"/>
  <c r="P1700" i="16"/>
  <c r="N1700" i="16"/>
  <c r="Q1700" i="16" s="1"/>
  <c r="P1704" i="16"/>
  <c r="N1704" i="16"/>
  <c r="Q1704" i="16" s="1"/>
  <c r="P1730" i="16"/>
  <c r="N1730" i="16"/>
  <c r="Q1730" i="16" s="1"/>
  <c r="P1734" i="16"/>
  <c r="N1734" i="16"/>
  <c r="Q1734" i="16" s="1"/>
  <c r="P1814" i="16"/>
  <c r="N1814" i="16"/>
  <c r="Q1814" i="16" s="1"/>
  <c r="P1818" i="16"/>
  <c r="N1818" i="16"/>
  <c r="Q1818" i="16" s="1"/>
  <c r="P1826" i="16"/>
  <c r="N1826" i="16"/>
  <c r="Q1826" i="16" s="1"/>
  <c r="P1834" i="16"/>
  <c r="N1834" i="16"/>
  <c r="Q1834" i="16" s="1"/>
  <c r="P1850" i="16"/>
  <c r="N1850" i="16"/>
  <c r="Q1850" i="16" s="1"/>
  <c r="P8" i="16"/>
  <c r="N8" i="16"/>
  <c r="Q8" i="16" s="1"/>
  <c r="P14" i="16"/>
  <c r="N14" i="16"/>
  <c r="Q14" i="16" s="1"/>
  <c r="P28" i="16"/>
  <c r="N28" i="16"/>
  <c r="Q28" i="16" s="1"/>
  <c r="P33" i="16"/>
  <c r="N33" i="16"/>
  <c r="Q33" i="16" s="1"/>
  <c r="P74" i="16"/>
  <c r="N74" i="16"/>
  <c r="Q74" i="16" s="1"/>
  <c r="P79" i="16"/>
  <c r="N79" i="16"/>
  <c r="Q79" i="16" s="1"/>
  <c r="P89" i="16"/>
  <c r="N89" i="16"/>
  <c r="Q89" i="16" s="1"/>
  <c r="P101" i="16"/>
  <c r="N101" i="16"/>
  <c r="Q101" i="16" s="1"/>
  <c r="P128" i="16"/>
  <c r="N128" i="16"/>
  <c r="Q128" i="16" s="1"/>
  <c r="P197" i="16"/>
  <c r="N197" i="16"/>
  <c r="Q197" i="16" s="1"/>
  <c r="P207" i="16"/>
  <c r="N207" i="16"/>
  <c r="Q207" i="16" s="1"/>
  <c r="P223" i="16"/>
  <c r="N223" i="16"/>
  <c r="Q223" i="16" s="1"/>
  <c r="P238" i="16"/>
  <c r="N238" i="16"/>
  <c r="Q238" i="16" s="1"/>
  <c r="P246" i="16"/>
  <c r="N246" i="16"/>
  <c r="Q246" i="16" s="1"/>
  <c r="P272" i="16"/>
  <c r="N272" i="16"/>
  <c r="Q272" i="16" s="1"/>
  <c r="P321" i="16"/>
  <c r="N321" i="16"/>
  <c r="Q321" i="16" s="1"/>
  <c r="P371" i="16"/>
  <c r="N371" i="16"/>
  <c r="Q371" i="16" s="1"/>
  <c r="P392" i="16"/>
  <c r="N392" i="16"/>
  <c r="Q392" i="16" s="1"/>
  <c r="P398" i="16"/>
  <c r="N398" i="16"/>
  <c r="Q398" i="16" s="1"/>
  <c r="P440" i="16"/>
  <c r="N440" i="16"/>
  <c r="Q440" i="16" s="1"/>
  <c r="P459" i="16"/>
  <c r="N459" i="16"/>
  <c r="Q459" i="16" s="1"/>
  <c r="P466" i="16"/>
  <c r="N466" i="16"/>
  <c r="Q466" i="16" s="1"/>
  <c r="P485" i="16"/>
  <c r="N485" i="16"/>
  <c r="Q485" i="16" s="1"/>
  <c r="P537" i="16"/>
  <c r="N537" i="16"/>
  <c r="Q537" i="16" s="1"/>
  <c r="P611" i="16"/>
  <c r="N611" i="16"/>
  <c r="Q611" i="16" s="1"/>
  <c r="P627" i="16"/>
  <c r="N627" i="16"/>
  <c r="Q627" i="16" s="1"/>
  <c r="P812" i="16"/>
  <c r="N812" i="16"/>
  <c r="Q812" i="16" s="1"/>
  <c r="P825" i="16"/>
  <c r="N825" i="16"/>
  <c r="Q825" i="16" s="1"/>
  <c r="P884" i="16"/>
  <c r="N884" i="16"/>
  <c r="Q884" i="16" s="1"/>
  <c r="P7" i="16"/>
  <c r="N7" i="16"/>
  <c r="Q7" i="16" s="1"/>
  <c r="P9" i="16"/>
  <c r="N9" i="16"/>
  <c r="Q9" i="16" s="1"/>
  <c r="P15" i="16"/>
  <c r="N15" i="16"/>
  <c r="Q15" i="16" s="1"/>
  <c r="P25" i="16"/>
  <c r="N25" i="16"/>
  <c r="Q25" i="16" s="1"/>
  <c r="P27" i="16"/>
  <c r="N27" i="16"/>
  <c r="Q27" i="16" s="1"/>
  <c r="P29" i="16"/>
  <c r="N29" i="16"/>
  <c r="Q29" i="16" s="1"/>
  <c r="P30" i="16"/>
  <c r="N30" i="16"/>
  <c r="Q30" i="16" s="1"/>
  <c r="P34" i="16"/>
  <c r="N34" i="16"/>
  <c r="Q34" i="16" s="1"/>
  <c r="P36" i="16"/>
  <c r="N36" i="16"/>
  <c r="Q36" i="16" s="1"/>
  <c r="P38" i="16"/>
  <c r="N38" i="16"/>
  <c r="Q38" i="16" s="1"/>
  <c r="P42" i="16"/>
  <c r="N42" i="16"/>
  <c r="Q42" i="16" s="1"/>
  <c r="P57" i="16"/>
  <c r="N57" i="16"/>
  <c r="Q57" i="16" s="1"/>
  <c r="P60" i="16"/>
  <c r="N60" i="16"/>
  <c r="Q60" i="16" s="1"/>
  <c r="P65" i="16"/>
  <c r="N65" i="16"/>
  <c r="Q65" i="16" s="1"/>
  <c r="P67" i="16"/>
  <c r="N67" i="16"/>
  <c r="Q67" i="16" s="1"/>
  <c r="P75" i="16"/>
  <c r="N75" i="16"/>
  <c r="Q75" i="16" s="1"/>
  <c r="P78" i="16"/>
  <c r="N78" i="16"/>
  <c r="Q78" i="16" s="1"/>
  <c r="P85" i="16"/>
  <c r="N85" i="16"/>
  <c r="Q85" i="16" s="1"/>
  <c r="P88" i="16"/>
  <c r="N88" i="16"/>
  <c r="Q88" i="16" s="1"/>
  <c r="P100" i="16"/>
  <c r="N100" i="16"/>
  <c r="Q100" i="16" s="1"/>
  <c r="P103" i="16"/>
  <c r="N103" i="16"/>
  <c r="Q103" i="16" s="1"/>
  <c r="P117" i="16"/>
  <c r="N117" i="16"/>
  <c r="Q117" i="16" s="1"/>
  <c r="P120" i="16"/>
  <c r="N120" i="16"/>
  <c r="Q120" i="16" s="1"/>
  <c r="P129" i="16"/>
  <c r="N129" i="16"/>
  <c r="Q129" i="16" s="1"/>
  <c r="P133" i="16"/>
  <c r="N133" i="16"/>
  <c r="Q133" i="16" s="1"/>
  <c r="P157" i="16"/>
  <c r="N157" i="16"/>
  <c r="Q157" i="16" s="1"/>
  <c r="P188" i="16"/>
  <c r="N188" i="16"/>
  <c r="Q188" i="16" s="1"/>
  <c r="P194" i="16"/>
  <c r="N194" i="16"/>
  <c r="Q194" i="16" s="1"/>
  <c r="P196" i="16"/>
  <c r="N196" i="16"/>
  <c r="Q196" i="16" s="1"/>
  <c r="P198" i="16"/>
  <c r="N198" i="16"/>
  <c r="Q198" i="16" s="1"/>
  <c r="P202" i="16"/>
  <c r="N202" i="16"/>
  <c r="Q202" i="16" s="1"/>
  <c r="P203" i="16"/>
  <c r="N203" i="16"/>
  <c r="Q203" i="16" s="1"/>
  <c r="P206" i="16"/>
  <c r="N206" i="16"/>
  <c r="Q206" i="16" s="1"/>
  <c r="P214" i="16"/>
  <c r="N214" i="16"/>
  <c r="Q214" i="16" s="1"/>
  <c r="P215" i="16"/>
  <c r="N215" i="16"/>
  <c r="Q215" i="16" s="1"/>
  <c r="P228" i="16"/>
  <c r="N228" i="16"/>
  <c r="Q228" i="16" s="1"/>
  <c r="P237" i="16"/>
  <c r="N237" i="16"/>
  <c r="Q237" i="16" s="1"/>
  <c r="P247" i="16"/>
  <c r="N247" i="16"/>
  <c r="Q247" i="16" s="1"/>
  <c r="P252" i="16"/>
  <c r="N252" i="16"/>
  <c r="Q252" i="16" s="1"/>
  <c r="P254" i="16"/>
  <c r="N254" i="16"/>
  <c r="Q254" i="16" s="1"/>
  <c r="P261" i="16"/>
  <c r="N261" i="16"/>
  <c r="Q261" i="16" s="1"/>
  <c r="P265" i="16"/>
  <c r="N265" i="16"/>
  <c r="Q265" i="16" s="1"/>
  <c r="P271" i="16"/>
  <c r="N271" i="16"/>
  <c r="Q271" i="16" s="1"/>
  <c r="P275" i="16"/>
  <c r="N275" i="16"/>
  <c r="Q275" i="16" s="1"/>
  <c r="P287" i="16"/>
  <c r="N287" i="16"/>
  <c r="Q287" i="16" s="1"/>
  <c r="P291" i="16"/>
  <c r="N291" i="16"/>
  <c r="Q291" i="16" s="1"/>
  <c r="P295" i="16"/>
  <c r="N295" i="16"/>
  <c r="Q295" i="16" s="1"/>
  <c r="P299" i="16"/>
  <c r="N299" i="16"/>
  <c r="Q299" i="16" s="1"/>
  <c r="P316" i="16"/>
  <c r="N316" i="16"/>
  <c r="Q316" i="16" s="1"/>
  <c r="P318" i="16"/>
  <c r="N318" i="16"/>
  <c r="Q318" i="16" s="1"/>
  <c r="P325" i="16"/>
  <c r="N325" i="16"/>
  <c r="Q325" i="16" s="1"/>
  <c r="P328" i="16"/>
  <c r="N328" i="16"/>
  <c r="Q328" i="16" s="1"/>
  <c r="P334" i="16"/>
  <c r="N334" i="16"/>
  <c r="Q334" i="16" s="1"/>
  <c r="P338" i="16"/>
  <c r="N338" i="16"/>
  <c r="Q338" i="16" s="1"/>
  <c r="P363" i="16"/>
  <c r="N363" i="16"/>
  <c r="Q363" i="16" s="1"/>
  <c r="P372" i="16"/>
  <c r="N372" i="16"/>
  <c r="Q372" i="16" s="1"/>
  <c r="P394" i="16"/>
  <c r="N394" i="16"/>
  <c r="Q394" i="16" s="1"/>
  <c r="P401" i="16"/>
  <c r="N401" i="16"/>
  <c r="Q401" i="16" s="1"/>
  <c r="P439" i="16"/>
  <c r="N439" i="16"/>
  <c r="Q439" i="16" s="1"/>
  <c r="P458" i="16"/>
  <c r="N458" i="16"/>
  <c r="Q458" i="16" s="1"/>
  <c r="P462" i="16"/>
  <c r="N462" i="16"/>
  <c r="Q462" i="16" s="1"/>
  <c r="P467" i="16"/>
  <c r="N467" i="16"/>
  <c r="Q467" i="16" s="1"/>
  <c r="P478" i="16"/>
  <c r="N478" i="16"/>
  <c r="Q478" i="16" s="1"/>
  <c r="P479" i="16"/>
  <c r="N479" i="16"/>
  <c r="Q479" i="16" s="1"/>
  <c r="P482" i="16"/>
  <c r="N482" i="16"/>
  <c r="Q482" i="16" s="1"/>
  <c r="P501" i="16"/>
  <c r="N501" i="16"/>
  <c r="Q501" i="16" s="1"/>
  <c r="P527" i="16"/>
  <c r="N527" i="16"/>
  <c r="Q527" i="16" s="1"/>
  <c r="P536" i="16"/>
  <c r="N536" i="16"/>
  <c r="Q536" i="16" s="1"/>
  <c r="P551" i="16"/>
  <c r="N551" i="16"/>
  <c r="Q551" i="16" s="1"/>
  <c r="P557" i="16"/>
  <c r="N557" i="16"/>
  <c r="Q557" i="16" s="1"/>
  <c r="P662" i="16"/>
  <c r="N662" i="16"/>
  <c r="Q662" i="16" s="1"/>
  <c r="P664" i="16"/>
  <c r="N664" i="16"/>
  <c r="Q664" i="16" s="1"/>
  <c r="P669" i="16"/>
  <c r="N669" i="16"/>
  <c r="Q669" i="16" s="1"/>
  <c r="P688" i="16"/>
  <c r="N688" i="16"/>
  <c r="Q688" i="16" s="1"/>
  <c r="P778" i="16"/>
  <c r="N778" i="16"/>
  <c r="Q778" i="16" s="1"/>
  <c r="P787" i="16"/>
  <c r="N787" i="16"/>
  <c r="Q787" i="16" s="1"/>
  <c r="P804" i="16"/>
  <c r="N804" i="16"/>
  <c r="Q804" i="16" s="1"/>
  <c r="P811" i="16"/>
  <c r="N811" i="16"/>
  <c r="Q811" i="16" s="1"/>
  <c r="P815" i="16"/>
  <c r="N815" i="16"/>
  <c r="Q815" i="16" s="1"/>
  <c r="P818" i="16"/>
  <c r="N818" i="16"/>
  <c r="Q818" i="16" s="1"/>
  <c r="P822" i="16"/>
  <c r="N822" i="16"/>
  <c r="Q822" i="16" s="1"/>
  <c r="P824" i="16"/>
  <c r="N824" i="16"/>
  <c r="Q824" i="16" s="1"/>
  <c r="P829" i="16"/>
  <c r="N829" i="16"/>
  <c r="Q829" i="16" s="1"/>
  <c r="P833" i="16"/>
  <c r="N833" i="16"/>
  <c r="Q833" i="16" s="1"/>
  <c r="P840" i="16"/>
  <c r="N840" i="16"/>
  <c r="Q840" i="16" s="1"/>
  <c r="P844" i="16"/>
  <c r="N844" i="16"/>
  <c r="Q844" i="16" s="1"/>
  <c r="P848" i="16"/>
  <c r="N848" i="16"/>
  <c r="Q848" i="16" s="1"/>
  <c r="P852" i="16"/>
  <c r="N852" i="16"/>
  <c r="Q852" i="16" s="1"/>
  <c r="P860" i="16"/>
  <c r="N860" i="16"/>
  <c r="Q860" i="16" s="1"/>
  <c r="P864" i="16"/>
  <c r="N864" i="16"/>
  <c r="Q864" i="16" s="1"/>
  <c r="P872" i="16"/>
  <c r="N872" i="16"/>
  <c r="Q872" i="16" s="1"/>
  <c r="P876" i="16"/>
  <c r="N876" i="16"/>
  <c r="Q876" i="16" s="1"/>
  <c r="P879" i="16"/>
  <c r="N879" i="16"/>
  <c r="Q879" i="16" s="1"/>
  <c r="P883" i="16"/>
  <c r="N883" i="16"/>
  <c r="Q883" i="16" s="1"/>
  <c r="P887" i="16"/>
  <c r="N887" i="16"/>
  <c r="Q887" i="16" s="1"/>
  <c r="P895" i="16"/>
  <c r="N895" i="16"/>
  <c r="Q895" i="16" s="1"/>
  <c r="P1170" i="16"/>
  <c r="N1170" i="16"/>
  <c r="Q1170" i="16" s="1"/>
  <c r="P1180" i="16"/>
  <c r="N1180" i="16"/>
  <c r="Q1180" i="16" s="1"/>
  <c r="P1278" i="16"/>
  <c r="N1278" i="16"/>
  <c r="Q1278" i="16" s="1"/>
  <c r="P1332" i="16"/>
  <c r="N1332" i="16"/>
  <c r="Q1332" i="16" s="1"/>
  <c r="P1340" i="16"/>
  <c r="N1340" i="16"/>
  <c r="Q1340" i="16" s="1"/>
  <c r="P1355" i="16"/>
  <c r="N1355" i="16"/>
  <c r="Q1355" i="16" s="1"/>
  <c r="P1373" i="16"/>
  <c r="N1373" i="16"/>
  <c r="Q1373" i="16" s="1"/>
  <c r="P1393" i="16"/>
  <c r="N1393" i="16"/>
  <c r="Q1393" i="16" s="1"/>
  <c r="P1401" i="16"/>
  <c r="N1401" i="16"/>
  <c r="Q1401" i="16" s="1"/>
  <c r="P1403" i="16"/>
  <c r="N1403" i="16"/>
  <c r="Q1403" i="16" s="1"/>
  <c r="P1419" i="16"/>
  <c r="N1419" i="16"/>
  <c r="Q1419" i="16" s="1"/>
  <c r="P1423" i="16"/>
  <c r="N1423" i="16"/>
  <c r="Q1423" i="16" s="1"/>
  <c r="P1443" i="16"/>
  <c r="N1443" i="16"/>
  <c r="Q1443" i="16" s="1"/>
  <c r="P1447" i="16"/>
  <c r="N1447" i="16"/>
  <c r="Q1447" i="16" s="1"/>
  <c r="P1451" i="16"/>
  <c r="N1451" i="16"/>
  <c r="Q1451" i="16" s="1"/>
  <c r="P1459" i="16"/>
  <c r="N1459" i="16"/>
  <c r="Q1459" i="16" s="1"/>
  <c r="P1463" i="16"/>
  <c r="N1463" i="16"/>
  <c r="Q1463" i="16" s="1"/>
  <c r="P1467" i="16"/>
  <c r="N1467" i="16"/>
  <c r="Q1467" i="16" s="1"/>
  <c r="P1471" i="16"/>
  <c r="N1471" i="16"/>
  <c r="Q1471" i="16" s="1"/>
  <c r="P1479" i="16"/>
  <c r="N1479" i="16"/>
  <c r="Q1479" i="16" s="1"/>
  <c r="P1487" i="16"/>
  <c r="N1487" i="16"/>
  <c r="Q1487" i="16" s="1"/>
  <c r="P1491" i="16"/>
  <c r="N1491" i="16"/>
  <c r="Q1491" i="16" s="1"/>
  <c r="P1514" i="16"/>
  <c r="N1514" i="16"/>
  <c r="Q1514" i="16" s="1"/>
  <c r="P1518" i="16"/>
  <c r="N1518" i="16"/>
  <c r="Q1518" i="16" s="1"/>
  <c r="P1530" i="16"/>
  <c r="N1530" i="16"/>
  <c r="Q1530" i="16" s="1"/>
  <c r="P1542" i="16"/>
  <c r="N1542" i="16"/>
  <c r="Q1542" i="16" s="1"/>
  <c r="P1550" i="16"/>
  <c r="N1550" i="16"/>
  <c r="Q1550" i="16" s="1"/>
  <c r="P1566" i="16"/>
  <c r="N1566" i="16"/>
  <c r="Q1566" i="16" s="1"/>
  <c r="P1569" i="16"/>
  <c r="N1569" i="16"/>
  <c r="Q1569" i="16" s="1"/>
  <c r="P1641" i="16"/>
  <c r="N1641" i="16"/>
  <c r="Q1641" i="16" s="1"/>
  <c r="P1643" i="16"/>
  <c r="N1643" i="16"/>
  <c r="Q1643" i="16" s="1"/>
  <c r="P1649" i="16"/>
  <c r="N1649" i="16"/>
  <c r="Q1649" i="16" s="1"/>
  <c r="P1660" i="16"/>
  <c r="N1660" i="16"/>
  <c r="Q1660" i="16" s="1"/>
  <c r="P1664" i="16"/>
  <c r="N1664" i="16"/>
  <c r="Q1664" i="16" s="1"/>
  <c r="P1679" i="16"/>
  <c r="N1679" i="16"/>
  <c r="Q1679" i="16" s="1"/>
  <c r="P1713" i="16"/>
  <c r="N1713" i="16"/>
  <c r="Q1713" i="16" s="1"/>
  <c r="P1720" i="16"/>
  <c r="N1720" i="16"/>
  <c r="Q1720" i="16" s="1"/>
  <c r="P1724" i="16"/>
  <c r="N1724" i="16"/>
  <c r="Q1724" i="16" s="1"/>
  <c r="P1728" i="16"/>
  <c r="N1728" i="16"/>
  <c r="Q1728" i="16" s="1"/>
  <c r="P1749" i="16"/>
  <c r="N1749" i="16"/>
  <c r="Q1749" i="16" s="1"/>
  <c r="P1756" i="16"/>
  <c r="N1756" i="16"/>
  <c r="Q1756" i="16" s="1"/>
  <c r="P1777" i="16"/>
  <c r="N1777" i="16"/>
  <c r="Q1777" i="16" s="1"/>
  <c r="P1786" i="16"/>
  <c r="N1786" i="16"/>
  <c r="Q1786" i="16" s="1"/>
  <c r="P1790" i="16"/>
  <c r="N1790" i="16"/>
  <c r="Q1790" i="16" s="1"/>
  <c r="P1881" i="16"/>
  <c r="N1881" i="16"/>
  <c r="Q1881" i="16" s="1"/>
  <c r="P1902" i="16"/>
  <c r="N1902" i="16"/>
  <c r="Q1902" i="16" s="1"/>
  <c r="P1910" i="16"/>
  <c r="N1910" i="16"/>
  <c r="Q1910" i="16" s="1"/>
  <c r="P1914" i="16"/>
  <c r="N1914" i="16"/>
  <c r="Q1914" i="16" s="1"/>
  <c r="P1918" i="16"/>
  <c r="N1918" i="16"/>
  <c r="Q1918" i="16" s="1"/>
  <c r="P1922" i="16"/>
  <c r="N1922" i="16"/>
  <c r="Q1922" i="16" s="1"/>
  <c r="P1925" i="16"/>
  <c r="N1925" i="16"/>
  <c r="Q1925" i="16" s="1"/>
  <c r="P1929" i="16"/>
  <c r="N1929" i="16"/>
  <c r="Q1929" i="16" s="1"/>
  <c r="S606" i="16"/>
  <c r="T606" i="16" s="1"/>
  <c r="AD316" i="16"/>
  <c r="AE316" i="16" s="1"/>
  <c r="AD317" i="16"/>
  <c r="AE317" i="16" s="1"/>
  <c r="AD513" i="16"/>
  <c r="AE513" i="16" s="1"/>
  <c r="AD518" i="16"/>
  <c r="AE518" i="16" s="1"/>
  <c r="AD519" i="16"/>
  <c r="AE519" i="16" s="1"/>
  <c r="T583" i="16"/>
  <c r="P962" i="16"/>
  <c r="P963" i="16"/>
  <c r="P1399" i="16"/>
  <c r="P1658" i="16"/>
  <c r="Q397" i="16"/>
  <c r="AD400" i="16"/>
  <c r="AE400" i="16" s="1"/>
  <c r="AD473" i="16"/>
  <c r="AE473" i="16" s="1"/>
  <c r="Q732" i="16"/>
  <c r="S799" i="16"/>
  <c r="T799" i="16" s="1"/>
  <c r="T1668" i="16"/>
  <c r="T1669" i="16"/>
  <c r="AD155" i="16"/>
  <c r="AE155" i="16" s="1"/>
  <c r="AD351" i="16"/>
  <c r="AE351" i="16" s="1"/>
  <c r="Q122" i="16"/>
  <c r="S603" i="16"/>
  <c r="T603" i="16" s="1"/>
  <c r="Q118" i="16"/>
  <c r="Q721" i="16"/>
  <c r="Q740" i="16"/>
  <c r="Q1687" i="16"/>
  <c r="Q1885" i="16"/>
  <c r="Q380" i="16"/>
  <c r="Q384" i="16"/>
  <c r="Q411" i="16"/>
  <c r="P1155" i="16"/>
  <c r="Q1856" i="16"/>
  <c r="P274" i="16"/>
  <c r="P826" i="16"/>
  <c r="Q690" i="16"/>
  <c r="P911" i="16"/>
  <c r="Q1457" i="16"/>
  <c r="P232" i="16"/>
  <c r="P250" i="16"/>
  <c r="P294" i="16"/>
  <c r="Q357" i="16"/>
  <c r="P421" i="16"/>
  <c r="P708" i="16"/>
  <c r="P717" i="16"/>
  <c r="Q803" i="16"/>
  <c r="Q821" i="16"/>
  <c r="Q830" i="16"/>
  <c r="Q857" i="16"/>
  <c r="P1217" i="16"/>
  <c r="Q1445" i="16"/>
  <c r="P315" i="16"/>
  <c r="P715" i="16"/>
  <c r="P951" i="16"/>
  <c r="P1302" i="16"/>
  <c r="P1324" i="16"/>
  <c r="P1353" i="16"/>
  <c r="P1617" i="16"/>
  <c r="P1624" i="16"/>
  <c r="P1904" i="16"/>
  <c r="P118" i="16"/>
  <c r="P122" i="16"/>
  <c r="Q312" i="16"/>
  <c r="Q446" i="16"/>
  <c r="P545" i="16"/>
  <c r="P749" i="16"/>
  <c r="P1078" i="16"/>
  <c r="P1174" i="16"/>
  <c r="P1358" i="16"/>
  <c r="Q1366" i="16"/>
  <c r="P1352" i="16"/>
  <c r="Q1078" i="16"/>
  <c r="Q525" i="16"/>
  <c r="P525" i="16"/>
  <c r="Q584" i="16"/>
  <c r="P584" i="16"/>
  <c r="Q650" i="16"/>
  <c r="P650" i="16"/>
  <c r="Q735" i="16"/>
  <c r="P735" i="16"/>
  <c r="P755" i="16"/>
  <c r="Q755" i="16"/>
  <c r="Q931" i="16"/>
  <c r="P931" i="16"/>
  <c r="P1274" i="16"/>
  <c r="Q1274" i="16"/>
  <c r="Q1381" i="16"/>
  <c r="P1381" i="16"/>
  <c r="P1680" i="16"/>
  <c r="Q1680" i="16"/>
  <c r="P73" i="16"/>
  <c r="P108" i="16"/>
  <c r="P142" i="16"/>
  <c r="Q142" i="16"/>
  <c r="Q260" i="16"/>
  <c r="P260" i="16"/>
  <c r="Q364" i="16"/>
  <c r="P364" i="16"/>
  <c r="Q615" i="16"/>
  <c r="P615" i="16"/>
  <c r="P668" i="16"/>
  <c r="Q668" i="16"/>
  <c r="P693" i="16"/>
  <c r="Q693" i="16"/>
  <c r="P922" i="16"/>
  <c r="Q922" i="16"/>
  <c r="Q958" i="16"/>
  <c r="P958" i="16"/>
  <c r="P1913" i="16"/>
  <c r="P143" i="16"/>
  <c r="Q143" i="16"/>
  <c r="P480" i="16"/>
  <c r="Q480" i="16"/>
  <c r="P531" i="16"/>
  <c r="P944" i="16"/>
  <c r="Q944" i="16"/>
  <c r="P993" i="16"/>
  <c r="P1190" i="16"/>
  <c r="Q1190" i="16"/>
  <c r="Q1488" i="16"/>
  <c r="P1488" i="16"/>
  <c r="P102" i="16"/>
  <c r="P131" i="16"/>
  <c r="Q131" i="16"/>
  <c r="P389" i="16"/>
  <c r="Q389" i="16"/>
  <c r="Q631" i="16"/>
  <c r="P631" i="16"/>
  <c r="Q673" i="16"/>
  <c r="P673" i="16"/>
  <c r="P695" i="16"/>
  <c r="Q695" i="16"/>
  <c r="Q723" i="16"/>
  <c r="P723" i="16"/>
  <c r="Q980" i="16"/>
  <c r="P980" i="16"/>
  <c r="Q1279" i="16"/>
  <c r="P1279" i="16"/>
  <c r="P1681" i="16"/>
  <c r="Q1681" i="16"/>
  <c r="P1883" i="16"/>
  <c r="Q1883" i="16"/>
  <c r="Q104" i="16"/>
  <c r="Q189" i="16"/>
  <c r="P230" i="16"/>
  <c r="Q307" i="16"/>
  <c r="P417" i="16"/>
  <c r="Q431" i="16"/>
  <c r="P623" i="16"/>
  <c r="Q689" i="16"/>
  <c r="P697" i="16"/>
  <c r="Q701" i="16"/>
  <c r="P725" i="16"/>
  <c r="P774" i="16"/>
  <c r="Q785" i="16"/>
  <c r="Q806" i="16"/>
  <c r="Q807" i="16"/>
  <c r="Q809" i="16"/>
  <c r="Q817" i="16"/>
  <c r="P836" i="16"/>
  <c r="P842" i="16"/>
  <c r="P865" i="16"/>
  <c r="P1171" i="16"/>
  <c r="Q1194" i="16"/>
  <c r="Q1195" i="16"/>
  <c r="P1210" i="16"/>
  <c r="P1341" i="16"/>
  <c r="P1440" i="16"/>
  <c r="P1564" i="16"/>
  <c r="P1577" i="16"/>
  <c r="Q1915" i="16"/>
  <c r="Q1425" i="16"/>
  <c r="Q1624" i="16"/>
  <c r="Q1794" i="16"/>
  <c r="P104" i="16"/>
  <c r="P189" i="16"/>
  <c r="Q224" i="16"/>
  <c r="Q323" i="16"/>
  <c r="P327" i="16"/>
  <c r="Q374" i="16"/>
  <c r="Q447" i="16"/>
  <c r="Q502" i="16"/>
  <c r="Q593" i="16"/>
  <c r="Q882" i="16"/>
  <c r="Q885" i="16"/>
  <c r="Q982" i="16"/>
  <c r="T1104" i="16"/>
  <c r="Q1564" i="16"/>
  <c r="Q1577" i="16"/>
  <c r="Q1774" i="16"/>
  <c r="Q1821" i="16"/>
  <c r="Q890" i="16"/>
  <c r="Q859" i="16"/>
  <c r="Q243" i="16"/>
  <c r="P243" i="16"/>
  <c r="P432" i="16"/>
  <c r="Q432" i="16"/>
  <c r="Q461" i="16"/>
  <c r="P461" i="16"/>
  <c r="P835" i="16"/>
  <c r="Q835" i="16"/>
  <c r="P11" i="16"/>
  <c r="Q11" i="16"/>
  <c r="Q19" i="16"/>
  <c r="P19" i="16"/>
  <c r="Q45" i="16"/>
  <c r="P45" i="16"/>
  <c r="P82" i="16"/>
  <c r="Q82" i="16"/>
  <c r="Q221" i="16"/>
  <c r="P221" i="16"/>
  <c r="P234" i="16"/>
  <c r="Q234" i="16"/>
  <c r="Q278" i="16"/>
  <c r="P278" i="16"/>
  <c r="P680" i="16"/>
  <c r="Q680" i="16"/>
  <c r="Q687" i="16"/>
  <c r="P687" i="16"/>
  <c r="Q1812" i="16"/>
  <c r="P1812" i="16"/>
  <c r="Q1935" i="16"/>
  <c r="Q43" i="16"/>
  <c r="P43" i="16"/>
  <c r="Q160" i="16"/>
  <c r="P160" i="16"/>
  <c r="Q276" i="16"/>
  <c r="P276" i="16"/>
  <c r="P297" i="16"/>
  <c r="P303" i="16"/>
  <c r="Q303" i="16"/>
  <c r="Q358" i="16"/>
  <c r="P358" i="16"/>
  <c r="Q415" i="16"/>
  <c r="P415" i="16"/>
  <c r="P430" i="16"/>
  <c r="Q430" i="16"/>
  <c r="Q438" i="16"/>
  <c r="P438" i="16"/>
  <c r="Q460" i="16"/>
  <c r="P460" i="16"/>
  <c r="P474" i="16"/>
  <c r="Q474" i="16"/>
  <c r="P599" i="16"/>
  <c r="Q599" i="16"/>
  <c r="Q656" i="16"/>
  <c r="P656" i="16"/>
  <c r="Q751" i="16"/>
  <c r="P751" i="16"/>
  <c r="P1298" i="16"/>
  <c r="Q1298" i="16"/>
  <c r="P1504" i="16"/>
  <c r="Q1504" i="16"/>
  <c r="P1535" i="16"/>
  <c r="Q1535" i="16"/>
  <c r="Q1552" i="16"/>
  <c r="P1552" i="16"/>
  <c r="P1584" i="16"/>
  <c r="Q1584" i="16"/>
  <c r="P1646" i="16"/>
  <c r="Q1646" i="16"/>
  <c r="P1784" i="16"/>
  <c r="Q1784" i="16"/>
  <c r="P13" i="16"/>
  <c r="Q13" i="16"/>
  <c r="Q110" i="16"/>
  <c r="P110" i="16"/>
  <c r="P156" i="16"/>
  <c r="Q156" i="16"/>
  <c r="P269" i="16"/>
  <c r="Q269" i="16"/>
  <c r="Q296" i="16"/>
  <c r="P296" i="16"/>
  <c r="P355" i="16"/>
  <c r="P613" i="16"/>
  <c r="Q613" i="16"/>
  <c r="Q647" i="16"/>
  <c r="P647" i="16"/>
  <c r="Q691" i="16"/>
  <c r="P691" i="16"/>
  <c r="Q1260" i="16"/>
  <c r="P1260" i="16"/>
  <c r="P1264" i="16"/>
  <c r="Q1264" i="16"/>
  <c r="P1385" i="16"/>
  <c r="Q1385" i="16"/>
  <c r="P12" i="16"/>
  <c r="Q12" i="16"/>
  <c r="P55" i="16"/>
  <c r="Q55" i="16"/>
  <c r="Q236" i="16"/>
  <c r="P236" i="16"/>
  <c r="Q248" i="16"/>
  <c r="P248" i="16"/>
  <c r="P280" i="16"/>
  <c r="Q280" i="16"/>
  <c r="P290" i="16"/>
  <c r="Q290" i="16"/>
  <c r="Q344" i="16"/>
  <c r="P344" i="16"/>
  <c r="P367" i="16"/>
  <c r="Q367" i="16"/>
  <c r="P433" i="16"/>
  <c r="Q433" i="16"/>
  <c r="Q578" i="16"/>
  <c r="P578" i="16"/>
  <c r="Q706" i="16"/>
  <c r="P706" i="16"/>
  <c r="P1015" i="16"/>
  <c r="Q1015" i="16"/>
  <c r="P1059" i="16"/>
  <c r="Q1059" i="16"/>
  <c r="P533" i="16"/>
  <c r="Q533" i="16"/>
  <c r="P745" i="16"/>
  <c r="Q745" i="16"/>
  <c r="Q893" i="16"/>
  <c r="P893" i="16"/>
  <c r="P1106" i="16"/>
  <c r="Q1106" i="16"/>
  <c r="P1228" i="16"/>
  <c r="Q1228" i="16"/>
  <c r="P1239" i="16"/>
  <c r="Q1239" i="16"/>
  <c r="P1397" i="16"/>
  <c r="Q1397" i="16"/>
  <c r="P1534" i="16"/>
  <c r="Q1534" i="16"/>
  <c r="P1793" i="16"/>
  <c r="Q1793" i="16"/>
  <c r="Q256" i="16"/>
  <c r="P256" i="16"/>
  <c r="Q319" i="16"/>
  <c r="P319" i="16"/>
  <c r="Q320" i="16"/>
  <c r="Q359" i="16"/>
  <c r="Q366" i="16"/>
  <c r="P366" i="16"/>
  <c r="Q370" i="16"/>
  <c r="Q469" i="16"/>
  <c r="P469" i="16"/>
  <c r="Q547" i="16"/>
  <c r="P547" i="16"/>
  <c r="P597" i="16"/>
  <c r="Q597" i="16"/>
  <c r="Q636" i="16"/>
  <c r="P636" i="16"/>
  <c r="P645" i="16"/>
  <c r="Q645" i="16"/>
  <c r="P676" i="16"/>
  <c r="Q676" i="16"/>
  <c r="Q685" i="16"/>
  <c r="P685" i="16"/>
  <c r="P704" i="16"/>
  <c r="Q704" i="16"/>
  <c r="P780" i="16"/>
  <c r="Q780" i="16"/>
  <c r="P1559" i="16"/>
  <c r="Q1559" i="16"/>
  <c r="P1586" i="16"/>
  <c r="Q1586" i="16"/>
  <c r="Q1737" i="16"/>
  <c r="P1737" i="16"/>
  <c r="P1842" i="16"/>
  <c r="Q1842" i="16"/>
  <c r="P1857" i="16"/>
  <c r="Q1857" i="16"/>
  <c r="Q1919" i="16"/>
  <c r="P1919" i="16"/>
  <c r="Q73" i="16"/>
  <c r="Q108" i="16"/>
  <c r="Q218" i="16"/>
  <c r="P288" i="16"/>
  <c r="Q288" i="16"/>
  <c r="Q345" i="16"/>
  <c r="P345" i="16"/>
  <c r="Q405" i="16"/>
  <c r="Q468" i="16"/>
  <c r="P468" i="16"/>
  <c r="Q531" i="16"/>
  <c r="Q559" i="16"/>
  <c r="P559" i="16"/>
  <c r="P567" i="16"/>
  <c r="Q567" i="16"/>
  <c r="P603" i="16"/>
  <c r="Q609" i="16"/>
  <c r="P609" i="16"/>
  <c r="P659" i="16"/>
  <c r="Q788" i="16"/>
  <c r="Q810" i="16"/>
  <c r="Q814" i="16"/>
  <c r="Q831" i="16"/>
  <c r="P982" i="16"/>
  <c r="P992" i="16"/>
  <c r="P1021" i="16"/>
  <c r="Q1021" i="16"/>
  <c r="P1036" i="16"/>
  <c r="P1060" i="16"/>
  <c r="Q1060" i="16"/>
  <c r="P1079" i="16"/>
  <c r="Q1079" i="16"/>
  <c r="P1081" i="16"/>
  <c r="P1087" i="16"/>
  <c r="P1093" i="16"/>
  <c r="P1151" i="16"/>
  <c r="P1152" i="16"/>
  <c r="P1160" i="16"/>
  <c r="Q1160" i="16"/>
  <c r="P1165" i="16"/>
  <c r="Q1165" i="16"/>
  <c r="P1223" i="16"/>
  <c r="Q1223" i="16"/>
  <c r="P1267" i="16"/>
  <c r="P1270" i="16"/>
  <c r="Q1270" i="16"/>
  <c r="P1300" i="16"/>
  <c r="Q1300" i="16"/>
  <c r="P1320" i="16"/>
  <c r="P1321" i="16"/>
  <c r="P1336" i="16"/>
  <c r="Q1336" i="16"/>
  <c r="P1351" i="16"/>
  <c r="Q1351" i="16"/>
  <c r="P1417" i="16"/>
  <c r="Q1417" i="16"/>
  <c r="P1432" i="16"/>
  <c r="P1439" i="16"/>
  <c r="Q1439" i="16"/>
  <c r="Q1453" i="16"/>
  <c r="P1482" i="16"/>
  <c r="Q1482" i="16"/>
  <c r="P1500" i="16"/>
  <c r="Q1500" i="16"/>
  <c r="P1505" i="16"/>
  <c r="Q1505" i="16"/>
  <c r="P1558" i="16"/>
  <c r="Q1558" i="16"/>
  <c r="P1585" i="16"/>
  <c r="Q1585" i="16"/>
  <c r="P1650" i="16"/>
  <c r="P1736" i="16"/>
  <c r="Q1736" i="16"/>
  <c r="P1802" i="16"/>
  <c r="Q1916" i="16"/>
  <c r="P1916" i="16"/>
  <c r="Q335" i="16"/>
  <c r="Q336" i="16"/>
  <c r="Q408" i="16"/>
  <c r="Q448" i="16"/>
  <c r="Q790" i="16"/>
  <c r="P1001" i="16"/>
  <c r="Q1001" i="16"/>
  <c r="P1041" i="16"/>
  <c r="Q1041" i="16"/>
  <c r="P1080" i="16"/>
  <c r="Q1080" i="16"/>
  <c r="P1135" i="16"/>
  <c r="Q1135" i="16"/>
  <c r="P1319" i="16"/>
  <c r="Q1319" i="16"/>
  <c r="P1339" i="16"/>
  <c r="Q1339" i="16"/>
  <c r="P1431" i="16"/>
  <c r="Q1431" i="16"/>
  <c r="P1483" i="16"/>
  <c r="Q1483" i="16"/>
  <c r="P1735" i="16"/>
  <c r="Q1735" i="16"/>
  <c r="P1754" i="16"/>
  <c r="Q1754" i="16"/>
  <c r="P1835" i="16"/>
  <c r="Q1835" i="16"/>
  <c r="P1843" i="16"/>
  <c r="Q1843" i="16"/>
  <c r="P1854" i="16"/>
  <c r="Q1854" i="16"/>
  <c r="P1858" i="16"/>
  <c r="Q1858" i="16"/>
  <c r="Q1095" i="16"/>
  <c r="Q1163" i="16"/>
  <c r="P1275" i="16"/>
  <c r="P1276" i="16"/>
  <c r="Q1302" i="16"/>
  <c r="Q1368" i="16"/>
  <c r="Q1369" i="16"/>
  <c r="Q1372" i="16"/>
  <c r="P1387" i="16"/>
  <c r="P1388" i="16"/>
  <c r="P1389" i="16"/>
  <c r="P1405" i="16"/>
  <c r="Q1433" i="16"/>
  <c r="P1444" i="16"/>
  <c r="P1528" i="16"/>
  <c r="P1540" i="16"/>
  <c r="P1567" i="16"/>
  <c r="P1633" i="16"/>
  <c r="Q1770" i="16"/>
  <c r="Q1775" i="16"/>
  <c r="P1828" i="16"/>
  <c r="P1852" i="16"/>
  <c r="P1889" i="16"/>
  <c r="Q1907" i="16"/>
  <c r="Q1926" i="16"/>
  <c r="Q987" i="16"/>
  <c r="Q1010" i="16"/>
  <c r="P1032" i="16"/>
  <c r="P1109" i="16"/>
  <c r="P1122" i="16"/>
  <c r="P1137" i="16"/>
  <c r="P1142" i="16"/>
  <c r="Q1155" i="16"/>
  <c r="P1163" i="16"/>
  <c r="P1195" i="16"/>
  <c r="P1225" i="16"/>
  <c r="Q1235" i="16"/>
  <c r="Q1387" i="16"/>
  <c r="Q1405" i="16"/>
  <c r="P1424" i="16"/>
  <c r="Q1441" i="16"/>
  <c r="P1452" i="16"/>
  <c r="P1464" i="16"/>
  <c r="P1516" i="16"/>
  <c r="Q1540" i="16"/>
  <c r="T1656" i="16"/>
  <c r="P1698" i="16"/>
  <c r="P1722" i="16"/>
  <c r="Q1788" i="16"/>
  <c r="Q1801" i="16"/>
  <c r="P1804" i="16"/>
  <c r="Q1820" i="16"/>
  <c r="P1831" i="16"/>
  <c r="P1874" i="16"/>
  <c r="Q1889" i="16"/>
  <c r="P1893" i="16"/>
  <c r="Q1923" i="16"/>
  <c r="P51" i="16"/>
  <c r="Q51" i="16"/>
  <c r="P170" i="16"/>
  <c r="Q170" i="16"/>
  <c r="Q200" i="16"/>
  <c r="P200" i="16"/>
  <c r="Q225" i="16"/>
  <c r="P225" i="16"/>
  <c r="Q348" i="16"/>
  <c r="P348" i="16"/>
  <c r="Q377" i="16"/>
  <c r="P377" i="16"/>
  <c r="P406" i="16"/>
  <c r="Q406" i="16"/>
  <c r="Q489" i="16"/>
  <c r="P489" i="16"/>
  <c r="P1409" i="16"/>
  <c r="Q1409" i="16"/>
  <c r="Q1605" i="16"/>
  <c r="P1605" i="16"/>
  <c r="P1613" i="16"/>
  <c r="Q1613" i="16"/>
  <c r="Q1627" i="16"/>
  <c r="P1627" i="16"/>
  <c r="P1638" i="16"/>
  <c r="Q1638" i="16"/>
  <c r="P1671" i="16"/>
  <c r="Q1671" i="16"/>
  <c r="P1684" i="16"/>
  <c r="Q1684" i="16"/>
  <c r="P1782" i="16"/>
  <c r="Q1782" i="16"/>
  <c r="P1796" i="16"/>
  <c r="Q1796" i="16"/>
  <c r="Q1815" i="16"/>
  <c r="P1815" i="16"/>
  <c r="P1890" i="16"/>
  <c r="Q1890" i="16"/>
  <c r="Q1903" i="16"/>
  <c r="P1903" i="16"/>
  <c r="Q1931" i="16"/>
  <c r="P1931" i="16"/>
  <c r="P24" i="16"/>
  <c r="Q24" i="16"/>
  <c r="P53" i="16"/>
  <c r="Q53" i="16"/>
  <c r="P94" i="16"/>
  <c r="Q94" i="16"/>
  <c r="Q135" i="16"/>
  <c r="P135" i="16"/>
  <c r="P169" i="16"/>
  <c r="Q169" i="16"/>
  <c r="P210" i="16"/>
  <c r="Q210" i="16"/>
  <c r="P284" i="16"/>
  <c r="Q284" i="16"/>
  <c r="P309" i="16"/>
  <c r="Q329" i="16"/>
  <c r="P329" i="16"/>
  <c r="Q341" i="16"/>
  <c r="P341" i="16"/>
  <c r="P376" i="16"/>
  <c r="Q376" i="16"/>
  <c r="P404" i="16"/>
  <c r="Q404" i="16"/>
  <c r="P419" i="16"/>
  <c r="P426" i="16"/>
  <c r="Q426" i="16"/>
  <c r="P487" i="16"/>
  <c r="Q487" i="16"/>
  <c r="Q541" i="16"/>
  <c r="P541" i="16"/>
  <c r="Q586" i="16"/>
  <c r="P586" i="16"/>
  <c r="Q595" i="16"/>
  <c r="P595" i="16"/>
  <c r="Q604" i="16"/>
  <c r="P604" i="16"/>
  <c r="P853" i="16"/>
  <c r="Q853" i="16"/>
  <c r="P858" i="16"/>
  <c r="Q858" i="16"/>
  <c r="Q1057" i="16"/>
  <c r="P1057" i="16"/>
  <c r="Q1086" i="16"/>
  <c r="P1086" i="16"/>
  <c r="P1114" i="16"/>
  <c r="Q1114" i="16"/>
  <c r="Q31" i="16"/>
  <c r="P31" i="16"/>
  <c r="Q41" i="16"/>
  <c r="P41" i="16"/>
  <c r="P95" i="16"/>
  <c r="Q95" i="16"/>
  <c r="Q126" i="16"/>
  <c r="Q140" i="16"/>
  <c r="P140" i="16"/>
  <c r="Q187" i="16"/>
  <c r="P187" i="16"/>
  <c r="Q427" i="16"/>
  <c r="P427" i="16"/>
  <c r="Q555" i="16"/>
  <c r="P555" i="16"/>
  <c r="Q625" i="16"/>
  <c r="P625" i="16"/>
  <c r="P1343" i="16"/>
  <c r="Q1343" i="16"/>
  <c r="P1347" i="16"/>
  <c r="Q1347" i="16"/>
  <c r="P1415" i="16"/>
  <c r="Q1415" i="16"/>
  <c r="P23" i="16"/>
  <c r="Q23" i="16"/>
  <c r="P52" i="16"/>
  <c r="Q52" i="16"/>
  <c r="Q59" i="16"/>
  <c r="P59" i="16"/>
  <c r="Q93" i="16"/>
  <c r="P93" i="16"/>
  <c r="P168" i="16"/>
  <c r="Q168" i="16"/>
  <c r="Q178" i="16"/>
  <c r="P178" i="16"/>
  <c r="P217" i="16"/>
  <c r="Q217" i="16"/>
  <c r="P332" i="16"/>
  <c r="Q332" i="16"/>
  <c r="Q340" i="16"/>
  <c r="P340" i="16"/>
  <c r="P424" i="16"/>
  <c r="Q424" i="16"/>
  <c r="Q425" i="16"/>
  <c r="P425" i="16"/>
  <c r="P436" i="16"/>
  <c r="Q436" i="16"/>
  <c r="Q666" i="16"/>
  <c r="P666" i="16"/>
  <c r="Q768" i="16"/>
  <c r="P768" i="16"/>
  <c r="Q794" i="16"/>
  <c r="P794" i="16"/>
  <c r="Q798" i="16"/>
  <c r="P798" i="16"/>
  <c r="P1236" i="16"/>
  <c r="Q1236" i="16"/>
  <c r="P1284" i="16"/>
  <c r="Q1284" i="16"/>
  <c r="P1555" i="16"/>
  <c r="Q1555" i="16"/>
  <c r="P127" i="16"/>
  <c r="Q127" i="16"/>
  <c r="P282" i="16"/>
  <c r="Q282" i="16"/>
  <c r="P311" i="16"/>
  <c r="Q311" i="16"/>
  <c r="Q349" i="16"/>
  <c r="P349" i="16"/>
  <c r="P379" i="16"/>
  <c r="Q423" i="16"/>
  <c r="P423" i="16"/>
  <c r="Q434" i="16"/>
  <c r="P434" i="16"/>
  <c r="P450" i="16"/>
  <c r="Q450" i="16"/>
  <c r="Q515" i="16"/>
  <c r="P515" i="16"/>
  <c r="Q517" i="16"/>
  <c r="P517" i="16"/>
  <c r="Q564" i="16"/>
  <c r="P564" i="16"/>
  <c r="Q638" i="16"/>
  <c r="P638" i="16"/>
  <c r="Q861" i="16"/>
  <c r="P861" i="16"/>
  <c r="Q877" i="16"/>
  <c r="P877" i="16"/>
  <c r="P926" i="16"/>
  <c r="Q926" i="16"/>
  <c r="Q986" i="16"/>
  <c r="P986" i="16"/>
  <c r="P1282" i="16"/>
  <c r="Q1282" i="16"/>
  <c r="Q1348" i="16"/>
  <c r="P1348" i="16"/>
  <c r="P1363" i="16"/>
  <c r="Q1363" i="16"/>
  <c r="P1428" i="16"/>
  <c r="P113" i="16"/>
  <c r="P185" i="16"/>
  <c r="P383" i="16"/>
  <c r="Q383" i="16"/>
  <c r="P407" i="16"/>
  <c r="Q407" i="16"/>
  <c r="P540" i="16"/>
  <c r="Q540" i="16"/>
  <c r="P549" i="16"/>
  <c r="Q549" i="16"/>
  <c r="P562" i="16"/>
  <c r="Q562" i="16"/>
  <c r="Q569" i="16"/>
  <c r="P569" i="16"/>
  <c r="Q576" i="16"/>
  <c r="P576" i="16"/>
  <c r="Q591" i="16"/>
  <c r="P591" i="16"/>
  <c r="Q671" i="16"/>
  <c r="P671" i="16"/>
  <c r="Q733" i="16"/>
  <c r="P733" i="16"/>
  <c r="Q741" i="16"/>
  <c r="P741" i="16"/>
  <c r="Q761" i="16"/>
  <c r="P761" i="16"/>
  <c r="Q801" i="16"/>
  <c r="P801" i="16"/>
  <c r="Q915" i="16"/>
  <c r="P915" i="16"/>
  <c r="Q942" i="16"/>
  <c r="P942" i="16"/>
  <c r="P984" i="16"/>
  <c r="Q984" i="16"/>
  <c r="Q999" i="16"/>
  <c r="P999" i="16"/>
  <c r="P1038" i="16"/>
  <c r="Q1038" i="16"/>
  <c r="P1085" i="16"/>
  <c r="Q1085" i="16"/>
  <c r="P1112" i="16"/>
  <c r="Q1112" i="16"/>
  <c r="P1168" i="16"/>
  <c r="Q1203" i="16"/>
  <c r="P1203" i="16"/>
  <c r="Q1221" i="16"/>
  <c r="P1221" i="16"/>
  <c r="Q1293" i="16"/>
  <c r="P1293" i="16"/>
  <c r="Q1306" i="16"/>
  <c r="P1306" i="16"/>
  <c r="Q1316" i="16"/>
  <c r="P1316" i="16"/>
  <c r="Q1330" i="16"/>
  <c r="P1330" i="16"/>
  <c r="Q1337" i="16"/>
  <c r="P1337" i="16"/>
  <c r="Q1421" i="16"/>
  <c r="P1421" i="16"/>
  <c r="P1427" i="16"/>
  <c r="Q1427" i="16"/>
  <c r="Q1456" i="16"/>
  <c r="P1456" i="16"/>
  <c r="P1554" i="16"/>
  <c r="Q1554" i="16"/>
  <c r="P1574" i="16"/>
  <c r="Q1574" i="16"/>
  <c r="Q1595" i="16"/>
  <c r="P1595" i="16"/>
  <c r="P1637" i="16"/>
  <c r="Q1637" i="16"/>
  <c r="P1667" i="16"/>
  <c r="Q1667" i="16"/>
  <c r="P1676" i="16"/>
  <c r="Q1676" i="16"/>
  <c r="Q1718" i="16"/>
  <c r="P1718" i="16"/>
  <c r="P1743" i="16"/>
  <c r="Q1743" i="16"/>
  <c r="P1769" i="16"/>
  <c r="Q1769" i="16"/>
  <c r="P1866" i="16"/>
  <c r="Q1866" i="16"/>
  <c r="P1880" i="16"/>
  <c r="Q1880" i="16"/>
  <c r="Q1898" i="16"/>
  <c r="P1898" i="16"/>
  <c r="P1924" i="16"/>
  <c r="Q1924" i="16"/>
  <c r="Q1937" i="16"/>
  <c r="P1937" i="16"/>
  <c r="Q259" i="16"/>
  <c r="Q273" i="16"/>
  <c r="Q274" i="16"/>
  <c r="Q293" i="16"/>
  <c r="Q294" i="16"/>
  <c r="Q322" i="16"/>
  <c r="Q390" i="16"/>
  <c r="P399" i="16"/>
  <c r="Q399" i="16"/>
  <c r="Q420" i="16"/>
  <c r="Q455" i="16"/>
  <c r="Q560" i="16"/>
  <c r="P560" i="16"/>
  <c r="Q566" i="16"/>
  <c r="P566" i="16"/>
  <c r="Q629" i="16"/>
  <c r="Q747" i="16"/>
  <c r="P747" i="16"/>
  <c r="Q760" i="16"/>
  <c r="P760" i="16"/>
  <c r="Q776" i="16"/>
  <c r="P776" i="16"/>
  <c r="P789" i="16"/>
  <c r="Q789" i="16"/>
  <c r="Q800" i="16"/>
  <c r="P800" i="16"/>
  <c r="Q820" i="16"/>
  <c r="Q823" i="16"/>
  <c r="Q870" i="16"/>
  <c r="Q874" i="16"/>
  <c r="P874" i="16"/>
  <c r="Q898" i="16"/>
  <c r="P898" i="16"/>
  <c r="P941" i="16"/>
  <c r="Q941" i="16"/>
  <c r="Q988" i="16"/>
  <c r="P988" i="16"/>
  <c r="P997" i="16"/>
  <c r="Q997" i="16"/>
  <c r="Q1062" i="16"/>
  <c r="P1062" i="16"/>
  <c r="Q1102" i="16"/>
  <c r="P1102" i="16"/>
  <c r="P1145" i="16"/>
  <c r="Q1167" i="16"/>
  <c r="P1167" i="16"/>
  <c r="Q1178" i="16"/>
  <c r="P1178" i="16"/>
  <c r="P1231" i="16"/>
  <c r="Q1231" i="16"/>
  <c r="Q1407" i="16"/>
  <c r="P1407" i="16"/>
  <c r="Q102" i="16"/>
  <c r="Q113" i="16"/>
  <c r="Q185" i="16"/>
  <c r="Q230" i="16"/>
  <c r="Q235" i="16"/>
  <c r="Q242" i="16"/>
  <c r="Q281" i="16"/>
  <c r="T297" i="16"/>
  <c r="P307" i="16"/>
  <c r="Q315" i="16"/>
  <c r="Q339" i="16"/>
  <c r="Q365" i="16"/>
  <c r="P443" i="16"/>
  <c r="P476" i="16"/>
  <c r="Q476" i="16"/>
  <c r="P490" i="16"/>
  <c r="Q490" i="16"/>
  <c r="Q571" i="16"/>
  <c r="P571" i="16"/>
  <c r="Q617" i="16"/>
  <c r="P617" i="16"/>
  <c r="Q641" i="16"/>
  <c r="P641" i="16"/>
  <c r="Q702" i="16"/>
  <c r="P702" i="16"/>
  <c r="P710" i="16"/>
  <c r="Q713" i="16"/>
  <c r="P713" i="16"/>
  <c r="Q729" i="16"/>
  <c r="P729" i="16"/>
  <c r="Q743" i="16"/>
  <c r="P743" i="16"/>
  <c r="Q759" i="16"/>
  <c r="P759" i="16"/>
  <c r="Q763" i="16"/>
  <c r="P763" i="16"/>
  <c r="Q854" i="16"/>
  <c r="P854" i="16"/>
  <c r="Q862" i="16"/>
  <c r="P862" i="16"/>
  <c r="Q881" i="16"/>
  <c r="Q886" i="16"/>
  <c r="Q927" i="16"/>
  <c r="P927" i="16"/>
  <c r="Q945" i="16"/>
  <c r="P945" i="16"/>
  <c r="Q954" i="16"/>
  <c r="P954" i="16"/>
  <c r="P1023" i="16"/>
  <c r="Q1023" i="16"/>
  <c r="Q1061" i="16"/>
  <c r="P1061" i="16"/>
  <c r="Q1122" i="16"/>
  <c r="Q1129" i="16"/>
  <c r="P1129" i="16"/>
  <c r="Q1158" i="16"/>
  <c r="P1158" i="16"/>
  <c r="Q416" i="16"/>
  <c r="Q441" i="16"/>
  <c r="Q471" i="16"/>
  <c r="Q488" i="16"/>
  <c r="Q491" i="16"/>
  <c r="Q492" i="16"/>
  <c r="Q499" i="16"/>
  <c r="Q512" i="16"/>
  <c r="Q545" i="16"/>
  <c r="Q553" i="16"/>
  <c r="Q583" i="16"/>
  <c r="Q623" i="16"/>
  <c r="Q696" i="16"/>
  <c r="Q697" i="16"/>
  <c r="Q770" i="16"/>
  <c r="Q774" i="16"/>
  <c r="Q799" i="16"/>
  <c r="Q813" i="16"/>
  <c r="Q834" i="16"/>
  <c r="Q873" i="16"/>
  <c r="Q889" i="16"/>
  <c r="Q975" i="16"/>
  <c r="Q983" i="16"/>
  <c r="P995" i="16"/>
  <c r="Q995" i="16"/>
  <c r="P1013" i="16"/>
  <c r="Q1013" i="16"/>
  <c r="P1035" i="16"/>
  <c r="Q1035" i="16"/>
  <c r="P1089" i="16"/>
  <c r="Q1089" i="16"/>
  <c r="Q1153" i="16"/>
  <c r="P1153" i="16"/>
  <c r="Q1187" i="16"/>
  <c r="P1187" i="16"/>
  <c r="Q1199" i="16"/>
  <c r="P1199" i="16"/>
  <c r="Q1219" i="16"/>
  <c r="P1219" i="16"/>
  <c r="P1272" i="16"/>
  <c r="Q1292" i="16"/>
  <c r="P1292" i="16"/>
  <c r="Q1329" i="16"/>
  <c r="P1329" i="16"/>
  <c r="Q1334" i="16"/>
  <c r="P1334" i="16"/>
  <c r="Q1345" i="16"/>
  <c r="P1345" i="16"/>
  <c r="P1386" i="16"/>
  <c r="Q1391" i="16"/>
  <c r="P1391" i="16"/>
  <c r="Q1413" i="16"/>
  <c r="P1413" i="16"/>
  <c r="P1523" i="16"/>
  <c r="Q1523" i="16"/>
  <c r="Q508" i="16"/>
  <c r="Q543" i="16"/>
  <c r="Q606" i="16"/>
  <c r="Q622" i="16"/>
  <c r="Q682" i="16"/>
  <c r="Q683" i="16"/>
  <c r="Q725" i="16"/>
  <c r="Q726" i="16"/>
  <c r="Q749" i="16"/>
  <c r="Q816" i="16"/>
  <c r="Q962" i="16"/>
  <c r="Q963" i="16"/>
  <c r="Q1036" i="16"/>
  <c r="P1115" i="16"/>
  <c r="Q1115" i="16"/>
  <c r="Q1176" i="16"/>
  <c r="P1176" i="16"/>
  <c r="Q1182" i="16"/>
  <c r="P1182" i="16"/>
  <c r="Q1271" i="16"/>
  <c r="P1271" i="16"/>
  <c r="P1328" i="16"/>
  <c r="Q1328" i="16"/>
  <c r="Q1333" i="16"/>
  <c r="P1333" i="16"/>
  <c r="Q1344" i="16"/>
  <c r="P1344" i="16"/>
  <c r="Q1349" i="16"/>
  <c r="P1349" i="16"/>
  <c r="Q1364" i="16"/>
  <c r="P1364" i="16"/>
  <c r="Q1377" i="16"/>
  <c r="P1377" i="16"/>
  <c r="Q1395" i="16"/>
  <c r="P1395" i="16"/>
  <c r="P1411" i="16"/>
  <c r="Q1411" i="16"/>
  <c r="Q1480" i="16"/>
  <c r="P1480" i="16"/>
  <c r="P1522" i="16"/>
  <c r="Q1522" i="16"/>
  <c r="Q992" i="16"/>
  <c r="Q1006" i="16"/>
  <c r="Q1031" i="16"/>
  <c r="Q1032" i="16"/>
  <c r="Q1081" i="16"/>
  <c r="Q1109" i="16"/>
  <c r="Q1137" i="16"/>
  <c r="Q1142" i="16"/>
  <c r="Q1174" i="16"/>
  <c r="Q1198" i="16"/>
  <c r="Q1210" i="16"/>
  <c r="Q1217" i="16"/>
  <c r="Q1436" i="16"/>
  <c r="P1436" i="16"/>
  <c r="P1455" i="16"/>
  <c r="Q1455" i="16"/>
  <c r="Q1460" i="16"/>
  <c r="P1460" i="16"/>
  <c r="Q1476" i="16"/>
  <c r="P1476" i="16"/>
  <c r="Q1532" i="16"/>
  <c r="P1532" i="16"/>
  <c r="Q1548" i="16"/>
  <c r="P1548" i="16"/>
  <c r="P1602" i="16"/>
  <c r="Q1602" i="16"/>
  <c r="P1666" i="16"/>
  <c r="Q1666" i="16"/>
  <c r="P1675" i="16"/>
  <c r="Q1675" i="16"/>
  <c r="Q1710" i="16"/>
  <c r="P1710" i="16"/>
  <c r="Q1733" i="16"/>
  <c r="P1733" i="16"/>
  <c r="P1742" i="16"/>
  <c r="Q1742" i="16"/>
  <c r="P1781" i="16"/>
  <c r="Q1781" i="16"/>
  <c r="P1798" i="16"/>
  <c r="Q1798" i="16"/>
  <c r="P1884" i="16"/>
  <c r="Q1884" i="16"/>
  <c r="Q1130" i="16"/>
  <c r="Q1276" i="16"/>
  <c r="P1435" i="16"/>
  <c r="Q1435" i="16"/>
  <c r="Q1448" i="16"/>
  <c r="P1448" i="16"/>
  <c r="Q1449" i="16"/>
  <c r="P1508" i="16"/>
  <c r="Q1508" i="16"/>
  <c r="P1576" i="16"/>
  <c r="Q1576" i="16"/>
  <c r="P1579" i="16"/>
  <c r="Q1579" i="16"/>
  <c r="P1590" i="16"/>
  <c r="Q1590" i="16"/>
  <c r="P1665" i="16"/>
  <c r="Q1665" i="16"/>
  <c r="P1672" i="16"/>
  <c r="Q1672" i="16"/>
  <c r="P1685" i="16"/>
  <c r="Q1685" i="16"/>
  <c r="P1694" i="16"/>
  <c r="P1741" i="16"/>
  <c r="Q1741" i="16"/>
  <c r="P1747" i="16"/>
  <c r="Q1747" i="16"/>
  <c r="Q1852" i="16"/>
  <c r="P1872" i="16"/>
  <c r="Q1872" i="16"/>
  <c r="Q1933" i="16"/>
  <c r="P1933" i="16"/>
  <c r="P1894" i="16"/>
  <c r="Q1429" i="16"/>
  <c r="Q1437" i="16"/>
  <c r="T1580" i="16"/>
  <c r="Q1528" i="16"/>
  <c r="T1650" i="16"/>
  <c r="Q1658" i="16"/>
  <c r="P1739" i="16"/>
  <c r="P1794" i="16"/>
  <c r="Q1809" i="16"/>
  <c r="Q1824" i="16"/>
  <c r="Q1832" i="16"/>
  <c r="P1839" i="16"/>
  <c r="P1870" i="16"/>
  <c r="P1885" i="16"/>
  <c r="P1920" i="16"/>
  <c r="P802" i="16"/>
  <c r="Q802" i="16"/>
  <c r="Q1100" i="16"/>
  <c r="P1100" i="16"/>
  <c r="Q1502" i="16"/>
  <c r="P1502" i="16"/>
  <c r="Q1512" i="16"/>
  <c r="P1512" i="16"/>
  <c r="Q330" i="16"/>
  <c r="Q352" i="16"/>
  <c r="P484" i="16"/>
  <c r="Q484" i="16"/>
  <c r="P486" i="16"/>
  <c r="Q486" i="16"/>
  <c r="Q505" i="16"/>
  <c r="P505" i="16"/>
  <c r="Q756" i="16"/>
  <c r="P756" i="16"/>
  <c r="Q764" i="16"/>
  <c r="P764" i="16"/>
  <c r="P772" i="16"/>
  <c r="Q772" i="16"/>
  <c r="P783" i="16"/>
  <c r="Q783" i="16"/>
  <c r="Q795" i="16"/>
  <c r="P795" i="16"/>
  <c r="P849" i="16"/>
  <c r="Q849" i="16"/>
  <c r="Q869" i="16"/>
  <c r="P869" i="16"/>
  <c r="P892" i="16"/>
  <c r="Q892" i="16"/>
  <c r="P933" i="16"/>
  <c r="Q933" i="16"/>
  <c r="Q961" i="16"/>
  <c r="P961" i="16"/>
  <c r="Q978" i="16"/>
  <c r="P978" i="16"/>
  <c r="P1063" i="16"/>
  <c r="Q1063" i="16"/>
  <c r="Q1082" i="16"/>
  <c r="P1082" i="16"/>
  <c r="P1099" i="16"/>
  <c r="Q1099" i="16"/>
  <c r="Q1133" i="16"/>
  <c r="P1133" i="16"/>
  <c r="Q1370" i="16"/>
  <c r="P1370" i="16"/>
  <c r="Q1371" i="16"/>
  <c r="P1371" i="16"/>
  <c r="P1375" i="16"/>
  <c r="Q1375" i="16"/>
  <c r="P493" i="16"/>
  <c r="Q493" i="16"/>
  <c r="Q767" i="16"/>
  <c r="P767" i="16"/>
  <c r="Q850" i="16"/>
  <c r="P850" i="16"/>
  <c r="Q894" i="16"/>
  <c r="P894" i="16"/>
  <c r="P970" i="16"/>
  <c r="Q970" i="16"/>
  <c r="P1066" i="16"/>
  <c r="Q1066" i="16"/>
  <c r="P1513" i="16"/>
  <c r="Q1513" i="16"/>
  <c r="Q1882" i="16"/>
  <c r="P1882" i="16"/>
  <c r="Q1908" i="16"/>
  <c r="P1908" i="16"/>
  <c r="Q231" i="16"/>
  <c r="Q263" i="16"/>
  <c r="Q308" i="16"/>
  <c r="P374" i="16"/>
  <c r="P380" i="16"/>
  <c r="P384" i="16"/>
  <c r="P390" i="16"/>
  <c r="P416" i="16"/>
  <c r="Q422" i="16"/>
  <c r="Q444" i="16"/>
  <c r="Q452" i="16"/>
  <c r="Q464" i="16"/>
  <c r="P491" i="16"/>
  <c r="P508" i="16"/>
  <c r="P543" i="16"/>
  <c r="P593" i="16"/>
  <c r="P629" i="16"/>
  <c r="P690" i="16"/>
  <c r="P701" i="16"/>
  <c r="Q715" i="16"/>
  <c r="Q717" i="16"/>
  <c r="Q718" i="16"/>
  <c r="P731" i="16"/>
  <c r="Q731" i="16"/>
  <c r="P856" i="16"/>
  <c r="Q856" i="16"/>
  <c r="P868" i="16"/>
  <c r="Q868" i="16"/>
  <c r="P878" i="16"/>
  <c r="Q878" i="16"/>
  <c r="P976" i="16"/>
  <c r="Q976" i="16"/>
  <c r="Q1011" i="16"/>
  <c r="P1011" i="16"/>
  <c r="Q1116" i="16"/>
  <c r="P1116" i="16"/>
  <c r="Q1313" i="16"/>
  <c r="P1313" i="16"/>
  <c r="Q1360" i="16"/>
  <c r="P1360" i="16"/>
  <c r="Q784" i="16"/>
  <c r="P784" i="16"/>
  <c r="Q792" i="16"/>
  <c r="P792" i="16"/>
  <c r="P827" i="16"/>
  <c r="Q827" i="16"/>
  <c r="Q866" i="16"/>
  <c r="P866" i="16"/>
  <c r="Q1053" i="16"/>
  <c r="P1053" i="16"/>
  <c r="Q1159" i="16"/>
  <c r="P1159" i="16"/>
  <c r="Q1285" i="16"/>
  <c r="P1285" i="16"/>
  <c r="Q1468" i="16"/>
  <c r="P1468" i="16"/>
  <c r="Q1472" i="16"/>
  <c r="P1472" i="16"/>
  <c r="P1495" i="16"/>
  <c r="Q1495" i="16"/>
  <c r="Q1506" i="16"/>
  <c r="P1506" i="16"/>
  <c r="Q232" i="16"/>
  <c r="Q239" i="16"/>
  <c r="Q250" i="16"/>
  <c r="Q251" i="16"/>
  <c r="Q257" i="16"/>
  <c r="Q267" i="16"/>
  <c r="Q283" i="16"/>
  <c r="Q289" i="16"/>
  <c r="Q298" i="16"/>
  <c r="Q309" i="16"/>
  <c r="P317" i="16"/>
  <c r="Q327" i="16"/>
  <c r="Q355" i="16"/>
  <c r="P411" i="16"/>
  <c r="Q417" i="16"/>
  <c r="Q421" i="16"/>
  <c r="P447" i="16"/>
  <c r="P455" i="16"/>
  <c r="Q463" i="16"/>
  <c r="P473" i="16"/>
  <c r="Q481" i="16"/>
  <c r="P481" i="16"/>
  <c r="P498" i="16"/>
  <c r="P512" i="16"/>
  <c r="P553" i="16"/>
  <c r="Q603" i="16"/>
  <c r="P606" i="16"/>
  <c r="P622" i="16"/>
  <c r="Q659" i="16"/>
  <c r="P683" i="16"/>
  <c r="Q708" i="16"/>
  <c r="Q710" i="16"/>
  <c r="P721" i="16"/>
  <c r="P727" i="16"/>
  <c r="Q727" i="16"/>
  <c r="P739" i="16"/>
  <c r="Q739" i="16"/>
  <c r="P753" i="16"/>
  <c r="Q753" i="16"/>
  <c r="P757" i="16"/>
  <c r="Q757" i="16"/>
  <c r="Q781" i="16"/>
  <c r="P781" i="16"/>
  <c r="P902" i="16"/>
  <c r="Q902" i="16"/>
  <c r="Q952" i="16"/>
  <c r="P952" i="16"/>
  <c r="Q953" i="16"/>
  <c r="P953" i="16"/>
  <c r="Q1141" i="16"/>
  <c r="P1141" i="16"/>
  <c r="Q1186" i="16"/>
  <c r="P1186" i="16"/>
  <c r="P1202" i="16"/>
  <c r="Q1202" i="16"/>
  <c r="Q1215" i="16"/>
  <c r="P1215" i="16"/>
  <c r="P1232" i="16"/>
  <c r="Q1232" i="16"/>
  <c r="Q1241" i="16"/>
  <c r="P1241" i="16"/>
  <c r="P1247" i="16"/>
  <c r="Q1247" i="16"/>
  <c r="P1312" i="16"/>
  <c r="Q1312" i="16"/>
  <c r="P891" i="16"/>
  <c r="Q891" i="16"/>
  <c r="P900" i="16"/>
  <c r="Q900" i="16"/>
  <c r="Q907" i="16"/>
  <c r="P907" i="16"/>
  <c r="Q919" i="16"/>
  <c r="P919" i="16"/>
  <c r="Q937" i="16"/>
  <c r="P937" i="16"/>
  <c r="P960" i="16"/>
  <c r="Q960" i="16"/>
  <c r="P1009" i="16"/>
  <c r="Q1009" i="16"/>
  <c r="P1051" i="16"/>
  <c r="Q1051" i="16"/>
  <c r="Q1073" i="16"/>
  <c r="P1073" i="16"/>
  <c r="P1119" i="16"/>
  <c r="Q1119" i="16"/>
  <c r="Q1126" i="16"/>
  <c r="P1126" i="16"/>
  <c r="P1131" i="16"/>
  <c r="Q1131" i="16"/>
  <c r="P1188" i="16"/>
  <c r="Q1188" i="16"/>
  <c r="Q1213" i="16"/>
  <c r="P1213" i="16"/>
  <c r="Q1230" i="16"/>
  <c r="P1230" i="16"/>
  <c r="Q1248" i="16"/>
  <c r="P1248" i="16"/>
  <c r="Q1268" i="16"/>
  <c r="P1268" i="16"/>
  <c r="Q1280" i="16"/>
  <c r="P1280" i="16"/>
  <c r="Q1296" i="16"/>
  <c r="P1296" i="16"/>
  <c r="Q1359" i="16"/>
  <c r="P1359" i="16"/>
  <c r="P1494" i="16"/>
  <c r="Q1494" i="16"/>
  <c r="P1573" i="16"/>
  <c r="Q1573" i="16"/>
  <c r="P1581" i="16"/>
  <c r="Q1581" i="16"/>
  <c r="Q1614" i="16"/>
  <c r="P1614" i="16"/>
  <c r="Q1673" i="16"/>
  <c r="P1673" i="16"/>
  <c r="Q1677" i="16"/>
  <c r="P1677" i="16"/>
  <c r="Q1686" i="16"/>
  <c r="P1686" i="16"/>
  <c r="P1688" i="16"/>
  <c r="Q1688" i="16"/>
  <c r="P1692" i="16"/>
  <c r="Q899" i="16"/>
  <c r="P899" i="16"/>
  <c r="P918" i="16"/>
  <c r="Q918" i="16"/>
  <c r="Q946" i="16"/>
  <c r="P946" i="16"/>
  <c r="Q957" i="16"/>
  <c r="P957" i="16"/>
  <c r="Q967" i="16"/>
  <c r="P967" i="16"/>
  <c r="P1111" i="16"/>
  <c r="Q1111" i="16"/>
  <c r="Q1138" i="16"/>
  <c r="P1138" i="16"/>
  <c r="P1157" i="16"/>
  <c r="Q1157" i="16"/>
  <c r="Q1164" i="16"/>
  <c r="P1164" i="16"/>
  <c r="Q1183" i="16"/>
  <c r="P1183" i="16"/>
  <c r="P1196" i="16"/>
  <c r="Q1196" i="16"/>
  <c r="P1200" i="16"/>
  <c r="Q1200" i="16"/>
  <c r="Q1207" i="16"/>
  <c r="P1207" i="16"/>
  <c r="Q1229" i="16"/>
  <c r="P1229" i="16"/>
  <c r="Q1243" i="16"/>
  <c r="P1243" i="16"/>
  <c r="Q1258" i="16"/>
  <c r="P1258" i="16"/>
  <c r="Q1295" i="16"/>
  <c r="P1295" i="16"/>
  <c r="Q1309" i="16"/>
  <c r="P1309" i="16"/>
  <c r="Q1310" i="16"/>
  <c r="P1310" i="16"/>
  <c r="Q1315" i="16"/>
  <c r="P1315" i="16"/>
  <c r="Q1317" i="16"/>
  <c r="P1317" i="16"/>
  <c r="Q1384" i="16"/>
  <c r="P1384" i="16"/>
  <c r="P1609" i="16"/>
  <c r="Q1609" i="16"/>
  <c r="Q496" i="16"/>
  <c r="T748" i="16"/>
  <c r="P754" i="16"/>
  <c r="P770" i="16"/>
  <c r="P773" i="16"/>
  <c r="P785" i="16"/>
  <c r="P788" i="16"/>
  <c r="P790" i="16"/>
  <c r="P806" i="16"/>
  <c r="P809" i="16"/>
  <c r="P813" i="16"/>
  <c r="P816" i="16"/>
  <c r="P820" i="16"/>
  <c r="P830" i="16"/>
  <c r="P834" i="16"/>
  <c r="P846" i="16"/>
  <c r="P859" i="16"/>
  <c r="Q865" i="16"/>
  <c r="P870" i="16"/>
  <c r="P873" i="16"/>
  <c r="P881" i="16"/>
  <c r="P885" i="16"/>
  <c r="P889" i="16"/>
  <c r="P896" i="16"/>
  <c r="Q896" i="16"/>
  <c r="Q903" i="16"/>
  <c r="P903" i="16"/>
  <c r="Q923" i="16"/>
  <c r="P923" i="16"/>
  <c r="Q934" i="16"/>
  <c r="P934" i="16"/>
  <c r="P956" i="16"/>
  <c r="Q956" i="16"/>
  <c r="P965" i="16"/>
  <c r="Q965" i="16"/>
  <c r="Q972" i="16"/>
  <c r="P972" i="16"/>
  <c r="Q996" i="16"/>
  <c r="Q1022" i="16"/>
  <c r="P1025" i="16"/>
  <c r="Q1025" i="16"/>
  <c r="P1064" i="16"/>
  <c r="Q1064" i="16"/>
  <c r="Q1069" i="16"/>
  <c r="P1069" i="16"/>
  <c r="P1110" i="16"/>
  <c r="Q1110" i="16"/>
  <c r="Q1113" i="16"/>
  <c r="P1113" i="16"/>
  <c r="P1156" i="16"/>
  <c r="Q1156" i="16"/>
  <c r="Q1171" i="16"/>
  <c r="Q1172" i="16"/>
  <c r="P1172" i="16"/>
  <c r="Q1191" i="16"/>
  <c r="P1191" i="16"/>
  <c r="P1194" i="16"/>
  <c r="P1198" i="16"/>
  <c r="Q1233" i="16"/>
  <c r="P1233" i="16"/>
  <c r="Q1234" i="16"/>
  <c r="P1234" i="16"/>
  <c r="Q1262" i="16"/>
  <c r="P1262" i="16"/>
  <c r="Q1287" i="16"/>
  <c r="P1287" i="16"/>
  <c r="P1308" i="16"/>
  <c r="Q1308" i="16"/>
  <c r="Q1314" i="16"/>
  <c r="P1314" i="16"/>
  <c r="Q1376" i="16"/>
  <c r="P1376" i="16"/>
  <c r="P1383" i="16"/>
  <c r="Q1383" i="16"/>
  <c r="P1474" i="16"/>
  <c r="Q1474" i="16"/>
  <c r="P1498" i="16"/>
  <c r="Q1498" i="16"/>
  <c r="P1608" i="16"/>
  <c r="Q1608" i="16"/>
  <c r="P1657" i="16"/>
  <c r="Q1657" i="16"/>
  <c r="P1563" i="16"/>
  <c r="Q1563" i="16"/>
  <c r="Q1571" i="16"/>
  <c r="P1571" i="16"/>
  <c r="P1594" i="16"/>
  <c r="Q1594" i="16"/>
  <c r="Q1606" i="16"/>
  <c r="P1606" i="16"/>
  <c r="P1623" i="16"/>
  <c r="Q1623" i="16"/>
  <c r="P1689" i="16"/>
  <c r="Q1689" i="16"/>
  <c r="P1838" i="16"/>
  <c r="Q1838" i="16"/>
  <c r="Q1847" i="16"/>
  <c r="P1847" i="16"/>
  <c r="Q1897" i="16"/>
  <c r="P1897" i="16"/>
  <c r="Q1900" i="16"/>
  <c r="P1900" i="16"/>
  <c r="Q1000" i="16"/>
  <c r="Q1014" i="16"/>
  <c r="Q1286" i="16"/>
  <c r="P1286" i="16"/>
  <c r="Q1291" i="16"/>
  <c r="P1291" i="16"/>
  <c r="Q1305" i="16"/>
  <c r="P1305" i="16"/>
  <c r="Q1338" i="16"/>
  <c r="P1338" i="16"/>
  <c r="Q1367" i="16"/>
  <c r="P1367" i="16"/>
  <c r="Q1380" i="16"/>
  <c r="P1380" i="16"/>
  <c r="Q1492" i="16"/>
  <c r="P1492" i="16"/>
  <c r="Q1496" i="16"/>
  <c r="P1496" i="16"/>
  <c r="Q1520" i="16"/>
  <c r="P1520" i="16"/>
  <c r="Q1524" i="16"/>
  <c r="P1524" i="16"/>
  <c r="P1546" i="16"/>
  <c r="Q1546" i="16"/>
  <c r="P1732" i="16"/>
  <c r="Q1732" i="16"/>
  <c r="P1746" i="16"/>
  <c r="Q1746" i="16"/>
  <c r="P1773" i="16"/>
  <c r="Q1773" i="16"/>
  <c r="Q1810" i="16"/>
  <c r="P1810" i="16"/>
  <c r="Q1836" i="16"/>
  <c r="P1836" i="16"/>
  <c r="P1846" i="16"/>
  <c r="Q1846" i="16"/>
  <c r="Q951" i="16"/>
  <c r="Q993" i="16"/>
  <c r="Q1003" i="16"/>
  <c r="Q1018" i="16"/>
  <c r="Q1146" i="16"/>
  <c r="Q1168" i="16"/>
  <c r="Q1225" i="16"/>
  <c r="P1250" i="16"/>
  <c r="Q1250" i="16"/>
  <c r="Q1272" i="16"/>
  <c r="Q1290" i="16"/>
  <c r="P1290" i="16"/>
  <c r="P1301" i="16"/>
  <c r="Q1361" i="16"/>
  <c r="Q1362" i="16"/>
  <c r="Q1365" i="16"/>
  <c r="P1365" i="16"/>
  <c r="P1379" i="16"/>
  <c r="Q1379" i="16"/>
  <c r="P1475" i="16"/>
  <c r="Q1475" i="16"/>
  <c r="Q1484" i="16"/>
  <c r="P1484" i="16"/>
  <c r="P1510" i="16"/>
  <c r="Q1510" i="16"/>
  <c r="P1539" i="16"/>
  <c r="Q1539" i="16"/>
  <c r="Q1544" i="16"/>
  <c r="P1544" i="16"/>
  <c r="P1639" i="16"/>
  <c r="Q1639" i="16"/>
  <c r="P1662" i="16"/>
  <c r="Q1662" i="16"/>
  <c r="P1693" i="16"/>
  <c r="Q1693" i="16"/>
  <c r="P1709" i="16"/>
  <c r="Q1709" i="16"/>
  <c r="Q1726" i="16"/>
  <c r="P1726" i="16"/>
  <c r="P1731" i="16"/>
  <c r="Q1731" i="16"/>
  <c r="P1738" i="16"/>
  <c r="Q1738" i="16"/>
  <c r="P1745" i="16"/>
  <c r="Q1745" i="16"/>
  <c r="Q1752" i="16"/>
  <c r="P1752" i="16"/>
  <c r="Q1789" i="16"/>
  <c r="P1789" i="16"/>
  <c r="Q1267" i="16"/>
  <c r="Q1275" i="16"/>
  <c r="Q1320" i="16"/>
  <c r="Q1352" i="16"/>
  <c r="Q1374" i="16"/>
  <c r="Q1378" i="16"/>
  <c r="Q1382" i="16"/>
  <c r="Q1388" i="16"/>
  <c r="Q1424" i="16"/>
  <c r="Q1428" i="16"/>
  <c r="Q1432" i="16"/>
  <c r="Q1440" i="16"/>
  <c r="Q1444" i="16"/>
  <c r="Q1452" i="16"/>
  <c r="P1527" i="16"/>
  <c r="Q1536" i="16"/>
  <c r="P1536" i="16"/>
  <c r="P1538" i="16"/>
  <c r="Q1538" i="16"/>
  <c r="P1562" i="16"/>
  <c r="Q1562" i="16"/>
  <c r="P1593" i="16"/>
  <c r="Q1593" i="16"/>
  <c r="P1604" i="16"/>
  <c r="Q1604" i="16"/>
  <c r="P1645" i="16"/>
  <c r="Q1645" i="16"/>
  <c r="P1656" i="16"/>
  <c r="Q1690" i="16"/>
  <c r="P1690" i="16"/>
  <c r="P1708" i="16"/>
  <c r="Q1708" i="16"/>
  <c r="P1717" i="16"/>
  <c r="Q1717" i="16"/>
  <c r="Q1779" i="16"/>
  <c r="P1779" i="16"/>
  <c r="P1787" i="16"/>
  <c r="Q1787" i="16"/>
  <c r="P1808" i="16"/>
  <c r="Q1808" i="16"/>
  <c r="P1864" i="16"/>
  <c r="Q1864" i="16"/>
  <c r="P1886" i="16"/>
  <c r="Q1886" i="16"/>
  <c r="Q1321" i="16"/>
  <c r="Q1324" i="16"/>
  <c r="Q1341" i="16"/>
  <c r="Q1346" i="16"/>
  <c r="Q1350" i="16"/>
  <c r="Q1353" i="16"/>
  <c r="Q1354" i="16"/>
  <c r="Q1356" i="16"/>
  <c r="Q1358" i="16"/>
  <c r="Q1386" i="16"/>
  <c r="Q1389" i="16"/>
  <c r="Q1390" i="16"/>
  <c r="Q1394" i="16"/>
  <c r="Q1398" i="16"/>
  <c r="Q1399" i="16"/>
  <c r="Q1464" i="16"/>
  <c r="P1526" i="16"/>
  <c r="Q1526" i="16"/>
  <c r="P1547" i="16"/>
  <c r="Q1547" i="16"/>
  <c r="Q1556" i="16"/>
  <c r="P1556" i="16"/>
  <c r="Q1560" i="16"/>
  <c r="P1560" i="16"/>
  <c r="P1616" i="16"/>
  <c r="Q1616" i="16"/>
  <c r="P1632" i="16"/>
  <c r="Q1632" i="16"/>
  <c r="Q1633" i="16"/>
  <c r="Q1702" i="16"/>
  <c r="P1702" i="16"/>
  <c r="Q1706" i="16"/>
  <c r="P1706" i="16"/>
  <c r="Q1715" i="16"/>
  <c r="P1715" i="16"/>
  <c r="P1819" i="16"/>
  <c r="Q1819" i="16"/>
  <c r="P1860" i="16"/>
  <c r="Q1860" i="16"/>
  <c r="Q1874" i="16"/>
  <c r="Q1888" i="16"/>
  <c r="P1888" i="16"/>
  <c r="Q1911" i="16"/>
  <c r="P1911" i="16"/>
  <c r="Q1668" i="16"/>
  <c r="Q1694" i="16"/>
  <c r="Q1844" i="16"/>
  <c r="P1844" i="16"/>
  <c r="Q1912" i="16"/>
  <c r="P1912" i="16"/>
  <c r="P1917" i="16"/>
  <c r="Q1917" i="16"/>
  <c r="Q1516" i="16"/>
  <c r="Q1567" i="16"/>
  <c r="Q1669" i="16"/>
  <c r="Q1698" i="16"/>
  <c r="Q1751" i="16"/>
  <c r="P1751" i="16"/>
  <c r="Q1755" i="16"/>
  <c r="P1771" i="16"/>
  <c r="Q1771" i="16"/>
  <c r="Q1876" i="16"/>
  <c r="P1876" i="16"/>
  <c r="P1905" i="16"/>
  <c r="Q1905" i="16"/>
  <c r="Q1930" i="16"/>
  <c r="Q356" i="16"/>
  <c r="Q1739" i="16"/>
  <c r="Q1816" i="16"/>
  <c r="Q1817" i="16"/>
  <c r="Q1828" i="16"/>
  <c r="P1923" i="16"/>
  <c r="P1927" i="16"/>
  <c r="Q1722" i="16"/>
  <c r="Q1792" i="16"/>
  <c r="Q1797" i="16"/>
  <c r="Q1804" i="16"/>
  <c r="Q1805" i="16"/>
  <c r="Q1813" i="16"/>
  <c r="Q1840" i="16"/>
  <c r="Q1848" i="16"/>
  <c r="Q1892" i="16"/>
  <c r="Q1895" i="16"/>
  <c r="P1926" i="16"/>
  <c r="Q472" i="16"/>
  <c r="Q317" i="16"/>
  <c r="Q277" i="16"/>
  <c r="Q826" i="16"/>
  <c r="Q1802" i="16"/>
  <c r="Q473" i="16"/>
  <c r="Q400" i="16"/>
  <c r="Q419" i="16"/>
  <c r="T356" i="16"/>
  <c r="P227" i="16"/>
  <c r="Q227" i="16"/>
  <c r="Q6" i="16"/>
  <c r="P211" i="16"/>
  <c r="Q211" i="16"/>
  <c r="Q208" i="16"/>
  <c r="P208" i="16"/>
  <c r="Q213" i="16"/>
  <c r="P213" i="16"/>
  <c r="Q226" i="16"/>
  <c r="P226" i="16"/>
  <c r="Q229" i="16"/>
  <c r="P229" i="16"/>
  <c r="P441" i="16"/>
  <c r="P565" i="16"/>
  <c r="Q565" i="16"/>
  <c r="P771" i="16"/>
  <c r="Q771" i="16"/>
  <c r="Q843" i="16"/>
  <c r="P843" i="16"/>
  <c r="Q847" i="16"/>
  <c r="P847" i="16"/>
  <c r="Q855" i="16"/>
  <c r="P855" i="16"/>
  <c r="P1065" i="16"/>
  <c r="Q1065" i="16"/>
  <c r="Q518" i="16"/>
  <c r="P518" i="16"/>
  <c r="P655" i="16"/>
  <c r="Q655" i="16"/>
  <c r="P681" i="16"/>
  <c r="Q681" i="16"/>
  <c r="P694" i="16"/>
  <c r="Q694" i="16"/>
  <c r="P724" i="16"/>
  <c r="Q724" i="16"/>
  <c r="P991" i="16"/>
  <c r="Q991" i="16"/>
  <c r="AD82" i="16"/>
  <c r="AE82" i="16" s="1"/>
  <c r="AD93" i="16"/>
  <c r="AE93" i="16" s="1"/>
  <c r="E1943" i="16"/>
  <c r="N204" i="16"/>
  <c r="P218" i="16"/>
  <c r="P224" i="16"/>
  <c r="P231" i="16"/>
  <c r="P235" i="16"/>
  <c r="P239" i="16"/>
  <c r="P242" i="16"/>
  <c r="P251" i="16"/>
  <c r="P257" i="16"/>
  <c r="P259" i="16"/>
  <c r="P263" i="16"/>
  <c r="P267" i="16"/>
  <c r="P273" i="16"/>
  <c r="P277" i="16"/>
  <c r="P281" i="16"/>
  <c r="P283" i="16"/>
  <c r="P289" i="16"/>
  <c r="P293" i="16"/>
  <c r="P298" i="16"/>
  <c r="P308" i="16"/>
  <c r="P312" i="16"/>
  <c r="P330" i="16"/>
  <c r="P336" i="16"/>
  <c r="P352" i="16"/>
  <c r="P356" i="16"/>
  <c r="P359" i="16"/>
  <c r="Q379" i="16"/>
  <c r="P397" i="16"/>
  <c r="P422" i="16"/>
  <c r="P452" i="16"/>
  <c r="P464" i="16"/>
  <c r="P472" i="16"/>
  <c r="P496" i="16"/>
  <c r="P499" i="16"/>
  <c r="P502" i="16"/>
  <c r="Q509" i="16"/>
  <c r="P509" i="16"/>
  <c r="Q511" i="16"/>
  <c r="P511" i="16"/>
  <c r="Q520" i="16"/>
  <c r="P520" i="16"/>
  <c r="Q529" i="16"/>
  <c r="P529" i="16"/>
  <c r="Q542" i="16"/>
  <c r="P542" i="16"/>
  <c r="Q544" i="16"/>
  <c r="P544" i="16"/>
  <c r="Q548" i="16"/>
  <c r="P548" i="16"/>
  <c r="Q568" i="16"/>
  <c r="P568" i="16"/>
  <c r="Q572" i="16"/>
  <c r="P572" i="16"/>
  <c r="Q575" i="16"/>
  <c r="P575" i="16"/>
  <c r="Q579" i="16"/>
  <c r="P579" i="16"/>
  <c r="P588" i="16"/>
  <c r="Q588" i="16"/>
  <c r="P596" i="16"/>
  <c r="Q596" i="16"/>
  <c r="P600" i="16"/>
  <c r="Q600" i="16"/>
  <c r="P602" i="16"/>
  <c r="Q602" i="16"/>
  <c r="P605" i="16"/>
  <c r="Q605" i="16"/>
  <c r="P610" i="16"/>
  <c r="Q610" i="16"/>
  <c r="P614" i="16"/>
  <c r="Q614" i="16"/>
  <c r="P618" i="16"/>
  <c r="Q618" i="16"/>
  <c r="P621" i="16"/>
  <c r="Q621" i="16"/>
  <c r="P624" i="16"/>
  <c r="Q624" i="16"/>
  <c r="P628" i="16"/>
  <c r="Q628" i="16"/>
  <c r="P632" i="16"/>
  <c r="Q632" i="16"/>
  <c r="Q637" i="16"/>
  <c r="P637" i="16"/>
  <c r="P640" i="16"/>
  <c r="Q640" i="16"/>
  <c r="P644" i="16"/>
  <c r="Q644" i="16"/>
  <c r="P648" i="16"/>
  <c r="Q648" i="16"/>
  <c r="S659" i="16"/>
  <c r="T659" i="16" s="1"/>
  <c r="P661" i="16"/>
  <c r="Q661" i="16"/>
  <c r="P663" i="16"/>
  <c r="Q663" i="16"/>
  <c r="P665" i="16"/>
  <c r="Q665" i="16"/>
  <c r="P672" i="16"/>
  <c r="Q672" i="16"/>
  <c r="P675" i="16"/>
  <c r="Q675" i="16"/>
  <c r="P678" i="16"/>
  <c r="Q678" i="16"/>
  <c r="Q686" i="16"/>
  <c r="P705" i="16"/>
  <c r="Q705" i="16"/>
  <c r="Q714" i="16"/>
  <c r="P720" i="16"/>
  <c r="Q720" i="16"/>
  <c r="Q730" i="16"/>
  <c r="P734" i="16"/>
  <c r="Q734" i="16"/>
  <c r="Q744" i="16"/>
  <c r="Q752" i="16"/>
  <c r="P758" i="16"/>
  <c r="Q758" i="16"/>
  <c r="P765" i="16"/>
  <c r="Q765" i="16"/>
  <c r="Q773" i="16"/>
  <c r="P779" i="16"/>
  <c r="Q779" i="16"/>
  <c r="P867" i="16"/>
  <c r="Q867" i="16"/>
  <c r="P943" i="16"/>
  <c r="Q943" i="16"/>
  <c r="P1054" i="16"/>
  <c r="Q1054" i="16"/>
  <c r="T457" i="16"/>
  <c r="Q457" i="16"/>
  <c r="P538" i="16"/>
  <c r="Q538" i="16"/>
  <c r="Q550" i="16"/>
  <c r="P550" i="16"/>
  <c r="Q556" i="16"/>
  <c r="P556" i="16"/>
  <c r="P651" i="16"/>
  <c r="Q651" i="16"/>
  <c r="P658" i="16"/>
  <c r="Q658" i="16"/>
  <c r="P709" i="16"/>
  <c r="Q709" i="16"/>
  <c r="P738" i="16"/>
  <c r="Q738" i="16"/>
  <c r="P777" i="16"/>
  <c r="Q777" i="16"/>
  <c r="Q839" i="16"/>
  <c r="P839" i="16"/>
  <c r="Q851" i="16"/>
  <c r="P851" i="16"/>
  <c r="P863" i="16"/>
  <c r="Q863" i="16"/>
  <c r="P335" i="16"/>
  <c r="P339" i="16"/>
  <c r="P400" i="16"/>
  <c r="P444" i="16"/>
  <c r="P446" i="16"/>
  <c r="P448" i="16"/>
  <c r="P457" i="16"/>
  <c r="P463" i="16"/>
  <c r="P471" i="16"/>
  <c r="Q514" i="16"/>
  <c r="P514" i="16"/>
  <c r="P519" i="16"/>
  <c r="Q519" i="16"/>
  <c r="P522" i="16"/>
  <c r="Q522" i="16"/>
  <c r="P524" i="16"/>
  <c r="Q524" i="16"/>
  <c r="P526" i="16"/>
  <c r="Q526" i="16"/>
  <c r="P534" i="16"/>
  <c r="Q534" i="16"/>
  <c r="P539" i="16"/>
  <c r="Q539" i="16"/>
  <c r="P554" i="16"/>
  <c r="Q554" i="16"/>
  <c r="Q563" i="16"/>
  <c r="P563" i="16"/>
  <c r="Q635" i="16"/>
  <c r="P635" i="16"/>
  <c r="Q653" i="16"/>
  <c r="P653" i="16"/>
  <c r="Q657" i="16"/>
  <c r="P657" i="16"/>
  <c r="P716" i="16"/>
  <c r="Q716" i="16"/>
  <c r="P748" i="16"/>
  <c r="P769" i="16"/>
  <c r="Q769" i="16"/>
  <c r="P775" i="16"/>
  <c r="Q775" i="16"/>
  <c r="P782" i="16"/>
  <c r="Q782" i="16"/>
  <c r="P871" i="16"/>
  <c r="Q871" i="16"/>
  <c r="Q904" i="16"/>
  <c r="P904" i="16"/>
  <c r="Q908" i="16"/>
  <c r="P908" i="16"/>
  <c r="Q912" i="16"/>
  <c r="P912" i="16"/>
  <c r="Q916" i="16"/>
  <c r="P916" i="16"/>
  <c r="Q920" i="16"/>
  <c r="P920" i="16"/>
  <c r="Q924" i="16"/>
  <c r="P924" i="16"/>
  <c r="Q928" i="16"/>
  <c r="P928" i="16"/>
  <c r="Q935" i="16"/>
  <c r="P935" i="16"/>
  <c r="P981" i="16"/>
  <c r="Q981" i="16"/>
  <c r="P1045" i="16"/>
  <c r="Q1045" i="16"/>
  <c r="Q1118" i="16"/>
  <c r="P1118" i="16"/>
  <c r="P1127" i="16"/>
  <c r="Q1127" i="16"/>
  <c r="Q535" i="16"/>
  <c r="P535" i="16"/>
  <c r="Q552" i="16"/>
  <c r="P552" i="16"/>
  <c r="P561" i="16"/>
  <c r="Q561" i="16"/>
  <c r="P6" i="16"/>
  <c r="P320" i="16"/>
  <c r="P322" i="16"/>
  <c r="P323" i="16"/>
  <c r="P357" i="16"/>
  <c r="P365" i="16"/>
  <c r="P370" i="16"/>
  <c r="P405" i="16"/>
  <c r="P408" i="16"/>
  <c r="P420" i="16"/>
  <c r="P431" i="16"/>
  <c r="Q443" i="16"/>
  <c r="P488" i="16"/>
  <c r="P492" i="16"/>
  <c r="Q498" i="16"/>
  <c r="P513" i="16"/>
  <c r="Q513" i="16"/>
  <c r="P516" i="16"/>
  <c r="Q516" i="16"/>
  <c r="P530" i="16"/>
  <c r="Q530" i="16"/>
  <c r="P532" i="16"/>
  <c r="Q532" i="16"/>
  <c r="P546" i="16"/>
  <c r="Q546" i="16"/>
  <c r="Q558" i="16"/>
  <c r="P558" i="16"/>
  <c r="P570" i="16"/>
  <c r="Q570" i="16"/>
  <c r="P573" i="16"/>
  <c r="Q573" i="16"/>
  <c r="P577" i="16"/>
  <c r="Q577" i="16"/>
  <c r="P581" i="16"/>
  <c r="Q581" i="16"/>
  <c r="Q585" i="16"/>
  <c r="P585" i="16"/>
  <c r="Q587" i="16"/>
  <c r="P587" i="16"/>
  <c r="Q589" i="16"/>
  <c r="P589" i="16"/>
  <c r="Q590" i="16"/>
  <c r="P590" i="16"/>
  <c r="Q592" i="16"/>
  <c r="P592" i="16"/>
  <c r="Q594" i="16"/>
  <c r="P594" i="16"/>
  <c r="Q598" i="16"/>
  <c r="P598" i="16"/>
  <c r="Q601" i="16"/>
  <c r="P601" i="16"/>
  <c r="Q608" i="16"/>
  <c r="P608" i="16"/>
  <c r="Q612" i="16"/>
  <c r="P612" i="16"/>
  <c r="Q616" i="16"/>
  <c r="P616" i="16"/>
  <c r="Q620" i="16"/>
  <c r="P620" i="16"/>
  <c r="Q626" i="16"/>
  <c r="P626" i="16"/>
  <c r="Q630" i="16"/>
  <c r="P630" i="16"/>
  <c r="Q633" i="16"/>
  <c r="P633" i="16"/>
  <c r="Q642" i="16"/>
  <c r="P642" i="16"/>
  <c r="Q646" i="16"/>
  <c r="P646" i="16"/>
  <c r="Q649" i="16"/>
  <c r="P649" i="16"/>
  <c r="Q667" i="16"/>
  <c r="P667" i="16"/>
  <c r="Q670" i="16"/>
  <c r="P670" i="16"/>
  <c r="Q674" i="16"/>
  <c r="P674" i="16"/>
  <c r="Q677" i="16"/>
  <c r="P677" i="16"/>
  <c r="Q679" i="16"/>
  <c r="P684" i="16"/>
  <c r="Q684" i="16"/>
  <c r="Q692" i="16"/>
  <c r="P698" i="16"/>
  <c r="Q698" i="16"/>
  <c r="P700" i="16"/>
  <c r="Q700" i="16"/>
  <c r="Q707" i="16"/>
  <c r="P712" i="16"/>
  <c r="Q712" i="16"/>
  <c r="Q722" i="16"/>
  <c r="P728" i="16"/>
  <c r="Q728" i="16"/>
  <c r="Q736" i="16"/>
  <c r="P742" i="16"/>
  <c r="Q742" i="16"/>
  <c r="Q746" i="16"/>
  <c r="P750" i="16"/>
  <c r="Q750" i="16"/>
  <c r="Q754" i="16"/>
  <c r="P762" i="16"/>
  <c r="Q762" i="16"/>
  <c r="P786" i="16"/>
  <c r="Q786" i="16"/>
  <c r="Q837" i="16"/>
  <c r="P837" i="16"/>
  <c r="P875" i="16"/>
  <c r="Q875" i="16"/>
  <c r="Q1090" i="16"/>
  <c r="P1090" i="16"/>
  <c r="P1092" i="16"/>
  <c r="Q1092" i="16"/>
  <c r="Q1094" i="16"/>
  <c r="P1094" i="16"/>
  <c r="P1097" i="16"/>
  <c r="Q1097" i="16"/>
  <c r="Q1212" i="16"/>
  <c r="P1212" i="16"/>
  <c r="P1214" i="16"/>
  <c r="Q1214" i="16"/>
  <c r="P583" i="16"/>
  <c r="P679" i="16"/>
  <c r="P682" i="16"/>
  <c r="P686" i="16"/>
  <c r="P689" i="16"/>
  <c r="P692" i="16"/>
  <c r="P696" i="16"/>
  <c r="P707" i="16"/>
  <c r="P714" i="16"/>
  <c r="P718" i="16"/>
  <c r="P722" i="16"/>
  <c r="P726" i="16"/>
  <c r="P730" i="16"/>
  <c r="P732" i="16"/>
  <c r="P736" i="16"/>
  <c r="P740" i="16"/>
  <c r="P744" i="16"/>
  <c r="P746" i="16"/>
  <c r="P752" i="16"/>
  <c r="P938" i="16"/>
  <c r="Q938" i="16"/>
  <c r="P947" i="16"/>
  <c r="Q947" i="16"/>
  <c r="P955" i="16"/>
  <c r="Q955" i="16"/>
  <c r="P977" i="16"/>
  <c r="Q977" i="16"/>
  <c r="P1002" i="16"/>
  <c r="Q1002" i="16"/>
  <c r="P1008" i="16"/>
  <c r="Q1008" i="16"/>
  <c r="P1016" i="16"/>
  <c r="Q1016" i="16"/>
  <c r="P1024" i="16"/>
  <c r="Q1024" i="16"/>
  <c r="Q1037" i="16"/>
  <c r="Q1048" i="16"/>
  <c r="Q1056" i="16"/>
  <c r="Q1101" i="16"/>
  <c r="P1101" i="16"/>
  <c r="P1166" i="16"/>
  <c r="Q1166" i="16"/>
  <c r="P1192" i="16"/>
  <c r="Q1192" i="16"/>
  <c r="P1208" i="16"/>
  <c r="Q1208" i="16"/>
  <c r="Q1211" i="16"/>
  <c r="P949" i="16"/>
  <c r="Q949" i="16"/>
  <c r="P959" i="16"/>
  <c r="Q959" i="16"/>
  <c r="P998" i="16"/>
  <c r="Q998" i="16"/>
  <c r="P1039" i="16"/>
  <c r="Q1039" i="16"/>
  <c r="P1040" i="16"/>
  <c r="Q1040" i="16"/>
  <c r="P1050" i="16"/>
  <c r="Q1050" i="16"/>
  <c r="P1058" i="16"/>
  <c r="Q1058" i="16"/>
  <c r="P1070" i="16"/>
  <c r="Q1070" i="16"/>
  <c r="P1140" i="16"/>
  <c r="Q1140" i="16"/>
  <c r="P1169" i="16"/>
  <c r="Q1169" i="16"/>
  <c r="Q1220" i="16"/>
  <c r="P1220" i="16"/>
  <c r="P1222" i="16"/>
  <c r="Q1222" i="16"/>
  <c r="Q748" i="16"/>
  <c r="P799" i="16"/>
  <c r="P803" i="16"/>
  <c r="P807" i="16"/>
  <c r="P810" i="16"/>
  <c r="P814" i="16"/>
  <c r="P817" i="16"/>
  <c r="P821" i="16"/>
  <c r="P823" i="16"/>
  <c r="P831" i="16"/>
  <c r="Q836" i="16"/>
  <c r="Q842" i="16"/>
  <c r="Q846" i="16"/>
  <c r="P857" i="16"/>
  <c r="P882" i="16"/>
  <c r="P886" i="16"/>
  <c r="P890" i="16"/>
  <c r="Q911" i="16"/>
  <c r="P940" i="16"/>
  <c r="Q940" i="16"/>
  <c r="P964" i="16"/>
  <c r="Q964" i="16"/>
  <c r="Q966" i="16"/>
  <c r="P969" i="16"/>
  <c r="Q969" i="16"/>
  <c r="Q971" i="16"/>
  <c r="P973" i="16"/>
  <c r="Q973" i="16"/>
  <c r="Q979" i="16"/>
  <c r="P985" i="16"/>
  <c r="Q985" i="16"/>
  <c r="Q989" i="16"/>
  <c r="P994" i="16"/>
  <c r="Q994" i="16"/>
  <c r="P1004" i="16"/>
  <c r="Q1004" i="16"/>
  <c r="P1012" i="16"/>
  <c r="Q1012" i="16"/>
  <c r="P1020" i="16"/>
  <c r="Q1020" i="16"/>
  <c r="P1034" i="16"/>
  <c r="Q1034" i="16"/>
  <c r="Q1042" i="16"/>
  <c r="Q1052" i="16"/>
  <c r="Q1067" i="16"/>
  <c r="P1067" i="16"/>
  <c r="P1074" i="16"/>
  <c r="Q1074" i="16"/>
  <c r="P1088" i="16"/>
  <c r="Q1088" i="16"/>
  <c r="P1096" i="16"/>
  <c r="Q1096" i="16"/>
  <c r="P1124" i="16"/>
  <c r="Q1124" i="16"/>
  <c r="Q1134" i="16"/>
  <c r="P1134" i="16"/>
  <c r="P1143" i="16"/>
  <c r="Q1143" i="16"/>
  <c r="P966" i="16"/>
  <c r="P971" i="16"/>
  <c r="P975" i="16"/>
  <c r="P979" i="16"/>
  <c r="P983" i="16"/>
  <c r="P987" i="16"/>
  <c r="P989" i="16"/>
  <c r="P996" i="16"/>
  <c r="P1000" i="16"/>
  <c r="P1003" i="16"/>
  <c r="P1006" i="16"/>
  <c r="P1010" i="16"/>
  <c r="P1014" i="16"/>
  <c r="P1018" i="16"/>
  <c r="P1022" i="16"/>
  <c r="P1031" i="16"/>
  <c r="P1037" i="16"/>
  <c r="P1042" i="16"/>
  <c r="P1048" i="16"/>
  <c r="P1052" i="16"/>
  <c r="P1056" i="16"/>
  <c r="P1095" i="16"/>
  <c r="Q1104" i="16"/>
  <c r="Q1107" i="16"/>
  <c r="P1107" i="16"/>
  <c r="P1128" i="16"/>
  <c r="Q1128" i="16"/>
  <c r="P1130" i="16"/>
  <c r="P1144" i="16"/>
  <c r="Q1144" i="16"/>
  <c r="P1146" i="16"/>
  <c r="Q1173" i="16"/>
  <c r="P1173" i="16"/>
  <c r="Q1181" i="16"/>
  <c r="P1181" i="16"/>
  <c r="P1211" i="16"/>
  <c r="Q1087" i="16"/>
  <c r="P1104" i="16"/>
  <c r="P1132" i="16"/>
  <c r="Q1132" i="16"/>
  <c r="Q1145" i="16"/>
  <c r="P1150" i="16"/>
  <c r="Q1150" i="16"/>
  <c r="Q1151" i="16"/>
  <c r="P1154" i="16"/>
  <c r="Q1154" i="16"/>
  <c r="Q1216" i="16"/>
  <c r="P1216" i="16"/>
  <c r="Q1224" i="16"/>
  <c r="P1224" i="16"/>
  <c r="Q1227" i="16"/>
  <c r="P1227" i="16"/>
  <c r="Q1303" i="16"/>
  <c r="P1303" i="16"/>
  <c r="Q1326" i="16"/>
  <c r="P1326" i="16"/>
  <c r="Q1093" i="16"/>
  <c r="P1120" i="16"/>
  <c r="Q1120" i="16"/>
  <c r="P1136" i="16"/>
  <c r="Q1136" i="16"/>
  <c r="P1162" i="16"/>
  <c r="Q1162" i="16"/>
  <c r="Q1177" i="16"/>
  <c r="P1177" i="16"/>
  <c r="P1238" i="16"/>
  <c r="Q1238" i="16"/>
  <c r="Q1240" i="16"/>
  <c r="P1240" i="16"/>
  <c r="P1253" i="16"/>
  <c r="Q1253" i="16"/>
  <c r="Q1281" i="16"/>
  <c r="P1281" i="16"/>
  <c r="P1244" i="16"/>
  <c r="Q1244" i="16"/>
  <c r="Q1249" i="16"/>
  <c r="P1249" i="16"/>
  <c r="P1254" i="16"/>
  <c r="Q1254" i="16"/>
  <c r="P1257" i="16"/>
  <c r="Q1257" i="16"/>
  <c r="Q1263" i="16"/>
  <c r="P1263" i="16"/>
  <c r="Q1269" i="16"/>
  <c r="P1269" i="16"/>
  <c r="Q1283" i="16"/>
  <c r="P1283" i="16"/>
  <c r="Q1307" i="16"/>
  <c r="P1307" i="16"/>
  <c r="Q1318" i="16"/>
  <c r="P1318" i="16"/>
  <c r="Q1327" i="16"/>
  <c r="P1327" i="16"/>
  <c r="T1211" i="16"/>
  <c r="Q1251" i="16"/>
  <c r="P1251" i="16"/>
  <c r="Q1273" i="16"/>
  <c r="P1273" i="16"/>
  <c r="Q1297" i="16"/>
  <c r="P1297" i="16"/>
  <c r="Q1311" i="16"/>
  <c r="P1311" i="16"/>
  <c r="Q1322" i="16"/>
  <c r="P1322" i="16"/>
  <c r="Q1331" i="16"/>
  <c r="P1331" i="16"/>
  <c r="Q1152" i="16"/>
  <c r="P1235" i="16"/>
  <c r="Q1242" i="16"/>
  <c r="P1242" i="16"/>
  <c r="Q1246" i="16"/>
  <c r="P1246" i="16"/>
  <c r="Q1255" i="16"/>
  <c r="P1255" i="16"/>
  <c r="Q1259" i="16"/>
  <c r="P1259" i="16"/>
  <c r="P1261" i="16"/>
  <c r="Q1261" i="16"/>
  <c r="P1265" i="16"/>
  <c r="Q1265" i="16"/>
  <c r="Q1277" i="16"/>
  <c r="P1277" i="16"/>
  <c r="Q1288" i="16"/>
  <c r="P1288" i="16"/>
  <c r="Q1299" i="16"/>
  <c r="P1299" i="16"/>
  <c r="Q1301" i="16"/>
  <c r="Q1325" i="16"/>
  <c r="P1325" i="16"/>
  <c r="Q1335" i="16"/>
  <c r="P1335" i="16"/>
  <c r="Q1342" i="16"/>
  <c r="P1342" i="16"/>
  <c r="P1390" i="16"/>
  <c r="P1394" i="16"/>
  <c r="P1398" i="16"/>
  <c r="P1422" i="16"/>
  <c r="Q1422" i="16"/>
  <c r="P1426" i="16"/>
  <c r="Q1426" i="16"/>
  <c r="P1430" i="16"/>
  <c r="Q1430" i="16"/>
  <c r="P1434" i="16"/>
  <c r="Q1434" i="16"/>
  <c r="P1438" i="16"/>
  <c r="Q1438" i="16"/>
  <c r="P1442" i="16"/>
  <c r="Q1442" i="16"/>
  <c r="P1446" i="16"/>
  <c r="Q1446" i="16"/>
  <c r="N1266" i="16"/>
  <c r="P1346" i="16"/>
  <c r="P1350" i="16"/>
  <c r="P1354" i="16"/>
  <c r="P1356" i="16"/>
  <c r="P1361" i="16"/>
  <c r="P1362" i="16"/>
  <c r="P1366" i="16"/>
  <c r="P1368" i="16"/>
  <c r="P1369" i="16"/>
  <c r="P1372" i="16"/>
  <c r="P1374" i="16"/>
  <c r="P1378" i="16"/>
  <c r="P1382" i="16"/>
  <c r="P1400" i="16"/>
  <c r="Q1400" i="16"/>
  <c r="P1404" i="16"/>
  <c r="Q1404" i="16"/>
  <c r="P1408" i="16"/>
  <c r="Q1408" i="16"/>
  <c r="P1412" i="16"/>
  <c r="Q1412" i="16"/>
  <c r="P1416" i="16"/>
  <c r="Q1416" i="16"/>
  <c r="P1420" i="16"/>
  <c r="Q1420" i="16"/>
  <c r="Q1402" i="16"/>
  <c r="P1402" i="16"/>
  <c r="Q1406" i="16"/>
  <c r="P1406" i="16"/>
  <c r="Q1410" i="16"/>
  <c r="P1410" i="16"/>
  <c r="Q1414" i="16"/>
  <c r="P1414" i="16"/>
  <c r="Q1418" i="16"/>
  <c r="P1418" i="16"/>
  <c r="P1503" i="16"/>
  <c r="Q1503" i="16"/>
  <c r="P1511" i="16"/>
  <c r="Q1511" i="16"/>
  <c r="P1521" i="16"/>
  <c r="Q1521" i="16"/>
  <c r="P1529" i="16"/>
  <c r="Q1529" i="16"/>
  <c r="P1537" i="16"/>
  <c r="Q1537" i="16"/>
  <c r="P1541" i="16"/>
  <c r="Q1541" i="16"/>
  <c r="Q1603" i="16"/>
  <c r="P1603" i="16"/>
  <c r="P1607" i="16"/>
  <c r="Q1607" i="16"/>
  <c r="P1461" i="16"/>
  <c r="Q1461" i="16"/>
  <c r="P1469" i="16"/>
  <c r="Q1469" i="16"/>
  <c r="P1477" i="16"/>
  <c r="Q1477" i="16"/>
  <c r="P1485" i="16"/>
  <c r="Q1485" i="16"/>
  <c r="P1493" i="16"/>
  <c r="Q1493" i="16"/>
  <c r="P1499" i="16"/>
  <c r="Q1499" i="16"/>
  <c r="P1549" i="16"/>
  <c r="Q1549" i="16"/>
  <c r="P1557" i="16"/>
  <c r="Q1557" i="16"/>
  <c r="P1565" i="16"/>
  <c r="Q1565" i="16"/>
  <c r="P1572" i="16"/>
  <c r="Q1572" i="16"/>
  <c r="P1578" i="16"/>
  <c r="Q1578" i="16"/>
  <c r="P1582" i="16"/>
  <c r="Q1582" i="16"/>
  <c r="Q1610" i="16"/>
  <c r="P1610" i="16"/>
  <c r="P1615" i="16"/>
  <c r="Q1615" i="16"/>
  <c r="P1507" i="16"/>
  <c r="Q1507" i="16"/>
  <c r="P1517" i="16"/>
  <c r="Q1517" i="16"/>
  <c r="P1525" i="16"/>
  <c r="Q1525" i="16"/>
  <c r="P1533" i="16"/>
  <c r="Q1533" i="16"/>
  <c r="P1587" i="16"/>
  <c r="Q1587" i="16"/>
  <c r="P1592" i="16"/>
  <c r="Q1592" i="16"/>
  <c r="P1598" i="16"/>
  <c r="Q1598" i="16"/>
  <c r="Q1620" i="16"/>
  <c r="P1620" i="16"/>
  <c r="P1625" i="16"/>
  <c r="Q1625" i="16"/>
  <c r="P1425" i="16"/>
  <c r="P1429" i="16"/>
  <c r="P1433" i="16"/>
  <c r="P1437" i="16"/>
  <c r="P1441" i="16"/>
  <c r="P1445" i="16"/>
  <c r="P1449" i="16"/>
  <c r="P1453" i="16"/>
  <c r="P1457" i="16"/>
  <c r="P1465" i="16"/>
  <c r="Q1465" i="16"/>
  <c r="P1473" i="16"/>
  <c r="Q1473" i="16"/>
  <c r="P1481" i="16"/>
  <c r="Q1481" i="16"/>
  <c r="P1489" i="16"/>
  <c r="Q1489" i="16"/>
  <c r="P1497" i="16"/>
  <c r="Q1497" i="16"/>
  <c r="Q1527" i="16"/>
  <c r="P1545" i="16"/>
  <c r="Q1545" i="16"/>
  <c r="P1553" i="16"/>
  <c r="Q1553" i="16"/>
  <c r="P1561" i="16"/>
  <c r="Q1561" i="16"/>
  <c r="P1568" i="16"/>
  <c r="Q1568" i="16"/>
  <c r="P1575" i="16"/>
  <c r="Q1575" i="16"/>
  <c r="P1601" i="16"/>
  <c r="Q1601" i="16"/>
  <c r="Q1628" i="16"/>
  <c r="P1628" i="16"/>
  <c r="P1629" i="16"/>
  <c r="Q1629" i="16"/>
  <c r="Q1617" i="16"/>
  <c r="P1668" i="16"/>
  <c r="P1669" i="16"/>
  <c r="P1687" i="16"/>
  <c r="P1775" i="16"/>
  <c r="P1778" i="16"/>
  <c r="Q1778" i="16"/>
  <c r="P1755" i="16"/>
  <c r="P1770" i="16"/>
  <c r="P1774" i="16"/>
  <c r="Q1776" i="16"/>
  <c r="P1776" i="16"/>
  <c r="Q1780" i="16"/>
  <c r="P1780" i="16"/>
  <c r="Q1783" i="16"/>
  <c r="Q1859" i="16"/>
  <c r="P1859" i="16"/>
  <c r="P1865" i="16"/>
  <c r="Q1865" i="16"/>
  <c r="Q1870" i="16"/>
  <c r="Q1875" i="16"/>
  <c r="P1875" i="16"/>
  <c r="P1783" i="16"/>
  <c r="P1788" i="16"/>
  <c r="P1792" i="16"/>
  <c r="P1797" i="16"/>
  <c r="P1801" i="16"/>
  <c r="P1805" i="16"/>
  <c r="P1809" i="16"/>
  <c r="P1813" i="16"/>
  <c r="P1817" i="16"/>
  <c r="P1821" i="16"/>
  <c r="P1861" i="16"/>
  <c r="Q1861" i="16"/>
  <c r="Q1871" i="16"/>
  <c r="P1871" i="16"/>
  <c r="Q1877" i="16"/>
  <c r="P1877" i="16"/>
  <c r="P1891" i="16"/>
  <c r="Q1891" i="16"/>
  <c r="P1896" i="16"/>
  <c r="Q1896" i="16"/>
  <c r="P1816" i="16"/>
  <c r="P1820" i="16"/>
  <c r="P1824" i="16"/>
  <c r="P1832" i="16"/>
  <c r="P1840" i="16"/>
  <c r="P1848" i="16"/>
  <c r="P1856" i="16"/>
  <c r="Q1867" i="16"/>
  <c r="P1867" i="16"/>
  <c r="P1873" i="16"/>
  <c r="Q1873" i="16"/>
  <c r="P1879" i="16"/>
  <c r="Q1879" i="16"/>
  <c r="Q1887" i="16"/>
  <c r="Q1831" i="16"/>
  <c r="Q1839" i="16"/>
  <c r="Q1863" i="16"/>
  <c r="P1863" i="16"/>
  <c r="P1869" i="16"/>
  <c r="Q1869" i="16"/>
  <c r="Q1899" i="16"/>
  <c r="P1899" i="16"/>
  <c r="P1906" i="16"/>
  <c r="Q1906" i="16"/>
  <c r="Q1936" i="16"/>
  <c r="P1936" i="16"/>
  <c r="Q1938" i="16"/>
  <c r="P1938" i="16"/>
  <c r="P1887" i="16"/>
  <c r="P1892" i="16"/>
  <c r="P1895" i="16"/>
  <c r="Q1893" i="16"/>
  <c r="Q1894" i="16"/>
  <c r="Q1904" i="16"/>
  <c r="P1907" i="16"/>
  <c r="Q1913" i="16"/>
  <c r="P1915" i="16"/>
  <c r="Q1920" i="16"/>
  <c r="Q1927" i="16"/>
  <c r="P1930" i="16"/>
  <c r="AE1940" i="16" l="1"/>
  <c r="L1939" i="16"/>
  <c r="Q1692" i="16"/>
  <c r="N1939" i="16"/>
  <c r="Q1650" i="16"/>
  <c r="E1944" i="16"/>
  <c r="Q1656" i="16"/>
  <c r="Q297" i="16"/>
  <c r="Q1580" i="16"/>
  <c r="P204" i="16"/>
  <c r="Q204" i="16"/>
  <c r="AD1940" i="16"/>
  <c r="P1266" i="16"/>
  <c r="Q1266" i="16"/>
  <c r="P1939" i="16" l="1"/>
  <c r="Q1939" i="16"/>
  <c r="D1944" i="16"/>
  <c r="H226" i="5" l="1"/>
  <c r="I7" i="5"/>
  <c r="I8" i="5"/>
  <c r="I9" i="5"/>
  <c r="I10" i="5"/>
  <c r="I11" i="5"/>
  <c r="I12" i="5"/>
  <c r="J6" i="5"/>
  <c r="I226" i="5" l="1"/>
  <c r="D229" i="5" s="1"/>
  <c r="G226" i="5" l="1"/>
  <c r="K6" i="5"/>
  <c r="J7" i="5"/>
  <c r="K7" i="5"/>
  <c r="J8" i="5"/>
  <c r="K8" i="5"/>
  <c r="J9" i="5"/>
  <c r="K9" i="5"/>
  <c r="J10" i="5"/>
  <c r="K10" i="5"/>
  <c r="J11" i="5"/>
  <c r="K11" i="5"/>
  <c r="J12" i="5"/>
  <c r="K12" i="5"/>
  <c r="L12" i="5" l="1"/>
  <c r="L8" i="5"/>
  <c r="L9" i="5"/>
  <c r="L10" i="5"/>
  <c r="L11" i="5"/>
  <c r="L7" i="5"/>
  <c r="L6" i="5"/>
  <c r="J75" i="15" l="1"/>
  <c r="I75" i="15"/>
  <c r="I42" i="15"/>
  <c r="J226" i="5" l="1"/>
  <c r="D230" i="5" s="1"/>
  <c r="D231" i="5" s="1"/>
  <c r="K226" i="5"/>
  <c r="I84" i="15" l="1"/>
  <c r="J84" i="15" l="1"/>
  <c r="B235" i="5" l="1"/>
  <c r="E230" i="5"/>
  <c r="E229" i="5"/>
  <c r="E231" i="5" l="1"/>
  <c r="L226" i="5"/>
  <c r="J42" i="15" l="1"/>
  <c r="A2" i="15" l="1"/>
  <c r="I47" i="15" l="1"/>
  <c r="G47" i="15"/>
  <c r="H46" i="15"/>
  <c r="H4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6612966A-F802-4D33-B10F-29BEDCBFE4C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33" authorId="0" shapeId="0" xr:uid="{1F841CA2-44C8-4181-9FE8-ABD1B9583A2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33" authorId="0" shapeId="0" xr:uid="{1694E2D4-3B2A-4A9A-BD9F-1C9A467FAA1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H233" authorId="0" shapeId="0" xr:uid="{7E7874BE-C700-41FF-896C-944F2B0277A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39" authorId="0" shapeId="0" xr:uid="{A987C9B6-D17C-4070-8BF3-83134CECD40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H239" authorId="0" shapeId="0" xr:uid="{14752808-460A-477B-B9F1-1FBB2EEEC16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F4" authorId="0" shapeId="0" xr:uid="{1C2BF8CA-2B43-4D3E-B195-F86D5417C1CF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49" authorId="0" shapeId="0" xr:uid="{5C8A5786-C019-40CE-A074-79F8F9E2530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80" authorId="0" shapeId="0" xr:uid="{6C8599DB-F80B-4E57-8342-8B26BD6B5F1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  <author>tc={48A057D6-7B56-4CD3-8CD9-D28499823B71}</author>
    <author>tc={9169865D-DAF1-4436-9075-E2AB449F8149}</author>
    <author>tc={F6A620B5-0DE6-4F06-AB03-AEC4ADB3601C}</author>
  </authors>
  <commentList>
    <comment ref="M5" authorId="0" shapeId="0" xr:uid="{DC33C070-D797-459B-809E-822983E6730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H36" authorId="1" shapeId="0" xr:uid="{D1D07512-BC54-4F29-A0A7-B77E7A31D93E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39" authorId="1" shapeId="0" xr:uid="{F4E03EC6-26BF-4ED4-8702-B1E96F0DEEEC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59" authorId="1" shapeId="0" xr:uid="{06428513-D0C2-4472-B6D6-0CF02319B71F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63" authorId="1" shapeId="0" xr:uid="{980EC980-40AB-4C40-AFE9-5E482925018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G65" authorId="1" shapeId="0" xr:uid="{81130A1A-9CD2-4C1E-B9EC-9CC9BFF02F1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H357" authorId="1" shapeId="0" xr:uid="{EE669E1A-0809-4F26-8FEF-8B5136650E88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391" authorId="1" shapeId="0" xr:uid="{F86E3E7B-CFD8-4084-B460-796A3A6CAC60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adj. 9
</t>
        </r>
      </text>
    </comment>
    <comment ref="H392" authorId="1" shapeId="0" xr:uid="{BBD52FA2-D557-4705-B06A-4E631844C219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adj. 5</t>
        </r>
      </text>
    </comment>
    <comment ref="H394" authorId="1" shapeId="0" xr:uid="{568B5C59-380F-4894-A128-647D8481953D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415" authorId="1" shapeId="0" xr:uid="{3A548746-3FA0-4356-B0B3-DAA4503C369C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418" authorId="1" shapeId="0" xr:uid="{0EEB63FB-7182-4821-830F-FBA31F8AFA09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419" authorId="1" shapeId="0" xr:uid="{6100C833-ACEC-4D5F-B81A-0890AD3BEB2C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433" authorId="1" shapeId="0" xr:uid="{10E6A7B1-21D2-4026-9413-64A33733DF9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adjusted</t>
        </r>
      </text>
    </comment>
    <comment ref="G586" authorId="1" shapeId="0" xr:uid="{664DED7D-578D-4339-96FE-DD21B2297D5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+1
FOR PULL OUT</t>
        </r>
      </text>
    </comment>
    <comment ref="G589" authorId="1" shapeId="0" xr:uid="{86572D05-2EEE-4F86-94AE-E7740C79B4D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 +1 FOR PULL OUT</t>
        </r>
      </text>
    </comment>
    <comment ref="H601" authorId="1" shapeId="0" xr:uid="{9AC79D2B-4222-45E6-B9C4-6B0D406ADE62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652" authorId="1" shapeId="0" xr:uid="{31DAAFBD-0B86-41AE-B055-2F82BAD7C928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746" authorId="1" shapeId="0" xr:uid="{EF9D1F42-7B49-4E0E-B49E-797419747054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751" authorId="1" shapeId="0" xr:uid="{EC0AE2A7-75FC-4B2C-9E9E-D62428E464AF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760" authorId="1" shapeId="0" xr:uid="{B2FDCBFC-702C-409C-959F-7A4495E2D19F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772" authorId="1" shapeId="0" xr:uid="{64D0CE4E-421E-43A2-A475-C7BBF3CCC11C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796" authorId="1" shapeId="0" xr:uid="{5817FA8A-0B4B-44BD-8271-C29A2607D870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797" authorId="1" shapeId="0" xr:uid="{974DA609-8E9A-447E-81F0-93F573E828C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815" authorId="1" shapeId="0" xr:uid="{C2D06E2E-1A0F-4BE1-A5A1-617A76D3DEC0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851" authorId="1" shapeId="0" xr:uid="{792A150C-BD99-4EAC-8084-2160D498178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872" authorId="1" shapeId="0" xr:uid="{ABAC7048-0B42-4239-9F3C-15A66F7B6AD8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908" authorId="1" shapeId="0" xr:uid="{72961C24-0C86-4B01-B3CC-974E16AE02FE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910" authorId="1" shapeId="0" xr:uid="{A09A3481-5D2A-4AEC-B806-C62A6BAEE0D1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911" authorId="1" shapeId="0" xr:uid="{2DCE903C-E9C5-4BAE-A0F6-1CDCB7434D38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936" authorId="2" shapeId="0" xr:uid="{48A057D6-7B56-4CD3-8CD9-D28499823B71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Adj sales</t>
        </r>
      </text>
    </comment>
    <comment ref="H957" authorId="1" shapeId="0" xr:uid="{1BFD841E-7DCE-4B03-957F-D8F6A89A12E8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958" authorId="1" shapeId="0" xr:uid="{B37D1219-D01A-4913-A405-8F9D1B487A9C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035" authorId="1" shapeId="0" xr:uid="{74277E6F-B6C4-4389-80D6-DE1363E83CF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49PCS ACTUAL 
ADJUSTMENT 27PCS-
PULL OUT 76PCS</t>
        </r>
      </text>
    </comment>
    <comment ref="G1049" authorId="1" shapeId="0" xr:uid="{18AFB6ED-7B0C-46E6-98FF-B97FC777A1C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21 PCS PULL OUT
</t>
        </r>
      </text>
    </comment>
    <comment ref="H1056" authorId="1" shapeId="0" xr:uid="{C0C5101B-D69C-4CC0-8440-58EF31CADB1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101" authorId="3" shapeId="0" xr:uid="{9169865D-DAF1-4436-9075-E2AB449F8149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 1
</t>
        </r>
      </text>
    </comment>
    <comment ref="G1105" authorId="4" shapeId="0" xr:uid="{F6A620B5-0DE6-4F06-AB03-AEC4ADB3601C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
</t>
        </r>
      </text>
    </comment>
    <comment ref="H1259" authorId="1" shapeId="0" xr:uid="{2CE9B73A-7B94-4DA7-B191-9587698ABC3D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350" authorId="1" shapeId="0" xr:uid="{DC49202C-A9EB-4D14-B3F7-D21EFA93C80A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389" authorId="1" shapeId="0" xr:uid="{73C97BD7-9EA5-4225-878C-44016804D03F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01" authorId="1" shapeId="0" xr:uid="{85B658BA-0FDD-4F0D-A87A-FC0E749E709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02" authorId="1" shapeId="0" xr:uid="{64747A39-8D82-4D30-953C-DEA2D06A1E19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04" authorId="1" shapeId="0" xr:uid="{F396B5C4-B8DB-406A-B3C0-7453EADAE8C6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05" authorId="1" shapeId="0" xr:uid="{92F26A3E-37E3-4A0D-8CE8-4B7B2AC1036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06" authorId="1" shapeId="0" xr:uid="{991EF676-7B2E-453B-93EF-D8ACD51BE4D5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08" authorId="1" shapeId="0" xr:uid="{B4EE725B-C719-4B11-84A0-7C5230E8964E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10" authorId="1" shapeId="0" xr:uid="{209991B3-779C-4EC8-AF81-B983CF6A2CEC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11" authorId="1" shapeId="0" xr:uid="{AC6534C8-448F-49DC-B272-9073E892E297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12" authorId="1" shapeId="0" xr:uid="{DB843EC8-22D5-4420-BF72-75DC471EAD26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G1414" authorId="1" shapeId="0" xr:uid="{DDDE960E-86A2-477A-951A-78AF556920B0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559" authorId="1" shapeId="0" xr:uid="{79998717-CBBD-49B0-A0A5-12BF81AFF9C1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560" authorId="1" shapeId="0" xr:uid="{02B2C6C7-625E-4E6A-AB80-E6ACA306E1D4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614" authorId="1" shapeId="0" xr:uid="{F4659EA2-3A43-4FBF-92C7-8DE40B6893F6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677" authorId="1" shapeId="0" xr:uid="{791DEA09-E89F-427E-BD78-398F6454CE5D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685" authorId="1" shapeId="0" xr:uid="{2EE8543F-2AD4-4A83-96D9-282AAC958E50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711" authorId="1" shapeId="0" xr:uid="{4B141BA7-92D0-4DE0-BFB4-48BBEDA3EA18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bo</t>
        </r>
      </text>
    </comment>
    <comment ref="H1713" authorId="1" shapeId="0" xr:uid="{FD8DBC79-B75A-4A2B-A863-FBF2973291D6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bo</t>
        </r>
      </text>
    </comment>
    <comment ref="H1727" authorId="1" shapeId="0" xr:uid="{3D4343DF-0474-4CFF-ABFA-E63165B53243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739" authorId="1" shapeId="0" xr:uid="{9E3E79FA-9A7B-46B4-8B11-E55E39672B3B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743" authorId="1" shapeId="0" xr:uid="{CAC91F5A-FA89-48CF-AD2E-BE0F0D5F9093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897" authorId="1" shapeId="0" xr:uid="{AD5AC919-A4A5-4C1F-9252-6D0CE24CFB33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908" authorId="1" shapeId="0" xr:uid="{A745D1A3-E59B-4484-9739-5039952EE6A1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911" authorId="1" shapeId="0" xr:uid="{8A026D75-3A9D-441E-B22C-01DB60DB0AF0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H1912" authorId="1" shapeId="0" xr:uid="{8590A16A-BD23-4E1B-888C-2C15041BB333}">
      <text>
        <r>
          <rPr>
            <b/>
            <sz val="9"/>
            <color indexed="81"/>
            <rFont val="Tahoma"/>
            <charset val="1"/>
          </rPr>
          <t>AMPC:</t>
        </r>
        <r>
          <rPr>
            <sz val="9"/>
            <color indexed="81"/>
            <rFont val="Tahoma"/>
            <charset val="1"/>
          </rPr>
          <t xml:space="preserve">
adj</t>
        </r>
      </text>
    </comment>
    <comment ref="B1946" authorId="0" shapeId="0" xr:uid="{3846BAC7-C2E3-4F95-BE52-5C8E5C1958D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1946" authorId="0" shapeId="0" xr:uid="{6A13E5EE-FFD3-463B-ADFA-509FDDEDAC3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1946" authorId="0" shapeId="0" xr:uid="{97361851-F35F-48F6-8112-BE28EC44C24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1952" authorId="0" shapeId="0" xr:uid="{B4110C2E-CC7C-47CE-937A-D345D1B6916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1952" authorId="0" shapeId="0" xr:uid="{A1D6EBE2-D929-407D-9178-655C3C5FA69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</authors>
  <commentList>
    <comment ref="J304" authorId="0" shapeId="0" xr:uid="{EB744F84-E60C-4995-AF9C-8C7C39D03626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E450" authorId="1" shapeId="0" xr:uid="{36895C3B-3B53-4B02-AE27-5F1102D5AAB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 +1 FOR PULL OUT</t>
        </r>
      </text>
    </comment>
  </commentList>
</comments>
</file>

<file path=xl/sharedStrings.xml><?xml version="1.0" encoding="utf-8"?>
<sst xmlns="http://schemas.openxmlformats.org/spreadsheetml/2006/main" count="15757" uniqueCount="5266">
  <si>
    <t>INVENTORY REPORT</t>
  </si>
  <si>
    <t>SHELF NO.</t>
  </si>
  <si>
    <t>SHELF DESCRIPTION</t>
  </si>
  <si>
    <t>BARCODE</t>
  </si>
  <si>
    <t>PRODUCT NAME</t>
  </si>
  <si>
    <t>UNIT COST</t>
  </si>
  <si>
    <t>ACTUAL INVENTORY</t>
  </si>
  <si>
    <t>TOTAL COST - RECORD</t>
  </si>
  <si>
    <t>TOTAL COST - ACTUAL INVENTORY</t>
  </si>
  <si>
    <t>VARIANCE - QUANTITY</t>
  </si>
  <si>
    <t>VARIANCE - COST</t>
  </si>
  <si>
    <t>REMARKS / CAUSE OF VARIANCE</t>
  </si>
  <si>
    <t>TOTAL</t>
  </si>
  <si>
    <t>PARTICULARS</t>
  </si>
  <si>
    <t>TOTAL COST</t>
  </si>
  <si>
    <t>TOTAL QUANTITY</t>
  </si>
  <si>
    <t>ACTION PLAN ON THE DEVIATION</t>
  </si>
  <si>
    <t>RECORD</t>
  </si>
  <si>
    <t>VARIANCE</t>
  </si>
  <si>
    <t>PREPARED BY:</t>
  </si>
  <si>
    <t>CHECKED BY:</t>
  </si>
  <si>
    <t>COMFORMED BY:</t>
  </si>
  <si>
    <t>INVENTORY CONTROLLER</t>
  </si>
  <si>
    <t>OPERATION - UNIT HEAD</t>
  </si>
  <si>
    <t>RECOMMENDING APPROVAL BY:</t>
  </si>
  <si>
    <t>APPROVED BY:</t>
  </si>
  <si>
    <t>JASPER D. SANTOS</t>
  </si>
  <si>
    <t>GENERAL MANAGER</t>
  </si>
  <si>
    <t>OVER</t>
  </si>
  <si>
    <t>RETURN</t>
  </si>
  <si>
    <t>SHORT</t>
  </si>
  <si>
    <t>ACCOUNTANT    /    ACCOUNTING SUPERVISOR</t>
  </si>
  <si>
    <t>PRINTING</t>
  </si>
  <si>
    <t>BARCODE/ CONTROL NUMBER</t>
  </si>
  <si>
    <t>QUANTITY PER RECORD / ACCPOS</t>
  </si>
  <si>
    <t>OFFICE SUPPLIES</t>
  </si>
  <si>
    <t>MICHAEL PASCUA</t>
  </si>
  <si>
    <t>Overage will be adjusted to the system while shortage will be charged to the accountable staff.</t>
  </si>
  <si>
    <t>NERISSA C. DULDULAO   /   TERESITA B. OLAR</t>
  </si>
  <si>
    <t>VARIANCE BREAKDOWN (PRINTING)</t>
  </si>
  <si>
    <t>SRP</t>
  </si>
  <si>
    <t>FINANCE, ACCTG &amp; ADMIN MANAGER</t>
  </si>
  <si>
    <t>KATHERINE DC. SANTOS</t>
  </si>
  <si>
    <t>JAN. ACTUAL</t>
  </si>
  <si>
    <t>REMARKS</t>
  </si>
  <si>
    <t>70002</t>
  </si>
  <si>
    <t>PRINTING ADRITE RIBBON INK MEDIUM/BLACK</t>
  </si>
  <si>
    <t>70180</t>
  </si>
  <si>
    <t>PRINTING ADVENTURE PLASTIC ENVELOPE LONG</t>
  </si>
  <si>
    <t>70181</t>
  </si>
  <si>
    <t>PRINTING ADVENTURE PLASTIC ENVELOPE W/ HANDLE LONG</t>
  </si>
  <si>
    <t>70003</t>
  </si>
  <si>
    <t>PRINTING ARTLINE HIGHLIGHTER ORANGE</t>
  </si>
  <si>
    <t>70006</t>
  </si>
  <si>
    <t>PRINTING ASIAN COLOR BONDPAPER BLUE SHORT</t>
  </si>
  <si>
    <t>70007</t>
  </si>
  <si>
    <t>PRINTING ASIAN COLOR BONDPAPER PINK SHORT</t>
  </si>
  <si>
    <t>70008</t>
  </si>
  <si>
    <t>PRINTING ASSORTED PLASTIC SLIDING FOLDER LONG</t>
  </si>
  <si>
    <t>70009</t>
  </si>
  <si>
    <t>PRINTING ASSORTED PLASTIC SLIDING FOLDER SHORT</t>
  </si>
  <si>
    <t>70278</t>
  </si>
  <si>
    <t>PRINTING BALIK TANGKILIK CARD</t>
  </si>
  <si>
    <t>70010</t>
  </si>
  <si>
    <t>PRINTING BALLPEN HBW GREEN</t>
  </si>
  <si>
    <t>70011</t>
  </si>
  <si>
    <t>PRINTING BALLPEN HBW MATRIX BLUE</t>
  </si>
  <si>
    <t>70012</t>
  </si>
  <si>
    <t>PRINTING BALLPEN HBW MATRIX RED</t>
  </si>
  <si>
    <t>70314</t>
  </si>
  <si>
    <t>PRINTING BALLPEN HBW MATRIX RED - 2</t>
  </si>
  <si>
    <t>70013</t>
  </si>
  <si>
    <t>PRINTING BALLPEN PIANO BLACK</t>
  </si>
  <si>
    <t>70179</t>
  </si>
  <si>
    <t>PRINTING BEIFA PXSTICK BALLPEN BLACK</t>
  </si>
  <si>
    <t>70014</t>
  </si>
  <si>
    <t>PRINTING BINDER CLIPS 1 INCH</t>
  </si>
  <si>
    <t>70307</t>
  </si>
  <si>
    <t>PRINTING BINDER CLIPS 2 INCHES - 2</t>
  </si>
  <si>
    <t>70264</t>
  </si>
  <si>
    <t>PRINTING BLUE CAP W/ EMBROIDERY</t>
  </si>
  <si>
    <t>70016</t>
  </si>
  <si>
    <t xml:space="preserve">PRINTING BONUS LONG </t>
  </si>
  <si>
    <t>70017</t>
  </si>
  <si>
    <t>PRINTING BONUS SHORT</t>
  </si>
  <si>
    <t>70126</t>
  </si>
  <si>
    <t>PRINTING BP-S-F FINE BALLPEN BLUE</t>
  </si>
  <si>
    <t>70018</t>
  </si>
  <si>
    <t>PRINTING BROWN ENVELOPE LONG</t>
  </si>
  <si>
    <t>70021</t>
  </si>
  <si>
    <t xml:space="preserve">PRINTING BROWN ENVELOPE SHORT W/ ASKI LETTER HEAD </t>
  </si>
  <si>
    <t>70223</t>
  </si>
  <si>
    <t>PRINTING CALLING CARD</t>
  </si>
  <si>
    <t>70022</t>
  </si>
  <si>
    <t>PRINTING CASIO CALCULATOR</t>
  </si>
  <si>
    <t>70023</t>
  </si>
  <si>
    <t>PRINTING CATALOGUE ENVELOPE 1/2 SIZE</t>
  </si>
  <si>
    <t>70024</t>
  </si>
  <si>
    <t>PRINTING CATTLEYA NOTE LARGE</t>
  </si>
  <si>
    <t>70025</t>
  </si>
  <si>
    <t>PRINTING CATTLEYA NOTE MEDIUM</t>
  </si>
  <si>
    <t>70026</t>
  </si>
  <si>
    <t>PRINTING CATTLEYA NOTE SMALL</t>
  </si>
  <si>
    <t>70219</t>
  </si>
  <si>
    <t>PRINTING CDLM WHITE POLO SHIRT W/ EMBROIDERY</t>
  </si>
  <si>
    <t>70027</t>
  </si>
  <si>
    <t>PRINTING CLEAR FOLDER LONG</t>
  </si>
  <si>
    <t>70028</t>
  </si>
  <si>
    <t>PRINTING CLEAR FOLDER SHORT</t>
  </si>
  <si>
    <t>70170</t>
  </si>
  <si>
    <t>PRINTING CLIENTS ID</t>
  </si>
  <si>
    <t>70029</t>
  </si>
  <si>
    <t>PRINTING CLUB CARBON COPY Short</t>
  </si>
  <si>
    <t>70243</t>
  </si>
  <si>
    <t>PRINTING COKE RED T-SHIRT W/ DTF PRINT</t>
  </si>
  <si>
    <t>70030</t>
  </si>
  <si>
    <t>PRINTING COLORED BOND PAPER PINK LONG</t>
  </si>
  <si>
    <t>70031</t>
  </si>
  <si>
    <t>PRINTING COLORED PAPER ORANGE SHORT</t>
  </si>
  <si>
    <t>70033</t>
  </si>
  <si>
    <t xml:space="preserve">PRINTING COLUMNAR 12 COLUMNS </t>
  </si>
  <si>
    <t>70034</t>
  </si>
  <si>
    <t xml:space="preserve">PRINTING COLUMNAR 14 COLUMNS </t>
  </si>
  <si>
    <t>70035</t>
  </si>
  <si>
    <t>PRINTING COLUMNAR 16 COLUMNS</t>
  </si>
  <si>
    <t>70036</t>
  </si>
  <si>
    <t>PRINTING COLUMNAR 3 COLUMNS</t>
  </si>
  <si>
    <t>70037</t>
  </si>
  <si>
    <t>PRINTING COLUMNAR 8 COLUMNS</t>
  </si>
  <si>
    <t>70038</t>
  </si>
  <si>
    <t>PRINTING COMPOSITION NOTEBOOK</t>
  </si>
  <si>
    <t>70039</t>
  </si>
  <si>
    <t>PRINTING CONT. FORM 11X8 1/2 1 PLY</t>
  </si>
  <si>
    <t>70041</t>
  </si>
  <si>
    <t>PRINTING CONT. FORM 11X8 1/2 3 PLY</t>
  </si>
  <si>
    <t>70042</t>
  </si>
  <si>
    <t>PRINTING CONT. FORM 11X9 1/2 1 PLY</t>
  </si>
  <si>
    <t>70231</t>
  </si>
  <si>
    <t>PRINTING CONT. FORM 11X9 1/2 3 PLY</t>
  </si>
  <si>
    <t>70043</t>
  </si>
  <si>
    <t>PRINTING CONT. FORM CARBONLESS 11X9 1/2 2 PLY</t>
  </si>
  <si>
    <t>70044</t>
  </si>
  <si>
    <t>PRINTING CONT. FORM CARBONLESS 11X9 1/2 3 PLY</t>
  </si>
  <si>
    <t>70294</t>
  </si>
  <si>
    <t>PRINTING CORRECTION TAPE 10M</t>
  </si>
  <si>
    <t>70047</t>
  </si>
  <si>
    <t>PRINTING CRAYONS 16PCS</t>
  </si>
  <si>
    <t>70048</t>
  </si>
  <si>
    <t>PRINTING CRAYONS 24PCS</t>
  </si>
  <si>
    <t>70046</t>
  </si>
  <si>
    <t>PRINTING CRAYONS 8PCS</t>
  </si>
  <si>
    <t>70049</t>
  </si>
  <si>
    <t>PRINTING CREST REFILL RIBBON</t>
  </si>
  <si>
    <t>70268</t>
  </si>
  <si>
    <t>PRINTING CUTTER BLADE BIG</t>
  </si>
  <si>
    <t>70274</t>
  </si>
  <si>
    <t>PRINTING CUTTER HEAVY DUTY</t>
  </si>
  <si>
    <t>70051</t>
  </si>
  <si>
    <t>PRINTING DATE STAMP PAID</t>
  </si>
  <si>
    <t>70052</t>
  </si>
  <si>
    <t>PRINTING DATE STAMP RECEIVED</t>
  </si>
  <si>
    <t>70054</t>
  </si>
  <si>
    <t>PRINTING DOUBLE SIDED TAPE</t>
  </si>
  <si>
    <t>70055</t>
  </si>
  <si>
    <t>PRINTING DTR</t>
  </si>
  <si>
    <t>70269</t>
  </si>
  <si>
    <t>PRINTING ELMERS GLUE 130G</t>
  </si>
  <si>
    <t>70057</t>
  </si>
  <si>
    <t>PRINTING ELMERS GLUE ALL 40G</t>
  </si>
  <si>
    <t>70214</t>
  </si>
  <si>
    <t>PRINTING ENVELOPE 7 1/2</t>
  </si>
  <si>
    <t>70020</t>
  </si>
  <si>
    <t>PRINTING ENVELOPE LONG W/ ASKI LETTER HEAD</t>
  </si>
  <si>
    <t>70058</t>
  </si>
  <si>
    <t>PRINTING ERASER</t>
  </si>
  <si>
    <t>70060</t>
  </si>
  <si>
    <t>PRINTING EXPANDING ENVELOPE BROWN SHORT</t>
  </si>
  <si>
    <t>70061</t>
  </si>
  <si>
    <t>PRINTING EXPANDING ENVELOPE GREEN SHORT</t>
  </si>
  <si>
    <t>70063</t>
  </si>
  <si>
    <t>PRINTING EXPANDING ENVELOPE SHORT VIOLET</t>
  </si>
  <si>
    <t>70311</t>
  </si>
  <si>
    <t>PRINTING EXPANDING FOLDER GREEN LONG - 2</t>
  </si>
  <si>
    <t>70066</t>
  </si>
  <si>
    <t>PRINTING EXPANDING FOLDER GREEN SHORT</t>
  </si>
  <si>
    <t>70067</t>
  </si>
  <si>
    <t>PRINTING EXPANDING FOLDER LIGHT BLUE LONG</t>
  </si>
  <si>
    <t>70068</t>
  </si>
  <si>
    <t>PRINTING EXPANDING FOLDER ORANGE LONG</t>
  </si>
  <si>
    <t>70069</t>
  </si>
  <si>
    <t>PRINTING EXPANDING FOLDER PINK LONG</t>
  </si>
  <si>
    <t>70070</t>
  </si>
  <si>
    <t>PRINTING EXPANDING FOLDER PINK SHORT</t>
  </si>
  <si>
    <t>70297</t>
  </si>
  <si>
    <t>PRINTING EXPANDING FOLDER PINK SHORT - 2</t>
  </si>
  <si>
    <t>70071</t>
  </si>
  <si>
    <t>PRINTING EXPANDING FOLDER RED LONG</t>
  </si>
  <si>
    <t>70072</t>
  </si>
  <si>
    <t>PRINTING EXPANDING FOLDER RED SHORT</t>
  </si>
  <si>
    <t>70073</t>
  </si>
  <si>
    <t>PRINTING EXPANDING FOLDER ROYAL BLUE LONG</t>
  </si>
  <si>
    <t>70312</t>
  </si>
  <si>
    <t>PRINTING EXPANDING FOLDER ROYAL BLUE LONG - 2</t>
  </si>
  <si>
    <t>70313</t>
  </si>
  <si>
    <t>PRINTING EXPANDING FOLDER ROYAL BLUE SHORT - 2</t>
  </si>
  <si>
    <t>70074</t>
  </si>
  <si>
    <t>PRINTING EXPANDING FOLDER YELLOW LONG</t>
  </si>
  <si>
    <t>70077</t>
  </si>
  <si>
    <t>PRINTING FASTENER GATOR 8 1/2 SIZE</t>
  </si>
  <si>
    <t>70075</t>
  </si>
  <si>
    <t>PRINTING FASTENER HOT ARTS 70MM</t>
  </si>
  <si>
    <t>70234</t>
  </si>
  <si>
    <t>PRINTING FFNE POLO SHIRT M-2XL</t>
  </si>
  <si>
    <t>70249</t>
  </si>
  <si>
    <t>PRINTING FILE BOX</t>
  </si>
  <si>
    <t>70078</t>
  </si>
  <si>
    <t>PRINTING FILE RACK</t>
  </si>
  <si>
    <t>70079</t>
  </si>
  <si>
    <t>PRINTING FOLDER BROWN SHORT</t>
  </si>
  <si>
    <t>70080</t>
  </si>
  <si>
    <t>PRINTING FOLDER LONG BLUE</t>
  </si>
  <si>
    <t>70081</t>
  </si>
  <si>
    <t>PRINTING FOLDER LONG GREEN</t>
  </si>
  <si>
    <t>70266</t>
  </si>
  <si>
    <t>PRINTING FOLDER LONG ORANGE</t>
  </si>
  <si>
    <t>70082</t>
  </si>
  <si>
    <t>PRINTING FOLDER LONG PINK</t>
  </si>
  <si>
    <t>70083</t>
  </si>
  <si>
    <t>PRINTING FOLDER LONG RED</t>
  </si>
  <si>
    <t>70084</t>
  </si>
  <si>
    <t>PRINTING FOLDER LONG VIOLET</t>
  </si>
  <si>
    <t>70085</t>
  </si>
  <si>
    <t>PRINTING FOLDER LONG WHITE</t>
  </si>
  <si>
    <t>70086</t>
  </si>
  <si>
    <t>PRINTING FOLDER LONG YELLOW</t>
  </si>
  <si>
    <t>70087</t>
  </si>
  <si>
    <t>PRINTING FOLDER SHORT RED</t>
  </si>
  <si>
    <t>70088</t>
  </si>
  <si>
    <t>PRINTING FOLDER SHORT WHITE</t>
  </si>
  <si>
    <t>70089</t>
  </si>
  <si>
    <t>PRINTING FOLDER SHORT YELLOW</t>
  </si>
  <si>
    <t>70173</t>
  </si>
  <si>
    <t>PRINTING FORMS BONUS LONG</t>
  </si>
  <si>
    <t>70176</t>
  </si>
  <si>
    <t>PRINTING FORMS PERFECT PRINT LONG</t>
  </si>
  <si>
    <t>70175</t>
  </si>
  <si>
    <t>PRINTING FORMS PERFECT PRINT LONG B2B</t>
  </si>
  <si>
    <t>70239</t>
  </si>
  <si>
    <t>PRINTING FRAME 12X9</t>
  </si>
  <si>
    <t>70238</t>
  </si>
  <si>
    <t>PRINTING FRAME 18X24</t>
  </si>
  <si>
    <t>70090</t>
  </si>
  <si>
    <t>PRINTING FULLMARK INK FILM</t>
  </si>
  <si>
    <t>70306</t>
  </si>
  <si>
    <t>PRINTING GATOR CORRECTION TAPE</t>
  </si>
  <si>
    <t>70091</t>
  </si>
  <si>
    <t>PRINTING GATOR RUBBERBOND</t>
  </si>
  <si>
    <t>70092</t>
  </si>
  <si>
    <t>PRINTING GOLDEN LION RUBBERBOND</t>
  </si>
  <si>
    <t>70283</t>
  </si>
  <si>
    <t>PRINTING HBW MATRIX BLACK</t>
  </si>
  <si>
    <t>70093</t>
  </si>
  <si>
    <t>PRINTING HBW STAMP PAD INK - RED</t>
  </si>
  <si>
    <t>70143</t>
  </si>
  <si>
    <t>PRINTING HEAVY DUTY PUNCHER</t>
  </si>
  <si>
    <t>70198</t>
  </si>
  <si>
    <t>PRINTING INTERMEDIATE PAD</t>
  </si>
  <si>
    <t>70260</t>
  </si>
  <si>
    <t>PRINTING JACKET BURDA NAME ONLY</t>
  </si>
  <si>
    <t>70227</t>
  </si>
  <si>
    <t>PRINTING JACKET BURDA ONLY-FRONT&amp;BACK</t>
  </si>
  <si>
    <t>70094</t>
  </si>
  <si>
    <t>PRINTING JOURNAL</t>
  </si>
  <si>
    <t>70095</t>
  </si>
  <si>
    <t>PRINTING JOY CRAYONS BY 16</t>
  </si>
  <si>
    <t>70229</t>
  </si>
  <si>
    <t>PRINTING KOOPLYMPICS GRAY SHIRT</t>
  </si>
  <si>
    <t>70099</t>
  </si>
  <si>
    <t>PRINTING KRISTAL TYPEWRITING PAPER LONG</t>
  </si>
  <si>
    <t>70100</t>
  </si>
  <si>
    <t>PRINTING KRISTAL TYPEWRITING PAPER SHORT</t>
  </si>
  <si>
    <t>70259</t>
  </si>
  <si>
    <t>PRINTING LAMINATE FILM LETTER SIZE 250MIC</t>
  </si>
  <si>
    <t>70101</t>
  </si>
  <si>
    <t>PRINTING LAMINATING FILM</t>
  </si>
  <si>
    <t>70102</t>
  </si>
  <si>
    <t>PRINTING LAMINATING FILM SEAL PLUS</t>
  </si>
  <si>
    <t>70103</t>
  </si>
  <si>
    <t>PRINTING MAGIC TOUCH NOTEBOOK</t>
  </si>
  <si>
    <t>70104</t>
  </si>
  <si>
    <t>PRINTING MAGIC TOUCH NOTEBOOK GRADE 1</t>
  </si>
  <si>
    <t>70105</t>
  </si>
  <si>
    <t>PRINTING MARVY HIGHLIGHTER</t>
  </si>
  <si>
    <t>70106</t>
  </si>
  <si>
    <t>PRINTING MASKING TAPE</t>
  </si>
  <si>
    <t>70107</t>
  </si>
  <si>
    <t>PRINTING MATHEMATICS NOTEBOOK</t>
  </si>
  <si>
    <t>70233</t>
  </si>
  <si>
    <t>PRINTING MBA MUG WITH UV STICKER</t>
  </si>
  <si>
    <t>70108</t>
  </si>
  <si>
    <t>PRINTING MIMEO PAPER UNIVERSAL GROUND BONDPAPER</t>
  </si>
  <si>
    <t>70110</t>
  </si>
  <si>
    <t>PRINTING MY GEL REFILL 0.5</t>
  </si>
  <si>
    <t>70111</t>
  </si>
  <si>
    <t>PRINTING MY GEL REFILL 0.7</t>
  </si>
  <si>
    <t>70113</t>
  </si>
  <si>
    <t>PRINTING MY GEL SIGNPEN BLACK 0.7</t>
  </si>
  <si>
    <t>70114</t>
  </si>
  <si>
    <t>PRINTING OFFICE PRO A4</t>
  </si>
  <si>
    <t>70116</t>
  </si>
  <si>
    <t>PRINTING OKI CARTRIDGE RIBBON</t>
  </si>
  <si>
    <t>70122</t>
  </si>
  <si>
    <t>PRINTING OLDTOWN CARBON PAPER LONG</t>
  </si>
  <si>
    <t>70193</t>
  </si>
  <si>
    <t>PRINTING PACKAGING TAPE CLEAR</t>
  </si>
  <si>
    <t>70194</t>
  </si>
  <si>
    <t>PRINTING PACKAGING TAPE TAN</t>
  </si>
  <si>
    <t>70195</t>
  </si>
  <si>
    <t>PRINTING PANDA SUPER BALLPEN BLACK</t>
  </si>
  <si>
    <t>70118</t>
  </si>
  <si>
    <t>PRINTING PAPER GRADE 1</t>
  </si>
  <si>
    <t>70119</t>
  </si>
  <si>
    <t>PRINTING PAPER GRADE 2</t>
  </si>
  <si>
    <t>70120</t>
  </si>
  <si>
    <t>PRINTING PAPER GRADE 3</t>
  </si>
  <si>
    <t>70121</t>
  </si>
  <si>
    <t>PRINTING PAPER GRADE 4</t>
  </si>
  <si>
    <t>70286</t>
  </si>
  <si>
    <t>PRINTING PERFECT PRINT A4</t>
  </si>
  <si>
    <t>70123</t>
  </si>
  <si>
    <t>PRINTING PERFECT PRINT LONG</t>
  </si>
  <si>
    <t>70124</t>
  </si>
  <si>
    <t>PRINTING PERFECT PRINT SHORT</t>
  </si>
  <si>
    <t>70125</t>
  </si>
  <si>
    <t>PRINTING PILOT BP-S-F FINE BALLPEN BLACK</t>
  </si>
  <si>
    <t>70127</t>
  </si>
  <si>
    <t>PRINTING PILOT MARKER BLACK</t>
  </si>
  <si>
    <t>70128</t>
  </si>
  <si>
    <t>PRINTING PILOT MARKER BLUE</t>
  </si>
  <si>
    <t>70129</t>
  </si>
  <si>
    <t>PRINTING PILOT MARKER RED</t>
  </si>
  <si>
    <t>70130</t>
  </si>
  <si>
    <t>PRINTING PILOT SUPER COLOR MARKER REFILL INK</t>
  </si>
  <si>
    <t>70131</t>
  </si>
  <si>
    <t>PRINTING PILOT WYTEBOARD MARKER BLACK</t>
  </si>
  <si>
    <t>70132</t>
  </si>
  <si>
    <t>PRINTING PILOT WYTEBOARD MARKER BLUE</t>
  </si>
  <si>
    <t>70133</t>
  </si>
  <si>
    <t>PRINTING PILOT WYTEBOARD MARKER RED</t>
  </si>
  <si>
    <t>70172</t>
  </si>
  <si>
    <t>PRINTING PLASTIC CASE OF CALLING CARDS</t>
  </si>
  <si>
    <t>70134</t>
  </si>
  <si>
    <t>PRINTING PLASTIC ENVELOPE SHORT</t>
  </si>
  <si>
    <t>70246</t>
  </si>
  <si>
    <t>PRINTING PLASTIC FOLDER GREEN LONG</t>
  </si>
  <si>
    <t>70135</t>
  </si>
  <si>
    <t>PRINTING PLASTIC FOLDER ORANGE LONG</t>
  </si>
  <si>
    <t>70136</t>
  </si>
  <si>
    <t>PRINTING PLASTIC FOLDER PINK LONG</t>
  </si>
  <si>
    <t>70137</t>
  </si>
  <si>
    <t>PRINTING PLASTIC FOLDER RED LONG</t>
  </si>
  <si>
    <t>70310</t>
  </si>
  <si>
    <t>PRINTING PLASTIC FOLDER YELLOW LONG - 2</t>
  </si>
  <si>
    <t>70237</t>
  </si>
  <si>
    <t>PRINTING POSTER 12X9</t>
  </si>
  <si>
    <t>70236</t>
  </si>
  <si>
    <t>PRINTING POSTER 18X24</t>
  </si>
  <si>
    <t>70140</t>
  </si>
  <si>
    <t>PRINTING PPC PAPER 70 GSM SHORT</t>
  </si>
  <si>
    <t>70197</t>
  </si>
  <si>
    <t>PRINTING PUSH PINS 50</t>
  </si>
  <si>
    <t>70171</t>
  </si>
  <si>
    <t>PRINTING PVC CARDS</t>
  </si>
  <si>
    <t>70265</t>
  </si>
  <si>
    <t>PRINTING ROLL UP STAND 3X7</t>
  </si>
  <si>
    <t>70144</t>
  </si>
  <si>
    <t>PRINTING RULER JOY</t>
  </si>
  <si>
    <t>70203</t>
  </si>
  <si>
    <t>PRINTING SAMPLE UNSTOPPABLE POLO SHIRT</t>
  </si>
  <si>
    <t>70145</t>
  </si>
  <si>
    <t>PRINTING SCISSOR</t>
  </si>
  <si>
    <t>70315</t>
  </si>
  <si>
    <t>PRINTING SCISSOR - 2</t>
  </si>
  <si>
    <t>70305</t>
  </si>
  <si>
    <t>PRINTING SCOTCH TAPE 1- 2</t>
  </si>
  <si>
    <t>70271</t>
  </si>
  <si>
    <t>PRINTING SHINY RECORD BOOK 150 PAGES</t>
  </si>
  <si>
    <t>70273</t>
  </si>
  <si>
    <t>PRINTING SHINY RECORD BOOK 500 PAGES</t>
  </si>
  <si>
    <t>70196</t>
  </si>
  <si>
    <t>PRINTING SOFTCARD ID HOLDER</t>
  </si>
  <si>
    <t>70149</t>
  </si>
  <si>
    <t>PRINTING SPIRAL WRITING NOTEBOOK</t>
  </si>
  <si>
    <t>70191</t>
  </si>
  <si>
    <t>PRINTING STABILO BOSS HIGHLIGHTER</t>
  </si>
  <si>
    <t>70150</t>
  </si>
  <si>
    <t>PRINTING STAINLESS FASTENER</t>
  </si>
  <si>
    <t>70004</t>
  </si>
  <si>
    <t>PRINTING STAMP PAD INK PURPLE</t>
  </si>
  <si>
    <t>70151</t>
  </si>
  <si>
    <t>PRINTING STAMP PAD NO. 3 VIOLET INK</t>
  </si>
  <si>
    <t>70153</t>
  </si>
  <si>
    <t>PRINTING STAPLE WIRE #35 MAX</t>
  </si>
  <si>
    <t>70295</t>
  </si>
  <si>
    <t>PRINTING STAPLE WIRE #35 MAX - 2</t>
  </si>
  <si>
    <t>70154</t>
  </si>
  <si>
    <t>PRINTING STAPLER HD-50R/ML</t>
  </si>
  <si>
    <t>70298</t>
  </si>
  <si>
    <t>PRINTING STAPLER HD-50R/ML W/ REMOVER</t>
  </si>
  <si>
    <t>70158</t>
  </si>
  <si>
    <t>PRINTING STICKER PAPER GLOSSY</t>
  </si>
  <si>
    <t>70270</t>
  </si>
  <si>
    <t>PRINTING STICKER PAPER MATTE</t>
  </si>
  <si>
    <t>70293</t>
  </si>
  <si>
    <t>PRINTING STICKY NOTE - 2</t>
  </si>
  <si>
    <t>70155</t>
  </si>
  <si>
    <t>PRINTING TAPE DISPENSER</t>
  </si>
  <si>
    <t>70230</t>
  </si>
  <si>
    <t>PRINTING TARPAULIN 1.5X2</t>
  </si>
  <si>
    <t>70182</t>
  </si>
  <si>
    <t>PRINTING TARPAULIN 1.5X2FT</t>
  </si>
  <si>
    <t>70255</t>
  </si>
  <si>
    <t>PRINTING TARPAULIN 12X18 W/ FRAME</t>
  </si>
  <si>
    <t>70235</t>
  </si>
  <si>
    <t>PRINTING TARPAULIN 1X2FT</t>
  </si>
  <si>
    <t>70183</t>
  </si>
  <si>
    <t>PRINTING TARPAULIN 3X6FT</t>
  </si>
  <si>
    <t>70156</t>
  </si>
  <si>
    <t>PRINTING UK OFFICE STAPLE WIRE #10</t>
  </si>
  <si>
    <t>70157</t>
  </si>
  <si>
    <t>PRINTING UK OFFICE STAPLER</t>
  </si>
  <si>
    <t>70160</t>
  </si>
  <si>
    <t>PRINTING VINYL PAPER CLIPS 33MM</t>
  </si>
  <si>
    <t>70316</t>
  </si>
  <si>
    <t>PRINTING VINYL PAPER CLIPS 33MM - 2</t>
  </si>
  <si>
    <t>70159</t>
  </si>
  <si>
    <t>PRINTING VINYL PAPER CLIPS 50MM</t>
  </si>
  <si>
    <t>70161</t>
  </si>
  <si>
    <t>PRINTING VISION RECORD BOOK TABLET SIZE 150</t>
  </si>
  <si>
    <t>70162</t>
  </si>
  <si>
    <t>PRINTING VISION RECORD BOOK TABLET SIZE 300</t>
  </si>
  <si>
    <t>70163</t>
  </si>
  <si>
    <t>PRINTING VISION RECORD BOOK TABLET SIZE 500</t>
  </si>
  <si>
    <t>70164</t>
  </si>
  <si>
    <t>PRINTING WATER WELL PASTE REDSTONE</t>
  </si>
  <si>
    <t>70165</t>
  </si>
  <si>
    <t>PRINTING WHITE ENVELOPE SOBRE INVITATION</t>
  </si>
  <si>
    <t>70166</t>
  </si>
  <si>
    <t>PRINTING WHITE ENVELOPE SOBRE LONG</t>
  </si>
  <si>
    <t>70167</t>
  </si>
  <si>
    <t>PRINTING WHITE ENVELOPE SOBRE SHORT</t>
  </si>
  <si>
    <t>70213</t>
  </si>
  <si>
    <t>PRINTING WINDOW ENVELOPE LONG</t>
  </si>
  <si>
    <t>70168</t>
  </si>
  <si>
    <t>PRINTING WORX BONDPAPER LONG</t>
  </si>
  <si>
    <t>70169</t>
  </si>
  <si>
    <t>PRINTING WORX BONDPAPER SHORT</t>
  </si>
  <si>
    <t>70199</t>
  </si>
  <si>
    <t>PRINTING YELLOW RULED PAD</t>
  </si>
  <si>
    <t>70212</t>
  </si>
  <si>
    <t>70318</t>
  </si>
  <si>
    <t>70319</t>
  </si>
  <si>
    <t>70323</t>
  </si>
  <si>
    <t>70322</t>
  </si>
  <si>
    <t>70174</t>
  </si>
  <si>
    <t>PRINTING ASKI MPC BOD &amp; GA TARPAULIN 1.5X2FT</t>
  </si>
  <si>
    <t>PRINTING BROWN ENVELOPE - SHORT</t>
  </si>
  <si>
    <t>PRINTING CATALOGUE ENVELOPE 1/2 SIZE -2</t>
  </si>
  <si>
    <t>PRINTING EXPANDING FOLDER  LONG-2</t>
  </si>
  <si>
    <t>PRINTING EXPANDING FOLDER PINK LONG -2</t>
  </si>
  <si>
    <t>PRINTING FORMS BONUS SHORT</t>
  </si>
  <si>
    <t xml:space="preserve">                                                                  </t>
  </si>
  <si>
    <t>70321</t>
  </si>
  <si>
    <t>PRINTING PLASTIC FOLDER GREEN LONG - 3</t>
  </si>
  <si>
    <t>COOP STORE</t>
  </si>
  <si>
    <t>STORE</t>
  </si>
  <si>
    <t>BODEGA 1</t>
  </si>
  <si>
    <t>BODEGA 2</t>
  </si>
  <si>
    <t>BO - COUNTER</t>
  </si>
  <si>
    <t>EXPIRED</t>
  </si>
  <si>
    <t>SALES</t>
  </si>
  <si>
    <t>QTY</t>
  </si>
  <si>
    <t>AMOUNT</t>
  </si>
  <si>
    <t>CHIPS &amp; SNACK</t>
  </si>
  <si>
    <t>4800631001928</t>
  </si>
  <si>
    <t>BOY BAWANG ASSORTED NUTS 85G</t>
  </si>
  <si>
    <t>BOY BAWANG CHILI CHEESE 100G</t>
  </si>
  <si>
    <t>4809011681095</t>
  </si>
  <si>
    <t>BOY BAWANG CORNICK ADOBO 100G</t>
  </si>
  <si>
    <t>4809011681507</t>
  </si>
  <si>
    <t>BOY BAWANG CORNICK BBQ FLAVOR 100G</t>
  </si>
  <si>
    <t>4800631681311</t>
  </si>
  <si>
    <t>BOY BAWANG CORNICK LECHON MANOK FLAVOR</t>
  </si>
  <si>
    <t>4800631000419</t>
  </si>
  <si>
    <t>BOY BAWANG CRACKER NUTS 85G</t>
  </si>
  <si>
    <t>4809011681378</t>
  </si>
  <si>
    <t>BOY BAWANG GARLIC FLAVOR 100G</t>
  </si>
  <si>
    <t>4809011681194</t>
  </si>
  <si>
    <t>BOY BAWANG HOT GARLIC 100G</t>
  </si>
  <si>
    <t>4800631000488</t>
  </si>
  <si>
    <t>BOY BAWANG MIXED NUTS GARLIC FLAVOR 100G</t>
  </si>
  <si>
    <t>1-Expired 4/15/2025</t>
  </si>
  <si>
    <t>4800631001867</t>
  </si>
  <si>
    <t>BOY BAWANG SNACK MIX W/ REAL GARLIC CHIPS 85G</t>
  </si>
  <si>
    <t>4800194104128</t>
  </si>
  <si>
    <t>CHEEZ ON CHIPS CHEESE FLAVOR 22G</t>
  </si>
  <si>
    <t>EXPIRED 2024 MAY 2026-50</t>
  </si>
  <si>
    <t>4800216125919</t>
  </si>
  <si>
    <t>CHEEZY CORN CRUNCH CHEESE 150G</t>
  </si>
  <si>
    <t>4800216121041</t>
  </si>
  <si>
    <t>CHEEZY CORN CRUNCH CHEESE 24G</t>
  </si>
  <si>
    <t>4800216121058</t>
  </si>
  <si>
    <t>CHEEZY CORN CRUNCH CHEESE 70G</t>
  </si>
  <si>
    <t>4800216121911</t>
  </si>
  <si>
    <t>CHEEZY CORN CRUNCH RED HOT 22G</t>
  </si>
  <si>
    <t>4800216122437</t>
  </si>
  <si>
    <t>CHEEZY CORN CRUNCH RED HOT 70G</t>
  </si>
  <si>
    <t>4800016115424</t>
  </si>
  <si>
    <t>CHICHARRON NI MANG JUAN KLASIK CHICHARON 90G</t>
  </si>
  <si>
    <t>4800016110535</t>
  </si>
  <si>
    <t>CHICHARRON NI MANG JUAN PAOMBONG 26G</t>
  </si>
  <si>
    <t>4800016110511</t>
  </si>
  <si>
    <t>CHICHARRON NI MANG JUAN PAOMBONG 90G</t>
  </si>
  <si>
    <t>4800016110542</t>
  </si>
  <si>
    <t>CHICHARRON NI MANG JUAN SUKAT SILI 26G</t>
  </si>
  <si>
    <t>EXPIRED JAN 2026</t>
  </si>
  <si>
    <t>4800016110528</t>
  </si>
  <si>
    <t>CHICHARRON NI MANG JUAN SUKAT SILI 90G</t>
  </si>
  <si>
    <t>4806505854423</t>
  </si>
  <si>
    <t>CHICK BOY CALIFORNIA CRUNCH ONION &amp; GARLIC FLAVOR 100G</t>
  </si>
  <si>
    <t>4806505854225</t>
  </si>
  <si>
    <t>CHICK BOY CHEESE FLAVOR 100G</t>
  </si>
  <si>
    <t>4806505854232</t>
  </si>
  <si>
    <t>CHICK BOY SWEET CORN FLAVOR 100G</t>
  </si>
  <si>
    <t>4806505854416</t>
  </si>
  <si>
    <t>CHICK BOY TEXAS SMOKED BBQ FLAVOR 100G</t>
  </si>
  <si>
    <t>4800016115011</t>
  </si>
  <si>
    <t>CHICKN SKIN NI MANG JUAN 17G</t>
  </si>
  <si>
    <t>4800016115257</t>
  </si>
  <si>
    <t>CHICKN SKIN NI MANG JUAN 70G</t>
  </si>
  <si>
    <t>4800016643095</t>
  </si>
  <si>
    <t>CHIPPY BBQ FLAVOR 110G</t>
  </si>
  <si>
    <t>4800016642029</t>
  </si>
  <si>
    <t>CHIPPY BBQ FLAVOR 27G</t>
  </si>
  <si>
    <t>4800194117326</t>
  </si>
  <si>
    <t>CHOCO FLAKES CEREALS 22G</t>
  </si>
  <si>
    <t>EXPIRED 2024 &amp; MAY 2026-50</t>
  </si>
  <si>
    <t>4800216110045</t>
  </si>
  <si>
    <t>CLOVER CHEESE 145G</t>
  </si>
  <si>
    <t>EXPIRED 2024</t>
  </si>
  <si>
    <t>4800216120013</t>
  </si>
  <si>
    <t>CLOVER CHEESE 24G</t>
  </si>
  <si>
    <t>20-EXPIRED 8/21/2024</t>
  </si>
  <si>
    <t>4800216110069</t>
  </si>
  <si>
    <t>CLOVER CHIPS CHEESE 55G</t>
  </si>
  <si>
    <t>EXPIRED 2025</t>
  </si>
  <si>
    <t>4800216110014</t>
  </si>
  <si>
    <t>CLOVER CHIPS CHEESE 85G</t>
  </si>
  <si>
    <t>4800216126800</t>
  </si>
  <si>
    <t>CLOVER CHIPS CHILI&amp;CHEESE 55G</t>
  </si>
  <si>
    <t>EXPIRED AUG 2025</t>
  </si>
  <si>
    <t>4800194116114</t>
  </si>
  <si>
    <t>CORN OLE BARBECUE FLAVOR 22G</t>
  </si>
  <si>
    <t>4800092772214</t>
  </si>
  <si>
    <t>CRISS CROSS CREAMY CHEESE 20G</t>
  </si>
  <si>
    <t>4800092331909</t>
  </si>
  <si>
    <t>DING DONG MIXED NUTS HOT N SPICY 100G</t>
  </si>
  <si>
    <t>4800092330131</t>
  </si>
  <si>
    <t>DING DONG MIXED NUTS PLAIN 100G</t>
  </si>
  <si>
    <t>4800092333057</t>
  </si>
  <si>
    <t>DRAGON SID PREMIUM SQUASH SEEDS 20G</t>
  </si>
  <si>
    <t>4800092771187</t>
  </si>
  <si>
    <t>FUNKY FRENCH FRY SNAX CHEESE FLAVOR 23G</t>
  </si>
  <si>
    <t>4800092771446</t>
  </si>
  <si>
    <t>FUNKY FRENCH FRY SNAX SPAGHETTI FLAVOR 23G</t>
  </si>
  <si>
    <t>4800016138515</t>
  </si>
  <si>
    <t>GG TORTILLOS BBQ FLAVOR 100G</t>
  </si>
  <si>
    <t>4800016138546</t>
  </si>
  <si>
    <t>GG TORTILLOS CHEESE FLAVOR 100G</t>
  </si>
  <si>
    <t>4800016138560</t>
  </si>
  <si>
    <t>GG TORTILLOS CHEESE FLAVOR 25G</t>
  </si>
  <si>
    <t>4800054111228</t>
  </si>
  <si>
    <t>GROWERS GARLIC FLAVOR PEANUTS 30G</t>
  </si>
  <si>
    <t>11-EXPIRED 6/2025</t>
  </si>
  <si>
    <t>4800054111280</t>
  </si>
  <si>
    <t>GROWERS GARLIC FLAVOR PEANUTS 80G</t>
  </si>
  <si>
    <t>4800054124280</t>
  </si>
  <si>
    <t>GROWERS GLAZED PILI NUTS 80G</t>
  </si>
  <si>
    <t>4800054123221</t>
  </si>
  <si>
    <t>GROWERS MIX NUTS 34G</t>
  </si>
  <si>
    <t>4800054123283</t>
  </si>
  <si>
    <t>GROWERS MIX NUTS 80G</t>
  </si>
  <si>
    <t>EXPIRED JUL 2025</t>
  </si>
  <si>
    <t>4800054126284</t>
  </si>
  <si>
    <t>GROWERS ONION &amp; GARLIC ALMONDS 80G</t>
  </si>
  <si>
    <t>4800054113284</t>
  </si>
  <si>
    <t>GROWERS ORIENTAL FLAVOR PEANUTS 80G</t>
  </si>
  <si>
    <t>4800054121227</t>
  </si>
  <si>
    <t xml:space="preserve">GROWERS SALTED CASHEW NUTS </t>
  </si>
  <si>
    <t>4800054121289</t>
  </si>
  <si>
    <t>GROWERS SALTED CASHEW NUTS 80G</t>
  </si>
  <si>
    <t>4800054125225</t>
  </si>
  <si>
    <t>GROWERS SALTED PISTACHIO NUTS 28G</t>
  </si>
  <si>
    <t>4800054125287</t>
  </si>
  <si>
    <t>GROWERS SALTED PISTACHIO NUTS 80G</t>
  </si>
  <si>
    <t>EXPIRED MAR 2026</t>
  </si>
  <si>
    <t>4800054112225</t>
  </si>
  <si>
    <t>GROWERS SAVOURY HOT PEANUT 30G</t>
  </si>
  <si>
    <t>4800054112287</t>
  </si>
  <si>
    <t>GROWERS SAVOURY HOT PEANUTS 80G</t>
  </si>
  <si>
    <t>4800054122224</t>
  </si>
  <si>
    <t>GROWERS TOASTED CASHEW NUTS 28G</t>
  </si>
  <si>
    <t>4800054122286</t>
  </si>
  <si>
    <t>GROWERS TOASTED CASHEW NUTS 80G</t>
  </si>
  <si>
    <t>4800016680540</t>
  </si>
  <si>
    <t>HONEY BUTTER POTATO CHIPS 22G</t>
  </si>
  <si>
    <t>4800016680267</t>
  </si>
  <si>
    <t>HONEY BUTTER POTATO CHIPS 60G</t>
  </si>
  <si>
    <t>4800194152839</t>
  </si>
  <si>
    <t>MARTYS CHICKEN INASAL FLAVOR 26G</t>
  </si>
  <si>
    <t>25-EXPIRED 9/19/2025</t>
  </si>
  <si>
    <t>EXPIRED 2025 50PCS HINDI EXPIRED</t>
  </si>
  <si>
    <t>4800194179836</t>
  </si>
  <si>
    <t>MARTYS CRACKLIN CHICKEN INASAL FLAVOR 90G</t>
  </si>
  <si>
    <t>4800194179904</t>
  </si>
  <si>
    <t>MARTYS CRACKLIN SALT &amp; VINEGAR 90G</t>
  </si>
  <si>
    <t>4800194152891</t>
  </si>
  <si>
    <t>MARTYS SPICY VINEGAR 26G</t>
  </si>
  <si>
    <t>4800016652035</t>
  </si>
  <si>
    <t>MR CHIPS NACHO CHEESE FLAVOR 26G</t>
  </si>
  <si>
    <t>4800016666445</t>
  </si>
  <si>
    <t>MR. CHIPS MANAMIS MAIS 45G</t>
  </si>
  <si>
    <t>4800016653094</t>
  </si>
  <si>
    <t>MR. CHIPS NACHO CHEESE FLAVOR 100G</t>
  </si>
  <si>
    <t>4800361028639</t>
  </si>
  <si>
    <t>NESTLE KOKO KRUNCH 20G</t>
  </si>
  <si>
    <t>EXPIRED JUN 2025</t>
  </si>
  <si>
    <t>4800016663802</t>
  </si>
  <si>
    <t>NOVA COUNTRY CHEDDAR 40G</t>
  </si>
  <si>
    <t>4800016663505</t>
  </si>
  <si>
    <t>NOVA COUNTRY CHEDDAR 78G</t>
  </si>
  <si>
    <t>4800194104913</t>
  </si>
  <si>
    <t>OHEYA CHEESE FLAVOR 28G</t>
  </si>
  <si>
    <t>86-Expired 4/23/2026 &amp; 7/2024</t>
  </si>
  <si>
    <t>EXPIRED 4/2026 &amp; 2024</t>
  </si>
  <si>
    <t>4800194150675</t>
  </si>
  <si>
    <t>OISHI CHOCO SPONGE CRUNCH 120G</t>
  </si>
  <si>
    <t>4800194116084</t>
  </si>
  <si>
    <t>OISHI CRACKLINGS SALT &amp; VINEGAR 24G</t>
  </si>
  <si>
    <t>56-EXPIRED 11/26/2024</t>
  </si>
  <si>
    <t>EXPIRED 2024 50PCS HINDI EXPIRED</t>
  </si>
  <si>
    <t>897399001028</t>
  </si>
  <si>
    <t>OISHI CRACKLINGS SALT &amp; VINEGAR 90G</t>
  </si>
  <si>
    <t>4800194104869</t>
  </si>
  <si>
    <t>OISHI CRISPY PATATA 24G</t>
  </si>
  <si>
    <t>EXPIRED  MAY 2026</t>
  </si>
  <si>
    <t>4800194177863</t>
  </si>
  <si>
    <t>OISHI CRISPY PATATA 85G</t>
  </si>
  <si>
    <t>32-Expired 6/2026</t>
  </si>
  <si>
    <t>EXPIRED 2024 2025 15PCS JUNE 2026</t>
  </si>
  <si>
    <t>4800194116619</t>
  </si>
  <si>
    <t>OISHI FISH CRACKERS 24G</t>
  </si>
  <si>
    <t>4800194136648</t>
  </si>
  <si>
    <t>OISHI FISHDA FISH KROPECK 22G</t>
  </si>
  <si>
    <t>56-Expired 5/2026 &amp; 11/2024</t>
  </si>
  <si>
    <t>EXPIRED 2024 49PCS MAY 2026</t>
  </si>
  <si>
    <t>4800194179898</t>
  </si>
  <si>
    <t>OISHI MARTYS CRACKLIN SPICY VINEGAR 90G</t>
  </si>
  <si>
    <t>4800194115247</t>
  </si>
  <si>
    <t>OISHI MOBSTERS POPCORN CARAMEL &amp; CHEESE</t>
  </si>
  <si>
    <t>4800194104982</t>
  </si>
  <si>
    <t>OISHI ONION RINGS 16G</t>
  </si>
  <si>
    <t>4800194116466</t>
  </si>
  <si>
    <t>OISHI PILLOWS CHOCO FLAVOR 38G</t>
  </si>
  <si>
    <t>4800194114462</t>
  </si>
  <si>
    <t>OISHI PILLOWS CHOCOLATE 150G</t>
  </si>
  <si>
    <t>4800194152327</t>
  </si>
  <si>
    <t>OISHI PILLOWS UBE-FILLED CRACKERS 38G</t>
  </si>
  <si>
    <t>4800194152709</t>
  </si>
  <si>
    <t>OISHI PODS PEA SNACK 28G</t>
  </si>
  <si>
    <t>4800194115063</t>
  </si>
  <si>
    <t>OISHI POTATO CHIPS PLAIN SALTED 60G</t>
  </si>
  <si>
    <t>4800194104777</t>
  </si>
  <si>
    <t>OISHI POTATO FRIES CHEESE FLAVOR 21G</t>
  </si>
  <si>
    <t>4800194177771</t>
  </si>
  <si>
    <t>OISHI POTATO FRIES CHEESE FLAVOR 90G</t>
  </si>
  <si>
    <t>4800194131230</t>
  </si>
  <si>
    <t>OISHI POTATO FRIES PLAIN 90G</t>
  </si>
  <si>
    <t>4800194104968</t>
  </si>
  <si>
    <t>OISHI PRAWN CRACKERS SPICY FLAVOR 24G</t>
  </si>
  <si>
    <t>EXPIRED 2024 JUNE 2026-51 PCS</t>
  </si>
  <si>
    <t>4800194177962</t>
  </si>
  <si>
    <t>OISHI PRAWN CRACKERS SPICY FLAVOR 90G</t>
  </si>
  <si>
    <t>15-expired 5/2026</t>
  </si>
  <si>
    <t>EXPIRED MAY 2026</t>
  </si>
  <si>
    <t>4800194116169</t>
  </si>
  <si>
    <t>OISHI SPICY SEAFOOD 24G</t>
  </si>
  <si>
    <t>4800194178167</t>
  </si>
  <si>
    <t>OISHI SPICY SEAFOOD CURLS 90G</t>
  </si>
  <si>
    <t>4800194152679</t>
  </si>
  <si>
    <t>OISHI SPONGE CRUNCH 30G</t>
  </si>
  <si>
    <t>888123456782008</t>
  </si>
  <si>
    <t>PANI CORNICK</t>
  </si>
  <si>
    <t>4800016644801</t>
  </si>
  <si>
    <t>PIATTOS CHEESE 40G</t>
  </si>
  <si>
    <t>4800016644504</t>
  </si>
  <si>
    <t>PIATTOS CHEESE 85G</t>
  </si>
  <si>
    <t>4800016633782</t>
  </si>
  <si>
    <t>PIATTOS ROADHOUSE BARBECUE 40G</t>
  </si>
  <si>
    <t>4800016633799</t>
  </si>
  <si>
    <t>PIATTOS ROADHOUSE BBQ 85G</t>
  </si>
  <si>
    <t>4800016665271</t>
  </si>
  <si>
    <t>PIATTOS ROASTBEEF 40G</t>
  </si>
  <si>
    <t>4800016671500</t>
  </si>
  <si>
    <t>PIATTOS SOUR CREAM &amp; ONION 85G</t>
  </si>
  <si>
    <t>4800016671807</t>
  </si>
  <si>
    <t>PIATTOS SOUR CREAM AND ONION 40G</t>
  </si>
  <si>
    <t>4800016635250</t>
  </si>
  <si>
    <t>PIC A BBQ OVERLOAD 90G</t>
  </si>
  <si>
    <t>4800016622533</t>
  </si>
  <si>
    <t>POTATO CHIPS VCUT SPICY BBQ 25G</t>
  </si>
  <si>
    <t>4800016625534</t>
  </si>
  <si>
    <t>POTATO CHIPS VCUT SPICY BBQ FLAVOR 60G</t>
  </si>
  <si>
    <t>4800194101783</t>
  </si>
  <si>
    <t>POTATO CRISPS CHEESE FLAVOR 18G</t>
  </si>
  <si>
    <t>EXPIRED 2024 JULY 2026-49PCS</t>
  </si>
  <si>
    <t>4800194101585</t>
  </si>
  <si>
    <t>POTATO CRISPS CREAMY GARLIC FLAVOR 18G</t>
  </si>
  <si>
    <t>4800016661099</t>
  </si>
  <si>
    <t>ROLLER COASTER CHEDDAR 85G</t>
  </si>
  <si>
    <t>4800016661006</t>
  </si>
  <si>
    <t>ROLLER COASTER CHEDDAR CHEESE 24G</t>
  </si>
  <si>
    <t>4800194117180</t>
  </si>
  <si>
    <t>SHOESTRING POTATOES PLAIN SALTED 20G</t>
  </si>
  <si>
    <t>4800016138577</t>
  </si>
  <si>
    <t>TORTILLOS CHILI FLAVORED CORN SNACKS 100G</t>
  </si>
  <si>
    <t>4800016603259</t>
  </si>
  <si>
    <t>VCUT CHEESE 25G</t>
  </si>
  <si>
    <t>23-EXPIRED 11/24/2025</t>
  </si>
  <si>
    <t>WINE &amp; ALCOHOLIC BEVERAGES</t>
  </si>
  <si>
    <t>8410028900091</t>
  </si>
  <si>
    <t>ALFONSO I LIGHT 1L 25%VOL</t>
  </si>
  <si>
    <t>8410028902477</t>
  </si>
  <si>
    <t>ALFONSO I LIGHT 500ML 25%VOL</t>
  </si>
  <si>
    <t>8410028901210</t>
  </si>
  <si>
    <t>ALFONSO I PLATINUM 1L</t>
  </si>
  <si>
    <t>8410028905041</t>
  </si>
  <si>
    <t>ALFONSO LIGHT 1L TRIPACK W/ POCARI</t>
  </si>
  <si>
    <t>8809640030338</t>
  </si>
  <si>
    <t>CHINGU SOJU GRAPE 360ML</t>
  </si>
  <si>
    <t>8809640030659</t>
  </si>
  <si>
    <t>CHINGU SOJU MANDARIN 360ML</t>
  </si>
  <si>
    <t>4800220608750</t>
  </si>
  <si>
    <t>EMBASSY PREMIUM BLENDED WHISKY 750ML</t>
  </si>
  <si>
    <t>4800142118290</t>
  </si>
  <si>
    <t>EMPERADOR DOUBLE LIGHT 1L</t>
  </si>
  <si>
    <t>4800142118283</t>
  </si>
  <si>
    <t>EMPERADOR DOUBLE LIGHT 750ML</t>
  </si>
  <si>
    <t>4800142110102</t>
  </si>
  <si>
    <t>EMPERADOR LIGHT 1L</t>
  </si>
  <si>
    <t>4800142110089</t>
  </si>
  <si>
    <t>EMPERADOR LIGHT 750ML</t>
  </si>
  <si>
    <t>8410162100234</t>
  </si>
  <si>
    <t>FUNDADOR LIGHT 1L</t>
  </si>
  <si>
    <t>4800130315168</t>
  </si>
  <si>
    <t>G.S.M BLUE MOJITO 1L</t>
  </si>
  <si>
    <t>4800130728128</t>
  </si>
  <si>
    <t>G.S.M BLUE MOJITO 700ML</t>
  </si>
  <si>
    <t>4800130100023</t>
  </si>
  <si>
    <t>GINEBRA SAN MIGUEL (BILOG) 350ML</t>
  </si>
  <si>
    <t>4806518687179</t>
  </si>
  <si>
    <t>GINEBRA SAN MIGUEL 1L</t>
  </si>
  <si>
    <t>4800130100030</t>
  </si>
  <si>
    <t>GINEBRA SAN MIGUEL 2X2 350ML</t>
  </si>
  <si>
    <t>4800130100016</t>
  </si>
  <si>
    <t>GINEBRA SAN MIGUEL 4X4 700ML</t>
  </si>
  <si>
    <t>4800130121097</t>
  </si>
  <si>
    <t>PRIMERA LIGHT PREMIUM SMOOTH BLEND 750ML</t>
  </si>
  <si>
    <t>4800220646851</t>
  </si>
  <si>
    <t>TANDUAY FLAVORED MIXES DAIQUIRI 700ML</t>
  </si>
  <si>
    <t>4800220645854</t>
  </si>
  <si>
    <t>TANDUAY FLAVORED MIXES DARK &amp; STORMY 700ML</t>
  </si>
  <si>
    <t>4800220604752</t>
  </si>
  <si>
    <t>TANDUAY SELECT BLENDED RUM 700ML</t>
  </si>
  <si>
    <t>8410028125906</t>
  </si>
  <si>
    <t>VINO FONTANA RED WINE 750ML</t>
  </si>
  <si>
    <t>8410028901289</t>
  </si>
  <si>
    <t>VINO FONTANA SWEET RED 750ML</t>
  </si>
  <si>
    <t>BREAD &amp; BISCUIT</t>
  </si>
  <si>
    <t>4800016627279</t>
  </si>
  <si>
    <t>BERRY KNOTS STRAW 28G</t>
  </si>
  <si>
    <t>4807770100611</t>
  </si>
  <si>
    <t>BINGO DOUBLE CHOCO 280G</t>
  </si>
  <si>
    <t>4807770100536</t>
  </si>
  <si>
    <t>BINGO ORANGE 280G</t>
  </si>
  <si>
    <t>4807770100697</t>
  </si>
  <si>
    <t>BINGO VANILLA 280G</t>
  </si>
  <si>
    <t>4800194153683</t>
  </si>
  <si>
    <t>BREAD PAN BUTTER 24G</t>
  </si>
  <si>
    <t>4800194173223</t>
  </si>
  <si>
    <t>BREAD PAN CHEESE&amp;ONION 42G</t>
  </si>
  <si>
    <t>4807770101717</t>
  </si>
  <si>
    <t>BREAD STIX 130G</t>
  </si>
  <si>
    <t>4807770100529</t>
  </si>
  <si>
    <t>BUTTER COCONUT 168G</t>
  </si>
  <si>
    <t>4807770122170</t>
  </si>
  <si>
    <t>BUTTER COCONUT 280G</t>
  </si>
  <si>
    <t>4800116077028</t>
  </si>
  <si>
    <t>BUTTER CREAM CHOCOLATE CRACKERS 10X25G</t>
  </si>
  <si>
    <t>4800116136022</t>
  </si>
  <si>
    <t>BUTTER CREAM CRACKERS CHEESE SPREAD 10X17G</t>
  </si>
  <si>
    <t>4800116135025</t>
  </si>
  <si>
    <t>BUTTER CREAM CRACKERS CHOCOLATE SPREAD 10X17G</t>
  </si>
  <si>
    <t>4800116131027</t>
  </si>
  <si>
    <t>BUTTER CREAM CRACKERS LECHE FLAN FLAVOR 10X25G</t>
  </si>
  <si>
    <t>4800116099020</t>
  </si>
  <si>
    <t>BUTTER CREAM ENSAYMADA CRACKERS 10X25G</t>
  </si>
  <si>
    <t>4800116098023</t>
  </si>
  <si>
    <t>BUTTER CREAM UBE CRACKERS 10X25G</t>
  </si>
  <si>
    <t>888123456781152</t>
  </si>
  <si>
    <t>CAMPITAS SPECIAL URARO BISCUIT</t>
  </si>
  <si>
    <t>BO</t>
  </si>
  <si>
    <t>4800552888004</t>
  </si>
  <si>
    <t>CHIPS DELIGHT CHOCOLATE CHIP COOKIES 200G</t>
  </si>
  <si>
    <t>4800552888059</t>
  </si>
  <si>
    <t>CHIPS DELIGHT CHOCOLATE CHIP COOKIES 80G</t>
  </si>
  <si>
    <t>4800552888080</t>
  </si>
  <si>
    <t>CHIPS DELIGHT PARTY PACK COOKIES 130G</t>
  </si>
  <si>
    <t>4800016627262</t>
  </si>
  <si>
    <t>CHOCO KNOTS CHOCOLATE 28G</t>
  </si>
  <si>
    <t>4800016077074</t>
  </si>
  <si>
    <t>CREAM O CHOCOLATE CHIP COOKIES 35GX10</t>
  </si>
  <si>
    <t>4800010075564</t>
  </si>
  <si>
    <t>CREAM-O CHOCO FUDGE 300G</t>
  </si>
  <si>
    <t>4800016077531</t>
  </si>
  <si>
    <t>CREAM-O COOKIES N CREAM 27GX10</t>
  </si>
  <si>
    <t>4800016077999</t>
  </si>
  <si>
    <t>CREAM-O DOUBLE CHOCO CHIP COOKIES 36GX10</t>
  </si>
  <si>
    <t>4800010075526</t>
  </si>
  <si>
    <t>CREAM-O VANILLA 300G</t>
  </si>
  <si>
    <t>4800024583161</t>
  </si>
  <si>
    <t>DEL POTATO CRISP BISCUITS ORIGINAL 50G</t>
  </si>
  <si>
    <t>4800024583178</t>
  </si>
  <si>
    <t>DEL POTATO CRISP BISCUITS SPICY 50G</t>
  </si>
  <si>
    <t>4806517040388</t>
  </si>
  <si>
    <t>DELFI KNICK KNACKS CHOCOLATE 28G</t>
  </si>
  <si>
    <t>4806517040104</t>
  </si>
  <si>
    <t>DELFI KNICK KNACKS DOUBLE CHOCO FLAVOR 62G</t>
  </si>
  <si>
    <t>4806517040395</t>
  </si>
  <si>
    <t>DELFI KNICK KNACKS MILK FLAVOR 28G</t>
  </si>
  <si>
    <t>750515017450</t>
  </si>
  <si>
    <t>FITA CRACKERS 30GX10S</t>
  </si>
  <si>
    <t>750515017856</t>
  </si>
  <si>
    <t>FITA SPREADZ 10 SINGLE PACKS</t>
  </si>
  <si>
    <t>750515017863</t>
  </si>
  <si>
    <t>FITA SPREADZ TUNA 10 SINGLE PACKS</t>
  </si>
  <si>
    <t>4800092111792</t>
  </si>
  <si>
    <t>FROOTEES STRAWBERRY 320G</t>
  </si>
  <si>
    <t>4800092550911</t>
  </si>
  <si>
    <t>FUDGEE BARR CHOCOLATE 440G</t>
  </si>
  <si>
    <t>4800092552090</t>
  </si>
  <si>
    <t>FUDGEE BARR COMBO 395G</t>
  </si>
  <si>
    <t>4800092553233</t>
  </si>
  <si>
    <t>FUDGEE BARR DARK CHOCOLATE 390G</t>
  </si>
  <si>
    <t>4800092551451</t>
  </si>
  <si>
    <t>FUDGEE BARR MACAPUNO 390G</t>
  </si>
  <si>
    <t>4800092551291</t>
  </si>
  <si>
    <t>FUDGEE BARR MILK FLAVOR 390G</t>
  </si>
  <si>
    <t>4800092551376</t>
  </si>
  <si>
    <t>FUDGEE BARR VANILLA 390G</t>
  </si>
  <si>
    <t>4806502725269</t>
  </si>
  <si>
    <t>GAR AMAZING BLACK FOREST 400G</t>
  </si>
  <si>
    <t>4806502726532</t>
  </si>
  <si>
    <t>GAR BANANA CHOCO MUFFIN 45G</t>
  </si>
  <si>
    <t>4806502726143</t>
  </si>
  <si>
    <t>GAR BUTTER SUGAR CREAM ROLL 50G</t>
  </si>
  <si>
    <t>4806502720189</t>
  </si>
  <si>
    <t>GAR BUTTER TOAST 2-SLICE PACK 50GX10</t>
  </si>
  <si>
    <t>4806502720110</t>
  </si>
  <si>
    <t>GAR BUTTER TOAST 5-SLICE PACK 125G</t>
  </si>
  <si>
    <t>4806502726129</t>
  </si>
  <si>
    <t>GAR CHEESE BUNS 250G</t>
  </si>
  <si>
    <t>4806502721476</t>
  </si>
  <si>
    <t>GAR CHOCOLATE CHIP LOAF 400G</t>
  </si>
  <si>
    <t>4806502723777</t>
  </si>
  <si>
    <t>GAR CHOCOLATE FILLED BUNS 75G</t>
  </si>
  <si>
    <t>4806502720417</t>
  </si>
  <si>
    <t>GAR CLASSIC WHITE BREAD 400G</t>
  </si>
  <si>
    <t>4806502720615</t>
  </si>
  <si>
    <t>GAR CLASSIC WHITE BREAD 600G REGULAR SLICE</t>
  </si>
  <si>
    <t>4806502720165</t>
  </si>
  <si>
    <t>GAR DOUBLE DELIGHTS (UBE &amp; CHEESE) 400G</t>
  </si>
  <si>
    <t>4806502721452</t>
  </si>
  <si>
    <t>GAR HIGH FIBER WHEAT BREAD 400G</t>
  </si>
  <si>
    <t>4806502720301</t>
  </si>
  <si>
    <t>GAR HIGH FIBER WHEAT BREAD 600G</t>
  </si>
  <si>
    <t>4806502725894</t>
  </si>
  <si>
    <t>GAR HIGH FIBER WHEAT RAISIN LOAF 400G</t>
  </si>
  <si>
    <t>4806502725900</t>
  </si>
  <si>
    <t>GAR HIGH FIBER WHEAT RAISIN LOAF 600G</t>
  </si>
  <si>
    <t>4806502726907</t>
  </si>
  <si>
    <t>GAR NEUBAKE CLASSIC WHITE BREAD SUPER SLICE 300G</t>
  </si>
  <si>
    <t>4806502727423</t>
  </si>
  <si>
    <t>GAR NEUBAKE WHEATEN BREAD 480G</t>
  </si>
  <si>
    <t>4806502726914</t>
  </si>
  <si>
    <t>GAR NEUBAKE WHEATEN BREAD SUPER SLICE 300G</t>
  </si>
  <si>
    <t>4806502726822</t>
  </si>
  <si>
    <t>GAR NEUBAKE WHITE BREAD 450G</t>
  </si>
  <si>
    <t>4806502727546</t>
  </si>
  <si>
    <t>GAR POCKET SANDWICH CHEESE 50G</t>
  </si>
  <si>
    <t>4806502725726</t>
  </si>
  <si>
    <t>GAR SOFT DELIGHT PANDESAL 300G</t>
  </si>
  <si>
    <t>4806502720011</t>
  </si>
  <si>
    <t>GAR TOASTIES BUTTER 10X25G</t>
  </si>
  <si>
    <t>8993175560047</t>
  </si>
  <si>
    <t>GOGUMA LAVA WAFER 48G</t>
  </si>
  <si>
    <t>8850338005206</t>
  </si>
  <si>
    <t>HALLS FRESH LIME 140G</t>
  </si>
  <si>
    <t>4800092111945</t>
  </si>
  <si>
    <t>HANSEL BUTTER SANDWICH 320G</t>
  </si>
  <si>
    <t>4800092110528</t>
  </si>
  <si>
    <t>HANSEL CHOCOLATE SANDWICH 10X31G</t>
  </si>
  <si>
    <t>4800092112317</t>
  </si>
  <si>
    <t>HANSEL CRACKER 320G</t>
  </si>
  <si>
    <t>4800092110511</t>
  </si>
  <si>
    <t>HANSEL MILK SANDWICH 31GX10</t>
  </si>
  <si>
    <t>4800092110023</t>
  </si>
  <si>
    <t>HANSEL MOCHA SANDWICH 31GX10</t>
  </si>
  <si>
    <t>4800016079559</t>
  </si>
  <si>
    <t>HELLO CHOCO COATED WAFER SANDWICH 15GX10</t>
  </si>
  <si>
    <t>EXPIRED NOV 2025</t>
  </si>
  <si>
    <t>4806518846019</t>
  </si>
  <si>
    <t>HONEY HOUSE CLASSIC 220G</t>
  </si>
  <si>
    <t>4806518846040</t>
  </si>
  <si>
    <t>HONEY HOUSE MINI 30X10S 25G</t>
  </si>
  <si>
    <t>4806518846026</t>
  </si>
  <si>
    <t>HONEY HOUSE SOUR CREAM &amp; ONION 220G</t>
  </si>
  <si>
    <t>4800129110163</t>
  </si>
  <si>
    <t>ICED GEM BISCUITS 12X30G</t>
  </si>
  <si>
    <t>4800016112577</t>
  </si>
  <si>
    <t xml:space="preserve">JNJ CREAM-O CHOCOLATE CAKE SANDWICH W/ THICK VANILLA </t>
  </si>
  <si>
    <t>4800016076947</t>
  </si>
  <si>
    <t>JNJ PRESTO CREAMS DOUBLE CHOCO SANDWICH COOKIES 300G</t>
  </si>
  <si>
    <t>8998389121596</t>
  </si>
  <si>
    <t>KUKIS BUTTER 218G</t>
  </si>
  <si>
    <t>8998389124184</t>
  </si>
  <si>
    <t>KUKIS KELAPA COCONUT 60G</t>
  </si>
  <si>
    <t>8998389121619</t>
  </si>
  <si>
    <t>KUKIS MOCHACHINO 218G</t>
  </si>
  <si>
    <t>8998389121626</t>
  </si>
  <si>
    <t>KUKIS SUSU VANILA 218G</t>
  </si>
  <si>
    <t>8998389124191</t>
  </si>
  <si>
    <t>KUKIS SUSU VANILLA 60G</t>
  </si>
  <si>
    <t>4806018407475</t>
  </si>
  <si>
    <t>LEMON SQUARE CHEESE CAKE 300G</t>
  </si>
  <si>
    <t>4809010626332</t>
  </si>
  <si>
    <t>LEMON SQUARE CHEESE CAKE ORIGINAL 300G</t>
  </si>
  <si>
    <t>EXPIRED 2023</t>
  </si>
  <si>
    <t>4806018400988</t>
  </si>
  <si>
    <t>LS ASSORTED CUPCAKES 10X30G</t>
  </si>
  <si>
    <t>4806018403880</t>
  </si>
  <si>
    <t>LS CHOOCHOO CHEESY MILK 380G</t>
  </si>
  <si>
    <t>4806018403866</t>
  </si>
  <si>
    <t>LS CHOOCHOO VANILLA 38GX10</t>
  </si>
  <si>
    <t>4806018403729</t>
  </si>
  <si>
    <t>LS WHATTA TOPS CHOCOLAHAT 350G</t>
  </si>
  <si>
    <t>750515021204</t>
  </si>
  <si>
    <t>M.Y. SAN GRAHAM CRACKERS 200G</t>
  </si>
  <si>
    <t>750515018105</t>
  </si>
  <si>
    <t>M.Y. SAN SKYFLAKES CRACKERS 850G</t>
  </si>
  <si>
    <t>4800016082979</t>
  </si>
  <si>
    <t>MAGIC CHIPS BBQ FLAVOR 28G</t>
  </si>
  <si>
    <t>4800016083778</t>
  </si>
  <si>
    <t>MAGIC CHIPS SOUR CREAM AND ONION 28G</t>
  </si>
  <si>
    <t>4800016087622</t>
  </si>
  <si>
    <t>MAGIC CREAM BUTTER</t>
  </si>
  <si>
    <t>EXPIRED MAR 2025</t>
  </si>
  <si>
    <t>4800016087608</t>
  </si>
  <si>
    <t>MAGIC CREAM BUTTER 28GX10</t>
  </si>
  <si>
    <t>EXPIRED APRIL 2026</t>
  </si>
  <si>
    <t>4800016087561</t>
  </si>
  <si>
    <t>MAGIC CREAM CHOCOLATE 28GX10</t>
  </si>
  <si>
    <t>4800016087585</t>
  </si>
  <si>
    <t>MAGIC CREAM CONDENSADA CREAM 28GX10</t>
  </si>
  <si>
    <t>4800016627286</t>
  </si>
  <si>
    <t>MILKY KNOTS MILK 28G</t>
  </si>
  <si>
    <t>4800016628283</t>
  </si>
  <si>
    <t>MINI CHOCO PRETZELS 28G</t>
  </si>
  <si>
    <t>4807770122903</t>
  </si>
  <si>
    <t>MONDE BANANA BAR 10X20G</t>
  </si>
  <si>
    <t>4807770101694</t>
  </si>
  <si>
    <t>MONDE BUTTER COCONUT 90G</t>
  </si>
  <si>
    <t>4807770122736</t>
  </si>
  <si>
    <t>MONDE CHEESE BAR 230G</t>
  </si>
  <si>
    <t>4807770121333</t>
  </si>
  <si>
    <t>MONDE SPECIAL MAMON CLASSIC 6X43G</t>
  </si>
  <si>
    <t>4807770121661</t>
  </si>
  <si>
    <t>MONDE SPECIAL MAMON CLASSIC SAVER PACK 12X43G</t>
  </si>
  <si>
    <t>4807770121364</t>
  </si>
  <si>
    <t>MONDE SPECIAL MAMON MOCHA 6X43G</t>
  </si>
  <si>
    <t>8993175544528</t>
  </si>
  <si>
    <t>NEXTAR SOFT COOKIE CHOCOLATE 10X34G</t>
  </si>
  <si>
    <t>4807770100703</t>
  </si>
  <si>
    <t>NISSIN BREAD STIX 20G</t>
  </si>
  <si>
    <t>1-Expired 6/16/2025</t>
  </si>
  <si>
    <t>4807770101502</t>
  </si>
  <si>
    <t>NISSIN BREADSTIX 20G PACK</t>
  </si>
  <si>
    <t>4807770121203</t>
  </si>
  <si>
    <t>NISSIN CHOCO WAFER STICK 280G</t>
  </si>
  <si>
    <t>4807770101083</t>
  </si>
  <si>
    <t>NISSIN CUBEE WAFER VANILLA FUDGE FLAVOR 25G</t>
  </si>
  <si>
    <t>4807770101854</t>
  </si>
  <si>
    <t>NISSIN EGGNOG COOKIES 18G</t>
  </si>
  <si>
    <t>4807770100963</t>
  </si>
  <si>
    <t>NISSIN EGGNOG COOKIES 18G PACK</t>
  </si>
  <si>
    <t>GOOD</t>
  </si>
  <si>
    <t>4807770122934</t>
  </si>
  <si>
    <t>NISSIN HAPPY SNACKIN TUB 700G</t>
  </si>
  <si>
    <t>4807770121227</t>
  </si>
  <si>
    <t>NISSIN STRAWBERRY STICK WAFER 280G</t>
  </si>
  <si>
    <t>4807770122477</t>
  </si>
  <si>
    <t>NISSIN WAFER CHEESE 50G</t>
  </si>
  <si>
    <t>4807770120213</t>
  </si>
  <si>
    <t>NISSIN WAFER CHOCO 20X12G</t>
  </si>
  <si>
    <t>4807770122644</t>
  </si>
  <si>
    <t>NISSIN WAFER CHOCO 50G</t>
  </si>
  <si>
    <t>4807770122262</t>
  </si>
  <si>
    <t>NISSIN WAFER CHOCO KING SIZE 220G</t>
  </si>
  <si>
    <t>4807770122460</t>
  </si>
  <si>
    <t>NISSIN WAFER PEANUT BUTTER 50G</t>
  </si>
  <si>
    <t>4807770120251</t>
  </si>
  <si>
    <t>NISSIN WAFER VANILLA 20X12G</t>
  </si>
  <si>
    <t>4807770120237</t>
  </si>
  <si>
    <t>NISSIN WAFER YUMMY BUTTER 20X12G</t>
  </si>
  <si>
    <t>8992760223046</t>
  </si>
  <si>
    <t>OREO CHOCOLATE CREME 12X28.5G</t>
  </si>
  <si>
    <t>8992760221066</t>
  </si>
  <si>
    <t>OREO VANILLA ORIGINAL 12X27.6G</t>
  </si>
  <si>
    <t>3-Expired 6/20/2025</t>
  </si>
  <si>
    <t>4800818806858</t>
  </si>
  <si>
    <t>OTC CHOCQUIK COOKIE 25G</t>
  </si>
  <si>
    <t>750515031067</t>
  </si>
  <si>
    <t>OTC SKYFLAKES SWEET BUTTER 30G</t>
  </si>
  <si>
    <t>8993175551069</t>
  </si>
  <si>
    <t>PINK LAVA WAFER ICE CRAMBLE 48G</t>
  </si>
  <si>
    <t>4800010075595</t>
  </si>
  <si>
    <t>PRESTO CREAMS CHOCO VANILLA 300G</t>
  </si>
  <si>
    <t>4800010075601</t>
  </si>
  <si>
    <t>PRESTO CREAMS CHOCOLATE 300G</t>
  </si>
  <si>
    <t>4800010075922</t>
  </si>
  <si>
    <t>PRESTO CREAMS PEANUT BUTTER 300G</t>
  </si>
  <si>
    <t>4800818801778</t>
  </si>
  <si>
    <t>PRETZEE STRAWBERRY 21 GRAMS</t>
  </si>
  <si>
    <t>4800016112386</t>
  </si>
  <si>
    <t>QUAKE OVERLOAD CHOCO STRAWBERRY 10S</t>
  </si>
  <si>
    <t>4800092110405</t>
  </si>
  <si>
    <t>REBISCO BUTTER 320G</t>
  </si>
  <si>
    <t>4800092110030</t>
  </si>
  <si>
    <t>REBISCO CHOCO 320G</t>
  </si>
  <si>
    <t>4800092112782</t>
  </si>
  <si>
    <t>REBISCO COMBI 300G</t>
  </si>
  <si>
    <t>4800092111822</t>
  </si>
  <si>
    <t>REBISCO CRACKERS 330G</t>
  </si>
  <si>
    <t>4800092115677</t>
  </si>
  <si>
    <t>REBISCO CRACKERS WITH HONEY BUTTER 320G</t>
  </si>
  <si>
    <t>4800092110016</t>
  </si>
  <si>
    <t>REBISCO CREAM 300G</t>
  </si>
  <si>
    <t>4800092111600</t>
  </si>
  <si>
    <t>REBISCO PEANUT BUTTER 320G</t>
  </si>
  <si>
    <t>4800092110047</t>
  </si>
  <si>
    <t>REBISCO STRAWBERRY 320G</t>
  </si>
  <si>
    <t>8993175538145</t>
  </si>
  <si>
    <t>RICHEESE CHEESE WAFER 52G</t>
  </si>
  <si>
    <t>8993175537131</t>
  </si>
  <si>
    <t>RICHEESE WAFER 22G</t>
  </si>
  <si>
    <t>EXPIRED 2024 &amp; 2025</t>
  </si>
  <si>
    <t>8993175539906</t>
  </si>
  <si>
    <t>RICHOCO CHOCOLATE CREAM WAFER 10X20G</t>
  </si>
  <si>
    <t>8993175539241</t>
  </si>
  <si>
    <t>RICHOCO WAFER CHOCOLATE 52G</t>
  </si>
  <si>
    <t>8993175540438</t>
  </si>
  <si>
    <t>RICHOCO WHITE WAFER 50G</t>
  </si>
  <si>
    <t>750515030312</t>
  </si>
  <si>
    <t>SKYFLAKES CHEESE10S 250G</t>
  </si>
  <si>
    <t>750515031531</t>
  </si>
  <si>
    <t>SKYFLAKES CONDENSADA 30GX10S</t>
  </si>
  <si>
    <t>750515018501</t>
  </si>
  <si>
    <t>SKYFLAKES CRACKERS 25GX10S</t>
  </si>
  <si>
    <t>750515018488</t>
  </si>
  <si>
    <t>SKYFLAKES CRACKERS 25GX24S PACK</t>
  </si>
  <si>
    <t>750515030206</t>
  </si>
  <si>
    <t>SKYFLAKES GARLIC 10S 250G</t>
  </si>
  <si>
    <t>750515031555</t>
  </si>
  <si>
    <t>SKYFLAKES MANTIKILYA 30GX10S</t>
  </si>
  <si>
    <t>750515030275</t>
  </si>
  <si>
    <t>SKYFLAKES OAT FIBER CRACKERS 250G</t>
  </si>
  <si>
    <t>750515030251</t>
  </si>
  <si>
    <t>SKYFLAKES ONION&amp; CHIVES 10S</t>
  </si>
  <si>
    <t>750515031517</t>
  </si>
  <si>
    <t>SKYFLAKES TSOKOLATE 30GX10S</t>
  </si>
  <si>
    <t>4800631003205</t>
  </si>
  <si>
    <t>SNB CHOCO CHIP COOKIES 500G</t>
  </si>
  <si>
    <t>4807770120770</t>
  </si>
  <si>
    <t>SUMO MINI COOKIES&amp;CREAM 10X20G</t>
  </si>
  <si>
    <t>4800116016027</t>
  </si>
  <si>
    <t>SUNFLOWER CREAM SANDWICH STRAWBERRY 10X27G</t>
  </si>
  <si>
    <t>7622202046810</t>
  </si>
  <si>
    <t>TIGER BITES CHOCOLATE 10X18G</t>
  </si>
  <si>
    <t>EXPRED JAN 2026</t>
  </si>
  <si>
    <t>7622202046780</t>
  </si>
  <si>
    <t>TIGER BITES VANILLA  10PACKS</t>
  </si>
  <si>
    <t>7622202336652</t>
  </si>
  <si>
    <t>TIGER SANDWICH COOKIES STRAWBERRY 9X35G</t>
  </si>
  <si>
    <t>7622202336713</t>
  </si>
  <si>
    <t>TIGER SANDWICH COOKIES VANILLA 9X35G</t>
  </si>
  <si>
    <t>4800092115714</t>
  </si>
  <si>
    <t>WAFER TIME CHOCOLATE 27GX10</t>
  </si>
  <si>
    <t>4800016084065</t>
  </si>
  <si>
    <t>WAFRETS CHOCO BRIX 240G</t>
  </si>
  <si>
    <t>4800016084201</t>
  </si>
  <si>
    <t>WAFRETS CHOCO VANILLA BRIX 24GX10</t>
  </si>
  <si>
    <t>CHOCOLATE &amp; CANDIES</t>
  </si>
  <si>
    <t>8886001038011</t>
  </si>
  <si>
    <t>BENGBENG 26.5G</t>
  </si>
  <si>
    <t>161-EXPIRED 8/14/2024</t>
  </si>
  <si>
    <t>4800818809712</t>
  </si>
  <si>
    <t>CHAMPI CHOCOFILLED CHEWY CHOCOLATE CANDY 165G</t>
  </si>
  <si>
    <t>4800092660788</t>
  </si>
  <si>
    <t>CHOCO MUCHO WHITE CHOCOLATE 33G</t>
  </si>
  <si>
    <t>49814521</t>
  </si>
  <si>
    <t>CHUPA CHUPS LOLLIPOPS FRUIT FLAVORED 12G</t>
  </si>
  <si>
    <t>8935001721680</t>
  </si>
  <si>
    <t>CHUPA CHUPS MILKY STRAWBERRY&amp;CREAM LOLLIPOP 9.5G</t>
  </si>
  <si>
    <t>8935001722106</t>
  </si>
  <si>
    <t>CHUPA CHUPS MINI MEGA LOLLIPOPS 10S</t>
  </si>
  <si>
    <t>8935001721673</t>
  </si>
  <si>
    <t>CHUPAS CHUPS MILKY CARAMEL LOLLIPO 9.5G</t>
  </si>
  <si>
    <t>4800016964367</t>
  </si>
  <si>
    <t>CLOUD 9 CHOCO FUDGE 28G</t>
  </si>
  <si>
    <t>4800010961447</t>
  </si>
  <si>
    <t>CLOUD 9 CLASSIC 28G</t>
  </si>
  <si>
    <t>4800016963827</t>
  </si>
  <si>
    <t>CLOUD 9 OVERLOAD 50G</t>
  </si>
  <si>
    <t>EXPIRED 2023 BOXES</t>
  </si>
  <si>
    <t>4800818801389</t>
  </si>
  <si>
    <t>COLUM CIOCO LUV-LOV CHOCO WAFER BAR 20G</t>
  </si>
  <si>
    <t>8991001661746</t>
  </si>
  <si>
    <t>DELFI TREASURES COOKIES N CREAM 4PCS</t>
  </si>
  <si>
    <t>4806533327128</t>
  </si>
  <si>
    <t>DELFI TREASURES GOLDEN ALMOND 36G 2+1</t>
  </si>
  <si>
    <t>8991001661739</t>
  </si>
  <si>
    <t>DELFI TREASURES GOLDEN ALMOND 4PCS</t>
  </si>
  <si>
    <t>4800016307041</t>
  </si>
  <si>
    <t>DYNAMITE CHOCO MINT CANDY 200G</t>
  </si>
  <si>
    <t>15-EXPIRED 4/26/2024</t>
  </si>
  <si>
    <t>4800016307102</t>
  </si>
  <si>
    <t>DYNAMITE MELON MINT FLAVORED CANDY 200G</t>
  </si>
  <si>
    <t>11-EXPIRED</t>
  </si>
  <si>
    <t>4800818808630</t>
  </si>
  <si>
    <t>FROOTY CHOCO POP 190G</t>
  </si>
  <si>
    <t>4800818808302</t>
  </si>
  <si>
    <t>FRUTOS ASSORTED SOFT CHEWY CANDIES 180G</t>
  </si>
  <si>
    <t>4800818810817</t>
  </si>
  <si>
    <t>FRUTOS CHEWY SAMPALOK 175G</t>
  </si>
  <si>
    <t>4800818809361</t>
  </si>
  <si>
    <t>FRUTOS MINIBITS SOUR 10G</t>
  </si>
  <si>
    <t>4806517042153</t>
  </si>
  <si>
    <t>GOYA BAR ALMONDS IN MILK CHOCOLATE 35G</t>
  </si>
  <si>
    <t>4806517047974</t>
  </si>
  <si>
    <t>GOYA BAR ALMONDS IN MILK CHOCOLATE 35G BUY2FREE1</t>
  </si>
  <si>
    <t>4806517042238</t>
  </si>
  <si>
    <t>GOYA BAR COOKIES&amp;CREAM 38G</t>
  </si>
  <si>
    <t>4806517046830</t>
  </si>
  <si>
    <t>GOYA BAR DARK CHOCO 35G BUY 2 FREE 1</t>
  </si>
  <si>
    <t>4806517042085</t>
  </si>
  <si>
    <t>GOYA BAR DARK CHOCOLATE 30G</t>
  </si>
  <si>
    <t>4806517042009</t>
  </si>
  <si>
    <t>GOYA BAR MILK CHOCOLATE 38G</t>
  </si>
  <si>
    <t>4806517042337</t>
  </si>
  <si>
    <t>GOYA BAR RAISIN &amp; NUT 3X30G</t>
  </si>
  <si>
    <t>4806533324004</t>
  </si>
  <si>
    <t>GOYA BAR VERY BERRIES 3X30G</t>
  </si>
  <si>
    <t>4806517049114</t>
  </si>
  <si>
    <t>GOYA CHACHA MINIS TUBE 30G</t>
  </si>
  <si>
    <t>4806517042214</t>
  </si>
  <si>
    <t>GOYA CREAM WHITE 35G BUY 2 TAKE 1</t>
  </si>
  <si>
    <t>4806533325254</t>
  </si>
  <si>
    <t>GOYA TAKE IT 2F 2+1</t>
  </si>
  <si>
    <t>8991001111982</t>
  </si>
  <si>
    <t>GOYA TAKE IT 4 FINGERS 35G</t>
  </si>
  <si>
    <t>4806533325179</t>
  </si>
  <si>
    <t>GOYA TAKE IT 4F 2+1</t>
  </si>
  <si>
    <t>4800519880720</t>
  </si>
  <si>
    <t>HALLOWEEN LONG LEGS MARSHMALLOWS 100G</t>
  </si>
  <si>
    <t>8850338000553</t>
  </si>
  <si>
    <t>HALLS HONEY LEMON 140G</t>
  </si>
  <si>
    <t>4800620114011</t>
  </si>
  <si>
    <t>HAWHAW MILK CANDY 140G.</t>
  </si>
  <si>
    <t>4800818809750</t>
  </si>
  <si>
    <t>ICOOL MENTHOLATED GUM 182G</t>
  </si>
  <si>
    <t>4800010042146</t>
  </si>
  <si>
    <t>JNJ NIPS MILK CHOCOLATE 40G</t>
  </si>
  <si>
    <t>8996001320136</t>
  </si>
  <si>
    <t>KOPIKO CAPPUCCINO CANDY 175G</t>
  </si>
  <si>
    <t>8996001320051</t>
  </si>
  <si>
    <t>KOPIKO COFFE CANDY 175G</t>
  </si>
  <si>
    <t>4800818902017</t>
  </si>
  <si>
    <t>LUVLOV BUDDY BERRY MILK PACK 15PCSX15G</t>
  </si>
  <si>
    <t>4800818901966</t>
  </si>
  <si>
    <t>LUVLOV BUDDY CHOCO ORANGE PACK(15PCS.X15G.)</t>
  </si>
  <si>
    <t>4800818901980</t>
  </si>
  <si>
    <t>LUVLOV BUDDY MILK CHOCOLATE PACK (15PCS.X15G)</t>
  </si>
  <si>
    <t>4800519181018</t>
  </si>
  <si>
    <t>MARSHIES VANILLA MARSHMALLOWS 40G</t>
  </si>
  <si>
    <t>4800016304019</t>
  </si>
  <si>
    <t>MAXX CHERRY 200G</t>
  </si>
  <si>
    <t>4800016303081</t>
  </si>
  <si>
    <t>MAXX DALANDAN ORANGE 200G</t>
  </si>
  <si>
    <t>8-EXPIRED 5/7/2024</t>
  </si>
  <si>
    <t>4800016307010</t>
  </si>
  <si>
    <t>MAXX EUCALYPTUS MENTHOL CANDY 200G</t>
  </si>
  <si>
    <t>8-EXPIRED 5/14/2024</t>
  </si>
  <si>
    <t>4800016306013</t>
  </si>
  <si>
    <t>MAXX HONEY LEMON 200G</t>
  </si>
  <si>
    <t>4-EXPIRED 12/1/2023</t>
  </si>
  <si>
    <t>4800016305016</t>
  </si>
  <si>
    <t>MAXX HONEY MANSI 200G</t>
  </si>
  <si>
    <t>8935001727675</t>
  </si>
  <si>
    <t>MENTOS FRUIT FLAVOUR</t>
  </si>
  <si>
    <t>4800214061271</t>
  </si>
  <si>
    <t>MENTOS MINT CANDY 50 PCS 135G</t>
  </si>
  <si>
    <t>1-EXPIRED 3/21/2025</t>
  </si>
  <si>
    <t>8935001727668</t>
  </si>
  <si>
    <t>MENTOS MINT FLAVOR 50+5 PCS.</t>
  </si>
  <si>
    <t>4806526078037</t>
  </si>
  <si>
    <t>MINI CHOCO EGG 8G</t>
  </si>
  <si>
    <t>4800818809651</t>
  </si>
  <si>
    <t>MONAMI STRAWBERRY AND CREAM 175G</t>
  </si>
  <si>
    <t>4800103344218</t>
  </si>
  <si>
    <t>MR. BUKO</t>
  </si>
  <si>
    <t>2-Expired 8/5/2025</t>
  </si>
  <si>
    <t>4800103343075</t>
  </si>
  <si>
    <t>MR. YEMA</t>
  </si>
  <si>
    <t>4800010042085</t>
  </si>
  <si>
    <t>NIPS PEANUTS SNACK BAG 43GX16S</t>
  </si>
  <si>
    <t>4800194107822</t>
  </si>
  <si>
    <t>O PUFF CHOCOLATE FILLED MARSHMALLOWS 24PCS</t>
  </si>
  <si>
    <t>4800818801884</t>
  </si>
  <si>
    <t>POTCHI CHOCO MALLOWS PACK 24PCS.X3.5G</t>
  </si>
  <si>
    <t>4800818801617</t>
  </si>
  <si>
    <t>POTCHI CHOCO PEACH MANGO MALLOWS PACK 24PCS.X3.5G</t>
  </si>
  <si>
    <t>4800818808906</t>
  </si>
  <si>
    <t>POTCHI STRAWBERRY CREAM 135G</t>
  </si>
  <si>
    <t>4800818837500</t>
  </si>
  <si>
    <t>POTCHI STRAWBERRY CREAM 50G</t>
  </si>
  <si>
    <t>8851096020012</t>
  </si>
  <si>
    <t>PUSH POP LOLLIPOP 14G</t>
  </si>
  <si>
    <t>6914758001087</t>
  </si>
  <si>
    <t>PUSH UP - JUMBO POP 30G</t>
  </si>
  <si>
    <t>6914758001117</t>
  </si>
  <si>
    <t>PUSH UP - TRIPLE POWER POP 34G</t>
  </si>
  <si>
    <t>69025310</t>
  </si>
  <si>
    <t>SNICKERS 20G</t>
  </si>
  <si>
    <t>4800620110051</t>
  </si>
  <si>
    <t>SUPERLAMIG CANDY</t>
  </si>
  <si>
    <t>4806520150098</t>
  </si>
  <si>
    <t>SUPERLAMIG PEPPERMINT 225G</t>
  </si>
  <si>
    <t>6291003080722</t>
  </si>
  <si>
    <t>TIFFANY CREAM TOFFEE ASSORTED 300G</t>
  </si>
  <si>
    <t>4800818809880</t>
  </si>
  <si>
    <t>VFRESH WINTER COOL GUM 165G</t>
  </si>
  <si>
    <t>4800016476013</t>
  </si>
  <si>
    <t>X.O. BUTTER CARAMEL CANDY 175G</t>
  </si>
  <si>
    <t>10-EXPIRED 5/8/2024</t>
  </si>
  <si>
    <t>4800016475016</t>
  </si>
  <si>
    <t>X.O. COFFEE CANDY 175G</t>
  </si>
  <si>
    <t>POWDER MILK, JUICES &amp; COFFEE</t>
  </si>
  <si>
    <t>4800575144583</t>
  </si>
  <si>
    <t>ALASKA POWDERED MILK DRINK 150G</t>
  </si>
  <si>
    <t>4800575144590</t>
  </si>
  <si>
    <t>ALASKA POWDERED MILK DRINK 300ML</t>
  </si>
  <si>
    <t>EXPIRED SEP 2025</t>
  </si>
  <si>
    <t>4800575142633</t>
  </si>
  <si>
    <t>ALASKA POWDERED MILK DRINK 33G</t>
  </si>
  <si>
    <t>Expired 11/21/2024</t>
  </si>
  <si>
    <t>4800575230453</t>
  </si>
  <si>
    <t>ALASKA POWDERED MILK DRINK 450G</t>
  </si>
  <si>
    <t>4800575144613</t>
  </si>
  <si>
    <t>ALASKA POWDERED MILK DRINK 840G</t>
  </si>
  <si>
    <t>Expired 11/14/2024</t>
  </si>
  <si>
    <t>4800361388337</t>
  </si>
  <si>
    <t>BEARBRAND 1210G</t>
  </si>
  <si>
    <t>748485401492</t>
  </si>
  <si>
    <t>BIRCH TREE 33G</t>
  </si>
  <si>
    <t>4800010008302</t>
  </si>
  <si>
    <t>BLEND 45 SOLUBLE COFFEE 25G</t>
  </si>
  <si>
    <t>4800818880803</t>
  </si>
  <si>
    <t>CHOCQUIK CHOCOMALT POWDERED MILK DRINK 24G</t>
  </si>
  <si>
    <t>4800361420730</t>
  </si>
  <si>
    <t>COFFEE-MATE 80G</t>
  </si>
  <si>
    <t>888123456781921</t>
  </si>
  <si>
    <t>CONVIE EIGHT OCLOCK ORANGE</t>
  </si>
  <si>
    <t>4800575144958</t>
  </si>
  <si>
    <t>COWBELL EVAPSARAP 360NL</t>
  </si>
  <si>
    <t>4800016014499</t>
  </si>
  <si>
    <t>CREAM ALL COFFFEE CREAMER 80G</t>
  </si>
  <si>
    <t>710535411928</t>
  </si>
  <si>
    <t>DON FRANK AGAR-AGAR 1KG</t>
  </si>
  <si>
    <t>8996001440049</t>
  </si>
  <si>
    <t>ENERGEN CEREAL DRINK CHOCOLATE 40G</t>
  </si>
  <si>
    <t>277-Expired 3/12/2025</t>
  </si>
  <si>
    <t>8996001440124</t>
  </si>
  <si>
    <t>ENERGEN CEREAL DRINK VANILLA 40G</t>
  </si>
  <si>
    <t>117-Expired 3/20/2025</t>
  </si>
  <si>
    <t>8996001603444</t>
  </si>
  <si>
    <t>ENERGEN CHAMPION TWINPACK 70G</t>
  </si>
  <si>
    <t>4806538680051</t>
  </si>
  <si>
    <t>GAR COFFEE SMILE CAFE LATTE 25G</t>
  </si>
  <si>
    <t>4806538680075</t>
  </si>
  <si>
    <t>GAR COFFEE SMILE MOCHA LATTE 25G</t>
  </si>
  <si>
    <t>4800016022258</t>
  </si>
  <si>
    <t>GREAT TASTE CHOCO TWIN PACK 50G</t>
  </si>
  <si>
    <t>DAMAGED</t>
  </si>
  <si>
    <t>4800016012365</t>
  </si>
  <si>
    <t>GREAT TASTE CLASSIC 2GX36</t>
  </si>
  <si>
    <t>4800016014482</t>
  </si>
  <si>
    <t>GREAT TASTE CREAM ALL 5G STICKS X24X20</t>
  </si>
  <si>
    <t>4800010012019</t>
  </si>
  <si>
    <t>GREAT TASTE GRANULES 100G</t>
  </si>
  <si>
    <t>4800010009767</t>
  </si>
  <si>
    <t>GREAT TASTE GRANULES 25G</t>
  </si>
  <si>
    <t>4800010012033</t>
  </si>
  <si>
    <t>GREAT TASTE GRANULES 50G</t>
  </si>
  <si>
    <t>4800016012280</t>
  </si>
  <si>
    <t>GREAT TASTE PREMIUM 100G</t>
  </si>
  <si>
    <t>EXPIRED 8/13/ 2026</t>
  </si>
  <si>
    <t>4800016012266</t>
  </si>
  <si>
    <t>GREAT TASTE PREMIUM 25G</t>
  </si>
  <si>
    <t>4800016012273</t>
  </si>
  <si>
    <t>GREAT TASTE PREMIUM 50G</t>
  </si>
  <si>
    <t>4800016022180</t>
  </si>
  <si>
    <t>GREAT TASTE WHITE CREMA TWINPACK 50G</t>
  </si>
  <si>
    <t>120-EXPIRED 3/14/2024</t>
  </si>
  <si>
    <t>4800016022265</t>
  </si>
  <si>
    <t>GREAT TASTE WHITE TWIN PACK 50G</t>
  </si>
  <si>
    <t>4800016024276</t>
  </si>
  <si>
    <t>GREAT TASTE WHITE TWIN PACK 50G BUY 10 GET 1 FREE</t>
  </si>
  <si>
    <t>4800016022449</t>
  </si>
  <si>
    <t>GT BROWN BARAKO SACHET 30G</t>
  </si>
  <si>
    <t>4806525940199</t>
  </si>
  <si>
    <t>KINGS FINEST GLUTINOUS RICE FLOUR 500G</t>
  </si>
  <si>
    <t>8998666001702</t>
  </si>
  <si>
    <t>KOPIKO BLACK 3IN1 TWINPACK 60G</t>
  </si>
  <si>
    <t>8998666001726</t>
  </si>
  <si>
    <t>KOPIKO BLANCA TWINPACK 52G</t>
  </si>
  <si>
    <t xml:space="preserve">960-EXPIRED </t>
  </si>
  <si>
    <t>EXPIRED 2026</t>
  </si>
  <si>
    <t>8998666001719</t>
  </si>
  <si>
    <t>KOPIKO BROWN COFFEE TWINPACK 53G</t>
  </si>
  <si>
    <t>8998666002983</t>
  </si>
  <si>
    <t>KOPIKO CAFE MOCHA TWINPACK 51G</t>
  </si>
  <si>
    <t>8998666002792</t>
  </si>
  <si>
    <t>KOPIKO CREAMY CARAMELO TWINPACK 50G</t>
  </si>
  <si>
    <t>4800575425026</t>
  </si>
  <si>
    <t>KREMTOP COFFEE CREAMER 170G</t>
  </si>
  <si>
    <t>4800575425033</t>
  </si>
  <si>
    <t>KREMTOP COFFEE CREAMER 250G</t>
  </si>
  <si>
    <t>4800575141667</t>
  </si>
  <si>
    <t>KREMTOP COFFEE CREAMER 45OG</t>
  </si>
  <si>
    <t>6-EXPIRED 3/1/2025</t>
  </si>
  <si>
    <t>4800575425019</t>
  </si>
  <si>
    <t>KREMTOP COFFEE CREAMER 80G</t>
  </si>
  <si>
    <t>8888086021001</t>
  </si>
  <si>
    <t>LIPTON YELLOW LABEL TEA 25X2G</t>
  </si>
  <si>
    <t>Expired-6 4/20/2024</t>
  </si>
  <si>
    <t>4800361415293</t>
  </si>
  <si>
    <t>MILO TWIN PACK 48G</t>
  </si>
  <si>
    <t>4809013526325</t>
  </si>
  <si>
    <t>MR. GULAMAN GREEN 25G</t>
  </si>
  <si>
    <t>25-EXPIRED 1/4/2024</t>
  </si>
  <si>
    <t>4809013526318</t>
  </si>
  <si>
    <t>MR. GULAMAN RED 25G</t>
  </si>
  <si>
    <t>4809013526356</t>
  </si>
  <si>
    <t>MR. GULAMAN WHITE 25G</t>
  </si>
  <si>
    <t>6 good 2 expired</t>
  </si>
  <si>
    <t>2 EXPIRED</t>
  </si>
  <si>
    <t>4809013526349</t>
  </si>
  <si>
    <t>MR. GULAMAN YELLOW 25G</t>
  </si>
  <si>
    <t>13-Expired 5/16/2023</t>
  </si>
  <si>
    <t>EXPIRED 2024&amp; 2025</t>
  </si>
  <si>
    <t>888123456782011</t>
  </si>
  <si>
    <t>MT. KALINGA DRIP COFEE 12PCSX10GRAMS</t>
  </si>
  <si>
    <t>888123456781315</t>
  </si>
  <si>
    <t>MT. KALINGA GROUND COFFEE 200G</t>
  </si>
  <si>
    <t>888123456781526</t>
  </si>
  <si>
    <t>MT. KALINGA GROUND COFFEE 400G</t>
  </si>
  <si>
    <t>4800361388252</t>
  </si>
  <si>
    <t>NESCAFE CLASSIC 1.9GX48</t>
  </si>
  <si>
    <t>96 STICKS</t>
  </si>
  <si>
    <t>4800361393669</t>
  </si>
  <si>
    <t>NESCAFE CLASSIC 200G</t>
  </si>
  <si>
    <t>4800361425889</t>
  </si>
  <si>
    <t>NESCAFE CLASSIC 23G</t>
  </si>
  <si>
    <t>4800361339186</t>
  </si>
  <si>
    <t>NESCAFE CLASSIC 25G</t>
  </si>
  <si>
    <t>4800361393621</t>
  </si>
  <si>
    <t>NESCAFE CLASSIC DECAF 160G</t>
  </si>
  <si>
    <t>4800361375146</t>
  </si>
  <si>
    <t>NESCAFE CLASSIC DECAF 20G</t>
  </si>
  <si>
    <t>4800361393683</t>
  </si>
  <si>
    <t>NESCAFE CLASSIC RESEALABLE 100G</t>
  </si>
  <si>
    <t>4800361393645</t>
  </si>
  <si>
    <t>NESCAFE CLASSIC RESEALABLE 50G</t>
  </si>
  <si>
    <t>4800361383493</t>
  </si>
  <si>
    <t>NESCAFE CREAMY LATTE 25.5G</t>
  </si>
  <si>
    <t>4800361413992</t>
  </si>
  <si>
    <t>NESCAFE CREAMY LATTE TWINPACK 55G</t>
  </si>
  <si>
    <t>4800361423588</t>
  </si>
  <si>
    <t>NESCAFE CREAMY WHITE SUGAR FREE TWIN PACK 11.2 GRAMS</t>
  </si>
  <si>
    <t>4800361416726</t>
  </si>
  <si>
    <t>NESCAFE CREAMY WHITE TWINPACK 58G</t>
  </si>
  <si>
    <t>8801055709267</t>
  </si>
  <si>
    <t>NESCAFE GOLD INTENSE 100G</t>
  </si>
  <si>
    <t>888123456781951</t>
  </si>
  <si>
    <t>NESCAFE ORIGINAL 52G TP BUY 10 GET 2 FREE LATTE</t>
  </si>
  <si>
    <t>4800361423601</t>
  </si>
  <si>
    <t>NESCAFE ORIGINAL SUGAR FREE TWIN PACK 11.5 GRAMS</t>
  </si>
  <si>
    <t>4800361415347</t>
  </si>
  <si>
    <t>NESCAFE ORIGINAL TWIN PACK 56G</t>
  </si>
  <si>
    <t>4800361382083</t>
  </si>
  <si>
    <t>NESTEA APPLE BLACK TEA 25G</t>
  </si>
  <si>
    <t>4800361379557</t>
  </si>
  <si>
    <t>NESTEA LEMON BLACK TEA 25G</t>
  </si>
  <si>
    <t>10-EXPIRED 7/31/2025</t>
  </si>
  <si>
    <t>4800361410892</t>
  </si>
  <si>
    <t>NESTLE BEARBRAND 300G</t>
  </si>
  <si>
    <t>Expired 5/31/2025</t>
  </si>
  <si>
    <t>4800361388771</t>
  </si>
  <si>
    <t>NESTLE BEARBRAND 680G</t>
  </si>
  <si>
    <t>4800361379373</t>
  </si>
  <si>
    <t>NESTLE BEARBRAND ADULT PLUS 300G</t>
  </si>
  <si>
    <t>4800361396677</t>
  </si>
  <si>
    <t>NESTLE BEARBRAND ADULT SWAK PACK 33G</t>
  </si>
  <si>
    <t>4800361410816</t>
  </si>
  <si>
    <t>NESTLE BEARBRAND SWAK PACK 33G</t>
  </si>
  <si>
    <t>4800361420457</t>
  </si>
  <si>
    <t>NESTLE BLUE LEMONADE 200G</t>
  </si>
  <si>
    <t>6 gppd 2 e xpired</t>
  </si>
  <si>
    <t>4800361390804</t>
  </si>
  <si>
    <t>NESTLE COFFEE MATE 170G</t>
  </si>
  <si>
    <t>4800361393232</t>
  </si>
  <si>
    <t>NESTLE COFFEE MATE 250G</t>
  </si>
  <si>
    <t>4800361380737</t>
  </si>
  <si>
    <t>NESTLE COFFEE MATE 450ML</t>
  </si>
  <si>
    <t>4800361000826</t>
  </si>
  <si>
    <t>NESTLE COFFEE MATE 48X5G</t>
  </si>
  <si>
    <t>4800361423052</t>
  </si>
  <si>
    <t>NESTLE LEMONADE CUCUMBER 200G</t>
  </si>
  <si>
    <t>4800361413480</t>
  </si>
  <si>
    <t>NESTLE MILO 24G</t>
  </si>
  <si>
    <t>4800361415316</t>
  </si>
  <si>
    <t>NESTLE MILO TWIN PACK 48GX8</t>
  </si>
  <si>
    <t>4800361348645</t>
  </si>
  <si>
    <t>NESTLE NESTOGEN 2 6-12MOS 340G</t>
  </si>
  <si>
    <t>4800274040018</t>
  </si>
  <si>
    <t>QUAKER INSTANT OATMEAL 400G</t>
  </si>
  <si>
    <t>OLD</t>
  </si>
  <si>
    <t>7622300858575</t>
  </si>
  <si>
    <t>TANG DALANDAN 25G</t>
  </si>
  <si>
    <t>58-EXPIRED 7/16/2025</t>
  </si>
  <si>
    <t>7622300637996</t>
  </si>
  <si>
    <t>TANG GRAPES 25G</t>
  </si>
  <si>
    <t>8850338027895</t>
  </si>
  <si>
    <t>TANG LYCHEE 19G</t>
  </si>
  <si>
    <t>7622300601782</t>
  </si>
  <si>
    <t>TANG MANGO 20G</t>
  </si>
  <si>
    <t>4808647310072</t>
  </si>
  <si>
    <t>TANG ORANGE 250G</t>
  </si>
  <si>
    <t>7622300559991</t>
  </si>
  <si>
    <t>TANG ORANGE 25G</t>
  </si>
  <si>
    <t>64-EXPIRED 8/22/2025</t>
  </si>
  <si>
    <t>7622300601768</t>
  </si>
  <si>
    <t>TANG PINEAPPLE 25G</t>
  </si>
  <si>
    <t>101-EXPIRED 9/2/2025</t>
  </si>
  <si>
    <t>7622210706768</t>
  </si>
  <si>
    <t>TANG POMELO 19G</t>
  </si>
  <si>
    <t>7622300638078</t>
  </si>
  <si>
    <t>TANG STRAWBERRY 25G</t>
  </si>
  <si>
    <t>NOODLES</t>
  </si>
  <si>
    <t>4806500470857</t>
  </si>
  <si>
    <t>DELICIOUS SULIT PLUS SPAGHETTI 800G</t>
  </si>
  <si>
    <t>4800024575722</t>
  </si>
  <si>
    <t>DM PARTY COMBO PCK SWEET STYLE</t>
  </si>
  <si>
    <t>4806500473681</t>
  </si>
  <si>
    <t>FAVORITO MACARONI 5KL</t>
  </si>
  <si>
    <t>4806500472622</t>
  </si>
  <si>
    <t>FAVORITO PANCIT CANTON 200G</t>
  </si>
  <si>
    <t>4806500472639</t>
  </si>
  <si>
    <t>FAVORITO PANCIT CANTON 400G</t>
  </si>
  <si>
    <t>888123456781868</t>
  </si>
  <si>
    <t>FAVORITO RIDGE&amp;SHELL MACARONI 1/2</t>
  </si>
  <si>
    <t>FIESTA FILIPINO STYLE SPAGHETTI 2IN1 SPAGHETTI &amp; SAUCE</t>
  </si>
  <si>
    <t>EXPIRED 11/2025</t>
  </si>
  <si>
    <t>4800110033402</t>
  </si>
  <si>
    <t>FIESTA SPAGHETTI 800G</t>
  </si>
  <si>
    <t>4800110060729</t>
  </si>
  <si>
    <t>FIESTA SPAGHETTI NOODLES 400G</t>
  </si>
  <si>
    <t>4800110069227</t>
  </si>
  <si>
    <t>FIESTA SPAGHETTIPID SWEET STYLE SPAGHETTI AND SAUCE 1.6KG</t>
  </si>
  <si>
    <t>888123456781958</t>
  </si>
  <si>
    <t>HAPPY ME INSTANT FRIED NOODLES ASSORTED 70G</t>
  </si>
  <si>
    <t>4800528456282</t>
  </si>
  <si>
    <t>HOBE BIHON 454G</t>
  </si>
  <si>
    <t>4800528456374</t>
  </si>
  <si>
    <t>HOBE SPECIAL PALABOK 454G</t>
  </si>
  <si>
    <t>48-EXPIRED 5/2026</t>
  </si>
  <si>
    <t>48 MAY 206 EXPIRED 84-2027 EXPIRED</t>
  </si>
  <si>
    <t>4800110026497</t>
  </si>
  <si>
    <t>HOMI NOODLES BEEF 55G</t>
  </si>
  <si>
    <t>Expired 10/19/2025</t>
  </si>
  <si>
    <t>089686171679</t>
  </si>
  <si>
    <t>INDOMIE MI GORENG HOT&amp;SPICY 80G</t>
  </si>
  <si>
    <t>089686170726</t>
  </si>
  <si>
    <t>INDOMIE MI GORENG STIR FRIED ORIGINAL 85G</t>
  </si>
  <si>
    <t>4806500670073</t>
  </si>
  <si>
    <t>KOMEYA 3Q BIHON</t>
  </si>
  <si>
    <t>4807770270017</t>
  </si>
  <si>
    <t>LM BEEF NA BEEF 55G</t>
  </si>
  <si>
    <t>EXP 2/2025</t>
  </si>
  <si>
    <t>4807770270024</t>
  </si>
  <si>
    <t>LM CHICKEN 55G</t>
  </si>
  <si>
    <t>11-EXPIRED 3/30/2025</t>
  </si>
  <si>
    <t>4807770272943</t>
  </si>
  <si>
    <t>LM CUP SEAFOOD 40G</t>
  </si>
  <si>
    <t>4807770271168</t>
  </si>
  <si>
    <t>LM GO CUP BATCHOY 40G</t>
  </si>
  <si>
    <t>4807770311871</t>
  </si>
  <si>
    <t>LM GO CUP BATCHOY 40G W/ FREE SKYFLAKES</t>
  </si>
  <si>
    <t>4807770271175</t>
  </si>
  <si>
    <t>LM GO CUP BULALO 40G</t>
  </si>
  <si>
    <t>4807770311864</t>
  </si>
  <si>
    <t>LM GO CUP BULALO 40G W/ FREE SKYFLAKES</t>
  </si>
  <si>
    <t>4807770311895</t>
  </si>
  <si>
    <t>LM GO CUP CHICKEN SOTANGHON 28G W/ SKYFLAKES</t>
  </si>
  <si>
    <t>4807770272653</t>
  </si>
  <si>
    <t>LM GO CUP JJAMPPONG 40G W/ SKYFLAKES</t>
  </si>
  <si>
    <t>1-Expired 1/28/2025</t>
  </si>
  <si>
    <t>4807770273810</t>
  </si>
  <si>
    <t>LM GO CUP SPICY BATCHOY 40G</t>
  </si>
  <si>
    <t>1-Expired 2/4/2025</t>
  </si>
  <si>
    <t>4807770273612</t>
  </si>
  <si>
    <t>LM GO CUP SPICY BULALO 40G</t>
  </si>
  <si>
    <t>4807770270116</t>
  </si>
  <si>
    <t>LM ITNOK CHICKEN 50G</t>
  </si>
  <si>
    <t>4807770273100</t>
  </si>
  <si>
    <t>LM JJAMPONG FLAVOR 55G</t>
  </si>
  <si>
    <t>4807770272813</t>
  </si>
  <si>
    <t>LM LA PAZ BATCHOY 55G</t>
  </si>
  <si>
    <t>4807770273698</t>
  </si>
  <si>
    <t>LM PANCIT CANTON CHILIMANSI 80G</t>
  </si>
  <si>
    <t>1-EXPIRED 8/27/2025</t>
  </si>
  <si>
    <t>4807770274480</t>
  </si>
  <si>
    <t>LM PANCIT CANTON CHILIMANSI KASALO PACK 120G</t>
  </si>
  <si>
    <t>4807770274305</t>
  </si>
  <si>
    <t>LM PANCIT CANTON EXTRA HOT CHILI 80G</t>
  </si>
  <si>
    <t>6-EXPIRED 2/28/2025</t>
  </si>
  <si>
    <t>4807770274268</t>
  </si>
  <si>
    <t>LM PANCIT CANTON EXTRA HOT CHILI KASALO PACK 120G</t>
  </si>
  <si>
    <t>4807770273674</t>
  </si>
  <si>
    <t>LM PANCIT CANTON KALAMANSI 80G</t>
  </si>
  <si>
    <t>4807770274275</t>
  </si>
  <si>
    <t>LM PANCIT CANTON KALAMANSI KASALO PACK 120G</t>
  </si>
  <si>
    <t>4807770273704</t>
  </si>
  <si>
    <t>LM PANCIT CANTON ORIGINAL 80G</t>
  </si>
  <si>
    <t>4807770273711</t>
  </si>
  <si>
    <t>LM PANCIT CANTON SWEET &amp; SPICY 80G</t>
  </si>
  <si>
    <t>4807770274473</t>
  </si>
  <si>
    <t>LM PANCIT CANTON SWEET &amp; SPICY KASALO PACK 120G</t>
  </si>
  <si>
    <t>4807770272097</t>
  </si>
  <si>
    <t>LM SPICY BEEF 50G</t>
  </si>
  <si>
    <t>18-EXPIRED 1/22/2025</t>
  </si>
  <si>
    <t>4800016552106</t>
  </si>
  <si>
    <t>NISSIN CUP NOODLES BEEF 40G</t>
  </si>
  <si>
    <t>4800016552274</t>
  </si>
  <si>
    <t>NISSIN CUP NOODLES BULALO 40G</t>
  </si>
  <si>
    <t>4800016561498</t>
  </si>
  <si>
    <t>NISSIN CUP NOODLES CHEESY SEAFOOD 50G</t>
  </si>
  <si>
    <t>4800016561184</t>
  </si>
  <si>
    <t>NISSIN CUP NOODLES CREAMY SEAFOOD 45G</t>
  </si>
  <si>
    <t>4800016561481</t>
  </si>
  <si>
    <t>NISSIN CUP NOODLES HOT CHEESY SEAFOODS 50G</t>
  </si>
  <si>
    <t>4800016561443</t>
  </si>
  <si>
    <t>NISSIN CUP NOODLES HOT CREAMY SEAFOOD 48G</t>
  </si>
  <si>
    <t>4800016552113</t>
  </si>
  <si>
    <t>NISSIN CUP NOODLES SEAFOOD 40G</t>
  </si>
  <si>
    <t>4800016557217</t>
  </si>
  <si>
    <t>NISSIN CUP NOODLES SOTANGHON 30G</t>
  </si>
  <si>
    <t>4800016560927</t>
  </si>
  <si>
    <t>NISSIN CUP NOODLES SPICY HOT BEEF 45G</t>
  </si>
  <si>
    <t>4800016551857</t>
  </si>
  <si>
    <t>NISSIN CUP NOODLES SPICY SEAFOOD 40G</t>
  </si>
  <si>
    <t>4800016557675</t>
  </si>
  <si>
    <t>NISSIN INSTANT MAMI SEAFOOD 55G</t>
  </si>
  <si>
    <t>4800016551581</t>
  </si>
  <si>
    <t>NISSIN RAMEN BEEF 55G</t>
  </si>
  <si>
    <t>4800016561429</t>
  </si>
  <si>
    <t>NISSIN RAMEN CREAMY SEAFOOD 63G</t>
  </si>
  <si>
    <t>4800016551598</t>
  </si>
  <si>
    <t>NISSIN RAMEN SEAFOOD 55G</t>
  </si>
  <si>
    <t>4800016561269</t>
  </si>
  <si>
    <t>NISSIN RAMEN SPICY HOT BEEF 62G</t>
  </si>
  <si>
    <t>EXP 5/2024</t>
  </si>
  <si>
    <t>4800016560910</t>
  </si>
  <si>
    <t>NISSIN RAMEN SPICY SEAFOOD 59G</t>
  </si>
  <si>
    <t>4800016553332</t>
  </si>
  <si>
    <t>PAYLESS MAMI BEEF 55G</t>
  </si>
  <si>
    <t>EXP 12/24</t>
  </si>
  <si>
    <t>4800016556517</t>
  </si>
  <si>
    <t>PAYLESS PANCIT CANTON XTRA BIG CHILIMANSI 125G</t>
  </si>
  <si>
    <t>4800016555985</t>
  </si>
  <si>
    <t>PAYLESS PANCIT CANTON XTRA BIG KALAMANSI 125G</t>
  </si>
  <si>
    <t>EXPIRED  4/2026</t>
  </si>
  <si>
    <t>4800016561436</t>
  </si>
  <si>
    <t>PAYLESS PANCIT CANTON XTRA BIG SWEET&amp;SPICY 130G</t>
  </si>
  <si>
    <t>4800016556807</t>
  </si>
  <si>
    <t>PAYLESS PANCIT CANTON XTRA BIG XTRA HOT FLAVOR 125G</t>
  </si>
  <si>
    <t>4800030001055</t>
  </si>
  <si>
    <t>SUNSHINE SPAGHETTI 400G</t>
  </si>
  <si>
    <t>4806011812061</t>
  </si>
  <si>
    <t>SUPER Q GOLDEN BIHON 454G</t>
  </si>
  <si>
    <t>SPREAD &amp; CANNED GOODS</t>
  </si>
  <si>
    <t>748485700014</t>
  </si>
  <si>
    <t>555 TUNA ADOBO 155G</t>
  </si>
  <si>
    <t>748485700021</t>
  </si>
  <si>
    <t>555 TUNA AFRITADA 155G</t>
  </si>
  <si>
    <t>748485700038</t>
  </si>
  <si>
    <t>555 TUNA CALDERETA 155G</t>
  </si>
  <si>
    <t>748485700045</t>
  </si>
  <si>
    <t>555 TUNA MECHADO 155G</t>
  </si>
  <si>
    <t>4800575110373</t>
  </si>
  <si>
    <t>ALASKA CLASSIC EVAPORATED FILLED MILK 370ML</t>
  </si>
  <si>
    <t>4800575130302</t>
  </si>
  <si>
    <t>ALASKA CONDENSADA 300ML</t>
  </si>
  <si>
    <t>4800575140158</t>
  </si>
  <si>
    <t>ALASKA EVAPORADA CREAMER 140ML</t>
  </si>
  <si>
    <t>21-Expired Mar&amp;June 2025</t>
  </si>
  <si>
    <t>4800575140370</t>
  </si>
  <si>
    <t>ALASKA EVAPORADA CREAMER 360ML</t>
  </si>
  <si>
    <t>8-Expired 6/25/2025</t>
  </si>
  <si>
    <t>4800575241664</t>
  </si>
  <si>
    <t>ALASKA SWEETENED CONDENSED 377G BUY1TAKE1</t>
  </si>
  <si>
    <t>4800575120303</t>
  </si>
  <si>
    <t>ALASKA SWEETENED CONDENSED MILK 300ML</t>
  </si>
  <si>
    <t>Expired 4/28/2025</t>
  </si>
  <si>
    <t>748485400808</t>
  </si>
  <si>
    <t>ANGEL CONDENSADA 380G</t>
  </si>
  <si>
    <t>7-EXPIRED 8/31/2025</t>
  </si>
  <si>
    <t>748485400716</t>
  </si>
  <si>
    <t>ANGEL EVAPORADA 410ML</t>
  </si>
  <si>
    <t>748485401225</t>
  </si>
  <si>
    <t>ANGEL KREMDENSADA 410ML</t>
  </si>
  <si>
    <t>748485801803</t>
  </si>
  <si>
    <t>ARGENTINA CB 100G</t>
  </si>
  <si>
    <t>748485800431</t>
  </si>
  <si>
    <t>ARGENTINA CORN BEEF 150G</t>
  </si>
  <si>
    <t>748485800011</t>
  </si>
  <si>
    <t>ARGENTINA CORN BEEF 175G</t>
  </si>
  <si>
    <t>748485800035</t>
  </si>
  <si>
    <t>ARGENTINA CORNED BEEF 260G</t>
  </si>
  <si>
    <t>748485804057</t>
  </si>
  <si>
    <t>ARGENTINA GINILING 100G</t>
  </si>
  <si>
    <t>748485804064</t>
  </si>
  <si>
    <t>ARGENTINA GINILING 250G</t>
  </si>
  <si>
    <t>748485801490</t>
  </si>
  <si>
    <t>ARGENTINA MEAT LOAF 150G</t>
  </si>
  <si>
    <t>748485800233</t>
  </si>
  <si>
    <t>ARGENTINA MEAT LOAF 170G</t>
  </si>
  <si>
    <t>748485800448</t>
  </si>
  <si>
    <t>ARGENTINA MEAT LOAF 250G</t>
  </si>
  <si>
    <t>4800249909395</t>
  </si>
  <si>
    <t>CDO KARNE NORTE CLASSIC GUISADO 100G</t>
  </si>
  <si>
    <t>4800249908848</t>
  </si>
  <si>
    <t>CDO KARNE NORTE CLASSIC GUISADO 150G</t>
  </si>
  <si>
    <t>4800249908237</t>
  </si>
  <si>
    <t>CDO KARNE NORTE CLASSIC GUISADO 175G</t>
  </si>
  <si>
    <t>4800249908657</t>
  </si>
  <si>
    <t>CDO KARNE NORTE CLASSIC GUISADO 260G</t>
  </si>
  <si>
    <t>4800249908725</t>
  </si>
  <si>
    <t>CDO MEAT LOAF 100G</t>
  </si>
  <si>
    <t>4800249902068</t>
  </si>
  <si>
    <t>CDO MEAT LOAF 210G</t>
  </si>
  <si>
    <t>4800249909333</t>
  </si>
  <si>
    <t>CDO MEAT LOAF CLASSIC 150G</t>
  </si>
  <si>
    <t>748485100456</t>
  </si>
  <si>
    <t>CENTURY TUNA CALDERETA 155G</t>
  </si>
  <si>
    <t>748485100401</t>
  </si>
  <si>
    <t>CENTURY TUNA FLAKES IN OIL 155G</t>
  </si>
  <si>
    <t>748485100081</t>
  </si>
  <si>
    <t>CENTURY TUNA FLAKES IN OIL 180G</t>
  </si>
  <si>
    <t>748485102245</t>
  </si>
  <si>
    <t>CENTURY TUNA FLAKES IN OIL 95G</t>
  </si>
  <si>
    <t>748485100418</t>
  </si>
  <si>
    <t>CENTURY TUNA HOT AND SPICY 155G</t>
  </si>
  <si>
    <t>748485100098</t>
  </si>
  <si>
    <t>CENTURY TUNA HOT AND SPICY 180G</t>
  </si>
  <si>
    <t>7622300501549</t>
  </si>
  <si>
    <t>CHEEZ WHIZ ORIGINAL 115G</t>
  </si>
  <si>
    <t>4808647010026</t>
  </si>
  <si>
    <t>CHEEZ WHIZ ORIGINAL 220G</t>
  </si>
  <si>
    <t>4808647010033</t>
  </si>
  <si>
    <t>CHEEZ WHIZ ORIGINAL 440G</t>
  </si>
  <si>
    <t>EXPIRED OCT 2024</t>
  </si>
  <si>
    <t>7622300501525</t>
  </si>
  <si>
    <t>CHEEZ WHIZ ORIGINAL 62G</t>
  </si>
  <si>
    <t>4808647010057</t>
  </si>
  <si>
    <t>CHEEZ WHIZ PIMIENTO 220G</t>
  </si>
  <si>
    <t>4800575144910</t>
  </si>
  <si>
    <t>COWBELL CONDENSARAP 374G</t>
  </si>
  <si>
    <t>4805358373037</t>
  </si>
  <si>
    <t>DAILY QUEZO 165G</t>
  </si>
  <si>
    <t>4800024550958</t>
  </si>
  <si>
    <t>DM FIESTA FRUIT COCKTAIL 1GAL</t>
  </si>
  <si>
    <t>4800024020642</t>
  </si>
  <si>
    <t>DM PINEAPPLE CHUNKS 227G</t>
  </si>
  <si>
    <t>4800024012326</t>
  </si>
  <si>
    <t>DM PINEAPPLE SLICES 137G</t>
  </si>
  <si>
    <t>4800024570611</t>
  </si>
  <si>
    <t>DM PINEAPPLE TIDBITS 115G</t>
  </si>
  <si>
    <t>4800024011862</t>
  </si>
  <si>
    <t>DM TIDBITS 822G</t>
  </si>
  <si>
    <t>9557727929202</t>
  </si>
  <si>
    <t>DOREEN SWEETENED CONDENSED CREAMER 390G</t>
  </si>
  <si>
    <t>4808647020094</t>
  </si>
  <si>
    <t>EDEN CHEESE ORIGINAL 160G</t>
  </si>
  <si>
    <t>4808647020100</t>
  </si>
  <si>
    <t>EDEN CHEESE ORIGINAL 440G</t>
  </si>
  <si>
    <t>EXPIRED OCT 2025</t>
  </si>
  <si>
    <t>7622210278371</t>
  </si>
  <si>
    <t>EDEN MAYO 220ML</t>
  </si>
  <si>
    <t>7622210892126</t>
  </si>
  <si>
    <t>EDEN SULIT PACK ORIGINAL 45G</t>
  </si>
  <si>
    <t>4806502727607</t>
  </si>
  <si>
    <t>GAR DELICIA MILKY CHOCOLATE SPREAD 200G</t>
  </si>
  <si>
    <t>Expired 08/01/2023</t>
  </si>
  <si>
    <t>4806517042597</t>
  </si>
  <si>
    <t>GOYA SPREAD 350G BUY 2 SAVE</t>
  </si>
  <si>
    <t>4800245888830</t>
  </si>
  <si>
    <t>HOKKAI MACKEREL 155G</t>
  </si>
  <si>
    <t>4800245888854</t>
  </si>
  <si>
    <t>HOKKAI MACKEREL 425G</t>
  </si>
  <si>
    <t>9780201679625</t>
  </si>
  <si>
    <t>HOME RECIPE - PEANUT BUTTER 250G</t>
  </si>
  <si>
    <t>9780201379617</t>
  </si>
  <si>
    <t>HOME RECIPE - PEANUT BUTTER 560G</t>
  </si>
  <si>
    <t>4806516761888</t>
  </si>
  <si>
    <t>JERSEY CONDESED MILK 390G</t>
  </si>
  <si>
    <t>9555513203017</t>
  </si>
  <si>
    <t>JERSEY EVAPORADA 370ML</t>
  </si>
  <si>
    <t>43-EXPIRED 4/30/2025</t>
  </si>
  <si>
    <t>4806014000137</t>
  </si>
  <si>
    <t>JOLLY CREAM CORN 425G</t>
  </si>
  <si>
    <t>4806014099230</t>
  </si>
  <si>
    <t>JOLLY GARBANZOS CHICK PEAS 225G</t>
  </si>
  <si>
    <t>EXPIRED FEB 2025</t>
  </si>
  <si>
    <t>4806014099247</t>
  </si>
  <si>
    <t>JOLLY GARBANZOS CHICK PEAS 425G</t>
  </si>
  <si>
    <t>4806014000762</t>
  </si>
  <si>
    <t>JOLLY MUSHROOMS WHOLE CHAMPIGNONS 400G</t>
  </si>
  <si>
    <t>4800888607096</t>
  </si>
  <si>
    <t>LADYS CHOICE BACON SPREAD 27ML</t>
  </si>
  <si>
    <t>4808680651002</t>
  </si>
  <si>
    <t>LADYS CHOICE BACON SPREAD SACHET 80ML</t>
  </si>
  <si>
    <t>4808680022031</t>
  </si>
  <si>
    <t>LADYS CHOICE CHICKEN SPREAD 220ML</t>
  </si>
  <si>
    <t>4800888282767</t>
  </si>
  <si>
    <t>LADYS CHOICE CHICKEN SPREAD 220ML W/ FREE C2 SOLO</t>
  </si>
  <si>
    <t>4800888607119</t>
  </si>
  <si>
    <t>LADYS CHOICE CHICKEN SPREAD 27ML</t>
  </si>
  <si>
    <t>4800888602275</t>
  </si>
  <si>
    <t>LADYS CHOICE CHICKEN SPREAD DOYPACK 220ML</t>
  </si>
  <si>
    <t>4808680022017</t>
  </si>
  <si>
    <t>LADYS CHOICE CHICKEN SPREAD SACHET 80ML</t>
  </si>
  <si>
    <t>4800888602282</t>
  </si>
  <si>
    <t>LADYS CHOICE HAM SPREAD 220ML</t>
  </si>
  <si>
    <t>4808680022178</t>
  </si>
  <si>
    <t>4800888260987</t>
  </si>
  <si>
    <t>LADYS CHOICE HAM SPREAD 27ML</t>
  </si>
  <si>
    <t>4808680651019</t>
  </si>
  <si>
    <t>LADYS CHOICE HAM SPREAD 80ML</t>
  </si>
  <si>
    <t>4800888283092</t>
  </si>
  <si>
    <t xml:space="preserve">LADYS CHOICE REAL MAYO W/ FREE PINEAPPLE TIDBITS </t>
  </si>
  <si>
    <t>4800888607126</t>
  </si>
  <si>
    <t>LADYS CHOICE REAL MAYONNAISE 27ML</t>
  </si>
  <si>
    <t>4808680021508</t>
  </si>
  <si>
    <t>LADYS CHOICE REAL MAYONNAISE 470ML</t>
  </si>
  <si>
    <t>4808680021355</t>
  </si>
  <si>
    <t>LADYS CHOICE REAL MAYONNAISE SACHET 80ML</t>
  </si>
  <si>
    <t>4808680020877</t>
  </si>
  <si>
    <t>LADYS CHOICE SANDWICH SPREAD 220ML</t>
  </si>
  <si>
    <t>4800888602299</t>
  </si>
  <si>
    <t>LADYS CHOICE SANDWICH SPREAD DOYPACK 220ML</t>
  </si>
  <si>
    <t>4808680020754</t>
  </si>
  <si>
    <t>LADYS CHOICE SANDWICH SPREAD SACHET 80ML</t>
  </si>
  <si>
    <t>4800163443036</t>
  </si>
  <si>
    <t>LIGO SARDINES IN TOMATO SAUCE CHILI ADDED 155G</t>
  </si>
  <si>
    <t>748485801728</t>
  </si>
  <si>
    <t>LUCKY 7 CARNE NORTE 150G</t>
  </si>
  <si>
    <t>6902131112925</t>
  </si>
  <si>
    <t>MALING CHICKEN LUNCHEON MEAT 397G</t>
  </si>
  <si>
    <t>9555513211876</t>
  </si>
  <si>
    <t>MARIE CONDENSADA 380G</t>
  </si>
  <si>
    <t>4800134101019</t>
  </si>
  <si>
    <t>MASTER GREEN IN RICHER TOMATO SAUCE 155G</t>
  </si>
  <si>
    <t>4800134101514</t>
  </si>
  <si>
    <t>MASTER MACKEREL GREEN 155G</t>
  </si>
  <si>
    <t>4800134101521</t>
  </si>
  <si>
    <t>MASTER MACKEREL RED 155G</t>
  </si>
  <si>
    <t>4800134103013</t>
  </si>
  <si>
    <t>MASTER SARDINES GREEN 425G</t>
  </si>
  <si>
    <t>4800134101026</t>
  </si>
  <si>
    <t>MASTER SARDINES IN TOMATO SAUCE 155G RED</t>
  </si>
  <si>
    <t>4800134103020</t>
  </si>
  <si>
    <t>MASTER SARDINES RED IN TOMATO SAUCE 425G RED</t>
  </si>
  <si>
    <t>4800134101040</t>
  </si>
  <si>
    <t>MASTER SARDINES WHITE NATURAL OIL 155G</t>
  </si>
  <si>
    <t>4806504710119</t>
  </si>
  <si>
    <t>MEGA SARDINES GREEN 155G</t>
  </si>
  <si>
    <t>4806504710348</t>
  </si>
  <si>
    <t>MEGA SARDINES IN TOMATO SAUCE 425G</t>
  </si>
  <si>
    <t>4806504710355</t>
  </si>
  <si>
    <t>MEGA SARDINES IN TOMATO SAUCE CHILI 425G</t>
  </si>
  <si>
    <t>4806504710126</t>
  </si>
  <si>
    <t>MEGA SARDINES RED 155G</t>
  </si>
  <si>
    <t>O.K. PROCESSED FILLED CHEESE SPREAD 200G</t>
  </si>
  <si>
    <t>4800058123456</t>
  </si>
  <si>
    <t>PHILIPS SAUSAGE 70G</t>
  </si>
  <si>
    <t>4800022930325</t>
  </si>
  <si>
    <t>PROMO LUCKY 7 CARNE NORTE 150G</t>
  </si>
  <si>
    <t>4805885172004</t>
  </si>
  <si>
    <t>RENO LIVER SPREAD 230G</t>
  </si>
  <si>
    <t>4805885171007</t>
  </si>
  <si>
    <t>RENO LIVER SPREAD 85G</t>
  </si>
  <si>
    <t>096785013038</t>
  </si>
  <si>
    <t>SABA PREMIUM MACKEREL IN NATURAL OIL 155G</t>
  </si>
  <si>
    <t>4800249010091</t>
  </si>
  <si>
    <t>SM CHILI CORNED TUNA 100G</t>
  </si>
  <si>
    <t>4800249006636</t>
  </si>
  <si>
    <t>SM CHILI CORNED TUNA 150G</t>
  </si>
  <si>
    <t>4800249006674</t>
  </si>
  <si>
    <t>SM CHILI CORNED TUNA 180G</t>
  </si>
  <si>
    <t>4800249006599</t>
  </si>
  <si>
    <t>SM PLAIN CORNED TUNA 100G</t>
  </si>
  <si>
    <t>4800249006612</t>
  </si>
  <si>
    <t>SM PLAIN CORNED TUNA 150G</t>
  </si>
  <si>
    <t>4800249006650</t>
  </si>
  <si>
    <t>SM PLAIN CORNED TUNA 180G</t>
  </si>
  <si>
    <t>4800249008517</t>
  </si>
  <si>
    <t>SM PLAIN CORNED TUNA 85G</t>
  </si>
  <si>
    <t>4806513800252</t>
  </si>
  <si>
    <t>TAI HING MUSHROOMS PIECES N STEMS 425G</t>
  </si>
  <si>
    <t>4800154011879</t>
  </si>
  <si>
    <t>TIGABUNGA SQUID 155G</t>
  </si>
  <si>
    <t>072185407592</t>
  </si>
  <si>
    <t>TIGABUNGA SQUID 425G</t>
  </si>
  <si>
    <t>4800024558268</t>
  </si>
  <si>
    <t>TODAYS MIXED FRUIT 836G</t>
  </si>
  <si>
    <t>4801668606551</t>
  </si>
  <si>
    <t>UFC CORN KERNELS 425 GRAMS</t>
  </si>
  <si>
    <t>4801668606575</t>
  </si>
  <si>
    <t>UFC CREAM STYLE CORN 425GRAMS</t>
  </si>
  <si>
    <t>4801668606520</t>
  </si>
  <si>
    <t>UFC GREEN PEAS 400GRAMS</t>
  </si>
  <si>
    <t>4801668606544</t>
  </si>
  <si>
    <t>UFC PIECES &amp; STEMS MUSHROOMS 400 GRAMS</t>
  </si>
  <si>
    <t>4800154156860</t>
  </si>
  <si>
    <t>UNI-PACK SQUID IN NATURAL INK155G</t>
  </si>
  <si>
    <t>4800154013057</t>
  </si>
  <si>
    <t>UNI-PAK MACKEREL IN NATURAL OIL 155G</t>
  </si>
  <si>
    <t>4800154263049</t>
  </si>
  <si>
    <t>UNI-PAK MACKEREL IN NATURAL OIL 425G</t>
  </si>
  <si>
    <t>4800154156884</t>
  </si>
  <si>
    <t>UNIPAK SQUID 425G</t>
  </si>
  <si>
    <t>748485802060</t>
  </si>
  <si>
    <t>WOW ULAM ADOBO 155G</t>
  </si>
  <si>
    <t>748485802077</t>
  </si>
  <si>
    <t>WOW ULAM AFRITADA 155</t>
  </si>
  <si>
    <t>748485802084</t>
  </si>
  <si>
    <t>WOW ULAM CALDERETA 155G</t>
  </si>
  <si>
    <t>748485802220</t>
  </si>
  <si>
    <t>WOW ULAM MECHADO 155G</t>
  </si>
  <si>
    <t>748485802381</t>
  </si>
  <si>
    <t>WOW ULAM MENUDO 155G</t>
  </si>
  <si>
    <t>CONDIMENTS</t>
  </si>
  <si>
    <t>4801958393109</t>
  </si>
  <si>
    <t>AJI CRISPY FRY BREADING MIX GARLIC 62G</t>
  </si>
  <si>
    <t>4801958390108</t>
  </si>
  <si>
    <t>AJI CRISPY FRY BREADING MIX ORIGINAL 62G</t>
  </si>
  <si>
    <t>Expired 5/2/2024</t>
  </si>
  <si>
    <t>4801958240007</t>
  </si>
  <si>
    <t>AJI-NO-MOTO UMAMI SEASONING 100G</t>
  </si>
  <si>
    <t>4801958300107</t>
  </si>
  <si>
    <t>AJI-NO-MOTO UMAMI SEASONING 10GX18</t>
  </si>
  <si>
    <t>4801958341100</t>
  </si>
  <si>
    <t>AJI-NO-MOTO UMAMI SEASONING 11GX12S</t>
  </si>
  <si>
    <t>4801958310007</t>
  </si>
  <si>
    <t>AJI-NO-MOTO UMAMI SEASONING 1KG</t>
  </si>
  <si>
    <t>4801958342008</t>
  </si>
  <si>
    <t>AJI-NO-MOTO UMAMI SEASONING 24G</t>
  </si>
  <si>
    <t>4801958250006</t>
  </si>
  <si>
    <t>AJI-NO-MOTO UMAMI SEASONING 250G</t>
  </si>
  <si>
    <t>4801958260005</t>
  </si>
  <si>
    <t>AJI-NO-MOTO UMAMI SEASONING 500G</t>
  </si>
  <si>
    <t>4801958146002</t>
  </si>
  <si>
    <t>AJI-NO-MOTO UMAMI SEASONING 50G</t>
  </si>
  <si>
    <t>4809014863702</t>
  </si>
  <si>
    <t>ALLYSSA PALM OIL 1L</t>
  </si>
  <si>
    <t>0745125096018</t>
  </si>
  <si>
    <t>ALLYSSA SAVERS PATIS 1L</t>
  </si>
  <si>
    <t>0745125096032</t>
  </si>
  <si>
    <t>ALLYSSA SAVERS SOY SAUCE 1L</t>
  </si>
  <si>
    <t>888123456782034</t>
  </si>
  <si>
    <t>BAIS SUGAR WASH 1/2</t>
  </si>
  <si>
    <t>888123456782035</t>
  </si>
  <si>
    <t>BAIS SUGAR WASH 1/4</t>
  </si>
  <si>
    <t>4806514650047</t>
  </si>
  <si>
    <t>BUENAS KAONG 340G</t>
  </si>
  <si>
    <t>4808647210099</t>
  </si>
  <si>
    <t>CALUMET BAKING POWDER 50G</t>
  </si>
  <si>
    <t>888123456781290</t>
  </si>
  <si>
    <t>CHILI GARLIC PASTE</t>
  </si>
  <si>
    <t>748485150079</t>
  </si>
  <si>
    <t>COCO MAMA FRESH GATA 200ML</t>
  </si>
  <si>
    <t>748485150093</t>
  </si>
  <si>
    <t>COCO MAMA FRESH GATA 400ML</t>
  </si>
  <si>
    <t>4801668600542</t>
  </si>
  <si>
    <t>DATU PUTI PATIS 150ML</t>
  </si>
  <si>
    <t>4801668505045</t>
  </si>
  <si>
    <t>DATU PUTI PATIS 1L</t>
  </si>
  <si>
    <t>4801668505038</t>
  </si>
  <si>
    <t>DATU PUTI PATIS 350ML</t>
  </si>
  <si>
    <t>4801668500224</t>
  </si>
  <si>
    <t>DATU PUTI SOY SAUCE 1L</t>
  </si>
  <si>
    <t>4801668602034</t>
  </si>
  <si>
    <t>DATU PUTI SOY SAUCE 200ML</t>
  </si>
  <si>
    <t>4801668500262</t>
  </si>
  <si>
    <t>DATU PUTI SOY SAUCE 350ML</t>
  </si>
  <si>
    <t>4801668100141</t>
  </si>
  <si>
    <t>DATU PUTI VINEGAR 1L</t>
  </si>
  <si>
    <t>4801668602027</t>
  </si>
  <si>
    <t>DATU PUTI VINEGAR 200ML</t>
  </si>
  <si>
    <t>Expired-40 9/3/2025</t>
  </si>
  <si>
    <t>EXPIRED APR 2025</t>
  </si>
  <si>
    <t>4801668601914</t>
  </si>
  <si>
    <t>DATU PUTI VINEGAR 3.785L</t>
  </si>
  <si>
    <t>4801668100103</t>
  </si>
  <si>
    <t>DATU PUTI VINEGAR 350ML</t>
  </si>
  <si>
    <t>4800024575500</t>
  </si>
  <si>
    <t>DM FILIPINO STYLE SPAGHETTI SAUCE 900G</t>
  </si>
  <si>
    <t>4800024556165</t>
  </si>
  <si>
    <t>DM ORIGINAL STYLE TOMATO SAUCE 900G</t>
  </si>
  <si>
    <t>4800024580016</t>
  </si>
  <si>
    <t>DM SPAGHETTI SAUCE FILIPINO STYLE 500G</t>
  </si>
  <si>
    <t>4800024573544</t>
  </si>
  <si>
    <t>DM SWEET STYLE SPAGHETTI SAUCE 900G</t>
  </si>
  <si>
    <t>4800024556899</t>
  </si>
  <si>
    <t>DM TOMATO PASTE 150G</t>
  </si>
  <si>
    <t>4800024556929</t>
  </si>
  <si>
    <t>DM TOMATO SAUCE ORIG STYLE 250G</t>
  </si>
  <si>
    <t>4800024555496</t>
  </si>
  <si>
    <t>DM TOMATO SAUCE ORIGINAL STYLE 200G</t>
  </si>
  <si>
    <t>4809012601122</t>
  </si>
  <si>
    <t>DON FRANK BUKO PANDAN GULAMAN 24G</t>
  </si>
  <si>
    <t>Expired 2/19/26</t>
  </si>
  <si>
    <t>EXPIRED FEB 2026</t>
  </si>
  <si>
    <t>0710535411621</t>
  </si>
  <si>
    <t>DON FRANK GULAMAN FLOVORED 24G</t>
  </si>
  <si>
    <t>Expired 1/19/26</t>
  </si>
  <si>
    <t>4809012601146</t>
  </si>
  <si>
    <t>DON FRANK GULAMAN WHITE FLAVORED</t>
  </si>
  <si>
    <t>4806011900027</t>
  </si>
  <si>
    <t>FIDEL IODIZED SALT 500 GRAMS</t>
  </si>
  <si>
    <t>6929537239889</t>
  </si>
  <si>
    <t>FRIED GARLIC GRANULES 1KG</t>
  </si>
  <si>
    <t>888123456782036</t>
  </si>
  <si>
    <t>HONEY MOON RICE MALAGKIT 1KG</t>
  </si>
  <si>
    <t>4809011485099</t>
  </si>
  <si>
    <t>JES BAGOONG BIG</t>
  </si>
  <si>
    <t>4809011485082</t>
  </si>
  <si>
    <t>JES BAGOONG SMALL</t>
  </si>
  <si>
    <t>4806014099285</t>
  </si>
  <si>
    <t>JOLLY CANOLA OIL 1L DUO</t>
  </si>
  <si>
    <t>888123456782037</t>
  </si>
  <si>
    <t>KINGS GLUTHINOUS FLOUR</t>
  </si>
  <si>
    <t>4800888602732</t>
  </si>
  <si>
    <t>KNORR BEEF BROTH CUBE 10G</t>
  </si>
  <si>
    <t>4808680210759</t>
  </si>
  <si>
    <t>KNORR CHICKEN &amp; CORN 60G</t>
  </si>
  <si>
    <t>4800888602718</t>
  </si>
  <si>
    <t>KNORR CHICKEN BROTH CUBE 10G</t>
  </si>
  <si>
    <t>4800888285355</t>
  </si>
  <si>
    <t>KNORR CHICKEN BROTH CUBE 10G 6+2</t>
  </si>
  <si>
    <t>4808680210957</t>
  </si>
  <si>
    <t>KNORR CRAB &amp; CORN SOUP 60G</t>
  </si>
  <si>
    <t>4808680211251</t>
  </si>
  <si>
    <t>KNORR CRAB N CORN SOUP MIX 40G</t>
  </si>
  <si>
    <t>4800888213082</t>
  </si>
  <si>
    <t>KNORR CREAM OF MUSHROOM 38G</t>
  </si>
  <si>
    <t>4808680221250</t>
  </si>
  <si>
    <t>KNORR CREAM OF MUSHROOM SOUP MIX 70G</t>
  </si>
  <si>
    <t>4800888218377</t>
  </si>
  <si>
    <t>KNORR LIQUID SEASONING CHILI 130ML</t>
  </si>
  <si>
    <t>4800888218889</t>
  </si>
  <si>
    <t>KNORR LIQUID SEASONING CHILI 25OML</t>
  </si>
  <si>
    <t>4808680230764</t>
  </si>
  <si>
    <t>KNORR LIQUID SEASONING ORIGINAL 130ML</t>
  </si>
  <si>
    <t>4808680230603</t>
  </si>
  <si>
    <t>KNORR LIQUID SEASONING ORIGINAL 1L</t>
  </si>
  <si>
    <t>4800888602725</t>
  </si>
  <si>
    <t>KNORR PORK BROTH CUBE 10G</t>
  </si>
  <si>
    <t>4800888607959</t>
  </si>
  <si>
    <t>KNORR SHRIMP BROTH CUBE 10G</t>
  </si>
  <si>
    <t>4800888260451</t>
  </si>
  <si>
    <t>KNORR SINIGANG ORIGINAL 6X22G W/ FREE KOPIKO TP</t>
  </si>
  <si>
    <t>4800888603692</t>
  </si>
  <si>
    <t>KNORR SINIGANG SA SAMPALOK MIX 11G</t>
  </si>
  <si>
    <t>4800888284211</t>
  </si>
  <si>
    <t>KNORR SINIGANG SA SAMPALOK MIX 11G 12+1</t>
  </si>
  <si>
    <t>4800888600790</t>
  </si>
  <si>
    <t>KNORR SINIGANG SA SAMPALOK MIX ORIG 22G</t>
  </si>
  <si>
    <t>4800888906779</t>
  </si>
  <si>
    <t>KNORR SINIGANG SAM ORIG MIX 20G 6PCS W/ FREE PLATE</t>
  </si>
  <si>
    <t>888123456782032</t>
  </si>
  <si>
    <t>LUISITA SUGAR WHITE 1/2</t>
  </si>
  <si>
    <t>888123456782033</t>
  </si>
  <si>
    <t>LUISITA SUGAR WHITE 1/4</t>
  </si>
  <si>
    <t>888123456781210</t>
  </si>
  <si>
    <t>LUISITA SUGAR WHITE SACK</t>
  </si>
  <si>
    <t>48025522</t>
  </si>
  <si>
    <t>MAGGI MAGIC SARAP 8G</t>
  </si>
  <si>
    <t>888123456781834</t>
  </si>
  <si>
    <t>MAGGI MAGIC SARAP BUY 32 GET FREE 1 TOM YAM</t>
  </si>
  <si>
    <t>4804888804189</t>
  </si>
  <si>
    <t>MAMA SITAS ACHUETE POWDER 10G</t>
  </si>
  <si>
    <t>025407803603</t>
  </si>
  <si>
    <t>MAMA SITAS CALDERETA SPICY SAUCE MIX 50G</t>
  </si>
  <si>
    <t>4806512022099</t>
  </si>
  <si>
    <t>MAMA SITAS ILOCANO PINAPAITAN BITTER STEW MIX 40G</t>
  </si>
  <si>
    <t>025407803313</t>
  </si>
  <si>
    <t>MAMA SITAS KARE KARE PEANUT SAUCE MIX 57G</t>
  </si>
  <si>
    <t>025407805201</t>
  </si>
  <si>
    <t>MAMA SITAS MENUDO/AFRITADA MIX 30G</t>
  </si>
  <si>
    <t>4806512026387</t>
  </si>
  <si>
    <t>MAMA SITAS ORIGINAL OYSTER SAUCE 60G</t>
  </si>
  <si>
    <t>4804888809788</t>
  </si>
  <si>
    <t>MAMA SITAS OYSTER SAUCE 2KG</t>
  </si>
  <si>
    <t>4804888809474</t>
  </si>
  <si>
    <t>MAMA SITAS OYSTER SAUCE 30G</t>
  </si>
  <si>
    <t>4806512023522</t>
  </si>
  <si>
    <t>MAMA SITAS OYSTER SAUCE 90G</t>
  </si>
  <si>
    <t>025407806680</t>
  </si>
  <si>
    <t>MAMA SITAS PALABOK ORIENTAL GRAVY MIX 57G</t>
  </si>
  <si>
    <t>4801668600641</t>
  </si>
  <si>
    <t>MANG TOMAS ALL AROUND SARSA 100G</t>
  </si>
  <si>
    <t>4801668100264</t>
  </si>
  <si>
    <t>MANG TOMAS ALL AROUND SARSA 325G</t>
  </si>
  <si>
    <t>4801668100288</t>
  </si>
  <si>
    <t>MANG TOMAS SIGA HOT AND SPICY 325G</t>
  </si>
  <si>
    <t>4809013526448</t>
  </si>
  <si>
    <t>MR. GULAMAN BLACK 25G</t>
  </si>
  <si>
    <t>4809013526271</t>
  </si>
  <si>
    <t>MR. GULAMAN BUKO PANDAN 24G</t>
  </si>
  <si>
    <t>4806512023546</t>
  </si>
  <si>
    <t>MS BARBEQUE MARINADE 80ML</t>
  </si>
  <si>
    <t>4800361061322</t>
  </si>
  <si>
    <t>NESTLE ALL PURPOSE CREAM 250ML</t>
  </si>
  <si>
    <t>4800361419307</t>
  </si>
  <si>
    <t>NESTLE CARNATION CONDENSADA 300ML</t>
  </si>
  <si>
    <t>888123456782038</t>
  </si>
  <si>
    <t>PALM OIL CONTAINER 1L</t>
  </si>
  <si>
    <t>888123456782030</t>
  </si>
  <si>
    <t>POLARIS WHEAT FLOUR 1/2</t>
  </si>
  <si>
    <t>4800300200096</t>
  </si>
  <si>
    <t>QUEEN ALL PURPOSE FLOUR 400G</t>
  </si>
  <si>
    <t>4800300600094</t>
  </si>
  <si>
    <t>QUEEN HOTCAKE MIX 400G</t>
  </si>
  <si>
    <t>4800300100044</t>
  </si>
  <si>
    <t>QUEEN PURE CORN STARCH 1KG</t>
  </si>
  <si>
    <t>4800300100020</t>
  </si>
  <si>
    <t>QUEEN PURE CORN STARCH 200G</t>
  </si>
  <si>
    <t>888123456781995</t>
  </si>
  <si>
    <t>SANTEED ALAMANG</t>
  </si>
  <si>
    <t>4800344010620</t>
  </si>
  <si>
    <t>SILVER SWAN PATIS 1L</t>
  </si>
  <si>
    <t>4800344001628</t>
  </si>
  <si>
    <t>SILVER SWAN SOY SAUCE 1L</t>
  </si>
  <si>
    <t>888123456781996</t>
  </si>
  <si>
    <t>SPICED SUKANG ILOCOS</t>
  </si>
  <si>
    <t>0000004789291</t>
  </si>
  <si>
    <t>TAL PATIS REGULAR 1L</t>
  </si>
  <si>
    <t>4800024038548</t>
  </si>
  <si>
    <t>TODAYS FRUIT COCKTAIL 1GAL</t>
  </si>
  <si>
    <t>014285002789</t>
  </si>
  <si>
    <t>UFC BANANA CATSUP 100G</t>
  </si>
  <si>
    <t>014285003045</t>
  </si>
  <si>
    <t>UFC BANANA CATSUP 1KG</t>
  </si>
  <si>
    <t>014285003656</t>
  </si>
  <si>
    <t>UFC BANANA CATSUP 200G</t>
  </si>
  <si>
    <t>1-Expired 7/30/2025</t>
  </si>
  <si>
    <t>014285000068</t>
  </si>
  <si>
    <t>UFC BANANA CATSUP 320G</t>
  </si>
  <si>
    <t>014285001102</t>
  </si>
  <si>
    <t>UFC BANANA CATSUP 4KG</t>
  </si>
  <si>
    <t>4801668601235</t>
  </si>
  <si>
    <t>UFC CANOLA OIL 1L</t>
  </si>
  <si>
    <t>4801668607947</t>
  </si>
  <si>
    <t>UFC CREAM OF MUSHROOM 70G</t>
  </si>
  <si>
    <t>4801668607879</t>
  </si>
  <si>
    <t>UFC HAPI FIESTA VEGETABLE OIL 17KG</t>
  </si>
  <si>
    <t>888123456781555</t>
  </si>
  <si>
    <t>VICTORIA WASH SUGAR 1/2</t>
  </si>
  <si>
    <t>888123456781281</t>
  </si>
  <si>
    <t>VICTORIA WASH SUGAR 1KG</t>
  </si>
  <si>
    <t>888123456781464</t>
  </si>
  <si>
    <t>VICTORIA WASH SUGAR SACKS NEW</t>
  </si>
  <si>
    <t>888123456781554</t>
  </si>
  <si>
    <t>VICTORIA WHITE SUGAR 1/4</t>
  </si>
  <si>
    <t>0891234568110</t>
  </si>
  <si>
    <t>WAMI FOODS BLACK PEPPER</t>
  </si>
  <si>
    <t>888123456781843</t>
  </si>
  <si>
    <t>WASH SUGAR SACK</t>
  </si>
  <si>
    <t>TOILETRIES &amp; PERSONAL HYGIENE</t>
  </si>
  <si>
    <t>888123456781807</t>
  </si>
  <si>
    <t>ALCOLUXX ISOPROPYL ALCOHOL ALCORADE 70% SOLUTION 500ML</t>
  </si>
  <si>
    <t>Expired</t>
  </si>
  <si>
    <t>4800417005225</t>
  </si>
  <si>
    <t>BENCH ATLANTIS 75ML</t>
  </si>
  <si>
    <t>4800417060415</t>
  </si>
  <si>
    <t>BENCH CLAY DOH 4G</t>
  </si>
  <si>
    <t>4800417064888</t>
  </si>
  <si>
    <t>BENCH DAILY SCENT BUBBLE POP 125ML</t>
  </si>
  <si>
    <t>4800417059549</t>
  </si>
  <si>
    <t>BENCH DAILY SCENT COLOGNE HAPPY HOUR 125ML</t>
  </si>
  <si>
    <t>4800417059556</t>
  </si>
  <si>
    <t>BENCH DAILY SCENT COLOGNE INDIAN SUMMER 125ML</t>
  </si>
  <si>
    <t>4800417059563</t>
  </si>
  <si>
    <t>BENCH DAILY SCENT COLOGNE LAZY AFTERNOON 125ML</t>
  </si>
  <si>
    <t>4800417059433</t>
  </si>
  <si>
    <t>BENCH DAILY SCENT COLOGNE LAZY AFTERNOON 50ML</t>
  </si>
  <si>
    <t>4800417059495</t>
  </si>
  <si>
    <t>BENCH DAILY SCENT COLOGNE LAZY AFTERNOON 75ML</t>
  </si>
  <si>
    <t>4800417059594</t>
  </si>
  <si>
    <t>BENCH DAILY SCENT COLOGNE SUNDAY MORNING 125ML</t>
  </si>
  <si>
    <t>4800417059488</t>
  </si>
  <si>
    <t>BENCH DAILY SCENT INDIAN SUMMER 75ML</t>
  </si>
  <si>
    <t>4800417059501</t>
  </si>
  <si>
    <t>BENCH DAILY SCENT NINE TO MINE 75ML</t>
  </si>
  <si>
    <t>4800417059518</t>
  </si>
  <si>
    <t>BENCH DAILY SCENT SPRING BREAK 75ML</t>
  </si>
  <si>
    <t>4800417059525</t>
  </si>
  <si>
    <t>BENCH DAILY SCENT SUNDAY MORNING 75ML</t>
  </si>
  <si>
    <t>4800417005249</t>
  </si>
  <si>
    <t>BENCH EIGHT BODY SPRAY 100ML</t>
  </si>
  <si>
    <t>4800417005218</t>
  </si>
  <si>
    <t>BENCH EIGHT BODY SPRAY 75ML</t>
  </si>
  <si>
    <t>4800417060590</t>
  </si>
  <si>
    <t>BENCH SO INLOVE 50ML</t>
  </si>
  <si>
    <t>4800204002093</t>
  </si>
  <si>
    <t>BETADINE WOUND SOLUTION 7.5ML</t>
  </si>
  <si>
    <t>4806525621340</t>
  </si>
  <si>
    <t>BEYBIKO BABY WIPES FLORAL BLOSSOM 80+20WIPES</t>
  </si>
  <si>
    <t>EXPIRED APR 2026</t>
  </si>
  <si>
    <t>4806525621333</t>
  </si>
  <si>
    <t>BEYBIKO BABY WIPES UNSCENTED 80WIPES+20FREE</t>
  </si>
  <si>
    <t>4806525621098</t>
  </si>
  <si>
    <t>BEYBIKO DIAPERS MEDIUM 12S</t>
  </si>
  <si>
    <t>4806525621012</t>
  </si>
  <si>
    <t>BEYBIKO DIAPERS MEDIUM 30S</t>
  </si>
  <si>
    <t>4806525621081</t>
  </si>
  <si>
    <t>BEYBIKO DIAPERS SMALL 12S</t>
  </si>
  <si>
    <t>4806525621005</t>
  </si>
  <si>
    <t>BEYBIKO DIAPERS SMALL 30S</t>
  </si>
  <si>
    <t>4806525621111</t>
  </si>
  <si>
    <t>BEYBIKO DIAPERS XL 12S</t>
  </si>
  <si>
    <t>4806525621036</t>
  </si>
  <si>
    <t>BEYBIKO DIAPERS XL 30S</t>
  </si>
  <si>
    <t>4806525621241</t>
  </si>
  <si>
    <t>BEYBIKO PANTS DIAPERS XL 24S</t>
  </si>
  <si>
    <t>4806525621258</t>
  </si>
  <si>
    <t>BEYBIKO PANTS DIAPERS XXL 24S</t>
  </si>
  <si>
    <t>4800011115061</t>
  </si>
  <si>
    <t>BIODERM SOAP BLOOM (PINK) 135G</t>
  </si>
  <si>
    <t>4800011782805</t>
  </si>
  <si>
    <t>BIODERM SOAP BLOOM (PINK) 60G</t>
  </si>
  <si>
    <t>4800011113968</t>
  </si>
  <si>
    <t>BIODERM SOAP COOLNESS (BLUE) 135G</t>
  </si>
  <si>
    <t>4800011113937</t>
  </si>
  <si>
    <t>BIODERM SOAP COOLNESS (BLUE) 60G</t>
  </si>
  <si>
    <t>4800011782737</t>
  </si>
  <si>
    <t>BIODERM SOAP FRESHEN (GREEN) 60G</t>
  </si>
  <si>
    <t>4809012634991</t>
  </si>
  <si>
    <t>BLEST FACIAL TISSUE 80SHEET</t>
  </si>
  <si>
    <t>4806516856157</t>
  </si>
  <si>
    <t>BODY TREATS HAND SOAP MELON SCENTED 750ML</t>
  </si>
  <si>
    <t>4801010361121</t>
  </si>
  <si>
    <t>CAREFREE SUPER DRY LINERS 15S</t>
  </si>
  <si>
    <t>4806506313882</t>
  </si>
  <si>
    <t>CHERUB SCENTED WIPES 15S</t>
  </si>
  <si>
    <t>4800888141194</t>
  </si>
  <si>
    <t>CLEAR COMPLETE SOFT CARE 13ML</t>
  </si>
  <si>
    <t>4800067120989</t>
  </si>
  <si>
    <t>CLIO TOOTHBRUSH ALL AROUND BUY 2 TAKE 1 FREE</t>
  </si>
  <si>
    <t>8934839125691</t>
  </si>
  <si>
    <t>CLOSE UP ALL DAY FRESHNESS 2X120G TWIN PACK</t>
  </si>
  <si>
    <t>4800888218315</t>
  </si>
  <si>
    <t>CLOSE UP BLUE (11+1)</t>
  </si>
  <si>
    <t>4800888147240</t>
  </si>
  <si>
    <t>CLOSE UP MENTHOL FRESH 2X11G</t>
  </si>
  <si>
    <t>8934839125677</t>
  </si>
  <si>
    <t>CLOSE UP MENTHOL FRESH TWIN PACK 2X120G</t>
  </si>
  <si>
    <t>4800888147288</t>
  </si>
  <si>
    <t>CLOSE UP RED HOT TWIN PACK 10G</t>
  </si>
  <si>
    <t>8850006327357</t>
  </si>
  <si>
    <t>COLGATE BUBBLE FRUIT FLAVOR BARBIE 40G</t>
  </si>
  <si>
    <t>8850006344200</t>
  </si>
  <si>
    <t>COLGATE BUBBLE FRUIT FLAVOR BATMAN 40G</t>
  </si>
  <si>
    <t>8850006342213</t>
  </si>
  <si>
    <t>COLGATE BUBBLE FRUIT FLAVOR MINIONS BOX 40G</t>
  </si>
  <si>
    <t>6920354832123</t>
  </si>
  <si>
    <t>COLGATE CHARCOAL CLEAN 20G</t>
  </si>
  <si>
    <t>4808888200583</t>
  </si>
  <si>
    <t>COLGATE CLASSIC CHILD BRUSH</t>
  </si>
  <si>
    <t>4808888201115</t>
  </si>
  <si>
    <t>COLGATE CLASSIC DEEP CLEAN TOOTHBRUSH</t>
  </si>
  <si>
    <t>8935102111335</t>
  </si>
  <si>
    <t>COLGATE CLASSIC TOOTHBRUSH MEDIUM 2S</t>
  </si>
  <si>
    <t>4808888892566</t>
  </si>
  <si>
    <t>COLGATE COOL MENTHOL FRESH 20G BUY 11 GET 1 FREE</t>
  </si>
  <si>
    <t>6920354823985</t>
  </si>
  <si>
    <t>COLGATE FRESH CONFIDENCE COOL MENTHOL FRESH 2X175G</t>
  </si>
  <si>
    <t>6920354826559</t>
  </si>
  <si>
    <t>COLGATE FRESH CONFIDENCE PEPPERMINT ICE 120GX2</t>
  </si>
  <si>
    <t>8850006327449</t>
  </si>
  <si>
    <t>COLGATE FRESH CONFIDENCE SPICY FRESH 2X175G</t>
  </si>
  <si>
    <t>6920354824104</t>
  </si>
  <si>
    <t>COLGATE FRESH CONFIDENCE W/ COOLING CRYSTALS</t>
  </si>
  <si>
    <t>8850006327432</t>
  </si>
  <si>
    <t>COLGATE MAXIMUM CAVITY PROTECTION 2X132G</t>
  </si>
  <si>
    <t>8850006327425</t>
  </si>
  <si>
    <t>COLGATE MAXIMUM CAVITY PROTECTION 2X195G</t>
  </si>
  <si>
    <t>8850006325216</t>
  </si>
  <si>
    <t>COLGATE ORIGINAL TWINPACK 24G</t>
  </si>
  <si>
    <t>8850006302088</t>
  </si>
  <si>
    <t>COLGATE PLAX FRESHMINT SPLASH 250ML</t>
  </si>
  <si>
    <t>8850006306246</t>
  </si>
  <si>
    <t>COLGATE PLAX ICE INFINITY 250ML</t>
  </si>
  <si>
    <t>8850006306772</t>
  </si>
  <si>
    <t>COLGATE PLAX ICE INFINITY 60ML</t>
  </si>
  <si>
    <t>8850006302132</t>
  </si>
  <si>
    <t>COLGATE PLAX PEPPERMINT FRESH 250ML</t>
  </si>
  <si>
    <t>4808888892177</t>
  </si>
  <si>
    <t>COLGATE SPICY FRESH 20G BUY 11 GET 1 FREE</t>
  </si>
  <si>
    <t>8850006327456</t>
  </si>
  <si>
    <t>COLGATE SPICY FRESH 2X120G</t>
  </si>
  <si>
    <t>8850006325223</t>
  </si>
  <si>
    <t>COLGATE SPICY FRESH TWINPACK 22G</t>
  </si>
  <si>
    <t>6920354817724</t>
  </si>
  <si>
    <t>COLGATE STRAWBERRY FLAVOR 2-5YO 40G</t>
  </si>
  <si>
    <t>8935236000734</t>
  </si>
  <si>
    <t>COLGATE SUPER FLEXI TOOTHBRUSH BLACK</t>
  </si>
  <si>
    <t>8935236000093</t>
  </si>
  <si>
    <t>COLGATE SUPER FLEXI TOOTHBRUSH WHITE</t>
  </si>
  <si>
    <t>8850006327470</t>
  </si>
  <si>
    <t>COLGATE TRIPLE ACTION 2X120G</t>
  </si>
  <si>
    <t>8850006327463</t>
  </si>
  <si>
    <t>COLGATE TRIPLE ACTION 2X175G</t>
  </si>
  <si>
    <t>4800888283122</t>
  </si>
  <si>
    <t xml:space="preserve">CREAM SILK HAIR FALL DEFENSE 2 WASH PACK 22ML </t>
  </si>
  <si>
    <t>4800888240064</t>
  </si>
  <si>
    <t>CREAM SILK KERATIN DAMAGE REPAIR 18ML</t>
  </si>
  <si>
    <t>4800888283139</t>
  </si>
  <si>
    <t>CREAM SILK STANDOUT STRAIGHT 2 WASH PACK 22ML</t>
  </si>
  <si>
    <t>4800888139276</t>
  </si>
  <si>
    <t>CREAMSILK CONDITIONER BLUE 11ML</t>
  </si>
  <si>
    <t>4800888181084</t>
  </si>
  <si>
    <t>CREAMSILK CONDITIONER GREEN 11ML 11+1</t>
  </si>
  <si>
    <t>4800888139306</t>
  </si>
  <si>
    <t>CREAMSILK CONDITIONER PINK 12ML</t>
  </si>
  <si>
    <t>4800888181077</t>
  </si>
  <si>
    <t>CREAMSILK CONDITIONER PINK BUY 11 GET 1 FREE 12ML</t>
  </si>
  <si>
    <t>BAD ORDER</t>
  </si>
  <si>
    <t>4800888287496</t>
  </si>
  <si>
    <t>CREAMSILK CONDITIONER PINK BUY 11 GET 1 FREE 22ML</t>
  </si>
  <si>
    <t>4800888181787</t>
  </si>
  <si>
    <t>CREAMSILK DAMAGE CONTROL 11ML 11+1</t>
  </si>
  <si>
    <t>4800888139283</t>
  </si>
  <si>
    <t>CREAMSILK GREEN 11ML</t>
  </si>
  <si>
    <t>4800888206121</t>
  </si>
  <si>
    <t>CREAMSILK TRIPLE KERATIN RESCUE ULTIMATE STRAIGHT 10ML</t>
  </si>
  <si>
    <t>4800417059570</t>
  </si>
  <si>
    <t>DAILY SCENT COLOGNE NINE TO MINE 125ML</t>
  </si>
  <si>
    <t>4806515163782</t>
  </si>
  <si>
    <t>DEOPLUS TAWAS POWDER 50G</t>
  </si>
  <si>
    <t>4800888220493</t>
  </si>
  <si>
    <t>DOVE BEAUTY BAR 3X135G</t>
  </si>
  <si>
    <t>4800888206572</t>
  </si>
  <si>
    <t xml:space="preserve">DOVE CONDITIONER SERUM HAIR FALL RESCUE 10ML </t>
  </si>
  <si>
    <t>4800888207869</t>
  </si>
  <si>
    <t>DOVE DERMA CARE SCALP SOOTING MOISTURE 10ML</t>
  </si>
  <si>
    <t>4800888190215</t>
  </si>
  <si>
    <t>DOVE OXYGEN &amp; NOURISHMENT</t>
  </si>
  <si>
    <t>4800888220509</t>
  </si>
  <si>
    <t>DOVE PINK BEAUTY BAR 3X135G</t>
  </si>
  <si>
    <t>4800888217523</t>
  </si>
  <si>
    <t>DOVE SERUM CONDITIONER AMINO RESTORE 10ML</t>
  </si>
  <si>
    <t>4800888206565</t>
  </si>
  <si>
    <t>DOVE SERUM CONDITIONER KERATIN REPAIR 10ML</t>
  </si>
  <si>
    <t>4800888154262</t>
  </si>
  <si>
    <t>DOVE SHAMPOO INTENSE REPAIR 10ML</t>
  </si>
  <si>
    <t>4800888212900</t>
  </si>
  <si>
    <t>DOVE SHAMPOO INTENSE REPAIR 12ML</t>
  </si>
  <si>
    <t>4800888217455</t>
  </si>
  <si>
    <t>DOVE SHAMPOO INTENSE REPAIR 12ML BUY 11 GET 1 FREE</t>
  </si>
  <si>
    <t>4800888154255</t>
  </si>
  <si>
    <t>DOVE SHAMPOO NOURISHING OIL CARE 12ML</t>
  </si>
  <si>
    <t>4800888190185</t>
  </si>
  <si>
    <t>DOVE SHAMPOO OXYGEN &amp; NOURISHMENT 10ML</t>
  </si>
  <si>
    <t>4800888212917</t>
  </si>
  <si>
    <t>DOVE SHAMPOO STRAIGHT &amp; SILKY 12ML</t>
  </si>
  <si>
    <t>4800888217448</t>
  </si>
  <si>
    <t>DOVE SHAMPOO STRAIGHT &amp; SILKY 12ML BUY 11 GET 1 FREE</t>
  </si>
  <si>
    <t>4800488960348</t>
  </si>
  <si>
    <t>EQ PANTS XL 24S</t>
  </si>
  <si>
    <t>48038164</t>
  </si>
  <si>
    <t>ESKINOL FACIAL CLEANSER SPOT LESS WHITE W/ CALAMANSI 75ML</t>
  </si>
  <si>
    <t>4806502352724</t>
  </si>
  <si>
    <t xml:space="preserve">FEMME COTTON PADS </t>
  </si>
  <si>
    <t>4902806015560</t>
  </si>
  <si>
    <t>GATSBY STYLING WAX MAT&amp;HARD 3G</t>
  </si>
  <si>
    <t>4800047820250</t>
  </si>
  <si>
    <t>GC ALCOHOL W/ MOISTURIZER 70% 60ML</t>
  </si>
  <si>
    <t>4800047865404</t>
  </si>
  <si>
    <t>GC BSOAP CLEAR RADIANCE 125G</t>
  </si>
  <si>
    <t>4800047820465</t>
  </si>
  <si>
    <t>GC ETHYL ALCOHOL 70% 3785ML</t>
  </si>
  <si>
    <t>4800047820434</t>
  </si>
  <si>
    <t>GC ISOP ALCOHOL 70% PUMP 1000ML</t>
  </si>
  <si>
    <t>4800047820182</t>
  </si>
  <si>
    <t>GC ISOP ALCOHOL W/ MOIST 70% 500ML</t>
  </si>
  <si>
    <t>4800047820458</t>
  </si>
  <si>
    <t>GC ISOPROPYL ALCOHOL W/ MOIST 70% 3785ML</t>
  </si>
  <si>
    <t>4800047865183</t>
  </si>
  <si>
    <t>GC TOTAL DEFENSE ANTIBAC SANITIZER 5IN1 250ML</t>
  </si>
  <si>
    <t>4987176092267</t>
  </si>
  <si>
    <t>GILLETE BLUE 2 FLEXI</t>
  </si>
  <si>
    <t>4902430441896</t>
  </si>
  <si>
    <t>GILLETE RUBIE II</t>
  </si>
  <si>
    <t>48037877</t>
  </si>
  <si>
    <t>GILLETE RUBIE II 2</t>
  </si>
  <si>
    <t>8888826019589</t>
  </si>
  <si>
    <t>GILLETTTE BLUE II PLUS</t>
  </si>
  <si>
    <t>4801234146078</t>
  </si>
  <si>
    <t>GLADE SG FRESH LEMON 180G VALUE PACK</t>
  </si>
  <si>
    <t>4800034015164</t>
  </si>
  <si>
    <t>HAPEE ECO TUBE-WHITENING 150G</t>
  </si>
  <si>
    <t>4800034017267</t>
  </si>
  <si>
    <t>HAPEE EXPLOSIVE MENTHOL RED 150G</t>
  </si>
  <si>
    <t>4800034606690</t>
  </si>
  <si>
    <t>HAPEE EXPLOSIVE MENTHOL RED 30G 11+1</t>
  </si>
  <si>
    <t>4800034017243</t>
  </si>
  <si>
    <t>HAPEE EXPLOSIVE MENTHOL RED 55G</t>
  </si>
  <si>
    <t>4800034606980</t>
  </si>
  <si>
    <t>HAPEE EXPLOSIVE MENTHOL RED SULIT DOBLE PACK 2X140ML</t>
  </si>
  <si>
    <t>4800034014440</t>
  </si>
  <si>
    <t>HAPEE KIDDIE APPLE CRUNCH 62G(50ML)</t>
  </si>
  <si>
    <t>4800034014549</t>
  </si>
  <si>
    <t>HAPEE KIDDIE JUICY GRAPES 62G(50ML)</t>
  </si>
  <si>
    <t>4800034012446</t>
  </si>
  <si>
    <t>HAPEE KIDDIE ORANGE SQUEEZE 62G(50ML)</t>
  </si>
  <si>
    <t>4800034012545</t>
  </si>
  <si>
    <t>HAPEE KIDDIE STRAWBERRY BLOOM 62G(50ML)</t>
  </si>
  <si>
    <t>4800034012347</t>
  </si>
  <si>
    <t>HAPEE KIDDIE TUTTIFRUTTI 62G(50ML)</t>
  </si>
  <si>
    <t>4902430411776</t>
  </si>
  <si>
    <t>HEAD &amp; SHOULDER ANTI-DANDRUFF COOL MENTHOL 330ML</t>
  </si>
  <si>
    <t>EXPIRED JAN 2024</t>
  </si>
  <si>
    <t>4902430522809</t>
  </si>
  <si>
    <t>HEAD &amp; SHOULDER ANTI-DANDRUFF SHAMPOO ULTRA MEN COOL MENTHOL 12ML</t>
  </si>
  <si>
    <t>4987176040480</t>
  </si>
  <si>
    <t>HEAD &amp; SHOULDER SHAMPOO ANTIBAC 12ML</t>
  </si>
  <si>
    <t>4902430736510</t>
  </si>
  <si>
    <t>HEAD &amp; SHOULDERS ANTI DANDRUFF 12ML</t>
  </si>
  <si>
    <t>4902430333597</t>
  </si>
  <si>
    <t>HEAD&amp;SHOULDER SHAMPOO COOL MENTHOL TRIPACK 12ML</t>
  </si>
  <si>
    <t>4902430698658</t>
  </si>
  <si>
    <t>HEAD&amp;SHOULDER SHAMPOO SMOOTH N SILKY TRIPACK 12ML</t>
  </si>
  <si>
    <t>9556006060308</t>
  </si>
  <si>
    <t>JB BATH MILK + RICE 100ML</t>
  </si>
  <si>
    <t>4801010121213</t>
  </si>
  <si>
    <t>JB COLOGNE REGULAR BLUE 50ML</t>
  </si>
  <si>
    <t>4801010504207</t>
  </si>
  <si>
    <t>JB OIL ALOE VERA &amp; VIT E 50ML</t>
  </si>
  <si>
    <t>4801010504306</t>
  </si>
  <si>
    <t>JB OIL ALOE VERA &amp; VITAMIN E 125ML</t>
  </si>
  <si>
    <t>48038065</t>
  </si>
  <si>
    <t>JB OIL ALOE VERA &amp; VITAMIN E 25ML</t>
  </si>
  <si>
    <t>4801010503323</t>
  </si>
  <si>
    <t>JB OIL LITE 125ML</t>
  </si>
  <si>
    <t>4801010503224</t>
  </si>
  <si>
    <t>JB OIL LITE 50ML</t>
  </si>
  <si>
    <t>4801010501312</t>
  </si>
  <si>
    <t>JB OIL REGULAR 125ML</t>
  </si>
  <si>
    <t>48035996</t>
  </si>
  <si>
    <t>JB OIL REGULAR 25ML</t>
  </si>
  <si>
    <t>4801010501213</t>
  </si>
  <si>
    <t>JB OIL REGULAR 50ML</t>
  </si>
  <si>
    <t>4801010105206</t>
  </si>
  <si>
    <t>JB POWDER BLOSSOMS PINK 100G</t>
  </si>
  <si>
    <t>4801010105107</t>
  </si>
  <si>
    <t>JB POWDER BLOSSOMS PINK 50G</t>
  </si>
  <si>
    <t>4801010104209</t>
  </si>
  <si>
    <t>JB POWDER MILK + RICE 100G</t>
  </si>
  <si>
    <t>8850007011149</t>
  </si>
  <si>
    <t>JB POWDER WHITE 200G</t>
  </si>
  <si>
    <t>48032742</t>
  </si>
  <si>
    <t>JB POWDER WHITE 25G</t>
  </si>
  <si>
    <t>48033459</t>
  </si>
  <si>
    <t>JB POWDER WHITE 50G</t>
  </si>
  <si>
    <t>4801010127222</t>
  </si>
  <si>
    <t>JOHNSONS BABY COLOGNE HAPPY BERRIES 50ML</t>
  </si>
  <si>
    <t>4801010127215</t>
  </si>
  <si>
    <t>JOHNSONS BABY COLOGNE HEAVEN 50ML</t>
  </si>
  <si>
    <t>4800060254506</t>
  </si>
  <si>
    <t>JOY EXTRA BATHROOM TISSUE 1ROLL</t>
  </si>
  <si>
    <t>4800060254803</t>
  </si>
  <si>
    <t>JOY EXTRA BATHROOM TISSUE 2 PLY 12 ROLLS</t>
  </si>
  <si>
    <t>4800060031503</t>
  </si>
  <si>
    <t xml:space="preserve">JOY KITCHEN TOWELS TWIN PACK 2-PLY </t>
  </si>
  <si>
    <t>4809012413039</t>
  </si>
  <si>
    <t>KATINKO OINTMENT 30G</t>
  </si>
  <si>
    <t>4800060254407</t>
  </si>
  <si>
    <t>KLEENEX ULTIMATE CLEAN 12R 3PLY</t>
  </si>
  <si>
    <t>4800060202101</t>
  </si>
  <si>
    <t>KLEENEX ULTRA STYLE 200 SHEETS 2-PLY</t>
  </si>
  <si>
    <t>4809010120953</t>
  </si>
  <si>
    <t>KOJIC &amp; GLUTATHIONE ORIGINAL SOAP 135G</t>
  </si>
  <si>
    <t>4806520415227</t>
  </si>
  <si>
    <t>KOJIC SAN NIACINAMIDE SOAP 100G</t>
  </si>
  <si>
    <t>4809014128672</t>
  </si>
  <si>
    <t>KOJIE SAN SKIN LIGHTENING SOAP 3X65G</t>
  </si>
  <si>
    <t>4809013300215</t>
  </si>
  <si>
    <t>KOJIE SAN SKIN LIGHTENING SOAP CLASSIC 65G</t>
  </si>
  <si>
    <t>4806500805369</t>
  </si>
  <si>
    <t>MAGIC COLOR BABY DIAPER LARGE 40S</t>
  </si>
  <si>
    <t>4806500805260</t>
  </si>
  <si>
    <t>MAGIC COLOR BABY DIAPER MEDIUM 45S</t>
  </si>
  <si>
    <t>4806500805468</t>
  </si>
  <si>
    <t>MAGIC COLOR BABY DIAPER XLARGE 40S</t>
  </si>
  <si>
    <t>4806500807325</t>
  </si>
  <si>
    <t>MAGIC DRI BLUE LARGE 10S</t>
  </si>
  <si>
    <t>4806500807356</t>
  </si>
  <si>
    <t>MAGIC DRI BLUE LARGE 30PCS+4FREE</t>
  </si>
  <si>
    <t>4806500806311</t>
  </si>
  <si>
    <t>MAGIC DRI BLUE LARGE 4S</t>
  </si>
  <si>
    <t>4806500807516</t>
  </si>
  <si>
    <t>MAGIC DRI CLOTHLIKE XXL 4S</t>
  </si>
  <si>
    <t>4806500807226</t>
  </si>
  <si>
    <t>MAGIC DRI GREEN MEDIUM 10S</t>
  </si>
  <si>
    <t>4806500807257</t>
  </si>
  <si>
    <t>MAGIC DRI GREEN MEDIUM 30PCS+4FREE</t>
  </si>
  <si>
    <t>4806500806212</t>
  </si>
  <si>
    <t>MAGIC DRI GREEN MEDIUM 4S</t>
  </si>
  <si>
    <t>4806500807028</t>
  </si>
  <si>
    <t>MAGIC DRI ORANGE XXL 10S</t>
  </si>
  <si>
    <t>4806500807554</t>
  </si>
  <si>
    <t>MAGIC DRI ORANGE XXL 30PCS+4FREE</t>
  </si>
  <si>
    <t>4806500807561</t>
  </si>
  <si>
    <t>MAGIC DRI ORANGE XXL 45PCS+6FREE</t>
  </si>
  <si>
    <t>4806500807424</t>
  </si>
  <si>
    <t>MAGIC DRI PINK XL 10S</t>
  </si>
  <si>
    <t>4806500807455</t>
  </si>
  <si>
    <t>MAGIC DRI PINK XL 30PCS+4FREE</t>
  </si>
  <si>
    <t>4806500806410</t>
  </si>
  <si>
    <t>MAGIC DRI PINK XL 4S</t>
  </si>
  <si>
    <t>4806500807158</t>
  </si>
  <si>
    <t>MAGIC DRI YELLOW NB-SMALL 30PCS+4FREE</t>
  </si>
  <si>
    <t>4806500807127</t>
  </si>
  <si>
    <t>MAGIC DRI YELLOW SMALL 10S</t>
  </si>
  <si>
    <t>4806500807110</t>
  </si>
  <si>
    <t>MAGIC DRI YELLOW SMALL 4S</t>
  </si>
  <si>
    <t>4806500802528</t>
  </si>
  <si>
    <t>MAGIC PANTS PULL-UPS XXL 10S</t>
  </si>
  <si>
    <t>4806500802559</t>
  </si>
  <si>
    <t>MAGIC PANTS PULL-UPS XXL 30S</t>
  </si>
  <si>
    <t>4806789446826</t>
  </si>
  <si>
    <t>MASTER CLEANSER ACTIVE BRIGHTENING 70ML</t>
  </si>
  <si>
    <t>4800888176882</t>
  </si>
  <si>
    <t>MASTER CLEANSER BRIGHTENING PLUS 70ML</t>
  </si>
  <si>
    <t>48038614</t>
  </si>
  <si>
    <t>MASTER CLEANSER OIL CONTROL 70ML</t>
  </si>
  <si>
    <t>4801010327103</t>
  </si>
  <si>
    <t>MODESS ALL NIGHT W/ WINGS 4S</t>
  </si>
  <si>
    <t>4801010342724</t>
  </si>
  <si>
    <t>MODESS REGULAR NON WING 9+1 PADS</t>
  </si>
  <si>
    <t>8850007371397</t>
  </si>
  <si>
    <t>MODESS REGULAR NON-WING 8S</t>
  </si>
  <si>
    <t>8850007371403</t>
  </si>
  <si>
    <t>MODESS REGULAR W/ WINGS 8S</t>
  </si>
  <si>
    <t>4801010342717</t>
  </si>
  <si>
    <t>MODESS REGULAR W/ WINGS 9+1 PADS</t>
  </si>
  <si>
    <t>4806502352953</t>
  </si>
  <si>
    <t xml:space="preserve">NATURALE TISSUE PCF 800S </t>
  </si>
  <si>
    <t>4801010333913</t>
  </si>
  <si>
    <t>NEGOSYO PACK (MODESS NW12S+2JBP 25G)</t>
  </si>
  <si>
    <t>4005808324774</t>
  </si>
  <si>
    <t>NIVEA INTENSIVE MOISTURE BODY MILK LOTION 125ML</t>
  </si>
  <si>
    <t>4005808354016</t>
  </si>
  <si>
    <t>NIVEA WHITE &amp; REPAIR UV BODY LOTION 125ML</t>
  </si>
  <si>
    <t>48038379</t>
  </si>
  <si>
    <t>OFF FOR KIDS 6ML</t>
  </si>
  <si>
    <t>1 BUTAS</t>
  </si>
  <si>
    <t>48031813</t>
  </si>
  <si>
    <t>OFF OVERTIME INSECT REPELLENT LOTION 6ML</t>
  </si>
  <si>
    <t>4801234130183</t>
  </si>
  <si>
    <t>OFF OVERTIME LOTION 100ML</t>
  </si>
  <si>
    <t>4902430296847</t>
  </si>
  <si>
    <t>OLAY NATURAL AURA ALL IN ONE RADIANCE DAY CREAM 7.5G</t>
  </si>
  <si>
    <t>4902430349062</t>
  </si>
  <si>
    <t xml:space="preserve">ORAL B TOOTHBRUSH SHINY CLEAN  </t>
  </si>
  <si>
    <t>4808888004594</t>
  </si>
  <si>
    <t>PALMOLIVE BLUE BUY 11 GET 1 FREE</t>
  </si>
  <si>
    <t>4808888004174</t>
  </si>
  <si>
    <t>PALMOLIVE GREEN BUY 11 GET 1 FREE</t>
  </si>
  <si>
    <t>8850006480724</t>
  </si>
  <si>
    <t>PALMOLIVE HEALTHYSHINE 15ML</t>
  </si>
  <si>
    <t>8850006943953</t>
  </si>
  <si>
    <t>PALMOLIVE NATURALS HYDRATING GLOW SOAP BUY 6 GET 1 FREE</t>
  </si>
  <si>
    <t>8850006943960</t>
  </si>
  <si>
    <t>PALMOLIVE NATURALS WHITE SOAP BUY 6 GET 1 FREE</t>
  </si>
  <si>
    <t>8850006943946</t>
  </si>
  <si>
    <t>PALMOLIVE NATURALS WHITE W/ PAPAYA SOAP BUY 6 GET 1 FREE</t>
  </si>
  <si>
    <t>4808888004167</t>
  </si>
  <si>
    <t>PALMOLIVE PINK BUY 11 GET1 FREE</t>
  </si>
  <si>
    <t>8850006493038</t>
  </si>
  <si>
    <t>PALMOLIVE ULTRA SMOOTH 15ML</t>
  </si>
  <si>
    <t>4808888004181</t>
  </si>
  <si>
    <t>PALMOLIVE VIOLET BUY 11 GET 1 FREE</t>
  </si>
  <si>
    <t>4902430698085</t>
  </si>
  <si>
    <t>PANTENE HAIR FALL CONTROL SHAMPOO 12ML</t>
  </si>
  <si>
    <t>4902430634014</t>
  </si>
  <si>
    <t>PANTENE HAIR FALL CONTROL SUPPLEMENT CONDITIONER 13ML</t>
  </si>
  <si>
    <t>4902430698146</t>
  </si>
  <si>
    <t>PANTENE SHAMPOO TOTAL DAMAGE CARE 15ML</t>
  </si>
  <si>
    <t>4902430759960</t>
  </si>
  <si>
    <t>PANTENE SILKY SMOOTH CARE SHAMPOO 12ML</t>
  </si>
  <si>
    <t>4800060084806</t>
  </si>
  <si>
    <t>PURITY COTTON BALLS 140S</t>
  </si>
  <si>
    <t>4800060084905</t>
  </si>
  <si>
    <t>PURITY COTTON BALLS 300S</t>
  </si>
  <si>
    <t>4800060084707</t>
  </si>
  <si>
    <t>PURITY COTTON BALLS 30S</t>
  </si>
  <si>
    <t>DAMAGE</t>
  </si>
  <si>
    <t>4800060008475</t>
  </si>
  <si>
    <t>PURITY COTTON BALLS 50S</t>
  </si>
  <si>
    <t>4800060080709</t>
  </si>
  <si>
    <t>PURITY COTTON BUDS 190+10 TIPS</t>
  </si>
  <si>
    <t>4800060080808</t>
  </si>
  <si>
    <t>PURITY COTTON BUDS 400 TIPS</t>
  </si>
  <si>
    <t>4800060075200</t>
  </si>
  <si>
    <t>PURITY COTTON ROLL 10G</t>
  </si>
  <si>
    <t>4800060075408</t>
  </si>
  <si>
    <t>PURITY COTTON ROLL 45G</t>
  </si>
  <si>
    <t>4800060906313</t>
  </si>
  <si>
    <t>PURITY COTTON ROLL NEGOSYO PACK</t>
  </si>
  <si>
    <t>4800060075507</t>
  </si>
  <si>
    <t>PURITY COTTON ROLLS 90G</t>
  </si>
  <si>
    <t>4800060906184</t>
  </si>
  <si>
    <t>PURITY MINI COTTON BUDS 300S</t>
  </si>
  <si>
    <t>4902430698078</t>
  </si>
  <si>
    <t>REJOICE SHAMPOO FRAGRANT RICH 16ML</t>
  </si>
  <si>
    <t>4902430754767</t>
  </si>
  <si>
    <t>REJOICE SHAMPOO PERFUME SMOOTH 16ML</t>
  </si>
  <si>
    <t>4800888160027</t>
  </si>
  <si>
    <t>REXONA MEN DEO LOTION ICE COOL 3ML</t>
  </si>
  <si>
    <t>4800888143365</t>
  </si>
  <si>
    <t>REXONA MEN DEO-ROLL ON ICE COOL 25ML</t>
  </si>
  <si>
    <t>4800888151117</t>
  </si>
  <si>
    <t>REXONA QUANTUM DRY</t>
  </si>
  <si>
    <t>Expired.</t>
  </si>
  <si>
    <t>1 EXPIRED</t>
  </si>
  <si>
    <t>4800888151100</t>
  </si>
  <si>
    <t>REXONA WOMEN DEO LOTION PASSION 3ML</t>
  </si>
  <si>
    <t>8 EXPIRED</t>
  </si>
  <si>
    <t>4800888158888</t>
  </si>
  <si>
    <t>REXONA WOMEN DEO LOTION POWDER DRY 3ML</t>
  </si>
  <si>
    <t>4800888150608</t>
  </si>
  <si>
    <t>REXONA WOMEN DEO-LOTION SHOWER CLEAN</t>
  </si>
  <si>
    <t>4800888142672</t>
  </si>
  <si>
    <t>REXONA WOMEN DEO-ROLL ON PASSION 25ML</t>
  </si>
  <si>
    <t>4902430160896</t>
  </si>
  <si>
    <t>SAFEGUARD BAR WHITE 130GX3X24</t>
  </si>
  <si>
    <t>4902430159258</t>
  </si>
  <si>
    <t>SAFEGUARD BAR WHITE SANGRIA 3X85G</t>
  </si>
  <si>
    <t>4902430373241</t>
  </si>
  <si>
    <t>SAFEGUARD BODY WASH 200ML</t>
  </si>
  <si>
    <t>EXPIRED DEC 2023</t>
  </si>
  <si>
    <t>4902430674034</t>
  </si>
  <si>
    <t>SAFEGUARD FLORAL PINK SAVING PACK 175G</t>
  </si>
  <si>
    <t>4902430935616</t>
  </si>
  <si>
    <t>SAFEGUARD FLORAL PINK W/ ALOE 130G</t>
  </si>
  <si>
    <t>4902430184298</t>
  </si>
  <si>
    <t>SAFEGUARD FLORAL PINK W/ ALOE 3X 85G</t>
  </si>
  <si>
    <t>4902430495141</t>
  </si>
  <si>
    <t>SAFEGUARD FLORAL PINK W/ ALOE 90G</t>
  </si>
  <si>
    <t>4902430750547</t>
  </si>
  <si>
    <t>SAFEGUARD FRESH GREEN 3X175G</t>
  </si>
  <si>
    <t>4902430897464</t>
  </si>
  <si>
    <t>SAFEGUARD HAND SANITIZER 50ML</t>
  </si>
  <si>
    <t>Expired 1/5/2024</t>
  </si>
  <si>
    <t>4902430381772</t>
  </si>
  <si>
    <t>SAFEGUARD IVORY WHITE CARE 60G</t>
  </si>
  <si>
    <t>4902430803694</t>
  </si>
  <si>
    <t xml:space="preserve">SAFEGUARD LEMON FRESH </t>
  </si>
  <si>
    <t>4902430858540</t>
  </si>
  <si>
    <t>SAFEGUARD LEMON FRESH 3X130G</t>
  </si>
  <si>
    <t>4902430803717</t>
  </si>
  <si>
    <t>SAFEGUARD LEMON FRESH 3X85G</t>
  </si>
  <si>
    <t>4902430934800</t>
  </si>
  <si>
    <t>SAFEGUARD PURE WHITE 130G</t>
  </si>
  <si>
    <t>4902430222891</t>
  </si>
  <si>
    <t>SAFEGUARD PURE WHITE SUPER SAVINGS PACK 175G</t>
  </si>
  <si>
    <t>4902430951357</t>
  </si>
  <si>
    <t>SAFEGUARD SOAP BAR FLORAL PINK 60G</t>
  </si>
  <si>
    <t>4902430945554</t>
  </si>
  <si>
    <t>SAFEGUARD SOAP BAR PURE WHITE 60G</t>
  </si>
  <si>
    <t>4902430495073</t>
  </si>
  <si>
    <t>SAFEGUARD SOAP BAR PURE WHITE BOX 90G</t>
  </si>
  <si>
    <t>4987176026750</t>
  </si>
  <si>
    <t>SAFEGUARD WHITE 90G</t>
  </si>
  <si>
    <t>4987176220653</t>
  </si>
  <si>
    <t>SAFEGUARD WHITE CAMELLIA 55G</t>
  </si>
  <si>
    <t>8935196503122</t>
  </si>
  <si>
    <t>SALONPAS 10 PATCHES</t>
  </si>
  <si>
    <t>4806502350546</t>
  </si>
  <si>
    <t>SANICARE 12R 600SHTS 3PLY</t>
  </si>
  <si>
    <t>4806502352397</t>
  </si>
  <si>
    <t>SANICARE CLEANSING WIPES 15S</t>
  </si>
  <si>
    <t>4806507832214</t>
  </si>
  <si>
    <t>SILKA GREEN PAPAYA 65G</t>
  </si>
  <si>
    <t>4806507832481</t>
  </si>
  <si>
    <t>SILKA PAPAYA 65G</t>
  </si>
  <si>
    <t>4806506318849</t>
  </si>
  <si>
    <t>SISTERS 8PADS DAY MAXI REGULAR FLOW NON-WINGS</t>
  </si>
  <si>
    <t>4806506318832</t>
  </si>
  <si>
    <t>SISTERS 8PADS DAY MAXI REGULAR FLOW W/ WINGS</t>
  </si>
  <si>
    <t>4806506318856</t>
  </si>
  <si>
    <t>SISTERS 8PADS NIGHT PLUS HEAVY FLOW W/ WINGS</t>
  </si>
  <si>
    <t>4806506318818</t>
  </si>
  <si>
    <t>SISTERS BUDGET PACK W/ WINGS 12 PADS</t>
  </si>
  <si>
    <t>W/ 11 PADS OTC</t>
  </si>
  <si>
    <t>4806506318955</t>
  </si>
  <si>
    <t>SISTERS DAY MAXI W/O WINGS 8 PADS</t>
  </si>
  <si>
    <t>4806506318863</t>
  </si>
  <si>
    <t>SISTERS NIGHT PLUS W/ WINGS 8+1 PAD</t>
  </si>
  <si>
    <t>4806506318900</t>
  </si>
  <si>
    <t>SISTERS OVERNIGHT DRY W/ WINGS 4+1PAD</t>
  </si>
  <si>
    <t>4806506318917</t>
  </si>
  <si>
    <t>SISTERS PANTYLINERS 20+2 LINERS</t>
  </si>
  <si>
    <t>4806506318870</t>
  </si>
  <si>
    <t>SISTERS PANTYLINERS 8LINERS</t>
  </si>
  <si>
    <t>4806506318764</t>
  </si>
  <si>
    <t>SISTERS PANTYLINERS MEGA PACK 36+4LINERS</t>
  </si>
  <si>
    <t>4806506318894</t>
  </si>
  <si>
    <t>SISTERS SULIT PACK 12PADS SILK FLOSS NO WINGS</t>
  </si>
  <si>
    <t>W/6 PADS OTC</t>
  </si>
  <si>
    <t>4806506311079</t>
  </si>
  <si>
    <t>SISTERS SULIT SAVINGS PACK</t>
  </si>
  <si>
    <t>4806506318887</t>
  </si>
  <si>
    <t>SISTERS ULTRA THIN 6 PADS</t>
  </si>
  <si>
    <t>4800119221107</t>
  </si>
  <si>
    <t>SKIN WHITE PAPAYA MILK SPF10 200ML</t>
  </si>
  <si>
    <t>4800119221091</t>
  </si>
  <si>
    <t>SKIN WHITE WHITENING LOTION PAPAYA MILK SPF 10 100ML</t>
  </si>
  <si>
    <t>4800888194268</t>
  </si>
  <si>
    <t>SUNSILK GREEN (11+1)</t>
  </si>
  <si>
    <t>4800888169709</t>
  </si>
  <si>
    <t>SUNSILK GREEN 15ML</t>
  </si>
  <si>
    <t>4800888207234</t>
  </si>
  <si>
    <t>SUNSILK PINK (11+1)</t>
  </si>
  <si>
    <t>4800888169716</t>
  </si>
  <si>
    <t>SUNSILK PINK 15ML</t>
  </si>
  <si>
    <t>4800888209634</t>
  </si>
  <si>
    <t>SUNSILK SHAMPOO COCONUT HYDRATION 11ML</t>
  </si>
  <si>
    <t>4800888214133</t>
  </si>
  <si>
    <t>SUNSILK SHAMPOO SAKURA &amp; RASPBERRY RADIANCE 11ML</t>
  </si>
  <si>
    <t>4800888209658</t>
  </si>
  <si>
    <t>SUNSILK SHAMPOO WATERMELON FRESHNESS 11ML</t>
  </si>
  <si>
    <t>8850006593356</t>
  </si>
  <si>
    <t>TC SAKURA SCENT WHITE 100G</t>
  </si>
  <si>
    <t>8850006590348</t>
  </si>
  <si>
    <t>TENDER CARE BABY POWDER CLASSIC MILD 100G</t>
  </si>
  <si>
    <t>8850006590355</t>
  </si>
  <si>
    <t>TENDER CARE BABY POWDER CLASSIC MILD 50G</t>
  </si>
  <si>
    <t>8850006590362</t>
  </si>
  <si>
    <t>TENDER CARE BABY POWDER PINK SOFT 100G</t>
  </si>
  <si>
    <t>8850006590379</t>
  </si>
  <si>
    <t>TENDER CARE BABY POWDER PINK SOFT 50G</t>
  </si>
  <si>
    <t>4800012211482</t>
  </si>
  <si>
    <t>TILES &amp; BOWL CLEANER 250ML</t>
  </si>
  <si>
    <t>4806502359228</t>
  </si>
  <si>
    <t>TISYU CORELESS 10S 30G</t>
  </si>
  <si>
    <t>4800888206084</t>
  </si>
  <si>
    <t>TRI-KERATIN REP SHINE 10ML</t>
  </si>
  <si>
    <t>4806506315541</t>
  </si>
  <si>
    <t>TWINS LAMPEIN L 15+1</t>
  </si>
  <si>
    <t>4806506315534</t>
  </si>
  <si>
    <t>TWINS LAMPEIN PANTS MEDIUM 15S+1</t>
  </si>
  <si>
    <t>4806506315565</t>
  </si>
  <si>
    <t>TWINS LAMPEIN PANTS XXL 15S+1</t>
  </si>
  <si>
    <t>4806506315527</t>
  </si>
  <si>
    <t>TWINS LAMPEIN PANTS XXXL 15S+1</t>
  </si>
  <si>
    <t>4806519892312</t>
  </si>
  <si>
    <t>UNI KERATIN BRAZILIAN HAIR TREATMENT COLLAGEN 20G 11+1</t>
  </si>
  <si>
    <t>4806519891261</t>
  </si>
  <si>
    <t>UNI KERATIN BRAZILIAN HAIR TREATMENT GOLD 20G 11+1</t>
  </si>
  <si>
    <t>4806519890981</t>
  </si>
  <si>
    <t>UNI KERATIN DETOX &amp; NOURISH GOLD 20G</t>
  </si>
  <si>
    <t>4806519891551</t>
  </si>
  <si>
    <t>UNI KERATIN GOLD BRAZILIAN DETOX &amp; NOURISH SHAMPOO</t>
  </si>
  <si>
    <t>4806519890530</t>
  </si>
  <si>
    <t>UNI KERATIN HAIR REBORN TREATMENT ALOE VERA 20G</t>
  </si>
  <si>
    <t>4806519890554</t>
  </si>
  <si>
    <t>UNI KERATIN MOROCCO ORGAN OIL 20G</t>
  </si>
  <si>
    <t>4806519890233</t>
  </si>
  <si>
    <t>UNI KOJIC WHITENING BEAUTY SOAP TWINPACK 90GX2</t>
  </si>
  <si>
    <t>4800888158475</t>
  </si>
  <si>
    <t>VASELINE SOFT &amp; SMOOTH 16ML</t>
  </si>
  <si>
    <t>4987176600769</t>
  </si>
  <si>
    <t>VICKS VAPORUB CAMPHOR MINI PACK 5G</t>
  </si>
  <si>
    <t>4987176600776</t>
  </si>
  <si>
    <t>VICKS VAPORUB POCKET PACK 10G</t>
  </si>
  <si>
    <t>4800888250438</t>
  </si>
  <si>
    <t>VITAKERATIN BRAZILIAN STRAIGHT 24ML 11+1</t>
  </si>
  <si>
    <t>4800888230485</t>
  </si>
  <si>
    <t>VITAKERATIN COLOR SHINE 24ML</t>
  </si>
  <si>
    <t>4800888230461</t>
  </si>
  <si>
    <t>VITAKERATIN DEEP REPAIR 24ML</t>
  </si>
  <si>
    <t>4800045410316</t>
  </si>
  <si>
    <t>WHITE ROSE KOJIC WHITENING SOAP 60G</t>
  </si>
  <si>
    <t>HOUSEHOLD ITEMS</t>
  </si>
  <si>
    <t>4809014971230</t>
  </si>
  <si>
    <t>ACTIVE LYSOL 250ML</t>
  </si>
  <si>
    <t>4800603124044</t>
  </si>
  <si>
    <t>ACTIVE LYSOL 500ML</t>
  </si>
  <si>
    <t>888123456781619</t>
  </si>
  <si>
    <t>ADVANCE POLISHING CAKE ALL PURPOSE CLEANER</t>
  </si>
  <si>
    <t>4800067600665</t>
  </si>
  <si>
    <t>ALBATROS JASMINE 100G</t>
  </si>
  <si>
    <t>4800067600658</t>
  </si>
  <si>
    <t>ALBATROSS APPLE 100G</t>
  </si>
  <si>
    <t>4800067600511</t>
  </si>
  <si>
    <t>ALBATROSS APPLE 50G</t>
  </si>
  <si>
    <t>4800067600139</t>
  </si>
  <si>
    <t>ALBATROSS APPLE REFILL 50G</t>
  </si>
  <si>
    <t>4800067600481</t>
  </si>
  <si>
    <t>ALBATROSS JASMINE 50G</t>
  </si>
  <si>
    <t>4800067600351</t>
  </si>
  <si>
    <t>ALBATROSS KIWI REFILL 100G</t>
  </si>
  <si>
    <t>4800067600191</t>
  </si>
  <si>
    <t>ALBATROSS KIWI REFILL 50G</t>
  </si>
  <si>
    <t>4800067600702</t>
  </si>
  <si>
    <t>ALBATROSS LEMON 100G</t>
  </si>
  <si>
    <t>4800067600542</t>
  </si>
  <si>
    <t>ALBATROSS LEMON 50G</t>
  </si>
  <si>
    <t>4800067600108</t>
  </si>
  <si>
    <t>ALBATROSS LEMON REFILL 50G</t>
  </si>
  <si>
    <t>4800067608159</t>
  </si>
  <si>
    <t>ALBATROSS MELON 100G</t>
  </si>
  <si>
    <t>4800067608074</t>
  </si>
  <si>
    <t>ALBATROSS MELON 50G</t>
  </si>
  <si>
    <t>4800067600726</t>
  </si>
  <si>
    <t>ALBATROSS SAMBA 100G</t>
  </si>
  <si>
    <t>4800067600184</t>
  </si>
  <si>
    <t>ALBATROSS SAMBA 50G</t>
  </si>
  <si>
    <t>4800067600566</t>
  </si>
  <si>
    <t>4800067600740</t>
  </si>
  <si>
    <t>ALBATROSS SAMPAGUITA 100G</t>
  </si>
  <si>
    <t>4800067600580</t>
  </si>
  <si>
    <t>ALBATROSS SAMPAGUITA 50G</t>
  </si>
  <si>
    <t>4800067600405</t>
  </si>
  <si>
    <t>ALBATROSS SAMPAGUITA REFILL 100G</t>
  </si>
  <si>
    <t>4800067600283</t>
  </si>
  <si>
    <t>ALBATROSS SAMPAGUITA REFILL 50G</t>
  </si>
  <si>
    <t>4800067600764</t>
  </si>
  <si>
    <t>ALBATROSS STRAWBERRY 100G</t>
  </si>
  <si>
    <t>4800067600603</t>
  </si>
  <si>
    <t>ALBATROSS STRAWBERRY 50G</t>
  </si>
  <si>
    <t>4800067608654</t>
  </si>
  <si>
    <t>ALBATROSS SWEET MARMALADE REFILL 50G</t>
  </si>
  <si>
    <t>4987176116833</t>
  </si>
  <si>
    <t>ARIEL POWDER SUNRISE FRESH 100G TRIPID PACK</t>
  </si>
  <si>
    <t>4902430473521</t>
  </si>
  <si>
    <t>ARIEL POWDER SUNRISE FRESH 1410G</t>
  </si>
  <si>
    <t>MATIGAS</t>
  </si>
  <si>
    <t>4902430583169</t>
  </si>
  <si>
    <t>ARIEL POWDER SUNRISE FRESH 70G</t>
  </si>
  <si>
    <t>4902430583183</t>
  </si>
  <si>
    <t>ARIEL W/ DOWNY FLORAL PASSION 68G</t>
  </si>
  <si>
    <t>4987176116635</t>
  </si>
  <si>
    <t>ARIEL W/ DOWNY FLORAL PASSION TRIPID PACK</t>
  </si>
  <si>
    <t>4987176067029</t>
  </si>
  <si>
    <t>ARIEL WITH DOWNY + FRESH GARDEN BLOOM 70G</t>
  </si>
  <si>
    <t>5020144226734</t>
  </si>
  <si>
    <t>ARMOR ALL GLASS CLEANER 500ML</t>
  </si>
  <si>
    <t>4801234134426</t>
  </si>
  <si>
    <t>BAYGON MOSQUITO COIL SCENTED 12 COILS</t>
  </si>
  <si>
    <t>4801234108021</t>
  </si>
  <si>
    <t>BAYGON MULTI INSECT KILLER KILLING ACTION 500ML</t>
  </si>
  <si>
    <t>4801234107727</t>
  </si>
  <si>
    <t>BAYGON MULTI INSECT KILLER ODORLESS 500ML</t>
  </si>
  <si>
    <t>4801234108229</t>
  </si>
  <si>
    <t>BAYGON MULTI INSECT KILLER WATERBASED 500ML</t>
  </si>
  <si>
    <t>4801234107826</t>
  </si>
  <si>
    <t>BAYGON PROTECTOR 500ML</t>
  </si>
  <si>
    <t>00012</t>
  </si>
  <si>
    <t xml:space="preserve">BILAO #12	</t>
  </si>
  <si>
    <t>00014</t>
  </si>
  <si>
    <t xml:space="preserve">BILAO #14	</t>
  </si>
  <si>
    <t>888123456781864</t>
  </si>
  <si>
    <t>BONG BLUE BABAD 4L</t>
  </si>
  <si>
    <t>4800888207197</t>
  </si>
  <si>
    <t>BREEZE POWDER ACTIVBLEACH 70G 6+1</t>
  </si>
  <si>
    <t>4800888202765</t>
  </si>
  <si>
    <t>BREEZE POWDER ROSE GOLD PERFUME 66G</t>
  </si>
  <si>
    <t>4800888208651</t>
  </si>
  <si>
    <t>BREEZE POWDER ROSE GOLD PERFUME 66G 6+1</t>
  </si>
  <si>
    <t>4806501709239</t>
  </si>
  <si>
    <t>CALLA POWDER W/ FABCON KALAMANSI MAGIC 45G</t>
  </si>
  <si>
    <t>4806501709352</t>
  </si>
  <si>
    <t>CALLA POWDER W/ FABCON ROSE GARDEN 45G</t>
  </si>
  <si>
    <t>4806501709307</t>
  </si>
  <si>
    <t>CALLA POWDER W/ FABCON SUMMER FRESH 45G</t>
  </si>
  <si>
    <t>4806501707105</t>
  </si>
  <si>
    <t>CHAMPION BAR BLUE ORIGINAL 370G</t>
  </si>
  <si>
    <t>4806501707136</t>
  </si>
  <si>
    <t>CHAMPION BAR CITRUS FRESH 370G</t>
  </si>
  <si>
    <t>4806501707273</t>
  </si>
  <si>
    <t>CHAMPION BAR SUNNY FRESH SCENT 370G</t>
  </si>
  <si>
    <t>4806501707112</t>
  </si>
  <si>
    <t>CHAMPION BAR SUPRA CLEAN 370G</t>
  </si>
  <si>
    <t>4806501707143</t>
  </si>
  <si>
    <t>CHAMPION BAR W/ FABCON FLORAL SCENT 370G</t>
  </si>
  <si>
    <t>4806501705309</t>
  </si>
  <si>
    <t>CHAMPION CITRUS FRESH DETERGENT POWDER 40G</t>
  </si>
  <si>
    <t>EXPIRED JAN 2025</t>
  </si>
  <si>
    <t>4806501708300</t>
  </si>
  <si>
    <t>CHAMPION FABRICON BLUE SERENITY 28ML</t>
  </si>
  <si>
    <t>4806501708508</t>
  </si>
  <si>
    <t>CHAMPION FABRICON FRESH DAY 28ML</t>
  </si>
  <si>
    <t>4806501708102</t>
  </si>
  <si>
    <t>CHAMPION FABRICON PINK FRESH 28ML</t>
  </si>
  <si>
    <t>4806501705002</t>
  </si>
  <si>
    <t>CHAMPION SUPRA CLEAN DETERGENT POWDER 40G</t>
  </si>
  <si>
    <t>4806501703503</t>
  </si>
  <si>
    <t>CHAMPION TODO TIPID PACK WHITE 130G</t>
  </si>
  <si>
    <t>4806502164112</t>
  </si>
  <si>
    <t>CHEERS PLATE 6PCS</t>
  </si>
  <si>
    <t>4806502161357</t>
  </si>
  <si>
    <t>CHEERS TRASH BAGS MEDIUM 10S</t>
  </si>
  <si>
    <t>4806502161340</t>
  </si>
  <si>
    <t>CHEERS TRASH BAGS SMALL 10S</t>
  </si>
  <si>
    <t>888123456781025</t>
  </si>
  <si>
    <t>CONCRETE NEUTRALIZER 500ML</t>
  </si>
  <si>
    <t>4800034042610</t>
  </si>
  <si>
    <t>DAZZ DISWASHING PASTE CALAMANSI 200G</t>
  </si>
  <si>
    <t>4800047841040</t>
  </si>
  <si>
    <t>DEL FABCON BLOSSOM RUSH 22ML</t>
  </si>
  <si>
    <t>4800047841378</t>
  </si>
  <si>
    <t>DEL FABCON LAVENDER BREEZE 22ML</t>
  </si>
  <si>
    <t>4800047847271</t>
  </si>
  <si>
    <t>DEL FOREVER JOY FABRIC SOFTENER 26ML</t>
  </si>
  <si>
    <t>4800047847240</t>
  </si>
  <si>
    <t>DEL FOREVER LOVE FABRIC SOFTENER 26ML</t>
  </si>
  <si>
    <t>4800047847356</t>
  </si>
  <si>
    <t>DEL GENTLE PROTECT FABRIC SOFTENER 26ML</t>
  </si>
  <si>
    <t>4902430346184</t>
  </si>
  <si>
    <t>DOWNY ANTIBAC 40ML</t>
  </si>
  <si>
    <t>4902430344876</t>
  </si>
  <si>
    <t>DOWNY ANTIBAC SAFEGUARD 25ML</t>
  </si>
  <si>
    <t>4902430424264</t>
  </si>
  <si>
    <t>DOWNY ANTIBAC TRIPID PACK 63ML</t>
  </si>
  <si>
    <t>4902430873703</t>
  </si>
  <si>
    <t>DOWNY EXPERT KONTRA KULOB 23ML</t>
  </si>
  <si>
    <t>4902430627528</t>
  </si>
  <si>
    <t>DOWNY FABRIC ANTIBAC 690ML</t>
  </si>
  <si>
    <t>4902430452779</t>
  </si>
  <si>
    <t>DOWNY GARDEN BLOOM 800ML</t>
  </si>
  <si>
    <t>4902430513074</t>
  </si>
  <si>
    <t>DOWNY GARDEN BLOOM TRIPID PACK 66ML</t>
  </si>
  <si>
    <t>4902430729925</t>
  </si>
  <si>
    <t>DOWNY PARFUM COLL MYSTIQUE 20ML</t>
  </si>
  <si>
    <t>4902430729901</t>
  </si>
  <si>
    <t>DOWNY PARFUM COLL PASSION 20ML</t>
  </si>
  <si>
    <t>4902430622080</t>
  </si>
  <si>
    <t>DOWNY PARFUM PASSION 760ML</t>
  </si>
  <si>
    <t>4902430401845</t>
  </si>
  <si>
    <t>DOWNY SUNRISE FRESH 25ML</t>
  </si>
  <si>
    <t>4902430453028</t>
  </si>
  <si>
    <t>DOWNY SUNRISE FRESH 800ML</t>
  </si>
  <si>
    <t>4902430513081</t>
  </si>
  <si>
    <t>DOWNY SUNRISE FRESH TRIPID PACK 66ML</t>
  </si>
  <si>
    <t>9555222610670</t>
  </si>
  <si>
    <t>FAMILY GUARD DISINFECTANT FRAGRANCE FREE 155ML</t>
  </si>
  <si>
    <t>FAMILY GUARD DISINFECTANT FRAGRANCE FREE 280ML</t>
  </si>
  <si>
    <t>4800047865282</t>
  </si>
  <si>
    <t>GC MOIST PROTECTION BAR AQUA CLEAN 125G</t>
  </si>
  <si>
    <t>4800047863134</t>
  </si>
  <si>
    <t>GC MOIST PROTECTION BAR COOL MOUNTAIN 125G</t>
  </si>
  <si>
    <t>4800047865312</t>
  </si>
  <si>
    <t>GC MOIST PROTECTION BAR PAPAYA &amp; HONEY 125G</t>
  </si>
  <si>
    <t>4801234146061</t>
  </si>
  <si>
    <t>GLADE AIR FRESHENER FRESH LEMON VALUE PACK</t>
  </si>
  <si>
    <t>4801234141714</t>
  </si>
  <si>
    <t>GLADE AIR FRESHENER MORNING FRESHNESS 320ML</t>
  </si>
  <si>
    <t>4801234061418</t>
  </si>
  <si>
    <t>GLADE AIR FRESHENER ORANGE SQUEEZE 262G</t>
  </si>
  <si>
    <t>9555222605904</t>
  </si>
  <si>
    <t>GLADE AIR FRESHENER PEONY AND BERRY BLISS 320ML</t>
  </si>
  <si>
    <t>9555222601463</t>
  </si>
  <si>
    <t>GLADE AIR FRESHENER WILD LAVENDER 320ML</t>
  </si>
  <si>
    <t>9555222605072</t>
  </si>
  <si>
    <t>GLADE SENSATIONS REFILLS-OCEAN ESCAPE 8G</t>
  </si>
  <si>
    <t>4801234146085</t>
  </si>
  <si>
    <t>GLADE SG LAVENDER 180G VALUE PACK</t>
  </si>
  <si>
    <t>9555222610038</t>
  </si>
  <si>
    <t>GLADE SG OCEAN ESCAPE 180G VALUE PACK</t>
  </si>
  <si>
    <t>4800067601723</t>
  </si>
  <si>
    <t>GLEAM MURIATIC ACID 250ML</t>
  </si>
  <si>
    <t>expired apr 2024</t>
  </si>
  <si>
    <t>4800067601747</t>
  </si>
  <si>
    <t>GLEAM MURIATIC ACID 500ML</t>
  </si>
  <si>
    <t>4800314009708</t>
  </si>
  <si>
    <t>HEAVY DUTY SCRUBBING PAD MINI</t>
  </si>
  <si>
    <t>4806502359440</t>
  </si>
  <si>
    <t>JADE VALUE TABLE NAPKINS 1000S</t>
  </si>
  <si>
    <t>4902430389556</t>
  </si>
  <si>
    <t>JOY DISHWASHING LIQUID ANTIBAC 36ML</t>
  </si>
  <si>
    <t>4902430434393</t>
  </si>
  <si>
    <t>JOY DISHWASHING LIQUID KALAMANSI 18.5ML</t>
  </si>
  <si>
    <t>4902430468732</t>
  </si>
  <si>
    <t>JOY DISHWASHING LIQUID KALAMANSI 540ML</t>
  </si>
  <si>
    <t>4902430389570</t>
  </si>
  <si>
    <t>JOY DISHWASHING LIQUID LEMON 18.5ML</t>
  </si>
  <si>
    <t>4902430389532</t>
  </si>
  <si>
    <t>JOY KALAMANSI 40ML</t>
  </si>
  <si>
    <t>4902430389563</t>
  </si>
  <si>
    <t>JOY LEMON 40ML</t>
  </si>
  <si>
    <t>4902430389549</t>
  </si>
  <si>
    <t>JOY SAFEGUARD ANTIBAC 17ML</t>
  </si>
  <si>
    <t>4801234014421</t>
  </si>
  <si>
    <t>KIWI BROWN CREAM SACHET 5ML</t>
  </si>
  <si>
    <t>4801002036242</t>
  </si>
  <si>
    <t>LYSOL ANTI-BACTERIAL HAND SOAP FRESH 225ML</t>
  </si>
  <si>
    <t>888123456781919</t>
  </si>
  <si>
    <t>LYSOL DS FRESH BLOSSOM BUY 1 TAKE 1</t>
  </si>
  <si>
    <t>4809015059012</t>
  </si>
  <si>
    <t>MAXGLOW GREEN 1L</t>
  </si>
  <si>
    <t>6925162500158</t>
  </si>
  <si>
    <t>MOUSE TRAP</t>
  </si>
  <si>
    <t>888123456781692</t>
  </si>
  <si>
    <t>MULTI SURFACE CLEANER &amp; DISINFECTANT APPLE GREEN</t>
  </si>
  <si>
    <t>EXPIRED  JULY 2022</t>
  </si>
  <si>
    <t>4809014971087</t>
  </si>
  <si>
    <t>MURIATIC ACID COMMERCIAL 1L</t>
  </si>
  <si>
    <t>4809014971025</t>
  </si>
  <si>
    <t>MURIATIC ACID PURE 1L</t>
  </si>
  <si>
    <t>4800374032135</t>
  </si>
  <si>
    <t>PIONEER MIGHTY BOND 1G</t>
  </si>
  <si>
    <t>4801234056728</t>
  </si>
  <si>
    <t>PLEDGE LEMON 330ML</t>
  </si>
  <si>
    <t>4801234051235</t>
  </si>
  <si>
    <t>PLEDGE ORANGE ENHANCING POLISH 330ML</t>
  </si>
  <si>
    <t>2</t>
  </si>
  <si>
    <t>PR GAZ</t>
  </si>
  <si>
    <t>4902430803724</t>
  </si>
  <si>
    <t>SAFEGUARD BAR LEMON 135G</t>
  </si>
  <si>
    <t>4800314010124</t>
  </si>
  <si>
    <t xml:space="preserve">SCOTCH BRITE STAINLESS STEEL </t>
  </si>
  <si>
    <t>4800314007926</t>
  </si>
  <si>
    <t>SCOTCH BRITE STAINLESS STEEL REGULAR</t>
  </si>
  <si>
    <t>4800314093813</t>
  </si>
  <si>
    <t>SCOTCH BRITE TOUGH CLEAN SCRUB SPONGE 3 PACK</t>
  </si>
  <si>
    <t>4800314000118</t>
  </si>
  <si>
    <t>SCOTH BRITE HEAVY DUTY SCRUB SPONGE TRIAL W/ MULTI-PURPOSE SPONGE TRIAL</t>
  </si>
  <si>
    <t>888123456781481</t>
  </si>
  <si>
    <t>SET PR GAZ STOVE</t>
  </si>
  <si>
    <t>4806020440576</t>
  </si>
  <si>
    <t>SPEED BABAD FRESH ROSES POWDER 55G</t>
  </si>
  <si>
    <t>4806020456355</t>
  </si>
  <si>
    <t>SPEED BABAD KALAMANSI POWDER 55G</t>
  </si>
  <si>
    <t>4806020440187</t>
  </si>
  <si>
    <t>SPEED BABAD POWER WHITETENER POWDER 55G</t>
  </si>
  <si>
    <t>4806020456362</t>
  </si>
  <si>
    <t>SPEED BABAD SUN FLOWER BURST POWDER 55G</t>
  </si>
  <si>
    <t>888123456781882</t>
  </si>
  <si>
    <t>SPEED KALAMANSI POWDER 55G BUY 6 +2FREE</t>
  </si>
  <si>
    <t>BO KUPAS</t>
  </si>
  <si>
    <t>888123456781883</t>
  </si>
  <si>
    <t>SPEED SUN FLOWER BURST POWDER 55G BUY 6 +2FREE</t>
  </si>
  <si>
    <t>4800888136671</t>
  </si>
  <si>
    <t>SURF BAR BLOSSOM FRESH 120G</t>
  </si>
  <si>
    <t>4800888136688</t>
  </si>
  <si>
    <t>SURF BAR BLOSSOM FRESH 380G</t>
  </si>
  <si>
    <t>4800888190970</t>
  </si>
  <si>
    <t>SURF BAR CHERRY BLOSSOM 120G</t>
  </si>
  <si>
    <t>4800888190987</t>
  </si>
  <si>
    <t>SURF BAR CHERRY BLOSSOM 380G</t>
  </si>
  <si>
    <t>4800888136749</t>
  </si>
  <si>
    <t>SURF BAR OXYBUBBLES KALAMANSI 380G</t>
  </si>
  <si>
    <t>4800888136770</t>
  </si>
  <si>
    <t>SURF BAR SUN FRESH 120G</t>
  </si>
  <si>
    <t>4800888157614</t>
  </si>
  <si>
    <t>SURF FABCON BLOSSOM FRESH 25ML</t>
  </si>
  <si>
    <t>8934868139362</t>
  </si>
  <si>
    <t>SURF FABCON CHARCOAL FRESH 25ML</t>
  </si>
  <si>
    <t>8934868094982</t>
  </si>
  <si>
    <t>SURF FABCON FRENCH PERFUME 25ML</t>
  </si>
  <si>
    <t>8934868110170</t>
  </si>
  <si>
    <t>SURF FABCON LUXE PERFUME 25ML</t>
  </si>
  <si>
    <t>4800888287984</t>
  </si>
  <si>
    <t>SURF FABCON LUXE PERFUME 28ML BUY 5 GET 1 FREE</t>
  </si>
  <si>
    <t>8934868125211</t>
  </si>
  <si>
    <t>SURF FABCON MAGICAL BLOOM 28ML</t>
  </si>
  <si>
    <t>4800888151834</t>
  </si>
  <si>
    <t>SURF FABCON TAWAS 61G</t>
  </si>
  <si>
    <t>8934868139393</t>
  </si>
  <si>
    <t>SURF FABCON W/ MINT EXTRACT 25ML</t>
  </si>
  <si>
    <t>4800888218940</t>
  </si>
  <si>
    <t>SURF POWDER ANTIBACTERIAL 60G</t>
  </si>
  <si>
    <t>4800888189806</t>
  </si>
  <si>
    <t>SURF POWDER CHERRY BLOSSOM 57G</t>
  </si>
  <si>
    <t>4800888221056</t>
  </si>
  <si>
    <t>SURF POWDER CHERRY BLOSSOM 6+1</t>
  </si>
  <si>
    <t>4800888151827</t>
  </si>
  <si>
    <t>SURF POWDER KALAMANSI 61G</t>
  </si>
  <si>
    <t>4800888199133</t>
  </si>
  <si>
    <t>SURF POWDER PURPLE BLOSSOMS 57G</t>
  </si>
  <si>
    <t>4800888221049</t>
  </si>
  <si>
    <t>SURF POWDER ROSE FRESH 6+1</t>
  </si>
  <si>
    <t>4800888183804</t>
  </si>
  <si>
    <t>SURF POWDER ROSE FRESH 70G</t>
  </si>
  <si>
    <t>4800888151841</t>
  </si>
  <si>
    <t>SURF POWDER SUN FRESH 65G</t>
  </si>
  <si>
    <t>4800888218544</t>
  </si>
  <si>
    <t>SURF SUNRISE FRESH YELLOW 6+1 65G</t>
  </si>
  <si>
    <t>4809015002681</t>
  </si>
  <si>
    <t xml:space="preserve">TEMOX CHALK ROACH AND ANT KILLER </t>
  </si>
  <si>
    <t>4809015002773</t>
  </si>
  <si>
    <t>TEMOX MULTI-INSECT KILLER BLUE 100ML</t>
  </si>
  <si>
    <t>4809015002940</t>
  </si>
  <si>
    <t>TEMOX MULTI-INSECT KILLER BLUE 300ML</t>
  </si>
  <si>
    <t>4809015002988</t>
  </si>
  <si>
    <t>TEMOX MULTI-INSECT KILLER BLUE 600ML</t>
  </si>
  <si>
    <t>4809015002957</t>
  </si>
  <si>
    <t>TEMOX MULTI-INSECT KILLER WATER BASED 300ML</t>
  </si>
  <si>
    <t>4809015002995</t>
  </si>
  <si>
    <t>TEMOX MULTI-INSECT KILLER WATER BASED 600ML</t>
  </si>
  <si>
    <t>4902430800846</t>
  </si>
  <si>
    <t>TIDE BAR W/ DOWNY PERFUME FANTASY 130G</t>
  </si>
  <si>
    <t>4902430831406</t>
  </si>
  <si>
    <t>TIDE PERFECT CLEAN ORIGINAL FRESH 74G</t>
  </si>
  <si>
    <t>4902430831161</t>
  </si>
  <si>
    <t>TIDE PERFECT CLEAN W/ DOWNY GARDEN BLOOM 74G</t>
  </si>
  <si>
    <t>4902430831338</t>
  </si>
  <si>
    <t>TIDE PERFECT CLEAN W/ DOWNY PERFUME FANTASY 64G</t>
  </si>
  <si>
    <t>4902430899604</t>
  </si>
  <si>
    <t>TIDE SPARKLING FRESH POWER GEL 60G</t>
  </si>
  <si>
    <t>888123456781722</t>
  </si>
  <si>
    <t>TOP BRIGHT DISWASHING LIQUID ANTIBAC</t>
  </si>
  <si>
    <t>9551007000049</t>
  </si>
  <si>
    <t>TRAP-A-ROACH HOY HOY</t>
  </si>
  <si>
    <t>4803746400013</t>
  </si>
  <si>
    <t>TUFF NATURALS LIQUID LAUNDRY DETERGENT 1000ML</t>
  </si>
  <si>
    <t>EXPIRED DEC 2024</t>
  </si>
  <si>
    <t>4803746332833</t>
  </si>
  <si>
    <t>TUFF TOILET BOWL CLEANSER 1000ML</t>
  </si>
  <si>
    <t>6925419077969</t>
  </si>
  <si>
    <t>WAWANG MOSQUITO COIL 10SPIRALES</t>
  </si>
  <si>
    <t>8998866801928</t>
  </si>
  <si>
    <t>WINGS SOLVE BLOOMING GARDEN 60G</t>
  </si>
  <si>
    <t>8998866801614</t>
  </si>
  <si>
    <t>WINGS SOLVE CALAMANSI CLEAN 65G</t>
  </si>
  <si>
    <t>8998866619967</t>
  </si>
  <si>
    <t>WINGS SOLVE SUMMER SUNSHINE 65G</t>
  </si>
  <si>
    <t>8998866803564</t>
  </si>
  <si>
    <t>WINGS TOTAL CARE LAVENDER DREAM 60G</t>
  </si>
  <si>
    <t>8998866616058</t>
  </si>
  <si>
    <t>WINGS TOTAL CARE SAKURA ESSENCE 60G</t>
  </si>
  <si>
    <t>8998866605076</t>
  </si>
  <si>
    <t>WINGS TOTAL CARE W/ LAUNDRY SANITIZER 60G</t>
  </si>
  <si>
    <t>8998866800808</t>
  </si>
  <si>
    <t>WINGS TOTAL CARE W/ POWER BLEACH 60G</t>
  </si>
  <si>
    <t>4806519893449</t>
  </si>
  <si>
    <t>YEN YEN FABCON BLUE 900ML</t>
  </si>
  <si>
    <t>4800047840043</t>
  </si>
  <si>
    <t>ZONROX BLEACH ORIGINAL 100ML</t>
  </si>
  <si>
    <t>4800047840012</t>
  </si>
  <si>
    <t>ZONROX BLEACH ORIGINAL 1L</t>
  </si>
  <si>
    <t>4800047840036</t>
  </si>
  <si>
    <t>ZONROX BLEACH ORIGINAL 250ML</t>
  </si>
  <si>
    <t>4800047840029</t>
  </si>
  <si>
    <t>ZONROX BLEACH ORIGINAL 500ML</t>
  </si>
  <si>
    <t>4800047840296</t>
  </si>
  <si>
    <t>ZONROX BLEACH SCENTED LEMON 100ML</t>
  </si>
  <si>
    <t>4800047840272</t>
  </si>
  <si>
    <t>ZONROX BLEACH SCENTED LEMON 500ML</t>
  </si>
  <si>
    <t>4800047841729</t>
  </si>
  <si>
    <t>ZONROX COLORSAFE BLEACH BLOSSOM FRESH 225ML</t>
  </si>
  <si>
    <t>4800047841712</t>
  </si>
  <si>
    <t>ZONROX COLORSAFE BLEACH BLOSSOM FRESH 450ML</t>
  </si>
  <si>
    <t>4800047841705</t>
  </si>
  <si>
    <t>ZONROX COLORSAFE BLEACH BLOSSOM FRESH 900ML</t>
  </si>
  <si>
    <t>4800047841781</t>
  </si>
  <si>
    <t>ZONROX COLORSAFE BLEACH BLOSSOM FRESH 95ML</t>
  </si>
  <si>
    <t>4800047847196</t>
  </si>
  <si>
    <t>ZONROX GENTLE CLEAN BLEACH 225ML</t>
  </si>
  <si>
    <t>4800047847219</t>
  </si>
  <si>
    <t>ZONROX GENTLE CLEAN BLEACH 900ML</t>
  </si>
  <si>
    <t>4800047847202</t>
  </si>
  <si>
    <t>ZONROXGENTLE CLEAN BLEACH 450ML</t>
  </si>
  <si>
    <t>CLIENTS PRODUCTS</t>
  </si>
  <si>
    <t>888123456781983</t>
  </si>
  <si>
    <t>AEVA 001</t>
  </si>
  <si>
    <t>888123456781985</t>
  </si>
  <si>
    <t>AEVA 003</t>
  </si>
  <si>
    <t>888123456781986</t>
  </si>
  <si>
    <t>AEVA 004</t>
  </si>
  <si>
    <t>888123456781991</t>
  </si>
  <si>
    <t>AEVA 005 - MINI</t>
  </si>
  <si>
    <t>888123456781992</t>
  </si>
  <si>
    <t>AEVA 006 - W/ DESIGN SMALL</t>
  </si>
  <si>
    <t>888123456781943</t>
  </si>
  <si>
    <t>AURORAS KIT TEA COFFEE PEANUT</t>
  </si>
  <si>
    <t>888123456781941</t>
  </si>
  <si>
    <t>AURORAS KIT TEA HONEY PURO</t>
  </si>
  <si>
    <t>888123456781942</t>
  </si>
  <si>
    <t>AURORAS KIT TEA PEANUT BUTTER CHIA SEED 340G</t>
  </si>
  <si>
    <t>888123456781939</t>
  </si>
  <si>
    <t>AURORAS KIT TEA SUKANG ATSARA</t>
  </si>
  <si>
    <t>888123456781940</t>
  </si>
  <si>
    <t>AURORAS KIT TEA SUKANG SINAMAK</t>
  </si>
  <si>
    <t>0764460243888</t>
  </si>
  <si>
    <t>BIGAS MAIS CORN GRITS 1KL</t>
  </si>
  <si>
    <t>888123456782026</t>
  </si>
  <si>
    <t>BUTCHERON MUSHROOM CHIPS</t>
  </si>
  <si>
    <t>888123456781960</t>
  </si>
  <si>
    <t>CAPINTALAN FOOD PRODUCTS TURMERIC W/ LEMON GRASS 150G</t>
  </si>
  <si>
    <t>CLMA62611-2X-BLKCATN</t>
  </si>
  <si>
    <t>COMPRESSION SHORTS BLACK CATION 2X</t>
  </si>
  <si>
    <t>CLMA62511-S-GRYHBL</t>
  </si>
  <si>
    <t>COMPRESSION SHORTS GRAYISH BLUE S</t>
  </si>
  <si>
    <t>888123456781946</t>
  </si>
  <si>
    <t>DINA CHEESY TART</t>
  </si>
  <si>
    <t>888123456781949</t>
  </si>
  <si>
    <t>DINA CHEWY BROWNIES</t>
  </si>
  <si>
    <t>888123456781948</t>
  </si>
  <si>
    <t>DINA REVEL BAR</t>
  </si>
  <si>
    <t>888123456781947</t>
  </si>
  <si>
    <t>DINA YEMA BALLS</t>
  </si>
  <si>
    <t>888123456781541</t>
  </si>
  <si>
    <t>ECURAS DELICACIES BANANA CHIPS 125G</t>
  </si>
  <si>
    <t>888123456781542</t>
  </si>
  <si>
    <t>ECURAS DELICACIES TARO CHIPS SOUR CREAM 85G</t>
  </si>
  <si>
    <t>888123456781959</t>
  </si>
  <si>
    <t>ECURAS DELICACIES TOASTED PASTILLAS 100G</t>
  </si>
  <si>
    <t>OLFM10113-FLORA-L</t>
  </si>
  <si>
    <t>FEM PANTY IG COTTON PRINTED-FLORA L</t>
  </si>
  <si>
    <t>OLFM10113-FLORA-M</t>
  </si>
  <si>
    <t>FEM PANTY IG COTTON PRINTED-FLORA M</t>
  </si>
  <si>
    <t>OLFM10113-FLORA-S</t>
  </si>
  <si>
    <t>FEM PANTY IG COTTON PRINTED-FLORA S</t>
  </si>
  <si>
    <t>OLFM10113-FLORA-XL</t>
  </si>
  <si>
    <t>FEM PANTY IG COTTON PRINTED-FLORA XL</t>
  </si>
  <si>
    <t>OLFM10313-AVAH-2X</t>
  </si>
  <si>
    <t>FEM PANTY OG BIKINI HIPSTER COTTON PLAIN-AVAH 2X</t>
  </si>
  <si>
    <t>OLFM10313-AVAH-L</t>
  </si>
  <si>
    <t>FEM PANTY OG BIKINI HIPSTER COTTON PLAIN-AVAH L</t>
  </si>
  <si>
    <t>OLFM10313-AVAH-M</t>
  </si>
  <si>
    <t>FEM PANTY OG BIKINI HIPSTER COTTON PLAIN-AVAH M</t>
  </si>
  <si>
    <t>OLFM10313-AVAH-S</t>
  </si>
  <si>
    <t>FEM PANTY OG BIKINI HIPSTER COTTON PLAIN-AVAH S</t>
  </si>
  <si>
    <t>OLFM10313-AVAH-XL</t>
  </si>
  <si>
    <t>FEM PANTY OG BIKINI HIPSTER COTTON PLAIN-AVAH XL</t>
  </si>
  <si>
    <t>OLFM10013-PAIGE-M</t>
  </si>
  <si>
    <t>FEM PANTY OG COTTON PLAIN-PAIGE M</t>
  </si>
  <si>
    <t>OLFM10013-PAIGE-S</t>
  </si>
  <si>
    <t>FEM PANTY OG COTTON PLAIN-PAIGE S</t>
  </si>
  <si>
    <t>OLFM10013-PAIGE-XL</t>
  </si>
  <si>
    <t>FEM PANTY OG COTTON PLAIN-PAIGE XL</t>
  </si>
  <si>
    <t>OLFM50011-WILLOW-M</t>
  </si>
  <si>
    <t>FEM SHORTS IG WOVEN 100% COTTON-ASSORTED PATTERN M</t>
  </si>
  <si>
    <t>OLFM50011-WILLOW-S</t>
  </si>
  <si>
    <t>FEM SHORTS IG WOVEN 100% COTTON-ASSORTED PATTERN S</t>
  </si>
  <si>
    <t>888123456781997</t>
  </si>
  <si>
    <t>GARLIC MAYO 300G</t>
  </si>
  <si>
    <t>888123456781998</t>
  </si>
  <si>
    <t>GARLIC MAYO 500G</t>
  </si>
  <si>
    <t>CLMP11516-2X-ASSTD-F</t>
  </si>
  <si>
    <t>HANDFORD MENS BRIEFS IG BUY5+1FREE 2X</t>
  </si>
  <si>
    <t>CLMP80111-M-MDNTBLU</t>
  </si>
  <si>
    <t>HANDFORD MENS R-NECK SHIRT MODERN FIT SHORT SLEEVE MIDNIGHT BLUE M</t>
  </si>
  <si>
    <t>CLMA60211-M-BLACK</t>
  </si>
  <si>
    <t>HANFORD ATHLETIC MENS SPANDEX SUPPORTER BRIEFS M</t>
  </si>
  <si>
    <t>CLMA60211-S-BLACK</t>
  </si>
  <si>
    <t>HANFORD ATHLETIC MENS SPANDEX SUPPORTER BRIEFS S</t>
  </si>
  <si>
    <t>CLMA60211-XL-BLACK</t>
  </si>
  <si>
    <t>HANFORD ATHLETIC MENS SPANDEX SUPPORTER BRIEFS XL</t>
  </si>
  <si>
    <t>CLMA63101-XL-NATURAL</t>
  </si>
  <si>
    <t>HANFORD ATHLETIC MENS SUPPORTER 3S</t>
  </si>
  <si>
    <t>CLMA63111-L-BLACK</t>
  </si>
  <si>
    <t>HANFORD ATHLETIC MENS SUPPORTER 3S L</t>
  </si>
  <si>
    <t>CLMA63101-L-NATURAL</t>
  </si>
  <si>
    <t>CLMA63111-M-BLACK</t>
  </si>
  <si>
    <t>HANFORD ATHLETIC MENS SUPPORTER 3S M</t>
  </si>
  <si>
    <t>CLMA63101-M-NATURAL</t>
  </si>
  <si>
    <t>CLMA63111-S-BLACK</t>
  </si>
  <si>
    <t>HANFORD ATHLETIC MENS SUPPORTER 3S S</t>
  </si>
  <si>
    <t>CLMA63101-S-NATURAL</t>
  </si>
  <si>
    <t>CLMA63111-XL-BLACK</t>
  </si>
  <si>
    <t>HANFORD ATHLETIC MENS SUPPORTER 3S XL</t>
  </si>
  <si>
    <t>CLMA63511-AIRE-L</t>
  </si>
  <si>
    <t>HANFORD ATHLETIC PRO COOL COMPRESSION SHORTS MESHPOUCH-AIRE L</t>
  </si>
  <si>
    <t>CLMA63511-AIRE-M</t>
  </si>
  <si>
    <t>HANFORD ATHLETIC PRO COOL COMPRESSION SHORTS MESHPOUCH-AIRE M</t>
  </si>
  <si>
    <t>CLMA63511-AIRE-XL</t>
  </si>
  <si>
    <t>HANFORD ATHLETIC PRO COOL COMPRESSION SHORTS MESHPOUCH-AIRE XL</t>
  </si>
  <si>
    <t>DLBP31113-L-ASSTD</t>
  </si>
  <si>
    <t>HANFORD BOYS BRIEFS HIPSTER COMBI-CURTIS L</t>
  </si>
  <si>
    <t>DLBP31113-M-ASSTD</t>
  </si>
  <si>
    <t>HANFORD BOYS BRIEFS HIPSTER COMBI-CURTIS M</t>
  </si>
  <si>
    <t>DLBP10616-L-ASSTD-D</t>
  </si>
  <si>
    <t>HANFORD BOYS BRIEFS IG BUY5+1FREE L</t>
  </si>
  <si>
    <t>DLBP10516-XL-ASSTD-C</t>
  </si>
  <si>
    <t>HANFORD BOYS BRIEFS IG BUY5+1FREE-MARSHAL XL</t>
  </si>
  <si>
    <t>DLBP10516-M-ASSTD-C</t>
  </si>
  <si>
    <t>HANFORD BOYS BRIEFS IG BUY5+1FREE-MARSHALL M</t>
  </si>
  <si>
    <t>DLBP30813-L-ASSTD</t>
  </si>
  <si>
    <t>HANFORD BOYS BRIEFS ORBIT L</t>
  </si>
  <si>
    <t>DLBP30813-M-ASSTD</t>
  </si>
  <si>
    <t>HANFORD BOYS BRIEFS ORBIT M</t>
  </si>
  <si>
    <t>DLBP40003-L-WHITE</t>
  </si>
  <si>
    <t>HANFORD BOYS COMFORTER BRIEFS (LYCRA WAISTBAND) L</t>
  </si>
  <si>
    <t>DLBP90001-14-WHITE</t>
  </si>
  <si>
    <t>HANFORD BOYS PREMIUM CAMISA SHIRT-SHORT SLEEVES 14</t>
  </si>
  <si>
    <t>DLBP90001-16-WHITE</t>
  </si>
  <si>
    <t>HANFORD BOYS PREMIUM CAMISA SHIRT-SHORT SLEEVES 16</t>
  </si>
  <si>
    <t>DLBP80001-14-WHITE</t>
  </si>
  <si>
    <t>HANFORD BOYS PREMIUM R-NECK SHIRT-SHIRT SLEEVES 14</t>
  </si>
  <si>
    <t>DLBP80001-16-WHITE</t>
  </si>
  <si>
    <t>HANFORD BOYS PREMIUM R-NECK SHIRT-SHORT SLEEVES 16</t>
  </si>
  <si>
    <t>DLBP80021-16-WHITE</t>
  </si>
  <si>
    <t>HANFORD BOYS PREMIUM V-NECK SHIRT-SHOR SLEEVES 16</t>
  </si>
  <si>
    <t>DLBP80021-14-WHITE</t>
  </si>
  <si>
    <t>HANFORD BOYS PREMIUM V-NECK SHIRT-SHORT SLEEVES 14</t>
  </si>
  <si>
    <t>DLBP80611-08-10-STGY</t>
  </si>
  <si>
    <t>HANFORD BOYS SHIRT R-NECK STEEL GRAY 16-18</t>
  </si>
  <si>
    <t>DLBP80611-XS-S-CSBL</t>
  </si>
  <si>
    <t>HANFORD BOYS SHIRT R-NECK XS-S</t>
  </si>
  <si>
    <t>DLBP80711-12-14-BLK</t>
  </si>
  <si>
    <t>HANFORD BOYS SHIRT V-NECK 12-14</t>
  </si>
  <si>
    <t>DLBP71101-16-18-WHT</t>
  </si>
  <si>
    <t>HANFORD BOYS VEST R-NECK 20-22</t>
  </si>
  <si>
    <t>DLBP80611-12-14-ISLANDGRN</t>
  </si>
  <si>
    <t>HANFORD COTTON R-NECK SHORT SLEEVE SHIRT ISLAND GREEN 12-14</t>
  </si>
  <si>
    <t>CLMP70101-M</t>
  </si>
  <si>
    <t>HANFORD COTTON RIB TANK WHITE M</t>
  </si>
  <si>
    <t>CLMI55011-L-AIRCOOL</t>
  </si>
  <si>
    <t>HANFORD ICE MENS BOXER VISCOSE SPANDEX MESH POUCH-AIRCOOL L</t>
  </si>
  <si>
    <t>CLMP51811-2X-CHEKERD</t>
  </si>
  <si>
    <t>HANFORD MEN SHORTS IG WOVEN 100% COTTON 2X</t>
  </si>
  <si>
    <t>CLMP51811-S-CHEKERD</t>
  </si>
  <si>
    <t>HANFORD MEN SHORTS IG WOVEN 100% COTTON S</t>
  </si>
  <si>
    <t>CLMP51811-XL-CHEKERD</t>
  </si>
  <si>
    <t>HANFORD MEN SHORTS IG WOVEN 100% COTTON XL</t>
  </si>
  <si>
    <t>CLMI54511-L-STLGREY</t>
  </si>
  <si>
    <t>HANFORD MEN SHORTS WOVEN 100% C-BARKS STEEL GRAY L</t>
  </si>
  <si>
    <t>CLMP54411-L-NVYPONY</t>
  </si>
  <si>
    <t>HANFORD MENS BOXER COTTON SPANDEX-KAYDEN L</t>
  </si>
  <si>
    <t>CLMP54411-M-NVYPONY</t>
  </si>
  <si>
    <t>HANFORD MENS BOXER COTTON SPANDEX-KAYDEN M</t>
  </si>
  <si>
    <t>CLMP54411-S-NVYPONY</t>
  </si>
  <si>
    <t>HANFORD MENS BOXER COTTON SPANDEX-KAYDEN S</t>
  </si>
  <si>
    <t>CLMP55411-RADIAN-L</t>
  </si>
  <si>
    <t>HANFORD MENS BOXER COTTON SPANDEX-RADIAN L</t>
  </si>
  <si>
    <t>CLMP55411-RADIAN-M</t>
  </si>
  <si>
    <t>HANFORD MENS BOXER COTTON SPANDEX-RADIAN M</t>
  </si>
  <si>
    <t>CLMP55411-RAVISH-M</t>
  </si>
  <si>
    <t>HANFORD MENS BOXER COTTON SPANDEX-RAVISH M</t>
  </si>
  <si>
    <t>CLMP55411-RUSSET-L</t>
  </si>
  <si>
    <t>HANFORD MENS BOXER COTTON SPANDEX-RUSSET L</t>
  </si>
  <si>
    <t>CLMP55411-RUSSET-M</t>
  </si>
  <si>
    <t>HANFORD MENS BOXER COTTON SPANDEX-RUSSET M</t>
  </si>
  <si>
    <t>CLMP11516-L-ASSTD-F</t>
  </si>
  <si>
    <t>HANFORD MENS BRIEFS IG BUY5+1FREE L</t>
  </si>
  <si>
    <t>CLMP23613-DKNIGHT-2X</t>
  </si>
  <si>
    <t>HANFORD MENS BRIEFS OG-DARK KNIGHT 2X</t>
  </si>
  <si>
    <t>CLMP23613-DKNIGHT-M</t>
  </si>
  <si>
    <t>HANFORD MENS BRIEFS OG-DARK KNIGHT M</t>
  </si>
  <si>
    <t>CLMP23613-DKNIGHT-XL</t>
  </si>
  <si>
    <t>HANFORD MENS BRIEFS OG-DARK KNIGHT XL</t>
  </si>
  <si>
    <t>CLMP23713-ECLIPSE-L</t>
  </si>
  <si>
    <t>HANFORD MENS BRIEFS OG-ECLIPSE L</t>
  </si>
  <si>
    <t>CLMP23713-ECLIPSE-M</t>
  </si>
  <si>
    <t>HANFORD MENS BRIEFS OG-ECLIPSE M</t>
  </si>
  <si>
    <t>CLMP23013-JAXEN-L</t>
  </si>
  <si>
    <t>HANFORD MENS BRIEFS OG-JAXEN L</t>
  </si>
  <si>
    <t>CLMP23013-JAXEN-M</t>
  </si>
  <si>
    <t>HANFORD MENS BRIEFS OG-JAXEN M</t>
  </si>
  <si>
    <t>CLMP23113-TREVOR-L</t>
  </si>
  <si>
    <t>HANFORD MENS BRIEFS OG-TREVOR L</t>
  </si>
  <si>
    <t>CLMP23113-TREVOR-M</t>
  </si>
  <si>
    <t>HANFORD MENS BRIEFS OG-TREVOR M</t>
  </si>
  <si>
    <t>CLMP30813-L-ASSTD</t>
  </si>
  <si>
    <t>HANFORD MENS BRIEFS-AXIS L</t>
  </si>
  <si>
    <t>CLMP90101-L-WHITE</t>
  </si>
  <si>
    <t>HANFORD MENS CAMISA SHIRT REGULAR SHORT SLEEVE L</t>
  </si>
  <si>
    <t>CLMP30003-26-WHITE</t>
  </si>
  <si>
    <t>HANFORD MENS CLASSIC BRIEFS 26</t>
  </si>
  <si>
    <t>CLMP30003-30-WHITE</t>
  </si>
  <si>
    <t>HANFORD MENS CLASSIC BRIEFS 30</t>
  </si>
  <si>
    <t>CLMP30003-36-WHITE</t>
  </si>
  <si>
    <t>HANFORD MENS CLASSIC BRIEFS 36</t>
  </si>
  <si>
    <t>CLMP40103-L-WHITE</t>
  </si>
  <si>
    <t>HANFORD MENS COMFORTER BRIEFS L (LYCRA WAISTBAND)</t>
  </si>
  <si>
    <t>CLMP40103-M-WHITE</t>
  </si>
  <si>
    <t>HANFORD MENS COMFORTER BRIEFS M (LYCRA WAISTBAND)</t>
  </si>
  <si>
    <t>CLMP30103-L-WHITE</t>
  </si>
  <si>
    <t>HANFORD MENS HIPSTER BRIEFS L</t>
  </si>
  <si>
    <t>CLMP80101-L-WHITE</t>
  </si>
  <si>
    <t>HANFORD MENS R-NECK SHIRT MODERN FIT SHORT SLEEVE L</t>
  </si>
  <si>
    <t>CLMP80101-M-WHITE</t>
  </si>
  <si>
    <t>HANFORD MENS R-NECK SHIRT MODERN FIT SHORT SLEEVE M</t>
  </si>
  <si>
    <t>CLMP80111-L-MDNTBLU</t>
  </si>
  <si>
    <t xml:space="preserve">HANFORD MENS R-NECK SHIRT MODERN FIT SHORT SLEEVE MIDNIGHT BLUE L </t>
  </si>
  <si>
    <t>CLMP80101-XL-WHITE</t>
  </si>
  <si>
    <t>HANFORD MENS R-NECK SHIRT MODERN FIT SHORT SLEEVE XL</t>
  </si>
  <si>
    <t>CLMP70301-M-WHITE</t>
  </si>
  <si>
    <t>HANFORD MENS R-NECK VEST SHIRT MODERN FIT M</t>
  </si>
  <si>
    <t>CLMP80111-M-ISLNDGREEN</t>
  </si>
  <si>
    <t>HANFORD MENS SHIRT R-NECK MODERN FIT M ISLAND GREEN</t>
  </si>
  <si>
    <t>CLMP70501-L-WHITE</t>
  </si>
  <si>
    <t>HANFORD MENS V-NECK VEST SHIRT MODERN FIT L</t>
  </si>
  <si>
    <t>CLMP70501-M-WHITE</t>
  </si>
  <si>
    <t>HANFORD MENS V-NECK VEST SHIRT MODERN FIT M</t>
  </si>
  <si>
    <t>CLMP70501-S-WHITE</t>
  </si>
  <si>
    <t>HANFORD MENS V-NECK VEST SHIRT MODERN FIT S</t>
  </si>
  <si>
    <t>CLMP52811-L</t>
  </si>
  <si>
    <t>HANFORD PREMIUM KNITTED AND WOVEN SHORTS L</t>
  </si>
  <si>
    <t>CLMP52811-M</t>
  </si>
  <si>
    <t>HANFORD PREMIUM KNITTED AND WOVEN SHORTS M</t>
  </si>
  <si>
    <t>CLMP52811-S</t>
  </si>
  <si>
    <t>HANFORD PREMIUM KNITTED AND WOVEN SHORTS S</t>
  </si>
  <si>
    <t>DLBP30003-16-WHITE</t>
  </si>
  <si>
    <t>HANFORD TEENS BRIEFS-PREMIUM 16</t>
  </si>
  <si>
    <t>DLBP30003-18-WHITE</t>
  </si>
  <si>
    <t>HANFORD TEENS BRIEFS-PREMIUM 18</t>
  </si>
  <si>
    <t>888123456781147</t>
  </si>
  <si>
    <t>HCI ALLORIA BEAUTY SOAP 90G</t>
  </si>
  <si>
    <t>888123456781144</t>
  </si>
  <si>
    <t>HCI ALLORIA HAND &amp; BODY LOTION 120ML</t>
  </si>
  <si>
    <t>888123456781145</t>
  </si>
  <si>
    <t>HCI ALLORIA MINERAL SHAMPOO 250ML</t>
  </si>
  <si>
    <t>CLMP80201-L-WHITE</t>
  </si>
  <si>
    <t>HM V-NECK SHIRT MODERN FIT SHORT SLEEVE L</t>
  </si>
  <si>
    <t>CLMP80201-S-WHITE</t>
  </si>
  <si>
    <t>HM V-NECK SHIRT MODERN FIT SHORT SLEEVE S</t>
  </si>
  <si>
    <t>CLMP80201-XL-WHITE</t>
  </si>
  <si>
    <t>HM V-NECK SHIRT MODERN FIT SHORT SLEEVE XL</t>
  </si>
  <si>
    <t>888123456781610</t>
  </si>
  <si>
    <t>KACHIMOGO FILIPINO STYLE KIMCHI</t>
  </si>
  <si>
    <t>888123456781232</t>
  </si>
  <si>
    <t>MSC GUYABANO TEA 15 TEA BAGS</t>
  </si>
  <si>
    <t>Expired-4 2/2019</t>
  </si>
  <si>
    <t>888123456782025</t>
  </si>
  <si>
    <t>MUSHARAP MUSHROOM CHIPS-2</t>
  </si>
  <si>
    <t>4806528710003</t>
  </si>
  <si>
    <t>NLIGHTEN BODY CREAM 100G</t>
  </si>
  <si>
    <t>4806528710027</t>
  </si>
  <si>
    <t>NLIGHTEN CC CUSHION 15G</t>
  </si>
  <si>
    <t>4806528710157</t>
  </si>
  <si>
    <t>NLIGHTEN CLOUD CREAM</t>
  </si>
  <si>
    <t>4806528710102</t>
  </si>
  <si>
    <t>NLIGHTEN EYE GEL 10G</t>
  </si>
  <si>
    <t>4806528710256</t>
  </si>
  <si>
    <t>NLIGHTEN FACIAL CLEANSER 100ML</t>
  </si>
  <si>
    <t>4806528710201</t>
  </si>
  <si>
    <t>NLIGHTEN O2 BUBBLE CLEANSER 70ML</t>
  </si>
  <si>
    <t>4806528710058</t>
  </si>
  <si>
    <t>NLIGHTEN UNDERARM CREAM 30G</t>
  </si>
  <si>
    <t>888123456781304</t>
  </si>
  <si>
    <t>PANI-PEANUT</t>
  </si>
  <si>
    <t>4800258485378</t>
  </si>
  <si>
    <t>PETRICH ALL NATURAL PET POWDER FRESH 150ML</t>
  </si>
  <si>
    <t>888123456781970</t>
  </si>
  <si>
    <t>PETRICH ALL NATURAL PET SHAMPOO W/ CONDITIONER POWDER FRESH 500ML</t>
  </si>
  <si>
    <t>888123456781962</t>
  </si>
  <si>
    <t>PETRICH ALL NATURAL PET SHAMPOO W/ CONDITIONER SEA BREEZE 500ML</t>
  </si>
  <si>
    <t>888123456781938</t>
  </si>
  <si>
    <t>PETRICH ALL NATURAL PET SOAP SEA BREEZE 100ML</t>
  </si>
  <si>
    <t>4800258485361</t>
  </si>
  <si>
    <t>PETRICH ALL NATURAL PET SPRAY RASPBERRY 250ML</t>
  </si>
  <si>
    <t>888123456781999</t>
  </si>
  <si>
    <t>PICKLED GARLIC 150G</t>
  </si>
  <si>
    <t>888123456782000</t>
  </si>
  <si>
    <t>PICKLED GARLIC 325G</t>
  </si>
  <si>
    <t>888123456781971</t>
  </si>
  <si>
    <t>PINECREST ALL NATURAL HAND SANITIZER 100ML</t>
  </si>
  <si>
    <t>4800258476291</t>
  </si>
  <si>
    <t>PINECREST ALL NATURAL HAND SANITIZER 500ML</t>
  </si>
  <si>
    <t>4800258475874</t>
  </si>
  <si>
    <t>PINECREST ALL NATURAL HANDWASH ALCOWASH 500ML</t>
  </si>
  <si>
    <t>4800258477229</t>
  </si>
  <si>
    <t>PINECREST ALL NATURAL INSECT REPELLENT SPRAY 100ML</t>
  </si>
  <si>
    <t>4800258475843</t>
  </si>
  <si>
    <t>PINECREST ALL NATURAL SANITIZING ALCOHOL 70% ETHYL 100ML</t>
  </si>
  <si>
    <t>4800258475850</t>
  </si>
  <si>
    <t>PINECREST ALL NATURAL SANITIZING ALCOHOL 70% ETHYL 250ML</t>
  </si>
  <si>
    <t>888123456781936</t>
  </si>
  <si>
    <t>PINECREST ALL NATURAL SANITIZING ALCOHOL 70% ETHYL 500ML</t>
  </si>
  <si>
    <t>4800258475881</t>
  </si>
  <si>
    <t>PINECREST ALL NATURAL SANITIZING ALCOHOL 70% ETHYL 500ML PUMP</t>
  </si>
  <si>
    <t>4800258485255</t>
  </si>
  <si>
    <t>PINECREST ORAGANIC SOAP SEAGRASS 100G</t>
  </si>
  <si>
    <t>4800258481042</t>
  </si>
  <si>
    <t>PINECREST ORGANIC CONDITIONER GREEN TEA 250ML</t>
  </si>
  <si>
    <t>4800258481035</t>
  </si>
  <si>
    <t>PINECREST ORGANIC CONDITIONER PURE MILK 250ML</t>
  </si>
  <si>
    <t>4800258481073</t>
  </si>
  <si>
    <t>PINECREST ORGANIC CONDITIONER VIRGIN COCONUT 250ML</t>
  </si>
  <si>
    <t>4800258480991</t>
  </si>
  <si>
    <t>PINECREST ORGANIC SHAMPOO GREEN TEA 250ML</t>
  </si>
  <si>
    <t>4800258480984</t>
  </si>
  <si>
    <t>PINECREST ORGANIC SHAMPOO PURE MILK 250ML</t>
  </si>
  <si>
    <t>4800258481028</t>
  </si>
  <si>
    <t>PINECREST ORGANIC SHAMPOO VIRGIN COCONUT 250ML</t>
  </si>
  <si>
    <t>4800258489743</t>
  </si>
  <si>
    <t>PINECREST ORGANIC SOAP AMAZING GUAVA 100G</t>
  </si>
  <si>
    <t>4800258469774</t>
  </si>
  <si>
    <t>PINECREST ORGANIC SOAP BAMBOO CHARCOAL 100G</t>
  </si>
  <si>
    <t>888123456781935</t>
  </si>
  <si>
    <t>PINECREST ORGANIC SOAP CARROT TEEN 100G</t>
  </si>
  <si>
    <t>4800258485231</t>
  </si>
  <si>
    <t>PINECREST ORGANIC SOAP COLLAGEN 100G</t>
  </si>
  <si>
    <t>4800258480953</t>
  </si>
  <si>
    <t>PINECREST ORGANIC SOAP LAVENDER 100G</t>
  </si>
  <si>
    <t>4800258476307</t>
  </si>
  <si>
    <t>PINECREST ORGANIC SOAP MINTY GREEN ANTIOXIDANT 100G</t>
  </si>
  <si>
    <t>4800258469736</t>
  </si>
  <si>
    <t>PINECREST ORGANIC SOAP PAPAYA BRIGHT 100G</t>
  </si>
  <si>
    <t>4800258476314</t>
  </si>
  <si>
    <t>PINECREST ORGANIC SOAP PURE MILK NOURISHING 100G</t>
  </si>
  <si>
    <t>4800258479650</t>
  </si>
  <si>
    <t>PINECREST ORGANIC SOAP TRANSPARENT ALOE VERA 100G</t>
  </si>
  <si>
    <t>4800258480977</t>
  </si>
  <si>
    <t>PINECREST ORGANIC SOAP TRANSPARENT CITRUS LEMON 100G</t>
  </si>
  <si>
    <t>4800258479643</t>
  </si>
  <si>
    <t>PINECREST ORGANIC SOAP TRANSPARENT FROSTY BLAST 100G</t>
  </si>
  <si>
    <t>4800258476321</t>
  </si>
  <si>
    <t>PINECREST ORGANIC SOAP VANILLA OATMEAL SKIN RENEWAL 100G</t>
  </si>
  <si>
    <t>4800258476192</t>
  </si>
  <si>
    <t>PLANT WELL ORGANIC PLANT SUPPLEMENT READY TO SPRAY 500ML</t>
  </si>
  <si>
    <t>888123456781514</t>
  </si>
  <si>
    <t>RED MUSHARAP MUSHROOM CHIPS</t>
  </si>
  <si>
    <t>888123456781937</t>
  </si>
  <si>
    <t>SO SAFE ALL NATURAL DISHWASHING LIQUID 250ML</t>
  </si>
  <si>
    <t>4800258477243</t>
  </si>
  <si>
    <t>SO SAFE ALL NATURAL MULTI-SURFACE DISINFECTANT CLEANER 500ML</t>
  </si>
  <si>
    <t>888123456781969</t>
  </si>
  <si>
    <t>SO SAFE ALL NATURAL MULTIPURPOSE DISINFECTANT CLEANER 1LITER</t>
  </si>
  <si>
    <t>4800258469750</t>
  </si>
  <si>
    <t>SO SAFE DISINFECTANT SPRAY 100ML</t>
  </si>
  <si>
    <t>4800258469767</t>
  </si>
  <si>
    <t>SO SAFE DISINFECTANT SPRAY 250ML</t>
  </si>
  <si>
    <t>4800258476338</t>
  </si>
  <si>
    <t>SO SAFE ORGANIC TOILET BOWL CLEANER 500ML</t>
  </si>
  <si>
    <t>ICE CREAM</t>
  </si>
  <si>
    <t>4800086050519</t>
  </si>
  <si>
    <t xml:space="preserve"> CORNETTO UBE CARAMEL 110ML</t>
  </si>
  <si>
    <t>8999999035631</t>
  </si>
  <si>
    <t>MAGNUM MINI VANILLA ALMOND 45ML</t>
  </si>
  <si>
    <t>888123456781567</t>
  </si>
  <si>
    <t>MAGNUM MINI VANILLA ALMOND 45ML RETAIL</t>
  </si>
  <si>
    <t>8999999035624</t>
  </si>
  <si>
    <t>MAGNUM MINI VANILLA CLASSIC 45ML</t>
  </si>
  <si>
    <t>4800086005610</t>
  </si>
  <si>
    <t>MAGNUM VANILLA ALMOND 80ML</t>
  </si>
  <si>
    <t>4800086050311</t>
  </si>
  <si>
    <t>SEL 3+1 CHOCO VANILLA SALAD UBE 1.3L</t>
  </si>
  <si>
    <t>4800086049674</t>
  </si>
  <si>
    <t>SEL 3IN1 CHOCO KESO UBE 750ML</t>
  </si>
  <si>
    <t>4800086050304</t>
  </si>
  <si>
    <t>SEL 3IN1 CHOCO-VANILLA-STRAWBERRY 750ML</t>
  </si>
  <si>
    <t>4800086050328</t>
  </si>
  <si>
    <t>SEL 3IN1 UBE-MANGO-AVOCADO 750ML</t>
  </si>
  <si>
    <t>4800086044372</t>
  </si>
  <si>
    <t>SEL BDAY BASO CHOCO 400ML</t>
  </si>
  <si>
    <t>4800086044365</t>
  </si>
  <si>
    <t>SEL BDAY BASO UBE 400ML</t>
  </si>
  <si>
    <t>4800086045751</t>
  </si>
  <si>
    <t>SEL BOOM BOOM CHOCOLATE 60ML</t>
  </si>
  <si>
    <t>4800086047472</t>
  </si>
  <si>
    <t>SEL BOOM BOOM COOKIES &amp; CREAM 60ML</t>
  </si>
  <si>
    <t>4800086050359</t>
  </si>
  <si>
    <t>SEL CHOCKY STICK 45ML</t>
  </si>
  <si>
    <t>4800086040909</t>
  </si>
  <si>
    <t>SEL COFFEE CRUMBLE 750ML</t>
  </si>
  <si>
    <t>4800086050649</t>
  </si>
  <si>
    <t>SEL CORNETTO APPLE CRUMBLE 110ML</t>
  </si>
  <si>
    <t>4800086134325</t>
  </si>
  <si>
    <t>SEL CORNETTO CLASSIC CHOCO 110ML</t>
  </si>
  <si>
    <t>4800086043306</t>
  </si>
  <si>
    <t>SEL CORNETTO COOKIES &amp; DREAM 110ML</t>
  </si>
  <si>
    <t>4800086046482</t>
  </si>
  <si>
    <t>SEL CORNETTO DISC BLACK CHOCO COOKIE 115ML</t>
  </si>
  <si>
    <t>4800086049551</t>
  </si>
  <si>
    <t>SEL CORNETTO DISC MATCHA CRUMBLE 115ML</t>
  </si>
  <si>
    <t>4800086045676</t>
  </si>
  <si>
    <t>SEL CORNETTO DISC WHITE CHOCO COOKIES &amp; CREAM 115ML</t>
  </si>
  <si>
    <t>4800086034670</t>
  </si>
  <si>
    <t>SEL CORNETTO VANILLA 110ML</t>
  </si>
  <si>
    <t>4800086047717</t>
  </si>
  <si>
    <t>SEL CREAMDAE 3+1 CHOCO KESO UBE MANGO 1.5L</t>
  </si>
  <si>
    <t>4800086046987</t>
  </si>
  <si>
    <t>SEL CREAMDAE CUPS CHOCO 100ML</t>
  </si>
  <si>
    <t>4800086049230</t>
  </si>
  <si>
    <t>SEL CREAMDAE CUPS MANGO 100ML</t>
  </si>
  <si>
    <t>4800086049162</t>
  </si>
  <si>
    <t>SEL CREAMDAE STICK CHOCO MALLOW 60ML</t>
  </si>
  <si>
    <t>4800086050120</t>
  </si>
  <si>
    <t>SEL CUPS DOUBLE CHOCO SUNDAE 100ML</t>
  </si>
  <si>
    <t>4800086051011</t>
  </si>
  <si>
    <t>SEL NAMA CHOCOLATE 1.25L</t>
  </si>
  <si>
    <t>4800086051028</t>
  </si>
  <si>
    <t>SEL NAMA CHOCOLATE 450ML</t>
  </si>
  <si>
    <t>4800086051035</t>
  </si>
  <si>
    <t>SEL SHOYU CARAMEL 1.25L</t>
  </si>
  <si>
    <t>4800086043627</t>
  </si>
  <si>
    <t>SEL SOLO PACK COOKIES &amp; CREAM 450ML</t>
  </si>
  <si>
    <t>4800086043603</t>
  </si>
  <si>
    <t>SEL SOLO PACK DOUBLE DUTCH 450ML</t>
  </si>
  <si>
    <t>4800086043610</t>
  </si>
  <si>
    <t>SEL SOLO PACK ROCKY ROAD 475ML</t>
  </si>
  <si>
    <t>4800086050847</t>
  </si>
  <si>
    <t>SEL STRAW CHEESECAKE 450ML</t>
  </si>
  <si>
    <t>4800086050212</t>
  </si>
  <si>
    <t>SEL SUP AVOCADO DREAM 1.3L</t>
  </si>
  <si>
    <t>4800086035943</t>
  </si>
  <si>
    <t>SEL SUP COFFEE CRUMBLE 1.5L</t>
  </si>
  <si>
    <t>4800086035929</t>
  </si>
  <si>
    <t>SEL SUP COOKIES &amp; CREAM 1.5L</t>
  </si>
  <si>
    <t>4800086040893</t>
  </si>
  <si>
    <t>SEL SUP COOKIES &amp; CREAM 750ML</t>
  </si>
  <si>
    <t>4800086035967</t>
  </si>
  <si>
    <t>SEL SUP DOUBLE DUTCH 1.3L</t>
  </si>
  <si>
    <t>4800086040879</t>
  </si>
  <si>
    <t>SEL SUP DOUBLE DUTCH 750ML</t>
  </si>
  <si>
    <t>4800086045560</t>
  </si>
  <si>
    <t>SEL SUP PISTACHIO N CASHEW 1.3L</t>
  </si>
  <si>
    <t>4800086036186</t>
  </si>
  <si>
    <t>SEL SUP ROCKY ROAD 1.3L</t>
  </si>
  <si>
    <t>4800086040886</t>
  </si>
  <si>
    <t>SEL SUP ROCKY ROAD 750ML</t>
  </si>
  <si>
    <t>4800086050663</t>
  </si>
  <si>
    <t>SELECTA BDAY 3+1 UBE MANGO AVO STRAW 1.25L</t>
  </si>
  <si>
    <t>4800086049452</t>
  </si>
  <si>
    <t>SELECTA COOKIES N CREAM 100ML</t>
  </si>
  <si>
    <t>4800086049520</t>
  </si>
  <si>
    <t>SELECTA DOUBLE DUTCH 100ML</t>
  </si>
  <si>
    <t>8851932478502</t>
  </si>
  <si>
    <t>WALLS BITES STRAW YOGHURT 14G</t>
  </si>
  <si>
    <t>8851932441438</t>
  </si>
  <si>
    <t>WALLS BITES TIME VANILLA TOFFEE &amp; CARAMEL 60G</t>
  </si>
  <si>
    <t>RTD &amp; REFRI</t>
  </si>
  <si>
    <t>4800016052774</t>
  </si>
  <si>
    <t>C2 APPLE 1L</t>
  </si>
  <si>
    <t>4800016052040</t>
  </si>
  <si>
    <t>C2 APPLE 355ML</t>
  </si>
  <si>
    <t>4800016068010</t>
  </si>
  <si>
    <t>C2 SOLO APPLE FLAVOR 230ML</t>
  </si>
  <si>
    <t>0721688115007</t>
  </si>
  <si>
    <t>CALM-C CALAMANSI JUICE 250ML</t>
  </si>
  <si>
    <t>4800249004748</t>
  </si>
  <si>
    <t>CDO FUNTASTYK YOUNG PORK TOCINO 225G</t>
  </si>
  <si>
    <t>888123456781877</t>
  </si>
  <si>
    <t>COBRA ORIG FLAVOR ASTIG 300ML</t>
  </si>
  <si>
    <t>4800014134083</t>
  </si>
  <si>
    <t>COLT 45 500ML</t>
  </si>
  <si>
    <t>00008</t>
  </si>
  <si>
    <t>CONVIE COKE 1.5</t>
  </si>
  <si>
    <t>00004</t>
  </si>
  <si>
    <t>CONVIE COKE 237ML</t>
  </si>
  <si>
    <t>00007</t>
  </si>
  <si>
    <t>CONVIE COKE 75OML</t>
  </si>
  <si>
    <t>00005</t>
  </si>
  <si>
    <t>CONVIE COKE IN CAN ZERO SUGAR 320ML</t>
  </si>
  <si>
    <t>7-Expired 6/2025</t>
  </si>
  <si>
    <t>00048</t>
  </si>
  <si>
    <t>CONVIE COKE LIGHT 1.5</t>
  </si>
  <si>
    <t>00003</t>
  </si>
  <si>
    <t>CONVIE COKE MISMO 295ML</t>
  </si>
  <si>
    <t>00001</t>
  </si>
  <si>
    <t>CONVIE COKE SWAKTO 200ML</t>
  </si>
  <si>
    <t>00002</t>
  </si>
  <si>
    <t>CONVIE COKE SWAKTO ZERO SUGAR 200ML</t>
  </si>
  <si>
    <t>00032</t>
  </si>
  <si>
    <t>CONVIE COKE ZERO 1.5</t>
  </si>
  <si>
    <t>00041</t>
  </si>
  <si>
    <t>CONVIE JACK AND COKE IN CAN 320ML</t>
  </si>
  <si>
    <t>00019</t>
  </si>
  <si>
    <t>CONVIE M.M APPLE 200ML</t>
  </si>
  <si>
    <t>3-Expired 12/4/2024</t>
  </si>
  <si>
    <t>00042</t>
  </si>
  <si>
    <t>CONVIE NUTRI CHOCO 110MLX24</t>
  </si>
  <si>
    <t>Expired 6/9/2024</t>
  </si>
  <si>
    <t>00044</t>
  </si>
  <si>
    <t>CONVIE NUTRI STRAWBERRY 110MLX24</t>
  </si>
  <si>
    <t>00046</t>
  </si>
  <si>
    <t>CONVIE PREDATOR</t>
  </si>
  <si>
    <t>00018</t>
  </si>
  <si>
    <t>CONVIE ROYAL 1.5</t>
  </si>
  <si>
    <t>00017</t>
  </si>
  <si>
    <t>CONVIE ROYAL 750ML</t>
  </si>
  <si>
    <t>00036</t>
  </si>
  <si>
    <t>CONVIE ROYAL LEMON 237ML</t>
  </si>
  <si>
    <t>00015</t>
  </si>
  <si>
    <t>CONVIE ROYAL MISMO 250ML</t>
  </si>
  <si>
    <t>00047</t>
  </si>
  <si>
    <t>CONVIE ROYAL STRAWBERRY MISMO</t>
  </si>
  <si>
    <t>000014</t>
  </si>
  <si>
    <t>CONVIE ROYAL SWAKTO 200ML</t>
  </si>
  <si>
    <t>00013</t>
  </si>
  <si>
    <t>CONVIE SPRITE 1.5</t>
  </si>
  <si>
    <t>00011</t>
  </si>
  <si>
    <t>CONVIE SPRITE 237ML</t>
  </si>
  <si>
    <t>000012</t>
  </si>
  <si>
    <t>CONVIE SPRITE 750ML</t>
  </si>
  <si>
    <t>00010</t>
  </si>
  <si>
    <t>CONVIE SPRITE MISMO 295ML</t>
  </si>
  <si>
    <t>00009</t>
  </si>
  <si>
    <t>CONVIE SPRITE SWAKTO 200ML</t>
  </si>
  <si>
    <t>00029</t>
  </si>
  <si>
    <t>CONVIE WILKINS 1L</t>
  </si>
  <si>
    <t>00027</t>
  </si>
  <si>
    <t>CONVIE WILKINS 330ML</t>
  </si>
  <si>
    <t>00028</t>
  </si>
  <si>
    <t>CONVIE WILKINS 500ML</t>
  </si>
  <si>
    <t>00030</t>
  </si>
  <si>
    <t>CONVIE WILKINS 7L</t>
  </si>
  <si>
    <t>4800024587978</t>
  </si>
  <si>
    <t>DM FRUITY ZING APPLE-LYCHEE 330ML</t>
  </si>
  <si>
    <t>4800024587985</t>
  </si>
  <si>
    <t>DM FRUITY ZING CALAMANSI-LEMON 330ML</t>
  </si>
  <si>
    <t>EXPIRED SEP 2026</t>
  </si>
  <si>
    <t>888123456781247</t>
  </si>
  <si>
    <t>DM JUICE DRINK PINEAPPLE 100% W/ ACE</t>
  </si>
  <si>
    <t>4800024581105</t>
  </si>
  <si>
    <t>DM JUICE DRINK PINEAPPLE ACE 6S</t>
  </si>
  <si>
    <t>4800024562692</t>
  </si>
  <si>
    <t>DM PINEAPPLE JUICE ACE 100% 220ML-2</t>
  </si>
  <si>
    <t>888123456782018</t>
  </si>
  <si>
    <t>DM PINEAPPLE JUICE ACE 220ML</t>
  </si>
  <si>
    <t>4800024572981</t>
  </si>
  <si>
    <t>DM PINEAPPLE JUICE HEART SMART 240ML</t>
  </si>
  <si>
    <t>8851717040245</t>
  </si>
  <si>
    <t>DUTCH MILL BLUEBERRY 180ML</t>
  </si>
  <si>
    <t>8851717200014</t>
  </si>
  <si>
    <t>DUTCH MILL BLUEBERRY 90ML</t>
  </si>
  <si>
    <t>8851717904967</t>
  </si>
  <si>
    <t>DUTCH MILL DELIGHT 100ML</t>
  </si>
  <si>
    <t>8851717905407</t>
  </si>
  <si>
    <t>DUTCH MILL DELIGHT 400ML</t>
  </si>
  <si>
    <t>8853002310385</t>
  </si>
  <si>
    <t>DUTCH MILL MANGO 180ML</t>
  </si>
  <si>
    <t>8853002310415</t>
  </si>
  <si>
    <t>DUTCH MILL MANGO 90ML</t>
  </si>
  <si>
    <t>8851717040030</t>
  </si>
  <si>
    <t>DUTCH MILL MIXED FRUITS 180ML</t>
  </si>
  <si>
    <t>8851717200045</t>
  </si>
  <si>
    <t>DUTCH MILL MIXED FRUITS 90ML</t>
  </si>
  <si>
    <t>8851717040023</t>
  </si>
  <si>
    <t>DUTCH MILL ORANGE 180ML</t>
  </si>
  <si>
    <t>8851717200038</t>
  </si>
  <si>
    <t>DUTCH MILL ORANGE 90ML</t>
  </si>
  <si>
    <t>8851717040016</t>
  </si>
  <si>
    <t>DUTCH MILL STRAWBERRY 180ML</t>
  </si>
  <si>
    <t>8851717200007</t>
  </si>
  <si>
    <t>DUTCH MILL STRAWBERRY 90ML</t>
  </si>
  <si>
    <t>8853002302038</t>
  </si>
  <si>
    <t>DUTCH MILL SUPERFRUITS 180ML</t>
  </si>
  <si>
    <t>8853002303110</t>
  </si>
  <si>
    <t>DUTCH MILL SUPERFRUITS 90ML</t>
  </si>
  <si>
    <t>5701215046832</t>
  </si>
  <si>
    <t>EMBORG FULL CREAM MILK 1L</t>
  </si>
  <si>
    <t>8410028903252</t>
  </si>
  <si>
    <t>ESCOBAR LIGHT 1L</t>
  </si>
  <si>
    <t>4803925241130</t>
  </si>
  <si>
    <t>4803925350054</t>
  </si>
  <si>
    <t>GATORADE BLUE BOLT 350ML</t>
  </si>
  <si>
    <t>4803925061141</t>
  </si>
  <si>
    <t>GATORADE BLUE BOLT 500ML</t>
  </si>
  <si>
    <t>8992714073024</t>
  </si>
  <si>
    <t>GOODDAY CULTURED MILK DRINK STRAWBERRY 80ML</t>
  </si>
  <si>
    <t>888123456782020</t>
  </si>
  <si>
    <t>JAMON DE BOLA-EXTRA 5PCS</t>
  </si>
  <si>
    <t>14809011294803</t>
  </si>
  <si>
    <t>KOOLERS FUN DRINK APPLE 10X220ML</t>
  </si>
  <si>
    <t>4809014280646</t>
  </si>
  <si>
    <t>KOOLERS FUN DRINK APPLE 220ML</t>
  </si>
  <si>
    <t>14809011294797</t>
  </si>
  <si>
    <t>KOOLERS FUN DRINK ORANGE 10X220ML</t>
  </si>
  <si>
    <t>4800016073632</t>
  </si>
  <si>
    <t>MINERAL WATER REFRESH 350ML</t>
  </si>
  <si>
    <t>4800361331500</t>
  </si>
  <si>
    <t>NESTLE BEARBRAND STERILIZED 200ML</t>
  </si>
  <si>
    <t>4800361388313</t>
  </si>
  <si>
    <t>NESTLE CHUCKIE 180ML</t>
  </si>
  <si>
    <t>4800361395687</t>
  </si>
  <si>
    <t>NESTLE CHUCKIE BULILIT PACK 110ML</t>
  </si>
  <si>
    <t>4800313031106</t>
  </si>
  <si>
    <t>PAMPANGAS BEST SKINLESS LONGANIZA 225G</t>
  </si>
  <si>
    <t>4800313030147</t>
  </si>
  <si>
    <t>PAMPANGAS BEST TOCINO ORIGINAL 220G</t>
  </si>
  <si>
    <t>888123456781812</t>
  </si>
  <si>
    <t>PUREFOODS FIESTA HAM PRE-SLICED</t>
  </si>
  <si>
    <t>4800139030222</t>
  </si>
  <si>
    <t>RB GOKU GOKU JELLY DRINKS 230G</t>
  </si>
  <si>
    <t>4801032211138</t>
  </si>
  <si>
    <t>RED HORSE BEER 1000ML</t>
  </si>
  <si>
    <t>4801032211077</t>
  </si>
  <si>
    <t>RED HORSE BEER 500ML</t>
  </si>
  <si>
    <t>4801032741048</t>
  </si>
  <si>
    <t>SAN MIG LIGHT REGULAR FLAVOR 330ML</t>
  </si>
  <si>
    <t>4801032281049</t>
  </si>
  <si>
    <t>SAN MIGUEL APPLE 330ML</t>
  </si>
  <si>
    <t>4801032111025</t>
  </si>
  <si>
    <t>SAN MIGUEL PALE PILSEN 320ML</t>
  </si>
  <si>
    <t>4800220531355</t>
  </si>
  <si>
    <t>TANDUAY ICE ALCOMIX ORIGINAL 330ML</t>
  </si>
  <si>
    <t>4809015648254</t>
  </si>
  <si>
    <t>TAPCO CALAMANSI JUICE WITH HONEY 250ML</t>
  </si>
  <si>
    <t>4804888889728</t>
  </si>
  <si>
    <t>ZEST-O BIG ORANGE DRINK 250MLX10</t>
  </si>
  <si>
    <t>Expired 9/5/2024</t>
  </si>
  <si>
    <t>OVER THE COUNTER (OTC)</t>
  </si>
  <si>
    <t>888123456781081</t>
  </si>
  <si>
    <t>GOLDEN DEER PLASTIC BAG MEDIUM</t>
  </si>
  <si>
    <t>4809012413046</t>
  </si>
  <si>
    <t>KATINKO OINTMENT 10G</t>
  </si>
  <si>
    <t>48044295</t>
  </si>
  <si>
    <t>MARLBORO RED PACK</t>
  </si>
  <si>
    <t>48041812</t>
  </si>
  <si>
    <t>MIGHTY GREEN PACK</t>
  </si>
  <si>
    <t>8881234567826</t>
  </si>
  <si>
    <t>OTC ALAXAN FR</t>
  </si>
  <si>
    <t>4800204002048</t>
  </si>
  <si>
    <t>OTC BETADINE WOUND SOLUTION 15ML</t>
  </si>
  <si>
    <t>888123456781205</t>
  </si>
  <si>
    <t>OTC BIOFLU</t>
  </si>
  <si>
    <t>4800116136008</t>
  </si>
  <si>
    <t>OTC BUTTER CREAM CHEESE SPREAD 17G</t>
  </si>
  <si>
    <t>4800116135001</t>
  </si>
  <si>
    <t>OTC BUTTER CREAM CHOCOLATE SPREAD 17G</t>
  </si>
  <si>
    <t>8935001721550</t>
  </si>
  <si>
    <t>OTC CHUPA CHUPS MILKY CARAMEL LOLLIPOP 9G</t>
  </si>
  <si>
    <t>8935001721567</t>
  </si>
  <si>
    <t>OTC CHUPA CHUPS STRAWBERRY &amp; CREAM FLAVOR 9G</t>
  </si>
  <si>
    <t>888123456781387</t>
  </si>
  <si>
    <t>OTC DIATABS</t>
  </si>
  <si>
    <t>888123456781207</t>
  </si>
  <si>
    <t>OTC DOLFENAL</t>
  </si>
  <si>
    <t>888123456781549</t>
  </si>
  <si>
    <t>OTC DYNAMITE CHOCO MINT RETAIL</t>
  </si>
  <si>
    <t>8881234567818</t>
  </si>
  <si>
    <t>OTC EVEREADY SUPER HEAVY DUTY BATTERY BLACK AA 2S</t>
  </si>
  <si>
    <t>4800042112138</t>
  </si>
  <si>
    <t>OTC EVEREADY SUPER HEAVY DUTY BATTERY BLACK AAA 2S</t>
  </si>
  <si>
    <t>4806518844015</t>
  </si>
  <si>
    <t>OTC HONEY HOUSE CLASSIC</t>
  </si>
  <si>
    <t>4800818802010</t>
  </si>
  <si>
    <t>OTC LUV LOV BERRY MILK</t>
  </si>
  <si>
    <t>888123456781258</t>
  </si>
  <si>
    <t>OTC MAXX CHERRY</t>
  </si>
  <si>
    <t>888123456781561</t>
  </si>
  <si>
    <t>OTC MAXX HONEY LEMON</t>
  </si>
  <si>
    <t>8881234567829</t>
  </si>
  <si>
    <t>OTC MED CARBO TUSERAN</t>
  </si>
  <si>
    <t>8881234567827</t>
  </si>
  <si>
    <t>OTC MED PARACETAMOL NEOZEP</t>
  </si>
  <si>
    <t>888123456782002</t>
  </si>
  <si>
    <t>OTC REXONA CLEAN SHOWER</t>
  </si>
  <si>
    <t>888123456782003</t>
  </si>
  <si>
    <t>OTC REXONA POWDER DRY</t>
  </si>
  <si>
    <t>888123456781866</t>
  </si>
  <si>
    <t>OTC SOLMUX 500MG</t>
  </si>
  <si>
    <t>888123456782001</t>
  </si>
  <si>
    <t>OTC SUPERLAMIG CANDY</t>
  </si>
  <si>
    <t>4806515650305</t>
  </si>
  <si>
    <t>TAWAS PASTE BLUE 50G</t>
  </si>
  <si>
    <t>4806515650299</t>
  </si>
  <si>
    <t>TAWAS POWDER RED 50G</t>
  </si>
  <si>
    <t>4806515650312</t>
  </si>
  <si>
    <t>TAWAS W/ SCENT POWDER YELLOW 50G</t>
  </si>
  <si>
    <t>8998898101409</t>
  </si>
  <si>
    <t>TOLAK ANGIN HERBAL MINT HONEY 15ML</t>
  </si>
  <si>
    <t>888123456781608</t>
  </si>
  <si>
    <t>WASHABLE FACE MASK</t>
  </si>
  <si>
    <t>48040594</t>
  </si>
  <si>
    <t>WINSTON RED PACK</t>
  </si>
  <si>
    <t>OTHER PRODUCTS</t>
  </si>
  <si>
    <t>888123456781870</t>
  </si>
  <si>
    <t>BABY FEEDING BOTTLE 5OZ</t>
  </si>
  <si>
    <t>888123456781871</t>
  </si>
  <si>
    <t>BABY FEEDING BOTTLE 8OZ</t>
  </si>
  <si>
    <t>4800067051443</t>
  </si>
  <si>
    <t>BABYFLO BOTTLE NURSERY RHYME 8OZ</t>
  </si>
  <si>
    <t>4800067048962</t>
  </si>
  <si>
    <t xml:space="preserve">BABYFLO BOTTLE PLAYTIME NURSERY 12 OZ </t>
  </si>
  <si>
    <t>0710535987874</t>
  </si>
  <si>
    <t>BELLE MICROWAVE SAFE CONTAINERS 500ML 10S</t>
  </si>
  <si>
    <t>888123456781634</t>
  </si>
  <si>
    <t>BEST SILICONE NIPPLE LARGE 6 MOS &amp; ABOVE</t>
  </si>
  <si>
    <t>888123456781863</t>
  </si>
  <si>
    <t>BEST SILICONE NIPPLE MEDIUM 3 TO 7 MONTHS</t>
  </si>
  <si>
    <t>888123456781862</t>
  </si>
  <si>
    <t>BEST SILICONE NIPPLE SMALL 0 TO 3 MONTHS</t>
  </si>
  <si>
    <t>4806502161364</t>
  </si>
  <si>
    <t>CHEERS TRASH BAG LARGE 10 BAGS</t>
  </si>
  <si>
    <t>4806502161371</t>
  </si>
  <si>
    <t>CHEERS TRASH BAG X-LARGE 10 BAGS</t>
  </si>
  <si>
    <t>888123456781291</t>
  </si>
  <si>
    <t>CHICHARON</t>
  </si>
  <si>
    <t>4800065113112</t>
  </si>
  <si>
    <t>COMMANDO SAFETY MATCHES 10S</t>
  </si>
  <si>
    <t>4806523175838</t>
  </si>
  <si>
    <t>DIARY OF A PULUBI BOOK</t>
  </si>
  <si>
    <t>888123456781289</t>
  </si>
  <si>
    <t>ECO BAG</t>
  </si>
  <si>
    <t>888123456781288</t>
  </si>
  <si>
    <t>ECO BAG BLUE LARGE</t>
  </si>
  <si>
    <t>888123456781954</t>
  </si>
  <si>
    <t>ECO BAG LARGE</t>
  </si>
  <si>
    <t>888123456781953</t>
  </si>
  <si>
    <t>ECO BAG MEDIUM</t>
  </si>
  <si>
    <t>888123456781528</t>
  </si>
  <si>
    <t>ECO BAG XL</t>
  </si>
  <si>
    <t>888123456781577</t>
  </si>
  <si>
    <t xml:space="preserve">GAS LITE BBQ GRILL SET </t>
  </si>
  <si>
    <t>4800888606709</t>
  </si>
  <si>
    <t>GERM KILL KIT 3000L</t>
  </si>
  <si>
    <t>888123456781793</t>
  </si>
  <si>
    <t>GOLDEN DEER PLASTIC BAG LARGE</t>
  </si>
  <si>
    <t>888123456781224</t>
  </si>
  <si>
    <t>GOLDEN DEER PLASTIC BAG MINI</t>
  </si>
  <si>
    <t>888123456781779</t>
  </si>
  <si>
    <t>GOLDEN DEER PLASTIC BAG TINY</t>
  </si>
  <si>
    <t>888123456781764</t>
  </si>
  <si>
    <t>HOUSEHOLD GLOVES LARGE</t>
  </si>
  <si>
    <t>888123456781913</t>
  </si>
  <si>
    <t>JILLY TURMERIC GINGER TEA 150G</t>
  </si>
  <si>
    <t>888123456781472</t>
  </si>
  <si>
    <t>MIKKO CLING WRAP</t>
  </si>
  <si>
    <t>888123456781285</t>
  </si>
  <si>
    <t>MSC MALUNGAY TEA 15 TEA BAGS</t>
  </si>
  <si>
    <t>Expired 12/2021</t>
  </si>
  <si>
    <t>888123456781912</t>
  </si>
  <si>
    <t>MSC PROMO PACK</t>
  </si>
  <si>
    <t>888123456781235</t>
  </si>
  <si>
    <t>MSC RICE COFFEE 100G</t>
  </si>
  <si>
    <t>Expired 11/2020</t>
  </si>
  <si>
    <t>4806523176392</t>
  </si>
  <si>
    <t>MY IPON DIARY BOOK</t>
  </si>
  <si>
    <t>4806535990016</t>
  </si>
  <si>
    <t>ONE OPTI JUICE 30G</t>
  </si>
  <si>
    <t>888123456781326</t>
  </si>
  <si>
    <t>PAPER CUPS 10 OZ</t>
  </si>
  <si>
    <t>888123456781638</t>
  </si>
  <si>
    <t>PLASTIC BAG 5X10 1000S</t>
  </si>
  <si>
    <t>888123456781080</t>
  </si>
  <si>
    <t>RC PLASTIC BAG MEDIUM</t>
  </si>
  <si>
    <t>888123456781201</t>
  </si>
  <si>
    <t>ROLL X HD BAG 10X14</t>
  </si>
  <si>
    <t>4800155010550</t>
  </si>
  <si>
    <t>ROYAL CLING WRAP</t>
  </si>
  <si>
    <t>888123456781806</t>
  </si>
  <si>
    <t>SCENTED CANDLE ASSORTED</t>
  </si>
  <si>
    <t>888123456781379</t>
  </si>
  <si>
    <t>SUKI CLING WRAP JUMBO</t>
  </si>
  <si>
    <t>4809014547473</t>
  </si>
  <si>
    <t>SUNWAY MICROWAVABLE RECTANGLE 500ML</t>
  </si>
  <si>
    <t>888123456781792</t>
  </si>
  <si>
    <t xml:space="preserve">SUPER STAR WHITE BUNDLE 20X30 </t>
  </si>
  <si>
    <t>4806525912271</t>
  </si>
  <si>
    <t>TRIGEM MICROWAVABLE PLASTIC CONTAINER 750</t>
  </si>
  <si>
    <t>4806525912288</t>
  </si>
  <si>
    <t>TRIGEM MICROWAVABLE PLASTIC CONTAINER RE1000 10S</t>
  </si>
  <si>
    <t>888123456781377</t>
  </si>
  <si>
    <t>VERSA ALUMINUM FOIL JUMBO ROLL</t>
  </si>
  <si>
    <t>SUPER MORINGA PRODUCTS</t>
  </si>
  <si>
    <t>4809015665916</t>
  </si>
  <si>
    <t>SUPER MORINGA 7IN1 BOTANICAL LUYANG DILAW 60ML</t>
  </si>
  <si>
    <t>4809015665206</t>
  </si>
  <si>
    <t>SUPER MORINGA CALMING OIL 10ML</t>
  </si>
  <si>
    <t>4809015665954</t>
  </si>
  <si>
    <t>SUPER MORINGA GLUTA KOJIC 135G</t>
  </si>
  <si>
    <t>4809015665039</t>
  </si>
  <si>
    <t>SUPER MORINGA GREEN COFFEE 10X21G</t>
  </si>
  <si>
    <t>4809015665961</t>
  </si>
  <si>
    <t>SUPER MORINGA GUAVA &amp; TEA TREE SOAP 135G</t>
  </si>
  <si>
    <t>4809015665022</t>
  </si>
  <si>
    <t>SUPER MORINGA HERBAL COFFEE 10X21G</t>
  </si>
  <si>
    <t>888123456781560</t>
  </si>
  <si>
    <t>SUPER MORINGA HERBAL CREAM 25G</t>
  </si>
  <si>
    <t>4809015665152</t>
  </si>
  <si>
    <t>SUPER MORINGA ISOPROPYL ALCOHOL 70% SOL 100ML</t>
  </si>
  <si>
    <t>4809015665305</t>
  </si>
  <si>
    <t>SUPER MORINGA MOISTURIZING MASSAGE GEL</t>
  </si>
  <si>
    <t>4809015665312</t>
  </si>
  <si>
    <t>SUPER MORINGA MOISTURIZING MASSAGE OIL 60ML</t>
  </si>
  <si>
    <t>SCHOOL SUPPLIES</t>
  </si>
  <si>
    <t>4806021302040</t>
  </si>
  <si>
    <t>2 HOLE JOY PUNCHER</t>
  </si>
  <si>
    <t>4806021300053</t>
  </si>
  <si>
    <t>BINDER CLIP BIG</t>
  </si>
  <si>
    <t>4806021316931</t>
  </si>
  <si>
    <t>BINDER CLIP SMALL</t>
  </si>
  <si>
    <t>200035</t>
  </si>
  <si>
    <t>BRITE FASTENER #8 1/2</t>
  </si>
  <si>
    <t>200036</t>
  </si>
  <si>
    <t>BROWN ENVELOPE - LONG</t>
  </si>
  <si>
    <t>200037</t>
  </si>
  <si>
    <t>BROWN ENVELOPE - SHORT</t>
  </si>
  <si>
    <t>200006</t>
  </si>
  <si>
    <t>COLORED FOLDER LONG - VIOLET</t>
  </si>
  <si>
    <t>200003</t>
  </si>
  <si>
    <t>COLORED FOLDER LONG - YELLOW</t>
  </si>
  <si>
    <t>200009</t>
  </si>
  <si>
    <t>COLORED FOLDER SHORT - RED</t>
  </si>
  <si>
    <t>200010</t>
  </si>
  <si>
    <t>COLORED FOLDER SHORT - YELLOW</t>
  </si>
  <si>
    <t>4806021388082</t>
  </si>
  <si>
    <t>CORRECTION TAPE JOY</t>
  </si>
  <si>
    <t>8802203648315</t>
  </si>
  <si>
    <t>DONG-A REFILL .7</t>
  </si>
  <si>
    <t>200016</t>
  </si>
  <si>
    <t>EXPANDING FOLDER SHORT - PINK</t>
  </si>
  <si>
    <t>200018</t>
  </si>
  <si>
    <t>EXPANDING FOLDER SHORT - ROYAL BLUE</t>
  </si>
  <si>
    <t>200038</t>
  </si>
  <si>
    <t>FOLDER WHITE - LONG 14PTS</t>
  </si>
  <si>
    <t>200049</t>
  </si>
  <si>
    <t>HBW MATRIX BALLPEN RED</t>
  </si>
  <si>
    <t>6926341889729</t>
  </si>
  <si>
    <t xml:space="preserve">HBW STAMP PAD #3 </t>
  </si>
  <si>
    <t>4802870729288</t>
  </si>
  <si>
    <t>MAX STAPLER W/ REMOVER</t>
  </si>
  <si>
    <t>4806502211137</t>
  </si>
  <si>
    <t>OFFICE PRO - A4 SUBS 20</t>
  </si>
  <si>
    <t>200040</t>
  </si>
  <si>
    <t>PAID STAMP W/ DATE</t>
  </si>
  <si>
    <t>200041</t>
  </si>
  <si>
    <t>PAPER CLIP GATOR 50MM</t>
  </si>
  <si>
    <t>8993242596726</t>
  </si>
  <si>
    <t>PERFECT PRINT BONDPAPER SHORT</t>
  </si>
  <si>
    <t>4902505088827</t>
  </si>
  <si>
    <t>PILOT WYTEBORD MARKER BLACK</t>
  </si>
  <si>
    <t>200021</t>
  </si>
  <si>
    <t>PLASTIC FOLDER LONG - BLUE</t>
  </si>
  <si>
    <t>200022</t>
  </si>
  <si>
    <t>PLASTIC FOLDER LONG - PINK</t>
  </si>
  <si>
    <t>200023</t>
  </si>
  <si>
    <t>PLASTIC FOLDER LONG - RED</t>
  </si>
  <si>
    <t>200025</t>
  </si>
  <si>
    <t>PLASTIC FOLDER LONG - YELLOW</t>
  </si>
  <si>
    <t>6923980330124</t>
  </si>
  <si>
    <t>RECEIVED STAMP W/ DATE</t>
  </si>
  <si>
    <t>&gt;</t>
  </si>
  <si>
    <t>6925722100514</t>
  </si>
  <si>
    <t>STAPLE WIRE #10</t>
  </si>
  <si>
    <t>NOT IN LIST</t>
  </si>
  <si>
    <t>4807770122712</t>
  </si>
  <si>
    <t>MONDE CHOCO PUFF PACK</t>
  </si>
  <si>
    <t>4800818801761</t>
  </si>
  <si>
    <t>PRETZEE CHOCOLATE 21G</t>
  </si>
  <si>
    <t>4800116043023</t>
  </si>
  <si>
    <t>BUTTER CREAM CRACKERS</t>
  </si>
  <si>
    <t>4807770101076</t>
  </si>
  <si>
    <t>NISSIN CUBEE WAFER 25G</t>
  </si>
  <si>
    <t>HAWHAW CHOCOLARE CANDY</t>
  </si>
  <si>
    <t>021169</t>
  </si>
  <si>
    <t>GT ORIGINAL</t>
  </si>
  <si>
    <t>022314</t>
  </si>
  <si>
    <t>LD BACON SPREAD</t>
  </si>
  <si>
    <t>SAFEGUARD IVORY WHITE CARE 135G</t>
  </si>
  <si>
    <t>4800067600474</t>
  </si>
  <si>
    <t xml:space="preserve">ALBATROSS KIWI </t>
  </si>
  <si>
    <t>PP BAGS</t>
  </si>
  <si>
    <t>902430453295</t>
  </si>
  <si>
    <t>9555222605058</t>
  </si>
  <si>
    <t>GLADE</t>
  </si>
  <si>
    <t>610687</t>
  </si>
  <si>
    <t>FAMILY GUARD DISINFECT FRESH FLORAL 155 ML</t>
  </si>
  <si>
    <t>SCOTH BRITE</t>
  </si>
  <si>
    <t>CONVIE M.M ORANGE 200ML</t>
  </si>
  <si>
    <t>SUPER MORINGA SUPER FRESH CREAM</t>
  </si>
  <si>
    <t>REXONA POWDER DRY 25ML</t>
  </si>
  <si>
    <t>4809014971032</t>
  </si>
  <si>
    <t>GARIN ENTERPRISE MURIATIC ACID</t>
  </si>
  <si>
    <t>TOP BRIGHT FABRIC CONDITIONER</t>
  </si>
  <si>
    <t>0745125093543</t>
  </si>
  <si>
    <t>TURMERIC 150G</t>
  </si>
  <si>
    <t>EXPIRED MAY 2025</t>
  </si>
  <si>
    <t>4806513800146</t>
  </si>
  <si>
    <t>FAFAFA LONGKOU VERMICELI</t>
  </si>
  <si>
    <t>EXPIRED OCT 2023</t>
  </si>
  <si>
    <t>COKE IN CAN ORIG</t>
  </si>
  <si>
    <t>FEMME DÉCOR BATHROOM TISSUE 12 ROLLS</t>
  </si>
  <si>
    <t>MADILAW</t>
  </si>
  <si>
    <t>ZONROX LEMON 250ML</t>
  </si>
  <si>
    <t>WING TOTAL CARE W/ FABCON</t>
  </si>
  <si>
    <t>4809013542028</t>
  </si>
  <si>
    <t>GOLDEN COOLERS</t>
  </si>
  <si>
    <t>4800361380140</t>
  </si>
  <si>
    <t>NESTEA LEMON</t>
  </si>
  <si>
    <t>4800194153225</t>
  </si>
  <si>
    <t>OISHI BREAD FUN SAVORY TOASTED</t>
  </si>
  <si>
    <t>105972</t>
  </si>
  <si>
    <t>OISHI CARAMEL POPCORN</t>
  </si>
  <si>
    <t>550420</t>
  </si>
  <si>
    <t>RICHNUTS</t>
  </si>
  <si>
    <t>215044</t>
  </si>
  <si>
    <t>110001</t>
  </si>
  <si>
    <t>164868</t>
  </si>
  <si>
    <t>MINUTE MAID ORANGE 180ML</t>
  </si>
  <si>
    <t>4800034017441</t>
  </si>
  <si>
    <t>HAPEE 55G BLUE</t>
  </si>
  <si>
    <t>4800014601664</t>
  </si>
  <si>
    <t>HAPEE 30G</t>
  </si>
  <si>
    <t>DELICIOUS SULIT PLUS SPAGHETTI 400G</t>
  </si>
  <si>
    <t>4806500470352</t>
  </si>
  <si>
    <t>DELICIOUS FAVORITO 400G</t>
  </si>
  <si>
    <t>KNORR SINIGANG SA SAMPALOK GAB1</t>
  </si>
  <si>
    <t>DON FRANK GULAMAN RED</t>
  </si>
  <si>
    <t>4800086046598</t>
  </si>
  <si>
    <t>SEL CHOCO ALMOND FUDGE 475ML</t>
  </si>
  <si>
    <t>4800116016003</t>
  </si>
  <si>
    <t>OTC SUNFLOWER CRACKERS STRAWBERRY 27G</t>
  </si>
  <si>
    <t>4808680021805</t>
  </si>
  <si>
    <t>LADYS CHOICE REAL MAYONNAISE 3.5L</t>
  </si>
  <si>
    <t>4800139990212</t>
  </si>
  <si>
    <t>JELLIYUM ICE POP 8PCS</t>
  </si>
  <si>
    <t>4800361393744</t>
  </si>
  <si>
    <t>NESCAFE CLASSIC DECAF</t>
  </si>
  <si>
    <t>4800888602268</t>
  </si>
  <si>
    <t>LADYS CHOICE REAL MAYONNAISE DOYPACK 220ML</t>
  </si>
  <si>
    <t>4804888804868</t>
  </si>
  <si>
    <t>MAMA SITAS OYSTER SAUCE 4.2KG</t>
  </si>
  <si>
    <t>4806502720172</t>
  </si>
  <si>
    <t>GAR BUTTER TOAST 2-SLICE PACK 50G</t>
  </si>
  <si>
    <t>4807770122705</t>
  </si>
  <si>
    <t>OTC MONDE CHOCO PUFF</t>
  </si>
  <si>
    <t>4809012413244</t>
  </si>
  <si>
    <t>KATINKO OIL LINIMENT 10ML</t>
  </si>
  <si>
    <t>750515030152</t>
  </si>
  <si>
    <t>OTC SKYFLAKES GARLIC 25G</t>
  </si>
  <si>
    <t>OTC SKYFLAKES ONION &amp; CHIVES 25G</t>
  </si>
  <si>
    <t>888123456781858</t>
  </si>
  <si>
    <t>OTC DYNAMITE MELON MINT RETAIL</t>
  </si>
  <si>
    <t>999055</t>
  </si>
  <si>
    <t>CONVIE SWIVEL CHAIR</t>
  </si>
  <si>
    <t>999056</t>
  </si>
  <si>
    <t>CONVIE OX WALL MOUNTED AIRCON 3.0HP</t>
  </si>
  <si>
    <t>999061</t>
  </si>
  <si>
    <t>CONVIE EXCESS COPPER TUBE</t>
  </si>
  <si>
    <t>999040</t>
  </si>
  <si>
    <t>CONVIE WATER DISPENSER -HFSWD 750SS</t>
  </si>
  <si>
    <t>4806512022051</t>
  </si>
  <si>
    <t>MAMA SITAS BARBECUE MARINADE 150ML</t>
  </si>
  <si>
    <t>12</t>
  </si>
  <si>
    <t>750515021358</t>
  </si>
  <si>
    <t>M.Y. SAN GRAHAMS CRUSHED HONEY GRAHAM CRACKERS 200G</t>
  </si>
  <si>
    <t>6</t>
  </si>
  <si>
    <t>4800361428408</t>
  </si>
  <si>
    <t>NESCAFE CLASSIC 48STCKS 91.2G</t>
  </si>
  <si>
    <t>5</t>
  </si>
  <si>
    <t>4809010249845</t>
  </si>
  <si>
    <t>HAILEYS TAWAS POWDER BRIGTENING 50G</t>
  </si>
  <si>
    <t>4806513103353</t>
  </si>
  <si>
    <t>HAILEYS TAWAS POWDER UNSCENTED 50G</t>
  </si>
  <si>
    <t>4806513103018</t>
  </si>
  <si>
    <t>HAILEYS TAWAS POWDER SOFT &amp; SCENTED 50G</t>
  </si>
  <si>
    <t>4806502359709</t>
  </si>
  <si>
    <t>TISYU CORELESS TWIN 2PLY</t>
  </si>
  <si>
    <t>4987176345684</t>
  </si>
  <si>
    <t xml:space="preserve">TIDE EXPERT CLEAN </t>
  </si>
  <si>
    <t>4987176285249</t>
  </si>
  <si>
    <t>JOY LEMON DISHWASHING LIQUID 540ML</t>
  </si>
  <si>
    <t>16</t>
  </si>
  <si>
    <t>4987176285232</t>
  </si>
  <si>
    <t>JOY KALAMANSI DISHWASHING LIQUID 540ML</t>
  </si>
  <si>
    <t>4987176361684</t>
  </si>
  <si>
    <t>JOY KALAMANSI DISWASHING LIQUID 475ML</t>
  </si>
  <si>
    <t>4987176361660</t>
  </si>
  <si>
    <t>JOY LEMON DISWASHING LIQUID 475ML</t>
  </si>
  <si>
    <t>4987176363411</t>
  </si>
  <si>
    <t>DOWNY COTTON FRESH 24ML</t>
  </si>
  <si>
    <t>4800116054128</t>
  </si>
  <si>
    <t>LOBO BISCUITS ORIGINAL</t>
  </si>
  <si>
    <t>4800116150028</t>
  </si>
  <si>
    <t>LOBO SUPREME BISCUITS</t>
  </si>
  <si>
    <t>4806502720080</t>
  </si>
  <si>
    <t>GAR PREMIUM PANDESAL 350G</t>
  </si>
  <si>
    <t>1</t>
  </si>
  <si>
    <t>4800047847295</t>
  </si>
  <si>
    <t>ZONROX MULTI CLEAN FLORAL BLAST 450ML</t>
  </si>
  <si>
    <t>3</t>
  </si>
  <si>
    <t>4800047841415</t>
  </si>
  <si>
    <t>DEL FABRIC SOFTENER SHOWER FRESH 1000ML</t>
  </si>
  <si>
    <t>4800047841422</t>
  </si>
  <si>
    <t>DEL FABRIC SOFTENER LAVENDER BREEZE 1000ML</t>
  </si>
  <si>
    <t>DIFF BARCODE</t>
  </si>
  <si>
    <t>4800047841408</t>
  </si>
  <si>
    <t>DEL FABRIC SOFTENER BLOSSOM FRESH 1000ML</t>
  </si>
  <si>
    <t>SEL SHOYU CARAMEL 450ML</t>
  </si>
  <si>
    <t>Overage will be adjusted to the system while shortage will be charge to the accountable staff/s.</t>
  </si>
  <si>
    <t>TERESITA B. OLAR</t>
  </si>
  <si>
    <t>JENNY-LYN R. GANIGAN</t>
  </si>
  <si>
    <t>ACTING BOOKEEPER</t>
  </si>
  <si>
    <t>ACCOUNTING SUPERVISOR</t>
  </si>
  <si>
    <t>FINANCE, ACCTG &amp; ADMIN MANAGER/OPERATIONS MANAGER</t>
  </si>
  <si>
    <t>VARIANCE BREAKDOWN (CONVIE)</t>
  </si>
  <si>
    <t>ACTUAL</t>
  </si>
  <si>
    <t>DATE</t>
  </si>
  <si>
    <t>SUPPLIER</t>
  </si>
  <si>
    <t>PARTICULAR</t>
  </si>
  <si>
    <t>ACRO DISTRIBUTION AND LOGISTICS, INC.</t>
  </si>
  <si>
    <t>PC/S</t>
  </si>
  <si>
    <t>4</t>
  </si>
  <si>
    <t>AS-LS DISTRIBUTOR</t>
  </si>
  <si>
    <t>PACK/S</t>
  </si>
  <si>
    <t>PROS MARKETING &amp; PHARMAPLUS DRUGSTORE</t>
  </si>
  <si>
    <t>60</t>
  </si>
  <si>
    <t>20</t>
  </si>
  <si>
    <t>100</t>
  </si>
  <si>
    <t>15</t>
  </si>
  <si>
    <t>PADSA ENTERPRISES CORPORATION</t>
  </si>
  <si>
    <t>ROVEN 168 CORP.</t>
  </si>
  <si>
    <t>4800086051042</t>
  </si>
  <si>
    <t>IBEST CORPORATION</t>
  </si>
  <si>
    <t>48</t>
  </si>
  <si>
    <t>80</t>
  </si>
  <si>
    <t>KIMBERLIN ENTERPRISES</t>
  </si>
  <si>
    <t>MIDLANDS DISTRIBUTION, INC.</t>
  </si>
  <si>
    <t>EDELIAS MARKETING</t>
  </si>
  <si>
    <t>BUTTER CREAM CRACKERS 10X25G</t>
  </si>
  <si>
    <t>10</t>
  </si>
  <si>
    <t>4806526074305</t>
  </si>
  <si>
    <t>SUNFLOWER SEEDS 13GX20PCS</t>
  </si>
  <si>
    <t>RETAIL</t>
  </si>
  <si>
    <t>PULL OUT</t>
  </si>
  <si>
    <t>UNIT</t>
  </si>
  <si>
    <t>28</t>
  </si>
  <si>
    <t>11</t>
  </si>
  <si>
    <t>4800086045973</t>
  </si>
  <si>
    <t>SEL WATERMELON SLICE STICK 60ML</t>
  </si>
  <si>
    <t>7</t>
  </si>
  <si>
    <t>67</t>
  </si>
  <si>
    <t>71</t>
  </si>
  <si>
    <t>18</t>
  </si>
  <si>
    <t>30</t>
  </si>
  <si>
    <t>35</t>
  </si>
  <si>
    <t>4809011681392</t>
  </si>
  <si>
    <t>33.75</t>
  </si>
  <si>
    <t>17.75</t>
  </si>
  <si>
    <t>60.00</t>
  </si>
  <si>
    <t>13.50</t>
  </si>
  <si>
    <t>85.00</t>
  </si>
  <si>
    <t>65.00</t>
  </si>
  <si>
    <t>90.00</t>
  </si>
  <si>
    <t>100.00</t>
  </si>
  <si>
    <t>MONDE CHOCO PUFF 240G</t>
  </si>
  <si>
    <t>10.00</t>
  </si>
  <si>
    <t>55.00</t>
  </si>
  <si>
    <t>36.00</t>
  </si>
  <si>
    <t>42.00</t>
  </si>
  <si>
    <t>37.00</t>
  </si>
  <si>
    <t>150.00</t>
  </si>
  <si>
    <t>DELICIOUS SPAGHETTI 400G</t>
  </si>
  <si>
    <t>32.00</t>
  </si>
  <si>
    <t>8.75</t>
  </si>
  <si>
    <t>21.50</t>
  </si>
  <si>
    <t>25.50</t>
  </si>
  <si>
    <t>14.00</t>
  </si>
  <si>
    <t>9.00</t>
  </si>
  <si>
    <t>34.00</t>
  </si>
  <si>
    <t>26.00</t>
  </si>
  <si>
    <t>35.75</t>
  </si>
  <si>
    <t>22.50</t>
  </si>
  <si>
    <t>120.00</t>
  </si>
  <si>
    <t>17.50</t>
  </si>
  <si>
    <t>75.00</t>
  </si>
  <si>
    <t>88.00</t>
  </si>
  <si>
    <t>27.00</t>
  </si>
  <si>
    <t>115.00</t>
  </si>
  <si>
    <t>45.00</t>
  </si>
  <si>
    <t>3.75</t>
  </si>
  <si>
    <t>15.00</t>
  </si>
  <si>
    <t>24.00</t>
  </si>
  <si>
    <t>23.00</t>
  </si>
  <si>
    <t>30.00</t>
  </si>
  <si>
    <t>6.00</t>
  </si>
  <si>
    <t>4.50</t>
  </si>
  <si>
    <t>5.00</t>
  </si>
  <si>
    <t>25.00</t>
  </si>
  <si>
    <t>18.00</t>
  </si>
  <si>
    <t>21.00</t>
  </si>
  <si>
    <t>28.00</t>
  </si>
  <si>
    <t>200.00</t>
  </si>
  <si>
    <t>180.00</t>
  </si>
  <si>
    <t>105.00</t>
  </si>
  <si>
    <t>244.30</t>
  </si>
  <si>
    <t>130.00</t>
  </si>
  <si>
    <t>11.00</t>
  </si>
  <si>
    <t>7.00</t>
  </si>
  <si>
    <t>20.00</t>
  </si>
  <si>
    <t>8.00</t>
  </si>
  <si>
    <t>84.00</t>
  </si>
  <si>
    <t>4.00</t>
  </si>
  <si>
    <t>2.00</t>
  </si>
  <si>
    <t>13.00</t>
  </si>
  <si>
    <t>EXPIRED MAY 2025- 100PCS</t>
  </si>
  <si>
    <t>AS OF JUNE 2026</t>
  </si>
  <si>
    <t>TRANSACTION NO:</t>
  </si>
  <si>
    <t>DESCRIPTION</t>
  </si>
  <si>
    <t>QTY.</t>
  </si>
  <si>
    <t>COST PRICE</t>
  </si>
  <si>
    <t>UNIT PRICE</t>
  </si>
  <si>
    <t xml:space="preserve">CASH SALE </t>
  </si>
  <si>
    <t>06/01/2026</t>
  </si>
  <si>
    <t>0-144075</t>
  </si>
  <si>
    <t>0-144076</t>
  </si>
  <si>
    <t>0-144078</t>
  </si>
  <si>
    <t>0-144079</t>
  </si>
  <si>
    <t>0-144080</t>
  </si>
  <si>
    <t>0-144081</t>
  </si>
  <si>
    <t>0-144082</t>
  </si>
  <si>
    <t>0-144083</t>
  </si>
  <si>
    <t>0-144084</t>
  </si>
  <si>
    <t>0-144092</t>
  </si>
  <si>
    <t>0-144093</t>
  </si>
  <si>
    <t>0-144094</t>
  </si>
  <si>
    <t>0-144095</t>
  </si>
  <si>
    <t>0-144098</t>
  </si>
  <si>
    <t>06/02/2026</t>
  </si>
  <si>
    <t>0-144099</t>
  </si>
  <si>
    <t>0-144101</t>
  </si>
  <si>
    <t>0-144102</t>
  </si>
  <si>
    <t>0-144103</t>
  </si>
  <si>
    <t>0-144104</t>
  </si>
  <si>
    <t>0-144105</t>
  </si>
  <si>
    <t>0-144106</t>
  </si>
  <si>
    <t>0-144107</t>
  </si>
  <si>
    <t>0-144110</t>
  </si>
  <si>
    <t>0-144111</t>
  </si>
  <si>
    <t>0-144113</t>
  </si>
  <si>
    <t>0-144114</t>
  </si>
  <si>
    <t>0-144115</t>
  </si>
  <si>
    <t>0-144118</t>
  </si>
  <si>
    <t>0-144119</t>
  </si>
  <si>
    <t>0-144120</t>
  </si>
  <si>
    <t>06/02/2027</t>
  </si>
  <si>
    <t>0-144121</t>
  </si>
  <si>
    <t>06/02/2028</t>
  </si>
  <si>
    <t>06/03/2026</t>
  </si>
  <si>
    <t>0-144123</t>
  </si>
  <si>
    <t>0-144126</t>
  </si>
  <si>
    <t>0-144127</t>
  </si>
  <si>
    <t>0-144128</t>
  </si>
  <si>
    <t>0-144131</t>
  </si>
  <si>
    <t>0-144132</t>
  </si>
  <si>
    <t>0-144133</t>
  </si>
  <si>
    <t>0-144134</t>
  </si>
  <si>
    <t>0-144135</t>
  </si>
  <si>
    <t>0-144136</t>
  </si>
  <si>
    <t>0-144138</t>
  </si>
  <si>
    <t>0-144140</t>
  </si>
  <si>
    <t>0-144143</t>
  </si>
  <si>
    <t>0-144147</t>
  </si>
  <si>
    <t>0-144148</t>
  </si>
  <si>
    <t>0-144149</t>
  </si>
  <si>
    <t>0-144150</t>
  </si>
  <si>
    <t>0-144152</t>
  </si>
  <si>
    <t>0-144155</t>
  </si>
  <si>
    <t>0-144157</t>
  </si>
  <si>
    <t>0-144158</t>
  </si>
  <si>
    <t>0-144160</t>
  </si>
  <si>
    <t>0-144161</t>
  </si>
  <si>
    <t>0-144162</t>
  </si>
  <si>
    <t>0-144163</t>
  </si>
  <si>
    <t>06/04/2026</t>
  </si>
  <si>
    <t>0-144164</t>
  </si>
  <si>
    <t>0-144165</t>
  </si>
  <si>
    <t>0-144166</t>
  </si>
  <si>
    <t>0-144167</t>
  </si>
  <si>
    <t>0-144168</t>
  </si>
  <si>
    <t>0-144169</t>
  </si>
  <si>
    <t>0-144173</t>
  </si>
  <si>
    <t>0-144174</t>
  </si>
  <si>
    <t>0-144178</t>
  </si>
  <si>
    <t>0-144180</t>
  </si>
  <si>
    <t>0-144181</t>
  </si>
  <si>
    <t>0-144182</t>
  </si>
  <si>
    <t>0-144183</t>
  </si>
  <si>
    <t>0-144184</t>
  </si>
  <si>
    <t>0-144187</t>
  </si>
  <si>
    <t>0-144188</t>
  </si>
  <si>
    <t>0-144189</t>
  </si>
  <si>
    <t>0-144192</t>
  </si>
  <si>
    <t>0-144193</t>
  </si>
  <si>
    <t>0-144194</t>
  </si>
  <si>
    <t>06/05/2026</t>
  </si>
  <si>
    <t>0-144195</t>
  </si>
  <si>
    <t>0-144196</t>
  </si>
  <si>
    <t>0-144198</t>
  </si>
  <si>
    <t>0-144218</t>
  </si>
  <si>
    <t>0-144219</t>
  </si>
  <si>
    <t>0-144221</t>
  </si>
  <si>
    <t>0-144224</t>
  </si>
  <si>
    <t>0-144225</t>
  </si>
  <si>
    <t>0-144226</t>
  </si>
  <si>
    <t>0-144227</t>
  </si>
  <si>
    <t>0-144228</t>
  </si>
  <si>
    <t>0-144229</t>
  </si>
  <si>
    <t>0-144230</t>
  </si>
  <si>
    <t>0-144233</t>
  </si>
  <si>
    <t>0-144234</t>
  </si>
  <si>
    <t>06/06/2026</t>
  </si>
  <si>
    <t>0-144236</t>
  </si>
  <si>
    <t>0-144239</t>
  </si>
  <si>
    <t>0-144241</t>
  </si>
  <si>
    <t>0-144242</t>
  </si>
  <si>
    <t>0-144243</t>
  </si>
  <si>
    <t>0-144244</t>
  </si>
  <si>
    <t>0-144245</t>
  </si>
  <si>
    <t>0-144248</t>
  </si>
  <si>
    <t>0-144251</t>
  </si>
  <si>
    <t>0-144252</t>
  </si>
  <si>
    <t>0-144254</t>
  </si>
  <si>
    <t>0-144255</t>
  </si>
  <si>
    <t>4807770121326</t>
  </si>
  <si>
    <t>0-144257</t>
  </si>
  <si>
    <t>OTC MONDE SPECIAL MAMON CLASSIC 43G</t>
  </si>
  <si>
    <t>0-144258</t>
  </si>
  <si>
    <t>0-144259</t>
  </si>
  <si>
    <t>0-144261</t>
  </si>
  <si>
    <t>75051030176</t>
  </si>
  <si>
    <t>OTC SKYFLAKES ONION &amp; CHIVES</t>
  </si>
  <si>
    <t>0-144262</t>
  </si>
  <si>
    <t>0-144265</t>
  </si>
  <si>
    <t>0-144266</t>
  </si>
  <si>
    <t>0-144267</t>
  </si>
  <si>
    <t>0-144268</t>
  </si>
  <si>
    <t>4800086050267</t>
  </si>
  <si>
    <t>0-144269</t>
  </si>
  <si>
    <t>SEL ORANGE BLAST 45ML</t>
  </si>
  <si>
    <t>0-144270</t>
  </si>
  <si>
    <t>0-144271</t>
  </si>
  <si>
    <t>0-144272</t>
  </si>
  <si>
    <t>0-144273</t>
  </si>
  <si>
    <t>0-144275</t>
  </si>
  <si>
    <t>0-144276</t>
  </si>
  <si>
    <t>0-144277</t>
  </si>
  <si>
    <t>06/07/2026</t>
  </si>
  <si>
    <t>0-144278</t>
  </si>
  <si>
    <t>0-144280</t>
  </si>
  <si>
    <t>0-144281</t>
  </si>
  <si>
    <t>0-144282</t>
  </si>
  <si>
    <t>0-144283</t>
  </si>
  <si>
    <t>0-144289</t>
  </si>
  <si>
    <t>0-144291</t>
  </si>
  <si>
    <t>0-144297</t>
  </si>
  <si>
    <t>0-144298</t>
  </si>
  <si>
    <t>0-144302</t>
  </si>
  <si>
    <t>0-144304</t>
  </si>
  <si>
    <t>0-144305</t>
  </si>
  <si>
    <t>0-144306</t>
  </si>
  <si>
    <t>0-144310</t>
  </si>
  <si>
    <t>0-144311</t>
  </si>
  <si>
    <t>06/08/2026</t>
  </si>
  <si>
    <t>0-144313</t>
  </si>
  <si>
    <t>0-144319</t>
  </si>
  <si>
    <t>0-144320</t>
  </si>
  <si>
    <t>0-144322</t>
  </si>
  <si>
    <t>0-144324</t>
  </si>
  <si>
    <t>0-144325</t>
  </si>
  <si>
    <t>0-144326</t>
  </si>
  <si>
    <t>0-144327</t>
  </si>
  <si>
    <t>0-144328</t>
  </si>
  <si>
    <t>0-144329</t>
  </si>
  <si>
    <t>0-144330</t>
  </si>
  <si>
    <t>0-144334</t>
  </si>
  <si>
    <t>0-144337</t>
  </si>
  <si>
    <t>0-144338</t>
  </si>
  <si>
    <t>06/09/2026</t>
  </si>
  <si>
    <t>0-144340</t>
  </si>
  <si>
    <t>0-144341</t>
  </si>
  <si>
    <t>0-144342</t>
  </si>
  <si>
    <t>0-144349</t>
  </si>
  <si>
    <t>0-144350</t>
  </si>
  <si>
    <t>0-144351</t>
  </si>
  <si>
    <t>0-144354</t>
  </si>
  <si>
    <t>0-144355</t>
  </si>
  <si>
    <t>0-144356</t>
  </si>
  <si>
    <t>0-144357</t>
  </si>
  <si>
    <t>0-144358</t>
  </si>
  <si>
    <t>750515031029</t>
  </si>
  <si>
    <t>0-144359</t>
  </si>
  <si>
    <t>OTC SKYFLAKES TSOKOLATE</t>
  </si>
  <si>
    <t>0-144363</t>
  </si>
  <si>
    <t>0-144364</t>
  </si>
  <si>
    <t>0-144365</t>
  </si>
  <si>
    <t>0-144366</t>
  </si>
  <si>
    <t>0-144368</t>
  </si>
  <si>
    <t>0-144372</t>
  </si>
  <si>
    <t>0-144373</t>
  </si>
  <si>
    <t>0-144376</t>
  </si>
  <si>
    <t>0-144378</t>
  </si>
  <si>
    <t>0-144379</t>
  </si>
  <si>
    <t>0-144380</t>
  </si>
  <si>
    <t>0-144381</t>
  </si>
  <si>
    <t>0-144382</t>
  </si>
  <si>
    <t>0-144384</t>
  </si>
  <si>
    <t>0-144385</t>
  </si>
  <si>
    <t>0-144386</t>
  </si>
  <si>
    <t>0-144388</t>
  </si>
  <si>
    <t>0-144389</t>
  </si>
  <si>
    <t>0-144390</t>
  </si>
  <si>
    <t>0-144391</t>
  </si>
  <si>
    <t>0-144392</t>
  </si>
  <si>
    <t>0-144393</t>
  </si>
  <si>
    <t>0-144394</t>
  </si>
  <si>
    <t>0-144395</t>
  </si>
  <si>
    <t>0-144396</t>
  </si>
  <si>
    <t>0-144397</t>
  </si>
  <si>
    <t>0-144398</t>
  </si>
  <si>
    <t>0-144401</t>
  </si>
  <si>
    <t>0-144402</t>
  </si>
  <si>
    <t>0-144403</t>
  </si>
  <si>
    <t>0-144404</t>
  </si>
  <si>
    <t>0-144405</t>
  </si>
  <si>
    <t>0-144406</t>
  </si>
  <si>
    <t>0-144410</t>
  </si>
  <si>
    <t>0-144411</t>
  </si>
  <si>
    <t>0-144413</t>
  </si>
  <si>
    <t>0-144416</t>
  </si>
  <si>
    <t>0-144418</t>
  </si>
  <si>
    <t>06/11/2026</t>
  </si>
  <si>
    <t>0-144419</t>
  </si>
  <si>
    <t>0-144420</t>
  </si>
  <si>
    <t>0-144421</t>
  </si>
  <si>
    <t>0-144422</t>
  </si>
  <si>
    <t>0-144423</t>
  </si>
  <si>
    <t>0-144424</t>
  </si>
  <si>
    <t>0-144425</t>
  </si>
  <si>
    <t>0-144426</t>
  </si>
  <si>
    <t>0-144429</t>
  </si>
  <si>
    <t>0-144430</t>
  </si>
  <si>
    <t>0-144431</t>
  </si>
  <si>
    <t>0-144432</t>
  </si>
  <si>
    <t>0-144441</t>
  </si>
  <si>
    <t>0-144442</t>
  </si>
  <si>
    <t>0-144444</t>
  </si>
  <si>
    <t>0-144445</t>
  </si>
  <si>
    <t>0-144447</t>
  </si>
  <si>
    <t>0-144449</t>
  </si>
  <si>
    <t>0-144450</t>
  </si>
  <si>
    <t>0-144453</t>
  </si>
  <si>
    <t>0-144454</t>
  </si>
  <si>
    <t>0-144456</t>
  </si>
  <si>
    <t>0-144457</t>
  </si>
  <si>
    <t>0-144458</t>
  </si>
  <si>
    <t>0-144459</t>
  </si>
  <si>
    <t>0-144460</t>
  </si>
  <si>
    <t>06/12/2026</t>
  </si>
  <si>
    <t>0-144461</t>
  </si>
  <si>
    <t>0-144462</t>
  </si>
  <si>
    <t>0-144463</t>
  </si>
  <si>
    <t>0-144464</t>
  </si>
  <si>
    <t>0-144466</t>
  </si>
  <si>
    <t>0-144467</t>
  </si>
  <si>
    <t>0-144468</t>
  </si>
  <si>
    <t>0-144469</t>
  </si>
  <si>
    <t>0-144470</t>
  </si>
  <si>
    <t>750515030176</t>
  </si>
  <si>
    <t>0-144471</t>
  </si>
  <si>
    <t>0-144472</t>
  </si>
  <si>
    <t>0-144473</t>
  </si>
  <si>
    <t>0-144474</t>
  </si>
  <si>
    <t>0-144475</t>
  </si>
  <si>
    <t>0-144476</t>
  </si>
  <si>
    <t>0-144477</t>
  </si>
  <si>
    <t>0-144482</t>
  </si>
  <si>
    <t>0-144483</t>
  </si>
  <si>
    <t>0-144484</t>
  </si>
  <si>
    <t>06/13/2026</t>
  </si>
  <si>
    <t>0-144486</t>
  </si>
  <si>
    <t>0-144487</t>
  </si>
  <si>
    <t>0-144489</t>
  </si>
  <si>
    <t>0-144490</t>
  </si>
  <si>
    <t>0-144491</t>
  </si>
  <si>
    <t>0-144492</t>
  </si>
  <si>
    <t>0-144493</t>
  </si>
  <si>
    <t>0-144494</t>
  </si>
  <si>
    <t>0-144495</t>
  </si>
  <si>
    <t>0-144496</t>
  </si>
  <si>
    <t>0-144497</t>
  </si>
  <si>
    <t>0-144498</t>
  </si>
  <si>
    <t>4800086050168</t>
  </si>
  <si>
    <t>0-144499</t>
  </si>
  <si>
    <t>SEL CRUNCHY MAX 65ML</t>
  </si>
  <si>
    <t>0-144500</t>
  </si>
  <si>
    <t>0-144501</t>
  </si>
  <si>
    <t>0-144502</t>
  </si>
  <si>
    <t>0-144503</t>
  </si>
  <si>
    <t>0-144504</t>
  </si>
  <si>
    <t>0-144505</t>
  </si>
  <si>
    <t>0-144506</t>
  </si>
  <si>
    <t>0-144507</t>
  </si>
  <si>
    <t>0-144508</t>
  </si>
  <si>
    <t>0-144509</t>
  </si>
  <si>
    <t>0-144513</t>
  </si>
  <si>
    <t>0-144514</t>
  </si>
  <si>
    <t>06/14/2026</t>
  </si>
  <si>
    <t>0-144519</t>
  </si>
  <si>
    <t>0-144520</t>
  </si>
  <si>
    <t>0-144522</t>
  </si>
  <si>
    <t>0-144523</t>
  </si>
  <si>
    <t>0-144526</t>
  </si>
  <si>
    <t>0-144527</t>
  </si>
  <si>
    <t>0-144528</t>
  </si>
  <si>
    <t>0-144530</t>
  </si>
  <si>
    <t>0-144533</t>
  </si>
  <si>
    <t>0-144538</t>
  </si>
  <si>
    <t>0-144541</t>
  </si>
  <si>
    <t>0-144542</t>
  </si>
  <si>
    <t>0-144544</t>
  </si>
  <si>
    <t>06/15/2026</t>
  </si>
  <si>
    <t>0-144545</t>
  </si>
  <si>
    <t>0-144546</t>
  </si>
  <si>
    <t>0-144547</t>
  </si>
  <si>
    <t>0-144549</t>
  </si>
  <si>
    <t>0-144550</t>
  </si>
  <si>
    <t>0-144551</t>
  </si>
  <si>
    <t>0-144552</t>
  </si>
  <si>
    <t>0-144553</t>
  </si>
  <si>
    <t>0-144554</t>
  </si>
  <si>
    <t>0-144555</t>
  </si>
  <si>
    <t>0-144556</t>
  </si>
  <si>
    <t>0-144557</t>
  </si>
  <si>
    <t>0-144558</t>
  </si>
  <si>
    <t>0-144559</t>
  </si>
  <si>
    <t>0-144562</t>
  </si>
  <si>
    <t>0-144563</t>
  </si>
  <si>
    <t>0-144567</t>
  </si>
  <si>
    <t>0-144569</t>
  </si>
  <si>
    <t>0-144572</t>
  </si>
  <si>
    <t>0-144576</t>
  </si>
  <si>
    <t>0-144577</t>
  </si>
  <si>
    <t>0-144579</t>
  </si>
  <si>
    <t>0-144580</t>
  </si>
  <si>
    <t>0-144586</t>
  </si>
  <si>
    <t>0-144587</t>
  </si>
  <si>
    <t>0-144590</t>
  </si>
  <si>
    <t>0-144591</t>
  </si>
  <si>
    <t>0-144592</t>
  </si>
  <si>
    <t>0-144593</t>
  </si>
  <si>
    <t>0-144594</t>
  </si>
  <si>
    <t>0-144595</t>
  </si>
  <si>
    <t>0-144598</t>
  </si>
  <si>
    <t>0-144599</t>
  </si>
  <si>
    <t>0-144602</t>
  </si>
  <si>
    <t>0-144604</t>
  </si>
  <si>
    <t>0-144608</t>
  </si>
  <si>
    <t>0-144609</t>
  </si>
  <si>
    <t>0-144611</t>
  </si>
  <si>
    <t>0-144615</t>
  </si>
  <si>
    <t>0-144616</t>
  </si>
  <si>
    <t>4806517042061</t>
  </si>
  <si>
    <t>GOYA BAR CREAM WHITE CHOCOLATE 38G</t>
  </si>
  <si>
    <t>0-144617</t>
  </si>
  <si>
    <t>0-144618</t>
  </si>
  <si>
    <t>0-144620</t>
  </si>
  <si>
    <t>0-144621</t>
  </si>
  <si>
    <t>0-144622</t>
  </si>
  <si>
    <t>0-144623</t>
  </si>
  <si>
    <t>0-144624</t>
  </si>
  <si>
    <t>0-144625</t>
  </si>
  <si>
    <t>0-144627</t>
  </si>
  <si>
    <t>0-144631</t>
  </si>
  <si>
    <t>0-144632</t>
  </si>
  <si>
    <t>0-144634</t>
  </si>
  <si>
    <t>0-144635</t>
  </si>
  <si>
    <t>0-144637</t>
  </si>
  <si>
    <t>0-144638</t>
  </si>
  <si>
    <t>0-144639</t>
  </si>
  <si>
    <t>0-144640</t>
  </si>
  <si>
    <t>0-144643</t>
  </si>
  <si>
    <t>0-144644</t>
  </si>
  <si>
    <t>0-144645</t>
  </si>
  <si>
    <t>0-144646</t>
  </si>
  <si>
    <t>0-144647</t>
  </si>
  <si>
    <t>0-144648</t>
  </si>
  <si>
    <t>0-144649</t>
  </si>
  <si>
    <t>0-144650</t>
  </si>
  <si>
    <t>0-144655</t>
  </si>
  <si>
    <t>0-144656</t>
  </si>
  <si>
    <t>0-144657</t>
  </si>
  <si>
    <t>0-144659</t>
  </si>
  <si>
    <t>0-144660</t>
  </si>
  <si>
    <t>0-144661</t>
  </si>
  <si>
    <t>0-144663</t>
  </si>
  <si>
    <t>0-144664</t>
  </si>
  <si>
    <t>0-144665</t>
  </si>
  <si>
    <t>0-144666</t>
  </si>
  <si>
    <t>0-144668</t>
  </si>
  <si>
    <t>4800116077004</t>
  </si>
  <si>
    <t>0-144670</t>
  </si>
  <si>
    <t>OTC BUTTER CREAM CHOCOLATE CRACKERS 25G</t>
  </si>
  <si>
    <t>0-144672</t>
  </si>
  <si>
    <t>0-144673</t>
  </si>
  <si>
    <t>0-144676</t>
  </si>
  <si>
    <t>0-144678</t>
  </si>
  <si>
    <t>0-144682</t>
  </si>
  <si>
    <t>4806500802450</t>
  </si>
  <si>
    <t>0-144685</t>
  </si>
  <si>
    <t>MAGIC PANTS DIAPERS PULL-UPS 30S-XL</t>
  </si>
  <si>
    <t>0-144686</t>
  </si>
  <si>
    <t>4800116099006</t>
  </si>
  <si>
    <t>0-144687</t>
  </si>
  <si>
    <t>OTC BUTTER CREAM ENSAYMADA 25G</t>
  </si>
  <si>
    <t>0-144688</t>
  </si>
  <si>
    <t>888123456782039</t>
  </si>
  <si>
    <t>0-144689</t>
  </si>
  <si>
    <t>OTC SUPERLAMIG PEPPERMINT</t>
  </si>
  <si>
    <t>0-144690</t>
  </si>
  <si>
    <t>0-144692</t>
  </si>
  <si>
    <t>0-144695</t>
  </si>
  <si>
    <t>0-144696</t>
  </si>
  <si>
    <t>0-144698</t>
  </si>
  <si>
    <t>0-144702</t>
  </si>
  <si>
    <t>0-144710</t>
  </si>
  <si>
    <t>0-144711</t>
  </si>
  <si>
    <t>4806506151118</t>
  </si>
  <si>
    <t>SOFT N WHITE TRAVEL PACK 2PLY 50PULLS</t>
  </si>
  <si>
    <t>0-144712</t>
  </si>
  <si>
    <t>0-144713</t>
  </si>
  <si>
    <t>0-144714</t>
  </si>
  <si>
    <t>0-144716</t>
  </si>
  <si>
    <t>0-144717</t>
  </si>
  <si>
    <t>0-144723</t>
  </si>
  <si>
    <t>0-144730</t>
  </si>
  <si>
    <t>0-144731</t>
  </si>
  <si>
    <t>0-144732</t>
  </si>
  <si>
    <t>0-144734</t>
  </si>
  <si>
    <t>0-144736</t>
  </si>
  <si>
    <t>0-144738</t>
  </si>
  <si>
    <t>0-144739</t>
  </si>
  <si>
    <t>0-144745</t>
  </si>
  <si>
    <t>0-144746</t>
  </si>
  <si>
    <t>0-144747</t>
  </si>
  <si>
    <t>0-144748</t>
  </si>
  <si>
    <t>0-144749</t>
  </si>
  <si>
    <t>0-144752</t>
  </si>
  <si>
    <t>0-144754</t>
  </si>
  <si>
    <t>0-144757</t>
  </si>
  <si>
    <t>0-144758</t>
  </si>
  <si>
    <t>0-144759</t>
  </si>
  <si>
    <t>0-144761</t>
  </si>
  <si>
    <t>0-144765</t>
  </si>
  <si>
    <t>0-144766</t>
  </si>
  <si>
    <t>0-144768</t>
  </si>
  <si>
    <t>0-144769</t>
  </si>
  <si>
    <t>0-144770</t>
  </si>
  <si>
    <t>0-144772</t>
  </si>
  <si>
    <t>0-144773</t>
  </si>
  <si>
    <t>0-144777</t>
  </si>
  <si>
    <t>0-144778</t>
  </si>
  <si>
    <t>0-144780</t>
  </si>
  <si>
    <t>0-144783</t>
  </si>
  <si>
    <t>06/20/2026</t>
  </si>
  <si>
    <t>0-144784</t>
  </si>
  <si>
    <t>0-144785</t>
  </si>
  <si>
    <t>0-144786</t>
  </si>
  <si>
    <t>0-144787</t>
  </si>
  <si>
    <t>0-144788</t>
  </si>
  <si>
    <t>0-144794</t>
  </si>
  <si>
    <t>0-144795</t>
  </si>
  <si>
    <t>93682961</t>
  </si>
  <si>
    <t>M&amp;M'S MILK CHOCOLATE 40G</t>
  </si>
  <si>
    <t>0-144796</t>
  </si>
  <si>
    <t>0-144797</t>
  </si>
  <si>
    <t>0-144798</t>
  </si>
  <si>
    <t>0-144799</t>
  </si>
  <si>
    <t>0-144801</t>
  </si>
  <si>
    <t>0-144803</t>
  </si>
  <si>
    <t>0-144804</t>
  </si>
  <si>
    <t>0-144805</t>
  </si>
  <si>
    <t>0-144806</t>
  </si>
  <si>
    <t>0-144811</t>
  </si>
  <si>
    <t>0-144813</t>
  </si>
  <si>
    <t>0-144814</t>
  </si>
  <si>
    <t>0-144815</t>
  </si>
  <si>
    <t>93682978</t>
  </si>
  <si>
    <t>M&amp;M'S PEANUT 40G</t>
  </si>
  <si>
    <t>0-144816</t>
  </si>
  <si>
    <t>0-144818</t>
  </si>
  <si>
    <t>0-144819</t>
  </si>
  <si>
    <t>0-144820</t>
  </si>
  <si>
    <t>0-144821</t>
  </si>
  <si>
    <t>06/21/2026</t>
  </si>
  <si>
    <t>0-144822</t>
  </si>
  <si>
    <t>0-144824</t>
  </si>
  <si>
    <t>0-144825</t>
  </si>
  <si>
    <t>0-144828</t>
  </si>
  <si>
    <t>0-144829</t>
  </si>
  <si>
    <t>0-144830</t>
  </si>
  <si>
    <t>0-144833</t>
  </si>
  <si>
    <t>0-144837</t>
  </si>
  <si>
    <t>0-144838</t>
  </si>
  <si>
    <t>0-144840</t>
  </si>
  <si>
    <t>0-144841</t>
  </si>
  <si>
    <t>0-144842</t>
  </si>
  <si>
    <t>0-144843</t>
  </si>
  <si>
    <t>0-144846</t>
  </si>
  <si>
    <t>0-144849</t>
  </si>
  <si>
    <t>06/22/2026</t>
  </si>
  <si>
    <t>0-144853</t>
  </si>
  <si>
    <t>0-144854</t>
  </si>
  <si>
    <t>0-144856</t>
  </si>
  <si>
    <t>0-144857</t>
  </si>
  <si>
    <t>0-144858</t>
  </si>
  <si>
    <t>0-144861</t>
  </si>
  <si>
    <t>0-144862</t>
  </si>
  <si>
    <t>0-144863</t>
  </si>
  <si>
    <t>0-144867</t>
  </si>
  <si>
    <t>4806500802429</t>
  </si>
  <si>
    <t>0-144870</t>
  </si>
  <si>
    <t>MAGIC PANTS PULL-UPS XL 10S</t>
  </si>
  <si>
    <t>0-144874</t>
  </si>
  <si>
    <t>0-144875</t>
  </si>
  <si>
    <t>0-144877</t>
  </si>
  <si>
    <t>0-144878</t>
  </si>
  <si>
    <t>0-144879</t>
  </si>
  <si>
    <t>0-144880</t>
  </si>
  <si>
    <t>0-144881</t>
  </si>
  <si>
    <t>0-144883</t>
  </si>
  <si>
    <t>0-144884</t>
  </si>
  <si>
    <t>0-144885</t>
  </si>
  <si>
    <t>0-144887</t>
  </si>
  <si>
    <t>0-144888</t>
  </si>
  <si>
    <t>0-144891</t>
  </si>
  <si>
    <t>0-144894</t>
  </si>
  <si>
    <t>0-144895</t>
  </si>
  <si>
    <t>0-144896</t>
  </si>
  <si>
    <t>4806500802351</t>
  </si>
  <si>
    <t>0-144897</t>
  </si>
  <si>
    <t>MAGIC PANTS DIAPERS PULL-UPS 30PCS-LARGE</t>
  </si>
  <si>
    <t>0-144899</t>
  </si>
  <si>
    <t>0-144900</t>
  </si>
  <si>
    <t>0-144901</t>
  </si>
  <si>
    <t>0-144902</t>
  </si>
  <si>
    <t>0-144903</t>
  </si>
  <si>
    <t>0-144904</t>
  </si>
  <si>
    <t>0-144905</t>
  </si>
  <si>
    <t>0-144906</t>
  </si>
  <si>
    <t>0-144910</t>
  </si>
  <si>
    <t>0-144912</t>
  </si>
  <si>
    <t>0-144913</t>
  </si>
  <si>
    <t>0-144914</t>
  </si>
  <si>
    <t>0-144916</t>
  </si>
  <si>
    <t>0-144919</t>
  </si>
  <si>
    <t>0-144920</t>
  </si>
  <si>
    <t>0-144921</t>
  </si>
  <si>
    <t>0-144924</t>
  </si>
  <si>
    <t>0-144926</t>
  </si>
  <si>
    <t>0-144927</t>
  </si>
  <si>
    <t>0-144928</t>
  </si>
  <si>
    <t>0-144930</t>
  </si>
  <si>
    <t>0-144931</t>
  </si>
  <si>
    <t>06/24/2026</t>
  </si>
  <si>
    <t>0-144932</t>
  </si>
  <si>
    <t>0-144933</t>
  </si>
  <si>
    <t>0-144936</t>
  </si>
  <si>
    <t>0-144937</t>
  </si>
  <si>
    <t>0-144938</t>
  </si>
  <si>
    <t>0-144939</t>
  </si>
  <si>
    <t>0-144943</t>
  </si>
  <si>
    <t>0-144944</t>
  </si>
  <si>
    <t>0-144945</t>
  </si>
  <si>
    <t>0-144946</t>
  </si>
  <si>
    <t>0-144947</t>
  </si>
  <si>
    <t>0-144951</t>
  </si>
  <si>
    <t>0-144952</t>
  </si>
  <si>
    <t>0-144953</t>
  </si>
  <si>
    <t>0-144954</t>
  </si>
  <si>
    <t>0-144955</t>
  </si>
  <si>
    <t>0-144956</t>
  </si>
  <si>
    <t>0-144959</t>
  </si>
  <si>
    <t>0-144960</t>
  </si>
  <si>
    <t>0-144961</t>
  </si>
  <si>
    <t>0-144962</t>
  </si>
  <si>
    <t>0-144963</t>
  </si>
  <si>
    <t>0-144964</t>
  </si>
  <si>
    <t>0-144965</t>
  </si>
  <si>
    <t>750515031043</t>
  </si>
  <si>
    <t>0-144967</t>
  </si>
  <si>
    <t>OTC SKYFLAKES CONDENSADA</t>
  </si>
  <si>
    <t>0-144968</t>
  </si>
  <si>
    <t>0-144969</t>
  </si>
  <si>
    <t>0-144972</t>
  </si>
  <si>
    <t>0-144973</t>
  </si>
  <si>
    <t>0-144974</t>
  </si>
  <si>
    <t>0-144975</t>
  </si>
  <si>
    <t>0-144976</t>
  </si>
  <si>
    <t>0-144987</t>
  </si>
  <si>
    <t>0-144988</t>
  </si>
  <si>
    <t>0-144990</t>
  </si>
  <si>
    <t>0-144991</t>
  </si>
  <si>
    <t>0-144992</t>
  </si>
  <si>
    <t>0-144995</t>
  </si>
  <si>
    <t>0-144999</t>
  </si>
  <si>
    <t>0-145000</t>
  </si>
  <si>
    <t>0-145001</t>
  </si>
  <si>
    <t>0-145002</t>
  </si>
  <si>
    <t>0-145003</t>
  </si>
  <si>
    <t>0-145004</t>
  </si>
  <si>
    <t>0-145005</t>
  </si>
  <si>
    <t>0-145017</t>
  </si>
  <si>
    <t>0-145019</t>
  </si>
  <si>
    <t>0-145020</t>
  </si>
  <si>
    <t>4800016021169</t>
  </si>
  <si>
    <t>GREAT TASTE ORIGINAL TWIN PACK 33G</t>
  </si>
  <si>
    <t>0-145030</t>
  </si>
  <si>
    <t>0-145031</t>
  </si>
  <si>
    <t>0-145032</t>
  </si>
  <si>
    <t>0-145033</t>
  </si>
  <si>
    <t>0-145034</t>
  </si>
  <si>
    <t>0-145035</t>
  </si>
  <si>
    <t>0-145036</t>
  </si>
  <si>
    <t>0-145037</t>
  </si>
  <si>
    <t>0-145038</t>
  </si>
  <si>
    <t>0-145041</t>
  </si>
  <si>
    <t>0-145045</t>
  </si>
  <si>
    <t>888123456781413</t>
  </si>
  <si>
    <t>0-145049</t>
  </si>
  <si>
    <t>OTC ICE POP ASSORTED FLAVOR</t>
  </si>
  <si>
    <t>0-145051</t>
  </si>
  <si>
    <t>0-145052</t>
  </si>
  <si>
    <t>0-145054</t>
  </si>
  <si>
    <t>0-145055</t>
  </si>
  <si>
    <t>0-145059</t>
  </si>
  <si>
    <t>0-145060</t>
  </si>
  <si>
    <t>0-145062</t>
  </si>
  <si>
    <t>0-145064</t>
  </si>
  <si>
    <t>0-145065</t>
  </si>
  <si>
    <t>0-145066</t>
  </si>
  <si>
    <t>06/27/2026</t>
  </si>
  <si>
    <t>0-145067</t>
  </si>
  <si>
    <t>0-145068</t>
  </si>
  <si>
    <t>0-145069</t>
  </si>
  <si>
    <t>0-145070</t>
  </si>
  <si>
    <t>4806026378101</t>
  </si>
  <si>
    <t>SNICKERS CLASSIC BUY2SAVE15</t>
  </si>
  <si>
    <t>0-145077</t>
  </si>
  <si>
    <t>0-145078</t>
  </si>
  <si>
    <t>0-145079</t>
  </si>
  <si>
    <t>0-145082</t>
  </si>
  <si>
    <t>0-145083</t>
  </si>
  <si>
    <t>0-145085</t>
  </si>
  <si>
    <t>0-145086</t>
  </si>
  <si>
    <t>0-145087</t>
  </si>
  <si>
    <t>0-145088</t>
  </si>
  <si>
    <t>0-145089</t>
  </si>
  <si>
    <t>0-145090</t>
  </si>
  <si>
    <t>0-145091</t>
  </si>
  <si>
    <t>0-145093</t>
  </si>
  <si>
    <t>0-145094</t>
  </si>
  <si>
    <t>0-145095</t>
  </si>
  <si>
    <t>0-145096</t>
  </si>
  <si>
    <t>06/28/2026</t>
  </si>
  <si>
    <t>0-145097</t>
  </si>
  <si>
    <t>0-145098</t>
  </si>
  <si>
    <t>0-145099</t>
  </si>
  <si>
    <t>0-145100</t>
  </si>
  <si>
    <t>0-145101</t>
  </si>
  <si>
    <t>0-145102</t>
  </si>
  <si>
    <t>0-145103</t>
  </si>
  <si>
    <t>0-145104</t>
  </si>
  <si>
    <t>0-145108</t>
  </si>
  <si>
    <t>0-145109</t>
  </si>
  <si>
    <t>4806526070093</t>
  </si>
  <si>
    <t>HELLO KITTY SOFT CANDY 30PCS</t>
  </si>
  <si>
    <t>0-145110</t>
  </si>
  <si>
    <t>0-145112</t>
  </si>
  <si>
    <t>0-145115</t>
  </si>
  <si>
    <t>0-145116</t>
  </si>
  <si>
    <t>0-145118</t>
  </si>
  <si>
    <t>0-145119</t>
  </si>
  <si>
    <t>0-145120</t>
  </si>
  <si>
    <t>0-145122</t>
  </si>
  <si>
    <t>0-145124</t>
  </si>
  <si>
    <t>0-145126</t>
  </si>
  <si>
    <t>0-145127</t>
  </si>
  <si>
    <t>0-145128</t>
  </si>
  <si>
    <t>0-145131</t>
  </si>
  <si>
    <t>0-145132</t>
  </si>
  <si>
    <t>0-145135</t>
  </si>
  <si>
    <t>0-145136</t>
  </si>
  <si>
    <t>0-145138</t>
  </si>
  <si>
    <t>0-145139</t>
  </si>
  <si>
    <t>0-145140</t>
  </si>
  <si>
    <t>0-145141</t>
  </si>
  <si>
    <t>0-145142</t>
  </si>
  <si>
    <t>0-145143</t>
  </si>
  <si>
    <t>0-145144</t>
  </si>
  <si>
    <t>0-145145</t>
  </si>
  <si>
    <t>0-145146</t>
  </si>
  <si>
    <t>0-145147</t>
  </si>
  <si>
    <t>0-145149</t>
  </si>
  <si>
    <t>0-145150</t>
  </si>
  <si>
    <t>0-145151</t>
  </si>
  <si>
    <t>0-145152</t>
  </si>
  <si>
    <t>0-145153</t>
  </si>
  <si>
    <t>0-145204</t>
  </si>
  <si>
    <t>0-145207</t>
  </si>
  <si>
    <t>4902430381765</t>
  </si>
  <si>
    <t>ALBATROSS KIWI 50G</t>
  </si>
  <si>
    <t>4800888158925</t>
  </si>
  <si>
    <t>REXONA WOMEN DEO-ROLL ON POWDER DRY 25ML</t>
  </si>
  <si>
    <t>HAPEE TOOTPASTE BLUE CHILL 55G</t>
  </si>
  <si>
    <t>00006</t>
  </si>
  <si>
    <t>CONVIE COKE IN CAN ORIGINAL 320ML</t>
  </si>
  <si>
    <t xml:space="preserve">ACCOUNT RECEIVABLE </t>
  </si>
  <si>
    <t>SALES DISCOUNT</t>
  </si>
  <si>
    <t>NET SALES</t>
  </si>
  <si>
    <t>COGS</t>
  </si>
  <si>
    <t>PURCHASES</t>
  </si>
  <si>
    <t>CV No.</t>
  </si>
  <si>
    <t xml:space="preserve"> QTY </t>
  </si>
  <si>
    <t xml:space="preserve"> UNIT PRICE </t>
  </si>
  <si>
    <t xml:space="preserve"> PURCHASES </t>
  </si>
  <si>
    <t>WING-AN MARKETING INC.</t>
  </si>
  <si>
    <t>BAYGON SHIELD PROTECTOR 500ML</t>
  </si>
  <si>
    <t>AS-LS DISTRIBUTORS</t>
  </si>
  <si>
    <t>FLORDELIZA S. ANTONIO</t>
  </si>
  <si>
    <t>CHIP ACCENDO ENTERPRISES INC.</t>
  </si>
  <si>
    <t>SNICKERS CLASSIC 35G</t>
  </si>
  <si>
    <t>M&amp;MS PEANUT 40G</t>
  </si>
  <si>
    <t>M&amp;MS MILK CHOCOLATE 40G</t>
  </si>
  <si>
    <t xml:space="preserve">CYNTHIA CABRERA </t>
  </si>
  <si>
    <t>MAGIC PANTS PULL-UPS MEDIUM 10PCS</t>
  </si>
  <si>
    <t>MAGIC PANTS PULL-UPS LARGE 10S</t>
  </si>
  <si>
    <t>MAGIC PANTS DIAPERS PULL-UPS 30PCS-XXXL</t>
  </si>
  <si>
    <t>MAGIC PANTS DIAPERS PULL-UPS 30PCS-MEDIUM</t>
  </si>
  <si>
    <t>MAGIC PANTS DIAPERS PULL-UPS 30PCS-XXL</t>
  </si>
  <si>
    <t>MAGIC PANTS PULL-UPS 10S-XXXL</t>
  </si>
  <si>
    <t>SOFT N WHITE EASY PACK 2PLY 40PULLS</t>
  </si>
  <si>
    <t>VALUE MARKETING AND CREATION INC.</t>
  </si>
  <si>
    <t>NESTLE BEARBRAND CHOCO SWAK PACK 29G</t>
  </si>
  <si>
    <t>MIX MARKET INTEGRATED XPLORATION CORPORATION</t>
  </si>
  <si>
    <t>MAXIPLUS MARKETING CORPORATION</t>
  </si>
  <si>
    <t>GC ETHYL ALCOHOL W/ MOIST 70% 500ML W/ FREE GC BAR 55G</t>
  </si>
  <si>
    <t>SEL SOLO PACK COFFEE CRUMBLE 475ML</t>
  </si>
  <si>
    <t>SEL SOLO PACK PISTACHIO &amp; CASHEW 475ML</t>
  </si>
  <si>
    <t>SUNFLOWER CREAM SANDWICH BLUEBERRY 10X27G</t>
  </si>
  <si>
    <t>BUTTER CREAM MACAROON CRACKERS 250G</t>
  </si>
  <si>
    <t>69024894</t>
  </si>
  <si>
    <t>4806500802221</t>
  </si>
  <si>
    <t>4806500802320</t>
  </si>
  <si>
    <t>4806500802658</t>
  </si>
  <si>
    <t>4806500802252</t>
  </si>
  <si>
    <t>4806500802627</t>
  </si>
  <si>
    <t>4806506150258</t>
  </si>
  <si>
    <t>4800361409117</t>
  </si>
  <si>
    <t>4800047820304</t>
  </si>
  <si>
    <t>4800086043634</t>
  </si>
  <si>
    <t>4800086043641</t>
  </si>
  <si>
    <t>4800116024022</t>
  </si>
  <si>
    <t>4800116133021</t>
  </si>
  <si>
    <t>Actual Count May 2026</t>
  </si>
  <si>
    <t>70327</t>
  </si>
  <si>
    <t>70098</t>
  </si>
  <si>
    <t>70325</t>
  </si>
  <si>
    <t>70326</t>
  </si>
  <si>
    <t>70328</t>
  </si>
  <si>
    <t>70257</t>
  </si>
  <si>
    <t>PRINTING BROWN ENVELOPE - LONG (NEW)</t>
  </si>
  <si>
    <t>PRINTING KODAK PHOTO PAPER A4</t>
  </si>
  <si>
    <t>PRINTING MY GEL SIGN PEN .05 - NEW</t>
  </si>
  <si>
    <t>PRINTING MY GEL SIGN PEN .07 - NEW</t>
  </si>
  <si>
    <t>PRINTING PLASTIC FOLDER LONG- ROYAL BLUE</t>
  </si>
  <si>
    <t>PRINTING STICKER PAPER-NEW</t>
  </si>
  <si>
    <t>3.50</t>
  </si>
  <si>
    <t>4.25</t>
  </si>
  <si>
    <t>1.54</t>
  </si>
  <si>
    <t>145.00</t>
  </si>
  <si>
    <t>99.30</t>
  </si>
  <si>
    <t>2.83</t>
  </si>
  <si>
    <t>2.50</t>
  </si>
  <si>
    <t>375.00</t>
  </si>
  <si>
    <t>1.56</t>
  </si>
  <si>
    <t>295.00</t>
  </si>
  <si>
    <t>12.00</t>
  </si>
  <si>
    <t>1.50</t>
  </si>
  <si>
    <t>370.00</t>
  </si>
  <si>
    <t>146.50</t>
  </si>
  <si>
    <t>379.62</t>
  </si>
  <si>
    <t>486.21</t>
  </si>
  <si>
    <t>302.29</t>
  </si>
  <si>
    <t>523.26</t>
  </si>
  <si>
    <t>1,032.00</t>
  </si>
  <si>
    <t>876.00</t>
  </si>
  <si>
    <t>19.00</t>
  </si>
  <si>
    <t>16.00</t>
  </si>
  <si>
    <t>40.00</t>
  </si>
  <si>
    <t>50.00</t>
  </si>
  <si>
    <t>55.50</t>
  </si>
  <si>
    <t>1.88</t>
  </si>
  <si>
    <t>3.06</t>
  </si>
  <si>
    <t>1.80</t>
  </si>
  <si>
    <t>9.25</t>
  </si>
  <si>
    <t>14.50</t>
  </si>
  <si>
    <t>13.25</t>
  </si>
  <si>
    <t>281.11</t>
  </si>
  <si>
    <t>98.00</t>
  </si>
  <si>
    <t>8.25</t>
  </si>
  <si>
    <t>4.75</t>
  </si>
  <si>
    <t>2.70</t>
  </si>
  <si>
    <t>2.80</t>
  </si>
  <si>
    <t>115.85</t>
  </si>
  <si>
    <t>167.80</t>
  </si>
  <si>
    <t>700.00</t>
  </si>
  <si>
    <t>400.00</t>
  </si>
  <si>
    <t>6.50</t>
  </si>
  <si>
    <t>17.00</t>
  </si>
  <si>
    <t>178.33</t>
  </si>
  <si>
    <t>900.00</t>
  </si>
  <si>
    <t>95.00</t>
  </si>
  <si>
    <t>121.95</t>
  </si>
  <si>
    <t>390.00</t>
  </si>
  <si>
    <t>275.00</t>
  </si>
  <si>
    <t>147.70</t>
  </si>
  <si>
    <t>148.90</t>
  </si>
  <si>
    <t>126.00</t>
  </si>
  <si>
    <t>55.25</t>
  </si>
  <si>
    <t>43.40</t>
  </si>
  <si>
    <t>12.50</t>
  </si>
  <si>
    <t>124.00</t>
  </si>
  <si>
    <t>706.50</t>
  </si>
  <si>
    <t>16.50</t>
  </si>
  <si>
    <t>52.00</t>
  </si>
  <si>
    <t>8.50</t>
  </si>
  <si>
    <t>38.50</t>
  </si>
  <si>
    <t>450.00</t>
  </si>
  <si>
    <t>500.00</t>
  </si>
  <si>
    <t>600.00</t>
  </si>
  <si>
    <t>216.00</t>
  </si>
  <si>
    <t>2.16</t>
  </si>
  <si>
    <t>80.00</t>
  </si>
  <si>
    <t>53.00</t>
  </si>
  <si>
    <t>0.44</t>
  </si>
  <si>
    <t>0.54</t>
  </si>
  <si>
    <t>1.08</t>
  </si>
  <si>
    <t>253</t>
  </si>
  <si>
    <t>53</t>
  </si>
  <si>
    <t>27</t>
  </si>
  <si>
    <t>68</t>
  </si>
  <si>
    <t>157</t>
  </si>
  <si>
    <t>55</t>
  </si>
  <si>
    <t>245</t>
  </si>
  <si>
    <t>216</t>
  </si>
  <si>
    <t>99</t>
  </si>
  <si>
    <t>116</t>
  </si>
  <si>
    <t>115</t>
  </si>
  <si>
    <t>2000</t>
  </si>
  <si>
    <t>1845</t>
  </si>
  <si>
    <t>788</t>
  </si>
  <si>
    <t>740</t>
  </si>
  <si>
    <t>44</t>
  </si>
  <si>
    <t>800</t>
  </si>
  <si>
    <t>270</t>
  </si>
  <si>
    <t>131</t>
  </si>
  <si>
    <t>14</t>
  </si>
  <si>
    <t>3650</t>
  </si>
  <si>
    <t>34</t>
  </si>
  <si>
    <t>8</t>
  </si>
  <si>
    <t>9</t>
  </si>
  <si>
    <t>86</t>
  </si>
  <si>
    <t>13</t>
  </si>
  <si>
    <t>74</t>
  </si>
  <si>
    <t>22</t>
  </si>
  <si>
    <t>295</t>
  </si>
  <si>
    <t>514</t>
  </si>
  <si>
    <t>470</t>
  </si>
  <si>
    <t>200</t>
  </si>
  <si>
    <t>233</t>
  </si>
  <si>
    <t>222</t>
  </si>
  <si>
    <t>23</t>
  </si>
  <si>
    <t>280</t>
  </si>
  <si>
    <t>46</t>
  </si>
  <si>
    <t>43</t>
  </si>
  <si>
    <t>19</t>
  </si>
  <si>
    <t>495</t>
  </si>
  <si>
    <t>649</t>
  </si>
  <si>
    <t>1001</t>
  </si>
  <si>
    <t>806</t>
  </si>
  <si>
    <t>236</t>
  </si>
  <si>
    <t>288</t>
  </si>
  <si>
    <t>2294</t>
  </si>
  <si>
    <t>390</t>
  </si>
  <si>
    <t>3316</t>
  </si>
  <si>
    <t>180</t>
  </si>
  <si>
    <t>37</t>
  </si>
  <si>
    <t>17</t>
  </si>
  <si>
    <t>150</t>
  </si>
  <si>
    <t>33</t>
  </si>
  <si>
    <t>31</t>
  </si>
  <si>
    <t>25</t>
  </si>
  <si>
    <t>171</t>
  </si>
  <si>
    <t>84</t>
  </si>
  <si>
    <t>229</t>
  </si>
  <si>
    <t>120</t>
  </si>
  <si>
    <t>64</t>
  </si>
  <si>
    <t>360</t>
  </si>
  <si>
    <t>75</t>
  </si>
  <si>
    <t>206</t>
  </si>
  <si>
    <t>45</t>
  </si>
  <si>
    <t>94</t>
  </si>
  <si>
    <t>108</t>
  </si>
  <si>
    <t>81</t>
  </si>
  <si>
    <t>78</t>
  </si>
  <si>
    <t>70</t>
  </si>
  <si>
    <t>159</t>
  </si>
  <si>
    <t>300</t>
  </si>
  <si>
    <t>96</t>
  </si>
  <si>
    <t>89</t>
  </si>
  <si>
    <t>87</t>
  </si>
  <si>
    <t>439</t>
  </si>
  <si>
    <t>65</t>
  </si>
  <si>
    <t>38</t>
  </si>
  <si>
    <t>123</t>
  </si>
  <si>
    <t>42</t>
  </si>
  <si>
    <t>29</t>
  </si>
  <si>
    <t>21</t>
  </si>
  <si>
    <t>32</t>
  </si>
  <si>
    <t>1087</t>
  </si>
  <si>
    <t>751</t>
  </si>
  <si>
    <t>500</t>
  </si>
  <si>
    <t>92</t>
  </si>
  <si>
    <t>49</t>
  </si>
  <si>
    <t>PACK</t>
  </si>
  <si>
    <t>PCS</t>
  </si>
  <si>
    <t>ADJUSTMENT SHORT</t>
  </si>
  <si>
    <t>PULL OUR BAD ORDER</t>
  </si>
  <si>
    <t>ROVEN 168 CORP</t>
  </si>
  <si>
    <t>MAKOBOBI DISTRIBUTORS INC.</t>
  </si>
  <si>
    <t>PURCHASES/ RETAIL</t>
  </si>
  <si>
    <t>4809011 681392</t>
  </si>
  <si>
    <t>480652 6074305</t>
  </si>
  <si>
    <t>480036 1410892</t>
  </si>
  <si>
    <t>SAFEGUARD CLASSIC BEIGE</t>
  </si>
  <si>
    <t>GATORADE BLUE BOLT 1L</t>
  </si>
  <si>
    <t xml:space="preserve">DOWNY GARDEN BLOOM </t>
  </si>
  <si>
    <t>RED HORSE BEER  INCAN</t>
  </si>
  <si>
    <t>6PCS SALES OVER</t>
  </si>
  <si>
    <t>OVER 1 SALES</t>
  </si>
  <si>
    <t>OVER4  SALES</t>
  </si>
  <si>
    <t>OVER 12 SALES</t>
  </si>
  <si>
    <t>OVER 48 SALES</t>
  </si>
  <si>
    <t>OVER 13 SALES</t>
  </si>
  <si>
    <t>over 3 SALES</t>
  </si>
  <si>
    <t>over 21 sales</t>
  </si>
  <si>
    <t>over 13 sales</t>
  </si>
  <si>
    <t>over 22 sales</t>
  </si>
  <si>
    <t>over 40s ales</t>
  </si>
  <si>
    <t>over 15 sales</t>
  </si>
  <si>
    <t>over 14 sales</t>
  </si>
  <si>
    <t>over 6 sales</t>
  </si>
  <si>
    <t>over 10 sales</t>
  </si>
  <si>
    <t>over 9 sales</t>
  </si>
  <si>
    <t>over 8 sales</t>
  </si>
  <si>
    <t>over 25 sales</t>
  </si>
  <si>
    <t>over 11 sales</t>
  </si>
  <si>
    <t>over 2 sales</t>
  </si>
  <si>
    <t>OVER 24 SALES</t>
  </si>
  <si>
    <t>OVER 7 SALES</t>
  </si>
  <si>
    <t>OVER 10 SALES</t>
  </si>
  <si>
    <t>OVER 17 SALES</t>
  </si>
  <si>
    <t>OVER 15SALES</t>
  </si>
  <si>
    <t>OVER 30SALES</t>
  </si>
  <si>
    <t>OVER 19 SALES</t>
  </si>
  <si>
    <t>OVER 6 SALES</t>
  </si>
  <si>
    <t>OVER 4 SALES</t>
  </si>
  <si>
    <t>OVER 9SALES</t>
  </si>
  <si>
    <t>OVER 5 SALES</t>
  </si>
  <si>
    <t>OVER 18 SALES</t>
  </si>
  <si>
    <t>OVER 31 SALES</t>
  </si>
  <si>
    <t>OVER 15 SALES</t>
  </si>
  <si>
    <t>OVER 20 SALES</t>
  </si>
  <si>
    <t>over 3 sales</t>
  </si>
  <si>
    <t>over 1 sales</t>
  </si>
  <si>
    <t>over 1 sale</t>
  </si>
  <si>
    <t>over 20 sales</t>
  </si>
  <si>
    <t>over 26 sales</t>
  </si>
  <si>
    <t>over 30 sales</t>
  </si>
  <si>
    <t>over 35 sales</t>
  </si>
  <si>
    <t>over 16sales</t>
  </si>
  <si>
    <t>over 5 sales</t>
  </si>
  <si>
    <t>CREAMSILK KERATIN &amp; REBOND</t>
  </si>
  <si>
    <t>over 18 sales</t>
  </si>
  <si>
    <t>over 29 sales</t>
  </si>
  <si>
    <t>over 16 sales</t>
  </si>
  <si>
    <t>over 7 sales</t>
  </si>
  <si>
    <t>over 4 sales</t>
  </si>
  <si>
    <t>overr 3 sales</t>
  </si>
  <si>
    <t>over 60 sales</t>
  </si>
  <si>
    <t>over 73 sales</t>
  </si>
  <si>
    <t>over 155 sales</t>
  </si>
  <si>
    <t>over 119 sales</t>
  </si>
  <si>
    <t>over 5 sales &amp; actual count</t>
  </si>
  <si>
    <t>over 32 sales</t>
  </si>
  <si>
    <t>over 12 sales</t>
  </si>
  <si>
    <t>over 86 sales</t>
  </si>
  <si>
    <t>0ver 36sales</t>
  </si>
  <si>
    <t>over 137 sale</t>
  </si>
  <si>
    <t>over 113 sales</t>
  </si>
  <si>
    <t>over4 sales</t>
  </si>
  <si>
    <t>over 24 sales</t>
  </si>
  <si>
    <t>x</t>
  </si>
  <si>
    <t>10 sales over kinalanguyan</t>
  </si>
  <si>
    <t>10 sales kinalanguyan</t>
  </si>
  <si>
    <t>12 sales kinalanguyan</t>
  </si>
  <si>
    <t>17sales kinalanguyan</t>
  </si>
  <si>
    <t>6 SALES KINALANGUYAN</t>
  </si>
  <si>
    <t>64 KINALANGUYAN</t>
  </si>
  <si>
    <t>ANGELIKA B. MANUCOT</t>
  </si>
  <si>
    <t>KINALANGUYAN</t>
  </si>
  <si>
    <t>15 KINALANGUYAN</t>
  </si>
  <si>
    <t>4 KINALANGUYAN</t>
  </si>
  <si>
    <t>2 KINALANGUYAN</t>
  </si>
  <si>
    <t>1 KINALNGUYAN</t>
  </si>
  <si>
    <t>2 KILANGUYAN</t>
  </si>
  <si>
    <t>KINALNGUYAN</t>
  </si>
  <si>
    <t>24 KINALANGUYAN</t>
  </si>
  <si>
    <t>36 KINALANGUYAN</t>
  </si>
  <si>
    <t>6 KINALANGUYAN</t>
  </si>
  <si>
    <t>KINALANGUYAN STORE/Adjustment</t>
  </si>
  <si>
    <t>ANGELA G. RAYMUNDO     /     MICHAEL S.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</si>
</sst>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5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rgb="FFD10000"/>
      <name val="Calibri"/>
      <family val="2"/>
      <scheme val="minor"/>
    </font>
    <font>
      <b/>
      <sz val="11"/>
      <color rgb="FFD2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2" fillId="0" borderId="0">
      <alignment vertical="center"/>
    </xf>
    <xf numFmtId="0" fontId="32" fillId="0" borderId="0">
      <alignment vertical="center"/>
    </xf>
  </cellStyleXfs>
  <cellXfs count="365">
    <xf numFmtId="0" fontId="0" fillId="0" borderId="0" xfId="0"/>
    <xf numFmtId="0" fontId="13" fillId="2" borderId="1" xfId="0" applyFont="1" applyFill="1" applyBorder="1" applyAlignment="1">
      <alignment horizontal="center" vertical="center"/>
    </xf>
    <xf numFmtId="0" fontId="16" fillId="0" borderId="0" xfId="0" applyFont="1"/>
    <xf numFmtId="0" fontId="1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3" fontId="0" fillId="0" borderId="0" xfId="1" applyFont="1"/>
    <xf numFmtId="0" fontId="11" fillId="0" borderId="0" xfId="0" applyFont="1"/>
    <xf numFmtId="0" fontId="12" fillId="0" borderId="0" xfId="0" applyFont="1"/>
    <xf numFmtId="43" fontId="13" fillId="2" borderId="1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7" fillId="0" borderId="0" xfId="0" applyFont="1"/>
    <xf numFmtId="0" fontId="0" fillId="2" borderId="1" xfId="0" applyFill="1" applyBorder="1"/>
    <xf numFmtId="0" fontId="11" fillId="2" borderId="1" xfId="0" applyFont="1" applyFill="1" applyBorder="1"/>
    <xf numFmtId="43" fontId="11" fillId="2" borderId="1" xfId="1" applyFont="1" applyFill="1" applyBorder="1"/>
    <xf numFmtId="164" fontId="0" fillId="2" borderId="1" xfId="1" applyNumberFormat="1" applyFont="1" applyFill="1" applyBorder="1"/>
    <xf numFmtId="43" fontId="0" fillId="2" borderId="1" xfId="1" applyFont="1" applyFill="1" applyBorder="1"/>
    <xf numFmtId="164" fontId="0" fillId="0" borderId="0" xfId="0" applyNumberFormat="1"/>
    <xf numFmtId="164" fontId="0" fillId="0" borderId="0" xfId="1" applyNumberFormat="1" applyFont="1"/>
    <xf numFmtId="0" fontId="11" fillId="2" borderId="8" xfId="0" applyFont="1" applyFill="1" applyBorder="1"/>
    <xf numFmtId="0" fontId="11" fillId="2" borderId="3" xfId="0" applyFont="1" applyFill="1" applyBorder="1"/>
    <xf numFmtId="0" fontId="13" fillId="2" borderId="1" xfId="0" applyFont="1" applyFill="1" applyBorder="1"/>
    <xf numFmtId="43" fontId="0" fillId="0" borderId="1" xfId="0" applyNumberFormat="1" applyBorder="1" applyAlignment="1">
      <alignment horizontal="center" vertical="center"/>
    </xf>
    <xf numFmtId="41" fontId="0" fillId="0" borderId="1" xfId="0" applyNumberFormat="1" applyBorder="1"/>
    <xf numFmtId="43" fontId="11" fillId="2" borderId="1" xfId="0" applyNumberFormat="1" applyFont="1" applyFill="1" applyBorder="1" applyAlignment="1">
      <alignment horizontal="center" vertical="center"/>
    </xf>
    <xf numFmtId="41" fontId="11" fillId="2" borderId="1" xfId="0" applyNumberFormat="1" applyFont="1" applyFill="1" applyBorder="1"/>
    <xf numFmtId="0" fontId="0" fillId="2" borderId="2" xfId="0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center" vertical="center" wrapText="1"/>
    </xf>
    <xf numFmtId="164" fontId="23" fillId="2" borderId="1" xfId="1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4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41" fontId="10" fillId="3" borderId="1" xfId="0" applyNumberFormat="1" applyFont="1" applyFill="1" applyBorder="1" applyAlignment="1">
      <alignment horizontal="center" vertical="center"/>
    </xf>
    <xf numFmtId="0" fontId="0" fillId="5" borderId="0" xfId="0" applyFill="1"/>
    <xf numFmtId="1" fontId="23" fillId="2" borderId="1" xfId="0" applyNumberFormat="1" applyFont="1" applyFill="1" applyBorder="1" applyAlignment="1">
      <alignment horizontal="center" vertical="center" wrapText="1"/>
    </xf>
    <xf numFmtId="43" fontId="23" fillId="2" borderId="1" xfId="1" applyFont="1" applyFill="1" applyBorder="1" applyAlignment="1">
      <alignment horizontal="center" vertical="center" wrapText="1"/>
    </xf>
    <xf numFmtId="43" fontId="24" fillId="3" borderId="1" xfId="1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164" fontId="16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11" fillId="2" borderId="2" xfId="1" applyFont="1" applyFill="1" applyBorder="1" applyAlignment="1">
      <alignment horizontal="center"/>
    </xf>
    <xf numFmtId="43" fontId="16" fillId="0" borderId="0" xfId="1" applyFont="1" applyAlignment="1">
      <alignment horizontal="center"/>
    </xf>
    <xf numFmtId="43" fontId="11" fillId="0" borderId="0" xfId="1" applyFont="1" applyAlignment="1">
      <alignment horizontal="center"/>
    </xf>
    <xf numFmtId="0" fontId="29" fillId="0" borderId="0" xfId="0" applyFont="1"/>
    <xf numFmtId="1" fontId="28" fillId="2" borderId="1" xfId="0" applyNumberFormat="1" applyFont="1" applyFill="1" applyBorder="1" applyAlignment="1">
      <alignment horizontal="center" vertical="center" wrapText="1"/>
    </xf>
    <xf numFmtId="43" fontId="28" fillId="2" borderId="1" xfId="1" applyFont="1" applyFill="1" applyBorder="1" applyAlignment="1">
      <alignment horizontal="center" vertical="center" wrapText="1"/>
    </xf>
    <xf numFmtId="164" fontId="28" fillId="2" borderId="1" xfId="1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horizontal="center" vertical="center"/>
    </xf>
    <xf numFmtId="43" fontId="18" fillId="4" borderId="1" xfId="1" applyFont="1" applyFill="1" applyBorder="1" applyAlignment="1">
      <alignment horizontal="center" vertical="center" wrapText="1"/>
    </xf>
    <xf numFmtId="43" fontId="28" fillId="4" borderId="1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/>
    </xf>
    <xf numFmtId="43" fontId="9" fillId="4" borderId="1" xfId="1" applyFont="1" applyFill="1" applyBorder="1" applyAlignment="1">
      <alignment horizontal="center" vertical="center"/>
    </xf>
    <xf numFmtId="43" fontId="11" fillId="4" borderId="1" xfId="1" applyFont="1" applyFill="1" applyBorder="1"/>
    <xf numFmtId="0" fontId="9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43" fontId="9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11" fillId="6" borderId="2" xfId="1" applyNumberFormat="1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4" fontId="14" fillId="5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/>
    </xf>
    <xf numFmtId="0" fontId="27" fillId="5" borderId="0" xfId="0" applyFont="1" applyFill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/>
    </xf>
    <xf numFmtId="1" fontId="0" fillId="0" borderId="0" xfId="0" applyNumberFormat="1"/>
    <xf numFmtId="164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5" fillId="5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164" fontId="13" fillId="2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43" fontId="14" fillId="3" borderId="1" xfId="1" applyFont="1" applyFill="1" applyBorder="1" applyAlignment="1">
      <alignment horizontal="right" vertical="center" wrapText="1"/>
    </xf>
    <xf numFmtId="0" fontId="14" fillId="3" borderId="1" xfId="1" applyNumberFormat="1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43" fontId="6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36" fillId="9" borderId="0" xfId="0" applyFont="1" applyFill="1" applyAlignment="1">
      <alignment vertical="center"/>
    </xf>
    <xf numFmtId="164" fontId="36" fillId="9" borderId="0" xfId="0" applyNumberFormat="1" applyFont="1" applyFill="1" applyAlignment="1">
      <alignment vertical="center"/>
    </xf>
    <xf numFmtId="0" fontId="6" fillId="0" borderId="0" xfId="0" applyFont="1"/>
    <xf numFmtId="43" fontId="0" fillId="0" borderId="0" xfId="0" applyNumberFormat="1"/>
    <xf numFmtId="17" fontId="6" fillId="3" borderId="1" xfId="0" applyNumberFormat="1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17" fontId="0" fillId="0" borderId="0" xfId="0" applyNumberFormat="1"/>
    <xf numFmtId="0" fontId="0" fillId="8" borderId="0" xfId="0" applyFill="1"/>
    <xf numFmtId="0" fontId="6" fillId="8" borderId="0" xfId="0" applyFont="1" applyFill="1"/>
    <xf numFmtId="0" fontId="14" fillId="3" borderId="1" xfId="0" quotePrefix="1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4" fillId="11" borderId="1" xfId="0" quotePrefix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43" fontId="14" fillId="0" borderId="1" xfId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14" fillId="0" borderId="2" xfId="0" quotePrefix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43" fontId="14" fillId="0" borderId="2" xfId="1" applyFont="1" applyFill="1" applyBorder="1" applyAlignment="1">
      <alignment horizontal="right" vertical="center" wrapText="1"/>
    </xf>
    <xf numFmtId="17" fontId="6" fillId="0" borderId="0" xfId="0" applyNumberFormat="1" applyFont="1"/>
    <xf numFmtId="0" fontId="14" fillId="3" borderId="3" xfId="0" applyFont="1" applyFill="1" applyBorder="1" applyAlignment="1">
      <alignment vertical="center" wrapText="1"/>
    </xf>
    <xf numFmtId="0" fontId="14" fillId="3" borderId="2" xfId="0" quotePrefix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43" fontId="14" fillId="3" borderId="2" xfId="1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vertical="center" wrapText="1"/>
    </xf>
    <xf numFmtId="2" fontId="35" fillId="5" borderId="1" xfId="1" applyNumberFormat="1" applyFont="1" applyFill="1" applyBorder="1" applyAlignment="1">
      <alignment horizontal="right"/>
    </xf>
    <xf numFmtId="2" fontId="35" fillId="5" borderId="2" xfId="1" applyNumberFormat="1" applyFont="1" applyFill="1" applyBorder="1" applyAlignment="1">
      <alignment horizontal="right"/>
    </xf>
    <xf numFmtId="0" fontId="35" fillId="12" borderId="1" xfId="0" applyFont="1" applyFill="1" applyBorder="1" applyAlignment="1">
      <alignment horizontal="center"/>
    </xf>
    <xf numFmtId="0" fontId="6" fillId="2" borderId="2" xfId="0" applyFont="1" applyFill="1" applyBorder="1"/>
    <xf numFmtId="0" fontId="6" fillId="2" borderId="2" xfId="0" applyFont="1" applyFill="1" applyBorder="1" applyAlignment="1">
      <alignment wrapText="1"/>
    </xf>
    <xf numFmtId="164" fontId="6" fillId="2" borderId="2" xfId="1" applyNumberFormat="1" applyFont="1" applyFill="1" applyBorder="1" applyAlignment="1">
      <alignment horizontal="center" vertical="center" wrapText="1"/>
    </xf>
    <xf numFmtId="0" fontId="11" fillId="0" borderId="0" xfId="1" applyNumberFormat="1" applyFont="1"/>
    <xf numFmtId="43" fontId="11" fillId="0" borderId="0" xfId="0" applyNumberFormat="1" applyFont="1"/>
    <xf numFmtId="1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37" fillId="0" borderId="5" xfId="0" applyFont="1" applyBorder="1"/>
    <xf numFmtId="0" fontId="15" fillId="0" borderId="6" xfId="0" applyFont="1" applyBorder="1"/>
    <xf numFmtId="43" fontId="0" fillId="0" borderId="1" xfId="0" applyNumberFormat="1" applyBorder="1"/>
    <xf numFmtId="41" fontId="0" fillId="0" borderId="1" xfId="0" applyNumberFormat="1" applyBorder="1" applyAlignment="1">
      <alignment wrapText="1"/>
    </xf>
    <xf numFmtId="0" fontId="37" fillId="0" borderId="1" xfId="0" applyFont="1" applyBorder="1"/>
    <xf numFmtId="0" fontId="15" fillId="0" borderId="1" xfId="0" applyFont="1" applyBorder="1"/>
    <xf numFmtId="0" fontId="13" fillId="2" borderId="5" xfId="0" applyFont="1" applyFill="1" applyBorder="1"/>
    <xf numFmtId="0" fontId="13" fillId="2" borderId="6" xfId="0" applyFont="1" applyFill="1" applyBorder="1"/>
    <xf numFmtId="43" fontId="11" fillId="2" borderId="1" xfId="0" applyNumberFormat="1" applyFont="1" applyFill="1" applyBorder="1"/>
    <xf numFmtId="41" fontId="11" fillId="2" borderId="1" xfId="0" applyNumberFormat="1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164" fontId="16" fillId="0" borderId="0" xfId="1" applyNumberFormat="1" applyFont="1"/>
    <xf numFmtId="0" fontId="11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wrapText="1"/>
    </xf>
    <xf numFmtId="43" fontId="13" fillId="2" borderId="1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wrapText="1"/>
    </xf>
    <xf numFmtId="0" fontId="37" fillId="5" borderId="0" xfId="0" applyFont="1" applyFill="1" applyAlignment="1">
      <alignment wrapText="1"/>
    </xf>
    <xf numFmtId="0" fontId="37" fillId="0" borderId="0" xfId="0" applyFont="1"/>
    <xf numFmtId="0" fontId="38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left" vertical="center" wrapText="1"/>
    </xf>
    <xf numFmtId="43" fontId="38" fillId="3" borderId="1" xfId="1" applyFon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43" fontId="6" fillId="5" borderId="1" xfId="1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1" fontId="37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164" fontId="6" fillId="6" borderId="1" xfId="1" applyNumberFormat="1" applyFont="1" applyFill="1" applyBorder="1" applyAlignment="1">
      <alignment horizontal="center" vertical="center" wrapText="1"/>
    </xf>
    <xf numFmtId="164" fontId="6" fillId="6" borderId="2" xfId="1" applyNumberFormat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center" vertical="center" wrapText="1"/>
    </xf>
    <xf numFmtId="41" fontId="11" fillId="2" borderId="1" xfId="0" applyNumberFormat="1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4" fillId="13" borderId="2" xfId="0" quotePrefix="1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left" vertical="center" wrapText="1"/>
    </xf>
    <xf numFmtId="17" fontId="0" fillId="0" borderId="0" xfId="0" quotePrefix="1" applyNumberFormat="1"/>
    <xf numFmtId="0" fontId="14" fillId="5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2" fontId="13" fillId="4" borderId="7" xfId="0" applyNumberFormat="1" applyFont="1" applyFill="1" applyBorder="1" applyAlignment="1">
      <alignment horizontal="center"/>
    </xf>
    <xf numFmtId="2" fontId="13" fillId="4" borderId="6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vertical="center" wrapText="1"/>
    </xf>
    <xf numFmtId="0" fontId="14" fillId="5" borderId="1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36" fillId="5" borderId="0" xfId="0" applyFont="1" applyFill="1" applyAlignment="1">
      <alignment vertical="center"/>
    </xf>
    <xf numFmtId="164" fontId="36" fillId="5" borderId="0" xfId="0" applyNumberFormat="1" applyFont="1" applyFill="1" applyAlignment="1">
      <alignment vertical="center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left" vertical="center" wrapText="1"/>
    </xf>
    <xf numFmtId="164" fontId="34" fillId="6" borderId="1" xfId="1" applyNumberFormat="1" applyFont="1" applyFill="1" applyBorder="1" applyAlignment="1">
      <alignment horizontal="center" vertical="center" wrapText="1"/>
    </xf>
    <xf numFmtId="164" fontId="34" fillId="3" borderId="1" xfId="1" applyNumberFormat="1" applyFont="1" applyFill="1" applyBorder="1" applyAlignment="1">
      <alignment horizontal="center" vertical="center" wrapText="1"/>
    </xf>
    <xf numFmtId="43" fontId="34" fillId="3" borderId="1" xfId="1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5" fillId="5" borderId="0" xfId="0" applyFont="1" applyFill="1" applyAlignment="1">
      <alignment horizontal="center"/>
    </xf>
    <xf numFmtId="0" fontId="11" fillId="0" borderId="0" xfId="0" quotePrefix="1" applyFont="1"/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6" fillId="5" borderId="0" xfId="0" applyFont="1" applyFill="1"/>
    <xf numFmtId="14" fontId="34" fillId="5" borderId="0" xfId="0" applyNumberFormat="1" applyFont="1" applyFill="1"/>
    <xf numFmtId="14" fontId="41" fillId="5" borderId="12" xfId="0" applyNumberFormat="1" applyFont="1" applyFill="1" applyBorder="1" applyAlignment="1">
      <alignment horizontal="center" vertical="center" wrapText="1"/>
    </xf>
    <xf numFmtId="0" fontId="41" fillId="5" borderId="13" xfId="0" applyFont="1" applyFill="1" applyBorder="1" applyAlignment="1">
      <alignment horizontal="center" vertical="center" wrapText="1"/>
    </xf>
    <xf numFmtId="43" fontId="41" fillId="5" borderId="13" xfId="1" applyFont="1" applyFill="1" applyBorder="1" applyAlignment="1">
      <alignment horizontal="center" vertical="center" wrapText="1"/>
    </xf>
    <xf numFmtId="14" fontId="35" fillId="5" borderId="14" xfId="0" applyNumberFormat="1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  <xf numFmtId="0" fontId="35" fillId="5" borderId="2" xfId="0" applyFont="1" applyFill="1" applyBorder="1" applyAlignment="1">
      <alignment horizontal="left"/>
    </xf>
    <xf numFmtId="43" fontId="35" fillId="5" borderId="2" xfId="1" applyFont="1" applyFill="1" applyBorder="1" applyAlignment="1">
      <alignment horizontal="right"/>
    </xf>
    <xf numFmtId="14" fontId="35" fillId="5" borderId="15" xfId="0" applyNumberFormat="1" applyFont="1" applyFill="1" applyBorder="1" applyAlignment="1">
      <alignment horizontal="center"/>
    </xf>
    <xf numFmtId="14" fontId="35" fillId="7" borderId="15" xfId="0" applyNumberFormat="1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left"/>
    </xf>
    <xf numFmtId="2" fontId="35" fillId="7" borderId="2" xfId="1" applyNumberFormat="1" applyFont="1" applyFill="1" applyBorder="1" applyAlignment="1">
      <alignment horizontal="right"/>
    </xf>
    <xf numFmtId="43" fontId="35" fillId="7" borderId="2" xfId="1" applyFont="1" applyFill="1" applyBorder="1" applyAlignment="1">
      <alignment horizontal="right"/>
    </xf>
    <xf numFmtId="1" fontId="35" fillId="5" borderId="1" xfId="0" applyNumberFormat="1" applyFont="1" applyFill="1" applyBorder="1" applyAlignment="1">
      <alignment horizontal="center"/>
    </xf>
    <xf numFmtId="1" fontId="35" fillId="7" borderId="1" xfId="0" applyNumberFormat="1" applyFont="1" applyFill="1" applyBorder="1" applyAlignment="1">
      <alignment horizontal="center"/>
    </xf>
    <xf numFmtId="2" fontId="35" fillId="7" borderId="1" xfId="1" applyNumberFormat="1" applyFont="1" applyFill="1" applyBorder="1" applyAlignment="1">
      <alignment horizontal="right"/>
    </xf>
    <xf numFmtId="0" fontId="35" fillId="5" borderId="1" xfId="1" applyNumberFormat="1" applyFont="1" applyFill="1" applyBorder="1" applyAlignment="1">
      <alignment horizontal="right"/>
    </xf>
    <xf numFmtId="43" fontId="41" fillId="5" borderId="19" xfId="1" applyFont="1" applyFill="1" applyBorder="1" applyAlignment="1">
      <alignment horizontal="center"/>
    </xf>
    <xf numFmtId="43" fontId="41" fillId="5" borderId="21" xfId="1" applyFont="1" applyFill="1" applyBorder="1" applyAlignment="1">
      <alignment horizontal="center" vertical="center" wrapText="1"/>
    </xf>
    <xf numFmtId="43" fontId="41" fillId="5" borderId="22" xfId="1" applyFont="1" applyFill="1" applyBorder="1" applyAlignment="1">
      <alignment horizontal="center" vertical="center" wrapText="1"/>
    </xf>
    <xf numFmtId="43" fontId="35" fillId="5" borderId="2" xfId="1" applyFont="1" applyFill="1" applyBorder="1" applyAlignment="1">
      <alignment horizontal="center"/>
    </xf>
    <xf numFmtId="43" fontId="35" fillId="5" borderId="23" xfId="0" applyNumberFormat="1" applyFont="1" applyFill="1" applyBorder="1" applyAlignment="1">
      <alignment horizontal="center"/>
    </xf>
    <xf numFmtId="43" fontId="35" fillId="7" borderId="2" xfId="1" applyFont="1" applyFill="1" applyBorder="1" applyAlignment="1">
      <alignment horizontal="center"/>
    </xf>
    <xf numFmtId="43" fontId="35" fillId="7" borderId="23" xfId="0" applyNumberFormat="1" applyFont="1" applyFill="1" applyBorder="1" applyAlignment="1">
      <alignment horizontal="center"/>
    </xf>
    <xf numFmtId="43" fontId="42" fillId="5" borderId="13" xfId="1" applyFont="1" applyFill="1" applyBorder="1" applyAlignment="1">
      <alignment horizontal="center" vertical="center" wrapText="1"/>
    </xf>
    <xf numFmtId="14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left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5" borderId="1" xfId="0" applyNumberFormat="1" applyFont="1" applyFill="1" applyBorder="1"/>
    <xf numFmtId="0" fontId="0" fillId="5" borderId="1" xfId="0" applyFill="1" applyBorder="1" applyAlignment="1">
      <alignment horizontal="left"/>
    </xf>
    <xf numFmtId="1" fontId="37" fillId="5" borderId="1" xfId="0" applyNumberFormat="1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/>
    </xf>
    <xf numFmtId="0" fontId="37" fillId="5" borderId="1" xfId="0" applyFont="1" applyFill="1" applyBorder="1" applyAlignment="1">
      <alignment horizontal="center"/>
    </xf>
    <xf numFmtId="0" fontId="6" fillId="5" borderId="1" xfId="0" applyFont="1" applyFill="1" applyBorder="1"/>
    <xf numFmtId="2" fontId="0" fillId="5" borderId="1" xfId="0" applyNumberForma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4" fillId="8" borderId="1" xfId="1" applyNumberFormat="1" applyFont="1" applyFill="1" applyBorder="1" applyAlignment="1">
      <alignment horizontal="center" vertical="center" wrapText="1"/>
    </xf>
    <xf numFmtId="0" fontId="14" fillId="8" borderId="2" xfId="1" applyNumberFormat="1" applyFont="1" applyFill="1" applyBorder="1" applyAlignment="1">
      <alignment horizontal="center" vertical="center" wrapText="1"/>
    </xf>
    <xf numFmtId="164" fontId="23" fillId="6" borderId="1" xfId="1" applyNumberFormat="1" applyFont="1" applyFill="1" applyBorder="1" applyAlignment="1">
      <alignment horizontal="center" vertical="center" wrapText="1"/>
    </xf>
    <xf numFmtId="14" fontId="11" fillId="5" borderId="0" xfId="0" applyNumberFormat="1" applyFont="1" applyFill="1" applyAlignment="1">
      <alignment horizontal="center"/>
    </xf>
    <xf numFmtId="14" fontId="30" fillId="5" borderId="0" xfId="0" applyNumberFormat="1" applyFont="1" applyFill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64" fontId="43" fillId="2" borderId="1" xfId="1" applyNumberFormat="1" applyFont="1" applyFill="1" applyBorder="1" applyAlignment="1">
      <alignment horizontal="center" vertical="center" wrapText="1"/>
    </xf>
    <xf numFmtId="14" fontId="30" fillId="0" borderId="0" xfId="0" applyNumberFormat="1" applyFont="1"/>
    <xf numFmtId="0" fontId="14" fillId="7" borderId="1" xfId="1" applyNumberFormat="1" applyFont="1" applyFill="1" applyBorder="1" applyAlignment="1">
      <alignment horizontal="center" vertical="center" wrapText="1"/>
    </xf>
    <xf numFmtId="0" fontId="14" fillId="7" borderId="2" xfId="1" applyNumberFormat="1" applyFont="1" applyFill="1" applyBorder="1" applyAlignment="1">
      <alignment horizontal="center" vertical="center" wrapText="1"/>
    </xf>
    <xf numFmtId="0" fontId="14" fillId="5" borderId="2" xfId="1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43" fontId="11" fillId="2" borderId="1" xfId="1" applyFont="1" applyFill="1" applyBorder="1" applyAlignment="1">
      <alignment horizontal="center"/>
    </xf>
    <xf numFmtId="43" fontId="11" fillId="2" borderId="0" xfId="1" applyFont="1" applyFill="1" applyAlignment="1">
      <alignment horizontal="center"/>
    </xf>
    <xf numFmtId="164" fontId="11" fillId="2" borderId="2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1" fillId="6" borderId="1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9" fontId="14" fillId="7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164" fontId="11" fillId="2" borderId="0" xfId="0" applyNumberFormat="1" applyFont="1" applyFill="1"/>
    <xf numFmtId="14" fontId="35" fillId="2" borderId="15" xfId="0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left"/>
    </xf>
    <xf numFmtId="0" fontId="35" fillId="2" borderId="1" xfId="1" applyNumberFormat="1" applyFont="1" applyFill="1" applyBorder="1" applyAlignment="1">
      <alignment horizontal="right"/>
    </xf>
    <xf numFmtId="43" fontId="35" fillId="2" borderId="2" xfId="1" applyFont="1" applyFill="1" applyBorder="1" applyAlignment="1">
      <alignment horizontal="right"/>
    </xf>
    <xf numFmtId="43" fontId="35" fillId="2" borderId="2" xfId="1" applyFont="1" applyFill="1" applyBorder="1" applyAlignment="1">
      <alignment horizontal="center"/>
    </xf>
    <xf numFmtId="43" fontId="35" fillId="2" borderId="23" xfId="0" applyNumberFormat="1" applyFont="1" applyFill="1" applyBorder="1" applyAlignment="1">
      <alignment horizontal="center"/>
    </xf>
    <xf numFmtId="0" fontId="34" fillId="8" borderId="1" xfId="1" applyNumberFormat="1" applyFont="1" applyFill="1" applyBorder="1" applyAlignment="1">
      <alignment horizontal="center" vertical="center" wrapText="1"/>
    </xf>
    <xf numFmtId="0" fontId="34" fillId="5" borderId="1" xfId="1" applyNumberFormat="1" applyFont="1" applyFill="1" applyBorder="1" applyAlignment="1">
      <alignment horizontal="center" vertical="center" wrapText="1"/>
    </xf>
    <xf numFmtId="0" fontId="34" fillId="7" borderId="1" xfId="1" applyNumberFormat="1" applyFont="1" applyFill="1" applyBorder="1" applyAlignment="1">
      <alignment horizontal="center" vertical="center" wrapText="1"/>
    </xf>
    <xf numFmtId="14" fontId="35" fillId="6" borderId="15" xfId="0" applyNumberFormat="1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left"/>
    </xf>
    <xf numFmtId="2" fontId="35" fillId="6" borderId="2" xfId="1" applyNumberFormat="1" applyFont="1" applyFill="1" applyBorder="1" applyAlignment="1">
      <alignment horizontal="right"/>
    </xf>
    <xf numFmtId="43" fontId="35" fillId="6" borderId="2" xfId="1" applyFont="1" applyFill="1" applyBorder="1" applyAlignment="1">
      <alignment horizontal="right"/>
    </xf>
    <xf numFmtId="43" fontId="35" fillId="6" borderId="2" xfId="1" applyFont="1" applyFill="1" applyBorder="1" applyAlignment="1">
      <alignment horizontal="center"/>
    </xf>
    <xf numFmtId="43" fontId="35" fillId="6" borderId="23" xfId="0" applyNumberFormat="1" applyFont="1" applyFill="1" applyBorder="1" applyAlignment="1">
      <alignment horizontal="center"/>
    </xf>
    <xf numFmtId="164" fontId="43" fillId="15" borderId="1" xfId="1" applyNumberFormat="1" applyFont="1" applyFill="1" applyBorder="1" applyAlignment="1">
      <alignment horizontal="center" vertical="center" wrapText="1"/>
    </xf>
    <xf numFmtId="0" fontId="14" fillId="15" borderId="1" xfId="1" applyNumberFormat="1" applyFont="1" applyFill="1" applyBorder="1" applyAlignment="1">
      <alignment horizontal="center" vertical="center" wrapText="1"/>
    </xf>
    <xf numFmtId="0" fontId="34" fillId="15" borderId="1" xfId="1" applyNumberFormat="1" applyFont="1" applyFill="1" applyBorder="1" applyAlignment="1">
      <alignment horizontal="center" vertical="center" wrapText="1"/>
    </xf>
    <xf numFmtId="0" fontId="14" fillId="15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165" fontId="13" fillId="2" borderId="1" xfId="1" applyNumberFormat="1" applyFont="1" applyFill="1" applyBorder="1" applyAlignment="1">
      <alignment horizontal="center" vertical="center" wrapText="1"/>
    </xf>
    <xf numFmtId="165" fontId="34" fillId="3" borderId="1" xfId="1" applyNumberFormat="1" applyFont="1" applyFill="1" applyBorder="1" applyAlignment="1">
      <alignment horizontal="right" vertical="center" wrapText="1"/>
    </xf>
    <xf numFmtId="165" fontId="14" fillId="3" borderId="1" xfId="1" applyNumberFormat="1" applyFont="1" applyFill="1" applyBorder="1" applyAlignment="1">
      <alignment horizontal="right" vertical="center" wrapText="1"/>
    </xf>
    <xf numFmtId="165" fontId="14" fillId="5" borderId="1" xfId="1" applyNumberFormat="1" applyFont="1" applyFill="1" applyBorder="1" applyAlignment="1">
      <alignment horizontal="right" vertical="center" wrapText="1"/>
    </xf>
    <xf numFmtId="165" fontId="14" fillId="10" borderId="1" xfId="1" applyNumberFormat="1" applyFont="1" applyFill="1" applyBorder="1" applyAlignment="1">
      <alignment horizontal="right" vertical="center" wrapText="1"/>
    </xf>
    <xf numFmtId="165" fontId="14" fillId="0" borderId="1" xfId="1" applyNumberFormat="1" applyFont="1" applyFill="1" applyBorder="1" applyAlignment="1">
      <alignment horizontal="right" vertical="center" wrapText="1"/>
    </xf>
    <xf numFmtId="165" fontId="14" fillId="0" borderId="2" xfId="1" applyNumberFormat="1" applyFont="1" applyFill="1" applyBorder="1" applyAlignment="1">
      <alignment horizontal="right" vertical="center" wrapText="1"/>
    </xf>
    <xf numFmtId="165" fontId="14" fillId="3" borderId="2" xfId="1" applyNumberFormat="1" applyFont="1" applyFill="1" applyBorder="1" applyAlignment="1">
      <alignment horizontal="right" vertical="center" wrapText="1"/>
    </xf>
    <xf numFmtId="165" fontId="35" fillId="5" borderId="1" xfId="1" applyNumberFormat="1" applyFont="1" applyFill="1" applyBorder="1" applyAlignment="1">
      <alignment horizontal="right"/>
    </xf>
    <xf numFmtId="165" fontId="35" fillId="5" borderId="2" xfId="1" applyNumberFormat="1" applyFont="1" applyFill="1" applyBorder="1" applyAlignment="1">
      <alignment horizontal="right"/>
    </xf>
    <xf numFmtId="165" fontId="6" fillId="2" borderId="2" xfId="1" applyNumberFormat="1" applyFont="1" applyFill="1" applyBorder="1" applyAlignment="1">
      <alignment horizontal="center"/>
    </xf>
    <xf numFmtId="165" fontId="13" fillId="4" borderId="7" xfId="0" applyNumberFormat="1" applyFont="1" applyFill="1" applyBorder="1" applyAlignment="1">
      <alignment horizontal="center"/>
    </xf>
    <xf numFmtId="165" fontId="16" fillId="0" borderId="0" xfId="1" applyNumberFormat="1" applyFont="1"/>
    <xf numFmtId="165" fontId="11" fillId="0" borderId="0" xfId="1" applyNumberFormat="1" applyFont="1"/>
    <xf numFmtId="165" fontId="0" fillId="0" borderId="0" xfId="1" applyNumberFormat="1" applyFont="1"/>
    <xf numFmtId="0" fontId="30" fillId="15" borderId="1" xfId="1" applyNumberFormat="1" applyFont="1" applyFill="1" applyBorder="1" applyAlignment="1">
      <alignment horizontal="center" vertical="center" wrapText="1"/>
    </xf>
    <xf numFmtId="0" fontId="19" fillId="15" borderId="1" xfId="1" applyNumberFormat="1" applyFont="1" applyFill="1" applyBorder="1" applyAlignment="1">
      <alignment horizontal="center" vertical="center" wrapText="1"/>
    </xf>
    <xf numFmtId="0" fontId="48" fillId="15" borderId="1" xfId="1" applyNumberFormat="1" applyFont="1" applyFill="1" applyBorder="1" applyAlignment="1">
      <alignment horizontal="center" vertical="center" wrapText="1"/>
    </xf>
    <xf numFmtId="0" fontId="49" fillId="15" borderId="1" xfId="1" applyNumberFormat="1" applyFont="1" applyFill="1" applyBorder="1" applyAlignment="1">
      <alignment horizontal="center" vertical="center" wrapText="1"/>
    </xf>
    <xf numFmtId="0" fontId="50" fillId="15" borderId="1" xfId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9" xfId="0" applyNumberFormat="1" applyFont="1" applyBorder="1" applyAlignment="1">
      <alignment horizontal="center" vertical="center" wrapText="1"/>
    </xf>
    <xf numFmtId="2" fontId="26" fillId="0" borderId="0" xfId="0" applyNumberFormat="1" applyFont="1" applyAlignment="1">
      <alignment horizontal="center" vertical="center" wrapText="1"/>
    </xf>
    <xf numFmtId="2" fontId="26" fillId="0" borderId="10" xfId="0" applyNumberFormat="1" applyFont="1" applyBorder="1" applyAlignment="1">
      <alignment horizontal="center" vertical="center" wrapText="1"/>
    </xf>
    <xf numFmtId="2" fontId="26" fillId="0" borderId="3" xfId="0" applyNumberFormat="1" applyFont="1" applyBorder="1" applyAlignment="1">
      <alignment horizontal="center" vertical="center" wrapText="1"/>
    </xf>
    <xf numFmtId="2" fontId="26" fillId="0" borderId="1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4" fontId="35" fillId="5" borderId="16" xfId="0" applyNumberFormat="1" applyFont="1" applyFill="1" applyBorder="1" applyAlignment="1">
      <alignment horizontal="center"/>
    </xf>
    <xf numFmtId="14" fontId="35" fillId="5" borderId="17" xfId="0" applyNumberFormat="1" applyFont="1" applyFill="1" applyBorder="1" applyAlignment="1">
      <alignment horizontal="center"/>
    </xf>
    <xf numFmtId="14" fontId="35" fillId="5" borderId="18" xfId="0" applyNumberFormat="1" applyFont="1" applyFill="1" applyBorder="1" applyAlignment="1">
      <alignment horizontal="center"/>
    </xf>
    <xf numFmtId="14" fontId="11" fillId="14" borderId="0" xfId="0" applyNumberFormat="1" applyFont="1" applyFill="1" applyAlignment="1">
      <alignment horizontal="center"/>
    </xf>
    <xf numFmtId="14" fontId="11" fillId="14" borderId="20" xfId="0" applyNumberFormat="1" applyFont="1" applyFill="1" applyBorder="1" applyAlignment="1">
      <alignment horizontal="center"/>
    </xf>
    <xf numFmtId="14" fontId="11" fillId="6" borderId="0" xfId="0" applyNumberFormat="1" applyFont="1" applyFill="1" applyAlignment="1">
      <alignment horizontal="center"/>
    </xf>
    <xf numFmtId="14" fontId="11" fillId="6" borderId="3" xfId="0" applyNumberFormat="1" applyFont="1" applyFill="1" applyBorder="1" applyAlignment="1">
      <alignment horizontal="center"/>
    </xf>
    <xf numFmtId="165" fontId="0" fillId="0" borderId="4" xfId="0" applyNumberFormat="1" applyBorder="1" applyAlignment="1">
      <alignment horizontal="center" vertical="center" wrapText="1"/>
    </xf>
    <xf numFmtId="165" fontId="0" fillId="0" borderId="24" xfId="0" applyNumberFormat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165" fontId="0" fillId="0" borderId="25" xfId="0" applyNumberForma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</cellXfs>
  <cellStyles count="5">
    <cellStyle name="Comma" xfId="1" builtinId="3"/>
    <cellStyle name="Comma 2" xfId="2" xr:uid="{C73EC898-5921-4E60-921E-5A73125666E7}"/>
    <cellStyle name="Normal" xfId="0" builtinId="0"/>
    <cellStyle name="Normal 2" xfId="3" xr:uid="{A64D8179-2FE0-44B7-8F4E-74120B9D7E55}"/>
    <cellStyle name="Normal 2 2 2" xfId="4" xr:uid="{136F3F20-F751-4D5F-ACF0-AF39AA26E135}"/>
  </cellStyles>
  <dxfs count="0"/>
  <tableStyles count="0" defaultTableStyle="TableStyleMedium2" defaultPivotStyle="PivotStyleLight16"/>
  <colors>
    <mruColors>
      <color rgb="FFD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ika Manucot" id="{7C0F0184-80EA-484D-A627-5E97CCF04D0A}" userId="947c6ab7d14aacf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54" dT="2026-07-04T13:49:08.21" personId="{7C0F0184-80EA-484D-A627-5E97CCF04D0A}" id="{48A057D6-7B56-4CD3-8CD9-D28499823B71}">
    <text>Adj sales</text>
  </threadedComment>
  <threadedComment ref="G1120" dT="2026-07-04T13:53:00.10" personId="{7C0F0184-80EA-484D-A627-5E97CCF04D0A}" id="{9169865D-DAF1-4436-9075-E2AB449F8149}">
    <text xml:space="preserve">Adj sale 1
</text>
  </threadedComment>
  <threadedComment ref="G1124" dT="2026-07-04T13:50:25.88" personId="{7C0F0184-80EA-484D-A627-5E97CCF04D0A}" id="{F6A620B5-0DE6-4F06-AB03-AEC4ADB3601C}">
    <text xml:space="preserve">Adj sale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  <pageSetUpPr fitToPage="1"/>
  </sheetPr>
  <dimension ref="B1:M242"/>
  <sheetViews>
    <sheetView showGridLines="0" view="pageBreakPreview" topLeftCell="A165" zoomScale="40" zoomScaleNormal="100" zoomScaleSheetLayoutView="40" workbookViewId="0">
      <selection activeCell="G16" sqref="G16"/>
    </sheetView>
  </sheetViews>
  <sheetFormatPr defaultColWidth="9" defaultRowHeight="15"/>
  <cols>
    <col min="3" max="3" width="15.7109375" customWidth="1"/>
    <col min="4" max="4" width="16.28515625" style="4" customWidth="1"/>
    <col min="5" max="5" width="54" customWidth="1"/>
    <col min="6" max="6" width="9.42578125" style="44" customWidth="1"/>
    <col min="7" max="7" width="14.140625" style="28" customWidth="1"/>
    <col min="8" max="8" width="12.28515625" style="28" customWidth="1"/>
    <col min="9" max="9" width="14.85546875" style="6" customWidth="1"/>
    <col min="10" max="10" width="15.140625" style="6" customWidth="1"/>
    <col min="11" max="11" width="14.140625" style="19" customWidth="1"/>
    <col min="12" max="12" width="14.42578125" style="6" customWidth="1"/>
    <col min="13" max="13" width="23" style="4" customWidth="1"/>
  </cols>
  <sheetData>
    <row r="1" spans="2:13">
      <c r="B1" s="7" t="s">
        <v>0</v>
      </c>
    </row>
    <row r="2" spans="2:13">
      <c r="B2" s="211" t="s">
        <v>4239</v>
      </c>
    </row>
    <row r="3" spans="2:13">
      <c r="B3" s="8" t="s">
        <v>32</v>
      </c>
    </row>
    <row r="4" spans="2:13" ht="15" customHeight="1"/>
    <row r="5" spans="2:13" s="33" customFormat="1" ht="22.5">
      <c r="B5" s="31" t="s">
        <v>1</v>
      </c>
      <c r="C5" s="31" t="s">
        <v>2</v>
      </c>
      <c r="D5" s="31" t="s">
        <v>33</v>
      </c>
      <c r="E5" s="31" t="s">
        <v>4</v>
      </c>
      <c r="F5" s="40" t="s">
        <v>5</v>
      </c>
      <c r="G5" s="32" t="s">
        <v>34</v>
      </c>
      <c r="H5" s="32" t="s">
        <v>6</v>
      </c>
      <c r="I5" s="40" t="s">
        <v>7</v>
      </c>
      <c r="J5" s="40" t="s">
        <v>8</v>
      </c>
      <c r="K5" s="32" t="s">
        <v>9</v>
      </c>
      <c r="L5" s="40" t="s">
        <v>10</v>
      </c>
      <c r="M5" s="31" t="s">
        <v>11</v>
      </c>
    </row>
    <row r="6" spans="2:13" s="53" customFormat="1">
      <c r="B6" s="64">
        <v>20</v>
      </c>
      <c r="C6" s="65" t="s">
        <v>35</v>
      </c>
      <c r="D6" s="66" t="s">
        <v>45</v>
      </c>
      <c r="E6" s="65" t="s">
        <v>46</v>
      </c>
      <c r="F6" s="66" t="s">
        <v>4183</v>
      </c>
      <c r="G6" s="66" t="s">
        <v>5081</v>
      </c>
      <c r="H6" s="64">
        <v>253</v>
      </c>
      <c r="I6" s="65">
        <f>F6*G6</f>
        <v>3415.5</v>
      </c>
      <c r="J6" s="67">
        <f>F6*H6</f>
        <v>3415.5</v>
      </c>
      <c r="K6" s="67">
        <f t="shared" ref="K6:K12" si="0">G6-H6</f>
        <v>0</v>
      </c>
      <c r="L6" s="67">
        <f t="shared" ref="L6:L12" si="1">I6-J6</f>
        <v>0</v>
      </c>
      <c r="M6" s="64"/>
    </row>
    <row r="7" spans="2:13" s="53" customFormat="1">
      <c r="B7" s="64">
        <v>20</v>
      </c>
      <c r="C7" s="65" t="s">
        <v>35</v>
      </c>
      <c r="D7" s="66" t="s">
        <v>47</v>
      </c>
      <c r="E7" s="65" t="s">
        <v>48</v>
      </c>
      <c r="F7" s="66" t="s">
        <v>4222</v>
      </c>
      <c r="G7" s="66" t="s">
        <v>5082</v>
      </c>
      <c r="H7" s="64">
        <v>53</v>
      </c>
      <c r="I7" s="65">
        <f t="shared" ref="I7:I13" si="2">F7*G7</f>
        <v>954</v>
      </c>
      <c r="J7" s="67">
        <f t="shared" ref="J7:J13" si="3">F7*H7</f>
        <v>954</v>
      </c>
      <c r="K7" s="67">
        <f t="shared" si="0"/>
        <v>0</v>
      </c>
      <c r="L7" s="67">
        <f t="shared" si="1"/>
        <v>0</v>
      </c>
      <c r="M7" s="64"/>
    </row>
    <row r="8" spans="2:13" s="53" customFormat="1">
      <c r="B8" s="64">
        <v>20</v>
      </c>
      <c r="C8" s="65" t="s">
        <v>35</v>
      </c>
      <c r="D8" s="66" t="s">
        <v>49</v>
      </c>
      <c r="E8" s="65" t="s">
        <v>50</v>
      </c>
      <c r="F8" s="66" t="s">
        <v>4212</v>
      </c>
      <c r="G8" s="66" t="s">
        <v>4145</v>
      </c>
      <c r="H8" s="64">
        <v>4</v>
      </c>
      <c r="I8" s="65">
        <f t="shared" si="2"/>
        <v>180</v>
      </c>
      <c r="J8" s="67">
        <f t="shared" si="3"/>
        <v>180</v>
      </c>
      <c r="K8" s="67">
        <f t="shared" si="0"/>
        <v>0</v>
      </c>
      <c r="L8" s="67">
        <f t="shared" si="1"/>
        <v>0</v>
      </c>
      <c r="M8" s="64"/>
    </row>
    <row r="9" spans="2:13" s="53" customFormat="1">
      <c r="B9" s="64">
        <v>20</v>
      </c>
      <c r="C9" s="65" t="s">
        <v>35</v>
      </c>
      <c r="D9" s="66" t="s">
        <v>51</v>
      </c>
      <c r="E9" s="65" t="s">
        <v>52</v>
      </c>
      <c r="F9" s="66" t="s">
        <v>4217</v>
      </c>
      <c r="G9" s="66" t="s">
        <v>4092</v>
      </c>
      <c r="H9" s="64">
        <v>5</v>
      </c>
      <c r="I9" s="65">
        <f t="shared" si="2"/>
        <v>150</v>
      </c>
      <c r="J9" s="67">
        <f t="shared" si="3"/>
        <v>150</v>
      </c>
      <c r="K9" s="67">
        <f t="shared" si="0"/>
        <v>0</v>
      </c>
      <c r="L9" s="67">
        <f t="shared" si="1"/>
        <v>0</v>
      </c>
      <c r="M9" s="64"/>
    </row>
    <row r="10" spans="2:13" s="53" customFormat="1">
      <c r="B10" s="64">
        <v>20</v>
      </c>
      <c r="C10" s="65" t="s">
        <v>35</v>
      </c>
      <c r="D10" s="66" t="s">
        <v>53</v>
      </c>
      <c r="E10" s="65" t="s">
        <v>54</v>
      </c>
      <c r="F10" s="66" t="s">
        <v>4206</v>
      </c>
      <c r="G10" s="66" t="s">
        <v>4092</v>
      </c>
      <c r="H10" s="64">
        <v>5</v>
      </c>
      <c r="I10" s="65">
        <f t="shared" si="2"/>
        <v>600</v>
      </c>
      <c r="J10" s="67">
        <f t="shared" si="3"/>
        <v>600</v>
      </c>
      <c r="K10" s="67">
        <f t="shared" si="0"/>
        <v>0</v>
      </c>
      <c r="L10" s="67">
        <f t="shared" si="1"/>
        <v>0</v>
      </c>
      <c r="M10" s="64"/>
    </row>
    <row r="11" spans="2:13" s="53" customFormat="1">
      <c r="B11" s="64">
        <v>20</v>
      </c>
      <c r="C11" s="65" t="s">
        <v>35</v>
      </c>
      <c r="D11" s="66" t="s">
        <v>55</v>
      </c>
      <c r="E11" s="65" t="s">
        <v>56</v>
      </c>
      <c r="F11" s="66" t="s">
        <v>4206</v>
      </c>
      <c r="G11" s="66" t="s">
        <v>4123</v>
      </c>
      <c r="H11" s="64">
        <v>3</v>
      </c>
      <c r="I11" s="65">
        <f t="shared" si="2"/>
        <v>360</v>
      </c>
      <c r="J11" s="67">
        <f t="shared" si="3"/>
        <v>360</v>
      </c>
      <c r="K11" s="67">
        <f t="shared" si="0"/>
        <v>0</v>
      </c>
      <c r="L11" s="67">
        <f t="shared" si="1"/>
        <v>0</v>
      </c>
      <c r="M11" s="64"/>
    </row>
    <row r="12" spans="2:13" s="53" customFormat="1">
      <c r="B12" s="64">
        <v>20</v>
      </c>
      <c r="C12" s="65" t="s">
        <v>35</v>
      </c>
      <c r="D12" s="66" t="s">
        <v>459</v>
      </c>
      <c r="E12" s="65" t="s">
        <v>465</v>
      </c>
      <c r="F12" s="66" t="s">
        <v>4191</v>
      </c>
      <c r="G12" s="66" t="s">
        <v>2981</v>
      </c>
      <c r="H12" s="64">
        <v>2</v>
      </c>
      <c r="I12" s="65">
        <f t="shared" si="2"/>
        <v>72</v>
      </c>
      <c r="J12" s="67">
        <f t="shared" si="3"/>
        <v>72</v>
      </c>
      <c r="K12" s="67">
        <f t="shared" si="0"/>
        <v>0</v>
      </c>
      <c r="L12" s="67">
        <f t="shared" si="1"/>
        <v>0</v>
      </c>
      <c r="M12" s="64"/>
    </row>
    <row r="13" spans="2:13" s="53" customFormat="1">
      <c r="B13" s="64">
        <v>20</v>
      </c>
      <c r="C13" s="65" t="s">
        <v>35</v>
      </c>
      <c r="D13" s="66" t="s">
        <v>57</v>
      </c>
      <c r="E13" s="65" t="s">
        <v>58</v>
      </c>
      <c r="F13" s="66" t="s">
        <v>4235</v>
      </c>
      <c r="G13" s="66" t="s">
        <v>5083</v>
      </c>
      <c r="H13" s="64">
        <v>27</v>
      </c>
      <c r="I13" s="65">
        <f t="shared" si="2"/>
        <v>108</v>
      </c>
      <c r="J13" s="67">
        <f t="shared" si="3"/>
        <v>108</v>
      </c>
      <c r="K13" s="67">
        <f t="shared" ref="K13:K76" si="4">G13-H13</f>
        <v>0</v>
      </c>
      <c r="L13" s="67">
        <f t="shared" ref="L13:L76" si="5">I13-J13</f>
        <v>0</v>
      </c>
      <c r="M13" s="64"/>
    </row>
    <row r="14" spans="2:13" s="53" customFormat="1">
      <c r="B14" s="64">
        <v>20</v>
      </c>
      <c r="C14" s="65" t="s">
        <v>35</v>
      </c>
      <c r="D14" s="66" t="s">
        <v>59</v>
      </c>
      <c r="E14" s="65" t="s">
        <v>60</v>
      </c>
      <c r="F14" s="66" t="s">
        <v>4213</v>
      </c>
      <c r="G14" s="66" t="s">
        <v>5084</v>
      </c>
      <c r="H14" s="64">
        <v>68</v>
      </c>
      <c r="I14" s="65">
        <f t="shared" ref="I14:I77" si="6">F14*G14</f>
        <v>255</v>
      </c>
      <c r="J14" s="67">
        <f t="shared" ref="J14:J77" si="7">F14*H14</f>
        <v>255</v>
      </c>
      <c r="K14" s="67">
        <f t="shared" si="4"/>
        <v>0</v>
      </c>
      <c r="L14" s="67">
        <f t="shared" si="5"/>
        <v>0</v>
      </c>
      <c r="M14" s="64"/>
    </row>
    <row r="15" spans="2:13" s="53" customFormat="1">
      <c r="B15" s="64">
        <v>20</v>
      </c>
      <c r="C15" s="65" t="s">
        <v>35</v>
      </c>
      <c r="D15" s="66" t="s">
        <v>61</v>
      </c>
      <c r="E15" s="65" t="s">
        <v>62</v>
      </c>
      <c r="F15" s="66" t="s">
        <v>4227</v>
      </c>
      <c r="G15" s="66" t="s">
        <v>5085</v>
      </c>
      <c r="H15" s="64">
        <v>157</v>
      </c>
      <c r="I15" s="65">
        <f t="shared" si="6"/>
        <v>16485</v>
      </c>
      <c r="J15" s="67">
        <f t="shared" si="7"/>
        <v>16485</v>
      </c>
      <c r="K15" s="67">
        <f t="shared" si="4"/>
        <v>0</v>
      </c>
      <c r="L15" s="67">
        <f t="shared" si="5"/>
        <v>0</v>
      </c>
      <c r="M15" s="64"/>
    </row>
    <row r="16" spans="2:13" s="53" customFormat="1">
      <c r="B16" s="64">
        <v>20</v>
      </c>
      <c r="C16" s="65" t="s">
        <v>35</v>
      </c>
      <c r="D16" s="66" t="s">
        <v>63</v>
      </c>
      <c r="E16" s="65" t="s">
        <v>64</v>
      </c>
      <c r="F16" s="66" t="s">
        <v>5010</v>
      </c>
      <c r="G16" s="66" t="s">
        <v>5086</v>
      </c>
      <c r="H16" s="64">
        <v>55</v>
      </c>
      <c r="I16" s="65">
        <f t="shared" si="6"/>
        <v>192.5</v>
      </c>
      <c r="J16" s="67">
        <f t="shared" si="7"/>
        <v>192.5</v>
      </c>
      <c r="K16" s="67">
        <f t="shared" si="4"/>
        <v>0</v>
      </c>
      <c r="L16" s="67">
        <f t="shared" si="5"/>
        <v>0</v>
      </c>
      <c r="M16" s="64"/>
    </row>
    <row r="17" spans="2:13" s="53" customFormat="1">
      <c r="B17" s="64">
        <v>20</v>
      </c>
      <c r="C17" s="65" t="s">
        <v>35</v>
      </c>
      <c r="D17" s="66" t="s">
        <v>65</v>
      </c>
      <c r="E17" s="65" t="s">
        <v>66</v>
      </c>
      <c r="F17" s="66" t="s">
        <v>5010</v>
      </c>
      <c r="G17" s="66" t="s">
        <v>4120</v>
      </c>
      <c r="H17" s="64">
        <v>1</v>
      </c>
      <c r="I17" s="65">
        <f t="shared" si="6"/>
        <v>3.5</v>
      </c>
      <c r="J17" s="67">
        <f t="shared" si="7"/>
        <v>3.5</v>
      </c>
      <c r="K17" s="67">
        <f t="shared" si="4"/>
        <v>0</v>
      </c>
      <c r="L17" s="67">
        <f t="shared" si="5"/>
        <v>0</v>
      </c>
      <c r="M17" s="64"/>
    </row>
    <row r="18" spans="2:13" s="53" customFormat="1">
      <c r="B18" s="64">
        <v>20</v>
      </c>
      <c r="C18" s="65" t="s">
        <v>35</v>
      </c>
      <c r="D18" s="66" t="s">
        <v>67</v>
      </c>
      <c r="E18" s="65" t="s">
        <v>68</v>
      </c>
      <c r="F18" s="66" t="s">
        <v>5010</v>
      </c>
      <c r="G18" s="66" t="s">
        <v>4173</v>
      </c>
      <c r="H18" s="64">
        <v>7</v>
      </c>
      <c r="I18" s="65">
        <f t="shared" si="6"/>
        <v>24.5</v>
      </c>
      <c r="J18" s="67">
        <f t="shared" si="7"/>
        <v>24.5</v>
      </c>
      <c r="K18" s="67">
        <f t="shared" si="4"/>
        <v>0</v>
      </c>
      <c r="L18" s="67">
        <f t="shared" si="5"/>
        <v>0</v>
      </c>
      <c r="M18" s="64"/>
    </row>
    <row r="19" spans="2:13" s="53" customFormat="1">
      <c r="B19" s="64">
        <v>20</v>
      </c>
      <c r="C19" s="65" t="s">
        <v>35</v>
      </c>
      <c r="D19" s="66" t="s">
        <v>69</v>
      </c>
      <c r="E19" s="65" t="s">
        <v>70</v>
      </c>
      <c r="F19" s="66" t="s">
        <v>4218</v>
      </c>
      <c r="G19" s="66" t="s">
        <v>4178</v>
      </c>
      <c r="H19" s="64">
        <v>35</v>
      </c>
      <c r="I19" s="65">
        <f t="shared" si="6"/>
        <v>210</v>
      </c>
      <c r="J19" s="67">
        <f t="shared" si="7"/>
        <v>210</v>
      </c>
      <c r="K19" s="67">
        <f t="shared" si="4"/>
        <v>0</v>
      </c>
      <c r="L19" s="67">
        <f t="shared" si="5"/>
        <v>0</v>
      </c>
      <c r="M19" s="64"/>
    </row>
    <row r="20" spans="2:13" s="53" customFormat="1">
      <c r="B20" s="64">
        <v>20</v>
      </c>
      <c r="C20" s="65" t="s">
        <v>35</v>
      </c>
      <c r="D20" s="66" t="s">
        <v>71</v>
      </c>
      <c r="E20" s="65" t="s">
        <v>72</v>
      </c>
      <c r="F20" s="66" t="s">
        <v>5011</v>
      </c>
      <c r="G20" s="66" t="s">
        <v>4152</v>
      </c>
      <c r="H20" s="64">
        <v>15</v>
      </c>
      <c r="I20" s="65">
        <f t="shared" si="6"/>
        <v>63.75</v>
      </c>
      <c r="J20" s="67">
        <f t="shared" si="7"/>
        <v>63.75</v>
      </c>
      <c r="K20" s="67">
        <f t="shared" si="4"/>
        <v>0</v>
      </c>
      <c r="L20" s="67">
        <f t="shared" si="5"/>
        <v>0</v>
      </c>
      <c r="M20" s="64"/>
    </row>
    <row r="21" spans="2:13" s="53" customFormat="1">
      <c r="B21" s="64">
        <v>20</v>
      </c>
      <c r="C21" s="65" t="s">
        <v>35</v>
      </c>
      <c r="D21" s="66" t="s">
        <v>73</v>
      </c>
      <c r="E21" s="65" t="s">
        <v>74</v>
      </c>
      <c r="F21" s="66" t="s">
        <v>4218</v>
      </c>
      <c r="G21" s="66" t="s">
        <v>4157</v>
      </c>
      <c r="H21" s="64">
        <v>48</v>
      </c>
      <c r="I21" s="65">
        <f t="shared" si="6"/>
        <v>288</v>
      </c>
      <c r="J21" s="67">
        <f t="shared" si="7"/>
        <v>288</v>
      </c>
      <c r="K21" s="67">
        <f t="shared" si="4"/>
        <v>0</v>
      </c>
      <c r="L21" s="67">
        <f t="shared" si="5"/>
        <v>0</v>
      </c>
      <c r="M21" s="64"/>
    </row>
    <row r="22" spans="2:13" s="53" customFormat="1">
      <c r="B22" s="64">
        <v>20</v>
      </c>
      <c r="C22" s="65" t="s">
        <v>35</v>
      </c>
      <c r="D22" s="66" t="s">
        <v>75</v>
      </c>
      <c r="E22" s="65" t="s">
        <v>76</v>
      </c>
      <c r="F22" s="66" t="s">
        <v>5012</v>
      </c>
      <c r="G22" s="66" t="s">
        <v>5087</v>
      </c>
      <c r="H22" s="64">
        <v>245</v>
      </c>
      <c r="I22" s="65">
        <f t="shared" si="6"/>
        <v>377.3</v>
      </c>
      <c r="J22" s="67">
        <f t="shared" si="7"/>
        <v>377.3</v>
      </c>
      <c r="K22" s="67">
        <f t="shared" si="4"/>
        <v>0</v>
      </c>
      <c r="L22" s="67">
        <f t="shared" si="5"/>
        <v>0</v>
      </c>
      <c r="M22" s="64"/>
    </row>
    <row r="23" spans="2:13" s="53" customFormat="1">
      <c r="B23" s="64">
        <v>20</v>
      </c>
      <c r="C23" s="65" t="s">
        <v>35</v>
      </c>
      <c r="D23" s="66" t="s">
        <v>77</v>
      </c>
      <c r="E23" s="65" t="s">
        <v>78</v>
      </c>
      <c r="F23" s="66" t="s">
        <v>4218</v>
      </c>
      <c r="G23" s="66" t="s">
        <v>5088</v>
      </c>
      <c r="H23" s="64">
        <v>216</v>
      </c>
      <c r="I23" s="65">
        <f t="shared" si="6"/>
        <v>1296</v>
      </c>
      <c r="J23" s="67">
        <f t="shared" si="7"/>
        <v>1296</v>
      </c>
      <c r="K23" s="67">
        <f t="shared" si="4"/>
        <v>0</v>
      </c>
      <c r="L23" s="67">
        <f t="shared" si="5"/>
        <v>0</v>
      </c>
      <c r="M23" s="64"/>
    </row>
    <row r="24" spans="2:13" s="53" customFormat="1">
      <c r="B24" s="64">
        <v>20</v>
      </c>
      <c r="C24" s="65" t="s">
        <v>35</v>
      </c>
      <c r="D24" s="66" t="s">
        <v>79</v>
      </c>
      <c r="E24" s="65" t="s">
        <v>80</v>
      </c>
      <c r="F24" s="66" t="s">
        <v>5013</v>
      </c>
      <c r="G24" s="66" t="s">
        <v>4120</v>
      </c>
      <c r="H24" s="64">
        <v>1</v>
      </c>
      <c r="I24" s="65">
        <f t="shared" si="6"/>
        <v>145</v>
      </c>
      <c r="J24" s="67">
        <f t="shared" si="7"/>
        <v>145</v>
      </c>
      <c r="K24" s="67">
        <f t="shared" si="4"/>
        <v>0</v>
      </c>
      <c r="L24" s="67">
        <f t="shared" si="5"/>
        <v>0</v>
      </c>
      <c r="M24" s="64"/>
    </row>
    <row r="25" spans="2:13" s="53" customFormat="1">
      <c r="B25" s="64">
        <v>20</v>
      </c>
      <c r="C25" s="65" t="s">
        <v>35</v>
      </c>
      <c r="D25" s="66" t="s">
        <v>81</v>
      </c>
      <c r="E25" s="65" t="s">
        <v>82</v>
      </c>
      <c r="F25" s="66" t="s">
        <v>5014</v>
      </c>
      <c r="G25" s="66" t="s">
        <v>5089</v>
      </c>
      <c r="H25" s="64">
        <v>109</v>
      </c>
      <c r="I25" s="65">
        <f t="shared" si="6"/>
        <v>9830.6999999999989</v>
      </c>
      <c r="J25" s="67">
        <f t="shared" si="7"/>
        <v>10823.699999999999</v>
      </c>
      <c r="K25" s="67">
        <f t="shared" si="4"/>
        <v>-10</v>
      </c>
      <c r="L25" s="67">
        <f t="shared" si="5"/>
        <v>-993</v>
      </c>
      <c r="M25" s="64"/>
    </row>
    <row r="26" spans="2:13" s="53" customFormat="1">
      <c r="B26" s="64">
        <v>20</v>
      </c>
      <c r="C26" s="65" t="s">
        <v>35</v>
      </c>
      <c r="D26" s="66" t="s">
        <v>83</v>
      </c>
      <c r="E26" s="65" t="s">
        <v>84</v>
      </c>
      <c r="F26" s="66" t="s">
        <v>4234</v>
      </c>
      <c r="G26" s="66" t="s">
        <v>5090</v>
      </c>
      <c r="H26" s="64">
        <v>123</v>
      </c>
      <c r="I26" s="65">
        <f t="shared" si="6"/>
        <v>9744</v>
      </c>
      <c r="J26" s="67">
        <f t="shared" si="7"/>
        <v>10332</v>
      </c>
      <c r="K26" s="67">
        <f t="shared" si="4"/>
        <v>-7</v>
      </c>
      <c r="L26" s="67">
        <f t="shared" si="5"/>
        <v>-588</v>
      </c>
      <c r="M26" s="64"/>
    </row>
    <row r="27" spans="2:13" s="53" customFormat="1">
      <c r="B27" s="64">
        <v>20</v>
      </c>
      <c r="C27" s="65" t="s">
        <v>35</v>
      </c>
      <c r="D27" s="66" t="s">
        <v>85</v>
      </c>
      <c r="E27" s="65" t="s">
        <v>86</v>
      </c>
      <c r="F27" s="66" t="s">
        <v>4181</v>
      </c>
      <c r="G27" s="66" t="s">
        <v>5091</v>
      </c>
      <c r="H27" s="64">
        <v>115</v>
      </c>
      <c r="I27" s="65">
        <f t="shared" si="6"/>
        <v>2041.25</v>
      </c>
      <c r="J27" s="67">
        <f t="shared" si="7"/>
        <v>2041.25</v>
      </c>
      <c r="K27" s="67">
        <f t="shared" si="4"/>
        <v>0</v>
      </c>
      <c r="L27" s="67">
        <f t="shared" si="5"/>
        <v>0</v>
      </c>
      <c r="M27" s="64"/>
    </row>
    <row r="28" spans="2:13" s="53" customFormat="1">
      <c r="B28" s="64">
        <v>20</v>
      </c>
      <c r="C28" s="65" t="s">
        <v>35</v>
      </c>
      <c r="D28" s="66" t="s">
        <v>4998</v>
      </c>
      <c r="E28" s="65" t="s">
        <v>5004</v>
      </c>
      <c r="F28" s="66" t="s">
        <v>4235</v>
      </c>
      <c r="G28" s="66" t="s">
        <v>5092</v>
      </c>
      <c r="H28" s="64">
        <v>2000</v>
      </c>
      <c r="I28" s="65">
        <f t="shared" si="6"/>
        <v>8000</v>
      </c>
      <c r="J28" s="67">
        <f t="shared" si="7"/>
        <v>8000</v>
      </c>
      <c r="K28" s="67">
        <f t="shared" si="4"/>
        <v>0</v>
      </c>
      <c r="L28" s="67">
        <f t="shared" si="5"/>
        <v>0</v>
      </c>
      <c r="M28" s="64"/>
    </row>
    <row r="29" spans="2:13" s="53" customFormat="1">
      <c r="B29" s="64">
        <v>20</v>
      </c>
      <c r="C29" s="65" t="s">
        <v>35</v>
      </c>
      <c r="D29" s="66" t="s">
        <v>460</v>
      </c>
      <c r="E29" s="65" t="s">
        <v>466</v>
      </c>
      <c r="F29" s="66" t="s">
        <v>5010</v>
      </c>
      <c r="G29" s="66" t="s">
        <v>5093</v>
      </c>
      <c r="H29" s="64">
        <v>1845</v>
      </c>
      <c r="I29" s="65">
        <f t="shared" si="6"/>
        <v>6457.5</v>
      </c>
      <c r="J29" s="67">
        <f t="shared" si="7"/>
        <v>6457.5</v>
      </c>
      <c r="K29" s="67">
        <f t="shared" si="4"/>
        <v>0</v>
      </c>
      <c r="L29" s="67">
        <f t="shared" si="5"/>
        <v>0</v>
      </c>
      <c r="M29" s="64"/>
    </row>
    <row r="30" spans="2:13" s="53" customFormat="1">
      <c r="B30" s="64">
        <v>20</v>
      </c>
      <c r="C30" s="65" t="s">
        <v>35</v>
      </c>
      <c r="D30" s="66" t="s">
        <v>87</v>
      </c>
      <c r="E30" s="65" t="s">
        <v>88</v>
      </c>
      <c r="F30" s="66" t="s">
        <v>4235</v>
      </c>
      <c r="G30" s="66" t="s">
        <v>5094</v>
      </c>
      <c r="H30" s="64">
        <v>788</v>
      </c>
      <c r="I30" s="65">
        <f t="shared" si="6"/>
        <v>3152</v>
      </c>
      <c r="J30" s="67">
        <f t="shared" si="7"/>
        <v>3152</v>
      </c>
      <c r="K30" s="67">
        <f t="shared" si="4"/>
        <v>0</v>
      </c>
      <c r="L30" s="67">
        <f t="shared" si="5"/>
        <v>0</v>
      </c>
      <c r="M30" s="64"/>
    </row>
    <row r="31" spans="2:13" s="53" customFormat="1">
      <c r="B31" s="64">
        <v>20</v>
      </c>
      <c r="C31" s="65" t="s">
        <v>35</v>
      </c>
      <c r="D31" s="66" t="s">
        <v>89</v>
      </c>
      <c r="E31" s="65" t="s">
        <v>90</v>
      </c>
      <c r="F31" s="66" t="s">
        <v>5015</v>
      </c>
      <c r="G31" s="66" t="s">
        <v>5095</v>
      </c>
      <c r="H31" s="64">
        <v>740</v>
      </c>
      <c r="I31" s="65">
        <f t="shared" si="6"/>
        <v>2094.2000000000003</v>
      </c>
      <c r="J31" s="67">
        <f t="shared" si="7"/>
        <v>2094.2000000000003</v>
      </c>
      <c r="K31" s="67">
        <f t="shared" si="4"/>
        <v>0</v>
      </c>
      <c r="L31" s="67">
        <f t="shared" si="5"/>
        <v>0</v>
      </c>
      <c r="M31" s="64"/>
    </row>
    <row r="32" spans="2:13" s="53" customFormat="1">
      <c r="B32" s="64">
        <v>20</v>
      </c>
      <c r="C32" s="65" t="s">
        <v>35</v>
      </c>
      <c r="D32" s="66" t="s">
        <v>91</v>
      </c>
      <c r="E32" s="65" t="s">
        <v>92</v>
      </c>
      <c r="F32" s="66" t="s">
        <v>5016</v>
      </c>
      <c r="G32" s="66" t="s">
        <v>5096</v>
      </c>
      <c r="H32" s="64">
        <v>44</v>
      </c>
      <c r="I32" s="65">
        <f t="shared" si="6"/>
        <v>110</v>
      </c>
      <c r="J32" s="67">
        <f t="shared" si="7"/>
        <v>110</v>
      </c>
      <c r="K32" s="67">
        <f t="shared" si="4"/>
        <v>0</v>
      </c>
      <c r="L32" s="67">
        <f t="shared" si="5"/>
        <v>0</v>
      </c>
      <c r="M32" s="70"/>
    </row>
    <row r="33" spans="2:13" s="53" customFormat="1">
      <c r="B33" s="64">
        <v>20</v>
      </c>
      <c r="C33" s="65" t="s">
        <v>35</v>
      </c>
      <c r="D33" s="66" t="s">
        <v>93</v>
      </c>
      <c r="E33" s="65" t="s">
        <v>94</v>
      </c>
      <c r="F33" s="66" t="s">
        <v>5017</v>
      </c>
      <c r="G33" s="66" t="s">
        <v>4163</v>
      </c>
      <c r="H33" s="64">
        <v>10</v>
      </c>
      <c r="I33" s="65">
        <f t="shared" si="6"/>
        <v>3750</v>
      </c>
      <c r="J33" s="67">
        <f t="shared" si="7"/>
        <v>3750</v>
      </c>
      <c r="K33" s="67">
        <f t="shared" si="4"/>
        <v>0</v>
      </c>
      <c r="L33" s="67">
        <f t="shared" si="5"/>
        <v>0</v>
      </c>
      <c r="M33" s="64"/>
    </row>
    <row r="34" spans="2:13" s="53" customFormat="1">
      <c r="B34" s="64">
        <v>20</v>
      </c>
      <c r="C34" s="65" t="s">
        <v>35</v>
      </c>
      <c r="D34" s="66" t="s">
        <v>95</v>
      </c>
      <c r="E34" s="65" t="s">
        <v>96</v>
      </c>
      <c r="F34" s="66" t="s">
        <v>5018</v>
      </c>
      <c r="G34" s="66" t="s">
        <v>4123</v>
      </c>
      <c r="H34" s="64">
        <v>3</v>
      </c>
      <c r="I34" s="65">
        <f t="shared" si="6"/>
        <v>4.68</v>
      </c>
      <c r="J34" s="67">
        <f t="shared" si="7"/>
        <v>4.68</v>
      </c>
      <c r="K34" s="67">
        <f t="shared" si="4"/>
        <v>0</v>
      </c>
      <c r="L34" s="67">
        <f t="shared" si="5"/>
        <v>0</v>
      </c>
      <c r="M34" s="64"/>
    </row>
    <row r="35" spans="2:13" s="53" customFormat="1">
      <c r="B35" s="64">
        <v>20</v>
      </c>
      <c r="C35" s="65" t="s">
        <v>35</v>
      </c>
      <c r="D35" s="66" t="s">
        <v>461</v>
      </c>
      <c r="E35" s="65" t="s">
        <v>467</v>
      </c>
      <c r="F35" s="66" t="s">
        <v>4236</v>
      </c>
      <c r="G35" s="66" t="s">
        <v>5097</v>
      </c>
      <c r="H35" s="64">
        <v>800</v>
      </c>
      <c r="I35" s="65">
        <f t="shared" si="6"/>
        <v>1600</v>
      </c>
      <c r="J35" s="67">
        <f t="shared" si="7"/>
        <v>1600</v>
      </c>
      <c r="K35" s="67">
        <f t="shared" si="4"/>
        <v>0</v>
      </c>
      <c r="L35" s="67">
        <f t="shared" si="5"/>
        <v>0</v>
      </c>
      <c r="M35" s="64"/>
    </row>
    <row r="36" spans="2:13" s="53" customFormat="1">
      <c r="B36" s="64">
        <v>20</v>
      </c>
      <c r="C36" s="65" t="s">
        <v>35</v>
      </c>
      <c r="D36" s="66" t="s">
        <v>97</v>
      </c>
      <c r="E36" s="65" t="s">
        <v>98</v>
      </c>
      <c r="F36" s="66" t="s">
        <v>4201</v>
      </c>
      <c r="G36" s="66" t="s">
        <v>5098</v>
      </c>
      <c r="H36" s="71">
        <v>270</v>
      </c>
      <c r="I36" s="65">
        <f t="shared" si="6"/>
        <v>2430</v>
      </c>
      <c r="J36" s="67">
        <f t="shared" si="7"/>
        <v>2430</v>
      </c>
      <c r="K36" s="67">
        <f t="shared" si="4"/>
        <v>0</v>
      </c>
      <c r="L36" s="67">
        <f t="shared" si="5"/>
        <v>0</v>
      </c>
      <c r="M36" s="64"/>
    </row>
    <row r="37" spans="2:13" s="53" customFormat="1">
      <c r="B37" s="64">
        <v>20</v>
      </c>
      <c r="C37" s="65" t="s">
        <v>35</v>
      </c>
      <c r="D37" s="66" t="s">
        <v>99</v>
      </c>
      <c r="E37" s="65" t="s">
        <v>100</v>
      </c>
      <c r="F37" s="66" t="s">
        <v>4218</v>
      </c>
      <c r="G37" s="66" t="s">
        <v>5099</v>
      </c>
      <c r="H37" s="64">
        <v>131</v>
      </c>
      <c r="I37" s="65">
        <f t="shared" si="6"/>
        <v>786</v>
      </c>
      <c r="J37" s="67">
        <f t="shared" si="7"/>
        <v>786</v>
      </c>
      <c r="K37" s="67">
        <f t="shared" si="4"/>
        <v>0</v>
      </c>
      <c r="L37" s="67">
        <f t="shared" si="5"/>
        <v>0</v>
      </c>
      <c r="M37" s="64"/>
    </row>
    <row r="38" spans="2:13" s="53" customFormat="1">
      <c r="B38" s="64">
        <v>20</v>
      </c>
      <c r="C38" s="65" t="s">
        <v>35</v>
      </c>
      <c r="D38" s="66" t="s">
        <v>101</v>
      </c>
      <c r="E38" s="65" t="s">
        <v>102</v>
      </c>
      <c r="F38" s="66" t="s">
        <v>4235</v>
      </c>
      <c r="G38" s="66" t="s">
        <v>5100</v>
      </c>
      <c r="H38" s="64">
        <v>14</v>
      </c>
      <c r="I38" s="65">
        <f t="shared" si="6"/>
        <v>56</v>
      </c>
      <c r="J38" s="67">
        <f t="shared" si="7"/>
        <v>56</v>
      </c>
      <c r="K38" s="67">
        <f t="shared" si="4"/>
        <v>0</v>
      </c>
      <c r="L38" s="67">
        <f t="shared" si="5"/>
        <v>0</v>
      </c>
      <c r="M38" s="64"/>
    </row>
    <row r="39" spans="2:13" s="53" customFormat="1">
      <c r="B39" s="64">
        <v>20</v>
      </c>
      <c r="C39" s="65" t="s">
        <v>35</v>
      </c>
      <c r="D39" s="66" t="s">
        <v>103</v>
      </c>
      <c r="E39" s="65" t="s">
        <v>104</v>
      </c>
      <c r="F39" s="66" t="s">
        <v>5019</v>
      </c>
      <c r="G39" s="66" t="s">
        <v>4120</v>
      </c>
      <c r="H39" s="64">
        <v>1</v>
      </c>
      <c r="I39" s="65">
        <f t="shared" si="6"/>
        <v>295</v>
      </c>
      <c r="J39" s="67">
        <f t="shared" si="7"/>
        <v>295</v>
      </c>
      <c r="K39" s="67">
        <f t="shared" si="4"/>
        <v>0</v>
      </c>
      <c r="L39" s="67">
        <f t="shared" si="5"/>
        <v>0</v>
      </c>
      <c r="M39" s="64"/>
    </row>
    <row r="40" spans="2:13" s="53" customFormat="1">
      <c r="B40" s="64">
        <v>20</v>
      </c>
      <c r="C40" s="65" t="s">
        <v>35</v>
      </c>
      <c r="D40" s="66" t="s">
        <v>105</v>
      </c>
      <c r="E40" s="65" t="s">
        <v>106</v>
      </c>
      <c r="F40" s="66" t="s">
        <v>5020</v>
      </c>
      <c r="G40" s="66" t="s">
        <v>4105</v>
      </c>
      <c r="H40" s="64">
        <v>16</v>
      </c>
      <c r="I40" s="65">
        <f t="shared" si="6"/>
        <v>192</v>
      </c>
      <c r="J40" s="67">
        <f t="shared" si="7"/>
        <v>192</v>
      </c>
      <c r="K40" s="67">
        <f t="shared" si="4"/>
        <v>0</v>
      </c>
      <c r="L40" s="67">
        <f t="shared" si="5"/>
        <v>0</v>
      </c>
      <c r="M40" s="64"/>
    </row>
    <row r="41" spans="2:13" s="53" customFormat="1">
      <c r="B41" s="64">
        <v>20</v>
      </c>
      <c r="C41" s="65" t="s">
        <v>35</v>
      </c>
      <c r="D41" s="66" t="s">
        <v>107</v>
      </c>
      <c r="E41" s="65" t="s">
        <v>108</v>
      </c>
      <c r="F41" s="66" t="s">
        <v>4230</v>
      </c>
      <c r="G41" s="66" t="s">
        <v>4120</v>
      </c>
      <c r="H41" s="64">
        <v>1</v>
      </c>
      <c r="I41" s="65">
        <f t="shared" si="6"/>
        <v>11</v>
      </c>
      <c r="J41" s="67">
        <f t="shared" si="7"/>
        <v>11</v>
      </c>
      <c r="K41" s="67">
        <f t="shared" si="4"/>
        <v>0</v>
      </c>
      <c r="L41" s="67">
        <f t="shared" si="5"/>
        <v>0</v>
      </c>
      <c r="M41" s="64"/>
    </row>
    <row r="42" spans="2:13" s="53" customFormat="1">
      <c r="B42" s="64">
        <v>20</v>
      </c>
      <c r="C42" s="65" t="s">
        <v>35</v>
      </c>
      <c r="D42" s="66" t="s">
        <v>109</v>
      </c>
      <c r="E42" s="65" t="s">
        <v>110</v>
      </c>
      <c r="F42" s="66" t="s">
        <v>5021</v>
      </c>
      <c r="G42" s="66" t="s">
        <v>5101</v>
      </c>
      <c r="H42" s="64">
        <v>4000</v>
      </c>
      <c r="I42" s="65">
        <f t="shared" si="6"/>
        <v>5475</v>
      </c>
      <c r="J42" s="67">
        <f t="shared" si="7"/>
        <v>6000</v>
      </c>
      <c r="K42" s="67">
        <f t="shared" si="4"/>
        <v>-350</v>
      </c>
      <c r="L42" s="67">
        <f t="shared" si="5"/>
        <v>-525</v>
      </c>
      <c r="M42" s="64"/>
    </row>
    <row r="43" spans="2:13" s="53" customFormat="1">
      <c r="B43" s="64">
        <v>20</v>
      </c>
      <c r="C43" s="65" t="s">
        <v>35</v>
      </c>
      <c r="D43" s="66" t="s">
        <v>111</v>
      </c>
      <c r="E43" s="65" t="s">
        <v>112</v>
      </c>
      <c r="F43" s="66" t="s">
        <v>5022</v>
      </c>
      <c r="G43" s="66" t="s">
        <v>4120</v>
      </c>
      <c r="H43" s="64">
        <v>1</v>
      </c>
      <c r="I43" s="65">
        <f t="shared" si="6"/>
        <v>370</v>
      </c>
      <c r="J43" s="67">
        <f t="shared" si="7"/>
        <v>370</v>
      </c>
      <c r="K43" s="67">
        <f t="shared" si="4"/>
        <v>0</v>
      </c>
      <c r="L43" s="67">
        <f t="shared" si="5"/>
        <v>0</v>
      </c>
      <c r="M43" s="64"/>
    </row>
    <row r="44" spans="2:13" s="53" customFormat="1">
      <c r="B44" s="64">
        <v>20</v>
      </c>
      <c r="C44" s="65" t="s">
        <v>35</v>
      </c>
      <c r="D44" s="66" t="s">
        <v>113</v>
      </c>
      <c r="E44" s="65" t="s">
        <v>114</v>
      </c>
      <c r="F44" s="66" t="s">
        <v>5023</v>
      </c>
      <c r="G44" s="66" t="s">
        <v>4120</v>
      </c>
      <c r="H44" s="64">
        <v>1</v>
      </c>
      <c r="I44" s="65">
        <f t="shared" si="6"/>
        <v>146.5</v>
      </c>
      <c r="J44" s="67">
        <f t="shared" si="7"/>
        <v>146.5</v>
      </c>
      <c r="K44" s="67">
        <f t="shared" si="4"/>
        <v>0</v>
      </c>
      <c r="L44" s="67">
        <f t="shared" si="5"/>
        <v>0</v>
      </c>
      <c r="M44" s="64"/>
    </row>
    <row r="45" spans="2:13" s="53" customFormat="1">
      <c r="B45" s="64">
        <v>20</v>
      </c>
      <c r="C45" s="65" t="s">
        <v>35</v>
      </c>
      <c r="D45" s="66" t="s">
        <v>115</v>
      </c>
      <c r="E45" s="65" t="s">
        <v>116</v>
      </c>
      <c r="F45" s="66" t="s">
        <v>4229</v>
      </c>
      <c r="G45" s="66" t="s">
        <v>4120</v>
      </c>
      <c r="H45" s="64">
        <v>1</v>
      </c>
      <c r="I45" s="65">
        <f t="shared" si="6"/>
        <v>130</v>
      </c>
      <c r="J45" s="67">
        <f t="shared" si="7"/>
        <v>130</v>
      </c>
      <c r="K45" s="67">
        <f t="shared" si="4"/>
        <v>0</v>
      </c>
      <c r="L45" s="67">
        <f t="shared" si="5"/>
        <v>0</v>
      </c>
      <c r="M45" s="64"/>
    </row>
    <row r="46" spans="2:13" s="53" customFormat="1">
      <c r="B46" s="64">
        <v>20</v>
      </c>
      <c r="C46" s="65" t="s">
        <v>35</v>
      </c>
      <c r="D46" s="66" t="s">
        <v>117</v>
      </c>
      <c r="E46" s="65" t="s">
        <v>118</v>
      </c>
      <c r="F46" s="66" t="s">
        <v>4206</v>
      </c>
      <c r="G46" s="66" t="s">
        <v>4120</v>
      </c>
      <c r="H46" s="64">
        <v>1</v>
      </c>
      <c r="I46" s="65">
        <f t="shared" si="6"/>
        <v>120</v>
      </c>
      <c r="J46" s="67">
        <f t="shared" si="7"/>
        <v>120</v>
      </c>
      <c r="K46" s="67">
        <f t="shared" si="4"/>
        <v>0</v>
      </c>
      <c r="L46" s="67">
        <f t="shared" si="5"/>
        <v>0</v>
      </c>
      <c r="M46" s="64"/>
    </row>
    <row r="47" spans="2:13" s="53" customFormat="1">
      <c r="B47" s="64">
        <v>20</v>
      </c>
      <c r="C47" s="65" t="s">
        <v>35</v>
      </c>
      <c r="D47" s="66" t="s">
        <v>119</v>
      </c>
      <c r="E47" s="65" t="s">
        <v>120</v>
      </c>
      <c r="F47" s="66" t="s">
        <v>4223</v>
      </c>
      <c r="G47" s="66" t="s">
        <v>4086</v>
      </c>
      <c r="H47" s="64">
        <v>12</v>
      </c>
      <c r="I47" s="65">
        <f t="shared" si="6"/>
        <v>252</v>
      </c>
      <c r="J47" s="67">
        <f t="shared" si="7"/>
        <v>252</v>
      </c>
      <c r="K47" s="67">
        <f t="shared" si="4"/>
        <v>0</v>
      </c>
      <c r="L47" s="67">
        <f t="shared" si="5"/>
        <v>0</v>
      </c>
      <c r="M47" s="64"/>
    </row>
    <row r="48" spans="2:13" s="53" customFormat="1">
      <c r="B48" s="64">
        <v>20</v>
      </c>
      <c r="C48" s="65" t="s">
        <v>35</v>
      </c>
      <c r="D48" s="66" t="s">
        <v>121</v>
      </c>
      <c r="E48" s="65" t="s">
        <v>122</v>
      </c>
      <c r="F48" s="66" t="s">
        <v>4223</v>
      </c>
      <c r="G48" s="66" t="s">
        <v>2981</v>
      </c>
      <c r="H48" s="64">
        <v>2</v>
      </c>
      <c r="I48" s="65">
        <f t="shared" si="6"/>
        <v>42</v>
      </c>
      <c r="J48" s="67">
        <f t="shared" si="7"/>
        <v>42</v>
      </c>
      <c r="K48" s="67">
        <f t="shared" si="4"/>
        <v>0</v>
      </c>
      <c r="L48" s="67">
        <f t="shared" si="5"/>
        <v>0</v>
      </c>
      <c r="M48" s="64"/>
    </row>
    <row r="49" spans="2:13" s="53" customFormat="1">
      <c r="B49" s="64">
        <v>20</v>
      </c>
      <c r="C49" s="65" t="s">
        <v>35</v>
      </c>
      <c r="D49" s="66" t="s">
        <v>123</v>
      </c>
      <c r="E49" s="65" t="s">
        <v>124</v>
      </c>
      <c r="F49" s="66" t="s">
        <v>4192</v>
      </c>
      <c r="G49" s="66" t="s">
        <v>4123</v>
      </c>
      <c r="H49" s="64">
        <v>3</v>
      </c>
      <c r="I49" s="65">
        <f t="shared" si="6"/>
        <v>126</v>
      </c>
      <c r="J49" s="67">
        <f t="shared" si="7"/>
        <v>126</v>
      </c>
      <c r="K49" s="67">
        <f t="shared" si="4"/>
        <v>0</v>
      </c>
      <c r="L49" s="67">
        <f t="shared" si="5"/>
        <v>0</v>
      </c>
      <c r="M49" s="64"/>
    </row>
    <row r="50" spans="2:13" s="53" customFormat="1">
      <c r="B50" s="64">
        <v>20</v>
      </c>
      <c r="C50" s="65" t="s">
        <v>35</v>
      </c>
      <c r="D50" s="66" t="s">
        <v>125</v>
      </c>
      <c r="E50" s="65" t="s">
        <v>126</v>
      </c>
      <c r="F50" s="66" t="s">
        <v>4223</v>
      </c>
      <c r="G50" s="66" t="s">
        <v>5102</v>
      </c>
      <c r="H50" s="64">
        <v>34</v>
      </c>
      <c r="I50" s="65">
        <f t="shared" si="6"/>
        <v>714</v>
      </c>
      <c r="J50" s="67">
        <f t="shared" si="7"/>
        <v>714</v>
      </c>
      <c r="K50" s="67">
        <f t="shared" si="4"/>
        <v>0</v>
      </c>
      <c r="L50" s="67">
        <f t="shared" si="5"/>
        <v>0</v>
      </c>
      <c r="M50" s="64"/>
    </row>
    <row r="51" spans="2:13" s="53" customFormat="1">
      <c r="B51" s="64">
        <v>20</v>
      </c>
      <c r="C51" s="65" t="s">
        <v>35</v>
      </c>
      <c r="D51" s="66" t="s">
        <v>127</v>
      </c>
      <c r="E51" s="65" t="s">
        <v>128</v>
      </c>
      <c r="F51" s="66" t="s">
        <v>4223</v>
      </c>
      <c r="G51" s="66" t="s">
        <v>4120</v>
      </c>
      <c r="H51" s="64">
        <v>1</v>
      </c>
      <c r="I51" s="65">
        <f t="shared" si="6"/>
        <v>21</v>
      </c>
      <c r="J51" s="67">
        <f t="shared" si="7"/>
        <v>21</v>
      </c>
      <c r="K51" s="67">
        <f t="shared" si="4"/>
        <v>0</v>
      </c>
      <c r="L51" s="67">
        <f t="shared" si="5"/>
        <v>0</v>
      </c>
      <c r="M51" s="64"/>
    </row>
    <row r="52" spans="2:13" s="53" customFormat="1">
      <c r="B52" s="64">
        <v>20</v>
      </c>
      <c r="C52" s="65" t="s">
        <v>35</v>
      </c>
      <c r="D52" s="66" t="s">
        <v>129</v>
      </c>
      <c r="E52" s="65" t="s">
        <v>130</v>
      </c>
      <c r="F52" s="66" t="s">
        <v>4201</v>
      </c>
      <c r="G52" s="66" t="s">
        <v>4150</v>
      </c>
      <c r="H52" s="64">
        <v>20</v>
      </c>
      <c r="I52" s="65">
        <f t="shared" si="6"/>
        <v>180</v>
      </c>
      <c r="J52" s="67">
        <f t="shared" si="7"/>
        <v>180</v>
      </c>
      <c r="K52" s="67">
        <f t="shared" si="4"/>
        <v>0</v>
      </c>
      <c r="L52" s="67">
        <f t="shared" si="5"/>
        <v>0</v>
      </c>
      <c r="M52" s="68"/>
    </row>
    <row r="53" spans="2:13" s="53" customFormat="1">
      <c r="B53" s="64">
        <v>20</v>
      </c>
      <c r="C53" s="65" t="s">
        <v>35</v>
      </c>
      <c r="D53" s="66" t="s">
        <v>131</v>
      </c>
      <c r="E53" s="65" t="s">
        <v>132</v>
      </c>
      <c r="F53" s="66" t="s">
        <v>5024</v>
      </c>
      <c r="G53" s="66" t="s">
        <v>4120</v>
      </c>
      <c r="H53" s="64">
        <v>1</v>
      </c>
      <c r="I53" s="65">
        <f t="shared" si="6"/>
        <v>379.62</v>
      </c>
      <c r="J53" s="67">
        <f t="shared" si="7"/>
        <v>379.62</v>
      </c>
      <c r="K53" s="67">
        <f t="shared" si="4"/>
        <v>0</v>
      </c>
      <c r="L53" s="67">
        <f t="shared" si="5"/>
        <v>0</v>
      </c>
      <c r="M53" s="68"/>
    </row>
    <row r="54" spans="2:13" s="53" customFormat="1">
      <c r="B54" s="64">
        <v>20</v>
      </c>
      <c r="C54" s="65" t="s">
        <v>35</v>
      </c>
      <c r="D54" s="66" t="s">
        <v>133</v>
      </c>
      <c r="E54" s="65" t="s">
        <v>134</v>
      </c>
      <c r="F54" s="66" t="s">
        <v>5025</v>
      </c>
      <c r="G54" s="66" t="s">
        <v>4120</v>
      </c>
      <c r="H54" s="64">
        <v>1</v>
      </c>
      <c r="I54" s="65">
        <f t="shared" si="6"/>
        <v>486.21</v>
      </c>
      <c r="J54" s="67">
        <f t="shared" si="7"/>
        <v>486.21</v>
      </c>
      <c r="K54" s="67">
        <f t="shared" si="4"/>
        <v>0</v>
      </c>
      <c r="L54" s="67">
        <f t="shared" si="5"/>
        <v>0</v>
      </c>
      <c r="M54" s="64"/>
    </row>
    <row r="55" spans="2:13" s="53" customFormat="1">
      <c r="B55" s="64">
        <v>20</v>
      </c>
      <c r="C55" s="65" t="s">
        <v>35</v>
      </c>
      <c r="D55" s="66" t="s">
        <v>135</v>
      </c>
      <c r="E55" s="65" t="s">
        <v>136</v>
      </c>
      <c r="F55" s="66" t="s">
        <v>5026</v>
      </c>
      <c r="G55" s="66" t="s">
        <v>4169</v>
      </c>
      <c r="H55" s="64">
        <v>28</v>
      </c>
      <c r="I55" s="65">
        <f t="shared" si="6"/>
        <v>8464.1200000000008</v>
      </c>
      <c r="J55" s="67">
        <f t="shared" si="7"/>
        <v>8464.1200000000008</v>
      </c>
      <c r="K55" s="67">
        <f t="shared" si="4"/>
        <v>0</v>
      </c>
      <c r="L55" s="67">
        <f t="shared" si="5"/>
        <v>0</v>
      </c>
      <c r="M55" s="64"/>
    </row>
    <row r="56" spans="2:13" s="53" customFormat="1">
      <c r="B56" s="64">
        <v>20</v>
      </c>
      <c r="C56" s="65" t="s">
        <v>35</v>
      </c>
      <c r="D56" s="66" t="s">
        <v>137</v>
      </c>
      <c r="E56" s="65" t="s">
        <v>138</v>
      </c>
      <c r="F56" s="66" t="s">
        <v>5027</v>
      </c>
      <c r="G56" s="66" t="s">
        <v>4123</v>
      </c>
      <c r="H56" s="64">
        <v>3</v>
      </c>
      <c r="I56" s="65">
        <f t="shared" si="6"/>
        <v>1569.78</v>
      </c>
      <c r="J56" s="67">
        <f t="shared" si="7"/>
        <v>1569.78</v>
      </c>
      <c r="K56" s="67">
        <f t="shared" si="4"/>
        <v>0</v>
      </c>
      <c r="L56" s="67">
        <f t="shared" si="5"/>
        <v>0</v>
      </c>
      <c r="M56" s="64"/>
    </row>
    <row r="57" spans="2:13" s="53" customFormat="1">
      <c r="B57" s="64">
        <v>20</v>
      </c>
      <c r="C57" s="65" t="s">
        <v>35</v>
      </c>
      <c r="D57" s="66" t="s">
        <v>139</v>
      </c>
      <c r="E57" s="65" t="s">
        <v>140</v>
      </c>
      <c r="F57" s="66" t="s">
        <v>5028</v>
      </c>
      <c r="G57" s="66" t="s">
        <v>4177</v>
      </c>
      <c r="H57" s="64">
        <v>30</v>
      </c>
      <c r="I57" s="65">
        <f t="shared" si="6"/>
        <v>30960</v>
      </c>
      <c r="J57" s="67">
        <f t="shared" si="7"/>
        <v>30960</v>
      </c>
      <c r="K57" s="67">
        <f t="shared" si="4"/>
        <v>0</v>
      </c>
      <c r="L57" s="67">
        <f t="shared" si="5"/>
        <v>0</v>
      </c>
      <c r="M57" s="64"/>
    </row>
    <row r="58" spans="2:13" s="53" customFormat="1">
      <c r="B58" s="64">
        <v>20</v>
      </c>
      <c r="C58" s="65" t="s">
        <v>35</v>
      </c>
      <c r="D58" s="66" t="s">
        <v>141</v>
      </c>
      <c r="E58" s="65" t="s">
        <v>142</v>
      </c>
      <c r="F58" s="66" t="s">
        <v>5029</v>
      </c>
      <c r="G58" s="66" t="s">
        <v>5103</v>
      </c>
      <c r="H58" s="64">
        <v>8</v>
      </c>
      <c r="I58" s="65">
        <f t="shared" si="6"/>
        <v>7008</v>
      </c>
      <c r="J58" s="67">
        <f t="shared" si="7"/>
        <v>7008</v>
      </c>
      <c r="K58" s="67">
        <f t="shared" si="4"/>
        <v>0</v>
      </c>
      <c r="L58" s="67">
        <f t="shared" si="5"/>
        <v>0</v>
      </c>
      <c r="M58" s="64"/>
    </row>
    <row r="59" spans="2:13" s="53" customFormat="1">
      <c r="B59" s="64">
        <v>20</v>
      </c>
      <c r="C59" s="65" t="s">
        <v>35</v>
      </c>
      <c r="D59" s="66" t="s">
        <v>143</v>
      </c>
      <c r="E59" s="65" t="s">
        <v>144</v>
      </c>
      <c r="F59" s="66" t="s">
        <v>5030</v>
      </c>
      <c r="G59" s="66" t="s">
        <v>5104</v>
      </c>
      <c r="H59" s="64">
        <v>9</v>
      </c>
      <c r="I59" s="65">
        <f t="shared" si="6"/>
        <v>171</v>
      </c>
      <c r="J59" s="67">
        <f t="shared" si="7"/>
        <v>171</v>
      </c>
      <c r="K59" s="67">
        <f t="shared" si="4"/>
        <v>0</v>
      </c>
      <c r="L59" s="67">
        <f t="shared" si="5"/>
        <v>0</v>
      </c>
      <c r="M59" s="64"/>
    </row>
    <row r="60" spans="2:13" s="53" customFormat="1">
      <c r="B60" s="64">
        <v>20</v>
      </c>
      <c r="C60" s="65" t="s">
        <v>35</v>
      </c>
      <c r="D60" s="66" t="s">
        <v>145</v>
      </c>
      <c r="E60" s="65" t="s">
        <v>146</v>
      </c>
      <c r="F60" s="66" t="s">
        <v>5031</v>
      </c>
      <c r="G60" s="66" t="s">
        <v>5102</v>
      </c>
      <c r="H60" s="64">
        <v>34</v>
      </c>
      <c r="I60" s="65">
        <f t="shared" si="6"/>
        <v>544</v>
      </c>
      <c r="J60" s="67">
        <f t="shared" si="7"/>
        <v>544</v>
      </c>
      <c r="K60" s="67">
        <f t="shared" si="4"/>
        <v>0</v>
      </c>
      <c r="L60" s="67">
        <f t="shared" si="5"/>
        <v>0</v>
      </c>
      <c r="M60" s="64"/>
    </row>
    <row r="61" spans="2:13" s="53" customFormat="1">
      <c r="B61" s="64">
        <v>20</v>
      </c>
      <c r="C61" s="65" t="s">
        <v>35</v>
      </c>
      <c r="D61" s="66" t="s">
        <v>147</v>
      </c>
      <c r="E61" s="65" t="s">
        <v>148</v>
      </c>
      <c r="F61" s="66" t="s">
        <v>5032</v>
      </c>
      <c r="G61" s="66" t="s">
        <v>4123</v>
      </c>
      <c r="H61" s="71">
        <v>3</v>
      </c>
      <c r="I61" s="65">
        <f t="shared" si="6"/>
        <v>120</v>
      </c>
      <c r="J61" s="67">
        <f t="shared" si="7"/>
        <v>120</v>
      </c>
      <c r="K61" s="67">
        <f t="shared" si="4"/>
        <v>0</v>
      </c>
      <c r="L61" s="67">
        <f t="shared" si="5"/>
        <v>0</v>
      </c>
      <c r="M61" s="64"/>
    </row>
    <row r="62" spans="2:13" s="53" customFormat="1">
      <c r="B62" s="64">
        <v>20</v>
      </c>
      <c r="C62" s="65" t="s">
        <v>35</v>
      </c>
      <c r="D62" s="66" t="s">
        <v>149</v>
      </c>
      <c r="E62" s="65" t="s">
        <v>150</v>
      </c>
      <c r="F62" s="66" t="s">
        <v>4201</v>
      </c>
      <c r="G62" s="66" t="s">
        <v>5105</v>
      </c>
      <c r="H62" s="64">
        <v>86</v>
      </c>
      <c r="I62" s="65">
        <f t="shared" si="6"/>
        <v>774</v>
      </c>
      <c r="J62" s="67">
        <f t="shared" si="7"/>
        <v>774</v>
      </c>
      <c r="K62" s="67">
        <f t="shared" si="4"/>
        <v>0</v>
      </c>
      <c r="L62" s="67">
        <f t="shared" si="5"/>
        <v>0</v>
      </c>
      <c r="M62" s="64"/>
    </row>
    <row r="63" spans="2:13" s="53" customFormat="1">
      <c r="B63" s="64">
        <v>20</v>
      </c>
      <c r="C63" s="65" t="s">
        <v>35</v>
      </c>
      <c r="D63" s="66" t="s">
        <v>151</v>
      </c>
      <c r="E63" s="65" t="s">
        <v>152</v>
      </c>
      <c r="F63" s="66" t="s">
        <v>4216</v>
      </c>
      <c r="G63" s="66" t="s">
        <v>5096</v>
      </c>
      <c r="H63" s="64">
        <v>44</v>
      </c>
      <c r="I63" s="65">
        <f t="shared" si="6"/>
        <v>1012</v>
      </c>
      <c r="J63" s="67">
        <f t="shared" si="7"/>
        <v>1012</v>
      </c>
      <c r="K63" s="67">
        <f t="shared" si="4"/>
        <v>0</v>
      </c>
      <c r="L63" s="67">
        <f t="shared" si="5"/>
        <v>0</v>
      </c>
      <c r="M63" s="64"/>
    </row>
    <row r="64" spans="2:13" s="53" customFormat="1">
      <c r="B64" s="64">
        <v>20</v>
      </c>
      <c r="C64" s="65" t="s">
        <v>35</v>
      </c>
      <c r="D64" s="66" t="s">
        <v>153</v>
      </c>
      <c r="E64" s="65" t="s">
        <v>154</v>
      </c>
      <c r="F64" s="66" t="s">
        <v>4214</v>
      </c>
      <c r="G64" s="66" t="s">
        <v>4086</v>
      </c>
      <c r="H64" s="64">
        <v>12</v>
      </c>
      <c r="I64" s="65">
        <f t="shared" si="6"/>
        <v>180</v>
      </c>
      <c r="J64" s="67">
        <f t="shared" si="7"/>
        <v>180</v>
      </c>
      <c r="K64" s="67">
        <f t="shared" si="4"/>
        <v>0</v>
      </c>
      <c r="L64" s="67">
        <f t="shared" si="5"/>
        <v>0</v>
      </c>
      <c r="M64" s="64"/>
    </row>
    <row r="65" spans="2:13" s="53" customFormat="1">
      <c r="B65" s="64">
        <v>20</v>
      </c>
      <c r="C65" s="65" t="s">
        <v>35</v>
      </c>
      <c r="D65" s="66" t="s">
        <v>155</v>
      </c>
      <c r="E65" s="65" t="s">
        <v>156</v>
      </c>
      <c r="F65" s="66" t="s">
        <v>5033</v>
      </c>
      <c r="G65" s="66" t="s">
        <v>5103</v>
      </c>
      <c r="H65" s="64">
        <v>8</v>
      </c>
      <c r="I65" s="65">
        <f t="shared" si="6"/>
        <v>400</v>
      </c>
      <c r="J65" s="67">
        <f t="shared" si="7"/>
        <v>400</v>
      </c>
      <c r="K65" s="67">
        <f t="shared" si="4"/>
        <v>0</v>
      </c>
      <c r="L65" s="67">
        <f t="shared" si="5"/>
        <v>0</v>
      </c>
      <c r="M65" s="64"/>
    </row>
    <row r="66" spans="2:13" s="53" customFormat="1">
      <c r="B66" s="64">
        <v>20</v>
      </c>
      <c r="C66" s="65" t="s">
        <v>35</v>
      </c>
      <c r="D66" s="66" t="s">
        <v>157</v>
      </c>
      <c r="E66" s="65" t="s">
        <v>158</v>
      </c>
      <c r="F66" s="66" t="s">
        <v>4182</v>
      </c>
      <c r="G66" s="66" t="s">
        <v>4163</v>
      </c>
      <c r="H66" s="64">
        <v>10</v>
      </c>
      <c r="I66" s="65">
        <f t="shared" si="6"/>
        <v>600</v>
      </c>
      <c r="J66" s="67">
        <f t="shared" si="7"/>
        <v>600</v>
      </c>
      <c r="K66" s="67">
        <f t="shared" si="4"/>
        <v>0</v>
      </c>
      <c r="L66" s="67">
        <f t="shared" si="5"/>
        <v>0</v>
      </c>
      <c r="M66" s="64"/>
    </row>
    <row r="67" spans="2:13" s="53" customFormat="1">
      <c r="B67" s="64">
        <v>20</v>
      </c>
      <c r="C67" s="65" t="s">
        <v>35</v>
      </c>
      <c r="D67" s="66" t="s">
        <v>159</v>
      </c>
      <c r="E67" s="65" t="s">
        <v>160</v>
      </c>
      <c r="F67" s="66" t="s">
        <v>4217</v>
      </c>
      <c r="G67" s="66" t="s">
        <v>5106</v>
      </c>
      <c r="H67" s="64">
        <v>13</v>
      </c>
      <c r="I67" s="65">
        <f t="shared" si="6"/>
        <v>390</v>
      </c>
      <c r="J67" s="67">
        <f t="shared" si="7"/>
        <v>390</v>
      </c>
      <c r="K67" s="67">
        <f t="shared" si="4"/>
        <v>0</v>
      </c>
      <c r="L67" s="67">
        <f t="shared" si="5"/>
        <v>0</v>
      </c>
      <c r="M67" s="64"/>
    </row>
    <row r="68" spans="2:13" s="53" customFormat="1">
      <c r="B68" s="64">
        <v>20</v>
      </c>
      <c r="C68" s="65" t="s">
        <v>35</v>
      </c>
      <c r="D68" s="66" t="s">
        <v>161</v>
      </c>
      <c r="E68" s="65" t="s">
        <v>162</v>
      </c>
      <c r="F68" s="66" t="s">
        <v>4224</v>
      </c>
      <c r="G68" s="66" t="s">
        <v>4150</v>
      </c>
      <c r="H68" s="64">
        <v>21</v>
      </c>
      <c r="I68" s="65">
        <f t="shared" si="6"/>
        <v>560</v>
      </c>
      <c r="J68" s="67">
        <f t="shared" si="7"/>
        <v>588</v>
      </c>
      <c r="K68" s="67">
        <f t="shared" si="4"/>
        <v>-1</v>
      </c>
      <c r="L68" s="67">
        <f t="shared" si="5"/>
        <v>-28</v>
      </c>
      <c r="M68" s="64"/>
    </row>
    <row r="69" spans="2:13" s="53" customFormat="1">
      <c r="B69" s="64">
        <v>20</v>
      </c>
      <c r="C69" s="65" t="s">
        <v>35</v>
      </c>
      <c r="D69" s="66" t="s">
        <v>163</v>
      </c>
      <c r="E69" s="65" t="s">
        <v>164</v>
      </c>
      <c r="F69" s="72" t="s">
        <v>4184</v>
      </c>
      <c r="G69" s="66" t="s">
        <v>4163</v>
      </c>
      <c r="H69" s="64">
        <v>10</v>
      </c>
      <c r="I69" s="65">
        <f t="shared" si="6"/>
        <v>850</v>
      </c>
      <c r="J69" s="67">
        <f t="shared" si="7"/>
        <v>850</v>
      </c>
      <c r="K69" s="67">
        <f t="shared" si="4"/>
        <v>0</v>
      </c>
      <c r="L69" s="67">
        <f t="shared" si="5"/>
        <v>0</v>
      </c>
      <c r="M69" s="64"/>
    </row>
    <row r="70" spans="2:13" s="53" customFormat="1">
      <c r="B70" s="64">
        <v>20</v>
      </c>
      <c r="C70" s="65" t="s">
        <v>35</v>
      </c>
      <c r="D70" s="66" t="s">
        <v>165</v>
      </c>
      <c r="E70" s="65" t="s">
        <v>166</v>
      </c>
      <c r="F70" s="66" t="s">
        <v>5034</v>
      </c>
      <c r="G70" s="66" t="s">
        <v>5104</v>
      </c>
      <c r="H70" s="64">
        <v>9</v>
      </c>
      <c r="I70" s="65">
        <f t="shared" si="6"/>
        <v>499.5</v>
      </c>
      <c r="J70" s="67">
        <f t="shared" si="7"/>
        <v>499.5</v>
      </c>
      <c r="K70" s="67">
        <f t="shared" si="4"/>
        <v>0</v>
      </c>
      <c r="L70" s="67">
        <f t="shared" si="5"/>
        <v>0</v>
      </c>
      <c r="M70" s="64"/>
    </row>
    <row r="71" spans="2:13" s="53" customFormat="1">
      <c r="B71" s="64">
        <v>20</v>
      </c>
      <c r="C71" s="65" t="s">
        <v>35</v>
      </c>
      <c r="D71" s="66" t="s">
        <v>167</v>
      </c>
      <c r="E71" s="65" t="s">
        <v>168</v>
      </c>
      <c r="F71" s="66" t="s">
        <v>4224</v>
      </c>
      <c r="G71" s="66" t="s">
        <v>5107</v>
      </c>
      <c r="H71" s="64">
        <v>74</v>
      </c>
      <c r="I71" s="65">
        <f t="shared" si="6"/>
        <v>2072</v>
      </c>
      <c r="J71" s="67">
        <f t="shared" si="7"/>
        <v>2072</v>
      </c>
      <c r="K71" s="67">
        <f t="shared" si="4"/>
        <v>0</v>
      </c>
      <c r="L71" s="67">
        <f t="shared" si="5"/>
        <v>0</v>
      </c>
      <c r="M71" s="64"/>
    </row>
    <row r="72" spans="2:13" s="53" customFormat="1">
      <c r="B72" s="64">
        <v>20</v>
      </c>
      <c r="C72" s="65" t="s">
        <v>35</v>
      </c>
      <c r="D72" s="66" t="s">
        <v>169</v>
      </c>
      <c r="E72" s="65" t="s">
        <v>170</v>
      </c>
      <c r="F72" s="66" t="s">
        <v>5035</v>
      </c>
      <c r="G72" s="66" t="s">
        <v>5108</v>
      </c>
      <c r="H72" s="64">
        <v>22</v>
      </c>
      <c r="I72" s="65">
        <f t="shared" si="6"/>
        <v>41.36</v>
      </c>
      <c r="J72" s="67">
        <f t="shared" si="7"/>
        <v>41.36</v>
      </c>
      <c r="K72" s="67">
        <f t="shared" si="4"/>
        <v>0</v>
      </c>
      <c r="L72" s="67">
        <f t="shared" si="5"/>
        <v>0</v>
      </c>
      <c r="M72" s="64"/>
    </row>
    <row r="73" spans="2:13" s="53" customFormat="1">
      <c r="B73" s="64">
        <v>20</v>
      </c>
      <c r="C73" s="65" t="s">
        <v>35</v>
      </c>
      <c r="D73" s="66" t="s">
        <v>171</v>
      </c>
      <c r="E73" s="65" t="s">
        <v>172</v>
      </c>
      <c r="F73" s="66" t="s">
        <v>5036</v>
      </c>
      <c r="G73" s="66" t="s">
        <v>5109</v>
      </c>
      <c r="H73" s="64">
        <v>295</v>
      </c>
      <c r="I73" s="65">
        <f t="shared" si="6"/>
        <v>902.7</v>
      </c>
      <c r="J73" s="67">
        <f t="shared" si="7"/>
        <v>902.7</v>
      </c>
      <c r="K73" s="67">
        <f t="shared" si="4"/>
        <v>0</v>
      </c>
      <c r="L73" s="67">
        <f t="shared" si="5"/>
        <v>0</v>
      </c>
      <c r="M73" s="64"/>
    </row>
    <row r="74" spans="2:13" s="53" customFormat="1">
      <c r="B74" s="64">
        <v>20</v>
      </c>
      <c r="C74" s="65" t="s">
        <v>35</v>
      </c>
      <c r="D74" s="66" t="s">
        <v>173</v>
      </c>
      <c r="E74" s="65" t="s">
        <v>174</v>
      </c>
      <c r="F74" s="66" t="s">
        <v>5037</v>
      </c>
      <c r="G74" s="66" t="s">
        <v>4089</v>
      </c>
      <c r="H74" s="64">
        <v>6</v>
      </c>
      <c r="I74" s="65">
        <f t="shared" si="6"/>
        <v>10.8</v>
      </c>
      <c r="J74" s="67">
        <f t="shared" si="7"/>
        <v>10.8</v>
      </c>
      <c r="K74" s="67">
        <f t="shared" si="4"/>
        <v>0</v>
      </c>
      <c r="L74" s="67">
        <f t="shared" si="5"/>
        <v>0</v>
      </c>
      <c r="M74" s="64"/>
    </row>
    <row r="75" spans="2:13" s="53" customFormat="1">
      <c r="B75" s="64">
        <v>20</v>
      </c>
      <c r="C75" s="65" t="s">
        <v>35</v>
      </c>
      <c r="D75" s="66" t="s">
        <v>175</v>
      </c>
      <c r="E75" s="65" t="s">
        <v>176</v>
      </c>
      <c r="F75" s="66" t="s">
        <v>5038</v>
      </c>
      <c r="G75" s="66" t="s">
        <v>5110</v>
      </c>
      <c r="H75" s="64">
        <v>514</v>
      </c>
      <c r="I75" s="65">
        <f t="shared" si="6"/>
        <v>4754.5</v>
      </c>
      <c r="J75" s="67">
        <f t="shared" si="7"/>
        <v>4754.5</v>
      </c>
      <c r="K75" s="67">
        <f t="shared" si="4"/>
        <v>0</v>
      </c>
      <c r="L75" s="67">
        <f t="shared" si="5"/>
        <v>0</v>
      </c>
      <c r="M75" s="64"/>
    </row>
    <row r="76" spans="2:13" s="53" customFormat="1">
      <c r="B76" s="64">
        <v>20</v>
      </c>
      <c r="C76" s="65" t="s">
        <v>35</v>
      </c>
      <c r="D76" s="66" t="s">
        <v>177</v>
      </c>
      <c r="E76" s="65" t="s">
        <v>178</v>
      </c>
      <c r="F76" s="66" t="s">
        <v>5038</v>
      </c>
      <c r="G76" s="66" t="s">
        <v>5111</v>
      </c>
      <c r="H76" s="64">
        <v>470</v>
      </c>
      <c r="I76" s="65">
        <f t="shared" si="6"/>
        <v>4347.5</v>
      </c>
      <c r="J76" s="67">
        <f t="shared" si="7"/>
        <v>4347.5</v>
      </c>
      <c r="K76" s="67">
        <f t="shared" si="4"/>
        <v>0</v>
      </c>
      <c r="L76" s="67">
        <f t="shared" si="5"/>
        <v>0</v>
      </c>
      <c r="M76" s="64"/>
    </row>
    <row r="77" spans="2:13" s="53" customFormat="1">
      <c r="B77" s="64">
        <v>20</v>
      </c>
      <c r="C77" s="65" t="s">
        <v>35</v>
      </c>
      <c r="D77" s="66" t="s">
        <v>179</v>
      </c>
      <c r="E77" s="65" t="s">
        <v>180</v>
      </c>
      <c r="F77" s="66" t="s">
        <v>5038</v>
      </c>
      <c r="G77" s="66" t="s">
        <v>4158</v>
      </c>
      <c r="H77" s="64">
        <v>80</v>
      </c>
      <c r="I77" s="65">
        <f t="shared" si="6"/>
        <v>740</v>
      </c>
      <c r="J77" s="67">
        <f t="shared" si="7"/>
        <v>740</v>
      </c>
      <c r="K77" s="67">
        <f t="shared" ref="K77:K136" si="8">G77-H77</f>
        <v>0</v>
      </c>
      <c r="L77" s="67">
        <f t="shared" ref="L77:L136" si="9">I77-J77</f>
        <v>0</v>
      </c>
      <c r="M77" s="64"/>
    </row>
    <row r="78" spans="2:13" s="53" customFormat="1">
      <c r="B78" s="64">
        <v>20</v>
      </c>
      <c r="C78" s="65" t="s">
        <v>35</v>
      </c>
      <c r="D78" s="66" t="s">
        <v>462</v>
      </c>
      <c r="E78" s="65" t="s">
        <v>468</v>
      </c>
      <c r="F78" s="66" t="s">
        <v>5031</v>
      </c>
      <c r="G78" s="66" t="s">
        <v>5112</v>
      </c>
      <c r="H78" s="64">
        <v>200</v>
      </c>
      <c r="I78" s="65">
        <f t="shared" ref="I78:I137" si="10">F78*G78</f>
        <v>3200</v>
      </c>
      <c r="J78" s="67">
        <f t="shared" ref="J78:J137" si="11">F78*H78</f>
        <v>3200</v>
      </c>
      <c r="K78" s="67">
        <f t="shared" si="8"/>
        <v>0</v>
      </c>
      <c r="L78" s="67">
        <f t="shared" si="9"/>
        <v>0</v>
      </c>
      <c r="M78" s="64"/>
    </row>
    <row r="79" spans="2:13" s="53" customFormat="1">
      <c r="B79" s="64">
        <v>20</v>
      </c>
      <c r="C79" s="65" t="s">
        <v>35</v>
      </c>
      <c r="D79" s="66" t="s">
        <v>181</v>
      </c>
      <c r="E79" s="65" t="s">
        <v>182</v>
      </c>
      <c r="F79" s="66" t="s">
        <v>5031</v>
      </c>
      <c r="G79" s="66">
        <v>147</v>
      </c>
      <c r="H79" s="64">
        <v>147</v>
      </c>
      <c r="I79" s="65">
        <f t="shared" si="10"/>
        <v>2352</v>
      </c>
      <c r="J79" s="67">
        <f t="shared" si="11"/>
        <v>2352</v>
      </c>
      <c r="K79" s="67">
        <f t="shared" si="8"/>
        <v>0</v>
      </c>
      <c r="L79" s="67">
        <f t="shared" si="9"/>
        <v>0</v>
      </c>
      <c r="M79" s="64"/>
    </row>
    <row r="80" spans="2:13" s="53" customFormat="1">
      <c r="B80" s="64">
        <v>20</v>
      </c>
      <c r="C80" s="65" t="s">
        <v>35</v>
      </c>
      <c r="D80" s="66" t="s">
        <v>183</v>
      </c>
      <c r="E80" s="65" t="s">
        <v>184</v>
      </c>
      <c r="F80" s="66" t="s">
        <v>5039</v>
      </c>
      <c r="G80" s="66" t="s">
        <v>5113</v>
      </c>
      <c r="H80" s="64">
        <v>233</v>
      </c>
      <c r="I80" s="65">
        <f t="shared" si="10"/>
        <v>3378.5</v>
      </c>
      <c r="J80" s="67">
        <f t="shared" si="11"/>
        <v>3378.5</v>
      </c>
      <c r="K80" s="67">
        <f t="shared" si="8"/>
        <v>0</v>
      </c>
      <c r="L80" s="67">
        <f t="shared" si="9"/>
        <v>0</v>
      </c>
      <c r="M80" s="64"/>
    </row>
    <row r="81" spans="2:13" s="53" customFormat="1">
      <c r="B81" s="64">
        <v>20</v>
      </c>
      <c r="C81" s="65" t="s">
        <v>35</v>
      </c>
      <c r="D81" s="66" t="s">
        <v>185</v>
      </c>
      <c r="E81" s="65" t="s">
        <v>186</v>
      </c>
      <c r="F81" s="66" t="s">
        <v>5020</v>
      </c>
      <c r="G81" s="66" t="s">
        <v>5114</v>
      </c>
      <c r="H81" s="64">
        <v>222</v>
      </c>
      <c r="I81" s="65">
        <f t="shared" si="10"/>
        <v>2664</v>
      </c>
      <c r="J81" s="67">
        <f t="shared" si="11"/>
        <v>2664</v>
      </c>
      <c r="K81" s="67">
        <f t="shared" si="8"/>
        <v>0</v>
      </c>
      <c r="L81" s="67">
        <f t="shared" si="9"/>
        <v>0</v>
      </c>
      <c r="M81" s="64"/>
    </row>
    <row r="82" spans="2:13" s="53" customFormat="1">
      <c r="B82" s="64">
        <v>20</v>
      </c>
      <c r="C82" s="65" t="s">
        <v>35</v>
      </c>
      <c r="D82" s="66" t="s">
        <v>187</v>
      </c>
      <c r="E82" s="65" t="s">
        <v>188</v>
      </c>
      <c r="F82" s="66" t="s">
        <v>4183</v>
      </c>
      <c r="G82" s="66" t="s">
        <v>5086</v>
      </c>
      <c r="H82" s="64">
        <v>55</v>
      </c>
      <c r="I82" s="65">
        <f t="shared" si="10"/>
        <v>742.5</v>
      </c>
      <c r="J82" s="67">
        <f t="shared" si="11"/>
        <v>742.5</v>
      </c>
      <c r="K82" s="67">
        <f t="shared" si="8"/>
        <v>0</v>
      </c>
      <c r="L82" s="67">
        <f t="shared" si="9"/>
        <v>0</v>
      </c>
      <c r="M82" s="64"/>
    </row>
    <row r="83" spans="2:13" s="53" customFormat="1">
      <c r="B83" s="64">
        <v>20</v>
      </c>
      <c r="C83" s="65" t="s">
        <v>35</v>
      </c>
      <c r="D83" s="66" t="s">
        <v>189</v>
      </c>
      <c r="E83" s="65" t="s">
        <v>190</v>
      </c>
      <c r="F83" s="66" t="s">
        <v>5039</v>
      </c>
      <c r="G83" s="66" t="s">
        <v>4163</v>
      </c>
      <c r="H83" s="64">
        <v>10</v>
      </c>
      <c r="I83" s="65">
        <f t="shared" si="10"/>
        <v>145</v>
      </c>
      <c r="J83" s="67">
        <f t="shared" si="11"/>
        <v>145</v>
      </c>
      <c r="K83" s="67">
        <f t="shared" si="8"/>
        <v>0</v>
      </c>
      <c r="L83" s="67">
        <f t="shared" si="9"/>
        <v>0</v>
      </c>
      <c r="M83" s="64"/>
    </row>
    <row r="84" spans="2:13" s="53" customFormat="1">
      <c r="B84" s="64">
        <v>20</v>
      </c>
      <c r="C84" s="65" t="s">
        <v>35</v>
      </c>
      <c r="D84" s="66" t="s">
        <v>463</v>
      </c>
      <c r="E84" s="65" t="s">
        <v>469</v>
      </c>
      <c r="F84" s="66" t="s">
        <v>5031</v>
      </c>
      <c r="G84" s="66" t="s">
        <v>5112</v>
      </c>
      <c r="H84" s="64">
        <v>200</v>
      </c>
      <c r="I84" s="65">
        <f t="shared" si="10"/>
        <v>3200</v>
      </c>
      <c r="J84" s="67">
        <f t="shared" si="11"/>
        <v>3200</v>
      </c>
      <c r="K84" s="67">
        <f t="shared" si="8"/>
        <v>0</v>
      </c>
      <c r="L84" s="67">
        <f t="shared" si="9"/>
        <v>0</v>
      </c>
      <c r="M84" s="64"/>
    </row>
    <row r="85" spans="2:13" s="53" customFormat="1">
      <c r="B85" s="64">
        <v>20</v>
      </c>
      <c r="C85" s="65" t="s">
        <v>35</v>
      </c>
      <c r="D85" s="66" t="s">
        <v>191</v>
      </c>
      <c r="E85" s="65" t="s">
        <v>192</v>
      </c>
      <c r="F85" s="66" t="s">
        <v>5040</v>
      </c>
      <c r="G85" s="66" t="s">
        <v>4120</v>
      </c>
      <c r="H85" s="64">
        <v>1</v>
      </c>
      <c r="I85" s="65">
        <f t="shared" si="10"/>
        <v>13.25</v>
      </c>
      <c r="J85" s="67">
        <f t="shared" si="11"/>
        <v>13.25</v>
      </c>
      <c r="K85" s="67">
        <f t="shared" si="8"/>
        <v>0</v>
      </c>
      <c r="L85" s="67">
        <f t="shared" si="9"/>
        <v>0</v>
      </c>
      <c r="M85" s="64"/>
    </row>
    <row r="86" spans="2:13" s="53" customFormat="1">
      <c r="B86" s="64">
        <v>20</v>
      </c>
      <c r="C86" s="65" t="s">
        <v>35</v>
      </c>
      <c r="D86" s="66" t="s">
        <v>193</v>
      </c>
      <c r="E86" s="65" t="s">
        <v>194</v>
      </c>
      <c r="F86" s="66" t="s">
        <v>4200</v>
      </c>
      <c r="G86" s="66" t="s">
        <v>4151</v>
      </c>
      <c r="H86" s="64">
        <v>100</v>
      </c>
      <c r="I86" s="65">
        <f t="shared" si="10"/>
        <v>1400</v>
      </c>
      <c r="J86" s="67">
        <f t="shared" si="11"/>
        <v>1400</v>
      </c>
      <c r="K86" s="67">
        <f t="shared" si="8"/>
        <v>0</v>
      </c>
      <c r="L86" s="67">
        <f t="shared" si="9"/>
        <v>0</v>
      </c>
      <c r="M86" s="64"/>
    </row>
    <row r="87" spans="2:13" s="53" customFormat="1">
      <c r="B87" s="64">
        <v>20</v>
      </c>
      <c r="C87" s="65" t="s">
        <v>35</v>
      </c>
      <c r="D87" s="66" t="s">
        <v>195</v>
      </c>
      <c r="E87" s="65" t="s">
        <v>196</v>
      </c>
      <c r="F87" s="66" t="s">
        <v>5039</v>
      </c>
      <c r="G87" s="66" t="s">
        <v>5115</v>
      </c>
      <c r="H87" s="64">
        <v>23</v>
      </c>
      <c r="I87" s="65">
        <f t="shared" si="10"/>
        <v>333.5</v>
      </c>
      <c r="J87" s="67">
        <f t="shared" si="11"/>
        <v>333.5</v>
      </c>
      <c r="K87" s="67">
        <f t="shared" si="8"/>
        <v>0</v>
      </c>
      <c r="L87" s="67">
        <f t="shared" si="9"/>
        <v>0</v>
      </c>
      <c r="M87" s="64"/>
    </row>
    <row r="88" spans="2:13" s="53" customFormat="1">
      <c r="B88" s="64">
        <v>20</v>
      </c>
      <c r="C88" s="65" t="s">
        <v>35</v>
      </c>
      <c r="D88" s="66" t="s">
        <v>197</v>
      </c>
      <c r="E88" s="65" t="s">
        <v>198</v>
      </c>
      <c r="F88" s="66" t="s">
        <v>5040</v>
      </c>
      <c r="G88" s="66" t="s">
        <v>5091</v>
      </c>
      <c r="H88" s="64">
        <v>115</v>
      </c>
      <c r="I88" s="65">
        <f t="shared" si="10"/>
        <v>1523.75</v>
      </c>
      <c r="J88" s="67">
        <f t="shared" si="11"/>
        <v>1523.75</v>
      </c>
      <c r="K88" s="67">
        <f t="shared" si="8"/>
        <v>0</v>
      </c>
      <c r="L88" s="67">
        <f t="shared" si="9"/>
        <v>0</v>
      </c>
      <c r="M88" s="64"/>
    </row>
    <row r="89" spans="2:13" s="53" customFormat="1">
      <c r="B89" s="64">
        <v>20</v>
      </c>
      <c r="C89" s="65" t="s">
        <v>35</v>
      </c>
      <c r="D89" s="66" t="s">
        <v>199</v>
      </c>
      <c r="E89" s="65" t="s">
        <v>200</v>
      </c>
      <c r="F89" s="66" t="s">
        <v>5039</v>
      </c>
      <c r="G89" s="66" t="s">
        <v>4174</v>
      </c>
      <c r="H89" s="64">
        <v>67</v>
      </c>
      <c r="I89" s="65">
        <f t="shared" si="10"/>
        <v>971.5</v>
      </c>
      <c r="J89" s="67">
        <f t="shared" si="11"/>
        <v>971.5</v>
      </c>
      <c r="K89" s="67">
        <f t="shared" si="8"/>
        <v>0</v>
      </c>
      <c r="L89" s="67">
        <f t="shared" si="9"/>
        <v>0</v>
      </c>
      <c r="M89" s="64"/>
    </row>
    <row r="90" spans="2:13" s="53" customFormat="1">
      <c r="B90" s="64">
        <v>20</v>
      </c>
      <c r="C90" s="65" t="s">
        <v>35</v>
      </c>
      <c r="D90" s="66" t="s">
        <v>201</v>
      </c>
      <c r="E90" s="65" t="s">
        <v>202</v>
      </c>
      <c r="F90" s="66" t="s">
        <v>5031</v>
      </c>
      <c r="G90" s="66" t="s">
        <v>5116</v>
      </c>
      <c r="H90" s="64">
        <v>280</v>
      </c>
      <c r="I90" s="65">
        <f t="shared" si="10"/>
        <v>4480</v>
      </c>
      <c r="J90" s="67">
        <f t="shared" si="11"/>
        <v>4480</v>
      </c>
      <c r="K90" s="67">
        <f t="shared" si="8"/>
        <v>0</v>
      </c>
      <c r="L90" s="67">
        <f t="shared" si="9"/>
        <v>0</v>
      </c>
      <c r="M90" s="64"/>
    </row>
    <row r="91" spans="2:13" s="53" customFormat="1">
      <c r="B91" s="64">
        <v>20</v>
      </c>
      <c r="C91" s="65" t="s">
        <v>35</v>
      </c>
      <c r="D91" s="66" t="s">
        <v>203</v>
      </c>
      <c r="E91" s="65" t="s">
        <v>204</v>
      </c>
      <c r="F91" s="66" t="s">
        <v>4214</v>
      </c>
      <c r="G91" s="66" t="s">
        <v>5117</v>
      </c>
      <c r="H91" s="64">
        <v>46</v>
      </c>
      <c r="I91" s="65">
        <f t="shared" si="10"/>
        <v>690</v>
      </c>
      <c r="J91" s="67">
        <f t="shared" si="11"/>
        <v>690</v>
      </c>
      <c r="K91" s="67">
        <f t="shared" si="8"/>
        <v>0</v>
      </c>
      <c r="L91" s="67">
        <f t="shared" si="9"/>
        <v>0</v>
      </c>
      <c r="M91" s="64"/>
    </row>
    <row r="92" spans="2:13" s="53" customFormat="1">
      <c r="B92" s="64">
        <v>20</v>
      </c>
      <c r="C92" s="65" t="s">
        <v>35</v>
      </c>
      <c r="D92" s="66" t="s">
        <v>205</v>
      </c>
      <c r="E92" s="65" t="s">
        <v>206</v>
      </c>
      <c r="F92" s="66" t="s">
        <v>4183</v>
      </c>
      <c r="G92" s="66" t="s">
        <v>5118</v>
      </c>
      <c r="H92" s="64">
        <v>43</v>
      </c>
      <c r="I92" s="65">
        <f t="shared" si="10"/>
        <v>580.5</v>
      </c>
      <c r="J92" s="67">
        <f t="shared" si="11"/>
        <v>580.5</v>
      </c>
      <c r="K92" s="67">
        <f t="shared" si="8"/>
        <v>0</v>
      </c>
      <c r="L92" s="67">
        <f t="shared" si="9"/>
        <v>0</v>
      </c>
      <c r="M92" s="64"/>
    </row>
    <row r="93" spans="2:13" s="53" customFormat="1">
      <c r="B93" s="64">
        <v>20</v>
      </c>
      <c r="C93" s="65" t="s">
        <v>35</v>
      </c>
      <c r="D93" s="66" t="s">
        <v>207</v>
      </c>
      <c r="E93" s="65" t="s">
        <v>208</v>
      </c>
      <c r="F93" s="66" t="s">
        <v>4229</v>
      </c>
      <c r="G93" s="66" t="s">
        <v>4157</v>
      </c>
      <c r="H93" s="64">
        <v>48</v>
      </c>
      <c r="I93" s="65">
        <f t="shared" si="10"/>
        <v>6240</v>
      </c>
      <c r="J93" s="67">
        <f t="shared" si="11"/>
        <v>6240</v>
      </c>
      <c r="K93" s="67">
        <f t="shared" si="8"/>
        <v>0</v>
      </c>
      <c r="L93" s="67">
        <f t="shared" si="9"/>
        <v>0</v>
      </c>
      <c r="M93" s="64"/>
    </row>
    <row r="94" spans="2:13" s="53" customFormat="1">
      <c r="B94" s="64">
        <v>20</v>
      </c>
      <c r="C94" s="65" t="s">
        <v>35</v>
      </c>
      <c r="D94" s="66" t="s">
        <v>209</v>
      </c>
      <c r="E94" s="65" t="s">
        <v>210</v>
      </c>
      <c r="F94" s="66" t="s">
        <v>5032</v>
      </c>
      <c r="G94" s="66">
        <v>219</v>
      </c>
      <c r="H94" s="64">
        <v>219</v>
      </c>
      <c r="I94" s="65">
        <f t="shared" si="10"/>
        <v>8760</v>
      </c>
      <c r="J94" s="67">
        <f t="shared" si="11"/>
        <v>8760</v>
      </c>
      <c r="K94" s="67">
        <f t="shared" si="8"/>
        <v>0</v>
      </c>
      <c r="L94" s="67">
        <f t="shared" si="9"/>
        <v>0</v>
      </c>
      <c r="M94" s="64"/>
    </row>
    <row r="95" spans="2:13" s="53" customFormat="1">
      <c r="B95" s="64">
        <v>20</v>
      </c>
      <c r="C95" s="65" t="s">
        <v>35</v>
      </c>
      <c r="D95" s="66" t="s">
        <v>211</v>
      </c>
      <c r="E95" s="65" t="s">
        <v>212</v>
      </c>
      <c r="F95" s="66" t="s">
        <v>5041</v>
      </c>
      <c r="G95" s="66" t="s">
        <v>4120</v>
      </c>
      <c r="H95" s="64">
        <v>1</v>
      </c>
      <c r="I95" s="65">
        <f t="shared" si="10"/>
        <v>281.11</v>
      </c>
      <c r="J95" s="67">
        <f t="shared" si="11"/>
        <v>281.11</v>
      </c>
      <c r="K95" s="67">
        <f t="shared" si="8"/>
        <v>0</v>
      </c>
      <c r="L95" s="67">
        <f t="shared" si="9"/>
        <v>0</v>
      </c>
      <c r="M95" s="64"/>
    </row>
    <row r="96" spans="2:13" s="53" customFormat="1">
      <c r="B96" s="64">
        <v>20</v>
      </c>
      <c r="C96" s="65" t="s">
        <v>35</v>
      </c>
      <c r="D96" s="66" t="s">
        <v>213</v>
      </c>
      <c r="E96" s="65" t="s">
        <v>214</v>
      </c>
      <c r="F96" s="66" t="s">
        <v>5042</v>
      </c>
      <c r="G96" s="66" t="s">
        <v>4152</v>
      </c>
      <c r="H96" s="64">
        <v>15</v>
      </c>
      <c r="I96" s="65">
        <f t="shared" si="10"/>
        <v>1470</v>
      </c>
      <c r="J96" s="67">
        <f t="shared" si="11"/>
        <v>1470</v>
      </c>
      <c r="K96" s="67">
        <f t="shared" si="8"/>
        <v>0</v>
      </c>
      <c r="L96" s="67">
        <f t="shared" si="9"/>
        <v>0</v>
      </c>
      <c r="M96" s="64"/>
    </row>
    <row r="97" spans="2:13" s="53" customFormat="1">
      <c r="B97" s="64">
        <v>20</v>
      </c>
      <c r="C97" s="65" t="s">
        <v>35</v>
      </c>
      <c r="D97" s="66" t="s">
        <v>215</v>
      </c>
      <c r="E97" s="65" t="s">
        <v>216</v>
      </c>
      <c r="F97" s="66" t="s">
        <v>5042</v>
      </c>
      <c r="G97" s="66" t="s">
        <v>4173</v>
      </c>
      <c r="H97" s="64">
        <v>7</v>
      </c>
      <c r="I97" s="65">
        <f t="shared" si="10"/>
        <v>686</v>
      </c>
      <c r="J97" s="67">
        <f t="shared" si="11"/>
        <v>686</v>
      </c>
      <c r="K97" s="67">
        <f t="shared" si="8"/>
        <v>0</v>
      </c>
      <c r="L97" s="67">
        <f t="shared" si="9"/>
        <v>0</v>
      </c>
      <c r="M97" s="64"/>
    </row>
    <row r="98" spans="2:13" s="53" customFormat="1">
      <c r="B98" s="64">
        <v>20</v>
      </c>
      <c r="C98" s="65" t="s">
        <v>35</v>
      </c>
      <c r="D98" s="66" t="s">
        <v>217</v>
      </c>
      <c r="E98" s="65" t="s">
        <v>218</v>
      </c>
      <c r="F98" s="66" t="s">
        <v>4219</v>
      </c>
      <c r="G98" s="66" t="s">
        <v>5120</v>
      </c>
      <c r="H98" s="64">
        <v>495</v>
      </c>
      <c r="I98" s="65">
        <f t="shared" si="10"/>
        <v>2227.5</v>
      </c>
      <c r="J98" s="67">
        <f t="shared" si="11"/>
        <v>2227.5</v>
      </c>
      <c r="K98" s="67">
        <f t="shared" si="8"/>
        <v>0</v>
      </c>
      <c r="L98" s="67">
        <f t="shared" si="9"/>
        <v>0</v>
      </c>
      <c r="M98" s="64"/>
    </row>
    <row r="99" spans="2:13" s="53" customFormat="1">
      <c r="B99" s="64">
        <v>20</v>
      </c>
      <c r="C99" s="65" t="s">
        <v>35</v>
      </c>
      <c r="D99" s="66" t="s">
        <v>219</v>
      </c>
      <c r="E99" s="65" t="s">
        <v>220</v>
      </c>
      <c r="F99" s="66" t="s">
        <v>5043</v>
      </c>
      <c r="G99" s="66" t="s">
        <v>5121</v>
      </c>
      <c r="H99" s="64">
        <v>649</v>
      </c>
      <c r="I99" s="65">
        <f t="shared" si="10"/>
        <v>5354.25</v>
      </c>
      <c r="J99" s="67">
        <f t="shared" si="11"/>
        <v>5354.25</v>
      </c>
      <c r="K99" s="67">
        <f t="shared" si="8"/>
        <v>0</v>
      </c>
      <c r="L99" s="67">
        <f t="shared" si="9"/>
        <v>0</v>
      </c>
      <c r="M99" s="64"/>
    </row>
    <row r="100" spans="2:13" s="53" customFormat="1">
      <c r="B100" s="64">
        <v>20</v>
      </c>
      <c r="C100" s="65" t="s">
        <v>35</v>
      </c>
      <c r="D100" s="66" t="s">
        <v>221</v>
      </c>
      <c r="E100" s="65" t="s">
        <v>222</v>
      </c>
      <c r="F100" s="66" t="s">
        <v>5043</v>
      </c>
      <c r="G100" s="66" t="s">
        <v>5122</v>
      </c>
      <c r="H100" s="64">
        <v>1001</v>
      </c>
      <c r="I100" s="65">
        <f t="shared" si="10"/>
        <v>8258.25</v>
      </c>
      <c r="J100" s="67">
        <f t="shared" si="11"/>
        <v>8258.25</v>
      </c>
      <c r="K100" s="67">
        <f t="shared" si="8"/>
        <v>0</v>
      </c>
      <c r="L100" s="67">
        <f t="shared" si="9"/>
        <v>0</v>
      </c>
      <c r="M100" s="64"/>
    </row>
    <row r="101" spans="2:13" s="53" customFormat="1">
      <c r="B101" s="64">
        <v>20</v>
      </c>
      <c r="C101" s="65" t="s">
        <v>35</v>
      </c>
      <c r="D101" s="66" t="s">
        <v>223</v>
      </c>
      <c r="E101" s="65" t="s">
        <v>224</v>
      </c>
      <c r="F101" s="66" t="s">
        <v>4231</v>
      </c>
      <c r="G101" s="66" t="s">
        <v>4151</v>
      </c>
      <c r="H101" s="64">
        <v>100</v>
      </c>
      <c r="I101" s="65">
        <f t="shared" si="10"/>
        <v>700</v>
      </c>
      <c r="J101" s="67">
        <f t="shared" si="11"/>
        <v>700</v>
      </c>
      <c r="K101" s="67">
        <f t="shared" si="8"/>
        <v>0</v>
      </c>
      <c r="L101" s="67">
        <f t="shared" si="9"/>
        <v>0</v>
      </c>
      <c r="M101" s="64"/>
    </row>
    <row r="102" spans="2:13" s="53" customFormat="1">
      <c r="B102" s="64">
        <v>20</v>
      </c>
      <c r="C102" s="65" t="s">
        <v>35</v>
      </c>
      <c r="D102" s="66" t="s">
        <v>225</v>
      </c>
      <c r="E102" s="65" t="s">
        <v>226</v>
      </c>
      <c r="F102" s="66" t="s">
        <v>5044</v>
      </c>
      <c r="G102" s="66" t="s">
        <v>5123</v>
      </c>
      <c r="H102" s="64">
        <v>806</v>
      </c>
      <c r="I102" s="65">
        <f t="shared" si="10"/>
        <v>3828.5</v>
      </c>
      <c r="J102" s="67">
        <f t="shared" si="11"/>
        <v>3828.5</v>
      </c>
      <c r="K102" s="67">
        <f t="shared" si="8"/>
        <v>0</v>
      </c>
      <c r="L102" s="67">
        <f t="shared" si="9"/>
        <v>0</v>
      </c>
      <c r="M102" s="64"/>
    </row>
    <row r="103" spans="2:13" s="53" customFormat="1">
      <c r="B103" s="64">
        <v>20</v>
      </c>
      <c r="C103" s="65" t="s">
        <v>35</v>
      </c>
      <c r="D103" s="66" t="s">
        <v>227</v>
      </c>
      <c r="E103" s="65" t="s">
        <v>228</v>
      </c>
      <c r="F103" s="66" t="s">
        <v>4233</v>
      </c>
      <c r="G103" s="66" t="s">
        <v>5124</v>
      </c>
      <c r="H103" s="64">
        <v>236</v>
      </c>
      <c r="I103" s="65">
        <f t="shared" si="10"/>
        <v>1888</v>
      </c>
      <c r="J103" s="67">
        <f t="shared" si="11"/>
        <v>1888</v>
      </c>
      <c r="K103" s="67">
        <f t="shared" si="8"/>
        <v>0</v>
      </c>
      <c r="L103" s="67">
        <f t="shared" si="9"/>
        <v>0</v>
      </c>
      <c r="M103" s="64"/>
    </row>
    <row r="104" spans="2:13" s="53" customFormat="1">
      <c r="B104" s="64">
        <v>20</v>
      </c>
      <c r="C104" s="65" t="s">
        <v>35</v>
      </c>
      <c r="D104" s="66" t="s">
        <v>229</v>
      </c>
      <c r="E104" s="65" t="s">
        <v>230</v>
      </c>
      <c r="F104" s="66" t="s">
        <v>5044</v>
      </c>
      <c r="G104" s="66" t="s">
        <v>5125</v>
      </c>
      <c r="H104" s="64">
        <v>288</v>
      </c>
      <c r="I104" s="65">
        <f t="shared" si="10"/>
        <v>1368</v>
      </c>
      <c r="J104" s="67">
        <f t="shared" si="11"/>
        <v>1368</v>
      </c>
      <c r="K104" s="67">
        <f t="shared" si="8"/>
        <v>0</v>
      </c>
      <c r="L104" s="67">
        <f t="shared" si="9"/>
        <v>0</v>
      </c>
      <c r="M104" s="64"/>
    </row>
    <row r="105" spans="2:13" s="53" customFormat="1">
      <c r="B105" s="64">
        <v>20</v>
      </c>
      <c r="C105" s="65" t="s">
        <v>35</v>
      </c>
      <c r="D105" s="66" t="s">
        <v>231</v>
      </c>
      <c r="E105" s="65" t="s">
        <v>232</v>
      </c>
      <c r="F105" s="66" t="s">
        <v>5045</v>
      </c>
      <c r="G105" s="66" t="s">
        <v>5126</v>
      </c>
      <c r="H105" s="64">
        <v>2760</v>
      </c>
      <c r="I105" s="65">
        <f t="shared" si="10"/>
        <v>6193.8</v>
      </c>
      <c r="J105" s="67">
        <f t="shared" si="11"/>
        <v>7452.0000000000009</v>
      </c>
      <c r="K105" s="67">
        <f t="shared" si="8"/>
        <v>-466</v>
      </c>
      <c r="L105" s="67">
        <f t="shared" si="9"/>
        <v>-1258.2000000000007</v>
      </c>
      <c r="M105" s="64"/>
    </row>
    <row r="106" spans="2:13" s="53" customFormat="1">
      <c r="B106" s="64">
        <v>20</v>
      </c>
      <c r="C106" s="65" t="s">
        <v>35</v>
      </c>
      <c r="D106" s="66" t="s">
        <v>233</v>
      </c>
      <c r="E106" s="65" t="s">
        <v>234</v>
      </c>
      <c r="F106" s="66" t="s">
        <v>5043</v>
      </c>
      <c r="G106" s="66" t="s">
        <v>5127</v>
      </c>
      <c r="H106" s="64">
        <v>390</v>
      </c>
      <c r="I106" s="65">
        <f t="shared" si="10"/>
        <v>3217.5</v>
      </c>
      <c r="J106" s="67">
        <f t="shared" si="11"/>
        <v>3217.5</v>
      </c>
      <c r="K106" s="67">
        <f t="shared" si="8"/>
        <v>0</v>
      </c>
      <c r="L106" s="67">
        <f t="shared" si="9"/>
        <v>0</v>
      </c>
      <c r="M106" s="64"/>
    </row>
    <row r="107" spans="2:13" s="53" customFormat="1">
      <c r="B107" s="64">
        <v>20</v>
      </c>
      <c r="C107" s="65" t="s">
        <v>35</v>
      </c>
      <c r="D107" s="66" t="s">
        <v>235</v>
      </c>
      <c r="E107" s="65" t="s">
        <v>236</v>
      </c>
      <c r="F107" s="66" t="s">
        <v>4219</v>
      </c>
      <c r="G107" s="66" t="s">
        <v>4150</v>
      </c>
      <c r="H107" s="64">
        <v>20</v>
      </c>
      <c r="I107" s="65">
        <f t="shared" si="10"/>
        <v>90</v>
      </c>
      <c r="J107" s="67">
        <f t="shared" si="11"/>
        <v>90</v>
      </c>
      <c r="K107" s="67">
        <f t="shared" si="8"/>
        <v>0</v>
      </c>
      <c r="L107" s="67">
        <f t="shared" si="9"/>
        <v>0</v>
      </c>
      <c r="M107" s="64"/>
    </row>
    <row r="108" spans="2:13" s="53" customFormat="1">
      <c r="B108" s="64">
        <v>20</v>
      </c>
      <c r="C108" s="65" t="s">
        <v>35</v>
      </c>
      <c r="D108" s="66" t="s">
        <v>237</v>
      </c>
      <c r="E108" s="65" t="s">
        <v>238</v>
      </c>
      <c r="F108" s="66" t="s">
        <v>5046</v>
      </c>
      <c r="G108" s="66" t="s">
        <v>5128</v>
      </c>
      <c r="H108" s="64">
        <v>3316</v>
      </c>
      <c r="I108" s="65">
        <f t="shared" si="10"/>
        <v>9284.7999999999993</v>
      </c>
      <c r="J108" s="67">
        <f t="shared" si="11"/>
        <v>9284.7999999999993</v>
      </c>
      <c r="K108" s="67">
        <f t="shared" si="8"/>
        <v>0</v>
      </c>
      <c r="L108" s="67">
        <f t="shared" si="9"/>
        <v>0</v>
      </c>
      <c r="M108" s="64"/>
    </row>
    <row r="109" spans="2:13" s="53" customFormat="1">
      <c r="B109" s="64">
        <v>20</v>
      </c>
      <c r="C109" s="65" t="s">
        <v>35</v>
      </c>
      <c r="D109" s="66" t="s">
        <v>239</v>
      </c>
      <c r="E109" s="65" t="s">
        <v>240</v>
      </c>
      <c r="F109" s="66" t="s">
        <v>4219</v>
      </c>
      <c r="G109" s="66" t="s">
        <v>4089</v>
      </c>
      <c r="H109" s="64">
        <v>6</v>
      </c>
      <c r="I109" s="65">
        <f t="shared" si="10"/>
        <v>27</v>
      </c>
      <c r="J109" s="67">
        <f t="shared" si="11"/>
        <v>27</v>
      </c>
      <c r="K109" s="67">
        <f t="shared" si="8"/>
        <v>0</v>
      </c>
      <c r="L109" s="67">
        <f t="shared" si="9"/>
        <v>0</v>
      </c>
      <c r="M109" s="64"/>
    </row>
    <row r="110" spans="2:13" s="53" customFormat="1">
      <c r="B110" s="64">
        <v>20</v>
      </c>
      <c r="C110" s="65" t="s">
        <v>35</v>
      </c>
      <c r="D110" s="66" t="s">
        <v>241</v>
      </c>
      <c r="E110" s="65" t="s">
        <v>242</v>
      </c>
      <c r="F110" s="66" t="s">
        <v>5047</v>
      </c>
      <c r="G110" s="66" t="s">
        <v>4150</v>
      </c>
      <c r="H110" s="64">
        <v>21</v>
      </c>
      <c r="I110" s="65">
        <f t="shared" si="10"/>
        <v>2317</v>
      </c>
      <c r="J110" s="67">
        <f t="shared" si="11"/>
        <v>2432.85</v>
      </c>
      <c r="K110" s="67">
        <f t="shared" si="8"/>
        <v>-1</v>
      </c>
      <c r="L110" s="67">
        <f t="shared" si="9"/>
        <v>-115.84999999999991</v>
      </c>
      <c r="M110" s="64"/>
    </row>
    <row r="111" spans="2:13" s="53" customFormat="1">
      <c r="B111" s="64">
        <v>20</v>
      </c>
      <c r="C111" s="65" t="s">
        <v>35</v>
      </c>
      <c r="D111" s="66" t="s">
        <v>464</v>
      </c>
      <c r="E111" s="65" t="s">
        <v>470</v>
      </c>
      <c r="F111" s="66" t="s">
        <v>4209</v>
      </c>
      <c r="G111" s="66" t="s">
        <v>4123</v>
      </c>
      <c r="H111" s="64">
        <v>3</v>
      </c>
      <c r="I111" s="65">
        <f t="shared" si="10"/>
        <v>264</v>
      </c>
      <c r="J111" s="67">
        <f t="shared" si="11"/>
        <v>264</v>
      </c>
      <c r="K111" s="67">
        <f t="shared" si="8"/>
        <v>0</v>
      </c>
      <c r="L111" s="67">
        <f t="shared" si="9"/>
        <v>0</v>
      </c>
      <c r="M111" s="64"/>
    </row>
    <row r="112" spans="2:13" s="53" customFormat="1">
      <c r="B112" s="64">
        <v>20</v>
      </c>
      <c r="C112" s="65" t="s">
        <v>35</v>
      </c>
      <c r="D112" s="66" t="s">
        <v>243</v>
      </c>
      <c r="E112" s="65" t="s">
        <v>244</v>
      </c>
      <c r="F112" s="66" t="s">
        <v>5048</v>
      </c>
      <c r="G112" s="66" t="s">
        <v>4173</v>
      </c>
      <c r="H112" s="64">
        <v>7</v>
      </c>
      <c r="I112" s="65">
        <f t="shared" si="10"/>
        <v>1174.6000000000001</v>
      </c>
      <c r="J112" s="67">
        <f t="shared" si="11"/>
        <v>1174.6000000000001</v>
      </c>
      <c r="K112" s="67">
        <f t="shared" si="8"/>
        <v>0</v>
      </c>
      <c r="L112" s="67">
        <f t="shared" si="9"/>
        <v>0</v>
      </c>
      <c r="M112" s="64"/>
    </row>
    <row r="113" spans="2:13" s="53" customFormat="1">
      <c r="B113" s="64">
        <v>20</v>
      </c>
      <c r="C113" s="65" t="s">
        <v>35</v>
      </c>
      <c r="D113" s="66" t="s">
        <v>245</v>
      </c>
      <c r="E113" s="65" t="s">
        <v>246</v>
      </c>
      <c r="F113" s="66" t="s">
        <v>5048</v>
      </c>
      <c r="G113" s="66" t="s">
        <v>4123</v>
      </c>
      <c r="H113" s="64">
        <v>3</v>
      </c>
      <c r="I113" s="65">
        <f t="shared" si="10"/>
        <v>503.40000000000003</v>
      </c>
      <c r="J113" s="67">
        <f t="shared" si="11"/>
        <v>503.40000000000003</v>
      </c>
      <c r="K113" s="67">
        <f t="shared" si="8"/>
        <v>0</v>
      </c>
      <c r="L113" s="67">
        <f t="shared" si="9"/>
        <v>0</v>
      </c>
      <c r="M113" s="64"/>
    </row>
    <row r="114" spans="2:13" s="53" customFormat="1">
      <c r="B114" s="64">
        <v>20</v>
      </c>
      <c r="C114" s="65" t="s">
        <v>35</v>
      </c>
      <c r="D114" s="66" t="s">
        <v>247</v>
      </c>
      <c r="E114" s="65" t="s">
        <v>248</v>
      </c>
      <c r="F114" s="66" t="s">
        <v>4226</v>
      </c>
      <c r="G114" s="66" t="s">
        <v>4120</v>
      </c>
      <c r="H114" s="64">
        <v>1</v>
      </c>
      <c r="I114" s="65">
        <f t="shared" si="10"/>
        <v>180</v>
      </c>
      <c r="J114" s="67">
        <f t="shared" si="11"/>
        <v>180</v>
      </c>
      <c r="K114" s="67">
        <f t="shared" si="8"/>
        <v>0</v>
      </c>
      <c r="L114" s="67">
        <f t="shared" si="9"/>
        <v>0</v>
      </c>
      <c r="M114" s="64"/>
    </row>
    <row r="115" spans="2:13" s="74" customFormat="1">
      <c r="B115" s="71">
        <v>20</v>
      </c>
      <c r="C115" s="73" t="s">
        <v>35</v>
      </c>
      <c r="D115" s="66" t="s">
        <v>249</v>
      </c>
      <c r="E115" s="65" t="s">
        <v>250</v>
      </c>
      <c r="F115" s="66" t="s">
        <v>5049</v>
      </c>
      <c r="G115" s="66" t="s">
        <v>4120</v>
      </c>
      <c r="H115" s="71">
        <v>1</v>
      </c>
      <c r="I115" s="65">
        <f t="shared" si="10"/>
        <v>700</v>
      </c>
      <c r="J115" s="67">
        <f t="shared" si="11"/>
        <v>700</v>
      </c>
      <c r="K115" s="67">
        <f t="shared" si="8"/>
        <v>0</v>
      </c>
      <c r="L115" s="67">
        <f t="shared" si="9"/>
        <v>0</v>
      </c>
      <c r="M115" s="71"/>
    </row>
    <row r="116" spans="2:13" s="53" customFormat="1">
      <c r="B116" s="64">
        <v>20</v>
      </c>
      <c r="C116" s="65" t="s">
        <v>35</v>
      </c>
      <c r="D116" s="66" t="s">
        <v>251</v>
      </c>
      <c r="E116" s="65" t="s">
        <v>252</v>
      </c>
      <c r="F116" s="66" t="s">
        <v>5050</v>
      </c>
      <c r="G116" s="66" t="s">
        <v>4120</v>
      </c>
      <c r="H116" s="64">
        <v>1</v>
      </c>
      <c r="I116" s="65">
        <f t="shared" si="10"/>
        <v>400</v>
      </c>
      <c r="J116" s="67">
        <f t="shared" si="11"/>
        <v>400</v>
      </c>
      <c r="K116" s="67">
        <f t="shared" si="8"/>
        <v>0</v>
      </c>
      <c r="L116" s="67">
        <f t="shared" si="9"/>
        <v>0</v>
      </c>
      <c r="M116" s="64"/>
    </row>
    <row r="117" spans="2:13" s="53" customFormat="1">
      <c r="B117" s="64">
        <v>20</v>
      </c>
      <c r="C117" s="65" t="s">
        <v>35</v>
      </c>
      <c r="D117" s="66" t="s">
        <v>253</v>
      </c>
      <c r="E117" s="65" t="s">
        <v>254</v>
      </c>
      <c r="F117" s="66" t="s">
        <v>4215</v>
      </c>
      <c r="G117" s="66">
        <v>192</v>
      </c>
      <c r="H117" s="64">
        <v>196</v>
      </c>
      <c r="I117" s="65">
        <f t="shared" si="10"/>
        <v>4608</v>
      </c>
      <c r="J117" s="67">
        <f t="shared" si="11"/>
        <v>4704</v>
      </c>
      <c r="K117" s="67">
        <f t="shared" si="8"/>
        <v>-4</v>
      </c>
      <c r="L117" s="67">
        <f t="shared" si="9"/>
        <v>-96</v>
      </c>
      <c r="M117" s="64"/>
    </row>
    <row r="118" spans="2:13" s="53" customFormat="1">
      <c r="B118" s="64">
        <v>20</v>
      </c>
      <c r="C118" s="65" t="s">
        <v>35</v>
      </c>
      <c r="D118" s="66" t="s">
        <v>255</v>
      </c>
      <c r="E118" s="65" t="s">
        <v>256</v>
      </c>
      <c r="F118" s="66" t="s">
        <v>4232</v>
      </c>
      <c r="G118" s="66" t="s">
        <v>5130</v>
      </c>
      <c r="H118" s="64">
        <v>37</v>
      </c>
      <c r="I118" s="65">
        <f t="shared" si="10"/>
        <v>740</v>
      </c>
      <c r="J118" s="67">
        <f t="shared" si="11"/>
        <v>740</v>
      </c>
      <c r="K118" s="67">
        <f t="shared" si="8"/>
        <v>0</v>
      </c>
      <c r="L118" s="67">
        <f t="shared" si="9"/>
        <v>0</v>
      </c>
      <c r="M118" s="64"/>
    </row>
    <row r="119" spans="2:13" s="53" customFormat="1">
      <c r="B119" s="64">
        <v>20</v>
      </c>
      <c r="C119" s="65" t="s">
        <v>35</v>
      </c>
      <c r="D119" s="66" t="s">
        <v>257</v>
      </c>
      <c r="E119" s="65" t="s">
        <v>258</v>
      </c>
      <c r="F119" s="66" t="s">
        <v>4219</v>
      </c>
      <c r="G119" s="66" t="s">
        <v>4120</v>
      </c>
      <c r="H119" s="64">
        <v>1</v>
      </c>
      <c r="I119" s="65">
        <f t="shared" si="10"/>
        <v>4.5</v>
      </c>
      <c r="J119" s="67">
        <f t="shared" si="11"/>
        <v>4.5</v>
      </c>
      <c r="K119" s="67">
        <f t="shared" si="8"/>
        <v>0</v>
      </c>
      <c r="L119" s="67">
        <f t="shared" si="9"/>
        <v>0</v>
      </c>
      <c r="M119" s="64"/>
    </row>
    <row r="120" spans="2:13" s="53" customFormat="1">
      <c r="B120" s="64">
        <v>20</v>
      </c>
      <c r="C120" s="65" t="s">
        <v>35</v>
      </c>
      <c r="D120" s="66" t="s">
        <v>259</v>
      </c>
      <c r="E120" s="65" t="s">
        <v>260</v>
      </c>
      <c r="F120" s="66" t="s">
        <v>4218</v>
      </c>
      <c r="G120" s="66">
        <f>1490+11</f>
        <v>1501</v>
      </c>
      <c r="H120" s="64">
        <v>1501</v>
      </c>
      <c r="I120" s="65">
        <f t="shared" si="10"/>
        <v>9006</v>
      </c>
      <c r="J120" s="67">
        <f t="shared" si="11"/>
        <v>9006</v>
      </c>
      <c r="K120" s="67">
        <f t="shared" si="8"/>
        <v>0</v>
      </c>
      <c r="L120" s="67">
        <f t="shared" si="9"/>
        <v>0</v>
      </c>
      <c r="M120" s="64"/>
    </row>
    <row r="121" spans="2:13" s="53" customFormat="1">
      <c r="B121" s="64">
        <v>20</v>
      </c>
      <c r="C121" s="65" t="s">
        <v>35</v>
      </c>
      <c r="D121" s="66" t="s">
        <v>261</v>
      </c>
      <c r="E121" s="65" t="s">
        <v>262</v>
      </c>
      <c r="F121" s="66" t="s">
        <v>5052</v>
      </c>
      <c r="G121" s="66" t="s">
        <v>5104</v>
      </c>
      <c r="H121" s="64">
        <v>9</v>
      </c>
      <c r="I121" s="65">
        <f t="shared" si="10"/>
        <v>153</v>
      </c>
      <c r="J121" s="67">
        <f t="shared" si="11"/>
        <v>153</v>
      </c>
      <c r="K121" s="67">
        <f t="shared" si="8"/>
        <v>0</v>
      </c>
      <c r="L121" s="67">
        <f t="shared" si="9"/>
        <v>0</v>
      </c>
      <c r="M121" s="64"/>
    </row>
    <row r="122" spans="2:13" s="53" customFormat="1">
      <c r="B122" s="64">
        <v>20</v>
      </c>
      <c r="C122" s="65" t="s">
        <v>35</v>
      </c>
      <c r="D122" s="66" t="s">
        <v>263</v>
      </c>
      <c r="E122" s="65" t="s">
        <v>264</v>
      </c>
      <c r="F122" s="66" t="s">
        <v>4194</v>
      </c>
      <c r="G122" s="66" t="s">
        <v>5131</v>
      </c>
      <c r="H122" s="64">
        <v>17</v>
      </c>
      <c r="I122" s="65">
        <f t="shared" si="10"/>
        <v>2550</v>
      </c>
      <c r="J122" s="67">
        <f t="shared" si="11"/>
        <v>2550</v>
      </c>
      <c r="K122" s="67">
        <f t="shared" si="8"/>
        <v>0</v>
      </c>
      <c r="L122" s="67">
        <f t="shared" si="9"/>
        <v>0</v>
      </c>
      <c r="M122" s="64"/>
    </row>
    <row r="123" spans="2:13" s="53" customFormat="1">
      <c r="B123" s="64">
        <v>20</v>
      </c>
      <c r="C123" s="65" t="s">
        <v>35</v>
      </c>
      <c r="D123" s="66" t="s">
        <v>265</v>
      </c>
      <c r="E123" s="65" t="s">
        <v>266</v>
      </c>
      <c r="F123" s="66" t="s">
        <v>4222</v>
      </c>
      <c r="G123" s="66" t="s">
        <v>5132</v>
      </c>
      <c r="H123" s="64">
        <v>150</v>
      </c>
      <c r="I123" s="65">
        <f t="shared" si="10"/>
        <v>2700</v>
      </c>
      <c r="J123" s="67">
        <f t="shared" si="11"/>
        <v>2700</v>
      </c>
      <c r="K123" s="67">
        <f t="shared" si="8"/>
        <v>0</v>
      </c>
      <c r="L123" s="67">
        <f t="shared" si="9"/>
        <v>0</v>
      </c>
      <c r="M123" s="64"/>
    </row>
    <row r="124" spans="2:13" s="53" customFormat="1">
      <c r="B124" s="64">
        <v>20</v>
      </c>
      <c r="C124" s="65" t="s">
        <v>35</v>
      </c>
      <c r="D124" s="66" t="s">
        <v>267</v>
      </c>
      <c r="E124" s="65" t="s">
        <v>268</v>
      </c>
      <c r="F124" s="66" t="s">
        <v>4187</v>
      </c>
      <c r="G124" s="66" t="s">
        <v>4120</v>
      </c>
      <c r="H124" s="64">
        <v>1</v>
      </c>
      <c r="I124" s="65">
        <f t="shared" si="10"/>
        <v>100</v>
      </c>
      <c r="J124" s="67">
        <f t="shared" si="11"/>
        <v>100</v>
      </c>
      <c r="K124" s="67">
        <f t="shared" si="8"/>
        <v>0</v>
      </c>
      <c r="L124" s="67">
        <f t="shared" si="9"/>
        <v>0</v>
      </c>
      <c r="M124" s="64"/>
    </row>
    <row r="125" spans="2:13" s="53" customFormat="1">
      <c r="B125" s="64">
        <v>20</v>
      </c>
      <c r="C125" s="65" t="s">
        <v>35</v>
      </c>
      <c r="D125" s="66" t="s">
        <v>269</v>
      </c>
      <c r="E125" s="65" t="s">
        <v>270</v>
      </c>
      <c r="F125" s="66" t="s">
        <v>4225</v>
      </c>
      <c r="G125" s="66" t="s">
        <v>4123</v>
      </c>
      <c r="H125" s="64">
        <v>3</v>
      </c>
      <c r="I125" s="65">
        <f t="shared" si="10"/>
        <v>600</v>
      </c>
      <c r="J125" s="67">
        <f t="shared" si="11"/>
        <v>600</v>
      </c>
      <c r="K125" s="67">
        <f t="shared" si="8"/>
        <v>0</v>
      </c>
      <c r="L125" s="67">
        <f t="shared" si="9"/>
        <v>0</v>
      </c>
      <c r="M125" s="64"/>
    </row>
    <row r="126" spans="2:13" s="53" customFormat="1">
      <c r="B126" s="64">
        <v>20</v>
      </c>
      <c r="C126" s="65" t="s">
        <v>35</v>
      </c>
      <c r="D126" s="66" t="s">
        <v>271</v>
      </c>
      <c r="E126" s="65" t="s">
        <v>272</v>
      </c>
      <c r="F126" s="66" t="s">
        <v>4223</v>
      </c>
      <c r="G126" s="66" t="s">
        <v>5133</v>
      </c>
      <c r="H126" s="64">
        <v>33</v>
      </c>
      <c r="I126" s="65">
        <f t="shared" si="10"/>
        <v>693</v>
      </c>
      <c r="J126" s="67">
        <f t="shared" si="11"/>
        <v>693</v>
      </c>
      <c r="K126" s="67">
        <f t="shared" si="8"/>
        <v>0</v>
      </c>
      <c r="L126" s="67">
        <f t="shared" si="9"/>
        <v>0</v>
      </c>
      <c r="M126" s="64"/>
    </row>
    <row r="127" spans="2:13" s="53" customFormat="1">
      <c r="B127" s="64">
        <v>20</v>
      </c>
      <c r="C127" s="65" t="s">
        <v>35</v>
      </c>
      <c r="D127" s="66" t="s">
        <v>273</v>
      </c>
      <c r="E127" s="65" t="s">
        <v>274</v>
      </c>
      <c r="F127" s="66" t="s">
        <v>4200</v>
      </c>
      <c r="G127" s="66" t="s">
        <v>5108</v>
      </c>
      <c r="H127" s="64">
        <v>22</v>
      </c>
      <c r="I127" s="65">
        <f t="shared" si="10"/>
        <v>308</v>
      </c>
      <c r="J127" s="67">
        <f t="shared" si="11"/>
        <v>308</v>
      </c>
      <c r="K127" s="67">
        <f t="shared" si="8"/>
        <v>0</v>
      </c>
      <c r="L127" s="67">
        <f t="shared" si="9"/>
        <v>0</v>
      </c>
      <c r="M127" s="64"/>
    </row>
    <row r="128" spans="2:13" s="53" customFormat="1">
      <c r="B128" s="64">
        <v>20</v>
      </c>
      <c r="C128" s="65" t="s">
        <v>35</v>
      </c>
      <c r="D128" s="66" t="s">
        <v>4999</v>
      </c>
      <c r="E128" s="65" t="s">
        <v>5005</v>
      </c>
      <c r="F128" s="66" t="s">
        <v>4211</v>
      </c>
      <c r="G128" s="66" t="s">
        <v>4177</v>
      </c>
      <c r="H128" s="64">
        <v>30</v>
      </c>
      <c r="I128" s="65">
        <f t="shared" si="10"/>
        <v>3450</v>
      </c>
      <c r="J128" s="67">
        <f t="shared" si="11"/>
        <v>3450</v>
      </c>
      <c r="K128" s="67">
        <f t="shared" si="8"/>
        <v>0</v>
      </c>
      <c r="L128" s="67">
        <f t="shared" si="9"/>
        <v>0</v>
      </c>
      <c r="M128" s="64"/>
    </row>
    <row r="129" spans="2:13" s="53" customFormat="1">
      <c r="B129" s="64">
        <v>20</v>
      </c>
      <c r="C129" s="65" t="s">
        <v>35</v>
      </c>
      <c r="D129" s="66" t="s">
        <v>275</v>
      </c>
      <c r="E129" s="65" t="s">
        <v>276</v>
      </c>
      <c r="F129" s="66" t="s">
        <v>5053</v>
      </c>
      <c r="G129" s="66" t="s">
        <v>4163</v>
      </c>
      <c r="H129" s="64">
        <v>10</v>
      </c>
      <c r="I129" s="65">
        <f t="shared" si="10"/>
        <v>1783.3000000000002</v>
      </c>
      <c r="J129" s="67">
        <f t="shared" si="11"/>
        <v>1783.3000000000002</v>
      </c>
      <c r="K129" s="67">
        <f t="shared" si="8"/>
        <v>0</v>
      </c>
      <c r="L129" s="67">
        <f t="shared" si="9"/>
        <v>0</v>
      </c>
      <c r="M129" s="64"/>
    </row>
    <row r="130" spans="2:13" s="53" customFormat="1">
      <c r="B130" s="64">
        <v>20</v>
      </c>
      <c r="C130" s="65" t="s">
        <v>35</v>
      </c>
      <c r="D130" s="66" t="s">
        <v>277</v>
      </c>
      <c r="E130" s="65" t="s">
        <v>278</v>
      </c>
      <c r="F130" s="66" t="s">
        <v>4210</v>
      </c>
      <c r="G130" s="66" t="s">
        <v>5130</v>
      </c>
      <c r="H130" s="64">
        <v>37</v>
      </c>
      <c r="I130" s="65">
        <f t="shared" si="10"/>
        <v>999</v>
      </c>
      <c r="J130" s="67">
        <f t="shared" si="11"/>
        <v>999</v>
      </c>
      <c r="K130" s="67">
        <f t="shared" si="8"/>
        <v>0</v>
      </c>
      <c r="L130" s="67">
        <f t="shared" si="9"/>
        <v>0</v>
      </c>
      <c r="M130" s="64"/>
    </row>
    <row r="131" spans="2:13" s="53" customFormat="1">
      <c r="B131" s="64">
        <v>20</v>
      </c>
      <c r="C131" s="65" t="s">
        <v>35</v>
      </c>
      <c r="D131" s="66" t="s">
        <v>279</v>
      </c>
      <c r="E131" s="65" t="s">
        <v>280</v>
      </c>
      <c r="F131" s="66" t="s">
        <v>4205</v>
      </c>
      <c r="G131" s="66" t="s">
        <v>5134</v>
      </c>
      <c r="H131" s="64">
        <v>31</v>
      </c>
      <c r="I131" s="65">
        <f t="shared" si="10"/>
        <v>697.5</v>
      </c>
      <c r="J131" s="67">
        <f t="shared" si="11"/>
        <v>697.5</v>
      </c>
      <c r="K131" s="67">
        <f t="shared" si="8"/>
        <v>0</v>
      </c>
      <c r="L131" s="67">
        <f t="shared" si="9"/>
        <v>0</v>
      </c>
      <c r="M131" s="64"/>
    </row>
    <row r="132" spans="2:13" s="53" customFormat="1">
      <c r="B132" s="64">
        <v>20</v>
      </c>
      <c r="C132" s="65" t="s">
        <v>35</v>
      </c>
      <c r="D132" s="66" t="s">
        <v>281</v>
      </c>
      <c r="E132" s="65" t="s">
        <v>282</v>
      </c>
      <c r="F132" s="66" t="s">
        <v>4214</v>
      </c>
      <c r="G132" s="66" t="s">
        <v>4092</v>
      </c>
      <c r="H132" s="64">
        <v>5</v>
      </c>
      <c r="I132" s="65">
        <f t="shared" si="10"/>
        <v>75</v>
      </c>
      <c r="J132" s="67">
        <f t="shared" si="11"/>
        <v>75</v>
      </c>
      <c r="K132" s="67">
        <f t="shared" si="8"/>
        <v>0</v>
      </c>
      <c r="L132" s="67">
        <f t="shared" si="9"/>
        <v>0</v>
      </c>
      <c r="M132" s="64"/>
    </row>
    <row r="133" spans="2:13" s="53" customFormat="1">
      <c r="B133" s="64">
        <v>20</v>
      </c>
      <c r="C133" s="65" t="s">
        <v>35</v>
      </c>
      <c r="D133" s="66" t="s">
        <v>283</v>
      </c>
      <c r="E133" s="65" t="s">
        <v>284</v>
      </c>
      <c r="F133" s="66" t="s">
        <v>5054</v>
      </c>
      <c r="G133" s="66" t="s">
        <v>5104</v>
      </c>
      <c r="H133" s="64">
        <v>9</v>
      </c>
      <c r="I133" s="65">
        <f t="shared" si="10"/>
        <v>8100</v>
      </c>
      <c r="J133" s="67">
        <f t="shared" si="11"/>
        <v>8100</v>
      </c>
      <c r="K133" s="67">
        <f t="shared" si="8"/>
        <v>0</v>
      </c>
      <c r="L133" s="67">
        <f t="shared" si="9"/>
        <v>0</v>
      </c>
      <c r="M133" s="64"/>
    </row>
    <row r="134" spans="2:13" s="53" customFormat="1">
      <c r="B134" s="64">
        <v>20</v>
      </c>
      <c r="C134" s="65" t="s">
        <v>35</v>
      </c>
      <c r="D134" s="66" t="s">
        <v>285</v>
      </c>
      <c r="E134" s="65" t="s">
        <v>286</v>
      </c>
      <c r="F134" s="66" t="s">
        <v>5055</v>
      </c>
      <c r="G134" s="66" t="s">
        <v>2981</v>
      </c>
      <c r="H134" s="64">
        <v>2</v>
      </c>
      <c r="I134" s="65">
        <f t="shared" si="10"/>
        <v>190</v>
      </c>
      <c r="J134" s="67">
        <f t="shared" si="11"/>
        <v>190</v>
      </c>
      <c r="K134" s="67">
        <f t="shared" si="8"/>
        <v>0</v>
      </c>
      <c r="L134" s="67">
        <f t="shared" si="9"/>
        <v>0</v>
      </c>
      <c r="M134" s="64"/>
    </row>
    <row r="135" spans="2:13" s="53" customFormat="1">
      <c r="B135" s="64">
        <v>20</v>
      </c>
      <c r="C135" s="65" t="s">
        <v>35</v>
      </c>
      <c r="D135" s="66" t="s">
        <v>287</v>
      </c>
      <c r="E135" s="65" t="s">
        <v>288</v>
      </c>
      <c r="F135" s="66" t="s">
        <v>4201</v>
      </c>
      <c r="G135" s="66" t="s">
        <v>5131</v>
      </c>
      <c r="H135" s="64">
        <v>17</v>
      </c>
      <c r="I135" s="65">
        <f t="shared" si="10"/>
        <v>153</v>
      </c>
      <c r="J135" s="67">
        <f t="shared" si="11"/>
        <v>153</v>
      </c>
      <c r="K135" s="67">
        <f t="shared" si="8"/>
        <v>0</v>
      </c>
      <c r="L135" s="67">
        <f t="shared" si="9"/>
        <v>0</v>
      </c>
      <c r="M135" s="64"/>
    </row>
    <row r="136" spans="2:13" s="53" customFormat="1">
      <c r="B136" s="64">
        <v>20</v>
      </c>
      <c r="C136" s="65" t="s">
        <v>35</v>
      </c>
      <c r="D136" s="66" t="s">
        <v>289</v>
      </c>
      <c r="E136" s="65" t="s">
        <v>290</v>
      </c>
      <c r="F136" s="66" t="s">
        <v>4201</v>
      </c>
      <c r="G136" s="66" t="s">
        <v>5131</v>
      </c>
      <c r="H136" s="64">
        <v>17</v>
      </c>
      <c r="I136" s="65">
        <f t="shared" si="10"/>
        <v>153</v>
      </c>
      <c r="J136" s="67">
        <f t="shared" si="11"/>
        <v>153</v>
      </c>
      <c r="K136" s="67">
        <f t="shared" si="8"/>
        <v>0</v>
      </c>
      <c r="L136" s="67">
        <f t="shared" si="9"/>
        <v>0</v>
      </c>
      <c r="M136" s="64"/>
    </row>
    <row r="137" spans="2:13" s="53" customFormat="1">
      <c r="B137" s="64">
        <v>20</v>
      </c>
      <c r="C137" s="65" t="s">
        <v>35</v>
      </c>
      <c r="D137" s="66" t="s">
        <v>291</v>
      </c>
      <c r="E137" s="65" t="s">
        <v>292</v>
      </c>
      <c r="F137" s="66" t="s">
        <v>4221</v>
      </c>
      <c r="G137" s="66" t="s">
        <v>5135</v>
      </c>
      <c r="H137" s="64">
        <v>25</v>
      </c>
      <c r="I137" s="65">
        <f t="shared" si="10"/>
        <v>625</v>
      </c>
      <c r="J137" s="67">
        <f t="shared" si="11"/>
        <v>625</v>
      </c>
      <c r="K137" s="67">
        <f t="shared" ref="K137:K198" si="12">G137-H137</f>
        <v>0</v>
      </c>
      <c r="L137" s="67">
        <f t="shared" ref="L137:L198" si="13">I137-J137</f>
        <v>0</v>
      </c>
      <c r="M137" s="64"/>
    </row>
    <row r="138" spans="2:13" s="53" customFormat="1">
      <c r="B138" s="64">
        <v>20</v>
      </c>
      <c r="C138" s="65" t="s">
        <v>35</v>
      </c>
      <c r="D138" s="66" t="s">
        <v>293</v>
      </c>
      <c r="E138" s="65" t="s">
        <v>294</v>
      </c>
      <c r="F138" s="66" t="s">
        <v>4223</v>
      </c>
      <c r="G138" s="66" t="s">
        <v>5136</v>
      </c>
      <c r="H138" s="64">
        <v>171</v>
      </c>
      <c r="I138" s="65">
        <f t="shared" ref="I138:I199" si="14">F138*G138</f>
        <v>3591</v>
      </c>
      <c r="J138" s="67">
        <f t="shared" ref="J138:J199" si="15">F138*H138</f>
        <v>3591</v>
      </c>
      <c r="K138" s="67">
        <f t="shared" si="12"/>
        <v>0</v>
      </c>
      <c r="L138" s="67">
        <f t="shared" si="13"/>
        <v>0</v>
      </c>
      <c r="M138" s="64"/>
    </row>
    <row r="139" spans="2:13" s="53" customFormat="1">
      <c r="B139" s="64">
        <v>20</v>
      </c>
      <c r="C139" s="65" t="s">
        <v>35</v>
      </c>
      <c r="D139" s="66" t="s">
        <v>295</v>
      </c>
      <c r="E139" s="65" t="s">
        <v>296</v>
      </c>
      <c r="F139" s="66" t="s">
        <v>4207</v>
      </c>
      <c r="G139" s="66" t="s">
        <v>4120</v>
      </c>
      <c r="H139" s="64">
        <v>1</v>
      </c>
      <c r="I139" s="65">
        <f t="shared" si="14"/>
        <v>17.5</v>
      </c>
      <c r="J139" s="67">
        <f t="shared" si="15"/>
        <v>17.5</v>
      </c>
      <c r="K139" s="67">
        <f t="shared" si="12"/>
        <v>0</v>
      </c>
      <c r="L139" s="67">
        <f t="shared" si="13"/>
        <v>0</v>
      </c>
      <c r="M139" s="64"/>
    </row>
    <row r="140" spans="2:13" s="53" customFormat="1">
      <c r="B140" s="64">
        <v>20</v>
      </c>
      <c r="C140" s="65" t="s">
        <v>35</v>
      </c>
      <c r="D140" s="66" t="s">
        <v>297</v>
      </c>
      <c r="E140" s="65" t="s">
        <v>298</v>
      </c>
      <c r="F140" s="66" t="s">
        <v>5056</v>
      </c>
      <c r="G140" s="66" t="s">
        <v>2981</v>
      </c>
      <c r="H140" s="64">
        <v>2</v>
      </c>
      <c r="I140" s="65">
        <f t="shared" si="14"/>
        <v>243.9</v>
      </c>
      <c r="J140" s="67">
        <f t="shared" si="15"/>
        <v>243.9</v>
      </c>
      <c r="K140" s="67">
        <f t="shared" si="12"/>
        <v>0</v>
      </c>
      <c r="L140" s="67">
        <f t="shared" si="13"/>
        <v>0</v>
      </c>
      <c r="M140" s="64"/>
    </row>
    <row r="141" spans="2:13" s="53" customFormat="1">
      <c r="B141" s="64">
        <v>20</v>
      </c>
      <c r="C141" s="65" t="s">
        <v>35</v>
      </c>
      <c r="D141" s="66" t="s">
        <v>299</v>
      </c>
      <c r="E141" s="65" t="s">
        <v>300</v>
      </c>
      <c r="F141" s="66" t="s">
        <v>4186</v>
      </c>
      <c r="G141" s="66" t="s">
        <v>5131</v>
      </c>
      <c r="H141" s="64">
        <v>17</v>
      </c>
      <c r="I141" s="65">
        <f t="shared" si="14"/>
        <v>1530</v>
      </c>
      <c r="J141" s="67">
        <f t="shared" si="15"/>
        <v>1530</v>
      </c>
      <c r="K141" s="67">
        <f t="shared" si="12"/>
        <v>0</v>
      </c>
      <c r="L141" s="67">
        <f t="shared" si="13"/>
        <v>0</v>
      </c>
      <c r="M141" s="64"/>
    </row>
    <row r="142" spans="2:13" s="53" customFormat="1">
      <c r="B142" s="64">
        <v>20</v>
      </c>
      <c r="C142" s="65" t="s">
        <v>35</v>
      </c>
      <c r="D142" s="66" t="s">
        <v>301</v>
      </c>
      <c r="E142" s="65" t="s">
        <v>302</v>
      </c>
      <c r="F142" s="66" t="s">
        <v>4214</v>
      </c>
      <c r="G142" s="66" t="s">
        <v>5137</v>
      </c>
      <c r="H142" s="71">
        <v>84</v>
      </c>
      <c r="I142" s="65">
        <f t="shared" si="14"/>
        <v>1260</v>
      </c>
      <c r="J142" s="67">
        <f t="shared" si="15"/>
        <v>1260</v>
      </c>
      <c r="K142" s="67">
        <f t="shared" si="12"/>
        <v>0</v>
      </c>
      <c r="L142" s="67">
        <f t="shared" si="13"/>
        <v>0</v>
      </c>
      <c r="M142" s="64"/>
    </row>
    <row r="143" spans="2:13" s="53" customFormat="1">
      <c r="B143" s="64">
        <v>20</v>
      </c>
      <c r="C143" s="65" t="s">
        <v>35</v>
      </c>
      <c r="D143" s="66" t="s">
        <v>303</v>
      </c>
      <c r="E143" s="65" t="s">
        <v>304</v>
      </c>
      <c r="F143" s="66" t="s">
        <v>4214</v>
      </c>
      <c r="G143" s="66" t="s">
        <v>4157</v>
      </c>
      <c r="H143" s="71">
        <v>48</v>
      </c>
      <c r="I143" s="65">
        <f t="shared" si="14"/>
        <v>720</v>
      </c>
      <c r="J143" s="67">
        <f t="shared" si="15"/>
        <v>720</v>
      </c>
      <c r="K143" s="67">
        <f t="shared" si="12"/>
        <v>0</v>
      </c>
      <c r="L143" s="67">
        <f t="shared" si="13"/>
        <v>0</v>
      </c>
      <c r="M143" s="64"/>
    </row>
    <row r="144" spans="2:13" s="53" customFormat="1">
      <c r="B144" s="64">
        <v>20</v>
      </c>
      <c r="C144" s="65" t="s">
        <v>35</v>
      </c>
      <c r="D144" s="66" t="s">
        <v>5000</v>
      </c>
      <c r="E144" s="65" t="s">
        <v>5006</v>
      </c>
      <c r="F144" s="66" t="s">
        <v>4216</v>
      </c>
      <c r="G144" s="66" t="s">
        <v>5138</v>
      </c>
      <c r="H144" s="64">
        <v>229</v>
      </c>
      <c r="I144" s="65">
        <f t="shared" si="14"/>
        <v>5267</v>
      </c>
      <c r="J144" s="67">
        <f t="shared" si="15"/>
        <v>5267</v>
      </c>
      <c r="K144" s="67">
        <f t="shared" si="12"/>
        <v>0</v>
      </c>
      <c r="L144" s="67">
        <f t="shared" si="13"/>
        <v>0</v>
      </c>
      <c r="M144" s="64"/>
    </row>
    <row r="145" spans="2:13" s="53" customFormat="1">
      <c r="B145" s="64">
        <v>20</v>
      </c>
      <c r="C145" s="65" t="s">
        <v>35</v>
      </c>
      <c r="D145" s="66" t="s">
        <v>5001</v>
      </c>
      <c r="E145" s="65" t="s">
        <v>5007</v>
      </c>
      <c r="F145" s="66" t="s">
        <v>4216</v>
      </c>
      <c r="G145" s="66" t="s">
        <v>5139</v>
      </c>
      <c r="H145" s="64">
        <v>120</v>
      </c>
      <c r="I145" s="65">
        <f t="shared" si="14"/>
        <v>2760</v>
      </c>
      <c r="J145" s="67">
        <f t="shared" si="15"/>
        <v>2760</v>
      </c>
      <c r="K145" s="67">
        <f t="shared" si="12"/>
        <v>0</v>
      </c>
      <c r="L145" s="67">
        <f t="shared" si="13"/>
        <v>0</v>
      </c>
      <c r="M145" s="64"/>
    </row>
    <row r="146" spans="2:13" s="53" customFormat="1">
      <c r="B146" s="64">
        <v>20</v>
      </c>
      <c r="C146" s="65" t="s">
        <v>35</v>
      </c>
      <c r="D146" s="66" t="s">
        <v>305</v>
      </c>
      <c r="E146" s="65" t="s">
        <v>306</v>
      </c>
      <c r="F146" s="66" t="s">
        <v>4198</v>
      </c>
      <c r="G146" s="66" t="s">
        <v>4123</v>
      </c>
      <c r="H146" s="64">
        <v>3</v>
      </c>
      <c r="I146" s="65">
        <f t="shared" si="14"/>
        <v>64.5</v>
      </c>
      <c r="J146" s="67">
        <f t="shared" si="15"/>
        <v>64.5</v>
      </c>
      <c r="K146" s="67">
        <f t="shared" si="12"/>
        <v>0</v>
      </c>
      <c r="L146" s="67">
        <f t="shared" si="13"/>
        <v>0</v>
      </c>
      <c r="M146" s="64"/>
    </row>
    <row r="147" spans="2:13" s="53" customFormat="1">
      <c r="B147" s="64">
        <v>20</v>
      </c>
      <c r="C147" s="65" t="s">
        <v>35</v>
      </c>
      <c r="D147" s="66" t="s">
        <v>307</v>
      </c>
      <c r="E147" s="65" t="s">
        <v>308</v>
      </c>
      <c r="F147" s="66" t="s">
        <v>5013</v>
      </c>
      <c r="G147" s="66" t="s">
        <v>5140</v>
      </c>
      <c r="H147" s="64">
        <v>64</v>
      </c>
      <c r="I147" s="65">
        <f t="shared" si="14"/>
        <v>9280</v>
      </c>
      <c r="J147" s="67">
        <f t="shared" si="15"/>
        <v>9280</v>
      </c>
      <c r="K147" s="67">
        <f t="shared" si="12"/>
        <v>0</v>
      </c>
      <c r="L147" s="67">
        <f t="shared" si="13"/>
        <v>0</v>
      </c>
      <c r="M147" s="64"/>
    </row>
    <row r="148" spans="2:13" s="53" customFormat="1">
      <c r="B148" s="64">
        <v>20</v>
      </c>
      <c r="C148" s="65" t="s">
        <v>35</v>
      </c>
      <c r="D148" s="66" t="s">
        <v>309</v>
      </c>
      <c r="E148" s="65" t="s">
        <v>310</v>
      </c>
      <c r="F148" s="66" t="s">
        <v>5057</v>
      </c>
      <c r="G148" s="66" t="s">
        <v>5100</v>
      </c>
      <c r="H148" s="64">
        <v>14</v>
      </c>
      <c r="I148" s="65">
        <f t="shared" si="14"/>
        <v>5460</v>
      </c>
      <c r="J148" s="67">
        <f t="shared" si="15"/>
        <v>5460</v>
      </c>
      <c r="K148" s="67">
        <f t="shared" si="12"/>
        <v>0</v>
      </c>
      <c r="L148" s="67">
        <f t="shared" si="13"/>
        <v>0</v>
      </c>
      <c r="M148" s="64"/>
    </row>
    <row r="149" spans="2:13" s="53" customFormat="1">
      <c r="B149" s="64">
        <v>20</v>
      </c>
      <c r="C149" s="65" t="s">
        <v>35</v>
      </c>
      <c r="D149" s="66" t="s">
        <v>311</v>
      </c>
      <c r="E149" s="65" t="s">
        <v>312</v>
      </c>
      <c r="F149" s="66" t="s">
        <v>5058</v>
      </c>
      <c r="G149" s="66" t="s">
        <v>4173</v>
      </c>
      <c r="H149" s="64">
        <v>7</v>
      </c>
      <c r="I149" s="65">
        <f t="shared" si="14"/>
        <v>1925</v>
      </c>
      <c r="J149" s="67">
        <f t="shared" si="15"/>
        <v>1925</v>
      </c>
      <c r="K149" s="67">
        <f t="shared" si="12"/>
        <v>0</v>
      </c>
      <c r="L149" s="67">
        <f t="shared" si="13"/>
        <v>0</v>
      </c>
      <c r="M149" s="64"/>
    </row>
    <row r="150" spans="2:13" s="53" customFormat="1">
      <c r="B150" s="64">
        <v>20</v>
      </c>
      <c r="C150" s="65" t="s">
        <v>35</v>
      </c>
      <c r="D150" s="66" t="s">
        <v>313</v>
      </c>
      <c r="E150" s="65" t="s">
        <v>314</v>
      </c>
      <c r="F150" s="66" t="s">
        <v>4182</v>
      </c>
      <c r="G150" s="66" t="s">
        <v>4173</v>
      </c>
      <c r="H150" s="64">
        <v>7</v>
      </c>
      <c r="I150" s="65">
        <f t="shared" si="14"/>
        <v>420</v>
      </c>
      <c r="J150" s="67">
        <f t="shared" si="15"/>
        <v>420</v>
      </c>
      <c r="K150" s="67">
        <f t="shared" si="12"/>
        <v>0</v>
      </c>
      <c r="L150" s="67">
        <f t="shared" si="13"/>
        <v>0</v>
      </c>
      <c r="M150" s="64"/>
    </row>
    <row r="151" spans="2:13" s="53" customFormat="1">
      <c r="B151" s="64">
        <v>20</v>
      </c>
      <c r="C151" s="65" t="s">
        <v>35</v>
      </c>
      <c r="D151" s="66" t="s">
        <v>315</v>
      </c>
      <c r="E151" s="65" t="s">
        <v>316</v>
      </c>
      <c r="F151" s="66" t="s">
        <v>4182</v>
      </c>
      <c r="G151" s="66" t="s">
        <v>4170</v>
      </c>
      <c r="H151" s="64">
        <v>11</v>
      </c>
      <c r="I151" s="65">
        <f t="shared" si="14"/>
        <v>660</v>
      </c>
      <c r="J151" s="67">
        <f t="shared" si="15"/>
        <v>660</v>
      </c>
      <c r="K151" s="67">
        <f t="shared" si="12"/>
        <v>0</v>
      </c>
      <c r="L151" s="67">
        <f t="shared" si="13"/>
        <v>0</v>
      </c>
      <c r="M151" s="64"/>
    </row>
    <row r="152" spans="2:13" s="53" customFormat="1">
      <c r="B152" s="64">
        <v>20</v>
      </c>
      <c r="C152" s="65" t="s">
        <v>35</v>
      </c>
      <c r="D152" s="66" t="s">
        <v>317</v>
      </c>
      <c r="E152" s="65" t="s">
        <v>318</v>
      </c>
      <c r="F152" s="66" t="s">
        <v>5051</v>
      </c>
      <c r="G152" s="66" t="s">
        <v>5141</v>
      </c>
      <c r="H152" s="64">
        <v>360</v>
      </c>
      <c r="I152" s="65">
        <f t="shared" si="14"/>
        <v>2340</v>
      </c>
      <c r="J152" s="67">
        <f t="shared" si="15"/>
        <v>2340</v>
      </c>
      <c r="K152" s="67">
        <f t="shared" si="12"/>
        <v>0</v>
      </c>
      <c r="L152" s="67">
        <f t="shared" si="13"/>
        <v>0</v>
      </c>
      <c r="M152" s="64"/>
    </row>
    <row r="153" spans="2:13" s="53" customFormat="1">
      <c r="B153" s="64">
        <v>20</v>
      </c>
      <c r="C153" s="65" t="s">
        <v>35</v>
      </c>
      <c r="D153" s="66" t="s">
        <v>319</v>
      </c>
      <c r="E153" s="65" t="s">
        <v>320</v>
      </c>
      <c r="F153" s="66" t="s">
        <v>4237</v>
      </c>
      <c r="G153" s="66" t="s">
        <v>4178</v>
      </c>
      <c r="H153" s="64">
        <v>35</v>
      </c>
      <c r="I153" s="65">
        <f t="shared" si="14"/>
        <v>455</v>
      </c>
      <c r="J153" s="67">
        <f t="shared" si="15"/>
        <v>455</v>
      </c>
      <c r="K153" s="67">
        <f t="shared" si="12"/>
        <v>0</v>
      </c>
      <c r="L153" s="67">
        <f t="shared" si="13"/>
        <v>0</v>
      </c>
      <c r="M153" s="64"/>
    </row>
    <row r="154" spans="2:13" s="53" customFormat="1">
      <c r="B154" s="64">
        <v>20</v>
      </c>
      <c r="C154" s="65" t="s">
        <v>35</v>
      </c>
      <c r="D154" s="66" t="s">
        <v>321</v>
      </c>
      <c r="E154" s="65" t="s">
        <v>322</v>
      </c>
      <c r="F154" s="66" t="s">
        <v>4237</v>
      </c>
      <c r="G154" s="66" t="s">
        <v>4149</v>
      </c>
      <c r="H154" s="64">
        <v>60</v>
      </c>
      <c r="I154" s="65">
        <f t="shared" si="14"/>
        <v>780</v>
      </c>
      <c r="J154" s="67">
        <f t="shared" si="15"/>
        <v>780</v>
      </c>
      <c r="K154" s="67">
        <f t="shared" si="12"/>
        <v>0</v>
      </c>
      <c r="L154" s="67">
        <f t="shared" si="13"/>
        <v>0</v>
      </c>
      <c r="M154" s="64"/>
    </row>
    <row r="155" spans="2:13" s="53" customFormat="1">
      <c r="B155" s="64">
        <v>20</v>
      </c>
      <c r="C155" s="65" t="s">
        <v>35</v>
      </c>
      <c r="D155" s="66" t="s">
        <v>323</v>
      </c>
      <c r="E155" s="65" t="s">
        <v>324</v>
      </c>
      <c r="F155" s="66" t="s">
        <v>4237</v>
      </c>
      <c r="G155" s="66" t="s">
        <v>5083</v>
      </c>
      <c r="H155" s="64">
        <v>27</v>
      </c>
      <c r="I155" s="65">
        <f t="shared" si="14"/>
        <v>351</v>
      </c>
      <c r="J155" s="67">
        <f t="shared" si="15"/>
        <v>351</v>
      </c>
      <c r="K155" s="67">
        <f t="shared" si="12"/>
        <v>0</v>
      </c>
      <c r="L155" s="67">
        <f t="shared" si="13"/>
        <v>0</v>
      </c>
      <c r="M155" s="64"/>
    </row>
    <row r="156" spans="2:13" s="53" customFormat="1">
      <c r="B156" s="64">
        <v>20</v>
      </c>
      <c r="C156" s="65" t="s">
        <v>35</v>
      </c>
      <c r="D156" s="66" t="s">
        <v>325</v>
      </c>
      <c r="E156" s="65" t="s">
        <v>326</v>
      </c>
      <c r="F156" s="66" t="s">
        <v>4237</v>
      </c>
      <c r="G156" s="66" t="s">
        <v>5142</v>
      </c>
      <c r="H156" s="64">
        <v>75</v>
      </c>
      <c r="I156" s="65">
        <f t="shared" si="14"/>
        <v>975</v>
      </c>
      <c r="J156" s="67">
        <f t="shared" si="15"/>
        <v>975</v>
      </c>
      <c r="K156" s="67">
        <f t="shared" si="12"/>
        <v>0</v>
      </c>
      <c r="L156" s="67">
        <f t="shared" si="13"/>
        <v>0</v>
      </c>
      <c r="M156" s="64"/>
    </row>
    <row r="157" spans="2:13" s="53" customFormat="1">
      <c r="B157" s="64">
        <v>20</v>
      </c>
      <c r="C157" s="65" t="s">
        <v>35</v>
      </c>
      <c r="D157" s="66" t="s">
        <v>327</v>
      </c>
      <c r="E157" s="65" t="s">
        <v>328</v>
      </c>
      <c r="F157" s="66" t="s">
        <v>5059</v>
      </c>
      <c r="G157" s="66" t="s">
        <v>5100</v>
      </c>
      <c r="H157" s="64">
        <v>14</v>
      </c>
      <c r="I157" s="65">
        <f t="shared" si="14"/>
        <v>2067.7999999999997</v>
      </c>
      <c r="J157" s="67">
        <f t="shared" si="15"/>
        <v>2067.7999999999997</v>
      </c>
      <c r="K157" s="67">
        <f t="shared" si="12"/>
        <v>0</v>
      </c>
      <c r="L157" s="67">
        <f t="shared" si="13"/>
        <v>0</v>
      </c>
      <c r="M157" s="64"/>
    </row>
    <row r="158" spans="2:13" s="53" customFormat="1">
      <c r="B158" s="64">
        <v>20</v>
      </c>
      <c r="C158" s="65" t="s">
        <v>35</v>
      </c>
      <c r="D158" s="66" t="s">
        <v>329</v>
      </c>
      <c r="E158" s="65" t="s">
        <v>330</v>
      </c>
      <c r="F158" s="66" t="s">
        <v>5060</v>
      </c>
      <c r="G158" s="66" t="s">
        <v>5143</v>
      </c>
      <c r="H158" s="64">
        <v>206</v>
      </c>
      <c r="I158" s="65">
        <f t="shared" si="14"/>
        <v>30673.4</v>
      </c>
      <c r="J158" s="67">
        <f t="shared" si="15"/>
        <v>30673.4</v>
      </c>
      <c r="K158" s="67">
        <f t="shared" si="12"/>
        <v>0</v>
      </c>
      <c r="L158" s="67">
        <f t="shared" si="13"/>
        <v>0</v>
      </c>
      <c r="M158" s="64"/>
    </row>
    <row r="159" spans="2:13" s="53" customFormat="1">
      <c r="B159" s="64">
        <v>20</v>
      </c>
      <c r="C159" s="65" t="s">
        <v>35</v>
      </c>
      <c r="D159" s="66" t="s">
        <v>331</v>
      </c>
      <c r="E159" s="65" t="s">
        <v>332</v>
      </c>
      <c r="F159" s="66" t="s">
        <v>5061</v>
      </c>
      <c r="G159" s="66">
        <f>174+11</f>
        <v>185</v>
      </c>
      <c r="H159" s="71">
        <v>186</v>
      </c>
      <c r="I159" s="65">
        <f t="shared" si="14"/>
        <v>23310</v>
      </c>
      <c r="J159" s="67">
        <f t="shared" si="15"/>
        <v>23436</v>
      </c>
      <c r="K159" s="67">
        <f t="shared" si="12"/>
        <v>-1</v>
      </c>
      <c r="L159" s="67">
        <f t="shared" si="13"/>
        <v>-126</v>
      </c>
      <c r="M159" s="64"/>
    </row>
    <row r="160" spans="2:13" s="53" customFormat="1">
      <c r="B160" s="64">
        <v>20</v>
      </c>
      <c r="C160" s="65" t="s">
        <v>35</v>
      </c>
      <c r="D160" s="66" t="s">
        <v>333</v>
      </c>
      <c r="E160" s="65" t="s">
        <v>334</v>
      </c>
      <c r="F160" s="66" t="s">
        <v>4181</v>
      </c>
      <c r="G160" s="66" t="s">
        <v>5119</v>
      </c>
      <c r="H160" s="64">
        <v>19</v>
      </c>
      <c r="I160" s="65">
        <f t="shared" si="14"/>
        <v>337.25</v>
      </c>
      <c r="J160" s="67">
        <f t="shared" si="15"/>
        <v>337.25</v>
      </c>
      <c r="K160" s="67">
        <f t="shared" si="12"/>
        <v>0</v>
      </c>
      <c r="L160" s="67">
        <f t="shared" si="13"/>
        <v>0</v>
      </c>
      <c r="M160" s="64"/>
    </row>
    <row r="161" spans="2:13" s="53" customFormat="1">
      <c r="B161" s="64">
        <v>20</v>
      </c>
      <c r="C161" s="65" t="s">
        <v>35</v>
      </c>
      <c r="D161" s="66" t="s">
        <v>335</v>
      </c>
      <c r="E161" s="65" t="s">
        <v>336</v>
      </c>
      <c r="F161" s="66" t="s">
        <v>4204</v>
      </c>
      <c r="G161" s="66" t="s">
        <v>5144</v>
      </c>
      <c r="H161" s="64">
        <v>45</v>
      </c>
      <c r="I161" s="65">
        <f t="shared" si="14"/>
        <v>1608.75</v>
      </c>
      <c r="J161" s="67">
        <f t="shared" si="15"/>
        <v>1608.75</v>
      </c>
      <c r="K161" s="67">
        <f t="shared" si="12"/>
        <v>0</v>
      </c>
      <c r="L161" s="67">
        <f t="shared" si="13"/>
        <v>0</v>
      </c>
      <c r="M161" s="64"/>
    </row>
    <row r="162" spans="2:13" s="53" customFormat="1">
      <c r="B162" s="64">
        <v>20</v>
      </c>
      <c r="C162" s="65" t="s">
        <v>35</v>
      </c>
      <c r="D162" s="66" t="s">
        <v>337</v>
      </c>
      <c r="E162" s="65" t="s">
        <v>338</v>
      </c>
      <c r="F162" s="66" t="s">
        <v>4210</v>
      </c>
      <c r="G162" s="66" t="s">
        <v>5145</v>
      </c>
      <c r="H162" s="64">
        <v>94</v>
      </c>
      <c r="I162" s="65">
        <f t="shared" si="14"/>
        <v>2538</v>
      </c>
      <c r="J162" s="67">
        <f t="shared" si="15"/>
        <v>2538</v>
      </c>
      <c r="K162" s="67">
        <f t="shared" si="12"/>
        <v>0</v>
      </c>
      <c r="L162" s="67">
        <f t="shared" si="13"/>
        <v>0</v>
      </c>
      <c r="M162" s="64"/>
    </row>
    <row r="163" spans="2:13" s="53" customFormat="1">
      <c r="B163" s="64">
        <v>20</v>
      </c>
      <c r="C163" s="65" t="s">
        <v>35</v>
      </c>
      <c r="D163" s="66" t="s">
        <v>339</v>
      </c>
      <c r="E163" s="65" t="s">
        <v>340</v>
      </c>
      <c r="F163" s="66" t="s">
        <v>4210</v>
      </c>
      <c r="G163" s="66" t="s">
        <v>5146</v>
      </c>
      <c r="H163" s="64">
        <v>108</v>
      </c>
      <c r="I163" s="65">
        <f t="shared" si="14"/>
        <v>2916</v>
      </c>
      <c r="J163" s="67">
        <f t="shared" si="15"/>
        <v>2916</v>
      </c>
      <c r="K163" s="67">
        <f t="shared" si="12"/>
        <v>0</v>
      </c>
      <c r="L163" s="67">
        <f t="shared" si="13"/>
        <v>0</v>
      </c>
      <c r="M163" s="64"/>
    </row>
    <row r="164" spans="2:13" s="53" customFormat="1">
      <c r="B164" s="64">
        <v>20</v>
      </c>
      <c r="C164" s="65" t="s">
        <v>35</v>
      </c>
      <c r="D164" s="66" t="s">
        <v>341</v>
      </c>
      <c r="E164" s="65" t="s">
        <v>342</v>
      </c>
      <c r="F164" s="66" t="s">
        <v>4187</v>
      </c>
      <c r="G164" s="66" t="s">
        <v>4092</v>
      </c>
      <c r="H164" s="64">
        <v>5</v>
      </c>
      <c r="I164" s="65">
        <f t="shared" si="14"/>
        <v>500</v>
      </c>
      <c r="J164" s="67">
        <f t="shared" si="15"/>
        <v>500</v>
      </c>
      <c r="K164" s="67">
        <f t="shared" si="12"/>
        <v>0</v>
      </c>
      <c r="L164" s="67">
        <f t="shared" si="13"/>
        <v>0</v>
      </c>
      <c r="M164" s="64"/>
    </row>
    <row r="165" spans="2:13" s="53" customFormat="1">
      <c r="B165" s="64">
        <v>20</v>
      </c>
      <c r="C165" s="65" t="s">
        <v>35</v>
      </c>
      <c r="D165" s="66" t="s">
        <v>343</v>
      </c>
      <c r="E165" s="65" t="s">
        <v>344</v>
      </c>
      <c r="F165" s="66" t="s">
        <v>5062</v>
      </c>
      <c r="G165" s="66" t="s">
        <v>5147</v>
      </c>
      <c r="H165" s="64">
        <v>81</v>
      </c>
      <c r="I165" s="65">
        <f t="shared" si="14"/>
        <v>4475.25</v>
      </c>
      <c r="J165" s="67">
        <f t="shared" si="15"/>
        <v>4475.25</v>
      </c>
      <c r="K165" s="67">
        <f t="shared" si="12"/>
        <v>0</v>
      </c>
      <c r="L165" s="67">
        <f t="shared" si="13"/>
        <v>0</v>
      </c>
      <c r="M165" s="64"/>
    </row>
    <row r="166" spans="2:13" s="53" customFormat="1">
      <c r="B166" s="64">
        <v>20</v>
      </c>
      <c r="C166" s="65" t="s">
        <v>35</v>
      </c>
      <c r="D166" s="66" t="s">
        <v>345</v>
      </c>
      <c r="E166" s="65" t="s">
        <v>346</v>
      </c>
      <c r="F166" s="66" t="s">
        <v>5063</v>
      </c>
      <c r="G166" s="66" t="s">
        <v>5148</v>
      </c>
      <c r="H166" s="64">
        <v>78</v>
      </c>
      <c r="I166" s="65">
        <f t="shared" si="14"/>
        <v>3385.2</v>
      </c>
      <c r="J166" s="67">
        <f t="shared" si="15"/>
        <v>3385.2</v>
      </c>
      <c r="K166" s="67">
        <f t="shared" si="12"/>
        <v>0</v>
      </c>
      <c r="L166" s="67">
        <f t="shared" si="13"/>
        <v>0</v>
      </c>
      <c r="M166" s="64"/>
    </row>
    <row r="167" spans="2:13" s="53" customFormat="1">
      <c r="B167" s="64">
        <v>20</v>
      </c>
      <c r="C167" s="65" t="s">
        <v>35</v>
      </c>
      <c r="D167" s="66" t="s">
        <v>347</v>
      </c>
      <c r="E167" s="65" t="s">
        <v>348</v>
      </c>
      <c r="F167" s="66" t="s">
        <v>5063</v>
      </c>
      <c r="G167" s="66" t="s">
        <v>5149</v>
      </c>
      <c r="H167" s="64">
        <v>70</v>
      </c>
      <c r="I167" s="65">
        <f t="shared" si="14"/>
        <v>3038</v>
      </c>
      <c r="J167" s="67">
        <f t="shared" si="15"/>
        <v>3038</v>
      </c>
      <c r="K167" s="67">
        <f t="shared" si="12"/>
        <v>0</v>
      </c>
      <c r="L167" s="67">
        <f t="shared" si="13"/>
        <v>0</v>
      </c>
      <c r="M167" s="64"/>
    </row>
    <row r="168" spans="2:13" s="53" customFormat="1">
      <c r="B168" s="64">
        <v>20</v>
      </c>
      <c r="C168" s="65" t="s">
        <v>35</v>
      </c>
      <c r="D168" s="66" t="s">
        <v>349</v>
      </c>
      <c r="E168" s="65" t="s">
        <v>350</v>
      </c>
      <c r="F168" s="66" t="s">
        <v>4220</v>
      </c>
      <c r="G168" s="66" t="s">
        <v>5117</v>
      </c>
      <c r="H168" s="64">
        <v>46</v>
      </c>
      <c r="I168" s="65">
        <f t="shared" si="14"/>
        <v>230</v>
      </c>
      <c r="J168" s="67">
        <f t="shared" si="15"/>
        <v>230</v>
      </c>
      <c r="K168" s="67">
        <f t="shared" si="12"/>
        <v>0</v>
      </c>
      <c r="L168" s="67">
        <f t="shared" si="13"/>
        <v>0</v>
      </c>
      <c r="M168" s="64"/>
    </row>
    <row r="169" spans="2:13" s="53" customFormat="1">
      <c r="B169" s="64">
        <v>20</v>
      </c>
      <c r="C169" s="65" t="s">
        <v>35</v>
      </c>
      <c r="D169" s="66" t="s">
        <v>351</v>
      </c>
      <c r="E169" s="65" t="s">
        <v>352</v>
      </c>
      <c r="F169" s="66" t="s">
        <v>4218</v>
      </c>
      <c r="G169" s="66" t="s">
        <v>5150</v>
      </c>
      <c r="H169" s="64">
        <v>159</v>
      </c>
      <c r="I169" s="65">
        <f t="shared" si="14"/>
        <v>954</v>
      </c>
      <c r="J169" s="67">
        <f t="shared" si="15"/>
        <v>954</v>
      </c>
      <c r="K169" s="67">
        <f t="shared" si="12"/>
        <v>0</v>
      </c>
      <c r="L169" s="67">
        <f t="shared" si="13"/>
        <v>0</v>
      </c>
      <c r="M169" s="64"/>
    </row>
    <row r="170" spans="2:13" s="53" customFormat="1">
      <c r="B170" s="64">
        <v>20</v>
      </c>
      <c r="C170" s="65" t="s">
        <v>35</v>
      </c>
      <c r="D170" s="66" t="s">
        <v>353</v>
      </c>
      <c r="E170" s="65" t="s">
        <v>354</v>
      </c>
      <c r="F170" s="66" t="s">
        <v>5020</v>
      </c>
      <c r="G170" s="66" t="s">
        <v>4150</v>
      </c>
      <c r="H170" s="64">
        <v>20</v>
      </c>
      <c r="I170" s="65">
        <f t="shared" si="14"/>
        <v>240</v>
      </c>
      <c r="J170" s="67">
        <f t="shared" si="15"/>
        <v>240</v>
      </c>
      <c r="K170" s="67">
        <f t="shared" si="12"/>
        <v>0</v>
      </c>
      <c r="L170" s="67">
        <f t="shared" si="13"/>
        <v>0</v>
      </c>
      <c r="M170" s="64"/>
    </row>
    <row r="171" spans="2:13" s="53" customFormat="1">
      <c r="B171" s="64">
        <v>20</v>
      </c>
      <c r="C171" s="65" t="s">
        <v>35</v>
      </c>
      <c r="D171" s="66" t="s">
        <v>472</v>
      </c>
      <c r="E171" s="65" t="s">
        <v>473</v>
      </c>
      <c r="F171" s="66" t="s">
        <v>4237</v>
      </c>
      <c r="G171" s="66" t="s">
        <v>5129</v>
      </c>
      <c r="H171" s="64">
        <v>180</v>
      </c>
      <c r="I171" s="65">
        <f t="shared" si="14"/>
        <v>2340</v>
      </c>
      <c r="J171" s="67">
        <f t="shared" si="15"/>
        <v>2340</v>
      </c>
      <c r="K171" s="67">
        <f t="shared" si="12"/>
        <v>0</v>
      </c>
      <c r="L171" s="67">
        <f t="shared" si="13"/>
        <v>0</v>
      </c>
      <c r="M171" s="64"/>
    </row>
    <row r="172" spans="2:13" s="53" customFormat="1">
      <c r="B172" s="64">
        <v>20</v>
      </c>
      <c r="C172" s="65" t="s">
        <v>35</v>
      </c>
      <c r="D172" s="66" t="s">
        <v>5002</v>
      </c>
      <c r="E172" s="65" t="s">
        <v>5008</v>
      </c>
      <c r="F172" s="66" t="s">
        <v>4200</v>
      </c>
      <c r="G172" s="66" t="s">
        <v>5151</v>
      </c>
      <c r="H172" s="64">
        <v>300</v>
      </c>
      <c r="I172" s="65">
        <f t="shared" si="14"/>
        <v>4200</v>
      </c>
      <c r="J172" s="67">
        <f t="shared" si="15"/>
        <v>4200</v>
      </c>
      <c r="K172" s="67">
        <f t="shared" si="12"/>
        <v>0</v>
      </c>
      <c r="L172" s="67">
        <f t="shared" si="13"/>
        <v>0</v>
      </c>
      <c r="M172" s="64"/>
    </row>
    <row r="173" spans="2:13" s="53" customFormat="1">
      <c r="B173" s="64">
        <v>20</v>
      </c>
      <c r="C173" s="65" t="s">
        <v>35</v>
      </c>
      <c r="D173" s="66" t="s">
        <v>355</v>
      </c>
      <c r="E173" s="65" t="s">
        <v>356</v>
      </c>
      <c r="F173" s="66" t="s">
        <v>4197</v>
      </c>
      <c r="G173" s="66" t="s">
        <v>5152</v>
      </c>
      <c r="H173" s="64">
        <v>96</v>
      </c>
      <c r="I173" s="65">
        <f t="shared" si="14"/>
        <v>840</v>
      </c>
      <c r="J173" s="67">
        <f t="shared" si="15"/>
        <v>840</v>
      </c>
      <c r="K173" s="67">
        <f t="shared" si="12"/>
        <v>0</v>
      </c>
      <c r="L173" s="67">
        <f t="shared" si="13"/>
        <v>0</v>
      </c>
      <c r="M173" s="64"/>
    </row>
    <row r="174" spans="2:13" s="53" customFormat="1">
      <c r="B174" s="64">
        <v>20</v>
      </c>
      <c r="C174" s="65" t="s">
        <v>35</v>
      </c>
      <c r="D174" s="66" t="s">
        <v>357</v>
      </c>
      <c r="E174" s="65" t="s">
        <v>358</v>
      </c>
      <c r="F174" s="66" t="s">
        <v>4197</v>
      </c>
      <c r="G174" s="66" t="s">
        <v>5153</v>
      </c>
      <c r="H174" s="64">
        <v>89</v>
      </c>
      <c r="I174" s="65">
        <f t="shared" si="14"/>
        <v>778.75</v>
      </c>
      <c r="J174" s="67">
        <f t="shared" si="15"/>
        <v>778.75</v>
      </c>
      <c r="K174" s="67">
        <f t="shared" si="12"/>
        <v>0</v>
      </c>
      <c r="L174" s="67">
        <f t="shared" si="13"/>
        <v>0</v>
      </c>
      <c r="M174" s="64"/>
    </row>
    <row r="175" spans="2:13" s="53" customFormat="1">
      <c r="B175" s="64">
        <v>20</v>
      </c>
      <c r="C175" s="65" t="s">
        <v>35</v>
      </c>
      <c r="D175" s="66" t="s">
        <v>359</v>
      </c>
      <c r="E175" s="65" t="s">
        <v>360</v>
      </c>
      <c r="F175" s="66" t="s">
        <v>4201</v>
      </c>
      <c r="G175" s="66" t="s">
        <v>5096</v>
      </c>
      <c r="H175" s="64">
        <v>44</v>
      </c>
      <c r="I175" s="65">
        <f t="shared" si="14"/>
        <v>396</v>
      </c>
      <c r="J175" s="67">
        <f t="shared" si="15"/>
        <v>396</v>
      </c>
      <c r="K175" s="67">
        <f t="shared" si="12"/>
        <v>0</v>
      </c>
      <c r="L175" s="67">
        <f t="shared" si="13"/>
        <v>0</v>
      </c>
      <c r="M175" s="64"/>
    </row>
    <row r="176" spans="2:13" s="53" customFormat="1">
      <c r="B176" s="64">
        <v>20</v>
      </c>
      <c r="C176" s="65" t="s">
        <v>35</v>
      </c>
      <c r="D176" s="66" t="s">
        <v>361</v>
      </c>
      <c r="E176" s="65" t="s">
        <v>362</v>
      </c>
      <c r="F176" s="66" t="s">
        <v>5064</v>
      </c>
      <c r="G176" s="66" t="s">
        <v>5154</v>
      </c>
      <c r="H176" s="64">
        <v>87</v>
      </c>
      <c r="I176" s="65">
        <f t="shared" si="14"/>
        <v>1087.5</v>
      </c>
      <c r="J176" s="67">
        <f t="shared" si="15"/>
        <v>1087.5</v>
      </c>
      <c r="K176" s="67">
        <f t="shared" si="12"/>
        <v>0</v>
      </c>
      <c r="L176" s="67">
        <f t="shared" si="13"/>
        <v>0</v>
      </c>
      <c r="M176" s="64"/>
    </row>
    <row r="177" spans="2:13" s="53" customFormat="1">
      <c r="B177" s="64">
        <v>20</v>
      </c>
      <c r="C177" s="65" t="s">
        <v>35</v>
      </c>
      <c r="D177" s="66" t="s">
        <v>363</v>
      </c>
      <c r="E177" s="65" t="s">
        <v>364</v>
      </c>
      <c r="F177" s="66" t="s">
        <v>4180</v>
      </c>
      <c r="G177" s="66" t="s">
        <v>4145</v>
      </c>
      <c r="H177" s="64">
        <v>4</v>
      </c>
      <c r="I177" s="65">
        <f t="shared" si="14"/>
        <v>135</v>
      </c>
      <c r="J177" s="67">
        <f t="shared" si="15"/>
        <v>135</v>
      </c>
      <c r="K177" s="67">
        <f t="shared" si="12"/>
        <v>0</v>
      </c>
      <c r="L177" s="67">
        <f t="shared" si="13"/>
        <v>0</v>
      </c>
      <c r="M177" s="64"/>
    </row>
    <row r="178" spans="2:13" s="53" customFormat="1">
      <c r="B178" s="64">
        <v>20</v>
      </c>
      <c r="C178" s="65" t="s">
        <v>35</v>
      </c>
      <c r="D178" s="66" t="s">
        <v>365</v>
      </c>
      <c r="E178" s="65" t="s">
        <v>366</v>
      </c>
      <c r="F178" s="66" t="s">
        <v>4206</v>
      </c>
      <c r="G178" s="66" t="s">
        <v>4089</v>
      </c>
      <c r="H178" s="64">
        <v>6</v>
      </c>
      <c r="I178" s="65">
        <f t="shared" si="14"/>
        <v>720</v>
      </c>
      <c r="J178" s="67">
        <f t="shared" si="15"/>
        <v>720</v>
      </c>
      <c r="K178" s="67">
        <f t="shared" si="12"/>
        <v>0</v>
      </c>
      <c r="L178" s="67">
        <f t="shared" si="13"/>
        <v>0</v>
      </c>
      <c r="M178" s="64"/>
    </row>
    <row r="179" spans="2:13" s="53" customFormat="1">
      <c r="B179" s="64">
        <v>20</v>
      </c>
      <c r="C179" s="65" t="s">
        <v>35</v>
      </c>
      <c r="D179" s="66" t="s">
        <v>367</v>
      </c>
      <c r="E179" s="65" t="s">
        <v>368</v>
      </c>
      <c r="F179" s="66" t="s">
        <v>5065</v>
      </c>
      <c r="G179" s="66" t="s">
        <v>4123</v>
      </c>
      <c r="H179" s="64">
        <v>3</v>
      </c>
      <c r="I179" s="65">
        <f t="shared" si="14"/>
        <v>372</v>
      </c>
      <c r="J179" s="67">
        <f t="shared" si="15"/>
        <v>372</v>
      </c>
      <c r="K179" s="67">
        <f t="shared" si="12"/>
        <v>0</v>
      </c>
      <c r="L179" s="67">
        <f t="shared" si="13"/>
        <v>0</v>
      </c>
      <c r="M179" s="64"/>
    </row>
    <row r="180" spans="2:13" s="53" customFormat="1">
      <c r="B180" s="64">
        <v>20</v>
      </c>
      <c r="C180" s="65" t="s">
        <v>35</v>
      </c>
      <c r="D180" s="66" t="s">
        <v>369</v>
      </c>
      <c r="E180" s="65" t="s">
        <v>370</v>
      </c>
      <c r="F180" s="66" t="s">
        <v>4230</v>
      </c>
      <c r="G180" s="66" t="s">
        <v>5104</v>
      </c>
      <c r="H180" s="64">
        <v>9</v>
      </c>
      <c r="I180" s="65">
        <f t="shared" si="14"/>
        <v>99</v>
      </c>
      <c r="J180" s="67">
        <f t="shared" si="15"/>
        <v>99</v>
      </c>
      <c r="K180" s="67">
        <f t="shared" si="12"/>
        <v>0</v>
      </c>
      <c r="L180" s="67">
        <f t="shared" si="13"/>
        <v>0</v>
      </c>
      <c r="M180" s="64"/>
    </row>
    <row r="181" spans="2:13" s="53" customFormat="1">
      <c r="B181" s="64">
        <v>20</v>
      </c>
      <c r="C181" s="65" t="s">
        <v>35</v>
      </c>
      <c r="D181" s="66" t="s">
        <v>371</v>
      </c>
      <c r="E181" s="65" t="s">
        <v>372</v>
      </c>
      <c r="F181" s="66" t="s">
        <v>4189</v>
      </c>
      <c r="G181" s="66" t="s">
        <v>5155</v>
      </c>
      <c r="H181" s="64">
        <v>439</v>
      </c>
      <c r="I181" s="65">
        <f t="shared" si="14"/>
        <v>4390</v>
      </c>
      <c r="J181" s="67">
        <f t="shared" si="15"/>
        <v>4390</v>
      </c>
      <c r="K181" s="67">
        <f t="shared" si="12"/>
        <v>0</v>
      </c>
      <c r="L181" s="67">
        <f t="shared" si="13"/>
        <v>0</v>
      </c>
      <c r="M181" s="64"/>
    </row>
    <row r="182" spans="2:13" s="53" customFormat="1">
      <c r="B182" s="64">
        <v>20</v>
      </c>
      <c r="C182" s="65" t="s">
        <v>35</v>
      </c>
      <c r="D182" s="66" t="s">
        <v>373</v>
      </c>
      <c r="E182" s="65" t="s">
        <v>374</v>
      </c>
      <c r="F182" s="66" t="s">
        <v>5066</v>
      </c>
      <c r="G182" s="66" t="s">
        <v>4145</v>
      </c>
      <c r="H182" s="64">
        <v>4</v>
      </c>
      <c r="I182" s="65">
        <f t="shared" si="14"/>
        <v>2826</v>
      </c>
      <c r="J182" s="67">
        <f t="shared" si="15"/>
        <v>2826</v>
      </c>
      <c r="K182" s="67">
        <f t="shared" si="12"/>
        <v>0</v>
      </c>
      <c r="L182" s="67">
        <f t="shared" si="13"/>
        <v>0</v>
      </c>
      <c r="M182" s="64"/>
    </row>
    <row r="183" spans="2:13" s="53" customFormat="1">
      <c r="B183" s="64">
        <v>20</v>
      </c>
      <c r="C183" s="65" t="s">
        <v>35</v>
      </c>
      <c r="D183" s="66" t="s">
        <v>375</v>
      </c>
      <c r="E183" s="65" t="s">
        <v>376</v>
      </c>
      <c r="F183" s="66" t="s">
        <v>4218</v>
      </c>
      <c r="G183" s="66" t="s">
        <v>4152</v>
      </c>
      <c r="H183" s="64">
        <v>15</v>
      </c>
      <c r="I183" s="65">
        <f t="shared" si="14"/>
        <v>90</v>
      </c>
      <c r="J183" s="67">
        <f t="shared" si="15"/>
        <v>90</v>
      </c>
      <c r="K183" s="67">
        <f t="shared" si="12"/>
        <v>0</v>
      </c>
      <c r="L183" s="67">
        <f t="shared" si="13"/>
        <v>0</v>
      </c>
      <c r="M183" s="64"/>
    </row>
    <row r="184" spans="2:13" s="53" customFormat="1">
      <c r="B184" s="64">
        <v>20</v>
      </c>
      <c r="C184" s="65" t="s">
        <v>35</v>
      </c>
      <c r="D184" s="66" t="s">
        <v>377</v>
      </c>
      <c r="E184" s="65" t="s">
        <v>378</v>
      </c>
      <c r="F184" s="66" t="s">
        <v>4228</v>
      </c>
      <c r="G184" s="66" t="s">
        <v>4120</v>
      </c>
      <c r="H184" s="64">
        <v>1</v>
      </c>
      <c r="I184" s="65">
        <f t="shared" si="14"/>
        <v>244.3</v>
      </c>
      <c r="J184" s="67">
        <f t="shared" si="15"/>
        <v>244.3</v>
      </c>
      <c r="K184" s="67">
        <f t="shared" si="12"/>
        <v>0</v>
      </c>
      <c r="L184" s="67">
        <f t="shared" si="13"/>
        <v>0</v>
      </c>
      <c r="M184" s="64"/>
    </row>
    <row r="185" spans="2:13" s="53" customFormat="1">
      <c r="B185" s="64">
        <v>20</v>
      </c>
      <c r="C185" s="65" t="s">
        <v>35</v>
      </c>
      <c r="D185" s="66" t="s">
        <v>379</v>
      </c>
      <c r="E185" s="65" t="s">
        <v>380</v>
      </c>
      <c r="F185" s="66" t="s">
        <v>5067</v>
      </c>
      <c r="G185" s="66" t="s">
        <v>4120</v>
      </c>
      <c r="H185" s="64">
        <v>1</v>
      </c>
      <c r="I185" s="65">
        <f t="shared" si="14"/>
        <v>16.5</v>
      </c>
      <c r="J185" s="67">
        <f t="shared" si="15"/>
        <v>16.5</v>
      </c>
      <c r="K185" s="67">
        <f t="shared" si="12"/>
        <v>0</v>
      </c>
      <c r="L185" s="67">
        <f t="shared" si="13"/>
        <v>0</v>
      </c>
      <c r="M185" s="64"/>
    </row>
    <row r="186" spans="2:13" s="53" customFormat="1">
      <c r="B186" s="64">
        <v>20</v>
      </c>
      <c r="C186" s="65" t="s">
        <v>35</v>
      </c>
      <c r="D186" s="66" t="s">
        <v>381</v>
      </c>
      <c r="E186" s="65" t="s">
        <v>382</v>
      </c>
      <c r="F186" s="66" t="s">
        <v>4211</v>
      </c>
      <c r="G186" s="66">
        <v>22</v>
      </c>
      <c r="H186" s="64">
        <v>22</v>
      </c>
      <c r="I186" s="65">
        <f t="shared" si="14"/>
        <v>2530</v>
      </c>
      <c r="J186" s="67">
        <f t="shared" si="15"/>
        <v>2530</v>
      </c>
      <c r="K186" s="67">
        <f t="shared" si="12"/>
        <v>0</v>
      </c>
      <c r="L186" s="67">
        <f t="shared" si="13"/>
        <v>0</v>
      </c>
      <c r="M186" s="64"/>
    </row>
    <row r="187" spans="2:13" s="53" customFormat="1">
      <c r="B187" s="64">
        <v>20</v>
      </c>
      <c r="C187" s="65" t="s">
        <v>35</v>
      </c>
      <c r="D187" s="66" t="s">
        <v>383</v>
      </c>
      <c r="E187" s="65" t="s">
        <v>384</v>
      </c>
      <c r="F187" s="66" t="s">
        <v>5020</v>
      </c>
      <c r="G187" s="66" t="s">
        <v>5156</v>
      </c>
      <c r="H187" s="64">
        <v>65</v>
      </c>
      <c r="I187" s="65">
        <f t="shared" si="14"/>
        <v>780</v>
      </c>
      <c r="J187" s="67">
        <f t="shared" si="15"/>
        <v>780</v>
      </c>
      <c r="K187" s="67">
        <f t="shared" si="12"/>
        <v>0</v>
      </c>
      <c r="L187" s="67">
        <f t="shared" si="13"/>
        <v>0</v>
      </c>
      <c r="M187" s="64"/>
    </row>
    <row r="188" spans="2:13" s="53" customFormat="1">
      <c r="B188" s="64">
        <v>20</v>
      </c>
      <c r="C188" s="65" t="s">
        <v>35</v>
      </c>
      <c r="D188" s="66" t="s">
        <v>385</v>
      </c>
      <c r="E188" s="65" t="s">
        <v>386</v>
      </c>
      <c r="F188" s="66" t="s">
        <v>5068</v>
      </c>
      <c r="G188" s="66" t="s">
        <v>5157</v>
      </c>
      <c r="H188" s="64">
        <v>38</v>
      </c>
      <c r="I188" s="65">
        <f t="shared" si="14"/>
        <v>1976</v>
      </c>
      <c r="J188" s="67">
        <f t="shared" si="15"/>
        <v>1976</v>
      </c>
      <c r="K188" s="67">
        <f t="shared" si="12"/>
        <v>0</v>
      </c>
      <c r="L188" s="67">
        <f t="shared" si="13"/>
        <v>0</v>
      </c>
      <c r="M188" s="75"/>
    </row>
    <row r="189" spans="2:13" s="53" customFormat="1">
      <c r="B189" s="64">
        <v>20</v>
      </c>
      <c r="C189" s="65" t="s">
        <v>35</v>
      </c>
      <c r="D189" s="66" t="s">
        <v>387</v>
      </c>
      <c r="E189" s="65" t="s">
        <v>388</v>
      </c>
      <c r="F189" s="66" t="s">
        <v>5055</v>
      </c>
      <c r="G189" s="66" t="s">
        <v>5115</v>
      </c>
      <c r="H189" s="64">
        <v>23</v>
      </c>
      <c r="I189" s="65">
        <f t="shared" si="14"/>
        <v>2185</v>
      </c>
      <c r="J189" s="67">
        <f t="shared" si="15"/>
        <v>2185</v>
      </c>
      <c r="K189" s="67">
        <f t="shared" si="12"/>
        <v>0</v>
      </c>
      <c r="L189" s="67">
        <f t="shared" si="13"/>
        <v>0</v>
      </c>
      <c r="M189" s="64"/>
    </row>
    <row r="190" spans="2:13" s="53" customFormat="1">
      <c r="B190" s="64">
        <v>20</v>
      </c>
      <c r="C190" s="65" t="s">
        <v>35</v>
      </c>
      <c r="D190" s="66" t="s">
        <v>389</v>
      </c>
      <c r="E190" s="65" t="s">
        <v>390</v>
      </c>
      <c r="F190" s="66" t="s">
        <v>4231</v>
      </c>
      <c r="G190" s="66" t="s">
        <v>5158</v>
      </c>
      <c r="H190" s="64">
        <v>123</v>
      </c>
      <c r="I190" s="65">
        <f t="shared" si="14"/>
        <v>861</v>
      </c>
      <c r="J190" s="67">
        <f t="shared" si="15"/>
        <v>861</v>
      </c>
      <c r="K190" s="67">
        <f t="shared" si="12"/>
        <v>0</v>
      </c>
      <c r="L190" s="67">
        <f t="shared" si="13"/>
        <v>0</v>
      </c>
      <c r="M190" s="64"/>
    </row>
    <row r="191" spans="2:13" s="53" customFormat="1">
      <c r="B191" s="64">
        <v>20</v>
      </c>
      <c r="C191" s="65" t="s">
        <v>35</v>
      </c>
      <c r="D191" s="66" t="s">
        <v>391</v>
      </c>
      <c r="E191" s="65" t="s">
        <v>392</v>
      </c>
      <c r="F191" s="66" t="s">
        <v>5069</v>
      </c>
      <c r="G191" s="66" t="s">
        <v>4092</v>
      </c>
      <c r="H191" s="64">
        <v>5</v>
      </c>
      <c r="I191" s="65">
        <f t="shared" si="14"/>
        <v>42.5</v>
      </c>
      <c r="J191" s="67">
        <f t="shared" si="15"/>
        <v>42.5</v>
      </c>
      <c r="K191" s="67">
        <f t="shared" si="12"/>
        <v>0</v>
      </c>
      <c r="L191" s="67">
        <f t="shared" si="13"/>
        <v>0</v>
      </c>
      <c r="M191" s="64"/>
    </row>
    <row r="192" spans="2:13" s="53" customFormat="1">
      <c r="B192" s="64">
        <v>20</v>
      </c>
      <c r="C192" s="65" t="s">
        <v>35</v>
      </c>
      <c r="D192" s="66" t="s">
        <v>393</v>
      </c>
      <c r="E192" s="65" t="s">
        <v>394</v>
      </c>
      <c r="F192" s="66" t="s">
        <v>5070</v>
      </c>
      <c r="G192" s="66" t="s">
        <v>5159</v>
      </c>
      <c r="H192" s="64">
        <v>42</v>
      </c>
      <c r="I192" s="65">
        <f t="shared" si="14"/>
        <v>1617</v>
      </c>
      <c r="J192" s="67">
        <f t="shared" si="15"/>
        <v>1617</v>
      </c>
      <c r="K192" s="67">
        <f t="shared" si="12"/>
        <v>0</v>
      </c>
      <c r="L192" s="67">
        <f t="shared" si="13"/>
        <v>0</v>
      </c>
      <c r="M192" s="64"/>
    </row>
    <row r="193" spans="2:13" s="53" customFormat="1">
      <c r="B193" s="64">
        <v>20</v>
      </c>
      <c r="C193" s="65" t="s">
        <v>35</v>
      </c>
      <c r="D193" s="66" t="s">
        <v>395</v>
      </c>
      <c r="E193" s="65" t="s">
        <v>396</v>
      </c>
      <c r="F193" s="66" t="s">
        <v>4209</v>
      </c>
      <c r="G193" s="66" t="s">
        <v>4163</v>
      </c>
      <c r="H193" s="64">
        <v>10</v>
      </c>
      <c r="I193" s="65">
        <f t="shared" si="14"/>
        <v>880</v>
      </c>
      <c r="J193" s="67">
        <f t="shared" si="15"/>
        <v>880</v>
      </c>
      <c r="K193" s="67">
        <f t="shared" si="12"/>
        <v>0</v>
      </c>
      <c r="L193" s="67">
        <f t="shared" si="13"/>
        <v>0</v>
      </c>
      <c r="M193" s="64"/>
    </row>
    <row r="194" spans="2:13" s="53" customFormat="1">
      <c r="B194" s="64">
        <v>20</v>
      </c>
      <c r="C194" s="65" t="s">
        <v>35</v>
      </c>
      <c r="D194" s="66" t="s">
        <v>397</v>
      </c>
      <c r="E194" s="65" t="s">
        <v>398</v>
      </c>
      <c r="F194" s="66" t="s">
        <v>5052</v>
      </c>
      <c r="G194" s="66" t="s">
        <v>4170</v>
      </c>
      <c r="H194" s="64">
        <v>11</v>
      </c>
      <c r="I194" s="65">
        <f t="shared" si="14"/>
        <v>187</v>
      </c>
      <c r="J194" s="67">
        <f t="shared" si="15"/>
        <v>187</v>
      </c>
      <c r="K194" s="67">
        <f t="shared" si="12"/>
        <v>0</v>
      </c>
      <c r="L194" s="67">
        <f t="shared" si="13"/>
        <v>0</v>
      </c>
      <c r="M194" s="64"/>
    </row>
    <row r="195" spans="2:13" s="53" customFormat="1">
      <c r="B195" s="64">
        <v>20</v>
      </c>
      <c r="C195" s="65" t="s">
        <v>35</v>
      </c>
      <c r="D195" s="66" t="s">
        <v>399</v>
      </c>
      <c r="E195" s="65" t="s">
        <v>400</v>
      </c>
      <c r="F195" s="66" t="s">
        <v>4232</v>
      </c>
      <c r="G195" s="66" t="s">
        <v>4089</v>
      </c>
      <c r="H195" s="64">
        <v>6</v>
      </c>
      <c r="I195" s="65">
        <f t="shared" si="14"/>
        <v>120</v>
      </c>
      <c r="J195" s="67">
        <f t="shared" si="15"/>
        <v>120</v>
      </c>
      <c r="K195" s="67">
        <f t="shared" si="12"/>
        <v>0</v>
      </c>
      <c r="L195" s="67">
        <f t="shared" si="13"/>
        <v>0</v>
      </c>
      <c r="M195" s="64"/>
    </row>
    <row r="196" spans="2:13" s="53" customFormat="1">
      <c r="B196" s="64">
        <v>20</v>
      </c>
      <c r="C196" s="65" t="s">
        <v>35</v>
      </c>
      <c r="D196" s="66" t="s">
        <v>401</v>
      </c>
      <c r="E196" s="65" t="s">
        <v>402</v>
      </c>
      <c r="F196" s="66" t="s">
        <v>4185</v>
      </c>
      <c r="G196" s="66" t="s">
        <v>4152</v>
      </c>
      <c r="H196" s="64">
        <v>15</v>
      </c>
      <c r="I196" s="65">
        <f t="shared" si="14"/>
        <v>975</v>
      </c>
      <c r="J196" s="67">
        <f t="shared" si="15"/>
        <v>975</v>
      </c>
      <c r="K196" s="67">
        <f t="shared" si="12"/>
        <v>0</v>
      </c>
      <c r="L196" s="67">
        <f t="shared" si="13"/>
        <v>0</v>
      </c>
      <c r="M196" s="64"/>
    </row>
    <row r="197" spans="2:13" s="53" customFormat="1">
      <c r="B197" s="64">
        <v>20</v>
      </c>
      <c r="C197" s="65" t="s">
        <v>35</v>
      </c>
      <c r="D197" s="66" t="s">
        <v>403</v>
      </c>
      <c r="E197" s="65" t="s">
        <v>404</v>
      </c>
      <c r="F197" s="66" t="s">
        <v>4208</v>
      </c>
      <c r="G197" s="66" t="s">
        <v>4175</v>
      </c>
      <c r="H197" s="64">
        <v>71</v>
      </c>
      <c r="I197" s="65">
        <f t="shared" si="14"/>
        <v>5325</v>
      </c>
      <c r="J197" s="67">
        <f t="shared" si="15"/>
        <v>5325</v>
      </c>
      <c r="K197" s="67">
        <f t="shared" si="12"/>
        <v>0</v>
      </c>
      <c r="L197" s="67">
        <f t="shared" si="13"/>
        <v>0</v>
      </c>
      <c r="M197" s="64"/>
    </row>
    <row r="198" spans="2:13" s="53" customFormat="1">
      <c r="B198" s="64">
        <v>20</v>
      </c>
      <c r="C198" s="65" t="s">
        <v>35</v>
      </c>
      <c r="D198" s="66" t="s">
        <v>405</v>
      </c>
      <c r="E198" s="65" t="s">
        <v>406</v>
      </c>
      <c r="F198" s="66" t="s">
        <v>5071</v>
      </c>
      <c r="G198" s="66" t="s">
        <v>4120</v>
      </c>
      <c r="H198" s="64">
        <v>1</v>
      </c>
      <c r="I198" s="65">
        <f t="shared" si="14"/>
        <v>450</v>
      </c>
      <c r="J198" s="67">
        <f t="shared" si="15"/>
        <v>450</v>
      </c>
      <c r="K198" s="67">
        <f t="shared" si="12"/>
        <v>0</v>
      </c>
      <c r="L198" s="67">
        <f t="shared" si="13"/>
        <v>0</v>
      </c>
      <c r="M198" s="64"/>
    </row>
    <row r="199" spans="2:13" s="53" customFormat="1">
      <c r="B199" s="64">
        <v>20</v>
      </c>
      <c r="C199" s="65" t="s">
        <v>35</v>
      </c>
      <c r="D199" s="66" t="s">
        <v>407</v>
      </c>
      <c r="E199" s="65" t="s">
        <v>408</v>
      </c>
      <c r="F199" s="66" t="s">
        <v>5072</v>
      </c>
      <c r="G199" s="66" t="s">
        <v>5103</v>
      </c>
      <c r="H199" s="64">
        <v>8</v>
      </c>
      <c r="I199" s="65">
        <f t="shared" si="14"/>
        <v>4000</v>
      </c>
      <c r="J199" s="67">
        <f t="shared" si="15"/>
        <v>4000</v>
      </c>
      <c r="K199" s="67">
        <f t="shared" ref="K199:K225" si="16">G199-H199</f>
        <v>0</v>
      </c>
      <c r="L199" s="67">
        <f t="shared" ref="L199:L225" si="17">I199-J199</f>
        <v>0</v>
      </c>
      <c r="M199" s="64"/>
    </row>
    <row r="200" spans="2:13" s="53" customFormat="1">
      <c r="B200" s="64">
        <v>20</v>
      </c>
      <c r="C200" s="65" t="s">
        <v>35</v>
      </c>
      <c r="D200" s="66" t="s">
        <v>409</v>
      </c>
      <c r="E200" s="65" t="s">
        <v>410</v>
      </c>
      <c r="F200" s="66" t="s">
        <v>4221</v>
      </c>
      <c r="G200" s="66" t="s">
        <v>2981</v>
      </c>
      <c r="H200" s="64">
        <v>2</v>
      </c>
      <c r="I200" s="65">
        <f t="shared" ref="I200:I225" si="18">F200*G200</f>
        <v>50</v>
      </c>
      <c r="J200" s="67">
        <f t="shared" ref="J200:J225" si="19">F200*H200</f>
        <v>50</v>
      </c>
      <c r="K200" s="67">
        <f t="shared" si="16"/>
        <v>0</v>
      </c>
      <c r="L200" s="67">
        <f t="shared" si="17"/>
        <v>0</v>
      </c>
      <c r="M200" s="64"/>
    </row>
    <row r="201" spans="2:13" s="53" customFormat="1">
      <c r="B201" s="64">
        <v>20</v>
      </c>
      <c r="C201" s="65" t="s">
        <v>35</v>
      </c>
      <c r="D201" s="66" t="s">
        <v>411</v>
      </c>
      <c r="E201" s="65" t="s">
        <v>412</v>
      </c>
      <c r="F201" s="66" t="s">
        <v>4190</v>
      </c>
      <c r="G201" s="66" t="s">
        <v>2981</v>
      </c>
      <c r="H201" s="64">
        <v>2</v>
      </c>
      <c r="I201" s="65">
        <f t="shared" si="18"/>
        <v>110</v>
      </c>
      <c r="J201" s="67">
        <f t="shared" si="19"/>
        <v>110</v>
      </c>
      <c r="K201" s="67">
        <f t="shared" si="16"/>
        <v>0</v>
      </c>
      <c r="L201" s="67">
        <f t="shared" si="17"/>
        <v>0</v>
      </c>
      <c r="M201" s="64"/>
    </row>
    <row r="202" spans="2:13" s="53" customFormat="1">
      <c r="B202" s="64">
        <v>20</v>
      </c>
      <c r="C202" s="65" t="s">
        <v>35</v>
      </c>
      <c r="D202" s="66" t="s">
        <v>5003</v>
      </c>
      <c r="E202" s="65" t="s">
        <v>5009</v>
      </c>
      <c r="F202" s="66" t="s">
        <v>4182</v>
      </c>
      <c r="G202" s="66" t="s">
        <v>5160</v>
      </c>
      <c r="H202" s="64">
        <v>29</v>
      </c>
      <c r="I202" s="65">
        <f t="shared" si="18"/>
        <v>1740</v>
      </c>
      <c r="J202" s="67">
        <f t="shared" si="19"/>
        <v>1740</v>
      </c>
      <c r="K202" s="67">
        <f t="shared" si="16"/>
        <v>0</v>
      </c>
      <c r="L202" s="67">
        <f t="shared" si="17"/>
        <v>0</v>
      </c>
      <c r="M202" s="64"/>
    </row>
    <row r="203" spans="2:13" s="53" customFormat="1">
      <c r="B203" s="64">
        <v>20</v>
      </c>
      <c r="C203" s="65" t="s">
        <v>35</v>
      </c>
      <c r="D203" s="66" t="s">
        <v>413</v>
      </c>
      <c r="E203" s="65" t="s">
        <v>414</v>
      </c>
      <c r="F203" s="66" t="s">
        <v>4217</v>
      </c>
      <c r="G203" s="66" t="s">
        <v>4163</v>
      </c>
      <c r="H203" s="64">
        <v>10</v>
      </c>
      <c r="I203" s="65">
        <f t="shared" si="18"/>
        <v>300</v>
      </c>
      <c r="J203" s="67">
        <f t="shared" si="19"/>
        <v>300</v>
      </c>
      <c r="K203" s="67">
        <f t="shared" si="16"/>
        <v>0</v>
      </c>
      <c r="L203" s="67">
        <f t="shared" si="17"/>
        <v>0</v>
      </c>
      <c r="M203" s="64"/>
    </row>
    <row r="204" spans="2:13" s="53" customFormat="1">
      <c r="B204" s="64">
        <v>20</v>
      </c>
      <c r="C204" s="65" t="s">
        <v>35</v>
      </c>
      <c r="D204" s="66" t="s">
        <v>415</v>
      </c>
      <c r="E204" s="65" t="s">
        <v>416</v>
      </c>
      <c r="F204" s="66" t="s">
        <v>4184</v>
      </c>
      <c r="G204" s="66" t="s">
        <v>5161</v>
      </c>
      <c r="H204" s="64">
        <v>21</v>
      </c>
      <c r="I204" s="65">
        <f t="shared" si="18"/>
        <v>1785</v>
      </c>
      <c r="J204" s="67">
        <f t="shared" si="19"/>
        <v>1785</v>
      </c>
      <c r="K204" s="67">
        <f t="shared" si="16"/>
        <v>0</v>
      </c>
      <c r="L204" s="67">
        <f t="shared" si="17"/>
        <v>0</v>
      </c>
      <c r="M204" s="64"/>
    </row>
    <row r="205" spans="2:13" s="53" customFormat="1">
      <c r="B205" s="64">
        <v>20</v>
      </c>
      <c r="C205" s="65" t="s">
        <v>35</v>
      </c>
      <c r="D205" s="66" t="s">
        <v>417</v>
      </c>
      <c r="E205" s="65" t="s">
        <v>418</v>
      </c>
      <c r="F205" s="66" t="s">
        <v>4191</v>
      </c>
      <c r="G205" s="66" t="s">
        <v>5115</v>
      </c>
      <c r="H205" s="64">
        <v>23</v>
      </c>
      <c r="I205" s="65">
        <f t="shared" si="18"/>
        <v>828</v>
      </c>
      <c r="J205" s="67">
        <f t="shared" si="19"/>
        <v>828</v>
      </c>
      <c r="K205" s="67">
        <f t="shared" si="16"/>
        <v>0</v>
      </c>
      <c r="L205" s="67">
        <f t="shared" si="17"/>
        <v>0</v>
      </c>
      <c r="M205" s="64"/>
    </row>
    <row r="206" spans="2:13" s="53" customFormat="1">
      <c r="B206" s="64">
        <v>20</v>
      </c>
      <c r="C206" s="65" t="s">
        <v>35</v>
      </c>
      <c r="D206" s="66" t="s">
        <v>419</v>
      </c>
      <c r="E206" s="65" t="s">
        <v>420</v>
      </c>
      <c r="F206" s="66" t="s">
        <v>4217</v>
      </c>
      <c r="G206" s="66" t="s">
        <v>5162</v>
      </c>
      <c r="H206" s="64">
        <v>32</v>
      </c>
      <c r="I206" s="65">
        <f t="shared" si="18"/>
        <v>960</v>
      </c>
      <c r="J206" s="67">
        <f t="shared" si="19"/>
        <v>960</v>
      </c>
      <c r="K206" s="67">
        <f t="shared" si="16"/>
        <v>0</v>
      </c>
      <c r="L206" s="67">
        <f t="shared" si="17"/>
        <v>0</v>
      </c>
      <c r="M206" s="64"/>
    </row>
    <row r="207" spans="2:13" s="53" customFormat="1">
      <c r="B207" s="64">
        <v>20</v>
      </c>
      <c r="C207" s="65" t="s">
        <v>35</v>
      </c>
      <c r="D207" s="66" t="s">
        <v>421</v>
      </c>
      <c r="E207" s="65" t="s">
        <v>422</v>
      </c>
      <c r="F207" s="66" t="s">
        <v>5073</v>
      </c>
      <c r="G207" s="66" t="s">
        <v>2981</v>
      </c>
      <c r="H207" s="64">
        <v>2</v>
      </c>
      <c r="I207" s="65">
        <f t="shared" si="18"/>
        <v>1200</v>
      </c>
      <c r="J207" s="67">
        <f t="shared" si="19"/>
        <v>1200</v>
      </c>
      <c r="K207" s="67">
        <f t="shared" si="16"/>
        <v>0</v>
      </c>
      <c r="L207" s="67">
        <f t="shared" si="17"/>
        <v>0</v>
      </c>
      <c r="M207" s="64"/>
    </row>
    <row r="208" spans="2:13" s="53" customFormat="1">
      <c r="B208" s="64">
        <v>20</v>
      </c>
      <c r="C208" s="65" t="s">
        <v>35</v>
      </c>
      <c r="D208" s="66" t="s">
        <v>423</v>
      </c>
      <c r="E208" s="65" t="s">
        <v>424</v>
      </c>
      <c r="F208" s="66" t="s">
        <v>4232</v>
      </c>
      <c r="G208" s="66" t="s">
        <v>4120</v>
      </c>
      <c r="H208" s="64">
        <v>1</v>
      </c>
      <c r="I208" s="65">
        <f t="shared" si="18"/>
        <v>20</v>
      </c>
      <c r="J208" s="67">
        <f t="shared" si="19"/>
        <v>20</v>
      </c>
      <c r="K208" s="67">
        <f t="shared" si="16"/>
        <v>0</v>
      </c>
      <c r="L208" s="67">
        <f t="shared" si="17"/>
        <v>0</v>
      </c>
      <c r="M208" s="64"/>
    </row>
    <row r="209" spans="2:13" s="53" customFormat="1">
      <c r="B209" s="64">
        <v>20</v>
      </c>
      <c r="C209" s="65" t="s">
        <v>35</v>
      </c>
      <c r="D209" s="66" t="s">
        <v>425</v>
      </c>
      <c r="E209" s="65" t="s">
        <v>426</v>
      </c>
      <c r="F209" s="66" t="s">
        <v>5074</v>
      </c>
      <c r="G209" s="66" t="s">
        <v>4120</v>
      </c>
      <c r="H209" s="64">
        <v>1</v>
      </c>
      <c r="I209" s="65">
        <f t="shared" si="18"/>
        <v>216</v>
      </c>
      <c r="J209" s="67">
        <f t="shared" si="19"/>
        <v>216</v>
      </c>
      <c r="K209" s="67">
        <f t="shared" si="16"/>
        <v>0</v>
      </c>
      <c r="L209" s="67">
        <f t="shared" si="17"/>
        <v>0</v>
      </c>
      <c r="M209" s="64"/>
    </row>
    <row r="210" spans="2:13" s="53" customFormat="1">
      <c r="B210" s="64">
        <v>20</v>
      </c>
      <c r="C210" s="65" t="s">
        <v>35</v>
      </c>
      <c r="D210" s="66" t="s">
        <v>427</v>
      </c>
      <c r="E210" s="65" t="s">
        <v>428</v>
      </c>
      <c r="F210" s="66" t="s">
        <v>5075</v>
      </c>
      <c r="G210" s="66" t="s">
        <v>4150</v>
      </c>
      <c r="H210" s="64">
        <v>20</v>
      </c>
      <c r="I210" s="65">
        <f t="shared" si="18"/>
        <v>43.2</v>
      </c>
      <c r="J210" s="67">
        <f t="shared" si="19"/>
        <v>43.2</v>
      </c>
      <c r="K210" s="67">
        <f t="shared" si="16"/>
        <v>0</v>
      </c>
      <c r="L210" s="67">
        <f t="shared" si="17"/>
        <v>0</v>
      </c>
      <c r="M210" s="64"/>
    </row>
    <row r="211" spans="2:13" s="53" customFormat="1">
      <c r="B211" s="64">
        <v>20</v>
      </c>
      <c r="C211" s="65" t="s">
        <v>35</v>
      </c>
      <c r="D211" s="66" t="s">
        <v>429</v>
      </c>
      <c r="E211" s="65" t="s">
        <v>430</v>
      </c>
      <c r="F211" s="66" t="s">
        <v>5076</v>
      </c>
      <c r="G211" s="66" t="s">
        <v>4145</v>
      </c>
      <c r="H211" s="64">
        <v>4</v>
      </c>
      <c r="I211" s="65">
        <f t="shared" si="18"/>
        <v>320</v>
      </c>
      <c r="J211" s="67">
        <f t="shared" si="19"/>
        <v>320</v>
      </c>
      <c r="K211" s="67">
        <f t="shared" si="16"/>
        <v>0</v>
      </c>
      <c r="L211" s="67">
        <f t="shared" si="17"/>
        <v>0</v>
      </c>
      <c r="M211" s="64"/>
    </row>
    <row r="212" spans="2:13" s="53" customFormat="1">
      <c r="B212" s="64">
        <v>20</v>
      </c>
      <c r="C212" s="65" t="s">
        <v>35</v>
      </c>
      <c r="D212" s="66" t="s">
        <v>431</v>
      </c>
      <c r="E212" s="65" t="s">
        <v>432</v>
      </c>
      <c r="F212" s="66" t="s">
        <v>4232</v>
      </c>
      <c r="G212" s="66" t="s">
        <v>4123</v>
      </c>
      <c r="H212" s="64">
        <v>3</v>
      </c>
      <c r="I212" s="65">
        <f t="shared" si="18"/>
        <v>60</v>
      </c>
      <c r="J212" s="67">
        <f t="shared" si="19"/>
        <v>60</v>
      </c>
      <c r="K212" s="67">
        <f t="shared" si="16"/>
        <v>0</v>
      </c>
      <c r="L212" s="67">
        <f t="shared" si="17"/>
        <v>0</v>
      </c>
      <c r="M212" s="64"/>
    </row>
    <row r="213" spans="2:13" s="53" customFormat="1">
      <c r="B213" s="64">
        <v>20</v>
      </c>
      <c r="C213" s="65" t="s">
        <v>35</v>
      </c>
      <c r="D213" s="66" t="s">
        <v>433</v>
      </c>
      <c r="E213" s="65" t="s">
        <v>434</v>
      </c>
      <c r="F213" s="66" t="s">
        <v>4189</v>
      </c>
      <c r="G213" s="66" t="s">
        <v>5154</v>
      </c>
      <c r="H213" s="64">
        <v>87</v>
      </c>
      <c r="I213" s="65">
        <f t="shared" si="18"/>
        <v>870</v>
      </c>
      <c r="J213" s="67">
        <f t="shared" si="19"/>
        <v>870</v>
      </c>
      <c r="K213" s="67">
        <f t="shared" si="16"/>
        <v>0</v>
      </c>
      <c r="L213" s="67">
        <f t="shared" si="17"/>
        <v>0</v>
      </c>
      <c r="M213" s="64"/>
    </row>
    <row r="214" spans="2:13" s="53" customFormat="1">
      <c r="B214" s="64">
        <v>20</v>
      </c>
      <c r="C214" s="65" t="s">
        <v>35</v>
      </c>
      <c r="D214" s="66" t="s">
        <v>435</v>
      </c>
      <c r="E214" s="65" t="s">
        <v>436</v>
      </c>
      <c r="F214" s="66" t="s">
        <v>4217</v>
      </c>
      <c r="G214" s="66" t="s">
        <v>4178</v>
      </c>
      <c r="H214" s="64">
        <v>35</v>
      </c>
      <c r="I214" s="65">
        <f t="shared" si="18"/>
        <v>1050</v>
      </c>
      <c r="J214" s="67">
        <f t="shared" si="19"/>
        <v>1050</v>
      </c>
      <c r="K214" s="67">
        <f t="shared" si="16"/>
        <v>0</v>
      </c>
      <c r="L214" s="67">
        <f t="shared" si="17"/>
        <v>0</v>
      </c>
      <c r="M214" s="64"/>
    </row>
    <row r="215" spans="2:13" s="53" customFormat="1">
      <c r="B215" s="64">
        <v>20</v>
      </c>
      <c r="C215" s="65" t="s">
        <v>35</v>
      </c>
      <c r="D215" s="66" t="s">
        <v>437</v>
      </c>
      <c r="E215" s="65" t="s">
        <v>438</v>
      </c>
      <c r="F215" s="66" t="s">
        <v>4199</v>
      </c>
      <c r="G215" s="66" t="s">
        <v>4152</v>
      </c>
      <c r="H215" s="64">
        <v>15</v>
      </c>
      <c r="I215" s="65">
        <f t="shared" si="18"/>
        <v>382.5</v>
      </c>
      <c r="J215" s="67">
        <f t="shared" si="19"/>
        <v>382.5</v>
      </c>
      <c r="K215" s="67">
        <f t="shared" si="16"/>
        <v>0</v>
      </c>
      <c r="L215" s="67">
        <f t="shared" si="17"/>
        <v>0</v>
      </c>
      <c r="M215" s="64"/>
    </row>
    <row r="216" spans="2:13" s="53" customFormat="1">
      <c r="B216" s="64">
        <v>20</v>
      </c>
      <c r="C216" s="65" t="s">
        <v>35</v>
      </c>
      <c r="D216" s="66" t="s">
        <v>439</v>
      </c>
      <c r="E216" s="65" t="s">
        <v>440</v>
      </c>
      <c r="F216" s="66" t="s">
        <v>4193</v>
      </c>
      <c r="G216" s="66" t="s">
        <v>4170</v>
      </c>
      <c r="H216" s="64">
        <v>11</v>
      </c>
      <c r="I216" s="65">
        <f t="shared" si="18"/>
        <v>407</v>
      </c>
      <c r="J216" s="67">
        <f t="shared" si="19"/>
        <v>407</v>
      </c>
      <c r="K216" s="67">
        <f t="shared" si="16"/>
        <v>0</v>
      </c>
      <c r="L216" s="67">
        <f t="shared" si="17"/>
        <v>0</v>
      </c>
      <c r="M216" s="64"/>
    </row>
    <row r="217" spans="2:13" s="53" customFormat="1">
      <c r="B217" s="64">
        <v>20</v>
      </c>
      <c r="C217" s="65" t="s">
        <v>35</v>
      </c>
      <c r="D217" s="66" t="s">
        <v>441</v>
      </c>
      <c r="E217" s="65" t="s">
        <v>442</v>
      </c>
      <c r="F217" s="66" t="s">
        <v>5077</v>
      </c>
      <c r="G217" s="66" t="s">
        <v>4177</v>
      </c>
      <c r="H217" s="64">
        <v>30</v>
      </c>
      <c r="I217" s="65">
        <f t="shared" si="18"/>
        <v>1590</v>
      </c>
      <c r="J217" s="67">
        <f t="shared" si="19"/>
        <v>1590</v>
      </c>
      <c r="K217" s="67">
        <f t="shared" si="16"/>
        <v>0</v>
      </c>
      <c r="L217" s="67">
        <f t="shared" si="17"/>
        <v>0</v>
      </c>
      <c r="M217" s="64"/>
    </row>
    <row r="218" spans="2:13" s="53" customFormat="1">
      <c r="B218" s="64">
        <v>20</v>
      </c>
      <c r="C218" s="65" t="s">
        <v>35</v>
      </c>
      <c r="D218" s="66" t="s">
        <v>443</v>
      </c>
      <c r="E218" s="65" t="s">
        <v>444</v>
      </c>
      <c r="F218" s="66" t="s">
        <v>4210</v>
      </c>
      <c r="G218" s="66" t="s">
        <v>5100</v>
      </c>
      <c r="H218" s="64">
        <v>14</v>
      </c>
      <c r="I218" s="65">
        <f t="shared" si="18"/>
        <v>378</v>
      </c>
      <c r="J218" s="67">
        <f t="shared" si="19"/>
        <v>378</v>
      </c>
      <c r="K218" s="67">
        <f t="shared" si="16"/>
        <v>0</v>
      </c>
      <c r="L218" s="67">
        <f t="shared" si="17"/>
        <v>0</v>
      </c>
      <c r="M218" s="64"/>
    </row>
    <row r="219" spans="2:13" s="53" customFormat="1">
      <c r="B219" s="64">
        <v>20</v>
      </c>
      <c r="C219" s="65" t="s">
        <v>35</v>
      </c>
      <c r="D219" s="66" t="s">
        <v>445</v>
      </c>
      <c r="E219" s="65" t="s">
        <v>446</v>
      </c>
      <c r="F219" s="66" t="s">
        <v>5078</v>
      </c>
      <c r="G219" s="66" t="s">
        <v>4149</v>
      </c>
      <c r="H219" s="64">
        <v>60</v>
      </c>
      <c r="I219" s="65">
        <f t="shared" si="18"/>
        <v>26.4</v>
      </c>
      <c r="J219" s="67">
        <f t="shared" si="19"/>
        <v>26.4</v>
      </c>
      <c r="K219" s="67">
        <f t="shared" si="16"/>
        <v>0</v>
      </c>
      <c r="L219" s="67">
        <f t="shared" si="17"/>
        <v>0</v>
      </c>
      <c r="M219" s="64"/>
    </row>
    <row r="220" spans="2:13" s="53" customFormat="1">
      <c r="B220" s="64">
        <v>20</v>
      </c>
      <c r="C220" s="65" t="s">
        <v>35</v>
      </c>
      <c r="D220" s="66" t="s">
        <v>447</v>
      </c>
      <c r="E220" s="65" t="s">
        <v>448</v>
      </c>
      <c r="F220" s="66" t="s">
        <v>5079</v>
      </c>
      <c r="G220" s="66" t="s">
        <v>5163</v>
      </c>
      <c r="H220" s="64">
        <v>1087</v>
      </c>
      <c r="I220" s="65">
        <f t="shared" si="18"/>
        <v>586.98</v>
      </c>
      <c r="J220" s="67">
        <f t="shared" si="19"/>
        <v>586.98</v>
      </c>
      <c r="K220" s="67">
        <f t="shared" si="16"/>
        <v>0</v>
      </c>
      <c r="L220" s="67">
        <f t="shared" si="17"/>
        <v>0</v>
      </c>
      <c r="M220" s="64"/>
    </row>
    <row r="221" spans="2:13" s="53" customFormat="1">
      <c r="B221" s="64">
        <v>20</v>
      </c>
      <c r="C221" s="65" t="s">
        <v>35</v>
      </c>
      <c r="D221" s="66" t="s">
        <v>449</v>
      </c>
      <c r="E221" s="65" t="s">
        <v>450</v>
      </c>
      <c r="F221" s="66" t="s">
        <v>5078</v>
      </c>
      <c r="G221" s="66" t="s">
        <v>5164</v>
      </c>
      <c r="H221" s="64">
        <v>751</v>
      </c>
      <c r="I221" s="65">
        <f t="shared" si="18"/>
        <v>330.44</v>
      </c>
      <c r="J221" s="67">
        <f t="shared" si="19"/>
        <v>330.44</v>
      </c>
      <c r="K221" s="67">
        <f t="shared" si="16"/>
        <v>0</v>
      </c>
      <c r="L221" s="67">
        <f t="shared" si="17"/>
        <v>0</v>
      </c>
      <c r="M221" s="64"/>
    </row>
    <row r="222" spans="2:13" s="53" customFormat="1">
      <c r="B222" s="64">
        <v>20</v>
      </c>
      <c r="C222" s="65" t="s">
        <v>35</v>
      </c>
      <c r="D222" s="66" t="s">
        <v>451</v>
      </c>
      <c r="E222" s="65" t="s">
        <v>452</v>
      </c>
      <c r="F222" s="66" t="s">
        <v>5080</v>
      </c>
      <c r="G222" s="66" t="s">
        <v>5165</v>
      </c>
      <c r="H222" s="64">
        <v>500</v>
      </c>
      <c r="I222" s="65">
        <f t="shared" si="18"/>
        <v>540</v>
      </c>
      <c r="J222" s="67">
        <f t="shared" si="19"/>
        <v>540</v>
      </c>
      <c r="K222" s="67">
        <f t="shared" si="16"/>
        <v>0</v>
      </c>
      <c r="L222" s="67">
        <f t="shared" si="17"/>
        <v>0</v>
      </c>
      <c r="M222" s="64"/>
    </row>
    <row r="223" spans="2:13" s="53" customFormat="1">
      <c r="B223" s="64">
        <v>20</v>
      </c>
      <c r="C223" s="65" t="s">
        <v>35</v>
      </c>
      <c r="D223" s="66" t="s">
        <v>453</v>
      </c>
      <c r="E223" s="65" t="s">
        <v>454</v>
      </c>
      <c r="F223" s="66" t="s">
        <v>4196</v>
      </c>
      <c r="G223" s="66" t="s">
        <v>4176</v>
      </c>
      <c r="H223" s="64">
        <v>19</v>
      </c>
      <c r="I223" s="65">
        <f t="shared" si="18"/>
        <v>576</v>
      </c>
      <c r="J223" s="67">
        <f t="shared" si="19"/>
        <v>608</v>
      </c>
      <c r="K223" s="67">
        <f t="shared" si="16"/>
        <v>-1</v>
      </c>
      <c r="L223" s="67">
        <f t="shared" si="17"/>
        <v>-32</v>
      </c>
      <c r="M223" s="64"/>
    </row>
    <row r="224" spans="2:13" s="53" customFormat="1">
      <c r="B224" s="64">
        <v>20</v>
      </c>
      <c r="C224" s="65" t="s">
        <v>35</v>
      </c>
      <c r="D224" s="66" t="s">
        <v>455</v>
      </c>
      <c r="E224" s="65" t="s">
        <v>456</v>
      </c>
      <c r="F224" s="66" t="s">
        <v>4202</v>
      </c>
      <c r="G224" s="66" t="s">
        <v>5166</v>
      </c>
      <c r="H224" s="64">
        <v>94</v>
      </c>
      <c r="I224" s="65">
        <f t="shared" si="18"/>
        <v>3128</v>
      </c>
      <c r="J224" s="67">
        <f t="shared" si="19"/>
        <v>3196</v>
      </c>
      <c r="K224" s="67">
        <f t="shared" si="16"/>
        <v>-2</v>
      </c>
      <c r="L224" s="67">
        <f t="shared" si="17"/>
        <v>-68</v>
      </c>
      <c r="M224" s="64"/>
    </row>
    <row r="225" spans="2:13" s="53" customFormat="1">
      <c r="B225" s="64">
        <v>20</v>
      </c>
      <c r="C225" s="65" t="s">
        <v>35</v>
      </c>
      <c r="D225" s="66" t="s">
        <v>457</v>
      </c>
      <c r="E225" s="65" t="s">
        <v>458</v>
      </c>
      <c r="F225" s="66" t="s">
        <v>4203</v>
      </c>
      <c r="G225" s="66" t="s">
        <v>5167</v>
      </c>
      <c r="H225" s="64">
        <v>49</v>
      </c>
      <c r="I225" s="65">
        <f t="shared" si="18"/>
        <v>1274</v>
      </c>
      <c r="J225" s="67">
        <f t="shared" si="19"/>
        <v>1274</v>
      </c>
      <c r="K225" s="67">
        <f t="shared" si="16"/>
        <v>0</v>
      </c>
      <c r="L225" s="67">
        <f t="shared" si="17"/>
        <v>0</v>
      </c>
      <c r="M225" s="64"/>
    </row>
    <row r="226" spans="2:13">
      <c r="B226" s="20" t="s">
        <v>12</v>
      </c>
      <c r="C226" s="21"/>
      <c r="D226" s="27"/>
      <c r="E226" s="21"/>
      <c r="F226" s="45"/>
      <c r="G226" s="29">
        <f t="shared" ref="G226:L226" si="20">SUM(G6:G225)</f>
        <v>2266</v>
      </c>
      <c r="H226" s="29">
        <f t="shared" si="20"/>
        <v>35452</v>
      </c>
      <c r="I226" s="29">
        <f t="shared" si="20"/>
        <v>453533.1</v>
      </c>
      <c r="J226" s="69">
        <f t="shared" si="20"/>
        <v>457363.15</v>
      </c>
      <c r="K226" s="29">
        <f t="shared" si="20"/>
        <v>-843</v>
      </c>
      <c r="L226" s="29">
        <f t="shared" si="20"/>
        <v>-3830.0500000000006</v>
      </c>
      <c r="M226" s="27"/>
    </row>
    <row r="228" spans="2:13">
      <c r="B228" s="22" t="s">
        <v>13</v>
      </c>
      <c r="C228" s="22"/>
      <c r="D228" s="1" t="s">
        <v>14</v>
      </c>
      <c r="E228" s="10" t="s">
        <v>15</v>
      </c>
      <c r="F228" s="335" t="s">
        <v>16</v>
      </c>
      <c r="G228" s="335"/>
      <c r="H228" s="335"/>
      <c r="I228" s="336"/>
    </row>
    <row r="229" spans="2:13">
      <c r="B229" s="337" t="s">
        <v>17</v>
      </c>
      <c r="C229" s="338"/>
      <c r="D229" s="23">
        <f>I226</f>
        <v>453533.1</v>
      </c>
      <c r="E229" s="24">
        <f>G226</f>
        <v>2266</v>
      </c>
      <c r="F229" s="339" t="s">
        <v>37</v>
      </c>
      <c r="G229" s="339"/>
      <c r="H229" s="339"/>
      <c r="I229" s="340"/>
    </row>
    <row r="230" spans="2:13">
      <c r="B230" s="337" t="s">
        <v>6</v>
      </c>
      <c r="C230" s="338"/>
      <c r="D230" s="23">
        <f>J226</f>
        <v>457363.15</v>
      </c>
      <c r="E230" s="24">
        <f>H226</f>
        <v>35452</v>
      </c>
      <c r="F230" s="341"/>
      <c r="G230" s="341"/>
      <c r="H230" s="341"/>
      <c r="I230" s="342"/>
    </row>
    <row r="231" spans="2:13">
      <c r="B231" s="22" t="s">
        <v>18</v>
      </c>
      <c r="C231" s="22"/>
      <c r="D231" s="25">
        <f>D229-D230</f>
        <v>-3830.0500000000466</v>
      </c>
      <c r="E231" s="26">
        <f>E229-E230</f>
        <v>-33186</v>
      </c>
      <c r="F231" s="343"/>
      <c r="G231" s="343"/>
      <c r="H231" s="343"/>
      <c r="I231" s="344"/>
    </row>
    <row r="233" spans="2:13">
      <c r="B233" s="2" t="s">
        <v>19</v>
      </c>
      <c r="C233" s="2"/>
      <c r="E233" s="2" t="s">
        <v>20</v>
      </c>
      <c r="F233" s="46"/>
      <c r="H233" s="43" t="s">
        <v>21</v>
      </c>
    </row>
    <row r="234" spans="2:13">
      <c r="B234" s="2"/>
      <c r="C234" s="2"/>
      <c r="E234" s="2"/>
      <c r="F234" s="46"/>
      <c r="H234" s="43"/>
    </row>
    <row r="235" spans="2:13">
      <c r="B235" s="334" t="e">
        <f>#REF!</f>
        <v>#REF!</v>
      </c>
      <c r="C235" s="334"/>
      <c r="E235" s="3" t="s">
        <v>38</v>
      </c>
      <c r="F235" s="47"/>
      <c r="H235" s="334" t="s">
        <v>36</v>
      </c>
      <c r="I235" s="334"/>
    </row>
    <row r="236" spans="2:13">
      <c r="B236" s="333" t="s">
        <v>22</v>
      </c>
      <c r="C236" s="333"/>
      <c r="E236" s="4" t="s">
        <v>31</v>
      </c>
      <c r="H236" s="333" t="s">
        <v>23</v>
      </c>
      <c r="I236" s="333"/>
    </row>
    <row r="239" spans="2:13">
      <c r="B239" s="2" t="s">
        <v>24</v>
      </c>
      <c r="C239" s="5"/>
      <c r="H239" s="43" t="s">
        <v>25</v>
      </c>
    </row>
    <row r="240" spans="2:13">
      <c r="B240" s="2"/>
      <c r="C240" s="5"/>
      <c r="H240" s="43"/>
    </row>
    <row r="241" spans="2:9">
      <c r="B241" s="334" t="s">
        <v>42</v>
      </c>
      <c r="C241" s="334"/>
      <c r="D241" s="334"/>
      <c r="E241" s="7"/>
      <c r="H241" s="334" t="s">
        <v>26</v>
      </c>
      <c r="I241" s="334"/>
    </row>
    <row r="242" spans="2:9">
      <c r="B242" s="333" t="s">
        <v>41</v>
      </c>
      <c r="C242" s="333"/>
      <c r="D242" s="333"/>
      <c r="E242" s="7"/>
      <c r="H242" s="333" t="s">
        <v>27</v>
      </c>
      <c r="I242" s="333"/>
    </row>
  </sheetData>
  <autoFilter ref="B5:X226" xr:uid="{00000000-0001-0000-0700-000000000000}"/>
  <mergeCells count="12">
    <mergeCell ref="F228:I228"/>
    <mergeCell ref="B229:C229"/>
    <mergeCell ref="F229:I231"/>
    <mergeCell ref="B230:C230"/>
    <mergeCell ref="B235:C235"/>
    <mergeCell ref="H235:I235"/>
    <mergeCell ref="B236:C236"/>
    <mergeCell ref="H236:I236"/>
    <mergeCell ref="H241:I241"/>
    <mergeCell ref="H242:I242"/>
    <mergeCell ref="B241:D241"/>
    <mergeCell ref="B242:D242"/>
  </mergeCells>
  <pageMargins left="0.7" right="0.7" top="0.25" bottom="0.25" header="0.3" footer="0.3"/>
  <pageSetup paperSize="14" scale="6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  <pageSetUpPr fitToPage="1"/>
  </sheetPr>
  <dimension ref="A1:N84"/>
  <sheetViews>
    <sheetView showGridLines="0" view="pageBreakPreview" zoomScale="115" zoomScaleNormal="115" zoomScaleSheetLayoutView="115" workbookViewId="0">
      <selection activeCell="K42" sqref="A1:K42"/>
    </sheetView>
  </sheetViews>
  <sheetFormatPr defaultColWidth="9" defaultRowHeight="15"/>
  <cols>
    <col min="2" max="2" width="9.85546875" customWidth="1"/>
    <col min="3" max="3" width="52.85546875" customWidth="1"/>
    <col min="4" max="4" width="9.140625" style="6"/>
    <col min="5" max="6" width="9" style="6"/>
    <col min="7" max="7" width="11.85546875" style="6" hidden="1" customWidth="1"/>
    <col min="8" max="8" width="13.5703125" style="6" hidden="1" customWidth="1"/>
    <col min="9" max="9" width="12.42578125" customWidth="1"/>
    <col min="10" max="10" width="12.140625" customWidth="1"/>
    <col min="11" max="11" width="14.28515625" customWidth="1"/>
  </cols>
  <sheetData>
    <row r="1" spans="1:14">
      <c r="A1" s="2" t="s">
        <v>39</v>
      </c>
      <c r="B1" s="2"/>
      <c r="D1"/>
      <c r="E1"/>
      <c r="F1"/>
      <c r="G1" s="345"/>
      <c r="H1" s="345"/>
      <c r="M1" s="6"/>
      <c r="N1" s="6"/>
    </row>
    <row r="2" spans="1:14" ht="12.75" customHeight="1">
      <c r="A2" t="str">
        <f>PRINTING!B2</f>
        <v>AS OF JUNE 2026</v>
      </c>
      <c r="D2"/>
      <c r="E2"/>
      <c r="F2"/>
      <c r="G2"/>
      <c r="H2"/>
      <c r="M2" s="6"/>
      <c r="N2" s="6"/>
    </row>
    <row r="3" spans="1:14" ht="12.75" customHeight="1">
      <c r="B3" s="12" t="s">
        <v>28</v>
      </c>
    </row>
    <row r="4" spans="1:14" s="48" customFormat="1" ht="15.75" customHeight="1">
      <c r="B4" s="49" t="s">
        <v>3</v>
      </c>
      <c r="C4" s="42" t="s">
        <v>4</v>
      </c>
      <c r="D4" s="50" t="s">
        <v>5</v>
      </c>
      <c r="E4" s="51" t="s">
        <v>34</v>
      </c>
      <c r="F4" s="51" t="s">
        <v>6</v>
      </c>
      <c r="G4" s="59" t="s">
        <v>43</v>
      </c>
      <c r="H4" s="60" t="s">
        <v>44</v>
      </c>
      <c r="I4" s="51" t="s">
        <v>9</v>
      </c>
      <c r="J4" s="50" t="s">
        <v>10</v>
      </c>
      <c r="K4" s="42" t="s">
        <v>11</v>
      </c>
    </row>
    <row r="5" spans="1:14" s="38" customFormat="1">
      <c r="B5" s="66" t="s">
        <v>81</v>
      </c>
      <c r="C5" s="65" t="s">
        <v>82</v>
      </c>
      <c r="D5" s="66" t="s">
        <v>5014</v>
      </c>
      <c r="E5" s="66" t="s">
        <v>5089</v>
      </c>
      <c r="F5" s="64">
        <v>109</v>
      </c>
      <c r="G5" s="65">
        <v>9830.6999999999989</v>
      </c>
      <c r="H5" s="67">
        <v>10823.699999999999</v>
      </c>
      <c r="I5" s="67">
        <v>-10</v>
      </c>
      <c r="J5" s="67">
        <v>-993</v>
      </c>
      <c r="K5" s="55"/>
    </row>
    <row r="6" spans="1:14" s="38" customFormat="1">
      <c r="B6" s="66" t="s">
        <v>83</v>
      </c>
      <c r="C6" s="65" t="s">
        <v>84</v>
      </c>
      <c r="D6" s="66" t="s">
        <v>4234</v>
      </c>
      <c r="E6" s="66" t="s">
        <v>5090</v>
      </c>
      <c r="F6" s="64">
        <v>123</v>
      </c>
      <c r="G6" s="65">
        <v>9744</v>
      </c>
      <c r="H6" s="67">
        <v>10332</v>
      </c>
      <c r="I6" s="67">
        <v>-7</v>
      </c>
      <c r="J6" s="67">
        <v>-588</v>
      </c>
      <c r="K6" s="55"/>
    </row>
    <row r="7" spans="1:14" s="38" customFormat="1">
      <c r="B7" s="66" t="s">
        <v>109</v>
      </c>
      <c r="C7" s="65" t="s">
        <v>110</v>
      </c>
      <c r="D7" s="66" t="s">
        <v>5021</v>
      </c>
      <c r="E7" s="66" t="s">
        <v>5101</v>
      </c>
      <c r="F7" s="64">
        <v>4000</v>
      </c>
      <c r="G7" s="65">
        <v>5475</v>
      </c>
      <c r="H7" s="67">
        <v>6000</v>
      </c>
      <c r="I7" s="67">
        <v>-350</v>
      </c>
      <c r="J7" s="67">
        <v>-525</v>
      </c>
      <c r="K7" s="55"/>
    </row>
    <row r="8" spans="1:14" s="38" customFormat="1">
      <c r="B8" s="66" t="s">
        <v>161</v>
      </c>
      <c r="C8" s="65" t="s">
        <v>162</v>
      </c>
      <c r="D8" s="66" t="s">
        <v>4224</v>
      </c>
      <c r="E8" s="66" t="s">
        <v>4150</v>
      </c>
      <c r="F8" s="64">
        <v>21</v>
      </c>
      <c r="G8" s="65">
        <v>560</v>
      </c>
      <c r="H8" s="67">
        <v>588</v>
      </c>
      <c r="I8" s="67">
        <v>-1</v>
      </c>
      <c r="J8" s="67">
        <v>-28</v>
      </c>
      <c r="K8" s="55"/>
    </row>
    <row r="9" spans="1:14" s="38" customFormat="1">
      <c r="B9" s="66" t="s">
        <v>231</v>
      </c>
      <c r="C9" s="65" t="s">
        <v>232</v>
      </c>
      <c r="D9" s="66" t="s">
        <v>5045</v>
      </c>
      <c r="E9" s="66" t="s">
        <v>5126</v>
      </c>
      <c r="F9" s="64">
        <v>2760</v>
      </c>
      <c r="G9" s="65">
        <v>6193.8</v>
      </c>
      <c r="H9" s="67">
        <v>7452.0000000000009</v>
      </c>
      <c r="I9" s="67">
        <v>-466</v>
      </c>
      <c r="J9" s="67">
        <v>-1258.2000000000007</v>
      </c>
      <c r="K9" s="55"/>
    </row>
    <row r="10" spans="1:14" s="38" customFormat="1">
      <c r="B10" s="66" t="s">
        <v>241</v>
      </c>
      <c r="C10" s="65" t="s">
        <v>242</v>
      </c>
      <c r="D10" s="66" t="s">
        <v>5047</v>
      </c>
      <c r="E10" s="66" t="s">
        <v>4150</v>
      </c>
      <c r="F10" s="64">
        <v>21</v>
      </c>
      <c r="G10" s="65">
        <v>2317</v>
      </c>
      <c r="H10" s="67">
        <v>2432.85</v>
      </c>
      <c r="I10" s="67">
        <v>-1</v>
      </c>
      <c r="J10" s="67">
        <v>-115.84999999999991</v>
      </c>
      <c r="K10" s="55"/>
    </row>
    <row r="11" spans="1:14" s="38" customFormat="1">
      <c r="B11" s="66" t="s">
        <v>253</v>
      </c>
      <c r="C11" s="65" t="s">
        <v>254</v>
      </c>
      <c r="D11" s="66" t="s">
        <v>4215</v>
      </c>
      <c r="E11" s="66">
        <v>192</v>
      </c>
      <c r="F11" s="64">
        <v>196</v>
      </c>
      <c r="G11" s="65">
        <v>4608</v>
      </c>
      <c r="H11" s="67">
        <v>4704</v>
      </c>
      <c r="I11" s="67">
        <v>-4</v>
      </c>
      <c r="J11" s="67">
        <v>-96</v>
      </c>
      <c r="K11" s="55"/>
    </row>
    <row r="12" spans="1:14" s="38" customFormat="1">
      <c r="B12" s="66" t="s">
        <v>331</v>
      </c>
      <c r="C12" s="65" t="s">
        <v>332</v>
      </c>
      <c r="D12" s="66" t="s">
        <v>5061</v>
      </c>
      <c r="E12" s="66">
        <v>185</v>
      </c>
      <c r="F12" s="71">
        <v>186</v>
      </c>
      <c r="G12" s="65">
        <v>23310</v>
      </c>
      <c r="H12" s="67">
        <v>23436</v>
      </c>
      <c r="I12" s="67">
        <v>-1</v>
      </c>
      <c r="J12" s="67">
        <v>-126</v>
      </c>
      <c r="K12" s="55"/>
    </row>
    <row r="13" spans="1:14" s="38" customFormat="1">
      <c r="B13" s="66" t="s">
        <v>453</v>
      </c>
      <c r="C13" s="65" t="s">
        <v>454</v>
      </c>
      <c r="D13" s="66" t="s">
        <v>4196</v>
      </c>
      <c r="E13" s="66" t="s">
        <v>4176</v>
      </c>
      <c r="F13" s="64">
        <v>19</v>
      </c>
      <c r="G13" s="65">
        <v>576</v>
      </c>
      <c r="H13" s="67">
        <v>608</v>
      </c>
      <c r="I13" s="67">
        <v>-1</v>
      </c>
      <c r="J13" s="67">
        <v>-32</v>
      </c>
      <c r="K13" s="55"/>
    </row>
    <row r="14" spans="1:14" s="38" customFormat="1">
      <c r="B14" s="66" t="s">
        <v>455</v>
      </c>
      <c r="C14" s="65" t="s">
        <v>456</v>
      </c>
      <c r="D14" s="66" t="s">
        <v>4202</v>
      </c>
      <c r="E14" s="66" t="s">
        <v>5166</v>
      </c>
      <c r="F14" s="64">
        <v>94</v>
      </c>
      <c r="G14" s="65">
        <v>3128</v>
      </c>
      <c r="H14" s="67">
        <v>3196</v>
      </c>
      <c r="I14" s="67">
        <v>-2</v>
      </c>
      <c r="J14" s="67">
        <v>-68</v>
      </c>
      <c r="K14" s="55"/>
    </row>
    <row r="15" spans="1:14" s="38" customFormat="1" hidden="1">
      <c r="B15" s="66"/>
      <c r="C15" s="65"/>
      <c r="D15" s="66"/>
      <c r="E15" s="66"/>
      <c r="F15" s="64"/>
      <c r="G15" s="65"/>
      <c r="H15" s="67"/>
      <c r="I15" s="67"/>
      <c r="J15" s="67"/>
      <c r="K15" s="55"/>
    </row>
    <row r="16" spans="1:14" s="38" customFormat="1" hidden="1">
      <c r="B16" s="66"/>
      <c r="C16" s="65"/>
      <c r="D16" s="66"/>
      <c r="E16" s="66"/>
      <c r="F16" s="64"/>
      <c r="G16" s="65"/>
      <c r="H16" s="67"/>
      <c r="I16" s="67"/>
      <c r="J16" s="67"/>
      <c r="K16" s="55"/>
    </row>
    <row r="17" spans="2:11" s="38" customFormat="1" hidden="1">
      <c r="B17" s="66"/>
      <c r="C17" s="65"/>
      <c r="D17" s="66"/>
      <c r="E17" s="66"/>
      <c r="F17" s="64"/>
      <c r="G17" s="65"/>
      <c r="H17" s="67"/>
      <c r="I17" s="67"/>
      <c r="J17" s="67"/>
      <c r="K17" s="55"/>
    </row>
    <row r="18" spans="2:11" s="38" customFormat="1" hidden="1">
      <c r="B18" s="66"/>
      <c r="C18" s="65"/>
      <c r="D18" s="66"/>
      <c r="E18" s="66"/>
      <c r="F18" s="64"/>
      <c r="G18" s="65"/>
      <c r="H18" s="67"/>
      <c r="I18" s="67"/>
      <c r="J18" s="67"/>
      <c r="K18" s="55"/>
    </row>
    <row r="19" spans="2:11" s="38" customFormat="1" hidden="1">
      <c r="B19" s="66"/>
      <c r="C19" s="65"/>
      <c r="D19" s="66"/>
      <c r="E19" s="66"/>
      <c r="F19" s="64"/>
      <c r="G19" s="65"/>
      <c r="H19" s="67"/>
      <c r="I19" s="67"/>
      <c r="J19" s="67"/>
      <c r="K19" s="55"/>
    </row>
    <row r="20" spans="2:11" s="38" customFormat="1" hidden="1">
      <c r="B20" s="66"/>
      <c r="C20" s="65"/>
      <c r="D20" s="66"/>
      <c r="E20" s="66"/>
      <c r="F20" s="64"/>
      <c r="G20" s="65"/>
      <c r="H20" s="67"/>
      <c r="I20" s="67"/>
      <c r="J20" s="67"/>
      <c r="K20" s="55"/>
    </row>
    <row r="21" spans="2:11" s="38" customFormat="1" hidden="1">
      <c r="B21" s="66"/>
      <c r="C21" s="65"/>
      <c r="D21" s="66"/>
      <c r="E21" s="66"/>
      <c r="F21" s="64"/>
      <c r="G21" s="65"/>
      <c r="H21" s="67"/>
      <c r="I21" s="67"/>
      <c r="J21" s="67"/>
      <c r="K21" s="55"/>
    </row>
    <row r="22" spans="2:11" s="38" customFormat="1" hidden="1">
      <c r="B22" s="66"/>
      <c r="C22" s="65"/>
      <c r="D22" s="66"/>
      <c r="E22" s="66"/>
      <c r="F22" s="71"/>
      <c r="G22" s="65"/>
      <c r="H22" s="67"/>
      <c r="I22" s="67"/>
      <c r="J22" s="67"/>
      <c r="K22" s="55"/>
    </row>
    <row r="23" spans="2:11" s="38" customFormat="1" hidden="1">
      <c r="B23" s="66"/>
      <c r="C23" s="65"/>
      <c r="D23" s="66"/>
      <c r="E23" s="66"/>
      <c r="F23" s="64"/>
      <c r="G23" s="65"/>
      <c r="H23" s="67"/>
      <c r="I23" s="67"/>
      <c r="J23" s="67"/>
      <c r="K23" s="55"/>
    </row>
    <row r="24" spans="2:11" s="38" customFormat="1" hidden="1">
      <c r="B24" s="66"/>
      <c r="C24" s="65"/>
      <c r="D24" s="66"/>
      <c r="E24" s="66"/>
      <c r="F24" s="64"/>
      <c r="G24" s="65"/>
      <c r="H24" s="67"/>
      <c r="I24" s="67"/>
      <c r="J24" s="67"/>
      <c r="K24" s="55"/>
    </row>
    <row r="25" spans="2:11" s="38" customFormat="1" hidden="1">
      <c r="B25" s="66"/>
      <c r="C25" s="65"/>
      <c r="D25" s="66"/>
      <c r="E25" s="66"/>
      <c r="F25" s="71"/>
      <c r="G25" s="65"/>
      <c r="H25" s="67"/>
      <c r="I25" s="67"/>
      <c r="J25" s="67"/>
      <c r="K25" s="55"/>
    </row>
    <row r="26" spans="2:11" s="38" customFormat="1" hidden="1">
      <c r="B26" s="66"/>
      <c r="C26" s="65"/>
      <c r="D26" s="66"/>
      <c r="E26" s="66"/>
      <c r="F26" s="64"/>
      <c r="G26" s="65"/>
      <c r="H26" s="67"/>
      <c r="I26" s="67"/>
      <c r="J26" s="67"/>
      <c r="K26" s="55"/>
    </row>
    <row r="27" spans="2:11" s="38" customFormat="1" hidden="1">
      <c r="B27" s="66"/>
      <c r="C27" s="65"/>
      <c r="D27" s="66"/>
      <c r="E27" s="66"/>
      <c r="F27" s="64"/>
      <c r="G27" s="65"/>
      <c r="H27" s="67"/>
      <c r="I27" s="67"/>
      <c r="J27" s="67"/>
      <c r="K27" s="55"/>
    </row>
    <row r="28" spans="2:11" s="38" customFormat="1" hidden="1">
      <c r="B28" s="66"/>
      <c r="C28" s="65"/>
      <c r="D28" s="66"/>
      <c r="E28" s="66"/>
      <c r="F28" s="64"/>
      <c r="G28" s="65"/>
      <c r="H28" s="67"/>
      <c r="I28" s="67"/>
      <c r="J28" s="67"/>
      <c r="K28" s="55"/>
    </row>
    <row r="29" spans="2:11" s="38" customFormat="1" hidden="1">
      <c r="B29" s="66"/>
      <c r="C29" s="65"/>
      <c r="D29" s="66"/>
      <c r="E29" s="66"/>
      <c r="F29" s="64"/>
      <c r="G29" s="65"/>
      <c r="H29" s="67"/>
      <c r="I29" s="67"/>
      <c r="J29" s="67"/>
      <c r="K29" s="55"/>
    </row>
    <row r="30" spans="2:11" s="38" customFormat="1" hidden="1">
      <c r="B30" s="66"/>
      <c r="C30" s="65"/>
      <c r="D30" s="66"/>
      <c r="E30" s="66"/>
      <c r="F30" s="64"/>
      <c r="G30" s="65"/>
      <c r="H30" s="67"/>
      <c r="I30" s="67"/>
      <c r="J30" s="67"/>
      <c r="K30" s="55"/>
    </row>
    <row r="31" spans="2:11" s="38" customFormat="1" hidden="1">
      <c r="B31" s="66"/>
      <c r="C31" s="65"/>
      <c r="D31" s="66"/>
      <c r="E31" s="66"/>
      <c r="F31" s="64"/>
      <c r="G31" s="65"/>
      <c r="H31" s="67"/>
      <c r="I31" s="67"/>
      <c r="J31" s="67"/>
      <c r="K31" s="55"/>
    </row>
    <row r="32" spans="2:11" s="38" customFormat="1" hidden="1">
      <c r="B32" s="66"/>
      <c r="C32" s="65"/>
      <c r="D32" s="66"/>
      <c r="E32" s="66"/>
      <c r="F32" s="64"/>
      <c r="G32" s="65"/>
      <c r="H32" s="67"/>
      <c r="I32" s="67"/>
      <c r="J32" s="67"/>
      <c r="K32" s="55"/>
    </row>
    <row r="33" spans="2:11" s="38" customFormat="1" hidden="1">
      <c r="B33" s="66"/>
      <c r="C33" s="65"/>
      <c r="D33" s="66"/>
      <c r="E33" s="66"/>
      <c r="F33" s="64"/>
      <c r="G33" s="65"/>
      <c r="H33" s="67"/>
      <c r="I33" s="67"/>
      <c r="J33" s="67"/>
      <c r="K33" s="55"/>
    </row>
    <row r="34" spans="2:11" s="38" customFormat="1" hidden="1">
      <c r="B34" s="66"/>
      <c r="C34" s="65"/>
      <c r="D34" s="66"/>
      <c r="E34" s="66"/>
      <c r="F34" s="64"/>
      <c r="G34" s="65"/>
      <c r="H34" s="67"/>
      <c r="I34" s="67"/>
      <c r="J34" s="67"/>
      <c r="K34" s="55"/>
    </row>
    <row r="35" spans="2:11" s="38" customFormat="1" hidden="1">
      <c r="B35" s="66"/>
      <c r="C35" s="65"/>
      <c r="D35" s="66"/>
      <c r="E35" s="66"/>
      <c r="F35" s="64"/>
      <c r="G35" s="65"/>
      <c r="H35" s="67"/>
      <c r="I35" s="67"/>
      <c r="J35" s="67"/>
      <c r="K35" s="55"/>
    </row>
    <row r="36" spans="2:11" s="38" customFormat="1" hidden="1">
      <c r="B36" s="66"/>
      <c r="C36" s="65"/>
      <c r="D36" s="66"/>
      <c r="E36" s="66"/>
      <c r="F36" s="64"/>
      <c r="G36" s="65"/>
      <c r="H36" s="67"/>
      <c r="I36" s="67"/>
      <c r="J36" s="67"/>
      <c r="K36" s="55"/>
    </row>
    <row r="37" spans="2:11" s="38" customFormat="1" hidden="1">
      <c r="B37" s="66"/>
      <c r="C37" s="65"/>
      <c r="D37" s="66"/>
      <c r="E37" s="66"/>
      <c r="F37" s="64"/>
      <c r="G37" s="65"/>
      <c r="H37" s="67"/>
      <c r="I37" s="67"/>
      <c r="J37" s="67"/>
      <c r="K37" s="55"/>
    </row>
    <row r="38" spans="2:11" s="38" customFormat="1" hidden="1">
      <c r="B38" s="57"/>
      <c r="C38" s="54"/>
      <c r="D38" s="57"/>
      <c r="E38" s="56"/>
      <c r="F38" s="57"/>
      <c r="G38" s="61"/>
      <c r="H38" s="62"/>
      <c r="I38" s="58"/>
      <c r="J38" s="58"/>
      <c r="K38" s="55"/>
    </row>
    <row r="39" spans="2:11" s="38" customFormat="1" hidden="1">
      <c r="B39" s="57"/>
      <c r="C39" s="54"/>
      <c r="D39" s="57"/>
      <c r="E39" s="56"/>
      <c r="F39" s="57"/>
      <c r="G39" s="61"/>
      <c r="H39" s="62"/>
      <c r="I39" s="58"/>
      <c r="J39" s="58"/>
      <c r="K39" s="55"/>
    </row>
    <row r="40" spans="2:11" s="38" customFormat="1" hidden="1">
      <c r="B40" s="57"/>
      <c r="C40" s="54"/>
      <c r="D40" s="57"/>
      <c r="E40" s="56"/>
      <c r="F40" s="57"/>
      <c r="G40" s="61"/>
      <c r="H40" s="62"/>
      <c r="I40" s="58"/>
      <c r="J40" s="58"/>
      <c r="K40" s="55"/>
    </row>
    <row r="41" spans="2:11" s="38" customFormat="1" hidden="1">
      <c r="B41" s="57"/>
      <c r="C41" s="54"/>
      <c r="D41" s="57"/>
      <c r="E41" s="56"/>
      <c r="F41" s="57"/>
      <c r="G41" s="61"/>
      <c r="H41" s="62"/>
      <c r="I41" s="58"/>
      <c r="J41" s="58"/>
      <c r="K41" s="35"/>
    </row>
    <row r="42" spans="2:11" ht="12" customHeight="1">
      <c r="B42" s="13"/>
      <c r="C42" s="14"/>
      <c r="D42" s="15"/>
      <c r="E42" s="15"/>
      <c r="F42" s="15"/>
      <c r="G42" s="63"/>
      <c r="H42" s="63"/>
      <c r="I42" s="15">
        <f>SUM(I5:I41)</f>
        <v>-843</v>
      </c>
      <c r="J42" s="15">
        <f>SUM(J5:J41)</f>
        <v>-3830.0500000000006</v>
      </c>
      <c r="K42" s="16"/>
    </row>
    <row r="43" spans="2:11" ht="19.5" hidden="1" customHeight="1">
      <c r="K43" s="18"/>
    </row>
    <row r="44" spans="2:11" ht="20.100000000000001" hidden="1" customHeight="1">
      <c r="B44" s="30" t="s">
        <v>29</v>
      </c>
      <c r="G44"/>
      <c r="K44" s="18"/>
    </row>
    <row r="45" spans="2:11" ht="20.100000000000001" hidden="1" customHeight="1">
      <c r="B45" s="39" t="s">
        <v>3</v>
      </c>
      <c r="C45" s="31" t="s">
        <v>4</v>
      </c>
      <c r="D45" s="40" t="s">
        <v>5</v>
      </c>
      <c r="E45" s="40"/>
      <c r="F45" s="40"/>
      <c r="G45" s="31" t="s">
        <v>9</v>
      </c>
      <c r="H45" s="40" t="s">
        <v>10</v>
      </c>
      <c r="I45" s="31" t="s">
        <v>11</v>
      </c>
      <c r="K45" s="18"/>
    </row>
    <row r="46" spans="2:11" ht="20.100000000000001" hidden="1" customHeight="1">
      <c r="B46" s="34"/>
      <c r="C46" s="34"/>
      <c r="D46" s="41"/>
      <c r="E46" s="41"/>
      <c r="F46" s="41"/>
      <c r="G46" s="37"/>
      <c r="H46" s="36">
        <f t="shared" ref="H46" si="0">D46*G46</f>
        <v>0</v>
      </c>
      <c r="I46" s="35"/>
      <c r="K46" s="18"/>
    </row>
    <row r="47" spans="2:11" ht="20.100000000000001" hidden="1" customHeight="1">
      <c r="B47" s="13"/>
      <c r="C47" s="14"/>
      <c r="D47" s="15"/>
      <c r="E47" s="15"/>
      <c r="F47" s="15"/>
      <c r="G47" s="16">
        <f>SUM(G46:G46)</f>
        <v>0</v>
      </c>
      <c r="H47" s="17">
        <f>SUM(H46:H46)</f>
        <v>0</v>
      </c>
      <c r="I47" s="16">
        <f>SUM(I46:I46)</f>
        <v>0</v>
      </c>
      <c r="K47" s="18"/>
    </row>
    <row r="48" spans="2:11" s="11" customFormat="1" ht="12.75" customHeight="1">
      <c r="B48" s="30" t="s">
        <v>30</v>
      </c>
      <c r="C48"/>
      <c r="D48" s="6"/>
      <c r="E48" s="6"/>
      <c r="F48" s="6"/>
      <c r="G48"/>
      <c r="H48" s="6"/>
      <c r="I48"/>
    </row>
    <row r="49" spans="2:11" s="48" customFormat="1" ht="13.5" customHeight="1">
      <c r="B49" s="49" t="s">
        <v>3</v>
      </c>
      <c r="C49" s="42" t="s">
        <v>4</v>
      </c>
      <c r="D49" s="50" t="s">
        <v>5</v>
      </c>
      <c r="E49" s="51" t="s">
        <v>34</v>
      </c>
      <c r="F49" s="51" t="s">
        <v>6</v>
      </c>
      <c r="G49" s="59" t="s">
        <v>43</v>
      </c>
      <c r="H49" s="60" t="s">
        <v>44</v>
      </c>
      <c r="I49" s="51" t="s">
        <v>9</v>
      </c>
      <c r="J49" s="50" t="s">
        <v>10</v>
      </c>
      <c r="K49" s="42" t="s">
        <v>11</v>
      </c>
    </row>
    <row r="50" spans="2:11" s="38" customFormat="1">
      <c r="B50" s="66"/>
      <c r="C50" s="65"/>
      <c r="D50" s="66"/>
      <c r="E50" s="66"/>
      <c r="F50" s="64"/>
      <c r="G50" s="65"/>
      <c r="H50" s="67"/>
      <c r="I50" s="67"/>
      <c r="J50" s="67"/>
      <c r="K50" s="52"/>
    </row>
    <row r="51" spans="2:11">
      <c r="B51" s="66"/>
      <c r="C51" s="65"/>
      <c r="D51" s="66"/>
      <c r="E51" s="66"/>
      <c r="F51" s="64"/>
      <c r="G51" s="65"/>
      <c r="H51" s="67"/>
      <c r="I51" s="67"/>
      <c r="J51" s="67"/>
      <c r="K51" s="52"/>
    </row>
    <row r="52" spans="2:11">
      <c r="B52" s="66"/>
      <c r="C52" s="65"/>
      <c r="D52" s="66"/>
      <c r="E52" s="66"/>
      <c r="F52" s="64"/>
      <c r="G52" s="65"/>
      <c r="H52" s="67"/>
      <c r="I52" s="67"/>
      <c r="J52" s="67"/>
      <c r="K52" s="52"/>
    </row>
    <row r="53" spans="2:11">
      <c r="B53" s="66"/>
      <c r="C53" s="65"/>
      <c r="D53" s="66"/>
      <c r="E53" s="66"/>
      <c r="F53" s="64"/>
      <c r="G53" s="65"/>
      <c r="H53" s="67"/>
      <c r="I53" s="67"/>
      <c r="J53" s="67"/>
      <c r="K53" s="52"/>
    </row>
    <row r="54" spans="2:11">
      <c r="B54" s="66"/>
      <c r="C54" s="65"/>
      <c r="D54" s="66"/>
      <c r="E54" s="66"/>
      <c r="F54" s="64"/>
      <c r="G54" s="65"/>
      <c r="H54" s="67"/>
      <c r="I54" s="67"/>
      <c r="J54" s="67"/>
      <c r="K54" s="52"/>
    </row>
    <row r="55" spans="2:11">
      <c r="B55" s="66"/>
      <c r="C55" s="65"/>
      <c r="D55" s="66"/>
      <c r="E55" s="66"/>
      <c r="F55" s="64"/>
      <c r="G55" s="65"/>
      <c r="H55" s="67"/>
      <c r="I55" s="67"/>
      <c r="J55" s="67"/>
      <c r="K55" s="52"/>
    </row>
    <row r="56" spans="2:11">
      <c r="B56" s="66"/>
      <c r="C56" s="65"/>
      <c r="D56" s="66"/>
      <c r="E56" s="66"/>
      <c r="F56" s="64"/>
      <c r="G56" s="65"/>
      <c r="H56" s="67"/>
      <c r="I56" s="67"/>
      <c r="J56" s="67"/>
      <c r="K56" s="52"/>
    </row>
    <row r="57" spans="2:11">
      <c r="B57" s="66"/>
      <c r="C57" s="65"/>
      <c r="D57" s="66"/>
      <c r="E57" s="66"/>
      <c r="F57" s="64"/>
      <c r="G57" s="65"/>
      <c r="H57" s="67"/>
      <c r="I57" s="67"/>
      <c r="J57" s="67"/>
      <c r="K57" s="52"/>
    </row>
    <row r="58" spans="2:11">
      <c r="B58" s="66"/>
      <c r="C58" s="65"/>
      <c r="D58" s="66"/>
      <c r="E58" s="66"/>
      <c r="F58" s="64"/>
      <c r="G58" s="65"/>
      <c r="H58" s="67"/>
      <c r="I58" s="67"/>
      <c r="J58" s="67"/>
      <c r="K58" s="52"/>
    </row>
    <row r="59" spans="2:11">
      <c r="B59" s="66"/>
      <c r="C59" s="65"/>
      <c r="D59" s="66"/>
      <c r="E59" s="66"/>
      <c r="F59" s="64"/>
      <c r="G59" s="65"/>
      <c r="H59" s="67"/>
      <c r="I59" s="67"/>
      <c r="J59" s="67"/>
      <c r="K59" s="52"/>
    </row>
    <row r="60" spans="2:11">
      <c r="B60" s="66"/>
      <c r="C60" s="65"/>
      <c r="D60" s="66"/>
      <c r="E60" s="66"/>
      <c r="F60" s="64"/>
      <c r="G60" s="65"/>
      <c r="H60" s="67"/>
      <c r="I60" s="67"/>
      <c r="J60" s="67"/>
      <c r="K60" s="52"/>
    </row>
    <row r="61" spans="2:11">
      <c r="B61" s="66"/>
      <c r="C61" s="65"/>
      <c r="D61" s="66"/>
      <c r="E61" s="66"/>
      <c r="F61" s="64"/>
      <c r="G61" s="65"/>
      <c r="H61" s="67"/>
      <c r="I61" s="67"/>
      <c r="J61" s="67"/>
      <c r="K61" s="52"/>
    </row>
    <row r="62" spans="2:11">
      <c r="B62" s="66"/>
      <c r="C62" s="65"/>
      <c r="D62" s="66"/>
      <c r="E62" s="66"/>
      <c r="F62" s="64"/>
      <c r="G62" s="65"/>
      <c r="H62" s="67"/>
      <c r="I62" s="67"/>
      <c r="J62" s="67"/>
      <c r="K62" s="52"/>
    </row>
    <row r="63" spans="2:11">
      <c r="B63" s="66"/>
      <c r="C63" s="65"/>
      <c r="D63" s="66"/>
      <c r="E63" s="66"/>
      <c r="F63" s="64"/>
      <c r="G63" s="65"/>
      <c r="H63" s="67"/>
      <c r="I63" s="67"/>
      <c r="J63" s="67"/>
      <c r="K63" s="52"/>
    </row>
    <row r="64" spans="2:11">
      <c r="B64" s="66"/>
      <c r="C64" s="65"/>
      <c r="D64" s="66"/>
      <c r="E64" s="66"/>
      <c r="F64" s="64"/>
      <c r="G64" s="65"/>
      <c r="H64" s="67"/>
      <c r="I64" s="67"/>
      <c r="J64" s="67"/>
      <c r="K64" s="52"/>
    </row>
    <row r="65" spans="2:12">
      <c r="B65" s="66"/>
      <c r="C65" s="65"/>
      <c r="D65" s="66"/>
      <c r="E65" s="66"/>
      <c r="F65" s="64"/>
      <c r="G65" s="65"/>
      <c r="H65" s="67"/>
      <c r="I65" s="67"/>
      <c r="J65" s="67"/>
      <c r="K65" s="52"/>
    </row>
    <row r="66" spans="2:12">
      <c r="B66" s="66"/>
      <c r="C66" s="65"/>
      <c r="D66" s="66"/>
      <c r="E66" s="66"/>
      <c r="F66" s="64"/>
      <c r="G66" s="65"/>
      <c r="H66" s="67"/>
      <c r="I66" s="67"/>
      <c r="J66" s="67"/>
      <c r="K66" s="52"/>
    </row>
    <row r="67" spans="2:12">
      <c r="B67" s="66"/>
      <c r="C67" s="65"/>
      <c r="D67" s="66"/>
      <c r="E67" s="66"/>
      <c r="F67" s="64"/>
      <c r="G67" s="65"/>
      <c r="H67" s="67"/>
      <c r="I67" s="67"/>
      <c r="J67" s="67"/>
      <c r="K67" s="52"/>
    </row>
    <row r="68" spans="2:12">
      <c r="B68" s="66"/>
      <c r="C68" s="65"/>
      <c r="D68" s="66"/>
      <c r="E68" s="66"/>
      <c r="F68" s="64"/>
      <c r="G68" s="65"/>
      <c r="H68" s="67"/>
      <c r="I68" s="67"/>
      <c r="J68" s="67"/>
      <c r="K68" s="52"/>
    </row>
    <row r="69" spans="2:12">
      <c r="B69" s="66"/>
      <c r="C69" s="65"/>
      <c r="D69" s="66"/>
      <c r="E69" s="66"/>
      <c r="F69" s="64"/>
      <c r="G69" s="65"/>
      <c r="H69" s="67"/>
      <c r="I69" s="67"/>
      <c r="J69" s="67"/>
      <c r="K69" s="52"/>
    </row>
    <row r="70" spans="2:12">
      <c r="B70" s="66"/>
      <c r="C70" s="65"/>
      <c r="D70" s="66"/>
      <c r="E70" s="66"/>
      <c r="F70" s="64"/>
      <c r="G70" s="65"/>
      <c r="H70" s="67"/>
      <c r="I70" s="67"/>
      <c r="J70" s="67"/>
      <c r="K70" s="52"/>
    </row>
    <row r="71" spans="2:12" hidden="1">
      <c r="B71" s="56"/>
      <c r="C71" s="54"/>
      <c r="D71" s="56"/>
      <c r="E71" s="56"/>
      <c r="F71" s="57"/>
      <c r="G71" s="54"/>
      <c r="H71" s="58"/>
      <c r="I71" s="58"/>
      <c r="J71" s="58"/>
      <c r="K71" s="52"/>
    </row>
    <row r="72" spans="2:12" hidden="1">
      <c r="B72" s="56"/>
      <c r="C72" s="54"/>
      <c r="D72" s="56"/>
      <c r="E72" s="56"/>
      <c r="F72" s="57"/>
      <c r="G72" s="54"/>
      <c r="H72" s="58"/>
      <c r="I72" s="58"/>
      <c r="J72" s="58"/>
      <c r="K72" s="52"/>
    </row>
    <row r="73" spans="2:12" hidden="1">
      <c r="B73" s="56"/>
      <c r="C73" s="54"/>
      <c r="D73" s="56"/>
      <c r="E73" s="56"/>
      <c r="F73" s="57"/>
      <c r="G73" s="54"/>
      <c r="H73" s="58"/>
      <c r="I73" s="58"/>
      <c r="J73" s="58"/>
      <c r="K73" s="52"/>
    </row>
    <row r="74" spans="2:12" hidden="1">
      <c r="B74" s="56"/>
      <c r="C74" s="54"/>
      <c r="D74" s="56"/>
      <c r="E74" s="56"/>
      <c r="F74" s="57"/>
      <c r="G74" s="54"/>
      <c r="H74" s="58"/>
      <c r="I74" s="58"/>
      <c r="J74" s="58"/>
      <c r="K74" s="52"/>
    </row>
    <row r="75" spans="2:12">
      <c r="B75" s="13"/>
      <c r="C75" s="14"/>
      <c r="D75" s="15"/>
      <c r="E75" s="15"/>
      <c r="F75" s="15"/>
      <c r="G75" s="63"/>
      <c r="H75" s="63"/>
      <c r="I75" s="15">
        <f>SUM(I50:I74)</f>
        <v>0</v>
      </c>
      <c r="J75" s="15">
        <f>SUM(J50:J74)</f>
        <v>0</v>
      </c>
      <c r="K75" s="16"/>
      <c r="L75" t="s">
        <v>471</v>
      </c>
    </row>
    <row r="79" spans="2:12">
      <c r="B79" s="30" t="s">
        <v>30</v>
      </c>
      <c r="G79"/>
      <c r="J79" s="11"/>
      <c r="K79" s="11"/>
    </row>
    <row r="80" spans="2:12" ht="24.75">
      <c r="B80" s="49" t="s">
        <v>3</v>
      </c>
      <c r="C80" s="42" t="s">
        <v>4</v>
      </c>
      <c r="D80" s="9" t="s">
        <v>40</v>
      </c>
      <c r="E80" s="51" t="s">
        <v>34</v>
      </c>
      <c r="F80" s="51" t="s">
        <v>6</v>
      </c>
      <c r="G80" s="50" t="s">
        <v>7</v>
      </c>
      <c r="H80" s="50" t="s">
        <v>8</v>
      </c>
      <c r="I80" s="51" t="s">
        <v>9</v>
      </c>
      <c r="J80" s="50" t="s">
        <v>10</v>
      </c>
      <c r="K80" s="42" t="s">
        <v>11</v>
      </c>
    </row>
    <row r="81" spans="2:11">
      <c r="B81" s="54"/>
      <c r="C81" s="54"/>
      <c r="D81" s="56"/>
      <c r="E81" s="56"/>
      <c r="F81" s="57"/>
      <c r="G81" s="54"/>
      <c r="H81" s="58"/>
      <c r="I81" s="58"/>
      <c r="J81" s="58"/>
      <c r="K81" s="52"/>
    </row>
    <row r="82" spans="2:11">
      <c r="B82" s="54"/>
      <c r="C82" s="54"/>
      <c r="D82" s="56"/>
      <c r="E82" s="56"/>
      <c r="F82" s="57"/>
      <c r="G82" s="54"/>
      <c r="H82" s="58"/>
      <c r="I82" s="58"/>
      <c r="J82" s="58"/>
      <c r="K82" s="52"/>
    </row>
    <row r="83" spans="2:11">
      <c r="B83" s="54"/>
      <c r="C83" s="54"/>
      <c r="D83" s="56"/>
      <c r="E83" s="56"/>
      <c r="F83" s="57"/>
      <c r="G83" s="54"/>
      <c r="H83" s="58"/>
      <c r="I83" s="58"/>
      <c r="J83" s="58"/>
      <c r="K83" s="52"/>
    </row>
    <row r="84" spans="2:11">
      <c r="B84" s="13"/>
      <c r="C84" s="14"/>
      <c r="D84" s="15"/>
      <c r="E84" s="15"/>
      <c r="F84" s="15"/>
      <c r="G84" s="15"/>
      <c r="H84" s="15"/>
      <c r="I84" s="15">
        <f>SUM(I81:I83)</f>
        <v>0</v>
      </c>
      <c r="J84" s="15">
        <f>SUM(J81:J83)</f>
        <v>0</v>
      </c>
      <c r="K84" s="16"/>
    </row>
  </sheetData>
  <mergeCells count="1">
    <mergeCell ref="G1:H1"/>
  </mergeCells>
  <pageMargins left="0.7" right="0.7" top="0.25" bottom="0.25" header="0.3" footer="0.3"/>
  <pageSetup paperSize="14" fitToHeight="0" orientation="landscape" r:id="rId1"/>
  <rowBreaks count="1" manualBreakCount="1">
    <brk id="47" max="1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589D-7AB8-46BD-8DD3-0091F11C2218}">
  <sheetPr>
    <tabColor rgb="FFFFFF00"/>
    <pageSetUpPr fitToPage="1"/>
  </sheetPr>
  <dimension ref="A1:AE1955"/>
  <sheetViews>
    <sheetView tabSelected="1" view="pageBreakPreview" topLeftCell="A1923" zoomScale="85" zoomScaleNormal="70" zoomScaleSheetLayoutView="85" workbookViewId="0">
      <selection activeCell="D1944" sqref="D1944"/>
    </sheetView>
  </sheetViews>
  <sheetFormatPr defaultColWidth="9" defaultRowHeight="15"/>
  <cols>
    <col min="2" max="2" width="8.140625" customWidth="1"/>
    <col min="3" max="3" width="20.140625" customWidth="1"/>
    <col min="4" max="4" width="29" style="76" customWidth="1"/>
    <col min="5" max="5" width="47.5703125" style="11" customWidth="1"/>
    <col min="6" max="6" width="9.28515625" style="312" customWidth="1"/>
    <col min="7" max="13" width="10.7109375" style="77" customWidth="1"/>
    <col min="14" max="14" width="15" style="78" customWidth="1"/>
    <col min="15" max="15" width="18.7109375" style="78" customWidth="1"/>
    <col min="16" max="16" width="12.28515625" style="77" customWidth="1"/>
    <col min="17" max="17" width="15" style="78" customWidth="1"/>
    <col min="18" max="18" width="29.7109375" customWidth="1"/>
    <col min="19" max="20" width="6.7109375" style="79" customWidth="1"/>
    <col min="22" max="22" width="17.28515625" customWidth="1"/>
    <col min="24" max="24" width="16.7109375" customWidth="1"/>
    <col min="26" max="26" width="15.140625" customWidth="1"/>
    <col min="28" max="28" width="17.85546875" customWidth="1"/>
    <col min="30" max="30" width="9.5703125" bestFit="1" customWidth="1"/>
    <col min="31" max="31" width="11.7109375" bestFit="1" customWidth="1"/>
  </cols>
  <sheetData>
    <row r="1" spans="2:31">
      <c r="B1" s="7" t="s">
        <v>0</v>
      </c>
    </row>
    <row r="2" spans="2:31">
      <c r="B2" s="7" t="str">
        <f>PRINTING!B2</f>
        <v>AS OF JUNE 2026</v>
      </c>
      <c r="D2" s="210"/>
    </row>
    <row r="3" spans="2:31">
      <c r="B3" s="8" t="s">
        <v>474</v>
      </c>
    </row>
    <row r="4" spans="2:31">
      <c r="U4" s="347" t="s">
        <v>475</v>
      </c>
      <c r="V4" s="347"/>
      <c r="W4" s="346" t="s">
        <v>476</v>
      </c>
      <c r="X4" s="346"/>
      <c r="Y4" s="347" t="s">
        <v>477</v>
      </c>
      <c r="Z4" s="347"/>
      <c r="AA4" s="346" t="s">
        <v>478</v>
      </c>
      <c r="AB4" s="346"/>
      <c r="AD4" s="83" t="s">
        <v>479</v>
      </c>
    </row>
    <row r="5" spans="2:31" s="79" customFormat="1" ht="28.5" customHeight="1">
      <c r="B5" s="84" t="s">
        <v>1</v>
      </c>
      <c r="C5" s="84" t="s">
        <v>2</v>
      </c>
      <c r="D5" s="85" t="s">
        <v>3</v>
      </c>
      <c r="E5" s="84" t="s">
        <v>4</v>
      </c>
      <c r="F5" s="313" t="s">
        <v>5</v>
      </c>
      <c r="G5" s="86" t="s">
        <v>4997</v>
      </c>
      <c r="H5" s="51" t="s">
        <v>5264</v>
      </c>
      <c r="I5" s="308" t="s">
        <v>5174</v>
      </c>
      <c r="J5" s="267" t="s">
        <v>4167</v>
      </c>
      <c r="K5" s="267" t="s">
        <v>480</v>
      </c>
      <c r="L5" s="86" t="s">
        <v>12</v>
      </c>
      <c r="M5" s="262" t="s">
        <v>6</v>
      </c>
      <c r="N5" s="9" t="s">
        <v>7</v>
      </c>
      <c r="O5" s="9" t="s">
        <v>8</v>
      </c>
      <c r="P5" s="86" t="s">
        <v>9</v>
      </c>
      <c r="Q5" s="9" t="s">
        <v>10</v>
      </c>
      <c r="R5" s="84" t="s">
        <v>11</v>
      </c>
      <c r="U5" s="81" t="s">
        <v>481</v>
      </c>
      <c r="V5" s="81" t="s">
        <v>44</v>
      </c>
      <c r="W5" s="82" t="s">
        <v>481</v>
      </c>
      <c r="X5" s="82" t="s">
        <v>44</v>
      </c>
      <c r="Y5" s="81" t="s">
        <v>481</v>
      </c>
      <c r="Z5" s="81" t="s">
        <v>44</v>
      </c>
      <c r="AA5" s="82" t="s">
        <v>481</v>
      </c>
      <c r="AB5" s="82" t="s">
        <v>44</v>
      </c>
      <c r="AD5" s="87" t="s">
        <v>481</v>
      </c>
      <c r="AE5" s="87" t="s">
        <v>482</v>
      </c>
    </row>
    <row r="6" spans="2:31" ht="20.100000000000001" customHeight="1">
      <c r="B6" s="88">
        <v>1</v>
      </c>
      <c r="C6" s="89" t="s">
        <v>483</v>
      </c>
      <c r="D6" s="90" t="s">
        <v>484</v>
      </c>
      <c r="E6" s="91" t="s">
        <v>485</v>
      </c>
      <c r="F6" s="314">
        <v>18.53</v>
      </c>
      <c r="G6" s="260">
        <v>11</v>
      </c>
      <c r="H6" s="260">
        <v>20</v>
      </c>
      <c r="I6" s="309"/>
      <c r="J6" s="199"/>
      <c r="K6" s="269">
        <v>30</v>
      </c>
      <c r="L6" s="93">
        <f>G6+I6-J6-K6+H6</f>
        <v>1</v>
      </c>
      <c r="M6" s="183">
        <v>1</v>
      </c>
      <c r="N6" s="95">
        <f>F6*L6</f>
        <v>18.53</v>
      </c>
      <c r="O6" s="95">
        <f>M6*F6</f>
        <v>18.53</v>
      </c>
      <c r="P6" s="94">
        <f>L6-M6</f>
        <v>0</v>
      </c>
      <c r="Q6" s="95">
        <f>N6-O6</f>
        <v>0</v>
      </c>
      <c r="R6" s="278"/>
      <c r="S6" s="97">
        <f>U6+Y6+W6+AA6</f>
        <v>5</v>
      </c>
      <c r="T6" s="98">
        <f t="shared" ref="T6:T63" si="0">M6-S6</f>
        <v>-4</v>
      </c>
      <c r="U6">
        <v>5</v>
      </c>
      <c r="Y6" s="99"/>
    </row>
    <row r="7" spans="2:31" ht="20.100000000000001" customHeight="1">
      <c r="B7" s="88">
        <v>1</v>
      </c>
      <c r="C7" s="89" t="s">
        <v>483</v>
      </c>
      <c r="D7" s="90" t="s">
        <v>5175</v>
      </c>
      <c r="E7" s="91" t="s">
        <v>486</v>
      </c>
      <c r="F7" s="315">
        <v>16.03</v>
      </c>
      <c r="G7" s="260">
        <v>23</v>
      </c>
      <c r="H7" s="260"/>
      <c r="I7" s="309"/>
      <c r="J7" s="199"/>
      <c r="K7" s="269">
        <v>8</v>
      </c>
      <c r="L7" s="93">
        <f t="shared" ref="L7:L72" si="1">G7+I7-J7-K7+H7</f>
        <v>15</v>
      </c>
      <c r="M7" s="183">
        <v>15</v>
      </c>
      <c r="N7" s="95">
        <f t="shared" ref="N7:N64" si="2">F7*L7</f>
        <v>240.45000000000002</v>
      </c>
      <c r="O7" s="95">
        <f t="shared" ref="O7:O64" si="3">M7*F7</f>
        <v>240.45000000000002</v>
      </c>
      <c r="P7" s="94">
        <f t="shared" ref="P7:P64" si="4">L7-M7</f>
        <v>0</v>
      </c>
      <c r="Q7" s="95">
        <f t="shared" ref="Q7:Q64" si="5">N7-O7</f>
        <v>0</v>
      </c>
      <c r="R7" s="96"/>
      <c r="S7" s="97">
        <f t="shared" ref="S7:S64" si="6">U7+Y7+W7+AA7</f>
        <v>26</v>
      </c>
      <c r="T7" s="98">
        <f t="shared" si="0"/>
        <v>-11</v>
      </c>
      <c r="U7">
        <v>26</v>
      </c>
    </row>
    <row r="8" spans="2:31" ht="20.100000000000001" customHeight="1">
      <c r="B8" s="88">
        <v>1</v>
      </c>
      <c r="C8" s="89" t="s">
        <v>483</v>
      </c>
      <c r="D8" s="90" t="s">
        <v>487</v>
      </c>
      <c r="E8" s="91" t="s">
        <v>488</v>
      </c>
      <c r="F8" s="315">
        <v>16.03</v>
      </c>
      <c r="G8" s="260">
        <v>17</v>
      </c>
      <c r="H8" s="260"/>
      <c r="I8" s="309"/>
      <c r="J8" s="199"/>
      <c r="K8" s="269">
        <v>4</v>
      </c>
      <c r="L8" s="93">
        <f t="shared" si="1"/>
        <v>13</v>
      </c>
      <c r="M8" s="183">
        <f>10+2</f>
        <v>12</v>
      </c>
      <c r="N8" s="95">
        <f t="shared" si="2"/>
        <v>208.39000000000001</v>
      </c>
      <c r="O8" s="95">
        <f t="shared" si="3"/>
        <v>192.36</v>
      </c>
      <c r="P8" s="94">
        <f t="shared" si="4"/>
        <v>1</v>
      </c>
      <c r="Q8" s="95">
        <f t="shared" si="5"/>
        <v>16.03</v>
      </c>
      <c r="R8" s="96"/>
      <c r="S8" s="97">
        <f t="shared" si="6"/>
        <v>23</v>
      </c>
      <c r="T8" s="98">
        <f t="shared" si="0"/>
        <v>-11</v>
      </c>
      <c r="U8">
        <v>23</v>
      </c>
    </row>
    <row r="9" spans="2:31" ht="20.100000000000001" customHeight="1">
      <c r="B9" s="88">
        <v>1</v>
      </c>
      <c r="C9" s="89" t="s">
        <v>483</v>
      </c>
      <c r="D9" s="90" t="s">
        <v>489</v>
      </c>
      <c r="E9" s="91" t="s">
        <v>490</v>
      </c>
      <c r="F9" s="315">
        <v>16.03</v>
      </c>
      <c r="G9" s="260">
        <v>70</v>
      </c>
      <c r="H9" s="260"/>
      <c r="I9" s="309"/>
      <c r="J9" s="199"/>
      <c r="K9" s="269">
        <v>4</v>
      </c>
      <c r="L9" s="93">
        <f t="shared" si="1"/>
        <v>66</v>
      </c>
      <c r="M9" s="183">
        <f>28+37</f>
        <v>65</v>
      </c>
      <c r="N9" s="95">
        <f t="shared" si="2"/>
        <v>1057.98</v>
      </c>
      <c r="O9" s="95">
        <f t="shared" si="3"/>
        <v>1041.95</v>
      </c>
      <c r="P9" s="94">
        <f t="shared" si="4"/>
        <v>1</v>
      </c>
      <c r="Q9" s="95">
        <f t="shared" si="5"/>
        <v>16.029999999999973</v>
      </c>
      <c r="R9" s="96"/>
      <c r="S9" s="97">
        <f t="shared" si="6"/>
        <v>33</v>
      </c>
      <c r="T9" s="98">
        <f t="shared" si="0"/>
        <v>32</v>
      </c>
      <c r="U9">
        <v>33</v>
      </c>
    </row>
    <row r="10" spans="2:31" ht="20.100000000000001" customHeight="1">
      <c r="B10" s="88">
        <v>1</v>
      </c>
      <c r="C10" s="89" t="s">
        <v>483</v>
      </c>
      <c r="D10" s="90" t="s">
        <v>491</v>
      </c>
      <c r="E10" s="91" t="s">
        <v>492</v>
      </c>
      <c r="F10" s="315">
        <v>16.03</v>
      </c>
      <c r="G10" s="260">
        <v>25</v>
      </c>
      <c r="H10" s="260"/>
      <c r="I10" s="309"/>
      <c r="J10" s="199"/>
      <c r="K10" s="269">
        <v>1</v>
      </c>
      <c r="L10" s="93">
        <f t="shared" si="1"/>
        <v>24</v>
      </c>
      <c r="M10" s="183">
        <f>23+1</f>
        <v>24</v>
      </c>
      <c r="N10" s="95">
        <f t="shared" si="2"/>
        <v>384.72</v>
      </c>
      <c r="O10" s="95">
        <f t="shared" si="3"/>
        <v>384.72</v>
      </c>
      <c r="P10" s="94">
        <f t="shared" si="4"/>
        <v>0</v>
      </c>
      <c r="Q10" s="95">
        <f t="shared" si="5"/>
        <v>0</v>
      </c>
      <c r="R10" s="96"/>
      <c r="S10" s="97">
        <f t="shared" si="6"/>
        <v>27</v>
      </c>
      <c r="T10" s="98">
        <f t="shared" si="0"/>
        <v>-3</v>
      </c>
      <c r="U10">
        <v>27</v>
      </c>
    </row>
    <row r="11" spans="2:31" ht="20.100000000000001" customHeight="1">
      <c r="B11" s="88">
        <v>1</v>
      </c>
      <c r="C11" s="89" t="s">
        <v>483</v>
      </c>
      <c r="D11" s="90" t="s">
        <v>493</v>
      </c>
      <c r="E11" s="91" t="s">
        <v>494</v>
      </c>
      <c r="F11" s="315">
        <v>17.95</v>
      </c>
      <c r="G11" s="260">
        <v>3</v>
      </c>
      <c r="H11" s="260"/>
      <c r="I11" s="309"/>
      <c r="J11" s="199"/>
      <c r="K11" s="269">
        <v>3</v>
      </c>
      <c r="L11" s="93">
        <f t="shared" si="1"/>
        <v>0</v>
      </c>
      <c r="M11" s="183"/>
      <c r="N11" s="95">
        <f t="shared" si="2"/>
        <v>0</v>
      </c>
      <c r="O11" s="95">
        <f t="shared" si="3"/>
        <v>0</v>
      </c>
      <c r="P11" s="94">
        <f t="shared" si="4"/>
        <v>0</v>
      </c>
      <c r="Q11" s="95">
        <f t="shared" si="5"/>
        <v>0</v>
      </c>
      <c r="R11" s="278" t="s">
        <v>5217</v>
      </c>
      <c r="S11" s="97">
        <f t="shared" si="6"/>
        <v>5</v>
      </c>
      <c r="T11" s="98">
        <f t="shared" si="0"/>
        <v>-5</v>
      </c>
      <c r="U11">
        <v>5</v>
      </c>
    </row>
    <row r="12" spans="2:31" ht="20.100000000000001" customHeight="1">
      <c r="B12" s="88">
        <v>1</v>
      </c>
      <c r="C12" s="89" t="s">
        <v>483</v>
      </c>
      <c r="D12" s="90" t="s">
        <v>495</v>
      </c>
      <c r="E12" s="91" t="s">
        <v>496</v>
      </c>
      <c r="F12" s="315">
        <v>16.03</v>
      </c>
      <c r="G12" s="260">
        <v>58</v>
      </c>
      <c r="H12" s="260"/>
      <c r="I12" s="309"/>
      <c r="J12" s="199"/>
      <c r="K12" s="269">
        <v>2</v>
      </c>
      <c r="L12" s="93">
        <f t="shared" si="1"/>
        <v>56</v>
      </c>
      <c r="M12" s="183">
        <v>56</v>
      </c>
      <c r="N12" s="95">
        <f t="shared" si="2"/>
        <v>897.68000000000006</v>
      </c>
      <c r="O12" s="95">
        <f t="shared" si="3"/>
        <v>897.68000000000006</v>
      </c>
      <c r="P12" s="94">
        <f t="shared" si="4"/>
        <v>0</v>
      </c>
      <c r="Q12" s="95">
        <f t="shared" si="5"/>
        <v>0</v>
      </c>
      <c r="R12" s="96"/>
      <c r="S12" s="97">
        <f t="shared" si="6"/>
        <v>19</v>
      </c>
      <c r="T12" s="98">
        <f t="shared" si="0"/>
        <v>37</v>
      </c>
      <c r="U12">
        <v>19</v>
      </c>
    </row>
    <row r="13" spans="2:31" ht="20.100000000000001" customHeight="1">
      <c r="B13" s="88">
        <v>1</v>
      </c>
      <c r="C13" s="89" t="s">
        <v>483</v>
      </c>
      <c r="D13" s="90" t="s">
        <v>497</v>
      </c>
      <c r="E13" s="91" t="s">
        <v>498</v>
      </c>
      <c r="F13" s="315">
        <v>16.03</v>
      </c>
      <c r="G13" s="260">
        <v>0</v>
      </c>
      <c r="H13" s="260"/>
      <c r="I13" s="309"/>
      <c r="J13" s="199"/>
      <c r="K13" s="269"/>
      <c r="L13" s="93">
        <f t="shared" si="1"/>
        <v>0</v>
      </c>
      <c r="M13" s="183"/>
      <c r="N13" s="95">
        <f t="shared" si="2"/>
        <v>0</v>
      </c>
      <c r="O13" s="95">
        <f t="shared" si="3"/>
        <v>0</v>
      </c>
      <c r="P13" s="94">
        <f t="shared" si="4"/>
        <v>0</v>
      </c>
      <c r="Q13" s="95">
        <f t="shared" si="5"/>
        <v>0</v>
      </c>
      <c r="R13" s="96"/>
      <c r="S13" s="97">
        <f t="shared" si="6"/>
        <v>0</v>
      </c>
      <c r="T13" s="98">
        <f t="shared" si="0"/>
        <v>0</v>
      </c>
    </row>
    <row r="14" spans="2:31" ht="20.100000000000001" customHeight="1">
      <c r="B14" s="88">
        <v>1</v>
      </c>
      <c r="C14" s="89" t="s">
        <v>483</v>
      </c>
      <c r="D14" s="90" t="s">
        <v>499</v>
      </c>
      <c r="E14" s="91" t="s">
        <v>500</v>
      </c>
      <c r="F14" s="315">
        <v>32.130000000000003</v>
      </c>
      <c r="G14" s="260">
        <v>36</v>
      </c>
      <c r="H14" s="260"/>
      <c r="I14" s="309"/>
      <c r="J14" s="199"/>
      <c r="K14" s="269">
        <v>6</v>
      </c>
      <c r="L14" s="93">
        <f t="shared" si="1"/>
        <v>30</v>
      </c>
      <c r="M14" s="183">
        <v>30</v>
      </c>
      <c r="N14" s="95">
        <f t="shared" si="2"/>
        <v>963.90000000000009</v>
      </c>
      <c r="O14" s="95">
        <f t="shared" si="3"/>
        <v>963.90000000000009</v>
      </c>
      <c r="P14" s="94">
        <f t="shared" si="4"/>
        <v>0</v>
      </c>
      <c r="Q14" s="95">
        <f t="shared" si="5"/>
        <v>0</v>
      </c>
      <c r="R14" s="96" t="s">
        <v>501</v>
      </c>
      <c r="S14" s="97">
        <f t="shared" si="6"/>
        <v>4</v>
      </c>
      <c r="T14" s="98">
        <f t="shared" si="0"/>
        <v>26</v>
      </c>
      <c r="U14">
        <v>4</v>
      </c>
    </row>
    <row r="15" spans="2:31" ht="20.100000000000001" customHeight="1">
      <c r="B15" s="88">
        <v>1</v>
      </c>
      <c r="C15" s="89" t="s">
        <v>483</v>
      </c>
      <c r="D15" s="90" t="s">
        <v>502</v>
      </c>
      <c r="E15" s="91" t="s">
        <v>503</v>
      </c>
      <c r="F15" s="315">
        <v>18.53</v>
      </c>
      <c r="G15" s="260">
        <v>19</v>
      </c>
      <c r="H15" s="260"/>
      <c r="I15" s="309"/>
      <c r="J15" s="199"/>
      <c r="K15" s="269">
        <v>7</v>
      </c>
      <c r="L15" s="93">
        <f t="shared" si="1"/>
        <v>12</v>
      </c>
      <c r="M15" s="183">
        <v>12</v>
      </c>
      <c r="N15" s="95">
        <f t="shared" si="2"/>
        <v>222.36</v>
      </c>
      <c r="O15" s="95">
        <f t="shared" si="3"/>
        <v>222.36</v>
      </c>
      <c r="P15" s="94">
        <f t="shared" si="4"/>
        <v>0</v>
      </c>
      <c r="Q15" s="95">
        <f t="shared" si="5"/>
        <v>0</v>
      </c>
      <c r="R15" s="96"/>
      <c r="S15" s="97">
        <f t="shared" si="6"/>
        <v>27</v>
      </c>
      <c r="T15" s="98">
        <f t="shared" si="0"/>
        <v>-15</v>
      </c>
      <c r="U15">
        <v>27</v>
      </c>
    </row>
    <row r="16" spans="2:31" ht="20.100000000000001" customHeight="1">
      <c r="B16" s="88">
        <v>1</v>
      </c>
      <c r="C16" s="89" t="s">
        <v>483</v>
      </c>
      <c r="D16" s="90" t="s">
        <v>504</v>
      </c>
      <c r="E16" s="91" t="s">
        <v>505</v>
      </c>
      <c r="F16" s="315">
        <v>6.18</v>
      </c>
      <c r="G16" s="260">
        <v>92</v>
      </c>
      <c r="H16" s="260"/>
      <c r="I16" s="309"/>
      <c r="J16" s="199"/>
      <c r="K16" s="269">
        <v>1</v>
      </c>
      <c r="L16" s="93">
        <f t="shared" si="1"/>
        <v>91</v>
      </c>
      <c r="M16" s="183">
        <v>91</v>
      </c>
      <c r="N16" s="95">
        <f t="shared" si="2"/>
        <v>562.38</v>
      </c>
      <c r="O16" s="95">
        <f t="shared" si="3"/>
        <v>562.38</v>
      </c>
      <c r="P16" s="94">
        <f t="shared" si="4"/>
        <v>0</v>
      </c>
      <c r="Q16" s="95">
        <f t="shared" si="5"/>
        <v>0</v>
      </c>
      <c r="R16" s="278" t="s">
        <v>5218</v>
      </c>
      <c r="S16" s="97">
        <f t="shared" si="6"/>
        <v>94</v>
      </c>
      <c r="T16" s="98">
        <f t="shared" si="0"/>
        <v>-3</v>
      </c>
      <c r="U16">
        <v>6</v>
      </c>
      <c r="W16">
        <f>37+50+1</f>
        <v>88</v>
      </c>
      <c r="X16" t="s">
        <v>506</v>
      </c>
      <c r="AD16">
        <v>50</v>
      </c>
      <c r="AE16" s="100">
        <f>AD16*F16</f>
        <v>309</v>
      </c>
    </row>
    <row r="17" spans="2:21" ht="20.100000000000001" customHeight="1">
      <c r="B17" s="88">
        <v>1</v>
      </c>
      <c r="C17" s="89" t="s">
        <v>483</v>
      </c>
      <c r="D17" s="90" t="s">
        <v>507</v>
      </c>
      <c r="E17" s="91" t="s">
        <v>508</v>
      </c>
      <c r="F17" s="315">
        <v>51.54</v>
      </c>
      <c r="G17" s="260">
        <v>1</v>
      </c>
      <c r="H17" s="260"/>
      <c r="I17" s="309"/>
      <c r="J17" s="199"/>
      <c r="K17" s="269"/>
      <c r="L17" s="93">
        <f t="shared" si="1"/>
        <v>1</v>
      </c>
      <c r="M17" s="183">
        <v>1</v>
      </c>
      <c r="N17" s="95">
        <f t="shared" si="2"/>
        <v>51.54</v>
      </c>
      <c r="O17" s="95">
        <f t="shared" si="3"/>
        <v>51.54</v>
      </c>
      <c r="P17" s="94">
        <f t="shared" si="4"/>
        <v>0</v>
      </c>
      <c r="Q17" s="95">
        <f t="shared" si="5"/>
        <v>0</v>
      </c>
      <c r="R17" s="96"/>
      <c r="S17" s="97">
        <f t="shared" si="6"/>
        <v>1</v>
      </c>
      <c r="T17" s="98">
        <f t="shared" si="0"/>
        <v>0</v>
      </c>
      <c r="U17">
        <v>1</v>
      </c>
    </row>
    <row r="18" spans="2:21" ht="20.100000000000001" customHeight="1">
      <c r="B18" s="88">
        <v>1</v>
      </c>
      <c r="C18" s="89" t="s">
        <v>483</v>
      </c>
      <c r="D18" s="90" t="s">
        <v>509</v>
      </c>
      <c r="E18" s="91" t="s">
        <v>510</v>
      </c>
      <c r="F18" s="315">
        <v>7.4</v>
      </c>
      <c r="G18" s="260">
        <v>10</v>
      </c>
      <c r="H18" s="260"/>
      <c r="I18" s="309"/>
      <c r="J18" s="199"/>
      <c r="K18" s="269"/>
      <c r="L18" s="93">
        <f t="shared" si="1"/>
        <v>10</v>
      </c>
      <c r="M18" s="183">
        <v>10</v>
      </c>
      <c r="N18" s="95">
        <f t="shared" si="2"/>
        <v>74</v>
      </c>
      <c r="O18" s="95">
        <f t="shared" si="3"/>
        <v>74</v>
      </c>
      <c r="P18" s="94">
        <f t="shared" si="4"/>
        <v>0</v>
      </c>
      <c r="Q18" s="95">
        <f t="shared" si="5"/>
        <v>0</v>
      </c>
      <c r="R18" s="96"/>
      <c r="S18" s="97">
        <f t="shared" si="6"/>
        <v>10</v>
      </c>
      <c r="T18" s="98">
        <f t="shared" si="0"/>
        <v>0</v>
      </c>
      <c r="U18">
        <v>10</v>
      </c>
    </row>
    <row r="19" spans="2:21" ht="20.100000000000001" customHeight="1">
      <c r="B19" s="88">
        <v>1</v>
      </c>
      <c r="C19" s="89" t="s">
        <v>483</v>
      </c>
      <c r="D19" s="90" t="s">
        <v>511</v>
      </c>
      <c r="E19" s="91" t="s">
        <v>512</v>
      </c>
      <c r="F19" s="315">
        <v>26.09</v>
      </c>
      <c r="G19" s="260">
        <v>19</v>
      </c>
      <c r="H19" s="260"/>
      <c r="I19" s="309"/>
      <c r="J19" s="199"/>
      <c r="K19" s="269">
        <v>2</v>
      </c>
      <c r="L19" s="93">
        <f t="shared" si="1"/>
        <v>17</v>
      </c>
      <c r="M19" s="183">
        <v>17</v>
      </c>
      <c r="N19" s="95">
        <f t="shared" si="2"/>
        <v>443.53</v>
      </c>
      <c r="O19" s="95">
        <f t="shared" si="3"/>
        <v>443.53</v>
      </c>
      <c r="P19" s="94">
        <f t="shared" si="4"/>
        <v>0</v>
      </c>
      <c r="Q19" s="95">
        <f t="shared" si="5"/>
        <v>0</v>
      </c>
      <c r="R19" s="96"/>
      <c r="S19" s="97">
        <f t="shared" si="6"/>
        <v>23</v>
      </c>
      <c r="T19" s="98">
        <f t="shared" si="0"/>
        <v>-6</v>
      </c>
      <c r="U19">
        <v>23</v>
      </c>
    </row>
    <row r="20" spans="2:21" ht="20.100000000000001" customHeight="1">
      <c r="B20" s="88">
        <v>1</v>
      </c>
      <c r="C20" s="89" t="s">
        <v>483</v>
      </c>
      <c r="D20" s="90" t="s">
        <v>513</v>
      </c>
      <c r="E20" s="91" t="s">
        <v>514</v>
      </c>
      <c r="F20" s="315">
        <v>7.4</v>
      </c>
      <c r="G20" s="260"/>
      <c r="H20" s="260"/>
      <c r="I20" s="309"/>
      <c r="J20" s="199"/>
      <c r="K20" s="269"/>
      <c r="L20" s="93">
        <f t="shared" si="1"/>
        <v>0</v>
      </c>
      <c r="M20" s="183"/>
      <c r="N20" s="95">
        <f t="shared" si="2"/>
        <v>0</v>
      </c>
      <c r="O20" s="95">
        <f t="shared" si="3"/>
        <v>0</v>
      </c>
      <c r="P20" s="94">
        <f t="shared" si="4"/>
        <v>0</v>
      </c>
      <c r="Q20" s="95">
        <f t="shared" si="5"/>
        <v>0</v>
      </c>
      <c r="R20" s="96"/>
      <c r="S20" s="97">
        <f t="shared" si="6"/>
        <v>0</v>
      </c>
      <c r="T20" s="98">
        <f t="shared" si="0"/>
        <v>0</v>
      </c>
    </row>
    <row r="21" spans="2:21" ht="20.100000000000001" customHeight="1">
      <c r="B21" s="88">
        <v>1</v>
      </c>
      <c r="C21" s="89" t="s">
        <v>483</v>
      </c>
      <c r="D21" s="90" t="s">
        <v>515</v>
      </c>
      <c r="E21" s="91" t="s">
        <v>516</v>
      </c>
      <c r="F21" s="315">
        <v>26.09</v>
      </c>
      <c r="G21" s="260">
        <v>11</v>
      </c>
      <c r="H21" s="260"/>
      <c r="I21" s="309"/>
      <c r="J21" s="199"/>
      <c r="K21" s="269">
        <v>1</v>
      </c>
      <c r="L21" s="93">
        <f t="shared" si="1"/>
        <v>10</v>
      </c>
      <c r="M21" s="183">
        <v>10</v>
      </c>
      <c r="N21" s="95">
        <f t="shared" si="2"/>
        <v>260.89999999999998</v>
      </c>
      <c r="O21" s="95">
        <f t="shared" si="3"/>
        <v>260.89999999999998</v>
      </c>
      <c r="P21" s="94">
        <f t="shared" si="4"/>
        <v>0</v>
      </c>
      <c r="Q21" s="95">
        <f t="shared" si="5"/>
        <v>0</v>
      </c>
      <c r="R21" s="96"/>
      <c r="S21" s="97">
        <f t="shared" si="6"/>
        <v>12</v>
      </c>
      <c r="T21" s="98">
        <f t="shared" si="0"/>
        <v>-2</v>
      </c>
      <c r="U21">
        <v>12</v>
      </c>
    </row>
    <row r="22" spans="2:21" ht="20.100000000000001" customHeight="1">
      <c r="B22" s="88">
        <v>1</v>
      </c>
      <c r="C22" s="89" t="s">
        <v>483</v>
      </c>
      <c r="D22" s="90" t="s">
        <v>517</v>
      </c>
      <c r="E22" s="91" t="s">
        <v>518</v>
      </c>
      <c r="F22" s="315">
        <v>17.100000000000001</v>
      </c>
      <c r="G22" s="260"/>
      <c r="H22" s="260"/>
      <c r="I22" s="309"/>
      <c r="J22" s="199"/>
      <c r="K22" s="269"/>
      <c r="L22" s="93">
        <f t="shared" si="1"/>
        <v>0</v>
      </c>
      <c r="M22" s="183"/>
      <c r="N22" s="95">
        <f t="shared" si="2"/>
        <v>0</v>
      </c>
      <c r="O22" s="95">
        <f t="shared" si="3"/>
        <v>0</v>
      </c>
      <c r="P22" s="94">
        <f t="shared" si="4"/>
        <v>0</v>
      </c>
      <c r="Q22" s="95">
        <f t="shared" si="5"/>
        <v>0</v>
      </c>
      <c r="R22" s="96"/>
      <c r="S22" s="97">
        <f t="shared" si="6"/>
        <v>0</v>
      </c>
      <c r="T22" s="98">
        <f t="shared" si="0"/>
        <v>0</v>
      </c>
    </row>
    <row r="23" spans="2:21" ht="20.100000000000001" customHeight="1">
      <c r="B23" s="88">
        <v>1</v>
      </c>
      <c r="C23" s="89" t="s">
        <v>483</v>
      </c>
      <c r="D23" s="90" t="s">
        <v>519</v>
      </c>
      <c r="E23" s="91" t="s">
        <v>520</v>
      </c>
      <c r="F23" s="315">
        <v>6.83</v>
      </c>
      <c r="G23" s="260">
        <v>31</v>
      </c>
      <c r="H23" s="260">
        <v>20</v>
      </c>
      <c r="I23" s="309"/>
      <c r="J23" s="199"/>
      <c r="K23" s="269">
        <v>22</v>
      </c>
      <c r="L23" s="93">
        <f t="shared" si="1"/>
        <v>29</v>
      </c>
      <c r="M23" s="183">
        <v>28</v>
      </c>
      <c r="N23" s="95">
        <f t="shared" si="2"/>
        <v>198.07</v>
      </c>
      <c r="O23" s="95">
        <f t="shared" si="3"/>
        <v>191.24</v>
      </c>
      <c r="P23" s="94">
        <f t="shared" si="4"/>
        <v>1</v>
      </c>
      <c r="Q23" s="95">
        <f t="shared" si="5"/>
        <v>6.8299999999999841</v>
      </c>
      <c r="R23" s="278"/>
      <c r="S23" s="97">
        <f t="shared" si="6"/>
        <v>35</v>
      </c>
      <c r="T23" s="98">
        <f t="shared" si="0"/>
        <v>-7</v>
      </c>
      <c r="U23">
        <v>35</v>
      </c>
    </row>
    <row r="24" spans="2:21" ht="20.100000000000001" customHeight="1">
      <c r="B24" s="88">
        <v>1</v>
      </c>
      <c r="C24" s="89" t="s">
        <v>483</v>
      </c>
      <c r="D24" s="90" t="s">
        <v>521</v>
      </c>
      <c r="E24" s="91" t="s">
        <v>522</v>
      </c>
      <c r="F24" s="315">
        <v>19.399999999999999</v>
      </c>
      <c r="G24" s="260"/>
      <c r="H24" s="260"/>
      <c r="I24" s="309"/>
      <c r="J24" s="199"/>
      <c r="K24" s="269"/>
      <c r="L24" s="93">
        <f t="shared" si="1"/>
        <v>0</v>
      </c>
      <c r="M24" s="183"/>
      <c r="N24" s="95">
        <f t="shared" si="2"/>
        <v>0</v>
      </c>
      <c r="O24" s="95">
        <f t="shared" si="3"/>
        <v>0</v>
      </c>
      <c r="P24" s="94">
        <f t="shared" si="4"/>
        <v>0</v>
      </c>
      <c r="Q24" s="95">
        <f t="shared" si="5"/>
        <v>0</v>
      </c>
      <c r="R24" s="96"/>
      <c r="S24" s="97">
        <f t="shared" si="6"/>
        <v>0</v>
      </c>
      <c r="T24" s="98">
        <f t="shared" si="0"/>
        <v>0</v>
      </c>
    </row>
    <row r="25" spans="2:21" ht="20.100000000000001" customHeight="1">
      <c r="B25" s="88">
        <v>1</v>
      </c>
      <c r="C25" s="89" t="s">
        <v>483</v>
      </c>
      <c r="D25" s="90" t="s">
        <v>523</v>
      </c>
      <c r="E25" s="91" t="s">
        <v>524</v>
      </c>
      <c r="F25" s="315">
        <v>6.83</v>
      </c>
      <c r="G25" s="260">
        <v>33</v>
      </c>
      <c r="H25" s="260"/>
      <c r="I25" s="309"/>
      <c r="J25" s="199"/>
      <c r="K25" s="269">
        <v>3</v>
      </c>
      <c r="L25" s="93">
        <f t="shared" si="1"/>
        <v>30</v>
      </c>
      <c r="M25" s="183">
        <v>29</v>
      </c>
      <c r="N25" s="95">
        <f t="shared" si="2"/>
        <v>204.9</v>
      </c>
      <c r="O25" s="95">
        <f t="shared" si="3"/>
        <v>198.07</v>
      </c>
      <c r="P25" s="94">
        <f t="shared" si="4"/>
        <v>1</v>
      </c>
      <c r="Q25" s="95">
        <f t="shared" si="5"/>
        <v>6.8300000000000125</v>
      </c>
      <c r="R25" s="96"/>
      <c r="S25" s="97">
        <f t="shared" si="6"/>
        <v>36</v>
      </c>
      <c r="T25" s="98">
        <f t="shared" si="0"/>
        <v>-7</v>
      </c>
      <c r="U25">
        <v>36</v>
      </c>
    </row>
    <row r="26" spans="2:21" ht="20.100000000000001" customHeight="1">
      <c r="B26" s="88">
        <v>1</v>
      </c>
      <c r="C26" s="89" t="s">
        <v>483</v>
      </c>
      <c r="D26" s="90" t="s">
        <v>526</v>
      </c>
      <c r="E26" s="91" t="s">
        <v>527</v>
      </c>
      <c r="F26" s="315">
        <v>19.399999999999999</v>
      </c>
      <c r="G26" s="260"/>
      <c r="H26" s="260"/>
      <c r="I26" s="309"/>
      <c r="J26" s="199"/>
      <c r="K26" s="269"/>
      <c r="L26" s="93">
        <f t="shared" si="1"/>
        <v>0</v>
      </c>
      <c r="M26" s="183"/>
      <c r="N26" s="95">
        <f t="shared" si="2"/>
        <v>0</v>
      </c>
      <c r="O26" s="95">
        <f t="shared" si="3"/>
        <v>0</v>
      </c>
      <c r="P26" s="94">
        <f t="shared" si="4"/>
        <v>0</v>
      </c>
      <c r="Q26" s="95">
        <f t="shared" si="5"/>
        <v>0</v>
      </c>
      <c r="R26" s="96"/>
      <c r="S26" s="97">
        <f t="shared" si="6"/>
        <v>0</v>
      </c>
      <c r="T26" s="98">
        <f t="shared" si="0"/>
        <v>0</v>
      </c>
    </row>
    <row r="27" spans="2:21" ht="20.100000000000001" customHeight="1">
      <c r="B27" s="88">
        <v>1</v>
      </c>
      <c r="C27" s="89" t="s">
        <v>483</v>
      </c>
      <c r="D27" s="90" t="s">
        <v>528</v>
      </c>
      <c r="E27" s="91" t="s">
        <v>529</v>
      </c>
      <c r="F27" s="315">
        <v>17.649999999999999</v>
      </c>
      <c r="G27" s="260">
        <v>2</v>
      </c>
      <c r="H27" s="260">
        <v>10</v>
      </c>
      <c r="I27" s="309"/>
      <c r="J27" s="199"/>
      <c r="K27" s="269">
        <v>10</v>
      </c>
      <c r="L27" s="93">
        <f t="shared" si="1"/>
        <v>2</v>
      </c>
      <c r="M27" s="183">
        <v>2</v>
      </c>
      <c r="N27" s="95">
        <f t="shared" si="2"/>
        <v>35.299999999999997</v>
      </c>
      <c r="O27" s="95">
        <f t="shared" si="3"/>
        <v>35.299999999999997</v>
      </c>
      <c r="P27" s="94">
        <f t="shared" si="4"/>
        <v>0</v>
      </c>
      <c r="Q27" s="95">
        <f t="shared" si="5"/>
        <v>0</v>
      </c>
      <c r="R27" s="278"/>
      <c r="S27" s="97">
        <f t="shared" si="6"/>
        <v>6</v>
      </c>
      <c r="T27" s="98">
        <f t="shared" si="0"/>
        <v>-4</v>
      </c>
      <c r="U27">
        <v>6</v>
      </c>
    </row>
    <row r="28" spans="2:21" ht="20.100000000000001" customHeight="1">
      <c r="B28" s="88">
        <v>1</v>
      </c>
      <c r="C28" s="89" t="s">
        <v>483</v>
      </c>
      <c r="D28" s="90" t="s">
        <v>530</v>
      </c>
      <c r="E28" s="91" t="s">
        <v>531</v>
      </c>
      <c r="F28" s="315">
        <v>17.649999999999999</v>
      </c>
      <c r="G28" s="260">
        <v>9</v>
      </c>
      <c r="H28" s="260"/>
      <c r="I28" s="309"/>
      <c r="J28" s="199"/>
      <c r="K28" s="269">
        <v>1</v>
      </c>
      <c r="L28" s="93">
        <f t="shared" si="1"/>
        <v>8</v>
      </c>
      <c r="M28" s="183">
        <v>8</v>
      </c>
      <c r="N28" s="95">
        <f t="shared" si="2"/>
        <v>141.19999999999999</v>
      </c>
      <c r="O28" s="95">
        <f t="shared" si="3"/>
        <v>141.19999999999999</v>
      </c>
      <c r="P28" s="94">
        <f t="shared" si="4"/>
        <v>0</v>
      </c>
      <c r="Q28" s="95">
        <f t="shared" si="5"/>
        <v>0</v>
      </c>
      <c r="R28" s="96"/>
      <c r="S28" s="97">
        <f t="shared" si="6"/>
        <v>10</v>
      </c>
      <c r="T28" s="98">
        <f t="shared" si="0"/>
        <v>-2</v>
      </c>
      <c r="U28">
        <v>10</v>
      </c>
    </row>
    <row r="29" spans="2:21" ht="20.100000000000001" customHeight="1">
      <c r="B29" s="88">
        <v>1</v>
      </c>
      <c r="C29" s="89" t="s">
        <v>483</v>
      </c>
      <c r="D29" s="90" t="s">
        <v>532</v>
      </c>
      <c r="E29" s="91" t="s">
        <v>533</v>
      </c>
      <c r="F29" s="315">
        <v>17.649999999999999</v>
      </c>
      <c r="G29" s="260">
        <v>15</v>
      </c>
      <c r="H29" s="260">
        <v>10</v>
      </c>
      <c r="I29" s="309"/>
      <c r="J29" s="199"/>
      <c r="K29" s="269">
        <v>19</v>
      </c>
      <c r="L29" s="93">
        <f t="shared" si="1"/>
        <v>6</v>
      </c>
      <c r="M29" s="183">
        <v>6</v>
      </c>
      <c r="N29" s="95">
        <f t="shared" si="2"/>
        <v>105.89999999999999</v>
      </c>
      <c r="O29" s="95">
        <f t="shared" si="3"/>
        <v>105.89999999999999</v>
      </c>
      <c r="P29" s="94">
        <f t="shared" si="4"/>
        <v>0</v>
      </c>
      <c r="Q29" s="95">
        <f t="shared" si="5"/>
        <v>0</v>
      </c>
      <c r="R29" s="278"/>
      <c r="S29" s="97">
        <f t="shared" si="6"/>
        <v>1</v>
      </c>
      <c r="T29" s="98">
        <f t="shared" si="0"/>
        <v>5</v>
      </c>
      <c r="U29">
        <v>1</v>
      </c>
    </row>
    <row r="30" spans="2:21" ht="20.100000000000001" customHeight="1">
      <c r="B30" s="88">
        <v>1</v>
      </c>
      <c r="C30" s="89" t="s">
        <v>483</v>
      </c>
      <c r="D30" s="90" t="s">
        <v>534</v>
      </c>
      <c r="E30" s="91" t="s">
        <v>535</v>
      </c>
      <c r="F30" s="315">
        <v>17.649999999999999</v>
      </c>
      <c r="G30" s="260">
        <v>2</v>
      </c>
      <c r="H30" s="260">
        <v>10</v>
      </c>
      <c r="I30" s="309"/>
      <c r="J30" s="199"/>
      <c r="K30" s="269">
        <v>12</v>
      </c>
      <c r="L30" s="93">
        <f t="shared" si="1"/>
        <v>0</v>
      </c>
      <c r="M30" s="183"/>
      <c r="N30" s="95">
        <f t="shared" si="2"/>
        <v>0</v>
      </c>
      <c r="O30" s="95">
        <f t="shared" si="3"/>
        <v>0</v>
      </c>
      <c r="P30" s="94">
        <f t="shared" si="4"/>
        <v>0</v>
      </c>
      <c r="Q30" s="95">
        <f t="shared" si="5"/>
        <v>0</v>
      </c>
      <c r="R30" s="278"/>
      <c r="S30" s="97">
        <f t="shared" si="6"/>
        <v>1</v>
      </c>
      <c r="T30" s="98">
        <f t="shared" si="0"/>
        <v>-1</v>
      </c>
      <c r="U30">
        <v>1</v>
      </c>
    </row>
    <row r="31" spans="2:21" ht="20.100000000000001" customHeight="1">
      <c r="B31" s="88">
        <v>1</v>
      </c>
      <c r="C31" s="89" t="s">
        <v>483</v>
      </c>
      <c r="D31" s="90" t="s">
        <v>536</v>
      </c>
      <c r="E31" s="91" t="s">
        <v>537</v>
      </c>
      <c r="F31" s="315">
        <v>7.06</v>
      </c>
      <c r="G31" s="260"/>
      <c r="H31" s="260">
        <v>35</v>
      </c>
      <c r="I31" s="309"/>
      <c r="J31" s="199"/>
      <c r="K31" s="269"/>
      <c r="L31" s="93">
        <f t="shared" si="1"/>
        <v>35</v>
      </c>
      <c r="M31" s="183">
        <v>35</v>
      </c>
      <c r="N31" s="95">
        <f t="shared" si="2"/>
        <v>247.1</v>
      </c>
      <c r="O31" s="95">
        <f t="shared" si="3"/>
        <v>247.1</v>
      </c>
      <c r="P31" s="94">
        <f t="shared" si="4"/>
        <v>0</v>
      </c>
      <c r="Q31" s="95">
        <f t="shared" si="5"/>
        <v>0</v>
      </c>
      <c r="R31" s="278"/>
      <c r="S31" s="97">
        <f t="shared" si="6"/>
        <v>0</v>
      </c>
      <c r="T31" s="98">
        <f t="shared" si="0"/>
        <v>35</v>
      </c>
    </row>
    <row r="32" spans="2:21" ht="20.100000000000001" customHeight="1">
      <c r="B32" s="88">
        <v>1</v>
      </c>
      <c r="C32" s="89" t="s">
        <v>483</v>
      </c>
      <c r="D32" s="90" t="s">
        <v>536</v>
      </c>
      <c r="E32" s="91" t="s">
        <v>537</v>
      </c>
      <c r="F32" s="315">
        <v>7.056</v>
      </c>
      <c r="G32" s="260"/>
      <c r="H32" s="260"/>
      <c r="I32" s="328">
        <v>100</v>
      </c>
      <c r="J32" s="199"/>
      <c r="K32" s="269">
        <v>40</v>
      </c>
      <c r="L32" s="93">
        <f t="shared" ref="L32" si="7">G32+I32-J32-K32+H32</f>
        <v>60</v>
      </c>
      <c r="M32" s="183">
        <v>60</v>
      </c>
      <c r="N32" s="95">
        <f t="shared" ref="N32" si="8">F32*L32</f>
        <v>423.36</v>
      </c>
      <c r="O32" s="95">
        <f t="shared" ref="O32" si="9">M32*F32</f>
        <v>423.36</v>
      </c>
      <c r="P32" s="94">
        <f t="shared" ref="P32" si="10">L32-M32</f>
        <v>0</v>
      </c>
      <c r="Q32" s="95">
        <f t="shared" ref="Q32" si="11">N32-O32</f>
        <v>0</v>
      </c>
      <c r="R32" s="278"/>
      <c r="S32" s="97">
        <f t="shared" ref="S32" si="12">U32+Y32+W32+AA32</f>
        <v>0</v>
      </c>
      <c r="T32" s="98">
        <f t="shared" ref="T32" si="13">M32-S32</f>
        <v>60</v>
      </c>
    </row>
    <row r="33" spans="2:31" ht="20.100000000000001" customHeight="1">
      <c r="B33" s="88">
        <v>1</v>
      </c>
      <c r="C33" s="89" t="s">
        <v>483</v>
      </c>
      <c r="D33" s="90" t="s">
        <v>538</v>
      </c>
      <c r="E33" s="91" t="s">
        <v>539</v>
      </c>
      <c r="F33" s="315">
        <v>18.03</v>
      </c>
      <c r="G33" s="260">
        <v>27</v>
      </c>
      <c r="H33" s="260"/>
      <c r="I33" s="309"/>
      <c r="J33" s="199">
        <v>27</v>
      </c>
      <c r="K33" s="269"/>
      <c r="L33" s="93">
        <f t="shared" si="1"/>
        <v>0</v>
      </c>
      <c r="M33" s="183"/>
      <c r="N33" s="95">
        <f t="shared" si="2"/>
        <v>0</v>
      </c>
      <c r="O33" s="95">
        <f t="shared" si="3"/>
        <v>0</v>
      </c>
      <c r="P33" s="94">
        <f t="shared" si="4"/>
        <v>0</v>
      </c>
      <c r="Q33" s="95">
        <f t="shared" si="5"/>
        <v>0</v>
      </c>
      <c r="R33" s="96"/>
      <c r="S33" s="97">
        <f t="shared" si="6"/>
        <v>28</v>
      </c>
      <c r="T33" s="98">
        <f t="shared" si="0"/>
        <v>-28</v>
      </c>
      <c r="U33">
        <v>28</v>
      </c>
    </row>
    <row r="34" spans="2:31" ht="20.100000000000001" customHeight="1">
      <c r="B34" s="88">
        <v>1</v>
      </c>
      <c r="C34" s="89" t="s">
        <v>483</v>
      </c>
      <c r="D34" s="90" t="s">
        <v>540</v>
      </c>
      <c r="E34" s="91" t="s">
        <v>541</v>
      </c>
      <c r="F34" s="315">
        <v>22.68</v>
      </c>
      <c r="G34" s="260">
        <v>16</v>
      </c>
      <c r="H34" s="260"/>
      <c r="I34" s="309"/>
      <c r="J34" s="199"/>
      <c r="K34" s="269">
        <v>3</v>
      </c>
      <c r="L34" s="93">
        <f t="shared" si="1"/>
        <v>13</v>
      </c>
      <c r="M34" s="183">
        <v>13</v>
      </c>
      <c r="N34" s="95">
        <f t="shared" si="2"/>
        <v>294.83999999999997</v>
      </c>
      <c r="O34" s="95">
        <f t="shared" si="3"/>
        <v>294.83999999999997</v>
      </c>
      <c r="P34" s="94">
        <f t="shared" si="4"/>
        <v>0</v>
      </c>
      <c r="Q34" s="95">
        <f t="shared" si="5"/>
        <v>0</v>
      </c>
      <c r="R34" s="96"/>
      <c r="S34" s="97">
        <f t="shared" si="6"/>
        <v>23</v>
      </c>
      <c r="T34" s="98">
        <f t="shared" si="0"/>
        <v>-10</v>
      </c>
      <c r="U34">
        <v>23</v>
      </c>
    </row>
    <row r="35" spans="2:31" ht="20.100000000000001" customHeight="1">
      <c r="B35" s="88">
        <v>1</v>
      </c>
      <c r="C35" s="89" t="s">
        <v>483</v>
      </c>
      <c r="D35" s="90" t="s">
        <v>540</v>
      </c>
      <c r="E35" s="91" t="s">
        <v>541</v>
      </c>
      <c r="F35" s="315">
        <v>23.07</v>
      </c>
      <c r="G35" s="260"/>
      <c r="H35" s="260"/>
      <c r="I35" s="309"/>
      <c r="J35" s="199"/>
      <c r="K35" s="269"/>
      <c r="L35" s="93">
        <f t="shared" si="1"/>
        <v>0</v>
      </c>
      <c r="M35" s="183"/>
      <c r="N35" s="95">
        <f t="shared" si="2"/>
        <v>0</v>
      </c>
      <c r="O35" s="95">
        <f t="shared" si="3"/>
        <v>0</v>
      </c>
      <c r="P35" s="94">
        <f t="shared" si="4"/>
        <v>0</v>
      </c>
      <c r="Q35" s="95">
        <f t="shared" si="5"/>
        <v>0</v>
      </c>
      <c r="R35" s="96"/>
      <c r="S35" s="97">
        <f t="shared" si="6"/>
        <v>0</v>
      </c>
      <c r="T35" s="98">
        <f t="shared" si="0"/>
        <v>0</v>
      </c>
    </row>
    <row r="36" spans="2:31" ht="20.100000000000001" customHeight="1">
      <c r="B36" s="88">
        <v>1</v>
      </c>
      <c r="C36" s="89" t="s">
        <v>483</v>
      </c>
      <c r="D36" s="90" t="s">
        <v>542</v>
      </c>
      <c r="E36" s="91" t="s">
        <v>543</v>
      </c>
      <c r="F36" s="315">
        <v>6.71</v>
      </c>
      <c r="G36" s="260">
        <v>3</v>
      </c>
      <c r="H36" s="260">
        <v>1</v>
      </c>
      <c r="I36" s="309"/>
      <c r="J36" s="199">
        <v>1</v>
      </c>
      <c r="K36" s="269">
        <v>2</v>
      </c>
      <c r="L36" s="93">
        <f t="shared" si="1"/>
        <v>1</v>
      </c>
      <c r="M36" s="183">
        <v>1</v>
      </c>
      <c r="N36" s="95">
        <f t="shared" si="2"/>
        <v>6.71</v>
      </c>
      <c r="O36" s="95">
        <f t="shared" si="3"/>
        <v>6.71</v>
      </c>
      <c r="P36" s="94">
        <f t="shared" si="4"/>
        <v>0</v>
      </c>
      <c r="Q36" s="95">
        <f t="shared" si="5"/>
        <v>0</v>
      </c>
      <c r="R36" s="278"/>
      <c r="S36" s="97">
        <f t="shared" si="6"/>
        <v>7</v>
      </c>
      <c r="T36" s="98">
        <f t="shared" si="0"/>
        <v>-6</v>
      </c>
      <c r="U36">
        <v>7</v>
      </c>
    </row>
    <row r="37" spans="2:31" ht="20.100000000000001" customHeight="1">
      <c r="B37" s="88">
        <v>1</v>
      </c>
      <c r="C37" s="89" t="s">
        <v>483</v>
      </c>
      <c r="D37" s="90" t="s">
        <v>542</v>
      </c>
      <c r="E37" s="91" t="s">
        <v>543</v>
      </c>
      <c r="F37" s="315">
        <v>6.83</v>
      </c>
      <c r="G37" s="260"/>
      <c r="H37" s="260"/>
      <c r="I37" s="309"/>
      <c r="J37" s="199"/>
      <c r="K37" s="269"/>
      <c r="L37" s="93">
        <f t="shared" si="1"/>
        <v>0</v>
      </c>
      <c r="M37" s="183"/>
      <c r="N37" s="95">
        <f t="shared" si="2"/>
        <v>0</v>
      </c>
      <c r="O37" s="95">
        <f t="shared" si="3"/>
        <v>0</v>
      </c>
      <c r="P37" s="94">
        <f t="shared" si="4"/>
        <v>0</v>
      </c>
      <c r="Q37" s="95">
        <f t="shared" si="5"/>
        <v>0</v>
      </c>
      <c r="R37" s="96"/>
      <c r="S37" s="97">
        <f t="shared" si="6"/>
        <v>0</v>
      </c>
      <c r="T37" s="98">
        <f t="shared" si="0"/>
        <v>0</v>
      </c>
    </row>
    <row r="38" spans="2:31" ht="20.100000000000001" customHeight="1">
      <c r="B38" s="88">
        <v>1</v>
      </c>
      <c r="C38" s="89" t="s">
        <v>483</v>
      </c>
      <c r="D38" s="90" t="s">
        <v>544</v>
      </c>
      <c r="E38" s="91" t="s">
        <v>545</v>
      </c>
      <c r="F38" s="315">
        <v>6.18</v>
      </c>
      <c r="G38" s="260">
        <v>141</v>
      </c>
      <c r="H38" s="260"/>
      <c r="I38" s="309"/>
      <c r="J38" s="199"/>
      <c r="K38" s="269"/>
      <c r="L38" s="93">
        <f t="shared" si="1"/>
        <v>141</v>
      </c>
      <c r="M38" s="183">
        <f>57+50+34</f>
        <v>141</v>
      </c>
      <c r="N38" s="95">
        <f t="shared" si="2"/>
        <v>871.38</v>
      </c>
      <c r="O38" s="95">
        <f t="shared" si="3"/>
        <v>871.38</v>
      </c>
      <c r="P38" s="94">
        <f t="shared" si="4"/>
        <v>0</v>
      </c>
      <c r="Q38" s="95">
        <f t="shared" si="5"/>
        <v>0</v>
      </c>
      <c r="R38" s="101">
        <v>46143</v>
      </c>
      <c r="S38" s="97">
        <f t="shared" si="6"/>
        <v>141</v>
      </c>
      <c r="T38" s="98">
        <f t="shared" si="0"/>
        <v>0</v>
      </c>
      <c r="U38">
        <v>34</v>
      </c>
      <c r="W38">
        <f>57+50</f>
        <v>107</v>
      </c>
      <c r="X38" t="s">
        <v>546</v>
      </c>
      <c r="AD38">
        <v>57</v>
      </c>
      <c r="AE38" s="100">
        <f>AD38*F38</f>
        <v>352.26</v>
      </c>
    </row>
    <row r="39" spans="2:31" ht="20.100000000000001" customHeight="1">
      <c r="B39" s="88">
        <v>1</v>
      </c>
      <c r="C39" s="89" t="s">
        <v>483</v>
      </c>
      <c r="D39" s="90" t="s">
        <v>547</v>
      </c>
      <c r="E39" s="91" t="s">
        <v>548</v>
      </c>
      <c r="F39" s="315">
        <v>51.06</v>
      </c>
      <c r="G39" s="260">
        <v>24</v>
      </c>
      <c r="H39" s="260">
        <v>1</v>
      </c>
      <c r="I39" s="309"/>
      <c r="J39" s="199"/>
      <c r="K39" s="269"/>
      <c r="L39" s="93">
        <f t="shared" si="1"/>
        <v>25</v>
      </c>
      <c r="M39" s="183">
        <v>25</v>
      </c>
      <c r="N39" s="95">
        <f t="shared" si="2"/>
        <v>1276.5</v>
      </c>
      <c r="O39" s="95">
        <f t="shared" si="3"/>
        <v>1276.5</v>
      </c>
      <c r="P39" s="94">
        <f t="shared" si="4"/>
        <v>0</v>
      </c>
      <c r="Q39" s="95">
        <f t="shared" si="5"/>
        <v>0</v>
      </c>
      <c r="R39" s="102">
        <v>45343</v>
      </c>
      <c r="S39" s="97">
        <f t="shared" si="6"/>
        <v>25</v>
      </c>
      <c r="T39" s="98">
        <f t="shared" si="0"/>
        <v>0</v>
      </c>
      <c r="W39">
        <v>25</v>
      </c>
      <c r="X39" t="s">
        <v>549</v>
      </c>
      <c r="AD39">
        <f t="shared" ref="AD39:AD40" si="14">W39</f>
        <v>25</v>
      </c>
      <c r="AE39" s="100">
        <f>AD39*F39</f>
        <v>1276.5</v>
      </c>
    </row>
    <row r="40" spans="2:31" ht="20.100000000000001" customHeight="1">
      <c r="B40" s="88">
        <v>1</v>
      </c>
      <c r="C40" s="89" t="s">
        <v>483</v>
      </c>
      <c r="D40" s="90" t="s">
        <v>550</v>
      </c>
      <c r="E40" s="91" t="s">
        <v>551</v>
      </c>
      <c r="F40" s="315">
        <v>7.51</v>
      </c>
      <c r="G40" s="260">
        <v>94</v>
      </c>
      <c r="H40" s="260"/>
      <c r="I40" s="309"/>
      <c r="J40" s="199"/>
      <c r="K40" s="269">
        <v>8</v>
      </c>
      <c r="L40" s="93">
        <f t="shared" si="1"/>
        <v>86</v>
      </c>
      <c r="M40" s="183">
        <f>64+20</f>
        <v>84</v>
      </c>
      <c r="N40" s="95">
        <f t="shared" si="2"/>
        <v>645.86</v>
      </c>
      <c r="O40" s="95">
        <f t="shared" si="3"/>
        <v>630.84</v>
      </c>
      <c r="P40" s="94">
        <f t="shared" si="4"/>
        <v>2</v>
      </c>
      <c r="Q40" s="95">
        <f t="shared" si="5"/>
        <v>15.019999999999982</v>
      </c>
      <c r="R40" s="96" t="s">
        <v>552</v>
      </c>
      <c r="S40" s="97">
        <f t="shared" si="6"/>
        <v>99</v>
      </c>
      <c r="T40" s="98">
        <f t="shared" si="0"/>
        <v>-15</v>
      </c>
      <c r="U40">
        <v>79</v>
      </c>
      <c r="W40">
        <v>20</v>
      </c>
      <c r="X40" t="s">
        <v>549</v>
      </c>
      <c r="AD40">
        <f t="shared" si="14"/>
        <v>20</v>
      </c>
      <c r="AE40" s="100">
        <f>AD40*F40</f>
        <v>150.19999999999999</v>
      </c>
    </row>
    <row r="41" spans="2:31" ht="20.100000000000001" customHeight="1">
      <c r="B41" s="88">
        <v>1</v>
      </c>
      <c r="C41" s="89" t="s">
        <v>483</v>
      </c>
      <c r="D41" s="90" t="s">
        <v>553</v>
      </c>
      <c r="E41" s="91" t="s">
        <v>554</v>
      </c>
      <c r="F41" s="315">
        <v>22.19</v>
      </c>
      <c r="G41" s="260">
        <v>3</v>
      </c>
      <c r="H41" s="260">
        <v>5</v>
      </c>
      <c r="I41" s="309"/>
      <c r="J41" s="199"/>
      <c r="K41" s="269">
        <v>5</v>
      </c>
      <c r="L41" s="93">
        <f t="shared" si="1"/>
        <v>3</v>
      </c>
      <c r="M41" s="183"/>
      <c r="N41" s="95">
        <f t="shared" si="2"/>
        <v>66.570000000000007</v>
      </c>
      <c r="O41" s="95">
        <f t="shared" si="3"/>
        <v>0</v>
      </c>
      <c r="P41" s="94">
        <f t="shared" si="4"/>
        <v>3</v>
      </c>
      <c r="Q41" s="95">
        <f t="shared" si="5"/>
        <v>66.570000000000007</v>
      </c>
      <c r="R41" s="279"/>
      <c r="S41" s="97">
        <f t="shared" si="6"/>
        <v>3</v>
      </c>
      <c r="T41" s="98">
        <f t="shared" si="0"/>
        <v>-3</v>
      </c>
      <c r="W41">
        <v>3</v>
      </c>
      <c r="X41" t="s">
        <v>555</v>
      </c>
      <c r="AD41">
        <f>W41</f>
        <v>3</v>
      </c>
      <c r="AE41" s="100">
        <f>AD41*F41</f>
        <v>66.570000000000007</v>
      </c>
    </row>
    <row r="42" spans="2:31" ht="20.100000000000001" customHeight="1">
      <c r="B42" s="88">
        <v>1</v>
      </c>
      <c r="C42" s="89" t="s">
        <v>483</v>
      </c>
      <c r="D42" s="90" t="s">
        <v>556</v>
      </c>
      <c r="E42" s="91" t="s">
        <v>557</v>
      </c>
      <c r="F42" s="315">
        <v>31.96</v>
      </c>
      <c r="G42" s="260"/>
      <c r="H42" s="260"/>
      <c r="I42" s="309"/>
      <c r="J42" s="199"/>
      <c r="K42" s="269"/>
      <c r="L42" s="93">
        <f t="shared" si="1"/>
        <v>0</v>
      </c>
      <c r="M42" s="183"/>
      <c r="N42" s="95">
        <f t="shared" si="2"/>
        <v>0</v>
      </c>
      <c r="O42" s="95">
        <f t="shared" si="3"/>
        <v>0</v>
      </c>
      <c r="P42" s="94">
        <f t="shared" si="4"/>
        <v>0</v>
      </c>
      <c r="Q42" s="95">
        <f t="shared" si="5"/>
        <v>0</v>
      </c>
      <c r="R42" s="96"/>
      <c r="S42" s="97">
        <f t="shared" si="6"/>
        <v>0</v>
      </c>
      <c r="T42" s="98">
        <f t="shared" si="0"/>
        <v>0</v>
      </c>
    </row>
    <row r="43" spans="2:31" ht="20.100000000000001" customHeight="1">
      <c r="B43" s="88">
        <v>1</v>
      </c>
      <c r="C43" s="89" t="s">
        <v>483</v>
      </c>
      <c r="D43" s="90" t="s">
        <v>558</v>
      </c>
      <c r="E43" s="91" t="s">
        <v>559</v>
      </c>
      <c r="F43" s="315">
        <v>21.34</v>
      </c>
      <c r="G43" s="260">
        <v>7</v>
      </c>
      <c r="H43" s="260"/>
      <c r="I43" s="309"/>
      <c r="J43" s="199"/>
      <c r="K43" s="269"/>
      <c r="L43" s="93">
        <f t="shared" si="1"/>
        <v>7</v>
      </c>
      <c r="M43" s="183">
        <v>7</v>
      </c>
      <c r="N43" s="95">
        <f t="shared" si="2"/>
        <v>149.38</v>
      </c>
      <c r="O43" s="95">
        <f t="shared" si="3"/>
        <v>149.38</v>
      </c>
      <c r="P43" s="94">
        <f t="shared" si="4"/>
        <v>0</v>
      </c>
      <c r="Q43" s="95">
        <f t="shared" si="5"/>
        <v>0</v>
      </c>
      <c r="R43" s="102">
        <v>45903</v>
      </c>
      <c r="S43" s="97">
        <f t="shared" si="6"/>
        <v>7</v>
      </c>
      <c r="T43" s="98">
        <f t="shared" si="0"/>
        <v>0</v>
      </c>
      <c r="W43">
        <v>5</v>
      </c>
      <c r="X43" t="s">
        <v>555</v>
      </c>
      <c r="AA43">
        <v>2</v>
      </c>
      <c r="AB43" s="99" t="s">
        <v>560</v>
      </c>
      <c r="AD43">
        <f>AA43+W43</f>
        <v>7</v>
      </c>
      <c r="AE43" s="100">
        <f>AD43*F43</f>
        <v>149.38</v>
      </c>
    </row>
    <row r="44" spans="2:31" ht="20.100000000000001" customHeight="1">
      <c r="B44" s="88">
        <v>1</v>
      </c>
      <c r="C44" s="89" t="s">
        <v>483</v>
      </c>
      <c r="D44" s="90" t="s">
        <v>561</v>
      </c>
      <c r="E44" s="91" t="s">
        <v>562</v>
      </c>
      <c r="F44" s="315">
        <v>6.18</v>
      </c>
      <c r="G44" s="260">
        <v>77</v>
      </c>
      <c r="H44" s="260"/>
      <c r="I44" s="309"/>
      <c r="J44" s="199"/>
      <c r="K44" s="269"/>
      <c r="L44" s="93">
        <f t="shared" si="1"/>
        <v>77</v>
      </c>
      <c r="M44" s="183">
        <f>50+23</f>
        <v>73</v>
      </c>
      <c r="N44" s="95">
        <f t="shared" si="2"/>
        <v>475.85999999999996</v>
      </c>
      <c r="O44" s="95">
        <f t="shared" si="3"/>
        <v>451.14</v>
      </c>
      <c r="P44" s="94">
        <f t="shared" si="4"/>
        <v>4</v>
      </c>
      <c r="Q44" s="95">
        <f t="shared" si="5"/>
        <v>24.71999999999997</v>
      </c>
      <c r="R44" s="96"/>
      <c r="S44" s="97">
        <f t="shared" si="6"/>
        <v>77</v>
      </c>
      <c r="T44" s="98">
        <f t="shared" si="0"/>
        <v>-4</v>
      </c>
      <c r="U44">
        <v>27</v>
      </c>
      <c r="W44">
        <v>50</v>
      </c>
    </row>
    <row r="45" spans="2:31" ht="20.100000000000001" customHeight="1">
      <c r="B45" s="88">
        <v>1</v>
      </c>
      <c r="C45" s="89" t="s">
        <v>483</v>
      </c>
      <c r="D45" s="90" t="s">
        <v>563</v>
      </c>
      <c r="E45" s="91" t="s">
        <v>564</v>
      </c>
      <c r="F45" s="315">
        <v>5.66</v>
      </c>
      <c r="G45" s="260"/>
      <c r="H45" s="260"/>
      <c r="I45" s="309"/>
      <c r="J45" s="199"/>
      <c r="K45" s="269"/>
      <c r="L45" s="93">
        <f t="shared" si="1"/>
        <v>0</v>
      </c>
      <c r="M45" s="183"/>
      <c r="N45" s="95">
        <f t="shared" si="2"/>
        <v>0</v>
      </c>
      <c r="O45" s="95">
        <f t="shared" si="3"/>
        <v>0</v>
      </c>
      <c r="P45" s="94">
        <f t="shared" si="4"/>
        <v>0</v>
      </c>
      <c r="Q45" s="95">
        <f t="shared" si="5"/>
        <v>0</v>
      </c>
      <c r="R45" s="96"/>
      <c r="S45" s="97">
        <f t="shared" si="6"/>
        <v>0</v>
      </c>
      <c r="T45" s="98">
        <f t="shared" si="0"/>
        <v>0</v>
      </c>
    </row>
    <row r="46" spans="2:31" ht="20.100000000000001" customHeight="1">
      <c r="B46" s="88">
        <v>1</v>
      </c>
      <c r="C46" s="89" t="s">
        <v>483</v>
      </c>
      <c r="D46" s="90" t="s">
        <v>565</v>
      </c>
      <c r="E46" s="91" t="s">
        <v>566</v>
      </c>
      <c r="F46" s="315">
        <v>19.079999999999998</v>
      </c>
      <c r="G46" s="260"/>
      <c r="H46" s="260"/>
      <c r="I46" s="309"/>
      <c r="J46" s="199"/>
      <c r="K46" s="269"/>
      <c r="L46" s="93">
        <f t="shared" si="1"/>
        <v>0</v>
      </c>
      <c r="M46" s="183"/>
      <c r="N46" s="95">
        <f t="shared" si="2"/>
        <v>0</v>
      </c>
      <c r="O46" s="95">
        <f t="shared" si="3"/>
        <v>0</v>
      </c>
      <c r="P46" s="94">
        <f t="shared" si="4"/>
        <v>0</v>
      </c>
      <c r="Q46" s="95">
        <f t="shared" si="5"/>
        <v>0</v>
      </c>
      <c r="R46" s="96"/>
      <c r="S46" s="97">
        <f t="shared" si="6"/>
        <v>0</v>
      </c>
      <c r="T46" s="98">
        <f t="shared" si="0"/>
        <v>0</v>
      </c>
    </row>
    <row r="47" spans="2:31" ht="20.100000000000001" customHeight="1">
      <c r="B47" s="88">
        <v>1</v>
      </c>
      <c r="C47" s="89" t="s">
        <v>483</v>
      </c>
      <c r="D47" s="90" t="s">
        <v>567</v>
      </c>
      <c r="E47" s="91" t="s">
        <v>568</v>
      </c>
      <c r="F47" s="315">
        <v>19.079999999999998</v>
      </c>
      <c r="G47" s="260"/>
      <c r="H47" s="260"/>
      <c r="I47" s="309"/>
      <c r="J47" s="199"/>
      <c r="K47" s="269"/>
      <c r="L47" s="93">
        <f t="shared" si="1"/>
        <v>0</v>
      </c>
      <c r="M47" s="183"/>
      <c r="N47" s="95">
        <f t="shared" si="2"/>
        <v>0</v>
      </c>
      <c r="O47" s="95">
        <f t="shared" si="3"/>
        <v>0</v>
      </c>
      <c r="P47" s="94">
        <f t="shared" si="4"/>
        <v>0</v>
      </c>
      <c r="Q47" s="95">
        <f t="shared" si="5"/>
        <v>0</v>
      </c>
      <c r="R47" s="96"/>
      <c r="S47" s="97">
        <f t="shared" si="6"/>
        <v>0</v>
      </c>
      <c r="T47" s="98">
        <f t="shared" si="0"/>
        <v>0</v>
      </c>
    </row>
    <row r="48" spans="2:31" ht="20.100000000000001" customHeight="1">
      <c r="B48" s="88">
        <v>1</v>
      </c>
      <c r="C48" s="89" t="s">
        <v>483</v>
      </c>
      <c r="D48" s="90" t="s">
        <v>569</v>
      </c>
      <c r="E48" s="91" t="s">
        <v>570</v>
      </c>
      <c r="F48" s="315">
        <v>5.89</v>
      </c>
      <c r="G48" s="260"/>
      <c r="H48" s="260"/>
      <c r="I48" s="309"/>
      <c r="J48" s="199"/>
      <c r="K48" s="269"/>
      <c r="L48" s="93">
        <f t="shared" si="1"/>
        <v>0</v>
      </c>
      <c r="M48" s="183"/>
      <c r="N48" s="95">
        <f t="shared" si="2"/>
        <v>0</v>
      </c>
      <c r="O48" s="95">
        <f t="shared" si="3"/>
        <v>0</v>
      </c>
      <c r="P48" s="94">
        <f t="shared" si="4"/>
        <v>0</v>
      </c>
      <c r="Q48" s="95">
        <f t="shared" si="5"/>
        <v>0</v>
      </c>
      <c r="R48" s="96"/>
      <c r="S48" s="97">
        <f t="shared" si="6"/>
        <v>0</v>
      </c>
      <c r="T48" s="98">
        <f t="shared" si="0"/>
        <v>0</v>
      </c>
    </row>
    <row r="49" spans="2:31" ht="20.100000000000001" customHeight="1">
      <c r="B49" s="88">
        <v>1</v>
      </c>
      <c r="C49" s="89" t="s">
        <v>483</v>
      </c>
      <c r="D49" s="90" t="s">
        <v>571</v>
      </c>
      <c r="E49" s="91" t="s">
        <v>572</v>
      </c>
      <c r="F49" s="315">
        <v>5.66</v>
      </c>
      <c r="G49" s="260"/>
      <c r="H49" s="260"/>
      <c r="I49" s="309"/>
      <c r="J49" s="199"/>
      <c r="K49" s="269"/>
      <c r="L49" s="93">
        <f t="shared" si="1"/>
        <v>0</v>
      </c>
      <c r="M49" s="183"/>
      <c r="N49" s="95">
        <f t="shared" si="2"/>
        <v>0</v>
      </c>
      <c r="O49" s="95">
        <f t="shared" si="3"/>
        <v>0</v>
      </c>
      <c r="P49" s="94">
        <f t="shared" si="4"/>
        <v>0</v>
      </c>
      <c r="Q49" s="95">
        <f t="shared" si="5"/>
        <v>0</v>
      </c>
      <c r="R49" s="96"/>
      <c r="S49" s="97">
        <f t="shared" si="6"/>
        <v>0</v>
      </c>
      <c r="T49" s="98">
        <f t="shared" si="0"/>
        <v>0</v>
      </c>
    </row>
    <row r="50" spans="2:31" ht="20.100000000000001" customHeight="1">
      <c r="B50" s="88">
        <v>1</v>
      </c>
      <c r="C50" s="89" t="s">
        <v>483</v>
      </c>
      <c r="D50" s="90" t="s">
        <v>573</v>
      </c>
      <c r="E50" s="91" t="s">
        <v>574</v>
      </c>
      <c r="F50" s="315">
        <v>5.66</v>
      </c>
      <c r="G50" s="260"/>
      <c r="H50" s="260"/>
      <c r="I50" s="309"/>
      <c r="J50" s="199"/>
      <c r="K50" s="269"/>
      <c r="L50" s="93">
        <f t="shared" si="1"/>
        <v>0</v>
      </c>
      <c r="M50" s="183"/>
      <c r="N50" s="95">
        <f t="shared" si="2"/>
        <v>0</v>
      </c>
      <c r="O50" s="95">
        <f t="shared" si="3"/>
        <v>0</v>
      </c>
      <c r="P50" s="94">
        <f t="shared" si="4"/>
        <v>0</v>
      </c>
      <c r="Q50" s="95">
        <f t="shared" si="5"/>
        <v>0</v>
      </c>
      <c r="R50" s="96"/>
      <c r="S50" s="97">
        <f t="shared" si="6"/>
        <v>0</v>
      </c>
      <c r="T50" s="98">
        <f t="shared" si="0"/>
        <v>0</v>
      </c>
    </row>
    <row r="51" spans="2:31" ht="20.100000000000001" customHeight="1">
      <c r="B51" s="88">
        <v>1</v>
      </c>
      <c r="C51" s="89" t="s">
        <v>483</v>
      </c>
      <c r="D51" s="90" t="s">
        <v>575</v>
      </c>
      <c r="E51" s="91" t="s">
        <v>576</v>
      </c>
      <c r="F51" s="315">
        <v>23.48</v>
      </c>
      <c r="G51" s="260"/>
      <c r="H51" s="260"/>
      <c r="I51" s="309"/>
      <c r="J51" s="199"/>
      <c r="K51" s="269"/>
      <c r="L51" s="93">
        <f t="shared" si="1"/>
        <v>0</v>
      </c>
      <c r="M51" s="183"/>
      <c r="N51" s="95">
        <f t="shared" si="2"/>
        <v>0</v>
      </c>
      <c r="O51" s="95">
        <f t="shared" si="3"/>
        <v>0</v>
      </c>
      <c r="P51" s="94">
        <f t="shared" si="4"/>
        <v>0</v>
      </c>
      <c r="Q51" s="95">
        <f t="shared" si="5"/>
        <v>0</v>
      </c>
      <c r="R51" s="96"/>
      <c r="S51" s="97">
        <f t="shared" si="6"/>
        <v>0</v>
      </c>
      <c r="T51" s="98">
        <f t="shared" si="0"/>
        <v>0</v>
      </c>
    </row>
    <row r="52" spans="2:31" ht="20.100000000000001" customHeight="1">
      <c r="B52" s="88">
        <v>1</v>
      </c>
      <c r="C52" s="89" t="s">
        <v>483</v>
      </c>
      <c r="D52" s="90" t="s">
        <v>577</v>
      </c>
      <c r="E52" s="91" t="s">
        <v>578</v>
      </c>
      <c r="F52" s="315">
        <v>23.48</v>
      </c>
      <c r="G52" s="260"/>
      <c r="H52" s="260"/>
      <c r="I52" s="309"/>
      <c r="J52" s="199"/>
      <c r="K52" s="269"/>
      <c r="L52" s="93">
        <f t="shared" si="1"/>
        <v>0</v>
      </c>
      <c r="M52" s="183"/>
      <c r="N52" s="95">
        <f t="shared" si="2"/>
        <v>0</v>
      </c>
      <c r="O52" s="95">
        <f t="shared" si="3"/>
        <v>0</v>
      </c>
      <c r="P52" s="94">
        <f t="shared" si="4"/>
        <v>0</v>
      </c>
      <c r="Q52" s="95">
        <f t="shared" si="5"/>
        <v>0</v>
      </c>
      <c r="R52" s="96"/>
      <c r="S52" s="97">
        <f t="shared" si="6"/>
        <v>0</v>
      </c>
      <c r="T52" s="98">
        <f t="shared" si="0"/>
        <v>0</v>
      </c>
    </row>
    <row r="53" spans="2:31" ht="20.100000000000001" customHeight="1">
      <c r="B53" s="88">
        <v>1</v>
      </c>
      <c r="C53" s="89" t="s">
        <v>483</v>
      </c>
      <c r="D53" s="90" t="s">
        <v>579</v>
      </c>
      <c r="E53" s="91" t="s">
        <v>580</v>
      </c>
      <c r="F53" s="315">
        <v>6.95</v>
      </c>
      <c r="G53" s="260"/>
      <c r="H53" s="260"/>
      <c r="I53" s="309"/>
      <c r="J53" s="199"/>
      <c r="K53" s="269"/>
      <c r="L53" s="93">
        <f t="shared" si="1"/>
        <v>0</v>
      </c>
      <c r="M53" s="183"/>
      <c r="N53" s="95">
        <f t="shared" si="2"/>
        <v>0</v>
      </c>
      <c r="O53" s="95">
        <f t="shared" si="3"/>
        <v>0</v>
      </c>
      <c r="P53" s="94">
        <f t="shared" si="4"/>
        <v>0</v>
      </c>
      <c r="Q53" s="95">
        <f t="shared" si="5"/>
        <v>0</v>
      </c>
      <c r="R53" s="96"/>
      <c r="S53" s="97">
        <f t="shared" si="6"/>
        <v>0</v>
      </c>
      <c r="T53" s="98">
        <f t="shared" si="0"/>
        <v>0</v>
      </c>
    </row>
    <row r="54" spans="2:31" ht="20.100000000000001" customHeight="1">
      <c r="B54" s="88">
        <v>1</v>
      </c>
      <c r="C54" s="89" t="s">
        <v>483</v>
      </c>
      <c r="D54" s="90" t="s">
        <v>581</v>
      </c>
      <c r="E54" s="91" t="s">
        <v>582</v>
      </c>
      <c r="F54" s="315">
        <v>12.69</v>
      </c>
      <c r="G54" s="260">
        <v>59</v>
      </c>
      <c r="H54" s="260"/>
      <c r="I54" s="309"/>
      <c r="J54" s="199"/>
      <c r="K54" s="269">
        <v>2</v>
      </c>
      <c r="L54" s="93">
        <f t="shared" si="1"/>
        <v>57</v>
      </c>
      <c r="M54" s="183">
        <f>46+11</f>
        <v>57</v>
      </c>
      <c r="N54" s="95">
        <f t="shared" si="2"/>
        <v>723.32999999999993</v>
      </c>
      <c r="O54" s="95">
        <f t="shared" si="3"/>
        <v>723.32999999999993</v>
      </c>
      <c r="P54" s="94">
        <f t="shared" si="4"/>
        <v>0</v>
      </c>
      <c r="Q54" s="95">
        <f t="shared" si="5"/>
        <v>0</v>
      </c>
      <c r="R54" s="96" t="s">
        <v>583</v>
      </c>
      <c r="S54" s="97">
        <f t="shared" si="6"/>
        <v>59</v>
      </c>
      <c r="T54" s="98">
        <f t="shared" si="0"/>
        <v>-2</v>
      </c>
      <c r="U54">
        <v>48</v>
      </c>
      <c r="W54">
        <v>11</v>
      </c>
      <c r="X54" t="s">
        <v>555</v>
      </c>
      <c r="AD54">
        <f>W54</f>
        <v>11</v>
      </c>
      <c r="AE54" s="100">
        <f>AD54*F54</f>
        <v>139.59</v>
      </c>
    </row>
    <row r="55" spans="2:31" ht="20.100000000000001" customHeight="1">
      <c r="B55" s="88">
        <v>1</v>
      </c>
      <c r="C55" s="89" t="s">
        <v>483</v>
      </c>
      <c r="D55" s="90" t="s">
        <v>584</v>
      </c>
      <c r="E55" s="91" t="s">
        <v>585</v>
      </c>
      <c r="F55" s="315">
        <v>34.380000000000003</v>
      </c>
      <c r="G55" s="260">
        <v>5</v>
      </c>
      <c r="H55" s="260"/>
      <c r="I55" s="309"/>
      <c r="J55" s="199"/>
      <c r="K55" s="269">
        <v>2</v>
      </c>
      <c r="L55" s="93">
        <f t="shared" si="1"/>
        <v>3</v>
      </c>
      <c r="M55" s="183">
        <v>3</v>
      </c>
      <c r="N55" s="95">
        <f t="shared" si="2"/>
        <v>103.14000000000001</v>
      </c>
      <c r="O55" s="95">
        <f t="shared" si="3"/>
        <v>103.14000000000001</v>
      </c>
      <c r="P55" s="94">
        <f t="shared" si="4"/>
        <v>0</v>
      </c>
      <c r="Q55" s="95">
        <f t="shared" si="5"/>
        <v>0</v>
      </c>
      <c r="R55" s="96"/>
      <c r="S55" s="97">
        <f t="shared" si="6"/>
        <v>11</v>
      </c>
      <c r="T55" s="98">
        <f t="shared" si="0"/>
        <v>-8</v>
      </c>
      <c r="U55">
        <v>11</v>
      </c>
    </row>
    <row r="56" spans="2:31" ht="20.100000000000001" customHeight="1">
      <c r="B56" s="88">
        <v>1</v>
      </c>
      <c r="C56" s="89" t="s">
        <v>483</v>
      </c>
      <c r="D56" s="90" t="s">
        <v>586</v>
      </c>
      <c r="E56" s="91" t="s">
        <v>587</v>
      </c>
      <c r="F56" s="315">
        <v>99.04</v>
      </c>
      <c r="G56" s="260">
        <v>19</v>
      </c>
      <c r="H56" s="260"/>
      <c r="I56" s="309"/>
      <c r="J56" s="199"/>
      <c r="K56" s="269"/>
      <c r="L56" s="93">
        <f t="shared" si="1"/>
        <v>19</v>
      </c>
      <c r="M56" s="183">
        <v>19</v>
      </c>
      <c r="N56" s="95">
        <f t="shared" si="2"/>
        <v>1881.7600000000002</v>
      </c>
      <c r="O56" s="95">
        <f t="shared" si="3"/>
        <v>1881.7600000000002</v>
      </c>
      <c r="P56" s="94">
        <f t="shared" si="4"/>
        <v>0</v>
      </c>
      <c r="Q56" s="95">
        <f t="shared" si="5"/>
        <v>0</v>
      </c>
      <c r="R56" s="96"/>
      <c r="S56" s="97">
        <f t="shared" si="6"/>
        <v>20</v>
      </c>
      <c r="T56" s="98">
        <f t="shared" si="0"/>
        <v>-1</v>
      </c>
      <c r="U56">
        <v>20</v>
      </c>
    </row>
    <row r="57" spans="2:31" ht="20.100000000000001" customHeight="1">
      <c r="B57" s="88">
        <v>1</v>
      </c>
      <c r="C57" s="89" t="s">
        <v>483</v>
      </c>
      <c r="D57" s="90" t="s">
        <v>588</v>
      </c>
      <c r="E57" s="91" t="s">
        <v>589</v>
      </c>
      <c r="F57" s="315">
        <v>25.88</v>
      </c>
      <c r="G57" s="260">
        <v>6</v>
      </c>
      <c r="H57" s="260"/>
      <c r="I57" s="309"/>
      <c r="J57" s="199"/>
      <c r="K57" s="269"/>
      <c r="L57" s="93">
        <f t="shared" si="1"/>
        <v>6</v>
      </c>
      <c r="M57" s="183">
        <v>6</v>
      </c>
      <c r="N57" s="95">
        <f t="shared" si="2"/>
        <v>155.28</v>
      </c>
      <c r="O57" s="95">
        <f t="shared" si="3"/>
        <v>155.28</v>
      </c>
      <c r="P57" s="94">
        <f t="shared" si="4"/>
        <v>0</v>
      </c>
      <c r="Q57" s="95">
        <f t="shared" si="5"/>
        <v>0</v>
      </c>
      <c r="R57" s="102">
        <v>45836</v>
      </c>
      <c r="S57" s="97">
        <f t="shared" si="6"/>
        <v>6</v>
      </c>
      <c r="T57" s="98">
        <f t="shared" si="0"/>
        <v>0</v>
      </c>
      <c r="W57">
        <v>6</v>
      </c>
      <c r="X57" t="s">
        <v>555</v>
      </c>
      <c r="AD57">
        <f>W57</f>
        <v>6</v>
      </c>
      <c r="AE57" s="100">
        <f>AD57*F57</f>
        <v>155.28</v>
      </c>
    </row>
    <row r="58" spans="2:31" ht="20.100000000000001" customHeight="1">
      <c r="B58" s="88">
        <v>1</v>
      </c>
      <c r="C58" s="89" t="s">
        <v>483</v>
      </c>
      <c r="D58" s="90" t="s">
        <v>590</v>
      </c>
      <c r="E58" s="91" t="s">
        <v>591</v>
      </c>
      <c r="F58" s="315">
        <v>61.5</v>
      </c>
      <c r="G58" s="260">
        <v>19</v>
      </c>
      <c r="H58" s="260"/>
      <c r="I58" s="309"/>
      <c r="J58" s="199"/>
      <c r="K58" s="269">
        <v>3</v>
      </c>
      <c r="L58" s="93">
        <f t="shared" si="1"/>
        <v>16</v>
      </c>
      <c r="M58" s="183">
        <v>16</v>
      </c>
      <c r="N58" s="95">
        <f t="shared" si="2"/>
        <v>984</v>
      </c>
      <c r="O58" s="95">
        <f t="shared" si="3"/>
        <v>984</v>
      </c>
      <c r="P58" s="94">
        <f t="shared" si="4"/>
        <v>0</v>
      </c>
      <c r="Q58" s="95">
        <f t="shared" si="5"/>
        <v>0</v>
      </c>
      <c r="R58" s="96"/>
      <c r="S58" s="97">
        <f t="shared" si="6"/>
        <v>21</v>
      </c>
      <c r="T58" s="98">
        <f t="shared" si="0"/>
        <v>-5</v>
      </c>
      <c r="U58">
        <v>18</v>
      </c>
      <c r="AA58">
        <v>3</v>
      </c>
      <c r="AB58" t="s">
        <v>592</v>
      </c>
      <c r="AD58">
        <f>AA58</f>
        <v>3</v>
      </c>
      <c r="AE58" s="100">
        <f>AD58*F58</f>
        <v>184.5</v>
      </c>
    </row>
    <row r="59" spans="2:31" ht="20.100000000000001" customHeight="1">
      <c r="B59" s="88">
        <v>1</v>
      </c>
      <c r="C59" s="89" t="s">
        <v>483</v>
      </c>
      <c r="D59" s="90" t="s">
        <v>593</v>
      </c>
      <c r="E59" s="91" t="s">
        <v>594</v>
      </c>
      <c r="F59" s="315">
        <v>97.04</v>
      </c>
      <c r="G59" s="260">
        <v>19</v>
      </c>
      <c r="H59" s="260">
        <v>2</v>
      </c>
      <c r="I59" s="309"/>
      <c r="J59" s="199"/>
      <c r="K59" s="269">
        <v>2</v>
      </c>
      <c r="L59" s="93">
        <f t="shared" si="1"/>
        <v>19</v>
      </c>
      <c r="M59" s="183">
        <f>17+2</f>
        <v>19</v>
      </c>
      <c r="N59" s="95">
        <f t="shared" si="2"/>
        <v>1843.7600000000002</v>
      </c>
      <c r="O59" s="95">
        <f t="shared" si="3"/>
        <v>1843.7600000000002</v>
      </c>
      <c r="P59" s="94">
        <f t="shared" si="4"/>
        <v>0</v>
      </c>
      <c r="Q59" s="95">
        <f t="shared" si="5"/>
        <v>0</v>
      </c>
      <c r="R59" s="278"/>
      <c r="S59" s="97">
        <f t="shared" si="6"/>
        <v>19</v>
      </c>
      <c r="T59" s="98">
        <f t="shared" si="0"/>
        <v>0</v>
      </c>
      <c r="U59">
        <v>19</v>
      </c>
    </row>
    <row r="60" spans="2:31" ht="20.100000000000001" customHeight="1">
      <c r="B60" s="88">
        <v>1</v>
      </c>
      <c r="C60" s="89" t="s">
        <v>483</v>
      </c>
      <c r="D60" s="90" t="s">
        <v>595</v>
      </c>
      <c r="E60" s="91" t="s">
        <v>596</v>
      </c>
      <c r="F60" s="315">
        <v>36.58</v>
      </c>
      <c r="G60" s="260">
        <v>22</v>
      </c>
      <c r="H60" s="260"/>
      <c r="I60" s="309"/>
      <c r="J60" s="199"/>
      <c r="K60" s="269">
        <v>1</v>
      </c>
      <c r="L60" s="93">
        <f t="shared" si="1"/>
        <v>21</v>
      </c>
      <c r="M60" s="183">
        <v>21</v>
      </c>
      <c r="N60" s="95">
        <f t="shared" si="2"/>
        <v>768.18</v>
      </c>
      <c r="O60" s="95">
        <f t="shared" si="3"/>
        <v>768.18</v>
      </c>
      <c r="P60" s="94">
        <f t="shared" si="4"/>
        <v>0</v>
      </c>
      <c r="Q60" s="95">
        <f t="shared" si="5"/>
        <v>0</v>
      </c>
      <c r="R60" s="96"/>
      <c r="S60" s="97">
        <f t="shared" si="6"/>
        <v>22</v>
      </c>
      <c r="T60" s="98">
        <f t="shared" si="0"/>
        <v>-1</v>
      </c>
      <c r="U60">
        <f>21+1</f>
        <v>22</v>
      </c>
    </row>
    <row r="61" spans="2:31" ht="20.100000000000001" customHeight="1">
      <c r="B61" s="88">
        <v>1</v>
      </c>
      <c r="C61" s="89" t="s">
        <v>483</v>
      </c>
      <c r="D61" s="90" t="s">
        <v>597</v>
      </c>
      <c r="E61" s="91" t="s">
        <v>598</v>
      </c>
      <c r="F61" s="315">
        <v>30.77</v>
      </c>
      <c r="G61" s="260">
        <v>25</v>
      </c>
      <c r="H61" s="260"/>
      <c r="I61" s="309"/>
      <c r="J61" s="199"/>
      <c r="K61" s="269"/>
      <c r="L61" s="93">
        <f t="shared" si="1"/>
        <v>25</v>
      </c>
      <c r="M61" s="183">
        <v>25</v>
      </c>
      <c r="N61" s="95">
        <f t="shared" si="2"/>
        <v>769.25</v>
      </c>
      <c r="O61" s="95">
        <f t="shared" si="3"/>
        <v>769.25</v>
      </c>
      <c r="P61" s="94">
        <f t="shared" si="4"/>
        <v>0</v>
      </c>
      <c r="Q61" s="95">
        <f t="shared" si="5"/>
        <v>0</v>
      </c>
      <c r="R61" s="96"/>
      <c r="S61" s="97">
        <f t="shared" si="6"/>
        <v>25</v>
      </c>
      <c r="T61" s="98">
        <f t="shared" si="0"/>
        <v>0</v>
      </c>
      <c r="AA61">
        <v>25</v>
      </c>
      <c r="AB61" t="s">
        <v>525</v>
      </c>
      <c r="AD61">
        <f>AA61</f>
        <v>25</v>
      </c>
      <c r="AE61" s="100">
        <f>AD61*F61</f>
        <v>769.25</v>
      </c>
    </row>
    <row r="62" spans="2:31" ht="20.100000000000001" customHeight="1">
      <c r="B62" s="88">
        <v>1</v>
      </c>
      <c r="C62" s="89" t="s">
        <v>483</v>
      </c>
      <c r="D62" s="90" t="s">
        <v>599</v>
      </c>
      <c r="E62" s="91" t="s">
        <v>600</v>
      </c>
      <c r="F62" s="315">
        <v>90.42</v>
      </c>
      <c r="G62" s="260">
        <v>16</v>
      </c>
      <c r="H62" s="260"/>
      <c r="I62" s="309"/>
      <c r="J62" s="199"/>
      <c r="K62" s="269">
        <v>3</v>
      </c>
      <c r="L62" s="93">
        <f t="shared" si="1"/>
        <v>13</v>
      </c>
      <c r="M62" s="183">
        <v>13</v>
      </c>
      <c r="N62" s="95">
        <f t="shared" si="2"/>
        <v>1175.46</v>
      </c>
      <c r="O62" s="95">
        <f t="shared" si="3"/>
        <v>1175.46</v>
      </c>
      <c r="P62" s="94">
        <f t="shared" si="4"/>
        <v>0</v>
      </c>
      <c r="Q62" s="95">
        <f t="shared" si="5"/>
        <v>0</v>
      </c>
      <c r="R62" s="278" t="s">
        <v>5217</v>
      </c>
      <c r="S62" s="97">
        <f t="shared" si="6"/>
        <v>17</v>
      </c>
      <c r="T62" s="98">
        <f t="shared" si="0"/>
        <v>-4</v>
      </c>
      <c r="U62">
        <v>17</v>
      </c>
    </row>
    <row r="63" spans="2:31" ht="20.100000000000001" customHeight="1">
      <c r="B63" s="88">
        <v>1</v>
      </c>
      <c r="C63" s="89" t="s">
        <v>483</v>
      </c>
      <c r="D63" s="90" t="s">
        <v>601</v>
      </c>
      <c r="E63" s="91" t="s">
        <v>602</v>
      </c>
      <c r="F63" s="315">
        <v>41.15</v>
      </c>
      <c r="G63" s="260">
        <v>38</v>
      </c>
      <c r="H63" s="260"/>
      <c r="I63" s="309"/>
      <c r="J63" s="199"/>
      <c r="K63" s="269"/>
      <c r="L63" s="93">
        <f t="shared" si="1"/>
        <v>38</v>
      </c>
      <c r="M63" s="183">
        <v>38</v>
      </c>
      <c r="N63" s="95">
        <f t="shared" si="2"/>
        <v>1563.7</v>
      </c>
      <c r="O63" s="95">
        <f t="shared" si="3"/>
        <v>1563.7</v>
      </c>
      <c r="P63" s="94">
        <f t="shared" si="4"/>
        <v>0</v>
      </c>
      <c r="Q63" s="95">
        <f t="shared" si="5"/>
        <v>0</v>
      </c>
      <c r="R63" s="96"/>
      <c r="S63" s="97">
        <f t="shared" si="6"/>
        <v>0</v>
      </c>
      <c r="T63" s="98">
        <f t="shared" si="0"/>
        <v>38</v>
      </c>
    </row>
    <row r="64" spans="2:31" ht="20.100000000000001" customHeight="1">
      <c r="B64" s="88">
        <v>1</v>
      </c>
      <c r="C64" s="89" t="s">
        <v>483</v>
      </c>
      <c r="D64" s="90" t="s">
        <v>603</v>
      </c>
      <c r="E64" s="91" t="s">
        <v>604</v>
      </c>
      <c r="F64" s="315">
        <v>114.79</v>
      </c>
      <c r="G64" s="260">
        <v>22</v>
      </c>
      <c r="H64" s="260"/>
      <c r="I64" s="309"/>
      <c r="J64" s="199"/>
      <c r="K64" s="269"/>
      <c r="L64" s="93">
        <f t="shared" si="1"/>
        <v>22</v>
      </c>
      <c r="M64" s="183">
        <v>22</v>
      </c>
      <c r="N64" s="95">
        <f t="shared" si="2"/>
        <v>2525.38</v>
      </c>
      <c r="O64" s="95">
        <f t="shared" si="3"/>
        <v>2525.38</v>
      </c>
      <c r="P64" s="94">
        <f t="shared" si="4"/>
        <v>0</v>
      </c>
      <c r="Q64" s="95">
        <f t="shared" si="5"/>
        <v>0</v>
      </c>
      <c r="R64" s="96"/>
      <c r="S64" s="97">
        <f t="shared" si="6"/>
        <v>9</v>
      </c>
      <c r="T64" s="98">
        <f t="shared" ref="T64:T120" si="15">M64-S64</f>
        <v>13</v>
      </c>
      <c r="AA64">
        <v>9</v>
      </c>
      <c r="AB64" t="s">
        <v>605</v>
      </c>
      <c r="AD64">
        <f>AA64</f>
        <v>9</v>
      </c>
      <c r="AE64" s="100">
        <f>AD64*F64</f>
        <v>1033.1100000000001</v>
      </c>
    </row>
    <row r="65" spans="2:31" ht="20.100000000000001" customHeight="1">
      <c r="B65" s="88">
        <v>1</v>
      </c>
      <c r="C65" s="89" t="s">
        <v>483</v>
      </c>
      <c r="D65" s="90" t="s">
        <v>606</v>
      </c>
      <c r="E65" s="91" t="s">
        <v>607</v>
      </c>
      <c r="F65" s="315">
        <v>12.69</v>
      </c>
      <c r="G65" s="260">
        <v>43</v>
      </c>
      <c r="H65" s="260"/>
      <c r="I65" s="309"/>
      <c r="J65" s="199"/>
      <c r="K65" s="269"/>
      <c r="L65" s="93">
        <f t="shared" si="1"/>
        <v>43</v>
      </c>
      <c r="M65" s="183">
        <v>43</v>
      </c>
      <c r="N65" s="95">
        <f t="shared" ref="N65:N121" si="16">F65*L65</f>
        <v>545.66999999999996</v>
      </c>
      <c r="O65" s="95">
        <f t="shared" ref="O65:O121" si="17">M65*F65</f>
        <v>545.66999999999996</v>
      </c>
      <c r="P65" s="94">
        <f t="shared" ref="P65:P121" si="18">L65-M65</f>
        <v>0</v>
      </c>
      <c r="Q65" s="95">
        <f t="shared" ref="Q65:Q121" si="19">N65-O65</f>
        <v>0</v>
      </c>
      <c r="R65" s="96"/>
      <c r="S65" s="97">
        <f t="shared" ref="S65:S121" si="20">U65+Y65+W65+AA65</f>
        <v>0</v>
      </c>
      <c r="T65" s="98">
        <f t="shared" si="15"/>
        <v>43</v>
      </c>
    </row>
    <row r="66" spans="2:31" ht="20.100000000000001" customHeight="1">
      <c r="B66" s="88">
        <v>1</v>
      </c>
      <c r="C66" s="89" t="s">
        <v>483</v>
      </c>
      <c r="D66" s="90" t="s">
        <v>608</v>
      </c>
      <c r="E66" s="91" t="s">
        <v>609</v>
      </c>
      <c r="F66" s="315">
        <v>36.58</v>
      </c>
      <c r="G66" s="260">
        <v>22</v>
      </c>
      <c r="H66" s="260"/>
      <c r="I66" s="309"/>
      <c r="J66" s="199"/>
      <c r="K66" s="269">
        <v>1</v>
      </c>
      <c r="L66" s="93">
        <f t="shared" si="1"/>
        <v>21</v>
      </c>
      <c r="M66" s="183">
        <v>21</v>
      </c>
      <c r="N66" s="95">
        <f t="shared" si="16"/>
        <v>768.18</v>
      </c>
      <c r="O66" s="95">
        <f t="shared" si="17"/>
        <v>768.18</v>
      </c>
      <c r="P66" s="94">
        <f t="shared" si="18"/>
        <v>0</v>
      </c>
      <c r="Q66" s="95">
        <f t="shared" si="19"/>
        <v>0</v>
      </c>
      <c r="R66" s="96"/>
      <c r="S66" s="97">
        <f t="shared" si="20"/>
        <v>22</v>
      </c>
      <c r="T66" s="98">
        <f t="shared" si="15"/>
        <v>-1</v>
      </c>
      <c r="U66">
        <v>22</v>
      </c>
    </row>
    <row r="67" spans="2:31" ht="20.100000000000001" customHeight="1">
      <c r="B67" s="88">
        <v>1</v>
      </c>
      <c r="C67" s="89" t="s">
        <v>483</v>
      </c>
      <c r="D67" s="90" t="s">
        <v>610</v>
      </c>
      <c r="E67" s="91" t="s">
        <v>611</v>
      </c>
      <c r="F67" s="315">
        <v>30.77</v>
      </c>
      <c r="G67" s="260">
        <v>9</v>
      </c>
      <c r="H67" s="260"/>
      <c r="I67" s="309"/>
      <c r="J67" s="199"/>
      <c r="K67" s="269"/>
      <c r="L67" s="93">
        <f t="shared" si="1"/>
        <v>9</v>
      </c>
      <c r="M67" s="183">
        <v>9</v>
      </c>
      <c r="N67" s="95">
        <f t="shared" si="16"/>
        <v>276.93</v>
      </c>
      <c r="O67" s="95">
        <f t="shared" si="17"/>
        <v>276.93</v>
      </c>
      <c r="P67" s="94">
        <f t="shared" si="18"/>
        <v>0</v>
      </c>
      <c r="Q67" s="95">
        <f t="shared" si="19"/>
        <v>0</v>
      </c>
      <c r="R67" s="96"/>
      <c r="S67" s="97">
        <f t="shared" si="20"/>
        <v>9</v>
      </c>
      <c r="T67" s="98">
        <f t="shared" si="15"/>
        <v>0</v>
      </c>
      <c r="AA67">
        <v>9</v>
      </c>
      <c r="AB67" t="s">
        <v>525</v>
      </c>
      <c r="AD67">
        <f>AA67</f>
        <v>9</v>
      </c>
      <c r="AE67" s="100">
        <f>AD67*F67</f>
        <v>276.93</v>
      </c>
    </row>
    <row r="68" spans="2:31" ht="20.100000000000001" customHeight="1">
      <c r="B68" s="88">
        <v>1</v>
      </c>
      <c r="C68" s="89" t="s">
        <v>483</v>
      </c>
      <c r="D68" s="90" t="s">
        <v>612</v>
      </c>
      <c r="E68" s="91" t="s">
        <v>613</v>
      </c>
      <c r="F68" s="315">
        <v>88.75</v>
      </c>
      <c r="G68" s="260">
        <v>16</v>
      </c>
      <c r="H68" s="260"/>
      <c r="I68" s="309"/>
      <c r="J68" s="199"/>
      <c r="K68" s="269">
        <v>1</v>
      </c>
      <c r="L68" s="93">
        <f t="shared" si="1"/>
        <v>15</v>
      </c>
      <c r="M68" s="277">
        <v>15</v>
      </c>
      <c r="N68" s="95">
        <f t="shared" si="16"/>
        <v>1331.25</v>
      </c>
      <c r="O68" s="95">
        <f t="shared" si="17"/>
        <v>1331.25</v>
      </c>
      <c r="P68" s="94">
        <f t="shared" si="18"/>
        <v>0</v>
      </c>
      <c r="Q68" s="95">
        <f t="shared" si="19"/>
        <v>0</v>
      </c>
      <c r="R68" s="278" t="s">
        <v>5218</v>
      </c>
      <c r="S68" s="97">
        <f t="shared" si="20"/>
        <v>16</v>
      </c>
      <c r="T68" s="98">
        <f t="shared" si="15"/>
        <v>-1</v>
      </c>
      <c r="U68">
        <v>16</v>
      </c>
    </row>
    <row r="69" spans="2:31" ht="20.100000000000001" customHeight="1">
      <c r="B69" s="88">
        <v>1</v>
      </c>
      <c r="C69" s="89" t="s">
        <v>483</v>
      </c>
      <c r="D69" s="90" t="s">
        <v>614</v>
      </c>
      <c r="E69" s="91" t="s">
        <v>615</v>
      </c>
      <c r="F69" s="315">
        <v>16.579999999999998</v>
      </c>
      <c r="G69" s="260">
        <v>18</v>
      </c>
      <c r="H69" s="260"/>
      <c r="I69" s="309"/>
      <c r="J69" s="199"/>
      <c r="K69" s="269"/>
      <c r="L69" s="93">
        <f t="shared" si="1"/>
        <v>18</v>
      </c>
      <c r="M69" s="183">
        <v>18</v>
      </c>
      <c r="N69" s="95">
        <f t="shared" si="16"/>
        <v>298.43999999999994</v>
      </c>
      <c r="O69" s="95">
        <f t="shared" si="17"/>
        <v>298.43999999999994</v>
      </c>
      <c r="P69" s="94">
        <f t="shared" si="18"/>
        <v>0</v>
      </c>
      <c r="Q69" s="95">
        <f t="shared" si="19"/>
        <v>0</v>
      </c>
      <c r="R69" s="96"/>
      <c r="S69" s="97">
        <f t="shared" si="20"/>
        <v>26</v>
      </c>
      <c r="T69" s="98">
        <f t="shared" si="15"/>
        <v>-8</v>
      </c>
      <c r="U69">
        <v>26</v>
      </c>
    </row>
    <row r="70" spans="2:31" ht="20.100000000000001" customHeight="1">
      <c r="B70" s="88">
        <v>1</v>
      </c>
      <c r="C70" s="89" t="s">
        <v>483</v>
      </c>
      <c r="D70" s="90" t="s">
        <v>614</v>
      </c>
      <c r="E70" s="91" t="s">
        <v>615</v>
      </c>
      <c r="F70" s="315">
        <v>16.576000000000001</v>
      </c>
      <c r="G70" s="260"/>
      <c r="H70" s="260"/>
      <c r="I70" s="328">
        <v>80</v>
      </c>
      <c r="J70" s="199"/>
      <c r="K70" s="269">
        <v>3</v>
      </c>
      <c r="L70" s="93">
        <f t="shared" ref="L70" si="21">G70+I70-J70-K70+H70</f>
        <v>77</v>
      </c>
      <c r="M70" s="183">
        <v>76</v>
      </c>
      <c r="N70" s="95">
        <f t="shared" ref="N70" si="22">F70*L70</f>
        <v>1276.3520000000001</v>
      </c>
      <c r="O70" s="95">
        <f t="shared" ref="O70" si="23">M70*F70</f>
        <v>1259.7760000000001</v>
      </c>
      <c r="P70" s="94">
        <f t="shared" ref="P70" si="24">L70-M70</f>
        <v>1</v>
      </c>
      <c r="Q70" s="95">
        <f t="shared" ref="Q70" si="25">N70-O70</f>
        <v>16.576000000000022</v>
      </c>
      <c r="R70" s="96"/>
      <c r="S70" s="97">
        <f t="shared" ref="S70" si="26">U70+Y70+W70+AA70</f>
        <v>26</v>
      </c>
      <c r="T70" s="98">
        <f t="shared" ref="T70" si="27">M70-S70</f>
        <v>50</v>
      </c>
      <c r="U70">
        <v>26</v>
      </c>
    </row>
    <row r="71" spans="2:31" ht="20.100000000000001" customHeight="1">
      <c r="B71" s="88">
        <v>1</v>
      </c>
      <c r="C71" s="89" t="s">
        <v>483</v>
      </c>
      <c r="D71" s="90" t="s">
        <v>616</v>
      </c>
      <c r="E71" s="91" t="s">
        <v>617</v>
      </c>
      <c r="F71" s="315">
        <v>39.479999999999997</v>
      </c>
      <c r="G71" s="260">
        <v>23</v>
      </c>
      <c r="H71" s="260"/>
      <c r="I71" s="309"/>
      <c r="J71" s="199"/>
      <c r="K71" s="269">
        <v>8</v>
      </c>
      <c r="L71" s="93">
        <f t="shared" si="1"/>
        <v>15</v>
      </c>
      <c r="M71" s="183">
        <v>15</v>
      </c>
      <c r="N71" s="95">
        <f t="shared" si="16"/>
        <v>592.19999999999993</v>
      </c>
      <c r="O71" s="95">
        <f t="shared" si="17"/>
        <v>592.19999999999993</v>
      </c>
      <c r="P71" s="94">
        <f t="shared" si="18"/>
        <v>0</v>
      </c>
      <c r="Q71" s="95">
        <f t="shared" si="19"/>
        <v>0</v>
      </c>
      <c r="R71" s="96"/>
      <c r="S71" s="97">
        <f t="shared" si="20"/>
        <v>0</v>
      </c>
      <c r="T71" s="98">
        <f t="shared" si="15"/>
        <v>15</v>
      </c>
    </row>
    <row r="72" spans="2:31" ht="20.100000000000001" customHeight="1">
      <c r="B72" s="88">
        <v>1</v>
      </c>
      <c r="C72" s="89" t="s">
        <v>483</v>
      </c>
      <c r="D72" s="90" t="s">
        <v>618</v>
      </c>
      <c r="E72" s="91" t="s">
        <v>619</v>
      </c>
      <c r="F72" s="315">
        <v>6.18</v>
      </c>
      <c r="G72" s="260">
        <v>87</v>
      </c>
      <c r="H72" s="260"/>
      <c r="I72" s="309"/>
      <c r="J72" s="199"/>
      <c r="K72" s="269"/>
      <c r="L72" s="93">
        <f t="shared" si="1"/>
        <v>87</v>
      </c>
      <c r="M72" s="183">
        <f>50+25+12</f>
        <v>87</v>
      </c>
      <c r="N72" s="95">
        <f t="shared" si="16"/>
        <v>537.66</v>
      </c>
      <c r="O72" s="95">
        <f t="shared" si="17"/>
        <v>537.66</v>
      </c>
      <c r="P72" s="94">
        <f t="shared" si="18"/>
        <v>0</v>
      </c>
      <c r="Q72" s="95">
        <f t="shared" si="19"/>
        <v>0</v>
      </c>
      <c r="R72" s="96" t="s">
        <v>620</v>
      </c>
      <c r="S72" s="97">
        <f t="shared" si="20"/>
        <v>90</v>
      </c>
      <c r="T72" s="98">
        <f t="shared" si="15"/>
        <v>-3</v>
      </c>
      <c r="U72">
        <v>15</v>
      </c>
      <c r="W72">
        <f>25+50</f>
        <v>75</v>
      </c>
      <c r="X72" t="s">
        <v>621</v>
      </c>
      <c r="AD72">
        <v>25</v>
      </c>
      <c r="AE72" s="100">
        <f>AD72*F72</f>
        <v>154.5</v>
      </c>
    </row>
    <row r="73" spans="2:31" ht="20.100000000000001" customHeight="1">
      <c r="B73" s="88">
        <v>1</v>
      </c>
      <c r="C73" s="89" t="s">
        <v>483</v>
      </c>
      <c r="D73" s="90" t="s">
        <v>622</v>
      </c>
      <c r="E73" s="91" t="s">
        <v>623</v>
      </c>
      <c r="F73" s="315">
        <v>19.75</v>
      </c>
      <c r="G73" s="260"/>
      <c r="H73" s="260"/>
      <c r="I73" s="309"/>
      <c r="J73" s="199"/>
      <c r="K73" s="269"/>
      <c r="L73" s="93">
        <f t="shared" ref="L73:L134" si="28">G73+I73-J73-K73+H73</f>
        <v>0</v>
      </c>
      <c r="M73" s="183"/>
      <c r="N73" s="95">
        <f t="shared" si="16"/>
        <v>0</v>
      </c>
      <c r="O73" s="95">
        <f t="shared" si="17"/>
        <v>0</v>
      </c>
      <c r="P73" s="94">
        <f t="shared" si="18"/>
        <v>0</v>
      </c>
      <c r="Q73" s="95">
        <f t="shared" si="19"/>
        <v>0</v>
      </c>
      <c r="R73" s="96"/>
      <c r="S73" s="97">
        <f t="shared" si="20"/>
        <v>0</v>
      </c>
      <c r="T73" s="98">
        <f t="shared" si="15"/>
        <v>0</v>
      </c>
    </row>
    <row r="74" spans="2:31" ht="20.100000000000001" customHeight="1">
      <c r="B74" s="88">
        <v>1</v>
      </c>
      <c r="C74" s="89" t="s">
        <v>483</v>
      </c>
      <c r="D74" s="90" t="s">
        <v>624</v>
      </c>
      <c r="E74" s="91" t="s">
        <v>625</v>
      </c>
      <c r="F74" s="315">
        <v>19.75</v>
      </c>
      <c r="G74" s="260"/>
      <c r="H74" s="260"/>
      <c r="I74" s="309"/>
      <c r="J74" s="199"/>
      <c r="K74" s="269"/>
      <c r="L74" s="93">
        <f t="shared" si="28"/>
        <v>0</v>
      </c>
      <c r="M74" s="183"/>
      <c r="N74" s="95">
        <f t="shared" si="16"/>
        <v>0</v>
      </c>
      <c r="O74" s="95">
        <f t="shared" si="17"/>
        <v>0</v>
      </c>
      <c r="P74" s="94">
        <f t="shared" si="18"/>
        <v>0</v>
      </c>
      <c r="Q74" s="95">
        <f t="shared" si="19"/>
        <v>0</v>
      </c>
      <c r="R74" s="96"/>
      <c r="S74" s="97">
        <f t="shared" si="20"/>
        <v>0</v>
      </c>
      <c r="T74" s="98">
        <f t="shared" si="15"/>
        <v>0</v>
      </c>
    </row>
    <row r="75" spans="2:31" ht="20.100000000000001" customHeight="1">
      <c r="B75" s="88">
        <v>1</v>
      </c>
      <c r="C75" s="89" t="s">
        <v>483</v>
      </c>
      <c r="D75" s="90" t="s">
        <v>626</v>
      </c>
      <c r="E75" s="91" t="s">
        <v>627</v>
      </c>
      <c r="F75" s="315">
        <v>6.18</v>
      </c>
      <c r="G75" s="260">
        <v>100</v>
      </c>
      <c r="H75" s="260"/>
      <c r="I75" s="309"/>
      <c r="J75" s="199"/>
      <c r="K75" s="269"/>
      <c r="L75" s="93">
        <f t="shared" si="28"/>
        <v>100</v>
      </c>
      <c r="M75" s="183">
        <v>100</v>
      </c>
      <c r="N75" s="95">
        <f t="shared" si="16"/>
        <v>618</v>
      </c>
      <c r="O75" s="95">
        <f t="shared" si="17"/>
        <v>618</v>
      </c>
      <c r="P75" s="94">
        <f t="shared" si="18"/>
        <v>0</v>
      </c>
      <c r="Q75" s="95">
        <f t="shared" si="19"/>
        <v>0</v>
      </c>
      <c r="R75" s="96"/>
      <c r="S75" s="97">
        <f t="shared" si="20"/>
        <v>100</v>
      </c>
      <c r="T75" s="98">
        <f t="shared" si="15"/>
        <v>0</v>
      </c>
      <c r="U75">
        <v>1</v>
      </c>
      <c r="W75">
        <v>99</v>
      </c>
    </row>
    <row r="76" spans="2:31" ht="20.100000000000001" customHeight="1">
      <c r="B76" s="88">
        <v>1</v>
      </c>
      <c r="C76" s="89" t="s">
        <v>483</v>
      </c>
      <c r="D76" s="90" t="s">
        <v>628</v>
      </c>
      <c r="E76" s="91" t="s">
        <v>629</v>
      </c>
      <c r="F76" s="315">
        <v>5.47</v>
      </c>
      <c r="G76" s="260"/>
      <c r="H76" s="260">
        <v>24</v>
      </c>
      <c r="I76" s="309"/>
      <c r="J76" s="199"/>
      <c r="K76" s="269">
        <v>24</v>
      </c>
      <c r="L76" s="93">
        <f t="shared" si="28"/>
        <v>0</v>
      </c>
      <c r="M76" s="183"/>
      <c r="N76" s="95">
        <f t="shared" si="16"/>
        <v>0</v>
      </c>
      <c r="O76" s="95">
        <f t="shared" si="17"/>
        <v>0</v>
      </c>
      <c r="P76" s="94">
        <f t="shared" si="18"/>
        <v>0</v>
      </c>
      <c r="Q76" s="95">
        <f t="shared" si="19"/>
        <v>0</v>
      </c>
      <c r="R76" s="278"/>
      <c r="S76" s="97">
        <f t="shared" si="20"/>
        <v>0</v>
      </c>
      <c r="T76" s="98">
        <f t="shared" si="15"/>
        <v>0</v>
      </c>
    </row>
    <row r="77" spans="2:31" ht="20.100000000000001" customHeight="1">
      <c r="B77" s="88">
        <v>1</v>
      </c>
      <c r="C77" s="89" t="s">
        <v>483</v>
      </c>
      <c r="D77" s="90" t="s">
        <v>630</v>
      </c>
      <c r="E77" s="91" t="s">
        <v>631</v>
      </c>
      <c r="F77" s="315">
        <v>7.62</v>
      </c>
      <c r="G77" s="260">
        <v>23</v>
      </c>
      <c r="H77" s="260">
        <v>15</v>
      </c>
      <c r="I77" s="309"/>
      <c r="J77" s="199"/>
      <c r="K77" s="269">
        <v>30</v>
      </c>
      <c r="L77" s="93">
        <f t="shared" si="28"/>
        <v>8</v>
      </c>
      <c r="M77" s="183">
        <v>8</v>
      </c>
      <c r="N77" s="95">
        <f t="shared" si="16"/>
        <v>60.96</v>
      </c>
      <c r="O77" s="95">
        <f t="shared" si="17"/>
        <v>60.96</v>
      </c>
      <c r="P77" s="94">
        <f t="shared" si="18"/>
        <v>0</v>
      </c>
      <c r="Q77" s="95">
        <f t="shared" si="19"/>
        <v>0</v>
      </c>
      <c r="R77" s="278"/>
      <c r="S77" s="97">
        <f t="shared" si="20"/>
        <v>36</v>
      </c>
      <c r="T77" s="98">
        <f t="shared" si="15"/>
        <v>-28</v>
      </c>
      <c r="U77">
        <v>36</v>
      </c>
    </row>
    <row r="78" spans="2:31" ht="20.100000000000001" customHeight="1">
      <c r="B78" s="88">
        <v>1</v>
      </c>
      <c r="C78" s="89" t="s">
        <v>483</v>
      </c>
      <c r="D78" s="90" t="s">
        <v>632</v>
      </c>
      <c r="E78" s="91" t="s">
        <v>633</v>
      </c>
      <c r="F78" s="315">
        <v>20.81</v>
      </c>
      <c r="G78" s="260"/>
      <c r="H78" s="260"/>
      <c r="I78" s="309"/>
      <c r="J78" s="199"/>
      <c r="K78" s="269"/>
      <c r="L78" s="93">
        <f t="shared" si="28"/>
        <v>0</v>
      </c>
      <c r="M78" s="183"/>
      <c r="N78" s="95">
        <f t="shared" si="16"/>
        <v>0</v>
      </c>
      <c r="O78" s="95">
        <f t="shared" si="17"/>
        <v>0</v>
      </c>
      <c r="P78" s="94">
        <f t="shared" si="18"/>
        <v>0</v>
      </c>
      <c r="Q78" s="95">
        <f t="shared" si="19"/>
        <v>0</v>
      </c>
      <c r="R78" s="96"/>
      <c r="S78" s="97">
        <f t="shared" si="20"/>
        <v>0</v>
      </c>
      <c r="T78" s="98">
        <f t="shared" si="15"/>
        <v>0</v>
      </c>
    </row>
    <row r="79" spans="2:31" ht="20.100000000000001" customHeight="1">
      <c r="B79" s="88">
        <v>1</v>
      </c>
      <c r="C79" s="89" t="s">
        <v>483</v>
      </c>
      <c r="D79" s="90" t="s">
        <v>634</v>
      </c>
      <c r="E79" s="91" t="s">
        <v>635</v>
      </c>
      <c r="F79" s="315">
        <v>11.78</v>
      </c>
      <c r="G79" s="260">
        <v>1</v>
      </c>
      <c r="H79" s="260"/>
      <c r="I79" s="309"/>
      <c r="J79" s="199"/>
      <c r="K79" s="269"/>
      <c r="L79" s="93">
        <f t="shared" si="28"/>
        <v>1</v>
      </c>
      <c r="M79" s="183"/>
      <c r="N79" s="95">
        <f t="shared" si="16"/>
        <v>11.78</v>
      </c>
      <c r="O79" s="95">
        <f t="shared" si="17"/>
        <v>0</v>
      </c>
      <c r="P79" s="94">
        <f t="shared" si="18"/>
        <v>1</v>
      </c>
      <c r="Q79" s="95">
        <f t="shared" si="19"/>
        <v>11.78</v>
      </c>
      <c r="R79" s="96"/>
      <c r="S79" s="97">
        <f t="shared" si="20"/>
        <v>1</v>
      </c>
      <c r="T79" s="98">
        <f t="shared" si="15"/>
        <v>-1</v>
      </c>
      <c r="AA79">
        <v>1</v>
      </c>
      <c r="AB79" t="s">
        <v>636</v>
      </c>
      <c r="AD79">
        <f>AA79</f>
        <v>1</v>
      </c>
      <c r="AE79" s="100">
        <f>AD79*F79</f>
        <v>11.78</v>
      </c>
    </row>
    <row r="80" spans="2:31" ht="20.100000000000001" customHeight="1">
      <c r="B80" s="88">
        <v>1</v>
      </c>
      <c r="C80" s="89" t="s">
        <v>483</v>
      </c>
      <c r="D80" s="90" t="s">
        <v>637</v>
      </c>
      <c r="E80" s="91" t="s">
        <v>638</v>
      </c>
      <c r="F80" s="315">
        <v>15.35</v>
      </c>
      <c r="G80" s="260"/>
      <c r="H80" s="260">
        <v>15</v>
      </c>
      <c r="I80" s="309"/>
      <c r="J80" s="199"/>
      <c r="K80" s="269">
        <v>15</v>
      </c>
      <c r="L80" s="93">
        <f t="shared" si="28"/>
        <v>0</v>
      </c>
      <c r="M80" s="183"/>
      <c r="N80" s="95">
        <f t="shared" si="16"/>
        <v>0</v>
      </c>
      <c r="O80" s="95">
        <f t="shared" si="17"/>
        <v>0</v>
      </c>
      <c r="P80" s="94">
        <f t="shared" si="18"/>
        <v>0</v>
      </c>
      <c r="Q80" s="95">
        <f t="shared" si="19"/>
        <v>0</v>
      </c>
      <c r="R80" s="278" t="s">
        <v>5206</v>
      </c>
      <c r="S80" s="97">
        <f t="shared" si="20"/>
        <v>0</v>
      </c>
      <c r="T80" s="98">
        <f t="shared" si="15"/>
        <v>0</v>
      </c>
    </row>
    <row r="81" spans="2:31" ht="20.100000000000001" customHeight="1">
      <c r="B81" s="88">
        <v>1</v>
      </c>
      <c r="C81" s="89" t="s">
        <v>483</v>
      </c>
      <c r="D81" s="90" t="s">
        <v>639</v>
      </c>
      <c r="E81" s="91" t="s">
        <v>640</v>
      </c>
      <c r="F81" s="315">
        <v>32.47</v>
      </c>
      <c r="G81" s="260">
        <v>48</v>
      </c>
      <c r="H81" s="260">
        <v>8</v>
      </c>
      <c r="I81" s="309"/>
      <c r="J81" s="199"/>
      <c r="K81" s="269">
        <v>17</v>
      </c>
      <c r="L81" s="93">
        <f t="shared" si="28"/>
        <v>39</v>
      </c>
      <c r="M81" s="183">
        <v>39</v>
      </c>
      <c r="N81" s="95">
        <f t="shared" si="16"/>
        <v>1266.33</v>
      </c>
      <c r="O81" s="95">
        <f t="shared" si="17"/>
        <v>1266.33</v>
      </c>
      <c r="P81" s="94">
        <f t="shared" si="18"/>
        <v>0</v>
      </c>
      <c r="Q81" s="95">
        <f t="shared" si="19"/>
        <v>0</v>
      </c>
      <c r="R81" s="278"/>
      <c r="S81" s="97">
        <f t="shared" si="20"/>
        <v>12</v>
      </c>
      <c r="T81" s="98">
        <f t="shared" si="15"/>
        <v>27</v>
      </c>
      <c r="U81">
        <v>12</v>
      </c>
    </row>
    <row r="82" spans="2:31" ht="20.100000000000001" customHeight="1">
      <c r="B82" s="88">
        <v>1</v>
      </c>
      <c r="C82" s="89" t="s">
        <v>483</v>
      </c>
      <c r="D82" s="90" t="s">
        <v>641</v>
      </c>
      <c r="E82" s="91" t="s">
        <v>642</v>
      </c>
      <c r="F82" s="315">
        <v>6.18</v>
      </c>
      <c r="G82" s="260">
        <v>87</v>
      </c>
      <c r="H82" s="260"/>
      <c r="I82" s="309"/>
      <c r="J82" s="199"/>
      <c r="K82" s="269"/>
      <c r="L82" s="93">
        <f t="shared" si="28"/>
        <v>87</v>
      </c>
      <c r="M82" s="185">
        <f>18+18+1+50</f>
        <v>87</v>
      </c>
      <c r="N82" s="95">
        <f t="shared" si="16"/>
        <v>537.66</v>
      </c>
      <c r="O82" s="95">
        <f t="shared" si="17"/>
        <v>537.66</v>
      </c>
      <c r="P82" s="94">
        <f t="shared" si="18"/>
        <v>0</v>
      </c>
      <c r="Q82" s="95">
        <f t="shared" si="19"/>
        <v>0</v>
      </c>
      <c r="R82" s="96" t="s">
        <v>643</v>
      </c>
      <c r="S82" s="97">
        <f t="shared" si="20"/>
        <v>87</v>
      </c>
      <c r="T82" s="98">
        <f t="shared" si="15"/>
        <v>0</v>
      </c>
      <c r="U82">
        <v>1</v>
      </c>
      <c r="W82">
        <f>18+18+50</f>
        <v>86</v>
      </c>
      <c r="X82" t="s">
        <v>644</v>
      </c>
      <c r="AD82">
        <f>W82</f>
        <v>86</v>
      </c>
      <c r="AE82" s="100">
        <f>AD82*F82</f>
        <v>531.48</v>
      </c>
    </row>
    <row r="83" spans="2:31" ht="20.100000000000001" customHeight="1">
      <c r="B83" s="88">
        <v>1</v>
      </c>
      <c r="C83" s="89" t="s">
        <v>483</v>
      </c>
      <c r="D83" s="90" t="s">
        <v>645</v>
      </c>
      <c r="E83" s="91" t="s">
        <v>646</v>
      </c>
      <c r="F83" s="315">
        <v>37.950000000000003</v>
      </c>
      <c r="G83" s="260"/>
      <c r="H83" s="260">
        <v>6</v>
      </c>
      <c r="I83" s="309"/>
      <c r="J83" s="199"/>
      <c r="K83" s="269">
        <v>6</v>
      </c>
      <c r="L83" s="93">
        <f t="shared" si="28"/>
        <v>0</v>
      </c>
      <c r="M83" s="183"/>
      <c r="N83" s="95">
        <f t="shared" si="16"/>
        <v>0</v>
      </c>
      <c r="O83" s="95">
        <f t="shared" si="17"/>
        <v>0</v>
      </c>
      <c r="P83" s="94">
        <f t="shared" si="18"/>
        <v>0</v>
      </c>
      <c r="Q83" s="95">
        <f t="shared" si="19"/>
        <v>0</v>
      </c>
      <c r="R83" s="278"/>
      <c r="S83" s="97">
        <f t="shared" si="20"/>
        <v>0</v>
      </c>
      <c r="T83" s="98">
        <f t="shared" si="15"/>
        <v>0</v>
      </c>
    </row>
    <row r="84" spans="2:31" ht="20.100000000000001" customHeight="1">
      <c r="B84" s="88">
        <v>1</v>
      </c>
      <c r="C84" s="89" t="s">
        <v>483</v>
      </c>
      <c r="D84" s="90" t="s">
        <v>647</v>
      </c>
      <c r="E84" s="91" t="s">
        <v>648</v>
      </c>
      <c r="F84" s="315">
        <v>6.18</v>
      </c>
      <c r="G84" s="260">
        <v>132</v>
      </c>
      <c r="H84" s="260"/>
      <c r="I84" s="309"/>
      <c r="J84" s="199"/>
      <c r="K84" s="269"/>
      <c r="L84" s="93">
        <f t="shared" si="28"/>
        <v>132</v>
      </c>
      <c r="M84" s="183">
        <v>132</v>
      </c>
      <c r="N84" s="95">
        <f t="shared" si="16"/>
        <v>815.76</v>
      </c>
      <c r="O84" s="95">
        <f t="shared" si="17"/>
        <v>815.76</v>
      </c>
      <c r="P84" s="94">
        <f t="shared" si="18"/>
        <v>0</v>
      </c>
      <c r="Q84" s="95">
        <f t="shared" si="19"/>
        <v>0</v>
      </c>
      <c r="R84" s="96" t="s">
        <v>649</v>
      </c>
      <c r="S84" s="97">
        <f t="shared" si="20"/>
        <v>135</v>
      </c>
      <c r="T84" s="98">
        <f t="shared" si="15"/>
        <v>-3</v>
      </c>
      <c r="U84">
        <v>29</v>
      </c>
      <c r="W84">
        <f>56+50</f>
        <v>106</v>
      </c>
      <c r="X84" t="s">
        <v>650</v>
      </c>
      <c r="AD84">
        <v>56</v>
      </c>
      <c r="AE84" s="100">
        <f>AD84*F84</f>
        <v>346.08</v>
      </c>
    </row>
    <row r="85" spans="2:31" ht="20.100000000000001" customHeight="1">
      <c r="B85" s="88">
        <v>1</v>
      </c>
      <c r="C85" s="89" t="s">
        <v>483</v>
      </c>
      <c r="D85" s="90" t="s">
        <v>651</v>
      </c>
      <c r="E85" s="91" t="s">
        <v>652</v>
      </c>
      <c r="F85" s="315">
        <v>21.97</v>
      </c>
      <c r="G85" s="260">
        <v>17</v>
      </c>
      <c r="H85" s="260"/>
      <c r="I85" s="309"/>
      <c r="J85" s="199"/>
      <c r="K85" s="269"/>
      <c r="L85" s="93">
        <f t="shared" si="28"/>
        <v>17</v>
      </c>
      <c r="M85" s="183">
        <f>15+2</f>
        <v>17</v>
      </c>
      <c r="N85" s="95">
        <f t="shared" si="16"/>
        <v>373.49</v>
      </c>
      <c r="O85" s="95">
        <f t="shared" si="17"/>
        <v>373.49</v>
      </c>
      <c r="P85" s="94">
        <f t="shared" si="18"/>
        <v>0</v>
      </c>
      <c r="Q85" s="95">
        <f t="shared" si="19"/>
        <v>0</v>
      </c>
      <c r="R85" s="96"/>
      <c r="S85" s="97">
        <f t="shared" si="20"/>
        <v>21</v>
      </c>
      <c r="T85" s="98">
        <f t="shared" si="15"/>
        <v>-4</v>
      </c>
      <c r="U85">
        <v>6</v>
      </c>
      <c r="W85">
        <v>15</v>
      </c>
    </row>
    <row r="86" spans="2:31" ht="20.100000000000001" customHeight="1">
      <c r="B86" s="88">
        <v>1</v>
      </c>
      <c r="C86" s="89" t="s">
        <v>483</v>
      </c>
      <c r="D86" s="90" t="s">
        <v>653</v>
      </c>
      <c r="E86" s="91" t="s">
        <v>654</v>
      </c>
      <c r="F86" s="315">
        <v>6.18</v>
      </c>
      <c r="G86" s="260">
        <v>49</v>
      </c>
      <c r="H86" s="260">
        <v>30</v>
      </c>
      <c r="I86" s="309"/>
      <c r="J86" s="199"/>
      <c r="K86" s="269">
        <v>30</v>
      </c>
      <c r="L86" s="93">
        <f t="shared" si="28"/>
        <v>49</v>
      </c>
      <c r="M86" s="183">
        <v>49</v>
      </c>
      <c r="N86" s="95">
        <f t="shared" si="16"/>
        <v>302.82</v>
      </c>
      <c r="O86" s="95">
        <f t="shared" si="17"/>
        <v>302.82</v>
      </c>
      <c r="P86" s="94">
        <f t="shared" si="18"/>
        <v>0</v>
      </c>
      <c r="Q86" s="95">
        <f t="shared" si="19"/>
        <v>0</v>
      </c>
      <c r="R86" s="278"/>
      <c r="S86" s="97">
        <f t="shared" si="20"/>
        <v>53</v>
      </c>
      <c r="T86" s="98">
        <f t="shared" si="15"/>
        <v>-4</v>
      </c>
      <c r="U86">
        <v>4</v>
      </c>
      <c r="W86">
        <v>49</v>
      </c>
      <c r="X86" t="s">
        <v>655</v>
      </c>
      <c r="AD86">
        <f>W86</f>
        <v>49</v>
      </c>
      <c r="AE86" s="100">
        <f>AD86*F86</f>
        <v>302.82</v>
      </c>
    </row>
    <row r="87" spans="2:31" ht="20.100000000000001" customHeight="1">
      <c r="B87" s="88">
        <v>1</v>
      </c>
      <c r="C87" s="89" t="s">
        <v>483</v>
      </c>
      <c r="D87" s="90" t="s">
        <v>656</v>
      </c>
      <c r="E87" s="91" t="s">
        <v>657</v>
      </c>
      <c r="F87" s="315">
        <v>21.97</v>
      </c>
      <c r="G87" s="260">
        <v>32</v>
      </c>
      <c r="H87" s="260"/>
      <c r="I87" s="309"/>
      <c r="J87" s="199"/>
      <c r="K87" s="269"/>
      <c r="L87" s="93">
        <f t="shared" si="28"/>
        <v>32</v>
      </c>
      <c r="M87" s="183">
        <f>15+17</f>
        <v>32</v>
      </c>
      <c r="N87" s="95">
        <f t="shared" si="16"/>
        <v>703.04</v>
      </c>
      <c r="O87" s="95">
        <f t="shared" si="17"/>
        <v>703.04</v>
      </c>
      <c r="P87" s="94">
        <f t="shared" si="18"/>
        <v>0</v>
      </c>
      <c r="Q87" s="95">
        <f t="shared" si="19"/>
        <v>0</v>
      </c>
      <c r="R87" s="96" t="s">
        <v>658</v>
      </c>
      <c r="S87" s="97">
        <f t="shared" si="20"/>
        <v>36</v>
      </c>
      <c r="T87" s="98">
        <f t="shared" si="15"/>
        <v>-4</v>
      </c>
      <c r="U87">
        <v>4</v>
      </c>
      <c r="W87">
        <f>17+15</f>
        <v>32</v>
      </c>
      <c r="X87" t="s">
        <v>659</v>
      </c>
      <c r="AD87">
        <v>15</v>
      </c>
      <c r="AE87" s="100">
        <f>AD87*F87</f>
        <v>329.54999999999995</v>
      </c>
    </row>
    <row r="88" spans="2:31" ht="20.100000000000001" customHeight="1">
      <c r="B88" s="88">
        <v>1</v>
      </c>
      <c r="C88" s="89" t="s">
        <v>483</v>
      </c>
      <c r="D88" s="90" t="s">
        <v>660</v>
      </c>
      <c r="E88" s="91" t="s">
        <v>661</v>
      </c>
      <c r="F88" s="315">
        <v>6.43</v>
      </c>
      <c r="G88" s="260"/>
      <c r="H88" s="260"/>
      <c r="I88" s="309"/>
      <c r="J88" s="199"/>
      <c r="K88" s="269"/>
      <c r="L88" s="93">
        <f t="shared" si="28"/>
        <v>0</v>
      </c>
      <c r="M88" s="183"/>
      <c r="N88" s="95">
        <f t="shared" si="16"/>
        <v>0</v>
      </c>
      <c r="O88" s="95">
        <f t="shared" si="17"/>
        <v>0</v>
      </c>
      <c r="P88" s="94">
        <f t="shared" si="18"/>
        <v>0</v>
      </c>
      <c r="Q88" s="95">
        <f t="shared" si="19"/>
        <v>0</v>
      </c>
      <c r="R88" s="96"/>
      <c r="S88" s="97">
        <f t="shared" si="20"/>
        <v>0</v>
      </c>
      <c r="T88" s="98">
        <f t="shared" si="15"/>
        <v>0</v>
      </c>
    </row>
    <row r="89" spans="2:31" ht="20.100000000000001" customHeight="1">
      <c r="B89" s="88">
        <v>1</v>
      </c>
      <c r="C89" s="89" t="s">
        <v>483</v>
      </c>
      <c r="D89" s="90" t="s">
        <v>662</v>
      </c>
      <c r="E89" s="91" t="s">
        <v>663</v>
      </c>
      <c r="F89" s="315">
        <v>6.18</v>
      </c>
      <c r="G89" s="260">
        <v>90</v>
      </c>
      <c r="H89" s="260"/>
      <c r="I89" s="309"/>
      <c r="J89" s="199"/>
      <c r="K89" s="269"/>
      <c r="L89" s="93">
        <f t="shared" si="28"/>
        <v>90</v>
      </c>
      <c r="M89" s="183">
        <f>7+49+34</f>
        <v>90</v>
      </c>
      <c r="N89" s="95">
        <f t="shared" si="16"/>
        <v>556.19999999999993</v>
      </c>
      <c r="O89" s="95">
        <f t="shared" si="17"/>
        <v>556.19999999999993</v>
      </c>
      <c r="P89" s="94">
        <f t="shared" si="18"/>
        <v>0</v>
      </c>
      <c r="Q89" s="95">
        <f t="shared" si="19"/>
        <v>0</v>
      </c>
      <c r="R89" s="96" t="s">
        <v>664</v>
      </c>
      <c r="S89" s="97">
        <f t="shared" si="20"/>
        <v>94</v>
      </c>
      <c r="T89" s="98">
        <f t="shared" si="15"/>
        <v>-4</v>
      </c>
      <c r="U89">
        <v>38</v>
      </c>
      <c r="W89">
        <f>7+49</f>
        <v>56</v>
      </c>
      <c r="X89" t="s">
        <v>665</v>
      </c>
      <c r="AD89">
        <v>49</v>
      </c>
      <c r="AE89" s="100">
        <f>AD89*F89</f>
        <v>302.82</v>
      </c>
    </row>
    <row r="90" spans="2:31" ht="20.100000000000001" customHeight="1">
      <c r="B90" s="88">
        <v>1</v>
      </c>
      <c r="C90" s="89" t="s">
        <v>483</v>
      </c>
      <c r="D90" s="90" t="s">
        <v>666</v>
      </c>
      <c r="E90" s="91" t="s">
        <v>667</v>
      </c>
      <c r="F90" s="315">
        <v>19.75</v>
      </c>
      <c r="G90" s="260"/>
      <c r="H90" s="260"/>
      <c r="I90" s="309"/>
      <c r="J90" s="199"/>
      <c r="K90" s="269"/>
      <c r="L90" s="93">
        <f t="shared" si="28"/>
        <v>0</v>
      </c>
      <c r="M90" s="183"/>
      <c r="N90" s="95">
        <f t="shared" si="16"/>
        <v>0</v>
      </c>
      <c r="O90" s="95">
        <f t="shared" si="17"/>
        <v>0</v>
      </c>
      <c r="P90" s="94">
        <f t="shared" si="18"/>
        <v>0</v>
      </c>
      <c r="Q90" s="95">
        <f t="shared" si="19"/>
        <v>0</v>
      </c>
      <c r="R90" s="96"/>
      <c r="S90" s="97">
        <f t="shared" si="20"/>
        <v>0</v>
      </c>
      <c r="T90" s="98">
        <f t="shared" si="15"/>
        <v>0</v>
      </c>
    </row>
    <row r="91" spans="2:31" ht="20.100000000000001" customHeight="1">
      <c r="B91" s="88">
        <v>1</v>
      </c>
      <c r="C91" s="89" t="s">
        <v>483</v>
      </c>
      <c r="D91" s="90" t="s">
        <v>668</v>
      </c>
      <c r="E91" s="91" t="s">
        <v>669</v>
      </c>
      <c r="F91" s="315">
        <v>15.75</v>
      </c>
      <c r="G91" s="260">
        <v>54</v>
      </c>
      <c r="H91" s="260"/>
      <c r="I91" s="309"/>
      <c r="J91" s="199"/>
      <c r="K91" s="269"/>
      <c r="L91" s="93">
        <f t="shared" si="28"/>
        <v>54</v>
      </c>
      <c r="M91" s="183">
        <v>54</v>
      </c>
      <c r="N91" s="95">
        <f t="shared" si="16"/>
        <v>850.5</v>
      </c>
      <c r="O91" s="95">
        <f t="shared" si="17"/>
        <v>850.5</v>
      </c>
      <c r="P91" s="94">
        <f t="shared" si="18"/>
        <v>0</v>
      </c>
      <c r="Q91" s="95">
        <f t="shared" si="19"/>
        <v>0</v>
      </c>
      <c r="R91" s="102">
        <v>45620</v>
      </c>
      <c r="S91" s="97">
        <f t="shared" si="20"/>
        <v>54</v>
      </c>
      <c r="T91" s="98">
        <f t="shared" si="15"/>
        <v>0</v>
      </c>
      <c r="W91">
        <v>54</v>
      </c>
      <c r="X91" t="s">
        <v>549</v>
      </c>
      <c r="AD91">
        <f>W91</f>
        <v>54</v>
      </c>
      <c r="AE91" s="100">
        <f>AD91*F91</f>
        <v>850.5</v>
      </c>
    </row>
    <row r="92" spans="2:31" ht="20.100000000000001" customHeight="1">
      <c r="B92" s="88">
        <v>1</v>
      </c>
      <c r="C92" s="89" t="s">
        <v>483</v>
      </c>
      <c r="D92" s="90" t="s">
        <v>670</v>
      </c>
      <c r="E92" s="91" t="s">
        <v>671</v>
      </c>
      <c r="F92" s="315">
        <v>6.43</v>
      </c>
      <c r="G92" s="260">
        <v>50</v>
      </c>
      <c r="H92" s="260"/>
      <c r="I92" s="309"/>
      <c r="J92" s="199"/>
      <c r="K92" s="269"/>
      <c r="L92" s="93">
        <f t="shared" si="28"/>
        <v>50</v>
      </c>
      <c r="M92" s="183">
        <v>50</v>
      </c>
      <c r="N92" s="95">
        <f t="shared" si="16"/>
        <v>321.5</v>
      </c>
      <c r="O92" s="95">
        <f t="shared" si="17"/>
        <v>321.5</v>
      </c>
      <c r="P92" s="94">
        <f t="shared" si="18"/>
        <v>0</v>
      </c>
      <c r="Q92" s="95">
        <f t="shared" si="19"/>
        <v>0</v>
      </c>
      <c r="R92" s="96"/>
      <c r="S92" s="97">
        <f t="shared" si="20"/>
        <v>50</v>
      </c>
      <c r="T92" s="98">
        <f t="shared" si="15"/>
        <v>0</v>
      </c>
      <c r="W92">
        <v>50</v>
      </c>
      <c r="X92" t="s">
        <v>549</v>
      </c>
      <c r="AD92">
        <f t="shared" ref="AD92:AD93" si="29">W92</f>
        <v>50</v>
      </c>
      <c r="AE92" s="100">
        <f>AD92*F92</f>
        <v>321.5</v>
      </c>
    </row>
    <row r="93" spans="2:31" ht="20.100000000000001" customHeight="1">
      <c r="B93" s="88">
        <v>1</v>
      </c>
      <c r="C93" s="89" t="s">
        <v>483</v>
      </c>
      <c r="D93" s="90" t="s">
        <v>672</v>
      </c>
      <c r="E93" s="91" t="s">
        <v>673</v>
      </c>
      <c r="F93" s="315">
        <v>8.61</v>
      </c>
      <c r="G93" s="260">
        <v>101</v>
      </c>
      <c r="H93" s="260"/>
      <c r="I93" s="309"/>
      <c r="J93" s="199"/>
      <c r="K93" s="269"/>
      <c r="L93" s="93">
        <f t="shared" si="28"/>
        <v>101</v>
      </c>
      <c r="M93" s="183">
        <f>51+50</f>
        <v>101</v>
      </c>
      <c r="N93" s="95">
        <f t="shared" si="16"/>
        <v>869.6099999999999</v>
      </c>
      <c r="O93" s="95">
        <f t="shared" si="17"/>
        <v>869.6099999999999</v>
      </c>
      <c r="P93" s="94">
        <f t="shared" si="18"/>
        <v>0</v>
      </c>
      <c r="Q93" s="95">
        <f t="shared" si="19"/>
        <v>0</v>
      </c>
      <c r="R93" s="102">
        <v>45489</v>
      </c>
      <c r="S93" s="97">
        <f t="shared" si="20"/>
        <v>101</v>
      </c>
      <c r="T93" s="98">
        <f t="shared" si="15"/>
        <v>0</v>
      </c>
      <c r="W93">
        <f>51+50</f>
        <v>101</v>
      </c>
      <c r="X93" t="s">
        <v>549</v>
      </c>
      <c r="AD93">
        <f t="shared" si="29"/>
        <v>101</v>
      </c>
      <c r="AE93" s="100">
        <f>AD93*F93</f>
        <v>869.6099999999999</v>
      </c>
    </row>
    <row r="94" spans="2:31" ht="20.100000000000001" customHeight="1">
      <c r="B94" s="88">
        <v>1</v>
      </c>
      <c r="C94" s="89" t="s">
        <v>483</v>
      </c>
      <c r="D94" s="90" t="s">
        <v>674</v>
      </c>
      <c r="E94" s="91" t="s">
        <v>675</v>
      </c>
      <c r="F94" s="315">
        <v>37.950000000000003</v>
      </c>
      <c r="G94" s="260"/>
      <c r="H94" s="260">
        <v>6</v>
      </c>
      <c r="I94" s="309"/>
      <c r="J94" s="199"/>
      <c r="K94" s="269">
        <v>6</v>
      </c>
      <c r="L94" s="93">
        <f t="shared" si="28"/>
        <v>0</v>
      </c>
      <c r="M94" s="183"/>
      <c r="N94" s="95">
        <f t="shared" si="16"/>
        <v>0</v>
      </c>
      <c r="O94" s="95">
        <f t="shared" si="17"/>
        <v>0</v>
      </c>
      <c r="P94" s="94">
        <f t="shared" si="18"/>
        <v>0</v>
      </c>
      <c r="Q94" s="95">
        <f t="shared" si="19"/>
        <v>0</v>
      </c>
      <c r="R94" s="278"/>
      <c r="S94" s="97">
        <f t="shared" si="20"/>
        <v>0</v>
      </c>
      <c r="T94" s="98">
        <f t="shared" si="15"/>
        <v>0</v>
      </c>
    </row>
    <row r="95" spans="2:31" ht="20.100000000000001" customHeight="1">
      <c r="B95" s="88">
        <v>1</v>
      </c>
      <c r="C95" s="89" t="s">
        <v>483</v>
      </c>
      <c r="D95" s="90" t="s">
        <v>676</v>
      </c>
      <c r="E95" s="91" t="s">
        <v>677</v>
      </c>
      <c r="F95" s="315">
        <v>8.61</v>
      </c>
      <c r="G95" s="260"/>
      <c r="H95" s="260"/>
      <c r="I95" s="309"/>
      <c r="J95" s="199"/>
      <c r="K95" s="269"/>
      <c r="L95" s="93">
        <f t="shared" si="28"/>
        <v>0</v>
      </c>
      <c r="M95" s="183"/>
      <c r="N95" s="95">
        <f t="shared" si="16"/>
        <v>0</v>
      </c>
      <c r="O95" s="95">
        <f t="shared" si="17"/>
        <v>0</v>
      </c>
      <c r="P95" s="94">
        <f t="shared" si="18"/>
        <v>0</v>
      </c>
      <c r="Q95" s="95">
        <f t="shared" si="19"/>
        <v>0</v>
      </c>
      <c r="R95" s="96"/>
      <c r="S95" s="97">
        <f t="shared" si="20"/>
        <v>0</v>
      </c>
      <c r="T95" s="98">
        <f t="shared" si="15"/>
        <v>0</v>
      </c>
    </row>
    <row r="96" spans="2:31" ht="20.100000000000001" customHeight="1">
      <c r="B96" s="88">
        <v>1</v>
      </c>
      <c r="C96" s="89" t="s">
        <v>483</v>
      </c>
      <c r="D96" s="90" t="s">
        <v>678</v>
      </c>
      <c r="E96" s="91" t="s">
        <v>679</v>
      </c>
      <c r="F96" s="315">
        <v>6.43</v>
      </c>
      <c r="G96" s="260"/>
      <c r="H96" s="260"/>
      <c r="I96" s="309"/>
      <c r="J96" s="199"/>
      <c r="K96" s="269"/>
      <c r="L96" s="93">
        <f t="shared" si="28"/>
        <v>0</v>
      </c>
      <c r="M96" s="183"/>
      <c r="N96" s="95">
        <f t="shared" si="16"/>
        <v>0</v>
      </c>
      <c r="O96" s="95">
        <f t="shared" si="17"/>
        <v>0</v>
      </c>
      <c r="P96" s="94">
        <f t="shared" si="18"/>
        <v>0</v>
      </c>
      <c r="Q96" s="95">
        <f t="shared" si="19"/>
        <v>0</v>
      </c>
      <c r="R96" s="96"/>
      <c r="S96" s="97">
        <f t="shared" si="20"/>
        <v>0</v>
      </c>
      <c r="T96" s="98">
        <f t="shared" si="15"/>
        <v>0</v>
      </c>
    </row>
    <row r="97" spans="2:31" ht="20.100000000000001" customHeight="1">
      <c r="B97" s="88">
        <v>1</v>
      </c>
      <c r="C97" s="89" t="s">
        <v>483</v>
      </c>
      <c r="D97" s="90" t="s">
        <v>680</v>
      </c>
      <c r="E97" s="91" t="s">
        <v>681</v>
      </c>
      <c r="F97" s="315">
        <v>30.75</v>
      </c>
      <c r="G97" s="260"/>
      <c r="H97" s="260"/>
      <c r="I97" s="309"/>
      <c r="J97" s="199"/>
      <c r="K97" s="269"/>
      <c r="L97" s="93">
        <f t="shared" si="28"/>
        <v>0</v>
      </c>
      <c r="M97" s="183"/>
      <c r="N97" s="95">
        <f t="shared" si="16"/>
        <v>0</v>
      </c>
      <c r="O97" s="95">
        <f t="shared" si="17"/>
        <v>0</v>
      </c>
      <c r="P97" s="94">
        <f t="shared" si="18"/>
        <v>0</v>
      </c>
      <c r="Q97" s="95">
        <f t="shared" si="19"/>
        <v>0</v>
      </c>
      <c r="R97" s="96"/>
      <c r="S97" s="97">
        <f t="shared" si="20"/>
        <v>0</v>
      </c>
      <c r="T97" s="98">
        <f t="shared" si="15"/>
        <v>0</v>
      </c>
    </row>
    <row r="98" spans="2:31" ht="20.100000000000001" customHeight="1">
      <c r="B98" s="88">
        <v>1</v>
      </c>
      <c r="C98" s="89" t="s">
        <v>483</v>
      </c>
      <c r="D98" s="90" t="s">
        <v>682</v>
      </c>
      <c r="E98" s="91" t="s">
        <v>683</v>
      </c>
      <c r="F98" s="315">
        <v>6.43</v>
      </c>
      <c r="G98" s="260">
        <v>5</v>
      </c>
      <c r="H98" s="260"/>
      <c r="I98" s="309"/>
      <c r="J98" s="199"/>
      <c r="K98" s="269"/>
      <c r="L98" s="93">
        <f t="shared" si="28"/>
        <v>5</v>
      </c>
      <c r="M98" s="183">
        <v>5</v>
      </c>
      <c r="N98" s="95">
        <f t="shared" si="16"/>
        <v>32.15</v>
      </c>
      <c r="O98" s="95">
        <f t="shared" si="17"/>
        <v>32.15</v>
      </c>
      <c r="P98" s="94">
        <f t="shared" si="18"/>
        <v>0</v>
      </c>
      <c r="Q98" s="95">
        <f t="shared" si="19"/>
        <v>0</v>
      </c>
      <c r="R98" s="102">
        <v>45613</v>
      </c>
      <c r="S98" s="97">
        <f t="shared" si="20"/>
        <v>5</v>
      </c>
      <c r="T98" s="98">
        <f t="shared" si="15"/>
        <v>0</v>
      </c>
      <c r="W98">
        <v>5</v>
      </c>
      <c r="X98" t="s">
        <v>549</v>
      </c>
      <c r="AD98">
        <f>W98</f>
        <v>5</v>
      </c>
      <c r="AE98" s="100">
        <f>AD98*F98</f>
        <v>32.15</v>
      </c>
    </row>
    <row r="99" spans="2:31" ht="20.100000000000001" customHeight="1">
      <c r="B99" s="88">
        <v>1</v>
      </c>
      <c r="C99" s="89" t="s">
        <v>483</v>
      </c>
      <c r="D99" s="90" t="s">
        <v>684</v>
      </c>
      <c r="E99" s="91" t="s">
        <v>685</v>
      </c>
      <c r="F99" s="315">
        <v>22.86</v>
      </c>
      <c r="G99" s="260"/>
      <c r="H99" s="260"/>
      <c r="I99" s="309"/>
      <c r="J99" s="199"/>
      <c r="K99" s="269"/>
      <c r="L99" s="93">
        <f t="shared" si="28"/>
        <v>0</v>
      </c>
      <c r="M99" s="183"/>
      <c r="N99" s="95">
        <f t="shared" si="16"/>
        <v>0</v>
      </c>
      <c r="O99" s="95">
        <f t="shared" si="17"/>
        <v>0</v>
      </c>
      <c r="P99" s="94">
        <f t="shared" si="18"/>
        <v>0</v>
      </c>
      <c r="Q99" s="95">
        <f t="shared" si="19"/>
        <v>0</v>
      </c>
      <c r="R99" s="96"/>
      <c r="S99" s="97">
        <f t="shared" si="20"/>
        <v>0</v>
      </c>
      <c r="T99" s="98">
        <f t="shared" si="15"/>
        <v>0</v>
      </c>
    </row>
    <row r="100" spans="2:31" ht="20.100000000000001" customHeight="1">
      <c r="B100" s="88">
        <v>1</v>
      </c>
      <c r="C100" s="89" t="s">
        <v>483</v>
      </c>
      <c r="D100" s="90" t="s">
        <v>686</v>
      </c>
      <c r="E100" s="91" t="s">
        <v>687</v>
      </c>
      <c r="F100" s="315">
        <v>22.86</v>
      </c>
      <c r="G100" s="260"/>
      <c r="H100" s="260"/>
      <c r="I100" s="309"/>
      <c r="J100" s="199"/>
      <c r="K100" s="269"/>
      <c r="L100" s="93">
        <f t="shared" si="28"/>
        <v>0</v>
      </c>
      <c r="M100" s="183"/>
      <c r="N100" s="95">
        <f t="shared" si="16"/>
        <v>0</v>
      </c>
      <c r="O100" s="95">
        <f t="shared" si="17"/>
        <v>0</v>
      </c>
      <c r="P100" s="94">
        <f t="shared" si="18"/>
        <v>0</v>
      </c>
      <c r="Q100" s="95">
        <f t="shared" si="19"/>
        <v>0</v>
      </c>
      <c r="R100" s="96"/>
      <c r="S100" s="97">
        <f t="shared" si="20"/>
        <v>0</v>
      </c>
      <c r="T100" s="98">
        <f t="shared" si="15"/>
        <v>0</v>
      </c>
    </row>
    <row r="101" spans="2:31" ht="20.100000000000001" customHeight="1">
      <c r="B101" s="88">
        <v>1</v>
      </c>
      <c r="C101" s="89" t="s">
        <v>483</v>
      </c>
      <c r="D101" s="90" t="s">
        <v>688</v>
      </c>
      <c r="E101" s="91" t="s">
        <v>689</v>
      </c>
      <c r="F101" s="315">
        <v>6.18</v>
      </c>
      <c r="G101" s="260">
        <v>129</v>
      </c>
      <c r="H101" s="260">
        <v>35</v>
      </c>
      <c r="I101" s="309"/>
      <c r="J101" s="199"/>
      <c r="K101" s="269">
        <v>35</v>
      </c>
      <c r="L101" s="93">
        <f t="shared" si="28"/>
        <v>129</v>
      </c>
      <c r="M101" s="183">
        <f>55+51+23</f>
        <v>129</v>
      </c>
      <c r="N101" s="95">
        <f t="shared" si="16"/>
        <v>797.21999999999991</v>
      </c>
      <c r="O101" s="95">
        <f t="shared" si="17"/>
        <v>797.21999999999991</v>
      </c>
      <c r="P101" s="94">
        <f t="shared" si="18"/>
        <v>0</v>
      </c>
      <c r="Q101" s="95">
        <f t="shared" si="19"/>
        <v>0</v>
      </c>
      <c r="R101" s="278"/>
      <c r="S101" s="97">
        <f t="shared" si="20"/>
        <v>138</v>
      </c>
      <c r="T101" s="98">
        <f t="shared" si="15"/>
        <v>-9</v>
      </c>
      <c r="U101">
        <v>32</v>
      </c>
      <c r="W101">
        <f>55+51</f>
        <v>106</v>
      </c>
      <c r="X101" t="s">
        <v>690</v>
      </c>
      <c r="AD101">
        <v>51</v>
      </c>
      <c r="AE101" s="100">
        <f>AD101*F101</f>
        <v>315.18</v>
      </c>
    </row>
    <row r="102" spans="2:31" ht="20.100000000000001" customHeight="1">
      <c r="B102" s="88">
        <v>1</v>
      </c>
      <c r="C102" s="89" t="s">
        <v>483</v>
      </c>
      <c r="D102" s="90" t="s">
        <v>691</v>
      </c>
      <c r="E102" s="91" t="s">
        <v>692</v>
      </c>
      <c r="F102" s="315">
        <v>21.97</v>
      </c>
      <c r="G102" s="260">
        <v>17</v>
      </c>
      <c r="H102" s="260"/>
      <c r="I102" s="309"/>
      <c r="J102" s="199"/>
      <c r="K102" s="269"/>
      <c r="L102" s="93">
        <f t="shared" si="28"/>
        <v>17</v>
      </c>
      <c r="M102" s="183">
        <f>14+2</f>
        <v>16</v>
      </c>
      <c r="N102" s="95">
        <f t="shared" si="16"/>
        <v>373.49</v>
      </c>
      <c r="O102" s="95">
        <f t="shared" si="17"/>
        <v>351.52</v>
      </c>
      <c r="P102" s="94">
        <f t="shared" si="18"/>
        <v>1</v>
      </c>
      <c r="Q102" s="95">
        <f t="shared" si="19"/>
        <v>21.970000000000027</v>
      </c>
      <c r="R102" s="96" t="s">
        <v>693</v>
      </c>
      <c r="S102" s="97">
        <f t="shared" si="20"/>
        <v>20</v>
      </c>
      <c r="T102" s="98">
        <f t="shared" si="15"/>
        <v>-4</v>
      </c>
      <c r="U102">
        <v>5</v>
      </c>
      <c r="W102">
        <v>15</v>
      </c>
      <c r="X102" t="s">
        <v>694</v>
      </c>
      <c r="AD102">
        <f>W102</f>
        <v>15</v>
      </c>
      <c r="AE102" s="100">
        <f>AD102*F102</f>
        <v>329.54999999999995</v>
      </c>
    </row>
    <row r="103" spans="2:31" ht="20.100000000000001" customHeight="1">
      <c r="B103" s="88">
        <v>1</v>
      </c>
      <c r="C103" s="89" t="s">
        <v>483</v>
      </c>
      <c r="D103" s="90" t="s">
        <v>695</v>
      </c>
      <c r="E103" s="91" t="s">
        <v>696</v>
      </c>
      <c r="F103" s="315">
        <v>6.43</v>
      </c>
      <c r="G103" s="260">
        <v>32</v>
      </c>
      <c r="H103" s="260"/>
      <c r="I103" s="309"/>
      <c r="J103" s="199"/>
      <c r="K103" s="269"/>
      <c r="L103" s="93">
        <f t="shared" si="28"/>
        <v>32</v>
      </c>
      <c r="M103" s="183">
        <v>32</v>
      </c>
      <c r="N103" s="95">
        <f t="shared" si="16"/>
        <v>205.76</v>
      </c>
      <c r="O103" s="95">
        <f t="shared" si="17"/>
        <v>205.76</v>
      </c>
      <c r="P103" s="94">
        <f t="shared" si="18"/>
        <v>0</v>
      </c>
      <c r="Q103" s="95">
        <f t="shared" si="19"/>
        <v>0</v>
      </c>
      <c r="R103" s="102">
        <v>45584</v>
      </c>
      <c r="S103" s="97">
        <f t="shared" si="20"/>
        <v>32</v>
      </c>
      <c r="T103" s="98">
        <f t="shared" si="15"/>
        <v>0</v>
      </c>
      <c r="W103">
        <v>32</v>
      </c>
      <c r="X103" t="s">
        <v>549</v>
      </c>
      <c r="AD103">
        <f>W103</f>
        <v>32</v>
      </c>
      <c r="AE103" s="100">
        <f>AD103*F103</f>
        <v>205.76</v>
      </c>
    </row>
    <row r="104" spans="2:31" ht="20.100000000000001" customHeight="1">
      <c r="B104" s="88">
        <v>1</v>
      </c>
      <c r="C104" s="89" t="s">
        <v>483</v>
      </c>
      <c r="D104" s="90" t="s">
        <v>697</v>
      </c>
      <c r="E104" s="91" t="s">
        <v>698</v>
      </c>
      <c r="F104" s="315">
        <v>22.86</v>
      </c>
      <c r="G104" s="260"/>
      <c r="H104" s="260"/>
      <c r="I104" s="309"/>
      <c r="J104" s="199"/>
      <c r="K104" s="269"/>
      <c r="L104" s="93">
        <f t="shared" si="28"/>
        <v>0</v>
      </c>
      <c r="M104" s="183"/>
      <c r="N104" s="95">
        <f t="shared" si="16"/>
        <v>0</v>
      </c>
      <c r="O104" s="95">
        <f t="shared" si="17"/>
        <v>0</v>
      </c>
      <c r="P104" s="94">
        <f t="shared" si="18"/>
        <v>0</v>
      </c>
      <c r="Q104" s="95">
        <f t="shared" si="19"/>
        <v>0</v>
      </c>
      <c r="R104" s="96"/>
      <c r="S104" s="97">
        <f t="shared" si="20"/>
        <v>0</v>
      </c>
      <c r="T104" s="98">
        <f t="shared" si="15"/>
        <v>0</v>
      </c>
    </row>
    <row r="105" spans="2:31" ht="20.100000000000001" customHeight="1">
      <c r="B105" s="88">
        <v>1</v>
      </c>
      <c r="C105" s="89" t="s">
        <v>483</v>
      </c>
      <c r="D105" s="90" t="s">
        <v>699</v>
      </c>
      <c r="E105" s="91" t="s">
        <v>700</v>
      </c>
      <c r="F105" s="315">
        <v>8.61</v>
      </c>
      <c r="G105" s="260"/>
      <c r="H105" s="260"/>
      <c r="I105" s="309"/>
      <c r="J105" s="199"/>
      <c r="K105" s="269"/>
      <c r="L105" s="93">
        <f t="shared" si="28"/>
        <v>0</v>
      </c>
      <c r="M105" s="183"/>
      <c r="N105" s="95">
        <f t="shared" si="16"/>
        <v>0</v>
      </c>
      <c r="O105" s="95">
        <f t="shared" si="17"/>
        <v>0</v>
      </c>
      <c r="P105" s="94">
        <f t="shared" si="18"/>
        <v>0</v>
      </c>
      <c r="Q105" s="95">
        <f t="shared" si="19"/>
        <v>0</v>
      </c>
      <c r="R105" s="96"/>
      <c r="S105" s="97">
        <f t="shared" si="20"/>
        <v>0</v>
      </c>
      <c r="T105" s="98">
        <f t="shared" si="15"/>
        <v>0</v>
      </c>
    </row>
    <row r="106" spans="2:31" ht="20.100000000000001" customHeight="1">
      <c r="B106" s="88">
        <v>1</v>
      </c>
      <c r="C106" s="89" t="s">
        <v>483</v>
      </c>
      <c r="D106" s="90" t="s">
        <v>701</v>
      </c>
      <c r="E106" s="91" t="s">
        <v>702</v>
      </c>
      <c r="F106" s="315">
        <v>60</v>
      </c>
      <c r="G106" s="260">
        <v>1</v>
      </c>
      <c r="H106" s="260"/>
      <c r="I106" s="330">
        <v>21</v>
      </c>
      <c r="J106" s="199"/>
      <c r="K106" s="269">
        <v>17</v>
      </c>
      <c r="L106" s="93">
        <f t="shared" si="28"/>
        <v>5</v>
      </c>
      <c r="M106" s="183">
        <v>5</v>
      </c>
      <c r="N106" s="95">
        <f t="shared" si="16"/>
        <v>300</v>
      </c>
      <c r="O106" s="95">
        <f t="shared" si="17"/>
        <v>300</v>
      </c>
      <c r="P106" s="94">
        <f t="shared" si="18"/>
        <v>0</v>
      </c>
      <c r="Q106" s="95">
        <f t="shared" si="19"/>
        <v>0</v>
      </c>
      <c r="R106" s="96"/>
      <c r="S106" s="97">
        <f t="shared" si="20"/>
        <v>1</v>
      </c>
      <c r="T106" s="98">
        <f t="shared" si="15"/>
        <v>4</v>
      </c>
      <c r="U106">
        <v>1</v>
      </c>
    </row>
    <row r="107" spans="2:31" ht="20.100000000000001" customHeight="1">
      <c r="B107" s="88">
        <v>1</v>
      </c>
      <c r="C107" s="89" t="s">
        <v>483</v>
      </c>
      <c r="D107" s="90" t="s">
        <v>701</v>
      </c>
      <c r="E107" s="91" t="s">
        <v>702</v>
      </c>
      <c r="F107" s="315">
        <v>60</v>
      </c>
      <c r="G107" s="260"/>
      <c r="H107" s="260"/>
      <c r="I107" s="309"/>
      <c r="J107" s="199"/>
      <c r="K107" s="269"/>
      <c r="L107" s="93">
        <f t="shared" si="28"/>
        <v>0</v>
      </c>
      <c r="M107" s="183"/>
      <c r="N107" s="95">
        <f t="shared" si="16"/>
        <v>0</v>
      </c>
      <c r="O107" s="95">
        <f t="shared" si="17"/>
        <v>0</v>
      </c>
      <c r="P107" s="94">
        <f t="shared" si="18"/>
        <v>0</v>
      </c>
      <c r="Q107" s="95">
        <f t="shared" si="19"/>
        <v>0</v>
      </c>
      <c r="R107" s="96"/>
      <c r="S107" s="97">
        <f t="shared" si="20"/>
        <v>0</v>
      </c>
      <c r="T107" s="98">
        <f t="shared" si="15"/>
        <v>0</v>
      </c>
    </row>
    <row r="108" spans="2:31" ht="20.100000000000001" customHeight="1">
      <c r="B108" s="88">
        <v>1</v>
      </c>
      <c r="C108" s="89" t="s">
        <v>483</v>
      </c>
      <c r="D108" s="90" t="s">
        <v>703</v>
      </c>
      <c r="E108" s="91" t="s">
        <v>704</v>
      </c>
      <c r="F108" s="315">
        <v>15.12</v>
      </c>
      <c r="G108" s="260">
        <v>73</v>
      </c>
      <c r="H108" s="260">
        <v>10</v>
      </c>
      <c r="I108" s="309"/>
      <c r="J108" s="199"/>
      <c r="K108" s="269">
        <v>21</v>
      </c>
      <c r="L108" s="93">
        <f t="shared" si="28"/>
        <v>62</v>
      </c>
      <c r="M108" s="183">
        <v>62</v>
      </c>
      <c r="N108" s="95">
        <f t="shared" si="16"/>
        <v>937.43999999999994</v>
      </c>
      <c r="O108" s="95">
        <f t="shared" si="17"/>
        <v>937.43999999999994</v>
      </c>
      <c r="P108" s="94">
        <f t="shared" si="18"/>
        <v>0</v>
      </c>
      <c r="Q108" s="95">
        <f t="shared" si="19"/>
        <v>0</v>
      </c>
      <c r="R108" s="278"/>
      <c r="S108" s="97">
        <f t="shared" si="20"/>
        <v>77</v>
      </c>
      <c r="T108" s="98">
        <f t="shared" si="15"/>
        <v>-15</v>
      </c>
      <c r="U108">
        <f>37+40</f>
        <v>77</v>
      </c>
    </row>
    <row r="109" spans="2:31" ht="20.100000000000001" customHeight="1">
      <c r="B109" s="88">
        <v>1</v>
      </c>
      <c r="C109" s="89" t="s">
        <v>483</v>
      </c>
      <c r="D109" s="90" t="s">
        <v>705</v>
      </c>
      <c r="E109" s="91" t="s">
        <v>706</v>
      </c>
      <c r="F109" s="315">
        <v>31.6</v>
      </c>
      <c r="G109" s="260">
        <v>42</v>
      </c>
      <c r="H109" s="260"/>
      <c r="I109" s="309"/>
      <c r="J109" s="199"/>
      <c r="K109" s="269">
        <v>5</v>
      </c>
      <c r="L109" s="93">
        <f t="shared" si="28"/>
        <v>37</v>
      </c>
      <c r="M109" s="183">
        <v>37</v>
      </c>
      <c r="N109" s="95">
        <f t="shared" si="16"/>
        <v>1169.2</v>
      </c>
      <c r="O109" s="95">
        <f t="shared" si="17"/>
        <v>1169.2</v>
      </c>
      <c r="P109" s="94">
        <f t="shared" si="18"/>
        <v>0</v>
      </c>
      <c r="Q109" s="95">
        <f t="shared" si="19"/>
        <v>0</v>
      </c>
      <c r="R109" s="96"/>
      <c r="S109" s="97">
        <f t="shared" si="20"/>
        <v>48</v>
      </c>
      <c r="T109" s="98">
        <f t="shared" si="15"/>
        <v>-11</v>
      </c>
      <c r="U109">
        <v>48</v>
      </c>
    </row>
    <row r="110" spans="2:31" ht="20.100000000000001" customHeight="1">
      <c r="B110" s="88">
        <v>1</v>
      </c>
      <c r="C110" s="89" t="s">
        <v>483</v>
      </c>
      <c r="D110" s="90" t="s">
        <v>707</v>
      </c>
      <c r="E110" s="91" t="s">
        <v>708</v>
      </c>
      <c r="F110" s="315">
        <v>15.12</v>
      </c>
      <c r="G110" s="260">
        <v>15</v>
      </c>
      <c r="H110" s="260"/>
      <c r="I110" s="309"/>
      <c r="J110" s="199"/>
      <c r="K110" s="269">
        <v>4</v>
      </c>
      <c r="L110" s="93">
        <f t="shared" si="28"/>
        <v>11</v>
      </c>
      <c r="M110" s="183">
        <v>11</v>
      </c>
      <c r="N110" s="95">
        <f t="shared" si="16"/>
        <v>166.32</v>
      </c>
      <c r="O110" s="95">
        <f t="shared" si="17"/>
        <v>166.32</v>
      </c>
      <c r="P110" s="94">
        <f t="shared" si="18"/>
        <v>0</v>
      </c>
      <c r="Q110" s="95">
        <f t="shared" si="19"/>
        <v>0</v>
      </c>
      <c r="R110" s="96"/>
      <c r="S110" s="97">
        <f t="shared" si="20"/>
        <v>18</v>
      </c>
      <c r="T110" s="98">
        <f t="shared" si="15"/>
        <v>-7</v>
      </c>
      <c r="U110">
        <v>18</v>
      </c>
    </row>
    <row r="111" spans="2:31" ht="20.100000000000001" customHeight="1">
      <c r="B111" s="88">
        <v>1</v>
      </c>
      <c r="C111" s="89" t="s">
        <v>483</v>
      </c>
      <c r="D111" s="90" t="s">
        <v>709</v>
      </c>
      <c r="E111" s="91" t="s">
        <v>710</v>
      </c>
      <c r="F111" s="315">
        <v>31.6</v>
      </c>
      <c r="G111" s="260">
        <v>39</v>
      </c>
      <c r="H111" s="260">
        <v>10</v>
      </c>
      <c r="I111" s="309"/>
      <c r="J111" s="199"/>
      <c r="K111" s="269">
        <v>11</v>
      </c>
      <c r="L111" s="93">
        <f t="shared" si="28"/>
        <v>38</v>
      </c>
      <c r="M111" s="183">
        <v>38</v>
      </c>
      <c r="N111" s="95">
        <f t="shared" si="16"/>
        <v>1200.8</v>
      </c>
      <c r="O111" s="95">
        <f t="shared" si="17"/>
        <v>1200.8</v>
      </c>
      <c r="P111" s="94">
        <f t="shared" si="18"/>
        <v>0</v>
      </c>
      <c r="Q111" s="95">
        <f t="shared" si="19"/>
        <v>0</v>
      </c>
      <c r="R111" s="278"/>
      <c r="S111" s="97">
        <f t="shared" si="20"/>
        <v>44</v>
      </c>
      <c r="T111" s="98">
        <f t="shared" si="15"/>
        <v>-6</v>
      </c>
      <c r="U111">
        <v>44</v>
      </c>
    </row>
    <row r="112" spans="2:31" ht="20.100000000000001" customHeight="1">
      <c r="B112" s="88">
        <v>1</v>
      </c>
      <c r="C112" s="89" t="s">
        <v>483</v>
      </c>
      <c r="D112" s="90" t="s">
        <v>711</v>
      </c>
      <c r="E112" s="91" t="s">
        <v>712</v>
      </c>
      <c r="F112" s="315">
        <v>13.5</v>
      </c>
      <c r="G112" s="260"/>
      <c r="H112" s="260"/>
      <c r="I112" s="309"/>
      <c r="J112" s="199"/>
      <c r="K112" s="269"/>
      <c r="L112" s="93">
        <f t="shared" si="28"/>
        <v>0</v>
      </c>
      <c r="M112" s="183"/>
      <c r="N112" s="95">
        <f t="shared" si="16"/>
        <v>0</v>
      </c>
      <c r="O112" s="95">
        <f t="shared" si="17"/>
        <v>0</v>
      </c>
      <c r="P112" s="94">
        <f t="shared" si="18"/>
        <v>0</v>
      </c>
      <c r="Q112" s="95">
        <f t="shared" si="19"/>
        <v>0</v>
      </c>
      <c r="R112" s="96"/>
      <c r="S112" s="97">
        <f t="shared" si="20"/>
        <v>0</v>
      </c>
      <c r="T112" s="98">
        <f t="shared" si="15"/>
        <v>0</v>
      </c>
    </row>
    <row r="113" spans="2:31" ht="20.100000000000001" customHeight="1">
      <c r="B113" s="88">
        <v>1</v>
      </c>
      <c r="C113" s="89" t="s">
        <v>483</v>
      </c>
      <c r="D113" s="90" t="s">
        <v>713</v>
      </c>
      <c r="E113" s="91" t="s">
        <v>714</v>
      </c>
      <c r="F113" s="315">
        <v>31.6</v>
      </c>
      <c r="G113" s="260">
        <v>25</v>
      </c>
      <c r="H113" s="260">
        <v>20</v>
      </c>
      <c r="I113" s="309"/>
      <c r="J113" s="199"/>
      <c r="K113" s="269">
        <v>22</v>
      </c>
      <c r="L113" s="93">
        <f t="shared" si="28"/>
        <v>23</v>
      </c>
      <c r="M113" s="183">
        <v>23</v>
      </c>
      <c r="N113" s="95">
        <f t="shared" si="16"/>
        <v>726.80000000000007</v>
      </c>
      <c r="O113" s="95">
        <f t="shared" si="17"/>
        <v>726.80000000000007</v>
      </c>
      <c r="P113" s="94">
        <f t="shared" si="18"/>
        <v>0</v>
      </c>
      <c r="Q113" s="95">
        <f t="shared" si="19"/>
        <v>0</v>
      </c>
      <c r="R113" s="278"/>
      <c r="S113" s="97">
        <f t="shared" si="20"/>
        <v>26</v>
      </c>
      <c r="T113" s="98">
        <f t="shared" si="15"/>
        <v>-3</v>
      </c>
      <c r="U113">
        <v>26</v>
      </c>
    </row>
    <row r="114" spans="2:31" ht="20.100000000000001" customHeight="1">
      <c r="B114" s="88">
        <v>1</v>
      </c>
      <c r="C114" s="89" t="s">
        <v>483</v>
      </c>
      <c r="D114" s="90" t="s">
        <v>715</v>
      </c>
      <c r="E114" s="91" t="s">
        <v>716</v>
      </c>
      <c r="F114" s="315">
        <v>15.13</v>
      </c>
      <c r="G114" s="260">
        <v>63</v>
      </c>
      <c r="H114" s="260">
        <v>15</v>
      </c>
      <c r="I114" s="309"/>
      <c r="J114" s="199"/>
      <c r="K114" s="269">
        <v>19</v>
      </c>
      <c r="L114" s="93">
        <f t="shared" si="28"/>
        <v>59</v>
      </c>
      <c r="M114" s="183">
        <v>59</v>
      </c>
      <c r="N114" s="95">
        <f t="shared" si="16"/>
        <v>892.67000000000007</v>
      </c>
      <c r="O114" s="95">
        <f t="shared" si="17"/>
        <v>892.67000000000007</v>
      </c>
      <c r="P114" s="94">
        <f t="shared" si="18"/>
        <v>0</v>
      </c>
      <c r="Q114" s="95">
        <f t="shared" si="19"/>
        <v>0</v>
      </c>
      <c r="R114" s="278"/>
      <c r="S114" s="97">
        <f t="shared" si="20"/>
        <v>69</v>
      </c>
      <c r="T114" s="98">
        <f t="shared" si="15"/>
        <v>-10</v>
      </c>
      <c r="U114">
        <v>69</v>
      </c>
    </row>
    <row r="115" spans="2:31" ht="20.100000000000001" customHeight="1">
      <c r="B115" s="88">
        <v>1</v>
      </c>
      <c r="C115" s="89" t="s">
        <v>483</v>
      </c>
      <c r="D115" s="90" t="s">
        <v>717</v>
      </c>
      <c r="E115" s="91" t="s">
        <v>718</v>
      </c>
      <c r="F115" s="315">
        <v>31.58</v>
      </c>
      <c r="G115" s="260"/>
      <c r="H115" s="260"/>
      <c r="I115" s="309"/>
      <c r="J115" s="199"/>
      <c r="K115" s="269"/>
      <c r="L115" s="93">
        <f t="shared" si="28"/>
        <v>0</v>
      </c>
      <c r="M115" s="183"/>
      <c r="N115" s="95">
        <f t="shared" si="16"/>
        <v>0</v>
      </c>
      <c r="O115" s="95">
        <f t="shared" si="17"/>
        <v>0</v>
      </c>
      <c r="P115" s="94">
        <f t="shared" si="18"/>
        <v>0</v>
      </c>
      <c r="Q115" s="95">
        <f t="shared" si="19"/>
        <v>0</v>
      </c>
      <c r="R115" s="96"/>
      <c r="S115" s="97">
        <f t="shared" si="20"/>
        <v>0</v>
      </c>
      <c r="T115" s="98">
        <f t="shared" si="15"/>
        <v>0</v>
      </c>
    </row>
    <row r="116" spans="2:31" ht="20.100000000000001" customHeight="1">
      <c r="B116" s="88">
        <v>1</v>
      </c>
      <c r="C116" s="89" t="s">
        <v>483</v>
      </c>
      <c r="D116" s="90" t="s">
        <v>719</v>
      </c>
      <c r="E116" s="91" t="s">
        <v>720</v>
      </c>
      <c r="F116" s="315">
        <v>15.65</v>
      </c>
      <c r="G116" s="260">
        <v>87</v>
      </c>
      <c r="H116" s="260">
        <v>15</v>
      </c>
      <c r="I116" s="309"/>
      <c r="J116" s="199"/>
      <c r="K116" s="269">
        <v>25</v>
      </c>
      <c r="L116" s="93">
        <f t="shared" si="28"/>
        <v>77</v>
      </c>
      <c r="M116" s="183">
        <v>77</v>
      </c>
      <c r="N116" s="95">
        <f t="shared" si="16"/>
        <v>1205.05</v>
      </c>
      <c r="O116" s="95">
        <f t="shared" si="17"/>
        <v>1205.05</v>
      </c>
      <c r="P116" s="94">
        <f t="shared" si="18"/>
        <v>0</v>
      </c>
      <c r="Q116" s="95">
        <f t="shared" si="19"/>
        <v>0</v>
      </c>
      <c r="R116" s="278"/>
      <c r="S116" s="97">
        <f t="shared" si="20"/>
        <v>126</v>
      </c>
      <c r="T116" s="98">
        <f t="shared" si="15"/>
        <v>-49</v>
      </c>
      <c r="U116">
        <f>47+1+43</f>
        <v>91</v>
      </c>
      <c r="W116">
        <v>35</v>
      </c>
      <c r="X116" t="s">
        <v>555</v>
      </c>
      <c r="AD116">
        <f>W116</f>
        <v>35</v>
      </c>
      <c r="AE116" s="100">
        <f>AD116*F116</f>
        <v>547.75</v>
      </c>
    </row>
    <row r="117" spans="2:31" ht="20.100000000000001" customHeight="1">
      <c r="B117" s="88">
        <v>1</v>
      </c>
      <c r="C117" s="89" t="s">
        <v>483</v>
      </c>
      <c r="D117" s="90" t="s">
        <v>721</v>
      </c>
      <c r="E117" s="91" t="s">
        <v>722</v>
      </c>
      <c r="F117" s="315">
        <v>34.47</v>
      </c>
      <c r="G117" s="260">
        <v>46</v>
      </c>
      <c r="H117" s="260">
        <v>10</v>
      </c>
      <c r="I117" s="309"/>
      <c r="J117" s="199"/>
      <c r="K117" s="269">
        <v>11</v>
      </c>
      <c r="L117" s="93">
        <f t="shared" si="28"/>
        <v>45</v>
      </c>
      <c r="M117" s="183">
        <f>28+17</f>
        <v>45</v>
      </c>
      <c r="N117" s="95">
        <f t="shared" si="16"/>
        <v>1551.1499999999999</v>
      </c>
      <c r="O117" s="95">
        <f t="shared" si="17"/>
        <v>1551.1499999999999</v>
      </c>
      <c r="P117" s="94">
        <f t="shared" si="18"/>
        <v>0</v>
      </c>
      <c r="Q117" s="95">
        <f t="shared" si="19"/>
        <v>0</v>
      </c>
      <c r="R117" s="278" t="s">
        <v>5200</v>
      </c>
      <c r="S117" s="97">
        <f t="shared" si="20"/>
        <v>46</v>
      </c>
      <c r="T117" s="98">
        <f t="shared" si="15"/>
        <v>-1</v>
      </c>
      <c r="U117">
        <f>18+28</f>
        <v>46</v>
      </c>
    </row>
    <row r="118" spans="2:31" ht="20.100000000000001" customHeight="1">
      <c r="B118" s="88">
        <v>1</v>
      </c>
      <c r="C118" s="89" t="s">
        <v>483</v>
      </c>
      <c r="D118" s="90" t="s">
        <v>723</v>
      </c>
      <c r="E118" s="91" t="s">
        <v>724</v>
      </c>
      <c r="F118" s="315">
        <v>6.18</v>
      </c>
      <c r="G118" s="260">
        <v>99</v>
      </c>
      <c r="H118" s="260"/>
      <c r="I118" s="309"/>
      <c r="J118" s="199"/>
      <c r="K118" s="269">
        <v>2</v>
      </c>
      <c r="L118" s="93">
        <f t="shared" si="28"/>
        <v>97</v>
      </c>
      <c r="M118" s="183">
        <v>97</v>
      </c>
      <c r="N118" s="95">
        <f t="shared" si="16"/>
        <v>599.45999999999992</v>
      </c>
      <c r="O118" s="95">
        <f t="shared" si="17"/>
        <v>599.45999999999992</v>
      </c>
      <c r="P118" s="94">
        <f t="shared" si="18"/>
        <v>0</v>
      </c>
      <c r="Q118" s="95">
        <f t="shared" si="19"/>
        <v>0</v>
      </c>
      <c r="R118" s="278" t="s">
        <v>5201</v>
      </c>
      <c r="S118" s="97">
        <f t="shared" si="20"/>
        <v>105</v>
      </c>
      <c r="T118" s="98">
        <f t="shared" si="15"/>
        <v>-8</v>
      </c>
      <c r="U118">
        <v>6</v>
      </c>
      <c r="W118">
        <f>50+49</f>
        <v>99</v>
      </c>
      <c r="X118" t="s">
        <v>725</v>
      </c>
      <c r="AD118">
        <v>49</v>
      </c>
      <c r="AE118" s="100">
        <f>AD118*F118</f>
        <v>302.82</v>
      </c>
    </row>
    <row r="119" spans="2:31" ht="20.100000000000001" customHeight="1">
      <c r="B119" s="88">
        <v>1</v>
      </c>
      <c r="C119" s="89" t="s">
        <v>483</v>
      </c>
      <c r="D119" s="90" t="s">
        <v>726</v>
      </c>
      <c r="E119" s="91" t="s">
        <v>727</v>
      </c>
      <c r="F119" s="315">
        <v>6.43</v>
      </c>
      <c r="G119" s="260">
        <v>49</v>
      </c>
      <c r="H119" s="260"/>
      <c r="I119" s="309"/>
      <c r="J119" s="199"/>
      <c r="K119" s="269"/>
      <c r="L119" s="93">
        <f t="shared" si="28"/>
        <v>49</v>
      </c>
      <c r="M119" s="183">
        <v>49</v>
      </c>
      <c r="N119" s="95">
        <f t="shared" si="16"/>
        <v>315.07</v>
      </c>
      <c r="O119" s="95">
        <f t="shared" si="17"/>
        <v>315.07</v>
      </c>
      <c r="P119" s="94">
        <f t="shared" si="18"/>
        <v>0</v>
      </c>
      <c r="Q119" s="95">
        <f t="shared" si="19"/>
        <v>0</v>
      </c>
      <c r="R119" s="102">
        <v>45665</v>
      </c>
      <c r="S119" s="97">
        <f t="shared" si="20"/>
        <v>49</v>
      </c>
      <c r="T119" s="98">
        <f t="shared" si="15"/>
        <v>0</v>
      </c>
      <c r="W119">
        <v>49</v>
      </c>
      <c r="X119" t="s">
        <v>555</v>
      </c>
      <c r="AD119">
        <f>W119</f>
        <v>49</v>
      </c>
      <c r="AE119" s="100">
        <f>AD119*F119</f>
        <v>315.07</v>
      </c>
    </row>
    <row r="120" spans="2:31" ht="20.100000000000001" customHeight="1">
      <c r="B120" s="88">
        <v>1</v>
      </c>
      <c r="C120" s="89" t="s">
        <v>483</v>
      </c>
      <c r="D120" s="90" t="s">
        <v>728</v>
      </c>
      <c r="E120" s="91" t="s">
        <v>729</v>
      </c>
      <c r="F120" s="315">
        <v>22.68</v>
      </c>
      <c r="G120" s="260"/>
      <c r="H120" s="260">
        <v>10</v>
      </c>
      <c r="I120" s="309"/>
      <c r="J120" s="199"/>
      <c r="K120" s="269">
        <v>10</v>
      </c>
      <c r="L120" s="93">
        <f t="shared" si="28"/>
        <v>0</v>
      </c>
      <c r="M120" s="183"/>
      <c r="N120" s="95">
        <f t="shared" si="16"/>
        <v>0</v>
      </c>
      <c r="O120" s="95">
        <f t="shared" si="17"/>
        <v>0</v>
      </c>
      <c r="P120" s="94">
        <f t="shared" si="18"/>
        <v>0</v>
      </c>
      <c r="Q120" s="95">
        <f t="shared" si="19"/>
        <v>0</v>
      </c>
      <c r="R120" s="278"/>
      <c r="S120" s="97">
        <f t="shared" si="20"/>
        <v>0</v>
      </c>
      <c r="T120" s="98">
        <f t="shared" si="15"/>
        <v>0</v>
      </c>
    </row>
    <row r="121" spans="2:31" ht="20.100000000000001" customHeight="1">
      <c r="B121" s="88">
        <v>1</v>
      </c>
      <c r="C121" s="89" t="s">
        <v>483</v>
      </c>
      <c r="D121" s="90" t="s">
        <v>730</v>
      </c>
      <c r="E121" s="91" t="s">
        <v>731</v>
      </c>
      <c r="F121" s="315">
        <v>6.71</v>
      </c>
      <c r="G121" s="260">
        <v>105</v>
      </c>
      <c r="H121" s="260"/>
      <c r="I121" s="309"/>
      <c r="J121" s="199"/>
      <c r="K121" s="269">
        <v>7</v>
      </c>
      <c r="L121" s="93">
        <f t="shared" si="28"/>
        <v>98</v>
      </c>
      <c r="M121" s="183">
        <v>98</v>
      </c>
      <c r="N121" s="95">
        <f t="shared" si="16"/>
        <v>657.58</v>
      </c>
      <c r="O121" s="95">
        <f t="shared" si="17"/>
        <v>657.58</v>
      </c>
      <c r="P121" s="94">
        <f t="shared" si="18"/>
        <v>0</v>
      </c>
      <c r="Q121" s="95">
        <f t="shared" si="19"/>
        <v>0</v>
      </c>
      <c r="R121" s="278" t="s">
        <v>5203</v>
      </c>
      <c r="S121" s="97">
        <f t="shared" si="20"/>
        <v>0</v>
      </c>
      <c r="T121" s="98">
        <f t="shared" ref="T121:T185" si="30">M121-S121</f>
        <v>98</v>
      </c>
    </row>
    <row r="122" spans="2:31" ht="20.100000000000001" customHeight="1">
      <c r="B122" s="88">
        <v>1</v>
      </c>
      <c r="C122" s="89" t="s">
        <v>483</v>
      </c>
      <c r="D122" s="90" t="s">
        <v>732</v>
      </c>
      <c r="E122" s="91" t="s">
        <v>733</v>
      </c>
      <c r="F122" s="315">
        <v>6.43</v>
      </c>
      <c r="G122" s="260">
        <v>2</v>
      </c>
      <c r="H122" s="260"/>
      <c r="I122" s="309"/>
      <c r="J122" s="199"/>
      <c r="K122" s="269">
        <v>1</v>
      </c>
      <c r="L122" s="93">
        <f t="shared" si="28"/>
        <v>1</v>
      </c>
      <c r="M122" s="183">
        <v>1</v>
      </c>
      <c r="N122" s="95">
        <f t="shared" ref="N122:N186" si="31">F122*L122</f>
        <v>6.43</v>
      </c>
      <c r="O122" s="95">
        <f t="shared" ref="O122:O186" si="32">M122*F122</f>
        <v>6.43</v>
      </c>
      <c r="P122" s="94">
        <f t="shared" ref="P122:P186" si="33">L122-M122</f>
        <v>0</v>
      </c>
      <c r="Q122" s="95">
        <f t="shared" ref="Q122:Q186" si="34">N122-O122</f>
        <v>0</v>
      </c>
      <c r="R122" s="279" t="s">
        <v>5218</v>
      </c>
      <c r="S122" s="97">
        <f t="shared" ref="S122:S186" si="35">U122+Y122+W122+AA122</f>
        <v>1</v>
      </c>
      <c r="T122" s="98">
        <f t="shared" si="30"/>
        <v>0</v>
      </c>
      <c r="W122">
        <v>1</v>
      </c>
      <c r="X122" t="s">
        <v>549</v>
      </c>
      <c r="AD122">
        <f>W122</f>
        <v>1</v>
      </c>
      <c r="AE122" s="100">
        <f>AD122*F122</f>
        <v>6.43</v>
      </c>
    </row>
    <row r="123" spans="2:31" ht="20.100000000000001" customHeight="1">
      <c r="B123" s="88">
        <v>1</v>
      </c>
      <c r="C123" s="89" t="s">
        <v>483</v>
      </c>
      <c r="D123" s="90" t="s">
        <v>5176</v>
      </c>
      <c r="E123" s="91" t="s">
        <v>4165</v>
      </c>
      <c r="F123" s="315">
        <v>74</v>
      </c>
      <c r="G123" s="260">
        <v>5</v>
      </c>
      <c r="H123" s="260"/>
      <c r="I123" s="309"/>
      <c r="J123" s="199"/>
      <c r="K123" s="269">
        <v>1</v>
      </c>
      <c r="L123" s="93">
        <f t="shared" si="28"/>
        <v>4</v>
      </c>
      <c r="M123" s="183">
        <v>4</v>
      </c>
      <c r="N123" s="95">
        <f t="shared" ref="N123" si="36">F123*L123</f>
        <v>296</v>
      </c>
      <c r="O123" s="95">
        <f t="shared" ref="O123" si="37">M123*F123</f>
        <v>296</v>
      </c>
      <c r="P123" s="94">
        <f t="shared" ref="P123" si="38">L123-M123</f>
        <v>0</v>
      </c>
      <c r="Q123" s="95">
        <f t="shared" ref="Q123" si="39">N123-O123</f>
        <v>0</v>
      </c>
      <c r="R123" s="102">
        <v>45563</v>
      </c>
      <c r="S123" s="97">
        <f t="shared" ref="S123" si="40">U123+Y123+W123+AA123</f>
        <v>1</v>
      </c>
      <c r="T123" s="98">
        <f t="shared" ref="T123" si="41">M123-S123</f>
        <v>3</v>
      </c>
      <c r="W123">
        <v>1</v>
      </c>
      <c r="X123" t="s">
        <v>549</v>
      </c>
      <c r="AD123">
        <f>W123</f>
        <v>1</v>
      </c>
      <c r="AE123" s="100">
        <f>AD123*F123</f>
        <v>74</v>
      </c>
    </row>
    <row r="124" spans="2:31" ht="20.100000000000001" customHeight="1">
      <c r="B124" s="88">
        <v>1</v>
      </c>
      <c r="C124" s="89" t="s">
        <v>483</v>
      </c>
      <c r="D124" s="90" t="s">
        <v>734</v>
      </c>
      <c r="E124" s="91" t="s">
        <v>735</v>
      </c>
      <c r="F124" s="315">
        <v>23.48</v>
      </c>
      <c r="G124" s="260"/>
      <c r="H124" s="260"/>
      <c r="I124" s="309"/>
      <c r="J124" s="199"/>
      <c r="K124" s="269"/>
      <c r="L124" s="93">
        <f t="shared" si="28"/>
        <v>0</v>
      </c>
      <c r="M124" s="183"/>
      <c r="N124" s="95">
        <f t="shared" si="31"/>
        <v>0</v>
      </c>
      <c r="O124" s="95">
        <f t="shared" si="32"/>
        <v>0</v>
      </c>
      <c r="P124" s="94">
        <f t="shared" si="33"/>
        <v>0</v>
      </c>
      <c r="Q124" s="95">
        <f t="shared" si="34"/>
        <v>0</v>
      </c>
      <c r="R124" s="96"/>
      <c r="S124" s="97">
        <f t="shared" si="35"/>
        <v>0</v>
      </c>
      <c r="T124" s="98">
        <f t="shared" si="30"/>
        <v>0</v>
      </c>
    </row>
    <row r="125" spans="2:31" ht="20.100000000000001" customHeight="1">
      <c r="B125" s="88">
        <v>1</v>
      </c>
      <c r="C125" s="89" t="s">
        <v>483</v>
      </c>
      <c r="D125" s="90" t="s">
        <v>736</v>
      </c>
      <c r="E125" s="91" t="s">
        <v>737</v>
      </c>
      <c r="F125" s="315">
        <v>15.65</v>
      </c>
      <c r="G125" s="260">
        <v>129</v>
      </c>
      <c r="H125" s="260"/>
      <c r="I125" s="309"/>
      <c r="J125" s="199"/>
      <c r="K125" s="269">
        <v>1</v>
      </c>
      <c r="L125" s="93">
        <f t="shared" si="28"/>
        <v>128</v>
      </c>
      <c r="M125" s="183">
        <v>128</v>
      </c>
      <c r="N125" s="95">
        <f t="shared" si="31"/>
        <v>2003.2</v>
      </c>
      <c r="O125" s="95">
        <f t="shared" si="32"/>
        <v>2003.2</v>
      </c>
      <c r="P125" s="94">
        <f t="shared" si="33"/>
        <v>0</v>
      </c>
      <c r="Q125" s="95">
        <f t="shared" si="34"/>
        <v>0</v>
      </c>
      <c r="R125" s="96" t="s">
        <v>738</v>
      </c>
      <c r="S125" s="97">
        <f t="shared" si="35"/>
        <v>147</v>
      </c>
      <c r="T125" s="98">
        <f t="shared" si="30"/>
        <v>-19</v>
      </c>
      <c r="U125">
        <f>45+45+34</f>
        <v>124</v>
      </c>
      <c r="W125">
        <v>23</v>
      </c>
      <c r="X125" t="s">
        <v>555</v>
      </c>
      <c r="AD125">
        <f>W125</f>
        <v>23</v>
      </c>
      <c r="AE125" s="100">
        <f>AD125*F125</f>
        <v>359.95</v>
      </c>
    </row>
    <row r="126" spans="2:31" ht="20.100000000000001" customHeight="1">
      <c r="B126" s="88">
        <v>2</v>
      </c>
      <c r="C126" s="89" t="s">
        <v>739</v>
      </c>
      <c r="D126" s="90" t="s">
        <v>740</v>
      </c>
      <c r="E126" s="91" t="s">
        <v>741</v>
      </c>
      <c r="F126" s="315">
        <v>273</v>
      </c>
      <c r="G126" s="260">
        <v>16</v>
      </c>
      <c r="H126" s="260"/>
      <c r="I126" s="309"/>
      <c r="J126" s="199"/>
      <c r="K126" s="269">
        <v>5</v>
      </c>
      <c r="L126" s="93">
        <f t="shared" si="28"/>
        <v>11</v>
      </c>
      <c r="M126" s="183">
        <v>11</v>
      </c>
      <c r="N126" s="95">
        <f t="shared" si="31"/>
        <v>3003</v>
      </c>
      <c r="O126" s="95">
        <f t="shared" si="32"/>
        <v>3003</v>
      </c>
      <c r="P126" s="94">
        <f>L126-M126</f>
        <v>0</v>
      </c>
      <c r="Q126" s="95">
        <f t="shared" si="34"/>
        <v>0</v>
      </c>
      <c r="R126" s="96"/>
      <c r="S126" s="97">
        <f t="shared" si="35"/>
        <v>18</v>
      </c>
      <c r="T126" s="98">
        <f t="shared" si="30"/>
        <v>-7</v>
      </c>
      <c r="U126">
        <v>18</v>
      </c>
    </row>
    <row r="127" spans="2:31" ht="20.100000000000001" customHeight="1">
      <c r="B127" s="88">
        <v>2</v>
      </c>
      <c r="C127" s="89" t="s">
        <v>739</v>
      </c>
      <c r="D127" s="90" t="s">
        <v>742</v>
      </c>
      <c r="E127" s="91" t="s">
        <v>743</v>
      </c>
      <c r="F127" s="315">
        <v>137.75</v>
      </c>
      <c r="G127" s="260">
        <v>7</v>
      </c>
      <c r="H127" s="260"/>
      <c r="I127" s="309"/>
      <c r="J127" s="199"/>
      <c r="K127" s="269">
        <v>6</v>
      </c>
      <c r="L127" s="93">
        <f t="shared" si="28"/>
        <v>1</v>
      </c>
      <c r="M127" s="183">
        <v>1</v>
      </c>
      <c r="N127" s="95">
        <f t="shared" si="31"/>
        <v>137.75</v>
      </c>
      <c r="O127" s="95">
        <f t="shared" si="32"/>
        <v>137.75</v>
      </c>
      <c r="P127" s="94">
        <f t="shared" si="33"/>
        <v>0</v>
      </c>
      <c r="Q127" s="95">
        <f t="shared" si="34"/>
        <v>0</v>
      </c>
      <c r="R127" s="96"/>
      <c r="S127" s="97">
        <f t="shared" si="35"/>
        <v>7</v>
      </c>
      <c r="T127" s="98">
        <f t="shared" si="30"/>
        <v>-6</v>
      </c>
      <c r="U127">
        <v>7</v>
      </c>
    </row>
    <row r="128" spans="2:31" ht="20.100000000000001" customHeight="1">
      <c r="B128" s="88">
        <v>2</v>
      </c>
      <c r="C128" s="89" t="s">
        <v>739</v>
      </c>
      <c r="D128" s="90" t="s">
        <v>744</v>
      </c>
      <c r="E128" s="91" t="s">
        <v>745</v>
      </c>
      <c r="F128" s="315">
        <v>326.42</v>
      </c>
      <c r="G128" s="260"/>
      <c r="H128" s="260"/>
      <c r="I128" s="309"/>
      <c r="J128" s="199"/>
      <c r="K128" s="269"/>
      <c r="L128" s="93">
        <f t="shared" si="28"/>
        <v>0</v>
      </c>
      <c r="M128" s="183"/>
      <c r="N128" s="95">
        <f t="shared" si="31"/>
        <v>0</v>
      </c>
      <c r="O128" s="95">
        <f t="shared" si="32"/>
        <v>0</v>
      </c>
      <c r="P128" s="94">
        <f t="shared" si="33"/>
        <v>0</v>
      </c>
      <c r="Q128" s="95">
        <f t="shared" si="34"/>
        <v>0</v>
      </c>
      <c r="R128" s="96"/>
      <c r="S128" s="97">
        <f t="shared" si="35"/>
        <v>0</v>
      </c>
      <c r="T128" s="98">
        <f t="shared" si="30"/>
        <v>0</v>
      </c>
    </row>
    <row r="129" spans="2:21" ht="20.100000000000001" customHeight="1">
      <c r="B129" s="88">
        <v>2</v>
      </c>
      <c r="C129" s="89" t="s">
        <v>739</v>
      </c>
      <c r="D129" s="90" t="s">
        <v>746</v>
      </c>
      <c r="E129" s="91" t="s">
        <v>747</v>
      </c>
      <c r="F129" s="315">
        <v>802.62</v>
      </c>
      <c r="G129" s="260">
        <v>3</v>
      </c>
      <c r="H129" s="260"/>
      <c r="I129" s="309"/>
      <c r="J129" s="199"/>
      <c r="K129" s="269"/>
      <c r="L129" s="93">
        <f t="shared" si="28"/>
        <v>3</v>
      </c>
      <c r="M129" s="183">
        <v>3</v>
      </c>
      <c r="N129" s="95">
        <f t="shared" si="31"/>
        <v>2407.86</v>
      </c>
      <c r="O129" s="95">
        <f t="shared" si="32"/>
        <v>2407.86</v>
      </c>
      <c r="P129" s="94">
        <f t="shared" si="33"/>
        <v>0</v>
      </c>
      <c r="Q129" s="95">
        <f t="shared" si="34"/>
        <v>0</v>
      </c>
      <c r="R129" s="96"/>
      <c r="S129" s="97">
        <f t="shared" si="35"/>
        <v>3</v>
      </c>
      <c r="T129" s="98">
        <f t="shared" si="30"/>
        <v>0</v>
      </c>
      <c r="U129">
        <v>3</v>
      </c>
    </row>
    <row r="130" spans="2:21" ht="20.100000000000001" customHeight="1">
      <c r="B130" s="88">
        <v>2</v>
      </c>
      <c r="C130" s="89" t="s">
        <v>739</v>
      </c>
      <c r="D130" s="90" t="s">
        <v>748</v>
      </c>
      <c r="E130" s="91" t="s">
        <v>749</v>
      </c>
      <c r="F130" s="315">
        <v>85</v>
      </c>
      <c r="G130" s="260">
        <v>14</v>
      </c>
      <c r="H130" s="260"/>
      <c r="I130" s="309"/>
      <c r="J130" s="199"/>
      <c r="K130" s="269"/>
      <c r="L130" s="93">
        <f t="shared" si="28"/>
        <v>14</v>
      </c>
      <c r="M130" s="183">
        <v>14</v>
      </c>
      <c r="N130" s="95">
        <f t="shared" si="31"/>
        <v>1190</v>
      </c>
      <c r="O130" s="95">
        <f t="shared" si="32"/>
        <v>1190</v>
      </c>
      <c r="P130" s="94">
        <f t="shared" si="33"/>
        <v>0</v>
      </c>
      <c r="Q130" s="95">
        <f t="shared" si="34"/>
        <v>0</v>
      </c>
      <c r="R130" s="96"/>
      <c r="S130" s="97">
        <f t="shared" si="35"/>
        <v>14</v>
      </c>
      <c r="T130" s="98">
        <f t="shared" si="30"/>
        <v>0</v>
      </c>
      <c r="U130">
        <v>14</v>
      </c>
    </row>
    <row r="131" spans="2:21" ht="20.100000000000001" customHeight="1">
      <c r="B131" s="88">
        <v>2</v>
      </c>
      <c r="C131" s="89" t="s">
        <v>739</v>
      </c>
      <c r="D131" s="90" t="s">
        <v>750</v>
      </c>
      <c r="E131" s="91" t="s">
        <v>751</v>
      </c>
      <c r="F131" s="315">
        <v>85</v>
      </c>
      <c r="G131" s="260">
        <v>14</v>
      </c>
      <c r="H131" s="260"/>
      <c r="I131" s="309"/>
      <c r="J131" s="199"/>
      <c r="K131" s="269"/>
      <c r="L131" s="93">
        <f t="shared" si="28"/>
        <v>14</v>
      </c>
      <c r="M131" s="183">
        <v>14</v>
      </c>
      <c r="N131" s="95">
        <f t="shared" si="31"/>
        <v>1190</v>
      </c>
      <c r="O131" s="95">
        <f t="shared" si="32"/>
        <v>1190</v>
      </c>
      <c r="P131" s="94">
        <f t="shared" si="33"/>
        <v>0</v>
      </c>
      <c r="Q131" s="95">
        <f t="shared" si="34"/>
        <v>0</v>
      </c>
      <c r="R131" s="96"/>
      <c r="S131" s="97">
        <f t="shared" si="35"/>
        <v>16</v>
      </c>
      <c r="T131" s="98">
        <f t="shared" si="30"/>
        <v>-2</v>
      </c>
      <c r="U131">
        <v>16</v>
      </c>
    </row>
    <row r="132" spans="2:21" ht="20.100000000000001" customHeight="1">
      <c r="B132" s="88">
        <v>2</v>
      </c>
      <c r="C132" s="89" t="s">
        <v>739</v>
      </c>
      <c r="D132" s="90" t="s">
        <v>752</v>
      </c>
      <c r="E132" s="91" t="s">
        <v>753</v>
      </c>
      <c r="F132" s="315">
        <v>147.75</v>
      </c>
      <c r="G132" s="260">
        <v>3</v>
      </c>
      <c r="H132" s="260"/>
      <c r="I132" s="309"/>
      <c r="J132" s="199"/>
      <c r="K132" s="269"/>
      <c r="L132" s="93">
        <f t="shared" si="28"/>
        <v>3</v>
      </c>
      <c r="M132" s="183">
        <v>3</v>
      </c>
      <c r="N132" s="95">
        <f t="shared" si="31"/>
        <v>443.25</v>
      </c>
      <c r="O132" s="95">
        <f t="shared" si="32"/>
        <v>443.25</v>
      </c>
      <c r="P132" s="94">
        <f t="shared" si="33"/>
        <v>0</v>
      </c>
      <c r="Q132" s="95">
        <f t="shared" si="34"/>
        <v>0</v>
      </c>
      <c r="R132" s="96"/>
      <c r="S132" s="97">
        <f t="shared" si="35"/>
        <v>3</v>
      </c>
      <c r="T132" s="98">
        <f t="shared" si="30"/>
        <v>0</v>
      </c>
      <c r="U132">
        <v>3</v>
      </c>
    </row>
    <row r="133" spans="2:21" s="38" customFormat="1" ht="20.100000000000001" customHeight="1">
      <c r="B133" s="182">
        <v>2</v>
      </c>
      <c r="C133" s="198" t="s">
        <v>739</v>
      </c>
      <c r="D133" s="171" t="s">
        <v>754</v>
      </c>
      <c r="E133" s="194" t="s">
        <v>755</v>
      </c>
      <c r="F133" s="316">
        <v>158</v>
      </c>
      <c r="G133" s="260"/>
      <c r="H133" s="260"/>
      <c r="I133" s="329">
        <v>48</v>
      </c>
      <c r="J133" s="199"/>
      <c r="K133" s="269"/>
      <c r="L133" s="93">
        <f t="shared" si="28"/>
        <v>48</v>
      </c>
      <c r="M133" s="200">
        <v>48</v>
      </c>
      <c r="N133" s="95">
        <f t="shared" si="31"/>
        <v>7584</v>
      </c>
      <c r="O133" s="95">
        <f t="shared" si="32"/>
        <v>7584</v>
      </c>
      <c r="P133" s="200">
        <f t="shared" si="33"/>
        <v>0</v>
      </c>
      <c r="Q133" s="172">
        <f t="shared" si="34"/>
        <v>0</v>
      </c>
      <c r="R133" s="201"/>
      <c r="S133" s="202">
        <f t="shared" si="35"/>
        <v>2</v>
      </c>
      <c r="T133" s="203">
        <f t="shared" si="30"/>
        <v>46</v>
      </c>
      <c r="U133" s="38">
        <v>2</v>
      </c>
    </row>
    <row r="134" spans="2:21" ht="20.100000000000001" customHeight="1">
      <c r="B134" s="88">
        <v>2</v>
      </c>
      <c r="C134" s="89" t="s">
        <v>739</v>
      </c>
      <c r="D134" s="90" t="s">
        <v>756</v>
      </c>
      <c r="E134" s="91" t="s">
        <v>757</v>
      </c>
      <c r="F134" s="315">
        <v>121</v>
      </c>
      <c r="G134" s="260">
        <v>15</v>
      </c>
      <c r="H134" s="260"/>
      <c r="I134" s="309"/>
      <c r="J134" s="199"/>
      <c r="K134" s="269"/>
      <c r="L134" s="93">
        <f t="shared" si="28"/>
        <v>15</v>
      </c>
      <c r="M134" s="183">
        <f>12+3</f>
        <v>15</v>
      </c>
      <c r="N134" s="95">
        <f t="shared" si="31"/>
        <v>1815</v>
      </c>
      <c r="O134" s="95">
        <f t="shared" si="32"/>
        <v>1815</v>
      </c>
      <c r="P134" s="94">
        <f t="shared" si="33"/>
        <v>0</v>
      </c>
      <c r="Q134" s="95">
        <f t="shared" si="34"/>
        <v>0</v>
      </c>
      <c r="R134" s="96"/>
      <c r="S134" s="97">
        <f t="shared" si="35"/>
        <v>4</v>
      </c>
      <c r="T134" s="98">
        <f t="shared" si="30"/>
        <v>11</v>
      </c>
      <c r="U134">
        <v>4</v>
      </c>
    </row>
    <row r="135" spans="2:21" ht="20.100000000000001" customHeight="1">
      <c r="B135" s="88">
        <v>2</v>
      </c>
      <c r="C135" s="89" t="s">
        <v>739</v>
      </c>
      <c r="D135" s="90" t="s">
        <v>758</v>
      </c>
      <c r="E135" s="91" t="s">
        <v>759</v>
      </c>
      <c r="F135" s="315">
        <v>153.5</v>
      </c>
      <c r="G135" s="260">
        <v>13</v>
      </c>
      <c r="H135" s="260"/>
      <c r="I135" s="309"/>
      <c r="J135" s="199"/>
      <c r="K135" s="269"/>
      <c r="L135" s="93">
        <f t="shared" ref="L135:L199" si="42">G135+I135-J135-K135+H135</f>
        <v>13</v>
      </c>
      <c r="M135" s="183">
        <v>13</v>
      </c>
      <c r="N135" s="95">
        <f t="shared" si="31"/>
        <v>1995.5</v>
      </c>
      <c r="O135" s="95">
        <f t="shared" si="32"/>
        <v>1995.5</v>
      </c>
      <c r="P135" s="94">
        <f t="shared" si="33"/>
        <v>0</v>
      </c>
      <c r="Q135" s="95">
        <f t="shared" si="34"/>
        <v>0</v>
      </c>
      <c r="R135" s="96"/>
      <c r="S135" s="97">
        <f t="shared" si="35"/>
        <v>0</v>
      </c>
      <c r="T135" s="98">
        <f t="shared" si="30"/>
        <v>13</v>
      </c>
    </row>
    <row r="136" spans="2:21" ht="20.100000000000001" customHeight="1">
      <c r="B136" s="88">
        <v>2</v>
      </c>
      <c r="C136" s="89" t="s">
        <v>739</v>
      </c>
      <c r="D136" s="90" t="s">
        <v>760</v>
      </c>
      <c r="E136" s="91" t="s">
        <v>761</v>
      </c>
      <c r="F136" s="315">
        <v>117.5</v>
      </c>
      <c r="G136" s="260">
        <v>72</v>
      </c>
      <c r="H136" s="260"/>
      <c r="I136" s="309"/>
      <c r="J136" s="199"/>
      <c r="K136" s="269"/>
      <c r="L136" s="93">
        <f t="shared" si="42"/>
        <v>72</v>
      </c>
      <c r="M136" s="183">
        <f>60+12</f>
        <v>72</v>
      </c>
      <c r="N136" s="95">
        <f t="shared" si="31"/>
        <v>8460</v>
      </c>
      <c r="O136" s="95">
        <f t="shared" si="32"/>
        <v>8460</v>
      </c>
      <c r="P136" s="94">
        <f t="shared" si="33"/>
        <v>0</v>
      </c>
      <c r="Q136" s="95">
        <f t="shared" si="34"/>
        <v>0</v>
      </c>
      <c r="R136" s="96"/>
      <c r="S136" s="97">
        <f t="shared" si="35"/>
        <v>11</v>
      </c>
      <c r="T136" s="98">
        <f t="shared" si="30"/>
        <v>61</v>
      </c>
      <c r="U136">
        <v>11</v>
      </c>
    </row>
    <row r="137" spans="2:21" ht="20.100000000000001" customHeight="1">
      <c r="B137" s="88">
        <v>2</v>
      </c>
      <c r="C137" s="89" t="s">
        <v>739</v>
      </c>
      <c r="D137" s="90" t="s">
        <v>762</v>
      </c>
      <c r="E137" s="91" t="s">
        <v>763</v>
      </c>
      <c r="F137" s="315">
        <v>355</v>
      </c>
      <c r="G137" s="260">
        <v>1</v>
      </c>
      <c r="H137" s="260"/>
      <c r="I137" s="309"/>
      <c r="J137" s="199"/>
      <c r="K137" s="269">
        <v>1</v>
      </c>
      <c r="L137" s="93">
        <f t="shared" si="42"/>
        <v>0</v>
      </c>
      <c r="M137" s="183"/>
      <c r="N137" s="95">
        <f t="shared" si="31"/>
        <v>0</v>
      </c>
      <c r="O137" s="95">
        <f t="shared" si="32"/>
        <v>0</v>
      </c>
      <c r="P137" s="94">
        <f t="shared" si="33"/>
        <v>0</v>
      </c>
      <c r="Q137" s="95">
        <f t="shared" si="34"/>
        <v>0</v>
      </c>
      <c r="R137" s="96"/>
      <c r="S137" s="97">
        <f t="shared" si="35"/>
        <v>1</v>
      </c>
      <c r="T137" s="98">
        <f t="shared" si="30"/>
        <v>-1</v>
      </c>
      <c r="U137">
        <v>1</v>
      </c>
    </row>
    <row r="138" spans="2:21" ht="20.100000000000001" customHeight="1">
      <c r="B138" s="88">
        <v>2</v>
      </c>
      <c r="C138" s="89" t="s">
        <v>739</v>
      </c>
      <c r="D138" s="90" t="s">
        <v>764</v>
      </c>
      <c r="E138" s="91" t="s">
        <v>765</v>
      </c>
      <c r="F138" s="315">
        <v>160</v>
      </c>
      <c r="G138" s="260">
        <v>12</v>
      </c>
      <c r="H138" s="260"/>
      <c r="I138" s="309"/>
      <c r="J138" s="199"/>
      <c r="K138" s="269"/>
      <c r="L138" s="93">
        <f t="shared" si="42"/>
        <v>12</v>
      </c>
      <c r="M138" s="183">
        <v>12</v>
      </c>
      <c r="N138" s="95">
        <f t="shared" si="31"/>
        <v>1920</v>
      </c>
      <c r="O138" s="95">
        <f t="shared" si="32"/>
        <v>1920</v>
      </c>
      <c r="P138" s="94">
        <f t="shared" si="33"/>
        <v>0</v>
      </c>
      <c r="Q138" s="95">
        <f t="shared" si="34"/>
        <v>0</v>
      </c>
      <c r="R138" s="96"/>
      <c r="S138" s="97">
        <f t="shared" si="35"/>
        <v>0</v>
      </c>
      <c r="T138" s="98">
        <f t="shared" si="30"/>
        <v>12</v>
      </c>
    </row>
    <row r="139" spans="2:21" ht="20.100000000000001" customHeight="1">
      <c r="B139" s="88">
        <v>2</v>
      </c>
      <c r="C139" s="89" t="s">
        <v>739</v>
      </c>
      <c r="D139" s="90" t="s">
        <v>766</v>
      </c>
      <c r="E139" s="91" t="s">
        <v>767</v>
      </c>
      <c r="F139" s="315">
        <v>121.5</v>
      </c>
      <c r="G139" s="260">
        <v>27</v>
      </c>
      <c r="H139" s="260"/>
      <c r="I139" s="309"/>
      <c r="J139" s="199"/>
      <c r="K139" s="269"/>
      <c r="L139" s="93">
        <f t="shared" si="42"/>
        <v>27</v>
      </c>
      <c r="M139" s="183">
        <f>12+4+11</f>
        <v>27</v>
      </c>
      <c r="N139" s="95">
        <f t="shared" si="31"/>
        <v>3280.5</v>
      </c>
      <c r="O139" s="95">
        <f t="shared" si="32"/>
        <v>3280.5</v>
      </c>
      <c r="P139" s="94">
        <f t="shared" si="33"/>
        <v>0</v>
      </c>
      <c r="Q139" s="95">
        <f t="shared" si="34"/>
        <v>0</v>
      </c>
      <c r="R139" s="96"/>
      <c r="S139" s="97">
        <f t="shared" si="35"/>
        <v>4</v>
      </c>
      <c r="T139" s="98">
        <f t="shared" si="30"/>
        <v>23</v>
      </c>
      <c r="U139">
        <v>4</v>
      </c>
    </row>
    <row r="140" spans="2:21" ht="20.100000000000001" customHeight="1">
      <c r="B140" s="88">
        <v>2</v>
      </c>
      <c r="C140" s="89" t="s">
        <v>739</v>
      </c>
      <c r="D140" s="90" t="s">
        <v>768</v>
      </c>
      <c r="E140" s="91" t="s">
        <v>769</v>
      </c>
      <c r="F140" s="315">
        <v>61</v>
      </c>
      <c r="G140" s="260"/>
      <c r="H140" s="260"/>
      <c r="I140" s="309"/>
      <c r="J140" s="199"/>
      <c r="K140" s="269"/>
      <c r="L140" s="93">
        <f t="shared" si="42"/>
        <v>0</v>
      </c>
      <c r="M140" s="183"/>
      <c r="N140" s="95">
        <f t="shared" si="31"/>
        <v>0</v>
      </c>
      <c r="O140" s="95">
        <f t="shared" si="32"/>
        <v>0</v>
      </c>
      <c r="P140" s="94">
        <f t="shared" si="33"/>
        <v>0</v>
      </c>
      <c r="Q140" s="95">
        <f t="shared" si="34"/>
        <v>0</v>
      </c>
      <c r="R140" s="96"/>
      <c r="S140" s="97">
        <f t="shared" si="35"/>
        <v>0</v>
      </c>
      <c r="T140" s="98">
        <f t="shared" si="30"/>
        <v>0</v>
      </c>
    </row>
    <row r="141" spans="2:21" ht="20.100000000000001" customHeight="1">
      <c r="B141" s="88">
        <v>2</v>
      </c>
      <c r="C141" s="89" t="s">
        <v>739</v>
      </c>
      <c r="D141" s="90" t="s">
        <v>770</v>
      </c>
      <c r="E141" s="91" t="s">
        <v>771</v>
      </c>
      <c r="F141" s="315">
        <v>164</v>
      </c>
      <c r="G141" s="260">
        <v>24</v>
      </c>
      <c r="H141" s="260"/>
      <c r="I141" s="309"/>
      <c r="J141" s="199"/>
      <c r="K141" s="269"/>
      <c r="L141" s="93">
        <f t="shared" si="42"/>
        <v>24</v>
      </c>
      <c r="M141" s="183">
        <v>24</v>
      </c>
      <c r="N141" s="95">
        <f t="shared" si="31"/>
        <v>3936</v>
      </c>
      <c r="O141" s="95">
        <f t="shared" si="32"/>
        <v>3936</v>
      </c>
      <c r="P141" s="94">
        <f t="shared" si="33"/>
        <v>0</v>
      </c>
      <c r="Q141" s="95">
        <f t="shared" si="34"/>
        <v>0</v>
      </c>
      <c r="R141" s="96"/>
      <c r="S141" s="97">
        <f t="shared" si="35"/>
        <v>0</v>
      </c>
      <c r="T141" s="98">
        <f t="shared" si="30"/>
        <v>24</v>
      </c>
    </row>
    <row r="142" spans="2:21" ht="20.100000000000001" customHeight="1">
      <c r="B142" s="88">
        <v>2</v>
      </c>
      <c r="C142" s="89" t="s">
        <v>739</v>
      </c>
      <c r="D142" s="90" t="s">
        <v>772</v>
      </c>
      <c r="E142" s="91" t="s">
        <v>773</v>
      </c>
      <c r="F142" s="315">
        <v>68</v>
      </c>
      <c r="G142" s="260">
        <v>3</v>
      </c>
      <c r="H142" s="260"/>
      <c r="I142" s="309"/>
      <c r="J142" s="199"/>
      <c r="K142" s="269">
        <v>3</v>
      </c>
      <c r="L142" s="93">
        <f t="shared" si="42"/>
        <v>0</v>
      </c>
      <c r="M142" s="183"/>
      <c r="N142" s="95">
        <f t="shared" si="31"/>
        <v>0</v>
      </c>
      <c r="O142" s="95">
        <f t="shared" si="32"/>
        <v>0</v>
      </c>
      <c r="P142" s="94">
        <f t="shared" si="33"/>
        <v>0</v>
      </c>
      <c r="Q142" s="95">
        <f t="shared" si="34"/>
        <v>0</v>
      </c>
      <c r="R142" s="96"/>
      <c r="S142" s="97">
        <f t="shared" si="35"/>
        <v>6</v>
      </c>
      <c r="T142" s="98">
        <f t="shared" si="30"/>
        <v>-6</v>
      </c>
      <c r="U142">
        <v>6</v>
      </c>
    </row>
    <row r="143" spans="2:21" ht="20.100000000000001" customHeight="1">
      <c r="B143" s="88">
        <v>2</v>
      </c>
      <c r="C143" s="89" t="s">
        <v>739</v>
      </c>
      <c r="D143" s="90" t="s">
        <v>774</v>
      </c>
      <c r="E143" s="91" t="s">
        <v>775</v>
      </c>
      <c r="F143" s="315">
        <v>129</v>
      </c>
      <c r="G143" s="260">
        <v>6</v>
      </c>
      <c r="H143" s="260"/>
      <c r="I143" s="309"/>
      <c r="J143" s="199"/>
      <c r="K143" s="269">
        <v>5</v>
      </c>
      <c r="L143" s="93">
        <f t="shared" si="42"/>
        <v>1</v>
      </c>
      <c r="M143" s="183">
        <v>1</v>
      </c>
      <c r="N143" s="95">
        <f t="shared" si="31"/>
        <v>129</v>
      </c>
      <c r="O143" s="95">
        <f t="shared" si="32"/>
        <v>129</v>
      </c>
      <c r="P143" s="94">
        <f t="shared" si="33"/>
        <v>0</v>
      </c>
      <c r="Q143" s="95">
        <f t="shared" si="34"/>
        <v>0</v>
      </c>
      <c r="R143" s="96"/>
      <c r="S143" s="97">
        <f t="shared" si="35"/>
        <v>9</v>
      </c>
      <c r="T143" s="98">
        <f t="shared" si="30"/>
        <v>-8</v>
      </c>
      <c r="U143">
        <v>9</v>
      </c>
    </row>
    <row r="144" spans="2:21" ht="20.100000000000001" customHeight="1">
      <c r="B144" s="88">
        <v>2</v>
      </c>
      <c r="C144" s="89" t="s">
        <v>739</v>
      </c>
      <c r="D144" s="90" t="s">
        <v>776</v>
      </c>
      <c r="E144" s="91" t="s">
        <v>777</v>
      </c>
      <c r="F144" s="315">
        <v>99.5</v>
      </c>
      <c r="G144" s="260">
        <v>4</v>
      </c>
      <c r="H144" s="260"/>
      <c r="I144" s="309"/>
      <c r="J144" s="199"/>
      <c r="K144" s="269"/>
      <c r="L144" s="93">
        <f t="shared" si="42"/>
        <v>4</v>
      </c>
      <c r="M144" s="183">
        <v>4</v>
      </c>
      <c r="N144" s="95">
        <f t="shared" si="31"/>
        <v>398</v>
      </c>
      <c r="O144" s="95">
        <f t="shared" si="32"/>
        <v>398</v>
      </c>
      <c r="P144" s="94">
        <f t="shared" si="33"/>
        <v>0</v>
      </c>
      <c r="Q144" s="95">
        <f t="shared" si="34"/>
        <v>0</v>
      </c>
      <c r="R144" s="96"/>
      <c r="S144" s="97">
        <f t="shared" si="35"/>
        <v>4</v>
      </c>
      <c r="T144" s="98">
        <f t="shared" si="30"/>
        <v>0</v>
      </c>
      <c r="U144">
        <v>4</v>
      </c>
    </row>
    <row r="145" spans="2:31" ht="20.100000000000001" customHeight="1">
      <c r="B145" s="88">
        <v>2</v>
      </c>
      <c r="C145" s="89" t="s">
        <v>739</v>
      </c>
      <c r="D145" s="90" t="s">
        <v>778</v>
      </c>
      <c r="E145" s="91" t="s">
        <v>779</v>
      </c>
      <c r="F145" s="315">
        <v>120.75</v>
      </c>
      <c r="G145" s="260">
        <v>1</v>
      </c>
      <c r="H145" s="260"/>
      <c r="I145" s="309"/>
      <c r="J145" s="199"/>
      <c r="K145" s="269"/>
      <c r="L145" s="93">
        <f t="shared" si="42"/>
        <v>1</v>
      </c>
      <c r="M145" s="183">
        <v>1</v>
      </c>
      <c r="N145" s="95">
        <f t="shared" si="31"/>
        <v>120.75</v>
      </c>
      <c r="O145" s="95">
        <f t="shared" si="32"/>
        <v>120.75</v>
      </c>
      <c r="P145" s="94">
        <f t="shared" si="33"/>
        <v>0</v>
      </c>
      <c r="Q145" s="95">
        <f t="shared" si="34"/>
        <v>0</v>
      </c>
      <c r="R145" s="96"/>
      <c r="S145" s="97">
        <f t="shared" si="35"/>
        <v>1</v>
      </c>
      <c r="T145" s="98">
        <f t="shared" si="30"/>
        <v>0</v>
      </c>
      <c r="U145">
        <v>1</v>
      </c>
    </row>
    <row r="146" spans="2:31" ht="20.100000000000001" customHeight="1">
      <c r="B146" s="88">
        <v>2</v>
      </c>
      <c r="C146" s="89" t="s">
        <v>739</v>
      </c>
      <c r="D146" s="90" t="s">
        <v>780</v>
      </c>
      <c r="E146" s="91" t="s">
        <v>781</v>
      </c>
      <c r="F146" s="315">
        <v>120.75</v>
      </c>
      <c r="G146" s="260">
        <v>3</v>
      </c>
      <c r="H146" s="260"/>
      <c r="I146" s="309"/>
      <c r="J146" s="199"/>
      <c r="K146" s="269"/>
      <c r="L146" s="93">
        <f t="shared" si="42"/>
        <v>3</v>
      </c>
      <c r="M146" s="183">
        <v>3</v>
      </c>
      <c r="N146" s="95">
        <f t="shared" si="31"/>
        <v>362.25</v>
      </c>
      <c r="O146" s="95">
        <f t="shared" si="32"/>
        <v>362.25</v>
      </c>
      <c r="P146" s="94">
        <f t="shared" si="33"/>
        <v>0</v>
      </c>
      <c r="Q146" s="95">
        <f t="shared" si="34"/>
        <v>0</v>
      </c>
      <c r="R146" s="96"/>
      <c r="S146" s="97">
        <f t="shared" si="35"/>
        <v>3</v>
      </c>
      <c r="T146" s="98">
        <f t="shared" si="30"/>
        <v>0</v>
      </c>
      <c r="U146">
        <v>3</v>
      </c>
    </row>
    <row r="147" spans="2:31" ht="20.100000000000001" customHeight="1">
      <c r="B147" s="88">
        <v>2</v>
      </c>
      <c r="C147" s="89" t="s">
        <v>739</v>
      </c>
      <c r="D147" s="90" t="s">
        <v>782</v>
      </c>
      <c r="E147" s="91" t="s">
        <v>783</v>
      </c>
      <c r="F147" s="315">
        <v>120.75</v>
      </c>
      <c r="G147" s="260">
        <v>2</v>
      </c>
      <c r="H147" s="260"/>
      <c r="I147" s="309"/>
      <c r="J147" s="199"/>
      <c r="K147" s="269"/>
      <c r="L147" s="93">
        <f t="shared" si="42"/>
        <v>2</v>
      </c>
      <c r="M147" s="183">
        <v>2</v>
      </c>
      <c r="N147" s="95">
        <f t="shared" si="31"/>
        <v>241.5</v>
      </c>
      <c r="O147" s="95">
        <f t="shared" si="32"/>
        <v>241.5</v>
      </c>
      <c r="P147" s="94">
        <f t="shared" si="33"/>
        <v>0</v>
      </c>
      <c r="Q147" s="95">
        <f t="shared" si="34"/>
        <v>0</v>
      </c>
      <c r="R147" s="96"/>
      <c r="S147" s="97">
        <f t="shared" si="35"/>
        <v>2</v>
      </c>
      <c r="T147" s="98">
        <f t="shared" si="30"/>
        <v>0</v>
      </c>
      <c r="U147">
        <v>2</v>
      </c>
    </row>
    <row r="148" spans="2:31" ht="20.100000000000001" customHeight="1">
      <c r="B148" s="88">
        <v>2</v>
      </c>
      <c r="C148" s="89" t="s">
        <v>739</v>
      </c>
      <c r="D148" s="90" t="s">
        <v>784</v>
      </c>
      <c r="E148" s="91" t="s">
        <v>785</v>
      </c>
      <c r="F148" s="315">
        <v>249.83</v>
      </c>
      <c r="G148" s="260">
        <v>1</v>
      </c>
      <c r="H148" s="260"/>
      <c r="I148" s="309"/>
      <c r="J148" s="199"/>
      <c r="K148" s="269">
        <v>1</v>
      </c>
      <c r="L148" s="93">
        <f t="shared" si="42"/>
        <v>0</v>
      </c>
      <c r="M148" s="183"/>
      <c r="N148" s="95">
        <f t="shared" si="31"/>
        <v>0</v>
      </c>
      <c r="O148" s="95">
        <f t="shared" si="32"/>
        <v>0</v>
      </c>
      <c r="P148" s="94">
        <f t="shared" si="33"/>
        <v>0</v>
      </c>
      <c r="Q148" s="95">
        <f t="shared" si="34"/>
        <v>0</v>
      </c>
      <c r="R148" s="96"/>
      <c r="S148" s="97">
        <f t="shared" si="35"/>
        <v>1</v>
      </c>
      <c r="T148" s="98">
        <f t="shared" si="30"/>
        <v>-1</v>
      </c>
      <c r="U148">
        <v>1</v>
      </c>
    </row>
    <row r="149" spans="2:31" ht="20.100000000000001" customHeight="1">
      <c r="B149" s="88">
        <v>2</v>
      </c>
      <c r="C149" s="89" t="s">
        <v>739</v>
      </c>
      <c r="D149" s="90" t="s">
        <v>786</v>
      </c>
      <c r="E149" s="91" t="s">
        <v>787</v>
      </c>
      <c r="F149" s="315">
        <v>239.94</v>
      </c>
      <c r="G149" s="260">
        <v>7</v>
      </c>
      <c r="H149" s="260"/>
      <c r="I149" s="309"/>
      <c r="J149" s="199"/>
      <c r="K149" s="269"/>
      <c r="L149" s="93">
        <f t="shared" si="42"/>
        <v>7</v>
      </c>
      <c r="M149" s="183">
        <v>7</v>
      </c>
      <c r="N149" s="95">
        <f t="shared" si="31"/>
        <v>1679.58</v>
      </c>
      <c r="O149" s="95">
        <f t="shared" si="32"/>
        <v>1679.58</v>
      </c>
      <c r="P149" s="94">
        <f t="shared" si="33"/>
        <v>0</v>
      </c>
      <c r="Q149" s="95">
        <f t="shared" si="34"/>
        <v>0</v>
      </c>
      <c r="R149" s="96"/>
      <c r="S149" s="97">
        <f t="shared" si="35"/>
        <v>8</v>
      </c>
      <c r="T149" s="98">
        <f t="shared" si="30"/>
        <v>-1</v>
      </c>
      <c r="U149">
        <v>8</v>
      </c>
    </row>
    <row r="150" spans="2:31" ht="20.100000000000001" customHeight="1">
      <c r="B150" s="88">
        <v>3</v>
      </c>
      <c r="C150" s="89" t="s">
        <v>788</v>
      </c>
      <c r="D150" s="90" t="s">
        <v>789</v>
      </c>
      <c r="E150" s="91" t="s">
        <v>790</v>
      </c>
      <c r="F150" s="315">
        <v>7.48</v>
      </c>
      <c r="G150" s="260">
        <v>17</v>
      </c>
      <c r="H150" s="260"/>
      <c r="I150" s="309"/>
      <c r="J150" s="199"/>
      <c r="K150" s="269">
        <v>5</v>
      </c>
      <c r="L150" s="93">
        <f t="shared" si="42"/>
        <v>12</v>
      </c>
      <c r="M150" s="183">
        <v>12</v>
      </c>
      <c r="N150" s="95">
        <f t="shared" si="31"/>
        <v>89.76</v>
      </c>
      <c r="O150" s="95">
        <f t="shared" si="32"/>
        <v>89.76</v>
      </c>
      <c r="P150" s="94">
        <f t="shared" si="33"/>
        <v>0</v>
      </c>
      <c r="Q150" s="95">
        <f t="shared" si="34"/>
        <v>0</v>
      </c>
      <c r="R150" s="96"/>
      <c r="S150" s="97">
        <f t="shared" si="35"/>
        <v>19</v>
      </c>
      <c r="T150" s="98">
        <f t="shared" si="30"/>
        <v>-7</v>
      </c>
      <c r="U150">
        <v>19</v>
      </c>
    </row>
    <row r="151" spans="2:31" ht="20.100000000000001" customHeight="1">
      <c r="B151" s="88">
        <v>3</v>
      </c>
      <c r="C151" s="89" t="s">
        <v>788</v>
      </c>
      <c r="D151" s="90" t="s">
        <v>789</v>
      </c>
      <c r="E151" s="91" t="s">
        <v>790</v>
      </c>
      <c r="F151" s="315">
        <v>7.4816000000000003</v>
      </c>
      <c r="G151" s="260"/>
      <c r="H151" s="260"/>
      <c r="I151" s="332">
        <v>25</v>
      </c>
      <c r="J151" s="199"/>
      <c r="K151" s="269"/>
      <c r="L151" s="93">
        <f t="shared" ref="L151" si="43">G151+I151-J151-K151+H151</f>
        <v>25</v>
      </c>
      <c r="M151" s="183">
        <v>25</v>
      </c>
      <c r="N151" s="95">
        <f t="shared" ref="N151" si="44">F151*L151</f>
        <v>187.04000000000002</v>
      </c>
      <c r="O151" s="95">
        <f t="shared" ref="O151" si="45">M151*F151</f>
        <v>187.04000000000002</v>
      </c>
      <c r="P151" s="94">
        <f t="shared" ref="P151" si="46">L151-M151</f>
        <v>0</v>
      </c>
      <c r="Q151" s="95">
        <f t="shared" ref="Q151" si="47">N151-O151</f>
        <v>0</v>
      </c>
      <c r="R151" s="96"/>
      <c r="S151" s="97">
        <f t="shared" ref="S151" si="48">U151+Y151+W151+AA151</f>
        <v>19</v>
      </c>
      <c r="T151" s="98">
        <f t="shared" ref="T151" si="49">M151-S151</f>
        <v>6</v>
      </c>
      <c r="U151">
        <v>19</v>
      </c>
    </row>
    <row r="152" spans="2:31" ht="20.100000000000001" customHeight="1">
      <c r="B152" s="88">
        <v>3</v>
      </c>
      <c r="C152" s="89" t="s">
        <v>788</v>
      </c>
      <c r="D152" s="90" t="s">
        <v>791</v>
      </c>
      <c r="E152" s="91" t="s">
        <v>792</v>
      </c>
      <c r="F152" s="315">
        <v>57.25</v>
      </c>
      <c r="G152" s="260">
        <v>7</v>
      </c>
      <c r="H152" s="260"/>
      <c r="I152" s="309"/>
      <c r="J152" s="199"/>
      <c r="K152" s="269">
        <v>2</v>
      </c>
      <c r="L152" s="93">
        <f t="shared" si="42"/>
        <v>5</v>
      </c>
      <c r="M152" s="183">
        <v>5</v>
      </c>
      <c r="N152" s="95">
        <f t="shared" si="31"/>
        <v>286.25</v>
      </c>
      <c r="O152" s="95">
        <f t="shared" si="32"/>
        <v>286.25</v>
      </c>
      <c r="P152" s="94">
        <f t="shared" si="33"/>
        <v>0</v>
      </c>
      <c r="Q152" s="95">
        <f t="shared" si="34"/>
        <v>0</v>
      </c>
      <c r="R152" s="96"/>
      <c r="S152" s="97">
        <f t="shared" si="35"/>
        <v>1</v>
      </c>
      <c r="T152" s="98">
        <f t="shared" si="30"/>
        <v>4</v>
      </c>
      <c r="U152">
        <v>1</v>
      </c>
    </row>
    <row r="153" spans="2:31" ht="20.100000000000001" customHeight="1">
      <c r="B153" s="88">
        <v>3</v>
      </c>
      <c r="C153" s="89" t="s">
        <v>788</v>
      </c>
      <c r="D153" s="90" t="s">
        <v>793</v>
      </c>
      <c r="E153" s="91" t="s">
        <v>794</v>
      </c>
      <c r="F153" s="315">
        <v>59.5</v>
      </c>
      <c r="G153" s="260">
        <v>3</v>
      </c>
      <c r="H153" s="260"/>
      <c r="I153" s="329">
        <v>7</v>
      </c>
      <c r="J153" s="199"/>
      <c r="K153" s="269"/>
      <c r="L153" s="93">
        <f t="shared" si="42"/>
        <v>10</v>
      </c>
      <c r="M153" s="183">
        <v>10</v>
      </c>
      <c r="N153" s="95">
        <f t="shared" si="31"/>
        <v>595</v>
      </c>
      <c r="O153" s="95">
        <f t="shared" si="32"/>
        <v>595</v>
      </c>
      <c r="P153" s="94">
        <f t="shared" si="33"/>
        <v>0</v>
      </c>
      <c r="Q153" s="95">
        <f t="shared" si="34"/>
        <v>0</v>
      </c>
      <c r="R153" s="96"/>
      <c r="S153" s="97">
        <f t="shared" si="35"/>
        <v>0</v>
      </c>
      <c r="T153" s="98">
        <f t="shared" si="30"/>
        <v>10</v>
      </c>
    </row>
    <row r="154" spans="2:31" ht="20.100000000000001" customHeight="1">
      <c r="B154" s="88">
        <v>3</v>
      </c>
      <c r="C154" s="89" t="s">
        <v>788</v>
      </c>
      <c r="D154" s="90" t="s">
        <v>795</v>
      </c>
      <c r="E154" s="91" t="s">
        <v>796</v>
      </c>
      <c r="F154" s="315">
        <v>59.5</v>
      </c>
      <c r="G154" s="260">
        <v>5</v>
      </c>
      <c r="H154" s="260"/>
      <c r="I154" s="309"/>
      <c r="J154" s="199"/>
      <c r="K154" s="269">
        <v>1</v>
      </c>
      <c r="L154" s="93">
        <f t="shared" si="42"/>
        <v>4</v>
      </c>
      <c r="M154" s="183">
        <v>4</v>
      </c>
      <c r="N154" s="95">
        <f t="shared" si="31"/>
        <v>238</v>
      </c>
      <c r="O154" s="95">
        <f t="shared" si="32"/>
        <v>238</v>
      </c>
      <c r="P154" s="94">
        <f t="shared" si="33"/>
        <v>0</v>
      </c>
      <c r="Q154" s="95">
        <f t="shared" si="34"/>
        <v>0</v>
      </c>
      <c r="R154" s="96"/>
      <c r="S154" s="97">
        <f t="shared" si="35"/>
        <v>6</v>
      </c>
      <c r="T154" s="98">
        <f t="shared" si="30"/>
        <v>-2</v>
      </c>
      <c r="U154">
        <v>6</v>
      </c>
    </row>
    <row r="155" spans="2:31" ht="20.100000000000001" customHeight="1">
      <c r="B155" s="88">
        <v>3</v>
      </c>
      <c r="C155" s="89" t="s">
        <v>788</v>
      </c>
      <c r="D155" s="90" t="s">
        <v>797</v>
      </c>
      <c r="E155" s="91" t="s">
        <v>798</v>
      </c>
      <c r="F155" s="315">
        <v>6.31</v>
      </c>
      <c r="G155" s="260">
        <v>22</v>
      </c>
      <c r="H155" s="260">
        <v>16</v>
      </c>
      <c r="I155" s="309"/>
      <c r="J155" s="199"/>
      <c r="K155" s="269">
        <v>16</v>
      </c>
      <c r="L155" s="93">
        <f t="shared" si="42"/>
        <v>22</v>
      </c>
      <c r="M155" s="183">
        <v>22</v>
      </c>
      <c r="N155" s="95">
        <f t="shared" si="31"/>
        <v>138.82</v>
      </c>
      <c r="O155" s="95">
        <f t="shared" si="32"/>
        <v>138.82</v>
      </c>
      <c r="P155" s="94">
        <f t="shared" si="33"/>
        <v>0</v>
      </c>
      <c r="Q155" s="95">
        <f t="shared" si="34"/>
        <v>0</v>
      </c>
      <c r="R155" s="279"/>
      <c r="S155" s="97">
        <f t="shared" si="35"/>
        <v>22</v>
      </c>
      <c r="T155" s="98">
        <f t="shared" si="30"/>
        <v>0</v>
      </c>
      <c r="W155">
        <f>20+2</f>
        <v>22</v>
      </c>
      <c r="X155" t="s">
        <v>549</v>
      </c>
      <c r="AD155">
        <f t="shared" ref="AD155:AD157" si="50">W155</f>
        <v>22</v>
      </c>
      <c r="AE155" s="100">
        <f>AD155*F155</f>
        <v>138.82</v>
      </c>
    </row>
    <row r="156" spans="2:31" ht="20.100000000000001" customHeight="1">
      <c r="B156" s="88">
        <v>3</v>
      </c>
      <c r="C156" s="89" t="s">
        <v>788</v>
      </c>
      <c r="D156" s="90" t="s">
        <v>799</v>
      </c>
      <c r="E156" s="91" t="s">
        <v>800</v>
      </c>
      <c r="F156" s="315">
        <v>10.75</v>
      </c>
      <c r="G156" s="260">
        <v>50</v>
      </c>
      <c r="H156" s="260"/>
      <c r="I156" s="309"/>
      <c r="J156" s="199"/>
      <c r="K156" s="269"/>
      <c r="L156" s="93">
        <f t="shared" si="42"/>
        <v>50</v>
      </c>
      <c r="M156" s="183">
        <v>50</v>
      </c>
      <c r="N156" s="95">
        <f t="shared" si="31"/>
        <v>537.5</v>
      </c>
      <c r="O156" s="95">
        <f t="shared" si="32"/>
        <v>537.5</v>
      </c>
      <c r="P156" s="94">
        <f t="shared" si="33"/>
        <v>0</v>
      </c>
      <c r="Q156" s="95">
        <f t="shared" si="34"/>
        <v>0</v>
      </c>
      <c r="R156" s="96"/>
      <c r="S156" s="97">
        <f t="shared" si="35"/>
        <v>2</v>
      </c>
      <c r="T156" s="98">
        <f t="shared" si="30"/>
        <v>48</v>
      </c>
      <c r="W156">
        <v>2</v>
      </c>
      <c r="X156" t="s">
        <v>549</v>
      </c>
      <c r="AD156">
        <f t="shared" si="50"/>
        <v>2</v>
      </c>
      <c r="AE156" s="100">
        <f>AD156*F156</f>
        <v>21.5</v>
      </c>
    </row>
    <row r="157" spans="2:31" ht="20.100000000000001" customHeight="1">
      <c r="B157" s="88">
        <v>3</v>
      </c>
      <c r="C157" s="89" t="s">
        <v>788</v>
      </c>
      <c r="D157" s="90" t="s">
        <v>801</v>
      </c>
      <c r="E157" s="91" t="s">
        <v>802</v>
      </c>
      <c r="F157" s="315">
        <v>31.75</v>
      </c>
      <c r="G157" s="260">
        <v>9</v>
      </c>
      <c r="H157" s="260"/>
      <c r="I157" s="309"/>
      <c r="J157" s="199"/>
      <c r="K157" s="269"/>
      <c r="L157" s="93">
        <f t="shared" si="42"/>
        <v>9</v>
      </c>
      <c r="M157" s="183">
        <f>6+1+2</f>
        <v>9</v>
      </c>
      <c r="N157" s="95">
        <f t="shared" si="31"/>
        <v>285.75</v>
      </c>
      <c r="O157" s="95">
        <f t="shared" si="32"/>
        <v>285.75</v>
      </c>
      <c r="P157" s="94">
        <f t="shared" si="33"/>
        <v>0</v>
      </c>
      <c r="Q157" s="95">
        <f t="shared" si="34"/>
        <v>0</v>
      </c>
      <c r="R157" s="102">
        <v>45857</v>
      </c>
      <c r="S157" s="97">
        <f t="shared" si="35"/>
        <v>2</v>
      </c>
      <c r="T157" s="98">
        <f t="shared" si="30"/>
        <v>7</v>
      </c>
      <c r="W157">
        <v>2</v>
      </c>
      <c r="X157" t="s">
        <v>555</v>
      </c>
      <c r="AD157">
        <f t="shared" si="50"/>
        <v>2</v>
      </c>
      <c r="AE157" s="100">
        <f>AD157*F157</f>
        <v>63.5</v>
      </c>
    </row>
    <row r="158" spans="2:31" ht="20.100000000000001" customHeight="1">
      <c r="B158" s="88">
        <v>3</v>
      </c>
      <c r="C158" s="89" t="s">
        <v>788</v>
      </c>
      <c r="D158" s="90" t="s">
        <v>803</v>
      </c>
      <c r="E158" s="91" t="s">
        <v>804</v>
      </c>
      <c r="F158" s="315">
        <v>37.799999999999997</v>
      </c>
      <c r="G158" s="260">
        <v>7</v>
      </c>
      <c r="H158" s="260"/>
      <c r="I158" s="309"/>
      <c r="J158" s="199"/>
      <c r="K158" s="269">
        <v>3</v>
      </c>
      <c r="L158" s="93">
        <f t="shared" si="42"/>
        <v>4</v>
      </c>
      <c r="M158" s="183">
        <v>4</v>
      </c>
      <c r="N158" s="95">
        <f t="shared" si="31"/>
        <v>151.19999999999999</v>
      </c>
      <c r="O158" s="95">
        <f t="shared" si="32"/>
        <v>151.19999999999999</v>
      </c>
      <c r="P158" s="94">
        <f t="shared" si="33"/>
        <v>0</v>
      </c>
      <c r="Q158" s="95">
        <f t="shared" si="34"/>
        <v>0</v>
      </c>
      <c r="R158" s="96"/>
      <c r="S158" s="97">
        <f t="shared" si="35"/>
        <v>7</v>
      </c>
      <c r="T158" s="98">
        <f t="shared" si="30"/>
        <v>-3</v>
      </c>
      <c r="U158">
        <v>7</v>
      </c>
    </row>
    <row r="159" spans="2:31" ht="20.100000000000001" customHeight="1">
      <c r="B159" s="88">
        <v>3</v>
      </c>
      <c r="C159" s="89" t="s">
        <v>788</v>
      </c>
      <c r="D159" s="90" t="s">
        <v>803</v>
      </c>
      <c r="E159" s="91" t="s">
        <v>804</v>
      </c>
      <c r="F159" s="315">
        <v>37.799999999999997</v>
      </c>
      <c r="G159" s="260"/>
      <c r="H159" s="260"/>
      <c r="I159" s="309"/>
      <c r="J159" s="199"/>
      <c r="K159" s="269"/>
      <c r="L159" s="93">
        <f t="shared" si="42"/>
        <v>0</v>
      </c>
      <c r="M159" s="183"/>
      <c r="N159" s="95">
        <f t="shared" si="31"/>
        <v>0</v>
      </c>
      <c r="O159" s="95">
        <f t="shared" si="32"/>
        <v>0</v>
      </c>
      <c r="P159" s="94">
        <f t="shared" si="33"/>
        <v>0</v>
      </c>
      <c r="Q159" s="95">
        <f t="shared" si="34"/>
        <v>0</v>
      </c>
      <c r="R159" s="96"/>
      <c r="S159" s="97">
        <f t="shared" si="35"/>
        <v>0</v>
      </c>
      <c r="T159" s="98">
        <f t="shared" si="30"/>
        <v>0</v>
      </c>
    </row>
    <row r="160" spans="2:31" ht="20.100000000000001" customHeight="1">
      <c r="B160" s="88">
        <v>3</v>
      </c>
      <c r="C160" s="89" t="s">
        <v>788</v>
      </c>
      <c r="D160" s="90" t="s">
        <v>805</v>
      </c>
      <c r="E160" s="91" t="s">
        <v>806</v>
      </c>
      <c r="F160" s="315">
        <v>57.25</v>
      </c>
      <c r="G160" s="260">
        <v>5</v>
      </c>
      <c r="H160" s="260"/>
      <c r="I160" s="309"/>
      <c r="J160" s="199"/>
      <c r="K160" s="269">
        <v>2</v>
      </c>
      <c r="L160" s="93">
        <f t="shared" si="42"/>
        <v>3</v>
      </c>
      <c r="M160" s="183">
        <v>3</v>
      </c>
      <c r="N160" s="95">
        <f t="shared" si="31"/>
        <v>171.75</v>
      </c>
      <c r="O160" s="95">
        <f t="shared" si="32"/>
        <v>171.75</v>
      </c>
      <c r="P160" s="94">
        <f t="shared" si="33"/>
        <v>0</v>
      </c>
      <c r="Q160" s="95">
        <f t="shared" si="34"/>
        <v>0</v>
      </c>
      <c r="R160" s="96"/>
      <c r="S160" s="97">
        <f t="shared" si="35"/>
        <v>3</v>
      </c>
      <c r="T160" s="98">
        <f t="shared" si="30"/>
        <v>0</v>
      </c>
      <c r="U160">
        <v>3</v>
      </c>
    </row>
    <row r="161" spans="2:21" ht="20.100000000000001" customHeight="1">
      <c r="B161" s="88">
        <v>3</v>
      </c>
      <c r="C161" s="89" t="s">
        <v>788</v>
      </c>
      <c r="D161" s="90" t="s">
        <v>807</v>
      </c>
      <c r="E161" s="91" t="s">
        <v>808</v>
      </c>
      <c r="F161" s="315">
        <v>58.45</v>
      </c>
      <c r="G161" s="260">
        <v>11</v>
      </c>
      <c r="H161" s="260">
        <v>2</v>
      </c>
      <c r="I161" s="309"/>
      <c r="J161" s="199">
        <v>1</v>
      </c>
      <c r="K161" s="269">
        <v>3</v>
      </c>
      <c r="L161" s="93">
        <f t="shared" si="42"/>
        <v>9</v>
      </c>
      <c r="M161" s="183">
        <v>9</v>
      </c>
      <c r="N161" s="95">
        <f t="shared" si="31"/>
        <v>526.05000000000007</v>
      </c>
      <c r="O161" s="95">
        <f t="shared" si="32"/>
        <v>526.05000000000007</v>
      </c>
      <c r="P161" s="94">
        <f t="shared" si="33"/>
        <v>0</v>
      </c>
      <c r="Q161" s="95">
        <f t="shared" si="34"/>
        <v>0</v>
      </c>
      <c r="R161" s="96"/>
      <c r="S161" s="97">
        <f t="shared" si="35"/>
        <v>2</v>
      </c>
      <c r="T161" s="98">
        <f t="shared" si="30"/>
        <v>7</v>
      </c>
      <c r="U161">
        <v>2</v>
      </c>
    </row>
    <row r="162" spans="2:21" ht="20.100000000000001" customHeight="1">
      <c r="B162" s="88">
        <v>3</v>
      </c>
      <c r="C162" s="89" t="s">
        <v>788</v>
      </c>
      <c r="D162" s="90" t="s">
        <v>809</v>
      </c>
      <c r="E162" s="91" t="s">
        <v>810</v>
      </c>
      <c r="F162" s="315">
        <v>44.8</v>
      </c>
      <c r="G162" s="260">
        <v>12</v>
      </c>
      <c r="H162" s="260"/>
      <c r="I162" s="330">
        <v>10</v>
      </c>
      <c r="J162" s="199"/>
      <c r="K162" s="269">
        <v>6</v>
      </c>
      <c r="L162" s="93">
        <f t="shared" si="42"/>
        <v>16</v>
      </c>
      <c r="M162" s="183">
        <v>16</v>
      </c>
      <c r="N162" s="95">
        <f t="shared" si="31"/>
        <v>716.8</v>
      </c>
      <c r="O162" s="95">
        <f t="shared" si="32"/>
        <v>716.8</v>
      </c>
      <c r="P162" s="94">
        <f t="shared" si="33"/>
        <v>0</v>
      </c>
      <c r="Q162" s="95">
        <f t="shared" si="34"/>
        <v>0</v>
      </c>
      <c r="R162" s="278"/>
      <c r="S162" s="97">
        <f t="shared" si="35"/>
        <v>9</v>
      </c>
      <c r="T162" s="98">
        <f t="shared" si="30"/>
        <v>7</v>
      </c>
      <c r="U162">
        <v>9</v>
      </c>
    </row>
    <row r="163" spans="2:21" ht="20.100000000000001" customHeight="1">
      <c r="B163" s="88">
        <v>3</v>
      </c>
      <c r="C163" s="89" t="s">
        <v>788</v>
      </c>
      <c r="D163" s="90" t="s">
        <v>4995</v>
      </c>
      <c r="E163" s="91" t="s">
        <v>4982</v>
      </c>
      <c r="F163" s="315">
        <v>61.75</v>
      </c>
      <c r="G163" s="260"/>
      <c r="H163" s="260"/>
      <c r="I163" s="330">
        <v>6</v>
      </c>
      <c r="J163" s="199"/>
      <c r="K163" s="269"/>
      <c r="L163" s="93">
        <f t="shared" si="42"/>
        <v>6</v>
      </c>
      <c r="M163" s="183">
        <v>6</v>
      </c>
      <c r="N163" s="95">
        <f t="shared" ref="N163" si="51">F163*L163</f>
        <v>370.5</v>
      </c>
      <c r="O163" s="95">
        <f t="shared" ref="O163" si="52">M163*F163</f>
        <v>370.5</v>
      </c>
      <c r="P163" s="94">
        <f t="shared" ref="P163" si="53">L163-M163</f>
        <v>0</v>
      </c>
      <c r="Q163" s="95">
        <f t="shared" ref="Q163" si="54">N163-O163</f>
        <v>0</v>
      </c>
      <c r="R163" s="96"/>
      <c r="S163" s="97">
        <f t="shared" ref="S163" si="55">U163+Y163+W163+AA163</f>
        <v>0</v>
      </c>
      <c r="T163" s="98">
        <f t="shared" ref="T163" si="56">M163-S163</f>
        <v>6</v>
      </c>
    </row>
    <row r="164" spans="2:21" ht="20.100000000000001" customHeight="1">
      <c r="B164" s="88">
        <v>3</v>
      </c>
      <c r="C164" s="89" t="s">
        <v>788</v>
      </c>
      <c r="D164" s="90" t="s">
        <v>809</v>
      </c>
      <c r="E164" s="91" t="s">
        <v>810</v>
      </c>
      <c r="F164" s="315">
        <v>44.8</v>
      </c>
      <c r="G164" s="260"/>
      <c r="H164" s="260"/>
      <c r="I164" s="309"/>
      <c r="J164" s="199"/>
      <c r="K164" s="269"/>
      <c r="L164" s="93">
        <f t="shared" si="42"/>
        <v>0</v>
      </c>
      <c r="M164" s="183"/>
      <c r="N164" s="95">
        <f t="shared" si="31"/>
        <v>0</v>
      </c>
      <c r="O164" s="95">
        <f t="shared" si="32"/>
        <v>0</v>
      </c>
      <c r="P164" s="94">
        <f t="shared" si="33"/>
        <v>0</v>
      </c>
      <c r="Q164" s="95">
        <f t="shared" si="34"/>
        <v>0</v>
      </c>
      <c r="R164" s="96"/>
      <c r="S164" s="97">
        <f t="shared" si="35"/>
        <v>0</v>
      </c>
      <c r="T164" s="98">
        <f t="shared" si="30"/>
        <v>0</v>
      </c>
    </row>
    <row r="165" spans="2:21" ht="20.100000000000001" customHeight="1">
      <c r="B165" s="88">
        <v>3</v>
      </c>
      <c r="C165" s="89" t="s">
        <v>788</v>
      </c>
      <c r="D165" s="90" t="s">
        <v>4996</v>
      </c>
      <c r="E165" s="91" t="s">
        <v>4983</v>
      </c>
      <c r="F165" s="315">
        <v>61.5</v>
      </c>
      <c r="G165" s="260"/>
      <c r="H165" s="260"/>
      <c r="I165" s="329">
        <v>6</v>
      </c>
      <c r="J165" s="199"/>
      <c r="K165" s="269"/>
      <c r="L165" s="93">
        <f t="shared" si="42"/>
        <v>6</v>
      </c>
      <c r="M165" s="183">
        <v>6</v>
      </c>
      <c r="N165" s="95">
        <f t="shared" ref="N165" si="57">F165*L165</f>
        <v>369</v>
      </c>
      <c r="O165" s="95">
        <f t="shared" ref="O165" si="58">M165*F165</f>
        <v>369</v>
      </c>
      <c r="P165" s="94">
        <f t="shared" ref="P165" si="59">L165-M165</f>
        <v>0</v>
      </c>
      <c r="Q165" s="95">
        <f t="shared" ref="Q165" si="60">N165-O165</f>
        <v>0</v>
      </c>
      <c r="R165" s="96"/>
      <c r="S165" s="97">
        <f t="shared" ref="S165" si="61">U165+Y165+W165+AA165</f>
        <v>0</v>
      </c>
      <c r="T165" s="98">
        <f t="shared" ref="T165" si="62">M165-S165</f>
        <v>6</v>
      </c>
    </row>
    <row r="166" spans="2:21" ht="20.100000000000001" customHeight="1">
      <c r="B166" s="88">
        <v>3</v>
      </c>
      <c r="C166" s="89" t="s">
        <v>788</v>
      </c>
      <c r="D166" s="90" t="s">
        <v>811</v>
      </c>
      <c r="E166" s="91" t="s">
        <v>812</v>
      </c>
      <c r="F166" s="315">
        <v>41.2</v>
      </c>
      <c r="G166" s="260"/>
      <c r="H166" s="260"/>
      <c r="I166" s="309"/>
      <c r="J166" s="199"/>
      <c r="K166" s="269"/>
      <c r="L166" s="93">
        <f t="shared" si="42"/>
        <v>0</v>
      </c>
      <c r="M166" s="183"/>
      <c r="N166" s="95">
        <f t="shared" si="31"/>
        <v>0</v>
      </c>
      <c r="O166" s="95">
        <f t="shared" si="32"/>
        <v>0</v>
      </c>
      <c r="P166" s="94">
        <f t="shared" si="33"/>
        <v>0</v>
      </c>
      <c r="Q166" s="95">
        <f t="shared" si="34"/>
        <v>0</v>
      </c>
      <c r="R166" s="96"/>
      <c r="S166" s="97">
        <f t="shared" si="35"/>
        <v>0</v>
      </c>
      <c r="T166" s="98">
        <f t="shared" si="30"/>
        <v>0</v>
      </c>
    </row>
    <row r="167" spans="2:21" ht="20.100000000000001" customHeight="1">
      <c r="B167" s="88">
        <v>3</v>
      </c>
      <c r="C167" s="89" t="s">
        <v>788</v>
      </c>
      <c r="D167" s="90" t="s">
        <v>811</v>
      </c>
      <c r="E167" s="91" t="s">
        <v>812</v>
      </c>
      <c r="F167" s="315">
        <v>44.8</v>
      </c>
      <c r="G167" s="260">
        <v>8</v>
      </c>
      <c r="H167" s="260"/>
      <c r="I167" s="309"/>
      <c r="J167" s="199"/>
      <c r="K167" s="269"/>
      <c r="L167" s="93">
        <f t="shared" si="42"/>
        <v>8</v>
      </c>
      <c r="M167" s="183">
        <v>8</v>
      </c>
      <c r="N167" s="95">
        <f t="shared" si="31"/>
        <v>358.4</v>
      </c>
      <c r="O167" s="95">
        <f t="shared" si="32"/>
        <v>358.4</v>
      </c>
      <c r="P167" s="94">
        <f t="shared" si="33"/>
        <v>0</v>
      </c>
      <c r="Q167" s="95">
        <f t="shared" si="34"/>
        <v>0</v>
      </c>
      <c r="R167" s="96"/>
      <c r="S167" s="97">
        <f t="shared" si="35"/>
        <v>12</v>
      </c>
      <c r="T167" s="98">
        <f t="shared" si="30"/>
        <v>-4</v>
      </c>
      <c r="U167">
        <v>12</v>
      </c>
    </row>
    <row r="168" spans="2:21" ht="20.100000000000001" customHeight="1">
      <c r="B168" s="88">
        <v>3</v>
      </c>
      <c r="C168" s="89" t="s">
        <v>788</v>
      </c>
      <c r="D168" s="90" t="s">
        <v>813</v>
      </c>
      <c r="E168" s="91" t="s">
        <v>814</v>
      </c>
      <c r="F168" s="315">
        <v>58.45</v>
      </c>
      <c r="G168" s="260">
        <v>8</v>
      </c>
      <c r="H168" s="260"/>
      <c r="I168" s="309"/>
      <c r="J168" s="199"/>
      <c r="K168" s="269"/>
      <c r="L168" s="93">
        <f t="shared" si="42"/>
        <v>8</v>
      </c>
      <c r="M168" s="183">
        <v>8</v>
      </c>
      <c r="N168" s="95">
        <f t="shared" si="31"/>
        <v>467.6</v>
      </c>
      <c r="O168" s="95">
        <f t="shared" si="32"/>
        <v>467.6</v>
      </c>
      <c r="P168" s="94">
        <f t="shared" si="33"/>
        <v>0</v>
      </c>
      <c r="Q168" s="95">
        <f t="shared" si="34"/>
        <v>0</v>
      </c>
      <c r="R168" s="96"/>
      <c r="S168" s="97">
        <f t="shared" si="35"/>
        <v>4</v>
      </c>
      <c r="T168" s="98">
        <f t="shared" si="30"/>
        <v>4</v>
      </c>
      <c r="U168">
        <v>4</v>
      </c>
    </row>
    <row r="169" spans="2:21" ht="20.100000000000001" customHeight="1">
      <c r="B169" s="88">
        <v>3</v>
      </c>
      <c r="C169" s="89" t="s">
        <v>788</v>
      </c>
      <c r="D169" s="90" t="s">
        <v>815</v>
      </c>
      <c r="E169" s="91" t="s">
        <v>816</v>
      </c>
      <c r="F169" s="315">
        <v>58.45</v>
      </c>
      <c r="G169" s="260">
        <v>11</v>
      </c>
      <c r="H169" s="260"/>
      <c r="I169" s="309"/>
      <c r="J169" s="199">
        <v>1</v>
      </c>
      <c r="K169" s="269">
        <v>1</v>
      </c>
      <c r="L169" s="93">
        <f t="shared" si="42"/>
        <v>9</v>
      </c>
      <c r="M169" s="183">
        <v>8</v>
      </c>
      <c r="N169" s="95">
        <f t="shared" si="31"/>
        <v>526.05000000000007</v>
      </c>
      <c r="O169" s="95">
        <f t="shared" si="32"/>
        <v>467.6</v>
      </c>
      <c r="P169" s="94">
        <f t="shared" si="33"/>
        <v>1</v>
      </c>
      <c r="Q169" s="95">
        <f t="shared" si="34"/>
        <v>58.450000000000045</v>
      </c>
      <c r="R169" s="96"/>
      <c r="S169" s="97">
        <f t="shared" si="35"/>
        <v>2</v>
      </c>
      <c r="T169" s="98">
        <f t="shared" si="30"/>
        <v>6</v>
      </c>
      <c r="U169">
        <v>2</v>
      </c>
    </row>
    <row r="170" spans="2:21" ht="20.100000000000001" customHeight="1">
      <c r="B170" s="88">
        <v>3</v>
      </c>
      <c r="C170" s="89" t="s">
        <v>788</v>
      </c>
      <c r="D170" s="90" t="s">
        <v>817</v>
      </c>
      <c r="E170" s="91" t="s">
        <v>818</v>
      </c>
      <c r="F170" s="315">
        <v>61.5</v>
      </c>
      <c r="G170" s="260">
        <v>4</v>
      </c>
      <c r="H170" s="260"/>
      <c r="I170" s="329">
        <v>6</v>
      </c>
      <c r="J170" s="199"/>
      <c r="K170" s="269">
        <v>2</v>
      </c>
      <c r="L170" s="93">
        <f t="shared" si="42"/>
        <v>8</v>
      </c>
      <c r="M170" s="183">
        <v>8</v>
      </c>
      <c r="N170" s="95">
        <f t="shared" si="31"/>
        <v>492</v>
      </c>
      <c r="O170" s="95">
        <f t="shared" si="32"/>
        <v>492</v>
      </c>
      <c r="P170" s="94">
        <f t="shared" si="33"/>
        <v>0</v>
      </c>
      <c r="Q170" s="95">
        <f t="shared" si="34"/>
        <v>0</v>
      </c>
      <c r="R170" s="96"/>
      <c r="S170" s="97">
        <f t="shared" si="35"/>
        <v>6</v>
      </c>
      <c r="T170" s="98">
        <f t="shared" si="30"/>
        <v>2</v>
      </c>
      <c r="U170">
        <v>6</v>
      </c>
    </row>
    <row r="171" spans="2:21" ht="20.100000000000001" customHeight="1">
      <c r="B171" s="88">
        <v>3</v>
      </c>
      <c r="C171" s="89" t="s">
        <v>788</v>
      </c>
      <c r="D171" s="90" t="s">
        <v>819</v>
      </c>
      <c r="E171" s="91" t="s">
        <v>820</v>
      </c>
      <c r="F171" s="315">
        <v>35</v>
      </c>
      <c r="G171" s="260">
        <v>8</v>
      </c>
      <c r="H171" s="260"/>
      <c r="I171" s="309"/>
      <c r="J171" s="199"/>
      <c r="K171" s="269"/>
      <c r="L171" s="93">
        <f t="shared" si="42"/>
        <v>8</v>
      </c>
      <c r="M171" s="183">
        <v>8</v>
      </c>
      <c r="N171" s="95">
        <f t="shared" si="31"/>
        <v>280</v>
      </c>
      <c r="O171" s="95">
        <f t="shared" si="32"/>
        <v>280</v>
      </c>
      <c r="P171" s="94">
        <f t="shared" si="33"/>
        <v>0</v>
      </c>
      <c r="Q171" s="95">
        <f t="shared" si="34"/>
        <v>0</v>
      </c>
      <c r="R171" s="96" t="s">
        <v>821</v>
      </c>
      <c r="S171" s="97">
        <f t="shared" si="35"/>
        <v>0</v>
      </c>
      <c r="T171" s="98">
        <f t="shared" si="30"/>
        <v>8</v>
      </c>
    </row>
    <row r="172" spans="2:21" ht="20.100000000000001" customHeight="1">
      <c r="B172" s="88">
        <v>3</v>
      </c>
      <c r="C172" s="89" t="s">
        <v>788</v>
      </c>
      <c r="D172" s="90" t="s">
        <v>822</v>
      </c>
      <c r="E172" s="91" t="s">
        <v>823</v>
      </c>
      <c r="F172" s="315">
        <v>68.47</v>
      </c>
      <c r="G172" s="260">
        <v>5</v>
      </c>
      <c r="H172" s="260"/>
      <c r="I172" s="309"/>
      <c r="J172" s="199"/>
      <c r="K172" s="269"/>
      <c r="L172" s="93">
        <f t="shared" si="42"/>
        <v>5</v>
      </c>
      <c r="M172" s="183">
        <v>5</v>
      </c>
      <c r="N172" s="95">
        <f t="shared" si="31"/>
        <v>342.35</v>
      </c>
      <c r="O172" s="95">
        <f t="shared" si="32"/>
        <v>342.35</v>
      </c>
      <c r="P172" s="94">
        <f t="shared" si="33"/>
        <v>0</v>
      </c>
      <c r="Q172" s="95">
        <f t="shared" si="34"/>
        <v>0</v>
      </c>
      <c r="R172" s="96"/>
      <c r="S172" s="97">
        <f t="shared" si="35"/>
        <v>5</v>
      </c>
      <c r="T172" s="98">
        <f t="shared" si="30"/>
        <v>0</v>
      </c>
      <c r="U172">
        <v>5</v>
      </c>
    </row>
    <row r="173" spans="2:21" ht="20.100000000000001" customHeight="1">
      <c r="B173" s="88">
        <v>3</v>
      </c>
      <c r="C173" s="89" t="s">
        <v>788</v>
      </c>
      <c r="D173" s="90" t="s">
        <v>824</v>
      </c>
      <c r="E173" s="91" t="s">
        <v>825</v>
      </c>
      <c r="F173" s="315">
        <v>30.04</v>
      </c>
      <c r="G173" s="260">
        <v>11</v>
      </c>
      <c r="H173" s="260"/>
      <c r="I173" s="309"/>
      <c r="J173" s="199"/>
      <c r="K173" s="269">
        <v>2</v>
      </c>
      <c r="L173" s="93">
        <f t="shared" si="42"/>
        <v>9</v>
      </c>
      <c r="M173" s="183">
        <v>8</v>
      </c>
      <c r="N173" s="95">
        <f t="shared" si="31"/>
        <v>270.36</v>
      </c>
      <c r="O173" s="95">
        <f t="shared" si="32"/>
        <v>240.32</v>
      </c>
      <c r="P173" s="94">
        <f t="shared" si="33"/>
        <v>1</v>
      </c>
      <c r="Q173" s="95">
        <f t="shared" si="34"/>
        <v>30.04000000000002</v>
      </c>
      <c r="R173" s="96"/>
      <c r="S173" s="97">
        <f t="shared" si="35"/>
        <v>12</v>
      </c>
      <c r="T173" s="98">
        <f t="shared" si="30"/>
        <v>-4</v>
      </c>
      <c r="U173">
        <v>12</v>
      </c>
    </row>
    <row r="174" spans="2:21" ht="20.100000000000001" customHeight="1">
      <c r="B174" s="88">
        <v>3</v>
      </c>
      <c r="C174" s="89" t="s">
        <v>788</v>
      </c>
      <c r="D174" s="90" t="s">
        <v>826</v>
      </c>
      <c r="E174" s="91" t="s">
        <v>827</v>
      </c>
      <c r="F174" s="315">
        <v>54.05</v>
      </c>
      <c r="G174" s="260">
        <v>6</v>
      </c>
      <c r="H174" s="260"/>
      <c r="I174" s="309"/>
      <c r="J174" s="199"/>
      <c r="K174" s="269">
        <v>1</v>
      </c>
      <c r="L174" s="93">
        <f t="shared" si="42"/>
        <v>5</v>
      </c>
      <c r="M174" s="183">
        <v>5</v>
      </c>
      <c r="N174" s="95">
        <f t="shared" si="31"/>
        <v>270.25</v>
      </c>
      <c r="O174" s="95">
        <f t="shared" si="32"/>
        <v>270.25</v>
      </c>
      <c r="P174" s="94">
        <f t="shared" si="33"/>
        <v>0</v>
      </c>
      <c r="Q174" s="95">
        <f t="shared" si="34"/>
        <v>0</v>
      </c>
      <c r="R174" s="96"/>
      <c r="S174" s="97">
        <f t="shared" si="35"/>
        <v>6</v>
      </c>
      <c r="T174" s="98">
        <f t="shared" si="30"/>
        <v>-1</v>
      </c>
      <c r="U174">
        <v>6</v>
      </c>
    </row>
    <row r="175" spans="2:21" ht="20.100000000000001" customHeight="1">
      <c r="B175" s="88">
        <v>3</v>
      </c>
      <c r="C175" s="89" t="s">
        <v>788</v>
      </c>
      <c r="D175" s="90" t="s">
        <v>828</v>
      </c>
      <c r="E175" s="91" t="s">
        <v>829</v>
      </c>
      <c r="F175" s="315">
        <v>7.48</v>
      </c>
      <c r="G175" s="260">
        <v>10</v>
      </c>
      <c r="H175" s="260"/>
      <c r="I175" s="309"/>
      <c r="J175" s="199"/>
      <c r="K175" s="269">
        <v>3</v>
      </c>
      <c r="L175" s="93">
        <f t="shared" si="42"/>
        <v>7</v>
      </c>
      <c r="M175" s="183">
        <v>7</v>
      </c>
      <c r="N175" s="95">
        <f t="shared" si="31"/>
        <v>52.36</v>
      </c>
      <c r="O175" s="95">
        <f t="shared" si="32"/>
        <v>52.36</v>
      </c>
      <c r="P175" s="94">
        <f t="shared" si="33"/>
        <v>0</v>
      </c>
      <c r="Q175" s="95">
        <f t="shared" si="34"/>
        <v>0</v>
      </c>
      <c r="R175" s="96"/>
      <c r="S175" s="97">
        <f t="shared" si="35"/>
        <v>10</v>
      </c>
      <c r="T175" s="98">
        <f t="shared" si="30"/>
        <v>-3</v>
      </c>
      <c r="U175">
        <v>10</v>
      </c>
    </row>
    <row r="176" spans="2:21" ht="20.100000000000001" customHeight="1">
      <c r="B176" s="88">
        <v>3</v>
      </c>
      <c r="C176" s="89" t="s">
        <v>788</v>
      </c>
      <c r="D176" s="90" t="s">
        <v>828</v>
      </c>
      <c r="E176" s="91" t="s">
        <v>829</v>
      </c>
      <c r="F176" s="315">
        <v>7.4816000000000003</v>
      </c>
      <c r="G176" s="260"/>
      <c r="H176" s="260"/>
      <c r="I176" s="331">
        <v>25</v>
      </c>
      <c r="J176" s="199">
        <v>8</v>
      </c>
      <c r="K176" s="269">
        <v>3</v>
      </c>
      <c r="L176" s="93">
        <f t="shared" ref="L176" si="63">G176+I176-J176-K176+H176</f>
        <v>14</v>
      </c>
      <c r="M176" s="183">
        <v>15</v>
      </c>
      <c r="N176" s="95">
        <f t="shared" ref="N176" si="64">F176*L176</f>
        <v>104.7424</v>
      </c>
      <c r="O176" s="95">
        <f t="shared" ref="O176" si="65">M176*F176</f>
        <v>112.224</v>
      </c>
      <c r="P176" s="94">
        <f t="shared" ref="P176" si="66">L176-M176</f>
        <v>-1</v>
      </c>
      <c r="Q176" s="95">
        <f t="shared" ref="Q176" si="67">N176-O176</f>
        <v>-7.4816000000000003</v>
      </c>
      <c r="R176" s="96"/>
      <c r="S176" s="97">
        <f t="shared" ref="S176" si="68">U176+Y176+W176+AA176</f>
        <v>10</v>
      </c>
      <c r="T176" s="98">
        <f t="shared" ref="T176" si="69">M176-S176</f>
        <v>5</v>
      </c>
      <c r="U176">
        <v>10</v>
      </c>
    </row>
    <row r="177" spans="2:31" ht="20.100000000000001" customHeight="1">
      <c r="B177" s="88">
        <v>3</v>
      </c>
      <c r="C177" s="89" t="s">
        <v>788</v>
      </c>
      <c r="D177" s="90" t="s">
        <v>830</v>
      </c>
      <c r="E177" s="91" t="s">
        <v>831</v>
      </c>
      <c r="F177" s="315">
        <v>85.9</v>
      </c>
      <c r="G177" s="260"/>
      <c r="H177" s="260">
        <v>3</v>
      </c>
      <c r="I177" s="309"/>
      <c r="J177" s="199"/>
      <c r="K177" s="269">
        <v>3</v>
      </c>
      <c r="L177" s="93">
        <f t="shared" si="42"/>
        <v>0</v>
      </c>
      <c r="M177" s="183"/>
      <c r="N177" s="95">
        <f t="shared" si="31"/>
        <v>0</v>
      </c>
      <c r="O177" s="95">
        <f t="shared" si="32"/>
        <v>0</v>
      </c>
      <c r="P177" s="94">
        <f t="shared" si="33"/>
        <v>0</v>
      </c>
      <c r="Q177" s="95">
        <f t="shared" si="34"/>
        <v>0</v>
      </c>
      <c r="R177" s="278" t="s">
        <v>5188</v>
      </c>
      <c r="S177" s="97">
        <f t="shared" si="35"/>
        <v>0</v>
      </c>
      <c r="T177" s="98">
        <f t="shared" si="30"/>
        <v>0</v>
      </c>
    </row>
    <row r="178" spans="2:31" ht="20.100000000000001" customHeight="1">
      <c r="B178" s="88">
        <v>3</v>
      </c>
      <c r="C178" s="89" t="s">
        <v>788</v>
      </c>
      <c r="D178" s="90" t="s">
        <v>832</v>
      </c>
      <c r="E178" s="91" t="s">
        <v>833</v>
      </c>
      <c r="F178" s="315">
        <v>68.540000000000006</v>
      </c>
      <c r="G178" s="260">
        <v>2</v>
      </c>
      <c r="H178" s="260"/>
      <c r="I178" s="309"/>
      <c r="J178" s="199">
        <v>2</v>
      </c>
      <c r="K178" s="269"/>
      <c r="L178" s="93">
        <f t="shared" si="42"/>
        <v>0</v>
      </c>
      <c r="M178" s="183"/>
      <c r="N178" s="95">
        <f t="shared" si="31"/>
        <v>0</v>
      </c>
      <c r="O178" s="95">
        <f t="shared" si="32"/>
        <v>0</v>
      </c>
      <c r="P178" s="94">
        <f t="shared" si="33"/>
        <v>0</v>
      </c>
      <c r="Q178" s="95">
        <f t="shared" si="34"/>
        <v>0</v>
      </c>
      <c r="R178" s="96"/>
      <c r="S178" s="97">
        <f t="shared" si="35"/>
        <v>3</v>
      </c>
      <c r="T178" s="98">
        <f t="shared" si="30"/>
        <v>-3</v>
      </c>
      <c r="U178">
        <v>3</v>
      </c>
    </row>
    <row r="179" spans="2:31" ht="20.100000000000001" customHeight="1">
      <c r="B179" s="88">
        <v>3</v>
      </c>
      <c r="C179" s="89" t="s">
        <v>788</v>
      </c>
      <c r="D179" s="90" t="s">
        <v>832</v>
      </c>
      <c r="E179" s="91" t="s">
        <v>833</v>
      </c>
      <c r="F179" s="315">
        <v>68.544399999999996</v>
      </c>
      <c r="G179" s="260"/>
      <c r="H179" s="260"/>
      <c r="I179" s="331">
        <v>6</v>
      </c>
      <c r="J179" s="199"/>
      <c r="K179" s="269"/>
      <c r="L179" s="93">
        <f t="shared" ref="L179" si="70">G179+I179-J179-K179+H179</f>
        <v>6</v>
      </c>
      <c r="M179" s="183">
        <v>6</v>
      </c>
      <c r="N179" s="95">
        <f t="shared" ref="N179" si="71">F179*L179</f>
        <v>411.26639999999998</v>
      </c>
      <c r="O179" s="95">
        <f t="shared" ref="O179" si="72">M179*F179</f>
        <v>411.26639999999998</v>
      </c>
      <c r="P179" s="94">
        <f t="shared" ref="P179" si="73">L179-M179</f>
        <v>0</v>
      </c>
      <c r="Q179" s="95">
        <f t="shared" ref="Q179" si="74">N179-O179</f>
        <v>0</v>
      </c>
      <c r="R179" s="96"/>
      <c r="S179" s="97">
        <f t="shared" ref="S179" si="75">U179+Y179+W179+AA179</f>
        <v>3</v>
      </c>
      <c r="T179" s="98">
        <f t="shared" ref="T179" si="76">M179-S179</f>
        <v>3</v>
      </c>
      <c r="U179">
        <v>3</v>
      </c>
    </row>
    <row r="180" spans="2:31" ht="20.100000000000001" customHeight="1">
      <c r="B180" s="88">
        <v>3</v>
      </c>
      <c r="C180" s="89" t="s">
        <v>788</v>
      </c>
      <c r="D180" s="90" t="s">
        <v>834</v>
      </c>
      <c r="E180" s="91" t="s">
        <v>835</v>
      </c>
      <c r="F180" s="315">
        <v>68.540000000000006</v>
      </c>
      <c r="G180" s="260">
        <v>5</v>
      </c>
      <c r="H180" s="260"/>
      <c r="I180" s="309"/>
      <c r="J180" s="199">
        <v>4</v>
      </c>
      <c r="K180" s="269">
        <v>1</v>
      </c>
      <c r="L180" s="93">
        <f t="shared" si="42"/>
        <v>0</v>
      </c>
      <c r="M180" s="183"/>
      <c r="N180" s="95">
        <f t="shared" si="31"/>
        <v>0</v>
      </c>
      <c r="O180" s="95">
        <f t="shared" si="32"/>
        <v>0</v>
      </c>
      <c r="P180" s="94">
        <f t="shared" si="33"/>
        <v>0</v>
      </c>
      <c r="Q180" s="95">
        <f t="shared" si="34"/>
        <v>0</v>
      </c>
      <c r="R180" s="96"/>
      <c r="S180" s="97">
        <f t="shared" si="35"/>
        <v>6</v>
      </c>
      <c r="T180" s="98">
        <f t="shared" si="30"/>
        <v>-6</v>
      </c>
      <c r="U180">
        <v>6</v>
      </c>
    </row>
    <row r="181" spans="2:31" ht="20.100000000000001" customHeight="1">
      <c r="B181" s="88">
        <v>3</v>
      </c>
      <c r="C181" s="89" t="s">
        <v>788</v>
      </c>
      <c r="D181" s="90" t="s">
        <v>836</v>
      </c>
      <c r="E181" s="91" t="s">
        <v>837</v>
      </c>
      <c r="F181" s="315">
        <v>85.9</v>
      </c>
      <c r="G181" s="260"/>
      <c r="H181" s="260"/>
      <c r="I181" s="309"/>
      <c r="J181" s="199"/>
      <c r="K181" s="269"/>
      <c r="L181" s="93">
        <f t="shared" si="42"/>
        <v>0</v>
      </c>
      <c r="M181" s="183"/>
      <c r="N181" s="95">
        <f t="shared" si="31"/>
        <v>0</v>
      </c>
      <c r="O181" s="95">
        <f t="shared" si="32"/>
        <v>0</v>
      </c>
      <c r="P181" s="94">
        <f t="shared" si="33"/>
        <v>0</v>
      </c>
      <c r="Q181" s="95">
        <f t="shared" si="34"/>
        <v>0</v>
      </c>
      <c r="R181" s="96"/>
      <c r="S181" s="97">
        <f t="shared" si="35"/>
        <v>0</v>
      </c>
      <c r="T181" s="98">
        <f t="shared" si="30"/>
        <v>0</v>
      </c>
    </row>
    <row r="182" spans="2:31" ht="19.5" customHeight="1">
      <c r="B182" s="88">
        <v>3</v>
      </c>
      <c r="C182" s="89" t="s">
        <v>788</v>
      </c>
      <c r="D182" s="90" t="s">
        <v>838</v>
      </c>
      <c r="E182" s="91" t="s">
        <v>839</v>
      </c>
      <c r="F182" s="315">
        <v>65.2</v>
      </c>
      <c r="G182" s="260">
        <v>2</v>
      </c>
      <c r="H182" s="260"/>
      <c r="I182" s="309"/>
      <c r="J182" s="199">
        <v>2</v>
      </c>
      <c r="K182" s="269"/>
      <c r="L182" s="93">
        <f t="shared" si="42"/>
        <v>0</v>
      </c>
      <c r="M182" s="183"/>
      <c r="N182" s="95">
        <f t="shared" si="31"/>
        <v>0</v>
      </c>
      <c r="O182" s="95">
        <f t="shared" si="32"/>
        <v>0</v>
      </c>
      <c r="P182" s="94">
        <f t="shared" si="33"/>
        <v>0</v>
      </c>
      <c r="Q182" s="95">
        <f t="shared" si="34"/>
        <v>0</v>
      </c>
      <c r="R182" s="96"/>
      <c r="S182" s="97">
        <f t="shared" si="35"/>
        <v>2</v>
      </c>
      <c r="T182" s="98">
        <f t="shared" si="30"/>
        <v>-2</v>
      </c>
      <c r="U182">
        <v>2</v>
      </c>
    </row>
    <row r="183" spans="2:31" ht="19.5" customHeight="1">
      <c r="B183" s="88">
        <v>3</v>
      </c>
      <c r="C183" s="89" t="s">
        <v>788</v>
      </c>
      <c r="D183" s="90" t="s">
        <v>838</v>
      </c>
      <c r="E183" s="91" t="s">
        <v>839</v>
      </c>
      <c r="F183" s="315">
        <v>68.543999999999997</v>
      </c>
      <c r="G183" s="260">
        <v>2</v>
      </c>
      <c r="H183" s="260"/>
      <c r="I183" s="331">
        <v>6</v>
      </c>
      <c r="J183" s="199">
        <v>2</v>
      </c>
      <c r="K183" s="269"/>
      <c r="L183" s="93">
        <f t="shared" ref="L183" si="77">G183+I183-J183-K183+H183</f>
        <v>6</v>
      </c>
      <c r="M183" s="183">
        <v>6</v>
      </c>
      <c r="N183" s="95">
        <f t="shared" ref="N183" si="78">F183*L183</f>
        <v>411.26400000000001</v>
      </c>
      <c r="O183" s="95">
        <f t="shared" ref="O183" si="79">M183*F183</f>
        <v>411.26400000000001</v>
      </c>
      <c r="P183" s="94">
        <f t="shared" ref="P183" si="80">L183-M183</f>
        <v>0</v>
      </c>
      <c r="Q183" s="95">
        <f t="shared" ref="Q183" si="81">N183-O183</f>
        <v>0</v>
      </c>
      <c r="R183" s="96"/>
      <c r="S183" s="97">
        <f t="shared" ref="S183" si="82">U183+Y183+W183+AA183</f>
        <v>2</v>
      </c>
      <c r="T183" s="98">
        <f t="shared" ref="T183" si="83">M183-S183</f>
        <v>4</v>
      </c>
      <c r="U183">
        <v>2</v>
      </c>
    </row>
    <row r="184" spans="2:31" ht="20.100000000000001" customHeight="1">
      <c r="B184" s="88">
        <v>3</v>
      </c>
      <c r="C184" s="89" t="s">
        <v>788</v>
      </c>
      <c r="D184" s="90" t="s">
        <v>840</v>
      </c>
      <c r="E184" s="91" t="s">
        <v>841</v>
      </c>
      <c r="F184" s="315">
        <v>20.68</v>
      </c>
      <c r="G184" s="260">
        <v>5</v>
      </c>
      <c r="H184" s="260"/>
      <c r="I184" s="309"/>
      <c r="J184" s="199"/>
      <c r="K184" s="269">
        <v>5</v>
      </c>
      <c r="L184" s="93">
        <f t="shared" si="42"/>
        <v>0</v>
      </c>
      <c r="M184" s="183"/>
      <c r="N184" s="95">
        <f t="shared" si="31"/>
        <v>0</v>
      </c>
      <c r="O184" s="95">
        <f t="shared" si="32"/>
        <v>0</v>
      </c>
      <c r="P184" s="94">
        <f t="shared" si="33"/>
        <v>0</v>
      </c>
      <c r="Q184" s="95">
        <f t="shared" si="34"/>
        <v>0</v>
      </c>
      <c r="R184" s="278"/>
      <c r="S184" s="97">
        <f t="shared" si="35"/>
        <v>12</v>
      </c>
      <c r="T184" s="98">
        <f t="shared" si="30"/>
        <v>-12</v>
      </c>
      <c r="U184">
        <f>11+1</f>
        <v>12</v>
      </c>
    </row>
    <row r="185" spans="2:31" ht="20.100000000000001" customHeight="1">
      <c r="B185" s="88">
        <v>3</v>
      </c>
      <c r="C185" s="89" t="s">
        <v>788</v>
      </c>
      <c r="D185" s="90" t="s">
        <v>842</v>
      </c>
      <c r="E185" s="91" t="s">
        <v>843</v>
      </c>
      <c r="F185" s="315">
        <v>20.68</v>
      </c>
      <c r="G185" s="260">
        <v>37</v>
      </c>
      <c r="H185" s="260"/>
      <c r="I185" s="309"/>
      <c r="J185" s="199"/>
      <c r="K185" s="269">
        <v>10</v>
      </c>
      <c r="L185" s="93">
        <f t="shared" si="42"/>
        <v>27</v>
      </c>
      <c r="M185" s="183">
        <v>27</v>
      </c>
      <c r="N185" s="95">
        <f t="shared" si="31"/>
        <v>558.36</v>
      </c>
      <c r="O185" s="95">
        <f t="shared" si="32"/>
        <v>558.36</v>
      </c>
      <c r="P185" s="94">
        <f t="shared" si="33"/>
        <v>0</v>
      </c>
      <c r="Q185" s="95">
        <f t="shared" si="34"/>
        <v>0</v>
      </c>
      <c r="R185" s="96"/>
      <c r="S185" s="97">
        <f t="shared" si="35"/>
        <v>41</v>
      </c>
      <c r="T185" s="98">
        <f t="shared" si="30"/>
        <v>-14</v>
      </c>
      <c r="U185">
        <v>41</v>
      </c>
    </row>
    <row r="186" spans="2:31" ht="20.100000000000001" customHeight="1">
      <c r="B186" s="88">
        <v>3</v>
      </c>
      <c r="C186" s="89" t="s">
        <v>788</v>
      </c>
      <c r="D186" s="90" t="s">
        <v>844</v>
      </c>
      <c r="E186" s="91" t="s">
        <v>845</v>
      </c>
      <c r="F186" s="315">
        <v>8.5299999999999994</v>
      </c>
      <c r="G186" s="260">
        <v>17</v>
      </c>
      <c r="H186" s="260"/>
      <c r="I186" s="309"/>
      <c r="J186" s="199"/>
      <c r="K186" s="269">
        <v>12</v>
      </c>
      <c r="L186" s="93">
        <f t="shared" si="42"/>
        <v>5</v>
      </c>
      <c r="M186" s="183">
        <v>5</v>
      </c>
      <c r="N186" s="95">
        <f t="shared" si="31"/>
        <v>42.65</v>
      </c>
      <c r="O186" s="95">
        <f t="shared" si="32"/>
        <v>42.65</v>
      </c>
      <c r="P186" s="94">
        <f t="shared" si="33"/>
        <v>0</v>
      </c>
      <c r="Q186" s="95">
        <f t="shared" si="34"/>
        <v>0</v>
      </c>
      <c r="R186" s="96"/>
      <c r="S186" s="97">
        <f t="shared" si="35"/>
        <v>22</v>
      </c>
      <c r="T186" s="98">
        <f t="shared" ref="T186:T220" si="84">M186-S186</f>
        <v>-17</v>
      </c>
      <c r="U186">
        <v>20</v>
      </c>
      <c r="W186">
        <v>2</v>
      </c>
      <c r="X186" t="s">
        <v>555</v>
      </c>
      <c r="AD186">
        <f>W186</f>
        <v>2</v>
      </c>
      <c r="AE186" s="100">
        <f>AD186*F186</f>
        <v>17.059999999999999</v>
      </c>
    </row>
    <row r="187" spans="2:31" ht="20.100000000000001" customHeight="1">
      <c r="B187" s="88">
        <v>3</v>
      </c>
      <c r="C187" s="89" t="s">
        <v>788</v>
      </c>
      <c r="D187" s="90" t="s">
        <v>846</v>
      </c>
      <c r="E187" s="91" t="s">
        <v>847</v>
      </c>
      <c r="F187" s="315">
        <v>13.02</v>
      </c>
      <c r="G187" s="260"/>
      <c r="H187" s="260"/>
      <c r="I187" s="309"/>
      <c r="J187" s="199"/>
      <c r="K187" s="269"/>
      <c r="L187" s="93">
        <f t="shared" si="42"/>
        <v>0</v>
      </c>
      <c r="M187" s="183"/>
      <c r="N187" s="95">
        <f t="shared" ref="N187:N221" si="85">F187*L187</f>
        <v>0</v>
      </c>
      <c r="O187" s="95">
        <f t="shared" ref="O187:O221" si="86">M187*F187</f>
        <v>0</v>
      </c>
      <c r="P187" s="94">
        <f t="shared" ref="P187:P221" si="87">L187-M187</f>
        <v>0</v>
      </c>
      <c r="Q187" s="95">
        <f t="shared" ref="Q187:Q221" si="88">N187-O187</f>
        <v>0</v>
      </c>
      <c r="R187" s="96"/>
      <c r="S187" s="97">
        <f t="shared" ref="S187:S221" si="89">U187+Y187+W187+AA187</f>
        <v>1</v>
      </c>
      <c r="T187" s="98">
        <f t="shared" si="84"/>
        <v>-1</v>
      </c>
      <c r="U187">
        <v>1</v>
      </c>
    </row>
    <row r="188" spans="2:31" ht="20.100000000000001" customHeight="1">
      <c r="B188" s="88">
        <v>3</v>
      </c>
      <c r="C188" s="89" t="s">
        <v>788</v>
      </c>
      <c r="D188" s="90" t="s">
        <v>848</v>
      </c>
      <c r="E188" s="91" t="s">
        <v>849</v>
      </c>
      <c r="F188" s="315">
        <v>7.72</v>
      </c>
      <c r="G188" s="260">
        <v>23</v>
      </c>
      <c r="H188" s="260"/>
      <c r="I188" s="309"/>
      <c r="J188" s="199"/>
      <c r="K188" s="269">
        <v>7</v>
      </c>
      <c r="L188" s="93">
        <f t="shared" si="42"/>
        <v>16</v>
      </c>
      <c r="M188" s="183">
        <f>9+1+6</f>
        <v>16</v>
      </c>
      <c r="N188" s="95">
        <f t="shared" si="85"/>
        <v>123.52</v>
      </c>
      <c r="O188" s="95">
        <f t="shared" si="86"/>
        <v>123.52</v>
      </c>
      <c r="P188" s="94">
        <f t="shared" si="87"/>
        <v>0</v>
      </c>
      <c r="Q188" s="95">
        <f t="shared" si="88"/>
        <v>0</v>
      </c>
      <c r="R188" s="102">
        <v>45702</v>
      </c>
      <c r="S188" s="97">
        <f t="shared" si="89"/>
        <v>6</v>
      </c>
      <c r="T188" s="98">
        <f t="shared" si="84"/>
        <v>10</v>
      </c>
      <c r="W188">
        <v>6</v>
      </c>
      <c r="X188" t="s">
        <v>555</v>
      </c>
      <c r="AD188">
        <f>W188</f>
        <v>6</v>
      </c>
      <c r="AE188" s="100">
        <f>AD188*F188</f>
        <v>46.32</v>
      </c>
    </row>
    <row r="189" spans="2:31" ht="20.100000000000001" customHeight="1">
      <c r="B189" s="88">
        <v>3</v>
      </c>
      <c r="C189" s="89" t="s">
        <v>788</v>
      </c>
      <c r="D189" s="90" t="s">
        <v>848</v>
      </c>
      <c r="E189" s="91" t="s">
        <v>849</v>
      </c>
      <c r="F189" s="315">
        <v>8.1999999999999993</v>
      </c>
      <c r="G189" s="260"/>
      <c r="H189" s="260"/>
      <c r="I189" s="309"/>
      <c r="J189" s="199"/>
      <c r="K189" s="269"/>
      <c r="L189" s="93">
        <f t="shared" si="42"/>
        <v>0</v>
      </c>
      <c r="M189" s="183"/>
      <c r="N189" s="95">
        <f t="shared" si="85"/>
        <v>0</v>
      </c>
      <c r="O189" s="95">
        <f t="shared" si="86"/>
        <v>0</v>
      </c>
      <c r="P189" s="94">
        <f t="shared" si="87"/>
        <v>0</v>
      </c>
      <c r="Q189" s="95">
        <f t="shared" si="88"/>
        <v>0</v>
      </c>
      <c r="R189" s="96"/>
      <c r="S189" s="97">
        <f t="shared" si="89"/>
        <v>0</v>
      </c>
      <c r="T189" s="98">
        <f t="shared" si="84"/>
        <v>0</v>
      </c>
    </row>
    <row r="190" spans="2:31" ht="20.100000000000001" customHeight="1">
      <c r="B190" s="88">
        <v>3</v>
      </c>
      <c r="C190" s="89" t="s">
        <v>788</v>
      </c>
      <c r="D190" s="90" t="s">
        <v>850</v>
      </c>
      <c r="E190" s="91" t="s">
        <v>851</v>
      </c>
      <c r="F190" s="315">
        <v>56.5</v>
      </c>
      <c r="G190" s="260">
        <v>3</v>
      </c>
      <c r="H190" s="260">
        <v>5</v>
      </c>
      <c r="I190" s="309"/>
      <c r="J190" s="199"/>
      <c r="K190" s="269">
        <v>6</v>
      </c>
      <c r="L190" s="93">
        <f t="shared" si="42"/>
        <v>2</v>
      </c>
      <c r="M190" s="183">
        <v>2</v>
      </c>
      <c r="N190" s="95">
        <f t="shared" si="85"/>
        <v>113</v>
      </c>
      <c r="O190" s="95">
        <f t="shared" si="86"/>
        <v>113</v>
      </c>
      <c r="P190" s="94">
        <f t="shared" si="87"/>
        <v>0</v>
      </c>
      <c r="Q190" s="95">
        <f t="shared" si="88"/>
        <v>0</v>
      </c>
      <c r="R190" s="96"/>
      <c r="S190" s="97">
        <f t="shared" si="89"/>
        <v>6</v>
      </c>
      <c r="T190" s="98">
        <f t="shared" si="84"/>
        <v>-4</v>
      </c>
      <c r="U190">
        <v>6</v>
      </c>
    </row>
    <row r="191" spans="2:31" ht="20.100000000000001" customHeight="1">
      <c r="B191" s="88">
        <v>3</v>
      </c>
      <c r="C191" s="89" t="s">
        <v>788</v>
      </c>
      <c r="D191" s="90" t="s">
        <v>852</v>
      </c>
      <c r="E191" s="91" t="s">
        <v>853</v>
      </c>
      <c r="F191" s="315">
        <v>62.75</v>
      </c>
      <c r="G191" s="260"/>
      <c r="H191" s="260"/>
      <c r="I191" s="309"/>
      <c r="J191" s="199"/>
      <c r="K191" s="269"/>
      <c r="L191" s="93">
        <f t="shared" si="42"/>
        <v>0</v>
      </c>
      <c r="M191" s="183"/>
      <c r="N191" s="95">
        <f t="shared" si="85"/>
        <v>0</v>
      </c>
      <c r="O191" s="95">
        <f t="shared" si="86"/>
        <v>0</v>
      </c>
      <c r="P191" s="94">
        <f t="shared" si="87"/>
        <v>0</v>
      </c>
      <c r="Q191" s="95">
        <f t="shared" si="88"/>
        <v>0</v>
      </c>
      <c r="R191" s="96"/>
      <c r="S191" s="97">
        <f t="shared" si="89"/>
        <v>0</v>
      </c>
      <c r="T191" s="98">
        <f t="shared" si="84"/>
        <v>0</v>
      </c>
    </row>
    <row r="192" spans="2:31" ht="20.100000000000001" customHeight="1">
      <c r="B192" s="88">
        <v>3</v>
      </c>
      <c r="C192" s="89" t="s">
        <v>788</v>
      </c>
      <c r="D192" s="90" t="s">
        <v>854</v>
      </c>
      <c r="E192" s="91" t="s">
        <v>855</v>
      </c>
      <c r="F192" s="315">
        <v>62.75</v>
      </c>
      <c r="G192" s="260"/>
      <c r="H192" s="260"/>
      <c r="I192" s="309"/>
      <c r="J192" s="199"/>
      <c r="K192" s="269"/>
      <c r="L192" s="93">
        <f t="shared" si="42"/>
        <v>0</v>
      </c>
      <c r="M192" s="183"/>
      <c r="N192" s="95">
        <f t="shared" si="85"/>
        <v>0</v>
      </c>
      <c r="O192" s="95">
        <f t="shared" si="86"/>
        <v>0</v>
      </c>
      <c r="P192" s="94">
        <f t="shared" si="87"/>
        <v>0</v>
      </c>
      <c r="Q192" s="95">
        <f t="shared" si="88"/>
        <v>0</v>
      </c>
      <c r="R192" s="96"/>
      <c r="S192" s="97">
        <f t="shared" si="89"/>
        <v>0</v>
      </c>
      <c r="T192" s="98">
        <f t="shared" si="84"/>
        <v>0</v>
      </c>
    </row>
    <row r="193" spans="2:31" ht="20.100000000000001" customHeight="1">
      <c r="B193" s="88">
        <v>3</v>
      </c>
      <c r="C193" s="89" t="s">
        <v>788</v>
      </c>
      <c r="D193" s="90" t="s">
        <v>856</v>
      </c>
      <c r="E193" s="91" t="s">
        <v>857</v>
      </c>
      <c r="F193" s="315">
        <v>56.79</v>
      </c>
      <c r="G193" s="260">
        <v>2</v>
      </c>
      <c r="H193" s="260"/>
      <c r="I193" s="309"/>
      <c r="J193" s="199"/>
      <c r="K193" s="269"/>
      <c r="L193" s="93">
        <f t="shared" si="42"/>
        <v>2</v>
      </c>
      <c r="M193" s="183">
        <v>2</v>
      </c>
      <c r="N193" s="95">
        <f t="shared" si="85"/>
        <v>113.58</v>
      </c>
      <c r="O193" s="95">
        <f t="shared" si="86"/>
        <v>113.58</v>
      </c>
      <c r="P193" s="94">
        <f t="shared" si="87"/>
        <v>0</v>
      </c>
      <c r="Q193" s="95">
        <f t="shared" si="88"/>
        <v>0</v>
      </c>
      <c r="R193" s="102">
        <v>45438</v>
      </c>
      <c r="S193" s="97">
        <f t="shared" si="89"/>
        <v>2</v>
      </c>
      <c r="T193" s="98">
        <f t="shared" si="84"/>
        <v>0</v>
      </c>
      <c r="W193">
        <v>2</v>
      </c>
      <c r="X193" t="s">
        <v>549</v>
      </c>
      <c r="AD193">
        <f>W193</f>
        <v>2</v>
      </c>
      <c r="AE193" s="100">
        <f>AD193*F193</f>
        <v>113.58</v>
      </c>
    </row>
    <row r="194" spans="2:31" ht="20.100000000000001" customHeight="1">
      <c r="B194" s="88">
        <v>3</v>
      </c>
      <c r="C194" s="89" t="s">
        <v>788</v>
      </c>
      <c r="D194" s="90" t="s">
        <v>858</v>
      </c>
      <c r="E194" s="91" t="s">
        <v>859</v>
      </c>
      <c r="F194" s="315">
        <v>72.180000000000007</v>
      </c>
      <c r="G194" s="260"/>
      <c r="H194" s="260"/>
      <c r="I194" s="309"/>
      <c r="J194" s="199"/>
      <c r="K194" s="269"/>
      <c r="L194" s="93">
        <f t="shared" si="42"/>
        <v>0</v>
      </c>
      <c r="M194" s="183"/>
      <c r="N194" s="95">
        <f t="shared" si="85"/>
        <v>0</v>
      </c>
      <c r="O194" s="95">
        <f t="shared" si="86"/>
        <v>0</v>
      </c>
      <c r="P194" s="94">
        <f t="shared" si="87"/>
        <v>0</v>
      </c>
      <c r="Q194" s="95">
        <f t="shared" si="88"/>
        <v>0</v>
      </c>
      <c r="R194" s="96"/>
      <c r="S194" s="97">
        <f t="shared" si="89"/>
        <v>0</v>
      </c>
      <c r="T194" s="98">
        <f t="shared" si="84"/>
        <v>0</v>
      </c>
    </row>
    <row r="195" spans="2:31" ht="20.100000000000001" customHeight="1">
      <c r="B195" s="88">
        <v>3</v>
      </c>
      <c r="C195" s="89" t="s">
        <v>788</v>
      </c>
      <c r="D195" s="90" t="s">
        <v>860</v>
      </c>
      <c r="E195" s="91" t="s">
        <v>861</v>
      </c>
      <c r="F195" s="315">
        <v>72.180000000000007</v>
      </c>
      <c r="G195" s="260"/>
      <c r="H195" s="260"/>
      <c r="I195" s="309"/>
      <c r="J195" s="199"/>
      <c r="K195" s="269"/>
      <c r="L195" s="93">
        <f t="shared" si="42"/>
        <v>0</v>
      </c>
      <c r="M195" s="183"/>
      <c r="N195" s="95">
        <f t="shared" si="85"/>
        <v>0</v>
      </c>
      <c r="O195" s="95">
        <f t="shared" si="86"/>
        <v>0</v>
      </c>
      <c r="P195" s="94">
        <f t="shared" si="87"/>
        <v>0</v>
      </c>
      <c r="Q195" s="95">
        <f t="shared" si="88"/>
        <v>0</v>
      </c>
      <c r="R195" s="96"/>
      <c r="S195" s="97">
        <f t="shared" si="89"/>
        <v>0</v>
      </c>
      <c r="T195" s="98">
        <f t="shared" si="84"/>
        <v>0</v>
      </c>
    </row>
    <row r="196" spans="2:31" ht="20.100000000000001" customHeight="1">
      <c r="B196" s="88">
        <v>3</v>
      </c>
      <c r="C196" s="89" t="s">
        <v>788</v>
      </c>
      <c r="D196" s="90" t="s">
        <v>862</v>
      </c>
      <c r="E196" s="91" t="s">
        <v>863</v>
      </c>
      <c r="F196" s="315">
        <v>74.56</v>
      </c>
      <c r="G196" s="260"/>
      <c r="H196" s="260"/>
      <c r="I196" s="309"/>
      <c r="J196" s="199"/>
      <c r="K196" s="269"/>
      <c r="L196" s="93">
        <f t="shared" si="42"/>
        <v>0</v>
      </c>
      <c r="M196" s="183"/>
      <c r="N196" s="95">
        <f t="shared" si="85"/>
        <v>0</v>
      </c>
      <c r="O196" s="95">
        <f t="shared" si="86"/>
        <v>0</v>
      </c>
      <c r="P196" s="94">
        <f t="shared" si="87"/>
        <v>0</v>
      </c>
      <c r="Q196" s="95">
        <f t="shared" si="88"/>
        <v>0</v>
      </c>
      <c r="R196" s="96"/>
      <c r="S196" s="97">
        <f t="shared" si="89"/>
        <v>0</v>
      </c>
      <c r="T196" s="98">
        <f t="shared" si="84"/>
        <v>0</v>
      </c>
    </row>
    <row r="197" spans="2:31" ht="20.100000000000001" customHeight="1">
      <c r="B197" s="88">
        <v>3</v>
      </c>
      <c r="C197" s="89" t="s">
        <v>788</v>
      </c>
      <c r="D197" s="90" t="s">
        <v>864</v>
      </c>
      <c r="E197" s="91" t="s">
        <v>865</v>
      </c>
      <c r="F197" s="315">
        <v>72.180000000000007</v>
      </c>
      <c r="G197" s="260"/>
      <c r="H197" s="260"/>
      <c r="I197" s="309"/>
      <c r="J197" s="199"/>
      <c r="K197" s="269"/>
      <c r="L197" s="93">
        <f>G197+I197-J197-K197+H197</f>
        <v>0</v>
      </c>
      <c r="M197" s="183"/>
      <c r="N197" s="95">
        <f t="shared" si="85"/>
        <v>0</v>
      </c>
      <c r="O197" s="95">
        <f t="shared" si="86"/>
        <v>0</v>
      </c>
      <c r="P197" s="94">
        <f t="shared" si="87"/>
        <v>0</v>
      </c>
      <c r="Q197" s="95">
        <f t="shared" si="88"/>
        <v>0</v>
      </c>
      <c r="R197" s="96"/>
      <c r="S197" s="97">
        <f t="shared" si="89"/>
        <v>0</v>
      </c>
      <c r="T197" s="98">
        <f t="shared" si="84"/>
        <v>0</v>
      </c>
    </row>
    <row r="198" spans="2:31" ht="20.100000000000001" customHeight="1">
      <c r="B198" s="88">
        <v>3</v>
      </c>
      <c r="C198" s="89" t="s">
        <v>788</v>
      </c>
      <c r="D198" s="90" t="s">
        <v>866</v>
      </c>
      <c r="E198" s="91" t="s">
        <v>867</v>
      </c>
      <c r="F198" s="315">
        <v>74.56</v>
      </c>
      <c r="G198" s="260"/>
      <c r="H198" s="260"/>
      <c r="I198" s="309"/>
      <c r="J198" s="199"/>
      <c r="K198" s="269"/>
      <c r="L198" s="93">
        <f t="shared" si="42"/>
        <v>0</v>
      </c>
      <c r="M198" s="183"/>
      <c r="N198" s="95">
        <f t="shared" si="85"/>
        <v>0</v>
      </c>
      <c r="O198" s="95">
        <f t="shared" si="86"/>
        <v>0</v>
      </c>
      <c r="P198" s="94">
        <f t="shared" si="87"/>
        <v>0</v>
      </c>
      <c r="Q198" s="95">
        <f t="shared" si="88"/>
        <v>0</v>
      </c>
      <c r="R198" s="96"/>
      <c r="S198" s="97">
        <f t="shared" si="89"/>
        <v>0</v>
      </c>
      <c r="T198" s="98">
        <f t="shared" si="84"/>
        <v>0</v>
      </c>
    </row>
    <row r="199" spans="2:31" ht="20.100000000000001" customHeight="1">
      <c r="B199" s="88">
        <v>3</v>
      </c>
      <c r="C199" s="89" t="s">
        <v>788</v>
      </c>
      <c r="D199" s="90" t="s">
        <v>868</v>
      </c>
      <c r="E199" s="91" t="s">
        <v>869</v>
      </c>
      <c r="F199" s="315">
        <v>72.180000000000007</v>
      </c>
      <c r="G199" s="260"/>
      <c r="H199" s="260"/>
      <c r="I199" s="309"/>
      <c r="J199" s="199"/>
      <c r="K199" s="269"/>
      <c r="L199" s="93">
        <f t="shared" si="42"/>
        <v>0</v>
      </c>
      <c r="M199" s="183"/>
      <c r="N199" s="95">
        <f t="shared" si="85"/>
        <v>0</v>
      </c>
      <c r="O199" s="95">
        <f t="shared" si="86"/>
        <v>0</v>
      </c>
      <c r="P199" s="94">
        <f t="shared" si="87"/>
        <v>0</v>
      </c>
      <c r="Q199" s="95">
        <f t="shared" si="88"/>
        <v>0</v>
      </c>
      <c r="R199" s="96"/>
      <c r="S199" s="97">
        <f t="shared" si="89"/>
        <v>0</v>
      </c>
      <c r="T199" s="98">
        <f t="shared" si="84"/>
        <v>0</v>
      </c>
    </row>
    <row r="200" spans="2:31" ht="20.100000000000001" customHeight="1">
      <c r="B200" s="88">
        <v>3</v>
      </c>
      <c r="C200" s="89" t="s">
        <v>788</v>
      </c>
      <c r="D200" s="90" t="s">
        <v>870</v>
      </c>
      <c r="E200" s="91" t="s">
        <v>871</v>
      </c>
      <c r="F200" s="315">
        <v>113.65</v>
      </c>
      <c r="G200" s="260"/>
      <c r="H200" s="260"/>
      <c r="I200" s="309"/>
      <c r="J200" s="199"/>
      <c r="K200" s="269"/>
      <c r="L200" s="93">
        <f t="shared" ref="L200:L263" si="90">G200+I200-J200-K200+H200</f>
        <v>0</v>
      </c>
      <c r="M200" s="183"/>
      <c r="N200" s="95">
        <f t="shared" si="85"/>
        <v>0</v>
      </c>
      <c r="O200" s="95">
        <f t="shared" si="86"/>
        <v>0</v>
      </c>
      <c r="P200" s="94">
        <f t="shared" si="87"/>
        <v>0</v>
      </c>
      <c r="Q200" s="95">
        <f t="shared" si="88"/>
        <v>0</v>
      </c>
      <c r="R200" s="96"/>
      <c r="S200" s="97">
        <f t="shared" si="89"/>
        <v>0</v>
      </c>
      <c r="T200" s="98">
        <f t="shared" si="84"/>
        <v>0</v>
      </c>
    </row>
    <row r="201" spans="2:31" ht="20.100000000000001" customHeight="1">
      <c r="B201" s="88">
        <v>3</v>
      </c>
      <c r="C201" s="89" t="s">
        <v>788</v>
      </c>
      <c r="D201" s="90" t="s">
        <v>870</v>
      </c>
      <c r="E201" s="91" t="s">
        <v>871</v>
      </c>
      <c r="F201" s="315">
        <v>113.65</v>
      </c>
      <c r="G201" s="260"/>
      <c r="H201" s="260"/>
      <c r="I201" s="309"/>
      <c r="J201" s="199"/>
      <c r="K201" s="269"/>
      <c r="L201" s="93">
        <f t="shared" si="90"/>
        <v>0</v>
      </c>
      <c r="M201" s="183"/>
      <c r="N201" s="95">
        <f t="shared" si="85"/>
        <v>0</v>
      </c>
      <c r="O201" s="95">
        <f t="shared" si="86"/>
        <v>0</v>
      </c>
      <c r="P201" s="94">
        <f t="shared" si="87"/>
        <v>0</v>
      </c>
      <c r="Q201" s="95">
        <f t="shared" si="88"/>
        <v>0</v>
      </c>
      <c r="R201" s="96"/>
      <c r="S201" s="97">
        <f t="shared" si="89"/>
        <v>0</v>
      </c>
      <c r="T201" s="98">
        <f t="shared" si="84"/>
        <v>0</v>
      </c>
    </row>
    <row r="202" spans="2:31" ht="20.100000000000001" customHeight="1">
      <c r="B202" s="88">
        <v>3</v>
      </c>
      <c r="C202" s="89" t="s">
        <v>788</v>
      </c>
      <c r="D202" s="90" t="s">
        <v>872</v>
      </c>
      <c r="E202" s="91" t="s">
        <v>873</v>
      </c>
      <c r="F202" s="315">
        <v>22.85</v>
      </c>
      <c r="G202" s="260">
        <v>6</v>
      </c>
      <c r="H202" s="260"/>
      <c r="I202" s="309"/>
      <c r="J202" s="199"/>
      <c r="K202" s="80">
        <v>1</v>
      </c>
      <c r="L202" s="93">
        <f t="shared" si="90"/>
        <v>5</v>
      </c>
      <c r="M202" s="183">
        <v>5</v>
      </c>
      <c r="N202" s="95">
        <f t="shared" si="85"/>
        <v>114.25</v>
      </c>
      <c r="O202" s="95">
        <f t="shared" si="86"/>
        <v>114.25</v>
      </c>
      <c r="P202" s="94">
        <f t="shared" si="87"/>
        <v>0</v>
      </c>
      <c r="Q202" s="95">
        <f t="shared" si="88"/>
        <v>0</v>
      </c>
      <c r="R202" s="96"/>
      <c r="S202" s="97">
        <f t="shared" si="89"/>
        <v>0</v>
      </c>
      <c r="T202" s="98">
        <f t="shared" si="84"/>
        <v>5</v>
      </c>
    </row>
    <row r="203" spans="2:31" ht="20.100000000000001" customHeight="1">
      <c r="B203" s="88">
        <v>3</v>
      </c>
      <c r="C203" s="89" t="s">
        <v>788</v>
      </c>
      <c r="D203" s="90" t="s">
        <v>874</v>
      </c>
      <c r="E203" s="91" t="s">
        <v>875</v>
      </c>
      <c r="F203" s="315">
        <v>17.7</v>
      </c>
      <c r="G203" s="260"/>
      <c r="H203" s="260"/>
      <c r="I203" s="309"/>
      <c r="J203" s="199"/>
      <c r="K203" s="269"/>
      <c r="L203" s="93">
        <f t="shared" si="90"/>
        <v>0</v>
      </c>
      <c r="M203" s="183"/>
      <c r="N203" s="95">
        <f t="shared" si="85"/>
        <v>0</v>
      </c>
      <c r="O203" s="95">
        <f t="shared" si="86"/>
        <v>0</v>
      </c>
      <c r="P203" s="94">
        <f t="shared" si="87"/>
        <v>0</v>
      </c>
      <c r="Q203" s="95">
        <f t="shared" si="88"/>
        <v>0</v>
      </c>
      <c r="R203" s="96"/>
      <c r="S203" s="97">
        <f t="shared" si="89"/>
        <v>0</v>
      </c>
      <c r="T203" s="98">
        <f t="shared" si="84"/>
        <v>0</v>
      </c>
    </row>
    <row r="204" spans="2:31" ht="20.100000000000001" customHeight="1">
      <c r="B204" s="88">
        <v>3</v>
      </c>
      <c r="C204" s="89" t="s">
        <v>788</v>
      </c>
      <c r="D204" s="90" t="s">
        <v>876</v>
      </c>
      <c r="E204" s="91" t="s">
        <v>877</v>
      </c>
      <c r="F204" s="315">
        <v>154.55000000000001</v>
      </c>
      <c r="G204" s="260">
        <v>6</v>
      </c>
      <c r="H204" s="260"/>
      <c r="I204" s="309"/>
      <c r="J204" s="199">
        <v>3</v>
      </c>
      <c r="K204" s="269">
        <v>1</v>
      </c>
      <c r="L204" s="93">
        <f t="shared" si="90"/>
        <v>2</v>
      </c>
      <c r="M204" s="183">
        <v>2</v>
      </c>
      <c r="N204" s="95">
        <f t="shared" si="85"/>
        <v>309.10000000000002</v>
      </c>
      <c r="O204" s="95">
        <f t="shared" si="86"/>
        <v>309.10000000000002</v>
      </c>
      <c r="P204" s="94">
        <f t="shared" si="87"/>
        <v>0</v>
      </c>
      <c r="Q204" s="95">
        <f t="shared" si="88"/>
        <v>0</v>
      </c>
      <c r="R204" s="96"/>
      <c r="S204" s="97">
        <f t="shared" si="89"/>
        <v>4</v>
      </c>
      <c r="T204" s="98">
        <f t="shared" si="84"/>
        <v>-2</v>
      </c>
      <c r="U204">
        <v>4</v>
      </c>
    </row>
    <row r="205" spans="2:31" ht="20.100000000000001" customHeight="1">
      <c r="B205" s="88">
        <v>3</v>
      </c>
      <c r="C205" s="89" t="s">
        <v>788</v>
      </c>
      <c r="D205" s="90" t="s">
        <v>878</v>
      </c>
      <c r="E205" s="91" t="s">
        <v>879</v>
      </c>
      <c r="F205" s="315">
        <v>40.950000000000003</v>
      </c>
      <c r="G205" s="260">
        <v>6</v>
      </c>
      <c r="H205" s="260"/>
      <c r="I205" s="329">
        <v>3</v>
      </c>
      <c r="J205" s="199"/>
      <c r="K205" s="269"/>
      <c r="L205" s="93">
        <f t="shared" si="90"/>
        <v>9</v>
      </c>
      <c r="M205" s="183">
        <v>9</v>
      </c>
      <c r="N205" s="95">
        <f t="shared" si="85"/>
        <v>368.55</v>
      </c>
      <c r="O205" s="95">
        <f t="shared" si="86"/>
        <v>368.55</v>
      </c>
      <c r="P205" s="94">
        <f t="shared" si="87"/>
        <v>0</v>
      </c>
      <c r="Q205" s="95">
        <f t="shared" si="88"/>
        <v>0</v>
      </c>
      <c r="R205" s="96"/>
      <c r="S205" s="97">
        <f t="shared" si="89"/>
        <v>8</v>
      </c>
      <c r="T205" s="98">
        <f t="shared" si="84"/>
        <v>1</v>
      </c>
      <c r="U205">
        <v>8</v>
      </c>
    </row>
    <row r="206" spans="2:31" ht="20.100000000000001" customHeight="1">
      <c r="B206" s="88">
        <v>3</v>
      </c>
      <c r="C206" s="89" t="s">
        <v>788</v>
      </c>
      <c r="D206" s="90" t="s">
        <v>878</v>
      </c>
      <c r="E206" s="91" t="s">
        <v>879</v>
      </c>
      <c r="F206" s="315">
        <v>37.25</v>
      </c>
      <c r="G206" s="260"/>
      <c r="H206" s="260"/>
      <c r="I206" s="309"/>
      <c r="J206" s="199"/>
      <c r="K206" s="269"/>
      <c r="L206" s="93">
        <f t="shared" si="90"/>
        <v>0</v>
      </c>
      <c r="M206" s="183"/>
      <c r="N206" s="95">
        <f t="shared" si="85"/>
        <v>0</v>
      </c>
      <c r="O206" s="95">
        <f t="shared" si="86"/>
        <v>0</v>
      </c>
      <c r="P206" s="94">
        <f t="shared" si="87"/>
        <v>0</v>
      </c>
      <c r="Q206" s="95">
        <f t="shared" si="88"/>
        <v>0</v>
      </c>
      <c r="R206" s="96"/>
      <c r="S206" s="97">
        <f t="shared" si="89"/>
        <v>0</v>
      </c>
      <c r="T206" s="98">
        <f t="shared" si="84"/>
        <v>0</v>
      </c>
    </row>
    <row r="207" spans="2:31" ht="20.100000000000001" customHeight="1">
      <c r="B207" s="88">
        <v>3</v>
      </c>
      <c r="C207" s="89" t="s">
        <v>788</v>
      </c>
      <c r="D207" s="90" t="s">
        <v>878</v>
      </c>
      <c r="E207" s="91" t="s">
        <v>879</v>
      </c>
      <c r="F207" s="315">
        <v>40.950000000000003</v>
      </c>
      <c r="G207" s="260"/>
      <c r="H207" s="260"/>
      <c r="I207" s="309"/>
      <c r="J207" s="199"/>
      <c r="K207" s="269"/>
      <c r="L207" s="93">
        <f t="shared" si="90"/>
        <v>0</v>
      </c>
      <c r="M207" s="183"/>
      <c r="N207" s="95">
        <f t="shared" si="85"/>
        <v>0</v>
      </c>
      <c r="O207" s="95">
        <f t="shared" si="86"/>
        <v>0</v>
      </c>
      <c r="P207" s="94">
        <f t="shared" si="87"/>
        <v>0</v>
      </c>
      <c r="Q207" s="95">
        <f t="shared" si="88"/>
        <v>0</v>
      </c>
      <c r="R207" s="96"/>
      <c r="S207" s="97">
        <f t="shared" si="89"/>
        <v>0</v>
      </c>
      <c r="T207" s="98">
        <f t="shared" si="84"/>
        <v>0</v>
      </c>
    </row>
    <row r="208" spans="2:31" ht="20.100000000000001" customHeight="1">
      <c r="B208" s="88">
        <v>3</v>
      </c>
      <c r="C208" s="89" t="s">
        <v>788</v>
      </c>
      <c r="D208" s="90" t="s">
        <v>880</v>
      </c>
      <c r="E208" s="91" t="s">
        <v>881</v>
      </c>
      <c r="F208" s="315">
        <v>65</v>
      </c>
      <c r="G208" s="260">
        <v>1</v>
      </c>
      <c r="H208" s="260"/>
      <c r="I208" s="329">
        <v>4</v>
      </c>
      <c r="J208" s="199"/>
      <c r="K208" s="269">
        <v>2</v>
      </c>
      <c r="L208" s="93">
        <f t="shared" si="90"/>
        <v>3</v>
      </c>
      <c r="M208" s="183">
        <v>3</v>
      </c>
      <c r="N208" s="95">
        <f t="shared" si="85"/>
        <v>195</v>
      </c>
      <c r="O208" s="95">
        <f t="shared" si="86"/>
        <v>195</v>
      </c>
      <c r="P208" s="94">
        <f t="shared" si="87"/>
        <v>0</v>
      </c>
      <c r="Q208" s="95">
        <f t="shared" si="88"/>
        <v>0</v>
      </c>
      <c r="R208" s="96"/>
      <c r="S208" s="97">
        <f t="shared" si="89"/>
        <v>0</v>
      </c>
      <c r="T208" s="98">
        <f t="shared" si="84"/>
        <v>3</v>
      </c>
    </row>
    <row r="209" spans="2:21" ht="20.100000000000001" customHeight="1">
      <c r="B209" s="88">
        <v>3</v>
      </c>
      <c r="C209" s="89" t="s">
        <v>788</v>
      </c>
      <c r="D209" s="90" t="s">
        <v>882</v>
      </c>
      <c r="E209" s="91" t="s">
        <v>883</v>
      </c>
      <c r="F209" s="315">
        <v>83.65</v>
      </c>
      <c r="G209" s="260"/>
      <c r="H209" s="260"/>
      <c r="I209" s="309"/>
      <c r="J209" s="199"/>
      <c r="K209" s="269"/>
      <c r="L209" s="93">
        <f t="shared" si="90"/>
        <v>0</v>
      </c>
      <c r="M209" s="183"/>
      <c r="N209" s="95">
        <f t="shared" si="85"/>
        <v>0</v>
      </c>
      <c r="O209" s="95">
        <f t="shared" si="86"/>
        <v>0</v>
      </c>
      <c r="P209" s="94">
        <f t="shared" si="87"/>
        <v>0</v>
      </c>
      <c r="Q209" s="95">
        <f t="shared" si="88"/>
        <v>0</v>
      </c>
      <c r="R209" s="96"/>
      <c r="S209" s="97">
        <f t="shared" si="89"/>
        <v>0</v>
      </c>
      <c r="T209" s="98">
        <f t="shared" si="84"/>
        <v>0</v>
      </c>
    </row>
    <row r="210" spans="2:21" ht="20.100000000000001" customHeight="1">
      <c r="B210" s="88">
        <v>3</v>
      </c>
      <c r="C210" s="89" t="s">
        <v>788</v>
      </c>
      <c r="D210" s="90" t="s">
        <v>884</v>
      </c>
      <c r="E210" s="91" t="s">
        <v>885</v>
      </c>
      <c r="F210" s="315">
        <v>19.55</v>
      </c>
      <c r="G210" s="260"/>
      <c r="H210" s="260"/>
      <c r="I210" s="309"/>
      <c r="J210" s="199"/>
      <c r="K210" s="269"/>
      <c r="L210" s="93">
        <f t="shared" si="90"/>
        <v>0</v>
      </c>
      <c r="M210" s="183"/>
      <c r="N210" s="95">
        <f t="shared" si="85"/>
        <v>0</v>
      </c>
      <c r="O210" s="95">
        <f t="shared" si="86"/>
        <v>0</v>
      </c>
      <c r="P210" s="94">
        <f t="shared" si="87"/>
        <v>0</v>
      </c>
      <c r="Q210" s="95">
        <f t="shared" si="88"/>
        <v>0</v>
      </c>
      <c r="R210" s="96"/>
      <c r="S210" s="97">
        <f t="shared" si="89"/>
        <v>0</v>
      </c>
      <c r="T210" s="98">
        <f t="shared" si="84"/>
        <v>0</v>
      </c>
    </row>
    <row r="211" spans="2:21" ht="20.100000000000001" customHeight="1">
      <c r="B211" s="88">
        <v>3</v>
      </c>
      <c r="C211" s="89" t="s">
        <v>788</v>
      </c>
      <c r="D211" s="90" t="s">
        <v>886</v>
      </c>
      <c r="E211" s="91" t="s">
        <v>887</v>
      </c>
      <c r="F211" s="315">
        <v>58.45</v>
      </c>
      <c r="G211" s="260">
        <v>1</v>
      </c>
      <c r="H211" s="260"/>
      <c r="I211" s="329">
        <v>2</v>
      </c>
      <c r="J211" s="199"/>
      <c r="K211" s="269">
        <v>2</v>
      </c>
      <c r="L211" s="93">
        <f t="shared" si="90"/>
        <v>1</v>
      </c>
      <c r="M211" s="183">
        <v>1</v>
      </c>
      <c r="N211" s="95">
        <f t="shared" si="85"/>
        <v>58.45</v>
      </c>
      <c r="O211" s="95">
        <f t="shared" si="86"/>
        <v>58.45</v>
      </c>
      <c r="P211" s="94">
        <f t="shared" si="87"/>
        <v>0</v>
      </c>
      <c r="Q211" s="95">
        <f t="shared" si="88"/>
        <v>0</v>
      </c>
      <c r="R211" s="96"/>
      <c r="S211" s="97">
        <f t="shared" si="89"/>
        <v>0</v>
      </c>
      <c r="T211" s="98">
        <f t="shared" si="84"/>
        <v>1</v>
      </c>
    </row>
    <row r="212" spans="2:21" ht="20.100000000000001" customHeight="1">
      <c r="B212" s="88">
        <v>3</v>
      </c>
      <c r="C212" s="89" t="s">
        <v>788</v>
      </c>
      <c r="D212" s="90" t="s">
        <v>888</v>
      </c>
      <c r="E212" s="91" t="s">
        <v>889</v>
      </c>
      <c r="F212" s="315">
        <v>84.8</v>
      </c>
      <c r="G212" s="260"/>
      <c r="H212" s="260"/>
      <c r="I212" s="329">
        <v>13</v>
      </c>
      <c r="J212" s="199"/>
      <c r="K212" s="269">
        <v>9</v>
      </c>
      <c r="L212" s="93">
        <f t="shared" si="90"/>
        <v>4</v>
      </c>
      <c r="M212" s="183">
        <f>3+1</f>
        <v>4</v>
      </c>
      <c r="N212" s="95">
        <f t="shared" si="85"/>
        <v>339.2</v>
      </c>
      <c r="O212" s="95">
        <f t="shared" si="86"/>
        <v>339.2</v>
      </c>
      <c r="P212" s="94">
        <f t="shared" si="87"/>
        <v>0</v>
      </c>
      <c r="Q212" s="95">
        <f t="shared" si="88"/>
        <v>0</v>
      </c>
      <c r="R212" s="96"/>
      <c r="S212" s="97">
        <f t="shared" si="89"/>
        <v>9</v>
      </c>
      <c r="T212" s="98">
        <f t="shared" si="84"/>
        <v>-5</v>
      </c>
      <c r="U212">
        <v>9</v>
      </c>
    </row>
    <row r="213" spans="2:21" ht="20.100000000000001" customHeight="1">
      <c r="B213" s="88">
        <v>3</v>
      </c>
      <c r="C213" s="89" t="s">
        <v>788</v>
      </c>
      <c r="D213" s="90" t="s">
        <v>890</v>
      </c>
      <c r="E213" s="91" t="s">
        <v>891</v>
      </c>
      <c r="F213" s="315">
        <v>81.8</v>
      </c>
      <c r="G213" s="260">
        <v>1</v>
      </c>
      <c r="H213" s="260"/>
      <c r="I213" s="309"/>
      <c r="J213" s="199">
        <v>1</v>
      </c>
      <c r="K213" s="269"/>
      <c r="L213" s="93">
        <f t="shared" si="90"/>
        <v>0</v>
      </c>
      <c r="M213" s="183"/>
      <c r="N213" s="95">
        <f t="shared" si="85"/>
        <v>0</v>
      </c>
      <c r="O213" s="95">
        <f t="shared" si="86"/>
        <v>0</v>
      </c>
      <c r="P213" s="94">
        <f t="shared" si="87"/>
        <v>0</v>
      </c>
      <c r="Q213" s="95">
        <f t="shared" si="88"/>
        <v>0</v>
      </c>
      <c r="R213" s="96"/>
      <c r="S213" s="97">
        <f t="shared" si="89"/>
        <v>0</v>
      </c>
      <c r="T213" s="98">
        <f t="shared" si="84"/>
        <v>0</v>
      </c>
    </row>
    <row r="214" spans="2:21" ht="20.100000000000001" customHeight="1">
      <c r="B214" s="88">
        <v>3</v>
      </c>
      <c r="C214" s="89" t="s">
        <v>788</v>
      </c>
      <c r="D214" s="90" t="s">
        <v>892</v>
      </c>
      <c r="E214" s="91" t="s">
        <v>893</v>
      </c>
      <c r="F214" s="315">
        <v>72.95</v>
      </c>
      <c r="G214" s="260">
        <v>1</v>
      </c>
      <c r="H214" s="260"/>
      <c r="I214" s="329">
        <v>2</v>
      </c>
      <c r="J214" s="199">
        <v>1</v>
      </c>
      <c r="K214" s="269">
        <v>2</v>
      </c>
      <c r="L214" s="93">
        <f t="shared" si="90"/>
        <v>0</v>
      </c>
      <c r="M214" s="183"/>
      <c r="N214" s="95">
        <f t="shared" si="85"/>
        <v>0</v>
      </c>
      <c r="O214" s="95">
        <f t="shared" si="86"/>
        <v>0</v>
      </c>
      <c r="P214" s="94">
        <f t="shared" si="87"/>
        <v>0</v>
      </c>
      <c r="Q214" s="95">
        <f t="shared" si="88"/>
        <v>0</v>
      </c>
      <c r="R214" s="96"/>
      <c r="S214" s="97">
        <f t="shared" si="89"/>
        <v>0</v>
      </c>
      <c r="T214" s="98">
        <f t="shared" si="84"/>
        <v>0</v>
      </c>
    </row>
    <row r="215" spans="2:21" ht="20.100000000000001" customHeight="1">
      <c r="B215" s="88">
        <v>3</v>
      </c>
      <c r="C215" s="89" t="s">
        <v>788</v>
      </c>
      <c r="D215" s="90" t="s">
        <v>894</v>
      </c>
      <c r="E215" s="91" t="s">
        <v>895</v>
      </c>
      <c r="F215" s="315">
        <v>100</v>
      </c>
      <c r="G215" s="260">
        <v>2</v>
      </c>
      <c r="H215" s="260"/>
      <c r="I215" s="329">
        <v>3</v>
      </c>
      <c r="J215" s="199"/>
      <c r="K215" s="269">
        <v>2</v>
      </c>
      <c r="L215" s="93">
        <f t="shared" si="90"/>
        <v>3</v>
      </c>
      <c r="M215" s="183">
        <v>3</v>
      </c>
      <c r="N215" s="95">
        <f t="shared" si="85"/>
        <v>300</v>
      </c>
      <c r="O215" s="95">
        <f t="shared" si="86"/>
        <v>300</v>
      </c>
      <c r="P215" s="94">
        <f t="shared" si="87"/>
        <v>0</v>
      </c>
      <c r="Q215" s="95">
        <f t="shared" si="88"/>
        <v>0</v>
      </c>
      <c r="R215" s="96"/>
      <c r="S215" s="97">
        <f t="shared" si="89"/>
        <v>2</v>
      </c>
      <c r="T215" s="98">
        <f t="shared" si="84"/>
        <v>1</v>
      </c>
      <c r="U215">
        <v>2</v>
      </c>
    </row>
    <row r="216" spans="2:21" ht="20.100000000000001" customHeight="1">
      <c r="B216" s="88">
        <v>3</v>
      </c>
      <c r="C216" s="89" t="s">
        <v>788</v>
      </c>
      <c r="D216" s="90" t="s">
        <v>896</v>
      </c>
      <c r="E216" s="91" t="s">
        <v>897</v>
      </c>
      <c r="F216" s="315">
        <v>89.1</v>
      </c>
      <c r="G216" s="260"/>
      <c r="H216" s="260"/>
      <c r="I216" s="309"/>
      <c r="J216" s="199"/>
      <c r="K216" s="269"/>
      <c r="L216" s="93">
        <f>G216+I216-J216-K216+H216</f>
        <v>0</v>
      </c>
      <c r="M216" s="183"/>
      <c r="N216" s="95">
        <f t="shared" si="85"/>
        <v>0</v>
      </c>
      <c r="O216" s="95">
        <f t="shared" si="86"/>
        <v>0</v>
      </c>
      <c r="P216" s="94">
        <f t="shared" si="87"/>
        <v>0</v>
      </c>
      <c r="Q216" s="95">
        <f t="shared" si="88"/>
        <v>0</v>
      </c>
      <c r="R216" s="96"/>
      <c r="S216" s="97">
        <f t="shared" si="89"/>
        <v>0</v>
      </c>
      <c r="T216" s="98">
        <f t="shared" si="84"/>
        <v>0</v>
      </c>
    </row>
    <row r="217" spans="2:21" ht="20.100000000000001" customHeight="1">
      <c r="B217" s="88">
        <v>3</v>
      </c>
      <c r="C217" s="89" t="s">
        <v>788</v>
      </c>
      <c r="D217" s="90" t="s">
        <v>896</v>
      </c>
      <c r="E217" s="91" t="s">
        <v>897</v>
      </c>
      <c r="F217" s="315">
        <v>89.1</v>
      </c>
      <c r="G217" s="260"/>
      <c r="H217" s="260"/>
      <c r="I217" s="309"/>
      <c r="J217" s="199"/>
      <c r="K217" s="269"/>
      <c r="L217" s="93">
        <f t="shared" si="90"/>
        <v>0</v>
      </c>
      <c r="M217" s="183"/>
      <c r="N217" s="95">
        <f t="shared" si="85"/>
        <v>0</v>
      </c>
      <c r="O217" s="95">
        <f t="shared" si="86"/>
        <v>0</v>
      </c>
      <c r="P217" s="94">
        <f t="shared" si="87"/>
        <v>0</v>
      </c>
      <c r="Q217" s="95">
        <f t="shared" si="88"/>
        <v>0</v>
      </c>
      <c r="R217" s="96"/>
      <c r="S217" s="97">
        <f t="shared" si="89"/>
        <v>0</v>
      </c>
      <c r="T217" s="98">
        <f t="shared" si="84"/>
        <v>0</v>
      </c>
    </row>
    <row r="218" spans="2:21" ht="20.100000000000001" customHeight="1">
      <c r="B218" s="88">
        <v>3</v>
      </c>
      <c r="C218" s="89" t="s">
        <v>788</v>
      </c>
      <c r="D218" s="90" t="s">
        <v>896</v>
      </c>
      <c r="E218" s="91" t="s">
        <v>897</v>
      </c>
      <c r="F218" s="315">
        <v>89.1</v>
      </c>
      <c r="G218" s="260"/>
      <c r="H218" s="260"/>
      <c r="I218" s="309"/>
      <c r="J218" s="199"/>
      <c r="K218" s="269"/>
      <c r="L218" s="93">
        <f t="shared" si="90"/>
        <v>0</v>
      </c>
      <c r="M218" s="183"/>
      <c r="N218" s="95">
        <f t="shared" si="85"/>
        <v>0</v>
      </c>
      <c r="O218" s="95">
        <f t="shared" si="86"/>
        <v>0</v>
      </c>
      <c r="P218" s="94">
        <f t="shared" si="87"/>
        <v>0</v>
      </c>
      <c r="Q218" s="95">
        <f t="shared" si="88"/>
        <v>0</v>
      </c>
      <c r="R218" s="96"/>
      <c r="S218" s="97">
        <f t="shared" si="89"/>
        <v>0</v>
      </c>
      <c r="T218" s="98">
        <f t="shared" si="84"/>
        <v>0</v>
      </c>
    </row>
    <row r="219" spans="2:21" ht="20.100000000000001" customHeight="1">
      <c r="B219" s="88">
        <v>3</v>
      </c>
      <c r="C219" s="89" t="s">
        <v>788</v>
      </c>
      <c r="D219" s="90" t="s">
        <v>896</v>
      </c>
      <c r="E219" s="91" t="s">
        <v>897</v>
      </c>
      <c r="F219" s="315">
        <v>89.1</v>
      </c>
      <c r="G219" s="260">
        <v>2</v>
      </c>
      <c r="H219" s="260"/>
      <c r="I219" s="309"/>
      <c r="J219" s="199">
        <v>2</v>
      </c>
      <c r="K219" s="269"/>
      <c r="L219" s="93">
        <f t="shared" si="90"/>
        <v>0</v>
      </c>
      <c r="M219" s="183"/>
      <c r="N219" s="95">
        <f t="shared" si="85"/>
        <v>0</v>
      </c>
      <c r="O219" s="95">
        <f t="shared" si="86"/>
        <v>0</v>
      </c>
      <c r="P219" s="94">
        <f t="shared" si="87"/>
        <v>0</v>
      </c>
      <c r="Q219" s="95">
        <f t="shared" si="88"/>
        <v>0</v>
      </c>
      <c r="R219" s="96"/>
      <c r="S219" s="97">
        <f t="shared" si="89"/>
        <v>1</v>
      </c>
      <c r="T219" s="98">
        <f t="shared" si="84"/>
        <v>-1</v>
      </c>
      <c r="U219">
        <v>1</v>
      </c>
    </row>
    <row r="220" spans="2:21" ht="20.100000000000001" customHeight="1">
      <c r="B220" s="88">
        <v>3</v>
      </c>
      <c r="C220" s="89" t="s">
        <v>788</v>
      </c>
      <c r="D220" s="90" t="s">
        <v>896</v>
      </c>
      <c r="E220" s="91" t="s">
        <v>897</v>
      </c>
      <c r="F220" s="315">
        <v>98.2</v>
      </c>
      <c r="G220" s="260"/>
      <c r="H220" s="260"/>
      <c r="I220" s="309"/>
      <c r="J220" s="199"/>
      <c r="K220" s="269"/>
      <c r="L220" s="93">
        <f t="shared" si="90"/>
        <v>0</v>
      </c>
      <c r="M220" s="183"/>
      <c r="N220" s="95">
        <f t="shared" si="85"/>
        <v>0</v>
      </c>
      <c r="O220" s="95">
        <f t="shared" si="86"/>
        <v>0</v>
      </c>
      <c r="P220" s="94">
        <f t="shared" si="87"/>
        <v>0</v>
      </c>
      <c r="Q220" s="95">
        <f t="shared" si="88"/>
        <v>0</v>
      </c>
      <c r="R220" s="96"/>
      <c r="S220" s="97">
        <f t="shared" si="89"/>
        <v>0</v>
      </c>
      <c r="T220" s="98">
        <f t="shared" si="84"/>
        <v>0</v>
      </c>
    </row>
    <row r="221" spans="2:21" ht="20.100000000000001" customHeight="1">
      <c r="B221" s="88">
        <v>3</v>
      </c>
      <c r="C221" s="89" t="s">
        <v>788</v>
      </c>
      <c r="D221" s="90" t="s">
        <v>896</v>
      </c>
      <c r="E221" s="91" t="s">
        <v>897</v>
      </c>
      <c r="F221" s="315">
        <v>97.95</v>
      </c>
      <c r="G221" s="260"/>
      <c r="H221" s="260"/>
      <c r="I221" s="309"/>
      <c r="J221" s="199"/>
      <c r="K221" s="269"/>
      <c r="L221" s="93">
        <f t="shared" si="90"/>
        <v>0</v>
      </c>
      <c r="M221" s="183"/>
      <c r="N221" s="95">
        <f t="shared" si="85"/>
        <v>0</v>
      </c>
      <c r="O221" s="95">
        <f t="shared" si="86"/>
        <v>0</v>
      </c>
      <c r="P221" s="94">
        <f t="shared" si="87"/>
        <v>0</v>
      </c>
      <c r="Q221" s="95">
        <f t="shared" si="88"/>
        <v>0</v>
      </c>
      <c r="R221" s="96"/>
      <c r="S221" s="97">
        <f t="shared" si="89"/>
        <v>0</v>
      </c>
      <c r="T221" s="98">
        <f t="shared" ref="T221:T269" si="91">M221-S221</f>
        <v>0</v>
      </c>
    </row>
    <row r="222" spans="2:21" ht="20.100000000000001" customHeight="1">
      <c r="B222" s="88">
        <v>3</v>
      </c>
      <c r="C222" s="89" t="s">
        <v>788</v>
      </c>
      <c r="D222" s="90" t="s">
        <v>898</v>
      </c>
      <c r="E222" s="91" t="s">
        <v>899</v>
      </c>
      <c r="F222" s="315">
        <v>113.65</v>
      </c>
      <c r="G222" s="260">
        <v>1</v>
      </c>
      <c r="H222" s="260"/>
      <c r="I222" s="309"/>
      <c r="J222" s="199"/>
      <c r="K222" s="269"/>
      <c r="L222" s="93">
        <f t="shared" si="90"/>
        <v>1</v>
      </c>
      <c r="M222" s="183">
        <v>1</v>
      </c>
      <c r="N222" s="95">
        <f t="shared" ref="N222:N271" si="92">F222*L222</f>
        <v>113.65</v>
      </c>
      <c r="O222" s="95">
        <f t="shared" ref="O222:O271" si="93">M222*F222</f>
        <v>113.65</v>
      </c>
      <c r="P222" s="94">
        <f t="shared" ref="P222:P271" si="94">L222-M222</f>
        <v>0</v>
      </c>
      <c r="Q222" s="95">
        <f t="shared" ref="Q222:Q271" si="95">N222-O222</f>
        <v>0</v>
      </c>
      <c r="R222" s="96"/>
      <c r="S222" s="97">
        <f t="shared" ref="S222:S271" si="96">U222+Y222+W222+AA222</f>
        <v>0</v>
      </c>
      <c r="T222" s="98">
        <f t="shared" si="91"/>
        <v>1</v>
      </c>
    </row>
    <row r="223" spans="2:21" ht="20.100000000000001" customHeight="1">
      <c r="B223" s="88">
        <v>3</v>
      </c>
      <c r="C223" s="89" t="s">
        <v>788</v>
      </c>
      <c r="D223" s="90" t="s">
        <v>898</v>
      </c>
      <c r="E223" s="91" t="s">
        <v>899</v>
      </c>
      <c r="F223" s="315">
        <v>113.65</v>
      </c>
      <c r="G223" s="260"/>
      <c r="H223" s="260"/>
      <c r="I223" s="309"/>
      <c r="J223" s="199"/>
      <c r="K223" s="269"/>
      <c r="L223" s="93">
        <f t="shared" si="90"/>
        <v>0</v>
      </c>
      <c r="M223" s="183"/>
      <c r="N223" s="95">
        <f t="shared" si="92"/>
        <v>0</v>
      </c>
      <c r="O223" s="95">
        <f t="shared" si="93"/>
        <v>0</v>
      </c>
      <c r="P223" s="94">
        <f t="shared" si="94"/>
        <v>0</v>
      </c>
      <c r="Q223" s="95">
        <f t="shared" si="95"/>
        <v>0</v>
      </c>
      <c r="R223" s="96"/>
      <c r="S223" s="97">
        <f t="shared" si="96"/>
        <v>0</v>
      </c>
      <c r="T223" s="98">
        <f t="shared" si="91"/>
        <v>0</v>
      </c>
    </row>
    <row r="224" spans="2:21" ht="20.100000000000001" customHeight="1">
      <c r="B224" s="88">
        <v>3</v>
      </c>
      <c r="C224" s="89" t="s">
        <v>788</v>
      </c>
      <c r="D224" s="90" t="s">
        <v>898</v>
      </c>
      <c r="E224" s="91" t="s">
        <v>899</v>
      </c>
      <c r="F224" s="315">
        <v>125</v>
      </c>
      <c r="G224" s="260">
        <v>1</v>
      </c>
      <c r="H224" s="260"/>
      <c r="I224" s="309"/>
      <c r="J224" s="199"/>
      <c r="K224" s="269"/>
      <c r="L224" s="93">
        <f t="shared" si="90"/>
        <v>1</v>
      </c>
      <c r="M224" s="183">
        <v>1</v>
      </c>
      <c r="N224" s="95">
        <f t="shared" si="92"/>
        <v>125</v>
      </c>
      <c r="O224" s="95">
        <f t="shared" si="93"/>
        <v>125</v>
      </c>
      <c r="P224" s="94">
        <f t="shared" si="94"/>
        <v>0</v>
      </c>
      <c r="Q224" s="95">
        <f t="shared" si="95"/>
        <v>0</v>
      </c>
      <c r="R224" s="96"/>
      <c r="S224" s="97">
        <f t="shared" si="96"/>
        <v>1</v>
      </c>
      <c r="T224" s="98">
        <f t="shared" si="91"/>
        <v>0</v>
      </c>
      <c r="U224">
        <v>1</v>
      </c>
    </row>
    <row r="225" spans="2:31" ht="20.100000000000001" customHeight="1">
      <c r="B225" s="88">
        <v>3</v>
      </c>
      <c r="C225" s="89" t="s">
        <v>788</v>
      </c>
      <c r="D225" s="90" t="s">
        <v>898</v>
      </c>
      <c r="E225" s="91" t="s">
        <v>899</v>
      </c>
      <c r="F225" s="315">
        <v>125</v>
      </c>
      <c r="G225" s="260"/>
      <c r="H225" s="260"/>
      <c r="I225" s="309"/>
      <c r="J225" s="199"/>
      <c r="K225" s="269"/>
      <c r="L225" s="93">
        <f t="shared" si="90"/>
        <v>0</v>
      </c>
      <c r="M225" s="183"/>
      <c r="N225" s="95">
        <f t="shared" si="92"/>
        <v>0</v>
      </c>
      <c r="O225" s="95">
        <f t="shared" si="93"/>
        <v>0</v>
      </c>
      <c r="P225" s="94">
        <f t="shared" si="94"/>
        <v>0</v>
      </c>
      <c r="Q225" s="95">
        <f t="shared" si="95"/>
        <v>0</v>
      </c>
      <c r="R225" s="96"/>
      <c r="S225" s="97">
        <f t="shared" si="96"/>
        <v>0</v>
      </c>
      <c r="T225" s="98">
        <f t="shared" si="91"/>
        <v>0</v>
      </c>
    </row>
    <row r="226" spans="2:31" ht="20.100000000000001" customHeight="1">
      <c r="B226" s="88">
        <v>3</v>
      </c>
      <c r="C226" s="89" t="s">
        <v>788</v>
      </c>
      <c r="D226" s="90" t="s">
        <v>900</v>
      </c>
      <c r="E226" s="91" t="s">
        <v>901</v>
      </c>
      <c r="F226" s="315">
        <v>41.15</v>
      </c>
      <c r="G226" s="260">
        <v>1</v>
      </c>
      <c r="H226" s="260"/>
      <c r="I226" s="329">
        <v>2</v>
      </c>
      <c r="J226" s="199">
        <v>2</v>
      </c>
      <c r="K226" s="269"/>
      <c r="L226" s="93">
        <f t="shared" si="90"/>
        <v>1</v>
      </c>
      <c r="M226" s="183">
        <v>1</v>
      </c>
      <c r="N226" s="95">
        <f t="shared" si="92"/>
        <v>41.15</v>
      </c>
      <c r="O226" s="95">
        <f t="shared" si="93"/>
        <v>41.15</v>
      </c>
      <c r="P226" s="94">
        <f t="shared" si="94"/>
        <v>0</v>
      </c>
      <c r="Q226" s="95">
        <f t="shared" si="95"/>
        <v>0</v>
      </c>
      <c r="R226" s="96"/>
      <c r="S226" s="97">
        <f t="shared" si="96"/>
        <v>0</v>
      </c>
      <c r="T226" s="98">
        <f t="shared" si="91"/>
        <v>1</v>
      </c>
    </row>
    <row r="227" spans="2:31" ht="20.100000000000001" customHeight="1">
      <c r="B227" s="88">
        <v>3</v>
      </c>
      <c r="C227" s="89" t="s">
        <v>788</v>
      </c>
      <c r="D227" s="90" t="s">
        <v>902</v>
      </c>
      <c r="E227" s="91" t="s">
        <v>903</v>
      </c>
      <c r="F227" s="315">
        <v>74.55</v>
      </c>
      <c r="G227" s="260">
        <v>2</v>
      </c>
      <c r="H227" s="260"/>
      <c r="I227" s="309"/>
      <c r="J227" s="199"/>
      <c r="K227" s="269">
        <v>2</v>
      </c>
      <c r="L227" s="93">
        <f t="shared" si="90"/>
        <v>0</v>
      </c>
      <c r="M227" s="183"/>
      <c r="N227" s="95">
        <f t="shared" si="92"/>
        <v>0</v>
      </c>
      <c r="O227" s="95">
        <f t="shared" si="93"/>
        <v>0</v>
      </c>
      <c r="P227" s="94">
        <f t="shared" si="94"/>
        <v>0</v>
      </c>
      <c r="Q227" s="95">
        <f t="shared" si="95"/>
        <v>0</v>
      </c>
      <c r="R227" s="96"/>
      <c r="S227" s="97">
        <f t="shared" si="96"/>
        <v>0</v>
      </c>
      <c r="T227" s="98">
        <f t="shared" si="91"/>
        <v>0</v>
      </c>
    </row>
    <row r="228" spans="2:31" ht="20.100000000000001" customHeight="1">
      <c r="B228" s="88">
        <v>3</v>
      </c>
      <c r="C228" s="89" t="s">
        <v>788</v>
      </c>
      <c r="D228" s="90" t="s">
        <v>904</v>
      </c>
      <c r="E228" s="91" t="s">
        <v>905</v>
      </c>
      <c r="F228" s="315">
        <v>58.65</v>
      </c>
      <c r="G228" s="260">
        <v>1</v>
      </c>
      <c r="H228" s="260"/>
      <c r="I228" s="329">
        <v>1</v>
      </c>
      <c r="J228" s="199">
        <f>1+1</f>
        <v>2</v>
      </c>
      <c r="K228" s="269"/>
      <c r="L228" s="93">
        <f t="shared" si="90"/>
        <v>0</v>
      </c>
      <c r="M228" s="183"/>
      <c r="N228" s="95">
        <f t="shared" si="92"/>
        <v>0</v>
      </c>
      <c r="O228" s="95">
        <f t="shared" si="93"/>
        <v>0</v>
      </c>
      <c r="P228" s="94">
        <f t="shared" si="94"/>
        <v>0</v>
      </c>
      <c r="Q228" s="95">
        <f t="shared" si="95"/>
        <v>0</v>
      </c>
      <c r="R228" s="96"/>
      <c r="S228" s="97">
        <f t="shared" si="96"/>
        <v>0</v>
      </c>
      <c r="T228" s="98">
        <f t="shared" si="91"/>
        <v>0</v>
      </c>
    </row>
    <row r="229" spans="2:31" ht="20.100000000000001" customHeight="1">
      <c r="B229" s="88">
        <v>3</v>
      </c>
      <c r="C229" s="89" t="s">
        <v>788</v>
      </c>
      <c r="D229" s="90" t="s">
        <v>906</v>
      </c>
      <c r="E229" s="91" t="s">
        <v>907</v>
      </c>
      <c r="F229" s="315">
        <v>53.9</v>
      </c>
      <c r="G229" s="260">
        <v>2</v>
      </c>
      <c r="H229" s="260"/>
      <c r="I229" s="329">
        <v>5</v>
      </c>
      <c r="J229" s="199">
        <f>1+2</f>
        <v>3</v>
      </c>
      <c r="K229" s="269">
        <v>2</v>
      </c>
      <c r="L229" s="93">
        <f t="shared" si="90"/>
        <v>2</v>
      </c>
      <c r="M229" s="183">
        <v>1</v>
      </c>
      <c r="N229" s="95">
        <f t="shared" si="92"/>
        <v>107.8</v>
      </c>
      <c r="O229" s="95">
        <f t="shared" si="93"/>
        <v>53.9</v>
      </c>
      <c r="P229" s="94">
        <f t="shared" si="94"/>
        <v>1</v>
      </c>
      <c r="Q229" s="95">
        <f t="shared" si="95"/>
        <v>53.9</v>
      </c>
      <c r="R229" s="96"/>
      <c r="S229" s="97">
        <f t="shared" si="96"/>
        <v>0</v>
      </c>
      <c r="T229" s="98">
        <f t="shared" si="91"/>
        <v>1</v>
      </c>
    </row>
    <row r="230" spans="2:31" ht="20.100000000000001" customHeight="1">
      <c r="B230" s="88">
        <v>3</v>
      </c>
      <c r="C230" s="89" t="s">
        <v>788</v>
      </c>
      <c r="D230" s="90" t="s">
        <v>908</v>
      </c>
      <c r="E230" s="91" t="s">
        <v>909</v>
      </c>
      <c r="F230" s="315">
        <v>19.2</v>
      </c>
      <c r="G230" s="260"/>
      <c r="H230" s="260"/>
      <c r="I230" s="309"/>
      <c r="J230" s="199"/>
      <c r="K230" s="269"/>
      <c r="L230" s="93">
        <f t="shared" si="90"/>
        <v>0</v>
      </c>
      <c r="M230" s="183"/>
      <c r="N230" s="95">
        <f t="shared" si="92"/>
        <v>0</v>
      </c>
      <c r="O230" s="95">
        <f t="shared" si="93"/>
        <v>0</v>
      </c>
      <c r="P230" s="94">
        <f t="shared" si="94"/>
        <v>0</v>
      </c>
      <c r="Q230" s="95">
        <f t="shared" si="95"/>
        <v>0</v>
      </c>
      <c r="R230" s="96"/>
      <c r="S230" s="97">
        <f t="shared" si="96"/>
        <v>0</v>
      </c>
      <c r="T230" s="98">
        <f t="shared" si="91"/>
        <v>0</v>
      </c>
    </row>
    <row r="231" spans="2:31" ht="20.100000000000001" customHeight="1">
      <c r="B231" s="88">
        <v>3</v>
      </c>
      <c r="C231" s="89" t="s">
        <v>788</v>
      </c>
      <c r="D231" s="90" t="s">
        <v>910</v>
      </c>
      <c r="E231" s="91" t="s">
        <v>911</v>
      </c>
      <c r="F231" s="315">
        <v>50.2</v>
      </c>
      <c r="G231" s="260">
        <v>1</v>
      </c>
      <c r="H231" s="260"/>
      <c r="I231" s="309"/>
      <c r="J231" s="199">
        <v>1</v>
      </c>
      <c r="K231" s="269"/>
      <c r="L231" s="93">
        <f t="shared" si="90"/>
        <v>0</v>
      </c>
      <c r="M231" s="183"/>
      <c r="N231" s="95">
        <f t="shared" si="92"/>
        <v>0</v>
      </c>
      <c r="O231" s="95">
        <f t="shared" si="93"/>
        <v>0</v>
      </c>
      <c r="P231" s="94">
        <f t="shared" si="94"/>
        <v>0</v>
      </c>
      <c r="Q231" s="95">
        <f t="shared" si="95"/>
        <v>0</v>
      </c>
      <c r="R231" s="96"/>
      <c r="S231" s="97">
        <f t="shared" si="96"/>
        <v>0</v>
      </c>
      <c r="T231" s="98">
        <f t="shared" si="91"/>
        <v>0</v>
      </c>
    </row>
    <row r="232" spans="2:31" ht="20.100000000000001" customHeight="1">
      <c r="B232" s="88">
        <v>3</v>
      </c>
      <c r="C232" s="89" t="s">
        <v>788</v>
      </c>
      <c r="D232" s="90" t="s">
        <v>912</v>
      </c>
      <c r="E232" s="91" t="s">
        <v>913</v>
      </c>
      <c r="F232" s="315">
        <v>68.2</v>
      </c>
      <c r="G232" s="260">
        <v>14</v>
      </c>
      <c r="H232" s="260"/>
      <c r="I232" s="309"/>
      <c r="J232" s="199"/>
      <c r="K232" s="269">
        <v>1</v>
      </c>
      <c r="L232" s="93">
        <f t="shared" si="90"/>
        <v>13</v>
      </c>
      <c r="M232" s="183">
        <v>13</v>
      </c>
      <c r="N232" s="95">
        <f t="shared" si="92"/>
        <v>886.6</v>
      </c>
      <c r="O232" s="95">
        <f t="shared" si="93"/>
        <v>886.6</v>
      </c>
      <c r="P232" s="94">
        <f t="shared" si="94"/>
        <v>0</v>
      </c>
      <c r="Q232" s="95">
        <f t="shared" si="95"/>
        <v>0</v>
      </c>
      <c r="R232" s="96"/>
      <c r="S232" s="97">
        <f t="shared" si="96"/>
        <v>16</v>
      </c>
      <c r="T232" s="98">
        <f t="shared" si="91"/>
        <v>-3</v>
      </c>
      <c r="U232">
        <v>16</v>
      </c>
    </row>
    <row r="233" spans="2:31" ht="20.100000000000001" customHeight="1">
      <c r="B233" s="88">
        <v>3</v>
      </c>
      <c r="C233" s="89" t="s">
        <v>788</v>
      </c>
      <c r="D233" s="90" t="s">
        <v>914</v>
      </c>
      <c r="E233" s="91" t="s">
        <v>915</v>
      </c>
      <c r="F233" s="315">
        <v>9.92</v>
      </c>
      <c r="G233" s="260">
        <v>55</v>
      </c>
      <c r="H233" s="260"/>
      <c r="I233" s="309"/>
      <c r="J233" s="199"/>
      <c r="K233" s="269"/>
      <c r="L233" s="93">
        <f t="shared" si="90"/>
        <v>55</v>
      </c>
      <c r="M233" s="183">
        <v>55</v>
      </c>
      <c r="N233" s="95">
        <f t="shared" si="92"/>
        <v>545.6</v>
      </c>
      <c r="O233" s="95">
        <f t="shared" si="93"/>
        <v>545.6</v>
      </c>
      <c r="P233" s="94">
        <f t="shared" si="94"/>
        <v>0</v>
      </c>
      <c r="Q233" s="95">
        <f t="shared" si="95"/>
        <v>0</v>
      </c>
      <c r="R233" s="102">
        <v>45734</v>
      </c>
      <c r="S233" s="97">
        <f t="shared" si="96"/>
        <v>55</v>
      </c>
      <c r="T233" s="98">
        <f t="shared" si="91"/>
        <v>0</v>
      </c>
      <c r="W233">
        <v>55</v>
      </c>
      <c r="X233" t="s">
        <v>555</v>
      </c>
      <c r="AD233">
        <f>W233</f>
        <v>55</v>
      </c>
      <c r="AE233" s="100">
        <f>AD233*F233</f>
        <v>545.6</v>
      </c>
    </row>
    <row r="234" spans="2:31" ht="20.100000000000001" customHeight="1">
      <c r="B234" s="88">
        <v>3</v>
      </c>
      <c r="C234" s="89" t="s">
        <v>788</v>
      </c>
      <c r="D234" s="90" t="s">
        <v>916</v>
      </c>
      <c r="E234" s="91" t="s">
        <v>917</v>
      </c>
      <c r="F234" s="315">
        <v>41.46</v>
      </c>
      <c r="G234" s="260">
        <v>1</v>
      </c>
      <c r="H234" s="260"/>
      <c r="I234" s="309"/>
      <c r="J234" s="199"/>
      <c r="K234" s="269"/>
      <c r="L234" s="93">
        <f t="shared" si="90"/>
        <v>1</v>
      </c>
      <c r="M234" s="183">
        <v>1</v>
      </c>
      <c r="N234" s="95">
        <f t="shared" si="92"/>
        <v>41.46</v>
      </c>
      <c r="O234" s="95">
        <f t="shared" si="93"/>
        <v>41.46</v>
      </c>
      <c r="P234" s="94">
        <f t="shared" si="94"/>
        <v>0</v>
      </c>
      <c r="Q234" s="95">
        <f t="shared" si="95"/>
        <v>0</v>
      </c>
      <c r="R234" s="96"/>
      <c r="S234" s="97">
        <f t="shared" si="96"/>
        <v>1</v>
      </c>
      <c r="T234" s="98">
        <f t="shared" si="91"/>
        <v>0</v>
      </c>
      <c r="AA234">
        <v>1</v>
      </c>
      <c r="AB234" s="99" t="s">
        <v>605</v>
      </c>
      <c r="AD234">
        <f>AA234</f>
        <v>1</v>
      </c>
      <c r="AE234" s="100">
        <f>AD234*F234</f>
        <v>41.46</v>
      </c>
    </row>
    <row r="235" spans="2:31" ht="20.100000000000001" customHeight="1">
      <c r="B235" s="88">
        <v>3</v>
      </c>
      <c r="C235" s="89" t="s">
        <v>788</v>
      </c>
      <c r="D235" s="90" t="s">
        <v>918</v>
      </c>
      <c r="E235" s="91" t="s">
        <v>919</v>
      </c>
      <c r="F235" s="315">
        <v>56.79</v>
      </c>
      <c r="G235" s="260"/>
      <c r="H235" s="260"/>
      <c r="I235" s="309"/>
      <c r="J235" s="199"/>
      <c r="K235" s="269"/>
      <c r="L235" s="93">
        <f t="shared" si="90"/>
        <v>0</v>
      </c>
      <c r="M235" s="183"/>
      <c r="N235" s="95">
        <f t="shared" si="92"/>
        <v>0</v>
      </c>
      <c r="O235" s="95">
        <f t="shared" si="93"/>
        <v>0</v>
      </c>
      <c r="P235" s="94">
        <f t="shared" si="94"/>
        <v>0</v>
      </c>
      <c r="Q235" s="95">
        <f t="shared" si="95"/>
        <v>0</v>
      </c>
      <c r="R235" s="96"/>
      <c r="S235" s="97">
        <f t="shared" si="96"/>
        <v>0</v>
      </c>
      <c r="T235" s="98">
        <f t="shared" si="91"/>
        <v>0</v>
      </c>
    </row>
    <row r="236" spans="2:31" ht="20.100000000000001" customHeight="1">
      <c r="B236" s="88">
        <v>3</v>
      </c>
      <c r="C236" s="89" t="s">
        <v>788</v>
      </c>
      <c r="D236" s="90" t="s">
        <v>920</v>
      </c>
      <c r="E236" s="91" t="s">
        <v>921</v>
      </c>
      <c r="F236" s="315">
        <v>56.79</v>
      </c>
      <c r="G236" s="260"/>
      <c r="H236" s="260"/>
      <c r="I236" s="309"/>
      <c r="J236" s="199"/>
      <c r="K236" s="269"/>
      <c r="L236" s="93">
        <f t="shared" si="90"/>
        <v>0</v>
      </c>
      <c r="M236" s="183"/>
      <c r="N236" s="95">
        <f t="shared" si="92"/>
        <v>0</v>
      </c>
      <c r="O236" s="95">
        <f t="shared" si="93"/>
        <v>0</v>
      </c>
      <c r="P236" s="94">
        <f t="shared" si="94"/>
        <v>0</v>
      </c>
      <c r="Q236" s="95">
        <f t="shared" si="95"/>
        <v>0</v>
      </c>
      <c r="R236" s="96"/>
      <c r="S236" s="97">
        <f t="shared" si="96"/>
        <v>0</v>
      </c>
      <c r="T236" s="98">
        <f t="shared" si="91"/>
        <v>0</v>
      </c>
    </row>
    <row r="237" spans="2:31" ht="20.100000000000001" customHeight="1">
      <c r="B237" s="88">
        <v>3</v>
      </c>
      <c r="C237" s="89" t="s">
        <v>788</v>
      </c>
      <c r="D237" s="90" t="s">
        <v>922</v>
      </c>
      <c r="E237" s="91" t="s">
        <v>923</v>
      </c>
      <c r="F237" s="315">
        <v>54.19</v>
      </c>
      <c r="G237" s="260"/>
      <c r="H237" s="260"/>
      <c r="I237" s="309"/>
      <c r="J237" s="199"/>
      <c r="K237" s="269"/>
      <c r="L237" s="93">
        <f t="shared" si="90"/>
        <v>0</v>
      </c>
      <c r="M237" s="183"/>
      <c r="N237" s="95">
        <f t="shared" si="92"/>
        <v>0</v>
      </c>
      <c r="O237" s="95">
        <f t="shared" si="93"/>
        <v>0</v>
      </c>
      <c r="P237" s="94">
        <f t="shared" si="94"/>
        <v>0</v>
      </c>
      <c r="Q237" s="95">
        <f t="shared" si="95"/>
        <v>0</v>
      </c>
      <c r="R237" s="96"/>
      <c r="S237" s="97">
        <f t="shared" si="96"/>
        <v>0</v>
      </c>
      <c r="T237" s="98">
        <f t="shared" si="91"/>
        <v>0</v>
      </c>
    </row>
    <row r="238" spans="2:31" ht="20.100000000000001" customHeight="1">
      <c r="B238" s="88">
        <v>3</v>
      </c>
      <c r="C238" s="89" t="s">
        <v>788</v>
      </c>
      <c r="D238" s="90" t="s">
        <v>924</v>
      </c>
      <c r="E238" s="91" t="s">
        <v>925</v>
      </c>
      <c r="F238" s="315">
        <v>56.79</v>
      </c>
      <c r="G238" s="260"/>
      <c r="H238" s="260"/>
      <c r="I238" s="309"/>
      <c r="J238" s="199"/>
      <c r="K238" s="269"/>
      <c r="L238" s="93">
        <f t="shared" si="90"/>
        <v>0</v>
      </c>
      <c r="M238" s="183"/>
      <c r="N238" s="95">
        <f t="shared" si="92"/>
        <v>0</v>
      </c>
      <c r="O238" s="95">
        <f t="shared" si="93"/>
        <v>0</v>
      </c>
      <c r="P238" s="94">
        <f t="shared" si="94"/>
        <v>0</v>
      </c>
      <c r="Q238" s="95">
        <f t="shared" si="95"/>
        <v>0</v>
      </c>
      <c r="R238" s="96"/>
      <c r="S238" s="97">
        <f t="shared" si="96"/>
        <v>0</v>
      </c>
      <c r="T238" s="98">
        <f t="shared" si="91"/>
        <v>0</v>
      </c>
    </row>
    <row r="239" spans="2:31" ht="20.100000000000001" customHeight="1">
      <c r="B239" s="88">
        <v>3</v>
      </c>
      <c r="C239" s="89" t="s">
        <v>788</v>
      </c>
      <c r="D239" s="90" t="s">
        <v>926</v>
      </c>
      <c r="E239" s="91" t="s">
        <v>927</v>
      </c>
      <c r="F239" s="315">
        <v>56.79</v>
      </c>
      <c r="G239" s="260"/>
      <c r="H239" s="260"/>
      <c r="I239" s="309"/>
      <c r="J239" s="199"/>
      <c r="K239" s="269"/>
      <c r="L239" s="93">
        <f t="shared" si="90"/>
        <v>0</v>
      </c>
      <c r="M239" s="183"/>
      <c r="N239" s="95">
        <f t="shared" si="92"/>
        <v>0</v>
      </c>
      <c r="O239" s="95">
        <f t="shared" si="93"/>
        <v>0</v>
      </c>
      <c r="P239" s="94">
        <f t="shared" si="94"/>
        <v>0</v>
      </c>
      <c r="Q239" s="95">
        <f t="shared" si="95"/>
        <v>0</v>
      </c>
      <c r="R239" s="96"/>
      <c r="S239" s="97">
        <f t="shared" si="96"/>
        <v>0</v>
      </c>
      <c r="T239" s="98">
        <f t="shared" si="91"/>
        <v>0</v>
      </c>
    </row>
    <row r="240" spans="2:31" ht="20.100000000000001" customHeight="1">
      <c r="B240" s="88">
        <v>3</v>
      </c>
      <c r="C240" s="89" t="s">
        <v>788</v>
      </c>
      <c r="D240" s="90" t="s">
        <v>928</v>
      </c>
      <c r="E240" s="91" t="s">
        <v>929</v>
      </c>
      <c r="F240" s="315">
        <v>49.65</v>
      </c>
      <c r="G240" s="260">
        <v>2</v>
      </c>
      <c r="H240" s="260"/>
      <c r="I240" s="309"/>
      <c r="J240" s="199"/>
      <c r="K240" s="269"/>
      <c r="L240" s="93">
        <f t="shared" si="90"/>
        <v>2</v>
      </c>
      <c r="M240" s="183">
        <v>2</v>
      </c>
      <c r="N240" s="95">
        <f t="shared" si="92"/>
        <v>99.3</v>
      </c>
      <c r="O240" s="95">
        <f t="shared" si="93"/>
        <v>99.3</v>
      </c>
      <c r="P240" s="94">
        <f t="shared" si="94"/>
        <v>0</v>
      </c>
      <c r="Q240" s="95">
        <f t="shared" si="95"/>
        <v>0</v>
      </c>
      <c r="R240" s="96"/>
      <c r="S240" s="97">
        <f t="shared" si="96"/>
        <v>2</v>
      </c>
      <c r="T240" s="98">
        <f t="shared" si="91"/>
        <v>0</v>
      </c>
      <c r="AA240">
        <v>2</v>
      </c>
      <c r="AB240" s="99" t="s">
        <v>930</v>
      </c>
      <c r="AD240">
        <f>AA240</f>
        <v>2</v>
      </c>
      <c r="AE240" s="100">
        <f>AD240*F240</f>
        <v>99.3</v>
      </c>
    </row>
    <row r="241" spans="2:31" ht="20.100000000000001" customHeight="1">
      <c r="B241" s="88">
        <v>3</v>
      </c>
      <c r="C241" s="89" t="s">
        <v>788</v>
      </c>
      <c r="D241" s="90" t="s">
        <v>4908</v>
      </c>
      <c r="E241" s="91" t="s">
        <v>4909</v>
      </c>
      <c r="F241" s="315">
        <v>25</v>
      </c>
      <c r="G241" s="260"/>
      <c r="H241" s="260"/>
      <c r="I241" s="329">
        <v>10</v>
      </c>
      <c r="J241" s="199"/>
      <c r="K241" s="269">
        <v>1</v>
      </c>
      <c r="L241" s="93">
        <f t="shared" si="90"/>
        <v>9</v>
      </c>
      <c r="M241" s="183">
        <v>9</v>
      </c>
      <c r="N241" s="95">
        <f t="shared" ref="N241" si="97">F241*L241</f>
        <v>225</v>
      </c>
      <c r="O241" s="95">
        <f t="shared" ref="O241" si="98">M241*F241</f>
        <v>225</v>
      </c>
      <c r="P241" s="94">
        <f t="shared" ref="P241" si="99">L241-M241</f>
        <v>0</v>
      </c>
      <c r="Q241" s="95">
        <f t="shared" ref="Q241" si="100">N241-O241</f>
        <v>0</v>
      </c>
      <c r="R241" s="96"/>
      <c r="S241" s="97">
        <f t="shared" ref="S241" si="101">U241+Y241+W241+AA241</f>
        <v>0</v>
      </c>
      <c r="T241" s="98">
        <f t="shared" ref="T241" si="102">M241-S241</f>
        <v>9</v>
      </c>
    </row>
    <row r="242" spans="2:31" ht="20.100000000000001" customHeight="1">
      <c r="B242" s="88">
        <v>3</v>
      </c>
      <c r="C242" s="89" t="s">
        <v>788</v>
      </c>
      <c r="D242" s="90" t="s">
        <v>931</v>
      </c>
      <c r="E242" s="91" t="s">
        <v>932</v>
      </c>
      <c r="F242" s="315">
        <v>57.4</v>
      </c>
      <c r="G242" s="260">
        <v>3</v>
      </c>
      <c r="H242" s="260"/>
      <c r="I242" s="329">
        <v>5</v>
      </c>
      <c r="J242" s="199"/>
      <c r="K242" s="269"/>
      <c r="L242" s="93">
        <f t="shared" si="90"/>
        <v>8</v>
      </c>
      <c r="M242" s="183">
        <v>8</v>
      </c>
      <c r="N242" s="95">
        <f t="shared" si="92"/>
        <v>459.2</v>
      </c>
      <c r="O242" s="95">
        <f t="shared" si="93"/>
        <v>459.2</v>
      </c>
      <c r="P242" s="94">
        <f t="shared" si="94"/>
        <v>0</v>
      </c>
      <c r="Q242" s="95">
        <f t="shared" si="95"/>
        <v>0</v>
      </c>
      <c r="R242" s="96"/>
      <c r="S242" s="97">
        <f t="shared" si="96"/>
        <v>0</v>
      </c>
      <c r="T242" s="98">
        <f t="shared" si="91"/>
        <v>8</v>
      </c>
    </row>
    <row r="243" spans="2:31" ht="20.100000000000001" customHeight="1">
      <c r="B243" s="88">
        <v>3</v>
      </c>
      <c r="C243" s="89" t="s">
        <v>788</v>
      </c>
      <c r="D243" s="90" t="s">
        <v>933</v>
      </c>
      <c r="E243" s="91" t="s">
        <v>934</v>
      </c>
      <c r="F243" s="315">
        <v>57.4</v>
      </c>
      <c r="G243" s="260">
        <v>6</v>
      </c>
      <c r="H243" s="260"/>
      <c r="I243" s="309"/>
      <c r="J243" s="199"/>
      <c r="K243" s="269">
        <v>1</v>
      </c>
      <c r="L243" s="93">
        <f t="shared" si="90"/>
        <v>5</v>
      </c>
      <c r="M243" s="183">
        <v>5</v>
      </c>
      <c r="N243" s="95">
        <f t="shared" si="92"/>
        <v>287</v>
      </c>
      <c r="O243" s="95">
        <f t="shared" si="93"/>
        <v>287</v>
      </c>
      <c r="P243" s="94">
        <f t="shared" si="94"/>
        <v>0</v>
      </c>
      <c r="Q243" s="95">
        <f t="shared" si="95"/>
        <v>0</v>
      </c>
      <c r="R243" s="96"/>
      <c r="S243" s="97">
        <f t="shared" si="96"/>
        <v>1</v>
      </c>
      <c r="T243" s="98">
        <f t="shared" si="91"/>
        <v>4</v>
      </c>
      <c r="U243">
        <v>1</v>
      </c>
    </row>
    <row r="244" spans="2:31" ht="20.100000000000001" customHeight="1">
      <c r="B244" s="88">
        <v>3</v>
      </c>
      <c r="C244" s="89" t="s">
        <v>788</v>
      </c>
      <c r="D244" s="90" t="s">
        <v>935</v>
      </c>
      <c r="E244" s="91" t="s">
        <v>936</v>
      </c>
      <c r="F244" s="315">
        <v>53.15</v>
      </c>
      <c r="G244" s="260"/>
      <c r="H244" s="260"/>
      <c r="I244" s="309"/>
      <c r="J244" s="199"/>
      <c r="K244" s="269"/>
      <c r="L244" s="93">
        <f t="shared" si="90"/>
        <v>0</v>
      </c>
      <c r="M244" s="183"/>
      <c r="N244" s="95">
        <f t="shared" si="92"/>
        <v>0</v>
      </c>
      <c r="O244" s="95">
        <f t="shared" si="93"/>
        <v>0</v>
      </c>
      <c r="P244" s="94">
        <f t="shared" si="94"/>
        <v>0</v>
      </c>
      <c r="Q244" s="95">
        <f t="shared" si="95"/>
        <v>0</v>
      </c>
      <c r="R244" s="96"/>
      <c r="S244" s="97">
        <f t="shared" si="96"/>
        <v>0</v>
      </c>
      <c r="T244" s="98">
        <f t="shared" si="91"/>
        <v>0</v>
      </c>
    </row>
    <row r="245" spans="2:31" ht="20.100000000000001" customHeight="1">
      <c r="B245" s="88">
        <v>3</v>
      </c>
      <c r="C245" s="89" t="s">
        <v>788</v>
      </c>
      <c r="D245" s="90" t="s">
        <v>937</v>
      </c>
      <c r="E245" s="91" t="s">
        <v>938</v>
      </c>
      <c r="F245" s="315">
        <v>71</v>
      </c>
      <c r="G245" s="260">
        <v>2</v>
      </c>
      <c r="H245" s="260"/>
      <c r="I245" s="309"/>
      <c r="J245" s="199"/>
      <c r="K245" s="269"/>
      <c r="L245" s="93">
        <f t="shared" si="90"/>
        <v>2</v>
      </c>
      <c r="M245" s="183">
        <v>2</v>
      </c>
      <c r="N245" s="95">
        <f t="shared" si="92"/>
        <v>142</v>
      </c>
      <c r="O245" s="95">
        <f t="shared" si="93"/>
        <v>142</v>
      </c>
      <c r="P245" s="94">
        <f t="shared" si="94"/>
        <v>0</v>
      </c>
      <c r="Q245" s="95">
        <f t="shared" si="95"/>
        <v>0</v>
      </c>
      <c r="R245" s="102">
        <v>45454</v>
      </c>
      <c r="S245" s="97">
        <f t="shared" si="96"/>
        <v>2</v>
      </c>
      <c r="T245" s="98">
        <f t="shared" si="91"/>
        <v>0</v>
      </c>
      <c r="W245">
        <v>2</v>
      </c>
      <c r="X245" t="s">
        <v>549</v>
      </c>
      <c r="AD245">
        <f>W245</f>
        <v>2</v>
      </c>
      <c r="AE245" s="100">
        <f>AD245*F245</f>
        <v>142</v>
      </c>
    </row>
    <row r="246" spans="2:31" ht="20.100000000000001" customHeight="1">
      <c r="B246" s="88">
        <v>3</v>
      </c>
      <c r="C246" s="89" t="s">
        <v>788</v>
      </c>
      <c r="D246" s="90" t="s">
        <v>939</v>
      </c>
      <c r="E246" s="91" t="s">
        <v>940</v>
      </c>
      <c r="F246" s="315">
        <v>78.290000000000006</v>
      </c>
      <c r="G246" s="260">
        <v>3</v>
      </c>
      <c r="H246" s="260"/>
      <c r="I246" s="309"/>
      <c r="J246" s="199">
        <v>3</v>
      </c>
      <c r="K246" s="269"/>
      <c r="L246" s="93">
        <f t="shared" si="90"/>
        <v>0</v>
      </c>
      <c r="M246" s="183"/>
      <c r="N246" s="95">
        <f t="shared" si="92"/>
        <v>0</v>
      </c>
      <c r="O246" s="95">
        <f t="shared" si="93"/>
        <v>0</v>
      </c>
      <c r="P246" s="94">
        <f t="shared" si="94"/>
        <v>0</v>
      </c>
      <c r="Q246" s="95">
        <f t="shared" si="95"/>
        <v>0</v>
      </c>
      <c r="R246" s="96"/>
      <c r="S246" s="97">
        <f t="shared" si="96"/>
        <v>3</v>
      </c>
      <c r="T246" s="98">
        <f t="shared" si="91"/>
        <v>-3</v>
      </c>
      <c r="U246">
        <v>3</v>
      </c>
    </row>
    <row r="247" spans="2:31" ht="20.100000000000001" customHeight="1">
      <c r="B247" s="88">
        <v>3</v>
      </c>
      <c r="C247" s="89" t="s">
        <v>788</v>
      </c>
      <c r="D247" s="90" t="s">
        <v>941</v>
      </c>
      <c r="E247" s="91" t="s">
        <v>942</v>
      </c>
      <c r="F247" s="315">
        <v>56.71</v>
      </c>
      <c r="G247" s="260"/>
      <c r="H247" s="260">
        <v>3</v>
      </c>
      <c r="I247" s="309"/>
      <c r="J247" s="199"/>
      <c r="K247" s="269">
        <v>3</v>
      </c>
      <c r="L247" s="93">
        <f t="shared" si="90"/>
        <v>0</v>
      </c>
      <c r="M247" s="183"/>
      <c r="N247" s="95">
        <f t="shared" si="92"/>
        <v>0</v>
      </c>
      <c r="O247" s="95">
        <f t="shared" si="93"/>
        <v>0</v>
      </c>
      <c r="P247" s="94">
        <f t="shared" si="94"/>
        <v>0</v>
      </c>
      <c r="Q247" s="95">
        <f t="shared" si="95"/>
        <v>0</v>
      </c>
      <c r="R247" s="278" t="s">
        <v>5188</v>
      </c>
      <c r="S247" s="97">
        <f t="shared" si="96"/>
        <v>0</v>
      </c>
      <c r="T247" s="98">
        <f t="shared" si="91"/>
        <v>0</v>
      </c>
    </row>
    <row r="248" spans="2:31" ht="20.100000000000001" customHeight="1">
      <c r="B248" s="88">
        <v>3</v>
      </c>
      <c r="C248" s="89" t="s">
        <v>788</v>
      </c>
      <c r="D248" s="90" t="s">
        <v>943</v>
      </c>
      <c r="E248" s="91" t="s">
        <v>944</v>
      </c>
      <c r="F248" s="315">
        <v>40.06</v>
      </c>
      <c r="G248" s="260">
        <v>7</v>
      </c>
      <c r="H248" s="260"/>
      <c r="I248" s="309"/>
      <c r="J248" s="199"/>
      <c r="K248" s="269">
        <v>1</v>
      </c>
      <c r="L248" s="93">
        <f t="shared" si="90"/>
        <v>6</v>
      </c>
      <c r="M248" s="183">
        <v>6</v>
      </c>
      <c r="N248" s="95">
        <f t="shared" si="92"/>
        <v>240.36</v>
      </c>
      <c r="O248" s="95">
        <f t="shared" si="93"/>
        <v>240.36</v>
      </c>
      <c r="P248" s="94">
        <f t="shared" si="94"/>
        <v>0</v>
      </c>
      <c r="Q248" s="95">
        <f t="shared" si="95"/>
        <v>0</v>
      </c>
      <c r="R248" s="96"/>
      <c r="S248" s="97">
        <f t="shared" si="96"/>
        <v>12</v>
      </c>
      <c r="T248" s="98">
        <f t="shared" si="91"/>
        <v>-6</v>
      </c>
      <c r="U248">
        <v>12</v>
      </c>
    </row>
    <row r="249" spans="2:31" ht="20.100000000000001" customHeight="1">
      <c r="B249" s="88">
        <v>3</v>
      </c>
      <c r="C249" s="89" t="s">
        <v>788</v>
      </c>
      <c r="D249" s="90" t="s">
        <v>945</v>
      </c>
      <c r="E249" s="91" t="s">
        <v>946</v>
      </c>
      <c r="F249" s="315">
        <v>12.77</v>
      </c>
      <c r="G249" s="260">
        <v>10</v>
      </c>
      <c r="H249" s="260"/>
      <c r="I249" s="309"/>
      <c r="J249" s="199"/>
      <c r="K249" s="269">
        <v>9</v>
      </c>
      <c r="L249" s="93">
        <f t="shared" si="90"/>
        <v>1</v>
      </c>
      <c r="M249" s="183"/>
      <c r="N249" s="95">
        <f t="shared" si="92"/>
        <v>12.77</v>
      </c>
      <c r="O249" s="95">
        <f t="shared" si="93"/>
        <v>0</v>
      </c>
      <c r="P249" s="94">
        <f t="shared" si="94"/>
        <v>1</v>
      </c>
      <c r="Q249" s="95">
        <f t="shared" si="95"/>
        <v>12.77</v>
      </c>
      <c r="R249" s="96"/>
      <c r="S249" s="97">
        <f t="shared" si="96"/>
        <v>20</v>
      </c>
      <c r="T249" s="98">
        <f t="shared" si="91"/>
        <v>-20</v>
      </c>
      <c r="U249">
        <v>20</v>
      </c>
    </row>
    <row r="250" spans="2:31" ht="20.100000000000001" customHeight="1">
      <c r="B250" s="88">
        <v>3</v>
      </c>
      <c r="C250" s="89" t="s">
        <v>788</v>
      </c>
      <c r="D250" s="90" t="s">
        <v>947</v>
      </c>
      <c r="E250" s="91" t="s">
        <v>948</v>
      </c>
      <c r="F250" s="315">
        <v>40.06</v>
      </c>
      <c r="G250" s="260">
        <v>7</v>
      </c>
      <c r="H250" s="260"/>
      <c r="I250" s="309"/>
      <c r="J250" s="199"/>
      <c r="K250" s="269"/>
      <c r="L250" s="93">
        <f t="shared" si="90"/>
        <v>7</v>
      </c>
      <c r="M250" s="183">
        <v>7</v>
      </c>
      <c r="N250" s="95">
        <f t="shared" si="92"/>
        <v>280.42</v>
      </c>
      <c r="O250" s="95">
        <f t="shared" si="93"/>
        <v>280.42</v>
      </c>
      <c r="P250" s="94">
        <f t="shared" si="94"/>
        <v>0</v>
      </c>
      <c r="Q250" s="95">
        <f t="shared" si="95"/>
        <v>0</v>
      </c>
      <c r="R250" s="96"/>
      <c r="S250" s="97">
        <f t="shared" si="96"/>
        <v>12</v>
      </c>
      <c r="T250" s="98">
        <f t="shared" si="91"/>
        <v>-5</v>
      </c>
      <c r="U250">
        <v>12</v>
      </c>
    </row>
    <row r="251" spans="2:31" ht="20.100000000000001" customHeight="1">
      <c r="B251" s="88">
        <v>3</v>
      </c>
      <c r="C251" s="89" t="s">
        <v>788</v>
      </c>
      <c r="D251" s="90" t="s">
        <v>949</v>
      </c>
      <c r="E251" s="91" t="s">
        <v>950</v>
      </c>
      <c r="F251" s="315">
        <v>40.06</v>
      </c>
      <c r="G251" s="260">
        <v>9</v>
      </c>
      <c r="H251" s="260"/>
      <c r="I251" s="309"/>
      <c r="J251" s="199"/>
      <c r="K251" s="269">
        <v>1</v>
      </c>
      <c r="L251" s="93">
        <f t="shared" si="90"/>
        <v>8</v>
      </c>
      <c r="M251" s="183">
        <v>8</v>
      </c>
      <c r="N251" s="95">
        <f t="shared" si="92"/>
        <v>320.48</v>
      </c>
      <c r="O251" s="95">
        <f t="shared" si="93"/>
        <v>320.48</v>
      </c>
      <c r="P251" s="94">
        <f t="shared" si="94"/>
        <v>0</v>
      </c>
      <c r="Q251" s="95">
        <f t="shared" si="95"/>
        <v>0</v>
      </c>
      <c r="R251" s="96"/>
      <c r="S251" s="97">
        <f t="shared" si="96"/>
        <v>11</v>
      </c>
      <c r="T251" s="98">
        <f t="shared" si="91"/>
        <v>-3</v>
      </c>
      <c r="U251">
        <v>11</v>
      </c>
    </row>
    <row r="252" spans="2:31" ht="20.100000000000001" customHeight="1">
      <c r="B252" s="88">
        <v>3</v>
      </c>
      <c r="C252" s="89" t="s">
        <v>788</v>
      </c>
      <c r="D252" s="90" t="s">
        <v>951</v>
      </c>
      <c r="E252" s="91" t="s">
        <v>952</v>
      </c>
      <c r="F252" s="315">
        <v>12.77</v>
      </c>
      <c r="G252" s="260">
        <v>2</v>
      </c>
      <c r="H252" s="260"/>
      <c r="I252" s="309"/>
      <c r="J252" s="199"/>
      <c r="K252" s="269">
        <v>2</v>
      </c>
      <c r="L252" s="93">
        <f t="shared" si="90"/>
        <v>0</v>
      </c>
      <c r="M252" s="183"/>
      <c r="N252" s="95">
        <f t="shared" si="92"/>
        <v>0</v>
      </c>
      <c r="O252" s="95">
        <f t="shared" si="93"/>
        <v>0</v>
      </c>
      <c r="P252" s="94">
        <f t="shared" si="94"/>
        <v>0</v>
      </c>
      <c r="Q252" s="95">
        <f t="shared" si="95"/>
        <v>0</v>
      </c>
      <c r="R252" s="96"/>
      <c r="S252" s="97">
        <f t="shared" si="96"/>
        <v>19</v>
      </c>
      <c r="T252" s="98">
        <f t="shared" si="91"/>
        <v>-19</v>
      </c>
      <c r="U252">
        <v>19</v>
      </c>
    </row>
    <row r="253" spans="2:31" ht="20.100000000000001" customHeight="1">
      <c r="B253" s="88">
        <v>3</v>
      </c>
      <c r="C253" s="89" t="s">
        <v>788</v>
      </c>
      <c r="D253" s="90" t="s">
        <v>953</v>
      </c>
      <c r="E253" s="91" t="s">
        <v>954</v>
      </c>
      <c r="F253" s="315">
        <v>71.5</v>
      </c>
      <c r="G253" s="260"/>
      <c r="H253" s="260"/>
      <c r="I253" s="309"/>
      <c r="J253" s="199"/>
      <c r="K253" s="269"/>
      <c r="L253" s="93">
        <f t="shared" si="90"/>
        <v>0</v>
      </c>
      <c r="M253" s="183"/>
      <c r="N253" s="95">
        <f t="shared" si="92"/>
        <v>0</v>
      </c>
      <c r="O253" s="95">
        <f t="shared" si="93"/>
        <v>0</v>
      </c>
      <c r="P253" s="94">
        <f t="shared" si="94"/>
        <v>0</v>
      </c>
      <c r="Q253" s="95">
        <f t="shared" si="95"/>
        <v>0</v>
      </c>
      <c r="R253" s="96"/>
      <c r="S253" s="97">
        <f t="shared" si="96"/>
        <v>0</v>
      </c>
      <c r="T253" s="98">
        <f t="shared" si="91"/>
        <v>0</v>
      </c>
    </row>
    <row r="254" spans="2:31" ht="20.100000000000001" customHeight="1">
      <c r="B254" s="88">
        <v>3</v>
      </c>
      <c r="C254" s="89" t="s">
        <v>788</v>
      </c>
      <c r="D254" s="90" t="s">
        <v>955</v>
      </c>
      <c r="E254" s="91" t="s">
        <v>956</v>
      </c>
      <c r="F254" s="315">
        <v>71.5</v>
      </c>
      <c r="G254" s="260">
        <v>13</v>
      </c>
      <c r="H254" s="260"/>
      <c r="I254" s="309"/>
      <c r="J254" s="199"/>
      <c r="K254" s="269"/>
      <c r="L254" s="93">
        <f t="shared" si="90"/>
        <v>13</v>
      </c>
      <c r="M254" s="183">
        <v>13</v>
      </c>
      <c r="N254" s="95">
        <f t="shared" si="92"/>
        <v>929.5</v>
      </c>
      <c r="O254" s="95">
        <f t="shared" si="93"/>
        <v>929.5</v>
      </c>
      <c r="P254" s="94">
        <f t="shared" si="94"/>
        <v>0</v>
      </c>
      <c r="Q254" s="95">
        <f t="shared" si="95"/>
        <v>0</v>
      </c>
      <c r="R254" s="102">
        <v>45128</v>
      </c>
      <c r="S254" s="97">
        <f t="shared" si="96"/>
        <v>13</v>
      </c>
      <c r="T254" s="98">
        <f t="shared" si="91"/>
        <v>0</v>
      </c>
      <c r="W254">
        <v>13</v>
      </c>
      <c r="X254" t="s">
        <v>957</v>
      </c>
      <c r="AD254">
        <f>W254</f>
        <v>13</v>
      </c>
      <c r="AE254" s="100">
        <f>AD254*F254</f>
        <v>929.5</v>
      </c>
    </row>
    <row r="255" spans="2:31" ht="20.100000000000001" customHeight="1">
      <c r="B255" s="88">
        <v>3</v>
      </c>
      <c r="C255" s="89" t="s">
        <v>788</v>
      </c>
      <c r="D255" s="90" t="s">
        <v>958</v>
      </c>
      <c r="E255" s="91" t="s">
        <v>959</v>
      </c>
      <c r="F255" s="315">
        <v>71.5</v>
      </c>
      <c r="G255" s="260"/>
      <c r="H255" s="260"/>
      <c r="I255" s="309"/>
      <c r="J255" s="199"/>
      <c r="K255" s="269"/>
      <c r="L255" s="93">
        <f t="shared" si="90"/>
        <v>0</v>
      </c>
      <c r="M255" s="183"/>
      <c r="N255" s="95">
        <f t="shared" si="92"/>
        <v>0</v>
      </c>
      <c r="O255" s="95">
        <f t="shared" si="93"/>
        <v>0</v>
      </c>
      <c r="P255" s="94">
        <f t="shared" si="94"/>
        <v>0</v>
      </c>
      <c r="Q255" s="95">
        <f t="shared" si="95"/>
        <v>0</v>
      </c>
      <c r="R255" s="96"/>
      <c r="S255" s="97">
        <f t="shared" si="96"/>
        <v>0</v>
      </c>
      <c r="T255" s="98">
        <f t="shared" si="91"/>
        <v>0</v>
      </c>
    </row>
    <row r="256" spans="2:31" ht="20.100000000000001" customHeight="1">
      <c r="B256" s="88">
        <v>3</v>
      </c>
      <c r="C256" s="89" t="s">
        <v>788</v>
      </c>
      <c r="D256" s="90" t="s">
        <v>960</v>
      </c>
      <c r="E256" s="91" t="s">
        <v>961</v>
      </c>
      <c r="F256" s="315">
        <v>77</v>
      </c>
      <c r="G256" s="260"/>
      <c r="H256" s="260"/>
      <c r="I256" s="309"/>
      <c r="J256" s="199"/>
      <c r="K256" s="269"/>
      <c r="L256" s="93">
        <f t="shared" si="90"/>
        <v>0</v>
      </c>
      <c r="M256" s="183"/>
      <c r="N256" s="95">
        <f t="shared" si="92"/>
        <v>0</v>
      </c>
      <c r="O256" s="95">
        <f t="shared" si="93"/>
        <v>0</v>
      </c>
      <c r="P256" s="94">
        <f t="shared" si="94"/>
        <v>0</v>
      </c>
      <c r="Q256" s="95">
        <f t="shared" si="95"/>
        <v>0</v>
      </c>
      <c r="R256" s="96"/>
      <c r="S256" s="97">
        <f t="shared" si="96"/>
        <v>0</v>
      </c>
      <c r="T256" s="98">
        <f t="shared" si="91"/>
        <v>0</v>
      </c>
    </row>
    <row r="257" spans="2:31" ht="20.100000000000001" customHeight="1">
      <c r="B257" s="88">
        <v>3</v>
      </c>
      <c r="C257" s="89" t="s">
        <v>788</v>
      </c>
      <c r="D257" s="90" t="s">
        <v>962</v>
      </c>
      <c r="E257" s="91" t="s">
        <v>963</v>
      </c>
      <c r="F257" s="315">
        <v>77</v>
      </c>
      <c r="G257" s="260"/>
      <c r="H257" s="260"/>
      <c r="I257" s="309"/>
      <c r="J257" s="199"/>
      <c r="K257" s="269"/>
      <c r="L257" s="93">
        <f t="shared" si="90"/>
        <v>0</v>
      </c>
      <c r="M257" s="183"/>
      <c r="N257" s="95">
        <f t="shared" si="92"/>
        <v>0</v>
      </c>
      <c r="O257" s="95">
        <f t="shared" si="93"/>
        <v>0</v>
      </c>
      <c r="P257" s="94">
        <f t="shared" si="94"/>
        <v>0</v>
      </c>
      <c r="Q257" s="95">
        <f t="shared" si="95"/>
        <v>0</v>
      </c>
      <c r="R257" s="96"/>
      <c r="S257" s="97">
        <f t="shared" si="96"/>
        <v>0</v>
      </c>
      <c r="T257" s="98">
        <f t="shared" si="91"/>
        <v>0</v>
      </c>
    </row>
    <row r="258" spans="2:31" ht="20.100000000000001" customHeight="1">
      <c r="B258" s="88">
        <v>3</v>
      </c>
      <c r="C258" s="89" t="s">
        <v>788</v>
      </c>
      <c r="D258" s="90" t="s">
        <v>964</v>
      </c>
      <c r="E258" s="91" t="s">
        <v>965</v>
      </c>
      <c r="F258" s="315">
        <v>72.42</v>
      </c>
      <c r="G258" s="260">
        <v>2</v>
      </c>
      <c r="H258" s="260"/>
      <c r="I258" s="309"/>
      <c r="J258" s="199"/>
      <c r="K258" s="269"/>
      <c r="L258" s="93">
        <f t="shared" si="90"/>
        <v>2</v>
      </c>
      <c r="M258" s="277">
        <v>2</v>
      </c>
      <c r="N258" s="95">
        <f t="shared" si="92"/>
        <v>144.84</v>
      </c>
      <c r="O258" s="95">
        <f t="shared" si="93"/>
        <v>144.84</v>
      </c>
      <c r="P258" s="94">
        <f t="shared" si="94"/>
        <v>0</v>
      </c>
      <c r="Q258" s="95">
        <f t="shared" si="95"/>
        <v>0</v>
      </c>
      <c r="R258" s="102">
        <v>45121</v>
      </c>
      <c r="S258" s="97">
        <f t="shared" si="96"/>
        <v>2</v>
      </c>
      <c r="T258" s="98">
        <f t="shared" si="91"/>
        <v>0</v>
      </c>
      <c r="W258">
        <v>2</v>
      </c>
      <c r="X258" t="s">
        <v>957</v>
      </c>
      <c r="AD258">
        <f>W258</f>
        <v>2</v>
      </c>
      <c r="AE258" s="100">
        <f>AD258*F258</f>
        <v>144.84</v>
      </c>
    </row>
    <row r="259" spans="2:31" ht="20.100000000000001" customHeight="1">
      <c r="B259" s="88">
        <v>3</v>
      </c>
      <c r="C259" s="89" t="s">
        <v>788</v>
      </c>
      <c r="D259" s="90" t="s">
        <v>966</v>
      </c>
      <c r="E259" s="91" t="s">
        <v>967</v>
      </c>
      <c r="F259" s="315">
        <v>40.229999999999997</v>
      </c>
      <c r="G259" s="260">
        <v>4</v>
      </c>
      <c r="H259" s="260"/>
      <c r="I259" s="309"/>
      <c r="J259" s="199"/>
      <c r="K259" s="269"/>
      <c r="L259" s="93">
        <f t="shared" si="90"/>
        <v>4</v>
      </c>
      <c r="M259" s="183">
        <v>4</v>
      </c>
      <c r="N259" s="95">
        <f t="shared" si="92"/>
        <v>160.91999999999999</v>
      </c>
      <c r="O259" s="95">
        <f t="shared" si="93"/>
        <v>160.91999999999999</v>
      </c>
      <c r="P259" s="94">
        <f t="shared" si="94"/>
        <v>0</v>
      </c>
      <c r="Q259" s="95">
        <f t="shared" si="95"/>
        <v>0</v>
      </c>
      <c r="R259" s="96"/>
      <c r="S259" s="97">
        <f t="shared" si="96"/>
        <v>0</v>
      </c>
      <c r="T259" s="98">
        <f t="shared" si="91"/>
        <v>4</v>
      </c>
    </row>
    <row r="260" spans="2:31" ht="20.100000000000001" customHeight="1">
      <c r="B260" s="88">
        <v>3</v>
      </c>
      <c r="C260" s="89" t="s">
        <v>788</v>
      </c>
      <c r="D260" s="90" t="s">
        <v>968</v>
      </c>
      <c r="E260" s="91" t="s">
        <v>969</v>
      </c>
      <c r="F260" s="315">
        <v>183.75</v>
      </c>
      <c r="G260" s="260"/>
      <c r="H260" s="260"/>
      <c r="I260" s="309"/>
      <c r="J260" s="199"/>
      <c r="K260" s="269"/>
      <c r="L260" s="93">
        <f t="shared" si="90"/>
        <v>0</v>
      </c>
      <c r="M260" s="183"/>
      <c r="N260" s="95">
        <f t="shared" si="92"/>
        <v>0</v>
      </c>
      <c r="O260" s="95">
        <f t="shared" si="93"/>
        <v>0</v>
      </c>
      <c r="P260" s="94">
        <f t="shared" si="94"/>
        <v>0</v>
      </c>
      <c r="Q260" s="95">
        <f t="shared" si="95"/>
        <v>0</v>
      </c>
      <c r="R260" s="96"/>
      <c r="S260" s="97">
        <f t="shared" si="96"/>
        <v>0</v>
      </c>
      <c r="T260" s="98">
        <f t="shared" si="91"/>
        <v>0</v>
      </c>
    </row>
    <row r="261" spans="2:31" ht="20.100000000000001" customHeight="1">
      <c r="B261" s="88">
        <v>3</v>
      </c>
      <c r="C261" s="89" t="s">
        <v>788</v>
      </c>
      <c r="D261" s="90" t="s">
        <v>970</v>
      </c>
      <c r="E261" s="91" t="s">
        <v>971</v>
      </c>
      <c r="F261" s="315">
        <v>6.8</v>
      </c>
      <c r="G261" s="260">
        <v>1</v>
      </c>
      <c r="H261" s="260">
        <v>20</v>
      </c>
      <c r="I261" s="309"/>
      <c r="J261" s="199"/>
      <c r="K261" s="269">
        <v>21</v>
      </c>
      <c r="L261" s="93">
        <f t="shared" si="90"/>
        <v>0</v>
      </c>
      <c r="M261" s="183"/>
      <c r="N261" s="95">
        <f t="shared" si="92"/>
        <v>0</v>
      </c>
      <c r="O261" s="95">
        <f t="shared" si="93"/>
        <v>0</v>
      </c>
      <c r="P261" s="94">
        <f t="shared" si="94"/>
        <v>0</v>
      </c>
      <c r="Q261" s="95">
        <f t="shared" si="95"/>
        <v>0</v>
      </c>
      <c r="R261" s="278" t="s">
        <v>5189</v>
      </c>
      <c r="S261" s="97">
        <f t="shared" si="96"/>
        <v>1</v>
      </c>
      <c r="T261" s="98">
        <f t="shared" si="91"/>
        <v>-1</v>
      </c>
      <c r="AA261">
        <v>1</v>
      </c>
      <c r="AB261" t="s">
        <v>525</v>
      </c>
      <c r="AD261">
        <f>AA261</f>
        <v>1</v>
      </c>
      <c r="AE261" s="100">
        <f>AD261*F261</f>
        <v>6.8</v>
      </c>
    </row>
    <row r="262" spans="2:31" ht="20.100000000000001" customHeight="1">
      <c r="B262" s="88">
        <v>3</v>
      </c>
      <c r="C262" s="89" t="s">
        <v>788</v>
      </c>
      <c r="D262" s="90" t="s">
        <v>972</v>
      </c>
      <c r="E262" s="91" t="s">
        <v>973</v>
      </c>
      <c r="F262" s="315">
        <v>6.8</v>
      </c>
      <c r="G262" s="260">
        <v>3</v>
      </c>
      <c r="H262" s="260">
        <v>13</v>
      </c>
      <c r="I262" s="309"/>
      <c r="J262" s="199"/>
      <c r="K262" s="269">
        <v>13</v>
      </c>
      <c r="L262" s="93">
        <f t="shared" si="90"/>
        <v>3</v>
      </c>
      <c r="M262" s="183"/>
      <c r="N262" s="95">
        <f t="shared" si="92"/>
        <v>20.399999999999999</v>
      </c>
      <c r="O262" s="95">
        <f t="shared" si="93"/>
        <v>0</v>
      </c>
      <c r="P262" s="94">
        <f t="shared" si="94"/>
        <v>3</v>
      </c>
      <c r="Q262" s="95">
        <f t="shared" si="95"/>
        <v>20.399999999999999</v>
      </c>
      <c r="R262" s="278" t="s">
        <v>5190</v>
      </c>
      <c r="S262" s="97">
        <f t="shared" si="96"/>
        <v>3</v>
      </c>
      <c r="T262" s="98">
        <f t="shared" si="91"/>
        <v>-3</v>
      </c>
      <c r="AA262">
        <v>3</v>
      </c>
      <c r="AB262" t="s">
        <v>525</v>
      </c>
      <c r="AD262">
        <f t="shared" ref="AD262:AD264" si="103">AA262</f>
        <v>3</v>
      </c>
      <c r="AE262" s="100">
        <f>AD262*F262</f>
        <v>20.399999999999999</v>
      </c>
    </row>
    <row r="263" spans="2:31" ht="20.100000000000001" customHeight="1">
      <c r="B263" s="88">
        <v>3</v>
      </c>
      <c r="C263" s="89" t="s">
        <v>788</v>
      </c>
      <c r="D263" s="90" t="s">
        <v>974</v>
      </c>
      <c r="E263" s="91" t="s">
        <v>975</v>
      </c>
      <c r="F263" s="315">
        <v>53.87</v>
      </c>
      <c r="G263" s="260">
        <v>2</v>
      </c>
      <c r="H263" s="260"/>
      <c r="I263" s="309"/>
      <c r="J263" s="199"/>
      <c r="K263" s="269"/>
      <c r="L263" s="93">
        <f t="shared" si="90"/>
        <v>2</v>
      </c>
      <c r="M263" s="183">
        <v>2</v>
      </c>
      <c r="N263" s="95">
        <f t="shared" si="92"/>
        <v>107.74</v>
      </c>
      <c r="O263" s="95">
        <f t="shared" si="93"/>
        <v>107.74</v>
      </c>
      <c r="P263" s="94">
        <f t="shared" si="94"/>
        <v>0</v>
      </c>
      <c r="Q263" s="95">
        <f t="shared" si="95"/>
        <v>0</v>
      </c>
      <c r="R263" s="96"/>
      <c r="S263" s="97">
        <f t="shared" si="96"/>
        <v>2</v>
      </c>
      <c r="T263" s="98">
        <f t="shared" si="91"/>
        <v>0</v>
      </c>
      <c r="AA263">
        <v>2</v>
      </c>
      <c r="AB263" s="99" t="s">
        <v>976</v>
      </c>
      <c r="AD263">
        <f t="shared" si="103"/>
        <v>2</v>
      </c>
      <c r="AE263" s="100">
        <f>AD263*F263</f>
        <v>107.74</v>
      </c>
    </row>
    <row r="264" spans="2:31" ht="20.100000000000001" customHeight="1">
      <c r="B264" s="88">
        <v>3</v>
      </c>
      <c r="C264" s="89" t="s">
        <v>788</v>
      </c>
      <c r="D264" s="90" t="s">
        <v>977</v>
      </c>
      <c r="E264" s="91" t="s">
        <v>978</v>
      </c>
      <c r="F264" s="315">
        <v>53.87</v>
      </c>
      <c r="G264" s="260">
        <v>1</v>
      </c>
      <c r="H264" s="260"/>
      <c r="I264" s="329">
        <v>1</v>
      </c>
      <c r="J264" s="199">
        <v>1</v>
      </c>
      <c r="K264" s="269">
        <v>1</v>
      </c>
      <c r="L264" s="93">
        <f t="shared" ref="L264:L326" si="104">G264+I264-J264-K264+H264</f>
        <v>0</v>
      </c>
      <c r="M264" s="183"/>
      <c r="N264" s="95">
        <f t="shared" si="92"/>
        <v>0</v>
      </c>
      <c r="O264" s="95">
        <f t="shared" si="93"/>
        <v>0</v>
      </c>
      <c r="P264" s="94">
        <f t="shared" si="94"/>
        <v>0</v>
      </c>
      <c r="Q264" s="95">
        <f t="shared" si="95"/>
        <v>0</v>
      </c>
      <c r="R264" s="96"/>
      <c r="S264" s="97">
        <f t="shared" si="96"/>
        <v>3</v>
      </c>
      <c r="T264" s="98">
        <f t="shared" si="91"/>
        <v>-3</v>
      </c>
      <c r="U264">
        <v>2</v>
      </c>
      <c r="AA264">
        <v>1</v>
      </c>
      <c r="AB264" s="99" t="s">
        <v>979</v>
      </c>
      <c r="AD264">
        <f t="shared" si="103"/>
        <v>1</v>
      </c>
      <c r="AE264" s="100">
        <f>AD264*F264</f>
        <v>53.87</v>
      </c>
    </row>
    <row r="265" spans="2:31" ht="20.100000000000001" customHeight="1">
      <c r="B265" s="88">
        <v>3</v>
      </c>
      <c r="C265" s="89" t="s">
        <v>788</v>
      </c>
      <c r="D265" s="90" t="s">
        <v>980</v>
      </c>
      <c r="E265" s="91" t="s">
        <v>981</v>
      </c>
      <c r="F265" s="315">
        <v>53.87</v>
      </c>
      <c r="G265" s="260"/>
      <c r="H265" s="260"/>
      <c r="I265" s="309"/>
      <c r="J265" s="199"/>
      <c r="K265" s="269"/>
      <c r="L265" s="93">
        <f t="shared" si="104"/>
        <v>0</v>
      </c>
      <c r="M265" s="183"/>
      <c r="N265" s="95">
        <f t="shared" si="92"/>
        <v>0</v>
      </c>
      <c r="O265" s="95">
        <f t="shared" si="93"/>
        <v>0</v>
      </c>
      <c r="P265" s="94">
        <f t="shared" si="94"/>
        <v>0</v>
      </c>
      <c r="Q265" s="95">
        <f t="shared" si="95"/>
        <v>0</v>
      </c>
      <c r="R265" s="96"/>
      <c r="S265" s="97">
        <f t="shared" si="96"/>
        <v>0</v>
      </c>
      <c r="T265" s="98">
        <f t="shared" si="91"/>
        <v>0</v>
      </c>
    </row>
    <row r="266" spans="2:31" ht="20.100000000000001" customHeight="1">
      <c r="B266" s="88">
        <v>3</v>
      </c>
      <c r="C266" s="89" t="s">
        <v>788</v>
      </c>
      <c r="D266" s="90" t="s">
        <v>982</v>
      </c>
      <c r="E266" s="91" t="s">
        <v>983</v>
      </c>
      <c r="F266" s="315">
        <v>53.87</v>
      </c>
      <c r="G266" s="260">
        <v>2</v>
      </c>
      <c r="H266" s="260"/>
      <c r="I266" s="309"/>
      <c r="J266" s="199">
        <v>2</v>
      </c>
      <c r="K266" s="269"/>
      <c r="L266" s="93">
        <f t="shared" si="104"/>
        <v>0</v>
      </c>
      <c r="M266" s="183"/>
      <c r="N266" s="95">
        <f t="shared" si="92"/>
        <v>0</v>
      </c>
      <c r="O266" s="95">
        <f t="shared" si="93"/>
        <v>0</v>
      </c>
      <c r="P266" s="94">
        <f t="shared" si="94"/>
        <v>0</v>
      </c>
      <c r="Q266" s="95">
        <f t="shared" si="95"/>
        <v>0</v>
      </c>
      <c r="R266" s="96"/>
      <c r="S266" s="97">
        <f t="shared" si="96"/>
        <v>2</v>
      </c>
      <c r="T266" s="98">
        <f t="shared" si="91"/>
        <v>-2</v>
      </c>
      <c r="U266">
        <v>2</v>
      </c>
    </row>
    <row r="267" spans="2:31" ht="20.100000000000001" customHeight="1">
      <c r="B267" s="88">
        <v>3</v>
      </c>
      <c r="C267" s="89" t="s">
        <v>788</v>
      </c>
      <c r="D267" s="90" t="s">
        <v>984</v>
      </c>
      <c r="E267" s="91" t="s">
        <v>985</v>
      </c>
      <c r="F267" s="315">
        <v>7.48</v>
      </c>
      <c r="G267" s="260">
        <v>12</v>
      </c>
      <c r="H267" s="260"/>
      <c r="I267" s="309"/>
      <c r="J267" s="199"/>
      <c r="K267" s="269">
        <v>9</v>
      </c>
      <c r="L267" s="93">
        <f t="shared" si="104"/>
        <v>3</v>
      </c>
      <c r="M267" s="183">
        <v>3</v>
      </c>
      <c r="N267" s="95">
        <f t="shared" si="92"/>
        <v>22.44</v>
      </c>
      <c r="O267" s="95">
        <f t="shared" si="93"/>
        <v>22.44</v>
      </c>
      <c r="P267" s="94">
        <f t="shared" si="94"/>
        <v>0</v>
      </c>
      <c r="Q267" s="95">
        <f t="shared" si="95"/>
        <v>0</v>
      </c>
      <c r="R267" s="278" t="s">
        <v>5197</v>
      </c>
      <c r="S267" s="97">
        <f t="shared" si="96"/>
        <v>19</v>
      </c>
      <c r="T267" s="98">
        <f t="shared" si="91"/>
        <v>-16</v>
      </c>
      <c r="U267">
        <v>19</v>
      </c>
    </row>
    <row r="268" spans="2:31" ht="20.100000000000001" customHeight="1">
      <c r="B268" s="88">
        <v>3</v>
      </c>
      <c r="C268" s="89" t="s">
        <v>788</v>
      </c>
      <c r="D268" s="90" t="s">
        <v>984</v>
      </c>
      <c r="E268" s="91" t="s">
        <v>985</v>
      </c>
      <c r="F268" s="315">
        <v>7.4816000000000003</v>
      </c>
      <c r="G268" s="260"/>
      <c r="H268" s="260"/>
      <c r="I268" s="331">
        <v>25</v>
      </c>
      <c r="J268" s="199"/>
      <c r="K268" s="269"/>
      <c r="L268" s="93">
        <f t="shared" ref="L268" si="105">G268+I268-J268-K268+H268</f>
        <v>25</v>
      </c>
      <c r="M268" s="183">
        <v>25</v>
      </c>
      <c r="N268" s="95">
        <f t="shared" ref="N268" si="106">F268*L268</f>
        <v>187.04000000000002</v>
      </c>
      <c r="O268" s="95">
        <f t="shared" ref="O268" si="107">M268*F268</f>
        <v>187.04000000000002</v>
      </c>
      <c r="P268" s="94">
        <f t="shared" ref="P268" si="108">L268-M268</f>
        <v>0</v>
      </c>
      <c r="Q268" s="95">
        <f t="shared" ref="Q268" si="109">N268-O268</f>
        <v>0</v>
      </c>
      <c r="R268" s="278" t="s">
        <v>5197</v>
      </c>
      <c r="S268" s="97">
        <f t="shared" ref="S268" si="110">U268+Y268+W268+AA268</f>
        <v>19</v>
      </c>
      <c r="T268" s="98">
        <f t="shared" ref="T268" si="111">M268-S268</f>
        <v>6</v>
      </c>
      <c r="U268">
        <v>19</v>
      </c>
    </row>
    <row r="269" spans="2:31" ht="20.100000000000001" customHeight="1">
      <c r="B269" s="88">
        <v>3</v>
      </c>
      <c r="C269" s="89" t="s">
        <v>788</v>
      </c>
      <c r="D269" s="90" t="s">
        <v>986</v>
      </c>
      <c r="E269" s="91" t="s">
        <v>987</v>
      </c>
      <c r="F269" s="315">
        <v>7.41</v>
      </c>
      <c r="G269" s="260">
        <v>3</v>
      </c>
      <c r="H269" s="260"/>
      <c r="I269" s="309"/>
      <c r="J269" s="199"/>
      <c r="K269" s="269"/>
      <c r="L269" s="93">
        <f t="shared" si="104"/>
        <v>3</v>
      </c>
      <c r="M269" s="183">
        <v>3</v>
      </c>
      <c r="N269" s="95">
        <f t="shared" si="92"/>
        <v>22.23</v>
      </c>
      <c r="O269" s="95">
        <f t="shared" si="93"/>
        <v>22.23</v>
      </c>
      <c r="P269" s="94">
        <f t="shared" si="94"/>
        <v>0</v>
      </c>
      <c r="Q269" s="95">
        <f t="shared" si="95"/>
        <v>0</v>
      </c>
      <c r="R269" s="96"/>
      <c r="S269" s="97">
        <f t="shared" si="96"/>
        <v>5</v>
      </c>
      <c r="T269" s="98">
        <f t="shared" si="91"/>
        <v>-2</v>
      </c>
      <c r="U269">
        <v>5</v>
      </c>
    </row>
    <row r="270" spans="2:31" ht="20.100000000000001" customHeight="1">
      <c r="B270" s="88">
        <v>3</v>
      </c>
      <c r="C270" s="89" t="s">
        <v>788</v>
      </c>
      <c r="D270" s="90" t="s">
        <v>986</v>
      </c>
      <c r="E270" s="91" t="s">
        <v>987</v>
      </c>
      <c r="F270" s="315">
        <v>7.4143999999999997</v>
      </c>
      <c r="G270" s="260"/>
      <c r="H270" s="260"/>
      <c r="I270" s="331">
        <v>25</v>
      </c>
      <c r="J270" s="199">
        <v>4</v>
      </c>
      <c r="K270" s="269">
        <v>8</v>
      </c>
      <c r="L270" s="93">
        <f t="shared" ref="L270" si="112">G270+I270-J270-K270+H270</f>
        <v>13</v>
      </c>
      <c r="M270" s="183">
        <v>13</v>
      </c>
      <c r="N270" s="95">
        <f t="shared" ref="N270" si="113">F270*L270</f>
        <v>96.387199999999993</v>
      </c>
      <c r="O270" s="95">
        <f t="shared" ref="O270" si="114">M270*F270</f>
        <v>96.387199999999993</v>
      </c>
      <c r="P270" s="94">
        <f t="shared" ref="P270" si="115">L270-M270</f>
        <v>0</v>
      </c>
      <c r="Q270" s="95">
        <f t="shared" ref="Q270" si="116">N270-O270</f>
        <v>0</v>
      </c>
      <c r="R270" s="96"/>
      <c r="S270" s="97">
        <f t="shared" ref="S270" si="117">U270+Y270+W270+AA270</f>
        <v>5</v>
      </c>
      <c r="T270" s="98">
        <f t="shared" ref="T270" si="118">M270-S270</f>
        <v>8</v>
      </c>
      <c r="U270">
        <v>5</v>
      </c>
    </row>
    <row r="271" spans="2:31" ht="20.100000000000001" customHeight="1">
      <c r="B271" s="88">
        <v>3</v>
      </c>
      <c r="C271" s="89" t="s">
        <v>788</v>
      </c>
      <c r="D271" s="90" t="s">
        <v>988</v>
      </c>
      <c r="E271" s="91" t="s">
        <v>989</v>
      </c>
      <c r="F271" s="315">
        <v>85.25</v>
      </c>
      <c r="G271" s="260">
        <v>4</v>
      </c>
      <c r="H271" s="260"/>
      <c r="I271" s="309"/>
      <c r="J271" s="199"/>
      <c r="K271" s="269">
        <v>2</v>
      </c>
      <c r="L271" s="93">
        <f t="shared" si="104"/>
        <v>2</v>
      </c>
      <c r="M271" s="183">
        <v>2</v>
      </c>
      <c r="N271" s="95">
        <f t="shared" si="92"/>
        <v>170.5</v>
      </c>
      <c r="O271" s="95">
        <f t="shared" si="93"/>
        <v>170.5</v>
      </c>
      <c r="P271" s="94">
        <f t="shared" si="94"/>
        <v>0</v>
      </c>
      <c r="Q271" s="95">
        <f t="shared" si="95"/>
        <v>0</v>
      </c>
      <c r="R271" s="96"/>
      <c r="S271" s="97">
        <f t="shared" si="96"/>
        <v>5</v>
      </c>
      <c r="T271" s="98">
        <f t="shared" ref="T271:T328" si="119">M271-S271</f>
        <v>-3</v>
      </c>
      <c r="U271">
        <v>5</v>
      </c>
    </row>
    <row r="272" spans="2:31" ht="20.100000000000001" customHeight="1">
      <c r="B272" s="88">
        <v>3</v>
      </c>
      <c r="C272" s="89" t="s">
        <v>788</v>
      </c>
      <c r="D272" s="90" t="s">
        <v>990</v>
      </c>
      <c r="E272" s="91" t="s">
        <v>991</v>
      </c>
      <c r="F272" s="315">
        <v>21.25</v>
      </c>
      <c r="G272" s="260"/>
      <c r="H272" s="260"/>
      <c r="I272" s="309"/>
      <c r="J272" s="199"/>
      <c r="K272" s="269"/>
      <c r="L272" s="93">
        <f t="shared" si="104"/>
        <v>0</v>
      </c>
      <c r="M272" s="183"/>
      <c r="N272" s="95">
        <f t="shared" ref="N272:N328" si="120">F272*L272</f>
        <v>0</v>
      </c>
      <c r="O272" s="95">
        <f t="shared" ref="O272:O328" si="121">M272*F272</f>
        <v>0</v>
      </c>
      <c r="P272" s="94">
        <f t="shared" ref="P272:P328" si="122">L272-M272</f>
        <v>0</v>
      </c>
      <c r="Q272" s="95">
        <f t="shared" ref="Q272:Q328" si="123">N272-O272</f>
        <v>0</v>
      </c>
      <c r="R272" s="96"/>
      <c r="S272" s="97">
        <f t="shared" ref="S272:S328" si="124">U272+Y272+W272+AA272</f>
        <v>0</v>
      </c>
      <c r="T272" s="98">
        <f t="shared" si="119"/>
        <v>0</v>
      </c>
    </row>
    <row r="273" spans="2:31" ht="20.100000000000001" customHeight="1">
      <c r="B273" s="88">
        <v>3</v>
      </c>
      <c r="C273" s="89" t="s">
        <v>788</v>
      </c>
      <c r="D273" s="90" t="s">
        <v>992</v>
      </c>
      <c r="E273" s="91" t="s">
        <v>993</v>
      </c>
      <c r="F273" s="315">
        <v>85.25</v>
      </c>
      <c r="G273" s="260">
        <v>3</v>
      </c>
      <c r="H273" s="260"/>
      <c r="I273" s="309"/>
      <c r="J273" s="199"/>
      <c r="K273" s="269">
        <v>2</v>
      </c>
      <c r="L273" s="93">
        <f t="shared" si="104"/>
        <v>1</v>
      </c>
      <c r="M273" s="183">
        <v>1</v>
      </c>
      <c r="N273" s="95">
        <f t="shared" si="120"/>
        <v>85.25</v>
      </c>
      <c r="O273" s="95">
        <f t="shared" si="121"/>
        <v>85.25</v>
      </c>
      <c r="P273" s="94">
        <f t="shared" si="122"/>
        <v>0</v>
      </c>
      <c r="Q273" s="95">
        <f t="shared" si="123"/>
        <v>0</v>
      </c>
      <c r="R273" s="96"/>
      <c r="S273" s="97">
        <f t="shared" si="124"/>
        <v>3</v>
      </c>
      <c r="T273" s="98">
        <f t="shared" si="119"/>
        <v>-2</v>
      </c>
      <c r="U273">
        <v>3</v>
      </c>
    </row>
    <row r="274" spans="2:31" ht="20.100000000000001" customHeight="1">
      <c r="B274" s="88">
        <v>3</v>
      </c>
      <c r="C274" s="89" t="s">
        <v>788</v>
      </c>
      <c r="D274" s="90" t="s">
        <v>994</v>
      </c>
      <c r="E274" s="91" t="s">
        <v>995</v>
      </c>
      <c r="F274" s="315">
        <v>92.8</v>
      </c>
      <c r="G274" s="260">
        <v>4</v>
      </c>
      <c r="H274" s="260"/>
      <c r="I274" s="309"/>
      <c r="J274" s="199"/>
      <c r="K274" s="269">
        <v>1</v>
      </c>
      <c r="L274" s="93">
        <f t="shared" si="104"/>
        <v>3</v>
      </c>
      <c r="M274" s="183">
        <v>3</v>
      </c>
      <c r="N274" s="95">
        <f t="shared" si="120"/>
        <v>278.39999999999998</v>
      </c>
      <c r="O274" s="95">
        <f t="shared" si="121"/>
        <v>278.39999999999998</v>
      </c>
      <c r="P274" s="94">
        <f t="shared" si="122"/>
        <v>0</v>
      </c>
      <c r="Q274" s="95">
        <f t="shared" si="123"/>
        <v>0</v>
      </c>
      <c r="R274" s="96"/>
      <c r="S274" s="97">
        <f t="shared" si="124"/>
        <v>0</v>
      </c>
      <c r="T274" s="98">
        <f t="shared" si="119"/>
        <v>3</v>
      </c>
    </row>
    <row r="275" spans="2:31" ht="20.100000000000001" customHeight="1">
      <c r="B275" s="88">
        <v>3</v>
      </c>
      <c r="C275" s="89" t="s">
        <v>788</v>
      </c>
      <c r="D275" s="90" t="s">
        <v>996</v>
      </c>
      <c r="E275" s="91" t="s">
        <v>997</v>
      </c>
      <c r="F275" s="315">
        <v>177.9</v>
      </c>
      <c r="G275" s="260">
        <v>4</v>
      </c>
      <c r="H275" s="260"/>
      <c r="I275" s="329">
        <v>3</v>
      </c>
      <c r="J275" s="199">
        <v>1</v>
      </c>
      <c r="K275" s="269">
        <v>1</v>
      </c>
      <c r="L275" s="93">
        <f t="shared" si="104"/>
        <v>5</v>
      </c>
      <c r="M275" s="183">
        <v>5</v>
      </c>
      <c r="N275" s="95">
        <f t="shared" si="120"/>
        <v>889.5</v>
      </c>
      <c r="O275" s="95">
        <f t="shared" si="121"/>
        <v>889.5</v>
      </c>
      <c r="P275" s="94">
        <f t="shared" si="122"/>
        <v>0</v>
      </c>
      <c r="Q275" s="95">
        <f t="shared" si="123"/>
        <v>0</v>
      </c>
      <c r="R275" s="96"/>
      <c r="S275" s="97">
        <f t="shared" si="124"/>
        <v>1</v>
      </c>
      <c r="T275" s="98">
        <f t="shared" si="119"/>
        <v>4</v>
      </c>
      <c r="U275">
        <v>1</v>
      </c>
    </row>
    <row r="276" spans="2:31" ht="20.100000000000001" customHeight="1">
      <c r="B276" s="88">
        <v>3</v>
      </c>
      <c r="C276" s="89" t="s">
        <v>788</v>
      </c>
      <c r="D276" s="90" t="s">
        <v>998</v>
      </c>
      <c r="E276" s="91" t="s">
        <v>999</v>
      </c>
      <c r="F276" s="315">
        <v>96</v>
      </c>
      <c r="G276" s="260"/>
      <c r="H276" s="260"/>
      <c r="I276" s="309"/>
      <c r="J276" s="199"/>
      <c r="K276" s="269"/>
      <c r="L276" s="93">
        <f t="shared" si="104"/>
        <v>0</v>
      </c>
      <c r="M276" s="183"/>
      <c r="N276" s="95">
        <f t="shared" si="120"/>
        <v>0</v>
      </c>
      <c r="O276" s="95">
        <f t="shared" si="121"/>
        <v>0</v>
      </c>
      <c r="P276" s="94">
        <f t="shared" si="122"/>
        <v>0</v>
      </c>
      <c r="Q276" s="95">
        <f t="shared" si="123"/>
        <v>0</v>
      </c>
      <c r="R276" s="96"/>
      <c r="S276" s="97">
        <f t="shared" si="124"/>
        <v>0</v>
      </c>
      <c r="T276" s="98">
        <f t="shared" si="119"/>
        <v>0</v>
      </c>
    </row>
    <row r="277" spans="2:31" ht="20.100000000000001" customHeight="1">
      <c r="B277" s="88">
        <v>3</v>
      </c>
      <c r="C277" s="89" t="s">
        <v>788</v>
      </c>
      <c r="D277" s="90" t="s">
        <v>1000</v>
      </c>
      <c r="E277" s="91" t="s">
        <v>1001</v>
      </c>
      <c r="F277" s="315">
        <v>83</v>
      </c>
      <c r="G277" s="260">
        <v>10</v>
      </c>
      <c r="H277" s="260"/>
      <c r="I277" s="309"/>
      <c r="J277" s="199"/>
      <c r="K277" s="269"/>
      <c r="L277" s="93">
        <f t="shared" si="104"/>
        <v>10</v>
      </c>
      <c r="M277" s="183">
        <v>10</v>
      </c>
      <c r="N277" s="95">
        <f t="shared" si="120"/>
        <v>830</v>
      </c>
      <c r="O277" s="95">
        <f t="shared" si="121"/>
        <v>830</v>
      </c>
      <c r="P277" s="94">
        <f t="shared" si="122"/>
        <v>0</v>
      </c>
      <c r="Q277" s="95">
        <f t="shared" si="123"/>
        <v>0</v>
      </c>
      <c r="R277" s="102">
        <v>45283</v>
      </c>
      <c r="S277" s="97">
        <f t="shared" si="124"/>
        <v>10</v>
      </c>
      <c r="T277" s="98">
        <f t="shared" si="119"/>
        <v>0</v>
      </c>
      <c r="W277">
        <v>10</v>
      </c>
      <c r="X277" t="s">
        <v>957</v>
      </c>
      <c r="AD277">
        <f t="shared" ref="AD277:AD278" si="125">W277</f>
        <v>10</v>
      </c>
      <c r="AE277" s="100">
        <f>AD277*F277</f>
        <v>830</v>
      </c>
    </row>
    <row r="278" spans="2:31" ht="20.100000000000001" customHeight="1">
      <c r="B278" s="88">
        <v>3</v>
      </c>
      <c r="C278" s="89" t="s">
        <v>788</v>
      </c>
      <c r="D278" s="90" t="s">
        <v>1002</v>
      </c>
      <c r="E278" s="91" t="s">
        <v>1003</v>
      </c>
      <c r="F278" s="315">
        <v>5.68</v>
      </c>
      <c r="G278" s="260">
        <v>1</v>
      </c>
      <c r="H278" s="260"/>
      <c r="I278" s="309"/>
      <c r="J278" s="199"/>
      <c r="K278" s="269"/>
      <c r="L278" s="93">
        <f t="shared" si="104"/>
        <v>1</v>
      </c>
      <c r="M278" s="183"/>
      <c r="N278" s="95">
        <f t="shared" si="120"/>
        <v>5.68</v>
      </c>
      <c r="O278" s="95">
        <f t="shared" si="121"/>
        <v>0</v>
      </c>
      <c r="P278" s="94">
        <f t="shared" si="122"/>
        <v>1</v>
      </c>
      <c r="Q278" s="95">
        <f t="shared" si="123"/>
        <v>5.68</v>
      </c>
      <c r="R278" s="96" t="s">
        <v>1004</v>
      </c>
      <c r="S278" s="97">
        <f t="shared" si="124"/>
        <v>1</v>
      </c>
      <c r="T278" s="98">
        <f t="shared" si="119"/>
        <v>-1</v>
      </c>
      <c r="W278">
        <v>1</v>
      </c>
      <c r="X278" t="s">
        <v>555</v>
      </c>
      <c r="AD278">
        <f t="shared" si="125"/>
        <v>1</v>
      </c>
      <c r="AE278" s="100">
        <f>AD278*F278</f>
        <v>5.68</v>
      </c>
    </row>
    <row r="279" spans="2:31" ht="20.100000000000001" customHeight="1">
      <c r="B279" s="88">
        <v>3</v>
      </c>
      <c r="C279" s="89" t="s">
        <v>788</v>
      </c>
      <c r="D279" s="90" t="s">
        <v>1005</v>
      </c>
      <c r="E279" s="91" t="s">
        <v>1006</v>
      </c>
      <c r="F279" s="315">
        <v>58.8</v>
      </c>
      <c r="G279" s="260"/>
      <c r="H279" s="260"/>
      <c r="I279" s="309"/>
      <c r="J279" s="199"/>
      <c r="K279" s="269"/>
      <c r="L279" s="93">
        <f t="shared" si="104"/>
        <v>0</v>
      </c>
      <c r="M279" s="183"/>
      <c r="N279" s="95">
        <f t="shared" si="120"/>
        <v>0</v>
      </c>
      <c r="O279" s="95">
        <f t="shared" si="121"/>
        <v>0</v>
      </c>
      <c r="P279" s="94">
        <f t="shared" si="122"/>
        <v>0</v>
      </c>
      <c r="Q279" s="95">
        <f t="shared" si="123"/>
        <v>0</v>
      </c>
      <c r="R279" s="96"/>
      <c r="S279" s="97">
        <f t="shared" si="124"/>
        <v>0</v>
      </c>
      <c r="T279" s="98">
        <f t="shared" si="119"/>
        <v>0</v>
      </c>
    </row>
    <row r="280" spans="2:31" ht="20.100000000000001" customHeight="1">
      <c r="B280" s="88">
        <v>3</v>
      </c>
      <c r="C280" s="89" t="s">
        <v>788</v>
      </c>
      <c r="D280" s="90" t="s">
        <v>1005</v>
      </c>
      <c r="E280" s="91" t="s">
        <v>1006</v>
      </c>
      <c r="F280" s="315">
        <v>58.8</v>
      </c>
      <c r="G280" s="260">
        <v>6</v>
      </c>
      <c r="H280" s="260"/>
      <c r="I280" s="309"/>
      <c r="J280" s="199"/>
      <c r="K280" s="269"/>
      <c r="L280" s="93">
        <f t="shared" si="104"/>
        <v>6</v>
      </c>
      <c r="M280" s="183">
        <v>6</v>
      </c>
      <c r="N280" s="95">
        <f t="shared" si="120"/>
        <v>352.79999999999995</v>
      </c>
      <c r="O280" s="95">
        <f t="shared" si="121"/>
        <v>352.79999999999995</v>
      </c>
      <c r="P280" s="94">
        <f t="shared" si="122"/>
        <v>0</v>
      </c>
      <c r="Q280" s="95">
        <f t="shared" si="123"/>
        <v>0</v>
      </c>
      <c r="R280" s="96"/>
      <c r="S280" s="97">
        <f t="shared" si="124"/>
        <v>6</v>
      </c>
      <c r="T280" s="98">
        <f t="shared" si="119"/>
        <v>0</v>
      </c>
      <c r="U280">
        <v>6</v>
      </c>
    </row>
    <row r="281" spans="2:31" ht="20.100000000000001" customHeight="1">
      <c r="B281" s="88">
        <v>3</v>
      </c>
      <c r="C281" s="89" t="s">
        <v>788</v>
      </c>
      <c r="D281" s="90" t="s">
        <v>1007</v>
      </c>
      <c r="E281" s="91" t="s">
        <v>1008</v>
      </c>
      <c r="F281" s="315">
        <v>59.5</v>
      </c>
      <c r="G281" s="260">
        <v>2</v>
      </c>
      <c r="H281" s="260"/>
      <c r="I281" s="309"/>
      <c r="J281" s="199"/>
      <c r="K281" s="269"/>
      <c r="L281" s="93">
        <f t="shared" si="104"/>
        <v>2</v>
      </c>
      <c r="M281" s="183">
        <v>2</v>
      </c>
      <c r="N281" s="95">
        <f t="shared" si="120"/>
        <v>119</v>
      </c>
      <c r="O281" s="95">
        <f t="shared" si="121"/>
        <v>119</v>
      </c>
      <c r="P281" s="94">
        <f t="shared" si="122"/>
        <v>0</v>
      </c>
      <c r="Q281" s="95">
        <f t="shared" si="123"/>
        <v>0</v>
      </c>
      <c r="R281" s="96"/>
      <c r="S281" s="97">
        <f t="shared" si="124"/>
        <v>3</v>
      </c>
      <c r="T281" s="98">
        <f t="shared" si="119"/>
        <v>-1</v>
      </c>
      <c r="U281">
        <v>1</v>
      </c>
      <c r="W281">
        <v>2</v>
      </c>
      <c r="X281" t="s">
        <v>555</v>
      </c>
      <c r="AD281">
        <f>W281</f>
        <v>2</v>
      </c>
      <c r="AE281" s="100">
        <f>AD281*F281</f>
        <v>119</v>
      </c>
    </row>
    <row r="282" spans="2:31" ht="20.100000000000001" customHeight="1">
      <c r="B282" s="88">
        <v>3</v>
      </c>
      <c r="C282" s="89" t="s">
        <v>788</v>
      </c>
      <c r="D282" s="90" t="s">
        <v>1009</v>
      </c>
      <c r="E282" s="91" t="s">
        <v>1010</v>
      </c>
      <c r="F282" s="315">
        <v>10</v>
      </c>
      <c r="G282" s="260"/>
      <c r="H282" s="260"/>
      <c r="I282" s="309"/>
      <c r="J282" s="199"/>
      <c r="K282" s="269"/>
      <c r="L282" s="93">
        <f t="shared" si="104"/>
        <v>0</v>
      </c>
      <c r="M282" s="183"/>
      <c r="N282" s="95">
        <f t="shared" si="120"/>
        <v>0</v>
      </c>
      <c r="O282" s="95">
        <f t="shared" si="121"/>
        <v>0</v>
      </c>
      <c r="P282" s="94">
        <f t="shared" si="122"/>
        <v>0</v>
      </c>
      <c r="Q282" s="95">
        <f t="shared" si="123"/>
        <v>0</v>
      </c>
      <c r="R282" s="96"/>
      <c r="S282" s="97">
        <f t="shared" si="124"/>
        <v>0</v>
      </c>
      <c r="T282" s="98">
        <f t="shared" si="119"/>
        <v>0</v>
      </c>
    </row>
    <row r="283" spans="2:31" ht="20.100000000000001" customHeight="1">
      <c r="B283" s="88">
        <v>3</v>
      </c>
      <c r="C283" s="89" t="s">
        <v>788</v>
      </c>
      <c r="D283" s="90" t="s">
        <v>1011</v>
      </c>
      <c r="E283" s="91" t="s">
        <v>1012</v>
      </c>
      <c r="F283" s="315">
        <v>5.88</v>
      </c>
      <c r="G283" s="260"/>
      <c r="H283" s="260"/>
      <c r="I283" s="309"/>
      <c r="J283" s="199"/>
      <c r="K283" s="269"/>
      <c r="L283" s="93">
        <f t="shared" si="104"/>
        <v>0</v>
      </c>
      <c r="M283" s="183"/>
      <c r="N283" s="95">
        <f t="shared" si="120"/>
        <v>0</v>
      </c>
      <c r="O283" s="95">
        <f t="shared" si="121"/>
        <v>0</v>
      </c>
      <c r="P283" s="94">
        <f t="shared" si="122"/>
        <v>0</v>
      </c>
      <c r="Q283" s="95">
        <f t="shared" si="123"/>
        <v>0</v>
      </c>
      <c r="R283" s="96"/>
      <c r="S283" s="97">
        <f t="shared" si="124"/>
        <v>0</v>
      </c>
      <c r="T283" s="98">
        <f t="shared" si="119"/>
        <v>0</v>
      </c>
    </row>
    <row r="284" spans="2:31" ht="20.100000000000001" customHeight="1">
      <c r="B284" s="88">
        <v>3</v>
      </c>
      <c r="C284" s="89" t="s">
        <v>788</v>
      </c>
      <c r="D284" s="90" t="s">
        <v>1013</v>
      </c>
      <c r="E284" s="91" t="s">
        <v>1014</v>
      </c>
      <c r="F284" s="315">
        <v>58.8</v>
      </c>
      <c r="G284" s="260">
        <v>4</v>
      </c>
      <c r="H284" s="260"/>
      <c r="I284" s="329">
        <v>6</v>
      </c>
      <c r="J284" s="199"/>
      <c r="K284" s="269">
        <v>1</v>
      </c>
      <c r="L284" s="93">
        <f t="shared" si="104"/>
        <v>9</v>
      </c>
      <c r="M284" s="183">
        <v>9</v>
      </c>
      <c r="N284" s="95">
        <f t="shared" si="120"/>
        <v>529.19999999999993</v>
      </c>
      <c r="O284" s="95">
        <f t="shared" si="121"/>
        <v>529.19999999999993</v>
      </c>
      <c r="P284" s="94">
        <f t="shared" si="122"/>
        <v>0</v>
      </c>
      <c r="Q284" s="95">
        <f t="shared" si="123"/>
        <v>0</v>
      </c>
      <c r="R284" s="96"/>
      <c r="S284" s="97">
        <f t="shared" si="124"/>
        <v>5</v>
      </c>
      <c r="T284" s="98">
        <f t="shared" si="119"/>
        <v>4</v>
      </c>
      <c r="U284">
        <v>4</v>
      </c>
      <c r="AA284">
        <v>1</v>
      </c>
      <c r="AB284" s="99" t="s">
        <v>1015</v>
      </c>
    </row>
    <row r="285" spans="2:31" ht="20.100000000000001" customHeight="1">
      <c r="B285" s="88">
        <v>3</v>
      </c>
      <c r="C285" s="89" t="s">
        <v>788</v>
      </c>
      <c r="D285" s="90" t="s">
        <v>1016</v>
      </c>
      <c r="E285" s="91" t="s">
        <v>1017</v>
      </c>
      <c r="F285" s="315">
        <v>219.5</v>
      </c>
      <c r="G285" s="260"/>
      <c r="H285" s="260"/>
      <c r="I285" s="309"/>
      <c r="J285" s="199"/>
      <c r="K285" s="269"/>
      <c r="L285" s="93">
        <f t="shared" si="104"/>
        <v>0</v>
      </c>
      <c r="M285" s="183"/>
      <c r="N285" s="95">
        <f t="shared" si="120"/>
        <v>0</v>
      </c>
      <c r="O285" s="95">
        <f t="shared" si="121"/>
        <v>0</v>
      </c>
      <c r="P285" s="94">
        <f t="shared" si="122"/>
        <v>0</v>
      </c>
      <c r="Q285" s="95">
        <f t="shared" si="123"/>
        <v>0</v>
      </c>
      <c r="R285" s="96"/>
      <c r="S285" s="97">
        <f t="shared" si="124"/>
        <v>0</v>
      </c>
      <c r="T285" s="98">
        <f t="shared" si="119"/>
        <v>0</v>
      </c>
    </row>
    <row r="286" spans="2:31" ht="20.100000000000001" customHeight="1">
      <c r="B286" s="88">
        <v>3</v>
      </c>
      <c r="C286" s="89" t="s">
        <v>788</v>
      </c>
      <c r="D286" s="90" t="s">
        <v>1018</v>
      </c>
      <c r="E286" s="91" t="s">
        <v>1019</v>
      </c>
      <c r="F286" s="315">
        <v>59.5</v>
      </c>
      <c r="G286" s="260">
        <v>7</v>
      </c>
      <c r="H286" s="260"/>
      <c r="I286" s="309"/>
      <c r="J286" s="199"/>
      <c r="K286" s="269"/>
      <c r="L286" s="93">
        <f t="shared" si="104"/>
        <v>7</v>
      </c>
      <c r="M286" s="183">
        <v>7</v>
      </c>
      <c r="N286" s="95">
        <f t="shared" si="120"/>
        <v>416.5</v>
      </c>
      <c r="O286" s="95">
        <f t="shared" si="121"/>
        <v>416.5</v>
      </c>
      <c r="P286" s="94">
        <f t="shared" si="122"/>
        <v>0</v>
      </c>
      <c r="Q286" s="95">
        <f t="shared" si="123"/>
        <v>0</v>
      </c>
      <c r="R286" s="96"/>
      <c r="S286" s="97">
        <f t="shared" si="124"/>
        <v>9</v>
      </c>
      <c r="T286" s="98">
        <f t="shared" si="119"/>
        <v>-2</v>
      </c>
      <c r="U286">
        <v>2</v>
      </c>
      <c r="W286">
        <v>7</v>
      </c>
      <c r="X286" t="s">
        <v>555</v>
      </c>
      <c r="AD286">
        <f>W286</f>
        <v>7</v>
      </c>
      <c r="AE286" s="100">
        <f>AD286*F286</f>
        <v>416.5</v>
      </c>
    </row>
    <row r="287" spans="2:31" ht="20.100000000000001" customHeight="1">
      <c r="B287" s="88">
        <v>3</v>
      </c>
      <c r="C287" s="89" t="s">
        <v>788</v>
      </c>
      <c r="D287" s="90" t="s">
        <v>1020</v>
      </c>
      <c r="E287" s="91" t="s">
        <v>1021</v>
      </c>
      <c r="F287" s="315">
        <v>12.25</v>
      </c>
      <c r="G287" s="260"/>
      <c r="H287" s="260"/>
      <c r="I287" s="309"/>
      <c r="J287" s="199"/>
      <c r="K287" s="269"/>
      <c r="L287" s="93">
        <f t="shared" si="104"/>
        <v>0</v>
      </c>
      <c r="M287" s="183"/>
      <c r="N287" s="95">
        <f t="shared" si="120"/>
        <v>0</v>
      </c>
      <c r="O287" s="95">
        <f t="shared" si="121"/>
        <v>0</v>
      </c>
      <c r="P287" s="94">
        <f t="shared" si="122"/>
        <v>0</v>
      </c>
      <c r="Q287" s="95">
        <f t="shared" si="123"/>
        <v>0</v>
      </c>
      <c r="R287" s="96"/>
      <c r="S287" s="97">
        <f t="shared" si="124"/>
        <v>0</v>
      </c>
      <c r="T287" s="98">
        <f t="shared" si="119"/>
        <v>0</v>
      </c>
    </row>
    <row r="288" spans="2:31" ht="20.100000000000001" customHeight="1">
      <c r="B288" s="88">
        <v>3</v>
      </c>
      <c r="C288" s="89" t="s">
        <v>788</v>
      </c>
      <c r="D288" s="90" t="s">
        <v>1022</v>
      </c>
      <c r="E288" s="91" t="s">
        <v>1023</v>
      </c>
      <c r="F288" s="315">
        <v>50.5</v>
      </c>
      <c r="G288" s="260">
        <v>5</v>
      </c>
      <c r="H288" s="260"/>
      <c r="I288" s="309"/>
      <c r="J288" s="199"/>
      <c r="K288" s="269"/>
      <c r="L288" s="93">
        <f t="shared" si="104"/>
        <v>5</v>
      </c>
      <c r="M288" s="183">
        <v>5</v>
      </c>
      <c r="N288" s="95">
        <f t="shared" si="120"/>
        <v>252.5</v>
      </c>
      <c r="O288" s="95">
        <f t="shared" si="121"/>
        <v>252.5</v>
      </c>
      <c r="P288" s="94">
        <f t="shared" si="122"/>
        <v>0</v>
      </c>
      <c r="Q288" s="95">
        <f t="shared" si="123"/>
        <v>0</v>
      </c>
      <c r="R288" s="96"/>
      <c r="S288" s="97">
        <f t="shared" si="124"/>
        <v>5</v>
      </c>
      <c r="T288" s="98">
        <f t="shared" si="119"/>
        <v>0</v>
      </c>
      <c r="U288">
        <v>5</v>
      </c>
    </row>
    <row r="289" spans="2:31" ht="20.100000000000001" customHeight="1">
      <c r="B289" s="88">
        <v>3</v>
      </c>
      <c r="C289" s="89" t="s">
        <v>788</v>
      </c>
      <c r="D289" s="90" t="s">
        <v>1024</v>
      </c>
      <c r="E289" s="91" t="s">
        <v>1025</v>
      </c>
      <c r="F289" s="315">
        <v>12.25</v>
      </c>
      <c r="G289" s="260"/>
      <c r="H289" s="260"/>
      <c r="I289" s="309"/>
      <c r="J289" s="199"/>
      <c r="K289" s="269"/>
      <c r="L289" s="93">
        <f t="shared" si="104"/>
        <v>0</v>
      </c>
      <c r="M289" s="183"/>
      <c r="N289" s="95">
        <f t="shared" si="120"/>
        <v>0</v>
      </c>
      <c r="O289" s="95">
        <f t="shared" si="121"/>
        <v>0</v>
      </c>
      <c r="P289" s="94">
        <f t="shared" si="122"/>
        <v>0</v>
      </c>
      <c r="Q289" s="95">
        <f t="shared" si="123"/>
        <v>0</v>
      </c>
      <c r="R289" s="96"/>
      <c r="S289" s="97">
        <f t="shared" si="124"/>
        <v>0</v>
      </c>
      <c r="T289" s="98">
        <f t="shared" si="119"/>
        <v>0</v>
      </c>
    </row>
    <row r="290" spans="2:31" ht="20.100000000000001" customHeight="1">
      <c r="B290" s="88">
        <v>3</v>
      </c>
      <c r="C290" s="89" t="s">
        <v>788</v>
      </c>
      <c r="D290" s="90" t="s">
        <v>1024</v>
      </c>
      <c r="E290" s="91" t="s">
        <v>1025</v>
      </c>
      <c r="F290" s="315">
        <v>12.25</v>
      </c>
      <c r="G290" s="260"/>
      <c r="H290" s="260"/>
      <c r="I290" s="309"/>
      <c r="J290" s="199"/>
      <c r="K290" s="269"/>
      <c r="L290" s="93">
        <f t="shared" si="104"/>
        <v>0</v>
      </c>
      <c r="M290" s="183"/>
      <c r="N290" s="95">
        <f t="shared" si="120"/>
        <v>0</v>
      </c>
      <c r="O290" s="95">
        <f t="shared" si="121"/>
        <v>0</v>
      </c>
      <c r="P290" s="94">
        <f t="shared" si="122"/>
        <v>0</v>
      </c>
      <c r="Q290" s="95">
        <f t="shared" si="123"/>
        <v>0</v>
      </c>
      <c r="R290" s="96"/>
      <c r="S290" s="97">
        <f t="shared" si="124"/>
        <v>0</v>
      </c>
      <c r="T290" s="98">
        <f t="shared" si="119"/>
        <v>0</v>
      </c>
    </row>
    <row r="291" spans="2:31" ht="20.100000000000001" customHeight="1">
      <c r="B291" s="88">
        <v>3</v>
      </c>
      <c r="C291" s="89" t="s">
        <v>788</v>
      </c>
      <c r="D291" s="90" t="s">
        <v>1026</v>
      </c>
      <c r="E291" s="91" t="s">
        <v>1027</v>
      </c>
      <c r="F291" s="315">
        <v>57.25</v>
      </c>
      <c r="G291" s="260">
        <v>4</v>
      </c>
      <c r="H291" s="260"/>
      <c r="I291" s="309"/>
      <c r="J291" s="199"/>
      <c r="K291" s="269">
        <v>2</v>
      </c>
      <c r="L291" s="93">
        <f t="shared" si="104"/>
        <v>2</v>
      </c>
      <c r="M291" s="183">
        <v>2</v>
      </c>
      <c r="N291" s="95">
        <f t="shared" si="120"/>
        <v>114.5</v>
      </c>
      <c r="O291" s="95">
        <f t="shared" si="121"/>
        <v>114.5</v>
      </c>
      <c r="P291" s="94">
        <f t="shared" si="122"/>
        <v>0</v>
      </c>
      <c r="Q291" s="95">
        <f t="shared" si="123"/>
        <v>0</v>
      </c>
      <c r="R291" s="96"/>
      <c r="S291" s="97">
        <f t="shared" si="124"/>
        <v>4</v>
      </c>
      <c r="T291" s="98">
        <f t="shared" si="119"/>
        <v>-2</v>
      </c>
      <c r="U291">
        <v>4</v>
      </c>
    </row>
    <row r="292" spans="2:31" ht="20.100000000000001" customHeight="1">
      <c r="B292" s="88">
        <v>3</v>
      </c>
      <c r="C292" s="89" t="s">
        <v>788</v>
      </c>
      <c r="D292" s="90" t="s">
        <v>1028</v>
      </c>
      <c r="E292" s="91" t="s">
        <v>1029</v>
      </c>
      <c r="F292" s="315">
        <v>12.25</v>
      </c>
      <c r="G292" s="260"/>
      <c r="H292" s="260"/>
      <c r="I292" s="309"/>
      <c r="J292" s="199"/>
      <c r="K292" s="269"/>
      <c r="L292" s="93">
        <f t="shared" si="104"/>
        <v>0</v>
      </c>
      <c r="M292" s="183"/>
      <c r="N292" s="95">
        <f t="shared" si="120"/>
        <v>0</v>
      </c>
      <c r="O292" s="95">
        <f t="shared" si="121"/>
        <v>0</v>
      </c>
      <c r="P292" s="94">
        <f t="shared" si="122"/>
        <v>0</v>
      </c>
      <c r="Q292" s="95">
        <f t="shared" si="123"/>
        <v>0</v>
      </c>
      <c r="R292" s="96"/>
      <c r="S292" s="97">
        <f t="shared" si="124"/>
        <v>0</v>
      </c>
      <c r="T292" s="98">
        <f t="shared" si="119"/>
        <v>0</v>
      </c>
    </row>
    <row r="293" spans="2:31" ht="20.100000000000001" customHeight="1">
      <c r="B293" s="88">
        <v>3</v>
      </c>
      <c r="C293" s="89" t="s">
        <v>788</v>
      </c>
      <c r="D293" s="90" t="s">
        <v>1030</v>
      </c>
      <c r="E293" s="91" t="s">
        <v>1031</v>
      </c>
      <c r="F293" s="315">
        <v>50.5</v>
      </c>
      <c r="G293" s="260">
        <v>4</v>
      </c>
      <c r="H293" s="260"/>
      <c r="I293" s="309"/>
      <c r="J293" s="199"/>
      <c r="K293" s="269">
        <v>1</v>
      </c>
      <c r="L293" s="93">
        <f t="shared" si="104"/>
        <v>3</v>
      </c>
      <c r="M293" s="183">
        <v>3</v>
      </c>
      <c r="N293" s="95">
        <f t="shared" si="120"/>
        <v>151.5</v>
      </c>
      <c r="O293" s="95">
        <f t="shared" si="121"/>
        <v>151.5</v>
      </c>
      <c r="P293" s="94">
        <f t="shared" si="122"/>
        <v>0</v>
      </c>
      <c r="Q293" s="95">
        <f t="shared" si="123"/>
        <v>0</v>
      </c>
      <c r="R293" s="96"/>
      <c r="S293" s="97">
        <f t="shared" si="124"/>
        <v>2</v>
      </c>
      <c r="T293" s="98">
        <f t="shared" si="119"/>
        <v>1</v>
      </c>
      <c r="U293">
        <v>2</v>
      </c>
    </row>
    <row r="294" spans="2:31" ht="20.100000000000001" customHeight="1">
      <c r="B294" s="88">
        <v>3</v>
      </c>
      <c r="C294" s="89" t="s">
        <v>788</v>
      </c>
      <c r="D294" s="90" t="s">
        <v>1032</v>
      </c>
      <c r="E294" s="91" t="s">
        <v>1033</v>
      </c>
      <c r="F294" s="315">
        <v>50.5</v>
      </c>
      <c r="G294" s="260"/>
      <c r="H294" s="260"/>
      <c r="I294" s="309"/>
      <c r="J294" s="199"/>
      <c r="K294" s="269"/>
      <c r="L294" s="93">
        <f t="shared" si="104"/>
        <v>0</v>
      </c>
      <c r="M294" s="183"/>
      <c r="N294" s="95">
        <f t="shared" si="120"/>
        <v>0</v>
      </c>
      <c r="O294" s="95">
        <f t="shared" si="121"/>
        <v>0</v>
      </c>
      <c r="P294" s="94">
        <f t="shared" si="122"/>
        <v>0</v>
      </c>
      <c r="Q294" s="95">
        <f t="shared" si="123"/>
        <v>0</v>
      </c>
      <c r="R294" s="96"/>
      <c r="S294" s="97">
        <f t="shared" si="124"/>
        <v>0</v>
      </c>
      <c r="T294" s="98">
        <f t="shared" si="119"/>
        <v>0</v>
      </c>
    </row>
    <row r="295" spans="2:31" ht="20.100000000000001" customHeight="1">
      <c r="B295" s="88">
        <v>3</v>
      </c>
      <c r="C295" s="89" t="s">
        <v>788</v>
      </c>
      <c r="D295" s="90" t="s">
        <v>1032</v>
      </c>
      <c r="E295" s="91" t="s">
        <v>1033</v>
      </c>
      <c r="F295" s="315">
        <v>50.5</v>
      </c>
      <c r="G295" s="260">
        <v>6</v>
      </c>
      <c r="H295" s="260"/>
      <c r="I295" s="309"/>
      <c r="J295" s="199"/>
      <c r="K295" s="269">
        <v>1</v>
      </c>
      <c r="L295" s="93">
        <f t="shared" si="104"/>
        <v>5</v>
      </c>
      <c r="M295" s="183">
        <v>5</v>
      </c>
      <c r="N295" s="95">
        <f t="shared" si="120"/>
        <v>252.5</v>
      </c>
      <c r="O295" s="95">
        <f t="shared" si="121"/>
        <v>252.5</v>
      </c>
      <c r="P295" s="94">
        <f t="shared" si="122"/>
        <v>0</v>
      </c>
      <c r="Q295" s="95">
        <f t="shared" si="123"/>
        <v>0</v>
      </c>
      <c r="R295" s="96"/>
      <c r="S295" s="97">
        <f t="shared" si="124"/>
        <v>7</v>
      </c>
      <c r="T295" s="98">
        <f t="shared" si="119"/>
        <v>-2</v>
      </c>
      <c r="U295">
        <v>7</v>
      </c>
    </row>
    <row r="296" spans="2:31" ht="20.100000000000001" customHeight="1">
      <c r="B296" s="88">
        <v>3</v>
      </c>
      <c r="C296" s="89" t="s">
        <v>788</v>
      </c>
      <c r="D296" s="90" t="s">
        <v>1034</v>
      </c>
      <c r="E296" s="91" t="s">
        <v>1035</v>
      </c>
      <c r="F296" s="315">
        <v>67.28</v>
      </c>
      <c r="G296" s="260">
        <v>1</v>
      </c>
      <c r="H296" s="260"/>
      <c r="I296" s="309"/>
      <c r="J296" s="199"/>
      <c r="K296" s="269"/>
      <c r="L296" s="93">
        <f t="shared" si="104"/>
        <v>1</v>
      </c>
      <c r="M296" s="183">
        <v>1</v>
      </c>
      <c r="N296" s="95">
        <f t="shared" si="120"/>
        <v>67.28</v>
      </c>
      <c r="O296" s="95">
        <f t="shared" si="121"/>
        <v>67.28</v>
      </c>
      <c r="P296" s="94">
        <f t="shared" si="122"/>
        <v>0</v>
      </c>
      <c r="Q296" s="95">
        <f t="shared" si="123"/>
        <v>0</v>
      </c>
      <c r="R296" s="96"/>
      <c r="S296" s="97">
        <f t="shared" si="124"/>
        <v>1</v>
      </c>
      <c r="T296" s="98">
        <f t="shared" si="119"/>
        <v>0</v>
      </c>
      <c r="U296">
        <v>1</v>
      </c>
    </row>
    <row r="297" spans="2:31" ht="20.100000000000001" customHeight="1">
      <c r="B297" s="88">
        <v>3</v>
      </c>
      <c r="C297" s="89" t="s">
        <v>788</v>
      </c>
      <c r="D297" s="90" t="s">
        <v>1036</v>
      </c>
      <c r="E297" s="91" t="s">
        <v>1037</v>
      </c>
      <c r="F297" s="315">
        <v>70.91</v>
      </c>
      <c r="G297" s="260">
        <v>5</v>
      </c>
      <c r="H297" s="260"/>
      <c r="I297" s="309"/>
      <c r="J297" s="199">
        <v>2</v>
      </c>
      <c r="K297" s="269"/>
      <c r="L297" s="93">
        <f t="shared" si="104"/>
        <v>3</v>
      </c>
      <c r="M297" s="183">
        <v>3</v>
      </c>
      <c r="N297" s="95">
        <f t="shared" si="120"/>
        <v>212.73</v>
      </c>
      <c r="O297" s="95">
        <f t="shared" si="121"/>
        <v>212.73</v>
      </c>
      <c r="P297" s="94">
        <f t="shared" si="122"/>
        <v>0</v>
      </c>
      <c r="Q297" s="95">
        <f t="shared" si="123"/>
        <v>0</v>
      </c>
      <c r="R297" s="96" t="s">
        <v>1038</v>
      </c>
      <c r="S297" s="97">
        <f t="shared" si="124"/>
        <v>10</v>
      </c>
      <c r="T297" s="98">
        <f t="shared" si="119"/>
        <v>-7</v>
      </c>
      <c r="U297">
        <v>10</v>
      </c>
    </row>
    <row r="298" spans="2:31" ht="20.100000000000001" customHeight="1">
      <c r="B298" s="88">
        <v>3</v>
      </c>
      <c r="C298" s="89" t="s">
        <v>788</v>
      </c>
      <c r="D298" s="90" t="s">
        <v>1039</v>
      </c>
      <c r="E298" s="91" t="s">
        <v>1040</v>
      </c>
      <c r="F298" s="315">
        <v>5.36</v>
      </c>
      <c r="G298" s="260"/>
      <c r="H298" s="260"/>
      <c r="I298" s="309"/>
      <c r="J298" s="199"/>
      <c r="K298" s="269"/>
      <c r="L298" s="93">
        <f t="shared" si="104"/>
        <v>0</v>
      </c>
      <c r="M298" s="183"/>
      <c r="N298" s="95">
        <f t="shared" si="120"/>
        <v>0</v>
      </c>
      <c r="O298" s="95">
        <f t="shared" si="121"/>
        <v>0</v>
      </c>
      <c r="P298" s="94">
        <f t="shared" si="122"/>
        <v>0</v>
      </c>
      <c r="Q298" s="95">
        <f t="shared" si="123"/>
        <v>0</v>
      </c>
      <c r="R298" s="96"/>
      <c r="S298" s="97">
        <f t="shared" si="124"/>
        <v>0</v>
      </c>
      <c r="T298" s="98">
        <f t="shared" si="119"/>
        <v>0</v>
      </c>
    </row>
    <row r="299" spans="2:31" ht="20.100000000000001" customHeight="1">
      <c r="B299" s="88">
        <v>3</v>
      </c>
      <c r="C299" s="89" t="s">
        <v>788</v>
      </c>
      <c r="D299" s="90" t="s">
        <v>1041</v>
      </c>
      <c r="E299" s="91" t="s">
        <v>1042</v>
      </c>
      <c r="F299" s="315">
        <v>6.4</v>
      </c>
      <c r="G299" s="260"/>
      <c r="H299" s="260"/>
      <c r="I299" s="309"/>
      <c r="J299" s="199"/>
      <c r="K299" s="269"/>
      <c r="L299" s="93">
        <f t="shared" si="104"/>
        <v>0</v>
      </c>
      <c r="M299" s="183"/>
      <c r="N299" s="95">
        <f t="shared" si="120"/>
        <v>0</v>
      </c>
      <c r="O299" s="95">
        <f t="shared" si="121"/>
        <v>0</v>
      </c>
      <c r="P299" s="94">
        <f t="shared" si="122"/>
        <v>0</v>
      </c>
      <c r="Q299" s="95">
        <f t="shared" si="123"/>
        <v>0</v>
      </c>
      <c r="R299" s="96"/>
      <c r="S299" s="97">
        <f t="shared" si="124"/>
        <v>0</v>
      </c>
      <c r="T299" s="98">
        <f t="shared" si="119"/>
        <v>0</v>
      </c>
    </row>
    <row r="300" spans="2:31" ht="20.100000000000001" customHeight="1">
      <c r="B300" s="88">
        <v>3</v>
      </c>
      <c r="C300" s="89" t="s">
        <v>788</v>
      </c>
      <c r="D300" s="90" t="s">
        <v>1043</v>
      </c>
      <c r="E300" s="91" t="s">
        <v>1044</v>
      </c>
      <c r="F300" s="315">
        <v>9.92</v>
      </c>
      <c r="G300" s="260">
        <v>4</v>
      </c>
      <c r="H300" s="260"/>
      <c r="I300" s="309"/>
      <c r="J300" s="199"/>
      <c r="K300" s="269"/>
      <c r="L300" s="93">
        <f t="shared" si="104"/>
        <v>4</v>
      </c>
      <c r="M300" s="183">
        <v>4</v>
      </c>
      <c r="N300" s="95">
        <f t="shared" si="120"/>
        <v>39.68</v>
      </c>
      <c r="O300" s="95">
        <f t="shared" si="121"/>
        <v>39.68</v>
      </c>
      <c r="P300" s="94">
        <f t="shared" si="122"/>
        <v>0</v>
      </c>
      <c r="Q300" s="95">
        <f t="shared" si="123"/>
        <v>0</v>
      </c>
      <c r="R300" s="102">
        <v>45827</v>
      </c>
      <c r="S300" s="97">
        <f t="shared" si="124"/>
        <v>4</v>
      </c>
      <c r="T300" s="98">
        <f t="shared" si="119"/>
        <v>0</v>
      </c>
      <c r="W300">
        <v>4</v>
      </c>
      <c r="X300" t="s">
        <v>555</v>
      </c>
      <c r="AD300">
        <f>W300</f>
        <v>4</v>
      </c>
      <c r="AE300" s="100">
        <f>AD300*F300</f>
        <v>39.68</v>
      </c>
    </row>
    <row r="301" spans="2:31" ht="20.100000000000001" customHeight="1">
      <c r="B301" s="88">
        <v>3</v>
      </c>
      <c r="C301" s="89" t="s">
        <v>788</v>
      </c>
      <c r="D301" s="90" t="s">
        <v>1045</v>
      </c>
      <c r="E301" s="91" t="s">
        <v>1046</v>
      </c>
      <c r="F301" s="315">
        <v>56.71</v>
      </c>
      <c r="G301" s="260"/>
      <c r="H301" s="260"/>
      <c r="I301" s="309"/>
      <c r="J301" s="199"/>
      <c r="K301" s="269"/>
      <c r="L301" s="93">
        <f t="shared" si="104"/>
        <v>0</v>
      </c>
      <c r="M301" s="183"/>
      <c r="N301" s="95">
        <f t="shared" si="120"/>
        <v>0</v>
      </c>
      <c r="O301" s="95">
        <f t="shared" si="121"/>
        <v>0</v>
      </c>
      <c r="P301" s="94">
        <f t="shared" si="122"/>
        <v>0</v>
      </c>
      <c r="Q301" s="95">
        <f t="shared" si="123"/>
        <v>0</v>
      </c>
      <c r="R301" s="96"/>
      <c r="S301" s="97">
        <f t="shared" si="124"/>
        <v>0</v>
      </c>
      <c r="T301" s="98">
        <f t="shared" si="119"/>
        <v>0</v>
      </c>
    </row>
    <row r="302" spans="2:31" ht="20.100000000000001" customHeight="1">
      <c r="B302" s="88">
        <v>3</v>
      </c>
      <c r="C302" s="89" t="s">
        <v>788</v>
      </c>
      <c r="D302" s="90" t="s">
        <v>1047</v>
      </c>
      <c r="E302" s="91" t="s">
        <v>1048</v>
      </c>
      <c r="F302" s="315">
        <v>59.51</v>
      </c>
      <c r="G302" s="260"/>
      <c r="H302" s="260">
        <v>1</v>
      </c>
      <c r="I302" s="309"/>
      <c r="J302" s="199"/>
      <c r="K302" s="269">
        <v>1</v>
      </c>
      <c r="L302" s="93">
        <f t="shared" si="104"/>
        <v>0</v>
      </c>
      <c r="M302" s="183"/>
      <c r="N302" s="95">
        <f t="shared" si="120"/>
        <v>0</v>
      </c>
      <c r="O302" s="95">
        <f t="shared" si="121"/>
        <v>0</v>
      </c>
      <c r="P302" s="94">
        <f t="shared" si="122"/>
        <v>0</v>
      </c>
      <c r="Q302" s="95">
        <f t="shared" si="123"/>
        <v>0</v>
      </c>
      <c r="R302" s="278" t="s">
        <v>5183</v>
      </c>
      <c r="S302" s="97">
        <f t="shared" si="124"/>
        <v>0</v>
      </c>
      <c r="T302" s="98">
        <f t="shared" si="119"/>
        <v>0</v>
      </c>
    </row>
    <row r="303" spans="2:31" ht="20.100000000000001" customHeight="1">
      <c r="B303" s="88">
        <v>3</v>
      </c>
      <c r="C303" s="89" t="s">
        <v>788</v>
      </c>
      <c r="D303" s="90" t="s">
        <v>1049</v>
      </c>
      <c r="E303" s="91" t="s">
        <v>1050</v>
      </c>
      <c r="F303" s="315">
        <v>59.51</v>
      </c>
      <c r="G303" s="260">
        <v>6</v>
      </c>
      <c r="H303" s="260">
        <v>3</v>
      </c>
      <c r="I303" s="309"/>
      <c r="J303" s="199"/>
      <c r="K303" s="269">
        <v>8</v>
      </c>
      <c r="L303" s="93">
        <f t="shared" si="104"/>
        <v>1</v>
      </c>
      <c r="M303" s="183">
        <v>1</v>
      </c>
      <c r="N303" s="95">
        <f t="shared" si="120"/>
        <v>59.51</v>
      </c>
      <c r="O303" s="95">
        <f t="shared" si="121"/>
        <v>59.51</v>
      </c>
      <c r="P303" s="94">
        <f t="shared" si="122"/>
        <v>0</v>
      </c>
      <c r="Q303" s="95">
        <f t="shared" si="123"/>
        <v>0</v>
      </c>
      <c r="R303" s="278" t="s">
        <v>5184</v>
      </c>
      <c r="S303" s="97">
        <f t="shared" si="124"/>
        <v>0</v>
      </c>
      <c r="T303" s="98">
        <f t="shared" si="119"/>
        <v>1</v>
      </c>
    </row>
    <row r="304" spans="2:31" ht="20.100000000000001" customHeight="1">
      <c r="B304" s="88">
        <v>3</v>
      </c>
      <c r="C304" s="89" t="s">
        <v>788</v>
      </c>
      <c r="D304" s="90" t="s">
        <v>1049</v>
      </c>
      <c r="E304" s="91" t="s">
        <v>1050</v>
      </c>
      <c r="F304" s="315">
        <v>59.505600000000001</v>
      </c>
      <c r="G304" s="260"/>
      <c r="H304" s="260"/>
      <c r="I304" s="331">
        <v>6</v>
      </c>
      <c r="J304" s="199"/>
      <c r="K304" s="269"/>
      <c r="L304" s="93">
        <f t="shared" ref="L304" si="126">G304+I304-J304-K304+H304</f>
        <v>6</v>
      </c>
      <c r="M304" s="183">
        <v>6</v>
      </c>
      <c r="N304" s="95">
        <f t="shared" ref="N304" si="127">F304*L304</f>
        <v>357.03359999999998</v>
      </c>
      <c r="O304" s="95">
        <f t="shared" ref="O304" si="128">M304*F304</f>
        <v>357.03359999999998</v>
      </c>
      <c r="P304" s="94">
        <f t="shared" ref="P304" si="129">L304-M304</f>
        <v>0</v>
      </c>
      <c r="Q304" s="95">
        <f t="shared" ref="Q304" si="130">N304-O304</f>
        <v>0</v>
      </c>
      <c r="R304" s="278" t="s">
        <v>5184</v>
      </c>
      <c r="S304" s="97">
        <f t="shared" ref="S304" si="131">U304+Y304+W304+AA304</f>
        <v>0</v>
      </c>
      <c r="T304" s="98">
        <f t="shared" ref="T304" si="132">M304-S304</f>
        <v>6</v>
      </c>
    </row>
    <row r="305" spans="2:31" ht="20.100000000000001" customHeight="1">
      <c r="B305" s="88">
        <v>3</v>
      </c>
      <c r="C305" s="89" t="s">
        <v>788</v>
      </c>
      <c r="D305" s="90" t="s">
        <v>1051</v>
      </c>
      <c r="E305" s="91" t="s">
        <v>1052</v>
      </c>
      <c r="F305" s="315">
        <v>6.27</v>
      </c>
      <c r="G305" s="260">
        <v>3</v>
      </c>
      <c r="H305" s="260"/>
      <c r="I305" s="309"/>
      <c r="J305" s="199"/>
      <c r="K305" s="269"/>
      <c r="L305" s="93">
        <f t="shared" si="104"/>
        <v>3</v>
      </c>
      <c r="M305" s="183">
        <v>3</v>
      </c>
      <c r="N305" s="95">
        <f t="shared" si="120"/>
        <v>18.809999999999999</v>
      </c>
      <c r="O305" s="95">
        <f t="shared" si="121"/>
        <v>18.809999999999999</v>
      </c>
      <c r="P305" s="94">
        <f t="shared" si="122"/>
        <v>0</v>
      </c>
      <c r="Q305" s="95">
        <f t="shared" si="123"/>
        <v>0</v>
      </c>
      <c r="R305" s="96"/>
      <c r="S305" s="97">
        <f t="shared" si="124"/>
        <v>5</v>
      </c>
      <c r="T305" s="98">
        <f t="shared" si="119"/>
        <v>-2</v>
      </c>
      <c r="U305">
        <v>5</v>
      </c>
    </row>
    <row r="306" spans="2:31" ht="20.100000000000001" customHeight="1">
      <c r="B306" s="88">
        <v>3</v>
      </c>
      <c r="C306" s="89" t="s">
        <v>788</v>
      </c>
      <c r="D306" s="90" t="s">
        <v>1053</v>
      </c>
      <c r="E306" s="91" t="s">
        <v>1054</v>
      </c>
      <c r="F306" s="315">
        <v>76.94</v>
      </c>
      <c r="G306" s="260"/>
      <c r="H306" s="260"/>
      <c r="I306" s="309"/>
      <c r="J306" s="199"/>
      <c r="K306" s="269"/>
      <c r="L306" s="93">
        <f t="shared" si="104"/>
        <v>0</v>
      </c>
      <c r="M306" s="183"/>
      <c r="N306" s="95">
        <f t="shared" si="120"/>
        <v>0</v>
      </c>
      <c r="O306" s="95">
        <f t="shared" si="121"/>
        <v>0</v>
      </c>
      <c r="P306" s="94">
        <f t="shared" si="122"/>
        <v>0</v>
      </c>
      <c r="Q306" s="95">
        <f t="shared" si="123"/>
        <v>0</v>
      </c>
      <c r="R306" s="96"/>
      <c r="S306" s="97">
        <f t="shared" si="124"/>
        <v>0</v>
      </c>
      <c r="T306" s="98">
        <f t="shared" si="119"/>
        <v>0</v>
      </c>
    </row>
    <row r="307" spans="2:31" ht="20.100000000000001" customHeight="1">
      <c r="B307" s="88">
        <v>3</v>
      </c>
      <c r="C307" s="89" t="s">
        <v>788</v>
      </c>
      <c r="D307" s="90" t="s">
        <v>1055</v>
      </c>
      <c r="E307" s="91" t="s">
        <v>1056</v>
      </c>
      <c r="F307" s="315">
        <v>56.79</v>
      </c>
      <c r="G307" s="260"/>
      <c r="H307" s="260"/>
      <c r="I307" s="309"/>
      <c r="J307" s="199"/>
      <c r="K307" s="269"/>
      <c r="L307" s="93">
        <f t="shared" si="104"/>
        <v>0</v>
      </c>
      <c r="M307" s="183"/>
      <c r="N307" s="95">
        <f t="shared" si="120"/>
        <v>0</v>
      </c>
      <c r="O307" s="95">
        <f t="shared" si="121"/>
        <v>0</v>
      </c>
      <c r="P307" s="94">
        <f t="shared" si="122"/>
        <v>0</v>
      </c>
      <c r="Q307" s="95">
        <f t="shared" si="123"/>
        <v>0</v>
      </c>
      <c r="R307" s="96"/>
      <c r="S307" s="97">
        <f t="shared" si="124"/>
        <v>0</v>
      </c>
      <c r="T307" s="98">
        <f t="shared" si="119"/>
        <v>0</v>
      </c>
    </row>
    <row r="308" spans="2:31" ht="20.100000000000001" customHeight="1">
      <c r="B308" s="88">
        <v>3</v>
      </c>
      <c r="C308" s="89" t="s">
        <v>788</v>
      </c>
      <c r="D308" s="90" t="s">
        <v>1057</v>
      </c>
      <c r="E308" s="91" t="s">
        <v>1058</v>
      </c>
      <c r="F308" s="315">
        <v>56.79</v>
      </c>
      <c r="G308" s="260"/>
      <c r="H308" s="260"/>
      <c r="I308" s="309"/>
      <c r="J308" s="199"/>
      <c r="K308" s="269"/>
      <c r="L308" s="93">
        <f t="shared" si="104"/>
        <v>0</v>
      </c>
      <c r="M308" s="183"/>
      <c r="N308" s="95">
        <f t="shared" si="120"/>
        <v>0</v>
      </c>
      <c r="O308" s="95">
        <f t="shared" si="121"/>
        <v>0</v>
      </c>
      <c r="P308" s="94">
        <f t="shared" si="122"/>
        <v>0</v>
      </c>
      <c r="Q308" s="95">
        <f t="shared" si="123"/>
        <v>0</v>
      </c>
      <c r="R308" s="96"/>
      <c r="S308" s="97">
        <f t="shared" si="124"/>
        <v>0</v>
      </c>
      <c r="T308" s="98">
        <f t="shared" si="119"/>
        <v>0</v>
      </c>
    </row>
    <row r="309" spans="2:31" ht="20.100000000000001" customHeight="1">
      <c r="B309" s="88">
        <v>3</v>
      </c>
      <c r="C309" s="89" t="s">
        <v>788</v>
      </c>
      <c r="D309" s="90" t="s">
        <v>1059</v>
      </c>
      <c r="E309" s="91" t="s">
        <v>1060</v>
      </c>
      <c r="F309" s="315">
        <v>60.5</v>
      </c>
      <c r="G309" s="260"/>
      <c r="H309" s="260"/>
      <c r="I309" s="309"/>
      <c r="J309" s="199"/>
      <c r="K309" s="269"/>
      <c r="L309" s="93">
        <f t="shared" si="104"/>
        <v>0</v>
      </c>
      <c r="M309" s="183"/>
      <c r="N309" s="95">
        <f t="shared" si="120"/>
        <v>0</v>
      </c>
      <c r="O309" s="95">
        <f t="shared" si="121"/>
        <v>0</v>
      </c>
      <c r="P309" s="94">
        <f t="shared" si="122"/>
        <v>0</v>
      </c>
      <c r="Q309" s="95">
        <f t="shared" si="123"/>
        <v>0</v>
      </c>
      <c r="R309" s="96"/>
      <c r="S309" s="97">
        <f t="shared" si="124"/>
        <v>0</v>
      </c>
      <c r="T309" s="98">
        <f t="shared" si="119"/>
        <v>0</v>
      </c>
    </row>
    <row r="310" spans="2:31" ht="20.100000000000001" customHeight="1">
      <c r="B310" s="88">
        <v>3</v>
      </c>
      <c r="C310" s="89" t="s">
        <v>788</v>
      </c>
      <c r="D310" s="90" t="s">
        <v>1061</v>
      </c>
      <c r="E310" s="91" t="s">
        <v>1062</v>
      </c>
      <c r="F310" s="315">
        <v>54.19</v>
      </c>
      <c r="G310" s="260"/>
      <c r="H310" s="260"/>
      <c r="I310" s="309"/>
      <c r="J310" s="199"/>
      <c r="K310" s="269"/>
      <c r="L310" s="93">
        <f t="shared" si="104"/>
        <v>0</v>
      </c>
      <c r="M310" s="183"/>
      <c r="N310" s="95">
        <f t="shared" si="120"/>
        <v>0</v>
      </c>
      <c r="O310" s="95">
        <f t="shared" si="121"/>
        <v>0</v>
      </c>
      <c r="P310" s="94">
        <f t="shared" si="122"/>
        <v>0</v>
      </c>
      <c r="Q310" s="95">
        <f t="shared" si="123"/>
        <v>0</v>
      </c>
      <c r="R310" s="96"/>
      <c r="S310" s="97">
        <f t="shared" si="124"/>
        <v>0</v>
      </c>
      <c r="T310" s="98">
        <f t="shared" si="119"/>
        <v>0</v>
      </c>
    </row>
    <row r="311" spans="2:31" ht="20.100000000000001" customHeight="1">
      <c r="B311" s="88">
        <v>3</v>
      </c>
      <c r="C311" s="89" t="s">
        <v>788</v>
      </c>
      <c r="D311" s="90" t="s">
        <v>1063</v>
      </c>
      <c r="E311" s="91" t="s">
        <v>1064</v>
      </c>
      <c r="F311" s="315">
        <v>54.19</v>
      </c>
      <c r="G311" s="260"/>
      <c r="H311" s="260"/>
      <c r="I311" s="309"/>
      <c r="J311" s="199"/>
      <c r="K311" s="269"/>
      <c r="L311" s="93">
        <f t="shared" si="104"/>
        <v>0</v>
      </c>
      <c r="M311" s="183"/>
      <c r="N311" s="95">
        <f t="shared" si="120"/>
        <v>0</v>
      </c>
      <c r="O311" s="95">
        <f t="shared" si="121"/>
        <v>0</v>
      </c>
      <c r="P311" s="94">
        <f t="shared" si="122"/>
        <v>0</v>
      </c>
      <c r="Q311" s="95">
        <f t="shared" si="123"/>
        <v>0</v>
      </c>
      <c r="R311" s="96"/>
      <c r="S311" s="97">
        <f t="shared" si="124"/>
        <v>0</v>
      </c>
      <c r="T311" s="98">
        <f t="shared" si="119"/>
        <v>0</v>
      </c>
    </row>
    <row r="312" spans="2:31" ht="20.100000000000001" customHeight="1">
      <c r="B312" s="88">
        <v>3</v>
      </c>
      <c r="C312" s="89" t="s">
        <v>788</v>
      </c>
      <c r="D312" s="90" t="s">
        <v>1065</v>
      </c>
      <c r="E312" s="91" t="s">
        <v>1066</v>
      </c>
      <c r="F312" s="315">
        <v>56.79</v>
      </c>
      <c r="G312" s="260"/>
      <c r="H312" s="260"/>
      <c r="I312" s="309"/>
      <c r="J312" s="199"/>
      <c r="K312" s="269"/>
      <c r="L312" s="93">
        <f t="shared" si="104"/>
        <v>0</v>
      </c>
      <c r="M312" s="183"/>
      <c r="N312" s="95">
        <f t="shared" si="120"/>
        <v>0</v>
      </c>
      <c r="O312" s="95">
        <f t="shared" si="121"/>
        <v>0</v>
      </c>
      <c r="P312" s="94">
        <f t="shared" si="122"/>
        <v>0</v>
      </c>
      <c r="Q312" s="95">
        <f t="shared" si="123"/>
        <v>0</v>
      </c>
      <c r="R312" s="96"/>
      <c r="S312" s="97">
        <f t="shared" si="124"/>
        <v>0</v>
      </c>
      <c r="T312" s="98">
        <f t="shared" si="119"/>
        <v>0</v>
      </c>
    </row>
    <row r="313" spans="2:31" ht="20.100000000000001" customHeight="1">
      <c r="B313" s="88">
        <v>3</v>
      </c>
      <c r="C313" s="89" t="s">
        <v>788</v>
      </c>
      <c r="D313" s="90" t="s">
        <v>1067</v>
      </c>
      <c r="E313" s="91" t="s">
        <v>1068</v>
      </c>
      <c r="F313" s="315">
        <v>56.79</v>
      </c>
      <c r="G313" s="260"/>
      <c r="H313" s="260"/>
      <c r="I313" s="309"/>
      <c r="J313" s="199"/>
      <c r="K313" s="269"/>
      <c r="L313" s="93">
        <f t="shared" si="104"/>
        <v>0</v>
      </c>
      <c r="M313" s="183"/>
      <c r="N313" s="95">
        <f t="shared" si="120"/>
        <v>0</v>
      </c>
      <c r="O313" s="95">
        <f t="shared" si="121"/>
        <v>0</v>
      </c>
      <c r="P313" s="94">
        <f t="shared" si="122"/>
        <v>0</v>
      </c>
      <c r="Q313" s="95">
        <f t="shared" si="123"/>
        <v>0</v>
      </c>
      <c r="R313" s="96"/>
      <c r="S313" s="97">
        <f t="shared" si="124"/>
        <v>0</v>
      </c>
      <c r="T313" s="98">
        <f t="shared" si="119"/>
        <v>0</v>
      </c>
    </row>
    <row r="314" spans="2:31" ht="20.100000000000001" customHeight="1">
      <c r="B314" s="88">
        <v>3</v>
      </c>
      <c r="C314" s="89" t="s">
        <v>788</v>
      </c>
      <c r="D314" s="90" t="s">
        <v>1069</v>
      </c>
      <c r="E314" s="91" t="s">
        <v>1070</v>
      </c>
      <c r="F314" s="315">
        <v>56.79</v>
      </c>
      <c r="G314" s="260"/>
      <c r="H314" s="260"/>
      <c r="I314" s="309"/>
      <c r="J314" s="199"/>
      <c r="K314" s="269"/>
      <c r="L314" s="93">
        <f t="shared" si="104"/>
        <v>0</v>
      </c>
      <c r="M314" s="183"/>
      <c r="N314" s="95">
        <f t="shared" si="120"/>
        <v>0</v>
      </c>
      <c r="O314" s="95">
        <f t="shared" si="121"/>
        <v>0</v>
      </c>
      <c r="P314" s="94">
        <f t="shared" si="122"/>
        <v>0</v>
      </c>
      <c r="Q314" s="95">
        <f t="shared" si="123"/>
        <v>0</v>
      </c>
      <c r="R314" s="96"/>
      <c r="S314" s="97">
        <f t="shared" si="124"/>
        <v>0</v>
      </c>
      <c r="T314" s="98">
        <f t="shared" si="119"/>
        <v>0</v>
      </c>
    </row>
    <row r="315" spans="2:31" ht="20.100000000000001" customHeight="1">
      <c r="B315" s="88">
        <v>3</v>
      </c>
      <c r="C315" s="89" t="s">
        <v>788</v>
      </c>
      <c r="D315" s="90" t="s">
        <v>1071</v>
      </c>
      <c r="E315" s="91" t="s">
        <v>1072</v>
      </c>
      <c r="F315" s="315">
        <v>9.92</v>
      </c>
      <c r="G315" s="260">
        <v>5</v>
      </c>
      <c r="H315" s="260"/>
      <c r="I315" s="309"/>
      <c r="J315" s="199"/>
      <c r="K315" s="269"/>
      <c r="L315" s="93">
        <f t="shared" si="104"/>
        <v>5</v>
      </c>
      <c r="M315" s="183">
        <v>5</v>
      </c>
      <c r="N315" s="95">
        <f t="shared" si="120"/>
        <v>49.6</v>
      </c>
      <c r="O315" s="95">
        <f t="shared" si="121"/>
        <v>49.6</v>
      </c>
      <c r="P315" s="94">
        <f t="shared" si="122"/>
        <v>0</v>
      </c>
      <c r="Q315" s="95">
        <f t="shared" si="123"/>
        <v>0</v>
      </c>
      <c r="R315" s="102">
        <v>45797</v>
      </c>
      <c r="S315" s="97">
        <f t="shared" si="124"/>
        <v>5</v>
      </c>
      <c r="T315" s="98">
        <f t="shared" si="119"/>
        <v>0</v>
      </c>
      <c r="W315">
        <v>5</v>
      </c>
      <c r="X315" t="s">
        <v>555</v>
      </c>
      <c r="AD315">
        <f>W315</f>
        <v>5</v>
      </c>
      <c r="AE315" s="100">
        <f>AD315*F315</f>
        <v>49.6</v>
      </c>
    </row>
    <row r="316" spans="2:31" ht="20.100000000000001" customHeight="1">
      <c r="B316" s="88">
        <v>3</v>
      </c>
      <c r="C316" s="89" t="s">
        <v>788</v>
      </c>
      <c r="D316" s="90" t="s">
        <v>1073</v>
      </c>
      <c r="E316" s="91" t="s">
        <v>1074</v>
      </c>
      <c r="F316" s="315">
        <v>55</v>
      </c>
      <c r="G316" s="260">
        <v>14</v>
      </c>
      <c r="H316" s="260"/>
      <c r="I316" s="309"/>
      <c r="J316" s="199"/>
      <c r="K316" s="269"/>
      <c r="L316" s="93">
        <f t="shared" si="104"/>
        <v>14</v>
      </c>
      <c r="M316" s="183">
        <v>14</v>
      </c>
      <c r="N316" s="95">
        <f t="shared" si="120"/>
        <v>770</v>
      </c>
      <c r="O316" s="95">
        <f t="shared" si="121"/>
        <v>770</v>
      </c>
      <c r="P316" s="94">
        <f t="shared" si="122"/>
        <v>0</v>
      </c>
      <c r="Q316" s="95">
        <f t="shared" si="123"/>
        <v>0</v>
      </c>
      <c r="R316" s="102">
        <v>45843</v>
      </c>
      <c r="S316" s="97">
        <f t="shared" si="124"/>
        <v>13</v>
      </c>
      <c r="T316" s="98">
        <f t="shared" si="119"/>
        <v>1</v>
      </c>
      <c r="W316">
        <f>7+2+4</f>
        <v>13</v>
      </c>
      <c r="X316" t="s">
        <v>1075</v>
      </c>
      <c r="AD316">
        <f>W316</f>
        <v>13</v>
      </c>
      <c r="AE316" s="100">
        <f>AD316*F316</f>
        <v>715</v>
      </c>
    </row>
    <row r="317" spans="2:31" ht="20.100000000000001" customHeight="1">
      <c r="B317" s="88">
        <v>3</v>
      </c>
      <c r="C317" s="89" t="s">
        <v>788</v>
      </c>
      <c r="D317" s="90" t="s">
        <v>1076</v>
      </c>
      <c r="E317" s="91" t="s">
        <v>1077</v>
      </c>
      <c r="F317" s="315">
        <v>55</v>
      </c>
      <c r="G317" s="260">
        <v>24</v>
      </c>
      <c r="H317" s="260"/>
      <c r="I317" s="309"/>
      <c r="J317" s="199"/>
      <c r="K317" s="269"/>
      <c r="L317" s="93">
        <f t="shared" si="104"/>
        <v>24</v>
      </c>
      <c r="M317" s="183">
        <v>24</v>
      </c>
      <c r="N317" s="95">
        <f t="shared" si="120"/>
        <v>1320</v>
      </c>
      <c r="O317" s="95">
        <f t="shared" si="121"/>
        <v>1320</v>
      </c>
      <c r="P317" s="94">
        <f t="shared" si="122"/>
        <v>0</v>
      </c>
      <c r="Q317" s="95">
        <f t="shared" si="123"/>
        <v>0</v>
      </c>
      <c r="R317" s="102">
        <v>45361</v>
      </c>
      <c r="S317" s="97">
        <f t="shared" si="124"/>
        <v>24</v>
      </c>
      <c r="T317" s="98">
        <f t="shared" si="119"/>
        <v>0</v>
      </c>
      <c r="W317">
        <f>16+5+3</f>
        <v>24</v>
      </c>
      <c r="X317" t="s">
        <v>549</v>
      </c>
      <c r="AD317">
        <f>W317</f>
        <v>24</v>
      </c>
      <c r="AE317" s="100">
        <f>AD317*F317</f>
        <v>1320</v>
      </c>
    </row>
    <row r="318" spans="2:31" ht="20.100000000000001" customHeight="1">
      <c r="B318" s="88">
        <v>3</v>
      </c>
      <c r="C318" s="89" t="s">
        <v>788</v>
      </c>
      <c r="D318" s="90" t="s">
        <v>1078</v>
      </c>
      <c r="E318" s="91" t="s">
        <v>1079</v>
      </c>
      <c r="F318" s="315">
        <v>9.92</v>
      </c>
      <c r="G318" s="260"/>
      <c r="H318" s="260"/>
      <c r="I318" s="309"/>
      <c r="J318" s="199"/>
      <c r="K318" s="269"/>
      <c r="L318" s="93">
        <f t="shared" si="104"/>
        <v>0</v>
      </c>
      <c r="M318" s="183"/>
      <c r="N318" s="95">
        <f t="shared" si="120"/>
        <v>0</v>
      </c>
      <c r="O318" s="95">
        <f t="shared" si="121"/>
        <v>0</v>
      </c>
      <c r="P318" s="94">
        <f t="shared" si="122"/>
        <v>0</v>
      </c>
      <c r="Q318" s="95">
        <f t="shared" si="123"/>
        <v>0</v>
      </c>
      <c r="R318" s="96"/>
      <c r="S318" s="97">
        <f t="shared" si="124"/>
        <v>0</v>
      </c>
      <c r="T318" s="98">
        <f t="shared" si="119"/>
        <v>0</v>
      </c>
    </row>
    <row r="319" spans="2:31" ht="20.100000000000001" customHeight="1">
      <c r="B319" s="88">
        <v>3</v>
      </c>
      <c r="C319" s="89" t="s">
        <v>788</v>
      </c>
      <c r="D319" s="90" t="s">
        <v>1080</v>
      </c>
      <c r="E319" s="91" t="s">
        <v>1081</v>
      </c>
      <c r="F319" s="315">
        <v>9.92</v>
      </c>
      <c r="G319" s="260"/>
      <c r="H319" s="260"/>
      <c r="I319" s="309"/>
      <c r="J319" s="199"/>
      <c r="K319" s="269"/>
      <c r="L319" s="93">
        <f t="shared" si="104"/>
        <v>0</v>
      </c>
      <c r="M319" s="183"/>
      <c r="N319" s="95">
        <f t="shared" si="120"/>
        <v>0</v>
      </c>
      <c r="O319" s="95">
        <f t="shared" si="121"/>
        <v>0</v>
      </c>
      <c r="P319" s="94">
        <f t="shared" si="122"/>
        <v>0</v>
      </c>
      <c r="Q319" s="95">
        <f t="shared" si="123"/>
        <v>0</v>
      </c>
      <c r="R319" s="96"/>
      <c r="S319" s="97">
        <f t="shared" si="124"/>
        <v>0</v>
      </c>
      <c r="T319" s="98">
        <f t="shared" si="119"/>
        <v>0</v>
      </c>
    </row>
    <row r="320" spans="2:31" ht="20.100000000000001" customHeight="1">
      <c r="B320" s="88">
        <v>3</v>
      </c>
      <c r="C320" s="89" t="s">
        <v>788</v>
      </c>
      <c r="D320" s="90" t="s">
        <v>1082</v>
      </c>
      <c r="E320" s="91" t="s">
        <v>1083</v>
      </c>
      <c r="F320" s="315">
        <v>60.25</v>
      </c>
      <c r="G320" s="260">
        <v>3</v>
      </c>
      <c r="H320" s="260"/>
      <c r="I320" s="309"/>
      <c r="J320" s="199"/>
      <c r="K320" s="269"/>
      <c r="L320" s="93">
        <f t="shared" si="104"/>
        <v>3</v>
      </c>
      <c r="M320" s="183">
        <v>3</v>
      </c>
      <c r="N320" s="95">
        <f t="shared" si="120"/>
        <v>180.75</v>
      </c>
      <c r="O320" s="95">
        <f t="shared" si="121"/>
        <v>180.75</v>
      </c>
      <c r="P320" s="94">
        <f t="shared" si="122"/>
        <v>0</v>
      </c>
      <c r="Q320" s="95">
        <f t="shared" si="123"/>
        <v>0</v>
      </c>
      <c r="R320" s="96"/>
      <c r="S320" s="97">
        <f t="shared" si="124"/>
        <v>3</v>
      </c>
      <c r="T320" s="98">
        <f t="shared" si="119"/>
        <v>0</v>
      </c>
      <c r="U320">
        <v>3</v>
      </c>
    </row>
    <row r="321" spans="2:31" ht="20.100000000000001" customHeight="1">
      <c r="B321" s="88">
        <v>3</v>
      </c>
      <c r="C321" s="89" t="s">
        <v>788</v>
      </c>
      <c r="D321" s="90" t="s">
        <v>1084</v>
      </c>
      <c r="E321" s="91" t="s">
        <v>1085</v>
      </c>
      <c r="F321" s="315">
        <v>64</v>
      </c>
      <c r="G321" s="260">
        <v>1</v>
      </c>
      <c r="H321" s="260"/>
      <c r="I321" s="309"/>
      <c r="J321" s="199">
        <v>1</v>
      </c>
      <c r="K321" s="269"/>
      <c r="L321" s="93">
        <f t="shared" si="104"/>
        <v>0</v>
      </c>
      <c r="M321" s="183"/>
      <c r="N321" s="95">
        <f t="shared" si="120"/>
        <v>0</v>
      </c>
      <c r="O321" s="95">
        <f t="shared" si="121"/>
        <v>0</v>
      </c>
      <c r="P321" s="94">
        <f t="shared" si="122"/>
        <v>0</v>
      </c>
      <c r="Q321" s="95">
        <f t="shared" si="123"/>
        <v>0</v>
      </c>
      <c r="R321" s="96"/>
      <c r="S321" s="97">
        <f t="shared" si="124"/>
        <v>6</v>
      </c>
      <c r="T321" s="98">
        <f t="shared" si="119"/>
        <v>-6</v>
      </c>
      <c r="U321">
        <v>6</v>
      </c>
    </row>
    <row r="322" spans="2:31" ht="20.100000000000001" customHeight="1">
      <c r="B322" s="88">
        <v>3</v>
      </c>
      <c r="C322" s="89" t="s">
        <v>788</v>
      </c>
      <c r="D322" s="90" t="s">
        <v>1086</v>
      </c>
      <c r="E322" s="91" t="s">
        <v>1087</v>
      </c>
      <c r="F322" s="315">
        <v>56.25</v>
      </c>
      <c r="G322" s="260">
        <v>34</v>
      </c>
      <c r="H322" s="260">
        <v>5</v>
      </c>
      <c r="I322" s="309"/>
      <c r="J322" s="199"/>
      <c r="K322" s="269">
        <v>7</v>
      </c>
      <c r="L322" s="93">
        <f t="shared" si="104"/>
        <v>32</v>
      </c>
      <c r="M322" s="183">
        <v>32</v>
      </c>
      <c r="N322" s="95">
        <f t="shared" si="120"/>
        <v>1800</v>
      </c>
      <c r="O322" s="95">
        <f t="shared" si="121"/>
        <v>1800</v>
      </c>
      <c r="P322" s="94">
        <f t="shared" si="122"/>
        <v>0</v>
      </c>
      <c r="Q322" s="95">
        <f t="shared" si="123"/>
        <v>0</v>
      </c>
      <c r="R322" s="96"/>
      <c r="S322" s="97">
        <f t="shared" si="124"/>
        <v>23</v>
      </c>
      <c r="T322" s="98">
        <f t="shared" si="119"/>
        <v>9</v>
      </c>
      <c r="U322">
        <v>23</v>
      </c>
    </row>
    <row r="323" spans="2:31" ht="20.100000000000001" customHeight="1">
      <c r="B323" s="88">
        <v>3</v>
      </c>
      <c r="C323" s="89" t="s">
        <v>788</v>
      </c>
      <c r="D323" s="90" t="s">
        <v>1088</v>
      </c>
      <c r="E323" s="91" t="s">
        <v>1089</v>
      </c>
      <c r="F323" s="315">
        <v>127.25</v>
      </c>
      <c r="G323" s="260"/>
      <c r="H323" s="260"/>
      <c r="I323" s="309"/>
      <c r="J323" s="199"/>
      <c r="K323" s="269"/>
      <c r="L323" s="93">
        <f t="shared" si="104"/>
        <v>0</v>
      </c>
      <c r="M323" s="183"/>
      <c r="N323" s="95">
        <f t="shared" si="120"/>
        <v>0</v>
      </c>
      <c r="O323" s="95">
        <f t="shared" si="121"/>
        <v>0</v>
      </c>
      <c r="P323" s="94">
        <f t="shared" si="122"/>
        <v>0</v>
      </c>
      <c r="Q323" s="95">
        <f t="shared" si="123"/>
        <v>0</v>
      </c>
      <c r="R323" s="96"/>
      <c r="S323" s="97">
        <f t="shared" si="124"/>
        <v>0</v>
      </c>
      <c r="T323" s="98">
        <f t="shared" si="119"/>
        <v>0</v>
      </c>
    </row>
    <row r="324" spans="2:31" ht="20.100000000000001" customHeight="1">
      <c r="B324" s="88">
        <v>3</v>
      </c>
      <c r="C324" s="89" t="s">
        <v>788</v>
      </c>
      <c r="D324" s="90" t="s">
        <v>1090</v>
      </c>
      <c r="E324" s="91" t="s">
        <v>1091</v>
      </c>
      <c r="F324" s="315">
        <v>60.25</v>
      </c>
      <c r="G324" s="260">
        <v>5</v>
      </c>
      <c r="H324" s="260"/>
      <c r="I324" s="309"/>
      <c r="J324" s="199">
        <f>1+1</f>
        <v>2</v>
      </c>
      <c r="K324" s="269">
        <v>2</v>
      </c>
      <c r="L324" s="93">
        <f t="shared" si="104"/>
        <v>1</v>
      </c>
      <c r="M324" s="183">
        <v>1</v>
      </c>
      <c r="N324" s="95">
        <f t="shared" si="120"/>
        <v>60.25</v>
      </c>
      <c r="O324" s="95">
        <f t="shared" si="121"/>
        <v>60.25</v>
      </c>
      <c r="P324" s="94">
        <f t="shared" si="122"/>
        <v>0</v>
      </c>
      <c r="Q324" s="95">
        <f t="shared" si="123"/>
        <v>0</v>
      </c>
      <c r="R324" s="96"/>
      <c r="S324" s="97">
        <f t="shared" si="124"/>
        <v>5</v>
      </c>
      <c r="T324" s="98">
        <f t="shared" si="119"/>
        <v>-4</v>
      </c>
      <c r="U324">
        <v>5</v>
      </c>
    </row>
    <row r="325" spans="2:31" ht="20.100000000000001" customHeight="1">
      <c r="B325" s="88">
        <v>3</v>
      </c>
      <c r="C325" s="89" t="s">
        <v>788</v>
      </c>
      <c r="D325" s="90" t="s">
        <v>1092</v>
      </c>
      <c r="E325" s="91" t="s">
        <v>1093</v>
      </c>
      <c r="F325" s="315">
        <v>64</v>
      </c>
      <c r="G325" s="260">
        <v>1</v>
      </c>
      <c r="H325" s="260"/>
      <c r="I325" s="309"/>
      <c r="J325" s="199">
        <v>1</v>
      </c>
      <c r="K325" s="269"/>
      <c r="L325" s="93">
        <f t="shared" si="104"/>
        <v>0</v>
      </c>
      <c r="M325" s="183"/>
      <c r="N325" s="95">
        <f t="shared" si="120"/>
        <v>0</v>
      </c>
      <c r="O325" s="95">
        <f t="shared" si="121"/>
        <v>0</v>
      </c>
      <c r="P325" s="94">
        <f t="shared" si="122"/>
        <v>0</v>
      </c>
      <c r="Q325" s="95">
        <f t="shared" si="123"/>
        <v>0</v>
      </c>
      <c r="R325" s="96"/>
      <c r="S325" s="97">
        <f t="shared" si="124"/>
        <v>3</v>
      </c>
      <c r="T325" s="98">
        <f t="shared" si="119"/>
        <v>-3</v>
      </c>
      <c r="U325">
        <v>3</v>
      </c>
    </row>
    <row r="326" spans="2:31" ht="20.100000000000001" customHeight="1">
      <c r="B326" s="88">
        <v>3</v>
      </c>
      <c r="C326" s="89" t="s">
        <v>788</v>
      </c>
      <c r="D326" s="90" t="s">
        <v>1094</v>
      </c>
      <c r="E326" s="91" t="s">
        <v>1095</v>
      </c>
      <c r="F326" s="315">
        <v>64.900000000000006</v>
      </c>
      <c r="G326" s="260"/>
      <c r="H326" s="260"/>
      <c r="I326" s="309"/>
      <c r="J326" s="199"/>
      <c r="K326" s="269"/>
      <c r="L326" s="93">
        <f t="shared" si="104"/>
        <v>0</v>
      </c>
      <c r="M326" s="183"/>
      <c r="N326" s="95">
        <f t="shared" si="120"/>
        <v>0</v>
      </c>
      <c r="O326" s="95">
        <f t="shared" si="121"/>
        <v>0</v>
      </c>
      <c r="P326" s="94">
        <f t="shared" si="122"/>
        <v>0</v>
      </c>
      <c r="Q326" s="95">
        <f t="shared" si="123"/>
        <v>0</v>
      </c>
      <c r="R326" s="96"/>
      <c r="S326" s="97">
        <f t="shared" si="124"/>
        <v>0</v>
      </c>
      <c r="T326" s="98">
        <f t="shared" si="119"/>
        <v>0</v>
      </c>
    </row>
    <row r="327" spans="2:31" ht="20.100000000000001" customHeight="1">
      <c r="B327" s="88">
        <v>3</v>
      </c>
      <c r="C327" s="89" t="s">
        <v>788</v>
      </c>
      <c r="D327" s="90" t="s">
        <v>1096</v>
      </c>
      <c r="E327" s="91" t="s">
        <v>1097</v>
      </c>
      <c r="F327" s="315">
        <v>60.25</v>
      </c>
      <c r="G327" s="260">
        <v>3</v>
      </c>
      <c r="H327" s="260"/>
      <c r="I327" s="309"/>
      <c r="J327" s="199">
        <v>2</v>
      </c>
      <c r="K327" s="269"/>
      <c r="L327" s="93">
        <f t="shared" ref="L327:L390" si="133">G327+I327-J327-K327+H327</f>
        <v>1</v>
      </c>
      <c r="M327" s="183">
        <v>1</v>
      </c>
      <c r="N327" s="95">
        <f t="shared" si="120"/>
        <v>60.25</v>
      </c>
      <c r="O327" s="95">
        <f t="shared" si="121"/>
        <v>60.25</v>
      </c>
      <c r="P327" s="94">
        <f t="shared" si="122"/>
        <v>0</v>
      </c>
      <c r="Q327" s="95">
        <f t="shared" si="123"/>
        <v>0</v>
      </c>
      <c r="R327" s="96"/>
      <c r="S327" s="97">
        <f t="shared" si="124"/>
        <v>6</v>
      </c>
      <c r="T327" s="98">
        <f t="shared" si="119"/>
        <v>-5</v>
      </c>
      <c r="U327">
        <v>6</v>
      </c>
    </row>
    <row r="328" spans="2:31" ht="20.100000000000001" customHeight="1">
      <c r="B328" s="88">
        <v>3</v>
      </c>
      <c r="C328" s="89" t="s">
        <v>788</v>
      </c>
      <c r="D328" s="90" t="s">
        <v>1098</v>
      </c>
      <c r="E328" s="91" t="s">
        <v>1099</v>
      </c>
      <c r="F328" s="315">
        <v>64</v>
      </c>
      <c r="G328" s="260">
        <v>3</v>
      </c>
      <c r="H328" s="260"/>
      <c r="I328" s="309"/>
      <c r="J328" s="199">
        <v>1</v>
      </c>
      <c r="K328" s="269">
        <v>2</v>
      </c>
      <c r="L328" s="93">
        <f t="shared" si="133"/>
        <v>0</v>
      </c>
      <c r="M328" s="183"/>
      <c r="N328" s="95">
        <f t="shared" si="120"/>
        <v>0</v>
      </c>
      <c r="O328" s="95">
        <f t="shared" si="121"/>
        <v>0</v>
      </c>
      <c r="P328" s="94">
        <f t="shared" si="122"/>
        <v>0</v>
      </c>
      <c r="Q328" s="95">
        <f t="shared" si="123"/>
        <v>0</v>
      </c>
      <c r="R328" s="96"/>
      <c r="S328" s="97">
        <f t="shared" si="124"/>
        <v>4</v>
      </c>
      <c r="T328" s="98">
        <f t="shared" si="119"/>
        <v>-4</v>
      </c>
      <c r="U328">
        <v>4</v>
      </c>
    </row>
    <row r="329" spans="2:31" ht="20.100000000000001" customHeight="1">
      <c r="B329" s="88">
        <v>3</v>
      </c>
      <c r="C329" s="89" t="s">
        <v>788</v>
      </c>
      <c r="D329" s="90" t="s">
        <v>1100</v>
      </c>
      <c r="E329" s="91" t="s">
        <v>1101</v>
      </c>
      <c r="F329" s="315">
        <v>123.9</v>
      </c>
      <c r="G329" s="260">
        <v>1</v>
      </c>
      <c r="H329" s="260"/>
      <c r="I329" s="309"/>
      <c r="J329" s="199"/>
      <c r="K329" s="269"/>
      <c r="L329" s="93">
        <f t="shared" si="133"/>
        <v>1</v>
      </c>
      <c r="M329" s="183">
        <v>1</v>
      </c>
      <c r="N329" s="95">
        <f t="shared" ref="N329:N391" si="134">F329*L329</f>
        <v>123.9</v>
      </c>
      <c r="O329" s="95">
        <f t="shared" ref="O329:O391" si="135">M329*F329</f>
        <v>123.9</v>
      </c>
      <c r="P329" s="94">
        <f t="shared" ref="P329:P391" si="136">L329-M329</f>
        <v>0</v>
      </c>
      <c r="Q329" s="95">
        <f t="shared" ref="Q329:Q391" si="137">N329-O329</f>
        <v>0</v>
      </c>
      <c r="R329" s="96"/>
      <c r="S329" s="97">
        <f t="shared" ref="S329:S391" si="138">U329+Y329+W329+AA329</f>
        <v>1</v>
      </c>
      <c r="T329" s="98">
        <f t="shared" ref="T329:T391" si="139">M329-S329</f>
        <v>0</v>
      </c>
      <c r="AA329">
        <v>1</v>
      </c>
      <c r="AB329" s="99" t="s">
        <v>605</v>
      </c>
      <c r="AD329">
        <f>AA329</f>
        <v>1</v>
      </c>
      <c r="AE329" s="100">
        <f>AD329*F329</f>
        <v>123.9</v>
      </c>
    </row>
    <row r="330" spans="2:31" ht="20.100000000000001" customHeight="1">
      <c r="B330" s="88">
        <v>3</v>
      </c>
      <c r="C330" s="89" t="s">
        <v>788</v>
      </c>
      <c r="D330" s="90" t="s">
        <v>1102</v>
      </c>
      <c r="E330" s="91" t="s">
        <v>1103</v>
      </c>
      <c r="F330" s="315">
        <v>58.95</v>
      </c>
      <c r="G330" s="260"/>
      <c r="H330" s="260"/>
      <c r="I330" s="329">
        <v>6</v>
      </c>
      <c r="J330" s="199"/>
      <c r="K330" s="269">
        <v>1</v>
      </c>
      <c r="L330" s="93">
        <f t="shared" si="133"/>
        <v>5</v>
      </c>
      <c r="M330" s="183">
        <v>5</v>
      </c>
      <c r="N330" s="95">
        <f t="shared" si="134"/>
        <v>294.75</v>
      </c>
      <c r="O330" s="95">
        <f t="shared" si="135"/>
        <v>294.75</v>
      </c>
      <c r="P330" s="94">
        <f t="shared" si="136"/>
        <v>0</v>
      </c>
      <c r="Q330" s="95">
        <f t="shared" si="137"/>
        <v>0</v>
      </c>
      <c r="R330" s="96"/>
      <c r="S330" s="97">
        <f t="shared" si="138"/>
        <v>0</v>
      </c>
      <c r="T330" s="98">
        <f t="shared" si="139"/>
        <v>5</v>
      </c>
    </row>
    <row r="331" spans="2:31" ht="20.100000000000001" customHeight="1">
      <c r="B331" s="88">
        <v>3</v>
      </c>
      <c r="C331" s="89" t="s">
        <v>788</v>
      </c>
      <c r="D331" s="90" t="s">
        <v>1104</v>
      </c>
      <c r="E331" s="91" t="s">
        <v>1105</v>
      </c>
      <c r="F331" s="315">
        <v>58.5</v>
      </c>
      <c r="G331" s="260">
        <v>12</v>
      </c>
      <c r="H331" s="260"/>
      <c r="I331" s="309"/>
      <c r="J331" s="199"/>
      <c r="K331" s="269">
        <v>1</v>
      </c>
      <c r="L331" s="93">
        <f t="shared" si="133"/>
        <v>11</v>
      </c>
      <c r="M331" s="183">
        <v>11</v>
      </c>
      <c r="N331" s="95">
        <f t="shared" si="134"/>
        <v>643.5</v>
      </c>
      <c r="O331" s="95">
        <f t="shared" si="135"/>
        <v>643.5</v>
      </c>
      <c r="P331" s="94">
        <f t="shared" si="136"/>
        <v>0</v>
      </c>
      <c r="Q331" s="95">
        <f t="shared" si="137"/>
        <v>0</v>
      </c>
      <c r="R331" s="96"/>
      <c r="S331" s="97">
        <f t="shared" si="138"/>
        <v>5</v>
      </c>
      <c r="T331" s="98">
        <f t="shared" si="139"/>
        <v>6</v>
      </c>
      <c r="U331">
        <v>5</v>
      </c>
    </row>
    <row r="332" spans="2:31" ht="20.100000000000001" customHeight="1">
      <c r="B332" s="88">
        <v>3</v>
      </c>
      <c r="C332" s="89" t="s">
        <v>788</v>
      </c>
      <c r="D332" s="90" t="s">
        <v>1106</v>
      </c>
      <c r="E332" s="91" t="s">
        <v>1107</v>
      </c>
      <c r="F332" s="315">
        <v>56.37</v>
      </c>
      <c r="G332" s="260">
        <v>3</v>
      </c>
      <c r="H332" s="260"/>
      <c r="I332" s="309"/>
      <c r="J332" s="199"/>
      <c r="K332" s="269"/>
      <c r="L332" s="93">
        <f t="shared" si="133"/>
        <v>3</v>
      </c>
      <c r="M332" s="183">
        <v>3</v>
      </c>
      <c r="N332" s="95">
        <f t="shared" si="134"/>
        <v>169.10999999999999</v>
      </c>
      <c r="O332" s="95">
        <f t="shared" si="135"/>
        <v>169.10999999999999</v>
      </c>
      <c r="P332" s="94">
        <f t="shared" si="136"/>
        <v>0</v>
      </c>
      <c r="Q332" s="95">
        <f t="shared" si="137"/>
        <v>0</v>
      </c>
      <c r="R332" s="96"/>
      <c r="S332" s="97">
        <f t="shared" si="138"/>
        <v>3</v>
      </c>
      <c r="T332" s="98">
        <f t="shared" si="139"/>
        <v>0</v>
      </c>
      <c r="AA332">
        <v>3</v>
      </c>
      <c r="AB332" s="99" t="s">
        <v>1108</v>
      </c>
      <c r="AD332">
        <f>AA332</f>
        <v>3</v>
      </c>
      <c r="AE332" s="100">
        <f>AD332*F332</f>
        <v>169.10999999999999</v>
      </c>
    </row>
    <row r="333" spans="2:31" ht="20.100000000000001" customHeight="1">
      <c r="B333" s="88">
        <v>3</v>
      </c>
      <c r="C333" s="89" t="s">
        <v>788</v>
      </c>
      <c r="D333" s="90" t="s">
        <v>1109</v>
      </c>
      <c r="E333" s="91" t="s">
        <v>1110</v>
      </c>
      <c r="F333" s="315">
        <v>56.37</v>
      </c>
      <c r="G333" s="260"/>
      <c r="H333" s="260"/>
      <c r="I333" s="309"/>
      <c r="J333" s="199"/>
      <c r="K333" s="269"/>
      <c r="L333" s="93">
        <f t="shared" si="133"/>
        <v>0</v>
      </c>
      <c r="M333" s="183"/>
      <c r="N333" s="95">
        <f t="shared" si="134"/>
        <v>0</v>
      </c>
      <c r="O333" s="95">
        <f t="shared" si="135"/>
        <v>0</v>
      </c>
      <c r="P333" s="94">
        <f t="shared" si="136"/>
        <v>0</v>
      </c>
      <c r="Q333" s="95">
        <f t="shared" si="137"/>
        <v>0</v>
      </c>
      <c r="R333" s="96"/>
      <c r="S333" s="97">
        <f t="shared" si="138"/>
        <v>0</v>
      </c>
      <c r="T333" s="98">
        <f t="shared" si="139"/>
        <v>0</v>
      </c>
    </row>
    <row r="334" spans="2:31" ht="20.100000000000001" customHeight="1">
      <c r="B334" s="88">
        <v>3</v>
      </c>
      <c r="C334" s="89" t="s">
        <v>788</v>
      </c>
      <c r="D334" s="90" t="s">
        <v>1111</v>
      </c>
      <c r="E334" s="91" t="s">
        <v>1112</v>
      </c>
      <c r="F334" s="315">
        <v>49.1</v>
      </c>
      <c r="G334" s="260">
        <v>2</v>
      </c>
      <c r="H334" s="260"/>
      <c r="I334" s="309"/>
      <c r="J334" s="199"/>
      <c r="K334" s="269"/>
      <c r="L334" s="93">
        <f t="shared" si="133"/>
        <v>2</v>
      </c>
      <c r="M334" s="183">
        <v>2</v>
      </c>
      <c r="N334" s="95">
        <f t="shared" si="134"/>
        <v>98.2</v>
      </c>
      <c r="O334" s="95">
        <f t="shared" si="135"/>
        <v>98.2</v>
      </c>
      <c r="P334" s="94">
        <f t="shared" si="136"/>
        <v>0</v>
      </c>
      <c r="Q334" s="95">
        <f t="shared" si="137"/>
        <v>0</v>
      </c>
      <c r="R334" s="96"/>
      <c r="S334" s="97">
        <f t="shared" si="138"/>
        <v>2</v>
      </c>
      <c r="T334" s="98">
        <f t="shared" si="139"/>
        <v>0</v>
      </c>
      <c r="U334">
        <v>2</v>
      </c>
    </row>
    <row r="335" spans="2:31" ht="20.100000000000001" customHeight="1">
      <c r="B335" s="88">
        <v>3</v>
      </c>
      <c r="C335" s="89" t="s">
        <v>788</v>
      </c>
      <c r="D335" s="90" t="s">
        <v>1113</v>
      </c>
      <c r="E335" s="91" t="s">
        <v>1114</v>
      </c>
      <c r="F335" s="315">
        <v>49.1</v>
      </c>
      <c r="G335" s="260">
        <v>1</v>
      </c>
      <c r="H335" s="260"/>
      <c r="I335" s="309"/>
      <c r="J335" s="199"/>
      <c r="K335" s="269">
        <v>1</v>
      </c>
      <c r="L335" s="93">
        <f t="shared" si="133"/>
        <v>0</v>
      </c>
      <c r="M335" s="183"/>
      <c r="N335" s="95">
        <f t="shared" si="134"/>
        <v>0</v>
      </c>
      <c r="O335" s="95">
        <f t="shared" si="135"/>
        <v>0</v>
      </c>
      <c r="P335" s="94">
        <f t="shared" si="136"/>
        <v>0</v>
      </c>
      <c r="Q335" s="95">
        <f t="shared" si="137"/>
        <v>0</v>
      </c>
      <c r="R335" s="96"/>
      <c r="S335" s="97">
        <f t="shared" si="138"/>
        <v>1</v>
      </c>
      <c r="T335" s="98">
        <f t="shared" si="139"/>
        <v>-1</v>
      </c>
      <c r="U335">
        <v>1</v>
      </c>
    </row>
    <row r="336" spans="2:31" ht="20.100000000000001" customHeight="1">
      <c r="B336" s="88">
        <v>3</v>
      </c>
      <c r="C336" s="89" t="s">
        <v>788</v>
      </c>
      <c r="D336" s="90" t="s">
        <v>1115</v>
      </c>
      <c r="E336" s="91" t="s">
        <v>1116</v>
      </c>
      <c r="F336" s="315">
        <v>68.56</v>
      </c>
      <c r="G336" s="260"/>
      <c r="H336" s="260"/>
      <c r="I336" s="309"/>
      <c r="J336" s="199"/>
      <c r="K336" s="269"/>
      <c r="L336" s="93">
        <f t="shared" si="133"/>
        <v>0</v>
      </c>
      <c r="M336" s="183"/>
      <c r="N336" s="95">
        <f t="shared" si="134"/>
        <v>0</v>
      </c>
      <c r="O336" s="95">
        <f t="shared" si="135"/>
        <v>0</v>
      </c>
      <c r="P336" s="94">
        <f t="shared" si="136"/>
        <v>0</v>
      </c>
      <c r="Q336" s="95">
        <f t="shared" si="137"/>
        <v>0</v>
      </c>
      <c r="R336" s="96"/>
      <c r="S336" s="97">
        <f t="shared" si="138"/>
        <v>0</v>
      </c>
      <c r="T336" s="98">
        <f t="shared" si="139"/>
        <v>0</v>
      </c>
    </row>
    <row r="337" spans="2:31" ht="20.100000000000001" customHeight="1">
      <c r="B337" s="88">
        <v>3</v>
      </c>
      <c r="C337" s="89" t="s">
        <v>788</v>
      </c>
      <c r="D337" s="90" t="s">
        <v>1117</v>
      </c>
      <c r="E337" s="91" t="s">
        <v>1118</v>
      </c>
      <c r="F337" s="315">
        <v>58.4</v>
      </c>
      <c r="G337" s="260"/>
      <c r="H337" s="260"/>
      <c r="I337" s="309"/>
      <c r="J337" s="199"/>
      <c r="K337" s="269"/>
      <c r="L337" s="93">
        <f t="shared" si="133"/>
        <v>0</v>
      </c>
      <c r="M337" s="183"/>
      <c r="N337" s="95">
        <f t="shared" si="134"/>
        <v>0</v>
      </c>
      <c r="O337" s="95">
        <f t="shared" si="135"/>
        <v>0</v>
      </c>
      <c r="P337" s="94">
        <f t="shared" si="136"/>
        <v>0</v>
      </c>
      <c r="Q337" s="95">
        <f t="shared" si="137"/>
        <v>0</v>
      </c>
      <c r="R337" s="96"/>
      <c r="S337" s="97">
        <f t="shared" si="138"/>
        <v>0</v>
      </c>
      <c r="T337" s="98">
        <f t="shared" si="139"/>
        <v>0</v>
      </c>
    </row>
    <row r="338" spans="2:31" ht="20.100000000000001" customHeight="1">
      <c r="B338" s="88">
        <v>3</v>
      </c>
      <c r="C338" s="89" t="s">
        <v>788</v>
      </c>
      <c r="D338" s="90" t="s">
        <v>1119</v>
      </c>
      <c r="E338" s="91" t="s">
        <v>1120</v>
      </c>
      <c r="F338" s="315">
        <v>58.4</v>
      </c>
      <c r="G338" s="260"/>
      <c r="H338" s="260"/>
      <c r="I338" s="309"/>
      <c r="J338" s="199"/>
      <c r="K338" s="269"/>
      <c r="L338" s="93">
        <f t="shared" si="133"/>
        <v>0</v>
      </c>
      <c r="M338" s="183"/>
      <c r="N338" s="95">
        <f t="shared" si="134"/>
        <v>0</v>
      </c>
      <c r="O338" s="95">
        <f t="shared" si="135"/>
        <v>0</v>
      </c>
      <c r="P338" s="94">
        <f t="shared" si="136"/>
        <v>0</v>
      </c>
      <c r="Q338" s="95">
        <f t="shared" si="137"/>
        <v>0</v>
      </c>
      <c r="R338" s="96"/>
      <c r="S338" s="97">
        <f t="shared" si="138"/>
        <v>0</v>
      </c>
      <c r="T338" s="98">
        <f t="shared" si="139"/>
        <v>0</v>
      </c>
    </row>
    <row r="339" spans="2:31" ht="20.100000000000001" customHeight="1">
      <c r="B339" s="88">
        <v>4</v>
      </c>
      <c r="C339" s="89" t="s">
        <v>1121</v>
      </c>
      <c r="D339" s="90" t="s">
        <v>1122</v>
      </c>
      <c r="E339" s="91" t="s">
        <v>1123</v>
      </c>
      <c r="F339" s="315">
        <v>7.5</v>
      </c>
      <c r="G339" s="260">
        <v>171</v>
      </c>
      <c r="H339" s="260"/>
      <c r="I339" s="309"/>
      <c r="J339" s="199"/>
      <c r="K339" s="269">
        <v>6</v>
      </c>
      <c r="L339" s="93">
        <f t="shared" si="133"/>
        <v>165</v>
      </c>
      <c r="M339" s="183">
        <v>161</v>
      </c>
      <c r="N339" s="95">
        <f t="shared" si="134"/>
        <v>1237.5</v>
      </c>
      <c r="O339" s="95">
        <f t="shared" si="135"/>
        <v>1207.5</v>
      </c>
      <c r="P339" s="94">
        <f t="shared" si="136"/>
        <v>4</v>
      </c>
      <c r="Q339" s="95">
        <f t="shared" si="137"/>
        <v>30</v>
      </c>
      <c r="R339" s="96" t="s">
        <v>1124</v>
      </c>
      <c r="S339" s="97">
        <f t="shared" si="138"/>
        <v>191</v>
      </c>
      <c r="T339" s="98">
        <f t="shared" si="139"/>
        <v>-30</v>
      </c>
      <c r="U339">
        <v>30</v>
      </c>
      <c r="W339">
        <v>161</v>
      </c>
      <c r="X339" t="s">
        <v>549</v>
      </c>
      <c r="AD339">
        <f>W339</f>
        <v>161</v>
      </c>
      <c r="AE339" s="100">
        <f>AD339*F339</f>
        <v>1207.5</v>
      </c>
    </row>
    <row r="340" spans="2:31" ht="20.100000000000001" customHeight="1">
      <c r="B340" s="88">
        <v>4</v>
      </c>
      <c r="C340" s="89" t="s">
        <v>1121</v>
      </c>
      <c r="D340" s="90" t="s">
        <v>1122</v>
      </c>
      <c r="E340" s="91" t="s">
        <v>1123</v>
      </c>
      <c r="F340" s="315">
        <v>8</v>
      </c>
      <c r="G340" s="260"/>
      <c r="H340" s="260"/>
      <c r="I340" s="309"/>
      <c r="J340" s="199"/>
      <c r="K340" s="269"/>
      <c r="L340" s="93">
        <f t="shared" si="133"/>
        <v>0</v>
      </c>
      <c r="M340" s="183"/>
      <c r="N340" s="95">
        <f t="shared" si="134"/>
        <v>0</v>
      </c>
      <c r="O340" s="95">
        <f t="shared" si="135"/>
        <v>0</v>
      </c>
      <c r="P340" s="94">
        <f t="shared" si="136"/>
        <v>0</v>
      </c>
      <c r="Q340" s="95">
        <f t="shared" si="137"/>
        <v>0</v>
      </c>
      <c r="R340" s="96"/>
      <c r="S340" s="97">
        <f t="shared" si="138"/>
        <v>0</v>
      </c>
      <c r="T340" s="98">
        <f t="shared" si="139"/>
        <v>0</v>
      </c>
    </row>
    <row r="341" spans="2:31" ht="20.100000000000001" customHeight="1">
      <c r="B341" s="88">
        <v>4</v>
      </c>
      <c r="C341" s="89" t="s">
        <v>1121</v>
      </c>
      <c r="D341" s="90" t="s">
        <v>1122</v>
      </c>
      <c r="E341" s="91" t="s">
        <v>1123</v>
      </c>
      <c r="F341" s="315">
        <v>6.67</v>
      </c>
      <c r="G341" s="260"/>
      <c r="H341" s="260"/>
      <c r="I341" s="309"/>
      <c r="J341" s="199"/>
      <c r="K341" s="269"/>
      <c r="L341" s="93">
        <f t="shared" si="133"/>
        <v>0</v>
      </c>
      <c r="M341" s="183"/>
      <c r="N341" s="95">
        <f t="shared" si="134"/>
        <v>0</v>
      </c>
      <c r="O341" s="95">
        <f t="shared" si="135"/>
        <v>0</v>
      </c>
      <c r="P341" s="94">
        <f t="shared" si="136"/>
        <v>0</v>
      </c>
      <c r="Q341" s="95">
        <f t="shared" si="137"/>
        <v>0</v>
      </c>
      <c r="R341" s="96"/>
      <c r="S341" s="97">
        <f t="shared" si="138"/>
        <v>0</v>
      </c>
      <c r="T341" s="98">
        <f t="shared" si="139"/>
        <v>0</v>
      </c>
    </row>
    <row r="342" spans="2:31" ht="20.100000000000001" customHeight="1">
      <c r="B342" s="88">
        <v>4</v>
      </c>
      <c r="C342" s="89" t="s">
        <v>1121</v>
      </c>
      <c r="D342" s="90" t="s">
        <v>1125</v>
      </c>
      <c r="E342" s="91" t="s">
        <v>1126</v>
      </c>
      <c r="F342" s="315">
        <v>36.11</v>
      </c>
      <c r="G342" s="260">
        <v>3</v>
      </c>
      <c r="H342" s="260">
        <v>3</v>
      </c>
      <c r="I342" s="309"/>
      <c r="J342" s="199"/>
      <c r="K342" s="269">
        <v>4</v>
      </c>
      <c r="L342" s="93">
        <f t="shared" si="133"/>
        <v>2</v>
      </c>
      <c r="M342" s="183">
        <v>2</v>
      </c>
      <c r="N342" s="95">
        <f t="shared" si="134"/>
        <v>72.22</v>
      </c>
      <c r="O342" s="95">
        <f t="shared" si="135"/>
        <v>72.22</v>
      </c>
      <c r="P342" s="94">
        <f t="shared" si="136"/>
        <v>0</v>
      </c>
      <c r="Q342" s="95">
        <f t="shared" si="137"/>
        <v>0</v>
      </c>
      <c r="R342" s="278"/>
      <c r="S342" s="97">
        <f t="shared" si="138"/>
        <v>3</v>
      </c>
      <c r="T342" s="98">
        <f t="shared" si="139"/>
        <v>-1</v>
      </c>
      <c r="U342">
        <v>3</v>
      </c>
    </row>
    <row r="343" spans="2:31" ht="20.100000000000001" customHeight="1">
      <c r="B343" s="88">
        <v>4</v>
      </c>
      <c r="C343" s="89" t="s">
        <v>1121</v>
      </c>
      <c r="D343" s="90" t="s">
        <v>1127</v>
      </c>
      <c r="E343" s="91" t="s">
        <v>1128</v>
      </c>
      <c r="F343" s="315">
        <v>7.28</v>
      </c>
      <c r="G343" s="260"/>
      <c r="H343" s="260">
        <v>20</v>
      </c>
      <c r="I343" s="309"/>
      <c r="J343" s="199"/>
      <c r="K343" s="269">
        <v>20</v>
      </c>
      <c r="L343" s="93">
        <f t="shared" si="133"/>
        <v>0</v>
      </c>
      <c r="M343" s="183"/>
      <c r="N343" s="95">
        <f t="shared" si="134"/>
        <v>0</v>
      </c>
      <c r="O343" s="95">
        <f t="shared" si="135"/>
        <v>0</v>
      </c>
      <c r="P343" s="94">
        <f t="shared" si="136"/>
        <v>0</v>
      </c>
      <c r="Q343" s="95">
        <f t="shared" si="137"/>
        <v>0</v>
      </c>
      <c r="R343" s="278"/>
      <c r="S343" s="97">
        <f t="shared" si="138"/>
        <v>0</v>
      </c>
      <c r="T343" s="98">
        <f t="shared" si="139"/>
        <v>0</v>
      </c>
    </row>
    <row r="344" spans="2:31" ht="20.100000000000001" customHeight="1">
      <c r="B344" s="88">
        <v>4</v>
      </c>
      <c r="C344" s="89" t="s">
        <v>1121</v>
      </c>
      <c r="D344" s="90" t="s">
        <v>1129</v>
      </c>
      <c r="E344" s="91" t="s">
        <v>1130</v>
      </c>
      <c r="F344" s="315">
        <v>8.3800000000000008</v>
      </c>
      <c r="G344" s="260">
        <v>103</v>
      </c>
      <c r="H344" s="260"/>
      <c r="I344" s="309"/>
      <c r="J344" s="199"/>
      <c r="K344" s="269">
        <v>2</v>
      </c>
      <c r="L344" s="93">
        <f t="shared" si="133"/>
        <v>101</v>
      </c>
      <c r="M344" s="183">
        <v>101</v>
      </c>
      <c r="N344" s="95">
        <f t="shared" si="134"/>
        <v>846.38000000000011</v>
      </c>
      <c r="O344" s="95">
        <f t="shared" si="135"/>
        <v>846.38000000000011</v>
      </c>
      <c r="P344" s="94">
        <f t="shared" si="136"/>
        <v>0</v>
      </c>
      <c r="Q344" s="95">
        <f t="shared" si="137"/>
        <v>0</v>
      </c>
      <c r="R344" s="96"/>
      <c r="S344" s="97">
        <f t="shared" si="138"/>
        <v>5</v>
      </c>
      <c r="T344" s="98">
        <f t="shared" si="139"/>
        <v>96</v>
      </c>
      <c r="U344">
        <v>5</v>
      </c>
    </row>
    <row r="345" spans="2:31" ht="20.100000000000001" customHeight="1">
      <c r="B345" s="88">
        <v>4</v>
      </c>
      <c r="C345" s="89" t="s">
        <v>1121</v>
      </c>
      <c r="D345" s="90" t="s">
        <v>1131</v>
      </c>
      <c r="E345" s="91" t="s">
        <v>1132</v>
      </c>
      <c r="F345" s="315">
        <v>36</v>
      </c>
      <c r="G345" s="260">
        <v>1</v>
      </c>
      <c r="H345" s="260"/>
      <c r="I345" s="309"/>
      <c r="J345" s="199"/>
      <c r="K345" s="269"/>
      <c r="L345" s="93">
        <f t="shared" si="133"/>
        <v>1</v>
      </c>
      <c r="M345" s="183">
        <v>1</v>
      </c>
      <c r="N345" s="95">
        <f t="shared" si="134"/>
        <v>36</v>
      </c>
      <c r="O345" s="95">
        <f t="shared" si="135"/>
        <v>36</v>
      </c>
      <c r="P345" s="94">
        <f t="shared" si="136"/>
        <v>0</v>
      </c>
      <c r="Q345" s="95">
        <f t="shared" si="137"/>
        <v>0</v>
      </c>
      <c r="R345" s="96"/>
      <c r="S345" s="97">
        <f t="shared" si="138"/>
        <v>0</v>
      </c>
      <c r="T345" s="98">
        <f t="shared" si="139"/>
        <v>1</v>
      </c>
    </row>
    <row r="346" spans="2:31" ht="20.100000000000001" customHeight="1">
      <c r="B346" s="88">
        <v>4</v>
      </c>
      <c r="C346" s="89" t="s">
        <v>1121</v>
      </c>
      <c r="D346" s="90" t="s">
        <v>1133</v>
      </c>
      <c r="E346" s="91" t="s">
        <v>1134</v>
      </c>
      <c r="F346" s="315">
        <v>107.5</v>
      </c>
      <c r="G346" s="260"/>
      <c r="H346" s="260"/>
      <c r="I346" s="309"/>
      <c r="J346" s="199"/>
      <c r="K346" s="269"/>
      <c r="L346" s="93">
        <f t="shared" si="133"/>
        <v>0</v>
      </c>
      <c r="M346" s="183"/>
      <c r="N346" s="95">
        <f t="shared" si="134"/>
        <v>0</v>
      </c>
      <c r="O346" s="95">
        <f t="shared" si="135"/>
        <v>0</v>
      </c>
      <c r="P346" s="94">
        <f t="shared" si="136"/>
        <v>0</v>
      </c>
      <c r="Q346" s="95">
        <f t="shared" si="137"/>
        <v>0</v>
      </c>
      <c r="R346" s="96"/>
      <c r="S346" s="97">
        <f t="shared" si="138"/>
        <v>0</v>
      </c>
      <c r="T346" s="98">
        <f t="shared" si="139"/>
        <v>0</v>
      </c>
    </row>
    <row r="347" spans="2:31" ht="20.100000000000001" customHeight="1">
      <c r="B347" s="88">
        <v>4</v>
      </c>
      <c r="C347" s="89" t="s">
        <v>1121</v>
      </c>
      <c r="D347" s="90" t="s">
        <v>1135</v>
      </c>
      <c r="E347" s="91" t="s">
        <v>1136</v>
      </c>
      <c r="F347" s="315">
        <v>36</v>
      </c>
      <c r="G347" s="260">
        <v>4</v>
      </c>
      <c r="H347" s="260"/>
      <c r="I347" s="309"/>
      <c r="J347" s="199"/>
      <c r="K347" s="269"/>
      <c r="L347" s="93">
        <f t="shared" si="133"/>
        <v>4</v>
      </c>
      <c r="M347" s="183">
        <v>4</v>
      </c>
      <c r="N347" s="95">
        <f t="shared" si="134"/>
        <v>144</v>
      </c>
      <c r="O347" s="95">
        <f t="shared" si="135"/>
        <v>144</v>
      </c>
      <c r="P347" s="94">
        <f t="shared" si="136"/>
        <v>0</v>
      </c>
      <c r="Q347" s="95">
        <f t="shared" si="137"/>
        <v>0</v>
      </c>
      <c r="R347" s="96"/>
      <c r="S347" s="97">
        <f t="shared" si="138"/>
        <v>0</v>
      </c>
      <c r="T347" s="98">
        <f t="shared" si="139"/>
        <v>4</v>
      </c>
    </row>
    <row r="348" spans="2:31" ht="20.100000000000001" customHeight="1">
      <c r="B348" s="88">
        <v>4</v>
      </c>
      <c r="C348" s="89" t="s">
        <v>1121</v>
      </c>
      <c r="D348" s="90" t="s">
        <v>1135</v>
      </c>
      <c r="E348" s="91" t="s">
        <v>1136</v>
      </c>
      <c r="F348" s="315">
        <v>36</v>
      </c>
      <c r="G348" s="260"/>
      <c r="H348" s="260"/>
      <c r="I348" s="309"/>
      <c r="J348" s="199"/>
      <c r="K348" s="269"/>
      <c r="L348" s="93">
        <f t="shared" si="133"/>
        <v>0</v>
      </c>
      <c r="M348" s="183"/>
      <c r="N348" s="95">
        <f t="shared" si="134"/>
        <v>0</v>
      </c>
      <c r="O348" s="95">
        <f t="shared" si="135"/>
        <v>0</v>
      </c>
      <c r="P348" s="94">
        <f t="shared" si="136"/>
        <v>0</v>
      </c>
      <c r="Q348" s="95">
        <f t="shared" si="137"/>
        <v>0</v>
      </c>
      <c r="R348" s="96"/>
      <c r="S348" s="97">
        <f t="shared" si="138"/>
        <v>0</v>
      </c>
      <c r="T348" s="98">
        <f t="shared" si="139"/>
        <v>0</v>
      </c>
    </row>
    <row r="349" spans="2:31" ht="20.100000000000001" customHeight="1">
      <c r="B349" s="88">
        <v>4</v>
      </c>
      <c r="C349" s="89" t="s">
        <v>1121</v>
      </c>
      <c r="D349" s="90" t="s">
        <v>1137</v>
      </c>
      <c r="E349" s="91" t="s">
        <v>1138</v>
      </c>
      <c r="F349" s="315">
        <v>7.25</v>
      </c>
      <c r="G349" s="260"/>
      <c r="H349" s="260"/>
      <c r="I349" s="309"/>
      <c r="J349" s="199"/>
      <c r="K349" s="269"/>
      <c r="L349" s="93">
        <f t="shared" si="133"/>
        <v>0</v>
      </c>
      <c r="M349" s="183"/>
      <c r="N349" s="95">
        <f t="shared" si="134"/>
        <v>0</v>
      </c>
      <c r="O349" s="95">
        <f t="shared" si="135"/>
        <v>0</v>
      </c>
      <c r="P349" s="94">
        <f t="shared" si="136"/>
        <v>0</v>
      </c>
      <c r="Q349" s="95">
        <f t="shared" si="137"/>
        <v>0</v>
      </c>
      <c r="R349" s="96"/>
      <c r="S349" s="97">
        <f t="shared" si="138"/>
        <v>0</v>
      </c>
      <c r="T349" s="98">
        <f t="shared" si="139"/>
        <v>0</v>
      </c>
    </row>
    <row r="350" spans="2:31" ht="20.100000000000001" customHeight="1">
      <c r="B350" s="88">
        <v>4</v>
      </c>
      <c r="C350" s="89" t="s">
        <v>1121</v>
      </c>
      <c r="D350" s="90" t="s">
        <v>1139</v>
      </c>
      <c r="E350" s="91" t="s">
        <v>1140</v>
      </c>
      <c r="F350" s="315">
        <v>7.7</v>
      </c>
      <c r="G350" s="260"/>
      <c r="H350" s="260"/>
      <c r="I350" s="309"/>
      <c r="J350" s="199"/>
      <c r="K350" s="269"/>
      <c r="L350" s="93">
        <f t="shared" si="133"/>
        <v>0</v>
      </c>
      <c r="M350" s="183"/>
      <c r="N350" s="95">
        <f t="shared" si="134"/>
        <v>0</v>
      </c>
      <c r="O350" s="95">
        <f t="shared" si="135"/>
        <v>0</v>
      </c>
      <c r="P350" s="94">
        <f t="shared" si="136"/>
        <v>0</v>
      </c>
      <c r="Q350" s="95">
        <f t="shared" si="137"/>
        <v>0</v>
      </c>
      <c r="R350" s="96"/>
      <c r="S350" s="97">
        <f t="shared" si="138"/>
        <v>0</v>
      </c>
      <c r="T350" s="98">
        <f t="shared" si="139"/>
        <v>0</v>
      </c>
    </row>
    <row r="351" spans="2:31" ht="20.100000000000001" customHeight="1">
      <c r="B351" s="88">
        <v>4</v>
      </c>
      <c r="C351" s="89" t="s">
        <v>1121</v>
      </c>
      <c r="D351" s="90" t="s">
        <v>1141</v>
      </c>
      <c r="E351" s="91" t="s">
        <v>1142</v>
      </c>
      <c r="F351" s="315">
        <v>14.65</v>
      </c>
      <c r="G351" s="260">
        <v>66</v>
      </c>
      <c r="H351" s="260"/>
      <c r="I351" s="309"/>
      <c r="J351" s="199"/>
      <c r="K351" s="269">
        <v>6</v>
      </c>
      <c r="L351" s="93">
        <f t="shared" si="133"/>
        <v>60</v>
      </c>
      <c r="M351" s="183">
        <v>60</v>
      </c>
      <c r="N351" s="95">
        <f t="shared" si="134"/>
        <v>879</v>
      </c>
      <c r="O351" s="95">
        <f t="shared" si="135"/>
        <v>879</v>
      </c>
      <c r="P351" s="94">
        <f t="shared" si="136"/>
        <v>0</v>
      </c>
      <c r="Q351" s="95">
        <f t="shared" si="137"/>
        <v>0</v>
      </c>
      <c r="R351" s="278" t="s">
        <v>5209</v>
      </c>
      <c r="S351" s="97">
        <f t="shared" si="138"/>
        <v>69</v>
      </c>
      <c r="T351" s="98">
        <f t="shared" si="139"/>
        <v>-9</v>
      </c>
      <c r="U351">
        <v>9</v>
      </c>
      <c r="W351">
        <f>12*5</f>
        <v>60</v>
      </c>
      <c r="X351" t="s">
        <v>1143</v>
      </c>
      <c r="AD351">
        <f>W351</f>
        <v>60</v>
      </c>
      <c r="AE351" s="100">
        <f>AD351*F351</f>
        <v>879</v>
      </c>
    </row>
    <row r="352" spans="2:31" ht="20.100000000000001" customHeight="1">
      <c r="B352" s="88">
        <v>4</v>
      </c>
      <c r="C352" s="89" t="s">
        <v>1121</v>
      </c>
      <c r="D352" s="90" t="s">
        <v>1144</v>
      </c>
      <c r="E352" s="91" t="s">
        <v>1145</v>
      </c>
      <c r="F352" s="315">
        <v>5.81</v>
      </c>
      <c r="G352" s="260"/>
      <c r="H352" s="260"/>
      <c r="I352" s="309"/>
      <c r="J352" s="199"/>
      <c r="K352" s="269"/>
      <c r="L352" s="93">
        <f t="shared" si="133"/>
        <v>0</v>
      </c>
      <c r="M352" s="183"/>
      <c r="N352" s="95">
        <f t="shared" si="134"/>
        <v>0</v>
      </c>
      <c r="O352" s="95">
        <f t="shared" si="135"/>
        <v>0</v>
      </c>
      <c r="P352" s="94">
        <f t="shared" si="136"/>
        <v>0</v>
      </c>
      <c r="Q352" s="95">
        <f t="shared" si="137"/>
        <v>0</v>
      </c>
      <c r="R352" s="96"/>
      <c r="S352" s="97">
        <f t="shared" si="138"/>
        <v>0</v>
      </c>
      <c r="T352" s="98">
        <f t="shared" si="139"/>
        <v>0</v>
      </c>
    </row>
    <row r="353" spans="2:31" ht="20.100000000000001" customHeight="1">
      <c r="B353" s="88">
        <v>4</v>
      </c>
      <c r="C353" s="89" t="s">
        <v>1121</v>
      </c>
      <c r="D353" s="90" t="s">
        <v>1146</v>
      </c>
      <c r="E353" s="91" t="s">
        <v>1147</v>
      </c>
      <c r="F353" s="315">
        <v>28.94</v>
      </c>
      <c r="G353" s="260">
        <v>29</v>
      </c>
      <c r="H353" s="260"/>
      <c r="I353" s="309"/>
      <c r="J353" s="199"/>
      <c r="K353" s="269"/>
      <c r="L353" s="93">
        <f t="shared" si="133"/>
        <v>29</v>
      </c>
      <c r="M353" s="183">
        <v>29</v>
      </c>
      <c r="N353" s="95">
        <f t="shared" si="134"/>
        <v>839.26</v>
      </c>
      <c r="O353" s="95">
        <f t="shared" si="135"/>
        <v>839.26</v>
      </c>
      <c r="P353" s="94">
        <f t="shared" si="136"/>
        <v>0</v>
      </c>
      <c r="Q353" s="95">
        <f t="shared" si="137"/>
        <v>0</v>
      </c>
      <c r="R353" s="96"/>
      <c r="S353" s="97">
        <f t="shared" si="138"/>
        <v>29</v>
      </c>
      <c r="T353" s="98">
        <f t="shared" si="139"/>
        <v>0</v>
      </c>
      <c r="U353">
        <v>29</v>
      </c>
    </row>
    <row r="354" spans="2:31" ht="20.100000000000001" customHeight="1">
      <c r="B354" s="88">
        <v>4</v>
      </c>
      <c r="C354" s="89" t="s">
        <v>1121</v>
      </c>
      <c r="D354" s="90" t="s">
        <v>1148</v>
      </c>
      <c r="E354" s="91" t="s">
        <v>1149</v>
      </c>
      <c r="F354" s="315">
        <v>109.965</v>
      </c>
      <c r="G354" s="260">
        <v>1</v>
      </c>
      <c r="H354" s="260"/>
      <c r="I354" s="329">
        <v>8</v>
      </c>
      <c r="J354" s="199"/>
      <c r="K354" s="269"/>
      <c r="L354" s="93">
        <f t="shared" si="133"/>
        <v>9</v>
      </c>
      <c r="M354" s="183">
        <f>2+7</f>
        <v>9</v>
      </c>
      <c r="N354" s="95">
        <f t="shared" si="134"/>
        <v>989.68500000000006</v>
      </c>
      <c r="O354" s="95">
        <f t="shared" si="135"/>
        <v>989.68500000000006</v>
      </c>
      <c r="P354" s="94">
        <f t="shared" si="136"/>
        <v>0</v>
      </c>
      <c r="Q354" s="95">
        <f t="shared" si="137"/>
        <v>0</v>
      </c>
      <c r="R354" s="96"/>
      <c r="S354" s="97">
        <f t="shared" si="138"/>
        <v>3</v>
      </c>
      <c r="T354" s="98">
        <f t="shared" si="139"/>
        <v>6</v>
      </c>
      <c r="U354">
        <v>3</v>
      </c>
    </row>
    <row r="355" spans="2:31" ht="20.100000000000001" customHeight="1">
      <c r="B355" s="88">
        <v>4</v>
      </c>
      <c r="C355" s="89" t="s">
        <v>1121</v>
      </c>
      <c r="D355" s="90" t="s">
        <v>1150</v>
      </c>
      <c r="E355" s="91" t="s">
        <v>1151</v>
      </c>
      <c r="F355" s="315">
        <v>33.76</v>
      </c>
      <c r="G355" s="260">
        <v>2</v>
      </c>
      <c r="H355" s="260"/>
      <c r="I355" s="309"/>
      <c r="J355" s="199"/>
      <c r="K355" s="269"/>
      <c r="L355" s="93">
        <f t="shared" si="133"/>
        <v>2</v>
      </c>
      <c r="M355" s="183">
        <v>2</v>
      </c>
      <c r="N355" s="95">
        <f t="shared" si="134"/>
        <v>67.52</v>
      </c>
      <c r="O355" s="95">
        <f t="shared" si="135"/>
        <v>67.52</v>
      </c>
      <c r="P355" s="94">
        <f t="shared" si="136"/>
        <v>0</v>
      </c>
      <c r="Q355" s="95">
        <f t="shared" si="137"/>
        <v>0</v>
      </c>
      <c r="R355" s="96"/>
      <c r="S355" s="97">
        <f t="shared" si="138"/>
        <v>3</v>
      </c>
      <c r="T355" s="98">
        <f t="shared" si="139"/>
        <v>-1</v>
      </c>
      <c r="U355">
        <v>3</v>
      </c>
    </row>
    <row r="356" spans="2:31" ht="20.100000000000001" customHeight="1">
      <c r="B356" s="88">
        <v>4</v>
      </c>
      <c r="C356" s="89" t="s">
        <v>1121</v>
      </c>
      <c r="D356" s="90" t="s">
        <v>1152</v>
      </c>
      <c r="E356" s="91" t="s">
        <v>1153</v>
      </c>
      <c r="F356" s="315">
        <v>38</v>
      </c>
      <c r="G356" s="260">
        <v>18</v>
      </c>
      <c r="H356" s="260"/>
      <c r="I356" s="309"/>
      <c r="J356" s="199">
        <f>1+15</f>
        <v>16</v>
      </c>
      <c r="K356" s="269"/>
      <c r="L356" s="93">
        <f t="shared" si="133"/>
        <v>2</v>
      </c>
      <c r="M356" s="183">
        <v>2</v>
      </c>
      <c r="N356" s="95">
        <f t="shared" si="134"/>
        <v>76</v>
      </c>
      <c r="O356" s="95">
        <f t="shared" si="135"/>
        <v>76</v>
      </c>
      <c r="P356" s="94">
        <f t="shared" si="136"/>
        <v>0</v>
      </c>
      <c r="Q356" s="95">
        <f t="shared" si="137"/>
        <v>0</v>
      </c>
      <c r="R356" s="96" t="s">
        <v>1154</v>
      </c>
      <c r="S356" s="97">
        <f t="shared" si="138"/>
        <v>20</v>
      </c>
      <c r="T356" s="98">
        <f t="shared" si="139"/>
        <v>-18</v>
      </c>
      <c r="U356">
        <v>5</v>
      </c>
      <c r="W356">
        <v>15</v>
      </c>
      <c r="X356" t="s">
        <v>549</v>
      </c>
      <c r="AD356">
        <f>W356</f>
        <v>15</v>
      </c>
      <c r="AE356" s="100">
        <f>AD356*F356</f>
        <v>570</v>
      </c>
    </row>
    <row r="357" spans="2:31" ht="20.100000000000001" customHeight="1">
      <c r="B357" s="88">
        <v>4</v>
      </c>
      <c r="C357" s="89" t="s">
        <v>1121</v>
      </c>
      <c r="D357" s="90" t="s">
        <v>1155</v>
      </c>
      <c r="E357" s="91" t="s">
        <v>1156</v>
      </c>
      <c r="F357" s="315">
        <v>38</v>
      </c>
      <c r="G357" s="260">
        <v>14</v>
      </c>
      <c r="H357" s="260">
        <v>9</v>
      </c>
      <c r="I357" s="309"/>
      <c r="J357" s="199">
        <v>11</v>
      </c>
      <c r="K357" s="269"/>
      <c r="L357" s="93">
        <f t="shared" si="133"/>
        <v>12</v>
      </c>
      <c r="M357" s="183">
        <f>1+11</f>
        <v>12</v>
      </c>
      <c r="N357" s="95">
        <f t="shared" si="134"/>
        <v>456</v>
      </c>
      <c r="O357" s="95">
        <f t="shared" si="135"/>
        <v>456</v>
      </c>
      <c r="P357" s="94">
        <f t="shared" si="136"/>
        <v>0</v>
      </c>
      <c r="Q357" s="95">
        <f t="shared" si="137"/>
        <v>0</v>
      </c>
      <c r="R357" s="96" t="s">
        <v>1157</v>
      </c>
      <c r="S357" s="97">
        <f t="shared" si="138"/>
        <v>15</v>
      </c>
      <c r="T357" s="98">
        <f t="shared" si="139"/>
        <v>-3</v>
      </c>
      <c r="U357">
        <v>4</v>
      </c>
      <c r="W357">
        <v>11</v>
      </c>
      <c r="X357" t="s">
        <v>549</v>
      </c>
      <c r="AD357">
        <f>W357</f>
        <v>11</v>
      </c>
      <c r="AE357" s="100">
        <f>AD357*F357</f>
        <v>418</v>
      </c>
    </row>
    <row r="358" spans="2:31" ht="20.100000000000001" customHeight="1">
      <c r="B358" s="88">
        <v>4</v>
      </c>
      <c r="C358" s="89" t="s">
        <v>1121</v>
      </c>
      <c r="D358" s="90" t="s">
        <v>1158</v>
      </c>
      <c r="E358" s="91" t="s">
        <v>1159</v>
      </c>
      <c r="F358" s="315">
        <v>28.76</v>
      </c>
      <c r="G358" s="260">
        <v>3</v>
      </c>
      <c r="H358" s="260"/>
      <c r="I358" s="309"/>
      <c r="J358" s="199"/>
      <c r="K358" s="269"/>
      <c r="L358" s="93">
        <f t="shared" si="133"/>
        <v>3</v>
      </c>
      <c r="M358" s="183">
        <v>3</v>
      </c>
      <c r="N358" s="95">
        <f t="shared" si="134"/>
        <v>86.28</v>
      </c>
      <c r="O358" s="95">
        <f t="shared" si="135"/>
        <v>86.28</v>
      </c>
      <c r="P358" s="94">
        <f t="shared" si="136"/>
        <v>0</v>
      </c>
      <c r="Q358" s="95">
        <f t="shared" si="137"/>
        <v>0</v>
      </c>
      <c r="R358" s="96"/>
      <c r="S358" s="97">
        <f t="shared" si="138"/>
        <v>3</v>
      </c>
      <c r="T358" s="98">
        <f t="shared" si="139"/>
        <v>0</v>
      </c>
      <c r="U358">
        <v>3</v>
      </c>
    </row>
    <row r="359" spans="2:31" ht="20.100000000000001" customHeight="1">
      <c r="B359" s="88">
        <v>4</v>
      </c>
      <c r="C359" s="89" t="s">
        <v>1121</v>
      </c>
      <c r="D359" s="90" t="s">
        <v>1160</v>
      </c>
      <c r="E359" s="91" t="s">
        <v>1161</v>
      </c>
      <c r="F359" s="315">
        <v>34.270000000000003</v>
      </c>
      <c r="G359" s="260"/>
      <c r="H359" s="260">
        <v>2</v>
      </c>
      <c r="I359" s="309"/>
      <c r="J359" s="199"/>
      <c r="K359" s="269">
        <v>2</v>
      </c>
      <c r="L359" s="93">
        <f t="shared" si="133"/>
        <v>0</v>
      </c>
      <c r="M359" s="183"/>
      <c r="N359" s="95">
        <f t="shared" si="134"/>
        <v>0</v>
      </c>
      <c r="O359" s="95">
        <f t="shared" si="135"/>
        <v>0</v>
      </c>
      <c r="P359" s="94">
        <f t="shared" si="136"/>
        <v>0</v>
      </c>
      <c r="Q359" s="95">
        <f t="shared" si="137"/>
        <v>0</v>
      </c>
      <c r="R359" s="96"/>
      <c r="S359" s="97">
        <f t="shared" si="138"/>
        <v>0</v>
      </c>
      <c r="T359" s="98">
        <f t="shared" si="139"/>
        <v>0</v>
      </c>
    </row>
    <row r="360" spans="2:31" ht="20.100000000000001" customHeight="1">
      <c r="B360" s="88">
        <v>4</v>
      </c>
      <c r="C360" s="89" t="s">
        <v>1121</v>
      </c>
      <c r="D360" s="90" t="s">
        <v>1162</v>
      </c>
      <c r="E360" s="91" t="s">
        <v>1163</v>
      </c>
      <c r="F360" s="315">
        <v>34.270000000000003</v>
      </c>
      <c r="G360" s="260"/>
      <c r="H360" s="260">
        <v>1</v>
      </c>
      <c r="I360" s="329"/>
      <c r="J360" s="199"/>
      <c r="K360" s="269">
        <v>1</v>
      </c>
      <c r="L360" s="93">
        <f t="shared" si="133"/>
        <v>0</v>
      </c>
      <c r="M360" s="183"/>
      <c r="N360" s="95">
        <f t="shared" si="134"/>
        <v>0</v>
      </c>
      <c r="O360" s="95">
        <f t="shared" si="135"/>
        <v>0</v>
      </c>
      <c r="P360" s="94">
        <f t="shared" si="136"/>
        <v>0</v>
      </c>
      <c r="Q360" s="95">
        <f t="shared" si="137"/>
        <v>0</v>
      </c>
      <c r="R360" s="96"/>
      <c r="S360" s="97">
        <f t="shared" si="138"/>
        <v>0</v>
      </c>
      <c r="T360" s="98">
        <f t="shared" si="139"/>
        <v>0</v>
      </c>
    </row>
    <row r="361" spans="2:31" ht="20.100000000000001" customHeight="1">
      <c r="B361" s="88">
        <v>4</v>
      </c>
      <c r="C361" s="89" t="s">
        <v>1121</v>
      </c>
      <c r="D361" s="90" t="s">
        <v>1164</v>
      </c>
      <c r="E361" s="91" t="s">
        <v>1165</v>
      </c>
      <c r="F361" s="315">
        <v>1.77</v>
      </c>
      <c r="G361" s="260">
        <v>2</v>
      </c>
      <c r="H361" s="260"/>
      <c r="I361" s="329"/>
      <c r="J361" s="199"/>
      <c r="K361" s="269"/>
      <c r="L361" s="93">
        <f t="shared" si="133"/>
        <v>2</v>
      </c>
      <c r="M361" s="183"/>
      <c r="N361" s="95">
        <f t="shared" si="134"/>
        <v>3.54</v>
      </c>
      <c r="O361" s="95">
        <f t="shared" si="135"/>
        <v>0</v>
      </c>
      <c r="P361" s="94">
        <f t="shared" si="136"/>
        <v>2</v>
      </c>
      <c r="Q361" s="95">
        <f t="shared" si="137"/>
        <v>3.54</v>
      </c>
      <c r="R361" s="96"/>
      <c r="S361" s="97">
        <f t="shared" si="138"/>
        <v>2</v>
      </c>
      <c r="T361" s="98">
        <f t="shared" si="139"/>
        <v>-2</v>
      </c>
      <c r="W361">
        <v>2</v>
      </c>
      <c r="X361" t="s">
        <v>555</v>
      </c>
      <c r="AD361">
        <f>W361</f>
        <v>2</v>
      </c>
      <c r="AE361" s="100">
        <f>AD361*F361</f>
        <v>3.54</v>
      </c>
    </row>
    <row r="362" spans="2:31" ht="20.100000000000001" customHeight="1">
      <c r="B362" s="88">
        <v>4</v>
      </c>
      <c r="C362" s="89" t="s">
        <v>1121</v>
      </c>
      <c r="D362" s="90" t="s">
        <v>1166</v>
      </c>
      <c r="E362" s="91" t="s">
        <v>1167</v>
      </c>
      <c r="F362" s="315">
        <v>22.185833333333299</v>
      </c>
      <c r="G362" s="260"/>
      <c r="H362" s="260"/>
      <c r="I362" s="329">
        <v>24</v>
      </c>
      <c r="J362" s="199"/>
      <c r="K362" s="269"/>
      <c r="L362" s="93">
        <f t="shared" si="133"/>
        <v>24</v>
      </c>
      <c r="M362" s="183">
        <v>24</v>
      </c>
      <c r="N362" s="95">
        <f t="shared" si="134"/>
        <v>532.45999999999913</v>
      </c>
      <c r="O362" s="95">
        <f t="shared" si="135"/>
        <v>532.45999999999913</v>
      </c>
      <c r="P362" s="94">
        <f t="shared" si="136"/>
        <v>0</v>
      </c>
      <c r="Q362" s="95">
        <f t="shared" si="137"/>
        <v>0</v>
      </c>
      <c r="R362" s="96"/>
      <c r="S362" s="97">
        <f t="shared" si="138"/>
        <v>0</v>
      </c>
      <c r="T362" s="98">
        <f t="shared" si="139"/>
        <v>24</v>
      </c>
    </row>
    <row r="363" spans="2:31" ht="20.100000000000001" customHeight="1">
      <c r="B363" s="88">
        <v>4</v>
      </c>
      <c r="C363" s="89" t="s">
        <v>1121</v>
      </c>
      <c r="D363" s="90" t="s">
        <v>1168</v>
      </c>
      <c r="E363" s="91" t="s">
        <v>1169</v>
      </c>
      <c r="F363" s="315">
        <v>44.37</v>
      </c>
      <c r="G363" s="260"/>
      <c r="H363" s="260"/>
      <c r="I363" s="329"/>
      <c r="J363" s="199"/>
      <c r="K363" s="269"/>
      <c r="L363" s="93">
        <f t="shared" si="133"/>
        <v>0</v>
      </c>
      <c r="M363" s="183"/>
      <c r="N363" s="95">
        <f t="shared" si="134"/>
        <v>0</v>
      </c>
      <c r="O363" s="95">
        <f t="shared" si="135"/>
        <v>0</v>
      </c>
      <c r="P363" s="94">
        <f t="shared" si="136"/>
        <v>0</v>
      </c>
      <c r="Q363" s="95">
        <f t="shared" si="137"/>
        <v>0</v>
      </c>
      <c r="R363" s="96"/>
      <c r="S363" s="97">
        <f t="shared" si="138"/>
        <v>0</v>
      </c>
      <c r="T363" s="98">
        <f t="shared" si="139"/>
        <v>0</v>
      </c>
    </row>
    <row r="364" spans="2:31" ht="20.100000000000001" customHeight="1">
      <c r="B364" s="88">
        <v>4</v>
      </c>
      <c r="C364" s="89" t="s">
        <v>1121</v>
      </c>
      <c r="D364" s="90" t="s">
        <v>1170</v>
      </c>
      <c r="E364" s="91" t="s">
        <v>1171</v>
      </c>
      <c r="F364" s="315">
        <v>22.19</v>
      </c>
      <c r="G364" s="260">
        <v>18</v>
      </c>
      <c r="H364" s="260"/>
      <c r="I364" s="329"/>
      <c r="J364" s="199"/>
      <c r="K364" s="269">
        <v>2</v>
      </c>
      <c r="L364" s="93">
        <f t="shared" si="133"/>
        <v>16</v>
      </c>
      <c r="M364" s="183">
        <v>16</v>
      </c>
      <c r="N364" s="95">
        <f t="shared" si="134"/>
        <v>355.04</v>
      </c>
      <c r="O364" s="95">
        <f t="shared" si="135"/>
        <v>355.04</v>
      </c>
      <c r="P364" s="94">
        <f t="shared" si="136"/>
        <v>0</v>
      </c>
      <c r="Q364" s="95">
        <f t="shared" si="137"/>
        <v>0</v>
      </c>
      <c r="R364" s="96"/>
      <c r="S364" s="97">
        <f t="shared" si="138"/>
        <v>0</v>
      </c>
      <c r="T364" s="98">
        <f t="shared" si="139"/>
        <v>16</v>
      </c>
    </row>
    <row r="365" spans="2:31" ht="20.100000000000001" customHeight="1">
      <c r="B365" s="88">
        <v>4</v>
      </c>
      <c r="C365" s="89" t="s">
        <v>1121</v>
      </c>
      <c r="D365" s="90" t="s">
        <v>1172</v>
      </c>
      <c r="E365" s="91" t="s">
        <v>1173</v>
      </c>
      <c r="F365" s="315">
        <v>47.276499999999999</v>
      </c>
      <c r="G365" s="260"/>
      <c r="H365" s="260"/>
      <c r="I365" s="329"/>
      <c r="J365" s="199"/>
      <c r="K365" s="269"/>
      <c r="L365" s="93">
        <f t="shared" si="133"/>
        <v>0</v>
      </c>
      <c r="M365" s="183"/>
      <c r="N365" s="95">
        <f t="shared" si="134"/>
        <v>0</v>
      </c>
      <c r="O365" s="95">
        <f t="shared" si="135"/>
        <v>0</v>
      </c>
      <c r="P365" s="94">
        <f t="shared" si="136"/>
        <v>0</v>
      </c>
      <c r="Q365" s="95">
        <f t="shared" si="137"/>
        <v>0</v>
      </c>
      <c r="R365" s="96"/>
      <c r="S365" s="97">
        <f t="shared" si="138"/>
        <v>0</v>
      </c>
      <c r="T365" s="98">
        <f t="shared" si="139"/>
        <v>0</v>
      </c>
    </row>
    <row r="366" spans="2:31" ht="20.100000000000001" customHeight="1">
      <c r="B366" s="88">
        <v>4</v>
      </c>
      <c r="C366" s="89" t="s">
        <v>1121</v>
      </c>
      <c r="D366" s="90" t="s">
        <v>1174</v>
      </c>
      <c r="E366" s="91" t="s">
        <v>1175</v>
      </c>
      <c r="F366" s="315">
        <v>23.6325</v>
      </c>
      <c r="G366" s="260"/>
      <c r="H366" s="260"/>
      <c r="I366" s="329">
        <v>24</v>
      </c>
      <c r="J366" s="199"/>
      <c r="K366" s="269">
        <v>5</v>
      </c>
      <c r="L366" s="93">
        <f t="shared" si="133"/>
        <v>19</v>
      </c>
      <c r="M366" s="183">
        <f>14+5</f>
        <v>19</v>
      </c>
      <c r="N366" s="95">
        <f t="shared" si="134"/>
        <v>449.01749999999998</v>
      </c>
      <c r="O366" s="95">
        <f t="shared" si="135"/>
        <v>449.01749999999998</v>
      </c>
      <c r="P366" s="94">
        <f t="shared" si="136"/>
        <v>0</v>
      </c>
      <c r="Q366" s="95">
        <f t="shared" si="137"/>
        <v>0</v>
      </c>
      <c r="R366" s="96"/>
      <c r="S366" s="97">
        <f t="shared" si="138"/>
        <v>0</v>
      </c>
      <c r="T366" s="98">
        <f t="shared" si="139"/>
        <v>19</v>
      </c>
    </row>
    <row r="367" spans="2:31" ht="20.100000000000001" customHeight="1">
      <c r="B367" s="88">
        <v>4</v>
      </c>
      <c r="C367" s="89" t="s">
        <v>1121</v>
      </c>
      <c r="D367" s="90" t="s">
        <v>1176</v>
      </c>
      <c r="E367" s="91" t="s">
        <v>1177</v>
      </c>
      <c r="F367" s="315">
        <v>22.185833333333299</v>
      </c>
      <c r="G367" s="260"/>
      <c r="H367" s="260"/>
      <c r="I367" s="329">
        <v>24</v>
      </c>
      <c r="J367" s="199"/>
      <c r="K367" s="269">
        <v>3</v>
      </c>
      <c r="L367" s="93">
        <f t="shared" si="133"/>
        <v>21</v>
      </c>
      <c r="M367" s="183">
        <v>21</v>
      </c>
      <c r="N367" s="95">
        <f t="shared" si="134"/>
        <v>465.90249999999929</v>
      </c>
      <c r="O367" s="95">
        <f t="shared" si="135"/>
        <v>465.90249999999929</v>
      </c>
      <c r="P367" s="94">
        <f t="shared" si="136"/>
        <v>0</v>
      </c>
      <c r="Q367" s="95">
        <f t="shared" si="137"/>
        <v>0</v>
      </c>
      <c r="R367" s="96"/>
      <c r="S367" s="97">
        <f t="shared" si="138"/>
        <v>0</v>
      </c>
      <c r="T367" s="98">
        <f t="shared" si="139"/>
        <v>21</v>
      </c>
    </row>
    <row r="368" spans="2:31" ht="20.100000000000001" customHeight="1">
      <c r="B368" s="88">
        <v>4</v>
      </c>
      <c r="C368" s="89" t="s">
        <v>1121</v>
      </c>
      <c r="D368" s="90" t="s">
        <v>4595</v>
      </c>
      <c r="E368" s="91" t="s">
        <v>4596</v>
      </c>
      <c r="F368" s="315">
        <v>22.185833333333299</v>
      </c>
      <c r="G368" s="260"/>
      <c r="H368" s="260"/>
      <c r="I368" s="329">
        <v>24</v>
      </c>
      <c r="J368" s="199"/>
      <c r="K368" s="269">
        <v>1</v>
      </c>
      <c r="L368" s="93">
        <f t="shared" si="133"/>
        <v>23</v>
      </c>
      <c r="M368" s="183">
        <v>23</v>
      </c>
      <c r="N368" s="95">
        <f t="shared" ref="N368" si="140">F368*L368</f>
        <v>510.27416666666591</v>
      </c>
      <c r="O368" s="95">
        <f t="shared" ref="O368" si="141">M368*F368</f>
        <v>510.27416666666591</v>
      </c>
      <c r="P368" s="94">
        <f t="shared" ref="P368" si="142">L368-M368</f>
        <v>0</v>
      </c>
      <c r="Q368" s="95">
        <f t="shared" ref="Q368" si="143">N368-O368</f>
        <v>0</v>
      </c>
      <c r="R368" s="96"/>
      <c r="S368" s="97">
        <f t="shared" ref="S368" si="144">U368+Y368+W368+AA368</f>
        <v>0</v>
      </c>
      <c r="T368" s="98">
        <f t="shared" ref="T368" si="145">M368-S368</f>
        <v>23</v>
      </c>
    </row>
    <row r="369" spans="2:31" ht="20.100000000000001" customHeight="1">
      <c r="B369" s="88">
        <v>4</v>
      </c>
      <c r="C369" s="89" t="s">
        <v>1121</v>
      </c>
      <c r="D369" s="90" t="s">
        <v>1178</v>
      </c>
      <c r="E369" s="91" t="s">
        <v>1179</v>
      </c>
      <c r="F369" s="315">
        <v>44.37</v>
      </c>
      <c r="G369" s="260"/>
      <c r="H369" s="260"/>
      <c r="I369" s="329"/>
      <c r="J369" s="199"/>
      <c r="K369" s="269"/>
      <c r="L369" s="93">
        <f t="shared" si="133"/>
        <v>0</v>
      </c>
      <c r="M369" s="183"/>
      <c r="N369" s="95">
        <f t="shared" si="134"/>
        <v>0</v>
      </c>
      <c r="O369" s="95">
        <f t="shared" si="135"/>
        <v>0</v>
      </c>
      <c r="P369" s="94">
        <f t="shared" si="136"/>
        <v>0</v>
      </c>
      <c r="Q369" s="95">
        <f t="shared" si="137"/>
        <v>0</v>
      </c>
      <c r="R369" s="96"/>
      <c r="S369" s="97">
        <f t="shared" si="138"/>
        <v>0</v>
      </c>
      <c r="T369" s="98">
        <f t="shared" si="139"/>
        <v>0</v>
      </c>
    </row>
    <row r="370" spans="2:31" ht="20.100000000000001" customHeight="1">
      <c r="B370" s="88">
        <v>4</v>
      </c>
      <c r="C370" s="89" t="s">
        <v>1121</v>
      </c>
      <c r="D370" s="90" t="s">
        <v>1180</v>
      </c>
      <c r="E370" s="91" t="s">
        <v>1181</v>
      </c>
      <c r="F370" s="315">
        <v>44.37</v>
      </c>
      <c r="G370" s="260"/>
      <c r="H370" s="260"/>
      <c r="I370" s="329"/>
      <c r="J370" s="199"/>
      <c r="K370" s="269"/>
      <c r="L370" s="93">
        <f t="shared" si="133"/>
        <v>0</v>
      </c>
      <c r="M370" s="183"/>
      <c r="N370" s="95">
        <f t="shared" si="134"/>
        <v>0</v>
      </c>
      <c r="O370" s="95">
        <f t="shared" si="135"/>
        <v>0</v>
      </c>
      <c r="P370" s="94">
        <f t="shared" si="136"/>
        <v>0</v>
      </c>
      <c r="Q370" s="95">
        <f t="shared" si="137"/>
        <v>0</v>
      </c>
      <c r="R370" s="96"/>
      <c r="S370" s="97">
        <f t="shared" si="138"/>
        <v>0</v>
      </c>
      <c r="T370" s="98">
        <f t="shared" si="139"/>
        <v>0</v>
      </c>
    </row>
    <row r="371" spans="2:31" ht="20.100000000000001" customHeight="1">
      <c r="B371" s="88">
        <v>4</v>
      </c>
      <c r="C371" s="89" t="s">
        <v>1121</v>
      </c>
      <c r="D371" s="90" t="s">
        <v>1182</v>
      </c>
      <c r="E371" s="91" t="s">
        <v>1183</v>
      </c>
      <c r="F371" s="315">
        <v>25.72</v>
      </c>
      <c r="G371" s="260"/>
      <c r="H371" s="260"/>
      <c r="I371" s="329"/>
      <c r="J371" s="199"/>
      <c r="K371" s="269"/>
      <c r="L371" s="93">
        <f t="shared" si="133"/>
        <v>0</v>
      </c>
      <c r="M371" s="183"/>
      <c r="N371" s="95">
        <f t="shared" si="134"/>
        <v>0</v>
      </c>
      <c r="O371" s="95">
        <f t="shared" si="135"/>
        <v>0</v>
      </c>
      <c r="P371" s="94">
        <f t="shared" si="136"/>
        <v>0</v>
      </c>
      <c r="Q371" s="95">
        <f t="shared" si="137"/>
        <v>0</v>
      </c>
      <c r="R371" s="96"/>
      <c r="S371" s="97">
        <f t="shared" si="138"/>
        <v>0</v>
      </c>
      <c r="T371" s="98">
        <f t="shared" si="139"/>
        <v>0</v>
      </c>
    </row>
    <row r="372" spans="2:31" ht="20.100000000000001" customHeight="1">
      <c r="B372" s="88">
        <v>4</v>
      </c>
      <c r="C372" s="89" t="s">
        <v>1121</v>
      </c>
      <c r="D372" s="90" t="s">
        <v>1184</v>
      </c>
      <c r="E372" s="91" t="s">
        <v>1185</v>
      </c>
      <c r="F372" s="315">
        <v>44.37</v>
      </c>
      <c r="G372" s="260">
        <v>0</v>
      </c>
      <c r="H372" s="260"/>
      <c r="I372" s="329"/>
      <c r="J372" s="199"/>
      <c r="K372" s="269"/>
      <c r="L372" s="93">
        <f t="shared" si="133"/>
        <v>0</v>
      </c>
      <c r="M372" s="183"/>
      <c r="N372" s="95">
        <f t="shared" si="134"/>
        <v>0</v>
      </c>
      <c r="O372" s="95">
        <f t="shared" si="135"/>
        <v>0</v>
      </c>
      <c r="P372" s="94">
        <f t="shared" si="136"/>
        <v>0</v>
      </c>
      <c r="Q372" s="95">
        <f t="shared" si="137"/>
        <v>0</v>
      </c>
      <c r="R372" s="96"/>
      <c r="S372" s="97">
        <f t="shared" si="138"/>
        <v>0</v>
      </c>
      <c r="T372" s="98">
        <f t="shared" si="139"/>
        <v>0</v>
      </c>
    </row>
    <row r="373" spans="2:31" ht="20.100000000000001" customHeight="1">
      <c r="B373" s="88">
        <v>4</v>
      </c>
      <c r="C373" s="89" t="s">
        <v>1121</v>
      </c>
      <c r="D373" s="90" t="s">
        <v>1186</v>
      </c>
      <c r="E373" s="91" t="s">
        <v>1187</v>
      </c>
      <c r="F373" s="315">
        <v>33.76</v>
      </c>
      <c r="G373" s="260">
        <v>1</v>
      </c>
      <c r="H373" s="260"/>
      <c r="I373" s="309">
        <v>10</v>
      </c>
      <c r="J373" s="199"/>
      <c r="K373" s="269"/>
      <c r="L373" s="93">
        <f t="shared" si="133"/>
        <v>11</v>
      </c>
      <c r="M373" s="183">
        <f>8+1</f>
        <v>9</v>
      </c>
      <c r="N373" s="95">
        <f t="shared" si="134"/>
        <v>371.35999999999996</v>
      </c>
      <c r="O373" s="95">
        <f t="shared" si="135"/>
        <v>303.83999999999997</v>
      </c>
      <c r="P373" s="94">
        <f t="shared" si="136"/>
        <v>2</v>
      </c>
      <c r="Q373" s="95">
        <f t="shared" si="137"/>
        <v>67.519999999999982</v>
      </c>
      <c r="R373" s="96"/>
      <c r="S373" s="97">
        <f t="shared" si="138"/>
        <v>1</v>
      </c>
      <c r="T373" s="98">
        <f t="shared" si="139"/>
        <v>8</v>
      </c>
      <c r="AA373">
        <v>1</v>
      </c>
      <c r="AB373" s="99" t="s">
        <v>694</v>
      </c>
    </row>
    <row r="374" spans="2:31" ht="20.100000000000001" customHeight="1">
      <c r="B374" s="88">
        <v>4</v>
      </c>
      <c r="C374" s="89" t="s">
        <v>1121</v>
      </c>
      <c r="D374" s="90" t="s">
        <v>1188</v>
      </c>
      <c r="E374" s="91" t="s">
        <v>1189</v>
      </c>
      <c r="F374" s="315">
        <v>29.9</v>
      </c>
      <c r="G374" s="260">
        <v>3</v>
      </c>
      <c r="H374" s="260"/>
      <c r="I374" s="309">
        <v>10</v>
      </c>
      <c r="J374" s="199"/>
      <c r="K374" s="269">
        <v>1</v>
      </c>
      <c r="L374" s="93">
        <f t="shared" si="133"/>
        <v>12</v>
      </c>
      <c r="M374" s="183">
        <v>12</v>
      </c>
      <c r="N374" s="95">
        <f t="shared" si="134"/>
        <v>358.79999999999995</v>
      </c>
      <c r="O374" s="95">
        <f t="shared" si="135"/>
        <v>358.79999999999995</v>
      </c>
      <c r="P374" s="94">
        <f t="shared" si="136"/>
        <v>0</v>
      </c>
      <c r="Q374" s="95">
        <f t="shared" si="137"/>
        <v>0</v>
      </c>
      <c r="R374" s="96"/>
      <c r="S374" s="97">
        <f t="shared" si="138"/>
        <v>4</v>
      </c>
      <c r="T374" s="98">
        <f t="shared" si="139"/>
        <v>8</v>
      </c>
      <c r="U374">
        <v>4</v>
      </c>
    </row>
    <row r="375" spans="2:31" ht="20.100000000000001" customHeight="1">
      <c r="B375" s="88">
        <v>4</v>
      </c>
      <c r="C375" s="89" t="s">
        <v>1121</v>
      </c>
      <c r="D375" s="90" t="s">
        <v>1190</v>
      </c>
      <c r="E375" s="91" t="s">
        <v>1191</v>
      </c>
      <c r="F375" s="315">
        <v>54.98</v>
      </c>
      <c r="G375" s="260"/>
      <c r="H375" s="260"/>
      <c r="I375" s="309"/>
      <c r="J375" s="199"/>
      <c r="K375" s="269"/>
      <c r="L375" s="93">
        <f t="shared" si="133"/>
        <v>0</v>
      </c>
      <c r="M375" s="183"/>
      <c r="N375" s="95">
        <f t="shared" si="134"/>
        <v>0</v>
      </c>
      <c r="O375" s="95">
        <f t="shared" si="135"/>
        <v>0</v>
      </c>
      <c r="P375" s="94">
        <f t="shared" si="136"/>
        <v>0</v>
      </c>
      <c r="Q375" s="95">
        <f t="shared" si="137"/>
        <v>0</v>
      </c>
      <c r="R375" s="96"/>
      <c r="S375" s="97">
        <f t="shared" si="138"/>
        <v>0</v>
      </c>
      <c r="T375" s="98">
        <f t="shared" si="139"/>
        <v>0</v>
      </c>
    </row>
    <row r="376" spans="2:31" ht="20.100000000000001" customHeight="1">
      <c r="B376" s="88">
        <v>4</v>
      </c>
      <c r="C376" s="89" t="s">
        <v>1121</v>
      </c>
      <c r="D376" s="90" t="s">
        <v>1192</v>
      </c>
      <c r="E376" s="91" t="s">
        <v>1193</v>
      </c>
      <c r="F376" s="315">
        <v>32.67</v>
      </c>
      <c r="G376" s="260"/>
      <c r="H376" s="260"/>
      <c r="I376" s="309"/>
      <c r="J376" s="199"/>
      <c r="K376" s="269"/>
      <c r="L376" s="93">
        <f t="shared" si="133"/>
        <v>0</v>
      </c>
      <c r="M376" s="183"/>
      <c r="N376" s="95">
        <f t="shared" si="134"/>
        <v>0</v>
      </c>
      <c r="O376" s="95">
        <f t="shared" si="135"/>
        <v>0</v>
      </c>
      <c r="P376" s="94">
        <f t="shared" si="136"/>
        <v>0</v>
      </c>
      <c r="Q376" s="95">
        <f t="shared" si="137"/>
        <v>0</v>
      </c>
      <c r="R376" s="96"/>
      <c r="S376" s="97">
        <f t="shared" si="138"/>
        <v>0</v>
      </c>
      <c r="T376" s="98">
        <f t="shared" si="139"/>
        <v>0</v>
      </c>
    </row>
    <row r="377" spans="2:31" ht="20.100000000000001" customHeight="1">
      <c r="B377" s="88">
        <v>4</v>
      </c>
      <c r="C377" s="89" t="s">
        <v>1121</v>
      </c>
      <c r="D377" s="90" t="s">
        <v>1194</v>
      </c>
      <c r="E377" s="91" t="s">
        <v>1195</v>
      </c>
      <c r="F377" s="315">
        <v>41.46</v>
      </c>
      <c r="G377" s="260">
        <v>1</v>
      </c>
      <c r="H377" s="260"/>
      <c r="I377" s="309"/>
      <c r="J377" s="199"/>
      <c r="K377" s="269"/>
      <c r="L377" s="93">
        <f t="shared" si="133"/>
        <v>1</v>
      </c>
      <c r="M377" s="183">
        <v>1</v>
      </c>
      <c r="N377" s="95">
        <f t="shared" si="134"/>
        <v>41.46</v>
      </c>
      <c r="O377" s="95">
        <f t="shared" si="135"/>
        <v>41.46</v>
      </c>
      <c r="P377" s="94">
        <f t="shared" si="136"/>
        <v>0</v>
      </c>
      <c r="Q377" s="95">
        <f t="shared" si="137"/>
        <v>0</v>
      </c>
      <c r="R377" s="96"/>
      <c r="S377" s="97">
        <f t="shared" si="138"/>
        <v>1</v>
      </c>
      <c r="T377" s="98">
        <f t="shared" si="139"/>
        <v>0</v>
      </c>
      <c r="AA377">
        <v>1</v>
      </c>
      <c r="AB377" s="99" t="s">
        <v>605</v>
      </c>
      <c r="AD377">
        <f>AA377</f>
        <v>1</v>
      </c>
      <c r="AE377" s="100">
        <f>AD377*F377</f>
        <v>41.46</v>
      </c>
    </row>
    <row r="378" spans="2:31" ht="20.100000000000001" customHeight="1">
      <c r="B378" s="88">
        <v>4</v>
      </c>
      <c r="C378" s="89" t="s">
        <v>1121</v>
      </c>
      <c r="D378" s="90" t="s">
        <v>1196</v>
      </c>
      <c r="E378" s="91" t="s">
        <v>1197</v>
      </c>
      <c r="F378" s="315">
        <v>29</v>
      </c>
      <c r="G378" s="260">
        <v>10</v>
      </c>
      <c r="H378" s="260"/>
      <c r="I378" s="309"/>
      <c r="J378" s="199"/>
      <c r="K378" s="269">
        <v>2</v>
      </c>
      <c r="L378" s="93">
        <f t="shared" si="133"/>
        <v>8</v>
      </c>
      <c r="M378" s="183">
        <v>8</v>
      </c>
      <c r="N378" s="95">
        <f t="shared" si="134"/>
        <v>232</v>
      </c>
      <c r="O378" s="95">
        <f t="shared" si="135"/>
        <v>232</v>
      </c>
      <c r="P378" s="94">
        <f t="shared" si="136"/>
        <v>0</v>
      </c>
      <c r="Q378" s="95">
        <f t="shared" si="137"/>
        <v>0</v>
      </c>
      <c r="R378" s="96"/>
      <c r="S378" s="97">
        <f t="shared" si="138"/>
        <v>5</v>
      </c>
      <c r="T378" s="98">
        <f t="shared" si="139"/>
        <v>3</v>
      </c>
      <c r="U378">
        <v>5</v>
      </c>
    </row>
    <row r="379" spans="2:31" ht="20.100000000000001" customHeight="1">
      <c r="B379" s="88">
        <v>4</v>
      </c>
      <c r="C379" s="89" t="s">
        <v>1121</v>
      </c>
      <c r="D379" s="90" t="s">
        <v>1198</v>
      </c>
      <c r="E379" s="91" t="s">
        <v>1199</v>
      </c>
      <c r="F379" s="315">
        <v>34.270000000000003</v>
      </c>
      <c r="G379" s="260">
        <v>2</v>
      </c>
      <c r="H379" s="260">
        <v>2</v>
      </c>
      <c r="I379" s="309"/>
      <c r="J379" s="199"/>
      <c r="K379" s="269">
        <v>3</v>
      </c>
      <c r="L379" s="93">
        <f t="shared" si="133"/>
        <v>1</v>
      </c>
      <c r="M379" s="183">
        <v>1</v>
      </c>
      <c r="N379" s="95">
        <f t="shared" si="134"/>
        <v>34.270000000000003</v>
      </c>
      <c r="O379" s="95">
        <f t="shared" si="135"/>
        <v>34.270000000000003</v>
      </c>
      <c r="P379" s="94">
        <f t="shared" si="136"/>
        <v>0</v>
      </c>
      <c r="Q379" s="95">
        <f t="shared" si="137"/>
        <v>0</v>
      </c>
      <c r="R379" s="96"/>
      <c r="S379" s="97">
        <f t="shared" si="138"/>
        <v>1</v>
      </c>
      <c r="T379" s="98">
        <f t="shared" si="139"/>
        <v>0</v>
      </c>
      <c r="U379">
        <v>1</v>
      </c>
    </row>
    <row r="380" spans="2:31" ht="20.100000000000001" customHeight="1">
      <c r="B380" s="88">
        <v>4</v>
      </c>
      <c r="C380" s="89" t="s">
        <v>1121</v>
      </c>
      <c r="D380" s="90" t="s">
        <v>1200</v>
      </c>
      <c r="E380" s="91" t="s">
        <v>1201</v>
      </c>
      <c r="F380" s="315">
        <v>15.5</v>
      </c>
      <c r="G380" s="260">
        <v>6</v>
      </c>
      <c r="H380" s="260"/>
      <c r="I380" s="309"/>
      <c r="J380" s="199"/>
      <c r="K380" s="269">
        <v>1</v>
      </c>
      <c r="L380" s="93">
        <f t="shared" si="133"/>
        <v>5</v>
      </c>
      <c r="M380" s="183">
        <v>5</v>
      </c>
      <c r="N380" s="95">
        <f t="shared" si="134"/>
        <v>77.5</v>
      </c>
      <c r="O380" s="95">
        <f t="shared" si="135"/>
        <v>77.5</v>
      </c>
      <c r="P380" s="94">
        <f t="shared" si="136"/>
        <v>0</v>
      </c>
      <c r="Q380" s="95">
        <f t="shared" si="137"/>
        <v>0</v>
      </c>
      <c r="R380" s="96"/>
      <c r="S380" s="97">
        <f t="shared" si="138"/>
        <v>0</v>
      </c>
      <c r="T380" s="98">
        <f t="shared" si="139"/>
        <v>5</v>
      </c>
    </row>
    <row r="381" spans="2:31" ht="20.100000000000001" customHeight="1">
      <c r="B381" s="88">
        <v>4</v>
      </c>
      <c r="C381" s="89" t="s">
        <v>1121</v>
      </c>
      <c r="D381" s="90" t="s">
        <v>1202</v>
      </c>
      <c r="E381" s="91" t="s">
        <v>1203</v>
      </c>
      <c r="F381" s="315">
        <v>38</v>
      </c>
      <c r="G381" s="260">
        <v>3</v>
      </c>
      <c r="H381" s="260"/>
      <c r="I381" s="309"/>
      <c r="J381" s="199"/>
      <c r="K381" s="269"/>
      <c r="L381" s="93">
        <f t="shared" si="133"/>
        <v>3</v>
      </c>
      <c r="M381" s="183">
        <v>3</v>
      </c>
      <c r="N381" s="95">
        <f t="shared" si="134"/>
        <v>114</v>
      </c>
      <c r="O381" s="95">
        <f t="shared" si="135"/>
        <v>114</v>
      </c>
      <c r="P381" s="94">
        <f t="shared" si="136"/>
        <v>0</v>
      </c>
      <c r="Q381" s="95">
        <f t="shared" si="137"/>
        <v>0</v>
      </c>
      <c r="R381" s="96"/>
      <c r="S381" s="97">
        <f t="shared" si="138"/>
        <v>3</v>
      </c>
      <c r="T381" s="98">
        <f t="shared" si="139"/>
        <v>0</v>
      </c>
      <c r="U381">
        <v>3</v>
      </c>
    </row>
    <row r="382" spans="2:31" ht="20.100000000000001" customHeight="1">
      <c r="B382" s="88">
        <v>4</v>
      </c>
      <c r="C382" s="89" t="s">
        <v>1121</v>
      </c>
      <c r="D382" s="90" t="s">
        <v>1204</v>
      </c>
      <c r="E382" s="91" t="s">
        <v>1205</v>
      </c>
      <c r="F382" s="315">
        <v>38</v>
      </c>
      <c r="G382" s="260">
        <v>3</v>
      </c>
      <c r="H382" s="260"/>
      <c r="I382" s="309"/>
      <c r="J382" s="199"/>
      <c r="K382" s="269"/>
      <c r="L382" s="93">
        <f t="shared" si="133"/>
        <v>3</v>
      </c>
      <c r="M382" s="183">
        <v>3</v>
      </c>
      <c r="N382" s="95">
        <f t="shared" si="134"/>
        <v>114</v>
      </c>
      <c r="O382" s="95">
        <f t="shared" si="135"/>
        <v>114</v>
      </c>
      <c r="P382" s="94">
        <f t="shared" si="136"/>
        <v>0</v>
      </c>
      <c r="Q382" s="95">
        <f t="shared" si="137"/>
        <v>0</v>
      </c>
      <c r="R382" s="96"/>
      <c r="S382" s="97">
        <f t="shared" si="138"/>
        <v>3</v>
      </c>
      <c r="T382" s="98">
        <f t="shared" si="139"/>
        <v>0</v>
      </c>
      <c r="U382">
        <v>3</v>
      </c>
    </row>
    <row r="383" spans="2:31" ht="20.100000000000001" customHeight="1">
      <c r="B383" s="88">
        <v>4</v>
      </c>
      <c r="C383" s="89" t="s">
        <v>1121</v>
      </c>
      <c r="D383" s="90" t="s">
        <v>1206</v>
      </c>
      <c r="E383" s="91" t="s">
        <v>1207</v>
      </c>
      <c r="F383" s="315">
        <v>58.14</v>
      </c>
      <c r="G383" s="260">
        <v>1</v>
      </c>
      <c r="H383" s="260">
        <v>1</v>
      </c>
      <c r="I383" s="309"/>
      <c r="J383" s="199"/>
      <c r="K383" s="269">
        <v>1</v>
      </c>
      <c r="L383" s="93">
        <f t="shared" si="133"/>
        <v>1</v>
      </c>
      <c r="M383" s="183">
        <v>1</v>
      </c>
      <c r="N383" s="95">
        <f t="shared" si="134"/>
        <v>58.14</v>
      </c>
      <c r="O383" s="95">
        <f t="shared" si="135"/>
        <v>58.14</v>
      </c>
      <c r="P383" s="94">
        <f t="shared" si="136"/>
        <v>0</v>
      </c>
      <c r="Q383" s="95">
        <f t="shared" si="137"/>
        <v>0</v>
      </c>
      <c r="R383" s="96"/>
      <c r="S383" s="97">
        <f t="shared" si="138"/>
        <v>2</v>
      </c>
      <c r="T383" s="98">
        <f t="shared" si="139"/>
        <v>-1</v>
      </c>
      <c r="U383">
        <v>2</v>
      </c>
    </row>
    <row r="384" spans="2:31" ht="20.100000000000001" customHeight="1">
      <c r="B384" s="88">
        <v>4</v>
      </c>
      <c r="C384" s="89" t="s">
        <v>1121</v>
      </c>
      <c r="D384" s="90" t="s">
        <v>1208</v>
      </c>
      <c r="E384" s="91" t="s">
        <v>1209</v>
      </c>
      <c r="F384" s="315">
        <v>58.14</v>
      </c>
      <c r="G384" s="260"/>
      <c r="H384" s="260"/>
      <c r="I384" s="309"/>
      <c r="J384" s="199"/>
      <c r="K384" s="269"/>
      <c r="L384" s="93">
        <f t="shared" si="133"/>
        <v>0</v>
      </c>
      <c r="M384" s="183"/>
      <c r="N384" s="95">
        <f t="shared" si="134"/>
        <v>0</v>
      </c>
      <c r="O384" s="95">
        <f t="shared" si="135"/>
        <v>0</v>
      </c>
      <c r="P384" s="94">
        <f t="shared" si="136"/>
        <v>0</v>
      </c>
      <c r="Q384" s="95">
        <f t="shared" si="137"/>
        <v>0</v>
      </c>
      <c r="R384" s="96"/>
      <c r="S384" s="97">
        <f t="shared" si="138"/>
        <v>0</v>
      </c>
      <c r="T384" s="98">
        <f t="shared" si="139"/>
        <v>0</v>
      </c>
    </row>
    <row r="385" spans="2:31" ht="20.100000000000001" customHeight="1">
      <c r="B385" s="88">
        <v>4</v>
      </c>
      <c r="C385" s="89" t="s">
        <v>1121</v>
      </c>
      <c r="D385" s="90" t="s">
        <v>1210</v>
      </c>
      <c r="E385" s="91" t="s">
        <v>1211</v>
      </c>
      <c r="F385" s="315">
        <v>58.14</v>
      </c>
      <c r="G385" s="260"/>
      <c r="H385" s="260"/>
      <c r="I385" s="309"/>
      <c r="J385" s="199"/>
      <c r="K385" s="269"/>
      <c r="L385" s="93">
        <f t="shared" si="133"/>
        <v>0</v>
      </c>
      <c r="M385" s="183"/>
      <c r="N385" s="95">
        <f t="shared" si="134"/>
        <v>0</v>
      </c>
      <c r="O385" s="95">
        <f t="shared" si="135"/>
        <v>0</v>
      </c>
      <c r="P385" s="94">
        <f t="shared" si="136"/>
        <v>0</v>
      </c>
      <c r="Q385" s="95">
        <f t="shared" si="137"/>
        <v>0</v>
      </c>
      <c r="R385" s="96"/>
      <c r="S385" s="97">
        <f t="shared" si="138"/>
        <v>0</v>
      </c>
      <c r="T385" s="98">
        <f t="shared" si="139"/>
        <v>0</v>
      </c>
    </row>
    <row r="386" spans="2:31" ht="20.100000000000001" customHeight="1">
      <c r="B386" s="88">
        <v>4</v>
      </c>
      <c r="C386" s="89" t="s">
        <v>1121</v>
      </c>
      <c r="D386" s="90" t="s">
        <v>1212</v>
      </c>
      <c r="E386" s="91" t="s">
        <v>1213</v>
      </c>
      <c r="F386" s="315">
        <v>10.09</v>
      </c>
      <c r="G386" s="260"/>
      <c r="H386" s="260"/>
      <c r="I386" s="309"/>
      <c r="J386" s="199"/>
      <c r="K386" s="269"/>
      <c r="L386" s="93">
        <f t="shared" si="133"/>
        <v>0</v>
      </c>
      <c r="M386" s="183"/>
      <c r="N386" s="95">
        <f t="shared" si="134"/>
        <v>0</v>
      </c>
      <c r="O386" s="95">
        <f t="shared" si="135"/>
        <v>0</v>
      </c>
      <c r="P386" s="94">
        <f t="shared" si="136"/>
        <v>0</v>
      </c>
      <c r="Q386" s="95">
        <f t="shared" si="137"/>
        <v>0</v>
      </c>
      <c r="R386" s="96"/>
      <c r="S386" s="97">
        <f t="shared" si="138"/>
        <v>0</v>
      </c>
      <c r="T386" s="98">
        <f t="shared" si="139"/>
        <v>0</v>
      </c>
    </row>
    <row r="387" spans="2:31" ht="20.100000000000001" customHeight="1">
      <c r="B387" s="88">
        <v>4</v>
      </c>
      <c r="C387" s="89" t="s">
        <v>1121</v>
      </c>
      <c r="D387" s="90" t="s">
        <v>4705</v>
      </c>
      <c r="E387" s="91" t="s">
        <v>4966</v>
      </c>
      <c r="F387" s="315">
        <v>50.88</v>
      </c>
      <c r="G387" s="260"/>
      <c r="H387" s="260"/>
      <c r="I387" s="309">
        <v>24</v>
      </c>
      <c r="J387" s="199"/>
      <c r="K387" s="269">
        <v>1</v>
      </c>
      <c r="L387" s="93">
        <f t="shared" si="133"/>
        <v>23</v>
      </c>
      <c r="M387" s="183">
        <v>23</v>
      </c>
      <c r="N387" s="95">
        <f t="shared" ref="N387" si="146">F387*L387</f>
        <v>1170.24</v>
      </c>
      <c r="O387" s="95">
        <f t="shared" ref="O387" si="147">M387*F387</f>
        <v>1170.24</v>
      </c>
      <c r="P387" s="94">
        <f t="shared" ref="P387" si="148">L387-M387</f>
        <v>0</v>
      </c>
      <c r="Q387" s="95">
        <f t="shared" ref="Q387" si="149">N387-O387</f>
        <v>0</v>
      </c>
      <c r="R387" s="96"/>
      <c r="S387" s="97">
        <f t="shared" ref="S387" si="150">U387+Y387+W387+AA387</f>
        <v>0</v>
      </c>
      <c r="T387" s="98">
        <f t="shared" ref="T387" si="151">M387-S387</f>
        <v>23</v>
      </c>
    </row>
    <row r="388" spans="2:31" ht="20.100000000000001" customHeight="1">
      <c r="B388" s="88">
        <v>4</v>
      </c>
      <c r="C388" s="89" t="s">
        <v>1121</v>
      </c>
      <c r="D388" s="90" t="s">
        <v>4720</v>
      </c>
      <c r="E388" s="91" t="s">
        <v>4965</v>
      </c>
      <c r="F388" s="315">
        <v>50.88</v>
      </c>
      <c r="G388" s="260"/>
      <c r="H388" s="260"/>
      <c r="I388" s="309">
        <v>24</v>
      </c>
      <c r="J388" s="199"/>
      <c r="K388" s="269">
        <v>1</v>
      </c>
      <c r="L388" s="93">
        <f t="shared" si="133"/>
        <v>23</v>
      </c>
      <c r="M388" s="183">
        <v>23</v>
      </c>
      <c r="N388" s="95">
        <f t="shared" ref="N388" si="152">F388*L388</f>
        <v>1170.24</v>
      </c>
      <c r="O388" s="95">
        <f t="shared" ref="O388" si="153">M388*F388</f>
        <v>1170.24</v>
      </c>
      <c r="P388" s="94">
        <f t="shared" ref="P388" si="154">L388-M388</f>
        <v>0</v>
      </c>
      <c r="Q388" s="95">
        <f t="shared" ref="Q388" si="155">N388-O388</f>
        <v>0</v>
      </c>
      <c r="R388" s="96"/>
      <c r="S388" s="97">
        <f t="shared" ref="S388" si="156">U388+Y388+W388+AA388</f>
        <v>0</v>
      </c>
      <c r="T388" s="98">
        <f t="shared" ref="T388" si="157">M388-S388</f>
        <v>23</v>
      </c>
    </row>
    <row r="389" spans="2:31" ht="20.100000000000001" customHeight="1">
      <c r="B389" s="88">
        <v>4</v>
      </c>
      <c r="C389" s="89" t="s">
        <v>1121</v>
      </c>
      <c r="D389" s="90" t="s">
        <v>1214</v>
      </c>
      <c r="E389" s="91" t="s">
        <v>1215</v>
      </c>
      <c r="F389" s="315">
        <v>38</v>
      </c>
      <c r="G389" s="260">
        <v>6</v>
      </c>
      <c r="H389" s="260"/>
      <c r="I389" s="309"/>
      <c r="J389" s="199">
        <v>1</v>
      </c>
      <c r="K389" s="269"/>
      <c r="L389" s="93">
        <f t="shared" si="133"/>
        <v>5</v>
      </c>
      <c r="M389" s="183">
        <v>5</v>
      </c>
      <c r="N389" s="95">
        <f t="shared" si="134"/>
        <v>190</v>
      </c>
      <c r="O389" s="95">
        <f t="shared" si="135"/>
        <v>190</v>
      </c>
      <c r="P389" s="94">
        <f t="shared" si="136"/>
        <v>0</v>
      </c>
      <c r="Q389" s="95">
        <f t="shared" si="137"/>
        <v>0</v>
      </c>
      <c r="R389" s="96"/>
      <c r="S389" s="97">
        <f t="shared" si="138"/>
        <v>7</v>
      </c>
      <c r="T389" s="98">
        <f t="shared" si="139"/>
        <v>-2</v>
      </c>
      <c r="U389">
        <v>7</v>
      </c>
    </row>
    <row r="390" spans="2:31" ht="20.100000000000001" customHeight="1">
      <c r="B390" s="88">
        <v>4</v>
      </c>
      <c r="C390" s="89" t="s">
        <v>1121</v>
      </c>
      <c r="D390" s="90" t="s">
        <v>1214</v>
      </c>
      <c r="E390" s="91" t="s">
        <v>1215</v>
      </c>
      <c r="F390" s="315">
        <v>38</v>
      </c>
      <c r="G390" s="260"/>
      <c r="H390" s="260"/>
      <c r="I390" s="309"/>
      <c r="J390" s="199"/>
      <c r="K390" s="269"/>
      <c r="L390" s="93">
        <f t="shared" si="133"/>
        <v>0</v>
      </c>
      <c r="M390" s="183"/>
      <c r="N390" s="95">
        <f t="shared" si="134"/>
        <v>0</v>
      </c>
      <c r="O390" s="95">
        <f t="shared" si="135"/>
        <v>0</v>
      </c>
      <c r="P390" s="94">
        <f t="shared" si="136"/>
        <v>0</v>
      </c>
      <c r="Q390" s="95">
        <f t="shared" si="137"/>
        <v>0</v>
      </c>
      <c r="R390" s="96"/>
      <c r="S390" s="97">
        <f t="shared" si="138"/>
        <v>0</v>
      </c>
      <c r="T390" s="98">
        <f t="shared" si="139"/>
        <v>0</v>
      </c>
    </row>
    <row r="391" spans="2:31" ht="20.100000000000001" customHeight="1">
      <c r="B391" s="88">
        <v>4</v>
      </c>
      <c r="C391" s="89" t="s">
        <v>1121</v>
      </c>
      <c r="D391" s="90" t="s">
        <v>1216</v>
      </c>
      <c r="E391" s="91" t="s">
        <v>1217</v>
      </c>
      <c r="F391" s="315">
        <v>38</v>
      </c>
      <c r="G391" s="260">
        <v>11</v>
      </c>
      <c r="H391" s="260">
        <f>2+9</f>
        <v>11</v>
      </c>
      <c r="I391" s="309"/>
      <c r="J391" s="199">
        <v>8</v>
      </c>
      <c r="K391" s="269">
        <v>2</v>
      </c>
      <c r="L391" s="93">
        <f t="shared" ref="L391:L451" si="158">G391+I391-J391-K391+H391</f>
        <v>12</v>
      </c>
      <c r="M391" s="183">
        <f>4+8</f>
        <v>12</v>
      </c>
      <c r="N391" s="95">
        <f t="shared" si="134"/>
        <v>456</v>
      </c>
      <c r="O391" s="95">
        <f t="shared" si="135"/>
        <v>456</v>
      </c>
      <c r="P391" s="94">
        <f t="shared" si="136"/>
        <v>0</v>
      </c>
      <c r="Q391" s="95">
        <f t="shared" si="137"/>
        <v>0</v>
      </c>
      <c r="R391" s="96" t="s">
        <v>1218</v>
      </c>
      <c r="S391" s="97">
        <f t="shared" si="138"/>
        <v>12</v>
      </c>
      <c r="T391" s="98">
        <f t="shared" si="139"/>
        <v>0</v>
      </c>
      <c r="U391">
        <v>4</v>
      </c>
      <c r="W391">
        <v>8</v>
      </c>
      <c r="X391" t="s">
        <v>549</v>
      </c>
      <c r="AD391">
        <f>W391</f>
        <v>8</v>
      </c>
      <c r="AE391" s="100">
        <f>AD391*F391</f>
        <v>304</v>
      </c>
    </row>
    <row r="392" spans="2:31" ht="20.100000000000001" customHeight="1">
      <c r="B392" s="88">
        <v>4</v>
      </c>
      <c r="C392" s="89" t="s">
        <v>1121</v>
      </c>
      <c r="D392" s="90" t="s">
        <v>1219</v>
      </c>
      <c r="E392" s="91" t="s">
        <v>1220</v>
      </c>
      <c r="F392" s="315">
        <v>38</v>
      </c>
      <c r="G392" s="260">
        <v>11</v>
      </c>
      <c r="H392" s="260">
        <f>2+5</f>
        <v>7</v>
      </c>
      <c r="I392" s="309"/>
      <c r="J392" s="199">
        <v>8</v>
      </c>
      <c r="K392" s="269">
        <v>2</v>
      </c>
      <c r="L392" s="93">
        <f t="shared" si="158"/>
        <v>8</v>
      </c>
      <c r="M392" s="183">
        <v>8</v>
      </c>
      <c r="N392" s="95">
        <f t="shared" ref="N392:N447" si="159">F392*L392</f>
        <v>304</v>
      </c>
      <c r="O392" s="95">
        <f t="shared" ref="O392:O447" si="160">M392*F392</f>
        <v>304</v>
      </c>
      <c r="P392" s="94">
        <f t="shared" ref="P392:P447" si="161">L392-M392</f>
        <v>0</v>
      </c>
      <c r="Q392" s="95">
        <f t="shared" ref="Q392:Q447" si="162">N392-O392</f>
        <v>0</v>
      </c>
      <c r="R392" s="96" t="s">
        <v>1221</v>
      </c>
      <c r="S392" s="97">
        <f t="shared" ref="S392:S447" si="163">U392+Y392+W392+AA392</f>
        <v>11</v>
      </c>
      <c r="T392" s="98">
        <f t="shared" ref="T392:T446" si="164">M392-S392</f>
        <v>-3</v>
      </c>
      <c r="U392">
        <v>3</v>
      </c>
      <c r="W392">
        <v>8</v>
      </c>
      <c r="X392" t="s">
        <v>549</v>
      </c>
      <c r="AD392">
        <f>W392</f>
        <v>8</v>
      </c>
      <c r="AE392" s="100">
        <f>AD392*F392</f>
        <v>304</v>
      </c>
    </row>
    <row r="393" spans="2:31" ht="20.100000000000001" customHeight="1">
      <c r="B393" s="88">
        <v>4</v>
      </c>
      <c r="C393" s="89" t="s">
        <v>1121</v>
      </c>
      <c r="D393" s="90" t="s">
        <v>1222</v>
      </c>
      <c r="E393" s="91" t="s">
        <v>1223</v>
      </c>
      <c r="F393" s="315">
        <v>38</v>
      </c>
      <c r="G393" s="260">
        <v>7</v>
      </c>
      <c r="H393" s="260"/>
      <c r="I393" s="309"/>
      <c r="J393" s="199">
        <v>3</v>
      </c>
      <c r="K393" s="269"/>
      <c r="L393" s="93">
        <f t="shared" si="158"/>
        <v>4</v>
      </c>
      <c r="M393" s="183">
        <v>4</v>
      </c>
      <c r="N393" s="95">
        <f t="shared" si="159"/>
        <v>152</v>
      </c>
      <c r="O393" s="95">
        <f t="shared" si="160"/>
        <v>152</v>
      </c>
      <c r="P393" s="94">
        <f t="shared" si="161"/>
        <v>0</v>
      </c>
      <c r="Q393" s="95">
        <f t="shared" si="162"/>
        <v>0</v>
      </c>
      <c r="R393" s="96" t="s">
        <v>1224</v>
      </c>
      <c r="S393" s="97">
        <f t="shared" si="163"/>
        <v>8</v>
      </c>
      <c r="T393" s="98">
        <f t="shared" si="164"/>
        <v>-4</v>
      </c>
      <c r="U393">
        <v>4</v>
      </c>
      <c r="W393">
        <v>4</v>
      </c>
      <c r="X393" t="s">
        <v>957</v>
      </c>
      <c r="AD393">
        <f>W393</f>
        <v>4</v>
      </c>
      <c r="AE393" s="100">
        <f>AD393*F393</f>
        <v>152</v>
      </c>
    </row>
    <row r="394" spans="2:31" ht="20.100000000000001" customHeight="1">
      <c r="B394" s="88">
        <v>4</v>
      </c>
      <c r="C394" s="89" t="s">
        <v>1121</v>
      </c>
      <c r="D394" s="90" t="s">
        <v>1225</v>
      </c>
      <c r="E394" s="91" t="s">
        <v>1226</v>
      </c>
      <c r="F394" s="315">
        <v>38</v>
      </c>
      <c r="G394" s="260">
        <v>1</v>
      </c>
      <c r="H394" s="260">
        <v>1</v>
      </c>
      <c r="I394" s="309"/>
      <c r="J394" s="199">
        <v>1</v>
      </c>
      <c r="K394" s="269"/>
      <c r="L394" s="93">
        <f t="shared" si="158"/>
        <v>1</v>
      </c>
      <c r="M394" s="183">
        <v>1</v>
      </c>
      <c r="N394" s="95">
        <f t="shared" si="159"/>
        <v>38</v>
      </c>
      <c r="O394" s="95">
        <f t="shared" si="160"/>
        <v>38</v>
      </c>
      <c r="P394" s="94">
        <f t="shared" si="161"/>
        <v>0</v>
      </c>
      <c r="Q394" s="95">
        <f t="shared" si="162"/>
        <v>0</v>
      </c>
      <c r="R394" s="102">
        <v>45427</v>
      </c>
      <c r="S394" s="97">
        <f t="shared" si="163"/>
        <v>1</v>
      </c>
      <c r="T394" s="98">
        <f t="shared" si="164"/>
        <v>0</v>
      </c>
      <c r="W394">
        <v>1</v>
      </c>
      <c r="X394" t="s">
        <v>549</v>
      </c>
      <c r="AD394">
        <f>W394</f>
        <v>1</v>
      </c>
      <c r="AE394" s="100">
        <f>AD394*F394</f>
        <v>38</v>
      </c>
    </row>
    <row r="395" spans="2:31" ht="20.100000000000001" customHeight="1">
      <c r="B395" s="88">
        <v>4</v>
      </c>
      <c r="C395" s="89" t="s">
        <v>1121</v>
      </c>
      <c r="D395" s="90" t="s">
        <v>1227</v>
      </c>
      <c r="E395" s="91" t="s">
        <v>1228</v>
      </c>
      <c r="F395" s="315">
        <v>38</v>
      </c>
      <c r="G395" s="260"/>
      <c r="H395" s="260"/>
      <c r="I395" s="309"/>
      <c r="J395" s="199"/>
      <c r="K395" s="269"/>
      <c r="L395" s="93">
        <f t="shared" si="158"/>
        <v>0</v>
      </c>
      <c r="M395" s="183"/>
      <c r="N395" s="95">
        <f t="shared" si="159"/>
        <v>0</v>
      </c>
      <c r="O395" s="95">
        <f t="shared" si="160"/>
        <v>0</v>
      </c>
      <c r="P395" s="94">
        <f t="shared" si="161"/>
        <v>0</v>
      </c>
      <c r="Q395" s="95">
        <f t="shared" si="162"/>
        <v>0</v>
      </c>
      <c r="R395" s="96"/>
      <c r="S395" s="97">
        <f t="shared" si="163"/>
        <v>1</v>
      </c>
      <c r="T395" s="98">
        <f t="shared" si="164"/>
        <v>-1</v>
      </c>
      <c r="U395">
        <v>1</v>
      </c>
    </row>
    <row r="396" spans="2:31" ht="20.100000000000001" customHeight="1">
      <c r="B396" s="88">
        <v>4</v>
      </c>
      <c r="C396" s="89" t="s">
        <v>1121</v>
      </c>
      <c r="D396" s="90" t="s">
        <v>1229</v>
      </c>
      <c r="E396" s="91" t="s">
        <v>1230</v>
      </c>
      <c r="F396" s="315">
        <v>38</v>
      </c>
      <c r="G396" s="260">
        <v>6</v>
      </c>
      <c r="H396" s="260"/>
      <c r="I396" s="309"/>
      <c r="J396" s="199"/>
      <c r="K396" s="269">
        <v>1</v>
      </c>
      <c r="L396" s="93">
        <f t="shared" si="158"/>
        <v>5</v>
      </c>
      <c r="M396" s="183">
        <v>4</v>
      </c>
      <c r="N396" s="95">
        <f t="shared" si="159"/>
        <v>190</v>
      </c>
      <c r="O396" s="95">
        <f t="shared" si="160"/>
        <v>152</v>
      </c>
      <c r="P396" s="94">
        <f t="shared" si="161"/>
        <v>1</v>
      </c>
      <c r="Q396" s="95">
        <f t="shared" si="162"/>
        <v>38</v>
      </c>
      <c r="R396" s="96" t="s">
        <v>1231</v>
      </c>
      <c r="S396" s="97">
        <f t="shared" si="163"/>
        <v>6</v>
      </c>
      <c r="T396" s="98">
        <f t="shared" si="164"/>
        <v>-2</v>
      </c>
      <c r="U396">
        <v>5</v>
      </c>
      <c r="W396">
        <v>1</v>
      </c>
      <c r="X396" t="s">
        <v>555</v>
      </c>
      <c r="AD396">
        <f>W396</f>
        <v>1</v>
      </c>
      <c r="AE396" s="100">
        <f>AD396*F396</f>
        <v>38</v>
      </c>
    </row>
    <row r="397" spans="2:31" ht="20.100000000000001" customHeight="1">
      <c r="B397" s="88">
        <v>4</v>
      </c>
      <c r="C397" s="89" t="s">
        <v>1121</v>
      </c>
      <c r="D397" s="90" t="s">
        <v>1232</v>
      </c>
      <c r="E397" s="91" t="s">
        <v>1233</v>
      </c>
      <c r="F397" s="315">
        <v>38</v>
      </c>
      <c r="G397" s="260"/>
      <c r="H397" s="260">
        <v>3</v>
      </c>
      <c r="I397" s="309"/>
      <c r="J397" s="199"/>
      <c r="K397" s="269">
        <v>3</v>
      </c>
      <c r="L397" s="93">
        <f t="shared" si="158"/>
        <v>0</v>
      </c>
      <c r="M397" s="183"/>
      <c r="N397" s="95">
        <f t="shared" si="159"/>
        <v>0</v>
      </c>
      <c r="O397" s="95">
        <f t="shared" si="160"/>
        <v>0</v>
      </c>
      <c r="P397" s="94">
        <f t="shared" si="161"/>
        <v>0</v>
      </c>
      <c r="Q397" s="95">
        <f t="shared" si="162"/>
        <v>0</v>
      </c>
      <c r="R397" s="96"/>
      <c r="S397" s="97">
        <f t="shared" si="163"/>
        <v>0</v>
      </c>
      <c r="T397" s="98">
        <f t="shared" si="164"/>
        <v>0</v>
      </c>
    </row>
    <row r="398" spans="2:31" ht="20.100000000000001" customHeight="1">
      <c r="B398" s="88">
        <v>4</v>
      </c>
      <c r="C398" s="89" t="s">
        <v>1121</v>
      </c>
      <c r="D398" s="90" t="s">
        <v>1234</v>
      </c>
      <c r="E398" s="91" t="s">
        <v>1235</v>
      </c>
      <c r="F398" s="315">
        <v>3.94</v>
      </c>
      <c r="G398" s="260">
        <v>16</v>
      </c>
      <c r="H398" s="260"/>
      <c r="I398" s="309"/>
      <c r="J398" s="199"/>
      <c r="K398" s="269">
        <v>6</v>
      </c>
      <c r="L398" s="93">
        <f t="shared" si="158"/>
        <v>10</v>
      </c>
      <c r="M398" s="183">
        <v>10</v>
      </c>
      <c r="N398" s="95">
        <f t="shared" si="159"/>
        <v>39.4</v>
      </c>
      <c r="O398" s="95">
        <f t="shared" si="160"/>
        <v>39.4</v>
      </c>
      <c r="P398" s="94">
        <f t="shared" si="161"/>
        <v>0</v>
      </c>
      <c r="Q398" s="95">
        <f t="shared" si="162"/>
        <v>0</v>
      </c>
      <c r="R398" s="96"/>
      <c r="S398" s="97">
        <f t="shared" si="163"/>
        <v>16</v>
      </c>
      <c r="T398" s="98">
        <f t="shared" si="164"/>
        <v>-6</v>
      </c>
      <c r="U398">
        <v>16</v>
      </c>
    </row>
    <row r="399" spans="2:31" ht="20.100000000000001" customHeight="1">
      <c r="B399" s="88">
        <v>4</v>
      </c>
      <c r="C399" s="89" t="s">
        <v>1121</v>
      </c>
      <c r="D399" s="90" t="s">
        <v>1236</v>
      </c>
      <c r="E399" s="91" t="s">
        <v>1237</v>
      </c>
      <c r="F399" s="315">
        <v>31.52</v>
      </c>
      <c r="G399" s="260"/>
      <c r="H399" s="260"/>
      <c r="I399" s="309"/>
      <c r="J399" s="199"/>
      <c r="K399" s="269"/>
      <c r="L399" s="93">
        <f t="shared" si="158"/>
        <v>0</v>
      </c>
      <c r="M399" s="183"/>
      <c r="N399" s="95">
        <f t="shared" si="159"/>
        <v>0</v>
      </c>
      <c r="O399" s="95">
        <f t="shared" si="160"/>
        <v>0</v>
      </c>
      <c r="P399" s="94">
        <f t="shared" si="161"/>
        <v>0</v>
      </c>
      <c r="Q399" s="95">
        <f t="shared" si="162"/>
        <v>0</v>
      </c>
      <c r="R399" s="96"/>
      <c r="S399" s="97">
        <f t="shared" si="163"/>
        <v>2</v>
      </c>
      <c r="T399" s="98">
        <f t="shared" si="164"/>
        <v>-2</v>
      </c>
      <c r="U399">
        <v>2</v>
      </c>
    </row>
    <row r="400" spans="2:31" ht="20.100000000000001" customHeight="1">
      <c r="B400" s="88">
        <v>4</v>
      </c>
      <c r="C400" s="89" t="s">
        <v>1121</v>
      </c>
      <c r="D400" s="90" t="s">
        <v>1238</v>
      </c>
      <c r="E400" s="91" t="s">
        <v>1239</v>
      </c>
      <c r="F400" s="315">
        <v>21.48</v>
      </c>
      <c r="G400" s="260">
        <v>2</v>
      </c>
      <c r="H400" s="260"/>
      <c r="I400" s="309"/>
      <c r="J400" s="199"/>
      <c r="K400" s="269"/>
      <c r="L400" s="93">
        <f t="shared" si="158"/>
        <v>2</v>
      </c>
      <c r="M400" s="183">
        <v>2</v>
      </c>
      <c r="N400" s="95">
        <f t="shared" si="159"/>
        <v>42.96</v>
      </c>
      <c r="O400" s="95">
        <f t="shared" si="160"/>
        <v>42.96</v>
      </c>
      <c r="P400" s="94">
        <f t="shared" si="161"/>
        <v>0</v>
      </c>
      <c r="Q400" s="95">
        <f t="shared" si="162"/>
        <v>0</v>
      </c>
      <c r="R400" s="96" t="s">
        <v>1240</v>
      </c>
      <c r="S400" s="97">
        <f t="shared" si="163"/>
        <v>2</v>
      </c>
      <c r="T400" s="98">
        <f t="shared" si="164"/>
        <v>0</v>
      </c>
      <c r="W400">
        <f>1+1</f>
        <v>2</v>
      </c>
      <c r="X400" t="s">
        <v>555</v>
      </c>
      <c r="AD400">
        <f t="shared" ref="AD400:AD401" si="165">W400</f>
        <v>2</v>
      </c>
      <c r="AE400" s="100">
        <f>AD400*F400</f>
        <v>42.96</v>
      </c>
    </row>
    <row r="401" spans="2:31" ht="20.100000000000001" customHeight="1">
      <c r="B401" s="88">
        <v>4</v>
      </c>
      <c r="C401" s="89" t="s">
        <v>1121</v>
      </c>
      <c r="D401" s="90" t="s">
        <v>1241</v>
      </c>
      <c r="E401" s="91" t="s">
        <v>1242</v>
      </c>
      <c r="F401" s="315">
        <v>21.48</v>
      </c>
      <c r="G401" s="260">
        <v>14</v>
      </c>
      <c r="H401" s="260"/>
      <c r="I401" s="309"/>
      <c r="J401" s="199"/>
      <c r="K401" s="269"/>
      <c r="L401" s="93">
        <f t="shared" si="158"/>
        <v>14</v>
      </c>
      <c r="M401" s="183">
        <v>14</v>
      </c>
      <c r="N401" s="95">
        <f t="shared" si="159"/>
        <v>300.72000000000003</v>
      </c>
      <c r="O401" s="95">
        <f t="shared" si="160"/>
        <v>300.72000000000003</v>
      </c>
      <c r="P401" s="94">
        <f t="shared" si="161"/>
        <v>0</v>
      </c>
      <c r="Q401" s="95">
        <f t="shared" si="162"/>
        <v>0</v>
      </c>
      <c r="R401" s="102">
        <v>45421</v>
      </c>
      <c r="S401" s="97">
        <f t="shared" si="163"/>
        <v>14</v>
      </c>
      <c r="T401" s="98">
        <f t="shared" si="164"/>
        <v>0</v>
      </c>
      <c r="W401">
        <v>14</v>
      </c>
      <c r="X401" t="s">
        <v>549</v>
      </c>
      <c r="AD401">
        <f t="shared" si="165"/>
        <v>14</v>
      </c>
      <c r="AE401" s="100">
        <f>AD401*F401</f>
        <v>300.72000000000003</v>
      </c>
    </row>
    <row r="402" spans="2:31" ht="20.100000000000001" customHeight="1">
      <c r="B402" s="88">
        <v>4</v>
      </c>
      <c r="C402" s="89" t="s">
        <v>1121</v>
      </c>
      <c r="D402" s="90" t="s">
        <v>1243</v>
      </c>
      <c r="E402" s="91" t="s">
        <v>1244</v>
      </c>
      <c r="F402" s="315">
        <v>15.5</v>
      </c>
      <c r="G402" s="260"/>
      <c r="H402" s="260"/>
      <c r="I402" s="309"/>
      <c r="J402" s="199"/>
      <c r="K402" s="269"/>
      <c r="L402" s="93">
        <f t="shared" si="158"/>
        <v>0</v>
      </c>
      <c r="M402" s="183"/>
      <c r="N402" s="95">
        <f t="shared" si="159"/>
        <v>0</v>
      </c>
      <c r="O402" s="95">
        <f t="shared" si="160"/>
        <v>0</v>
      </c>
      <c r="P402" s="94">
        <f t="shared" si="161"/>
        <v>0</v>
      </c>
      <c r="Q402" s="95">
        <f t="shared" si="162"/>
        <v>0</v>
      </c>
      <c r="R402" s="96"/>
      <c r="S402" s="97">
        <f t="shared" si="163"/>
        <v>0</v>
      </c>
      <c r="T402" s="98">
        <f t="shared" si="164"/>
        <v>0</v>
      </c>
    </row>
    <row r="403" spans="2:31" ht="20.100000000000001" customHeight="1">
      <c r="B403" s="88">
        <v>4</v>
      </c>
      <c r="C403" s="89" t="s">
        <v>1121</v>
      </c>
      <c r="D403" s="90" t="s">
        <v>1245</v>
      </c>
      <c r="E403" s="91" t="s">
        <v>1246</v>
      </c>
      <c r="F403" s="315">
        <v>23.97</v>
      </c>
      <c r="G403" s="260">
        <v>1</v>
      </c>
      <c r="H403" s="260"/>
      <c r="I403" s="309"/>
      <c r="J403" s="199">
        <v>1</v>
      </c>
      <c r="K403" s="269"/>
      <c r="L403" s="93">
        <f t="shared" si="158"/>
        <v>0</v>
      </c>
      <c r="M403" s="183"/>
      <c r="N403" s="95">
        <f t="shared" si="159"/>
        <v>0</v>
      </c>
      <c r="O403" s="95">
        <f t="shared" si="160"/>
        <v>0</v>
      </c>
      <c r="P403" s="94">
        <f t="shared" si="161"/>
        <v>0</v>
      </c>
      <c r="Q403" s="95">
        <f t="shared" si="162"/>
        <v>0</v>
      </c>
      <c r="R403" s="96"/>
      <c r="S403" s="97">
        <f t="shared" si="163"/>
        <v>1</v>
      </c>
      <c r="T403" s="98">
        <f t="shared" si="164"/>
        <v>-1</v>
      </c>
      <c r="U403">
        <v>1</v>
      </c>
    </row>
    <row r="404" spans="2:31" ht="20.100000000000001" customHeight="1">
      <c r="B404" s="88">
        <v>4</v>
      </c>
      <c r="C404" s="89" t="s">
        <v>1121</v>
      </c>
      <c r="D404" s="90" t="s">
        <v>1247</v>
      </c>
      <c r="E404" s="91" t="s">
        <v>1248</v>
      </c>
      <c r="F404" s="315">
        <v>23.72</v>
      </c>
      <c r="G404" s="260"/>
      <c r="H404" s="260"/>
      <c r="I404" s="309"/>
      <c r="J404" s="199"/>
      <c r="K404" s="269"/>
      <c r="L404" s="93">
        <f t="shared" si="158"/>
        <v>0</v>
      </c>
      <c r="M404" s="183"/>
      <c r="N404" s="95">
        <f t="shared" si="159"/>
        <v>0</v>
      </c>
      <c r="O404" s="95">
        <f t="shared" si="160"/>
        <v>0</v>
      </c>
      <c r="P404" s="94">
        <f t="shared" si="161"/>
        <v>0</v>
      </c>
      <c r="Q404" s="95">
        <f t="shared" si="162"/>
        <v>0</v>
      </c>
      <c r="R404" s="96"/>
      <c r="S404" s="97">
        <f t="shared" si="163"/>
        <v>0</v>
      </c>
      <c r="T404" s="98">
        <f t="shared" si="164"/>
        <v>0</v>
      </c>
    </row>
    <row r="405" spans="2:31" ht="20.100000000000001" customHeight="1">
      <c r="B405" s="88">
        <v>4</v>
      </c>
      <c r="C405" s="89" t="s">
        <v>1121</v>
      </c>
      <c r="D405" s="90" t="s">
        <v>1249</v>
      </c>
      <c r="E405" s="91" t="s">
        <v>1250</v>
      </c>
      <c r="F405" s="315">
        <v>23.72</v>
      </c>
      <c r="G405" s="260"/>
      <c r="H405" s="260"/>
      <c r="I405" s="309"/>
      <c r="J405" s="199"/>
      <c r="K405" s="269"/>
      <c r="L405" s="93">
        <f t="shared" si="158"/>
        <v>0</v>
      </c>
      <c r="M405" s="183"/>
      <c r="N405" s="95">
        <f t="shared" si="159"/>
        <v>0</v>
      </c>
      <c r="O405" s="95">
        <f t="shared" si="160"/>
        <v>0</v>
      </c>
      <c r="P405" s="94">
        <f t="shared" si="161"/>
        <v>0</v>
      </c>
      <c r="Q405" s="95">
        <f t="shared" si="162"/>
        <v>0</v>
      </c>
      <c r="R405" s="96"/>
      <c r="S405" s="97">
        <f t="shared" si="163"/>
        <v>0</v>
      </c>
      <c r="T405" s="98">
        <f t="shared" si="164"/>
        <v>0</v>
      </c>
    </row>
    <row r="406" spans="2:31" ht="20.100000000000001" customHeight="1">
      <c r="B406" s="88">
        <v>4</v>
      </c>
      <c r="C406" s="89" t="s">
        <v>1121</v>
      </c>
      <c r="D406" s="90" t="s">
        <v>1251</v>
      </c>
      <c r="E406" s="91" t="s">
        <v>1252</v>
      </c>
      <c r="F406" s="315">
        <v>34.270000000000003</v>
      </c>
      <c r="G406" s="260">
        <v>1</v>
      </c>
      <c r="H406" s="260"/>
      <c r="I406" s="309"/>
      <c r="J406" s="199"/>
      <c r="K406" s="269"/>
      <c r="L406" s="93">
        <f t="shared" si="158"/>
        <v>1</v>
      </c>
      <c r="M406" s="183">
        <v>1</v>
      </c>
      <c r="N406" s="95">
        <f t="shared" si="159"/>
        <v>34.270000000000003</v>
      </c>
      <c r="O406" s="95">
        <f t="shared" si="160"/>
        <v>34.270000000000003</v>
      </c>
      <c r="P406" s="94">
        <f t="shared" si="161"/>
        <v>0</v>
      </c>
      <c r="Q406" s="95">
        <f t="shared" si="162"/>
        <v>0</v>
      </c>
      <c r="R406" s="96"/>
      <c r="S406" s="97">
        <f t="shared" si="163"/>
        <v>3</v>
      </c>
      <c r="T406" s="98">
        <f t="shared" si="164"/>
        <v>-2</v>
      </c>
      <c r="U406">
        <v>3</v>
      </c>
    </row>
    <row r="407" spans="2:31" ht="20.100000000000001" customHeight="1">
      <c r="B407" s="88">
        <v>4</v>
      </c>
      <c r="C407" s="89" t="s">
        <v>1121</v>
      </c>
      <c r="D407" s="90" t="s">
        <v>1253</v>
      </c>
      <c r="E407" s="91" t="s">
        <v>1254</v>
      </c>
      <c r="F407" s="315">
        <v>11.32</v>
      </c>
      <c r="G407" s="260"/>
      <c r="H407" s="260"/>
      <c r="I407" s="309"/>
      <c r="J407" s="199"/>
      <c r="K407" s="269"/>
      <c r="L407" s="93">
        <f t="shared" si="158"/>
        <v>0</v>
      </c>
      <c r="M407" s="183"/>
      <c r="N407" s="95">
        <f t="shared" si="159"/>
        <v>0</v>
      </c>
      <c r="O407" s="95">
        <f t="shared" si="160"/>
        <v>0</v>
      </c>
      <c r="P407" s="94">
        <f t="shared" si="161"/>
        <v>0</v>
      </c>
      <c r="Q407" s="95">
        <f t="shared" si="162"/>
        <v>0</v>
      </c>
      <c r="R407" s="96"/>
      <c r="S407" s="97">
        <f t="shared" si="163"/>
        <v>0</v>
      </c>
      <c r="T407" s="98">
        <f t="shared" si="164"/>
        <v>0</v>
      </c>
    </row>
    <row r="408" spans="2:31" ht="20.100000000000001" customHeight="1">
      <c r="B408" s="88">
        <v>4</v>
      </c>
      <c r="C408" s="89" t="s">
        <v>1121</v>
      </c>
      <c r="D408" s="90" t="s">
        <v>1255</v>
      </c>
      <c r="E408" s="91" t="s">
        <v>1256</v>
      </c>
      <c r="F408" s="315">
        <v>29.9</v>
      </c>
      <c r="G408" s="260">
        <v>14</v>
      </c>
      <c r="H408" s="260"/>
      <c r="I408" s="309"/>
      <c r="J408" s="199"/>
      <c r="K408" s="269">
        <v>2</v>
      </c>
      <c r="L408" s="93">
        <f t="shared" si="158"/>
        <v>12</v>
      </c>
      <c r="M408" s="183">
        <v>12</v>
      </c>
      <c r="N408" s="95">
        <f t="shared" si="159"/>
        <v>358.79999999999995</v>
      </c>
      <c r="O408" s="95">
        <f t="shared" si="160"/>
        <v>358.79999999999995</v>
      </c>
      <c r="P408" s="94">
        <f t="shared" si="161"/>
        <v>0</v>
      </c>
      <c r="Q408" s="95">
        <f t="shared" si="162"/>
        <v>0</v>
      </c>
      <c r="R408" s="96"/>
      <c r="S408" s="97">
        <f t="shared" si="163"/>
        <v>25</v>
      </c>
      <c r="T408" s="98">
        <f t="shared" si="164"/>
        <v>-13</v>
      </c>
      <c r="U408">
        <v>25</v>
      </c>
    </row>
    <row r="409" spans="2:31" ht="20.100000000000001" customHeight="1">
      <c r="B409" s="88">
        <v>4</v>
      </c>
      <c r="C409" s="89" t="s">
        <v>1121</v>
      </c>
      <c r="D409" s="90" t="s">
        <v>1257</v>
      </c>
      <c r="E409" s="91" t="s">
        <v>1258</v>
      </c>
      <c r="F409" s="315">
        <v>46.3</v>
      </c>
      <c r="G409" s="260">
        <v>19</v>
      </c>
      <c r="H409" s="260"/>
      <c r="I409" s="309"/>
      <c r="J409" s="199"/>
      <c r="K409" s="269">
        <v>1</v>
      </c>
      <c r="L409" s="93">
        <f t="shared" si="158"/>
        <v>18</v>
      </c>
      <c r="M409" s="183">
        <v>18</v>
      </c>
      <c r="N409" s="95">
        <f t="shared" si="159"/>
        <v>833.4</v>
      </c>
      <c r="O409" s="95">
        <f t="shared" si="160"/>
        <v>833.4</v>
      </c>
      <c r="P409" s="94">
        <f t="shared" si="161"/>
        <v>0</v>
      </c>
      <c r="Q409" s="95">
        <f t="shared" si="162"/>
        <v>0</v>
      </c>
      <c r="R409" s="96"/>
      <c r="S409" s="97">
        <f t="shared" si="163"/>
        <v>20</v>
      </c>
      <c r="T409" s="98">
        <f t="shared" si="164"/>
        <v>-2</v>
      </c>
      <c r="U409">
        <v>20</v>
      </c>
    </row>
    <row r="410" spans="2:31" ht="20.100000000000001" customHeight="1">
      <c r="B410" s="88">
        <v>4</v>
      </c>
      <c r="C410" s="89" t="s">
        <v>1121</v>
      </c>
      <c r="D410" s="90" t="s">
        <v>1259</v>
      </c>
      <c r="E410" s="91" t="s">
        <v>1260</v>
      </c>
      <c r="F410" s="315">
        <v>58.84</v>
      </c>
      <c r="G410" s="260">
        <v>7</v>
      </c>
      <c r="H410" s="260"/>
      <c r="I410" s="309">
        <v>12</v>
      </c>
      <c r="J410" s="199"/>
      <c r="K410" s="269">
        <v>6</v>
      </c>
      <c r="L410" s="93">
        <f t="shared" si="158"/>
        <v>13</v>
      </c>
      <c r="M410" s="183">
        <v>13</v>
      </c>
      <c r="N410" s="95">
        <f t="shared" si="159"/>
        <v>764.92000000000007</v>
      </c>
      <c r="O410" s="95">
        <f t="shared" si="160"/>
        <v>764.92000000000007</v>
      </c>
      <c r="P410" s="94">
        <f t="shared" si="161"/>
        <v>0</v>
      </c>
      <c r="Q410" s="95">
        <f t="shared" si="162"/>
        <v>0</v>
      </c>
      <c r="R410" s="96"/>
      <c r="S410" s="97">
        <f t="shared" si="163"/>
        <v>9</v>
      </c>
      <c r="T410" s="98">
        <f t="shared" si="164"/>
        <v>4</v>
      </c>
      <c r="U410">
        <v>9</v>
      </c>
    </row>
    <row r="411" spans="2:31" ht="20.100000000000001" customHeight="1">
      <c r="B411" s="88">
        <v>4</v>
      </c>
      <c r="C411" s="89" t="s">
        <v>1121</v>
      </c>
      <c r="D411" s="90" t="s">
        <v>1261</v>
      </c>
      <c r="E411" s="91" t="s">
        <v>1262</v>
      </c>
      <c r="F411" s="315">
        <v>13.77</v>
      </c>
      <c r="G411" s="260">
        <v>6</v>
      </c>
      <c r="H411" s="260"/>
      <c r="I411" s="309">
        <v>12</v>
      </c>
      <c r="J411" s="199"/>
      <c r="K411" s="269"/>
      <c r="L411" s="93">
        <f t="shared" si="158"/>
        <v>18</v>
      </c>
      <c r="M411" s="277">
        <f>11+1</f>
        <v>12</v>
      </c>
      <c r="N411" s="95">
        <f t="shared" si="159"/>
        <v>247.85999999999999</v>
      </c>
      <c r="O411" s="95">
        <f t="shared" si="160"/>
        <v>165.24</v>
      </c>
      <c r="P411" s="94">
        <f t="shared" si="161"/>
        <v>6</v>
      </c>
      <c r="Q411" s="95">
        <f t="shared" si="162"/>
        <v>82.619999999999976</v>
      </c>
      <c r="R411" s="96"/>
      <c r="S411" s="97">
        <f t="shared" si="163"/>
        <v>18</v>
      </c>
      <c r="T411" s="98">
        <f t="shared" si="164"/>
        <v>-6</v>
      </c>
      <c r="U411">
        <v>18</v>
      </c>
    </row>
    <row r="412" spans="2:31" ht="20.100000000000001" customHeight="1">
      <c r="B412" s="88">
        <v>4</v>
      </c>
      <c r="C412" s="89" t="s">
        <v>1121</v>
      </c>
      <c r="D412" s="90" t="s">
        <v>4984</v>
      </c>
      <c r="E412" s="91" t="s">
        <v>4964</v>
      </c>
      <c r="F412" s="315">
        <v>35.35</v>
      </c>
      <c r="G412" s="260"/>
      <c r="H412" s="260"/>
      <c r="I412" s="309">
        <v>24</v>
      </c>
      <c r="J412" s="199"/>
      <c r="K412" s="269"/>
      <c r="L412" s="93">
        <f t="shared" si="158"/>
        <v>24</v>
      </c>
      <c r="M412" s="183">
        <v>24</v>
      </c>
      <c r="N412" s="95">
        <f t="shared" ref="N412" si="166">F412*L412</f>
        <v>848.40000000000009</v>
      </c>
      <c r="O412" s="95">
        <f t="shared" ref="O412" si="167">M412*F412</f>
        <v>848.40000000000009</v>
      </c>
      <c r="P412" s="94">
        <f t="shared" ref="P412" si="168">L412-M412</f>
        <v>0</v>
      </c>
      <c r="Q412" s="95">
        <f t="shared" ref="Q412" si="169">N412-O412</f>
        <v>0</v>
      </c>
      <c r="R412" s="96"/>
      <c r="S412" s="97">
        <f t="shared" ref="S412" si="170">U412+Y412+W412+AA412</f>
        <v>18</v>
      </c>
      <c r="T412" s="98">
        <f t="shared" ref="T412" si="171">M412-S412</f>
        <v>6</v>
      </c>
      <c r="U412">
        <v>18</v>
      </c>
    </row>
    <row r="413" spans="2:31" ht="20.100000000000001" customHeight="1">
      <c r="B413" s="88">
        <v>4</v>
      </c>
      <c r="C413" s="89" t="s">
        <v>1121</v>
      </c>
      <c r="D413" s="90" t="s">
        <v>4879</v>
      </c>
      <c r="E413" s="91" t="s">
        <v>4880</v>
      </c>
      <c r="F413" s="315">
        <v>79.95</v>
      </c>
      <c r="G413" s="260"/>
      <c r="H413" s="260"/>
      <c r="I413" s="309">
        <v>12</v>
      </c>
      <c r="J413" s="199"/>
      <c r="K413" s="269">
        <v>2</v>
      </c>
      <c r="L413" s="93">
        <f t="shared" si="158"/>
        <v>10</v>
      </c>
      <c r="M413" s="183">
        <v>10</v>
      </c>
      <c r="N413" s="95">
        <f t="shared" ref="N413" si="172">F413*L413</f>
        <v>799.5</v>
      </c>
      <c r="O413" s="95">
        <f t="shared" ref="O413" si="173">M413*F413</f>
        <v>799.5</v>
      </c>
      <c r="P413" s="94">
        <f t="shared" ref="P413" si="174">L413-M413</f>
        <v>0</v>
      </c>
      <c r="Q413" s="95">
        <f t="shared" ref="Q413" si="175">N413-O413</f>
        <v>0</v>
      </c>
      <c r="R413" s="96"/>
      <c r="S413" s="97">
        <f t="shared" ref="S413" si="176">U413+Y413+W413+AA413</f>
        <v>18</v>
      </c>
      <c r="T413" s="98">
        <f t="shared" ref="T413" si="177">M413-S413</f>
        <v>-8</v>
      </c>
      <c r="U413">
        <v>18</v>
      </c>
    </row>
    <row r="414" spans="2:31" ht="20.100000000000001" customHeight="1">
      <c r="B414" s="88">
        <v>4</v>
      </c>
      <c r="C414" s="89" t="s">
        <v>1121</v>
      </c>
      <c r="D414" s="90" t="s">
        <v>1263</v>
      </c>
      <c r="E414" s="91" t="s">
        <v>1264</v>
      </c>
      <c r="F414" s="315">
        <v>42</v>
      </c>
      <c r="G414" s="260">
        <v>11</v>
      </c>
      <c r="H414" s="260"/>
      <c r="I414" s="309"/>
      <c r="J414" s="199">
        <v>1</v>
      </c>
      <c r="K414" s="269">
        <v>1</v>
      </c>
      <c r="L414" s="93">
        <f t="shared" si="158"/>
        <v>9</v>
      </c>
      <c r="M414" s="183">
        <v>9</v>
      </c>
      <c r="N414" s="95">
        <f t="shared" si="159"/>
        <v>378</v>
      </c>
      <c r="O414" s="95">
        <f t="shared" si="160"/>
        <v>378</v>
      </c>
      <c r="P414" s="94">
        <f t="shared" si="161"/>
        <v>0</v>
      </c>
      <c r="Q414" s="95">
        <f t="shared" si="162"/>
        <v>0</v>
      </c>
      <c r="R414" s="96"/>
      <c r="S414" s="97">
        <f t="shared" si="163"/>
        <v>6</v>
      </c>
      <c r="T414" s="98">
        <f t="shared" si="164"/>
        <v>3</v>
      </c>
      <c r="U414">
        <v>6</v>
      </c>
    </row>
    <row r="415" spans="2:31" ht="20.100000000000001" customHeight="1">
      <c r="B415" s="88">
        <v>4</v>
      </c>
      <c r="C415" s="89" t="s">
        <v>1121</v>
      </c>
      <c r="D415" s="90" t="s">
        <v>1265</v>
      </c>
      <c r="E415" s="91" t="s">
        <v>1266</v>
      </c>
      <c r="F415" s="315">
        <v>37</v>
      </c>
      <c r="G415" s="260">
        <v>4</v>
      </c>
      <c r="H415" s="260">
        <v>1</v>
      </c>
      <c r="I415" s="309"/>
      <c r="J415" s="199">
        <v>1</v>
      </c>
      <c r="K415" s="269"/>
      <c r="L415" s="93">
        <f t="shared" si="158"/>
        <v>4</v>
      </c>
      <c r="M415" s="183">
        <v>4</v>
      </c>
      <c r="N415" s="95">
        <f t="shared" si="159"/>
        <v>148</v>
      </c>
      <c r="O415" s="95">
        <f t="shared" si="160"/>
        <v>148</v>
      </c>
      <c r="P415" s="94">
        <f t="shared" si="161"/>
        <v>0</v>
      </c>
      <c r="Q415" s="95">
        <f t="shared" si="162"/>
        <v>0</v>
      </c>
      <c r="R415" s="96"/>
      <c r="S415" s="97">
        <f t="shared" si="163"/>
        <v>0</v>
      </c>
      <c r="T415" s="98">
        <f t="shared" si="164"/>
        <v>4</v>
      </c>
    </row>
    <row r="416" spans="2:31" ht="20.100000000000001" customHeight="1">
      <c r="B416" s="88">
        <v>4</v>
      </c>
      <c r="C416" s="89" t="s">
        <v>1121</v>
      </c>
      <c r="D416" s="90" t="s">
        <v>1267</v>
      </c>
      <c r="E416" s="91" t="s">
        <v>1268</v>
      </c>
      <c r="F416" s="315">
        <v>102.9</v>
      </c>
      <c r="G416" s="260">
        <v>1</v>
      </c>
      <c r="H416" s="260"/>
      <c r="I416" s="309"/>
      <c r="J416" s="199"/>
      <c r="K416" s="269"/>
      <c r="L416" s="93">
        <f t="shared" si="158"/>
        <v>1</v>
      </c>
      <c r="M416" s="183">
        <v>1</v>
      </c>
      <c r="N416" s="95">
        <f t="shared" si="159"/>
        <v>102.9</v>
      </c>
      <c r="O416" s="95">
        <f t="shared" si="160"/>
        <v>102.9</v>
      </c>
      <c r="P416" s="94">
        <f t="shared" si="161"/>
        <v>0</v>
      </c>
      <c r="Q416" s="95">
        <f t="shared" si="162"/>
        <v>0</v>
      </c>
      <c r="R416" s="96"/>
      <c r="S416" s="97">
        <f t="shared" si="163"/>
        <v>0</v>
      </c>
      <c r="T416" s="98">
        <f t="shared" si="164"/>
        <v>1</v>
      </c>
    </row>
    <row r="417" spans="2:31" ht="20.100000000000001" customHeight="1">
      <c r="B417" s="88">
        <v>4</v>
      </c>
      <c r="C417" s="89" t="s">
        <v>1121</v>
      </c>
      <c r="D417" s="90" t="s">
        <v>1269</v>
      </c>
      <c r="E417" s="91" t="s">
        <v>1270</v>
      </c>
      <c r="F417" s="315">
        <v>34.270000000000003</v>
      </c>
      <c r="G417" s="260"/>
      <c r="H417" s="260">
        <v>3</v>
      </c>
      <c r="I417" s="309"/>
      <c r="J417" s="199"/>
      <c r="K417" s="269">
        <v>3</v>
      </c>
      <c r="L417" s="93">
        <f t="shared" si="158"/>
        <v>0</v>
      </c>
      <c r="M417" s="183"/>
      <c r="N417" s="95">
        <f t="shared" si="159"/>
        <v>0</v>
      </c>
      <c r="O417" s="95">
        <f t="shared" si="160"/>
        <v>0</v>
      </c>
      <c r="P417" s="94">
        <f t="shared" si="161"/>
        <v>0</v>
      </c>
      <c r="Q417" s="95">
        <f t="shared" si="162"/>
        <v>0</v>
      </c>
      <c r="R417" s="96"/>
      <c r="S417" s="97">
        <f t="shared" si="163"/>
        <v>0</v>
      </c>
      <c r="T417" s="98">
        <f t="shared" si="164"/>
        <v>0</v>
      </c>
    </row>
    <row r="418" spans="2:31" ht="20.100000000000001" customHeight="1">
      <c r="B418" s="88">
        <v>4</v>
      </c>
      <c r="C418" s="89" t="s">
        <v>1121</v>
      </c>
      <c r="D418" s="90" t="s">
        <v>1271</v>
      </c>
      <c r="E418" s="91" t="s">
        <v>1272</v>
      </c>
      <c r="F418" s="315">
        <v>38</v>
      </c>
      <c r="G418" s="260">
        <v>11</v>
      </c>
      <c r="H418" s="260"/>
      <c r="I418" s="309"/>
      <c r="J418" s="199">
        <v>11</v>
      </c>
      <c r="K418" s="269"/>
      <c r="L418" s="93">
        <f t="shared" si="158"/>
        <v>0</v>
      </c>
      <c r="M418" s="183"/>
      <c r="N418" s="95">
        <f t="shared" si="159"/>
        <v>0</v>
      </c>
      <c r="O418" s="95">
        <f t="shared" si="160"/>
        <v>0</v>
      </c>
      <c r="P418" s="94">
        <f t="shared" si="161"/>
        <v>0</v>
      </c>
      <c r="Q418" s="95">
        <f t="shared" si="162"/>
        <v>0</v>
      </c>
      <c r="R418" s="96" t="s">
        <v>1273</v>
      </c>
      <c r="S418" s="97">
        <f t="shared" si="163"/>
        <v>11</v>
      </c>
      <c r="T418" s="98">
        <f t="shared" si="164"/>
        <v>-11</v>
      </c>
      <c r="U418">
        <v>1</v>
      </c>
      <c r="W418">
        <v>10</v>
      </c>
      <c r="X418" t="s">
        <v>549</v>
      </c>
      <c r="AD418">
        <f>W418</f>
        <v>10</v>
      </c>
      <c r="AE418" s="100">
        <f>AD418*F418</f>
        <v>380</v>
      </c>
    </row>
    <row r="419" spans="2:31" ht="20.100000000000001" customHeight="1">
      <c r="B419" s="88">
        <v>4</v>
      </c>
      <c r="C419" s="89" t="s">
        <v>1121</v>
      </c>
      <c r="D419" s="90" t="s">
        <v>1274</v>
      </c>
      <c r="E419" s="91" t="s">
        <v>1275</v>
      </c>
      <c r="F419" s="315">
        <v>38</v>
      </c>
      <c r="G419" s="260">
        <v>5</v>
      </c>
      <c r="H419" s="260"/>
      <c r="I419" s="309"/>
      <c r="J419" s="199">
        <v>5</v>
      </c>
      <c r="K419" s="269"/>
      <c r="L419" s="93">
        <f t="shared" si="158"/>
        <v>0</v>
      </c>
      <c r="M419" s="183"/>
      <c r="N419" s="95">
        <f t="shared" si="159"/>
        <v>0</v>
      </c>
      <c r="O419" s="95">
        <f t="shared" si="160"/>
        <v>0</v>
      </c>
      <c r="P419" s="94">
        <f t="shared" si="161"/>
        <v>0</v>
      </c>
      <c r="Q419" s="95">
        <f t="shared" si="162"/>
        <v>0</v>
      </c>
      <c r="R419" s="102">
        <v>45426</v>
      </c>
      <c r="S419" s="97">
        <f t="shared" si="163"/>
        <v>5</v>
      </c>
      <c r="T419" s="98">
        <f t="shared" si="164"/>
        <v>-5</v>
      </c>
      <c r="W419">
        <v>5</v>
      </c>
      <c r="X419" t="s">
        <v>549</v>
      </c>
      <c r="AD419">
        <f>W419</f>
        <v>5</v>
      </c>
      <c r="AE419" s="100">
        <f>AD419*F419</f>
        <v>190</v>
      </c>
    </row>
    <row r="420" spans="2:31" ht="20.100000000000001" customHeight="1">
      <c r="B420" s="88">
        <v>5</v>
      </c>
      <c r="C420" s="89" t="s">
        <v>1276</v>
      </c>
      <c r="D420" s="90" t="s">
        <v>1277</v>
      </c>
      <c r="E420" s="91" t="s">
        <v>1278</v>
      </c>
      <c r="F420" s="315">
        <v>35.880000000000003</v>
      </c>
      <c r="G420" s="260"/>
      <c r="H420" s="260"/>
      <c r="I420" s="309"/>
      <c r="J420" s="199"/>
      <c r="K420" s="269"/>
      <c r="L420" s="93">
        <f t="shared" si="158"/>
        <v>0</v>
      </c>
      <c r="M420" s="183"/>
      <c r="N420" s="95">
        <f t="shared" si="159"/>
        <v>0</v>
      </c>
      <c r="O420" s="95">
        <f t="shared" si="160"/>
        <v>0</v>
      </c>
      <c r="P420" s="94">
        <f t="shared" si="161"/>
        <v>0</v>
      </c>
      <c r="Q420" s="95">
        <f t="shared" si="162"/>
        <v>0</v>
      </c>
      <c r="R420" s="96"/>
      <c r="S420" s="97">
        <f t="shared" si="163"/>
        <v>0</v>
      </c>
      <c r="T420" s="98">
        <f t="shared" si="164"/>
        <v>0</v>
      </c>
    </row>
    <row r="421" spans="2:31" ht="20.100000000000001" customHeight="1">
      <c r="B421" s="88">
        <v>5</v>
      </c>
      <c r="C421" s="89" t="s">
        <v>1276</v>
      </c>
      <c r="D421" s="90" t="s">
        <v>1279</v>
      </c>
      <c r="E421" s="91" t="s">
        <v>1280</v>
      </c>
      <c r="F421" s="315">
        <v>99.12</v>
      </c>
      <c r="G421" s="260">
        <v>9</v>
      </c>
      <c r="H421" s="260"/>
      <c r="I421" s="309"/>
      <c r="J421" s="199"/>
      <c r="K421" s="269"/>
      <c r="L421" s="93">
        <f t="shared" si="158"/>
        <v>9</v>
      </c>
      <c r="M421" s="183">
        <v>9</v>
      </c>
      <c r="N421" s="95">
        <f t="shared" si="159"/>
        <v>892.08</v>
      </c>
      <c r="O421" s="95">
        <f t="shared" si="160"/>
        <v>892.08</v>
      </c>
      <c r="P421" s="94">
        <f t="shared" si="161"/>
        <v>0</v>
      </c>
      <c r="Q421" s="95">
        <f t="shared" si="162"/>
        <v>0</v>
      </c>
      <c r="R421" s="96"/>
      <c r="S421" s="97">
        <f t="shared" si="163"/>
        <v>9</v>
      </c>
      <c r="T421" s="98">
        <f t="shared" si="164"/>
        <v>0</v>
      </c>
      <c r="AA421">
        <v>9</v>
      </c>
      <c r="AB421" s="99" t="s">
        <v>1281</v>
      </c>
      <c r="AD421">
        <f>AA421</f>
        <v>9</v>
      </c>
      <c r="AE421" s="100">
        <f>AD421*F421</f>
        <v>892.08</v>
      </c>
    </row>
    <row r="422" spans="2:31" ht="20.100000000000001" customHeight="1">
      <c r="B422" s="88">
        <v>5</v>
      </c>
      <c r="C422" s="89" t="s">
        <v>1276</v>
      </c>
      <c r="D422" s="90" t="s">
        <v>1282</v>
      </c>
      <c r="E422" s="91" t="s">
        <v>1283</v>
      </c>
      <c r="F422" s="315">
        <v>8.1999999999999993</v>
      </c>
      <c r="G422" s="260">
        <v>12</v>
      </c>
      <c r="H422" s="260"/>
      <c r="I422" s="309"/>
      <c r="J422" s="199"/>
      <c r="K422" s="269"/>
      <c r="L422" s="93">
        <f t="shared" si="158"/>
        <v>12</v>
      </c>
      <c r="M422" s="183">
        <v>12</v>
      </c>
      <c r="N422" s="95">
        <f t="shared" si="159"/>
        <v>98.399999999999991</v>
      </c>
      <c r="O422" s="95">
        <f t="shared" si="160"/>
        <v>98.399999999999991</v>
      </c>
      <c r="P422" s="94">
        <f t="shared" si="161"/>
        <v>0</v>
      </c>
      <c r="Q422" s="95">
        <f t="shared" si="162"/>
        <v>0</v>
      </c>
      <c r="R422" s="96" t="s">
        <v>1284</v>
      </c>
      <c r="S422" s="97">
        <f t="shared" si="163"/>
        <v>12</v>
      </c>
      <c r="T422" s="98">
        <f t="shared" si="164"/>
        <v>0</v>
      </c>
      <c r="W422">
        <v>12</v>
      </c>
      <c r="X422" t="s">
        <v>549</v>
      </c>
    </row>
    <row r="423" spans="2:31" ht="20.100000000000001" customHeight="1">
      <c r="B423" s="88">
        <v>5</v>
      </c>
      <c r="C423" s="89" t="s">
        <v>1276</v>
      </c>
      <c r="D423" s="90" t="s">
        <v>1285</v>
      </c>
      <c r="E423" s="91" t="s">
        <v>1286</v>
      </c>
      <c r="F423" s="315">
        <v>139.44</v>
      </c>
      <c r="G423" s="260"/>
      <c r="H423" s="260"/>
      <c r="I423" s="309"/>
      <c r="J423" s="199"/>
      <c r="K423" s="269"/>
      <c r="L423" s="93">
        <f t="shared" si="158"/>
        <v>0</v>
      </c>
      <c r="M423" s="183"/>
      <c r="N423" s="95">
        <f t="shared" si="159"/>
        <v>0</v>
      </c>
      <c r="O423" s="95">
        <f t="shared" si="160"/>
        <v>0</v>
      </c>
      <c r="P423" s="94">
        <f t="shared" si="161"/>
        <v>0</v>
      </c>
      <c r="Q423" s="95">
        <f t="shared" si="162"/>
        <v>0</v>
      </c>
      <c r="R423" s="96"/>
      <c r="S423" s="97">
        <f t="shared" si="163"/>
        <v>0</v>
      </c>
      <c r="T423" s="98">
        <f t="shared" si="164"/>
        <v>0</v>
      </c>
    </row>
    <row r="424" spans="2:31" ht="20.100000000000001" customHeight="1">
      <c r="B424" s="88">
        <v>5</v>
      </c>
      <c r="C424" s="89" t="s">
        <v>1276</v>
      </c>
      <c r="D424" s="90" t="s">
        <v>1287</v>
      </c>
      <c r="E424" s="91" t="s">
        <v>1288</v>
      </c>
      <c r="F424" s="315">
        <v>262.92</v>
      </c>
      <c r="G424" s="260">
        <v>5</v>
      </c>
      <c r="H424" s="260"/>
      <c r="I424" s="309"/>
      <c r="J424" s="199"/>
      <c r="K424" s="269"/>
      <c r="L424" s="93">
        <f t="shared" si="158"/>
        <v>5</v>
      </c>
      <c r="M424" s="183">
        <v>5</v>
      </c>
      <c r="N424" s="95">
        <f t="shared" si="159"/>
        <v>1314.6000000000001</v>
      </c>
      <c r="O424" s="95">
        <f t="shared" si="160"/>
        <v>1314.6000000000001</v>
      </c>
      <c r="P424" s="94">
        <f t="shared" si="161"/>
        <v>0</v>
      </c>
      <c r="Q424" s="95">
        <f t="shared" si="162"/>
        <v>0</v>
      </c>
      <c r="R424" s="96" t="s">
        <v>1289</v>
      </c>
      <c r="S424" s="97">
        <f t="shared" si="163"/>
        <v>5</v>
      </c>
      <c r="T424" s="98">
        <f t="shared" si="164"/>
        <v>0</v>
      </c>
      <c r="W424">
        <v>5</v>
      </c>
      <c r="X424" t="s">
        <v>549</v>
      </c>
      <c r="AD424">
        <f>W424</f>
        <v>5</v>
      </c>
      <c r="AE424" s="100">
        <f>AD424*F424</f>
        <v>1314.6000000000001</v>
      </c>
    </row>
    <row r="425" spans="2:31" ht="20.100000000000001" customHeight="1">
      <c r="B425" s="88">
        <v>5</v>
      </c>
      <c r="C425" s="89" t="s">
        <v>1276</v>
      </c>
      <c r="D425" s="90" t="s">
        <v>1290</v>
      </c>
      <c r="E425" s="91" t="s">
        <v>1291</v>
      </c>
      <c r="F425" s="315">
        <v>409.53</v>
      </c>
      <c r="G425" s="260"/>
      <c r="H425" s="260"/>
      <c r="I425" s="309"/>
      <c r="J425" s="199"/>
      <c r="K425" s="269"/>
      <c r="L425" s="93">
        <f t="shared" si="158"/>
        <v>0</v>
      </c>
      <c r="M425" s="183"/>
      <c r="N425" s="95">
        <f t="shared" si="159"/>
        <v>0</v>
      </c>
      <c r="O425" s="95">
        <f t="shared" si="160"/>
        <v>0</v>
      </c>
      <c r="P425" s="94">
        <f t="shared" si="161"/>
        <v>0</v>
      </c>
      <c r="Q425" s="95">
        <f t="shared" si="162"/>
        <v>0</v>
      </c>
      <c r="R425" s="96"/>
      <c r="S425" s="97">
        <f t="shared" si="163"/>
        <v>0</v>
      </c>
      <c r="T425" s="98">
        <f t="shared" si="164"/>
        <v>0</v>
      </c>
    </row>
    <row r="426" spans="2:31" ht="20.100000000000001" customHeight="1">
      <c r="B426" s="88">
        <v>5</v>
      </c>
      <c r="C426" s="89" t="s">
        <v>1276</v>
      </c>
      <c r="D426" s="90" t="s">
        <v>1292</v>
      </c>
      <c r="E426" s="91" t="s">
        <v>1293</v>
      </c>
      <c r="F426" s="315">
        <v>8.6300000000000008</v>
      </c>
      <c r="G426" s="260">
        <f>99+8</f>
        <v>107</v>
      </c>
      <c r="H426" s="260">
        <v>28</v>
      </c>
      <c r="I426" s="309"/>
      <c r="J426" s="199"/>
      <c r="K426" s="269">
        <v>39</v>
      </c>
      <c r="L426" s="93">
        <f t="shared" si="158"/>
        <v>96</v>
      </c>
      <c r="M426" s="183">
        <v>96</v>
      </c>
      <c r="N426" s="95">
        <f t="shared" si="159"/>
        <v>828.48</v>
      </c>
      <c r="O426" s="95">
        <f t="shared" si="160"/>
        <v>828.48</v>
      </c>
      <c r="P426" s="94">
        <f t="shared" si="161"/>
        <v>0</v>
      </c>
      <c r="Q426" s="95">
        <f t="shared" si="162"/>
        <v>0</v>
      </c>
      <c r="R426" s="96"/>
      <c r="S426" s="97">
        <f t="shared" si="163"/>
        <v>0</v>
      </c>
      <c r="T426" s="98">
        <f t="shared" si="164"/>
        <v>96</v>
      </c>
    </row>
    <row r="427" spans="2:31" ht="20.100000000000001" customHeight="1">
      <c r="B427" s="88">
        <v>5</v>
      </c>
      <c r="C427" s="89" t="s">
        <v>1276</v>
      </c>
      <c r="D427" s="90" t="s">
        <v>1294</v>
      </c>
      <c r="E427" s="91" t="s">
        <v>1295</v>
      </c>
      <c r="F427" s="315">
        <v>20.83</v>
      </c>
      <c r="G427" s="260">
        <v>40</v>
      </c>
      <c r="H427" s="260"/>
      <c r="I427" s="309"/>
      <c r="J427" s="199"/>
      <c r="K427" s="269"/>
      <c r="L427" s="93">
        <f t="shared" si="158"/>
        <v>40</v>
      </c>
      <c r="M427" s="183">
        <v>40</v>
      </c>
      <c r="N427" s="95">
        <f t="shared" si="159"/>
        <v>833.19999999999993</v>
      </c>
      <c r="O427" s="95">
        <f t="shared" si="160"/>
        <v>833.19999999999993</v>
      </c>
      <c r="P427" s="94">
        <f t="shared" si="161"/>
        <v>0</v>
      </c>
      <c r="Q427" s="95">
        <f t="shared" si="162"/>
        <v>0</v>
      </c>
      <c r="R427" s="96"/>
      <c r="S427" s="97">
        <f t="shared" si="163"/>
        <v>43</v>
      </c>
      <c r="T427" s="98">
        <f t="shared" si="164"/>
        <v>-3</v>
      </c>
      <c r="U427">
        <v>43</v>
      </c>
    </row>
    <row r="428" spans="2:31" ht="20.100000000000001" customHeight="1">
      <c r="B428" s="88">
        <v>5</v>
      </c>
      <c r="C428" s="89" t="s">
        <v>1276</v>
      </c>
      <c r="D428" s="90" t="s">
        <v>1296</v>
      </c>
      <c r="E428" s="91" t="s">
        <v>1297</v>
      </c>
      <c r="F428" s="315">
        <v>7.04</v>
      </c>
      <c r="G428" s="260">
        <v>5</v>
      </c>
      <c r="H428" s="260"/>
      <c r="I428" s="309"/>
      <c r="J428" s="199"/>
      <c r="K428" s="269"/>
      <c r="L428" s="93">
        <f t="shared" si="158"/>
        <v>5</v>
      </c>
      <c r="M428" s="183">
        <v>5</v>
      </c>
      <c r="N428" s="95">
        <f t="shared" si="159"/>
        <v>35.200000000000003</v>
      </c>
      <c r="O428" s="95">
        <f t="shared" si="160"/>
        <v>35.200000000000003</v>
      </c>
      <c r="P428" s="94">
        <f t="shared" si="161"/>
        <v>0</v>
      </c>
      <c r="Q428" s="95">
        <f t="shared" si="162"/>
        <v>0</v>
      </c>
      <c r="R428" s="96"/>
      <c r="S428" s="97">
        <f t="shared" si="163"/>
        <v>5</v>
      </c>
      <c r="T428" s="98">
        <f t="shared" si="164"/>
        <v>0</v>
      </c>
      <c r="U428">
        <v>5</v>
      </c>
    </row>
    <row r="429" spans="2:31" ht="20.100000000000001" customHeight="1">
      <c r="B429" s="88">
        <v>5</v>
      </c>
      <c r="C429" s="89" t="s">
        <v>1276</v>
      </c>
      <c r="D429" s="90" t="s">
        <v>1298</v>
      </c>
      <c r="E429" s="91" t="s">
        <v>1299</v>
      </c>
      <c r="F429" s="315">
        <v>23.82</v>
      </c>
      <c r="G429" s="260">
        <v>63</v>
      </c>
      <c r="H429" s="260"/>
      <c r="I429" s="309"/>
      <c r="J429" s="199"/>
      <c r="K429" s="269"/>
      <c r="L429" s="93">
        <f t="shared" si="158"/>
        <v>63</v>
      </c>
      <c r="M429" s="183">
        <v>63</v>
      </c>
      <c r="N429" s="95">
        <f t="shared" si="159"/>
        <v>1500.66</v>
      </c>
      <c r="O429" s="95">
        <f t="shared" si="160"/>
        <v>1500.66</v>
      </c>
      <c r="P429" s="94">
        <f t="shared" si="161"/>
        <v>0</v>
      </c>
      <c r="Q429" s="95">
        <f t="shared" si="162"/>
        <v>0</v>
      </c>
      <c r="R429" s="96"/>
      <c r="S429" s="97">
        <f t="shared" si="163"/>
        <v>63</v>
      </c>
      <c r="T429" s="98">
        <f t="shared" si="164"/>
        <v>0</v>
      </c>
      <c r="U429">
        <v>63</v>
      </c>
    </row>
    <row r="430" spans="2:31" ht="20.100000000000001" customHeight="1">
      <c r="B430" s="88">
        <v>5</v>
      </c>
      <c r="C430" s="89" t="s">
        <v>1276</v>
      </c>
      <c r="D430" s="90" t="s">
        <v>1300</v>
      </c>
      <c r="E430" s="91" t="s">
        <v>1301</v>
      </c>
      <c r="F430" s="315">
        <v>15.5</v>
      </c>
      <c r="G430" s="260"/>
      <c r="H430" s="260"/>
      <c r="I430" s="309"/>
      <c r="J430" s="199"/>
      <c r="K430" s="269"/>
      <c r="L430" s="93">
        <f t="shared" si="158"/>
        <v>0</v>
      </c>
      <c r="M430" s="183"/>
      <c r="N430" s="95">
        <f t="shared" si="159"/>
        <v>0</v>
      </c>
      <c r="O430" s="95">
        <f t="shared" si="160"/>
        <v>0</v>
      </c>
      <c r="P430" s="94">
        <f t="shared" si="161"/>
        <v>0</v>
      </c>
      <c r="Q430" s="95">
        <f t="shared" si="162"/>
        <v>0</v>
      </c>
      <c r="R430" s="96"/>
      <c r="S430" s="97">
        <f t="shared" si="163"/>
        <v>0</v>
      </c>
      <c r="T430" s="98">
        <f t="shared" si="164"/>
        <v>0</v>
      </c>
    </row>
    <row r="431" spans="2:31" ht="20.100000000000001" customHeight="1">
      <c r="B431" s="88">
        <v>5</v>
      </c>
      <c r="C431" s="89" t="s">
        <v>1276</v>
      </c>
      <c r="D431" s="90" t="s">
        <v>1302</v>
      </c>
      <c r="E431" s="91" t="s">
        <v>1303</v>
      </c>
      <c r="F431" s="315">
        <v>30.45</v>
      </c>
      <c r="G431" s="260">
        <v>11</v>
      </c>
      <c r="H431" s="260"/>
      <c r="I431" s="309"/>
      <c r="J431" s="199"/>
      <c r="K431" s="269">
        <v>2</v>
      </c>
      <c r="L431" s="93">
        <f t="shared" si="158"/>
        <v>9</v>
      </c>
      <c r="M431" s="183">
        <v>9</v>
      </c>
      <c r="N431" s="95">
        <f t="shared" si="159"/>
        <v>274.05</v>
      </c>
      <c r="O431" s="95">
        <f t="shared" si="160"/>
        <v>274.05</v>
      </c>
      <c r="P431" s="94">
        <f t="shared" si="161"/>
        <v>0</v>
      </c>
      <c r="Q431" s="95">
        <f t="shared" si="162"/>
        <v>0</v>
      </c>
      <c r="R431" s="96"/>
      <c r="S431" s="97">
        <f t="shared" si="163"/>
        <v>11</v>
      </c>
      <c r="T431" s="98">
        <f t="shared" si="164"/>
        <v>-2</v>
      </c>
      <c r="U431">
        <v>11</v>
      </c>
    </row>
    <row r="432" spans="2:31" ht="20.100000000000001" customHeight="1">
      <c r="B432" s="88">
        <v>5</v>
      </c>
      <c r="C432" s="89" t="s">
        <v>1276</v>
      </c>
      <c r="D432" s="90" t="s">
        <v>1304</v>
      </c>
      <c r="E432" s="91" t="s">
        <v>1305</v>
      </c>
      <c r="F432" s="315">
        <v>16.2</v>
      </c>
      <c r="G432" s="260">
        <v>54</v>
      </c>
      <c r="H432" s="260"/>
      <c r="I432" s="309"/>
      <c r="J432" s="199"/>
      <c r="K432" s="269"/>
      <c r="L432" s="93">
        <f t="shared" si="158"/>
        <v>54</v>
      </c>
      <c r="M432" s="183">
        <v>54</v>
      </c>
      <c r="N432" s="95">
        <f t="shared" si="159"/>
        <v>874.8</v>
      </c>
      <c r="O432" s="95">
        <f t="shared" si="160"/>
        <v>874.8</v>
      </c>
      <c r="P432" s="94">
        <f t="shared" si="161"/>
        <v>0</v>
      </c>
      <c r="Q432" s="95">
        <f t="shared" si="162"/>
        <v>0</v>
      </c>
      <c r="R432" s="88"/>
      <c r="S432" s="97">
        <f t="shared" si="163"/>
        <v>54</v>
      </c>
      <c r="T432" s="98">
        <f t="shared" si="164"/>
        <v>0</v>
      </c>
      <c r="U432">
        <v>54</v>
      </c>
    </row>
    <row r="433" spans="2:31" ht="20.100000000000001" customHeight="1">
      <c r="B433" s="88">
        <v>5</v>
      </c>
      <c r="C433" s="89" t="s">
        <v>1276</v>
      </c>
      <c r="D433" s="90" t="s">
        <v>1306</v>
      </c>
      <c r="E433" s="91" t="s">
        <v>1307</v>
      </c>
      <c r="F433" s="315">
        <v>521</v>
      </c>
      <c r="G433" s="260">
        <v>1</v>
      </c>
      <c r="H433" s="260"/>
      <c r="I433" s="309"/>
      <c r="J433" s="199"/>
      <c r="K433" s="269"/>
      <c r="L433" s="93">
        <f t="shared" si="158"/>
        <v>1</v>
      </c>
      <c r="M433" s="183">
        <v>1</v>
      </c>
      <c r="N433" s="95">
        <f t="shared" si="159"/>
        <v>521</v>
      </c>
      <c r="O433" s="95">
        <f t="shared" si="160"/>
        <v>521</v>
      </c>
      <c r="P433" s="94">
        <f t="shared" si="161"/>
        <v>0</v>
      </c>
      <c r="Q433" s="95">
        <f t="shared" si="162"/>
        <v>0</v>
      </c>
      <c r="R433" s="96"/>
      <c r="S433" s="97">
        <f t="shared" si="163"/>
        <v>0</v>
      </c>
      <c r="T433" s="98">
        <f t="shared" si="164"/>
        <v>1</v>
      </c>
    </row>
    <row r="434" spans="2:31" ht="20.100000000000001" customHeight="1">
      <c r="B434" s="88">
        <v>5</v>
      </c>
      <c r="C434" s="89" t="s">
        <v>1276</v>
      </c>
      <c r="D434" s="90" t="s">
        <v>1308</v>
      </c>
      <c r="E434" s="91" t="s">
        <v>1309</v>
      </c>
      <c r="F434" s="315">
        <v>7.5</v>
      </c>
      <c r="G434" s="260">
        <v>240</v>
      </c>
      <c r="H434" s="260"/>
      <c r="I434" s="309"/>
      <c r="J434" s="199"/>
      <c r="K434" s="269">
        <v>5</v>
      </c>
      <c r="L434" s="93">
        <f t="shared" si="158"/>
        <v>235</v>
      </c>
      <c r="M434" s="183">
        <v>235</v>
      </c>
      <c r="N434" s="95">
        <f t="shared" si="159"/>
        <v>1762.5</v>
      </c>
      <c r="O434" s="95">
        <f t="shared" si="160"/>
        <v>1762.5</v>
      </c>
      <c r="P434" s="94">
        <f t="shared" si="161"/>
        <v>0</v>
      </c>
      <c r="Q434" s="95">
        <f t="shared" si="162"/>
        <v>0</v>
      </c>
      <c r="R434" s="88" t="s">
        <v>1310</v>
      </c>
      <c r="S434" s="97">
        <f t="shared" si="163"/>
        <v>252</v>
      </c>
      <c r="T434" s="98">
        <f t="shared" si="164"/>
        <v>-17</v>
      </c>
      <c r="U434">
        <v>64</v>
      </c>
      <c r="W434">
        <v>188</v>
      </c>
      <c r="X434" t="s">
        <v>957</v>
      </c>
      <c r="AD434">
        <f>W434</f>
        <v>188</v>
      </c>
      <c r="AE434" s="100">
        <f>AD434*F434</f>
        <v>1410</v>
      </c>
    </row>
    <row r="435" spans="2:31" ht="20.100000000000001" customHeight="1">
      <c r="B435" s="88">
        <v>5</v>
      </c>
      <c r="C435" s="89" t="s">
        <v>1276</v>
      </c>
      <c r="D435" s="90" t="s">
        <v>1308</v>
      </c>
      <c r="E435" s="91" t="s">
        <v>1309</v>
      </c>
      <c r="F435" s="315">
        <v>8.1999999999999993</v>
      </c>
      <c r="G435" s="260"/>
      <c r="H435" s="260"/>
      <c r="I435" s="309"/>
      <c r="J435" s="199"/>
      <c r="K435" s="269"/>
      <c r="L435" s="93">
        <f t="shared" si="158"/>
        <v>0</v>
      </c>
      <c r="M435" s="183"/>
      <c r="N435" s="95">
        <f t="shared" si="159"/>
        <v>0</v>
      </c>
      <c r="O435" s="95">
        <f t="shared" si="160"/>
        <v>0</v>
      </c>
      <c r="P435" s="94">
        <f t="shared" si="161"/>
        <v>0</v>
      </c>
      <c r="Q435" s="95">
        <f t="shared" si="162"/>
        <v>0</v>
      </c>
      <c r="R435" s="96"/>
      <c r="S435" s="97">
        <f t="shared" si="163"/>
        <v>0</v>
      </c>
      <c r="T435" s="98">
        <f t="shared" si="164"/>
        <v>0</v>
      </c>
    </row>
    <row r="436" spans="2:31" ht="20.100000000000001" customHeight="1">
      <c r="B436" s="88">
        <v>5</v>
      </c>
      <c r="C436" s="89" t="s">
        <v>1276</v>
      </c>
      <c r="D436" s="90" t="s">
        <v>1311</v>
      </c>
      <c r="E436" s="91" t="s">
        <v>1312</v>
      </c>
      <c r="F436" s="315">
        <v>7.5</v>
      </c>
      <c r="G436" s="260">
        <v>150</v>
      </c>
      <c r="H436" s="260"/>
      <c r="I436" s="309"/>
      <c r="J436" s="199"/>
      <c r="K436" s="269">
        <v>10</v>
      </c>
      <c r="L436" s="93">
        <f t="shared" si="158"/>
        <v>140</v>
      </c>
      <c r="M436" s="183">
        <v>140</v>
      </c>
      <c r="N436" s="95">
        <f t="shared" si="159"/>
        <v>1050</v>
      </c>
      <c r="O436" s="95">
        <f t="shared" si="160"/>
        <v>1050</v>
      </c>
      <c r="P436" s="94">
        <f t="shared" si="161"/>
        <v>0</v>
      </c>
      <c r="Q436" s="95">
        <f t="shared" si="162"/>
        <v>0</v>
      </c>
      <c r="R436" s="96" t="s">
        <v>1313</v>
      </c>
      <c r="S436" s="97">
        <f t="shared" si="163"/>
        <v>165</v>
      </c>
      <c r="T436" s="98">
        <f t="shared" si="164"/>
        <v>-25</v>
      </c>
      <c r="U436">
        <v>94</v>
      </c>
      <c r="W436">
        <v>71</v>
      </c>
      <c r="X436" t="s">
        <v>555</v>
      </c>
      <c r="AD436">
        <f>W436</f>
        <v>71</v>
      </c>
      <c r="AE436" s="100">
        <f>AD436*F436</f>
        <v>532.5</v>
      </c>
    </row>
    <row r="437" spans="2:31" ht="20.100000000000001" customHeight="1">
      <c r="B437" s="88">
        <v>5</v>
      </c>
      <c r="C437" s="89" t="s">
        <v>1276</v>
      </c>
      <c r="D437" s="90" t="s">
        <v>1311</v>
      </c>
      <c r="E437" s="91" t="s">
        <v>1312</v>
      </c>
      <c r="F437" s="315">
        <v>8.1999999999999993</v>
      </c>
      <c r="G437" s="260"/>
      <c r="H437" s="260"/>
      <c r="I437" s="309"/>
      <c r="J437" s="199"/>
      <c r="K437" s="269"/>
      <c r="L437" s="93">
        <f t="shared" si="158"/>
        <v>0</v>
      </c>
      <c r="M437" s="183"/>
      <c r="N437" s="95">
        <f t="shared" si="159"/>
        <v>0</v>
      </c>
      <c r="O437" s="95">
        <f t="shared" si="160"/>
        <v>0</v>
      </c>
      <c r="P437" s="94">
        <f t="shared" si="161"/>
        <v>0</v>
      </c>
      <c r="Q437" s="95">
        <f t="shared" si="162"/>
        <v>0</v>
      </c>
      <c r="R437" s="96"/>
      <c r="S437" s="97">
        <f t="shared" si="163"/>
        <v>0</v>
      </c>
      <c r="T437" s="98">
        <f t="shared" si="164"/>
        <v>0</v>
      </c>
    </row>
    <row r="438" spans="2:31" ht="20.100000000000001" customHeight="1">
      <c r="B438" s="88">
        <v>5</v>
      </c>
      <c r="C438" s="89" t="s">
        <v>1276</v>
      </c>
      <c r="D438" s="90" t="s">
        <v>1314</v>
      </c>
      <c r="E438" s="91" t="s">
        <v>1315</v>
      </c>
      <c r="F438" s="315">
        <v>14.37</v>
      </c>
      <c r="G438" s="260">
        <v>61</v>
      </c>
      <c r="H438" s="260"/>
      <c r="I438" s="309"/>
      <c r="J438" s="199"/>
      <c r="K438" s="269"/>
      <c r="L438" s="93">
        <f t="shared" si="158"/>
        <v>61</v>
      </c>
      <c r="M438" s="183">
        <v>61</v>
      </c>
      <c r="N438" s="95">
        <f t="shared" si="159"/>
        <v>876.56999999999994</v>
      </c>
      <c r="O438" s="95">
        <f t="shared" si="160"/>
        <v>876.56999999999994</v>
      </c>
      <c r="P438" s="94">
        <f t="shared" si="161"/>
        <v>0</v>
      </c>
      <c r="Q438" s="95">
        <f t="shared" si="162"/>
        <v>0</v>
      </c>
      <c r="R438" s="102">
        <v>45672</v>
      </c>
      <c r="S438" s="97">
        <f t="shared" si="163"/>
        <v>61</v>
      </c>
      <c r="T438" s="98">
        <f t="shared" si="164"/>
        <v>0</v>
      </c>
      <c r="W438">
        <v>61</v>
      </c>
      <c r="X438" t="s">
        <v>555</v>
      </c>
      <c r="AD438">
        <f>W438</f>
        <v>61</v>
      </c>
      <c r="AE438" s="100">
        <f>AD438*F438</f>
        <v>876.56999999999994</v>
      </c>
    </row>
    <row r="439" spans="2:31" ht="20.100000000000001" customHeight="1">
      <c r="B439" s="88">
        <v>5</v>
      </c>
      <c r="C439" s="89" t="s">
        <v>1276</v>
      </c>
      <c r="D439" s="90" t="s">
        <v>1316</v>
      </c>
      <c r="E439" s="91" t="s">
        <v>1317</v>
      </c>
      <c r="F439" s="315">
        <v>6.65</v>
      </c>
      <c r="G439" s="260">
        <v>30</v>
      </c>
      <c r="H439" s="260"/>
      <c r="I439" s="309"/>
      <c r="J439" s="199"/>
      <c r="K439" s="269"/>
      <c r="L439" s="93">
        <f t="shared" si="158"/>
        <v>30</v>
      </c>
      <c r="M439" s="183">
        <v>30</v>
      </c>
      <c r="N439" s="95">
        <f t="shared" si="159"/>
        <v>199.5</v>
      </c>
      <c r="O439" s="95">
        <f t="shared" si="160"/>
        <v>199.5</v>
      </c>
      <c r="P439" s="94">
        <f t="shared" si="161"/>
        <v>0</v>
      </c>
      <c r="Q439" s="95">
        <f t="shared" si="162"/>
        <v>0</v>
      </c>
      <c r="R439" s="96"/>
      <c r="S439" s="97">
        <f t="shared" si="163"/>
        <v>0</v>
      </c>
      <c r="T439" s="98">
        <f t="shared" si="164"/>
        <v>30</v>
      </c>
    </row>
    <row r="440" spans="2:31" ht="20.100000000000001" customHeight="1">
      <c r="B440" s="88">
        <v>5</v>
      </c>
      <c r="C440" s="89" t="s">
        <v>1276</v>
      </c>
      <c r="D440" s="90" t="s">
        <v>1318</v>
      </c>
      <c r="E440" s="91" t="s">
        <v>1319</v>
      </c>
      <c r="F440" s="315">
        <v>7.6</v>
      </c>
      <c r="G440" s="260"/>
      <c r="H440" s="260"/>
      <c r="I440" s="309"/>
      <c r="J440" s="199"/>
      <c r="K440" s="269"/>
      <c r="L440" s="93">
        <f t="shared" si="158"/>
        <v>0</v>
      </c>
      <c r="M440" s="183"/>
      <c r="N440" s="95">
        <f t="shared" si="159"/>
        <v>0</v>
      </c>
      <c r="O440" s="95">
        <f t="shared" si="160"/>
        <v>0</v>
      </c>
      <c r="P440" s="94">
        <f t="shared" si="161"/>
        <v>0</v>
      </c>
      <c r="Q440" s="95">
        <f t="shared" si="162"/>
        <v>0</v>
      </c>
      <c r="R440" s="96"/>
      <c r="S440" s="97">
        <f t="shared" si="163"/>
        <v>0</v>
      </c>
      <c r="T440" s="98">
        <f t="shared" si="164"/>
        <v>0</v>
      </c>
    </row>
    <row r="441" spans="2:31" ht="20.100000000000001" customHeight="1">
      <c r="B441" s="88">
        <v>5</v>
      </c>
      <c r="C441" s="89" t="s">
        <v>1276</v>
      </c>
      <c r="D441" s="90" t="s">
        <v>1320</v>
      </c>
      <c r="E441" s="91" t="s">
        <v>1321</v>
      </c>
      <c r="F441" s="315">
        <v>11.76</v>
      </c>
      <c r="G441" s="260">
        <v>251</v>
      </c>
      <c r="H441" s="260"/>
      <c r="I441" s="309"/>
      <c r="J441" s="199">
        <v>152</v>
      </c>
      <c r="K441" s="269"/>
      <c r="L441" s="93">
        <f t="shared" si="158"/>
        <v>99</v>
      </c>
      <c r="M441" s="183">
        <v>98</v>
      </c>
      <c r="N441" s="95">
        <f t="shared" si="159"/>
        <v>1164.24</v>
      </c>
      <c r="O441" s="95">
        <f t="shared" si="160"/>
        <v>1152.48</v>
      </c>
      <c r="P441" s="94">
        <f t="shared" si="161"/>
        <v>1</v>
      </c>
      <c r="Q441" s="95">
        <f t="shared" si="162"/>
        <v>11.759999999999991</v>
      </c>
      <c r="R441" s="96"/>
      <c r="S441" s="97">
        <f t="shared" si="163"/>
        <v>264</v>
      </c>
      <c r="T441" s="98">
        <f t="shared" si="164"/>
        <v>-166</v>
      </c>
      <c r="U441">
        <f>86+174+2</f>
        <v>262</v>
      </c>
      <c r="AA441">
        <v>2</v>
      </c>
      <c r="AB441" t="s">
        <v>1322</v>
      </c>
      <c r="AD441">
        <f>AA441</f>
        <v>2</v>
      </c>
      <c r="AE441" s="100">
        <f>AD441*F441</f>
        <v>23.52</v>
      </c>
    </row>
    <row r="442" spans="2:31" ht="20.100000000000001" customHeight="1">
      <c r="B442" s="88">
        <v>5</v>
      </c>
      <c r="C442" s="89" t="s">
        <v>1276</v>
      </c>
      <c r="D442" s="90" t="s">
        <v>1323</v>
      </c>
      <c r="E442" s="91" t="s">
        <v>1324</v>
      </c>
      <c r="F442" s="315">
        <v>94.6</v>
      </c>
      <c r="G442" s="260">
        <v>2</v>
      </c>
      <c r="H442" s="260"/>
      <c r="I442" s="309"/>
      <c r="J442" s="199"/>
      <c r="K442" s="269"/>
      <c r="L442" s="93">
        <f t="shared" si="158"/>
        <v>2</v>
      </c>
      <c r="M442" s="183">
        <v>2</v>
      </c>
      <c r="N442" s="95">
        <f t="shared" si="159"/>
        <v>189.2</v>
      </c>
      <c r="O442" s="95">
        <f t="shared" si="160"/>
        <v>189.2</v>
      </c>
      <c r="P442" s="94">
        <f t="shared" si="161"/>
        <v>0</v>
      </c>
      <c r="Q442" s="95">
        <f t="shared" si="162"/>
        <v>0</v>
      </c>
      <c r="R442" s="96"/>
      <c r="S442" s="97">
        <f t="shared" si="163"/>
        <v>2</v>
      </c>
      <c r="T442" s="98">
        <f t="shared" si="164"/>
        <v>0</v>
      </c>
      <c r="U442">
        <v>2</v>
      </c>
    </row>
    <row r="443" spans="2:31" ht="20.100000000000001" customHeight="1">
      <c r="B443" s="88">
        <v>5</v>
      </c>
      <c r="C443" s="89" t="s">
        <v>1276</v>
      </c>
      <c r="D443" s="90" t="s">
        <v>1325</v>
      </c>
      <c r="E443" s="91" t="s">
        <v>1326</v>
      </c>
      <c r="F443" s="315">
        <v>39.28</v>
      </c>
      <c r="G443" s="260">
        <v>6</v>
      </c>
      <c r="H443" s="260"/>
      <c r="I443" s="309"/>
      <c r="J443" s="199"/>
      <c r="K443" s="269"/>
      <c r="L443" s="93">
        <f t="shared" si="158"/>
        <v>6</v>
      </c>
      <c r="M443" s="183">
        <v>6</v>
      </c>
      <c r="N443" s="95">
        <f t="shared" si="159"/>
        <v>235.68</v>
      </c>
      <c r="O443" s="95">
        <f t="shared" si="160"/>
        <v>235.68</v>
      </c>
      <c r="P443" s="94">
        <f t="shared" si="161"/>
        <v>0</v>
      </c>
      <c r="Q443" s="95">
        <f t="shared" si="162"/>
        <v>0</v>
      </c>
      <c r="R443" s="96"/>
      <c r="S443" s="97">
        <f t="shared" si="163"/>
        <v>6</v>
      </c>
      <c r="T443" s="98">
        <f t="shared" si="164"/>
        <v>0</v>
      </c>
      <c r="U443">
        <v>6</v>
      </c>
    </row>
    <row r="444" spans="2:31" ht="20.100000000000001" customHeight="1">
      <c r="B444" s="88">
        <v>5</v>
      </c>
      <c r="C444" s="89" t="s">
        <v>1276</v>
      </c>
      <c r="D444" s="90" t="s">
        <v>1327</v>
      </c>
      <c r="E444" s="91" t="s">
        <v>1328</v>
      </c>
      <c r="F444" s="315">
        <v>96.67</v>
      </c>
      <c r="G444" s="260">
        <v>15</v>
      </c>
      <c r="H444" s="260">
        <v>6</v>
      </c>
      <c r="I444" s="309"/>
      <c r="J444" s="199"/>
      <c r="K444" s="269">
        <v>13</v>
      </c>
      <c r="L444" s="93">
        <f t="shared" si="158"/>
        <v>8</v>
      </c>
      <c r="M444" s="183">
        <v>8</v>
      </c>
      <c r="N444" s="95">
        <f t="shared" si="159"/>
        <v>773.36</v>
      </c>
      <c r="O444" s="95">
        <f t="shared" si="160"/>
        <v>773.36</v>
      </c>
      <c r="P444" s="94">
        <f t="shared" si="161"/>
        <v>0</v>
      </c>
      <c r="Q444" s="95">
        <f t="shared" si="162"/>
        <v>0</v>
      </c>
      <c r="R444" s="96"/>
      <c r="S444" s="97">
        <f t="shared" si="163"/>
        <v>16</v>
      </c>
      <c r="T444" s="98">
        <f t="shared" si="164"/>
        <v>-8</v>
      </c>
      <c r="U444">
        <v>16</v>
      </c>
    </row>
    <row r="445" spans="2:31" ht="20.100000000000001" customHeight="1">
      <c r="B445" s="88">
        <v>5</v>
      </c>
      <c r="C445" s="89" t="s">
        <v>1276</v>
      </c>
      <c r="D445" s="90" t="s">
        <v>1329</v>
      </c>
      <c r="E445" s="91" t="s">
        <v>1330</v>
      </c>
      <c r="F445" s="315">
        <v>24.86</v>
      </c>
      <c r="G445" s="260">
        <v>45</v>
      </c>
      <c r="H445" s="260"/>
      <c r="I445" s="309"/>
      <c r="J445" s="199"/>
      <c r="K445" s="269">
        <v>2</v>
      </c>
      <c r="L445" s="93">
        <f t="shared" si="158"/>
        <v>43</v>
      </c>
      <c r="M445" s="183">
        <v>43</v>
      </c>
      <c r="N445" s="95">
        <f t="shared" si="159"/>
        <v>1068.98</v>
      </c>
      <c r="O445" s="95">
        <f t="shared" si="160"/>
        <v>1068.98</v>
      </c>
      <c r="P445" s="94">
        <f t="shared" si="161"/>
        <v>0</v>
      </c>
      <c r="Q445" s="95">
        <f t="shared" si="162"/>
        <v>0</v>
      </c>
      <c r="R445" s="96"/>
      <c r="S445" s="97">
        <f t="shared" si="163"/>
        <v>47</v>
      </c>
      <c r="T445" s="98">
        <f t="shared" si="164"/>
        <v>-4</v>
      </c>
      <c r="U445">
        <v>47</v>
      </c>
    </row>
    <row r="446" spans="2:31" ht="20.100000000000001" customHeight="1">
      <c r="B446" s="88">
        <v>5</v>
      </c>
      <c r="C446" s="89" t="s">
        <v>1276</v>
      </c>
      <c r="D446" s="90" t="s">
        <v>1331</v>
      </c>
      <c r="E446" s="91" t="s">
        <v>1332</v>
      </c>
      <c r="F446" s="315">
        <v>48.8</v>
      </c>
      <c r="G446" s="260">
        <v>17</v>
      </c>
      <c r="H446" s="260">
        <v>6</v>
      </c>
      <c r="I446" s="309"/>
      <c r="J446" s="199"/>
      <c r="K446" s="269">
        <v>6</v>
      </c>
      <c r="L446" s="93">
        <f t="shared" si="158"/>
        <v>17</v>
      </c>
      <c r="M446" s="183">
        <v>17</v>
      </c>
      <c r="N446" s="95">
        <f t="shared" si="159"/>
        <v>829.59999999999991</v>
      </c>
      <c r="O446" s="95">
        <f t="shared" si="160"/>
        <v>829.59999999999991</v>
      </c>
      <c r="P446" s="94">
        <f t="shared" si="161"/>
        <v>0</v>
      </c>
      <c r="Q446" s="95">
        <f t="shared" si="162"/>
        <v>0</v>
      </c>
      <c r="R446" s="96"/>
      <c r="S446" s="97">
        <f t="shared" si="163"/>
        <v>15</v>
      </c>
      <c r="T446" s="98">
        <f t="shared" si="164"/>
        <v>2</v>
      </c>
      <c r="U446">
        <f>1+14</f>
        <v>15</v>
      </c>
    </row>
    <row r="447" spans="2:31" ht="20.100000000000001" customHeight="1">
      <c r="B447" s="88">
        <v>5</v>
      </c>
      <c r="C447" s="89" t="s">
        <v>1276</v>
      </c>
      <c r="D447" s="90" t="s">
        <v>1333</v>
      </c>
      <c r="E447" s="91" t="s">
        <v>1334</v>
      </c>
      <c r="F447" s="315">
        <v>94.58</v>
      </c>
      <c r="G447" s="260">
        <v>33</v>
      </c>
      <c r="H447" s="260">
        <v>10</v>
      </c>
      <c r="I447" s="309"/>
      <c r="J447" s="199"/>
      <c r="K447" s="269">
        <v>13</v>
      </c>
      <c r="L447" s="93">
        <f t="shared" si="158"/>
        <v>30</v>
      </c>
      <c r="M447" s="183">
        <v>30</v>
      </c>
      <c r="N447" s="95">
        <f t="shared" si="159"/>
        <v>2837.4</v>
      </c>
      <c r="O447" s="95">
        <f t="shared" si="160"/>
        <v>2837.4</v>
      </c>
      <c r="P447" s="94">
        <f t="shared" si="161"/>
        <v>0</v>
      </c>
      <c r="Q447" s="95">
        <f t="shared" si="162"/>
        <v>0</v>
      </c>
      <c r="R447" s="278"/>
      <c r="S447" s="97">
        <f t="shared" si="163"/>
        <v>35</v>
      </c>
      <c r="T447" s="98">
        <f t="shared" ref="T447:T500" si="178">M447-S447</f>
        <v>-5</v>
      </c>
      <c r="U447">
        <v>12</v>
      </c>
      <c r="W447">
        <v>23</v>
      </c>
      <c r="X447" t="s">
        <v>1335</v>
      </c>
      <c r="AD447">
        <f>W447</f>
        <v>23</v>
      </c>
      <c r="AE447" s="100">
        <f>AD447*F447</f>
        <v>2175.34</v>
      </c>
    </row>
    <row r="448" spans="2:31" ht="20.100000000000001" customHeight="1">
      <c r="B448" s="88">
        <v>5</v>
      </c>
      <c r="C448" s="89" t="s">
        <v>1276</v>
      </c>
      <c r="D448" s="90" t="s">
        <v>1336</v>
      </c>
      <c r="E448" s="91" t="s">
        <v>1337</v>
      </c>
      <c r="F448" s="315">
        <v>24.35</v>
      </c>
      <c r="G448" s="260">
        <v>66</v>
      </c>
      <c r="H448" s="260">
        <v>48</v>
      </c>
      <c r="I448" s="309"/>
      <c r="J448" s="199"/>
      <c r="K448" s="269">
        <v>52</v>
      </c>
      <c r="L448" s="93">
        <f t="shared" si="158"/>
        <v>62</v>
      </c>
      <c r="M448" s="183">
        <f>47+15</f>
        <v>62</v>
      </c>
      <c r="N448" s="95">
        <f t="shared" ref="N448:N501" si="179">F448*L448</f>
        <v>1509.7</v>
      </c>
      <c r="O448" s="95">
        <f t="shared" ref="O448:O501" si="180">M448*F448</f>
        <v>1509.7</v>
      </c>
      <c r="P448" s="94">
        <f t="shared" ref="P448:P501" si="181">L448-M448</f>
        <v>0</v>
      </c>
      <c r="Q448" s="95">
        <f t="shared" ref="Q448:Q501" si="182">N448-O448</f>
        <v>0</v>
      </c>
      <c r="R448" s="278"/>
      <c r="S448" s="97">
        <f t="shared" ref="S448:S501" si="183">U448+Y448+W448+AA448</f>
        <v>66</v>
      </c>
      <c r="T448" s="98">
        <f t="shared" si="178"/>
        <v>-4</v>
      </c>
      <c r="U448">
        <f>19+47</f>
        <v>66</v>
      </c>
    </row>
    <row r="449" spans="2:31" ht="20.100000000000001" customHeight="1">
      <c r="B449" s="88">
        <v>5</v>
      </c>
      <c r="C449" s="89" t="s">
        <v>1276</v>
      </c>
      <c r="D449" s="90" t="s">
        <v>1338</v>
      </c>
      <c r="E449" s="91" t="s">
        <v>1339</v>
      </c>
      <c r="F449" s="315">
        <v>47.73</v>
      </c>
      <c r="G449" s="260">
        <v>16</v>
      </c>
      <c r="H449" s="260">
        <v>10</v>
      </c>
      <c r="I449" s="309"/>
      <c r="J449" s="199"/>
      <c r="K449" s="269">
        <v>10</v>
      </c>
      <c r="L449" s="93">
        <f t="shared" si="158"/>
        <v>16</v>
      </c>
      <c r="M449" s="183">
        <v>16</v>
      </c>
      <c r="N449" s="95">
        <f t="shared" si="179"/>
        <v>763.68</v>
      </c>
      <c r="O449" s="95">
        <f t="shared" si="180"/>
        <v>763.68</v>
      </c>
      <c r="P449" s="94">
        <f t="shared" si="181"/>
        <v>0</v>
      </c>
      <c r="Q449" s="95">
        <f t="shared" si="182"/>
        <v>0</v>
      </c>
      <c r="R449" s="96"/>
      <c r="S449" s="97">
        <f t="shared" si="183"/>
        <v>18</v>
      </c>
      <c r="T449" s="98">
        <f t="shared" si="178"/>
        <v>-2</v>
      </c>
      <c r="U449">
        <v>18</v>
      </c>
    </row>
    <row r="450" spans="2:31" ht="20.100000000000001" customHeight="1">
      <c r="B450" s="88">
        <v>5</v>
      </c>
      <c r="C450" s="89" t="s">
        <v>1276</v>
      </c>
      <c r="D450" s="90" t="s">
        <v>1340</v>
      </c>
      <c r="E450" s="91" t="s">
        <v>1341</v>
      </c>
      <c r="F450" s="315">
        <v>11.39</v>
      </c>
      <c r="G450" s="260">
        <v>122</v>
      </c>
      <c r="H450" s="260"/>
      <c r="I450" s="309"/>
      <c r="J450" s="199">
        <v>120</v>
      </c>
      <c r="K450" s="269"/>
      <c r="L450" s="93">
        <f t="shared" si="158"/>
        <v>2</v>
      </c>
      <c r="M450" s="183"/>
      <c r="N450" s="95">
        <f t="shared" si="179"/>
        <v>22.78</v>
      </c>
      <c r="O450" s="95">
        <f t="shared" si="180"/>
        <v>0</v>
      </c>
      <c r="P450" s="94">
        <f t="shared" si="181"/>
        <v>2</v>
      </c>
      <c r="Q450" s="95">
        <f t="shared" si="182"/>
        <v>22.78</v>
      </c>
      <c r="R450" s="96" t="s">
        <v>1342</v>
      </c>
      <c r="S450" s="97">
        <f t="shared" si="183"/>
        <v>223</v>
      </c>
      <c r="T450" s="98">
        <f t="shared" si="178"/>
        <v>-223</v>
      </c>
      <c r="U450">
        <v>103</v>
      </c>
      <c r="W450">
        <v>120</v>
      </c>
      <c r="X450" t="s">
        <v>549</v>
      </c>
      <c r="AD450">
        <f>W450</f>
        <v>120</v>
      </c>
      <c r="AE450" s="100">
        <f>AD450*F450</f>
        <v>1366.8000000000002</v>
      </c>
    </row>
    <row r="451" spans="2:31" ht="20.100000000000001" customHeight="1">
      <c r="B451" s="88">
        <v>5</v>
      </c>
      <c r="C451" s="89" t="s">
        <v>1276</v>
      </c>
      <c r="D451" s="90" t="s">
        <v>4848</v>
      </c>
      <c r="E451" s="91" t="s">
        <v>4849</v>
      </c>
      <c r="F451" s="315">
        <v>9.26</v>
      </c>
      <c r="G451" s="260"/>
      <c r="H451" s="260"/>
      <c r="I451" s="309">
        <v>240</v>
      </c>
      <c r="J451" s="199">
        <v>117</v>
      </c>
      <c r="K451" s="269">
        <v>1</v>
      </c>
      <c r="L451" s="93">
        <f t="shared" si="158"/>
        <v>122</v>
      </c>
      <c r="M451" s="183">
        <v>117</v>
      </c>
      <c r="N451" s="95">
        <f t="shared" ref="N451" si="184">F451*L451</f>
        <v>1129.72</v>
      </c>
      <c r="O451" s="95">
        <f t="shared" ref="O451" si="185">M451*F451</f>
        <v>1083.42</v>
      </c>
      <c r="P451" s="94">
        <f t="shared" ref="P451" si="186">L451-M451</f>
        <v>5</v>
      </c>
      <c r="Q451" s="95">
        <f t="shared" ref="Q451" si="187">N451-O451</f>
        <v>46.299999999999955</v>
      </c>
      <c r="R451" s="96"/>
      <c r="S451" s="97">
        <f t="shared" ref="S451" si="188">U451+Y451+W451+AA451</f>
        <v>0</v>
      </c>
      <c r="T451" s="98">
        <f t="shared" ref="T451" si="189">M451-S451</f>
        <v>117</v>
      </c>
    </row>
    <row r="452" spans="2:31" ht="20.100000000000001" customHeight="1">
      <c r="B452" s="88">
        <v>5</v>
      </c>
      <c r="C452" s="89" t="s">
        <v>1276</v>
      </c>
      <c r="D452" s="90" t="s">
        <v>1343</v>
      </c>
      <c r="E452" s="91" t="s">
        <v>1344</v>
      </c>
      <c r="F452" s="315">
        <v>11.39</v>
      </c>
      <c r="G452" s="260"/>
      <c r="H452" s="260"/>
      <c r="I452" s="309">
        <v>231</v>
      </c>
      <c r="J452" s="199">
        <v>104</v>
      </c>
      <c r="K452" s="269"/>
      <c r="L452" s="93">
        <f t="shared" ref="L452:L513" si="190">G452+I452-J452-K452+H452</f>
        <v>127</v>
      </c>
      <c r="M452" s="183">
        <v>127</v>
      </c>
      <c r="N452" s="95">
        <f t="shared" si="179"/>
        <v>1446.53</v>
      </c>
      <c r="O452" s="95">
        <f t="shared" si="180"/>
        <v>1446.53</v>
      </c>
      <c r="P452" s="94">
        <f t="shared" si="181"/>
        <v>0</v>
      </c>
      <c r="Q452" s="95">
        <f t="shared" si="182"/>
        <v>0</v>
      </c>
      <c r="R452" s="96"/>
      <c r="S452" s="97">
        <f t="shared" si="183"/>
        <v>0</v>
      </c>
      <c r="T452" s="98">
        <f t="shared" si="178"/>
        <v>127</v>
      </c>
    </row>
    <row r="453" spans="2:31" ht="20.100000000000001" customHeight="1">
      <c r="B453" s="88">
        <v>5</v>
      </c>
      <c r="C453" s="89" t="s">
        <v>1276</v>
      </c>
      <c r="D453" s="90" t="s">
        <v>1345</v>
      </c>
      <c r="E453" s="91" t="s">
        <v>1346</v>
      </c>
      <c r="F453" s="315">
        <v>115.7</v>
      </c>
      <c r="G453" s="260">
        <v>1</v>
      </c>
      <c r="H453" s="260"/>
      <c r="I453" s="309"/>
      <c r="J453" s="199"/>
      <c r="K453" s="269">
        <v>1</v>
      </c>
      <c r="L453" s="93">
        <f t="shared" si="190"/>
        <v>0</v>
      </c>
      <c r="M453" s="183"/>
      <c r="N453" s="95">
        <f t="shared" si="179"/>
        <v>0</v>
      </c>
      <c r="O453" s="95">
        <f t="shared" si="180"/>
        <v>0</v>
      </c>
      <c r="P453" s="94">
        <f t="shared" si="181"/>
        <v>0</v>
      </c>
      <c r="Q453" s="95">
        <f t="shared" si="182"/>
        <v>0</v>
      </c>
      <c r="R453" s="96"/>
      <c r="S453" s="97">
        <f t="shared" si="183"/>
        <v>0</v>
      </c>
      <c r="T453" s="98">
        <f t="shared" si="178"/>
        <v>0</v>
      </c>
    </row>
    <row r="454" spans="2:31" ht="20.100000000000001" customHeight="1">
      <c r="B454" s="88">
        <v>5</v>
      </c>
      <c r="C454" s="89" t="s">
        <v>1276</v>
      </c>
      <c r="D454" s="90" t="s">
        <v>1347</v>
      </c>
      <c r="E454" s="91" t="s">
        <v>1348</v>
      </c>
      <c r="F454" s="315">
        <v>7.64</v>
      </c>
      <c r="G454" s="260"/>
      <c r="H454" s="260"/>
      <c r="I454" s="309"/>
      <c r="J454" s="199"/>
      <c r="K454" s="269"/>
      <c r="L454" s="93">
        <f t="shared" si="190"/>
        <v>0</v>
      </c>
      <c r="M454" s="183"/>
      <c r="N454" s="95">
        <f t="shared" si="179"/>
        <v>0</v>
      </c>
      <c r="O454" s="95">
        <f t="shared" si="180"/>
        <v>0</v>
      </c>
      <c r="P454" s="94">
        <f t="shared" si="181"/>
        <v>0</v>
      </c>
      <c r="Q454" s="95">
        <f t="shared" si="182"/>
        <v>0</v>
      </c>
      <c r="R454" s="96"/>
      <c r="S454" s="97">
        <f t="shared" si="183"/>
        <v>0</v>
      </c>
      <c r="T454" s="98">
        <f t="shared" si="178"/>
        <v>0</v>
      </c>
    </row>
    <row r="455" spans="2:31" ht="20.100000000000001" customHeight="1">
      <c r="B455" s="88">
        <v>5</v>
      </c>
      <c r="C455" s="89" t="s">
        <v>1276</v>
      </c>
      <c r="D455" s="90" t="s">
        <v>1349</v>
      </c>
      <c r="E455" s="91" t="s">
        <v>1350</v>
      </c>
      <c r="F455" s="315">
        <v>38.57</v>
      </c>
      <c r="G455" s="260">
        <v>20</v>
      </c>
      <c r="H455" s="260"/>
      <c r="I455" s="309"/>
      <c r="J455" s="199"/>
      <c r="K455" s="269"/>
      <c r="L455" s="93">
        <f t="shared" si="190"/>
        <v>20</v>
      </c>
      <c r="M455" s="183">
        <v>20</v>
      </c>
      <c r="N455" s="95">
        <f t="shared" si="179"/>
        <v>771.4</v>
      </c>
      <c r="O455" s="95">
        <f t="shared" si="180"/>
        <v>771.4</v>
      </c>
      <c r="P455" s="94">
        <f t="shared" si="181"/>
        <v>0</v>
      </c>
      <c r="Q455" s="95">
        <f t="shared" si="182"/>
        <v>0</v>
      </c>
      <c r="R455" s="96"/>
      <c r="S455" s="97">
        <f t="shared" si="183"/>
        <v>0</v>
      </c>
      <c r="T455" s="98">
        <f t="shared" si="178"/>
        <v>20</v>
      </c>
    </row>
    <row r="456" spans="2:31" ht="20.100000000000001" customHeight="1">
      <c r="B456" s="88">
        <v>5</v>
      </c>
      <c r="C456" s="89" t="s">
        <v>1276</v>
      </c>
      <c r="D456" s="90" t="s">
        <v>1351</v>
      </c>
      <c r="E456" s="91" t="s">
        <v>1352</v>
      </c>
      <c r="F456" s="315">
        <v>12.56</v>
      </c>
      <c r="G456" s="260">
        <v>61</v>
      </c>
      <c r="H456" s="260"/>
      <c r="I456" s="309"/>
      <c r="J456" s="199"/>
      <c r="K456" s="269">
        <v>3</v>
      </c>
      <c r="L456" s="93">
        <f t="shared" si="190"/>
        <v>58</v>
      </c>
      <c r="M456" s="183">
        <v>58</v>
      </c>
      <c r="N456" s="95">
        <f t="shared" si="179"/>
        <v>728.48</v>
      </c>
      <c r="O456" s="95">
        <f t="shared" si="180"/>
        <v>728.48</v>
      </c>
      <c r="P456" s="94">
        <f t="shared" si="181"/>
        <v>0</v>
      </c>
      <c r="Q456" s="95">
        <f t="shared" si="182"/>
        <v>0</v>
      </c>
      <c r="R456" s="96"/>
      <c r="S456" s="97">
        <f t="shared" si="183"/>
        <v>100</v>
      </c>
      <c r="T456" s="98">
        <f t="shared" si="178"/>
        <v>-42</v>
      </c>
      <c r="U456">
        <v>100</v>
      </c>
    </row>
    <row r="457" spans="2:31" ht="20.100000000000001" customHeight="1">
      <c r="B457" s="88">
        <v>5</v>
      </c>
      <c r="C457" s="89" t="s">
        <v>1276</v>
      </c>
      <c r="D457" s="90" t="s">
        <v>1353</v>
      </c>
      <c r="E457" s="91" t="s">
        <v>1354</v>
      </c>
      <c r="F457" s="315">
        <v>0</v>
      </c>
      <c r="G457" s="260">
        <v>1089</v>
      </c>
      <c r="H457" s="260">
        <v>61</v>
      </c>
      <c r="I457" s="309"/>
      <c r="J457" s="199"/>
      <c r="K457" s="269">
        <v>105</v>
      </c>
      <c r="L457" s="93">
        <f t="shared" si="190"/>
        <v>1045</v>
      </c>
      <c r="M457" s="183">
        <f>15+960+70</f>
        <v>1045</v>
      </c>
      <c r="N457" s="95">
        <f t="shared" si="179"/>
        <v>0</v>
      </c>
      <c r="O457" s="95">
        <f t="shared" si="180"/>
        <v>0</v>
      </c>
      <c r="P457" s="94">
        <f t="shared" si="181"/>
        <v>0</v>
      </c>
      <c r="Q457" s="95">
        <f t="shared" si="182"/>
        <v>0</v>
      </c>
      <c r="R457" s="96" t="s">
        <v>1355</v>
      </c>
      <c r="S457" s="97">
        <f t="shared" si="183"/>
        <v>1122</v>
      </c>
      <c r="T457" s="98">
        <f t="shared" si="178"/>
        <v>-77</v>
      </c>
      <c r="U457">
        <f>92+70</f>
        <v>162</v>
      </c>
      <c r="W457">
        <v>960</v>
      </c>
      <c r="X457" t="s">
        <v>1356</v>
      </c>
      <c r="AD457">
        <f>W457</f>
        <v>960</v>
      </c>
      <c r="AE457" s="100">
        <f>AD457*F457</f>
        <v>0</v>
      </c>
    </row>
    <row r="458" spans="2:31" ht="20.100000000000001" customHeight="1">
      <c r="B458" s="88">
        <v>5</v>
      </c>
      <c r="C458" s="89" t="s">
        <v>1276</v>
      </c>
      <c r="D458" s="90" t="s">
        <v>1357</v>
      </c>
      <c r="E458" s="91" t="s">
        <v>1358</v>
      </c>
      <c r="F458" s="315">
        <v>11.5</v>
      </c>
      <c r="G458" s="260">
        <v>65</v>
      </c>
      <c r="H458" s="260"/>
      <c r="I458" s="309"/>
      <c r="J458" s="199"/>
      <c r="K458" s="269">
        <v>12</v>
      </c>
      <c r="L458" s="93">
        <f t="shared" si="190"/>
        <v>53</v>
      </c>
      <c r="M458" s="183">
        <v>53</v>
      </c>
      <c r="N458" s="95">
        <f t="shared" si="179"/>
        <v>609.5</v>
      </c>
      <c r="O458" s="95">
        <f t="shared" si="180"/>
        <v>609.5</v>
      </c>
      <c r="P458" s="94">
        <f t="shared" si="181"/>
        <v>0</v>
      </c>
      <c r="Q458" s="95">
        <f t="shared" si="182"/>
        <v>0</v>
      </c>
      <c r="R458" s="96"/>
      <c r="S458" s="97">
        <f t="shared" si="183"/>
        <v>97</v>
      </c>
      <c r="T458" s="98">
        <f t="shared" si="178"/>
        <v>-44</v>
      </c>
      <c r="U458">
        <v>97</v>
      </c>
    </row>
    <row r="459" spans="2:31" ht="20.100000000000001" customHeight="1">
      <c r="B459" s="88">
        <v>5</v>
      </c>
      <c r="C459" s="89" t="s">
        <v>1276</v>
      </c>
      <c r="D459" s="90" t="s">
        <v>1357</v>
      </c>
      <c r="E459" s="91" t="s">
        <v>1358</v>
      </c>
      <c r="F459" s="315">
        <v>12.56</v>
      </c>
      <c r="G459" s="260"/>
      <c r="H459" s="260"/>
      <c r="I459" s="309"/>
      <c r="J459" s="199"/>
      <c r="K459" s="269"/>
      <c r="L459" s="93">
        <f t="shared" si="190"/>
        <v>0</v>
      </c>
      <c r="M459" s="183"/>
      <c r="N459" s="95">
        <f t="shared" si="179"/>
        <v>0</v>
      </c>
      <c r="O459" s="95">
        <f t="shared" si="180"/>
        <v>0</v>
      </c>
      <c r="P459" s="94">
        <f t="shared" si="181"/>
        <v>0</v>
      </c>
      <c r="Q459" s="95">
        <f t="shared" si="182"/>
        <v>0</v>
      </c>
      <c r="R459" s="96"/>
      <c r="S459" s="97">
        <f t="shared" si="183"/>
        <v>0</v>
      </c>
      <c r="T459" s="98">
        <f t="shared" si="178"/>
        <v>0</v>
      </c>
    </row>
    <row r="460" spans="2:31" ht="20.100000000000001" customHeight="1">
      <c r="B460" s="88">
        <v>5</v>
      </c>
      <c r="C460" s="89" t="s">
        <v>1276</v>
      </c>
      <c r="D460" s="90" t="s">
        <v>1357</v>
      </c>
      <c r="E460" s="91" t="s">
        <v>1358</v>
      </c>
      <c r="F460" s="315">
        <v>12.56</v>
      </c>
      <c r="G460" s="260"/>
      <c r="H460" s="260"/>
      <c r="I460" s="309"/>
      <c r="J460" s="199"/>
      <c r="K460" s="269"/>
      <c r="L460" s="93">
        <f t="shared" si="190"/>
        <v>0</v>
      </c>
      <c r="M460" s="183"/>
      <c r="N460" s="95">
        <f t="shared" si="179"/>
        <v>0</v>
      </c>
      <c r="O460" s="95">
        <f t="shared" si="180"/>
        <v>0</v>
      </c>
      <c r="P460" s="94">
        <f t="shared" si="181"/>
        <v>0</v>
      </c>
      <c r="Q460" s="95">
        <f t="shared" si="182"/>
        <v>0</v>
      </c>
      <c r="R460" s="96"/>
      <c r="S460" s="97">
        <f t="shared" si="183"/>
        <v>0</v>
      </c>
      <c r="T460" s="98">
        <f t="shared" si="178"/>
        <v>0</v>
      </c>
    </row>
    <row r="461" spans="2:31" ht="20.100000000000001" customHeight="1">
      <c r="B461" s="88">
        <v>5</v>
      </c>
      <c r="C461" s="89" t="s">
        <v>1276</v>
      </c>
      <c r="D461" s="90" t="s">
        <v>1359</v>
      </c>
      <c r="E461" s="91" t="s">
        <v>1360</v>
      </c>
      <c r="F461" s="315">
        <v>11.2</v>
      </c>
      <c r="G461" s="260"/>
      <c r="H461" s="260"/>
      <c r="I461" s="309"/>
      <c r="J461" s="199"/>
      <c r="K461" s="269"/>
      <c r="L461" s="93">
        <f t="shared" si="190"/>
        <v>0</v>
      </c>
      <c r="M461" s="183"/>
      <c r="N461" s="95">
        <f t="shared" si="179"/>
        <v>0</v>
      </c>
      <c r="O461" s="95">
        <f t="shared" si="180"/>
        <v>0</v>
      </c>
      <c r="P461" s="94">
        <f t="shared" si="181"/>
        <v>0</v>
      </c>
      <c r="Q461" s="95">
        <f t="shared" si="182"/>
        <v>0</v>
      </c>
      <c r="R461" s="96"/>
      <c r="S461" s="97">
        <f t="shared" si="183"/>
        <v>0</v>
      </c>
      <c r="T461" s="98">
        <f t="shared" si="178"/>
        <v>0</v>
      </c>
    </row>
    <row r="462" spans="2:31" ht="20.100000000000001" customHeight="1">
      <c r="B462" s="88">
        <v>5</v>
      </c>
      <c r="C462" s="89" t="s">
        <v>1276</v>
      </c>
      <c r="D462" s="90" t="s">
        <v>1361</v>
      </c>
      <c r="E462" s="91" t="s">
        <v>1362</v>
      </c>
      <c r="F462" s="315">
        <v>11.2</v>
      </c>
      <c r="G462" s="260">
        <v>21</v>
      </c>
      <c r="H462" s="260"/>
      <c r="I462" s="309"/>
      <c r="J462" s="199"/>
      <c r="K462" s="269"/>
      <c r="L462" s="93">
        <f t="shared" si="190"/>
        <v>21</v>
      </c>
      <c r="M462" s="183">
        <v>21</v>
      </c>
      <c r="N462" s="95">
        <f t="shared" si="179"/>
        <v>235.2</v>
      </c>
      <c r="O462" s="95">
        <f t="shared" si="180"/>
        <v>235.2</v>
      </c>
      <c r="P462" s="94">
        <f t="shared" si="181"/>
        <v>0</v>
      </c>
      <c r="Q462" s="95">
        <f t="shared" si="182"/>
        <v>0</v>
      </c>
      <c r="R462" s="102">
        <v>45721</v>
      </c>
      <c r="S462" s="97">
        <f t="shared" si="183"/>
        <v>21</v>
      </c>
      <c r="T462" s="98">
        <f t="shared" si="178"/>
        <v>0</v>
      </c>
      <c r="W462">
        <v>21</v>
      </c>
      <c r="X462" t="s">
        <v>555</v>
      </c>
      <c r="AD462">
        <f>W462</f>
        <v>21</v>
      </c>
      <c r="AE462" s="100">
        <f>AD462*F462</f>
        <v>235.2</v>
      </c>
    </row>
    <row r="463" spans="2:31" ht="20.100000000000001" customHeight="1">
      <c r="B463" s="88">
        <v>5</v>
      </c>
      <c r="C463" s="89" t="s">
        <v>1276</v>
      </c>
      <c r="D463" s="90" t="s">
        <v>1363</v>
      </c>
      <c r="E463" s="91" t="s">
        <v>1364</v>
      </c>
      <c r="F463" s="315">
        <v>39.81</v>
      </c>
      <c r="G463" s="260"/>
      <c r="H463" s="260"/>
      <c r="I463" s="309"/>
      <c r="J463" s="199"/>
      <c r="K463" s="269"/>
      <c r="L463" s="93">
        <f t="shared" si="190"/>
        <v>0</v>
      </c>
      <c r="M463" s="183"/>
      <c r="N463" s="95">
        <f t="shared" si="179"/>
        <v>0</v>
      </c>
      <c r="O463" s="95">
        <f t="shared" si="180"/>
        <v>0</v>
      </c>
      <c r="P463" s="94">
        <f t="shared" si="181"/>
        <v>0</v>
      </c>
      <c r="Q463" s="95">
        <f t="shared" si="182"/>
        <v>0</v>
      </c>
      <c r="R463" s="96"/>
      <c r="S463" s="97">
        <f t="shared" si="183"/>
        <v>0</v>
      </c>
      <c r="T463" s="98">
        <f t="shared" si="178"/>
        <v>0</v>
      </c>
    </row>
    <row r="464" spans="2:31" ht="20.100000000000001" customHeight="1">
      <c r="B464" s="88">
        <v>5</v>
      </c>
      <c r="C464" s="89" t="s">
        <v>1276</v>
      </c>
      <c r="D464" s="90" t="s">
        <v>1365</v>
      </c>
      <c r="E464" s="91" t="s">
        <v>1366</v>
      </c>
      <c r="F464" s="315">
        <v>54.03</v>
      </c>
      <c r="G464" s="260"/>
      <c r="H464" s="260"/>
      <c r="I464" s="309"/>
      <c r="J464" s="199"/>
      <c r="K464" s="269"/>
      <c r="L464" s="93">
        <f t="shared" si="190"/>
        <v>0</v>
      </c>
      <c r="M464" s="183"/>
      <c r="N464" s="95">
        <f t="shared" si="179"/>
        <v>0</v>
      </c>
      <c r="O464" s="95">
        <f t="shared" si="180"/>
        <v>0</v>
      </c>
      <c r="P464" s="94">
        <f t="shared" si="181"/>
        <v>0</v>
      </c>
      <c r="Q464" s="95">
        <f t="shared" si="182"/>
        <v>0</v>
      </c>
      <c r="R464" s="96"/>
      <c r="S464" s="97">
        <f t="shared" si="183"/>
        <v>0</v>
      </c>
      <c r="T464" s="98">
        <f t="shared" si="178"/>
        <v>0</v>
      </c>
    </row>
    <row r="465" spans="2:31" ht="20.100000000000001" customHeight="1">
      <c r="B465" s="88">
        <v>5</v>
      </c>
      <c r="C465" s="89" t="s">
        <v>1276</v>
      </c>
      <c r="D465" s="90" t="s">
        <v>1367</v>
      </c>
      <c r="E465" s="91" t="s">
        <v>1368</v>
      </c>
      <c r="F465" s="315">
        <v>95.74</v>
      </c>
      <c r="G465" s="260">
        <v>6</v>
      </c>
      <c r="H465" s="260"/>
      <c r="I465" s="309"/>
      <c r="J465" s="199"/>
      <c r="K465" s="269"/>
      <c r="L465" s="93">
        <f t="shared" si="190"/>
        <v>6</v>
      </c>
      <c r="M465" s="183">
        <v>6</v>
      </c>
      <c r="N465" s="95">
        <f t="shared" si="179"/>
        <v>574.43999999999994</v>
      </c>
      <c r="O465" s="95">
        <f t="shared" si="180"/>
        <v>574.43999999999994</v>
      </c>
      <c r="P465" s="94">
        <f t="shared" si="181"/>
        <v>0</v>
      </c>
      <c r="Q465" s="95">
        <f t="shared" si="182"/>
        <v>0</v>
      </c>
      <c r="R465" s="96" t="s">
        <v>1369</v>
      </c>
      <c r="S465" s="97">
        <f t="shared" si="183"/>
        <v>6</v>
      </c>
      <c r="T465" s="98">
        <f t="shared" si="178"/>
        <v>0</v>
      </c>
      <c r="W465">
        <v>6</v>
      </c>
      <c r="X465" t="s">
        <v>555</v>
      </c>
      <c r="AD465">
        <f>W465</f>
        <v>6</v>
      </c>
      <c r="AE465" s="100">
        <f>AD465*F465</f>
        <v>574.43999999999994</v>
      </c>
    </row>
    <row r="466" spans="2:31" ht="20.100000000000001" customHeight="1">
      <c r="B466" s="88">
        <v>5</v>
      </c>
      <c r="C466" s="89" t="s">
        <v>1276</v>
      </c>
      <c r="D466" s="90" t="s">
        <v>1370</v>
      </c>
      <c r="E466" s="91" t="s">
        <v>1371</v>
      </c>
      <c r="F466" s="315">
        <v>19.64</v>
      </c>
      <c r="G466" s="260"/>
      <c r="H466" s="260"/>
      <c r="I466" s="309"/>
      <c r="J466" s="199"/>
      <c r="K466" s="269"/>
      <c r="L466" s="93">
        <f t="shared" si="190"/>
        <v>0</v>
      </c>
      <c r="M466" s="183"/>
      <c r="N466" s="95">
        <f t="shared" si="179"/>
        <v>0</v>
      </c>
      <c r="O466" s="95">
        <f t="shared" si="180"/>
        <v>0</v>
      </c>
      <c r="P466" s="94">
        <f t="shared" si="181"/>
        <v>0</v>
      </c>
      <c r="Q466" s="95">
        <f t="shared" si="182"/>
        <v>0</v>
      </c>
      <c r="R466" s="96"/>
      <c r="S466" s="97">
        <f t="shared" si="183"/>
        <v>0</v>
      </c>
      <c r="T466" s="98">
        <f t="shared" si="178"/>
        <v>0</v>
      </c>
    </row>
    <row r="467" spans="2:31" ht="20.100000000000001" customHeight="1">
      <c r="B467" s="88">
        <v>5</v>
      </c>
      <c r="C467" s="89" t="s">
        <v>1276</v>
      </c>
      <c r="D467" s="90" t="s">
        <v>1372</v>
      </c>
      <c r="E467" s="91" t="s">
        <v>1373</v>
      </c>
      <c r="F467" s="315">
        <v>98.3</v>
      </c>
      <c r="G467" s="260">
        <v>6</v>
      </c>
      <c r="H467" s="260"/>
      <c r="I467" s="309"/>
      <c r="J467" s="199"/>
      <c r="K467" s="269"/>
      <c r="L467" s="93">
        <f t="shared" si="190"/>
        <v>6</v>
      </c>
      <c r="M467" s="183">
        <v>6</v>
      </c>
      <c r="N467" s="95">
        <f t="shared" si="179"/>
        <v>589.79999999999995</v>
      </c>
      <c r="O467" s="95">
        <f t="shared" si="180"/>
        <v>589.79999999999995</v>
      </c>
      <c r="P467" s="94">
        <f t="shared" si="181"/>
        <v>0</v>
      </c>
      <c r="Q467" s="95">
        <f t="shared" si="182"/>
        <v>0</v>
      </c>
      <c r="R467" s="96" t="s">
        <v>1374</v>
      </c>
      <c r="S467" s="97">
        <f t="shared" si="183"/>
        <v>0</v>
      </c>
      <c r="T467" s="98">
        <f t="shared" si="178"/>
        <v>6</v>
      </c>
    </row>
    <row r="468" spans="2:31" ht="20.100000000000001" customHeight="1">
      <c r="B468" s="88">
        <v>5</v>
      </c>
      <c r="C468" s="89" t="s">
        <v>1276</v>
      </c>
      <c r="D468" s="90" t="s">
        <v>1375</v>
      </c>
      <c r="E468" s="91" t="s">
        <v>1376</v>
      </c>
      <c r="F468" s="315">
        <v>16.63</v>
      </c>
      <c r="G468" s="260">
        <v>0</v>
      </c>
      <c r="H468" s="260"/>
      <c r="I468" s="309"/>
      <c r="J468" s="199"/>
      <c r="K468" s="269"/>
      <c r="L468" s="93">
        <f t="shared" si="190"/>
        <v>0</v>
      </c>
      <c r="M468" s="183"/>
      <c r="N468" s="95">
        <f t="shared" si="179"/>
        <v>0</v>
      </c>
      <c r="O468" s="95">
        <f t="shared" si="180"/>
        <v>0</v>
      </c>
      <c r="P468" s="94">
        <f t="shared" si="181"/>
        <v>0</v>
      </c>
      <c r="Q468" s="95">
        <f t="shared" si="182"/>
        <v>0</v>
      </c>
      <c r="R468" s="96"/>
      <c r="S468" s="97">
        <f t="shared" si="183"/>
        <v>16</v>
      </c>
      <c r="T468" s="98">
        <f t="shared" si="178"/>
        <v>-16</v>
      </c>
      <c r="U468">
        <v>16</v>
      </c>
    </row>
    <row r="469" spans="2:31" ht="20.100000000000001" customHeight="1">
      <c r="B469" s="88">
        <v>5</v>
      </c>
      <c r="C469" s="89" t="s">
        <v>1276</v>
      </c>
      <c r="D469" s="90" t="s">
        <v>1377</v>
      </c>
      <c r="E469" s="91" t="s">
        <v>1378</v>
      </c>
      <c r="F469" s="315">
        <v>13.1</v>
      </c>
      <c r="G469" s="260">
        <f>33+6</f>
        <v>39</v>
      </c>
      <c r="H469" s="260"/>
      <c r="I469" s="309"/>
      <c r="J469" s="199"/>
      <c r="K469" s="269">
        <v>15</v>
      </c>
      <c r="L469" s="93">
        <f t="shared" si="190"/>
        <v>24</v>
      </c>
      <c r="M469" s="183">
        <v>24</v>
      </c>
      <c r="N469" s="95">
        <f t="shared" si="179"/>
        <v>314.39999999999998</v>
      </c>
      <c r="O469" s="95">
        <f t="shared" si="180"/>
        <v>314.39999999999998</v>
      </c>
      <c r="P469" s="94">
        <f t="shared" si="181"/>
        <v>0</v>
      </c>
      <c r="Q469" s="95">
        <f t="shared" si="182"/>
        <v>0</v>
      </c>
      <c r="R469" s="96" t="s">
        <v>1379</v>
      </c>
      <c r="S469" s="97">
        <f t="shared" si="183"/>
        <v>25</v>
      </c>
      <c r="T469" s="98">
        <f t="shared" si="178"/>
        <v>-1</v>
      </c>
      <c r="W469">
        <v>25</v>
      </c>
      <c r="X469" t="s">
        <v>549</v>
      </c>
      <c r="AD469">
        <f>W469</f>
        <v>25</v>
      </c>
      <c r="AE469" s="100">
        <f>AD469*F469</f>
        <v>327.5</v>
      </c>
    </row>
    <row r="470" spans="2:31" ht="20.100000000000001" customHeight="1">
      <c r="B470" s="88">
        <v>5</v>
      </c>
      <c r="C470" s="89" t="s">
        <v>1276</v>
      </c>
      <c r="D470" s="90" t="s">
        <v>1380</v>
      </c>
      <c r="E470" s="91" t="s">
        <v>1381</v>
      </c>
      <c r="F470" s="315">
        <v>13.1</v>
      </c>
      <c r="G470" s="260">
        <v>6</v>
      </c>
      <c r="H470" s="260"/>
      <c r="I470" s="309"/>
      <c r="J470" s="199"/>
      <c r="K470" s="80">
        <v>1</v>
      </c>
      <c r="L470" s="93">
        <f t="shared" si="190"/>
        <v>5</v>
      </c>
      <c r="M470" s="183">
        <v>5</v>
      </c>
      <c r="N470" s="95">
        <f t="shared" si="179"/>
        <v>65.5</v>
      </c>
      <c r="O470" s="95">
        <f t="shared" si="180"/>
        <v>65.5</v>
      </c>
      <c r="P470" s="94">
        <f t="shared" si="181"/>
        <v>0</v>
      </c>
      <c r="Q470" s="95">
        <f t="shared" si="182"/>
        <v>0</v>
      </c>
      <c r="R470" s="96"/>
      <c r="S470" s="97">
        <f t="shared" si="183"/>
        <v>6</v>
      </c>
      <c r="T470" s="98">
        <f t="shared" si="178"/>
        <v>-1</v>
      </c>
      <c r="U470">
        <v>6</v>
      </c>
    </row>
    <row r="471" spans="2:31" ht="20.100000000000001" customHeight="1">
      <c r="B471" s="88">
        <v>5</v>
      </c>
      <c r="C471" s="89" t="s">
        <v>1276</v>
      </c>
      <c r="D471" s="90" t="s">
        <v>1380</v>
      </c>
      <c r="E471" s="91" t="s">
        <v>1381</v>
      </c>
      <c r="F471" s="315">
        <v>13.1</v>
      </c>
      <c r="G471" s="260"/>
      <c r="H471" s="260"/>
      <c r="I471" s="309"/>
      <c r="J471" s="199"/>
      <c r="K471" s="269"/>
      <c r="L471" s="93">
        <f t="shared" si="190"/>
        <v>0</v>
      </c>
      <c r="M471" s="183"/>
      <c r="N471" s="95">
        <f t="shared" si="179"/>
        <v>0</v>
      </c>
      <c r="O471" s="95">
        <f t="shared" si="180"/>
        <v>0</v>
      </c>
      <c r="P471" s="94">
        <f t="shared" si="181"/>
        <v>0</v>
      </c>
      <c r="Q471" s="95">
        <f t="shared" si="182"/>
        <v>0</v>
      </c>
      <c r="R471" s="96"/>
      <c r="S471" s="97">
        <f t="shared" si="183"/>
        <v>0</v>
      </c>
      <c r="T471" s="98">
        <f t="shared" si="178"/>
        <v>0</v>
      </c>
    </row>
    <row r="472" spans="2:31" ht="20.100000000000001" customHeight="1">
      <c r="B472" s="88">
        <v>5</v>
      </c>
      <c r="C472" s="89" t="s">
        <v>1276</v>
      </c>
      <c r="D472" s="90" t="s">
        <v>1382</v>
      </c>
      <c r="E472" s="91" t="s">
        <v>1383</v>
      </c>
      <c r="F472" s="315">
        <v>13.1</v>
      </c>
      <c r="G472" s="260">
        <v>15</v>
      </c>
      <c r="H472" s="260"/>
      <c r="I472" s="309"/>
      <c r="J472" s="199"/>
      <c r="K472" s="269">
        <v>1</v>
      </c>
      <c r="L472" s="93">
        <f t="shared" si="190"/>
        <v>14</v>
      </c>
      <c r="M472" s="183">
        <f>5+2+7</f>
        <v>14</v>
      </c>
      <c r="N472" s="95">
        <f t="shared" si="179"/>
        <v>183.4</v>
      </c>
      <c r="O472" s="95">
        <f t="shared" si="180"/>
        <v>183.4</v>
      </c>
      <c r="P472" s="94">
        <f t="shared" si="181"/>
        <v>0</v>
      </c>
      <c r="Q472" s="95">
        <f t="shared" si="182"/>
        <v>0</v>
      </c>
      <c r="R472" s="96" t="s">
        <v>1384</v>
      </c>
      <c r="S472" s="97">
        <f t="shared" si="183"/>
        <v>15</v>
      </c>
      <c r="T472" s="98">
        <f t="shared" si="178"/>
        <v>-1</v>
      </c>
      <c r="U472">
        <v>8</v>
      </c>
      <c r="V472" s="99" t="s">
        <v>1385</v>
      </c>
      <c r="W472">
        <v>7</v>
      </c>
      <c r="X472" t="s">
        <v>555</v>
      </c>
      <c r="AD472">
        <f>9</f>
        <v>9</v>
      </c>
      <c r="AE472" s="100">
        <f>AD472*F472</f>
        <v>117.89999999999999</v>
      </c>
    </row>
    <row r="473" spans="2:31" ht="20.100000000000001" customHeight="1">
      <c r="B473" s="88">
        <v>5</v>
      </c>
      <c r="C473" s="89" t="s">
        <v>1276</v>
      </c>
      <c r="D473" s="90" t="s">
        <v>1386</v>
      </c>
      <c r="E473" s="91" t="s">
        <v>1387</v>
      </c>
      <c r="F473" s="315">
        <v>12.6</v>
      </c>
      <c r="G473" s="260">
        <v>22</v>
      </c>
      <c r="H473" s="260"/>
      <c r="I473" s="309"/>
      <c r="J473" s="199"/>
      <c r="K473" s="269">
        <v>5</v>
      </c>
      <c r="L473" s="93">
        <f t="shared" si="190"/>
        <v>17</v>
      </c>
      <c r="M473" s="183">
        <v>17</v>
      </c>
      <c r="N473" s="95">
        <f t="shared" si="179"/>
        <v>214.2</v>
      </c>
      <c r="O473" s="95">
        <f t="shared" si="180"/>
        <v>214.2</v>
      </c>
      <c r="P473" s="94">
        <f t="shared" si="181"/>
        <v>0</v>
      </c>
      <c r="Q473" s="95">
        <f t="shared" si="182"/>
        <v>0</v>
      </c>
      <c r="R473" s="96" t="s">
        <v>1388</v>
      </c>
      <c r="S473" s="97">
        <f t="shared" si="183"/>
        <v>27</v>
      </c>
      <c r="T473" s="98">
        <f t="shared" si="178"/>
        <v>-10</v>
      </c>
      <c r="U473">
        <v>13</v>
      </c>
      <c r="W473">
        <f>9+5</f>
        <v>14</v>
      </c>
      <c r="X473" t="s">
        <v>1389</v>
      </c>
      <c r="AD473">
        <f t="shared" ref="AD473" si="191">W473</f>
        <v>14</v>
      </c>
      <c r="AE473" s="100">
        <f>AD473*F473</f>
        <v>176.4</v>
      </c>
    </row>
    <row r="474" spans="2:31" ht="20.100000000000001" customHeight="1">
      <c r="B474" s="88">
        <v>5</v>
      </c>
      <c r="C474" s="89" t="s">
        <v>1276</v>
      </c>
      <c r="D474" s="90" t="s">
        <v>1390</v>
      </c>
      <c r="E474" s="91" t="s">
        <v>1391</v>
      </c>
      <c r="F474" s="315">
        <v>250</v>
      </c>
      <c r="G474" s="260">
        <v>4</v>
      </c>
      <c r="H474" s="260"/>
      <c r="I474" s="309"/>
      <c r="J474" s="199"/>
      <c r="K474" s="269">
        <v>1</v>
      </c>
      <c r="L474" s="93">
        <f t="shared" si="190"/>
        <v>3</v>
      </c>
      <c r="M474" s="183">
        <v>3</v>
      </c>
      <c r="N474" s="95">
        <f t="shared" si="179"/>
        <v>750</v>
      </c>
      <c r="O474" s="95">
        <f t="shared" si="180"/>
        <v>750</v>
      </c>
      <c r="P474" s="94">
        <f t="shared" si="181"/>
        <v>0</v>
      </c>
      <c r="Q474" s="95">
        <f t="shared" si="182"/>
        <v>0</v>
      </c>
      <c r="R474" s="96"/>
      <c r="S474" s="97">
        <f t="shared" si="183"/>
        <v>6</v>
      </c>
      <c r="T474" s="98">
        <f t="shared" si="178"/>
        <v>-3</v>
      </c>
      <c r="U474">
        <f>1+2+3</f>
        <v>6</v>
      </c>
    </row>
    <row r="475" spans="2:31" ht="20.100000000000001" customHeight="1">
      <c r="B475" s="88">
        <v>5</v>
      </c>
      <c r="C475" s="89" t="s">
        <v>1276</v>
      </c>
      <c r="D475" s="90" t="s">
        <v>1392</v>
      </c>
      <c r="E475" s="91" t="s">
        <v>1393</v>
      </c>
      <c r="F475" s="315">
        <v>150</v>
      </c>
      <c r="G475" s="260">
        <v>7</v>
      </c>
      <c r="H475" s="260"/>
      <c r="I475" s="309"/>
      <c r="J475" s="199"/>
      <c r="K475" s="269"/>
      <c r="L475" s="93">
        <f t="shared" si="190"/>
        <v>7</v>
      </c>
      <c r="M475" s="183">
        <v>7</v>
      </c>
      <c r="N475" s="95">
        <f t="shared" si="179"/>
        <v>1050</v>
      </c>
      <c r="O475" s="95">
        <f t="shared" si="180"/>
        <v>1050</v>
      </c>
      <c r="P475" s="94">
        <f t="shared" si="181"/>
        <v>0</v>
      </c>
      <c r="Q475" s="95">
        <f t="shared" si="182"/>
        <v>0</v>
      </c>
      <c r="R475" s="96"/>
      <c r="S475" s="97">
        <f t="shared" si="183"/>
        <v>7</v>
      </c>
      <c r="T475" s="98">
        <f t="shared" si="178"/>
        <v>0</v>
      </c>
      <c r="U475">
        <f>1+6</f>
        <v>7</v>
      </c>
    </row>
    <row r="476" spans="2:31" ht="20.100000000000001" customHeight="1">
      <c r="B476" s="88">
        <v>5</v>
      </c>
      <c r="C476" s="89" t="s">
        <v>1276</v>
      </c>
      <c r="D476" s="90" t="s">
        <v>1394</v>
      </c>
      <c r="E476" s="91" t="s">
        <v>1395</v>
      </c>
      <c r="F476" s="315">
        <v>300</v>
      </c>
      <c r="G476" s="260">
        <v>17</v>
      </c>
      <c r="H476" s="260"/>
      <c r="I476" s="309"/>
      <c r="J476" s="199"/>
      <c r="K476" s="269">
        <v>3</v>
      </c>
      <c r="L476" s="93">
        <f t="shared" si="190"/>
        <v>14</v>
      </c>
      <c r="M476" s="183">
        <v>14</v>
      </c>
      <c r="N476" s="95">
        <f t="shared" si="179"/>
        <v>4200</v>
      </c>
      <c r="O476" s="95">
        <f t="shared" si="180"/>
        <v>4200</v>
      </c>
      <c r="P476" s="94">
        <f t="shared" si="181"/>
        <v>0</v>
      </c>
      <c r="Q476" s="95">
        <f t="shared" si="182"/>
        <v>0</v>
      </c>
      <c r="R476" s="96"/>
      <c r="S476" s="97">
        <f t="shared" si="183"/>
        <v>19</v>
      </c>
      <c r="T476" s="98">
        <f t="shared" si="178"/>
        <v>-5</v>
      </c>
      <c r="U476">
        <f>1+2+14+2</f>
        <v>19</v>
      </c>
    </row>
    <row r="477" spans="2:31" ht="20.100000000000001" customHeight="1">
      <c r="B477" s="88">
        <v>5</v>
      </c>
      <c r="C477" s="89" t="s">
        <v>1276</v>
      </c>
      <c r="D477" s="90" t="s">
        <v>1396</v>
      </c>
      <c r="E477" s="91" t="s">
        <v>1397</v>
      </c>
      <c r="F477" s="315">
        <v>145.18</v>
      </c>
      <c r="G477" s="260">
        <v>8</v>
      </c>
      <c r="H477" s="260"/>
      <c r="I477" s="309"/>
      <c r="J477" s="199"/>
      <c r="K477" s="269">
        <v>3</v>
      </c>
      <c r="L477" s="93">
        <f t="shared" si="190"/>
        <v>5</v>
      </c>
      <c r="M477" s="183">
        <v>5</v>
      </c>
      <c r="N477" s="95">
        <f t="shared" si="179"/>
        <v>725.90000000000009</v>
      </c>
      <c r="O477" s="95">
        <f t="shared" si="180"/>
        <v>725.90000000000009</v>
      </c>
      <c r="P477" s="94">
        <f t="shared" si="181"/>
        <v>0</v>
      </c>
      <c r="Q477" s="95">
        <f t="shared" si="182"/>
        <v>0</v>
      </c>
      <c r="R477" s="278"/>
      <c r="S477" s="97">
        <f t="shared" si="183"/>
        <v>2</v>
      </c>
      <c r="T477" s="98">
        <f t="shared" si="178"/>
        <v>3</v>
      </c>
      <c r="U477">
        <v>2</v>
      </c>
      <c r="V477" s="99" t="s">
        <v>1398</v>
      </c>
    </row>
    <row r="478" spans="2:31" ht="20.100000000000001" customHeight="1">
      <c r="B478" s="88">
        <v>5</v>
      </c>
      <c r="C478" s="89" t="s">
        <v>1276</v>
      </c>
      <c r="D478" s="90" t="s">
        <v>1399</v>
      </c>
      <c r="E478" s="91" t="s">
        <v>1400</v>
      </c>
      <c r="F478" s="315">
        <v>200.03</v>
      </c>
      <c r="G478" s="260">
        <v>5</v>
      </c>
      <c r="H478" s="260"/>
      <c r="I478" s="309">
        <v>5</v>
      </c>
      <c r="J478" s="199"/>
      <c r="K478" s="269">
        <v>4</v>
      </c>
      <c r="L478" s="93">
        <f t="shared" si="190"/>
        <v>6</v>
      </c>
      <c r="M478" s="183">
        <v>6</v>
      </c>
      <c r="N478" s="95">
        <f t="shared" si="179"/>
        <v>1200.18</v>
      </c>
      <c r="O478" s="95">
        <f t="shared" si="180"/>
        <v>1200.18</v>
      </c>
      <c r="P478" s="94">
        <f t="shared" si="181"/>
        <v>0</v>
      </c>
      <c r="Q478" s="95">
        <f t="shared" si="182"/>
        <v>0</v>
      </c>
      <c r="R478" s="96"/>
      <c r="S478" s="97">
        <f t="shared" si="183"/>
        <v>5</v>
      </c>
      <c r="T478" s="98">
        <f t="shared" si="178"/>
        <v>1</v>
      </c>
      <c r="U478">
        <v>5</v>
      </c>
    </row>
    <row r="479" spans="2:31" ht="20.100000000000001" customHeight="1">
      <c r="B479" s="88">
        <v>5</v>
      </c>
      <c r="C479" s="89" t="s">
        <v>1276</v>
      </c>
      <c r="D479" s="90" t="s">
        <v>1401</v>
      </c>
      <c r="E479" s="91" t="s">
        <v>1402</v>
      </c>
      <c r="F479" s="315">
        <v>18.07</v>
      </c>
      <c r="G479" s="260"/>
      <c r="H479" s="260"/>
      <c r="I479" s="309"/>
      <c r="J479" s="199"/>
      <c r="K479" s="269"/>
      <c r="L479" s="93">
        <f t="shared" si="190"/>
        <v>0</v>
      </c>
      <c r="M479" s="183"/>
      <c r="N479" s="95">
        <f t="shared" si="179"/>
        <v>0</v>
      </c>
      <c r="O479" s="95">
        <f t="shared" si="180"/>
        <v>0</v>
      </c>
      <c r="P479" s="94">
        <f t="shared" si="181"/>
        <v>0</v>
      </c>
      <c r="Q479" s="95">
        <f t="shared" si="182"/>
        <v>0</v>
      </c>
      <c r="R479" s="96"/>
      <c r="S479" s="97">
        <f t="shared" si="183"/>
        <v>0</v>
      </c>
      <c r="T479" s="98">
        <f t="shared" si="178"/>
        <v>0</v>
      </c>
    </row>
    <row r="480" spans="2:31" ht="20.100000000000001" customHeight="1">
      <c r="B480" s="88">
        <v>5</v>
      </c>
      <c r="C480" s="89" t="s">
        <v>1276</v>
      </c>
      <c r="D480" s="90" t="s">
        <v>1403</v>
      </c>
      <c r="E480" s="91" t="s">
        <v>1404</v>
      </c>
      <c r="F480" s="315">
        <v>25.69</v>
      </c>
      <c r="G480" s="260">
        <v>57</v>
      </c>
      <c r="H480" s="260"/>
      <c r="I480" s="309"/>
      <c r="J480" s="199"/>
      <c r="K480" s="269">
        <v>6</v>
      </c>
      <c r="L480" s="93">
        <f t="shared" si="190"/>
        <v>51</v>
      </c>
      <c r="M480" s="183">
        <v>51</v>
      </c>
      <c r="N480" s="95">
        <f t="shared" si="179"/>
        <v>1310.19</v>
      </c>
      <c r="O480" s="95">
        <f t="shared" si="180"/>
        <v>1310.19</v>
      </c>
      <c r="P480" s="94">
        <f t="shared" si="181"/>
        <v>0</v>
      </c>
      <c r="Q480" s="95">
        <f t="shared" si="182"/>
        <v>0</v>
      </c>
      <c r="R480" s="278"/>
      <c r="S480" s="97">
        <f t="shared" si="183"/>
        <v>55</v>
      </c>
      <c r="T480" s="98">
        <f t="shared" si="178"/>
        <v>-4</v>
      </c>
      <c r="U480">
        <v>55</v>
      </c>
    </row>
    <row r="481" spans="2:31" ht="20.100000000000001" customHeight="1">
      <c r="B481" s="88">
        <v>5</v>
      </c>
      <c r="C481" s="89" t="s">
        <v>1276</v>
      </c>
      <c r="D481" s="90" t="s">
        <v>1405</v>
      </c>
      <c r="E481" s="91" t="s">
        <v>1406</v>
      </c>
      <c r="F481" s="315">
        <v>238.1</v>
      </c>
      <c r="G481" s="260">
        <v>4</v>
      </c>
      <c r="H481" s="260"/>
      <c r="I481" s="309"/>
      <c r="J481" s="199"/>
      <c r="K481" s="269">
        <v>2</v>
      </c>
      <c r="L481" s="93">
        <f t="shared" si="190"/>
        <v>2</v>
      </c>
      <c r="M481" s="183">
        <v>2</v>
      </c>
      <c r="N481" s="95">
        <f t="shared" si="179"/>
        <v>476.2</v>
      </c>
      <c r="O481" s="95">
        <f t="shared" si="180"/>
        <v>476.2</v>
      </c>
      <c r="P481" s="94">
        <f t="shared" si="181"/>
        <v>0</v>
      </c>
      <c r="Q481" s="95">
        <f t="shared" si="182"/>
        <v>0</v>
      </c>
      <c r="R481" s="96"/>
      <c r="S481" s="97">
        <f t="shared" si="183"/>
        <v>4</v>
      </c>
      <c r="T481" s="98">
        <f t="shared" si="178"/>
        <v>-2</v>
      </c>
      <c r="U481">
        <v>4</v>
      </c>
    </row>
    <row r="482" spans="2:31" ht="20.100000000000001" customHeight="1">
      <c r="B482" s="88">
        <v>5</v>
      </c>
      <c r="C482" s="89" t="s">
        <v>1276</v>
      </c>
      <c r="D482" s="90" t="s">
        <v>1407</v>
      </c>
      <c r="E482" s="91" t="s">
        <v>1408</v>
      </c>
      <c r="F482" s="315">
        <v>30.48</v>
      </c>
      <c r="G482" s="260">
        <v>26</v>
      </c>
      <c r="H482" s="260"/>
      <c r="I482" s="309"/>
      <c r="J482" s="199"/>
      <c r="K482" s="269">
        <v>2</v>
      </c>
      <c r="L482" s="93">
        <f t="shared" si="190"/>
        <v>24</v>
      </c>
      <c r="M482" s="183">
        <v>24</v>
      </c>
      <c r="N482" s="95">
        <f t="shared" si="179"/>
        <v>731.52</v>
      </c>
      <c r="O482" s="95">
        <f t="shared" si="180"/>
        <v>731.52</v>
      </c>
      <c r="P482" s="94">
        <f t="shared" si="181"/>
        <v>0</v>
      </c>
      <c r="Q482" s="95">
        <f t="shared" si="182"/>
        <v>0</v>
      </c>
      <c r="R482" s="96"/>
      <c r="S482" s="97">
        <f t="shared" si="183"/>
        <v>26</v>
      </c>
      <c r="T482" s="98">
        <f t="shared" si="178"/>
        <v>-2</v>
      </c>
      <c r="U482">
        <v>26</v>
      </c>
    </row>
    <row r="483" spans="2:31" ht="20.100000000000001" customHeight="1">
      <c r="B483" s="88">
        <v>5</v>
      </c>
      <c r="C483" s="89" t="s">
        <v>1276</v>
      </c>
      <c r="D483" s="90" t="s">
        <v>1409</v>
      </c>
      <c r="E483" s="91" t="s">
        <v>1410</v>
      </c>
      <c r="F483" s="315">
        <v>100.03</v>
      </c>
      <c r="G483" s="260">
        <v>26</v>
      </c>
      <c r="H483" s="260"/>
      <c r="I483" s="309"/>
      <c r="J483" s="199"/>
      <c r="K483" s="269"/>
      <c r="L483" s="93">
        <f t="shared" si="190"/>
        <v>26</v>
      </c>
      <c r="M483" s="183">
        <v>26</v>
      </c>
      <c r="N483" s="95">
        <f t="shared" si="179"/>
        <v>2600.7800000000002</v>
      </c>
      <c r="O483" s="95">
        <f t="shared" si="180"/>
        <v>2600.7800000000002</v>
      </c>
      <c r="P483" s="94">
        <f t="shared" si="181"/>
        <v>0</v>
      </c>
      <c r="Q483" s="95">
        <f t="shared" si="182"/>
        <v>0</v>
      </c>
      <c r="R483" s="96"/>
      <c r="S483" s="97">
        <f t="shared" si="183"/>
        <v>26</v>
      </c>
      <c r="T483" s="98">
        <f t="shared" si="178"/>
        <v>0</v>
      </c>
      <c r="U483">
        <v>26</v>
      </c>
    </row>
    <row r="484" spans="2:31" ht="20.100000000000001" customHeight="1">
      <c r="B484" s="88">
        <v>5</v>
      </c>
      <c r="C484" s="89" t="s">
        <v>1276</v>
      </c>
      <c r="D484" s="90" t="s">
        <v>1411</v>
      </c>
      <c r="E484" s="91" t="s">
        <v>1412</v>
      </c>
      <c r="F484" s="315">
        <v>50.43</v>
      </c>
      <c r="G484" s="260">
        <v>75</v>
      </c>
      <c r="H484" s="260"/>
      <c r="I484" s="309"/>
      <c r="J484" s="199"/>
      <c r="K484" s="269">
        <v>2</v>
      </c>
      <c r="L484" s="93">
        <f t="shared" si="190"/>
        <v>73</v>
      </c>
      <c r="M484" s="183">
        <v>73</v>
      </c>
      <c r="N484" s="95">
        <f t="shared" si="179"/>
        <v>3681.39</v>
      </c>
      <c r="O484" s="95">
        <f t="shared" si="180"/>
        <v>3681.39</v>
      </c>
      <c r="P484" s="94">
        <f t="shared" si="181"/>
        <v>0</v>
      </c>
      <c r="Q484" s="95">
        <f t="shared" si="182"/>
        <v>0</v>
      </c>
      <c r="R484" s="96"/>
      <c r="S484" s="97">
        <f t="shared" si="183"/>
        <v>0</v>
      </c>
      <c r="T484" s="98">
        <f t="shared" si="178"/>
        <v>73</v>
      </c>
    </row>
    <row r="485" spans="2:31" ht="20.100000000000001" customHeight="1">
      <c r="B485" s="88">
        <v>5</v>
      </c>
      <c r="C485" s="89" t="s">
        <v>1276</v>
      </c>
      <c r="D485" s="90" t="s">
        <v>1413</v>
      </c>
      <c r="E485" s="91" t="s">
        <v>1414</v>
      </c>
      <c r="F485" s="315">
        <v>8.24</v>
      </c>
      <c r="G485" s="260"/>
      <c r="H485" s="260"/>
      <c r="I485" s="309"/>
      <c r="J485" s="199"/>
      <c r="K485" s="269"/>
      <c r="L485" s="93">
        <f t="shared" si="190"/>
        <v>0</v>
      </c>
      <c r="M485" s="183"/>
      <c r="N485" s="95">
        <f t="shared" si="179"/>
        <v>0</v>
      </c>
      <c r="O485" s="95">
        <f t="shared" si="180"/>
        <v>0</v>
      </c>
      <c r="P485" s="94">
        <f t="shared" si="181"/>
        <v>0</v>
      </c>
      <c r="Q485" s="95">
        <f t="shared" si="182"/>
        <v>0</v>
      </c>
      <c r="R485" s="96"/>
      <c r="S485" s="97">
        <f t="shared" si="183"/>
        <v>0</v>
      </c>
      <c r="T485" s="98">
        <f t="shared" si="178"/>
        <v>0</v>
      </c>
    </row>
    <row r="486" spans="2:31" ht="20.100000000000001" customHeight="1">
      <c r="B486" s="88">
        <v>5</v>
      </c>
      <c r="C486" s="89" t="s">
        <v>1276</v>
      </c>
      <c r="D486" s="90" t="s">
        <v>1415</v>
      </c>
      <c r="E486" s="91" t="s">
        <v>1416</v>
      </c>
      <c r="F486" s="315">
        <v>13.32</v>
      </c>
      <c r="G486" s="260">
        <f>138+8</f>
        <v>146</v>
      </c>
      <c r="H486" s="260"/>
      <c r="I486" s="309"/>
      <c r="J486" s="199"/>
      <c r="K486" s="269">
        <v>8</v>
      </c>
      <c r="L486" s="93">
        <f t="shared" si="190"/>
        <v>138</v>
      </c>
      <c r="M486" s="277">
        <f>106+32</f>
        <v>138</v>
      </c>
      <c r="N486" s="95">
        <f t="shared" si="179"/>
        <v>1838.16</v>
      </c>
      <c r="O486" s="95">
        <f t="shared" si="180"/>
        <v>1838.16</v>
      </c>
      <c r="P486" s="94">
        <f t="shared" si="181"/>
        <v>0</v>
      </c>
      <c r="Q486" s="95">
        <f t="shared" si="182"/>
        <v>0</v>
      </c>
      <c r="R486" s="278"/>
      <c r="S486" s="97">
        <f t="shared" si="183"/>
        <v>149</v>
      </c>
      <c r="T486" s="98">
        <f t="shared" si="178"/>
        <v>-11</v>
      </c>
      <c r="U486">
        <v>149</v>
      </c>
    </row>
    <row r="487" spans="2:31" ht="20.100000000000001" customHeight="1">
      <c r="B487" s="88">
        <v>5</v>
      </c>
      <c r="C487" s="89" t="s">
        <v>1276</v>
      </c>
      <c r="D487" s="90" t="s">
        <v>1417</v>
      </c>
      <c r="E487" s="91" t="s">
        <v>1418</v>
      </c>
      <c r="F487" s="315">
        <v>13.21</v>
      </c>
      <c r="G487" s="260">
        <v>34</v>
      </c>
      <c r="H487" s="260"/>
      <c r="I487" s="309"/>
      <c r="J487" s="199"/>
      <c r="K487" s="269">
        <v>2</v>
      </c>
      <c r="L487" s="93">
        <f t="shared" si="190"/>
        <v>32</v>
      </c>
      <c r="M487" s="183">
        <v>23</v>
      </c>
      <c r="N487" s="95">
        <f t="shared" si="179"/>
        <v>422.72</v>
      </c>
      <c r="O487" s="95">
        <f t="shared" si="180"/>
        <v>303.83000000000004</v>
      </c>
      <c r="P487" s="94">
        <f t="shared" si="181"/>
        <v>9</v>
      </c>
      <c r="Q487" s="95">
        <f t="shared" si="182"/>
        <v>118.88999999999999</v>
      </c>
      <c r="R487" s="96"/>
      <c r="S487" s="97">
        <f t="shared" si="183"/>
        <v>34</v>
      </c>
      <c r="T487" s="98">
        <f t="shared" si="178"/>
        <v>-11</v>
      </c>
      <c r="U487">
        <v>34</v>
      </c>
    </row>
    <row r="488" spans="2:31" ht="20.100000000000001" customHeight="1">
      <c r="B488" s="88">
        <v>5</v>
      </c>
      <c r="C488" s="89" t="s">
        <v>1276</v>
      </c>
      <c r="D488" s="90" t="s">
        <v>1419</v>
      </c>
      <c r="E488" s="91" t="s">
        <v>1420</v>
      </c>
      <c r="F488" s="315">
        <v>13.32</v>
      </c>
      <c r="G488" s="260">
        <v>108</v>
      </c>
      <c r="H488" s="260">
        <v>28</v>
      </c>
      <c r="I488" s="309"/>
      <c r="J488" s="199"/>
      <c r="K488" s="269">
        <v>7</v>
      </c>
      <c r="L488" s="93">
        <f t="shared" si="190"/>
        <v>129</v>
      </c>
      <c r="M488" s="183">
        <v>129</v>
      </c>
      <c r="N488" s="95">
        <f t="shared" si="179"/>
        <v>1718.28</v>
      </c>
      <c r="O488" s="95">
        <f t="shared" si="180"/>
        <v>1718.28</v>
      </c>
      <c r="P488" s="94">
        <f t="shared" si="181"/>
        <v>0</v>
      </c>
      <c r="Q488" s="95">
        <f t="shared" si="182"/>
        <v>0</v>
      </c>
      <c r="R488" s="278"/>
      <c r="S488" s="97">
        <f t="shared" si="183"/>
        <v>124</v>
      </c>
      <c r="T488" s="98">
        <f t="shared" si="178"/>
        <v>5</v>
      </c>
      <c r="U488">
        <v>124</v>
      </c>
    </row>
    <row r="489" spans="2:31" ht="20.100000000000001" customHeight="1">
      <c r="B489" s="88">
        <v>5</v>
      </c>
      <c r="C489" s="89" t="s">
        <v>1276</v>
      </c>
      <c r="D489" s="90" t="s">
        <v>1421</v>
      </c>
      <c r="E489" s="91" t="s">
        <v>1422</v>
      </c>
      <c r="F489" s="315">
        <v>261.06</v>
      </c>
      <c r="G489" s="260">
        <v>1</v>
      </c>
      <c r="H489" s="260"/>
      <c r="I489" s="309"/>
      <c r="J489" s="199"/>
      <c r="K489" s="269"/>
      <c r="L489" s="93">
        <f t="shared" si="190"/>
        <v>1</v>
      </c>
      <c r="M489" s="183">
        <v>1</v>
      </c>
      <c r="N489" s="95">
        <f t="shared" si="179"/>
        <v>261.06</v>
      </c>
      <c r="O489" s="95">
        <f t="shared" si="180"/>
        <v>261.06</v>
      </c>
      <c r="P489" s="94">
        <f t="shared" si="181"/>
        <v>0</v>
      </c>
      <c r="Q489" s="95">
        <f t="shared" si="182"/>
        <v>0</v>
      </c>
      <c r="R489" s="96"/>
      <c r="S489" s="97">
        <f t="shared" si="183"/>
        <v>1</v>
      </c>
      <c r="T489" s="98">
        <f t="shared" si="178"/>
        <v>0</v>
      </c>
      <c r="U489">
        <v>1</v>
      </c>
    </row>
    <row r="490" spans="2:31" ht="20.100000000000001" customHeight="1">
      <c r="B490" s="88">
        <v>5</v>
      </c>
      <c r="C490" s="89" t="s">
        <v>1276</v>
      </c>
      <c r="D490" s="90" t="s">
        <v>1423</v>
      </c>
      <c r="E490" s="91" t="s">
        <v>1424</v>
      </c>
      <c r="F490" s="315">
        <v>118.54</v>
      </c>
      <c r="G490" s="260"/>
      <c r="H490" s="260"/>
      <c r="I490" s="309"/>
      <c r="J490" s="199"/>
      <c r="K490" s="269"/>
      <c r="L490" s="93">
        <f t="shared" si="190"/>
        <v>0</v>
      </c>
      <c r="M490" s="183"/>
      <c r="N490" s="95">
        <f t="shared" si="179"/>
        <v>0</v>
      </c>
      <c r="O490" s="95">
        <f t="shared" si="180"/>
        <v>0</v>
      </c>
      <c r="P490" s="94">
        <f t="shared" si="181"/>
        <v>0</v>
      </c>
      <c r="Q490" s="95">
        <f t="shared" si="182"/>
        <v>0</v>
      </c>
      <c r="R490" s="96"/>
      <c r="S490" s="97">
        <f t="shared" si="183"/>
        <v>0</v>
      </c>
      <c r="T490" s="98">
        <f t="shared" si="178"/>
        <v>0</v>
      </c>
    </row>
    <row r="491" spans="2:31" ht="20.100000000000001" customHeight="1">
      <c r="B491" s="88">
        <v>5</v>
      </c>
      <c r="C491" s="89" t="s">
        <v>1276</v>
      </c>
      <c r="D491" s="90" t="s">
        <v>1425</v>
      </c>
      <c r="E491" s="91" t="s">
        <v>1426</v>
      </c>
      <c r="F491" s="315">
        <v>13.21</v>
      </c>
      <c r="G491" s="260">
        <v>38</v>
      </c>
      <c r="H491" s="260"/>
      <c r="I491" s="309"/>
      <c r="J491" s="199"/>
      <c r="K491" s="269"/>
      <c r="L491" s="93">
        <f t="shared" si="190"/>
        <v>38</v>
      </c>
      <c r="M491" s="183">
        <v>38</v>
      </c>
      <c r="N491" s="95">
        <f t="shared" si="179"/>
        <v>501.98</v>
      </c>
      <c r="O491" s="95">
        <f t="shared" si="180"/>
        <v>501.98</v>
      </c>
      <c r="P491" s="94">
        <f t="shared" si="181"/>
        <v>0</v>
      </c>
      <c r="Q491" s="95">
        <f t="shared" si="182"/>
        <v>0</v>
      </c>
      <c r="R491" s="96"/>
      <c r="S491" s="97">
        <f t="shared" si="183"/>
        <v>39</v>
      </c>
      <c r="T491" s="98">
        <f t="shared" si="178"/>
        <v>-1</v>
      </c>
      <c r="U491">
        <v>39</v>
      </c>
    </row>
    <row r="492" spans="2:31" ht="20.100000000000001" customHeight="1">
      <c r="B492" s="88">
        <v>5</v>
      </c>
      <c r="C492" s="89" t="s">
        <v>1276</v>
      </c>
      <c r="D492" s="90" t="s">
        <v>1427</v>
      </c>
      <c r="E492" s="91" t="s">
        <v>1428</v>
      </c>
      <c r="F492" s="315">
        <v>13.32</v>
      </c>
      <c r="G492" s="260">
        <v>159</v>
      </c>
      <c r="H492" s="260">
        <v>4</v>
      </c>
      <c r="I492" s="309"/>
      <c r="J492" s="199"/>
      <c r="K492" s="269">
        <v>16</v>
      </c>
      <c r="L492" s="93">
        <f t="shared" si="190"/>
        <v>147</v>
      </c>
      <c r="M492" s="187">
        <v>147</v>
      </c>
      <c r="N492" s="95">
        <f t="shared" si="179"/>
        <v>1958.04</v>
      </c>
      <c r="O492" s="95">
        <f t="shared" si="180"/>
        <v>1958.04</v>
      </c>
      <c r="P492" s="94">
        <f t="shared" si="181"/>
        <v>0</v>
      </c>
      <c r="Q492" s="95">
        <f t="shared" si="182"/>
        <v>0</v>
      </c>
      <c r="R492" s="278"/>
      <c r="S492" s="97">
        <f t="shared" si="183"/>
        <v>20</v>
      </c>
      <c r="T492" s="98">
        <f t="shared" si="178"/>
        <v>127</v>
      </c>
      <c r="U492">
        <v>20</v>
      </c>
    </row>
    <row r="493" spans="2:31" ht="20.100000000000001" customHeight="1">
      <c r="B493" s="88">
        <v>5</v>
      </c>
      <c r="C493" s="89" t="s">
        <v>1276</v>
      </c>
      <c r="D493" s="90" t="s">
        <v>1429</v>
      </c>
      <c r="E493" s="91" t="s">
        <v>1430</v>
      </c>
      <c r="F493" s="315">
        <v>18.57</v>
      </c>
      <c r="G493" s="260">
        <v>134</v>
      </c>
      <c r="H493" s="260"/>
      <c r="I493" s="309"/>
      <c r="J493" s="199"/>
      <c r="K493" s="269">
        <v>10</v>
      </c>
      <c r="L493" s="93">
        <f t="shared" si="190"/>
        <v>124</v>
      </c>
      <c r="M493" s="183">
        <v>124</v>
      </c>
      <c r="N493" s="95">
        <f t="shared" si="179"/>
        <v>2302.6799999999998</v>
      </c>
      <c r="O493" s="95">
        <f t="shared" si="180"/>
        <v>2302.6799999999998</v>
      </c>
      <c r="P493" s="94">
        <f t="shared" si="181"/>
        <v>0</v>
      </c>
      <c r="Q493" s="95">
        <f t="shared" si="182"/>
        <v>0</v>
      </c>
      <c r="R493" s="96"/>
      <c r="S493" s="97">
        <f t="shared" si="183"/>
        <v>143</v>
      </c>
      <c r="T493" s="98">
        <f t="shared" si="178"/>
        <v>-19</v>
      </c>
      <c r="U493">
        <v>143</v>
      </c>
    </row>
    <row r="494" spans="2:31" ht="20.100000000000001" customHeight="1">
      <c r="B494" s="88">
        <v>5</v>
      </c>
      <c r="C494" s="89" t="s">
        <v>1276</v>
      </c>
      <c r="D494" s="90" t="s">
        <v>1431</v>
      </c>
      <c r="E494" s="91" t="s">
        <v>1432</v>
      </c>
      <c r="F494" s="315">
        <v>18.57</v>
      </c>
      <c r="G494" s="260">
        <v>6</v>
      </c>
      <c r="H494" s="260"/>
      <c r="I494" s="309"/>
      <c r="J494" s="199"/>
      <c r="K494" s="269">
        <v>4</v>
      </c>
      <c r="L494" s="93">
        <f t="shared" si="190"/>
        <v>2</v>
      </c>
      <c r="M494" s="183">
        <v>2</v>
      </c>
      <c r="N494" s="95">
        <f t="shared" si="179"/>
        <v>37.14</v>
      </c>
      <c r="O494" s="95">
        <f t="shared" si="180"/>
        <v>37.14</v>
      </c>
      <c r="P494" s="94">
        <f t="shared" si="181"/>
        <v>0</v>
      </c>
      <c r="Q494" s="95">
        <f t="shared" si="182"/>
        <v>0</v>
      </c>
      <c r="R494" s="96" t="s">
        <v>1433</v>
      </c>
      <c r="S494" s="97">
        <f t="shared" si="183"/>
        <v>19</v>
      </c>
      <c r="T494" s="98">
        <f t="shared" si="178"/>
        <v>-17</v>
      </c>
      <c r="U494">
        <v>17</v>
      </c>
      <c r="W494">
        <v>2</v>
      </c>
      <c r="X494" t="s">
        <v>555</v>
      </c>
      <c r="AD494">
        <f t="shared" ref="AD494:AD495" si="192">W494</f>
        <v>2</v>
      </c>
      <c r="AE494" s="100">
        <f>AD494*F494</f>
        <v>37.14</v>
      </c>
    </row>
    <row r="495" spans="2:31" ht="20.100000000000001" customHeight="1">
      <c r="B495" s="88">
        <v>5</v>
      </c>
      <c r="C495" s="89" t="s">
        <v>1276</v>
      </c>
      <c r="D495" s="90" t="s">
        <v>4991</v>
      </c>
      <c r="E495" s="91" t="s">
        <v>4976</v>
      </c>
      <c r="F495" s="315">
        <v>10.64</v>
      </c>
      <c r="G495" s="260"/>
      <c r="H495" s="260"/>
      <c r="I495" s="309">
        <v>96</v>
      </c>
      <c r="J495" s="199"/>
      <c r="K495" s="269"/>
      <c r="L495" s="93">
        <f t="shared" si="190"/>
        <v>96</v>
      </c>
      <c r="M495" s="183">
        <v>96</v>
      </c>
      <c r="N495" s="95">
        <f t="shared" si="179"/>
        <v>1021.44</v>
      </c>
      <c r="O495" s="95">
        <f t="shared" si="180"/>
        <v>1021.44</v>
      </c>
      <c r="P495" s="94">
        <f t="shared" si="181"/>
        <v>0</v>
      </c>
      <c r="Q495" s="95">
        <f t="shared" si="182"/>
        <v>0</v>
      </c>
      <c r="R495" s="96" t="s">
        <v>1436</v>
      </c>
      <c r="S495" s="97">
        <f t="shared" si="183"/>
        <v>1</v>
      </c>
      <c r="T495" s="98">
        <f t="shared" si="178"/>
        <v>95</v>
      </c>
      <c r="W495">
        <v>1</v>
      </c>
      <c r="X495" t="s">
        <v>555</v>
      </c>
      <c r="AD495">
        <f t="shared" si="192"/>
        <v>1</v>
      </c>
      <c r="AE495" s="100">
        <f>AD495*F495</f>
        <v>10.64</v>
      </c>
    </row>
    <row r="496" spans="2:31" ht="20.100000000000001" customHeight="1">
      <c r="B496" s="88">
        <v>5</v>
      </c>
      <c r="C496" s="89" t="s">
        <v>1276</v>
      </c>
      <c r="D496" s="90" t="s">
        <v>1434</v>
      </c>
      <c r="E496" s="91" t="s">
        <v>1435</v>
      </c>
      <c r="F496" s="315">
        <v>104.76</v>
      </c>
      <c r="G496" s="260">
        <v>1</v>
      </c>
      <c r="H496" s="260"/>
      <c r="I496" s="309"/>
      <c r="J496" s="199"/>
      <c r="K496" s="269">
        <v>1</v>
      </c>
      <c r="L496" s="93">
        <f t="shared" si="190"/>
        <v>0</v>
      </c>
      <c r="M496" s="183"/>
      <c r="N496" s="95">
        <f t="shared" si="179"/>
        <v>0</v>
      </c>
      <c r="O496" s="95">
        <f t="shared" si="180"/>
        <v>0</v>
      </c>
      <c r="P496" s="94">
        <f t="shared" si="181"/>
        <v>0</v>
      </c>
      <c r="Q496" s="95">
        <f t="shared" si="182"/>
        <v>0</v>
      </c>
      <c r="R496" s="96"/>
      <c r="S496" s="97">
        <f t="shared" si="183"/>
        <v>0</v>
      </c>
      <c r="T496" s="98">
        <f t="shared" si="178"/>
        <v>0</v>
      </c>
    </row>
    <row r="497" spans="2:31" ht="20.100000000000001" customHeight="1">
      <c r="B497" s="88">
        <v>5</v>
      </c>
      <c r="C497" s="89" t="s">
        <v>1276</v>
      </c>
      <c r="D497" s="90" t="s">
        <v>5177</v>
      </c>
      <c r="E497" s="91" t="s">
        <v>1435</v>
      </c>
      <c r="F497" s="315">
        <v>104.76</v>
      </c>
      <c r="G497" s="260">
        <v>2</v>
      </c>
      <c r="H497" s="260"/>
      <c r="I497" s="309"/>
      <c r="J497" s="199"/>
      <c r="K497" s="269"/>
      <c r="L497" s="93">
        <f t="shared" si="190"/>
        <v>2</v>
      </c>
      <c r="M497" s="183">
        <f>1+1</f>
        <v>2</v>
      </c>
      <c r="N497" s="95">
        <f t="shared" si="179"/>
        <v>209.52</v>
      </c>
      <c r="O497" s="95">
        <f t="shared" si="180"/>
        <v>209.52</v>
      </c>
      <c r="P497" s="94">
        <f t="shared" si="181"/>
        <v>0</v>
      </c>
      <c r="Q497" s="95">
        <f t="shared" si="182"/>
        <v>0</v>
      </c>
      <c r="R497" s="96"/>
      <c r="S497" s="97">
        <f t="shared" si="183"/>
        <v>0</v>
      </c>
      <c r="T497" s="98">
        <f t="shared" si="178"/>
        <v>2</v>
      </c>
    </row>
    <row r="498" spans="2:31" ht="20.100000000000001" customHeight="1">
      <c r="B498" s="88">
        <v>5</v>
      </c>
      <c r="C498" s="89" t="s">
        <v>1276</v>
      </c>
      <c r="D498" s="90" t="s">
        <v>1437</v>
      </c>
      <c r="E498" s="91" t="s">
        <v>1438</v>
      </c>
      <c r="F498" s="315">
        <v>237.14</v>
      </c>
      <c r="G498" s="260">
        <v>2</v>
      </c>
      <c r="H498" s="260"/>
      <c r="I498" s="309"/>
      <c r="J498" s="199"/>
      <c r="K498" s="269"/>
      <c r="L498" s="93">
        <f t="shared" si="190"/>
        <v>2</v>
      </c>
      <c r="M498" s="183">
        <v>2</v>
      </c>
      <c r="N498" s="95">
        <f t="shared" si="179"/>
        <v>474.28</v>
      </c>
      <c r="O498" s="95">
        <f t="shared" si="180"/>
        <v>474.28</v>
      </c>
      <c r="P498" s="94">
        <f t="shared" si="181"/>
        <v>0</v>
      </c>
      <c r="Q498" s="95">
        <f t="shared" si="182"/>
        <v>0</v>
      </c>
      <c r="R498" s="96"/>
      <c r="S498" s="97">
        <f t="shared" si="183"/>
        <v>0</v>
      </c>
      <c r="T498" s="98">
        <f t="shared" si="178"/>
        <v>2</v>
      </c>
    </row>
    <row r="499" spans="2:31" ht="20.100000000000001" customHeight="1">
      <c r="B499" s="88">
        <v>5</v>
      </c>
      <c r="C499" s="89" t="s">
        <v>1276</v>
      </c>
      <c r="D499" s="90" t="s">
        <v>1439</v>
      </c>
      <c r="E499" s="91" t="s">
        <v>1440</v>
      </c>
      <c r="F499" s="315">
        <v>107.48</v>
      </c>
      <c r="G499" s="260">
        <v>1</v>
      </c>
      <c r="H499" s="260"/>
      <c r="I499" s="309"/>
      <c r="J499" s="199"/>
      <c r="K499" s="269"/>
      <c r="L499" s="93">
        <f t="shared" si="190"/>
        <v>1</v>
      </c>
      <c r="M499" s="183">
        <v>1</v>
      </c>
      <c r="N499" s="95">
        <f t="shared" si="179"/>
        <v>107.48</v>
      </c>
      <c r="O499" s="95">
        <f t="shared" si="180"/>
        <v>107.48</v>
      </c>
      <c r="P499" s="94">
        <f t="shared" si="181"/>
        <v>0</v>
      </c>
      <c r="Q499" s="95">
        <f t="shared" si="182"/>
        <v>0</v>
      </c>
      <c r="R499" s="96"/>
      <c r="S499" s="97">
        <f t="shared" si="183"/>
        <v>0</v>
      </c>
      <c r="T499" s="98">
        <f t="shared" si="178"/>
        <v>1</v>
      </c>
    </row>
    <row r="500" spans="2:31" ht="20.100000000000001" customHeight="1">
      <c r="B500" s="88">
        <v>5</v>
      </c>
      <c r="C500" s="89" t="s">
        <v>1276</v>
      </c>
      <c r="D500" s="90" t="s">
        <v>1441</v>
      </c>
      <c r="E500" s="91" t="s">
        <v>1442</v>
      </c>
      <c r="F500" s="315">
        <v>16.25</v>
      </c>
      <c r="G500" s="260">
        <v>106</v>
      </c>
      <c r="H500" s="260"/>
      <c r="I500" s="309"/>
      <c r="J500" s="199"/>
      <c r="K500" s="269">
        <v>1</v>
      </c>
      <c r="L500" s="93">
        <f t="shared" si="190"/>
        <v>105</v>
      </c>
      <c r="M500" s="183">
        <v>105</v>
      </c>
      <c r="N500" s="95">
        <f t="shared" si="179"/>
        <v>1706.25</v>
      </c>
      <c r="O500" s="95">
        <f t="shared" si="180"/>
        <v>1706.25</v>
      </c>
      <c r="P500" s="94">
        <f t="shared" si="181"/>
        <v>0</v>
      </c>
      <c r="Q500" s="95">
        <f t="shared" si="182"/>
        <v>0</v>
      </c>
      <c r="R500" s="96"/>
      <c r="S500" s="97">
        <f t="shared" si="183"/>
        <v>0</v>
      </c>
      <c r="T500" s="98">
        <f t="shared" si="178"/>
        <v>105</v>
      </c>
    </row>
    <row r="501" spans="2:31" ht="20.100000000000001" customHeight="1">
      <c r="B501" s="88">
        <v>5</v>
      </c>
      <c r="C501" s="89" t="s">
        <v>1276</v>
      </c>
      <c r="D501" s="90" t="s">
        <v>1443</v>
      </c>
      <c r="E501" s="91" t="s">
        <v>1444</v>
      </c>
      <c r="F501" s="315">
        <v>10.64</v>
      </c>
      <c r="G501" s="260">
        <v>72</v>
      </c>
      <c r="H501" s="260"/>
      <c r="I501" s="309">
        <v>192</v>
      </c>
      <c r="J501" s="199"/>
      <c r="K501" s="269">
        <v>29</v>
      </c>
      <c r="L501" s="93">
        <f t="shared" si="190"/>
        <v>235</v>
      </c>
      <c r="M501" s="183">
        <v>235</v>
      </c>
      <c r="N501" s="95">
        <f t="shared" si="179"/>
        <v>2500.4</v>
      </c>
      <c r="O501" s="95">
        <f t="shared" si="180"/>
        <v>2500.4</v>
      </c>
      <c r="P501" s="94">
        <f t="shared" si="181"/>
        <v>0</v>
      </c>
      <c r="Q501" s="95">
        <f t="shared" si="182"/>
        <v>0</v>
      </c>
      <c r="R501" s="278"/>
      <c r="S501" s="97">
        <f t="shared" si="183"/>
        <v>0</v>
      </c>
      <c r="T501" s="98">
        <f t="shared" ref="T501:T559" si="193">M501-S501</f>
        <v>235</v>
      </c>
    </row>
    <row r="502" spans="2:31" ht="20.100000000000001" customHeight="1">
      <c r="B502" s="88">
        <v>5</v>
      </c>
      <c r="C502" s="89" t="s">
        <v>1276</v>
      </c>
      <c r="D502" s="90" t="s">
        <v>1445</v>
      </c>
      <c r="E502" s="91" t="s">
        <v>1446</v>
      </c>
      <c r="F502" s="315">
        <v>202</v>
      </c>
      <c r="G502" s="260">
        <v>8</v>
      </c>
      <c r="H502" s="260"/>
      <c r="I502" s="309"/>
      <c r="J502" s="199"/>
      <c r="K502" s="269"/>
      <c r="L502" s="93">
        <f t="shared" si="190"/>
        <v>8</v>
      </c>
      <c r="M502" s="183">
        <v>8</v>
      </c>
      <c r="N502" s="95">
        <f t="shared" ref="N502:N559" si="194">F502*L502</f>
        <v>1616</v>
      </c>
      <c r="O502" s="95">
        <f t="shared" ref="O502:O559" si="195">M502*F502</f>
        <v>1616</v>
      </c>
      <c r="P502" s="94">
        <f t="shared" ref="P502:P559" si="196">L502-M502</f>
        <v>0</v>
      </c>
      <c r="Q502" s="95">
        <f t="shared" ref="Q502:Q559" si="197">N502-O502</f>
        <v>0</v>
      </c>
      <c r="R502" s="96" t="s">
        <v>1447</v>
      </c>
      <c r="S502" s="97">
        <f t="shared" ref="S502:S559" si="198">U502+Y502+W502+AA502</f>
        <v>8</v>
      </c>
      <c r="T502" s="98">
        <f t="shared" si="193"/>
        <v>0</v>
      </c>
      <c r="U502">
        <f>6+2</f>
        <v>8</v>
      </c>
      <c r="V502" s="99" t="s">
        <v>1385</v>
      </c>
      <c r="AD502">
        <v>2</v>
      </c>
      <c r="AE502" s="100">
        <f>AD502*F502</f>
        <v>404</v>
      </c>
    </row>
    <row r="503" spans="2:31" ht="20.100000000000001" customHeight="1">
      <c r="B503" s="88">
        <v>5</v>
      </c>
      <c r="C503" s="89" t="s">
        <v>1276</v>
      </c>
      <c r="D503" s="90" t="s">
        <v>1448</v>
      </c>
      <c r="E503" s="91" t="s">
        <v>1449</v>
      </c>
      <c r="F503" s="315">
        <v>44.78</v>
      </c>
      <c r="G503" s="260">
        <v>49</v>
      </c>
      <c r="H503" s="260"/>
      <c r="I503" s="309"/>
      <c r="J503" s="199"/>
      <c r="K503" s="269">
        <v>1</v>
      </c>
      <c r="L503" s="93">
        <f t="shared" si="190"/>
        <v>48</v>
      </c>
      <c r="M503" s="183">
        <v>48</v>
      </c>
      <c r="N503" s="95">
        <f t="shared" si="194"/>
        <v>2149.44</v>
      </c>
      <c r="O503" s="95">
        <f t="shared" si="195"/>
        <v>2149.44</v>
      </c>
      <c r="P503" s="94">
        <f t="shared" si="196"/>
        <v>0</v>
      </c>
      <c r="Q503" s="95">
        <f t="shared" si="197"/>
        <v>0</v>
      </c>
      <c r="R503" s="96"/>
      <c r="S503" s="97">
        <f t="shared" si="198"/>
        <v>38</v>
      </c>
      <c r="T503" s="98">
        <f t="shared" si="193"/>
        <v>10</v>
      </c>
      <c r="U503">
        <v>38</v>
      </c>
    </row>
    <row r="504" spans="2:31" ht="20.100000000000001" customHeight="1">
      <c r="B504" s="88">
        <v>5</v>
      </c>
      <c r="C504" s="89" t="s">
        <v>1276</v>
      </c>
      <c r="D504" s="90" t="s">
        <v>1450</v>
      </c>
      <c r="E504" s="91" t="s">
        <v>1451</v>
      </c>
      <c r="F504" s="315">
        <v>61.93</v>
      </c>
      <c r="G504" s="260">
        <v>19</v>
      </c>
      <c r="H504" s="260"/>
      <c r="I504" s="309"/>
      <c r="J504" s="199"/>
      <c r="K504" s="269">
        <v>1</v>
      </c>
      <c r="L504" s="93">
        <f t="shared" si="190"/>
        <v>18</v>
      </c>
      <c r="M504" s="183">
        <v>18</v>
      </c>
      <c r="N504" s="95">
        <f t="shared" si="194"/>
        <v>1114.74</v>
      </c>
      <c r="O504" s="95">
        <f t="shared" si="195"/>
        <v>1114.74</v>
      </c>
      <c r="P504" s="94">
        <f t="shared" si="196"/>
        <v>0</v>
      </c>
      <c r="Q504" s="95">
        <f t="shared" si="197"/>
        <v>0</v>
      </c>
      <c r="R504" s="96"/>
      <c r="S504" s="97">
        <f t="shared" si="198"/>
        <v>23</v>
      </c>
      <c r="T504" s="98">
        <f t="shared" si="193"/>
        <v>-5</v>
      </c>
      <c r="U504">
        <v>23</v>
      </c>
    </row>
    <row r="505" spans="2:31" ht="20.100000000000001" customHeight="1">
      <c r="B505" s="88">
        <v>5</v>
      </c>
      <c r="C505" s="89" t="s">
        <v>1276</v>
      </c>
      <c r="D505" s="90" t="s">
        <v>1452</v>
      </c>
      <c r="E505" s="91" t="s">
        <v>1453</v>
      </c>
      <c r="F505" s="315">
        <v>109.57</v>
      </c>
      <c r="G505" s="260">
        <v>22</v>
      </c>
      <c r="H505" s="260"/>
      <c r="I505" s="309"/>
      <c r="J505" s="199"/>
      <c r="K505" s="269">
        <v>11</v>
      </c>
      <c r="L505" s="93">
        <f t="shared" si="190"/>
        <v>11</v>
      </c>
      <c r="M505" s="183">
        <v>11</v>
      </c>
      <c r="N505" s="95">
        <f t="shared" si="194"/>
        <v>1205.27</v>
      </c>
      <c r="O505" s="95">
        <f t="shared" si="195"/>
        <v>1205.27</v>
      </c>
      <c r="P505" s="94">
        <f t="shared" si="196"/>
        <v>0</v>
      </c>
      <c r="Q505" s="95">
        <f t="shared" si="197"/>
        <v>0</v>
      </c>
      <c r="R505" s="96"/>
      <c r="S505" s="97">
        <f t="shared" si="198"/>
        <v>0</v>
      </c>
      <c r="T505" s="98">
        <f t="shared" si="193"/>
        <v>11</v>
      </c>
    </row>
    <row r="506" spans="2:31" ht="20.100000000000001" customHeight="1">
      <c r="B506" s="88">
        <v>5</v>
      </c>
      <c r="C506" s="89" t="s">
        <v>1276</v>
      </c>
      <c r="D506" s="90" t="s">
        <v>1452</v>
      </c>
      <c r="E506" s="91" t="s">
        <v>1453</v>
      </c>
      <c r="F506" s="315">
        <v>109.57</v>
      </c>
      <c r="G506" s="260"/>
      <c r="H506" s="260"/>
      <c r="I506" s="309"/>
      <c r="J506" s="199"/>
      <c r="K506" s="269"/>
      <c r="L506" s="93">
        <f t="shared" si="190"/>
        <v>0</v>
      </c>
      <c r="M506" s="183"/>
      <c r="N506" s="95">
        <f t="shared" si="194"/>
        <v>0</v>
      </c>
      <c r="O506" s="95">
        <f t="shared" si="195"/>
        <v>0</v>
      </c>
      <c r="P506" s="94">
        <f t="shared" si="196"/>
        <v>0</v>
      </c>
      <c r="Q506" s="95">
        <f t="shared" si="197"/>
        <v>0</v>
      </c>
      <c r="R506" s="96"/>
      <c r="S506" s="97">
        <f t="shared" si="198"/>
        <v>0</v>
      </c>
      <c r="T506" s="98">
        <f t="shared" si="193"/>
        <v>0</v>
      </c>
    </row>
    <row r="507" spans="2:31" ht="20.100000000000001" customHeight="1">
      <c r="B507" s="88">
        <v>5</v>
      </c>
      <c r="C507" s="89" t="s">
        <v>1276</v>
      </c>
      <c r="D507" s="90" t="s">
        <v>1454</v>
      </c>
      <c r="E507" s="91" t="s">
        <v>1455</v>
      </c>
      <c r="F507" s="315">
        <v>90.94</v>
      </c>
      <c r="G507" s="260">
        <v>4</v>
      </c>
      <c r="H507" s="260"/>
      <c r="I507" s="309"/>
      <c r="J507" s="199"/>
      <c r="K507" s="269"/>
      <c r="L507" s="93">
        <f t="shared" si="190"/>
        <v>4</v>
      </c>
      <c r="M507" s="183">
        <v>4</v>
      </c>
      <c r="N507" s="95">
        <f t="shared" si="194"/>
        <v>363.76</v>
      </c>
      <c r="O507" s="95">
        <f t="shared" si="195"/>
        <v>363.76</v>
      </c>
      <c r="P507" s="94">
        <f t="shared" si="196"/>
        <v>0</v>
      </c>
      <c r="Q507" s="95">
        <f t="shared" si="197"/>
        <v>0</v>
      </c>
      <c r="R507" s="96"/>
      <c r="S507" s="97">
        <f t="shared" si="198"/>
        <v>5</v>
      </c>
      <c r="T507" s="98">
        <f t="shared" si="193"/>
        <v>-1</v>
      </c>
      <c r="U507">
        <v>5</v>
      </c>
    </row>
    <row r="508" spans="2:31" ht="20.100000000000001" customHeight="1">
      <c r="B508" s="88">
        <v>5</v>
      </c>
      <c r="C508" s="89" t="s">
        <v>1276</v>
      </c>
      <c r="D508" s="90" t="s">
        <v>1456</v>
      </c>
      <c r="E508" s="91" t="s">
        <v>1457</v>
      </c>
      <c r="F508" s="315">
        <v>202</v>
      </c>
      <c r="G508" s="260">
        <v>7</v>
      </c>
      <c r="H508" s="260"/>
      <c r="I508" s="309"/>
      <c r="J508" s="199"/>
      <c r="K508" s="269">
        <v>6</v>
      </c>
      <c r="L508" s="93">
        <f t="shared" si="190"/>
        <v>1</v>
      </c>
      <c r="M508" s="183"/>
      <c r="N508" s="95">
        <f t="shared" si="194"/>
        <v>202</v>
      </c>
      <c r="O508" s="95">
        <f t="shared" si="195"/>
        <v>0</v>
      </c>
      <c r="P508" s="94">
        <f t="shared" si="196"/>
        <v>1</v>
      </c>
      <c r="Q508" s="95">
        <f t="shared" si="197"/>
        <v>202</v>
      </c>
      <c r="R508" s="96"/>
      <c r="S508" s="97">
        <f t="shared" si="198"/>
        <v>7</v>
      </c>
      <c r="T508" s="98">
        <f t="shared" si="193"/>
        <v>-7</v>
      </c>
      <c r="U508">
        <v>7</v>
      </c>
    </row>
    <row r="509" spans="2:31" ht="20.100000000000001" customHeight="1">
      <c r="B509" s="88">
        <v>5</v>
      </c>
      <c r="C509" s="89" t="s">
        <v>1276</v>
      </c>
      <c r="D509" s="90" t="s">
        <v>1458</v>
      </c>
      <c r="E509" s="91" t="s">
        <v>1459</v>
      </c>
      <c r="F509" s="315">
        <v>8.58</v>
      </c>
      <c r="G509" s="260">
        <v>2</v>
      </c>
      <c r="H509" s="260"/>
      <c r="I509" s="309">
        <v>504</v>
      </c>
      <c r="J509" s="199"/>
      <c r="K509" s="269">
        <v>26</v>
      </c>
      <c r="L509" s="93">
        <f t="shared" si="190"/>
        <v>480</v>
      </c>
      <c r="M509" s="183">
        <f>478+1+1</f>
        <v>480</v>
      </c>
      <c r="N509" s="95">
        <f t="shared" si="194"/>
        <v>4118.3999999999996</v>
      </c>
      <c r="O509" s="95">
        <f t="shared" si="195"/>
        <v>4118.3999999999996</v>
      </c>
      <c r="P509" s="94">
        <f t="shared" si="196"/>
        <v>0</v>
      </c>
      <c r="Q509" s="95">
        <f t="shared" si="197"/>
        <v>0</v>
      </c>
      <c r="R509" s="96"/>
      <c r="S509" s="97">
        <f t="shared" si="198"/>
        <v>1</v>
      </c>
      <c r="T509" s="98">
        <f t="shared" si="193"/>
        <v>479</v>
      </c>
      <c r="W509">
        <v>1</v>
      </c>
      <c r="X509" t="s">
        <v>549</v>
      </c>
      <c r="AD509">
        <f t="shared" ref="AD509" si="199">W509</f>
        <v>1</v>
      </c>
      <c r="AE509" s="100">
        <f>AD509*F509</f>
        <v>8.58</v>
      </c>
    </row>
    <row r="510" spans="2:31" ht="20.100000000000001" customHeight="1">
      <c r="B510" s="88">
        <v>5</v>
      </c>
      <c r="C510" s="89" t="s">
        <v>1276</v>
      </c>
      <c r="D510" s="90" t="s">
        <v>1460</v>
      </c>
      <c r="E510" s="91" t="s">
        <v>1461</v>
      </c>
      <c r="F510" s="315">
        <v>130.72</v>
      </c>
      <c r="G510" s="260"/>
      <c r="H510" s="260"/>
      <c r="I510" s="309"/>
      <c r="J510" s="199"/>
      <c r="K510" s="269"/>
      <c r="L510" s="93">
        <f t="shared" si="190"/>
        <v>0</v>
      </c>
      <c r="M510" s="183"/>
      <c r="N510" s="95">
        <f t="shared" si="194"/>
        <v>0</v>
      </c>
      <c r="O510" s="95">
        <f t="shared" si="195"/>
        <v>0</v>
      </c>
      <c r="P510" s="94">
        <f t="shared" si="196"/>
        <v>0</v>
      </c>
      <c r="Q510" s="95">
        <f t="shared" si="197"/>
        <v>0</v>
      </c>
      <c r="R510" s="96"/>
      <c r="S510" s="97">
        <f t="shared" si="198"/>
        <v>0</v>
      </c>
      <c r="T510" s="98">
        <f t="shared" si="193"/>
        <v>0</v>
      </c>
    </row>
    <row r="511" spans="2:31" ht="20.100000000000001" customHeight="1">
      <c r="B511" s="88">
        <v>5</v>
      </c>
      <c r="C511" s="89" t="s">
        <v>1276</v>
      </c>
      <c r="D511" s="90" t="s">
        <v>1462</v>
      </c>
      <c r="E511" s="91" t="s">
        <v>1463</v>
      </c>
      <c r="F511" s="315">
        <v>186.2</v>
      </c>
      <c r="G511" s="260"/>
      <c r="H511" s="260"/>
      <c r="I511" s="309"/>
      <c r="J511" s="199"/>
      <c r="K511" s="269"/>
      <c r="L511" s="93">
        <f t="shared" si="190"/>
        <v>0</v>
      </c>
      <c r="M511" s="183"/>
      <c r="N511" s="95">
        <f t="shared" si="194"/>
        <v>0</v>
      </c>
      <c r="O511" s="95">
        <f t="shared" si="195"/>
        <v>0</v>
      </c>
      <c r="P511" s="94">
        <f t="shared" si="196"/>
        <v>0</v>
      </c>
      <c r="Q511" s="95">
        <f t="shared" si="197"/>
        <v>0</v>
      </c>
      <c r="R511" s="96"/>
      <c r="S511" s="97">
        <f t="shared" si="198"/>
        <v>0</v>
      </c>
      <c r="T511" s="98">
        <f t="shared" si="193"/>
        <v>0</v>
      </c>
    </row>
    <row r="512" spans="2:31" ht="20.100000000000001" customHeight="1">
      <c r="B512" s="88">
        <v>5</v>
      </c>
      <c r="C512" s="89" t="s">
        <v>1276</v>
      </c>
      <c r="D512" s="90" t="s">
        <v>1464</v>
      </c>
      <c r="E512" s="91" t="s">
        <v>1465</v>
      </c>
      <c r="F512" s="315">
        <v>69.459999999999994</v>
      </c>
      <c r="G512" s="260">
        <v>1</v>
      </c>
      <c r="H512" s="260"/>
      <c r="I512" s="309"/>
      <c r="J512" s="199">
        <v>1</v>
      </c>
      <c r="K512" s="269"/>
      <c r="L512" s="93">
        <f t="shared" si="190"/>
        <v>0</v>
      </c>
      <c r="M512" s="183"/>
      <c r="N512" s="95">
        <f t="shared" si="194"/>
        <v>0</v>
      </c>
      <c r="O512" s="95">
        <f t="shared" si="195"/>
        <v>0</v>
      </c>
      <c r="P512" s="94">
        <f t="shared" si="196"/>
        <v>0</v>
      </c>
      <c r="Q512" s="95">
        <f t="shared" si="197"/>
        <v>0</v>
      </c>
      <c r="R512" s="96"/>
      <c r="S512" s="97">
        <f t="shared" si="198"/>
        <v>1</v>
      </c>
      <c r="T512" s="98">
        <f t="shared" si="193"/>
        <v>-1</v>
      </c>
      <c r="AA512">
        <v>1</v>
      </c>
      <c r="AB512" t="s">
        <v>1466</v>
      </c>
    </row>
    <row r="513" spans="2:31" ht="20.100000000000001" customHeight="1">
      <c r="B513" s="88">
        <v>5</v>
      </c>
      <c r="C513" s="89" t="s">
        <v>1276</v>
      </c>
      <c r="D513" s="90" t="s">
        <v>1467</v>
      </c>
      <c r="E513" s="91" t="s">
        <v>1468</v>
      </c>
      <c r="F513" s="315">
        <v>18.2</v>
      </c>
      <c r="G513" s="260">
        <v>78</v>
      </c>
      <c r="H513" s="260"/>
      <c r="I513" s="309"/>
      <c r="J513" s="199"/>
      <c r="K513" s="269">
        <v>2</v>
      </c>
      <c r="L513" s="93">
        <f t="shared" si="190"/>
        <v>76</v>
      </c>
      <c r="M513" s="183">
        <f>18+58</f>
        <v>76</v>
      </c>
      <c r="N513" s="95">
        <f t="shared" si="194"/>
        <v>1383.2</v>
      </c>
      <c r="O513" s="95">
        <f t="shared" si="195"/>
        <v>1383.2</v>
      </c>
      <c r="P513" s="94">
        <f t="shared" si="196"/>
        <v>0</v>
      </c>
      <c r="Q513" s="95">
        <f t="shared" si="197"/>
        <v>0</v>
      </c>
      <c r="R513" s="102" t="s">
        <v>1469</v>
      </c>
      <c r="S513" s="97">
        <f t="shared" si="198"/>
        <v>81</v>
      </c>
      <c r="T513" s="98">
        <f t="shared" si="193"/>
        <v>-5</v>
      </c>
      <c r="U513">
        <v>23</v>
      </c>
      <c r="W513">
        <f>16+42</f>
        <v>58</v>
      </c>
      <c r="X513" t="s">
        <v>555</v>
      </c>
      <c r="AD513">
        <f t="shared" ref="AD513:AD518" si="200">W513</f>
        <v>58</v>
      </c>
      <c r="AE513" s="100">
        <f t="shared" ref="AE513:AE522" si="201">AD513*F513</f>
        <v>1055.5999999999999</v>
      </c>
    </row>
    <row r="514" spans="2:31" ht="20.100000000000001" customHeight="1">
      <c r="B514" s="88">
        <v>5</v>
      </c>
      <c r="C514" s="89" t="s">
        <v>1276</v>
      </c>
      <c r="D514" s="90" t="s">
        <v>1470</v>
      </c>
      <c r="E514" s="91" t="s">
        <v>1471</v>
      </c>
      <c r="F514" s="315">
        <v>17.809999999999999</v>
      </c>
      <c r="G514" s="260">
        <v>36</v>
      </c>
      <c r="H514" s="260"/>
      <c r="I514" s="309"/>
      <c r="J514" s="199"/>
      <c r="K514" s="269"/>
      <c r="L514" s="93">
        <f t="shared" ref="L514:L574" si="202">G514+I514-J514-K514+H514</f>
        <v>36</v>
      </c>
      <c r="M514" s="183">
        <v>36</v>
      </c>
      <c r="N514" s="95">
        <f t="shared" si="194"/>
        <v>641.16</v>
      </c>
      <c r="O514" s="95">
        <f t="shared" si="195"/>
        <v>641.16</v>
      </c>
      <c r="P514" s="94">
        <f t="shared" si="196"/>
        <v>0</v>
      </c>
      <c r="Q514" s="95">
        <f t="shared" si="197"/>
        <v>0</v>
      </c>
      <c r="R514" s="102">
        <v>45640</v>
      </c>
      <c r="S514" s="97">
        <f t="shared" si="198"/>
        <v>36</v>
      </c>
      <c r="T514" s="98">
        <f t="shared" si="193"/>
        <v>0</v>
      </c>
      <c r="W514">
        <v>36</v>
      </c>
      <c r="X514" t="s">
        <v>555</v>
      </c>
      <c r="AD514">
        <f t="shared" si="200"/>
        <v>36</v>
      </c>
      <c r="AE514" s="100">
        <f t="shared" si="201"/>
        <v>641.16</v>
      </c>
    </row>
    <row r="515" spans="2:31" ht="20.100000000000001" customHeight="1">
      <c r="B515" s="88">
        <v>5</v>
      </c>
      <c r="C515" s="89" t="s">
        <v>1276</v>
      </c>
      <c r="D515" s="90" t="s">
        <v>1472</v>
      </c>
      <c r="E515" s="91" t="s">
        <v>1473</v>
      </c>
      <c r="F515" s="315">
        <v>19.05</v>
      </c>
      <c r="G515" s="260">
        <v>16</v>
      </c>
      <c r="H515" s="260"/>
      <c r="I515" s="309"/>
      <c r="J515" s="199"/>
      <c r="K515" s="269"/>
      <c r="L515" s="93">
        <f t="shared" si="202"/>
        <v>16</v>
      </c>
      <c r="M515" s="183">
        <v>16</v>
      </c>
      <c r="N515" s="95">
        <f t="shared" si="194"/>
        <v>304.8</v>
      </c>
      <c r="O515" s="95">
        <f t="shared" si="195"/>
        <v>304.8</v>
      </c>
      <c r="P515" s="94">
        <f t="shared" si="196"/>
        <v>0</v>
      </c>
      <c r="Q515" s="95">
        <f t="shared" si="197"/>
        <v>0</v>
      </c>
      <c r="R515" s="102">
        <v>45916</v>
      </c>
      <c r="S515" s="97">
        <f t="shared" si="198"/>
        <v>16</v>
      </c>
      <c r="T515" s="98">
        <f t="shared" si="193"/>
        <v>0</v>
      </c>
      <c r="W515">
        <v>16</v>
      </c>
      <c r="X515" t="s">
        <v>555</v>
      </c>
      <c r="AD515">
        <f t="shared" si="200"/>
        <v>16</v>
      </c>
      <c r="AE515" s="100">
        <f t="shared" si="201"/>
        <v>304.8</v>
      </c>
    </row>
    <row r="516" spans="2:31" ht="20.100000000000001" customHeight="1">
      <c r="B516" s="88">
        <v>5</v>
      </c>
      <c r="C516" s="89" t="s">
        <v>1276</v>
      </c>
      <c r="D516" s="90" t="s">
        <v>1474</v>
      </c>
      <c r="E516" s="91" t="s">
        <v>1475</v>
      </c>
      <c r="F516" s="315">
        <v>17.809999999999999</v>
      </c>
      <c r="G516" s="260">
        <v>21</v>
      </c>
      <c r="H516" s="260"/>
      <c r="I516" s="309"/>
      <c r="J516" s="199"/>
      <c r="K516" s="269"/>
      <c r="L516" s="93">
        <f t="shared" si="202"/>
        <v>21</v>
      </c>
      <c r="M516" s="183">
        <v>21</v>
      </c>
      <c r="N516" s="95">
        <f t="shared" si="194"/>
        <v>374.01</v>
      </c>
      <c r="O516" s="95">
        <f t="shared" si="195"/>
        <v>374.01</v>
      </c>
      <c r="P516" s="94">
        <f t="shared" si="196"/>
        <v>0</v>
      </c>
      <c r="Q516" s="95">
        <f t="shared" si="197"/>
        <v>0</v>
      </c>
      <c r="R516" s="102">
        <v>45863</v>
      </c>
      <c r="S516" s="97">
        <f t="shared" si="198"/>
        <v>21</v>
      </c>
      <c r="T516" s="98">
        <f t="shared" si="193"/>
        <v>0</v>
      </c>
      <c r="W516">
        <v>21</v>
      </c>
      <c r="X516" t="s">
        <v>555</v>
      </c>
      <c r="AD516">
        <f t="shared" si="200"/>
        <v>21</v>
      </c>
      <c r="AE516" s="100">
        <f t="shared" si="201"/>
        <v>374.01</v>
      </c>
    </row>
    <row r="517" spans="2:31" ht="20.100000000000001" customHeight="1">
      <c r="B517" s="88">
        <v>5</v>
      </c>
      <c r="C517" s="89" t="s">
        <v>1276</v>
      </c>
      <c r="D517" s="90" t="s">
        <v>1476</v>
      </c>
      <c r="E517" s="91" t="s">
        <v>1477</v>
      </c>
      <c r="F517" s="315">
        <v>174.78</v>
      </c>
      <c r="G517" s="260">
        <v>5</v>
      </c>
      <c r="H517" s="260"/>
      <c r="I517" s="309"/>
      <c r="J517" s="199"/>
      <c r="K517" s="269"/>
      <c r="L517" s="93">
        <f t="shared" si="202"/>
        <v>5</v>
      </c>
      <c r="M517" s="183">
        <v>5</v>
      </c>
      <c r="N517" s="95">
        <f t="shared" si="194"/>
        <v>873.9</v>
      </c>
      <c r="O517" s="95">
        <f t="shared" si="195"/>
        <v>873.9</v>
      </c>
      <c r="P517" s="94">
        <f t="shared" si="196"/>
        <v>0</v>
      </c>
      <c r="Q517" s="95">
        <f t="shared" si="197"/>
        <v>0</v>
      </c>
      <c r="R517" s="102">
        <v>45644</v>
      </c>
      <c r="S517" s="97">
        <f t="shared" si="198"/>
        <v>5</v>
      </c>
      <c r="T517" s="98">
        <f t="shared" si="193"/>
        <v>0</v>
      </c>
      <c r="W517">
        <v>5</v>
      </c>
      <c r="X517" t="s">
        <v>549</v>
      </c>
      <c r="AD517">
        <f t="shared" si="200"/>
        <v>5</v>
      </c>
      <c r="AE517" s="100">
        <f t="shared" si="201"/>
        <v>873.9</v>
      </c>
    </row>
    <row r="518" spans="2:31" ht="20.100000000000001" customHeight="1">
      <c r="B518" s="88">
        <v>5</v>
      </c>
      <c r="C518" s="89" t="s">
        <v>1276</v>
      </c>
      <c r="D518" s="90" t="s">
        <v>1478</v>
      </c>
      <c r="E518" s="91" t="s">
        <v>1479</v>
      </c>
      <c r="F518" s="315">
        <v>18.2</v>
      </c>
      <c r="G518" s="260">
        <v>89</v>
      </c>
      <c r="H518" s="260"/>
      <c r="I518" s="309"/>
      <c r="J518" s="199"/>
      <c r="K518" s="269">
        <v>1</v>
      </c>
      <c r="L518" s="93">
        <f t="shared" si="202"/>
        <v>88</v>
      </c>
      <c r="M518" s="183">
        <f>24+64</f>
        <v>88</v>
      </c>
      <c r="N518" s="95">
        <f t="shared" si="194"/>
        <v>1601.6</v>
      </c>
      <c r="O518" s="95">
        <f t="shared" si="195"/>
        <v>1601.6</v>
      </c>
      <c r="P518" s="94">
        <f t="shared" si="196"/>
        <v>0</v>
      </c>
      <c r="Q518" s="95">
        <f t="shared" si="197"/>
        <v>0</v>
      </c>
      <c r="R518" s="96" t="s">
        <v>1480</v>
      </c>
      <c r="S518" s="97">
        <f t="shared" si="198"/>
        <v>94</v>
      </c>
      <c r="T518" s="98">
        <f t="shared" si="193"/>
        <v>-6</v>
      </c>
      <c r="U518">
        <v>30</v>
      </c>
      <c r="W518">
        <f>31+33</f>
        <v>64</v>
      </c>
      <c r="X518" t="s">
        <v>555</v>
      </c>
      <c r="AD518">
        <f t="shared" si="200"/>
        <v>64</v>
      </c>
      <c r="AE518" s="100">
        <f t="shared" si="201"/>
        <v>1164.8</v>
      </c>
    </row>
    <row r="519" spans="2:31" ht="20.100000000000001" customHeight="1">
      <c r="B519" s="88">
        <v>5</v>
      </c>
      <c r="C519" s="89" t="s">
        <v>1276</v>
      </c>
      <c r="D519" s="90" t="s">
        <v>1481</v>
      </c>
      <c r="E519" s="91" t="s">
        <v>1482</v>
      </c>
      <c r="F519" s="315">
        <v>18.2</v>
      </c>
      <c r="G519" s="260">
        <v>124</v>
      </c>
      <c r="H519" s="260"/>
      <c r="I519" s="309"/>
      <c r="J519" s="199"/>
      <c r="K519" s="269">
        <v>3</v>
      </c>
      <c r="L519" s="93">
        <f t="shared" si="202"/>
        <v>121</v>
      </c>
      <c r="M519" s="183">
        <f>101+20</f>
        <v>121</v>
      </c>
      <c r="N519" s="95">
        <f t="shared" si="194"/>
        <v>2202.1999999999998</v>
      </c>
      <c r="O519" s="95">
        <f t="shared" si="195"/>
        <v>2202.1999999999998</v>
      </c>
      <c r="P519" s="94">
        <f t="shared" si="196"/>
        <v>0</v>
      </c>
      <c r="Q519" s="95">
        <f t="shared" si="197"/>
        <v>0</v>
      </c>
      <c r="R519" s="96" t="s">
        <v>1483</v>
      </c>
      <c r="S519" s="97">
        <f t="shared" si="198"/>
        <v>130</v>
      </c>
      <c r="T519" s="98">
        <f t="shared" si="193"/>
        <v>-9</v>
      </c>
      <c r="U519">
        <v>29</v>
      </c>
      <c r="W519">
        <f>51+50</f>
        <v>101</v>
      </c>
      <c r="X519" t="s">
        <v>555</v>
      </c>
      <c r="AD519">
        <f>W519</f>
        <v>101</v>
      </c>
      <c r="AE519" s="100">
        <f t="shared" si="201"/>
        <v>1838.1999999999998</v>
      </c>
    </row>
    <row r="520" spans="2:31" ht="20.100000000000001" customHeight="1">
      <c r="B520" s="88">
        <v>5</v>
      </c>
      <c r="C520" s="89" t="s">
        <v>1276</v>
      </c>
      <c r="D520" s="90" t="s">
        <v>1484</v>
      </c>
      <c r="E520" s="91" t="s">
        <v>1485</v>
      </c>
      <c r="F520" s="315">
        <v>19.05</v>
      </c>
      <c r="G520" s="260">
        <v>30</v>
      </c>
      <c r="H520" s="260"/>
      <c r="I520" s="309"/>
      <c r="J520" s="199"/>
      <c r="K520" s="269"/>
      <c r="L520" s="93">
        <f t="shared" si="202"/>
        <v>30</v>
      </c>
      <c r="M520" s="183">
        <v>30</v>
      </c>
      <c r="N520" s="95">
        <f t="shared" si="194"/>
        <v>571.5</v>
      </c>
      <c r="O520" s="95">
        <f t="shared" si="195"/>
        <v>571.5</v>
      </c>
      <c r="P520" s="94">
        <f t="shared" si="196"/>
        <v>0</v>
      </c>
      <c r="Q520" s="95">
        <f t="shared" si="197"/>
        <v>0</v>
      </c>
      <c r="R520" s="102">
        <v>45624</v>
      </c>
      <c r="S520" s="97">
        <f t="shared" si="198"/>
        <v>30</v>
      </c>
      <c r="T520" s="98">
        <f t="shared" si="193"/>
        <v>0</v>
      </c>
      <c r="W520">
        <v>30</v>
      </c>
      <c r="X520" t="s">
        <v>549</v>
      </c>
      <c r="AD520">
        <f>W520</f>
        <v>30</v>
      </c>
      <c r="AE520" s="100">
        <f t="shared" si="201"/>
        <v>571.5</v>
      </c>
    </row>
    <row r="521" spans="2:31" ht="20.100000000000001" customHeight="1">
      <c r="B521" s="88">
        <v>5</v>
      </c>
      <c r="C521" s="89" t="s">
        <v>1276</v>
      </c>
      <c r="D521" s="90" t="s">
        <v>1486</v>
      </c>
      <c r="E521" s="91" t="s">
        <v>1487</v>
      </c>
      <c r="F521" s="315">
        <v>17.809999999999999</v>
      </c>
      <c r="G521" s="260">
        <v>28</v>
      </c>
      <c r="H521" s="260"/>
      <c r="I521" s="309"/>
      <c r="J521" s="199"/>
      <c r="K521" s="269"/>
      <c r="L521" s="93">
        <f t="shared" si="202"/>
        <v>28</v>
      </c>
      <c r="M521" s="183">
        <v>28</v>
      </c>
      <c r="N521" s="95">
        <f t="shared" si="194"/>
        <v>498.67999999999995</v>
      </c>
      <c r="O521" s="95">
        <f t="shared" si="195"/>
        <v>498.67999999999995</v>
      </c>
      <c r="P521" s="94">
        <f t="shared" si="196"/>
        <v>0</v>
      </c>
      <c r="Q521" s="95">
        <f t="shared" si="197"/>
        <v>0</v>
      </c>
      <c r="R521" s="102">
        <v>44967</v>
      </c>
      <c r="S521" s="97">
        <f t="shared" si="198"/>
        <v>28</v>
      </c>
      <c r="T521" s="98">
        <f t="shared" si="193"/>
        <v>0</v>
      </c>
      <c r="W521">
        <v>28</v>
      </c>
      <c r="X521" t="s">
        <v>957</v>
      </c>
      <c r="AD521">
        <f>W521</f>
        <v>28</v>
      </c>
      <c r="AE521" s="100">
        <f t="shared" si="201"/>
        <v>498.67999999999995</v>
      </c>
    </row>
    <row r="522" spans="2:31" ht="20.100000000000001" customHeight="1">
      <c r="B522" s="88">
        <v>6</v>
      </c>
      <c r="C522" s="89" t="s">
        <v>1488</v>
      </c>
      <c r="D522" s="90" t="s">
        <v>1489</v>
      </c>
      <c r="E522" s="91" t="s">
        <v>1490</v>
      </c>
      <c r="F522" s="315">
        <v>49.8</v>
      </c>
      <c r="G522" s="260">
        <v>5</v>
      </c>
      <c r="H522" s="260"/>
      <c r="I522" s="309"/>
      <c r="J522" s="199"/>
      <c r="K522" s="269"/>
      <c r="L522" s="93">
        <f t="shared" si="202"/>
        <v>5</v>
      </c>
      <c r="M522" s="183">
        <v>5</v>
      </c>
      <c r="N522" s="95">
        <f t="shared" si="194"/>
        <v>249</v>
      </c>
      <c r="O522" s="95">
        <f t="shared" si="195"/>
        <v>249</v>
      </c>
      <c r="P522" s="94">
        <f t="shared" si="196"/>
        <v>0</v>
      </c>
      <c r="Q522" s="95">
        <f t="shared" si="197"/>
        <v>0</v>
      </c>
      <c r="R522" s="96"/>
      <c r="S522" s="97">
        <f t="shared" si="198"/>
        <v>3</v>
      </c>
      <c r="T522" s="98">
        <f t="shared" si="193"/>
        <v>2</v>
      </c>
      <c r="AA522">
        <v>3</v>
      </c>
      <c r="AB522" t="s">
        <v>1466</v>
      </c>
      <c r="AD522">
        <f>AA522</f>
        <v>3</v>
      </c>
      <c r="AE522" s="100">
        <f t="shared" si="201"/>
        <v>149.39999999999998</v>
      </c>
    </row>
    <row r="523" spans="2:31" ht="20.100000000000001" customHeight="1">
      <c r="B523" s="88">
        <v>6</v>
      </c>
      <c r="C523" s="89" t="s">
        <v>1488</v>
      </c>
      <c r="D523" s="90" t="s">
        <v>1489</v>
      </c>
      <c r="E523" s="91" t="s">
        <v>1490</v>
      </c>
      <c r="F523" s="315">
        <v>49.8</v>
      </c>
      <c r="G523" s="260"/>
      <c r="H523" s="260"/>
      <c r="I523" s="309"/>
      <c r="J523" s="199"/>
      <c r="K523" s="269"/>
      <c r="L523" s="93">
        <f t="shared" si="202"/>
        <v>0</v>
      </c>
      <c r="M523" s="183"/>
      <c r="N523" s="95">
        <f t="shared" si="194"/>
        <v>0</v>
      </c>
      <c r="O523" s="95">
        <f t="shared" si="195"/>
        <v>0</v>
      </c>
      <c r="P523" s="94">
        <f t="shared" si="196"/>
        <v>0</v>
      </c>
      <c r="Q523" s="95">
        <f t="shared" si="197"/>
        <v>0</v>
      </c>
      <c r="R523" s="96"/>
      <c r="S523" s="97">
        <f t="shared" si="198"/>
        <v>4</v>
      </c>
      <c r="T523" s="98">
        <f t="shared" si="193"/>
        <v>-4</v>
      </c>
      <c r="U523">
        <v>4</v>
      </c>
    </row>
    <row r="524" spans="2:31" ht="20.100000000000001" customHeight="1">
      <c r="B524" s="88">
        <v>6</v>
      </c>
      <c r="C524" s="89" t="s">
        <v>1488</v>
      </c>
      <c r="D524" s="90" t="s">
        <v>1491</v>
      </c>
      <c r="E524" s="91" t="s">
        <v>1492</v>
      </c>
      <c r="F524" s="315">
        <v>140</v>
      </c>
      <c r="G524" s="260">
        <v>1</v>
      </c>
      <c r="H524" s="260"/>
      <c r="I524" s="309">
        <v>16</v>
      </c>
      <c r="J524" s="199"/>
      <c r="K524" s="269">
        <v>7</v>
      </c>
      <c r="L524" s="93">
        <f t="shared" si="202"/>
        <v>10</v>
      </c>
      <c r="M524" s="183">
        <v>10</v>
      </c>
      <c r="N524" s="95">
        <f t="shared" si="194"/>
        <v>1400</v>
      </c>
      <c r="O524" s="95">
        <f t="shared" si="195"/>
        <v>1400</v>
      </c>
      <c r="P524" s="94">
        <f t="shared" si="196"/>
        <v>0</v>
      </c>
      <c r="Q524" s="95">
        <f t="shared" si="197"/>
        <v>0</v>
      </c>
      <c r="R524" s="96"/>
      <c r="S524" s="97">
        <f t="shared" si="198"/>
        <v>1</v>
      </c>
      <c r="T524" s="98">
        <f t="shared" si="193"/>
        <v>9</v>
      </c>
      <c r="AA524">
        <v>1</v>
      </c>
      <c r="AB524" s="99" t="s">
        <v>1466</v>
      </c>
      <c r="AD524">
        <f>AA524</f>
        <v>1</v>
      </c>
      <c r="AE524" s="100">
        <f>AD524*F524</f>
        <v>140</v>
      </c>
    </row>
    <row r="525" spans="2:31" ht="20.100000000000001" customHeight="1">
      <c r="B525" s="88">
        <v>6</v>
      </c>
      <c r="C525" s="89" t="s">
        <v>1488</v>
      </c>
      <c r="D525" s="90" t="s">
        <v>1491</v>
      </c>
      <c r="E525" s="91" t="s">
        <v>1492</v>
      </c>
      <c r="F525" s="315">
        <v>140</v>
      </c>
      <c r="G525" s="260"/>
      <c r="H525" s="260"/>
      <c r="I525" s="309"/>
      <c r="J525" s="199"/>
      <c r="K525" s="269"/>
      <c r="L525" s="93">
        <f t="shared" si="202"/>
        <v>0</v>
      </c>
      <c r="M525" s="183"/>
      <c r="N525" s="95">
        <f t="shared" si="194"/>
        <v>0</v>
      </c>
      <c r="O525" s="95">
        <f t="shared" si="195"/>
        <v>0</v>
      </c>
      <c r="P525" s="94">
        <f t="shared" si="196"/>
        <v>0</v>
      </c>
      <c r="Q525" s="95">
        <f t="shared" si="197"/>
        <v>0</v>
      </c>
      <c r="R525" s="96"/>
      <c r="S525" s="97">
        <f t="shared" si="198"/>
        <v>13</v>
      </c>
      <c r="T525" s="98">
        <f t="shared" si="193"/>
        <v>-13</v>
      </c>
      <c r="U525">
        <v>13</v>
      </c>
    </row>
    <row r="526" spans="2:31" ht="20.100000000000001" customHeight="1">
      <c r="B526" s="88">
        <v>6</v>
      </c>
      <c r="C526" s="89" t="s">
        <v>1488</v>
      </c>
      <c r="D526" s="90" t="s">
        <v>1493</v>
      </c>
      <c r="E526" s="91" t="s">
        <v>1494</v>
      </c>
      <c r="F526" s="315">
        <v>25.8</v>
      </c>
      <c r="G526" s="260">
        <v>17</v>
      </c>
      <c r="H526" s="260"/>
      <c r="I526" s="309"/>
      <c r="J526" s="199"/>
      <c r="K526" s="269"/>
      <c r="L526" s="93">
        <f t="shared" si="202"/>
        <v>17</v>
      </c>
      <c r="M526" s="183">
        <v>17</v>
      </c>
      <c r="N526" s="95">
        <f t="shared" si="194"/>
        <v>438.6</v>
      </c>
      <c r="O526" s="95">
        <f t="shared" si="195"/>
        <v>438.6</v>
      </c>
      <c r="P526" s="94">
        <f t="shared" si="196"/>
        <v>0</v>
      </c>
      <c r="Q526" s="95">
        <f t="shared" si="197"/>
        <v>0</v>
      </c>
      <c r="R526" s="96"/>
      <c r="S526" s="97">
        <f t="shared" si="198"/>
        <v>18</v>
      </c>
      <c r="T526" s="98">
        <f t="shared" si="193"/>
        <v>-1</v>
      </c>
      <c r="W526">
        <v>18</v>
      </c>
    </row>
    <row r="527" spans="2:31" ht="20.100000000000001" customHeight="1">
      <c r="B527" s="88">
        <v>6</v>
      </c>
      <c r="C527" s="89" t="s">
        <v>1488</v>
      </c>
      <c r="D527" s="90" t="s">
        <v>1495</v>
      </c>
      <c r="E527" s="91" t="s">
        <v>1496</v>
      </c>
      <c r="F527" s="315">
        <v>26.2</v>
      </c>
      <c r="G527" s="260"/>
      <c r="H527" s="260"/>
      <c r="I527" s="309"/>
      <c r="J527" s="199"/>
      <c r="K527" s="269"/>
      <c r="L527" s="93">
        <f t="shared" si="202"/>
        <v>0</v>
      </c>
      <c r="M527" s="183"/>
      <c r="N527" s="95">
        <f t="shared" si="194"/>
        <v>0</v>
      </c>
      <c r="O527" s="95">
        <f t="shared" si="195"/>
        <v>0</v>
      </c>
      <c r="P527" s="94">
        <f t="shared" si="196"/>
        <v>0</v>
      </c>
      <c r="Q527" s="95">
        <f t="shared" si="197"/>
        <v>0</v>
      </c>
      <c r="R527" s="96"/>
      <c r="S527" s="97">
        <f t="shared" si="198"/>
        <v>0</v>
      </c>
      <c r="T527" s="98">
        <f t="shared" si="193"/>
        <v>0</v>
      </c>
    </row>
    <row r="528" spans="2:31" ht="20.100000000000001" customHeight="1">
      <c r="B528" s="88">
        <v>6</v>
      </c>
      <c r="C528" s="89" t="s">
        <v>1488</v>
      </c>
      <c r="D528" s="90" t="s">
        <v>1497</v>
      </c>
      <c r="E528" s="91" t="s">
        <v>1498</v>
      </c>
      <c r="F528" s="315">
        <v>48.6</v>
      </c>
      <c r="G528" s="260">
        <v>31</v>
      </c>
      <c r="H528" s="260">
        <v>4</v>
      </c>
      <c r="I528" s="309"/>
      <c r="J528" s="199"/>
      <c r="K528" s="269">
        <v>31</v>
      </c>
      <c r="L528" s="93">
        <f t="shared" si="202"/>
        <v>4</v>
      </c>
      <c r="M528" s="183">
        <v>4</v>
      </c>
      <c r="N528" s="95">
        <f t="shared" si="194"/>
        <v>194.4</v>
      </c>
      <c r="O528" s="95">
        <f t="shared" si="195"/>
        <v>194.4</v>
      </c>
      <c r="P528" s="94">
        <f t="shared" si="196"/>
        <v>0</v>
      </c>
      <c r="Q528" s="95">
        <f t="shared" si="197"/>
        <v>0</v>
      </c>
      <c r="R528" s="96"/>
      <c r="S528" s="97">
        <f t="shared" si="198"/>
        <v>10</v>
      </c>
      <c r="T528" s="98">
        <f t="shared" si="193"/>
        <v>-6</v>
      </c>
      <c r="W528">
        <v>10</v>
      </c>
    </row>
    <row r="529" spans="2:31" ht="20.100000000000001" customHeight="1">
      <c r="B529" s="88">
        <v>6</v>
      </c>
      <c r="C529" s="89" t="s">
        <v>1488</v>
      </c>
      <c r="D529" s="90" t="s">
        <v>1499</v>
      </c>
      <c r="E529" s="91" t="s">
        <v>1500</v>
      </c>
      <c r="F529" s="315">
        <v>25.8</v>
      </c>
      <c r="G529" s="260">
        <f>15+10+6</f>
        <v>31</v>
      </c>
      <c r="H529" s="260">
        <v>10</v>
      </c>
      <c r="I529" s="309"/>
      <c r="J529" s="199"/>
      <c r="K529" s="269">
        <v>25</v>
      </c>
      <c r="L529" s="93">
        <f t="shared" si="202"/>
        <v>16</v>
      </c>
      <c r="M529" s="183">
        <v>16</v>
      </c>
      <c r="N529" s="95">
        <f t="shared" si="194"/>
        <v>412.8</v>
      </c>
      <c r="O529" s="95">
        <f t="shared" si="195"/>
        <v>412.8</v>
      </c>
      <c r="P529" s="94">
        <f t="shared" si="196"/>
        <v>0</v>
      </c>
      <c r="Q529" s="95">
        <f t="shared" si="197"/>
        <v>0</v>
      </c>
      <c r="R529" s="96"/>
      <c r="S529" s="97">
        <f t="shared" si="198"/>
        <v>17</v>
      </c>
      <c r="T529" s="98">
        <f t="shared" si="193"/>
        <v>-1</v>
      </c>
      <c r="U529">
        <v>17</v>
      </c>
    </row>
    <row r="530" spans="2:31" ht="20.100000000000001" customHeight="1">
      <c r="B530" s="88">
        <v>6</v>
      </c>
      <c r="C530" s="89" t="s">
        <v>1488</v>
      </c>
      <c r="D530" s="90">
        <v>4800110069319</v>
      </c>
      <c r="E530" s="91" t="s">
        <v>1501</v>
      </c>
      <c r="F530" s="315">
        <v>100.3</v>
      </c>
      <c r="G530" s="260">
        <v>71</v>
      </c>
      <c r="H530" s="260"/>
      <c r="I530" s="309"/>
      <c r="J530" s="199"/>
      <c r="K530" s="269"/>
      <c r="L530" s="93">
        <f t="shared" si="202"/>
        <v>71</v>
      </c>
      <c r="M530" s="183">
        <v>71</v>
      </c>
      <c r="N530" s="95">
        <f t="shared" si="194"/>
        <v>7121.3</v>
      </c>
      <c r="O530" s="95">
        <f t="shared" si="195"/>
        <v>7121.3</v>
      </c>
      <c r="P530" s="94">
        <f t="shared" si="196"/>
        <v>0</v>
      </c>
      <c r="Q530" s="95">
        <f t="shared" si="197"/>
        <v>0</v>
      </c>
      <c r="R530" s="102">
        <v>45980</v>
      </c>
      <c r="S530" s="97">
        <f t="shared" si="198"/>
        <v>71</v>
      </c>
      <c r="T530" s="98">
        <f t="shared" si="193"/>
        <v>0</v>
      </c>
      <c r="W530">
        <v>70</v>
      </c>
      <c r="X530" s="103" t="s">
        <v>1502</v>
      </c>
      <c r="AA530">
        <v>1</v>
      </c>
      <c r="AB530" s="99" t="s">
        <v>930</v>
      </c>
      <c r="AD530">
        <f>AA530+W530</f>
        <v>71</v>
      </c>
      <c r="AE530" s="100">
        <f>AD530*F530</f>
        <v>7121.3</v>
      </c>
    </row>
    <row r="531" spans="2:31" ht="20.100000000000001" customHeight="1">
      <c r="B531" s="88">
        <v>6</v>
      </c>
      <c r="C531" s="89" t="s">
        <v>1488</v>
      </c>
      <c r="D531" s="90" t="s">
        <v>1503</v>
      </c>
      <c r="E531" s="91" t="s">
        <v>1504</v>
      </c>
      <c r="F531" s="315">
        <v>73.86</v>
      </c>
      <c r="G531" s="260"/>
      <c r="H531" s="260"/>
      <c r="I531" s="309"/>
      <c r="J531" s="199"/>
      <c r="K531" s="269"/>
      <c r="L531" s="93">
        <f t="shared" si="202"/>
        <v>0</v>
      </c>
      <c r="M531" s="183"/>
      <c r="N531" s="95">
        <f t="shared" si="194"/>
        <v>0</v>
      </c>
      <c r="O531" s="95">
        <f t="shared" si="195"/>
        <v>0</v>
      </c>
      <c r="P531" s="94">
        <f t="shared" si="196"/>
        <v>0</v>
      </c>
      <c r="Q531" s="95">
        <f t="shared" si="197"/>
        <v>0</v>
      </c>
      <c r="R531" s="96"/>
      <c r="S531" s="97">
        <f t="shared" si="198"/>
        <v>0</v>
      </c>
      <c r="T531" s="98">
        <f t="shared" si="193"/>
        <v>0</v>
      </c>
    </row>
    <row r="532" spans="2:31" ht="20.100000000000001" customHeight="1">
      <c r="B532" s="88">
        <v>6</v>
      </c>
      <c r="C532" s="89" t="s">
        <v>1488</v>
      </c>
      <c r="D532" s="90" t="s">
        <v>1505</v>
      </c>
      <c r="E532" s="91" t="s">
        <v>1506</v>
      </c>
      <c r="F532" s="315">
        <v>39.85</v>
      </c>
      <c r="G532" s="260"/>
      <c r="H532" s="260"/>
      <c r="I532" s="309"/>
      <c r="J532" s="199"/>
      <c r="K532" s="269"/>
      <c r="L532" s="93">
        <f t="shared" si="202"/>
        <v>0</v>
      </c>
      <c r="M532" s="183"/>
      <c r="N532" s="95">
        <f t="shared" si="194"/>
        <v>0</v>
      </c>
      <c r="O532" s="95">
        <f t="shared" si="195"/>
        <v>0</v>
      </c>
      <c r="P532" s="94">
        <f t="shared" si="196"/>
        <v>0</v>
      </c>
      <c r="Q532" s="95">
        <f t="shared" si="197"/>
        <v>0</v>
      </c>
      <c r="R532" s="96"/>
      <c r="S532" s="97">
        <f t="shared" si="198"/>
        <v>0</v>
      </c>
      <c r="T532" s="98">
        <f t="shared" si="193"/>
        <v>0</v>
      </c>
    </row>
    <row r="533" spans="2:31" ht="20.100000000000001" customHeight="1">
      <c r="B533" s="88">
        <v>6</v>
      </c>
      <c r="C533" s="89" t="s">
        <v>1488</v>
      </c>
      <c r="D533" s="90" t="s">
        <v>1507</v>
      </c>
      <c r="E533" s="91" t="s">
        <v>1508</v>
      </c>
      <c r="F533" s="315">
        <v>129.1</v>
      </c>
      <c r="G533" s="260">
        <v>10</v>
      </c>
      <c r="H533" s="260">
        <v>3</v>
      </c>
      <c r="I533" s="309"/>
      <c r="J533" s="199"/>
      <c r="K533" s="269">
        <v>3</v>
      </c>
      <c r="L533" s="93">
        <f t="shared" si="202"/>
        <v>10</v>
      </c>
      <c r="M533" s="183">
        <v>10</v>
      </c>
      <c r="N533" s="95">
        <f t="shared" si="194"/>
        <v>1291</v>
      </c>
      <c r="O533" s="95">
        <f t="shared" si="195"/>
        <v>1291</v>
      </c>
      <c r="P533" s="94">
        <f t="shared" si="196"/>
        <v>0</v>
      </c>
      <c r="Q533" s="95">
        <f t="shared" si="197"/>
        <v>0</v>
      </c>
      <c r="R533" s="278"/>
      <c r="S533" s="97">
        <f t="shared" si="198"/>
        <v>10</v>
      </c>
      <c r="T533" s="98">
        <f t="shared" si="193"/>
        <v>0</v>
      </c>
      <c r="W533">
        <v>10</v>
      </c>
      <c r="X533" t="s">
        <v>555</v>
      </c>
      <c r="AD533">
        <f>W533</f>
        <v>10</v>
      </c>
      <c r="AE533" s="100">
        <f>AD533*F533</f>
        <v>1291</v>
      </c>
    </row>
    <row r="534" spans="2:31" ht="20.100000000000001" customHeight="1">
      <c r="B534" s="88">
        <v>6</v>
      </c>
      <c r="C534" s="89" t="s">
        <v>1488</v>
      </c>
      <c r="D534" s="90" t="s">
        <v>1509</v>
      </c>
      <c r="E534" s="91" t="s">
        <v>1510</v>
      </c>
      <c r="F534" s="315">
        <v>10.5</v>
      </c>
      <c r="G534" s="260"/>
      <c r="H534" s="260"/>
      <c r="I534" s="309"/>
      <c r="J534" s="199"/>
      <c r="K534" s="269"/>
      <c r="L534" s="93">
        <f t="shared" si="202"/>
        <v>0</v>
      </c>
      <c r="M534" s="183"/>
      <c r="N534" s="95">
        <f t="shared" si="194"/>
        <v>0</v>
      </c>
      <c r="O534" s="95">
        <f t="shared" si="195"/>
        <v>0</v>
      </c>
      <c r="P534" s="94">
        <f t="shared" si="196"/>
        <v>0</v>
      </c>
      <c r="Q534" s="95">
        <f t="shared" si="197"/>
        <v>0</v>
      </c>
      <c r="R534" s="96"/>
      <c r="S534" s="97">
        <f t="shared" si="198"/>
        <v>0</v>
      </c>
      <c r="T534" s="98">
        <f t="shared" si="193"/>
        <v>0</v>
      </c>
    </row>
    <row r="535" spans="2:31" ht="20.100000000000001" customHeight="1">
      <c r="B535" s="88">
        <v>6</v>
      </c>
      <c r="C535" s="89" t="s">
        <v>1488</v>
      </c>
      <c r="D535" s="90" t="s">
        <v>1511</v>
      </c>
      <c r="E535" s="91" t="s">
        <v>1512</v>
      </c>
      <c r="F535" s="315">
        <v>29.17</v>
      </c>
      <c r="G535" s="260">
        <f>10+7</f>
        <v>17</v>
      </c>
      <c r="H535" s="260">
        <v>12</v>
      </c>
      <c r="I535" s="309"/>
      <c r="J535" s="199"/>
      <c r="K535" s="269">
        <v>26</v>
      </c>
      <c r="L535" s="93">
        <f t="shared" si="202"/>
        <v>3</v>
      </c>
      <c r="M535" s="183">
        <v>3</v>
      </c>
      <c r="N535" s="95">
        <f t="shared" si="194"/>
        <v>87.51</v>
      </c>
      <c r="O535" s="95">
        <f t="shared" si="195"/>
        <v>87.51</v>
      </c>
      <c r="P535" s="94">
        <f t="shared" si="196"/>
        <v>0</v>
      </c>
      <c r="Q535" s="95">
        <f t="shared" si="197"/>
        <v>0</v>
      </c>
      <c r="R535" s="278"/>
      <c r="S535" s="97">
        <f t="shared" si="198"/>
        <v>10</v>
      </c>
      <c r="T535" s="98">
        <f t="shared" si="193"/>
        <v>-7</v>
      </c>
      <c r="U535">
        <v>5</v>
      </c>
      <c r="W535">
        <v>5</v>
      </c>
    </row>
    <row r="536" spans="2:31" ht="20.100000000000001" customHeight="1">
      <c r="B536" s="88">
        <v>6</v>
      </c>
      <c r="C536" s="89" t="s">
        <v>1488</v>
      </c>
      <c r="D536" s="90" t="s">
        <v>1513</v>
      </c>
      <c r="E536" s="91" t="s">
        <v>1514</v>
      </c>
      <c r="F536" s="315">
        <v>32</v>
      </c>
      <c r="G536" s="260">
        <v>159</v>
      </c>
      <c r="H536" s="260"/>
      <c r="I536" s="309"/>
      <c r="J536" s="199"/>
      <c r="K536" s="269"/>
      <c r="L536" s="93">
        <f t="shared" si="202"/>
        <v>159</v>
      </c>
      <c r="M536" s="183">
        <v>159</v>
      </c>
      <c r="N536" s="95">
        <f t="shared" si="194"/>
        <v>5088</v>
      </c>
      <c r="O536" s="95">
        <f t="shared" si="195"/>
        <v>5088</v>
      </c>
      <c r="P536" s="94">
        <f t="shared" si="196"/>
        <v>0</v>
      </c>
      <c r="Q536" s="95">
        <f t="shared" si="197"/>
        <v>0</v>
      </c>
      <c r="R536" s="96" t="s">
        <v>1515</v>
      </c>
      <c r="S536" s="97">
        <f t="shared" si="198"/>
        <v>147</v>
      </c>
      <c r="T536" s="98">
        <f t="shared" si="193"/>
        <v>12</v>
      </c>
      <c r="U536">
        <v>15</v>
      </c>
      <c r="W536">
        <f>48+84</f>
        <v>132</v>
      </c>
      <c r="X536" t="s">
        <v>1516</v>
      </c>
    </row>
    <row r="537" spans="2:31" ht="20.100000000000001" customHeight="1">
      <c r="B537" s="88">
        <v>6</v>
      </c>
      <c r="C537" s="89" t="s">
        <v>1488</v>
      </c>
      <c r="D537" s="90" t="s">
        <v>1517</v>
      </c>
      <c r="E537" s="91" t="s">
        <v>1518</v>
      </c>
      <c r="F537" s="315">
        <v>7.88</v>
      </c>
      <c r="G537" s="260">
        <v>0</v>
      </c>
      <c r="H537" s="260"/>
      <c r="I537" s="309"/>
      <c r="J537" s="199"/>
      <c r="K537" s="269"/>
      <c r="L537" s="93">
        <f t="shared" si="202"/>
        <v>0</v>
      </c>
      <c r="M537" s="183"/>
      <c r="N537" s="95">
        <f t="shared" si="194"/>
        <v>0</v>
      </c>
      <c r="O537" s="95">
        <f t="shared" si="195"/>
        <v>0</v>
      </c>
      <c r="P537" s="94">
        <f t="shared" si="196"/>
        <v>0</v>
      </c>
      <c r="Q537" s="95">
        <f t="shared" si="197"/>
        <v>0</v>
      </c>
      <c r="R537" s="96" t="s">
        <v>1519</v>
      </c>
      <c r="S537" s="97">
        <f t="shared" si="198"/>
        <v>0</v>
      </c>
      <c r="T537" s="98">
        <f t="shared" si="193"/>
        <v>0</v>
      </c>
    </row>
    <row r="538" spans="2:31" ht="20.100000000000001" customHeight="1">
      <c r="B538" s="88">
        <v>6</v>
      </c>
      <c r="C538" s="89" t="s">
        <v>1488</v>
      </c>
      <c r="D538" s="90" t="s">
        <v>1520</v>
      </c>
      <c r="E538" s="91" t="s">
        <v>1521</v>
      </c>
      <c r="F538" s="315">
        <v>15.2</v>
      </c>
      <c r="G538" s="260">
        <v>71</v>
      </c>
      <c r="H538" s="260"/>
      <c r="I538" s="309"/>
      <c r="J538" s="199"/>
      <c r="K538" s="269"/>
      <c r="L538" s="93">
        <f t="shared" si="202"/>
        <v>71</v>
      </c>
      <c r="M538" s="183">
        <f>35+36</f>
        <v>71</v>
      </c>
      <c r="N538" s="95">
        <f t="shared" si="194"/>
        <v>1079.2</v>
      </c>
      <c r="O538" s="95">
        <f t="shared" si="195"/>
        <v>1079.2</v>
      </c>
      <c r="P538" s="94">
        <f t="shared" si="196"/>
        <v>0</v>
      </c>
      <c r="Q538" s="95">
        <f t="shared" si="197"/>
        <v>0</v>
      </c>
      <c r="R538" s="96"/>
      <c r="S538" s="97">
        <f t="shared" si="198"/>
        <v>71</v>
      </c>
      <c r="T538" s="98">
        <f t="shared" si="193"/>
        <v>0</v>
      </c>
      <c r="U538">
        <f>40+31</f>
        <v>71</v>
      </c>
    </row>
    <row r="539" spans="2:31" ht="20.100000000000001" customHeight="1">
      <c r="B539" s="88">
        <v>6</v>
      </c>
      <c r="C539" s="89" t="s">
        <v>1488</v>
      </c>
      <c r="D539" s="90" t="s">
        <v>1522</v>
      </c>
      <c r="E539" s="91" t="s">
        <v>1523</v>
      </c>
      <c r="F539" s="315">
        <v>15.35</v>
      </c>
      <c r="G539" s="260">
        <v>47</v>
      </c>
      <c r="H539" s="260"/>
      <c r="I539" s="309"/>
      <c r="J539" s="199"/>
      <c r="K539" s="269"/>
      <c r="L539" s="93">
        <f t="shared" si="202"/>
        <v>47</v>
      </c>
      <c r="M539" s="183">
        <v>47</v>
      </c>
      <c r="N539" s="95">
        <f t="shared" si="194"/>
        <v>721.44999999999993</v>
      </c>
      <c r="O539" s="95">
        <f t="shared" si="195"/>
        <v>721.44999999999993</v>
      </c>
      <c r="P539" s="94">
        <f t="shared" si="196"/>
        <v>0</v>
      </c>
      <c r="Q539" s="95">
        <f t="shared" si="197"/>
        <v>0</v>
      </c>
      <c r="R539" s="96"/>
      <c r="S539" s="97">
        <f t="shared" si="198"/>
        <v>47</v>
      </c>
      <c r="T539" s="98">
        <f t="shared" si="193"/>
        <v>0</v>
      </c>
      <c r="W539">
        <v>47</v>
      </c>
      <c r="X539" t="s">
        <v>549</v>
      </c>
      <c r="AD539">
        <f t="shared" ref="AD539" si="203">W539</f>
        <v>47</v>
      </c>
      <c r="AE539" s="100">
        <f>AD539*F539</f>
        <v>721.44999999999993</v>
      </c>
    </row>
    <row r="540" spans="2:31" ht="20.100000000000001" customHeight="1">
      <c r="B540" s="88">
        <v>6</v>
      </c>
      <c r="C540" s="89" t="s">
        <v>1488</v>
      </c>
      <c r="D540" s="90" t="s">
        <v>1524</v>
      </c>
      <c r="E540" s="91" t="s">
        <v>1525</v>
      </c>
      <c r="F540" s="315">
        <v>30.83</v>
      </c>
      <c r="G540" s="260">
        <v>75</v>
      </c>
      <c r="H540" s="260"/>
      <c r="I540" s="309"/>
      <c r="J540" s="199"/>
      <c r="K540" s="269">
        <v>74</v>
      </c>
      <c r="L540" s="93">
        <f t="shared" si="202"/>
        <v>1</v>
      </c>
      <c r="M540" s="183">
        <v>1</v>
      </c>
      <c r="N540" s="95">
        <f t="shared" si="194"/>
        <v>30.83</v>
      </c>
      <c r="O540" s="95">
        <f t="shared" si="195"/>
        <v>30.83</v>
      </c>
      <c r="P540" s="94">
        <f t="shared" si="196"/>
        <v>0</v>
      </c>
      <c r="Q540" s="95">
        <f t="shared" si="197"/>
        <v>0</v>
      </c>
      <c r="R540" s="96"/>
      <c r="S540" s="97">
        <f t="shared" si="198"/>
        <v>73</v>
      </c>
      <c r="T540" s="98">
        <f t="shared" si="193"/>
        <v>-72</v>
      </c>
      <c r="W540">
        <f>48+25</f>
        <v>73</v>
      </c>
    </row>
    <row r="541" spans="2:31" ht="20.100000000000001" customHeight="1">
      <c r="B541" s="88">
        <v>6</v>
      </c>
      <c r="C541" s="89" t="s">
        <v>1488</v>
      </c>
      <c r="D541" s="90" t="s">
        <v>1526</v>
      </c>
      <c r="E541" s="91" t="s">
        <v>1527</v>
      </c>
      <c r="F541" s="315">
        <v>8.75</v>
      </c>
      <c r="G541" s="260">
        <v>115</v>
      </c>
      <c r="H541" s="260"/>
      <c r="I541" s="309"/>
      <c r="J541" s="199"/>
      <c r="K541" s="269">
        <v>1</v>
      </c>
      <c r="L541" s="93">
        <f t="shared" si="202"/>
        <v>114</v>
      </c>
      <c r="M541" s="183">
        <v>114</v>
      </c>
      <c r="N541" s="95">
        <f t="shared" si="194"/>
        <v>997.5</v>
      </c>
      <c r="O541" s="95">
        <f t="shared" si="195"/>
        <v>997.5</v>
      </c>
      <c r="P541" s="94">
        <f t="shared" si="196"/>
        <v>0</v>
      </c>
      <c r="Q541" s="95">
        <f t="shared" si="197"/>
        <v>0</v>
      </c>
      <c r="R541" s="102">
        <v>45709</v>
      </c>
      <c r="S541" s="97">
        <f t="shared" si="198"/>
        <v>118</v>
      </c>
      <c r="T541" s="98">
        <f t="shared" si="193"/>
        <v>-4</v>
      </c>
      <c r="U541">
        <v>45</v>
      </c>
      <c r="W541">
        <v>73</v>
      </c>
      <c r="X541" t="s">
        <v>1528</v>
      </c>
      <c r="AD541">
        <f t="shared" ref="AD541:AD542" si="204">W541</f>
        <v>73</v>
      </c>
      <c r="AE541" s="100">
        <f>AD541*F541</f>
        <v>638.75</v>
      </c>
    </row>
    <row r="542" spans="2:31" ht="20.100000000000001" customHeight="1">
      <c r="B542" s="88">
        <v>6</v>
      </c>
      <c r="C542" s="89" t="s">
        <v>1488</v>
      </c>
      <c r="D542" s="90" t="s">
        <v>1529</v>
      </c>
      <c r="E542" s="91" t="s">
        <v>1530</v>
      </c>
      <c r="F542" s="315">
        <v>8.75</v>
      </c>
      <c r="G542" s="260">
        <v>47</v>
      </c>
      <c r="H542" s="260">
        <v>25</v>
      </c>
      <c r="I542" s="309"/>
      <c r="J542" s="199"/>
      <c r="K542" s="269">
        <v>31</v>
      </c>
      <c r="L542" s="93">
        <f t="shared" si="202"/>
        <v>41</v>
      </c>
      <c r="M542" s="183">
        <f>30+11</f>
        <v>41</v>
      </c>
      <c r="N542" s="95">
        <f t="shared" si="194"/>
        <v>358.75</v>
      </c>
      <c r="O542" s="95">
        <f t="shared" si="195"/>
        <v>358.75</v>
      </c>
      <c r="P542" s="94">
        <f t="shared" si="196"/>
        <v>0</v>
      </c>
      <c r="Q542" s="95">
        <f t="shared" si="197"/>
        <v>0</v>
      </c>
      <c r="R542" s="96"/>
      <c r="S542" s="97">
        <f t="shared" si="198"/>
        <v>39</v>
      </c>
      <c r="T542" s="98">
        <f t="shared" si="193"/>
        <v>2</v>
      </c>
      <c r="U542">
        <v>28</v>
      </c>
      <c r="W542">
        <v>11</v>
      </c>
      <c r="X542" t="s">
        <v>555</v>
      </c>
      <c r="AD542">
        <f t="shared" si="204"/>
        <v>11</v>
      </c>
      <c r="AE542" s="100">
        <f>AD542*F542</f>
        <v>96.25</v>
      </c>
    </row>
    <row r="543" spans="2:31" ht="20.100000000000001" customHeight="1">
      <c r="B543" s="88">
        <v>6</v>
      </c>
      <c r="C543" s="89" t="s">
        <v>1488</v>
      </c>
      <c r="D543" s="90" t="s">
        <v>1532</v>
      </c>
      <c r="E543" s="91" t="s">
        <v>1533</v>
      </c>
      <c r="F543" s="315">
        <v>21.5</v>
      </c>
      <c r="G543" s="260"/>
      <c r="H543" s="260"/>
      <c r="I543" s="309"/>
      <c r="J543" s="199"/>
      <c r="K543" s="269"/>
      <c r="L543" s="93">
        <f t="shared" si="202"/>
        <v>0</v>
      </c>
      <c r="M543" s="183"/>
      <c r="N543" s="95">
        <f t="shared" si="194"/>
        <v>0</v>
      </c>
      <c r="O543" s="95">
        <f t="shared" si="195"/>
        <v>0</v>
      </c>
      <c r="P543" s="94">
        <f t="shared" si="196"/>
        <v>0</v>
      </c>
      <c r="Q543" s="95">
        <f t="shared" si="197"/>
        <v>0</v>
      </c>
      <c r="R543" s="96"/>
      <c r="S543" s="97">
        <f t="shared" si="198"/>
        <v>0</v>
      </c>
      <c r="T543" s="98">
        <f t="shared" si="193"/>
        <v>0</v>
      </c>
    </row>
    <row r="544" spans="2:31" ht="20.100000000000001" customHeight="1">
      <c r="B544" s="88">
        <v>6</v>
      </c>
      <c r="C544" s="89" t="s">
        <v>1488</v>
      </c>
      <c r="D544" s="90" t="s">
        <v>1534</v>
      </c>
      <c r="E544" s="91" t="s">
        <v>1535</v>
      </c>
      <c r="F544" s="315">
        <v>21.5</v>
      </c>
      <c r="G544" s="260"/>
      <c r="H544" s="260">
        <v>3</v>
      </c>
      <c r="I544" s="309"/>
      <c r="J544" s="199"/>
      <c r="K544" s="269">
        <v>3</v>
      </c>
      <c r="L544" s="93">
        <f t="shared" si="202"/>
        <v>0</v>
      </c>
      <c r="M544" s="183"/>
      <c r="N544" s="95">
        <f t="shared" si="194"/>
        <v>0</v>
      </c>
      <c r="O544" s="95">
        <f t="shared" si="195"/>
        <v>0</v>
      </c>
      <c r="P544" s="94">
        <f t="shared" si="196"/>
        <v>0</v>
      </c>
      <c r="Q544" s="95">
        <f t="shared" si="197"/>
        <v>0</v>
      </c>
      <c r="R544" s="96"/>
      <c r="S544" s="97">
        <f t="shared" si="198"/>
        <v>0</v>
      </c>
      <c r="T544" s="98">
        <f t="shared" si="193"/>
        <v>0</v>
      </c>
    </row>
    <row r="545" spans="2:31" ht="20.100000000000001" customHeight="1">
      <c r="B545" s="88">
        <v>6</v>
      </c>
      <c r="C545" s="89" t="s">
        <v>1488</v>
      </c>
      <c r="D545" s="90" t="s">
        <v>1536</v>
      </c>
      <c r="E545" s="91" t="s">
        <v>1537</v>
      </c>
      <c r="F545" s="315">
        <v>21.5</v>
      </c>
      <c r="G545" s="260"/>
      <c r="H545" s="260"/>
      <c r="I545" s="309"/>
      <c r="J545" s="199"/>
      <c r="K545" s="269"/>
      <c r="L545" s="93">
        <f t="shared" si="202"/>
        <v>0</v>
      </c>
      <c r="M545" s="183"/>
      <c r="N545" s="95">
        <f t="shared" si="194"/>
        <v>0</v>
      </c>
      <c r="O545" s="95">
        <f t="shared" si="195"/>
        <v>0</v>
      </c>
      <c r="P545" s="94">
        <f t="shared" si="196"/>
        <v>0</v>
      </c>
      <c r="Q545" s="95">
        <f t="shared" si="197"/>
        <v>0</v>
      </c>
      <c r="R545" s="96"/>
      <c r="S545" s="97">
        <f t="shared" si="198"/>
        <v>0</v>
      </c>
      <c r="T545" s="98">
        <f t="shared" si="193"/>
        <v>0</v>
      </c>
    </row>
    <row r="546" spans="2:31" ht="20.100000000000001" customHeight="1">
      <c r="B546" s="88">
        <v>6</v>
      </c>
      <c r="C546" s="89" t="s">
        <v>1488</v>
      </c>
      <c r="D546" s="90" t="s">
        <v>1538</v>
      </c>
      <c r="E546" s="91" t="s">
        <v>1539</v>
      </c>
      <c r="F546" s="315">
        <v>21.5</v>
      </c>
      <c r="G546" s="260"/>
      <c r="H546" s="260">
        <v>3</v>
      </c>
      <c r="I546" s="309"/>
      <c r="J546" s="199"/>
      <c r="K546" s="269">
        <v>3</v>
      </c>
      <c r="L546" s="93">
        <f t="shared" si="202"/>
        <v>0</v>
      </c>
      <c r="M546" s="183"/>
      <c r="N546" s="95">
        <f t="shared" si="194"/>
        <v>0</v>
      </c>
      <c r="O546" s="95">
        <f t="shared" si="195"/>
        <v>0</v>
      </c>
      <c r="P546" s="94">
        <f t="shared" si="196"/>
        <v>0</v>
      </c>
      <c r="Q546" s="95">
        <f t="shared" si="197"/>
        <v>0</v>
      </c>
      <c r="R546" s="278"/>
      <c r="S546" s="97">
        <f t="shared" si="198"/>
        <v>0</v>
      </c>
      <c r="T546" s="98">
        <f t="shared" si="193"/>
        <v>0</v>
      </c>
    </row>
    <row r="547" spans="2:31" ht="20.100000000000001" customHeight="1">
      <c r="B547" s="88">
        <v>6</v>
      </c>
      <c r="C547" s="89" t="s">
        <v>1488</v>
      </c>
      <c r="D547" s="90" t="s">
        <v>1540</v>
      </c>
      <c r="E547" s="91" t="s">
        <v>1541</v>
      </c>
      <c r="F547" s="315">
        <v>21.5</v>
      </c>
      <c r="G547" s="260"/>
      <c r="H547" s="260"/>
      <c r="I547" s="309"/>
      <c r="J547" s="199"/>
      <c r="K547" s="269"/>
      <c r="L547" s="93">
        <f t="shared" si="202"/>
        <v>0</v>
      </c>
      <c r="M547" s="183"/>
      <c r="N547" s="95">
        <f t="shared" si="194"/>
        <v>0</v>
      </c>
      <c r="O547" s="95">
        <f t="shared" si="195"/>
        <v>0</v>
      </c>
      <c r="P547" s="94">
        <f t="shared" si="196"/>
        <v>0</v>
      </c>
      <c r="Q547" s="95">
        <f t="shared" si="197"/>
        <v>0</v>
      </c>
      <c r="R547" s="96"/>
      <c r="S547" s="97">
        <f t="shared" si="198"/>
        <v>0</v>
      </c>
      <c r="T547" s="98">
        <f t="shared" si="193"/>
        <v>0</v>
      </c>
    </row>
    <row r="548" spans="2:31" ht="20.100000000000001" customHeight="1">
      <c r="B548" s="88">
        <v>6</v>
      </c>
      <c r="C548" s="89" t="s">
        <v>1488</v>
      </c>
      <c r="D548" s="90" t="s">
        <v>1542</v>
      </c>
      <c r="E548" s="91" t="s">
        <v>1543</v>
      </c>
      <c r="F548" s="315">
        <v>25.5</v>
      </c>
      <c r="G548" s="260"/>
      <c r="H548" s="260"/>
      <c r="I548" s="309"/>
      <c r="J548" s="199"/>
      <c r="K548" s="269"/>
      <c r="L548" s="93">
        <f t="shared" si="202"/>
        <v>0</v>
      </c>
      <c r="M548" s="183"/>
      <c r="N548" s="95">
        <f t="shared" si="194"/>
        <v>0</v>
      </c>
      <c r="O548" s="95">
        <f t="shared" si="195"/>
        <v>0</v>
      </c>
      <c r="P548" s="94">
        <f t="shared" si="196"/>
        <v>0</v>
      </c>
      <c r="Q548" s="95">
        <f t="shared" si="197"/>
        <v>0</v>
      </c>
      <c r="R548" s="96"/>
      <c r="S548" s="97">
        <f t="shared" si="198"/>
        <v>0</v>
      </c>
      <c r="T548" s="98">
        <f t="shared" si="193"/>
        <v>0</v>
      </c>
    </row>
    <row r="549" spans="2:31" ht="20.100000000000001" customHeight="1">
      <c r="B549" s="88">
        <v>6</v>
      </c>
      <c r="C549" s="89" t="s">
        <v>1488</v>
      </c>
      <c r="D549" s="90" t="s">
        <v>1544</v>
      </c>
      <c r="E549" s="91" t="s">
        <v>1545</v>
      </c>
      <c r="F549" s="315">
        <v>25.5</v>
      </c>
      <c r="G549" s="260">
        <v>1</v>
      </c>
      <c r="H549" s="260"/>
      <c r="I549" s="309"/>
      <c r="J549" s="199"/>
      <c r="K549" s="269">
        <v>1</v>
      </c>
      <c r="L549" s="93">
        <f t="shared" si="202"/>
        <v>0</v>
      </c>
      <c r="M549" s="183"/>
      <c r="N549" s="95">
        <f t="shared" si="194"/>
        <v>0</v>
      </c>
      <c r="O549" s="95">
        <f t="shared" si="195"/>
        <v>0</v>
      </c>
      <c r="P549" s="94">
        <f t="shared" si="196"/>
        <v>0</v>
      </c>
      <c r="Q549" s="95">
        <f t="shared" si="197"/>
        <v>0</v>
      </c>
      <c r="R549" s="96" t="s">
        <v>1546</v>
      </c>
      <c r="S549" s="97">
        <f t="shared" si="198"/>
        <v>1</v>
      </c>
      <c r="T549" s="98">
        <f t="shared" si="193"/>
        <v>-1</v>
      </c>
      <c r="W549">
        <v>1</v>
      </c>
      <c r="X549" t="s">
        <v>555</v>
      </c>
      <c r="AD549">
        <f t="shared" ref="AD549:AD550" si="205">W549</f>
        <v>1</v>
      </c>
      <c r="AE549" s="100">
        <f>AD549*F549</f>
        <v>25.5</v>
      </c>
    </row>
    <row r="550" spans="2:31" ht="20.100000000000001" customHeight="1">
      <c r="B550" s="88">
        <v>6</v>
      </c>
      <c r="C550" s="89" t="s">
        <v>1488</v>
      </c>
      <c r="D550" s="90" t="s">
        <v>1547</v>
      </c>
      <c r="E550" s="91" t="s">
        <v>1548</v>
      </c>
      <c r="F550" s="315">
        <v>21.5</v>
      </c>
      <c r="G550" s="260">
        <v>1</v>
      </c>
      <c r="H550" s="260">
        <v>3</v>
      </c>
      <c r="I550" s="309"/>
      <c r="J550" s="199"/>
      <c r="K550" s="269">
        <v>4</v>
      </c>
      <c r="L550" s="93">
        <f t="shared" si="202"/>
        <v>0</v>
      </c>
      <c r="M550" s="183"/>
      <c r="N550" s="95">
        <f t="shared" si="194"/>
        <v>0</v>
      </c>
      <c r="O550" s="95">
        <f t="shared" si="195"/>
        <v>0</v>
      </c>
      <c r="P550" s="94">
        <f t="shared" si="196"/>
        <v>0</v>
      </c>
      <c r="Q550" s="95">
        <f t="shared" si="197"/>
        <v>0</v>
      </c>
      <c r="R550" s="96" t="s">
        <v>1549</v>
      </c>
      <c r="S550" s="97">
        <f t="shared" si="198"/>
        <v>1</v>
      </c>
      <c r="T550" s="98">
        <f t="shared" si="193"/>
        <v>-1</v>
      </c>
      <c r="W550">
        <v>1</v>
      </c>
      <c r="X550" t="s">
        <v>555</v>
      </c>
      <c r="AD550">
        <f t="shared" si="205"/>
        <v>1</v>
      </c>
      <c r="AE550" s="100">
        <f>AD550*F550</f>
        <v>21.5</v>
      </c>
    </row>
    <row r="551" spans="2:31" ht="20.100000000000001" customHeight="1">
      <c r="B551" s="88">
        <v>6</v>
      </c>
      <c r="C551" s="89" t="s">
        <v>1488</v>
      </c>
      <c r="D551" s="90" t="s">
        <v>1550</v>
      </c>
      <c r="E551" s="91" t="s">
        <v>1551</v>
      </c>
      <c r="F551" s="315">
        <v>21.5</v>
      </c>
      <c r="G551" s="260"/>
      <c r="H551" s="260">
        <v>2</v>
      </c>
      <c r="I551" s="309"/>
      <c r="J551" s="199"/>
      <c r="K551" s="269">
        <v>2</v>
      </c>
      <c r="L551" s="93">
        <f t="shared" si="202"/>
        <v>0</v>
      </c>
      <c r="M551" s="183"/>
      <c r="N551" s="95">
        <f t="shared" si="194"/>
        <v>0</v>
      </c>
      <c r="O551" s="95">
        <f t="shared" si="195"/>
        <v>0</v>
      </c>
      <c r="P551" s="94">
        <f t="shared" si="196"/>
        <v>0</v>
      </c>
      <c r="Q551" s="95">
        <f t="shared" si="197"/>
        <v>0</v>
      </c>
      <c r="R551" s="278"/>
      <c r="S551" s="97">
        <f t="shared" si="198"/>
        <v>0</v>
      </c>
      <c r="T551" s="98">
        <f t="shared" si="193"/>
        <v>0</v>
      </c>
    </row>
    <row r="552" spans="2:31" ht="20.100000000000001" customHeight="1">
      <c r="B552" s="88">
        <v>6</v>
      </c>
      <c r="C552" s="89" t="s">
        <v>1488</v>
      </c>
      <c r="D552" s="90" t="s">
        <v>1552</v>
      </c>
      <c r="E552" s="91" t="s">
        <v>1553</v>
      </c>
      <c r="F552" s="315">
        <v>10</v>
      </c>
      <c r="G552" s="260"/>
      <c r="H552" s="260"/>
      <c r="I552" s="309"/>
      <c r="J552" s="199"/>
      <c r="K552" s="269"/>
      <c r="L552" s="93">
        <f t="shared" si="202"/>
        <v>0</v>
      </c>
      <c r="M552" s="183"/>
      <c r="N552" s="95">
        <f t="shared" si="194"/>
        <v>0</v>
      </c>
      <c r="O552" s="95">
        <f t="shared" si="195"/>
        <v>0</v>
      </c>
      <c r="P552" s="94">
        <f t="shared" si="196"/>
        <v>0</v>
      </c>
      <c r="Q552" s="95">
        <f t="shared" si="197"/>
        <v>0</v>
      </c>
      <c r="R552" s="96"/>
      <c r="S552" s="97">
        <f t="shared" si="198"/>
        <v>0</v>
      </c>
      <c r="T552" s="98">
        <f t="shared" si="193"/>
        <v>0</v>
      </c>
    </row>
    <row r="553" spans="2:31" ht="20.100000000000001" customHeight="1">
      <c r="B553" s="88">
        <v>6</v>
      </c>
      <c r="C553" s="89" t="s">
        <v>1488</v>
      </c>
      <c r="D553" s="90" t="s">
        <v>1554</v>
      </c>
      <c r="E553" s="91" t="s">
        <v>1555</v>
      </c>
      <c r="F553" s="315">
        <v>18.75</v>
      </c>
      <c r="G553" s="260"/>
      <c r="H553" s="260"/>
      <c r="I553" s="309"/>
      <c r="J553" s="199"/>
      <c r="K553" s="269"/>
      <c r="L553" s="93">
        <f t="shared" si="202"/>
        <v>0</v>
      </c>
      <c r="M553" s="183"/>
      <c r="N553" s="95">
        <f t="shared" si="194"/>
        <v>0</v>
      </c>
      <c r="O553" s="95">
        <f t="shared" si="195"/>
        <v>0</v>
      </c>
      <c r="P553" s="94">
        <f t="shared" si="196"/>
        <v>0</v>
      </c>
      <c r="Q553" s="95">
        <f t="shared" si="197"/>
        <v>0</v>
      </c>
      <c r="R553" s="96"/>
      <c r="S553" s="97">
        <f t="shared" si="198"/>
        <v>0</v>
      </c>
      <c r="T553" s="98">
        <f t="shared" si="193"/>
        <v>0</v>
      </c>
    </row>
    <row r="554" spans="2:31" ht="20.100000000000001" customHeight="1">
      <c r="B554" s="88">
        <v>6</v>
      </c>
      <c r="C554" s="89" t="s">
        <v>1488</v>
      </c>
      <c r="D554" s="90" t="s">
        <v>1554</v>
      </c>
      <c r="E554" s="91" t="s">
        <v>1555</v>
      </c>
      <c r="F554" s="315">
        <v>18.75</v>
      </c>
      <c r="G554" s="260">
        <v>10</v>
      </c>
      <c r="H554" s="260"/>
      <c r="I554" s="309"/>
      <c r="J554" s="199"/>
      <c r="K554" s="269">
        <v>1</v>
      </c>
      <c r="L554" s="93">
        <f t="shared" si="202"/>
        <v>9</v>
      </c>
      <c r="M554" s="183">
        <v>9</v>
      </c>
      <c r="N554" s="95">
        <f t="shared" si="194"/>
        <v>168.75</v>
      </c>
      <c r="O554" s="95">
        <f t="shared" si="195"/>
        <v>168.75</v>
      </c>
      <c r="P554" s="94">
        <f t="shared" si="196"/>
        <v>0</v>
      </c>
      <c r="Q554" s="95">
        <f t="shared" si="197"/>
        <v>0</v>
      </c>
      <c r="R554" s="96"/>
      <c r="S554" s="97">
        <f t="shared" si="198"/>
        <v>11</v>
      </c>
      <c r="T554" s="98">
        <f t="shared" si="193"/>
        <v>-2</v>
      </c>
      <c r="U554">
        <v>11</v>
      </c>
    </row>
    <row r="555" spans="2:31" ht="20.100000000000001" customHeight="1">
      <c r="B555" s="88">
        <v>6</v>
      </c>
      <c r="C555" s="89" t="s">
        <v>1488</v>
      </c>
      <c r="D555" s="90" t="s">
        <v>1556</v>
      </c>
      <c r="E555" s="91" t="s">
        <v>1557</v>
      </c>
      <c r="F555" s="315">
        <v>15</v>
      </c>
      <c r="G555" s="260">
        <v>13</v>
      </c>
      <c r="H555" s="260"/>
      <c r="I555" s="309"/>
      <c r="J555" s="199"/>
      <c r="K555" s="269">
        <v>3</v>
      </c>
      <c r="L555" s="93">
        <f t="shared" si="202"/>
        <v>10</v>
      </c>
      <c r="M555" s="183">
        <v>9</v>
      </c>
      <c r="N555" s="95">
        <f t="shared" si="194"/>
        <v>150</v>
      </c>
      <c r="O555" s="95">
        <f t="shared" si="195"/>
        <v>135</v>
      </c>
      <c r="P555" s="94">
        <f t="shared" si="196"/>
        <v>1</v>
      </c>
      <c r="Q555" s="95">
        <f t="shared" si="197"/>
        <v>15</v>
      </c>
      <c r="R555" s="96"/>
      <c r="S555" s="97">
        <f t="shared" si="198"/>
        <v>0</v>
      </c>
      <c r="T555" s="98">
        <f t="shared" si="193"/>
        <v>9</v>
      </c>
    </row>
    <row r="556" spans="2:31" ht="20.100000000000001" customHeight="1">
      <c r="B556" s="88">
        <v>6</v>
      </c>
      <c r="C556" s="89" t="s">
        <v>1488</v>
      </c>
      <c r="D556" s="90" t="s">
        <v>1556</v>
      </c>
      <c r="E556" s="91" t="s">
        <v>1557</v>
      </c>
      <c r="F556" s="315">
        <v>15</v>
      </c>
      <c r="G556" s="260"/>
      <c r="H556" s="260"/>
      <c r="I556" s="309"/>
      <c r="J556" s="199"/>
      <c r="K556" s="269"/>
      <c r="L556" s="93">
        <f t="shared" si="202"/>
        <v>0</v>
      </c>
      <c r="M556" s="183"/>
      <c r="N556" s="95">
        <f t="shared" si="194"/>
        <v>0</v>
      </c>
      <c r="O556" s="95">
        <f t="shared" si="195"/>
        <v>0</v>
      </c>
      <c r="P556" s="94">
        <f t="shared" si="196"/>
        <v>0</v>
      </c>
      <c r="Q556" s="95">
        <f t="shared" si="197"/>
        <v>0</v>
      </c>
      <c r="R556" s="96"/>
      <c r="S556" s="97">
        <f t="shared" si="198"/>
        <v>2</v>
      </c>
      <c r="T556" s="98">
        <f t="shared" si="193"/>
        <v>-2</v>
      </c>
      <c r="U556">
        <v>2</v>
      </c>
    </row>
    <row r="557" spans="2:31" ht="20.100000000000001" customHeight="1">
      <c r="B557" s="88">
        <v>6</v>
      </c>
      <c r="C557" s="89" t="s">
        <v>1488</v>
      </c>
      <c r="D557" s="90" t="s">
        <v>1558</v>
      </c>
      <c r="E557" s="91" t="s">
        <v>1559</v>
      </c>
      <c r="F557" s="315">
        <v>14</v>
      </c>
      <c r="G557" s="260">
        <v>49</v>
      </c>
      <c r="H557" s="260"/>
      <c r="I557" s="309"/>
      <c r="J557" s="199"/>
      <c r="K557" s="269">
        <v>3</v>
      </c>
      <c r="L557" s="93">
        <f t="shared" si="202"/>
        <v>46</v>
      </c>
      <c r="M557" s="183">
        <f>1+45</f>
        <v>46</v>
      </c>
      <c r="N557" s="95">
        <f t="shared" si="194"/>
        <v>644</v>
      </c>
      <c r="O557" s="95">
        <f t="shared" si="195"/>
        <v>644</v>
      </c>
      <c r="P557" s="94">
        <f t="shared" si="196"/>
        <v>0</v>
      </c>
      <c r="Q557" s="95">
        <f t="shared" si="197"/>
        <v>0</v>
      </c>
      <c r="R557" s="96" t="s">
        <v>1560</v>
      </c>
      <c r="S557" s="97">
        <f t="shared" si="198"/>
        <v>48</v>
      </c>
      <c r="T557" s="98">
        <f t="shared" si="193"/>
        <v>-2</v>
      </c>
      <c r="U557">
        <v>47</v>
      </c>
      <c r="W557">
        <v>1</v>
      </c>
      <c r="X557" t="s">
        <v>555</v>
      </c>
      <c r="AD557">
        <f>W557</f>
        <v>1</v>
      </c>
      <c r="AE557" s="100">
        <f>AD557*F557</f>
        <v>14</v>
      </c>
    </row>
    <row r="558" spans="2:31" ht="20.100000000000001" customHeight="1">
      <c r="B558" s="88">
        <v>6</v>
      </c>
      <c r="C558" s="89" t="s">
        <v>1488</v>
      </c>
      <c r="D558" s="90" t="s">
        <v>1558</v>
      </c>
      <c r="E558" s="91" t="s">
        <v>1559</v>
      </c>
      <c r="F558" s="315">
        <v>14</v>
      </c>
      <c r="G558" s="260"/>
      <c r="H558" s="260"/>
      <c r="I558" s="309"/>
      <c r="J558" s="199"/>
      <c r="K558" s="269"/>
      <c r="L558" s="93">
        <f t="shared" si="202"/>
        <v>0</v>
      </c>
      <c r="M558" s="183"/>
      <c r="N558" s="95">
        <f t="shared" si="194"/>
        <v>0</v>
      </c>
      <c r="O558" s="95">
        <f t="shared" si="195"/>
        <v>0</v>
      </c>
      <c r="P558" s="94">
        <f t="shared" si="196"/>
        <v>0</v>
      </c>
      <c r="Q558" s="95">
        <f t="shared" si="197"/>
        <v>0</v>
      </c>
      <c r="R558" s="96"/>
      <c r="S558" s="97">
        <f t="shared" si="198"/>
        <v>0</v>
      </c>
      <c r="T558" s="98">
        <f t="shared" si="193"/>
        <v>0</v>
      </c>
    </row>
    <row r="559" spans="2:31" ht="20.100000000000001" customHeight="1">
      <c r="B559" s="88">
        <v>6</v>
      </c>
      <c r="C559" s="89" t="s">
        <v>1488</v>
      </c>
      <c r="D559" s="90" t="s">
        <v>1561</v>
      </c>
      <c r="E559" s="91" t="s">
        <v>1562</v>
      </c>
      <c r="F559" s="315">
        <v>18.5</v>
      </c>
      <c r="G559" s="260">
        <v>8</v>
      </c>
      <c r="H559" s="260">
        <v>15</v>
      </c>
      <c r="I559" s="309"/>
      <c r="J559" s="199"/>
      <c r="K559" s="269">
        <v>17</v>
      </c>
      <c r="L559" s="93">
        <f t="shared" si="202"/>
        <v>6</v>
      </c>
      <c r="M559" s="183">
        <f>5+1</f>
        <v>6</v>
      </c>
      <c r="N559" s="95">
        <f t="shared" si="194"/>
        <v>111</v>
      </c>
      <c r="O559" s="95">
        <f t="shared" si="195"/>
        <v>111</v>
      </c>
      <c r="P559" s="94">
        <f t="shared" si="196"/>
        <v>0</v>
      </c>
      <c r="Q559" s="95">
        <f t="shared" si="197"/>
        <v>0</v>
      </c>
      <c r="R559" s="278"/>
      <c r="S559" s="97">
        <f t="shared" si="198"/>
        <v>7</v>
      </c>
      <c r="T559" s="98">
        <f t="shared" si="193"/>
        <v>-1</v>
      </c>
      <c r="U559">
        <v>7</v>
      </c>
    </row>
    <row r="560" spans="2:31" ht="20.100000000000001" customHeight="1">
      <c r="B560" s="88">
        <v>6</v>
      </c>
      <c r="C560" s="89" t="s">
        <v>1488</v>
      </c>
      <c r="D560" s="90" t="s">
        <v>1563</v>
      </c>
      <c r="E560" s="91" t="s">
        <v>1564</v>
      </c>
      <c r="F560" s="315">
        <v>14</v>
      </c>
      <c r="G560" s="260">
        <v>44</v>
      </c>
      <c r="H560" s="260"/>
      <c r="I560" s="309"/>
      <c r="J560" s="199"/>
      <c r="K560" s="269">
        <v>9</v>
      </c>
      <c r="L560" s="93">
        <f t="shared" si="202"/>
        <v>35</v>
      </c>
      <c r="M560" s="183">
        <v>35</v>
      </c>
      <c r="N560" s="95">
        <f t="shared" ref="N560:N613" si="206">F560*L560</f>
        <v>490</v>
      </c>
      <c r="O560" s="95">
        <f t="shared" ref="O560:O613" si="207">M560*F560</f>
        <v>490</v>
      </c>
      <c r="P560" s="94">
        <f t="shared" ref="P560:P613" si="208">L560-M560</f>
        <v>0</v>
      </c>
      <c r="Q560" s="95">
        <f t="shared" ref="Q560:Q613" si="209">N560-O560</f>
        <v>0</v>
      </c>
      <c r="R560" s="96" t="s">
        <v>1565</v>
      </c>
      <c r="S560" s="97">
        <f t="shared" ref="S560:S613" si="210">U560+Y560+W560+AA560</f>
        <v>53</v>
      </c>
      <c r="T560" s="98">
        <f t="shared" ref="T560:T612" si="211">M560-S560</f>
        <v>-18</v>
      </c>
      <c r="U560">
        <v>47</v>
      </c>
      <c r="W560">
        <v>6</v>
      </c>
      <c r="X560" t="s">
        <v>555</v>
      </c>
      <c r="AD560">
        <f>W560</f>
        <v>6</v>
      </c>
      <c r="AE560" s="100">
        <f>AD560*F560</f>
        <v>84</v>
      </c>
    </row>
    <row r="561" spans="2:31" ht="20.100000000000001" customHeight="1">
      <c r="B561" s="88">
        <v>6</v>
      </c>
      <c r="C561" s="89" t="s">
        <v>1488</v>
      </c>
      <c r="D561" s="90" t="s">
        <v>1563</v>
      </c>
      <c r="E561" s="91" t="s">
        <v>1564</v>
      </c>
      <c r="F561" s="315">
        <v>14.25</v>
      </c>
      <c r="G561" s="260"/>
      <c r="H561" s="260"/>
      <c r="I561" s="309"/>
      <c r="J561" s="199"/>
      <c r="K561" s="269"/>
      <c r="L561" s="93">
        <f t="shared" si="202"/>
        <v>0</v>
      </c>
      <c r="M561" s="183"/>
      <c r="N561" s="95">
        <f t="shared" si="206"/>
        <v>0</v>
      </c>
      <c r="O561" s="95">
        <f t="shared" si="207"/>
        <v>0</v>
      </c>
      <c r="P561" s="94">
        <f t="shared" si="208"/>
        <v>0</v>
      </c>
      <c r="Q561" s="95">
        <f t="shared" si="209"/>
        <v>0</v>
      </c>
      <c r="R561" s="96"/>
      <c r="S561" s="97">
        <f t="shared" si="210"/>
        <v>0</v>
      </c>
      <c r="T561" s="98">
        <f t="shared" si="211"/>
        <v>0</v>
      </c>
    </row>
    <row r="562" spans="2:31" ht="20.100000000000001" customHeight="1">
      <c r="B562" s="88">
        <v>6</v>
      </c>
      <c r="C562" s="89" t="s">
        <v>1488</v>
      </c>
      <c r="D562" s="90" t="s">
        <v>1566</v>
      </c>
      <c r="E562" s="91" t="s">
        <v>1567</v>
      </c>
      <c r="F562" s="315">
        <v>18.5</v>
      </c>
      <c r="G562" s="260">
        <v>4</v>
      </c>
      <c r="H562" s="260"/>
      <c r="I562" s="309"/>
      <c r="J562" s="199"/>
      <c r="K562" s="269">
        <v>3</v>
      </c>
      <c r="L562" s="93">
        <f t="shared" si="202"/>
        <v>1</v>
      </c>
      <c r="M562" s="183">
        <v>1</v>
      </c>
      <c r="N562" s="95">
        <f t="shared" si="206"/>
        <v>18.5</v>
      </c>
      <c r="O562" s="95">
        <f t="shared" si="207"/>
        <v>18.5</v>
      </c>
      <c r="P562" s="94">
        <f t="shared" si="208"/>
        <v>0</v>
      </c>
      <c r="Q562" s="95">
        <f t="shared" si="209"/>
        <v>0</v>
      </c>
      <c r="R562" s="96"/>
      <c r="S562" s="97">
        <f t="shared" si="210"/>
        <v>9</v>
      </c>
      <c r="T562" s="98">
        <f t="shared" si="211"/>
        <v>-8</v>
      </c>
      <c r="U562">
        <v>9</v>
      </c>
    </row>
    <row r="563" spans="2:31" ht="20.100000000000001" customHeight="1">
      <c r="B563" s="88">
        <v>6</v>
      </c>
      <c r="C563" s="89" t="s">
        <v>1488</v>
      </c>
      <c r="D563" s="90" t="s">
        <v>1566</v>
      </c>
      <c r="E563" s="91" t="s">
        <v>1567</v>
      </c>
      <c r="F563" s="315">
        <v>18.5</v>
      </c>
      <c r="G563" s="260"/>
      <c r="H563" s="260"/>
      <c r="I563" s="309"/>
      <c r="J563" s="199"/>
      <c r="K563" s="269"/>
      <c r="L563" s="93">
        <f t="shared" si="202"/>
        <v>0</v>
      </c>
      <c r="M563" s="183"/>
      <c r="N563" s="95">
        <f t="shared" si="206"/>
        <v>0</v>
      </c>
      <c r="O563" s="95">
        <f t="shared" si="207"/>
        <v>0</v>
      </c>
      <c r="P563" s="94">
        <f t="shared" si="208"/>
        <v>0</v>
      </c>
      <c r="Q563" s="95">
        <f t="shared" si="209"/>
        <v>0</v>
      </c>
      <c r="R563" s="96"/>
      <c r="S563" s="97">
        <f t="shared" si="210"/>
        <v>0</v>
      </c>
      <c r="T563" s="98">
        <f t="shared" si="211"/>
        <v>0</v>
      </c>
    </row>
    <row r="564" spans="2:31" ht="20.100000000000001" customHeight="1">
      <c r="B564" s="88">
        <v>6</v>
      </c>
      <c r="C564" s="89" t="s">
        <v>1488</v>
      </c>
      <c r="D564" s="90" t="s">
        <v>1568</v>
      </c>
      <c r="E564" s="91" t="s">
        <v>1569</v>
      </c>
      <c r="F564" s="315">
        <v>14</v>
      </c>
      <c r="G564" s="260">
        <v>42</v>
      </c>
      <c r="H564" s="260"/>
      <c r="I564" s="309"/>
      <c r="J564" s="199"/>
      <c r="K564" s="269"/>
      <c r="L564" s="93">
        <f t="shared" si="202"/>
        <v>42</v>
      </c>
      <c r="M564" s="183">
        <v>42</v>
      </c>
      <c r="N564" s="95">
        <f t="shared" si="206"/>
        <v>588</v>
      </c>
      <c r="O564" s="95">
        <f t="shared" si="207"/>
        <v>588</v>
      </c>
      <c r="P564" s="94">
        <f t="shared" si="208"/>
        <v>0</v>
      </c>
      <c r="Q564" s="95">
        <f t="shared" si="209"/>
        <v>0</v>
      </c>
      <c r="R564" s="96"/>
      <c r="S564" s="97">
        <f t="shared" si="210"/>
        <v>50</v>
      </c>
      <c r="T564" s="98">
        <f t="shared" si="211"/>
        <v>-8</v>
      </c>
      <c r="U564">
        <v>50</v>
      </c>
    </row>
    <row r="565" spans="2:31" ht="20.100000000000001" customHeight="1">
      <c r="B565" s="88">
        <v>6</v>
      </c>
      <c r="C565" s="89" t="s">
        <v>1488</v>
      </c>
      <c r="D565" s="90" t="s">
        <v>1568</v>
      </c>
      <c r="E565" s="91" t="s">
        <v>1569</v>
      </c>
      <c r="F565" s="315">
        <v>14</v>
      </c>
      <c r="G565" s="260"/>
      <c r="H565" s="260"/>
      <c r="I565" s="309"/>
      <c r="J565" s="199"/>
      <c r="K565" s="269"/>
      <c r="L565" s="93">
        <f t="shared" si="202"/>
        <v>0</v>
      </c>
      <c r="M565" s="183"/>
      <c r="N565" s="95">
        <f t="shared" si="206"/>
        <v>0</v>
      </c>
      <c r="O565" s="95">
        <f t="shared" si="207"/>
        <v>0</v>
      </c>
      <c r="P565" s="94">
        <f t="shared" si="208"/>
        <v>0</v>
      </c>
      <c r="Q565" s="95">
        <f t="shared" si="209"/>
        <v>0</v>
      </c>
      <c r="R565" s="96"/>
      <c r="S565" s="97">
        <f t="shared" si="210"/>
        <v>0</v>
      </c>
      <c r="T565" s="98">
        <f t="shared" si="211"/>
        <v>0</v>
      </c>
    </row>
    <row r="566" spans="2:31" ht="20.100000000000001" customHeight="1">
      <c r="B566" s="88">
        <v>6</v>
      </c>
      <c r="C566" s="89" t="s">
        <v>1488</v>
      </c>
      <c r="D566" s="90" t="s">
        <v>1570</v>
      </c>
      <c r="E566" s="91" t="s">
        <v>1571</v>
      </c>
      <c r="F566" s="315">
        <v>18.5</v>
      </c>
      <c r="G566" s="260">
        <v>10</v>
      </c>
      <c r="H566" s="260">
        <v>15</v>
      </c>
      <c r="I566" s="309"/>
      <c r="J566" s="199"/>
      <c r="K566" s="269">
        <v>19</v>
      </c>
      <c r="L566" s="93">
        <f t="shared" si="202"/>
        <v>6</v>
      </c>
      <c r="M566" s="183">
        <v>6</v>
      </c>
      <c r="N566" s="95">
        <f t="shared" si="206"/>
        <v>111</v>
      </c>
      <c r="O566" s="95">
        <f t="shared" si="207"/>
        <v>111</v>
      </c>
      <c r="P566" s="94">
        <f t="shared" si="208"/>
        <v>0</v>
      </c>
      <c r="Q566" s="95">
        <f t="shared" si="209"/>
        <v>0</v>
      </c>
      <c r="R566" s="278"/>
      <c r="S566" s="97">
        <f t="shared" si="210"/>
        <v>10</v>
      </c>
      <c r="T566" s="98">
        <f t="shared" si="211"/>
        <v>-4</v>
      </c>
      <c r="U566">
        <v>10</v>
      </c>
    </row>
    <row r="567" spans="2:31" ht="20.100000000000001" customHeight="1">
      <c r="B567" s="88">
        <v>6</v>
      </c>
      <c r="C567" s="89" t="s">
        <v>1488</v>
      </c>
      <c r="D567" s="90" t="s">
        <v>1572</v>
      </c>
      <c r="E567" s="91" t="s">
        <v>1573</v>
      </c>
      <c r="F567" s="315">
        <v>14</v>
      </c>
      <c r="G567" s="260">
        <v>21</v>
      </c>
      <c r="H567" s="260"/>
      <c r="I567" s="309"/>
      <c r="J567" s="199"/>
      <c r="K567" s="269"/>
      <c r="L567" s="93">
        <f t="shared" si="202"/>
        <v>21</v>
      </c>
      <c r="M567" s="183">
        <v>21</v>
      </c>
      <c r="N567" s="95">
        <f t="shared" si="206"/>
        <v>294</v>
      </c>
      <c r="O567" s="95">
        <f t="shared" si="207"/>
        <v>294</v>
      </c>
      <c r="P567" s="94">
        <f t="shared" si="208"/>
        <v>0</v>
      </c>
      <c r="Q567" s="95">
        <f t="shared" si="209"/>
        <v>0</v>
      </c>
      <c r="R567" s="102">
        <v>45712</v>
      </c>
      <c r="S567" s="97">
        <f t="shared" si="210"/>
        <v>21</v>
      </c>
      <c r="T567" s="98">
        <f t="shared" si="211"/>
        <v>0</v>
      </c>
      <c r="W567">
        <v>21</v>
      </c>
      <c r="X567" t="s">
        <v>555</v>
      </c>
      <c r="AD567">
        <f>W567</f>
        <v>21</v>
      </c>
      <c r="AE567" s="100">
        <f>AD567*F567</f>
        <v>294</v>
      </c>
    </row>
    <row r="568" spans="2:31" ht="20.100000000000001" customHeight="1">
      <c r="B568" s="88">
        <v>6</v>
      </c>
      <c r="C568" s="89" t="s">
        <v>1488</v>
      </c>
      <c r="D568" s="90" t="s">
        <v>1574</v>
      </c>
      <c r="E568" s="91" t="s">
        <v>1575</v>
      </c>
      <c r="F568" s="315">
        <v>14</v>
      </c>
      <c r="G568" s="260">
        <v>11</v>
      </c>
      <c r="H568" s="260"/>
      <c r="I568" s="309"/>
      <c r="J568" s="199"/>
      <c r="K568" s="269">
        <v>3</v>
      </c>
      <c r="L568" s="93">
        <f t="shared" si="202"/>
        <v>8</v>
      </c>
      <c r="M568" s="183">
        <v>8</v>
      </c>
      <c r="N568" s="95">
        <f t="shared" si="206"/>
        <v>112</v>
      </c>
      <c r="O568" s="95">
        <f t="shared" si="207"/>
        <v>112</v>
      </c>
      <c r="P568" s="94">
        <f t="shared" si="208"/>
        <v>0</v>
      </c>
      <c r="Q568" s="95">
        <f t="shared" si="209"/>
        <v>0</v>
      </c>
      <c r="R568" s="96"/>
      <c r="S568" s="97">
        <f t="shared" si="210"/>
        <v>16</v>
      </c>
      <c r="T568" s="98">
        <f t="shared" si="211"/>
        <v>-8</v>
      </c>
      <c r="U568">
        <v>16</v>
      </c>
    </row>
    <row r="569" spans="2:31" ht="20.100000000000001" customHeight="1">
      <c r="B569" s="88">
        <v>6</v>
      </c>
      <c r="C569" s="89" t="s">
        <v>1488</v>
      </c>
      <c r="D569" s="90" t="s">
        <v>1574</v>
      </c>
      <c r="E569" s="91" t="s">
        <v>1575</v>
      </c>
      <c r="F569" s="315">
        <v>14</v>
      </c>
      <c r="G569" s="260"/>
      <c r="H569" s="260"/>
      <c r="I569" s="309"/>
      <c r="J569" s="199"/>
      <c r="K569" s="269"/>
      <c r="L569" s="93">
        <f t="shared" si="202"/>
        <v>0</v>
      </c>
      <c r="M569" s="183"/>
      <c r="N569" s="95">
        <f t="shared" si="206"/>
        <v>0</v>
      </c>
      <c r="O569" s="95">
        <f t="shared" si="207"/>
        <v>0</v>
      </c>
      <c r="P569" s="94">
        <f t="shared" si="208"/>
        <v>0</v>
      </c>
      <c r="Q569" s="95">
        <f t="shared" si="209"/>
        <v>0</v>
      </c>
      <c r="R569" s="96"/>
      <c r="S569" s="97">
        <f t="shared" si="210"/>
        <v>0</v>
      </c>
      <c r="T569" s="98">
        <f t="shared" si="211"/>
        <v>0</v>
      </c>
    </row>
    <row r="570" spans="2:31" ht="20.100000000000001" customHeight="1">
      <c r="B570" s="88">
        <v>6</v>
      </c>
      <c r="C570" s="89" t="s">
        <v>1488</v>
      </c>
      <c r="D570" s="90" t="s">
        <v>1576</v>
      </c>
      <c r="E570" s="91" t="s">
        <v>1577</v>
      </c>
      <c r="F570" s="315">
        <v>18.5</v>
      </c>
      <c r="G570" s="260"/>
      <c r="H570" s="260"/>
      <c r="I570" s="309"/>
      <c r="J570" s="199"/>
      <c r="K570" s="269"/>
      <c r="L570" s="93">
        <f t="shared" si="202"/>
        <v>0</v>
      </c>
      <c r="M570" s="183"/>
      <c r="N570" s="95">
        <f t="shared" si="206"/>
        <v>0</v>
      </c>
      <c r="O570" s="95">
        <f t="shared" si="207"/>
        <v>0</v>
      </c>
      <c r="P570" s="94">
        <f t="shared" si="208"/>
        <v>0</v>
      </c>
      <c r="Q570" s="95">
        <f t="shared" si="209"/>
        <v>0</v>
      </c>
      <c r="R570" s="96"/>
      <c r="S570" s="97">
        <f t="shared" si="210"/>
        <v>0</v>
      </c>
      <c r="T570" s="98">
        <f t="shared" si="211"/>
        <v>0</v>
      </c>
    </row>
    <row r="571" spans="2:31" ht="20.100000000000001" customHeight="1">
      <c r="B571" s="88">
        <v>6</v>
      </c>
      <c r="C571" s="89" t="s">
        <v>1488</v>
      </c>
      <c r="D571" s="90" t="s">
        <v>1576</v>
      </c>
      <c r="E571" s="91" t="s">
        <v>1577</v>
      </c>
      <c r="F571" s="315">
        <v>18.5</v>
      </c>
      <c r="G571" s="260"/>
      <c r="H571" s="260"/>
      <c r="I571" s="309"/>
      <c r="J571" s="199"/>
      <c r="K571" s="269"/>
      <c r="L571" s="93">
        <f t="shared" si="202"/>
        <v>0</v>
      </c>
      <c r="M571" s="183"/>
      <c r="N571" s="95">
        <f t="shared" si="206"/>
        <v>0</v>
      </c>
      <c r="O571" s="95">
        <f t="shared" si="207"/>
        <v>0</v>
      </c>
      <c r="P571" s="94">
        <f t="shared" si="208"/>
        <v>0</v>
      </c>
      <c r="Q571" s="95">
        <f t="shared" si="209"/>
        <v>0</v>
      </c>
      <c r="R571" s="96"/>
      <c r="S571" s="97">
        <f t="shared" si="210"/>
        <v>0</v>
      </c>
      <c r="T571" s="98">
        <f t="shared" si="211"/>
        <v>0</v>
      </c>
    </row>
    <row r="572" spans="2:31" ht="20.100000000000001" customHeight="1">
      <c r="B572" s="88">
        <v>6</v>
      </c>
      <c r="C572" s="89" t="s">
        <v>1488</v>
      </c>
      <c r="D572" s="90" t="s">
        <v>1578</v>
      </c>
      <c r="E572" s="91" t="s">
        <v>1579</v>
      </c>
      <c r="F572" s="315">
        <v>10</v>
      </c>
      <c r="G572" s="260">
        <v>46</v>
      </c>
      <c r="H572" s="260"/>
      <c r="I572" s="309"/>
      <c r="J572" s="199"/>
      <c r="K572" s="269"/>
      <c r="L572" s="93">
        <f t="shared" si="202"/>
        <v>46</v>
      </c>
      <c r="M572" s="183">
        <v>46</v>
      </c>
      <c r="N572" s="95">
        <f t="shared" si="206"/>
        <v>460</v>
      </c>
      <c r="O572" s="95">
        <f t="shared" si="207"/>
        <v>460</v>
      </c>
      <c r="P572" s="94">
        <f t="shared" si="208"/>
        <v>0</v>
      </c>
      <c r="Q572" s="95">
        <f t="shared" si="209"/>
        <v>0</v>
      </c>
      <c r="R572" s="96" t="s">
        <v>1580</v>
      </c>
      <c r="S572" s="97">
        <f t="shared" si="210"/>
        <v>55</v>
      </c>
      <c r="T572" s="98">
        <f t="shared" si="211"/>
        <v>-9</v>
      </c>
      <c r="U572">
        <f>26+11</f>
        <v>37</v>
      </c>
      <c r="W572">
        <v>18</v>
      </c>
      <c r="X572" t="s">
        <v>555</v>
      </c>
      <c r="AD572">
        <f>W572</f>
        <v>18</v>
      </c>
      <c r="AE572" s="100">
        <f>AD572*F572</f>
        <v>180</v>
      </c>
    </row>
    <row r="573" spans="2:31" ht="20.100000000000001" customHeight="1">
      <c r="B573" s="88">
        <v>6</v>
      </c>
      <c r="C573" s="89" t="s">
        <v>1488</v>
      </c>
      <c r="D573" s="90" t="s">
        <v>1581</v>
      </c>
      <c r="E573" s="91" t="s">
        <v>1582</v>
      </c>
      <c r="F573" s="315">
        <v>18.350000000000001</v>
      </c>
      <c r="G573" s="260"/>
      <c r="H573" s="260">
        <v>6</v>
      </c>
      <c r="I573" s="309"/>
      <c r="J573" s="199"/>
      <c r="K573" s="269">
        <v>6</v>
      </c>
      <c r="L573" s="93">
        <f t="shared" si="202"/>
        <v>0</v>
      </c>
      <c r="M573" s="183"/>
      <c r="N573" s="95">
        <f t="shared" si="206"/>
        <v>0</v>
      </c>
      <c r="O573" s="95">
        <f t="shared" si="207"/>
        <v>0</v>
      </c>
      <c r="P573" s="94">
        <f t="shared" si="208"/>
        <v>0</v>
      </c>
      <c r="Q573" s="95">
        <f t="shared" si="209"/>
        <v>0</v>
      </c>
      <c r="R573" s="278" t="s">
        <v>5195</v>
      </c>
      <c r="S573" s="97">
        <f t="shared" si="210"/>
        <v>0</v>
      </c>
      <c r="T573" s="98">
        <f t="shared" si="211"/>
        <v>0</v>
      </c>
    </row>
    <row r="574" spans="2:31" ht="20.100000000000001" customHeight="1">
      <c r="B574" s="88">
        <v>6</v>
      </c>
      <c r="C574" s="89" t="s">
        <v>1488</v>
      </c>
      <c r="D574" s="90" t="s">
        <v>1583</v>
      </c>
      <c r="E574" s="91" t="s">
        <v>1584</v>
      </c>
      <c r="F574" s="315">
        <v>20.55</v>
      </c>
      <c r="G574" s="260">
        <v>7</v>
      </c>
      <c r="H574" s="260"/>
      <c r="I574" s="309"/>
      <c r="J574" s="199">
        <v>7</v>
      </c>
      <c r="K574" s="269"/>
      <c r="L574" s="93">
        <f t="shared" si="202"/>
        <v>0</v>
      </c>
      <c r="M574" s="183"/>
      <c r="N574" s="95">
        <f t="shared" si="206"/>
        <v>0</v>
      </c>
      <c r="O574" s="95">
        <f t="shared" si="207"/>
        <v>0</v>
      </c>
      <c r="P574" s="94">
        <f t="shared" si="208"/>
        <v>0</v>
      </c>
      <c r="Q574" s="95">
        <f t="shared" si="209"/>
        <v>0</v>
      </c>
      <c r="R574" s="96"/>
      <c r="S574" s="97">
        <f t="shared" si="210"/>
        <v>10</v>
      </c>
      <c r="T574" s="98">
        <f t="shared" si="211"/>
        <v>-10</v>
      </c>
      <c r="U574">
        <v>10</v>
      </c>
    </row>
    <row r="575" spans="2:31" ht="20.100000000000001" customHeight="1">
      <c r="B575" s="88">
        <v>6</v>
      </c>
      <c r="C575" s="89" t="s">
        <v>1488</v>
      </c>
      <c r="D575" s="90" t="s">
        <v>1585</v>
      </c>
      <c r="E575" s="91" t="s">
        <v>1586</v>
      </c>
      <c r="F575" s="315">
        <v>23.32</v>
      </c>
      <c r="G575" s="260">
        <v>22</v>
      </c>
      <c r="H575" s="260">
        <v>6</v>
      </c>
      <c r="I575" s="309"/>
      <c r="J575" s="199"/>
      <c r="K575" s="269">
        <v>8</v>
      </c>
      <c r="L575" s="93">
        <f t="shared" ref="L575:L634" si="212">G575+I575-J575-K575+H575</f>
        <v>20</v>
      </c>
      <c r="M575" s="183">
        <v>20</v>
      </c>
      <c r="N575" s="95">
        <f t="shared" si="206"/>
        <v>466.4</v>
      </c>
      <c r="O575" s="95">
        <f t="shared" si="207"/>
        <v>466.4</v>
      </c>
      <c r="P575" s="94">
        <f t="shared" si="208"/>
        <v>0</v>
      </c>
      <c r="Q575" s="95">
        <f t="shared" si="209"/>
        <v>0</v>
      </c>
      <c r="R575" s="278"/>
      <c r="S575" s="97">
        <f t="shared" si="210"/>
        <v>23</v>
      </c>
      <c r="T575" s="98">
        <f t="shared" si="211"/>
        <v>-3</v>
      </c>
      <c r="U575">
        <v>23</v>
      </c>
    </row>
    <row r="576" spans="2:31" ht="20.100000000000001" customHeight="1">
      <c r="B576" s="88">
        <v>6</v>
      </c>
      <c r="C576" s="89" t="s">
        <v>1488</v>
      </c>
      <c r="D576" s="90" t="s">
        <v>1587</v>
      </c>
      <c r="E576" s="91" t="s">
        <v>1588</v>
      </c>
      <c r="F576" s="315">
        <v>20.55</v>
      </c>
      <c r="G576" s="260">
        <v>23</v>
      </c>
      <c r="H576" s="260">
        <v>6</v>
      </c>
      <c r="I576" s="309"/>
      <c r="J576" s="199"/>
      <c r="K576" s="269">
        <v>9</v>
      </c>
      <c r="L576" s="93">
        <f t="shared" si="212"/>
        <v>20</v>
      </c>
      <c r="M576" s="183">
        <v>20</v>
      </c>
      <c r="N576" s="95">
        <f t="shared" si="206"/>
        <v>411</v>
      </c>
      <c r="O576" s="95">
        <f t="shared" si="207"/>
        <v>411</v>
      </c>
      <c r="P576" s="94">
        <f t="shared" si="208"/>
        <v>0</v>
      </c>
      <c r="Q576" s="95">
        <f t="shared" si="209"/>
        <v>0</v>
      </c>
      <c r="R576" s="278"/>
      <c r="S576" s="97">
        <f t="shared" si="210"/>
        <v>28</v>
      </c>
      <c r="T576" s="98">
        <f t="shared" si="211"/>
        <v>-8</v>
      </c>
      <c r="U576">
        <v>28</v>
      </c>
    </row>
    <row r="577" spans="2:31" ht="20.100000000000001" customHeight="1">
      <c r="B577" s="88">
        <v>6</v>
      </c>
      <c r="C577" s="89" t="s">
        <v>1488</v>
      </c>
      <c r="D577" s="90" t="s">
        <v>1589</v>
      </c>
      <c r="E577" s="91" t="s">
        <v>1590</v>
      </c>
      <c r="F577" s="315">
        <v>20.36</v>
      </c>
      <c r="G577" s="260">
        <v>11</v>
      </c>
      <c r="H577" s="260"/>
      <c r="I577" s="309"/>
      <c r="J577" s="199"/>
      <c r="K577" s="269">
        <v>2</v>
      </c>
      <c r="L577" s="93">
        <f t="shared" si="212"/>
        <v>9</v>
      </c>
      <c r="M577" s="183">
        <v>9</v>
      </c>
      <c r="N577" s="95">
        <f t="shared" si="206"/>
        <v>183.24</v>
      </c>
      <c r="O577" s="95">
        <f t="shared" si="207"/>
        <v>183.24</v>
      </c>
      <c r="P577" s="94">
        <f t="shared" si="208"/>
        <v>0</v>
      </c>
      <c r="Q577" s="95">
        <f t="shared" si="209"/>
        <v>0</v>
      </c>
      <c r="R577" s="96"/>
      <c r="S577" s="97">
        <f t="shared" si="210"/>
        <v>14</v>
      </c>
      <c r="T577" s="98">
        <f t="shared" si="211"/>
        <v>-5</v>
      </c>
      <c r="U577">
        <v>14</v>
      </c>
    </row>
    <row r="578" spans="2:31" ht="20.100000000000001" customHeight="1">
      <c r="B578" s="88">
        <v>6</v>
      </c>
      <c r="C578" s="89" t="s">
        <v>1488</v>
      </c>
      <c r="D578" s="90" t="s">
        <v>1589</v>
      </c>
      <c r="E578" s="91" t="s">
        <v>1590</v>
      </c>
      <c r="F578" s="315">
        <v>24.04</v>
      </c>
      <c r="G578" s="260"/>
      <c r="H578" s="260"/>
      <c r="I578" s="309">
        <v>48</v>
      </c>
      <c r="J578" s="199"/>
      <c r="K578" s="269"/>
      <c r="L578" s="93">
        <f t="shared" si="212"/>
        <v>48</v>
      </c>
      <c r="M578" s="183">
        <v>48</v>
      </c>
      <c r="N578" s="95">
        <f t="shared" si="206"/>
        <v>1153.92</v>
      </c>
      <c r="O578" s="95">
        <f t="shared" si="207"/>
        <v>1153.92</v>
      </c>
      <c r="P578" s="94">
        <f t="shared" si="208"/>
        <v>0</v>
      </c>
      <c r="Q578" s="95">
        <f t="shared" si="209"/>
        <v>0</v>
      </c>
      <c r="R578" s="96"/>
      <c r="S578" s="97">
        <f t="shared" si="210"/>
        <v>0</v>
      </c>
      <c r="T578" s="98">
        <f t="shared" si="211"/>
        <v>48</v>
      </c>
    </row>
    <row r="579" spans="2:31" ht="20.100000000000001" customHeight="1">
      <c r="B579" s="88">
        <v>6</v>
      </c>
      <c r="C579" s="89" t="s">
        <v>1488</v>
      </c>
      <c r="D579" s="90" t="s">
        <v>1591</v>
      </c>
      <c r="E579" s="91" t="s">
        <v>1592</v>
      </c>
      <c r="F579" s="315">
        <v>21.88</v>
      </c>
      <c r="G579" s="260"/>
      <c r="H579" s="260"/>
      <c r="I579" s="309">
        <v>48</v>
      </c>
      <c r="J579" s="199"/>
      <c r="K579" s="269"/>
      <c r="L579" s="93">
        <f t="shared" si="212"/>
        <v>48</v>
      </c>
      <c r="M579" s="183">
        <v>48</v>
      </c>
      <c r="N579" s="95">
        <f t="shared" si="206"/>
        <v>1050.24</v>
      </c>
      <c r="O579" s="95">
        <f t="shared" si="207"/>
        <v>1050.24</v>
      </c>
      <c r="P579" s="94">
        <f t="shared" si="208"/>
        <v>0</v>
      </c>
      <c r="Q579" s="95">
        <f t="shared" si="209"/>
        <v>0</v>
      </c>
      <c r="R579" s="96"/>
      <c r="S579" s="97">
        <f t="shared" si="210"/>
        <v>0</v>
      </c>
      <c r="T579" s="98">
        <f t="shared" si="211"/>
        <v>48</v>
      </c>
    </row>
    <row r="580" spans="2:31" ht="20.100000000000001" customHeight="1">
      <c r="B580" s="88">
        <v>6</v>
      </c>
      <c r="C580" s="89" t="s">
        <v>1488</v>
      </c>
      <c r="D580" s="90" t="s">
        <v>1593</v>
      </c>
      <c r="E580" s="91" t="s">
        <v>1594</v>
      </c>
      <c r="F580" s="315">
        <v>21.88</v>
      </c>
      <c r="G580" s="260">
        <v>17</v>
      </c>
      <c r="H580" s="260"/>
      <c r="I580" s="309">
        <v>48</v>
      </c>
      <c r="J580" s="199">
        <v>17</v>
      </c>
      <c r="K580" s="269"/>
      <c r="L580" s="93">
        <f t="shared" si="212"/>
        <v>48</v>
      </c>
      <c r="M580" s="183">
        <v>48</v>
      </c>
      <c r="N580" s="95">
        <f t="shared" si="206"/>
        <v>1050.24</v>
      </c>
      <c r="O580" s="95">
        <f t="shared" si="207"/>
        <v>1050.24</v>
      </c>
      <c r="P580" s="94">
        <f t="shared" si="208"/>
        <v>0</v>
      </c>
      <c r="Q580" s="95">
        <f t="shared" si="209"/>
        <v>0</v>
      </c>
      <c r="R580" s="96"/>
      <c r="S580" s="97">
        <f t="shared" si="210"/>
        <v>19</v>
      </c>
      <c r="T580" s="98">
        <f t="shared" si="211"/>
        <v>29</v>
      </c>
      <c r="U580">
        <v>19</v>
      </c>
    </row>
    <row r="581" spans="2:31" ht="20.100000000000001" customHeight="1">
      <c r="B581" s="88">
        <v>6</v>
      </c>
      <c r="C581" s="89" t="s">
        <v>1488</v>
      </c>
      <c r="D581" s="90" t="s">
        <v>1595</v>
      </c>
      <c r="E581" s="91" t="s">
        <v>1596</v>
      </c>
      <c r="F581" s="315">
        <v>22.81</v>
      </c>
      <c r="G581" s="260"/>
      <c r="H581" s="260"/>
      <c r="I581" s="309"/>
      <c r="J581" s="199"/>
      <c r="K581" s="269"/>
      <c r="L581" s="93">
        <f t="shared" si="212"/>
        <v>0</v>
      </c>
      <c r="M581" s="183"/>
      <c r="N581" s="95">
        <f t="shared" si="206"/>
        <v>0</v>
      </c>
      <c r="O581" s="95">
        <f t="shared" si="207"/>
        <v>0</v>
      </c>
      <c r="P581" s="94">
        <f t="shared" si="208"/>
        <v>0</v>
      </c>
      <c r="Q581" s="95">
        <f t="shared" si="209"/>
        <v>0</v>
      </c>
      <c r="R581" s="96"/>
      <c r="S581" s="97">
        <f t="shared" si="210"/>
        <v>0</v>
      </c>
      <c r="T581" s="98">
        <f t="shared" si="211"/>
        <v>0</v>
      </c>
    </row>
    <row r="582" spans="2:31" ht="20.100000000000001" customHeight="1">
      <c r="B582" s="88">
        <v>6</v>
      </c>
      <c r="C582" s="89" t="s">
        <v>1488</v>
      </c>
      <c r="D582" s="90" t="s">
        <v>1597</v>
      </c>
      <c r="E582" s="91" t="s">
        <v>1598</v>
      </c>
      <c r="F582" s="315">
        <v>20.55</v>
      </c>
      <c r="G582" s="260">
        <v>11</v>
      </c>
      <c r="H582" s="260">
        <v>6</v>
      </c>
      <c r="I582" s="309"/>
      <c r="J582" s="199"/>
      <c r="K582" s="269">
        <v>10</v>
      </c>
      <c r="L582" s="93">
        <f t="shared" si="212"/>
        <v>7</v>
      </c>
      <c r="M582" s="183">
        <v>7</v>
      </c>
      <c r="N582" s="95">
        <f t="shared" si="206"/>
        <v>143.85</v>
      </c>
      <c r="O582" s="95">
        <f t="shared" si="207"/>
        <v>143.85</v>
      </c>
      <c r="P582" s="94">
        <f t="shared" si="208"/>
        <v>0</v>
      </c>
      <c r="Q582" s="95">
        <f t="shared" si="209"/>
        <v>0</v>
      </c>
      <c r="R582" s="278"/>
      <c r="S582" s="97">
        <f t="shared" si="210"/>
        <v>0</v>
      </c>
      <c r="T582" s="98">
        <f t="shared" si="211"/>
        <v>7</v>
      </c>
    </row>
    <row r="583" spans="2:31" ht="20.100000000000001" customHeight="1">
      <c r="B583" s="88">
        <v>6</v>
      </c>
      <c r="C583" s="89" t="s">
        <v>1488</v>
      </c>
      <c r="D583" s="90" t="s">
        <v>1599</v>
      </c>
      <c r="E583" s="91" t="s">
        <v>1600</v>
      </c>
      <c r="F583" s="315">
        <v>20.55</v>
      </c>
      <c r="G583" s="260">
        <v>52</v>
      </c>
      <c r="H583" s="260">
        <v>6</v>
      </c>
      <c r="I583" s="309"/>
      <c r="J583" s="199">
        <v>36</v>
      </c>
      <c r="K583" s="269">
        <v>14</v>
      </c>
      <c r="L583" s="93">
        <f t="shared" si="212"/>
        <v>8</v>
      </c>
      <c r="M583" s="183">
        <v>8</v>
      </c>
      <c r="N583" s="95">
        <f t="shared" si="206"/>
        <v>164.4</v>
      </c>
      <c r="O583" s="95">
        <f t="shared" si="207"/>
        <v>164.4</v>
      </c>
      <c r="P583" s="94">
        <f t="shared" si="208"/>
        <v>0</v>
      </c>
      <c r="Q583" s="95">
        <f t="shared" si="209"/>
        <v>0</v>
      </c>
      <c r="R583" s="278" t="s">
        <v>5194</v>
      </c>
      <c r="S583" s="97">
        <f t="shared" si="210"/>
        <v>55</v>
      </c>
      <c r="T583" s="98">
        <f t="shared" si="211"/>
        <v>-47</v>
      </c>
      <c r="U583">
        <f>38+17</f>
        <v>55</v>
      </c>
    </row>
    <row r="584" spans="2:31" ht="20.100000000000001" customHeight="1">
      <c r="B584" s="88">
        <v>6</v>
      </c>
      <c r="C584" s="89" t="s">
        <v>1488</v>
      </c>
      <c r="D584" s="90" t="s">
        <v>1601</v>
      </c>
      <c r="E584" s="91" t="s">
        <v>1602</v>
      </c>
      <c r="F584" s="315">
        <v>9</v>
      </c>
      <c r="G584" s="260">
        <v>24</v>
      </c>
      <c r="H584" s="260"/>
      <c r="I584" s="309"/>
      <c r="J584" s="199"/>
      <c r="K584" s="269"/>
      <c r="L584" s="93">
        <f t="shared" si="212"/>
        <v>24</v>
      </c>
      <c r="M584" s="183">
        <v>24</v>
      </c>
      <c r="N584" s="95">
        <f t="shared" si="206"/>
        <v>216</v>
      </c>
      <c r="O584" s="95">
        <f t="shared" si="207"/>
        <v>216</v>
      </c>
      <c r="P584" s="94">
        <f t="shared" si="208"/>
        <v>0</v>
      </c>
      <c r="Q584" s="95">
        <f t="shared" si="209"/>
        <v>0</v>
      </c>
      <c r="R584" s="102">
        <v>45410</v>
      </c>
      <c r="S584" s="97">
        <f t="shared" si="210"/>
        <v>24</v>
      </c>
      <c r="T584" s="98">
        <f t="shared" si="211"/>
        <v>0</v>
      </c>
      <c r="W584">
        <v>24</v>
      </c>
      <c r="X584" t="s">
        <v>549</v>
      </c>
      <c r="AD584">
        <f>W584</f>
        <v>24</v>
      </c>
      <c r="AE584" s="100">
        <f>AD584*F584</f>
        <v>216</v>
      </c>
    </row>
    <row r="585" spans="2:31" ht="20.100000000000001" customHeight="1">
      <c r="B585" s="88">
        <v>6</v>
      </c>
      <c r="C585" s="89" t="s">
        <v>1488</v>
      </c>
      <c r="D585" s="90" t="s">
        <v>1603</v>
      </c>
      <c r="E585" s="91" t="s">
        <v>1604</v>
      </c>
      <c r="F585" s="315">
        <v>10.15</v>
      </c>
      <c r="G585" s="260"/>
      <c r="H585" s="260">
        <v>15</v>
      </c>
      <c r="I585" s="309"/>
      <c r="J585" s="199"/>
      <c r="K585" s="269">
        <v>15</v>
      </c>
      <c r="L585" s="93">
        <f t="shared" si="212"/>
        <v>0</v>
      </c>
      <c r="M585" s="183"/>
      <c r="N585" s="95">
        <f t="shared" si="206"/>
        <v>0</v>
      </c>
      <c r="O585" s="95">
        <f t="shared" si="207"/>
        <v>0</v>
      </c>
      <c r="P585" s="94">
        <f t="shared" si="208"/>
        <v>0</v>
      </c>
      <c r="Q585" s="95">
        <f t="shared" si="209"/>
        <v>0</v>
      </c>
      <c r="R585" s="279"/>
      <c r="S585" s="97">
        <f t="shared" si="210"/>
        <v>67</v>
      </c>
      <c r="T585" s="98">
        <f t="shared" si="211"/>
        <v>-67</v>
      </c>
      <c r="W585">
        <v>67</v>
      </c>
      <c r="X585" t="s">
        <v>1356</v>
      </c>
      <c r="AD585">
        <f>W585</f>
        <v>67</v>
      </c>
      <c r="AE585" s="100">
        <f>AD585*F585</f>
        <v>680.05000000000007</v>
      </c>
    </row>
    <row r="586" spans="2:31" ht="20.100000000000001" customHeight="1">
      <c r="B586" s="88">
        <v>6</v>
      </c>
      <c r="C586" s="89" t="s">
        <v>1488</v>
      </c>
      <c r="D586" s="90" t="s">
        <v>1605</v>
      </c>
      <c r="E586" s="91" t="s">
        <v>1606</v>
      </c>
      <c r="F586" s="315">
        <v>13.1</v>
      </c>
      <c r="G586" s="260">
        <f>35+1</f>
        <v>36</v>
      </c>
      <c r="H586" s="260"/>
      <c r="I586" s="309"/>
      <c r="J586" s="199">
        <v>36</v>
      </c>
      <c r="K586" s="269"/>
      <c r="L586" s="93">
        <f t="shared" si="212"/>
        <v>0</v>
      </c>
      <c r="M586" s="183"/>
      <c r="N586" s="95">
        <f t="shared" si="206"/>
        <v>0</v>
      </c>
      <c r="O586" s="95">
        <f t="shared" si="207"/>
        <v>0</v>
      </c>
      <c r="P586" s="94">
        <f t="shared" si="208"/>
        <v>0</v>
      </c>
      <c r="Q586" s="95">
        <f t="shared" si="209"/>
        <v>0</v>
      </c>
      <c r="R586" s="96"/>
      <c r="S586" s="97">
        <f t="shared" si="210"/>
        <v>35</v>
      </c>
      <c r="T586" s="98">
        <f t="shared" si="211"/>
        <v>-35</v>
      </c>
      <c r="U586">
        <v>35</v>
      </c>
    </row>
    <row r="587" spans="2:31" ht="20.100000000000001" customHeight="1">
      <c r="B587" s="88">
        <v>6</v>
      </c>
      <c r="C587" s="89" t="s">
        <v>1488</v>
      </c>
      <c r="D587" s="90" t="s">
        <v>1607</v>
      </c>
      <c r="E587" s="91" t="s">
        <v>1608</v>
      </c>
      <c r="F587" s="315">
        <v>13.1</v>
      </c>
      <c r="G587" s="260">
        <v>22</v>
      </c>
      <c r="H587" s="260">
        <v>15</v>
      </c>
      <c r="I587" s="309"/>
      <c r="J587" s="199"/>
      <c r="K587" s="269">
        <v>22</v>
      </c>
      <c r="L587" s="93">
        <f t="shared" si="212"/>
        <v>15</v>
      </c>
      <c r="M587" s="183">
        <v>15</v>
      </c>
      <c r="N587" s="95">
        <f t="shared" si="206"/>
        <v>196.5</v>
      </c>
      <c r="O587" s="95">
        <f t="shared" si="207"/>
        <v>196.5</v>
      </c>
      <c r="P587" s="94">
        <f t="shared" si="208"/>
        <v>0</v>
      </c>
      <c r="Q587" s="95">
        <f t="shared" si="209"/>
        <v>0</v>
      </c>
      <c r="R587" s="278"/>
      <c r="S587" s="97">
        <f t="shared" si="210"/>
        <v>22</v>
      </c>
      <c r="T587" s="98">
        <f t="shared" si="211"/>
        <v>-7</v>
      </c>
      <c r="U587">
        <v>22</v>
      </c>
    </row>
    <row r="588" spans="2:31" ht="20.100000000000001" customHeight="1">
      <c r="B588" s="88">
        <v>6</v>
      </c>
      <c r="C588" s="89" t="s">
        <v>1488</v>
      </c>
      <c r="D588" s="90" t="s">
        <v>1609</v>
      </c>
      <c r="E588" s="91" t="s">
        <v>1610</v>
      </c>
      <c r="F588" s="315">
        <v>13.1</v>
      </c>
      <c r="G588" s="260">
        <v>22</v>
      </c>
      <c r="H588" s="260"/>
      <c r="I588" s="309"/>
      <c r="J588" s="199"/>
      <c r="K588" s="269">
        <v>9</v>
      </c>
      <c r="L588" s="93">
        <f t="shared" si="212"/>
        <v>13</v>
      </c>
      <c r="M588" s="183">
        <v>13</v>
      </c>
      <c r="N588" s="95">
        <f t="shared" si="206"/>
        <v>170.29999999999998</v>
      </c>
      <c r="O588" s="95">
        <f t="shared" si="207"/>
        <v>170.29999999999998</v>
      </c>
      <c r="P588" s="94">
        <f t="shared" si="208"/>
        <v>0</v>
      </c>
      <c r="Q588" s="95">
        <f t="shared" si="209"/>
        <v>0</v>
      </c>
      <c r="R588" s="278" t="s">
        <v>5197</v>
      </c>
      <c r="S588" s="97">
        <f t="shared" si="210"/>
        <v>41</v>
      </c>
      <c r="T588" s="98">
        <f t="shared" si="211"/>
        <v>-28</v>
      </c>
      <c r="U588">
        <v>23</v>
      </c>
      <c r="W588">
        <v>18</v>
      </c>
      <c r="X588" t="s">
        <v>1611</v>
      </c>
    </row>
    <row r="589" spans="2:31" ht="20.100000000000001" customHeight="1">
      <c r="B589" s="88">
        <v>6</v>
      </c>
      <c r="C589" s="89" t="s">
        <v>1488</v>
      </c>
      <c r="D589" s="90" t="s">
        <v>1612</v>
      </c>
      <c r="E589" s="91" t="s">
        <v>1613</v>
      </c>
      <c r="F589" s="315">
        <v>13.1</v>
      </c>
      <c r="G589" s="260">
        <f>18+1</f>
        <v>19</v>
      </c>
      <c r="H589" s="260">
        <v>15</v>
      </c>
      <c r="I589" s="309"/>
      <c r="J589" s="199">
        <f>2+17</f>
        <v>19</v>
      </c>
      <c r="K589" s="269">
        <v>15</v>
      </c>
      <c r="L589" s="93">
        <f t="shared" si="212"/>
        <v>0</v>
      </c>
      <c r="M589" s="183"/>
      <c r="N589" s="95">
        <f t="shared" si="206"/>
        <v>0</v>
      </c>
      <c r="O589" s="95">
        <f t="shared" si="207"/>
        <v>0</v>
      </c>
      <c r="P589" s="94">
        <f t="shared" si="208"/>
        <v>0</v>
      </c>
      <c r="Q589" s="95">
        <f t="shared" si="209"/>
        <v>0</v>
      </c>
      <c r="R589" s="278" t="s">
        <v>5193</v>
      </c>
      <c r="S589" s="97">
        <f t="shared" si="210"/>
        <v>89</v>
      </c>
      <c r="T589" s="98">
        <f t="shared" si="211"/>
        <v>-89</v>
      </c>
      <c r="U589">
        <v>18</v>
      </c>
      <c r="W589">
        <v>71</v>
      </c>
      <c r="X589" t="s">
        <v>1356</v>
      </c>
      <c r="AD589">
        <f>W589</f>
        <v>71</v>
      </c>
      <c r="AE589" s="100">
        <f>AD589*F589</f>
        <v>930.1</v>
      </c>
    </row>
    <row r="590" spans="2:31" ht="20.100000000000001" customHeight="1">
      <c r="B590" s="88">
        <v>6</v>
      </c>
      <c r="C590" s="89" t="s">
        <v>1488</v>
      </c>
      <c r="D590" s="90" t="s">
        <v>1614</v>
      </c>
      <c r="E590" s="91" t="s">
        <v>1615</v>
      </c>
      <c r="F590" s="315">
        <v>7.15</v>
      </c>
      <c r="G590" s="260"/>
      <c r="H590" s="260"/>
      <c r="I590" s="309"/>
      <c r="J590" s="199"/>
      <c r="K590" s="269"/>
      <c r="L590" s="93">
        <f t="shared" si="212"/>
        <v>0</v>
      </c>
      <c r="M590" s="183"/>
      <c r="N590" s="95">
        <f t="shared" si="206"/>
        <v>0</v>
      </c>
      <c r="O590" s="95">
        <f t="shared" si="207"/>
        <v>0</v>
      </c>
      <c r="P590" s="94">
        <f t="shared" si="208"/>
        <v>0</v>
      </c>
      <c r="Q590" s="95">
        <f t="shared" si="209"/>
        <v>0</v>
      </c>
      <c r="R590" s="102">
        <v>45653</v>
      </c>
      <c r="S590" s="97">
        <f t="shared" si="210"/>
        <v>20</v>
      </c>
      <c r="T590" s="98">
        <f t="shared" si="211"/>
        <v>-20</v>
      </c>
      <c r="W590">
        <v>20</v>
      </c>
      <c r="X590" t="s">
        <v>1616</v>
      </c>
      <c r="AD590">
        <f>W590</f>
        <v>20</v>
      </c>
      <c r="AE590" s="100">
        <f>AD590*F590</f>
        <v>143</v>
      </c>
    </row>
    <row r="591" spans="2:31" ht="20.100000000000001" customHeight="1">
      <c r="B591" s="88">
        <v>6</v>
      </c>
      <c r="C591" s="89" t="s">
        <v>1488</v>
      </c>
      <c r="D591" s="90" t="s">
        <v>1617</v>
      </c>
      <c r="E591" s="91" t="s">
        <v>1618</v>
      </c>
      <c r="F591" s="315">
        <v>16.850000000000001</v>
      </c>
      <c r="G591" s="260">
        <v>48</v>
      </c>
      <c r="H591" s="260"/>
      <c r="I591" s="309"/>
      <c r="J591" s="199"/>
      <c r="K591" s="269"/>
      <c r="L591" s="93">
        <f t="shared" si="212"/>
        <v>48</v>
      </c>
      <c r="M591" s="183">
        <v>48</v>
      </c>
      <c r="N591" s="95">
        <f t="shared" si="206"/>
        <v>808.80000000000007</v>
      </c>
      <c r="O591" s="95">
        <f t="shared" si="207"/>
        <v>808.80000000000007</v>
      </c>
      <c r="P591" s="94">
        <f t="shared" si="208"/>
        <v>0</v>
      </c>
      <c r="Q591" s="95">
        <f t="shared" si="209"/>
        <v>0</v>
      </c>
      <c r="R591" s="96"/>
      <c r="S591" s="97">
        <f t="shared" si="210"/>
        <v>48</v>
      </c>
      <c r="T591" s="98">
        <f t="shared" si="211"/>
        <v>0</v>
      </c>
      <c r="U591">
        <v>48</v>
      </c>
    </row>
    <row r="592" spans="2:31" ht="20.100000000000001" customHeight="1">
      <c r="B592" s="88">
        <v>6</v>
      </c>
      <c r="C592" s="89" t="s">
        <v>1488</v>
      </c>
      <c r="D592" s="90" t="s">
        <v>1619</v>
      </c>
      <c r="E592" s="91" t="s">
        <v>1620</v>
      </c>
      <c r="F592" s="315">
        <v>16.850000000000001</v>
      </c>
      <c r="G592" s="260"/>
      <c r="H592" s="260"/>
      <c r="I592" s="309"/>
      <c r="J592" s="199"/>
      <c r="K592" s="269"/>
      <c r="L592" s="93">
        <f t="shared" si="212"/>
        <v>0</v>
      </c>
      <c r="M592" s="183"/>
      <c r="N592" s="95">
        <f t="shared" si="206"/>
        <v>0</v>
      </c>
      <c r="O592" s="95">
        <f t="shared" si="207"/>
        <v>0</v>
      </c>
      <c r="P592" s="94">
        <f t="shared" si="208"/>
        <v>0</v>
      </c>
      <c r="Q592" s="95">
        <f t="shared" si="209"/>
        <v>0</v>
      </c>
      <c r="R592" s="102">
        <v>46119</v>
      </c>
      <c r="S592" s="97">
        <f t="shared" si="210"/>
        <v>30</v>
      </c>
      <c r="T592" s="98">
        <f t="shared" si="211"/>
        <v>-30</v>
      </c>
      <c r="W592">
        <v>30</v>
      </c>
      <c r="X592" t="s">
        <v>1621</v>
      </c>
      <c r="AD592">
        <f>W592</f>
        <v>30</v>
      </c>
      <c r="AE592" s="100">
        <f>AD592*F592</f>
        <v>505.50000000000006</v>
      </c>
    </row>
    <row r="593" spans="2:31" ht="20.100000000000001" customHeight="1">
      <c r="B593" s="88">
        <v>6</v>
      </c>
      <c r="C593" s="89" t="s">
        <v>1488</v>
      </c>
      <c r="D593" s="90" t="s">
        <v>1622</v>
      </c>
      <c r="E593" s="91" t="s">
        <v>1623</v>
      </c>
      <c r="F593" s="315">
        <v>16.850000000000001</v>
      </c>
      <c r="G593" s="260">
        <v>48</v>
      </c>
      <c r="H593" s="260"/>
      <c r="I593" s="309"/>
      <c r="J593" s="199"/>
      <c r="K593" s="269"/>
      <c r="L593" s="93">
        <f t="shared" si="212"/>
        <v>48</v>
      </c>
      <c r="M593" s="183">
        <v>48</v>
      </c>
      <c r="N593" s="95">
        <f t="shared" si="206"/>
        <v>808.80000000000007</v>
      </c>
      <c r="O593" s="95">
        <f t="shared" si="207"/>
        <v>808.80000000000007</v>
      </c>
      <c r="P593" s="94">
        <f t="shared" si="208"/>
        <v>0</v>
      </c>
      <c r="Q593" s="95">
        <f t="shared" si="209"/>
        <v>0</v>
      </c>
      <c r="R593" s="96"/>
      <c r="S593" s="97">
        <f t="shared" si="210"/>
        <v>48</v>
      </c>
      <c r="T593" s="98">
        <f t="shared" si="211"/>
        <v>0</v>
      </c>
      <c r="U593">
        <v>48</v>
      </c>
    </row>
    <row r="594" spans="2:31" ht="20.100000000000001" customHeight="1">
      <c r="B594" s="88">
        <v>6</v>
      </c>
      <c r="C594" s="89" t="s">
        <v>1488</v>
      </c>
      <c r="D594" s="90" t="s">
        <v>1624</v>
      </c>
      <c r="E594" s="91" t="s">
        <v>1625</v>
      </c>
      <c r="F594" s="315">
        <v>16.850000000000001</v>
      </c>
      <c r="G594" s="260">
        <v>24</v>
      </c>
      <c r="H594" s="260"/>
      <c r="I594" s="309"/>
      <c r="J594" s="199"/>
      <c r="K594" s="269"/>
      <c r="L594" s="93">
        <f t="shared" si="212"/>
        <v>24</v>
      </c>
      <c r="M594" s="183">
        <v>24</v>
      </c>
      <c r="N594" s="95">
        <f t="shared" si="206"/>
        <v>404.40000000000003</v>
      </c>
      <c r="O594" s="95">
        <f t="shared" si="207"/>
        <v>404.40000000000003</v>
      </c>
      <c r="P594" s="94">
        <f t="shared" si="208"/>
        <v>0</v>
      </c>
      <c r="Q594" s="95">
        <f t="shared" si="209"/>
        <v>0</v>
      </c>
      <c r="R594" s="96"/>
      <c r="S594" s="97">
        <f t="shared" si="210"/>
        <v>24</v>
      </c>
      <c r="T594" s="98">
        <f t="shared" si="211"/>
        <v>0</v>
      </c>
      <c r="U594">
        <v>24</v>
      </c>
    </row>
    <row r="595" spans="2:31" ht="20.100000000000001" customHeight="1">
      <c r="B595" s="88">
        <v>6</v>
      </c>
      <c r="C595" s="89" t="s">
        <v>1488</v>
      </c>
      <c r="D595" s="90" t="s">
        <v>1626</v>
      </c>
      <c r="E595" s="91" t="s">
        <v>1627</v>
      </c>
      <c r="F595" s="315">
        <v>35.700000000000003</v>
      </c>
      <c r="G595" s="260"/>
      <c r="H595" s="260"/>
      <c r="I595" s="309"/>
      <c r="J595" s="199"/>
      <c r="K595" s="269"/>
      <c r="L595" s="93">
        <f t="shared" si="212"/>
        <v>0</v>
      </c>
      <c r="M595" s="183"/>
      <c r="N595" s="95">
        <f t="shared" si="206"/>
        <v>0</v>
      </c>
      <c r="O595" s="95">
        <f t="shared" si="207"/>
        <v>0</v>
      </c>
      <c r="P595" s="94">
        <f t="shared" si="208"/>
        <v>0</v>
      </c>
      <c r="Q595" s="95">
        <f t="shared" si="209"/>
        <v>0</v>
      </c>
      <c r="R595" s="96"/>
      <c r="S595" s="97">
        <f t="shared" si="210"/>
        <v>0</v>
      </c>
      <c r="T595" s="98">
        <f t="shared" si="211"/>
        <v>0</v>
      </c>
    </row>
    <row r="596" spans="2:31" ht="20.100000000000001" customHeight="1">
      <c r="B596" s="88">
        <v>6</v>
      </c>
      <c r="C596" s="89" t="s">
        <v>1488</v>
      </c>
      <c r="D596" s="90" t="s">
        <v>1628</v>
      </c>
      <c r="E596" s="91" t="s">
        <v>1629</v>
      </c>
      <c r="F596" s="315">
        <v>34</v>
      </c>
      <c r="G596" s="260">
        <v>1</v>
      </c>
      <c r="H596" s="260"/>
      <c r="I596" s="309"/>
      <c r="J596" s="199"/>
      <c r="K596" s="269"/>
      <c r="L596" s="93">
        <f t="shared" si="212"/>
        <v>1</v>
      </c>
      <c r="M596" s="183">
        <v>1</v>
      </c>
      <c r="N596" s="95">
        <f t="shared" si="206"/>
        <v>34</v>
      </c>
      <c r="O596" s="95">
        <f t="shared" si="207"/>
        <v>34</v>
      </c>
      <c r="P596" s="94">
        <f t="shared" si="208"/>
        <v>0</v>
      </c>
      <c r="Q596" s="95">
        <f t="shared" si="209"/>
        <v>0</v>
      </c>
      <c r="R596" s="96"/>
      <c r="S596" s="97">
        <f t="shared" si="210"/>
        <v>0</v>
      </c>
      <c r="T596" s="98">
        <f t="shared" si="211"/>
        <v>1</v>
      </c>
    </row>
    <row r="597" spans="2:31" ht="20.100000000000001" customHeight="1">
      <c r="B597" s="88">
        <v>7</v>
      </c>
      <c r="C597" s="89" t="s">
        <v>1630</v>
      </c>
      <c r="D597" s="90" t="s">
        <v>1631</v>
      </c>
      <c r="E597" s="91" t="s">
        <v>1632</v>
      </c>
      <c r="F597" s="315">
        <v>27.5</v>
      </c>
      <c r="G597" s="260"/>
      <c r="H597" s="260"/>
      <c r="I597" s="309"/>
      <c r="J597" s="199"/>
      <c r="K597" s="269"/>
      <c r="L597" s="93">
        <f t="shared" si="212"/>
        <v>0</v>
      </c>
      <c r="M597" s="183"/>
      <c r="N597" s="95">
        <f t="shared" si="206"/>
        <v>0</v>
      </c>
      <c r="O597" s="95">
        <f t="shared" si="207"/>
        <v>0</v>
      </c>
      <c r="P597" s="94">
        <f t="shared" si="208"/>
        <v>0</v>
      </c>
      <c r="Q597" s="95">
        <f t="shared" si="209"/>
        <v>0</v>
      </c>
      <c r="R597" s="96"/>
      <c r="S597" s="97">
        <f t="shared" si="210"/>
        <v>0</v>
      </c>
      <c r="T597" s="98">
        <f t="shared" si="211"/>
        <v>0</v>
      </c>
    </row>
    <row r="598" spans="2:31" ht="20.100000000000001" customHeight="1">
      <c r="B598" s="88">
        <v>7</v>
      </c>
      <c r="C598" s="89" t="s">
        <v>1630</v>
      </c>
      <c r="D598" s="90" t="s">
        <v>1633</v>
      </c>
      <c r="E598" s="91" t="s">
        <v>1634</v>
      </c>
      <c r="F598" s="315">
        <v>27.5</v>
      </c>
      <c r="G598" s="260"/>
      <c r="H598" s="260"/>
      <c r="I598" s="309"/>
      <c r="J598" s="199"/>
      <c r="K598" s="269"/>
      <c r="L598" s="93">
        <f t="shared" si="212"/>
        <v>0</v>
      </c>
      <c r="M598" s="183"/>
      <c r="N598" s="95">
        <f t="shared" si="206"/>
        <v>0</v>
      </c>
      <c r="O598" s="95">
        <f t="shared" si="207"/>
        <v>0</v>
      </c>
      <c r="P598" s="94">
        <f t="shared" si="208"/>
        <v>0</v>
      </c>
      <c r="Q598" s="95">
        <f t="shared" si="209"/>
        <v>0</v>
      </c>
      <c r="R598" s="96"/>
      <c r="S598" s="97">
        <f t="shared" si="210"/>
        <v>0</v>
      </c>
      <c r="T598" s="98">
        <f t="shared" si="211"/>
        <v>0</v>
      </c>
    </row>
    <row r="599" spans="2:31" ht="20.100000000000001" customHeight="1">
      <c r="B599" s="88">
        <v>7</v>
      </c>
      <c r="C599" s="89" t="s">
        <v>1630</v>
      </c>
      <c r="D599" s="90" t="s">
        <v>1635</v>
      </c>
      <c r="E599" s="91" t="s">
        <v>1636</v>
      </c>
      <c r="F599" s="315">
        <v>27.25</v>
      </c>
      <c r="G599" s="260"/>
      <c r="H599" s="260"/>
      <c r="I599" s="309"/>
      <c r="J599" s="199"/>
      <c r="K599" s="269"/>
      <c r="L599" s="93">
        <f t="shared" si="212"/>
        <v>0</v>
      </c>
      <c r="M599" s="183"/>
      <c r="N599" s="95">
        <f t="shared" si="206"/>
        <v>0</v>
      </c>
      <c r="O599" s="95">
        <f t="shared" si="207"/>
        <v>0</v>
      </c>
      <c r="P599" s="94">
        <f t="shared" si="208"/>
        <v>0</v>
      </c>
      <c r="Q599" s="95">
        <f t="shared" si="209"/>
        <v>0</v>
      </c>
      <c r="R599" s="96"/>
      <c r="S599" s="97">
        <f t="shared" si="210"/>
        <v>0</v>
      </c>
      <c r="T599" s="98">
        <f t="shared" si="211"/>
        <v>0</v>
      </c>
    </row>
    <row r="600" spans="2:31" ht="20.100000000000001" customHeight="1">
      <c r="B600" s="88">
        <v>7</v>
      </c>
      <c r="C600" s="89" t="s">
        <v>1630</v>
      </c>
      <c r="D600" s="90" t="s">
        <v>1637</v>
      </c>
      <c r="E600" s="91" t="s">
        <v>1638</v>
      </c>
      <c r="F600" s="315">
        <v>29.47</v>
      </c>
      <c r="G600" s="260"/>
      <c r="H600" s="260"/>
      <c r="I600" s="309"/>
      <c r="J600" s="199"/>
      <c r="K600" s="269"/>
      <c r="L600" s="93">
        <f t="shared" si="212"/>
        <v>0</v>
      </c>
      <c r="M600" s="183"/>
      <c r="N600" s="95">
        <f t="shared" si="206"/>
        <v>0</v>
      </c>
      <c r="O600" s="95">
        <f t="shared" si="207"/>
        <v>0</v>
      </c>
      <c r="P600" s="94">
        <f t="shared" si="208"/>
        <v>0</v>
      </c>
      <c r="Q600" s="95">
        <f t="shared" si="209"/>
        <v>0</v>
      </c>
      <c r="R600" s="96"/>
      <c r="S600" s="97">
        <f t="shared" si="210"/>
        <v>0</v>
      </c>
      <c r="T600" s="98">
        <f t="shared" si="211"/>
        <v>0</v>
      </c>
    </row>
    <row r="601" spans="2:31" ht="20.100000000000001" customHeight="1">
      <c r="B601" s="88">
        <v>7</v>
      </c>
      <c r="C601" s="89" t="s">
        <v>1630</v>
      </c>
      <c r="D601" s="90" t="s">
        <v>1639</v>
      </c>
      <c r="E601" s="91" t="s">
        <v>1640</v>
      </c>
      <c r="F601" s="315">
        <v>56.31</v>
      </c>
      <c r="G601" s="260">
        <v>7</v>
      </c>
      <c r="H601" s="260">
        <v>1</v>
      </c>
      <c r="I601" s="309"/>
      <c r="J601" s="199"/>
      <c r="K601" s="269">
        <v>8</v>
      </c>
      <c r="L601" s="93">
        <f t="shared" si="212"/>
        <v>0</v>
      </c>
      <c r="M601" s="183"/>
      <c r="N601" s="95">
        <f t="shared" si="206"/>
        <v>0</v>
      </c>
      <c r="O601" s="95">
        <f t="shared" si="207"/>
        <v>0</v>
      </c>
      <c r="P601" s="94">
        <f t="shared" si="208"/>
        <v>0</v>
      </c>
      <c r="Q601" s="95">
        <f t="shared" si="209"/>
        <v>0</v>
      </c>
      <c r="R601" s="278" t="s">
        <v>5198</v>
      </c>
      <c r="S601" s="97">
        <f t="shared" si="210"/>
        <v>14</v>
      </c>
      <c r="T601" s="98">
        <f t="shared" si="211"/>
        <v>-14</v>
      </c>
      <c r="U601">
        <v>14</v>
      </c>
    </row>
    <row r="602" spans="2:31" ht="20.100000000000001" customHeight="1">
      <c r="B602" s="88">
        <v>7</v>
      </c>
      <c r="C602" s="89" t="s">
        <v>1630</v>
      </c>
      <c r="D602" s="90" t="s">
        <v>1641</v>
      </c>
      <c r="E602" s="91" t="s">
        <v>1642</v>
      </c>
      <c r="F602" s="315">
        <v>54.48</v>
      </c>
      <c r="G602" s="260"/>
      <c r="H602" s="260"/>
      <c r="I602" s="309"/>
      <c r="J602" s="199"/>
      <c r="K602" s="269"/>
      <c r="L602" s="93">
        <f t="shared" si="212"/>
        <v>0</v>
      </c>
      <c r="M602" s="183"/>
      <c r="N602" s="95">
        <f t="shared" si="206"/>
        <v>0</v>
      </c>
      <c r="O602" s="95">
        <f t="shared" si="207"/>
        <v>0</v>
      </c>
      <c r="P602" s="94">
        <f t="shared" si="208"/>
        <v>0</v>
      </c>
      <c r="Q602" s="95">
        <f t="shared" si="209"/>
        <v>0</v>
      </c>
      <c r="R602" s="96"/>
      <c r="S602" s="97">
        <f t="shared" si="210"/>
        <v>0</v>
      </c>
      <c r="T602" s="98">
        <f t="shared" si="211"/>
        <v>0</v>
      </c>
    </row>
    <row r="603" spans="2:31" ht="20.100000000000001" customHeight="1">
      <c r="B603" s="88">
        <v>7</v>
      </c>
      <c r="C603" s="89" t="s">
        <v>1630</v>
      </c>
      <c r="D603" s="90" t="s">
        <v>1643</v>
      </c>
      <c r="E603" s="91" t="s">
        <v>1644</v>
      </c>
      <c r="F603" s="315">
        <v>19.059999999999999</v>
      </c>
      <c r="G603" s="260">
        <v>23</v>
      </c>
      <c r="H603" s="260"/>
      <c r="I603" s="309"/>
      <c r="J603" s="199"/>
      <c r="K603" s="269">
        <v>2</v>
      </c>
      <c r="L603" s="93">
        <f t="shared" si="212"/>
        <v>21</v>
      </c>
      <c r="M603" s="183">
        <v>21</v>
      </c>
      <c r="N603" s="95">
        <f t="shared" si="206"/>
        <v>400.26</v>
      </c>
      <c r="O603" s="95">
        <f t="shared" si="207"/>
        <v>400.26</v>
      </c>
      <c r="P603" s="94">
        <f t="shared" si="208"/>
        <v>0</v>
      </c>
      <c r="Q603" s="95">
        <f t="shared" si="209"/>
        <v>0</v>
      </c>
      <c r="R603" s="96" t="s">
        <v>1645</v>
      </c>
      <c r="S603" s="97">
        <f t="shared" si="210"/>
        <v>29</v>
      </c>
      <c r="T603" s="98">
        <f t="shared" si="211"/>
        <v>-8</v>
      </c>
      <c r="U603">
        <v>8</v>
      </c>
      <c r="W603">
        <f>10+11</f>
        <v>21</v>
      </c>
      <c r="X603" t="s">
        <v>555</v>
      </c>
      <c r="AD603">
        <f t="shared" ref="AD603:AD604" si="213">W603</f>
        <v>21</v>
      </c>
      <c r="AE603" s="100">
        <f>AD603*F603</f>
        <v>400.26</v>
      </c>
    </row>
    <row r="604" spans="2:31" ht="20.100000000000001" customHeight="1">
      <c r="B604" s="88">
        <v>7</v>
      </c>
      <c r="C604" s="89" t="s">
        <v>1630</v>
      </c>
      <c r="D604" s="90" t="s">
        <v>1646</v>
      </c>
      <c r="E604" s="91" t="s">
        <v>1647</v>
      </c>
      <c r="F604" s="315">
        <v>35.15</v>
      </c>
      <c r="G604" s="260">
        <v>27</v>
      </c>
      <c r="H604" s="260"/>
      <c r="I604" s="309"/>
      <c r="J604" s="199"/>
      <c r="K604" s="269">
        <v>9</v>
      </c>
      <c r="L604" s="93">
        <f t="shared" si="212"/>
        <v>18</v>
      </c>
      <c r="M604" s="183">
        <f>8+9</f>
        <v>17</v>
      </c>
      <c r="N604" s="95">
        <f t="shared" si="206"/>
        <v>632.69999999999993</v>
      </c>
      <c r="O604" s="95">
        <f t="shared" si="207"/>
        <v>597.54999999999995</v>
      </c>
      <c r="P604" s="94">
        <f t="shared" si="208"/>
        <v>1</v>
      </c>
      <c r="Q604" s="95">
        <f t="shared" si="209"/>
        <v>35.149999999999977</v>
      </c>
      <c r="R604" s="96" t="s">
        <v>1648</v>
      </c>
      <c r="S604" s="97">
        <f t="shared" si="210"/>
        <v>43</v>
      </c>
      <c r="T604" s="98">
        <f t="shared" si="211"/>
        <v>-26</v>
      </c>
      <c r="U604">
        <v>35</v>
      </c>
      <c r="W604">
        <v>8</v>
      </c>
      <c r="X604" t="s">
        <v>555</v>
      </c>
      <c r="AD604">
        <f t="shared" si="213"/>
        <v>8</v>
      </c>
      <c r="AE604" s="100">
        <f>AD604*F604</f>
        <v>281.2</v>
      </c>
    </row>
    <row r="605" spans="2:31" ht="20.100000000000001" customHeight="1">
      <c r="B605" s="88">
        <v>7</v>
      </c>
      <c r="C605" s="89" t="s">
        <v>1630</v>
      </c>
      <c r="D605" s="90" t="s">
        <v>1649</v>
      </c>
      <c r="E605" s="91" t="s">
        <v>1650</v>
      </c>
      <c r="F605" s="315">
        <v>134.53</v>
      </c>
      <c r="G605" s="260">
        <v>10</v>
      </c>
      <c r="H605" s="260"/>
      <c r="I605" s="309"/>
      <c r="J605" s="199"/>
      <c r="K605" s="269"/>
      <c r="L605" s="93">
        <f t="shared" si="212"/>
        <v>10</v>
      </c>
      <c r="M605" s="183">
        <v>10</v>
      </c>
      <c r="N605" s="95">
        <f t="shared" si="206"/>
        <v>1345.3</v>
      </c>
      <c r="O605" s="95">
        <f t="shared" si="207"/>
        <v>1345.3</v>
      </c>
      <c r="P605" s="94">
        <f t="shared" si="208"/>
        <v>0</v>
      </c>
      <c r="Q605" s="95">
        <f t="shared" si="209"/>
        <v>0</v>
      </c>
      <c r="R605" s="96"/>
      <c r="S605" s="97">
        <f t="shared" si="210"/>
        <v>10</v>
      </c>
      <c r="T605" s="98">
        <f t="shared" si="211"/>
        <v>0</v>
      </c>
      <c r="U605">
        <v>10</v>
      </c>
    </row>
    <row r="606" spans="2:31" ht="20.100000000000001" customHeight="1">
      <c r="B606" s="88">
        <v>7</v>
      </c>
      <c r="C606" s="89" t="s">
        <v>1630</v>
      </c>
      <c r="D606" s="90" t="s">
        <v>1651</v>
      </c>
      <c r="E606" s="91" t="s">
        <v>1652</v>
      </c>
      <c r="F606" s="315">
        <v>68.97</v>
      </c>
      <c r="G606" s="260">
        <v>20</v>
      </c>
      <c r="H606" s="260"/>
      <c r="I606" s="309"/>
      <c r="J606" s="199"/>
      <c r="K606" s="269"/>
      <c r="L606" s="93">
        <f t="shared" si="212"/>
        <v>20</v>
      </c>
      <c r="M606" s="183">
        <f>2+18</f>
        <v>20</v>
      </c>
      <c r="N606" s="95">
        <f t="shared" si="206"/>
        <v>1379.4</v>
      </c>
      <c r="O606" s="95">
        <f t="shared" si="207"/>
        <v>1379.4</v>
      </c>
      <c r="P606" s="94">
        <f t="shared" si="208"/>
        <v>0</v>
      </c>
      <c r="Q606" s="95">
        <f t="shared" si="209"/>
        <v>0</v>
      </c>
      <c r="R606" s="96" t="s">
        <v>1653</v>
      </c>
      <c r="S606" s="97">
        <f t="shared" si="210"/>
        <v>20</v>
      </c>
      <c r="T606" s="98">
        <f t="shared" si="211"/>
        <v>0</v>
      </c>
      <c r="W606">
        <f>2+18</f>
        <v>20</v>
      </c>
      <c r="X606" t="s">
        <v>1075</v>
      </c>
      <c r="AD606">
        <f>W606</f>
        <v>20</v>
      </c>
      <c r="AE606" s="100">
        <f>AD606*F606</f>
        <v>1379.4</v>
      </c>
    </row>
    <row r="607" spans="2:31" ht="20.100000000000001" customHeight="1">
      <c r="B607" s="88">
        <v>7</v>
      </c>
      <c r="C607" s="89" t="s">
        <v>1630</v>
      </c>
      <c r="D607" s="90" t="s">
        <v>1654</v>
      </c>
      <c r="E607" s="91" t="s">
        <v>1655</v>
      </c>
      <c r="F607" s="315">
        <v>50.48</v>
      </c>
      <c r="G607" s="260">
        <v>7</v>
      </c>
      <c r="H607" s="260"/>
      <c r="I607" s="309"/>
      <c r="J607" s="199"/>
      <c r="K607" s="269"/>
      <c r="L607" s="93">
        <f t="shared" si="212"/>
        <v>7</v>
      </c>
      <c r="M607" s="183">
        <v>7</v>
      </c>
      <c r="N607" s="95">
        <f t="shared" si="206"/>
        <v>353.35999999999996</v>
      </c>
      <c r="O607" s="95">
        <f t="shared" si="207"/>
        <v>353.35999999999996</v>
      </c>
      <c r="P607" s="94">
        <f t="shared" si="208"/>
        <v>0</v>
      </c>
      <c r="Q607" s="95">
        <f t="shared" si="209"/>
        <v>0</v>
      </c>
      <c r="R607" s="96" t="s">
        <v>1656</v>
      </c>
      <c r="S607" s="97">
        <f t="shared" si="210"/>
        <v>7</v>
      </c>
      <c r="T607" s="98">
        <f t="shared" si="211"/>
        <v>0</v>
      </c>
      <c r="W607">
        <v>7</v>
      </c>
      <c r="X607" t="s">
        <v>555</v>
      </c>
      <c r="AD607">
        <f>W607</f>
        <v>7</v>
      </c>
      <c r="AE607" s="100">
        <f>AD607*F607</f>
        <v>353.35999999999996</v>
      </c>
    </row>
    <row r="608" spans="2:31" ht="20.100000000000001" customHeight="1">
      <c r="B608" s="88">
        <v>7</v>
      </c>
      <c r="C608" s="89" t="s">
        <v>1630</v>
      </c>
      <c r="D608" s="90" t="s">
        <v>1657</v>
      </c>
      <c r="E608" s="91" t="s">
        <v>1658</v>
      </c>
      <c r="F608" s="315">
        <v>30.07</v>
      </c>
      <c r="G608" s="260">
        <v>13</v>
      </c>
      <c r="H608" s="260"/>
      <c r="I608" s="309"/>
      <c r="J608" s="199"/>
      <c r="K608" s="269"/>
      <c r="L608" s="93">
        <f t="shared" si="212"/>
        <v>13</v>
      </c>
      <c r="M608" s="183">
        <v>13</v>
      </c>
      <c r="N608" s="95">
        <f t="shared" si="206"/>
        <v>390.91</v>
      </c>
      <c r="O608" s="95">
        <f t="shared" si="207"/>
        <v>390.91</v>
      </c>
      <c r="P608" s="94">
        <f t="shared" si="208"/>
        <v>0</v>
      </c>
      <c r="Q608" s="95">
        <f t="shared" si="209"/>
        <v>0</v>
      </c>
      <c r="R608" s="96"/>
      <c r="S608" s="97">
        <f t="shared" si="210"/>
        <v>13</v>
      </c>
      <c r="T608" s="98">
        <f t="shared" si="211"/>
        <v>0</v>
      </c>
      <c r="U608">
        <v>13</v>
      </c>
    </row>
    <row r="609" spans="2:21" ht="20.100000000000001" customHeight="1">
      <c r="B609" s="88">
        <v>7</v>
      </c>
      <c r="C609" s="89" t="s">
        <v>1630</v>
      </c>
      <c r="D609" s="90" t="s">
        <v>1659</v>
      </c>
      <c r="E609" s="91" t="s">
        <v>1660</v>
      </c>
      <c r="F609" s="315">
        <v>59.55</v>
      </c>
      <c r="G609" s="260">
        <v>23</v>
      </c>
      <c r="H609" s="260"/>
      <c r="I609" s="309"/>
      <c r="J609" s="199"/>
      <c r="K609" s="269">
        <v>2</v>
      </c>
      <c r="L609" s="93">
        <f t="shared" si="212"/>
        <v>21</v>
      </c>
      <c r="M609" s="183">
        <v>21</v>
      </c>
      <c r="N609" s="95">
        <f t="shared" si="206"/>
        <v>1250.55</v>
      </c>
      <c r="O609" s="95">
        <f t="shared" si="207"/>
        <v>1250.55</v>
      </c>
      <c r="P609" s="94">
        <f t="shared" si="208"/>
        <v>0</v>
      </c>
      <c r="Q609" s="95">
        <f t="shared" si="209"/>
        <v>0</v>
      </c>
      <c r="R609" s="96"/>
      <c r="S609" s="97">
        <f t="shared" si="210"/>
        <v>0</v>
      </c>
      <c r="T609" s="98">
        <f t="shared" si="211"/>
        <v>21</v>
      </c>
    </row>
    <row r="610" spans="2:21" ht="20.100000000000001" customHeight="1">
      <c r="B610" s="88">
        <v>7</v>
      </c>
      <c r="C610" s="89" t="s">
        <v>1630</v>
      </c>
      <c r="D610" s="90" t="s">
        <v>1661</v>
      </c>
      <c r="E610" s="91" t="s">
        <v>1662</v>
      </c>
      <c r="F610" s="315">
        <v>25.5</v>
      </c>
      <c r="G610" s="260">
        <v>20</v>
      </c>
      <c r="H610" s="260"/>
      <c r="I610" s="309"/>
      <c r="J610" s="199"/>
      <c r="K610" s="269"/>
      <c r="L610" s="93">
        <f t="shared" si="212"/>
        <v>20</v>
      </c>
      <c r="M610" s="183">
        <v>20</v>
      </c>
      <c r="N610" s="95">
        <f t="shared" si="206"/>
        <v>510</v>
      </c>
      <c r="O610" s="95">
        <f t="shared" si="207"/>
        <v>510</v>
      </c>
      <c r="P610" s="94">
        <f t="shared" si="208"/>
        <v>0</v>
      </c>
      <c r="Q610" s="95">
        <f t="shared" si="209"/>
        <v>0</v>
      </c>
      <c r="R610" s="96"/>
      <c r="S610" s="97">
        <f t="shared" si="210"/>
        <v>20</v>
      </c>
      <c r="T610" s="98">
        <f t="shared" si="211"/>
        <v>0</v>
      </c>
      <c r="U610">
        <v>20</v>
      </c>
    </row>
    <row r="611" spans="2:21" ht="20.100000000000001" customHeight="1">
      <c r="B611" s="88">
        <v>7</v>
      </c>
      <c r="C611" s="89" t="s">
        <v>1630</v>
      </c>
      <c r="D611" s="90" t="s">
        <v>1663</v>
      </c>
      <c r="E611" s="91" t="s">
        <v>1664</v>
      </c>
      <c r="F611" s="315">
        <v>34.58</v>
      </c>
      <c r="G611" s="260"/>
      <c r="H611" s="260"/>
      <c r="I611" s="309"/>
      <c r="J611" s="199"/>
      <c r="K611" s="269"/>
      <c r="L611" s="93">
        <f t="shared" si="212"/>
        <v>0</v>
      </c>
      <c r="M611" s="183"/>
      <c r="N611" s="95">
        <f t="shared" si="206"/>
        <v>0</v>
      </c>
      <c r="O611" s="95">
        <f t="shared" si="207"/>
        <v>0</v>
      </c>
      <c r="P611" s="94">
        <f t="shared" si="208"/>
        <v>0</v>
      </c>
      <c r="Q611" s="95">
        <f t="shared" si="209"/>
        <v>0</v>
      </c>
      <c r="R611" s="96"/>
      <c r="S611" s="97">
        <f t="shared" si="210"/>
        <v>0</v>
      </c>
      <c r="T611" s="98">
        <f t="shared" si="211"/>
        <v>0</v>
      </c>
    </row>
    <row r="612" spans="2:21" ht="20.100000000000001" customHeight="1">
      <c r="B612" s="88">
        <v>7</v>
      </c>
      <c r="C612" s="89" t="s">
        <v>1630</v>
      </c>
      <c r="D612" s="90" t="s">
        <v>1665</v>
      </c>
      <c r="E612" s="91" t="s">
        <v>1666</v>
      </c>
      <c r="F612" s="315">
        <v>39.08</v>
      </c>
      <c r="G612" s="260">
        <v>21</v>
      </c>
      <c r="H612" s="260"/>
      <c r="I612" s="309"/>
      <c r="J612" s="199"/>
      <c r="K612" s="269">
        <v>2</v>
      </c>
      <c r="L612" s="93">
        <f t="shared" si="212"/>
        <v>19</v>
      </c>
      <c r="M612" s="183">
        <v>19</v>
      </c>
      <c r="N612" s="95">
        <f t="shared" si="206"/>
        <v>742.52</v>
      </c>
      <c r="O612" s="95">
        <f t="shared" si="207"/>
        <v>742.52</v>
      </c>
      <c r="P612" s="94">
        <f t="shared" si="208"/>
        <v>0</v>
      </c>
      <c r="Q612" s="95">
        <f t="shared" si="209"/>
        <v>0</v>
      </c>
      <c r="R612" s="96"/>
      <c r="S612" s="97">
        <f t="shared" si="210"/>
        <v>17</v>
      </c>
      <c r="T612" s="98">
        <f t="shared" si="211"/>
        <v>2</v>
      </c>
      <c r="U612">
        <v>17</v>
      </c>
    </row>
    <row r="613" spans="2:21" ht="20.100000000000001" customHeight="1">
      <c r="B613" s="88">
        <v>7</v>
      </c>
      <c r="C613" s="89" t="s">
        <v>1630</v>
      </c>
      <c r="D613" s="90" t="s">
        <v>1665</v>
      </c>
      <c r="E613" s="91" t="s">
        <v>1666</v>
      </c>
      <c r="F613" s="315">
        <v>38.81</v>
      </c>
      <c r="G613" s="260"/>
      <c r="H613" s="260"/>
      <c r="I613" s="309"/>
      <c r="J613" s="199"/>
      <c r="K613" s="269"/>
      <c r="L613" s="93">
        <f t="shared" si="212"/>
        <v>0</v>
      </c>
      <c r="M613" s="183"/>
      <c r="N613" s="95">
        <f t="shared" si="206"/>
        <v>0</v>
      </c>
      <c r="O613" s="95">
        <f t="shared" si="207"/>
        <v>0</v>
      </c>
      <c r="P613" s="94">
        <f t="shared" si="208"/>
        <v>0</v>
      </c>
      <c r="Q613" s="95">
        <f t="shared" si="209"/>
        <v>0</v>
      </c>
      <c r="R613" s="96"/>
      <c r="S613" s="97">
        <f t="shared" si="210"/>
        <v>0</v>
      </c>
      <c r="T613" s="98">
        <f t="shared" ref="T613:T668" si="214">M613-S613</f>
        <v>0</v>
      </c>
    </row>
    <row r="614" spans="2:21" ht="20.100000000000001" customHeight="1">
      <c r="B614" s="88">
        <v>7</v>
      </c>
      <c r="C614" s="89" t="s">
        <v>1630</v>
      </c>
      <c r="D614" s="90" t="s">
        <v>1667</v>
      </c>
      <c r="E614" s="91" t="s">
        <v>1668</v>
      </c>
      <c r="F614" s="315">
        <v>54.89</v>
      </c>
      <c r="G614" s="260"/>
      <c r="H614" s="260"/>
      <c r="I614" s="309"/>
      <c r="J614" s="199"/>
      <c r="K614" s="269"/>
      <c r="L614" s="93">
        <f t="shared" si="212"/>
        <v>0</v>
      </c>
      <c r="M614" s="183"/>
      <c r="N614" s="95">
        <f t="shared" ref="N614:N668" si="215">F614*L614</f>
        <v>0</v>
      </c>
      <c r="O614" s="95">
        <f t="shared" ref="O614:O668" si="216">M614*F614</f>
        <v>0</v>
      </c>
      <c r="P614" s="94">
        <f t="shared" ref="P614:P668" si="217">L614-M614</f>
        <v>0</v>
      </c>
      <c r="Q614" s="95">
        <f t="shared" ref="Q614:Q668" si="218">N614-O614</f>
        <v>0</v>
      </c>
      <c r="R614" s="96"/>
      <c r="S614" s="97">
        <f t="shared" ref="S614:S668" si="219">U614+Y614+W614+AA614</f>
        <v>0</v>
      </c>
      <c r="T614" s="98">
        <f t="shared" si="214"/>
        <v>0</v>
      </c>
    </row>
    <row r="615" spans="2:21" ht="20.100000000000001" customHeight="1">
      <c r="B615" s="88">
        <v>7</v>
      </c>
      <c r="C615" s="89" t="s">
        <v>1630</v>
      </c>
      <c r="D615" s="90" t="s">
        <v>1669</v>
      </c>
      <c r="E615" s="91" t="s">
        <v>1670</v>
      </c>
      <c r="F615" s="315">
        <v>21.08</v>
      </c>
      <c r="G615" s="260">
        <v>35</v>
      </c>
      <c r="H615" s="260"/>
      <c r="I615" s="309"/>
      <c r="J615" s="199"/>
      <c r="K615" s="269">
        <v>1</v>
      </c>
      <c r="L615" s="93">
        <f t="shared" si="212"/>
        <v>34</v>
      </c>
      <c r="M615" s="183">
        <v>34</v>
      </c>
      <c r="N615" s="95">
        <f t="shared" si="215"/>
        <v>716.71999999999991</v>
      </c>
      <c r="O615" s="95">
        <f t="shared" si="216"/>
        <v>716.71999999999991</v>
      </c>
      <c r="P615" s="94">
        <f t="shared" si="217"/>
        <v>0</v>
      </c>
      <c r="Q615" s="95">
        <f t="shared" si="218"/>
        <v>0</v>
      </c>
      <c r="R615" s="96"/>
      <c r="S615" s="97">
        <f t="shared" si="219"/>
        <v>35</v>
      </c>
      <c r="T615" s="98">
        <f t="shared" si="214"/>
        <v>-1</v>
      </c>
      <c r="U615">
        <v>35</v>
      </c>
    </row>
    <row r="616" spans="2:21" ht="20.100000000000001" customHeight="1">
      <c r="B616" s="88">
        <v>7</v>
      </c>
      <c r="C616" s="89" t="s">
        <v>1630</v>
      </c>
      <c r="D616" s="90" t="s">
        <v>1671</v>
      </c>
      <c r="E616" s="91" t="s">
        <v>1672</v>
      </c>
      <c r="F616" s="315">
        <v>43.56</v>
      </c>
      <c r="G616" s="260"/>
      <c r="H616" s="260"/>
      <c r="I616" s="309"/>
      <c r="J616" s="199"/>
      <c r="K616" s="269"/>
      <c r="L616" s="93">
        <f t="shared" si="212"/>
        <v>0</v>
      </c>
      <c r="M616" s="183"/>
      <c r="N616" s="95">
        <f t="shared" si="215"/>
        <v>0</v>
      </c>
      <c r="O616" s="95">
        <f t="shared" si="216"/>
        <v>0</v>
      </c>
      <c r="P616" s="94">
        <f t="shared" si="217"/>
        <v>0</v>
      </c>
      <c r="Q616" s="95">
        <f t="shared" si="218"/>
        <v>0</v>
      </c>
      <c r="R616" s="96"/>
      <c r="S616" s="97">
        <f t="shared" si="219"/>
        <v>0</v>
      </c>
      <c r="T616" s="98">
        <f t="shared" si="214"/>
        <v>0</v>
      </c>
    </row>
    <row r="617" spans="2:21" ht="20.100000000000001" customHeight="1">
      <c r="B617" s="88">
        <v>7</v>
      </c>
      <c r="C617" s="89" t="s">
        <v>1630</v>
      </c>
      <c r="D617" s="90" t="s">
        <v>1673</v>
      </c>
      <c r="E617" s="91" t="s">
        <v>1674</v>
      </c>
      <c r="F617" s="315">
        <v>21.35</v>
      </c>
      <c r="G617" s="260"/>
      <c r="H617" s="260"/>
      <c r="I617" s="309"/>
      <c r="J617" s="199"/>
      <c r="K617" s="269"/>
      <c r="L617" s="93">
        <f t="shared" si="212"/>
        <v>0</v>
      </c>
      <c r="M617" s="183"/>
      <c r="N617" s="95">
        <f t="shared" si="215"/>
        <v>0</v>
      </c>
      <c r="O617" s="95">
        <f t="shared" si="216"/>
        <v>0</v>
      </c>
      <c r="P617" s="94">
        <f t="shared" si="217"/>
        <v>0</v>
      </c>
      <c r="Q617" s="95">
        <f t="shared" si="218"/>
        <v>0</v>
      </c>
      <c r="R617" s="96"/>
      <c r="S617" s="97">
        <f t="shared" si="219"/>
        <v>2</v>
      </c>
      <c r="T617" s="98">
        <f t="shared" si="214"/>
        <v>-2</v>
      </c>
      <c r="U617">
        <v>2</v>
      </c>
    </row>
    <row r="618" spans="2:21" ht="20.100000000000001" customHeight="1">
      <c r="B618" s="88">
        <v>7</v>
      </c>
      <c r="C618" s="89" t="s">
        <v>1630</v>
      </c>
      <c r="D618" s="90" t="s">
        <v>1675</v>
      </c>
      <c r="E618" s="91" t="s">
        <v>1676</v>
      </c>
      <c r="F618" s="315">
        <v>24.69</v>
      </c>
      <c r="G618" s="260">
        <v>3</v>
      </c>
      <c r="H618" s="260"/>
      <c r="I618" s="309"/>
      <c r="J618" s="199"/>
      <c r="K618" s="269"/>
      <c r="L618" s="93">
        <f t="shared" si="212"/>
        <v>3</v>
      </c>
      <c r="M618" s="183">
        <v>3</v>
      </c>
      <c r="N618" s="95">
        <f t="shared" si="215"/>
        <v>74.070000000000007</v>
      </c>
      <c r="O618" s="95">
        <f t="shared" si="216"/>
        <v>74.070000000000007</v>
      </c>
      <c r="P618" s="94">
        <f t="shared" si="217"/>
        <v>0</v>
      </c>
      <c r="Q618" s="95">
        <f t="shared" si="218"/>
        <v>0</v>
      </c>
      <c r="R618" s="96"/>
      <c r="S618" s="97">
        <f t="shared" si="219"/>
        <v>6</v>
      </c>
      <c r="T618" s="98">
        <f t="shared" si="214"/>
        <v>-3</v>
      </c>
      <c r="U618">
        <v>6</v>
      </c>
    </row>
    <row r="619" spans="2:21" ht="20.100000000000001" customHeight="1">
      <c r="B619" s="88">
        <v>7</v>
      </c>
      <c r="C619" s="89" t="s">
        <v>1630</v>
      </c>
      <c r="D619" s="90" t="s">
        <v>1677</v>
      </c>
      <c r="E619" s="91" t="s">
        <v>1678</v>
      </c>
      <c r="F619" s="315">
        <v>32.799999999999997</v>
      </c>
      <c r="G619" s="260">
        <v>2</v>
      </c>
      <c r="H619" s="260"/>
      <c r="I619" s="309"/>
      <c r="J619" s="199"/>
      <c r="K619" s="269"/>
      <c r="L619" s="93">
        <f t="shared" si="212"/>
        <v>2</v>
      </c>
      <c r="M619" s="183">
        <v>1</v>
      </c>
      <c r="N619" s="95">
        <f t="shared" si="215"/>
        <v>65.599999999999994</v>
      </c>
      <c r="O619" s="95">
        <f t="shared" si="216"/>
        <v>32.799999999999997</v>
      </c>
      <c r="P619" s="94">
        <f t="shared" si="217"/>
        <v>1</v>
      </c>
      <c r="Q619" s="95">
        <f t="shared" si="218"/>
        <v>32.799999999999997</v>
      </c>
      <c r="R619" s="96"/>
      <c r="S619" s="97">
        <f t="shared" si="219"/>
        <v>2</v>
      </c>
      <c r="T619" s="98">
        <f t="shared" si="214"/>
        <v>-1</v>
      </c>
      <c r="U619">
        <v>2</v>
      </c>
    </row>
    <row r="620" spans="2:21" ht="20.100000000000001" customHeight="1">
      <c r="B620" s="88">
        <v>7</v>
      </c>
      <c r="C620" s="89" t="s">
        <v>1630</v>
      </c>
      <c r="D620" s="90" t="s">
        <v>1679</v>
      </c>
      <c r="E620" s="91" t="s">
        <v>1680</v>
      </c>
      <c r="F620" s="315">
        <v>19.7</v>
      </c>
      <c r="G620" s="260">
        <v>14</v>
      </c>
      <c r="H620" s="260"/>
      <c r="I620" s="309"/>
      <c r="J620" s="199"/>
      <c r="K620" s="269"/>
      <c r="L620" s="93">
        <f t="shared" si="212"/>
        <v>14</v>
      </c>
      <c r="M620" s="183">
        <v>14</v>
      </c>
      <c r="N620" s="95">
        <f t="shared" si="215"/>
        <v>275.8</v>
      </c>
      <c r="O620" s="95">
        <f t="shared" si="216"/>
        <v>275.8</v>
      </c>
      <c r="P620" s="94">
        <f t="shared" si="217"/>
        <v>0</v>
      </c>
      <c r="Q620" s="95">
        <f t="shared" si="218"/>
        <v>0</v>
      </c>
      <c r="R620" s="96"/>
      <c r="S620" s="97">
        <f t="shared" si="219"/>
        <v>0</v>
      </c>
      <c r="T620" s="98">
        <f t="shared" si="214"/>
        <v>14</v>
      </c>
    </row>
    <row r="621" spans="2:21" ht="20.100000000000001" customHeight="1">
      <c r="B621" s="88">
        <v>7</v>
      </c>
      <c r="C621" s="89" t="s">
        <v>1630</v>
      </c>
      <c r="D621" s="90" t="s">
        <v>1681</v>
      </c>
      <c r="E621" s="91" t="s">
        <v>1682</v>
      </c>
      <c r="F621" s="315">
        <v>28.5</v>
      </c>
      <c r="G621" s="260">
        <v>19</v>
      </c>
      <c r="H621" s="260"/>
      <c r="I621" s="309"/>
      <c r="J621" s="199"/>
      <c r="K621" s="269">
        <v>1</v>
      </c>
      <c r="L621" s="93">
        <f t="shared" si="212"/>
        <v>18</v>
      </c>
      <c r="M621" s="183">
        <v>18</v>
      </c>
      <c r="N621" s="95">
        <f t="shared" si="215"/>
        <v>513</v>
      </c>
      <c r="O621" s="95">
        <f t="shared" si="216"/>
        <v>513</v>
      </c>
      <c r="P621" s="94">
        <f t="shared" si="217"/>
        <v>0</v>
      </c>
      <c r="Q621" s="95">
        <f t="shared" si="218"/>
        <v>0</v>
      </c>
      <c r="R621" s="96"/>
      <c r="S621" s="97">
        <f t="shared" si="219"/>
        <v>19</v>
      </c>
      <c r="T621" s="98">
        <f t="shared" si="214"/>
        <v>-1</v>
      </c>
      <c r="U621">
        <v>19</v>
      </c>
    </row>
    <row r="622" spans="2:21" ht="20.100000000000001" customHeight="1">
      <c r="B622" s="88">
        <v>7</v>
      </c>
      <c r="C622" s="89" t="s">
        <v>1630</v>
      </c>
      <c r="D622" s="90" t="s">
        <v>1683</v>
      </c>
      <c r="E622" s="91" t="s">
        <v>1684</v>
      </c>
      <c r="F622" s="315">
        <v>31.13</v>
      </c>
      <c r="G622" s="260">
        <v>15</v>
      </c>
      <c r="H622" s="260"/>
      <c r="I622" s="309"/>
      <c r="J622" s="199"/>
      <c r="K622" s="269"/>
      <c r="L622" s="93">
        <f t="shared" si="212"/>
        <v>15</v>
      </c>
      <c r="M622" s="183">
        <v>15</v>
      </c>
      <c r="N622" s="95">
        <f t="shared" si="215"/>
        <v>466.95</v>
      </c>
      <c r="O622" s="95">
        <f t="shared" si="216"/>
        <v>466.95</v>
      </c>
      <c r="P622" s="94">
        <f t="shared" si="217"/>
        <v>0</v>
      </c>
      <c r="Q622" s="95">
        <f t="shared" si="218"/>
        <v>0</v>
      </c>
      <c r="R622" s="96"/>
      <c r="S622" s="97">
        <f t="shared" si="219"/>
        <v>20</v>
      </c>
      <c r="T622" s="98">
        <f t="shared" si="214"/>
        <v>-5</v>
      </c>
      <c r="U622">
        <v>20</v>
      </c>
    </row>
    <row r="623" spans="2:21" ht="20.100000000000001" customHeight="1">
      <c r="B623" s="88">
        <v>7</v>
      </c>
      <c r="C623" s="89" t="s">
        <v>1630</v>
      </c>
      <c r="D623" s="90" t="s">
        <v>1685</v>
      </c>
      <c r="E623" s="91" t="s">
        <v>1686</v>
      </c>
      <c r="F623" s="315">
        <v>44.44</v>
      </c>
      <c r="G623" s="260"/>
      <c r="H623" s="260"/>
      <c r="I623" s="309"/>
      <c r="J623" s="199"/>
      <c r="K623" s="269"/>
      <c r="L623" s="93">
        <f t="shared" si="212"/>
        <v>0</v>
      </c>
      <c r="M623" s="183"/>
      <c r="N623" s="95">
        <f t="shared" si="215"/>
        <v>0</v>
      </c>
      <c r="O623" s="95">
        <f t="shared" si="216"/>
        <v>0</v>
      </c>
      <c r="P623" s="94">
        <f t="shared" si="217"/>
        <v>0</v>
      </c>
      <c r="Q623" s="95">
        <f t="shared" si="218"/>
        <v>0</v>
      </c>
      <c r="R623" s="96"/>
      <c r="S623" s="97">
        <f t="shared" si="219"/>
        <v>0</v>
      </c>
      <c r="T623" s="98">
        <f t="shared" si="214"/>
        <v>0</v>
      </c>
    </row>
    <row r="624" spans="2:21" ht="20.100000000000001" customHeight="1">
      <c r="B624" s="88">
        <v>7</v>
      </c>
      <c r="C624" s="89" t="s">
        <v>1630</v>
      </c>
      <c r="D624" s="90" t="s">
        <v>1687</v>
      </c>
      <c r="E624" s="91" t="s">
        <v>1688</v>
      </c>
      <c r="F624" s="315">
        <v>17.600000000000001</v>
      </c>
      <c r="G624" s="260">
        <v>12</v>
      </c>
      <c r="H624" s="260"/>
      <c r="I624" s="309"/>
      <c r="J624" s="199"/>
      <c r="K624" s="269">
        <v>1</v>
      </c>
      <c r="L624" s="93">
        <f t="shared" si="212"/>
        <v>11</v>
      </c>
      <c r="M624" s="183">
        <v>11</v>
      </c>
      <c r="N624" s="95">
        <f t="shared" si="215"/>
        <v>193.60000000000002</v>
      </c>
      <c r="O624" s="95">
        <f t="shared" si="216"/>
        <v>193.60000000000002</v>
      </c>
      <c r="P624" s="94">
        <f t="shared" si="217"/>
        <v>0</v>
      </c>
      <c r="Q624" s="95">
        <f t="shared" si="218"/>
        <v>0</v>
      </c>
      <c r="R624" s="96"/>
      <c r="S624" s="97">
        <f t="shared" si="219"/>
        <v>13</v>
      </c>
      <c r="T624" s="98">
        <f t="shared" si="214"/>
        <v>-2</v>
      </c>
      <c r="U624">
        <v>13</v>
      </c>
    </row>
    <row r="625" spans="2:31" ht="20.100000000000001" customHeight="1">
      <c r="B625" s="88">
        <v>7</v>
      </c>
      <c r="C625" s="89" t="s">
        <v>1630</v>
      </c>
      <c r="D625" s="90" t="s">
        <v>1689</v>
      </c>
      <c r="E625" s="91" t="s">
        <v>1690</v>
      </c>
      <c r="F625" s="315">
        <v>29.25</v>
      </c>
      <c r="G625" s="260"/>
      <c r="H625" s="260">
        <v>2</v>
      </c>
      <c r="I625" s="309"/>
      <c r="J625" s="199"/>
      <c r="K625" s="269">
        <v>2</v>
      </c>
      <c r="L625" s="93">
        <f t="shared" si="212"/>
        <v>0</v>
      </c>
      <c r="M625" s="183"/>
      <c r="N625" s="95">
        <f t="shared" si="215"/>
        <v>0</v>
      </c>
      <c r="O625" s="95">
        <f t="shared" si="216"/>
        <v>0</v>
      </c>
      <c r="P625" s="94">
        <f t="shared" si="217"/>
        <v>0</v>
      </c>
      <c r="Q625" s="95">
        <f t="shared" si="218"/>
        <v>0</v>
      </c>
      <c r="R625" s="278"/>
      <c r="S625" s="97">
        <f t="shared" si="219"/>
        <v>0</v>
      </c>
      <c r="T625" s="98">
        <f t="shared" si="214"/>
        <v>0</v>
      </c>
    </row>
    <row r="626" spans="2:31" ht="20.100000000000001" customHeight="1">
      <c r="B626" s="88">
        <v>7</v>
      </c>
      <c r="C626" s="89" t="s">
        <v>1630</v>
      </c>
      <c r="D626" s="90" t="s">
        <v>1691</v>
      </c>
      <c r="E626" s="91" t="s">
        <v>1692</v>
      </c>
      <c r="F626" s="315">
        <v>20.96</v>
      </c>
      <c r="G626" s="260">
        <v>10</v>
      </c>
      <c r="H626" s="260">
        <v>15</v>
      </c>
      <c r="I626" s="309"/>
      <c r="J626" s="199"/>
      <c r="K626" s="269">
        <v>18</v>
      </c>
      <c r="L626" s="93">
        <f t="shared" si="212"/>
        <v>7</v>
      </c>
      <c r="M626" s="183">
        <v>7</v>
      </c>
      <c r="N626" s="95">
        <f t="shared" si="215"/>
        <v>146.72</v>
      </c>
      <c r="O626" s="95">
        <f t="shared" si="216"/>
        <v>146.72</v>
      </c>
      <c r="P626" s="94">
        <f t="shared" si="217"/>
        <v>0</v>
      </c>
      <c r="Q626" s="95">
        <f t="shared" si="218"/>
        <v>0</v>
      </c>
      <c r="R626" s="278"/>
      <c r="S626" s="97">
        <f t="shared" si="219"/>
        <v>10</v>
      </c>
      <c r="T626" s="98">
        <f t="shared" si="214"/>
        <v>-3</v>
      </c>
      <c r="U626">
        <v>10</v>
      </c>
    </row>
    <row r="627" spans="2:31" ht="20.100000000000001" customHeight="1">
      <c r="B627" s="88">
        <v>7</v>
      </c>
      <c r="C627" s="89" t="s">
        <v>1630</v>
      </c>
      <c r="D627" s="90" t="s">
        <v>1693</v>
      </c>
      <c r="E627" s="91" t="s">
        <v>1694</v>
      </c>
      <c r="F627" s="315">
        <v>34.479999999999997</v>
      </c>
      <c r="G627" s="260">
        <v>1</v>
      </c>
      <c r="H627" s="260"/>
      <c r="I627" s="309"/>
      <c r="J627" s="199"/>
      <c r="K627" s="269"/>
      <c r="L627" s="93">
        <f t="shared" si="212"/>
        <v>1</v>
      </c>
      <c r="M627" s="183">
        <v>1</v>
      </c>
      <c r="N627" s="95">
        <f t="shared" si="215"/>
        <v>34.479999999999997</v>
      </c>
      <c r="O627" s="95">
        <f t="shared" si="216"/>
        <v>34.479999999999997</v>
      </c>
      <c r="P627" s="94">
        <f t="shared" si="217"/>
        <v>0</v>
      </c>
      <c r="Q627" s="95">
        <f t="shared" si="218"/>
        <v>0</v>
      </c>
      <c r="R627" s="96"/>
      <c r="S627" s="97">
        <f t="shared" si="219"/>
        <v>1</v>
      </c>
      <c r="T627" s="98">
        <f t="shared" si="214"/>
        <v>0</v>
      </c>
      <c r="U627">
        <v>1</v>
      </c>
    </row>
    <row r="628" spans="2:31" ht="20.100000000000001" customHeight="1">
      <c r="B628" s="88">
        <v>7</v>
      </c>
      <c r="C628" s="89" t="s">
        <v>1630</v>
      </c>
      <c r="D628" s="90" t="s">
        <v>1695</v>
      </c>
      <c r="E628" s="91" t="s">
        <v>1696</v>
      </c>
      <c r="F628" s="315">
        <v>34.03</v>
      </c>
      <c r="G628" s="260">
        <v>29</v>
      </c>
      <c r="H628" s="260"/>
      <c r="I628" s="309"/>
      <c r="J628" s="199"/>
      <c r="K628" s="269">
        <v>8</v>
      </c>
      <c r="L628" s="93">
        <f t="shared" si="212"/>
        <v>21</v>
      </c>
      <c r="M628" s="183">
        <v>21</v>
      </c>
      <c r="N628" s="95">
        <f t="shared" si="215"/>
        <v>714.63</v>
      </c>
      <c r="O628" s="95">
        <f t="shared" si="216"/>
        <v>714.63</v>
      </c>
      <c r="P628" s="94">
        <f t="shared" si="217"/>
        <v>0</v>
      </c>
      <c r="Q628" s="95">
        <f t="shared" si="218"/>
        <v>0</v>
      </c>
      <c r="R628" s="96"/>
      <c r="S628" s="97">
        <f t="shared" si="219"/>
        <v>40</v>
      </c>
      <c r="T628" s="98">
        <f t="shared" si="214"/>
        <v>-19</v>
      </c>
      <c r="U628">
        <v>40</v>
      </c>
    </row>
    <row r="629" spans="2:31" ht="20.100000000000001" customHeight="1">
      <c r="B629" s="88">
        <v>7</v>
      </c>
      <c r="C629" s="89" t="s">
        <v>1630</v>
      </c>
      <c r="D629" s="90" t="s">
        <v>1695</v>
      </c>
      <c r="E629" s="91" t="s">
        <v>1696</v>
      </c>
      <c r="F629" s="315">
        <v>38.39</v>
      </c>
      <c r="G629" s="260"/>
      <c r="H629" s="260"/>
      <c r="I629" s="309"/>
      <c r="J629" s="199"/>
      <c r="K629" s="269"/>
      <c r="L629" s="93">
        <f t="shared" si="212"/>
        <v>0</v>
      </c>
      <c r="M629" s="183"/>
      <c r="N629" s="95">
        <f t="shared" si="215"/>
        <v>0</v>
      </c>
      <c r="O629" s="95">
        <f t="shared" si="216"/>
        <v>0</v>
      </c>
      <c r="P629" s="94">
        <f t="shared" si="217"/>
        <v>0</v>
      </c>
      <c r="Q629" s="95">
        <f t="shared" si="218"/>
        <v>0</v>
      </c>
      <c r="R629" s="96"/>
      <c r="S629" s="97">
        <f t="shared" si="219"/>
        <v>0</v>
      </c>
      <c r="T629" s="98">
        <f t="shared" si="214"/>
        <v>0</v>
      </c>
    </row>
    <row r="630" spans="2:31" ht="20.100000000000001" customHeight="1">
      <c r="B630" s="88">
        <v>7</v>
      </c>
      <c r="C630" s="89" t="s">
        <v>1630</v>
      </c>
      <c r="D630" s="90" t="s">
        <v>1697</v>
      </c>
      <c r="E630" s="91" t="s">
        <v>1698</v>
      </c>
      <c r="F630" s="315">
        <v>44.86</v>
      </c>
      <c r="G630" s="260">
        <v>11</v>
      </c>
      <c r="H630" s="260"/>
      <c r="I630" s="309">
        <v>48</v>
      </c>
      <c r="J630" s="199"/>
      <c r="K630" s="269">
        <v>11</v>
      </c>
      <c r="L630" s="93">
        <f t="shared" si="212"/>
        <v>48</v>
      </c>
      <c r="M630" s="183">
        <v>48</v>
      </c>
      <c r="N630" s="95">
        <f t="shared" si="215"/>
        <v>2153.2799999999997</v>
      </c>
      <c r="O630" s="95">
        <f t="shared" si="216"/>
        <v>2153.2799999999997</v>
      </c>
      <c r="P630" s="94">
        <f t="shared" si="217"/>
        <v>0</v>
      </c>
      <c r="Q630" s="95">
        <f t="shared" si="218"/>
        <v>0</v>
      </c>
      <c r="R630" s="96"/>
      <c r="S630" s="97">
        <f t="shared" si="219"/>
        <v>13</v>
      </c>
      <c r="T630" s="98">
        <f t="shared" si="214"/>
        <v>35</v>
      </c>
      <c r="U630">
        <v>13</v>
      </c>
    </row>
    <row r="631" spans="2:31" ht="20.100000000000001" customHeight="1">
      <c r="B631" s="88">
        <v>7</v>
      </c>
      <c r="C631" s="89" t="s">
        <v>1630</v>
      </c>
      <c r="D631" s="90" t="s">
        <v>1699</v>
      </c>
      <c r="E631" s="91" t="s">
        <v>1700</v>
      </c>
      <c r="F631" s="315">
        <v>25.15</v>
      </c>
      <c r="G631" s="260"/>
      <c r="H631" s="260"/>
      <c r="I631" s="309"/>
      <c r="J631" s="199"/>
      <c r="K631" s="269"/>
      <c r="L631" s="93">
        <f t="shared" si="212"/>
        <v>0</v>
      </c>
      <c r="M631" s="183"/>
      <c r="N631" s="95">
        <f t="shared" si="215"/>
        <v>0</v>
      </c>
      <c r="O631" s="95">
        <f t="shared" si="216"/>
        <v>0</v>
      </c>
      <c r="P631" s="94">
        <f t="shared" si="217"/>
        <v>0</v>
      </c>
      <c r="Q631" s="95">
        <f t="shared" si="218"/>
        <v>0</v>
      </c>
      <c r="R631" s="96"/>
      <c r="S631" s="97">
        <f t="shared" si="219"/>
        <v>0</v>
      </c>
      <c r="T631" s="98">
        <f t="shared" si="214"/>
        <v>0</v>
      </c>
    </row>
    <row r="632" spans="2:31" ht="20.100000000000001" customHeight="1">
      <c r="B632" s="88">
        <v>7</v>
      </c>
      <c r="C632" s="89" t="s">
        <v>1630</v>
      </c>
      <c r="D632" s="90" t="s">
        <v>1701</v>
      </c>
      <c r="E632" s="91" t="s">
        <v>1702</v>
      </c>
      <c r="F632" s="315">
        <v>35.43</v>
      </c>
      <c r="G632" s="260"/>
      <c r="H632" s="260">
        <v>15</v>
      </c>
      <c r="I632" s="309"/>
      <c r="J632" s="199"/>
      <c r="K632" s="281">
        <v>15</v>
      </c>
      <c r="L632" s="93">
        <f t="shared" si="212"/>
        <v>0</v>
      </c>
      <c r="M632" s="183"/>
      <c r="N632" s="95">
        <f t="shared" si="215"/>
        <v>0</v>
      </c>
      <c r="O632" s="95">
        <f t="shared" si="216"/>
        <v>0</v>
      </c>
      <c r="P632" s="94">
        <f t="shared" si="217"/>
        <v>0</v>
      </c>
      <c r="Q632" s="95">
        <f t="shared" si="218"/>
        <v>0</v>
      </c>
      <c r="R632" s="278"/>
      <c r="S632" s="97">
        <f t="shared" si="219"/>
        <v>0</v>
      </c>
      <c r="T632" s="98">
        <f t="shared" si="214"/>
        <v>0</v>
      </c>
    </row>
    <row r="633" spans="2:31" ht="20.100000000000001" customHeight="1">
      <c r="B633" s="88">
        <v>7</v>
      </c>
      <c r="C633" s="89" t="s">
        <v>1630</v>
      </c>
      <c r="D633" s="90" t="s">
        <v>1703</v>
      </c>
      <c r="E633" s="91" t="s">
        <v>1704</v>
      </c>
      <c r="F633" s="315">
        <v>45.88</v>
      </c>
      <c r="G633" s="260">
        <v>42</v>
      </c>
      <c r="H633" s="260"/>
      <c r="I633" s="309"/>
      <c r="J633" s="199"/>
      <c r="K633" s="269">
        <v>14</v>
      </c>
      <c r="L633" s="93">
        <f t="shared" si="212"/>
        <v>28</v>
      </c>
      <c r="M633" s="183">
        <v>28</v>
      </c>
      <c r="N633" s="95">
        <f t="shared" si="215"/>
        <v>1284.6400000000001</v>
      </c>
      <c r="O633" s="95">
        <f t="shared" si="216"/>
        <v>1284.6400000000001</v>
      </c>
      <c r="P633" s="94">
        <f t="shared" si="217"/>
        <v>0</v>
      </c>
      <c r="Q633" s="95">
        <f t="shared" si="218"/>
        <v>0</v>
      </c>
      <c r="R633" s="96"/>
      <c r="S633" s="97">
        <f t="shared" si="219"/>
        <v>46</v>
      </c>
      <c r="T633" s="98">
        <f t="shared" si="214"/>
        <v>-18</v>
      </c>
      <c r="U633">
        <v>46</v>
      </c>
    </row>
    <row r="634" spans="2:31" ht="20.100000000000001" customHeight="1">
      <c r="B634" s="88">
        <v>7</v>
      </c>
      <c r="C634" s="89" t="s">
        <v>1630</v>
      </c>
      <c r="D634" s="90" t="s">
        <v>1705</v>
      </c>
      <c r="E634" s="91" t="s">
        <v>1706</v>
      </c>
      <c r="F634" s="315">
        <v>43.34</v>
      </c>
      <c r="G634" s="260">
        <v>5</v>
      </c>
      <c r="H634" s="260"/>
      <c r="I634" s="309"/>
      <c r="J634" s="199"/>
      <c r="K634" s="269">
        <v>1</v>
      </c>
      <c r="L634" s="93">
        <f t="shared" si="212"/>
        <v>4</v>
      </c>
      <c r="M634" s="183">
        <v>4</v>
      </c>
      <c r="N634" s="95">
        <f t="shared" si="215"/>
        <v>173.36</v>
      </c>
      <c r="O634" s="95">
        <f t="shared" si="216"/>
        <v>173.36</v>
      </c>
      <c r="P634" s="94">
        <f t="shared" si="217"/>
        <v>0</v>
      </c>
      <c r="Q634" s="95">
        <f t="shared" si="218"/>
        <v>0</v>
      </c>
      <c r="R634" s="96"/>
      <c r="S634" s="97">
        <f t="shared" si="219"/>
        <v>1</v>
      </c>
      <c r="T634" s="98">
        <f t="shared" si="214"/>
        <v>3</v>
      </c>
      <c r="AA634">
        <v>1</v>
      </c>
      <c r="AB634" s="99" t="s">
        <v>636</v>
      </c>
      <c r="AD634">
        <f>AA634</f>
        <v>1</v>
      </c>
      <c r="AE634" s="100">
        <f>AD634*F634</f>
        <v>43.34</v>
      </c>
    </row>
    <row r="635" spans="2:31" ht="20.100000000000001" customHeight="1">
      <c r="B635" s="88">
        <v>7</v>
      </c>
      <c r="C635" s="89" t="s">
        <v>1630</v>
      </c>
      <c r="D635" s="90" t="s">
        <v>1705</v>
      </c>
      <c r="E635" s="91" t="s">
        <v>1706</v>
      </c>
      <c r="F635" s="315">
        <v>43.34</v>
      </c>
      <c r="G635" s="260"/>
      <c r="H635" s="260"/>
      <c r="I635" s="309"/>
      <c r="J635" s="199"/>
      <c r="K635" s="269"/>
      <c r="L635" s="93">
        <f t="shared" ref="L635:L693" si="220">G635+I635-J635-K635+H635</f>
        <v>0</v>
      </c>
      <c r="M635" s="183"/>
      <c r="N635" s="95">
        <f t="shared" si="215"/>
        <v>0</v>
      </c>
      <c r="O635" s="95">
        <f t="shared" si="216"/>
        <v>0</v>
      </c>
      <c r="P635" s="94">
        <f t="shared" si="217"/>
        <v>0</v>
      </c>
      <c r="Q635" s="95">
        <f t="shared" si="218"/>
        <v>0</v>
      </c>
      <c r="R635" s="96"/>
      <c r="S635" s="97">
        <f t="shared" si="219"/>
        <v>9</v>
      </c>
      <c r="T635" s="98">
        <f t="shared" si="214"/>
        <v>-9</v>
      </c>
      <c r="U635">
        <v>9</v>
      </c>
    </row>
    <row r="636" spans="2:31" ht="20.100000000000001" customHeight="1">
      <c r="B636" s="88">
        <v>7</v>
      </c>
      <c r="C636" s="89" t="s">
        <v>1630</v>
      </c>
      <c r="D636" s="90" t="s">
        <v>1707</v>
      </c>
      <c r="E636" s="91" t="s">
        <v>1708</v>
      </c>
      <c r="F636" s="315">
        <v>90.96</v>
      </c>
      <c r="G636" s="260">
        <v>11</v>
      </c>
      <c r="H636" s="260"/>
      <c r="I636" s="309"/>
      <c r="J636" s="199"/>
      <c r="K636" s="269"/>
      <c r="L636" s="93">
        <f t="shared" si="220"/>
        <v>11</v>
      </c>
      <c r="M636" s="183">
        <f>3+8</f>
        <v>11</v>
      </c>
      <c r="N636" s="95">
        <f t="shared" si="215"/>
        <v>1000.56</v>
      </c>
      <c r="O636" s="95">
        <f t="shared" si="216"/>
        <v>1000.56</v>
      </c>
      <c r="P636" s="94">
        <f t="shared" si="217"/>
        <v>0</v>
      </c>
      <c r="Q636" s="95">
        <f t="shared" si="218"/>
        <v>0</v>
      </c>
      <c r="R636" s="102">
        <v>45850</v>
      </c>
      <c r="S636" s="97">
        <f t="shared" si="219"/>
        <v>8</v>
      </c>
      <c r="T636" s="98">
        <f t="shared" si="214"/>
        <v>3</v>
      </c>
      <c r="W636">
        <v>8</v>
      </c>
      <c r="X636" t="s">
        <v>555</v>
      </c>
      <c r="AD636">
        <f>W636</f>
        <v>8</v>
      </c>
      <c r="AE636" s="100">
        <f>AD636*F636</f>
        <v>727.68</v>
      </c>
    </row>
    <row r="637" spans="2:31" ht="20.100000000000001" customHeight="1">
      <c r="B637" s="88">
        <v>7</v>
      </c>
      <c r="C637" s="89" t="s">
        <v>1630</v>
      </c>
      <c r="D637" s="90" t="s">
        <v>1709</v>
      </c>
      <c r="E637" s="91" t="s">
        <v>1710</v>
      </c>
      <c r="F637" s="315">
        <v>176.2</v>
      </c>
      <c r="G637" s="260">
        <v>4</v>
      </c>
      <c r="H637" s="260"/>
      <c r="I637" s="309"/>
      <c r="J637" s="199"/>
      <c r="K637" s="269">
        <v>1</v>
      </c>
      <c r="L637" s="93">
        <f t="shared" si="220"/>
        <v>3</v>
      </c>
      <c r="M637" s="183">
        <f>2+1</f>
        <v>3</v>
      </c>
      <c r="N637" s="95">
        <f t="shared" si="215"/>
        <v>528.59999999999991</v>
      </c>
      <c r="O637" s="95">
        <f t="shared" si="216"/>
        <v>528.59999999999991</v>
      </c>
      <c r="P637" s="94">
        <f t="shared" si="217"/>
        <v>0</v>
      </c>
      <c r="Q637" s="95">
        <f t="shared" si="218"/>
        <v>0</v>
      </c>
      <c r="R637" s="96"/>
      <c r="S637" s="97">
        <f t="shared" si="219"/>
        <v>1</v>
      </c>
      <c r="T637" s="98">
        <f t="shared" si="214"/>
        <v>2</v>
      </c>
      <c r="AA637">
        <v>1</v>
      </c>
      <c r="AB637" s="99" t="s">
        <v>1711</v>
      </c>
      <c r="AD637">
        <f>AA637</f>
        <v>1</v>
      </c>
      <c r="AE637" s="100">
        <f>AD637*F637</f>
        <v>176.2</v>
      </c>
    </row>
    <row r="638" spans="2:31" ht="20.100000000000001" customHeight="1">
      <c r="B638" s="88">
        <v>7</v>
      </c>
      <c r="C638" s="89" t="s">
        <v>1630</v>
      </c>
      <c r="D638" s="90" t="s">
        <v>1712</v>
      </c>
      <c r="E638" s="91" t="s">
        <v>1713</v>
      </c>
      <c r="F638" s="315">
        <v>28.1</v>
      </c>
      <c r="G638" s="260">
        <v>16</v>
      </c>
      <c r="H638" s="260"/>
      <c r="I638" s="309"/>
      <c r="J638" s="199">
        <v>5</v>
      </c>
      <c r="K638" s="269"/>
      <c r="L638" s="93">
        <f t="shared" si="220"/>
        <v>11</v>
      </c>
      <c r="M638" s="183">
        <v>11</v>
      </c>
      <c r="N638" s="95">
        <f t="shared" si="215"/>
        <v>309.10000000000002</v>
      </c>
      <c r="O638" s="95">
        <f t="shared" si="216"/>
        <v>309.10000000000002</v>
      </c>
      <c r="P638" s="94">
        <f t="shared" si="217"/>
        <v>0</v>
      </c>
      <c r="Q638" s="95">
        <f t="shared" si="218"/>
        <v>0</v>
      </c>
      <c r="R638" s="96"/>
      <c r="S638" s="97">
        <f t="shared" si="219"/>
        <v>16</v>
      </c>
      <c r="T638" s="98">
        <f t="shared" si="214"/>
        <v>-5</v>
      </c>
      <c r="U638">
        <v>15</v>
      </c>
      <c r="AA638">
        <v>1</v>
      </c>
      <c r="AB638" s="99" t="s">
        <v>605</v>
      </c>
      <c r="AD638">
        <f>AA638</f>
        <v>1</v>
      </c>
      <c r="AE638" s="100">
        <f>AD638*F638</f>
        <v>28.1</v>
      </c>
    </row>
    <row r="639" spans="2:31" ht="20.100000000000001" customHeight="1">
      <c r="B639" s="88">
        <v>7</v>
      </c>
      <c r="C639" s="89" t="s">
        <v>1630</v>
      </c>
      <c r="D639" s="90" t="s">
        <v>1714</v>
      </c>
      <c r="E639" s="91" t="s">
        <v>1715</v>
      </c>
      <c r="F639" s="315">
        <v>95.24</v>
      </c>
      <c r="G639" s="260">
        <v>10</v>
      </c>
      <c r="H639" s="260"/>
      <c r="I639" s="309"/>
      <c r="J639" s="199">
        <v>1</v>
      </c>
      <c r="K639" s="269"/>
      <c r="L639" s="93">
        <f t="shared" si="220"/>
        <v>9</v>
      </c>
      <c r="M639" s="183">
        <v>9</v>
      </c>
      <c r="N639" s="95">
        <f t="shared" si="215"/>
        <v>857.16</v>
      </c>
      <c r="O639" s="95">
        <f t="shared" si="216"/>
        <v>857.16</v>
      </c>
      <c r="P639" s="94">
        <f t="shared" si="217"/>
        <v>0</v>
      </c>
      <c r="Q639" s="95">
        <f t="shared" si="218"/>
        <v>0</v>
      </c>
      <c r="R639" s="96"/>
      <c r="S639" s="97">
        <f t="shared" si="219"/>
        <v>10</v>
      </c>
      <c r="T639" s="98">
        <f t="shared" si="214"/>
        <v>-1</v>
      </c>
      <c r="AA639">
        <v>10</v>
      </c>
      <c r="AB639" s="99" t="s">
        <v>976</v>
      </c>
      <c r="AD639">
        <f>AA639</f>
        <v>10</v>
      </c>
      <c r="AE639" s="100">
        <f>AD639*F639</f>
        <v>952.4</v>
      </c>
    </row>
    <row r="640" spans="2:31" ht="20.100000000000001" customHeight="1">
      <c r="B640" s="88">
        <v>7</v>
      </c>
      <c r="C640" s="89" t="s">
        <v>1630</v>
      </c>
      <c r="D640" s="90" t="s">
        <v>1716</v>
      </c>
      <c r="E640" s="91" t="s">
        <v>1717</v>
      </c>
      <c r="F640" s="315">
        <v>41.86</v>
      </c>
      <c r="G640" s="260">
        <v>3</v>
      </c>
      <c r="H640" s="260"/>
      <c r="I640" s="309"/>
      <c r="J640" s="199"/>
      <c r="K640" s="269">
        <v>1</v>
      </c>
      <c r="L640" s="93">
        <f t="shared" si="220"/>
        <v>2</v>
      </c>
      <c r="M640" s="183">
        <v>2</v>
      </c>
      <c r="N640" s="95">
        <f t="shared" si="215"/>
        <v>83.72</v>
      </c>
      <c r="O640" s="95">
        <f t="shared" si="216"/>
        <v>83.72</v>
      </c>
      <c r="P640" s="94">
        <f t="shared" si="217"/>
        <v>0</v>
      </c>
      <c r="Q640" s="95">
        <f t="shared" si="218"/>
        <v>0</v>
      </c>
      <c r="R640" s="96"/>
      <c r="S640" s="97">
        <f t="shared" si="219"/>
        <v>5</v>
      </c>
      <c r="T640" s="98">
        <f t="shared" si="214"/>
        <v>-3</v>
      </c>
      <c r="U640">
        <v>5</v>
      </c>
    </row>
    <row r="641" spans="2:31" ht="20.100000000000001" customHeight="1">
      <c r="B641" s="88">
        <v>7</v>
      </c>
      <c r="C641" s="89" t="s">
        <v>1630</v>
      </c>
      <c r="D641" s="90" t="s">
        <v>1718</v>
      </c>
      <c r="E641" s="91" t="s">
        <v>1719</v>
      </c>
      <c r="F641" s="315">
        <v>35.380000000000003</v>
      </c>
      <c r="G641" s="260"/>
      <c r="H641" s="260"/>
      <c r="I641" s="309"/>
      <c r="J641" s="199"/>
      <c r="K641" s="269"/>
      <c r="L641" s="93">
        <f t="shared" si="220"/>
        <v>0</v>
      </c>
      <c r="M641" s="183"/>
      <c r="N641" s="95">
        <f t="shared" si="215"/>
        <v>0</v>
      </c>
      <c r="O641" s="95">
        <f t="shared" si="216"/>
        <v>0</v>
      </c>
      <c r="P641" s="94">
        <f t="shared" si="217"/>
        <v>0</v>
      </c>
      <c r="Q641" s="95">
        <f t="shared" si="218"/>
        <v>0</v>
      </c>
      <c r="R641" s="96"/>
      <c r="S641" s="97">
        <f t="shared" si="219"/>
        <v>0</v>
      </c>
      <c r="T641" s="98">
        <f t="shared" si="214"/>
        <v>0</v>
      </c>
    </row>
    <row r="642" spans="2:31" ht="20.100000000000001" customHeight="1">
      <c r="B642" s="88">
        <v>7</v>
      </c>
      <c r="C642" s="89" t="s">
        <v>1630</v>
      </c>
      <c r="D642" s="90" t="s">
        <v>1720</v>
      </c>
      <c r="E642" s="91" t="s">
        <v>1721</v>
      </c>
      <c r="F642" s="315">
        <v>199.95</v>
      </c>
      <c r="G642" s="260"/>
      <c r="H642" s="260"/>
      <c r="I642" s="309"/>
      <c r="J642" s="199"/>
      <c r="K642" s="269"/>
      <c r="L642" s="93">
        <f t="shared" si="220"/>
        <v>0</v>
      </c>
      <c r="M642" s="183"/>
      <c r="N642" s="95">
        <f t="shared" si="215"/>
        <v>0</v>
      </c>
      <c r="O642" s="95">
        <f t="shared" si="216"/>
        <v>0</v>
      </c>
      <c r="P642" s="94">
        <f t="shared" si="217"/>
        <v>0</v>
      </c>
      <c r="Q642" s="95">
        <f t="shared" si="218"/>
        <v>0</v>
      </c>
      <c r="R642" s="96"/>
      <c r="S642" s="97">
        <f t="shared" si="219"/>
        <v>0</v>
      </c>
      <c r="T642" s="98">
        <f t="shared" si="214"/>
        <v>0</v>
      </c>
    </row>
    <row r="643" spans="2:31" ht="20.100000000000001" customHeight="1">
      <c r="B643" s="88">
        <v>7</v>
      </c>
      <c r="C643" s="89" t="s">
        <v>1630</v>
      </c>
      <c r="D643" s="90" t="s">
        <v>1722</v>
      </c>
      <c r="E643" s="91" t="s">
        <v>1723</v>
      </c>
      <c r="F643" s="315">
        <v>28.86</v>
      </c>
      <c r="G643" s="260"/>
      <c r="H643" s="260"/>
      <c r="I643" s="309"/>
      <c r="J643" s="199"/>
      <c r="K643" s="269"/>
      <c r="L643" s="93">
        <f t="shared" si="220"/>
        <v>0</v>
      </c>
      <c r="M643" s="183"/>
      <c r="N643" s="95">
        <f t="shared" si="215"/>
        <v>0</v>
      </c>
      <c r="O643" s="95">
        <f t="shared" si="216"/>
        <v>0</v>
      </c>
      <c r="P643" s="94">
        <f t="shared" si="217"/>
        <v>0</v>
      </c>
      <c r="Q643" s="95">
        <f t="shared" si="218"/>
        <v>0</v>
      </c>
      <c r="R643" s="96"/>
      <c r="S643" s="97">
        <f t="shared" si="219"/>
        <v>0</v>
      </c>
      <c r="T643" s="98">
        <f t="shared" si="214"/>
        <v>0</v>
      </c>
    </row>
    <row r="644" spans="2:31" ht="20.100000000000001" customHeight="1">
      <c r="B644" s="88">
        <v>7</v>
      </c>
      <c r="C644" s="89" t="s">
        <v>1630</v>
      </c>
      <c r="D644" s="90" t="s">
        <v>1724</v>
      </c>
      <c r="E644" s="91" t="s">
        <v>1725</v>
      </c>
      <c r="F644" s="315">
        <v>34.520000000000003</v>
      </c>
      <c r="G644" s="260">
        <v>8</v>
      </c>
      <c r="H644" s="260"/>
      <c r="I644" s="309"/>
      <c r="J644" s="199"/>
      <c r="K644" s="269">
        <v>3</v>
      </c>
      <c r="L644" s="93">
        <f t="shared" si="220"/>
        <v>5</v>
      </c>
      <c r="M644" s="183">
        <v>5</v>
      </c>
      <c r="N644" s="95">
        <f t="shared" si="215"/>
        <v>172.60000000000002</v>
      </c>
      <c r="O644" s="95">
        <f t="shared" si="216"/>
        <v>172.60000000000002</v>
      </c>
      <c r="P644" s="94">
        <f t="shared" si="217"/>
        <v>0</v>
      </c>
      <c r="Q644" s="95">
        <f t="shared" si="218"/>
        <v>0</v>
      </c>
      <c r="R644" s="96"/>
      <c r="S644" s="97">
        <f t="shared" si="219"/>
        <v>8</v>
      </c>
      <c r="T644" s="98">
        <f t="shared" si="214"/>
        <v>-3</v>
      </c>
      <c r="U644">
        <v>8</v>
      </c>
    </row>
    <row r="645" spans="2:31" ht="20.100000000000001" customHeight="1">
      <c r="B645" s="88">
        <v>7</v>
      </c>
      <c r="C645" s="89" t="s">
        <v>1630</v>
      </c>
      <c r="D645" s="90" t="s">
        <v>1726</v>
      </c>
      <c r="E645" s="91" t="s">
        <v>1727</v>
      </c>
      <c r="F645" s="315">
        <v>15.91</v>
      </c>
      <c r="G645" s="260">
        <v>33</v>
      </c>
      <c r="H645" s="260"/>
      <c r="I645" s="309"/>
      <c r="J645" s="199"/>
      <c r="K645" s="269">
        <v>9</v>
      </c>
      <c r="L645" s="93">
        <f t="shared" si="220"/>
        <v>24</v>
      </c>
      <c r="M645" s="183">
        <v>24</v>
      </c>
      <c r="N645" s="95">
        <f t="shared" si="215"/>
        <v>381.84000000000003</v>
      </c>
      <c r="O645" s="95">
        <f t="shared" si="216"/>
        <v>381.84000000000003</v>
      </c>
      <c r="P645" s="94">
        <f t="shared" si="217"/>
        <v>0</v>
      </c>
      <c r="Q645" s="95">
        <f t="shared" si="218"/>
        <v>0</v>
      </c>
      <c r="R645" s="278" t="s">
        <v>5211</v>
      </c>
      <c r="S645" s="97">
        <f t="shared" si="219"/>
        <v>41</v>
      </c>
      <c r="T645" s="98">
        <f t="shared" si="214"/>
        <v>-17</v>
      </c>
      <c r="U645">
        <v>41</v>
      </c>
    </row>
    <row r="646" spans="2:31" ht="20.100000000000001" customHeight="1">
      <c r="B646" s="88">
        <v>7</v>
      </c>
      <c r="C646" s="89" t="s">
        <v>1630</v>
      </c>
      <c r="D646" s="90" t="s">
        <v>1728</v>
      </c>
      <c r="E646" s="91" t="s">
        <v>1729</v>
      </c>
      <c r="F646" s="315">
        <v>96.19</v>
      </c>
      <c r="G646" s="260">
        <v>14</v>
      </c>
      <c r="H646" s="260"/>
      <c r="I646" s="309"/>
      <c r="J646" s="199"/>
      <c r="K646" s="269"/>
      <c r="L646" s="93">
        <f t="shared" si="220"/>
        <v>14</v>
      </c>
      <c r="M646" s="183">
        <v>14</v>
      </c>
      <c r="N646" s="95">
        <f t="shared" si="215"/>
        <v>1346.6599999999999</v>
      </c>
      <c r="O646" s="95">
        <f t="shared" si="216"/>
        <v>1346.6599999999999</v>
      </c>
      <c r="P646" s="94">
        <f t="shared" si="217"/>
        <v>0</v>
      </c>
      <c r="Q646" s="95">
        <f t="shared" si="218"/>
        <v>0</v>
      </c>
      <c r="R646" s="96"/>
      <c r="S646" s="97">
        <f t="shared" si="219"/>
        <v>15</v>
      </c>
      <c r="T646" s="98">
        <f t="shared" si="214"/>
        <v>-1</v>
      </c>
      <c r="U646">
        <v>15</v>
      </c>
    </row>
    <row r="647" spans="2:31" ht="20.100000000000001" customHeight="1">
      <c r="B647" s="88">
        <v>7</v>
      </c>
      <c r="C647" s="89" t="s">
        <v>1630</v>
      </c>
      <c r="D647" s="90" t="s">
        <v>1730</v>
      </c>
      <c r="E647" s="91" t="s">
        <v>1731</v>
      </c>
      <c r="F647" s="315">
        <v>44.79</v>
      </c>
      <c r="G647" s="260"/>
      <c r="H647" s="260"/>
      <c r="I647" s="309"/>
      <c r="J647" s="199"/>
      <c r="K647" s="269"/>
      <c r="L647" s="93">
        <f t="shared" si="220"/>
        <v>0</v>
      </c>
      <c r="M647" s="183"/>
      <c r="N647" s="95">
        <f t="shared" si="215"/>
        <v>0</v>
      </c>
      <c r="O647" s="95">
        <f t="shared" si="216"/>
        <v>0</v>
      </c>
      <c r="P647" s="94">
        <f t="shared" si="217"/>
        <v>0</v>
      </c>
      <c r="Q647" s="95">
        <f t="shared" si="218"/>
        <v>0</v>
      </c>
      <c r="R647" s="96"/>
      <c r="S647" s="97">
        <f t="shared" si="219"/>
        <v>1</v>
      </c>
      <c r="T647" s="98">
        <f t="shared" si="214"/>
        <v>-1</v>
      </c>
      <c r="U647">
        <v>1</v>
      </c>
    </row>
    <row r="648" spans="2:31" ht="20.100000000000001" customHeight="1">
      <c r="B648" s="88">
        <v>7</v>
      </c>
      <c r="C648" s="89" t="s">
        <v>1630</v>
      </c>
      <c r="D648" s="90" t="s">
        <v>1732</v>
      </c>
      <c r="E648" s="91" t="s">
        <v>1733</v>
      </c>
      <c r="F648" s="315">
        <v>53.81</v>
      </c>
      <c r="G648" s="260">
        <v>13</v>
      </c>
      <c r="H648" s="260"/>
      <c r="I648" s="309">
        <v>48</v>
      </c>
      <c r="J648" s="199"/>
      <c r="K648" s="269">
        <v>15</v>
      </c>
      <c r="L648" s="93">
        <f t="shared" si="220"/>
        <v>46</v>
      </c>
      <c r="M648" s="187">
        <v>46</v>
      </c>
      <c r="N648" s="95">
        <f t="shared" si="215"/>
        <v>2475.2600000000002</v>
      </c>
      <c r="O648" s="95">
        <f t="shared" si="216"/>
        <v>2475.2600000000002</v>
      </c>
      <c r="P648" s="94">
        <f t="shared" si="217"/>
        <v>0</v>
      </c>
      <c r="Q648" s="95">
        <f t="shared" si="218"/>
        <v>0</v>
      </c>
      <c r="R648" s="96"/>
      <c r="S648" s="97">
        <f t="shared" si="219"/>
        <v>0</v>
      </c>
      <c r="T648" s="98">
        <f t="shared" si="214"/>
        <v>46</v>
      </c>
    </row>
    <row r="649" spans="2:31" ht="20.100000000000001" customHeight="1">
      <c r="B649" s="88">
        <v>7</v>
      </c>
      <c r="C649" s="89" t="s">
        <v>1630</v>
      </c>
      <c r="D649" s="90" t="s">
        <v>1734</v>
      </c>
      <c r="E649" s="91" t="s">
        <v>1735</v>
      </c>
      <c r="F649" s="315">
        <v>138.1</v>
      </c>
      <c r="G649" s="260">
        <v>10</v>
      </c>
      <c r="H649" s="260"/>
      <c r="I649" s="309"/>
      <c r="J649" s="199"/>
      <c r="K649" s="269"/>
      <c r="L649" s="93">
        <f t="shared" si="220"/>
        <v>10</v>
      </c>
      <c r="M649" s="183">
        <v>10</v>
      </c>
      <c r="N649" s="95">
        <f t="shared" si="215"/>
        <v>1381</v>
      </c>
      <c r="O649" s="95">
        <f t="shared" si="216"/>
        <v>1381</v>
      </c>
      <c r="P649" s="94">
        <f t="shared" si="217"/>
        <v>0</v>
      </c>
      <c r="Q649" s="95">
        <f t="shared" si="218"/>
        <v>0</v>
      </c>
      <c r="R649" s="96"/>
      <c r="S649" s="97">
        <f t="shared" si="219"/>
        <v>10</v>
      </c>
      <c r="T649" s="98">
        <f t="shared" si="214"/>
        <v>0</v>
      </c>
      <c r="AA649">
        <v>10</v>
      </c>
      <c r="AB649" s="99" t="s">
        <v>1736</v>
      </c>
      <c r="AD649">
        <f>AA649</f>
        <v>10</v>
      </c>
      <c r="AE649" s="100">
        <f>AD649*F649</f>
        <v>1381</v>
      </c>
    </row>
    <row r="650" spans="2:31" ht="20.100000000000001" customHeight="1">
      <c r="B650" s="88">
        <v>7</v>
      </c>
      <c r="C650" s="89" t="s">
        <v>1630</v>
      </c>
      <c r="D650" s="90" t="s">
        <v>1737</v>
      </c>
      <c r="E650" s="91" t="s">
        <v>1738</v>
      </c>
      <c r="F650" s="315">
        <v>104.77</v>
      </c>
      <c r="G650" s="260">
        <v>7</v>
      </c>
      <c r="H650" s="260"/>
      <c r="I650" s="309"/>
      <c r="J650" s="199"/>
      <c r="K650" s="269"/>
      <c r="L650" s="93">
        <f t="shared" si="220"/>
        <v>7</v>
      </c>
      <c r="M650" s="183">
        <v>7</v>
      </c>
      <c r="N650" s="95">
        <f t="shared" si="215"/>
        <v>733.39</v>
      </c>
      <c r="O650" s="95">
        <f t="shared" si="216"/>
        <v>733.39</v>
      </c>
      <c r="P650" s="94">
        <f t="shared" si="217"/>
        <v>0</v>
      </c>
      <c r="Q650" s="95">
        <f t="shared" si="218"/>
        <v>0</v>
      </c>
      <c r="R650" s="102">
        <v>45866</v>
      </c>
      <c r="S650" s="97">
        <f t="shared" si="219"/>
        <v>7</v>
      </c>
      <c r="T650" s="98">
        <f t="shared" si="214"/>
        <v>0</v>
      </c>
      <c r="W650">
        <v>7</v>
      </c>
      <c r="X650" t="s">
        <v>555</v>
      </c>
      <c r="AD650">
        <f>W650</f>
        <v>7</v>
      </c>
      <c r="AE650" s="100">
        <f>AD650*F650</f>
        <v>733.39</v>
      </c>
    </row>
    <row r="651" spans="2:31" ht="20.100000000000001" customHeight="1">
      <c r="B651" s="88">
        <v>7</v>
      </c>
      <c r="C651" s="89" t="s">
        <v>1630</v>
      </c>
      <c r="D651" s="90" t="s">
        <v>1739</v>
      </c>
      <c r="E651" s="91" t="s">
        <v>1740</v>
      </c>
      <c r="F651" s="315">
        <v>15.72</v>
      </c>
      <c r="G651" s="260"/>
      <c r="H651" s="260"/>
      <c r="I651" s="309"/>
      <c r="J651" s="199"/>
      <c r="K651" s="269"/>
      <c r="L651" s="93">
        <f t="shared" si="220"/>
        <v>0</v>
      </c>
      <c r="M651" s="183"/>
      <c r="N651" s="95">
        <f t="shared" si="215"/>
        <v>0</v>
      </c>
      <c r="O651" s="95">
        <f t="shared" si="216"/>
        <v>0</v>
      </c>
      <c r="P651" s="94">
        <f t="shared" si="217"/>
        <v>0</v>
      </c>
      <c r="Q651" s="95">
        <f t="shared" si="218"/>
        <v>0</v>
      </c>
      <c r="R651" s="96"/>
      <c r="S651" s="97">
        <f t="shared" si="219"/>
        <v>0</v>
      </c>
      <c r="T651" s="98">
        <f t="shared" si="214"/>
        <v>0</v>
      </c>
    </row>
    <row r="652" spans="2:31" ht="20.100000000000001" customHeight="1">
      <c r="B652" s="88">
        <v>7</v>
      </c>
      <c r="C652" s="89" t="s">
        <v>1630</v>
      </c>
      <c r="D652" s="90" t="s">
        <v>1741</v>
      </c>
      <c r="E652" s="91" t="s">
        <v>1742</v>
      </c>
      <c r="F652" s="315">
        <v>104.5</v>
      </c>
      <c r="G652" s="260"/>
      <c r="H652" s="260">
        <v>7</v>
      </c>
      <c r="I652" s="309"/>
      <c r="J652" s="199"/>
      <c r="K652" s="269"/>
      <c r="L652" s="93">
        <f t="shared" si="220"/>
        <v>7</v>
      </c>
      <c r="M652" s="183">
        <v>7</v>
      </c>
      <c r="N652" s="95">
        <f t="shared" si="215"/>
        <v>731.5</v>
      </c>
      <c r="O652" s="95">
        <f t="shared" si="216"/>
        <v>731.5</v>
      </c>
      <c r="P652" s="94">
        <f t="shared" si="217"/>
        <v>0</v>
      </c>
      <c r="Q652" s="95">
        <f t="shared" si="218"/>
        <v>0</v>
      </c>
      <c r="R652" s="96" t="s">
        <v>1743</v>
      </c>
      <c r="S652" s="97">
        <f t="shared" si="219"/>
        <v>0</v>
      </c>
      <c r="T652" s="98">
        <f t="shared" si="214"/>
        <v>7</v>
      </c>
    </row>
    <row r="653" spans="2:31" ht="20.100000000000001" customHeight="1">
      <c r="B653" s="88">
        <v>7</v>
      </c>
      <c r="C653" s="89" t="s">
        <v>1630</v>
      </c>
      <c r="D653" s="90" t="s">
        <v>1744</v>
      </c>
      <c r="E653" s="91" t="s">
        <v>1745</v>
      </c>
      <c r="F653" s="315">
        <v>307.70999999999998</v>
      </c>
      <c r="G653" s="260"/>
      <c r="H653" s="260"/>
      <c r="I653" s="309"/>
      <c r="J653" s="199"/>
      <c r="K653" s="269"/>
      <c r="L653" s="93">
        <f t="shared" si="220"/>
        <v>0</v>
      </c>
      <c r="M653" s="183"/>
      <c r="N653" s="95">
        <f t="shared" si="215"/>
        <v>0</v>
      </c>
      <c r="O653" s="95">
        <f t="shared" si="216"/>
        <v>0</v>
      </c>
      <c r="P653" s="94">
        <f t="shared" si="217"/>
        <v>0</v>
      </c>
      <c r="Q653" s="95">
        <f t="shared" si="218"/>
        <v>0</v>
      </c>
      <c r="R653" s="96"/>
      <c r="S653" s="97">
        <f t="shared" si="219"/>
        <v>0</v>
      </c>
      <c r="T653" s="98">
        <f t="shared" si="214"/>
        <v>0</v>
      </c>
    </row>
    <row r="654" spans="2:31" ht="20.100000000000001" customHeight="1">
      <c r="B654" s="88">
        <v>7</v>
      </c>
      <c r="C654" s="89" t="s">
        <v>1630</v>
      </c>
      <c r="D654" s="90" t="s">
        <v>1746</v>
      </c>
      <c r="E654" s="91" t="s">
        <v>1747</v>
      </c>
      <c r="F654" s="315">
        <v>33.33</v>
      </c>
      <c r="G654" s="260">
        <v>28</v>
      </c>
      <c r="H654" s="260"/>
      <c r="I654" s="309"/>
      <c r="J654" s="199"/>
      <c r="K654" s="269"/>
      <c r="L654" s="93">
        <f t="shared" si="220"/>
        <v>28</v>
      </c>
      <c r="M654" s="183">
        <v>28</v>
      </c>
      <c r="N654" s="95">
        <f t="shared" si="215"/>
        <v>933.24</v>
      </c>
      <c r="O654" s="95">
        <f t="shared" si="216"/>
        <v>933.24</v>
      </c>
      <c r="P654" s="94">
        <f t="shared" si="217"/>
        <v>0</v>
      </c>
      <c r="Q654" s="95">
        <f t="shared" si="218"/>
        <v>0</v>
      </c>
      <c r="R654" s="96"/>
      <c r="S654" s="97">
        <f t="shared" si="219"/>
        <v>27</v>
      </c>
      <c r="T654" s="98">
        <f t="shared" si="214"/>
        <v>1</v>
      </c>
      <c r="U654">
        <v>27</v>
      </c>
    </row>
    <row r="655" spans="2:31" ht="20.100000000000001" customHeight="1">
      <c r="B655" s="88">
        <v>7</v>
      </c>
      <c r="C655" s="89" t="s">
        <v>1630</v>
      </c>
      <c r="D655" s="90" t="s">
        <v>1748</v>
      </c>
      <c r="E655" s="91" t="s">
        <v>1749</v>
      </c>
      <c r="F655" s="315">
        <v>71.13</v>
      </c>
      <c r="G655" s="260"/>
      <c r="H655" s="260"/>
      <c r="I655" s="309"/>
      <c r="J655" s="199"/>
      <c r="K655" s="269"/>
      <c r="L655" s="93">
        <f t="shared" si="220"/>
        <v>0</v>
      </c>
      <c r="M655" s="183"/>
      <c r="N655" s="95">
        <f t="shared" si="215"/>
        <v>0</v>
      </c>
      <c r="O655" s="95">
        <f t="shared" si="216"/>
        <v>0</v>
      </c>
      <c r="P655" s="94">
        <f t="shared" si="217"/>
        <v>0</v>
      </c>
      <c r="Q655" s="95">
        <f t="shared" si="218"/>
        <v>0</v>
      </c>
      <c r="R655" s="96"/>
      <c r="S655" s="97">
        <f t="shared" si="219"/>
        <v>0</v>
      </c>
      <c r="T655" s="98">
        <f t="shared" si="214"/>
        <v>0</v>
      </c>
    </row>
    <row r="656" spans="2:31" ht="20.100000000000001" customHeight="1">
      <c r="B656" s="88">
        <v>7</v>
      </c>
      <c r="C656" s="89" t="s">
        <v>1630</v>
      </c>
      <c r="D656" s="90" t="s">
        <v>1750</v>
      </c>
      <c r="E656" s="91" t="s">
        <v>1751</v>
      </c>
      <c r="F656" s="315">
        <v>62.8</v>
      </c>
      <c r="G656" s="260">
        <v>8</v>
      </c>
      <c r="H656" s="260"/>
      <c r="I656" s="309"/>
      <c r="J656" s="199"/>
      <c r="K656" s="269">
        <v>5</v>
      </c>
      <c r="L656" s="93">
        <f t="shared" si="220"/>
        <v>3</v>
      </c>
      <c r="M656" s="183">
        <v>3</v>
      </c>
      <c r="N656" s="95">
        <f t="shared" si="215"/>
        <v>188.39999999999998</v>
      </c>
      <c r="O656" s="95">
        <f t="shared" si="216"/>
        <v>188.39999999999998</v>
      </c>
      <c r="P656" s="94">
        <f t="shared" si="217"/>
        <v>0</v>
      </c>
      <c r="Q656" s="95">
        <f t="shared" si="218"/>
        <v>0</v>
      </c>
      <c r="R656" s="96"/>
      <c r="S656" s="97">
        <f t="shared" si="219"/>
        <v>8</v>
      </c>
      <c r="T656" s="98">
        <f t="shared" si="214"/>
        <v>-5</v>
      </c>
      <c r="U656">
        <v>8</v>
      </c>
    </row>
    <row r="657" spans="2:31" ht="20.100000000000001" customHeight="1">
      <c r="B657" s="88">
        <v>7</v>
      </c>
      <c r="C657" s="89" t="s">
        <v>1630</v>
      </c>
      <c r="D657" s="90" t="s">
        <v>1752</v>
      </c>
      <c r="E657" s="91" t="s">
        <v>1753</v>
      </c>
      <c r="F657" s="315">
        <v>132.80000000000001</v>
      </c>
      <c r="G657" s="260"/>
      <c r="H657" s="260"/>
      <c r="I657" s="309">
        <v>16</v>
      </c>
      <c r="J657" s="199"/>
      <c r="K657" s="269">
        <v>7</v>
      </c>
      <c r="L657" s="93">
        <f t="shared" si="220"/>
        <v>9</v>
      </c>
      <c r="M657" s="183">
        <v>9</v>
      </c>
      <c r="N657" s="95">
        <f t="shared" si="215"/>
        <v>1195.2</v>
      </c>
      <c r="O657" s="95">
        <f t="shared" si="216"/>
        <v>1195.2</v>
      </c>
      <c r="P657" s="94">
        <f t="shared" si="217"/>
        <v>0</v>
      </c>
      <c r="Q657" s="95">
        <f t="shared" si="218"/>
        <v>0</v>
      </c>
      <c r="R657" s="96"/>
      <c r="S657" s="97">
        <f t="shared" si="219"/>
        <v>0</v>
      </c>
      <c r="T657" s="98">
        <f t="shared" si="214"/>
        <v>9</v>
      </c>
    </row>
    <row r="658" spans="2:31" ht="20.100000000000001" customHeight="1">
      <c r="B658" s="88">
        <v>7</v>
      </c>
      <c r="C658" s="89" t="s">
        <v>1630</v>
      </c>
      <c r="D658" s="90" t="s">
        <v>1754</v>
      </c>
      <c r="E658" s="91" t="s">
        <v>1755</v>
      </c>
      <c r="F658" s="315">
        <v>40.42</v>
      </c>
      <c r="G658" s="260"/>
      <c r="H658" s="260"/>
      <c r="I658" s="309"/>
      <c r="J658" s="199"/>
      <c r="K658" s="269"/>
      <c r="L658" s="93">
        <f t="shared" si="220"/>
        <v>0</v>
      </c>
      <c r="M658" s="183"/>
      <c r="N658" s="95">
        <f t="shared" si="215"/>
        <v>0</v>
      </c>
      <c r="O658" s="95">
        <f t="shared" si="216"/>
        <v>0</v>
      </c>
      <c r="P658" s="94">
        <f t="shared" si="217"/>
        <v>0</v>
      </c>
      <c r="Q658" s="95">
        <f t="shared" si="218"/>
        <v>0</v>
      </c>
      <c r="R658" s="96"/>
      <c r="S658" s="97">
        <f t="shared" si="219"/>
        <v>0</v>
      </c>
      <c r="T658" s="98">
        <f t="shared" si="214"/>
        <v>0</v>
      </c>
    </row>
    <row r="659" spans="2:31" ht="20.100000000000001" customHeight="1">
      <c r="B659" s="88">
        <v>7</v>
      </c>
      <c r="C659" s="89" t="s">
        <v>1630</v>
      </c>
      <c r="D659" s="90" t="s">
        <v>1756</v>
      </c>
      <c r="E659" s="91" t="s">
        <v>1757</v>
      </c>
      <c r="F659" s="315">
        <v>30.85</v>
      </c>
      <c r="G659" s="260">
        <v>43</v>
      </c>
      <c r="H659" s="260"/>
      <c r="I659" s="309"/>
      <c r="J659" s="199"/>
      <c r="K659" s="269"/>
      <c r="L659" s="93">
        <f t="shared" si="220"/>
        <v>43</v>
      </c>
      <c r="M659" s="183">
        <v>43</v>
      </c>
      <c r="N659" s="95">
        <f t="shared" si="215"/>
        <v>1326.55</v>
      </c>
      <c r="O659" s="95">
        <f t="shared" si="216"/>
        <v>1326.55</v>
      </c>
      <c r="P659" s="94">
        <f t="shared" si="217"/>
        <v>0</v>
      </c>
      <c r="Q659" s="95">
        <f t="shared" si="218"/>
        <v>0</v>
      </c>
      <c r="R659" s="96" t="s">
        <v>1758</v>
      </c>
      <c r="S659" s="97">
        <f t="shared" si="219"/>
        <v>43</v>
      </c>
      <c r="T659" s="98">
        <f t="shared" si="214"/>
        <v>0</v>
      </c>
      <c r="W659">
        <f>39+4</f>
        <v>43</v>
      </c>
      <c r="X659" t="s">
        <v>555</v>
      </c>
      <c r="AD659">
        <f>W659</f>
        <v>43</v>
      </c>
      <c r="AE659" s="100">
        <f>AD659*F659</f>
        <v>1326.55</v>
      </c>
    </row>
    <row r="660" spans="2:31" ht="20.100000000000001" customHeight="1">
      <c r="B660" s="88">
        <v>7</v>
      </c>
      <c r="C660" s="89" t="s">
        <v>1630</v>
      </c>
      <c r="D660" s="90" t="s">
        <v>1759</v>
      </c>
      <c r="E660" s="91" t="s">
        <v>1760</v>
      </c>
      <c r="F660" s="315">
        <v>41.89</v>
      </c>
      <c r="G660" s="260"/>
      <c r="H660" s="260"/>
      <c r="I660" s="309"/>
      <c r="J660" s="199"/>
      <c r="K660" s="269"/>
      <c r="L660" s="93">
        <f t="shared" si="220"/>
        <v>0</v>
      </c>
      <c r="M660" s="183"/>
      <c r="N660" s="95">
        <f t="shared" si="215"/>
        <v>0</v>
      </c>
      <c r="O660" s="95">
        <f t="shared" si="216"/>
        <v>0</v>
      </c>
      <c r="P660" s="94">
        <f t="shared" si="217"/>
        <v>0</v>
      </c>
      <c r="Q660" s="95">
        <f t="shared" si="218"/>
        <v>0</v>
      </c>
      <c r="R660" s="96"/>
      <c r="S660" s="97">
        <f t="shared" si="219"/>
        <v>0</v>
      </c>
      <c r="T660" s="98">
        <f t="shared" si="214"/>
        <v>0</v>
      </c>
    </row>
    <row r="661" spans="2:31" ht="20.100000000000001" customHeight="1">
      <c r="B661" s="88">
        <v>7</v>
      </c>
      <c r="C661" s="89" t="s">
        <v>1630</v>
      </c>
      <c r="D661" s="90" t="s">
        <v>1761</v>
      </c>
      <c r="E661" s="91" t="s">
        <v>1762</v>
      </c>
      <c r="F661" s="315">
        <v>24.25</v>
      </c>
      <c r="G661" s="260">
        <v>1</v>
      </c>
      <c r="H661" s="260"/>
      <c r="I661" s="309"/>
      <c r="J661" s="199"/>
      <c r="K661" s="269"/>
      <c r="L661" s="93">
        <f t="shared" si="220"/>
        <v>1</v>
      </c>
      <c r="M661" s="183">
        <v>1</v>
      </c>
      <c r="N661" s="95">
        <f t="shared" si="215"/>
        <v>24.25</v>
      </c>
      <c r="O661" s="95">
        <f t="shared" si="216"/>
        <v>24.25</v>
      </c>
      <c r="P661" s="94">
        <f t="shared" si="217"/>
        <v>0</v>
      </c>
      <c r="Q661" s="95">
        <f t="shared" si="218"/>
        <v>0</v>
      </c>
      <c r="R661" s="96"/>
      <c r="S661" s="97">
        <f t="shared" si="219"/>
        <v>1</v>
      </c>
      <c r="T661" s="98">
        <f t="shared" si="214"/>
        <v>0</v>
      </c>
      <c r="AA661">
        <v>1</v>
      </c>
      <c r="AB661" t="s">
        <v>1763</v>
      </c>
      <c r="AD661">
        <f>AA661</f>
        <v>1</v>
      </c>
      <c r="AE661" s="100">
        <f>AD661*F661</f>
        <v>24.25</v>
      </c>
    </row>
    <row r="662" spans="2:31" ht="20.100000000000001" customHeight="1">
      <c r="B662" s="88">
        <v>7</v>
      </c>
      <c r="C662" s="89" t="s">
        <v>1630</v>
      </c>
      <c r="D662" s="90" t="s">
        <v>1764</v>
      </c>
      <c r="E662" s="91" t="s">
        <v>1765</v>
      </c>
      <c r="F662" s="315">
        <v>37.04</v>
      </c>
      <c r="G662" s="260"/>
      <c r="H662" s="260"/>
      <c r="I662" s="309"/>
      <c r="J662" s="199"/>
      <c r="K662" s="269"/>
      <c r="L662" s="93">
        <f t="shared" si="220"/>
        <v>0</v>
      </c>
      <c r="M662" s="183"/>
      <c r="N662" s="95">
        <f t="shared" si="215"/>
        <v>0</v>
      </c>
      <c r="O662" s="95">
        <f t="shared" si="216"/>
        <v>0</v>
      </c>
      <c r="P662" s="94">
        <f t="shared" si="217"/>
        <v>0</v>
      </c>
      <c r="Q662" s="95">
        <f t="shared" si="218"/>
        <v>0</v>
      </c>
      <c r="R662" s="96"/>
      <c r="S662" s="97">
        <f t="shared" si="219"/>
        <v>0</v>
      </c>
      <c r="T662" s="98">
        <f t="shared" si="214"/>
        <v>0</v>
      </c>
    </row>
    <row r="663" spans="2:31" ht="20.100000000000001" customHeight="1">
      <c r="B663" s="88">
        <v>7</v>
      </c>
      <c r="C663" s="89" t="s">
        <v>1630</v>
      </c>
      <c r="D663" s="90" t="s">
        <v>1766</v>
      </c>
      <c r="E663" s="91" t="s">
        <v>1767</v>
      </c>
      <c r="F663" s="315">
        <v>53.26</v>
      </c>
      <c r="G663" s="260"/>
      <c r="H663" s="260"/>
      <c r="I663" s="309"/>
      <c r="J663" s="199"/>
      <c r="K663" s="269"/>
      <c r="L663" s="93">
        <f t="shared" si="220"/>
        <v>0</v>
      </c>
      <c r="M663" s="183"/>
      <c r="N663" s="95">
        <f t="shared" si="215"/>
        <v>0</v>
      </c>
      <c r="O663" s="95">
        <f t="shared" si="216"/>
        <v>0</v>
      </c>
      <c r="P663" s="94">
        <f t="shared" si="217"/>
        <v>0</v>
      </c>
      <c r="Q663" s="95">
        <f t="shared" si="218"/>
        <v>0</v>
      </c>
      <c r="R663" s="96"/>
      <c r="S663" s="97">
        <f t="shared" si="219"/>
        <v>0</v>
      </c>
      <c r="T663" s="98">
        <f t="shared" si="214"/>
        <v>0</v>
      </c>
    </row>
    <row r="664" spans="2:31" ht="20.100000000000001" customHeight="1">
      <c r="B664" s="88">
        <v>7</v>
      </c>
      <c r="C664" s="89" t="s">
        <v>1630</v>
      </c>
      <c r="D664" s="90" t="s">
        <v>1768</v>
      </c>
      <c r="E664" s="91" t="s">
        <v>1769</v>
      </c>
      <c r="F664" s="315">
        <v>12.39</v>
      </c>
      <c r="G664" s="260">
        <v>11</v>
      </c>
      <c r="H664" s="260">
        <v>6</v>
      </c>
      <c r="I664" s="309"/>
      <c r="J664" s="199"/>
      <c r="K664" s="269">
        <v>9</v>
      </c>
      <c r="L664" s="93">
        <f t="shared" si="220"/>
        <v>8</v>
      </c>
      <c r="M664" s="276">
        <v>8</v>
      </c>
      <c r="N664" s="95">
        <f t="shared" si="215"/>
        <v>99.12</v>
      </c>
      <c r="O664" s="95">
        <f t="shared" si="216"/>
        <v>99.12</v>
      </c>
      <c r="P664" s="94">
        <f t="shared" si="217"/>
        <v>0</v>
      </c>
      <c r="Q664" s="95">
        <f t="shared" si="218"/>
        <v>0</v>
      </c>
      <c r="R664" s="96"/>
      <c r="S664" s="97">
        <f t="shared" si="219"/>
        <v>12</v>
      </c>
      <c r="T664" s="98">
        <f t="shared" si="214"/>
        <v>-4</v>
      </c>
      <c r="U664">
        <v>12</v>
      </c>
    </row>
    <row r="665" spans="2:31" ht="20.100000000000001" customHeight="1">
      <c r="B665" s="88">
        <v>7</v>
      </c>
      <c r="C665" s="89" t="s">
        <v>1630</v>
      </c>
      <c r="D665" s="90" t="s">
        <v>1770</v>
      </c>
      <c r="E665" s="91" t="s">
        <v>1771</v>
      </c>
      <c r="F665" s="315">
        <v>35.549999999999997</v>
      </c>
      <c r="G665" s="260">
        <v>22</v>
      </c>
      <c r="H665" s="260">
        <v>4</v>
      </c>
      <c r="I665" s="309"/>
      <c r="J665" s="199"/>
      <c r="K665" s="269">
        <v>5</v>
      </c>
      <c r="L665" s="93">
        <f t="shared" si="220"/>
        <v>21</v>
      </c>
      <c r="M665" s="183">
        <f>10+11</f>
        <v>21</v>
      </c>
      <c r="N665" s="95">
        <f t="shared" si="215"/>
        <v>746.55</v>
      </c>
      <c r="O665" s="95">
        <f t="shared" si="216"/>
        <v>746.55</v>
      </c>
      <c r="P665" s="94">
        <f t="shared" si="217"/>
        <v>0</v>
      </c>
      <c r="Q665" s="95">
        <f t="shared" si="218"/>
        <v>0</v>
      </c>
      <c r="R665" s="96"/>
      <c r="S665" s="97">
        <f t="shared" si="219"/>
        <v>11</v>
      </c>
      <c r="T665" s="98">
        <f t="shared" si="214"/>
        <v>10</v>
      </c>
      <c r="U665">
        <v>11</v>
      </c>
    </row>
    <row r="666" spans="2:31" ht="20.100000000000001" customHeight="1">
      <c r="B666" s="88">
        <v>7</v>
      </c>
      <c r="C666" s="89" t="s">
        <v>1630</v>
      </c>
      <c r="D666" s="90" t="s">
        <v>1772</v>
      </c>
      <c r="E666" s="91" t="s">
        <v>1773</v>
      </c>
      <c r="F666" s="315">
        <v>125.05</v>
      </c>
      <c r="G666" s="260">
        <v>1</v>
      </c>
      <c r="H666" s="260"/>
      <c r="I666" s="309"/>
      <c r="J666" s="199"/>
      <c r="K666" s="269"/>
      <c r="L666" s="93">
        <f t="shared" si="220"/>
        <v>1</v>
      </c>
      <c r="M666" s="183">
        <v>1</v>
      </c>
      <c r="N666" s="95">
        <f t="shared" si="215"/>
        <v>125.05</v>
      </c>
      <c r="O666" s="95">
        <f t="shared" si="216"/>
        <v>125.05</v>
      </c>
      <c r="P666" s="94">
        <f t="shared" si="217"/>
        <v>0</v>
      </c>
      <c r="Q666" s="95">
        <f t="shared" si="218"/>
        <v>0</v>
      </c>
      <c r="R666" s="96"/>
      <c r="S666" s="97">
        <f t="shared" si="219"/>
        <v>2</v>
      </c>
      <c r="T666" s="98">
        <f t="shared" si="214"/>
        <v>-1</v>
      </c>
      <c r="U666">
        <v>2</v>
      </c>
    </row>
    <row r="667" spans="2:31" ht="20.100000000000001" customHeight="1">
      <c r="B667" s="88">
        <v>7</v>
      </c>
      <c r="C667" s="89" t="s">
        <v>1630</v>
      </c>
      <c r="D667" s="90" t="s">
        <v>1774</v>
      </c>
      <c r="E667" s="91" t="s">
        <v>1775</v>
      </c>
      <c r="F667" s="315">
        <v>97.21</v>
      </c>
      <c r="G667" s="260"/>
      <c r="H667" s="260"/>
      <c r="I667" s="309"/>
      <c r="J667" s="199"/>
      <c r="K667" s="269"/>
      <c r="L667" s="93">
        <f t="shared" si="220"/>
        <v>0</v>
      </c>
      <c r="M667" s="183"/>
      <c r="N667" s="95">
        <f t="shared" si="215"/>
        <v>0</v>
      </c>
      <c r="O667" s="95">
        <f t="shared" si="216"/>
        <v>0</v>
      </c>
      <c r="P667" s="94">
        <f t="shared" si="217"/>
        <v>0</v>
      </c>
      <c r="Q667" s="95">
        <f t="shared" si="218"/>
        <v>0</v>
      </c>
      <c r="R667" s="96"/>
      <c r="S667" s="97">
        <f t="shared" si="219"/>
        <v>0</v>
      </c>
      <c r="T667" s="98">
        <f t="shared" si="214"/>
        <v>0</v>
      </c>
    </row>
    <row r="668" spans="2:31" ht="20.100000000000001" customHeight="1">
      <c r="B668" s="88">
        <v>7</v>
      </c>
      <c r="C668" s="89" t="s">
        <v>1630</v>
      </c>
      <c r="D668" s="90" t="s">
        <v>1776</v>
      </c>
      <c r="E668" s="91" t="s">
        <v>1777</v>
      </c>
      <c r="F668" s="315">
        <v>12.39</v>
      </c>
      <c r="G668" s="260">
        <v>15</v>
      </c>
      <c r="H668" s="260">
        <v>6</v>
      </c>
      <c r="I668" s="309"/>
      <c r="J668" s="199"/>
      <c r="K668" s="269">
        <v>6</v>
      </c>
      <c r="L668" s="93">
        <f t="shared" si="220"/>
        <v>15</v>
      </c>
      <c r="M668" s="183">
        <v>15</v>
      </c>
      <c r="N668" s="95">
        <f t="shared" si="215"/>
        <v>185.85000000000002</v>
      </c>
      <c r="O668" s="95">
        <f t="shared" si="216"/>
        <v>185.85000000000002</v>
      </c>
      <c r="P668" s="94">
        <f t="shared" si="217"/>
        <v>0</v>
      </c>
      <c r="Q668" s="95">
        <f t="shared" si="218"/>
        <v>0</v>
      </c>
      <c r="R668" s="278"/>
      <c r="S668" s="97">
        <f t="shared" si="219"/>
        <v>17</v>
      </c>
      <c r="T668" s="98">
        <f t="shared" si="214"/>
        <v>-2</v>
      </c>
      <c r="U668">
        <v>17</v>
      </c>
    </row>
    <row r="669" spans="2:31" ht="20.100000000000001" customHeight="1">
      <c r="B669" s="88">
        <v>7</v>
      </c>
      <c r="C669" s="89" t="s">
        <v>1630</v>
      </c>
      <c r="D669" s="90" t="s">
        <v>1778</v>
      </c>
      <c r="E669" s="91" t="s">
        <v>1779</v>
      </c>
      <c r="F669" s="315">
        <v>97.21</v>
      </c>
      <c r="G669" s="260"/>
      <c r="H669" s="260"/>
      <c r="I669" s="309"/>
      <c r="J669" s="199"/>
      <c r="K669" s="269"/>
      <c r="L669" s="93">
        <f t="shared" si="220"/>
        <v>0</v>
      </c>
      <c r="M669" s="183"/>
      <c r="N669" s="95">
        <f t="shared" ref="N669:N722" si="221">F669*L669</f>
        <v>0</v>
      </c>
      <c r="O669" s="95">
        <f t="shared" ref="O669:O722" si="222">M669*F669</f>
        <v>0</v>
      </c>
      <c r="P669" s="94">
        <f t="shared" ref="P669:P722" si="223">L669-M669</f>
        <v>0</v>
      </c>
      <c r="Q669" s="95">
        <f t="shared" ref="Q669:Q722" si="224">N669-O669</f>
        <v>0</v>
      </c>
      <c r="R669" s="96"/>
      <c r="S669" s="97">
        <f t="shared" ref="S669:S722" si="225">U669+Y669+W669+AA669</f>
        <v>0</v>
      </c>
      <c r="T669" s="98">
        <f t="shared" ref="T669:T721" si="226">M669-S669</f>
        <v>0</v>
      </c>
    </row>
    <row r="670" spans="2:31" ht="20.100000000000001" customHeight="1">
      <c r="B670" s="88">
        <v>7</v>
      </c>
      <c r="C670" s="89" t="s">
        <v>1630</v>
      </c>
      <c r="D670" s="90" t="s">
        <v>1780</v>
      </c>
      <c r="E670" s="91" t="s">
        <v>1781</v>
      </c>
      <c r="F670" s="315">
        <v>35.549999999999997</v>
      </c>
      <c r="G670" s="260">
        <v>8</v>
      </c>
      <c r="H670" s="260"/>
      <c r="I670" s="309"/>
      <c r="J670" s="199"/>
      <c r="K670" s="269">
        <v>1</v>
      </c>
      <c r="L670" s="93">
        <f t="shared" si="220"/>
        <v>7</v>
      </c>
      <c r="M670" s="183">
        <v>7</v>
      </c>
      <c r="N670" s="95">
        <f t="shared" si="221"/>
        <v>248.84999999999997</v>
      </c>
      <c r="O670" s="95">
        <f t="shared" si="222"/>
        <v>248.84999999999997</v>
      </c>
      <c r="P670" s="94">
        <f t="shared" si="223"/>
        <v>0</v>
      </c>
      <c r="Q670" s="95">
        <f t="shared" si="224"/>
        <v>0</v>
      </c>
      <c r="R670" s="96"/>
      <c r="S670" s="97">
        <f t="shared" si="225"/>
        <v>10</v>
      </c>
      <c r="T670" s="98">
        <f t="shared" si="226"/>
        <v>-3</v>
      </c>
      <c r="U670">
        <v>10</v>
      </c>
    </row>
    <row r="671" spans="2:31" ht="20.100000000000001" customHeight="1">
      <c r="B671" s="88">
        <v>7</v>
      </c>
      <c r="C671" s="89" t="s">
        <v>1630</v>
      </c>
      <c r="D671" s="90" t="s">
        <v>1780</v>
      </c>
      <c r="E671" s="91" t="s">
        <v>1781</v>
      </c>
      <c r="F671" s="315">
        <v>35.549999999999997</v>
      </c>
      <c r="G671" s="260"/>
      <c r="H671" s="260"/>
      <c r="I671" s="309"/>
      <c r="J671" s="199"/>
      <c r="K671" s="269"/>
      <c r="L671" s="93">
        <f t="shared" si="220"/>
        <v>0</v>
      </c>
      <c r="M671" s="183"/>
      <c r="N671" s="95">
        <f t="shared" si="221"/>
        <v>0</v>
      </c>
      <c r="O671" s="95">
        <f t="shared" si="222"/>
        <v>0</v>
      </c>
      <c r="P671" s="94">
        <f t="shared" si="223"/>
        <v>0</v>
      </c>
      <c r="Q671" s="95">
        <f t="shared" si="224"/>
        <v>0</v>
      </c>
      <c r="R671" s="96"/>
      <c r="S671" s="97">
        <f t="shared" si="225"/>
        <v>0</v>
      </c>
      <c r="T671" s="98">
        <f t="shared" si="226"/>
        <v>0</v>
      </c>
    </row>
    <row r="672" spans="2:31" ht="20.100000000000001" customHeight="1">
      <c r="B672" s="88">
        <v>7</v>
      </c>
      <c r="C672" s="89" t="s">
        <v>1630</v>
      </c>
      <c r="D672" s="90" t="s">
        <v>1782</v>
      </c>
      <c r="E672" s="91" t="s">
        <v>1783</v>
      </c>
      <c r="F672" s="315">
        <v>97.21</v>
      </c>
      <c r="G672" s="260">
        <v>1</v>
      </c>
      <c r="H672" s="260"/>
      <c r="I672" s="309"/>
      <c r="J672" s="199"/>
      <c r="K672" s="269">
        <v>1</v>
      </c>
      <c r="L672" s="93">
        <f t="shared" si="220"/>
        <v>0</v>
      </c>
      <c r="M672" s="183"/>
      <c r="N672" s="95">
        <f t="shared" si="221"/>
        <v>0</v>
      </c>
      <c r="O672" s="95">
        <f t="shared" si="222"/>
        <v>0</v>
      </c>
      <c r="P672" s="94">
        <f t="shared" si="223"/>
        <v>0</v>
      </c>
      <c r="Q672" s="95">
        <f t="shared" si="224"/>
        <v>0</v>
      </c>
      <c r="R672" s="278" t="s">
        <v>5219</v>
      </c>
      <c r="S672" s="97">
        <f t="shared" si="225"/>
        <v>1</v>
      </c>
      <c r="T672" s="98">
        <f t="shared" si="226"/>
        <v>-1</v>
      </c>
      <c r="U672">
        <v>1</v>
      </c>
    </row>
    <row r="673" spans="2:21" ht="20.100000000000001" customHeight="1">
      <c r="B673" s="88">
        <v>7</v>
      </c>
      <c r="C673" s="89" t="s">
        <v>1630</v>
      </c>
      <c r="D673" s="90" t="s">
        <v>1784</v>
      </c>
      <c r="E673" s="91" t="s">
        <v>1783</v>
      </c>
      <c r="F673" s="315">
        <v>125.05</v>
      </c>
      <c r="G673" s="260">
        <v>1</v>
      </c>
      <c r="H673" s="260"/>
      <c r="I673" s="309"/>
      <c r="J673" s="199"/>
      <c r="K673" s="269"/>
      <c r="L673" s="93">
        <f t="shared" si="220"/>
        <v>1</v>
      </c>
      <c r="M673" s="183">
        <v>1</v>
      </c>
      <c r="N673" s="95">
        <f t="shared" si="221"/>
        <v>125.05</v>
      </c>
      <c r="O673" s="95">
        <f t="shared" si="222"/>
        <v>125.05</v>
      </c>
      <c r="P673" s="94">
        <f t="shared" si="223"/>
        <v>0</v>
      </c>
      <c r="Q673" s="95">
        <f t="shared" si="224"/>
        <v>0</v>
      </c>
      <c r="R673" s="96"/>
      <c r="S673" s="97">
        <f t="shared" si="225"/>
        <v>0</v>
      </c>
      <c r="T673" s="98">
        <f t="shared" si="226"/>
        <v>1</v>
      </c>
    </row>
    <row r="674" spans="2:21" ht="20.100000000000001" customHeight="1">
      <c r="B674" s="88">
        <v>7</v>
      </c>
      <c r="C674" s="89" t="s">
        <v>1630</v>
      </c>
      <c r="D674" s="90" t="s">
        <v>1785</v>
      </c>
      <c r="E674" s="91" t="s">
        <v>1786</v>
      </c>
      <c r="F674" s="315">
        <v>12.39</v>
      </c>
      <c r="G674" s="260">
        <v>10</v>
      </c>
      <c r="H674" s="260"/>
      <c r="I674" s="309"/>
      <c r="J674" s="199"/>
      <c r="K674" s="269">
        <v>1</v>
      </c>
      <c r="L674" s="93">
        <f t="shared" si="220"/>
        <v>9</v>
      </c>
      <c r="M674" s="183">
        <v>9</v>
      </c>
      <c r="N674" s="95">
        <f t="shared" si="221"/>
        <v>111.51</v>
      </c>
      <c r="O674" s="95">
        <f t="shared" si="222"/>
        <v>111.51</v>
      </c>
      <c r="P674" s="94">
        <f t="shared" si="223"/>
        <v>0</v>
      </c>
      <c r="Q674" s="95">
        <f t="shared" si="224"/>
        <v>0</v>
      </c>
      <c r="R674" s="96"/>
      <c r="S674" s="97">
        <f t="shared" si="225"/>
        <v>12</v>
      </c>
      <c r="T674" s="98">
        <f t="shared" si="226"/>
        <v>-3</v>
      </c>
      <c r="U674">
        <v>12</v>
      </c>
    </row>
    <row r="675" spans="2:21" ht="20.100000000000001" customHeight="1">
      <c r="B675" s="88">
        <v>7</v>
      </c>
      <c r="C675" s="89" t="s">
        <v>1630</v>
      </c>
      <c r="D675" s="90" t="s">
        <v>1787</v>
      </c>
      <c r="E675" s="91" t="s">
        <v>1788</v>
      </c>
      <c r="F675" s="315">
        <v>35.549999999999997</v>
      </c>
      <c r="G675" s="260">
        <v>9</v>
      </c>
      <c r="H675" s="260">
        <v>5</v>
      </c>
      <c r="I675" s="309"/>
      <c r="J675" s="199"/>
      <c r="K675" s="269">
        <v>6</v>
      </c>
      <c r="L675" s="93">
        <f t="shared" si="220"/>
        <v>8</v>
      </c>
      <c r="M675" s="183">
        <v>8</v>
      </c>
      <c r="N675" s="95">
        <f t="shared" si="221"/>
        <v>284.39999999999998</v>
      </c>
      <c r="O675" s="95">
        <f t="shared" si="222"/>
        <v>284.39999999999998</v>
      </c>
      <c r="P675" s="94">
        <f t="shared" si="223"/>
        <v>0</v>
      </c>
      <c r="Q675" s="95">
        <f t="shared" si="224"/>
        <v>0</v>
      </c>
      <c r="R675" s="96"/>
      <c r="S675" s="97">
        <f t="shared" si="225"/>
        <v>14</v>
      </c>
      <c r="T675" s="98">
        <f t="shared" si="226"/>
        <v>-6</v>
      </c>
      <c r="U675">
        <v>14</v>
      </c>
    </row>
    <row r="676" spans="2:21" ht="20.100000000000001" customHeight="1">
      <c r="B676" s="88">
        <v>7</v>
      </c>
      <c r="C676" s="89" t="s">
        <v>1630</v>
      </c>
      <c r="D676" s="90" t="s">
        <v>1789</v>
      </c>
      <c r="E676" s="91" t="s">
        <v>1790</v>
      </c>
      <c r="F676" s="315">
        <v>89.91</v>
      </c>
      <c r="G676" s="260"/>
      <c r="H676" s="260"/>
      <c r="I676" s="309"/>
      <c r="J676" s="199"/>
      <c r="K676" s="269"/>
      <c r="L676" s="93">
        <f t="shared" si="220"/>
        <v>0</v>
      </c>
      <c r="M676" s="183"/>
      <c r="N676" s="95">
        <f t="shared" si="221"/>
        <v>0</v>
      </c>
      <c r="O676" s="95">
        <f t="shared" si="222"/>
        <v>0</v>
      </c>
      <c r="P676" s="94">
        <f t="shared" si="223"/>
        <v>0</v>
      </c>
      <c r="Q676" s="95">
        <f t="shared" si="224"/>
        <v>0</v>
      </c>
      <c r="R676" s="96"/>
      <c r="S676" s="97">
        <f t="shared" si="225"/>
        <v>0</v>
      </c>
      <c r="T676" s="98">
        <f t="shared" si="226"/>
        <v>0</v>
      </c>
    </row>
    <row r="677" spans="2:21" ht="20.100000000000001" customHeight="1">
      <c r="B677" s="88">
        <v>7</v>
      </c>
      <c r="C677" s="89" t="s">
        <v>1630</v>
      </c>
      <c r="D677" s="90" t="s">
        <v>1791</v>
      </c>
      <c r="E677" s="91" t="s">
        <v>1792</v>
      </c>
      <c r="F677" s="315">
        <v>12.39</v>
      </c>
      <c r="G677" s="260">
        <f>24+5</f>
        <v>29</v>
      </c>
      <c r="H677" s="260">
        <v>20</v>
      </c>
      <c r="I677" s="309"/>
      <c r="J677" s="199"/>
      <c r="K677" s="269">
        <v>20</v>
      </c>
      <c r="L677" s="93">
        <f t="shared" si="220"/>
        <v>29</v>
      </c>
      <c r="M677" s="183">
        <f>24+5</f>
        <v>29</v>
      </c>
      <c r="N677" s="95">
        <f t="shared" si="221"/>
        <v>359.31</v>
      </c>
      <c r="O677" s="95">
        <f t="shared" si="222"/>
        <v>359.31</v>
      </c>
      <c r="P677" s="94">
        <f t="shared" si="223"/>
        <v>0</v>
      </c>
      <c r="Q677" s="95">
        <f t="shared" si="224"/>
        <v>0</v>
      </c>
      <c r="R677" s="278"/>
      <c r="S677" s="97">
        <f t="shared" si="225"/>
        <v>24</v>
      </c>
      <c r="T677" s="98">
        <f t="shared" si="226"/>
        <v>5</v>
      </c>
      <c r="U677">
        <v>24</v>
      </c>
    </row>
    <row r="678" spans="2:21" ht="20.100000000000001" customHeight="1">
      <c r="B678" s="88">
        <v>7</v>
      </c>
      <c r="C678" s="89" t="s">
        <v>1630</v>
      </c>
      <c r="D678" s="90" t="s">
        <v>1793</v>
      </c>
      <c r="E678" s="91" t="s">
        <v>1794</v>
      </c>
      <c r="F678" s="315">
        <v>232.05</v>
      </c>
      <c r="G678" s="260"/>
      <c r="H678" s="260"/>
      <c r="I678" s="309"/>
      <c r="J678" s="199"/>
      <c r="K678" s="269"/>
      <c r="L678" s="93">
        <f t="shared" si="220"/>
        <v>0</v>
      </c>
      <c r="M678" s="183"/>
      <c r="N678" s="95">
        <f t="shared" si="221"/>
        <v>0</v>
      </c>
      <c r="O678" s="95">
        <f t="shared" si="222"/>
        <v>0</v>
      </c>
      <c r="P678" s="94">
        <f t="shared" si="223"/>
        <v>0</v>
      </c>
      <c r="Q678" s="95">
        <f t="shared" si="224"/>
        <v>0</v>
      </c>
      <c r="R678" s="96"/>
      <c r="S678" s="97">
        <f t="shared" si="225"/>
        <v>0</v>
      </c>
      <c r="T678" s="98">
        <f t="shared" si="226"/>
        <v>0</v>
      </c>
    </row>
    <row r="679" spans="2:21" ht="20.100000000000001" customHeight="1">
      <c r="B679" s="88">
        <v>7</v>
      </c>
      <c r="C679" s="89" t="s">
        <v>1630</v>
      </c>
      <c r="D679" s="90" t="s">
        <v>1795</v>
      </c>
      <c r="E679" s="91" t="s">
        <v>1796</v>
      </c>
      <c r="F679" s="315">
        <v>32.840000000000003</v>
      </c>
      <c r="G679" s="260"/>
      <c r="H679" s="260">
        <v>10</v>
      </c>
      <c r="I679" s="309"/>
      <c r="J679" s="199"/>
      <c r="K679" s="269">
        <v>10</v>
      </c>
      <c r="L679" s="93">
        <f t="shared" si="220"/>
        <v>0</v>
      </c>
      <c r="M679" s="183"/>
      <c r="N679" s="95">
        <f t="shared" si="221"/>
        <v>0</v>
      </c>
      <c r="O679" s="95">
        <f t="shared" si="222"/>
        <v>0</v>
      </c>
      <c r="P679" s="94">
        <f t="shared" si="223"/>
        <v>0</v>
      </c>
      <c r="Q679" s="95">
        <f t="shared" si="224"/>
        <v>0</v>
      </c>
      <c r="R679" s="278"/>
      <c r="S679" s="97">
        <f t="shared" si="225"/>
        <v>0</v>
      </c>
      <c r="T679" s="98">
        <f t="shared" si="226"/>
        <v>0</v>
      </c>
    </row>
    <row r="680" spans="2:21" ht="20.100000000000001" customHeight="1">
      <c r="B680" s="88">
        <v>7</v>
      </c>
      <c r="C680" s="89" t="s">
        <v>1630</v>
      </c>
      <c r="D680" s="90" t="s">
        <v>1797</v>
      </c>
      <c r="E680" s="91" t="s">
        <v>1798</v>
      </c>
      <c r="F680" s="315">
        <v>93.84</v>
      </c>
      <c r="G680" s="260"/>
      <c r="H680" s="260"/>
      <c r="I680" s="309"/>
      <c r="J680" s="199"/>
      <c r="K680" s="269"/>
      <c r="L680" s="93">
        <f t="shared" si="220"/>
        <v>0</v>
      </c>
      <c r="M680" s="183"/>
      <c r="N680" s="95">
        <f t="shared" si="221"/>
        <v>0</v>
      </c>
      <c r="O680" s="95">
        <f t="shared" si="222"/>
        <v>0</v>
      </c>
      <c r="P680" s="94">
        <f t="shared" si="223"/>
        <v>0</v>
      </c>
      <c r="Q680" s="95">
        <f t="shared" si="224"/>
        <v>0</v>
      </c>
      <c r="R680" s="96"/>
      <c r="S680" s="97">
        <f t="shared" si="225"/>
        <v>0</v>
      </c>
      <c r="T680" s="98">
        <f t="shared" si="226"/>
        <v>0</v>
      </c>
    </row>
    <row r="681" spans="2:21" ht="20.100000000000001" customHeight="1">
      <c r="B681" s="88">
        <v>7</v>
      </c>
      <c r="C681" s="89" t="s">
        <v>1630</v>
      </c>
      <c r="D681" s="90" t="s">
        <v>1799</v>
      </c>
      <c r="E681" s="91" t="s">
        <v>1800</v>
      </c>
      <c r="F681" s="315">
        <v>76.14</v>
      </c>
      <c r="G681" s="260"/>
      <c r="H681" s="260"/>
      <c r="I681" s="309"/>
      <c r="J681" s="199"/>
      <c r="K681" s="269"/>
      <c r="L681" s="93">
        <f t="shared" si="220"/>
        <v>0</v>
      </c>
      <c r="M681" s="183"/>
      <c r="N681" s="95">
        <f t="shared" si="221"/>
        <v>0</v>
      </c>
      <c r="O681" s="95">
        <f t="shared" si="222"/>
        <v>0</v>
      </c>
      <c r="P681" s="94">
        <f t="shared" si="223"/>
        <v>0</v>
      </c>
      <c r="Q681" s="95">
        <f t="shared" si="224"/>
        <v>0</v>
      </c>
      <c r="R681" s="96"/>
      <c r="S681" s="97">
        <f t="shared" si="225"/>
        <v>0</v>
      </c>
      <c r="T681" s="98">
        <f t="shared" si="226"/>
        <v>0</v>
      </c>
    </row>
    <row r="682" spans="2:21" ht="20.100000000000001" customHeight="1">
      <c r="B682" s="88">
        <v>7</v>
      </c>
      <c r="C682" s="89" t="s">
        <v>1630</v>
      </c>
      <c r="D682" s="90" t="s">
        <v>1801</v>
      </c>
      <c r="E682" s="91" t="s">
        <v>1802</v>
      </c>
      <c r="F682" s="315">
        <v>32.18</v>
      </c>
      <c r="G682" s="260">
        <v>7</v>
      </c>
      <c r="H682" s="260">
        <v>6</v>
      </c>
      <c r="I682" s="309"/>
      <c r="J682" s="199"/>
      <c r="K682" s="269">
        <v>6</v>
      </c>
      <c r="L682" s="93">
        <f t="shared" si="220"/>
        <v>7</v>
      </c>
      <c r="M682" s="183">
        <v>7</v>
      </c>
      <c r="N682" s="95">
        <f t="shared" si="221"/>
        <v>225.26</v>
      </c>
      <c r="O682" s="95">
        <f t="shared" si="222"/>
        <v>225.26</v>
      </c>
      <c r="P682" s="94">
        <f t="shared" si="223"/>
        <v>0</v>
      </c>
      <c r="Q682" s="95">
        <f t="shared" si="224"/>
        <v>0</v>
      </c>
      <c r="R682" s="278"/>
      <c r="S682" s="97">
        <f t="shared" si="225"/>
        <v>7</v>
      </c>
      <c r="T682" s="98">
        <f t="shared" si="226"/>
        <v>0</v>
      </c>
      <c r="U682">
        <v>7</v>
      </c>
    </row>
    <row r="683" spans="2:21" ht="20.100000000000001" customHeight="1">
      <c r="B683" s="88">
        <v>7</v>
      </c>
      <c r="C683" s="89" t="s">
        <v>1630</v>
      </c>
      <c r="D683" s="90" t="s">
        <v>1803</v>
      </c>
      <c r="E683" s="91" t="s">
        <v>1804</v>
      </c>
      <c r="F683" s="315">
        <v>23.4</v>
      </c>
      <c r="G683" s="260"/>
      <c r="H683" s="260"/>
      <c r="I683" s="309"/>
      <c r="J683" s="199"/>
      <c r="K683" s="269"/>
      <c r="L683" s="93">
        <f t="shared" si="220"/>
        <v>0</v>
      </c>
      <c r="M683" s="183"/>
      <c r="N683" s="95">
        <f t="shared" si="221"/>
        <v>0</v>
      </c>
      <c r="O683" s="95">
        <f t="shared" si="222"/>
        <v>0</v>
      </c>
      <c r="P683" s="94">
        <f t="shared" si="223"/>
        <v>0</v>
      </c>
      <c r="Q683" s="95">
        <f t="shared" si="224"/>
        <v>0</v>
      </c>
      <c r="R683" s="96"/>
      <c r="S683" s="97">
        <f t="shared" si="225"/>
        <v>2</v>
      </c>
      <c r="T683" s="98">
        <f t="shared" si="226"/>
        <v>-2</v>
      </c>
      <c r="U683">
        <v>2</v>
      </c>
    </row>
    <row r="684" spans="2:21" ht="20.100000000000001" customHeight="1">
      <c r="B684" s="88">
        <v>7</v>
      </c>
      <c r="C684" s="89" t="s">
        <v>1630</v>
      </c>
      <c r="D684" s="90" t="s">
        <v>1805</v>
      </c>
      <c r="E684" s="91" t="s">
        <v>1806</v>
      </c>
      <c r="F684" s="315">
        <v>22.45</v>
      </c>
      <c r="G684" s="260">
        <v>18</v>
      </c>
      <c r="H684" s="260"/>
      <c r="I684" s="309"/>
      <c r="J684" s="199"/>
      <c r="K684" s="269">
        <v>1</v>
      </c>
      <c r="L684" s="93">
        <f t="shared" si="220"/>
        <v>17</v>
      </c>
      <c r="M684" s="183">
        <v>16</v>
      </c>
      <c r="N684" s="95">
        <f t="shared" si="221"/>
        <v>381.65</v>
      </c>
      <c r="O684" s="95">
        <f t="shared" si="222"/>
        <v>359.2</v>
      </c>
      <c r="P684" s="94">
        <f t="shared" si="223"/>
        <v>1</v>
      </c>
      <c r="Q684" s="95">
        <f t="shared" si="224"/>
        <v>22.449999999999989</v>
      </c>
      <c r="R684" s="96"/>
      <c r="S684" s="97">
        <f t="shared" si="225"/>
        <v>18</v>
      </c>
      <c r="T684" s="98">
        <f t="shared" si="226"/>
        <v>-2</v>
      </c>
      <c r="U684">
        <v>18</v>
      </c>
    </row>
    <row r="685" spans="2:21" ht="20.100000000000001" customHeight="1">
      <c r="B685" s="88">
        <v>7</v>
      </c>
      <c r="C685" s="89" t="s">
        <v>1630</v>
      </c>
      <c r="D685" s="90" t="s">
        <v>1807</v>
      </c>
      <c r="E685" s="91" t="s">
        <v>1808</v>
      </c>
      <c r="F685" s="315">
        <v>116</v>
      </c>
      <c r="G685" s="260">
        <v>3</v>
      </c>
      <c r="H685" s="260"/>
      <c r="I685" s="309"/>
      <c r="J685" s="199"/>
      <c r="K685" s="269">
        <v>1</v>
      </c>
      <c r="L685" s="93">
        <f t="shared" si="220"/>
        <v>2</v>
      </c>
      <c r="M685" s="183">
        <v>2</v>
      </c>
      <c r="N685" s="95">
        <f t="shared" si="221"/>
        <v>232</v>
      </c>
      <c r="O685" s="95">
        <f t="shared" si="222"/>
        <v>232</v>
      </c>
      <c r="P685" s="94">
        <f t="shared" si="223"/>
        <v>0</v>
      </c>
      <c r="Q685" s="95">
        <f t="shared" si="224"/>
        <v>0</v>
      </c>
      <c r="R685" s="96"/>
      <c r="S685" s="97">
        <f t="shared" si="225"/>
        <v>3</v>
      </c>
      <c r="T685" s="98">
        <f t="shared" si="226"/>
        <v>-1</v>
      </c>
      <c r="U685">
        <v>3</v>
      </c>
    </row>
    <row r="686" spans="2:21" ht="20.100000000000001" customHeight="1">
      <c r="B686" s="88">
        <v>7</v>
      </c>
      <c r="C686" s="89" t="s">
        <v>1630</v>
      </c>
      <c r="D686" s="90" t="s">
        <v>1809</v>
      </c>
      <c r="E686" s="91" t="s">
        <v>1810</v>
      </c>
      <c r="F686" s="315">
        <v>38</v>
      </c>
      <c r="G686" s="260"/>
      <c r="H686" s="260"/>
      <c r="I686" s="309"/>
      <c r="J686" s="199"/>
      <c r="K686" s="269"/>
      <c r="L686" s="93">
        <f t="shared" si="220"/>
        <v>0</v>
      </c>
      <c r="M686" s="183"/>
      <c r="N686" s="95">
        <f t="shared" si="221"/>
        <v>0</v>
      </c>
      <c r="O686" s="95">
        <f t="shared" si="222"/>
        <v>0</v>
      </c>
      <c r="P686" s="94">
        <f t="shared" si="223"/>
        <v>0</v>
      </c>
      <c r="Q686" s="95">
        <f t="shared" si="224"/>
        <v>0</v>
      </c>
      <c r="R686" s="96"/>
      <c r="S686" s="97">
        <f t="shared" si="225"/>
        <v>0</v>
      </c>
      <c r="T686" s="98">
        <f t="shared" si="226"/>
        <v>0</v>
      </c>
    </row>
    <row r="687" spans="2:21" ht="20.100000000000001" customHeight="1">
      <c r="B687" s="88">
        <v>7</v>
      </c>
      <c r="C687" s="89" t="s">
        <v>1630</v>
      </c>
      <c r="D687" s="90" t="s">
        <v>1811</v>
      </c>
      <c r="E687" s="91" t="s">
        <v>1812</v>
      </c>
      <c r="F687" s="315">
        <v>24.24</v>
      </c>
      <c r="G687" s="260">
        <v>98</v>
      </c>
      <c r="H687" s="260">
        <v>20</v>
      </c>
      <c r="I687" s="309"/>
      <c r="J687" s="199"/>
      <c r="K687" s="269">
        <v>26</v>
      </c>
      <c r="L687" s="93">
        <f t="shared" si="220"/>
        <v>92</v>
      </c>
      <c r="M687" s="183">
        <v>92</v>
      </c>
      <c r="N687" s="95">
        <f t="shared" si="221"/>
        <v>2230.08</v>
      </c>
      <c r="O687" s="95">
        <f t="shared" si="222"/>
        <v>2230.08</v>
      </c>
      <c r="P687" s="94">
        <f t="shared" si="223"/>
        <v>0</v>
      </c>
      <c r="Q687" s="95">
        <f t="shared" si="224"/>
        <v>0</v>
      </c>
      <c r="R687" s="278"/>
      <c r="S687" s="97">
        <f t="shared" si="225"/>
        <v>98</v>
      </c>
      <c r="T687" s="98">
        <f t="shared" si="226"/>
        <v>-6</v>
      </c>
      <c r="U687">
        <v>98</v>
      </c>
    </row>
    <row r="688" spans="2:21" ht="20.100000000000001" customHeight="1">
      <c r="B688" s="88">
        <v>7</v>
      </c>
      <c r="C688" s="89" t="s">
        <v>1630</v>
      </c>
      <c r="D688" s="90" t="s">
        <v>1813</v>
      </c>
      <c r="E688" s="91" t="s">
        <v>1814</v>
      </c>
      <c r="F688" s="315">
        <v>26</v>
      </c>
      <c r="G688" s="260"/>
      <c r="H688" s="260"/>
      <c r="I688" s="309"/>
      <c r="J688" s="199"/>
      <c r="K688" s="269"/>
      <c r="L688" s="93">
        <f t="shared" si="220"/>
        <v>0</v>
      </c>
      <c r="M688" s="183"/>
      <c r="N688" s="95">
        <f t="shared" si="221"/>
        <v>0</v>
      </c>
      <c r="O688" s="95">
        <f t="shared" si="222"/>
        <v>0</v>
      </c>
      <c r="P688" s="94">
        <f t="shared" si="223"/>
        <v>0</v>
      </c>
      <c r="Q688" s="95">
        <f t="shared" si="224"/>
        <v>0</v>
      </c>
      <c r="R688" s="96"/>
      <c r="S688" s="97">
        <f t="shared" si="225"/>
        <v>0</v>
      </c>
      <c r="T688" s="98">
        <f t="shared" si="226"/>
        <v>0</v>
      </c>
    </row>
    <row r="689" spans="2:31" ht="20.100000000000001" customHeight="1">
      <c r="B689" s="88">
        <v>7</v>
      </c>
      <c r="C689" s="89" t="s">
        <v>1630</v>
      </c>
      <c r="D689" s="90" t="s">
        <v>1815</v>
      </c>
      <c r="E689" s="91" t="s">
        <v>1816</v>
      </c>
      <c r="F689" s="315">
        <v>26</v>
      </c>
      <c r="G689" s="260"/>
      <c r="H689" s="260"/>
      <c r="I689" s="309"/>
      <c r="J689" s="199"/>
      <c r="K689" s="269"/>
      <c r="L689" s="93">
        <f t="shared" si="220"/>
        <v>0</v>
      </c>
      <c r="M689" s="183"/>
      <c r="N689" s="95">
        <f t="shared" si="221"/>
        <v>0</v>
      </c>
      <c r="O689" s="95">
        <f t="shared" si="222"/>
        <v>0</v>
      </c>
      <c r="P689" s="94">
        <f t="shared" si="223"/>
        <v>0</v>
      </c>
      <c r="Q689" s="95">
        <f t="shared" si="224"/>
        <v>0</v>
      </c>
      <c r="R689" s="96"/>
      <c r="S689" s="97">
        <f t="shared" si="225"/>
        <v>0</v>
      </c>
      <c r="T689" s="98">
        <f t="shared" si="226"/>
        <v>0</v>
      </c>
    </row>
    <row r="690" spans="2:31" ht="20.100000000000001" customHeight="1">
      <c r="B690" s="88">
        <v>7</v>
      </c>
      <c r="C690" s="89" t="s">
        <v>1630</v>
      </c>
      <c r="D690" s="90" t="s">
        <v>1817</v>
      </c>
      <c r="E690" s="91" t="s">
        <v>1818</v>
      </c>
      <c r="F690" s="315">
        <v>60.45</v>
      </c>
      <c r="G690" s="260">
        <v>0</v>
      </c>
      <c r="H690" s="260">
        <v>6</v>
      </c>
      <c r="I690" s="309"/>
      <c r="J690" s="199"/>
      <c r="K690" s="269">
        <v>6</v>
      </c>
      <c r="L690" s="93">
        <f t="shared" si="220"/>
        <v>0</v>
      </c>
      <c r="M690" s="183"/>
      <c r="N690" s="95">
        <f t="shared" si="221"/>
        <v>0</v>
      </c>
      <c r="O690" s="95">
        <f t="shared" si="222"/>
        <v>0</v>
      </c>
      <c r="P690" s="94">
        <f t="shared" si="223"/>
        <v>0</v>
      </c>
      <c r="Q690" s="95">
        <f t="shared" si="224"/>
        <v>0</v>
      </c>
      <c r="R690" s="278"/>
      <c r="S690" s="97">
        <f t="shared" si="225"/>
        <v>0</v>
      </c>
      <c r="T690" s="98">
        <f t="shared" si="226"/>
        <v>0</v>
      </c>
    </row>
    <row r="691" spans="2:31" ht="20.100000000000001" customHeight="1">
      <c r="B691" s="88">
        <v>7</v>
      </c>
      <c r="C691" s="89" t="s">
        <v>1630</v>
      </c>
      <c r="D691" s="90" t="s">
        <v>1819</v>
      </c>
      <c r="E691" s="91" t="s">
        <v>1820</v>
      </c>
      <c r="F691" s="315">
        <v>25.26</v>
      </c>
      <c r="G691" s="260">
        <v>112</v>
      </c>
      <c r="H691" s="260"/>
      <c r="I691" s="309"/>
      <c r="J691" s="199"/>
      <c r="K691" s="269"/>
      <c r="L691" s="93">
        <f t="shared" si="220"/>
        <v>112</v>
      </c>
      <c r="M691" s="183">
        <v>112</v>
      </c>
      <c r="N691" s="95">
        <f t="shared" si="221"/>
        <v>2829.1200000000003</v>
      </c>
      <c r="O691" s="95">
        <f t="shared" si="222"/>
        <v>2829.1200000000003</v>
      </c>
      <c r="P691" s="94">
        <f t="shared" si="223"/>
        <v>0</v>
      </c>
      <c r="Q691" s="95">
        <f t="shared" si="224"/>
        <v>0</v>
      </c>
      <c r="R691" s="96"/>
      <c r="S691" s="97">
        <f t="shared" si="225"/>
        <v>112</v>
      </c>
      <c r="T691" s="98">
        <f t="shared" si="226"/>
        <v>0</v>
      </c>
      <c r="U691">
        <v>112</v>
      </c>
    </row>
    <row r="692" spans="2:31" ht="20.100000000000001" customHeight="1">
      <c r="B692" s="88">
        <v>7</v>
      </c>
      <c r="C692" s="89" t="s">
        <v>1630</v>
      </c>
      <c r="D692" s="90" t="s">
        <v>1821</v>
      </c>
      <c r="E692" s="91" t="s">
        <v>1822</v>
      </c>
      <c r="F692" s="315">
        <v>59.3</v>
      </c>
      <c r="G692" s="260"/>
      <c r="H692" s="260"/>
      <c r="I692" s="309"/>
      <c r="J692" s="199"/>
      <c r="K692" s="269"/>
      <c r="L692" s="93">
        <f t="shared" si="220"/>
        <v>0</v>
      </c>
      <c r="M692" s="183"/>
      <c r="N692" s="95">
        <f t="shared" si="221"/>
        <v>0</v>
      </c>
      <c r="O692" s="95">
        <f t="shared" si="222"/>
        <v>0</v>
      </c>
      <c r="P692" s="94">
        <f t="shared" si="223"/>
        <v>0</v>
      </c>
      <c r="Q692" s="95">
        <f t="shared" si="224"/>
        <v>0</v>
      </c>
      <c r="R692" s="96"/>
      <c r="S692" s="97">
        <f t="shared" si="225"/>
        <v>0</v>
      </c>
      <c r="T692" s="98">
        <f t="shared" si="226"/>
        <v>0</v>
      </c>
    </row>
    <row r="693" spans="2:31" ht="20.100000000000001" customHeight="1">
      <c r="B693" s="88">
        <v>7</v>
      </c>
      <c r="C693" s="89" t="s">
        <v>1630</v>
      </c>
      <c r="D693" s="90" t="s">
        <v>1823</v>
      </c>
      <c r="E693" s="91" t="s">
        <v>1824</v>
      </c>
      <c r="F693" s="315">
        <v>23.5</v>
      </c>
      <c r="G693" s="260"/>
      <c r="H693" s="260"/>
      <c r="I693" s="309"/>
      <c r="J693" s="199"/>
      <c r="K693" s="269"/>
      <c r="L693" s="93">
        <f t="shared" si="220"/>
        <v>0</v>
      </c>
      <c r="M693" s="183"/>
      <c r="N693" s="95">
        <f t="shared" si="221"/>
        <v>0</v>
      </c>
      <c r="O693" s="95">
        <f t="shared" si="222"/>
        <v>0</v>
      </c>
      <c r="P693" s="94">
        <f t="shared" si="223"/>
        <v>0</v>
      </c>
      <c r="Q693" s="95">
        <f t="shared" si="224"/>
        <v>0</v>
      </c>
      <c r="R693" s="96"/>
      <c r="S693" s="97">
        <f t="shared" si="225"/>
        <v>0</v>
      </c>
      <c r="T693" s="98">
        <f t="shared" si="226"/>
        <v>0</v>
      </c>
    </row>
    <row r="694" spans="2:31" ht="20.100000000000001" customHeight="1">
      <c r="B694" s="88">
        <v>7</v>
      </c>
      <c r="C694" s="89" t="s">
        <v>1630</v>
      </c>
      <c r="D694" s="90" t="s">
        <v>1825</v>
      </c>
      <c r="E694" s="91" t="s">
        <v>1826</v>
      </c>
      <c r="F694" s="315">
        <v>24.77</v>
      </c>
      <c r="G694" s="260"/>
      <c r="H694" s="260"/>
      <c r="I694" s="309"/>
      <c r="J694" s="199"/>
      <c r="K694" s="269"/>
      <c r="L694" s="93">
        <f t="shared" ref="L694:L757" si="227">G694+I694-J694-K694+H694</f>
        <v>0</v>
      </c>
      <c r="M694" s="183"/>
      <c r="N694" s="95">
        <f t="shared" si="221"/>
        <v>0</v>
      </c>
      <c r="O694" s="95">
        <f t="shared" si="222"/>
        <v>0</v>
      </c>
      <c r="P694" s="94">
        <f t="shared" si="223"/>
        <v>0</v>
      </c>
      <c r="Q694" s="95">
        <f t="shared" si="224"/>
        <v>0</v>
      </c>
      <c r="R694" s="96"/>
      <c r="S694" s="97">
        <f t="shared" si="225"/>
        <v>0</v>
      </c>
      <c r="T694" s="98">
        <f t="shared" si="226"/>
        <v>0</v>
      </c>
    </row>
    <row r="695" spans="2:31" ht="20.100000000000001" customHeight="1">
      <c r="B695" s="88">
        <v>7</v>
      </c>
      <c r="C695" s="89" t="s">
        <v>1630</v>
      </c>
      <c r="D695" s="90" t="s">
        <v>1827</v>
      </c>
      <c r="E695" s="91" t="s">
        <v>1828</v>
      </c>
      <c r="F695" s="315">
        <v>58.05</v>
      </c>
      <c r="G695" s="260"/>
      <c r="H695" s="260"/>
      <c r="I695" s="309"/>
      <c r="J695" s="199"/>
      <c r="K695" s="269"/>
      <c r="L695" s="93">
        <f t="shared" si="227"/>
        <v>0</v>
      </c>
      <c r="M695" s="183"/>
      <c r="N695" s="95">
        <f t="shared" si="221"/>
        <v>0</v>
      </c>
      <c r="O695" s="95">
        <f t="shared" si="222"/>
        <v>0</v>
      </c>
      <c r="P695" s="94">
        <f t="shared" si="223"/>
        <v>0</v>
      </c>
      <c r="Q695" s="95">
        <f t="shared" si="224"/>
        <v>0</v>
      </c>
      <c r="R695" s="96"/>
      <c r="S695" s="97">
        <f t="shared" si="225"/>
        <v>0</v>
      </c>
      <c r="T695" s="98">
        <f t="shared" si="226"/>
        <v>0</v>
      </c>
    </row>
    <row r="696" spans="2:31" ht="20.100000000000001" customHeight="1">
      <c r="B696" s="88">
        <v>7</v>
      </c>
      <c r="C696" s="89" t="s">
        <v>1630</v>
      </c>
      <c r="D696" s="90" t="s">
        <v>1829</v>
      </c>
      <c r="E696" s="91" t="s">
        <v>1830</v>
      </c>
      <c r="F696" s="315">
        <v>58.57</v>
      </c>
      <c r="G696" s="260"/>
      <c r="H696" s="260">
        <v>4</v>
      </c>
      <c r="I696" s="309"/>
      <c r="J696" s="199"/>
      <c r="K696" s="269">
        <v>4</v>
      </c>
      <c r="L696" s="93">
        <f t="shared" si="227"/>
        <v>0</v>
      </c>
      <c r="M696" s="183"/>
      <c r="N696" s="95">
        <f t="shared" si="221"/>
        <v>0</v>
      </c>
      <c r="O696" s="95">
        <f t="shared" si="222"/>
        <v>0</v>
      </c>
      <c r="P696" s="94">
        <f t="shared" si="223"/>
        <v>0</v>
      </c>
      <c r="Q696" s="95">
        <f t="shared" si="224"/>
        <v>0</v>
      </c>
      <c r="R696" s="96"/>
      <c r="S696" s="97">
        <f t="shared" si="225"/>
        <v>0</v>
      </c>
      <c r="T696" s="98">
        <f t="shared" si="226"/>
        <v>0</v>
      </c>
    </row>
    <row r="697" spans="2:31" ht="20.100000000000001" customHeight="1">
      <c r="B697" s="88">
        <v>7</v>
      </c>
      <c r="C697" s="89" t="s">
        <v>1630</v>
      </c>
      <c r="D697" s="90" t="s">
        <v>1831</v>
      </c>
      <c r="E697" s="91" t="s">
        <v>1832</v>
      </c>
      <c r="F697" s="315">
        <v>25.03</v>
      </c>
      <c r="G697" s="260">
        <v>1</v>
      </c>
      <c r="H697" s="260"/>
      <c r="I697" s="309"/>
      <c r="J697" s="199"/>
      <c r="K697" s="269">
        <v>1</v>
      </c>
      <c r="L697" s="93">
        <f t="shared" si="227"/>
        <v>0</v>
      </c>
      <c r="M697" s="183"/>
      <c r="N697" s="95">
        <f t="shared" si="221"/>
        <v>0</v>
      </c>
      <c r="O697" s="95">
        <f t="shared" si="222"/>
        <v>0</v>
      </c>
      <c r="P697" s="94">
        <f t="shared" si="223"/>
        <v>0</v>
      </c>
      <c r="Q697" s="95">
        <f t="shared" si="224"/>
        <v>0</v>
      </c>
      <c r="R697" s="96"/>
      <c r="S697" s="97">
        <f t="shared" si="225"/>
        <v>0</v>
      </c>
      <c r="T697" s="98">
        <f t="shared" si="226"/>
        <v>0</v>
      </c>
    </row>
    <row r="698" spans="2:31" ht="20.100000000000001" customHeight="1">
      <c r="B698" s="88">
        <v>7</v>
      </c>
      <c r="C698" s="89" t="s">
        <v>1630</v>
      </c>
      <c r="D698" s="90">
        <v>4800056191013</v>
      </c>
      <c r="E698" s="91" t="s">
        <v>1833</v>
      </c>
      <c r="F698" s="315">
        <v>46.77</v>
      </c>
      <c r="G698" s="260">
        <v>8</v>
      </c>
      <c r="H698" s="260"/>
      <c r="I698" s="309"/>
      <c r="J698" s="199"/>
      <c r="K698" s="269"/>
      <c r="L698" s="93">
        <f t="shared" si="227"/>
        <v>8</v>
      </c>
      <c r="M698" s="183">
        <v>8</v>
      </c>
      <c r="N698" s="95">
        <f t="shared" si="221"/>
        <v>374.16</v>
      </c>
      <c r="O698" s="95">
        <f t="shared" si="222"/>
        <v>374.16</v>
      </c>
      <c r="P698" s="94">
        <f t="shared" si="223"/>
        <v>0</v>
      </c>
      <c r="Q698" s="95">
        <f t="shared" si="224"/>
        <v>0</v>
      </c>
      <c r="R698" s="102">
        <v>45781</v>
      </c>
      <c r="S698" s="97">
        <f t="shared" si="225"/>
        <v>8</v>
      </c>
      <c r="T698" s="98">
        <f t="shared" si="226"/>
        <v>0</v>
      </c>
      <c r="W698">
        <v>8</v>
      </c>
      <c r="X698" t="s">
        <v>555</v>
      </c>
      <c r="AD698">
        <f>W698</f>
        <v>8</v>
      </c>
      <c r="AE698" s="100">
        <f>AD698*F698</f>
        <v>374.16</v>
      </c>
    </row>
    <row r="699" spans="2:31" ht="20.100000000000001" customHeight="1">
      <c r="B699" s="88">
        <v>7</v>
      </c>
      <c r="C699" s="89" t="s">
        <v>1630</v>
      </c>
      <c r="D699" s="90" t="s">
        <v>1834</v>
      </c>
      <c r="E699" s="91" t="s">
        <v>1835</v>
      </c>
      <c r="F699" s="315">
        <v>20.12</v>
      </c>
      <c r="G699" s="260"/>
      <c r="H699" s="260"/>
      <c r="I699" s="309"/>
      <c r="J699" s="199"/>
      <c r="K699" s="269"/>
      <c r="L699" s="93">
        <f t="shared" si="227"/>
        <v>0</v>
      </c>
      <c r="M699" s="183"/>
      <c r="N699" s="95">
        <f t="shared" si="221"/>
        <v>0</v>
      </c>
      <c r="O699" s="95">
        <f t="shared" si="222"/>
        <v>0</v>
      </c>
      <c r="P699" s="94">
        <f t="shared" si="223"/>
        <v>0</v>
      </c>
      <c r="Q699" s="95">
        <f t="shared" si="224"/>
        <v>0</v>
      </c>
      <c r="R699" s="96"/>
      <c r="S699" s="97">
        <f t="shared" si="225"/>
        <v>0</v>
      </c>
      <c r="T699" s="98">
        <f t="shared" si="226"/>
        <v>0</v>
      </c>
    </row>
    <row r="700" spans="2:31" ht="20.100000000000001" customHeight="1">
      <c r="B700" s="88">
        <v>7</v>
      </c>
      <c r="C700" s="89" t="s">
        <v>1630</v>
      </c>
      <c r="D700" s="90" t="s">
        <v>1836</v>
      </c>
      <c r="E700" s="91" t="s">
        <v>1837</v>
      </c>
      <c r="F700" s="315">
        <v>53.66</v>
      </c>
      <c r="G700" s="260"/>
      <c r="H700" s="260"/>
      <c r="I700" s="309"/>
      <c r="J700" s="199"/>
      <c r="K700" s="269"/>
      <c r="L700" s="93">
        <f t="shared" si="227"/>
        <v>0</v>
      </c>
      <c r="M700" s="183"/>
      <c r="N700" s="95">
        <f t="shared" si="221"/>
        <v>0</v>
      </c>
      <c r="O700" s="95">
        <f t="shared" si="222"/>
        <v>0</v>
      </c>
      <c r="P700" s="94">
        <f t="shared" si="223"/>
        <v>0</v>
      </c>
      <c r="Q700" s="95">
        <f t="shared" si="224"/>
        <v>0</v>
      </c>
      <c r="R700" s="96"/>
      <c r="S700" s="97">
        <f t="shared" si="225"/>
        <v>0</v>
      </c>
      <c r="T700" s="98">
        <f t="shared" si="226"/>
        <v>0</v>
      </c>
    </row>
    <row r="701" spans="2:31" ht="20.100000000000001" customHeight="1">
      <c r="B701" s="88">
        <v>7</v>
      </c>
      <c r="C701" s="89" t="s">
        <v>1630</v>
      </c>
      <c r="D701" s="90" t="s">
        <v>1838</v>
      </c>
      <c r="E701" s="91" t="s">
        <v>1839</v>
      </c>
      <c r="F701" s="315">
        <v>61.5</v>
      </c>
      <c r="G701" s="260">
        <v>31</v>
      </c>
      <c r="H701" s="260">
        <v>5</v>
      </c>
      <c r="I701" s="309"/>
      <c r="J701" s="199"/>
      <c r="K701" s="269">
        <v>11</v>
      </c>
      <c r="L701" s="93">
        <f t="shared" si="227"/>
        <v>25</v>
      </c>
      <c r="M701" s="183">
        <f>24+1</f>
        <v>25</v>
      </c>
      <c r="N701" s="95">
        <f t="shared" si="221"/>
        <v>1537.5</v>
      </c>
      <c r="O701" s="95">
        <f t="shared" si="222"/>
        <v>1537.5</v>
      </c>
      <c r="P701" s="94">
        <f t="shared" si="223"/>
        <v>0</v>
      </c>
      <c r="Q701" s="95">
        <f t="shared" si="224"/>
        <v>0</v>
      </c>
      <c r="R701" s="96"/>
      <c r="S701" s="97">
        <f t="shared" si="225"/>
        <v>39</v>
      </c>
      <c r="T701" s="98">
        <f t="shared" si="226"/>
        <v>-14</v>
      </c>
      <c r="U701">
        <v>39</v>
      </c>
    </row>
    <row r="702" spans="2:31" ht="20.100000000000001" customHeight="1">
      <c r="B702" s="88">
        <v>7</v>
      </c>
      <c r="C702" s="89" t="s">
        <v>1630</v>
      </c>
      <c r="D702" s="90" t="s">
        <v>1840</v>
      </c>
      <c r="E702" s="91" t="s">
        <v>1841</v>
      </c>
      <c r="F702" s="315">
        <v>29.95</v>
      </c>
      <c r="G702" s="260">
        <v>32</v>
      </c>
      <c r="H702" s="260">
        <v>10</v>
      </c>
      <c r="I702" s="309"/>
      <c r="J702" s="199"/>
      <c r="K702" s="269">
        <v>18</v>
      </c>
      <c r="L702" s="93">
        <f t="shared" si="227"/>
        <v>24</v>
      </c>
      <c r="M702" s="183">
        <v>24</v>
      </c>
      <c r="N702" s="95">
        <f t="shared" si="221"/>
        <v>718.8</v>
      </c>
      <c r="O702" s="95">
        <f t="shared" si="222"/>
        <v>718.8</v>
      </c>
      <c r="P702" s="94">
        <f t="shared" si="223"/>
        <v>0</v>
      </c>
      <c r="Q702" s="95">
        <f t="shared" si="224"/>
        <v>0</v>
      </c>
      <c r="R702" s="278"/>
      <c r="S702" s="97">
        <f t="shared" si="225"/>
        <v>33</v>
      </c>
      <c r="T702" s="98">
        <f t="shared" si="226"/>
        <v>-9</v>
      </c>
      <c r="U702">
        <v>33</v>
      </c>
    </row>
    <row r="703" spans="2:31" ht="20.100000000000001" customHeight="1">
      <c r="B703" s="88">
        <v>7</v>
      </c>
      <c r="C703" s="89" t="s">
        <v>1630</v>
      </c>
      <c r="D703" s="90" t="s">
        <v>1842</v>
      </c>
      <c r="E703" s="91" t="s">
        <v>1843</v>
      </c>
      <c r="F703" s="315">
        <v>37.409999999999997</v>
      </c>
      <c r="G703" s="260">
        <v>12</v>
      </c>
      <c r="H703" s="260"/>
      <c r="I703" s="309"/>
      <c r="J703" s="199"/>
      <c r="K703" s="269">
        <v>2</v>
      </c>
      <c r="L703" s="93">
        <f t="shared" si="227"/>
        <v>10</v>
      </c>
      <c r="M703" s="183">
        <v>10</v>
      </c>
      <c r="N703" s="95">
        <f t="shared" si="221"/>
        <v>374.09999999999997</v>
      </c>
      <c r="O703" s="95">
        <f t="shared" si="222"/>
        <v>374.09999999999997</v>
      </c>
      <c r="P703" s="94">
        <f t="shared" si="223"/>
        <v>0</v>
      </c>
      <c r="Q703" s="95">
        <f t="shared" si="224"/>
        <v>0</v>
      </c>
      <c r="R703" s="96"/>
      <c r="S703" s="97">
        <f t="shared" si="225"/>
        <v>12</v>
      </c>
      <c r="T703" s="98">
        <f t="shared" si="226"/>
        <v>-2</v>
      </c>
      <c r="U703">
        <v>12</v>
      </c>
    </row>
    <row r="704" spans="2:31" ht="20.100000000000001" customHeight="1">
      <c r="B704" s="88">
        <v>7</v>
      </c>
      <c r="C704" s="89" t="s">
        <v>1630</v>
      </c>
      <c r="D704" s="90" t="s">
        <v>1844</v>
      </c>
      <c r="E704" s="91" t="s">
        <v>1845</v>
      </c>
      <c r="F704" s="315">
        <v>29</v>
      </c>
      <c r="G704" s="260">
        <v>23</v>
      </c>
      <c r="H704" s="260"/>
      <c r="I704" s="309"/>
      <c r="J704" s="199"/>
      <c r="K704" s="269">
        <v>1</v>
      </c>
      <c r="L704" s="93">
        <f t="shared" si="227"/>
        <v>22</v>
      </c>
      <c r="M704" s="183">
        <v>22</v>
      </c>
      <c r="N704" s="95">
        <f t="shared" si="221"/>
        <v>638</v>
      </c>
      <c r="O704" s="95">
        <f t="shared" si="222"/>
        <v>638</v>
      </c>
      <c r="P704" s="94">
        <f t="shared" si="223"/>
        <v>0</v>
      </c>
      <c r="Q704" s="95">
        <f t="shared" si="224"/>
        <v>0</v>
      </c>
      <c r="R704" s="96"/>
      <c r="S704" s="97">
        <f t="shared" si="225"/>
        <v>26</v>
      </c>
      <c r="T704" s="98">
        <f t="shared" si="226"/>
        <v>-4</v>
      </c>
      <c r="U704">
        <v>26</v>
      </c>
    </row>
    <row r="705" spans="2:21" ht="20.100000000000001" customHeight="1">
      <c r="B705" s="88">
        <v>7</v>
      </c>
      <c r="C705" s="89" t="s">
        <v>1630</v>
      </c>
      <c r="D705" s="90" t="s">
        <v>1846</v>
      </c>
      <c r="E705" s="91" t="s">
        <v>1847</v>
      </c>
      <c r="F705" s="315">
        <v>38.9</v>
      </c>
      <c r="G705" s="260"/>
      <c r="H705" s="260"/>
      <c r="I705" s="309"/>
      <c r="J705" s="199"/>
      <c r="K705" s="269"/>
      <c r="L705" s="93">
        <f t="shared" si="227"/>
        <v>0</v>
      </c>
      <c r="M705" s="183"/>
      <c r="N705" s="95">
        <f t="shared" si="221"/>
        <v>0</v>
      </c>
      <c r="O705" s="95">
        <f t="shared" si="222"/>
        <v>0</v>
      </c>
      <c r="P705" s="94">
        <f t="shared" si="223"/>
        <v>0</v>
      </c>
      <c r="Q705" s="95">
        <f t="shared" si="224"/>
        <v>0</v>
      </c>
      <c r="R705" s="96"/>
      <c r="S705" s="97">
        <f t="shared" si="225"/>
        <v>0</v>
      </c>
      <c r="T705" s="98">
        <f t="shared" si="226"/>
        <v>0</v>
      </c>
    </row>
    <row r="706" spans="2:21" ht="20.100000000000001" customHeight="1">
      <c r="B706" s="88">
        <v>7</v>
      </c>
      <c r="C706" s="89" t="s">
        <v>1630</v>
      </c>
      <c r="D706" s="90" t="s">
        <v>1848</v>
      </c>
      <c r="E706" s="91" t="s">
        <v>1849</v>
      </c>
      <c r="F706" s="315">
        <v>47.95</v>
      </c>
      <c r="G706" s="260">
        <v>48</v>
      </c>
      <c r="H706" s="260"/>
      <c r="I706" s="309"/>
      <c r="J706" s="199"/>
      <c r="K706" s="269"/>
      <c r="L706" s="93">
        <f t="shared" si="227"/>
        <v>48</v>
      </c>
      <c r="M706" s="183">
        <v>48</v>
      </c>
      <c r="N706" s="95">
        <f t="shared" si="221"/>
        <v>2301.6000000000004</v>
      </c>
      <c r="O706" s="95">
        <f t="shared" si="222"/>
        <v>2301.6000000000004</v>
      </c>
      <c r="P706" s="94">
        <f t="shared" si="223"/>
        <v>0</v>
      </c>
      <c r="Q706" s="95">
        <f t="shared" si="224"/>
        <v>0</v>
      </c>
      <c r="R706" s="96"/>
      <c r="S706" s="97">
        <f t="shared" si="225"/>
        <v>48</v>
      </c>
      <c r="T706" s="98">
        <f t="shared" si="226"/>
        <v>0</v>
      </c>
      <c r="U706">
        <v>48</v>
      </c>
    </row>
    <row r="707" spans="2:21" ht="20.100000000000001" customHeight="1">
      <c r="B707" s="88">
        <v>7</v>
      </c>
      <c r="C707" s="89" t="s">
        <v>1630</v>
      </c>
      <c r="D707" s="90" t="s">
        <v>1848</v>
      </c>
      <c r="E707" s="91" t="s">
        <v>1849</v>
      </c>
      <c r="F707" s="315">
        <v>46</v>
      </c>
      <c r="G707" s="260"/>
      <c r="H707" s="260"/>
      <c r="I707" s="309"/>
      <c r="J707" s="199"/>
      <c r="K707" s="269"/>
      <c r="L707" s="93">
        <f t="shared" si="227"/>
        <v>0</v>
      </c>
      <c r="M707" s="183"/>
      <c r="N707" s="95">
        <f t="shared" si="221"/>
        <v>0</v>
      </c>
      <c r="O707" s="95">
        <f t="shared" si="222"/>
        <v>0</v>
      </c>
      <c r="P707" s="94">
        <f t="shared" si="223"/>
        <v>0</v>
      </c>
      <c r="Q707" s="95">
        <f t="shared" si="224"/>
        <v>0</v>
      </c>
      <c r="R707" s="96"/>
      <c r="S707" s="97">
        <f t="shared" si="225"/>
        <v>0</v>
      </c>
      <c r="T707" s="98">
        <f t="shared" si="226"/>
        <v>0</v>
      </c>
    </row>
    <row r="708" spans="2:21" ht="20.100000000000001" customHeight="1">
      <c r="B708" s="88">
        <v>7</v>
      </c>
      <c r="C708" s="89" t="s">
        <v>1630</v>
      </c>
      <c r="D708" s="90" t="s">
        <v>1850</v>
      </c>
      <c r="E708" s="91" t="s">
        <v>1851</v>
      </c>
      <c r="F708" s="315">
        <v>27.57</v>
      </c>
      <c r="G708" s="260">
        <v>30</v>
      </c>
      <c r="H708" s="260"/>
      <c r="I708" s="309"/>
      <c r="J708" s="199"/>
      <c r="K708" s="269">
        <v>2</v>
      </c>
      <c r="L708" s="93">
        <f t="shared" si="227"/>
        <v>28</v>
      </c>
      <c r="M708" s="183">
        <v>28</v>
      </c>
      <c r="N708" s="95">
        <f t="shared" si="221"/>
        <v>771.96</v>
      </c>
      <c r="O708" s="95">
        <f t="shared" si="222"/>
        <v>771.96</v>
      </c>
      <c r="P708" s="94">
        <f t="shared" si="223"/>
        <v>0</v>
      </c>
      <c r="Q708" s="95">
        <f t="shared" si="224"/>
        <v>0</v>
      </c>
      <c r="R708" s="96"/>
      <c r="S708" s="97">
        <f t="shared" si="225"/>
        <v>30</v>
      </c>
      <c r="T708" s="98">
        <f t="shared" si="226"/>
        <v>-2</v>
      </c>
      <c r="U708">
        <v>30</v>
      </c>
    </row>
    <row r="709" spans="2:21" ht="20.100000000000001" customHeight="1">
      <c r="B709" s="88">
        <v>7</v>
      </c>
      <c r="C709" s="89" t="s">
        <v>1630</v>
      </c>
      <c r="D709" s="90" t="s">
        <v>1850</v>
      </c>
      <c r="E709" s="91" t="s">
        <v>1851</v>
      </c>
      <c r="F709" s="315">
        <v>29</v>
      </c>
      <c r="G709" s="260"/>
      <c r="H709" s="260"/>
      <c r="I709" s="309"/>
      <c r="J709" s="199"/>
      <c r="K709" s="269"/>
      <c r="L709" s="93">
        <f t="shared" si="227"/>
        <v>0</v>
      </c>
      <c r="M709" s="183"/>
      <c r="N709" s="95">
        <f t="shared" si="221"/>
        <v>0</v>
      </c>
      <c r="O709" s="95">
        <f t="shared" si="222"/>
        <v>0</v>
      </c>
      <c r="P709" s="94">
        <f t="shared" si="223"/>
        <v>0</v>
      </c>
      <c r="Q709" s="95">
        <f t="shared" si="224"/>
        <v>0</v>
      </c>
      <c r="R709" s="96"/>
      <c r="S709" s="97">
        <f t="shared" si="225"/>
        <v>0</v>
      </c>
      <c r="T709" s="98">
        <f t="shared" si="226"/>
        <v>0</v>
      </c>
    </row>
    <row r="710" spans="2:21" ht="20.100000000000001" customHeight="1">
      <c r="B710" s="88">
        <v>7</v>
      </c>
      <c r="C710" s="89" t="s">
        <v>1630</v>
      </c>
      <c r="D710" s="90" t="s">
        <v>1852</v>
      </c>
      <c r="E710" s="91" t="s">
        <v>1853</v>
      </c>
      <c r="F710" s="315">
        <v>38.9</v>
      </c>
      <c r="G710" s="260"/>
      <c r="H710" s="260"/>
      <c r="I710" s="309"/>
      <c r="J710" s="199"/>
      <c r="K710" s="269"/>
      <c r="L710" s="93">
        <f t="shared" si="227"/>
        <v>0</v>
      </c>
      <c r="M710" s="183"/>
      <c r="N710" s="95">
        <f t="shared" si="221"/>
        <v>0</v>
      </c>
      <c r="O710" s="95">
        <f t="shared" si="222"/>
        <v>0</v>
      </c>
      <c r="P710" s="94">
        <f t="shared" si="223"/>
        <v>0</v>
      </c>
      <c r="Q710" s="95">
        <f t="shared" si="224"/>
        <v>0</v>
      </c>
      <c r="R710" s="96"/>
      <c r="S710" s="97">
        <f t="shared" si="225"/>
        <v>0</v>
      </c>
      <c r="T710" s="98">
        <f t="shared" si="226"/>
        <v>0</v>
      </c>
    </row>
    <row r="711" spans="2:21" ht="20.100000000000001" customHeight="1">
      <c r="B711" s="88">
        <v>7</v>
      </c>
      <c r="C711" s="89" t="s">
        <v>1630</v>
      </c>
      <c r="D711" s="90" t="s">
        <v>1854</v>
      </c>
      <c r="E711" s="91" t="s">
        <v>1855</v>
      </c>
      <c r="F711" s="315">
        <v>46</v>
      </c>
      <c r="G711" s="260">
        <v>47</v>
      </c>
      <c r="H711" s="260"/>
      <c r="I711" s="309"/>
      <c r="J711" s="199"/>
      <c r="K711" s="269"/>
      <c r="L711" s="93">
        <f t="shared" si="227"/>
        <v>47</v>
      </c>
      <c r="M711" s="183">
        <v>47</v>
      </c>
      <c r="N711" s="95">
        <f t="shared" si="221"/>
        <v>2162</v>
      </c>
      <c r="O711" s="95">
        <f t="shared" si="222"/>
        <v>2162</v>
      </c>
      <c r="P711" s="94">
        <f t="shared" si="223"/>
        <v>0</v>
      </c>
      <c r="Q711" s="95">
        <f t="shared" si="224"/>
        <v>0</v>
      </c>
      <c r="R711" s="96"/>
      <c r="S711" s="97">
        <f t="shared" si="225"/>
        <v>47</v>
      </c>
      <c r="T711" s="98">
        <f t="shared" si="226"/>
        <v>0</v>
      </c>
      <c r="U711">
        <v>47</v>
      </c>
    </row>
    <row r="712" spans="2:21" ht="20.100000000000001" customHeight="1">
      <c r="B712" s="88">
        <v>7</v>
      </c>
      <c r="C712" s="89" t="s">
        <v>1630</v>
      </c>
      <c r="D712" s="90" t="s">
        <v>1856</v>
      </c>
      <c r="E712" s="91" t="s">
        <v>1857</v>
      </c>
      <c r="F712" s="315">
        <v>27.5</v>
      </c>
      <c r="G712" s="260"/>
      <c r="H712" s="260"/>
      <c r="I712" s="309"/>
      <c r="J712" s="199"/>
      <c r="K712" s="269"/>
      <c r="L712" s="93">
        <f t="shared" si="227"/>
        <v>0</v>
      </c>
      <c r="M712" s="183"/>
      <c r="N712" s="95">
        <f t="shared" si="221"/>
        <v>0</v>
      </c>
      <c r="O712" s="95">
        <f t="shared" si="222"/>
        <v>0</v>
      </c>
      <c r="P712" s="94">
        <f t="shared" si="223"/>
        <v>0</v>
      </c>
      <c r="Q712" s="95">
        <f t="shared" si="224"/>
        <v>0</v>
      </c>
      <c r="R712" s="96"/>
      <c r="S712" s="97">
        <f t="shared" si="225"/>
        <v>0</v>
      </c>
      <c r="T712" s="98">
        <f t="shared" si="226"/>
        <v>0</v>
      </c>
    </row>
    <row r="713" spans="2:21" ht="20.100000000000001" customHeight="1">
      <c r="B713" s="88">
        <v>7</v>
      </c>
      <c r="C713" s="89" t="s">
        <v>1630</v>
      </c>
      <c r="D713" s="90" t="s">
        <v>1858</v>
      </c>
      <c r="E713" s="91" t="s">
        <v>1859</v>
      </c>
      <c r="F713" s="315">
        <v>45.83</v>
      </c>
      <c r="G713" s="260"/>
      <c r="H713" s="260"/>
      <c r="I713" s="309"/>
      <c r="J713" s="199"/>
      <c r="K713" s="269"/>
      <c r="L713" s="93">
        <f t="shared" si="227"/>
        <v>0</v>
      </c>
      <c r="M713" s="183"/>
      <c r="N713" s="95">
        <f t="shared" si="221"/>
        <v>0</v>
      </c>
      <c r="O713" s="95">
        <f t="shared" si="222"/>
        <v>0</v>
      </c>
      <c r="P713" s="94">
        <f t="shared" si="223"/>
        <v>0</v>
      </c>
      <c r="Q713" s="95">
        <f t="shared" si="224"/>
        <v>0</v>
      </c>
      <c r="R713" s="96"/>
      <c r="S713" s="97">
        <f t="shared" si="225"/>
        <v>0</v>
      </c>
      <c r="T713" s="98">
        <f t="shared" si="226"/>
        <v>0</v>
      </c>
    </row>
    <row r="714" spans="2:21" ht="20.100000000000001" customHeight="1">
      <c r="B714" s="88">
        <v>7</v>
      </c>
      <c r="C714" s="89" t="s">
        <v>1630</v>
      </c>
      <c r="D714" s="90" t="s">
        <v>1860</v>
      </c>
      <c r="E714" s="91" t="s">
        <v>1861</v>
      </c>
      <c r="F714" s="315">
        <v>42.75</v>
      </c>
      <c r="G714" s="260">
        <v>67</v>
      </c>
      <c r="H714" s="260"/>
      <c r="I714" s="309"/>
      <c r="J714" s="199"/>
      <c r="K714" s="269"/>
      <c r="L714" s="93">
        <f t="shared" si="227"/>
        <v>67</v>
      </c>
      <c r="M714" s="183">
        <v>67</v>
      </c>
      <c r="N714" s="95">
        <f t="shared" si="221"/>
        <v>2864.25</v>
      </c>
      <c r="O714" s="95">
        <f t="shared" si="222"/>
        <v>2864.25</v>
      </c>
      <c r="P714" s="94">
        <f t="shared" si="223"/>
        <v>0</v>
      </c>
      <c r="Q714" s="95">
        <f t="shared" si="224"/>
        <v>0</v>
      </c>
      <c r="R714" s="96"/>
      <c r="S714" s="97">
        <f t="shared" si="225"/>
        <v>67</v>
      </c>
      <c r="T714" s="98">
        <f t="shared" si="226"/>
        <v>0</v>
      </c>
      <c r="U714">
        <v>67</v>
      </c>
    </row>
    <row r="715" spans="2:21" ht="20.100000000000001" customHeight="1">
      <c r="B715" s="88">
        <v>7</v>
      </c>
      <c r="C715" s="89" t="s">
        <v>1630</v>
      </c>
      <c r="D715" s="90" t="s">
        <v>1862</v>
      </c>
      <c r="E715" s="91" t="s">
        <v>1863</v>
      </c>
      <c r="F715" s="315">
        <v>93.55</v>
      </c>
      <c r="G715" s="260">
        <v>3</v>
      </c>
      <c r="H715" s="260"/>
      <c r="I715" s="309"/>
      <c r="J715" s="199"/>
      <c r="K715" s="269"/>
      <c r="L715" s="93">
        <f t="shared" si="227"/>
        <v>3</v>
      </c>
      <c r="M715" s="183">
        <v>3</v>
      </c>
      <c r="N715" s="95">
        <f t="shared" si="221"/>
        <v>280.64999999999998</v>
      </c>
      <c r="O715" s="95">
        <f t="shared" si="222"/>
        <v>280.64999999999998</v>
      </c>
      <c r="P715" s="94">
        <f>L715-M715</f>
        <v>0</v>
      </c>
      <c r="Q715" s="95">
        <f t="shared" si="224"/>
        <v>0</v>
      </c>
      <c r="R715" s="96"/>
      <c r="S715" s="97">
        <f t="shared" si="225"/>
        <v>3</v>
      </c>
      <c r="T715" s="98">
        <f t="shared" si="226"/>
        <v>0</v>
      </c>
      <c r="U715">
        <v>3</v>
      </c>
    </row>
    <row r="716" spans="2:21" ht="20.100000000000001" customHeight="1">
      <c r="B716" s="88">
        <v>7</v>
      </c>
      <c r="C716" s="89" t="s">
        <v>1630</v>
      </c>
      <c r="D716" s="90" t="s">
        <v>1864</v>
      </c>
      <c r="E716" s="91" t="s">
        <v>1865</v>
      </c>
      <c r="F716" s="315">
        <v>86.58</v>
      </c>
      <c r="G716" s="260">
        <v>11</v>
      </c>
      <c r="H716" s="260"/>
      <c r="I716" s="309"/>
      <c r="J716" s="199"/>
      <c r="K716" s="269">
        <v>2</v>
      </c>
      <c r="L716" s="93">
        <f t="shared" si="227"/>
        <v>9</v>
      </c>
      <c r="M716" s="183">
        <v>9</v>
      </c>
      <c r="N716" s="95">
        <f t="shared" si="221"/>
        <v>779.22</v>
      </c>
      <c r="O716" s="95">
        <f t="shared" si="222"/>
        <v>779.22</v>
      </c>
      <c r="P716" s="94">
        <f t="shared" si="223"/>
        <v>0</v>
      </c>
      <c r="Q716" s="95">
        <f t="shared" si="224"/>
        <v>0</v>
      </c>
      <c r="R716" s="96"/>
      <c r="S716" s="97">
        <f t="shared" si="225"/>
        <v>11</v>
      </c>
      <c r="T716" s="98">
        <f t="shared" si="226"/>
        <v>-2</v>
      </c>
      <c r="U716">
        <v>11</v>
      </c>
    </row>
    <row r="717" spans="2:21" ht="20.100000000000001" customHeight="1">
      <c r="B717" s="88">
        <v>7</v>
      </c>
      <c r="C717" s="89" t="s">
        <v>1630</v>
      </c>
      <c r="D717" s="90" t="s">
        <v>1866</v>
      </c>
      <c r="E717" s="91" t="s">
        <v>1867</v>
      </c>
      <c r="F717" s="315">
        <v>39.5</v>
      </c>
      <c r="G717" s="260">
        <v>14</v>
      </c>
      <c r="H717" s="260">
        <v>3</v>
      </c>
      <c r="I717" s="309"/>
      <c r="J717" s="199"/>
      <c r="K717" s="269">
        <v>4</v>
      </c>
      <c r="L717" s="93">
        <f t="shared" si="227"/>
        <v>13</v>
      </c>
      <c r="M717" s="183">
        <v>13</v>
      </c>
      <c r="N717" s="95">
        <f t="shared" si="221"/>
        <v>513.5</v>
      </c>
      <c r="O717" s="95">
        <f t="shared" si="222"/>
        <v>513.5</v>
      </c>
      <c r="P717" s="94">
        <f t="shared" si="223"/>
        <v>0</v>
      </c>
      <c r="Q717" s="95">
        <f t="shared" si="224"/>
        <v>0</v>
      </c>
      <c r="R717" s="278"/>
      <c r="S717" s="97">
        <f t="shared" si="225"/>
        <v>14</v>
      </c>
      <c r="T717" s="98">
        <f t="shared" si="226"/>
        <v>-1</v>
      </c>
      <c r="U717">
        <v>14</v>
      </c>
    </row>
    <row r="718" spans="2:21" ht="20.100000000000001" customHeight="1">
      <c r="B718" s="88">
        <v>7</v>
      </c>
      <c r="C718" s="89" t="s">
        <v>1630</v>
      </c>
      <c r="D718" s="90" t="s">
        <v>1868</v>
      </c>
      <c r="E718" s="91" t="s">
        <v>1869</v>
      </c>
      <c r="F718" s="315">
        <v>38.75</v>
      </c>
      <c r="G718" s="260">
        <v>2</v>
      </c>
      <c r="H718" s="260">
        <v>4</v>
      </c>
      <c r="I718" s="309"/>
      <c r="J718" s="199"/>
      <c r="K718" s="269">
        <v>5</v>
      </c>
      <c r="L718" s="93">
        <f t="shared" si="227"/>
        <v>1</v>
      </c>
      <c r="M718" s="183">
        <v>1</v>
      </c>
      <c r="N718" s="95">
        <f t="shared" si="221"/>
        <v>38.75</v>
      </c>
      <c r="O718" s="95">
        <f t="shared" si="222"/>
        <v>38.75</v>
      </c>
      <c r="P718" s="94">
        <f t="shared" si="223"/>
        <v>0</v>
      </c>
      <c r="Q718" s="95">
        <f t="shared" si="224"/>
        <v>0</v>
      </c>
      <c r="R718" s="96"/>
      <c r="S718" s="97">
        <f t="shared" si="225"/>
        <v>4</v>
      </c>
      <c r="T718" s="98">
        <f t="shared" si="226"/>
        <v>-3</v>
      </c>
      <c r="U718">
        <v>4</v>
      </c>
    </row>
    <row r="719" spans="2:21" ht="20.100000000000001" customHeight="1">
      <c r="B719" s="88">
        <v>7</v>
      </c>
      <c r="C719" s="89" t="s">
        <v>1630</v>
      </c>
      <c r="D719" s="90" t="s">
        <v>1870</v>
      </c>
      <c r="E719" s="91" t="s">
        <v>1871</v>
      </c>
      <c r="F719" s="315">
        <v>35.75</v>
      </c>
      <c r="G719" s="260">
        <v>20</v>
      </c>
      <c r="H719" s="260"/>
      <c r="I719" s="309"/>
      <c r="J719" s="199"/>
      <c r="K719" s="269">
        <v>5</v>
      </c>
      <c r="L719" s="93">
        <f t="shared" si="227"/>
        <v>15</v>
      </c>
      <c r="M719" s="183">
        <v>15</v>
      </c>
      <c r="N719" s="95">
        <f t="shared" si="221"/>
        <v>536.25</v>
      </c>
      <c r="O719" s="95">
        <f t="shared" si="222"/>
        <v>536.25</v>
      </c>
      <c r="P719" s="94">
        <f t="shared" si="223"/>
        <v>0</v>
      </c>
      <c r="Q719" s="95">
        <f t="shared" si="224"/>
        <v>0</v>
      </c>
      <c r="R719" s="96"/>
      <c r="S719" s="97">
        <f t="shared" si="225"/>
        <v>21</v>
      </c>
      <c r="T719" s="98">
        <f t="shared" si="226"/>
        <v>-6</v>
      </c>
      <c r="U719">
        <v>21</v>
      </c>
    </row>
    <row r="720" spans="2:21" ht="20.100000000000001" customHeight="1">
      <c r="B720" s="88">
        <v>7</v>
      </c>
      <c r="C720" s="89" t="s">
        <v>1630</v>
      </c>
      <c r="D720" s="90" t="s">
        <v>1872</v>
      </c>
      <c r="E720" s="91" t="s">
        <v>1873</v>
      </c>
      <c r="F720" s="315">
        <v>51.5</v>
      </c>
      <c r="G720" s="260">
        <v>21</v>
      </c>
      <c r="H720" s="260">
        <v>3</v>
      </c>
      <c r="I720" s="309"/>
      <c r="J720" s="199"/>
      <c r="K720" s="269">
        <v>3</v>
      </c>
      <c r="L720" s="93">
        <f t="shared" si="227"/>
        <v>21</v>
      </c>
      <c r="M720" s="183">
        <v>21</v>
      </c>
      <c r="N720" s="95">
        <f t="shared" si="221"/>
        <v>1081.5</v>
      </c>
      <c r="O720" s="95">
        <f t="shared" si="222"/>
        <v>1081.5</v>
      </c>
      <c r="P720" s="94">
        <f t="shared" si="223"/>
        <v>0</v>
      </c>
      <c r="Q720" s="95">
        <f t="shared" si="224"/>
        <v>0</v>
      </c>
      <c r="R720" s="96"/>
      <c r="S720" s="97">
        <f t="shared" si="225"/>
        <v>23</v>
      </c>
      <c r="T720" s="98">
        <f t="shared" si="226"/>
        <v>-2</v>
      </c>
      <c r="U720">
        <v>23</v>
      </c>
    </row>
    <row r="721" spans="2:31" ht="20.100000000000001" customHeight="1">
      <c r="B721" s="88">
        <v>7</v>
      </c>
      <c r="C721" s="89" t="s">
        <v>1630</v>
      </c>
      <c r="D721" s="90" t="s">
        <v>1874</v>
      </c>
      <c r="E721" s="91" t="s">
        <v>1875</v>
      </c>
      <c r="F721" s="315">
        <v>41.72</v>
      </c>
      <c r="G721" s="260">
        <v>9</v>
      </c>
      <c r="H721" s="260"/>
      <c r="I721" s="309"/>
      <c r="J721" s="199"/>
      <c r="K721" s="269"/>
      <c r="L721" s="93">
        <f t="shared" si="227"/>
        <v>9</v>
      </c>
      <c r="M721" s="183">
        <v>9</v>
      </c>
      <c r="N721" s="95">
        <f t="shared" si="221"/>
        <v>375.48</v>
      </c>
      <c r="O721" s="95">
        <f t="shared" si="222"/>
        <v>375.48</v>
      </c>
      <c r="P721" s="94">
        <f t="shared" si="223"/>
        <v>0</v>
      </c>
      <c r="Q721" s="95">
        <f t="shared" si="224"/>
        <v>0</v>
      </c>
      <c r="R721" s="96"/>
      <c r="S721" s="97">
        <f t="shared" si="225"/>
        <v>10</v>
      </c>
      <c r="T721" s="98">
        <f t="shared" si="226"/>
        <v>-1</v>
      </c>
      <c r="U721">
        <v>10</v>
      </c>
    </row>
    <row r="722" spans="2:31" ht="20.100000000000001" customHeight="1">
      <c r="B722" s="88">
        <v>7</v>
      </c>
      <c r="C722" s="89" t="s">
        <v>1630</v>
      </c>
      <c r="D722" s="90" t="s">
        <v>1876</v>
      </c>
      <c r="E722" s="91" t="s">
        <v>1877</v>
      </c>
      <c r="F722" s="315">
        <v>32.1</v>
      </c>
      <c r="G722" s="260">
        <v>64</v>
      </c>
      <c r="H722" s="260"/>
      <c r="I722" s="309"/>
      <c r="J722" s="199"/>
      <c r="K722" s="269">
        <v>1</v>
      </c>
      <c r="L722" s="93">
        <f t="shared" si="227"/>
        <v>63</v>
      </c>
      <c r="M722" s="183">
        <v>63</v>
      </c>
      <c r="N722" s="95">
        <f t="shared" si="221"/>
        <v>2022.3000000000002</v>
      </c>
      <c r="O722" s="95">
        <f t="shared" si="222"/>
        <v>2022.3000000000002</v>
      </c>
      <c r="P722" s="94">
        <f t="shared" si="223"/>
        <v>0</v>
      </c>
      <c r="Q722" s="95">
        <f t="shared" si="224"/>
        <v>0</v>
      </c>
      <c r="R722" s="96"/>
      <c r="S722" s="97">
        <f t="shared" si="225"/>
        <v>36</v>
      </c>
      <c r="T722" s="98">
        <f t="shared" ref="T722:T775" si="228">M722-S722</f>
        <v>27</v>
      </c>
      <c r="U722">
        <v>36</v>
      </c>
    </row>
    <row r="723" spans="2:31" ht="20.100000000000001" customHeight="1">
      <c r="B723" s="88">
        <v>7</v>
      </c>
      <c r="C723" s="89" t="s">
        <v>1630</v>
      </c>
      <c r="D723" s="90" t="s">
        <v>1878</v>
      </c>
      <c r="E723" s="91" t="s">
        <v>1879</v>
      </c>
      <c r="F723" s="315">
        <v>71.06</v>
      </c>
      <c r="G723" s="260">
        <v>12</v>
      </c>
      <c r="H723" s="260"/>
      <c r="I723" s="309"/>
      <c r="J723" s="199"/>
      <c r="K723" s="269"/>
      <c r="L723" s="93">
        <f t="shared" si="227"/>
        <v>12</v>
      </c>
      <c r="M723" s="183">
        <v>12</v>
      </c>
      <c r="N723" s="95">
        <f t="shared" ref="N723:N776" si="229">F723*L723</f>
        <v>852.72</v>
      </c>
      <c r="O723" s="95">
        <f t="shared" ref="O723:O776" si="230">M723*F723</f>
        <v>852.72</v>
      </c>
      <c r="P723" s="94">
        <f t="shared" ref="P723:P776" si="231">L723-M723</f>
        <v>0</v>
      </c>
      <c r="Q723" s="95">
        <f t="shared" ref="Q723:Q776" si="232">N723-O723</f>
        <v>0</v>
      </c>
      <c r="R723" s="96"/>
      <c r="S723" s="97">
        <f t="shared" ref="S723:S776" si="233">U723+Y723+W723+AA723</f>
        <v>13</v>
      </c>
      <c r="T723" s="98">
        <f t="shared" si="228"/>
        <v>-1</v>
      </c>
      <c r="U723">
        <v>13</v>
      </c>
    </row>
    <row r="724" spans="2:31" ht="20.100000000000001" customHeight="1">
      <c r="B724" s="88">
        <v>7</v>
      </c>
      <c r="C724" s="89" t="s">
        <v>1630</v>
      </c>
      <c r="D724" s="90" t="s">
        <v>1880</v>
      </c>
      <c r="E724" s="91" t="s">
        <v>1881</v>
      </c>
      <c r="F724" s="315">
        <v>87.5</v>
      </c>
      <c r="G724" s="260">
        <v>13</v>
      </c>
      <c r="H724" s="260"/>
      <c r="I724" s="309"/>
      <c r="J724" s="199"/>
      <c r="K724" s="269"/>
      <c r="L724" s="93">
        <f t="shared" si="227"/>
        <v>13</v>
      </c>
      <c r="M724" s="183">
        <v>13</v>
      </c>
      <c r="N724" s="95">
        <f t="shared" si="229"/>
        <v>1137.5</v>
      </c>
      <c r="O724" s="95">
        <f t="shared" si="230"/>
        <v>1137.5</v>
      </c>
      <c r="P724" s="94">
        <f t="shared" si="231"/>
        <v>0</v>
      </c>
      <c r="Q724" s="95">
        <f t="shared" si="232"/>
        <v>0</v>
      </c>
      <c r="R724" s="96"/>
      <c r="S724" s="97">
        <f t="shared" si="233"/>
        <v>13</v>
      </c>
      <c r="T724" s="98">
        <f t="shared" si="228"/>
        <v>0</v>
      </c>
      <c r="U724">
        <v>13</v>
      </c>
    </row>
    <row r="725" spans="2:31" ht="20.100000000000001" customHeight="1">
      <c r="B725" s="88">
        <v>7</v>
      </c>
      <c r="C725" s="89" t="s">
        <v>1630</v>
      </c>
      <c r="D725" s="90" t="s">
        <v>1882</v>
      </c>
      <c r="E725" s="91" t="s">
        <v>1883</v>
      </c>
      <c r="F725" s="315">
        <v>22.59</v>
      </c>
      <c r="G725" s="260">
        <v>8</v>
      </c>
      <c r="H725" s="260"/>
      <c r="I725" s="309"/>
      <c r="J725" s="199"/>
      <c r="K725" s="269"/>
      <c r="L725" s="93">
        <f t="shared" si="227"/>
        <v>8</v>
      </c>
      <c r="M725" s="183">
        <v>8</v>
      </c>
      <c r="N725" s="95">
        <f t="shared" si="229"/>
        <v>180.72</v>
      </c>
      <c r="O725" s="95">
        <f t="shared" si="230"/>
        <v>180.72</v>
      </c>
      <c r="P725" s="94">
        <f t="shared" si="231"/>
        <v>0</v>
      </c>
      <c r="Q725" s="95">
        <f t="shared" si="232"/>
        <v>0</v>
      </c>
      <c r="R725" s="96"/>
      <c r="S725" s="97">
        <f t="shared" si="233"/>
        <v>8</v>
      </c>
      <c r="T725" s="98">
        <f t="shared" si="228"/>
        <v>0</v>
      </c>
      <c r="U725">
        <v>8</v>
      </c>
    </row>
    <row r="726" spans="2:31" ht="20.100000000000001" customHeight="1">
      <c r="B726" s="88">
        <v>7</v>
      </c>
      <c r="C726" s="89" t="s">
        <v>1630</v>
      </c>
      <c r="D726" s="90" t="s">
        <v>1884</v>
      </c>
      <c r="E726" s="91" t="s">
        <v>1885</v>
      </c>
      <c r="F726" s="315">
        <v>21.6</v>
      </c>
      <c r="G726" s="260"/>
      <c r="H726" s="260"/>
      <c r="I726" s="309"/>
      <c r="J726" s="199"/>
      <c r="K726" s="269"/>
      <c r="L726" s="93">
        <f t="shared" si="227"/>
        <v>0</v>
      </c>
      <c r="M726" s="183"/>
      <c r="N726" s="95">
        <f t="shared" si="229"/>
        <v>0</v>
      </c>
      <c r="O726" s="95">
        <f t="shared" si="230"/>
        <v>0</v>
      </c>
      <c r="P726" s="94">
        <f t="shared" si="231"/>
        <v>0</v>
      </c>
      <c r="Q726" s="95">
        <f t="shared" si="232"/>
        <v>0</v>
      </c>
      <c r="R726" s="96"/>
      <c r="S726" s="97">
        <f t="shared" si="233"/>
        <v>1</v>
      </c>
      <c r="T726" s="98">
        <f t="shared" si="228"/>
        <v>-1</v>
      </c>
      <c r="U726">
        <v>1</v>
      </c>
    </row>
    <row r="727" spans="2:31" ht="20.100000000000001" customHeight="1">
      <c r="B727" s="88">
        <v>7</v>
      </c>
      <c r="C727" s="89" t="s">
        <v>1630</v>
      </c>
      <c r="D727" s="90" t="s">
        <v>1886</v>
      </c>
      <c r="E727" s="91" t="s">
        <v>1887</v>
      </c>
      <c r="F727" s="315">
        <v>22.59</v>
      </c>
      <c r="G727" s="260"/>
      <c r="H727" s="260"/>
      <c r="I727" s="309"/>
      <c r="J727" s="199"/>
      <c r="K727" s="269"/>
      <c r="L727" s="93">
        <f t="shared" si="227"/>
        <v>0</v>
      </c>
      <c r="M727" s="183"/>
      <c r="N727" s="95">
        <f t="shared" si="229"/>
        <v>0</v>
      </c>
      <c r="O727" s="95">
        <f t="shared" si="230"/>
        <v>0</v>
      </c>
      <c r="P727" s="94">
        <f t="shared" si="231"/>
        <v>0</v>
      </c>
      <c r="Q727" s="95">
        <f t="shared" si="232"/>
        <v>0</v>
      </c>
      <c r="R727" s="96"/>
      <c r="S727" s="97">
        <f t="shared" si="233"/>
        <v>2</v>
      </c>
      <c r="T727" s="98">
        <f t="shared" si="228"/>
        <v>-2</v>
      </c>
      <c r="U727">
        <v>2</v>
      </c>
    </row>
    <row r="728" spans="2:31" ht="20.100000000000001" customHeight="1">
      <c r="B728" s="88">
        <v>7</v>
      </c>
      <c r="C728" s="89" t="s">
        <v>1630</v>
      </c>
      <c r="D728" s="90" t="s">
        <v>1888</v>
      </c>
      <c r="E728" s="91" t="s">
        <v>1889</v>
      </c>
      <c r="F728" s="315">
        <v>22.59</v>
      </c>
      <c r="G728" s="260">
        <v>4</v>
      </c>
      <c r="H728" s="260"/>
      <c r="I728" s="309"/>
      <c r="J728" s="199"/>
      <c r="K728" s="269">
        <v>3</v>
      </c>
      <c r="L728" s="93">
        <f t="shared" si="227"/>
        <v>1</v>
      </c>
      <c r="M728" s="183"/>
      <c r="N728" s="95">
        <f t="shared" si="229"/>
        <v>22.59</v>
      </c>
      <c r="O728" s="95">
        <f t="shared" si="230"/>
        <v>0</v>
      </c>
      <c r="P728" s="94">
        <f t="shared" si="231"/>
        <v>1</v>
      </c>
      <c r="Q728" s="95">
        <f t="shared" si="232"/>
        <v>22.59</v>
      </c>
      <c r="R728" s="96"/>
      <c r="S728" s="97">
        <f t="shared" si="233"/>
        <v>8</v>
      </c>
      <c r="T728" s="98">
        <f t="shared" si="228"/>
        <v>-8</v>
      </c>
      <c r="U728">
        <v>8</v>
      </c>
    </row>
    <row r="729" spans="2:31" ht="20.100000000000001" customHeight="1">
      <c r="B729" s="88">
        <v>7</v>
      </c>
      <c r="C729" s="89" t="s">
        <v>1630</v>
      </c>
      <c r="D729" s="90" t="s">
        <v>1890</v>
      </c>
      <c r="E729" s="91" t="s">
        <v>1891</v>
      </c>
      <c r="F729" s="315">
        <v>22.59</v>
      </c>
      <c r="G729" s="260"/>
      <c r="H729" s="260"/>
      <c r="I729" s="309"/>
      <c r="J729" s="199"/>
      <c r="K729" s="269"/>
      <c r="L729" s="93">
        <f t="shared" si="227"/>
        <v>0</v>
      </c>
      <c r="M729" s="183"/>
      <c r="N729" s="95">
        <f t="shared" si="229"/>
        <v>0</v>
      </c>
      <c r="O729" s="95">
        <f t="shared" si="230"/>
        <v>0</v>
      </c>
      <c r="P729" s="94">
        <f t="shared" si="231"/>
        <v>0</v>
      </c>
      <c r="Q729" s="95">
        <f t="shared" si="232"/>
        <v>0</v>
      </c>
      <c r="R729" s="96"/>
      <c r="S729" s="97">
        <f t="shared" si="233"/>
        <v>1</v>
      </c>
      <c r="T729" s="98">
        <f t="shared" si="228"/>
        <v>-1</v>
      </c>
      <c r="U729">
        <v>1</v>
      </c>
    </row>
    <row r="730" spans="2:31" ht="20.100000000000001" customHeight="1">
      <c r="B730" s="88">
        <v>8</v>
      </c>
      <c r="C730" s="89" t="s">
        <v>1892</v>
      </c>
      <c r="D730" s="90" t="s">
        <v>1893</v>
      </c>
      <c r="E730" s="91" t="s">
        <v>1894</v>
      </c>
      <c r="F730" s="315">
        <v>15.39</v>
      </c>
      <c r="G730" s="260">
        <v>140</v>
      </c>
      <c r="H730" s="260"/>
      <c r="I730" s="309"/>
      <c r="J730" s="199"/>
      <c r="K730" s="269"/>
      <c r="L730" s="93">
        <f t="shared" si="227"/>
        <v>140</v>
      </c>
      <c r="M730" s="183">
        <v>140</v>
      </c>
      <c r="N730" s="95">
        <f t="shared" si="229"/>
        <v>2154.6</v>
      </c>
      <c r="O730" s="95">
        <f t="shared" si="230"/>
        <v>2154.6</v>
      </c>
      <c r="P730" s="94">
        <f t="shared" si="231"/>
        <v>0</v>
      </c>
      <c r="Q730" s="95">
        <f t="shared" si="232"/>
        <v>0</v>
      </c>
      <c r="R730" s="102">
        <v>45374</v>
      </c>
      <c r="S730" s="97">
        <f t="shared" si="233"/>
        <v>140</v>
      </c>
      <c r="T730" s="98">
        <f t="shared" si="228"/>
        <v>0</v>
      </c>
      <c r="W730">
        <v>140</v>
      </c>
      <c r="X730" t="s">
        <v>549</v>
      </c>
      <c r="AD730">
        <f>W730</f>
        <v>140</v>
      </c>
      <c r="AE730" s="100">
        <f>AD730*F730</f>
        <v>2154.6</v>
      </c>
    </row>
    <row r="731" spans="2:31" ht="20.100000000000001" customHeight="1">
      <c r="B731" s="88">
        <v>8</v>
      </c>
      <c r="C731" s="89" t="s">
        <v>1892</v>
      </c>
      <c r="D731" s="90" t="s">
        <v>1895</v>
      </c>
      <c r="E731" s="91" t="s">
        <v>1896</v>
      </c>
      <c r="F731" s="315">
        <v>15.7</v>
      </c>
      <c r="G731" s="260">
        <v>0</v>
      </c>
      <c r="H731" s="260"/>
      <c r="I731" s="309"/>
      <c r="J731" s="199"/>
      <c r="K731" s="269"/>
      <c r="L731" s="93">
        <f t="shared" si="227"/>
        <v>0</v>
      </c>
      <c r="M731" s="183"/>
      <c r="N731" s="95">
        <f t="shared" si="229"/>
        <v>0</v>
      </c>
      <c r="O731" s="95">
        <f t="shared" si="230"/>
        <v>0</v>
      </c>
      <c r="P731" s="94">
        <f t="shared" si="231"/>
        <v>0</v>
      </c>
      <c r="Q731" s="95">
        <f t="shared" si="232"/>
        <v>0</v>
      </c>
      <c r="R731" s="96" t="s">
        <v>1897</v>
      </c>
      <c r="S731" s="97">
        <f t="shared" si="233"/>
        <v>0</v>
      </c>
      <c r="T731" s="98">
        <f t="shared" si="228"/>
        <v>0</v>
      </c>
    </row>
    <row r="732" spans="2:31" ht="20.100000000000001" customHeight="1">
      <c r="B732" s="88">
        <v>8</v>
      </c>
      <c r="C732" s="89" t="s">
        <v>1892</v>
      </c>
      <c r="D732" s="90" t="s">
        <v>1898</v>
      </c>
      <c r="E732" s="91" t="s">
        <v>1899</v>
      </c>
      <c r="F732" s="315">
        <v>23.92</v>
      </c>
      <c r="G732" s="260"/>
      <c r="H732" s="260">
        <v>4</v>
      </c>
      <c r="I732" s="309"/>
      <c r="J732" s="199"/>
      <c r="K732" s="269">
        <v>4</v>
      </c>
      <c r="L732" s="93">
        <f t="shared" si="227"/>
        <v>0</v>
      </c>
      <c r="M732" s="183"/>
      <c r="N732" s="95">
        <f t="shared" si="229"/>
        <v>0</v>
      </c>
      <c r="O732" s="95">
        <f t="shared" si="230"/>
        <v>0</v>
      </c>
      <c r="P732" s="94">
        <f t="shared" si="231"/>
        <v>0</v>
      </c>
      <c r="Q732" s="95">
        <f t="shared" si="232"/>
        <v>0</v>
      </c>
      <c r="R732" s="96"/>
      <c r="S732" s="97">
        <f t="shared" si="233"/>
        <v>0</v>
      </c>
      <c r="T732" s="98">
        <f t="shared" si="228"/>
        <v>0</v>
      </c>
    </row>
    <row r="733" spans="2:31" ht="20.100000000000001" customHeight="1">
      <c r="B733" s="88">
        <v>8</v>
      </c>
      <c r="C733" s="89" t="s">
        <v>1892</v>
      </c>
      <c r="D733" s="90" t="s">
        <v>1900</v>
      </c>
      <c r="E733" s="91" t="s">
        <v>1901</v>
      </c>
      <c r="F733" s="315">
        <v>45.95</v>
      </c>
      <c r="G733" s="260"/>
      <c r="H733" s="260"/>
      <c r="I733" s="309"/>
      <c r="J733" s="199"/>
      <c r="K733" s="269"/>
      <c r="L733" s="93">
        <f t="shared" si="227"/>
        <v>0</v>
      </c>
      <c r="M733" s="183"/>
      <c r="N733" s="95">
        <f t="shared" si="229"/>
        <v>0</v>
      </c>
      <c r="O733" s="95">
        <f t="shared" si="230"/>
        <v>0</v>
      </c>
      <c r="P733" s="94">
        <f t="shared" si="231"/>
        <v>0</v>
      </c>
      <c r="Q733" s="95">
        <f t="shared" si="232"/>
        <v>0</v>
      </c>
      <c r="R733" s="96"/>
      <c r="S733" s="97">
        <f t="shared" si="233"/>
        <v>0</v>
      </c>
      <c r="T733" s="98">
        <f t="shared" si="228"/>
        <v>0</v>
      </c>
    </row>
    <row r="734" spans="2:31" ht="20.100000000000001" customHeight="1">
      <c r="B734" s="88">
        <v>8</v>
      </c>
      <c r="C734" s="89" t="s">
        <v>1892</v>
      </c>
      <c r="D734" s="90" t="s">
        <v>1902</v>
      </c>
      <c r="E734" s="91" t="s">
        <v>1903</v>
      </c>
      <c r="F734" s="315">
        <v>60.9</v>
      </c>
      <c r="G734" s="260"/>
      <c r="H734" s="260">
        <v>5</v>
      </c>
      <c r="I734" s="309"/>
      <c r="J734" s="199"/>
      <c r="K734" s="269">
        <v>5</v>
      </c>
      <c r="L734" s="93">
        <f t="shared" si="227"/>
        <v>0</v>
      </c>
      <c r="M734" s="183"/>
      <c r="N734" s="95">
        <f t="shared" si="229"/>
        <v>0</v>
      </c>
      <c r="O734" s="95">
        <f t="shared" si="230"/>
        <v>0</v>
      </c>
      <c r="P734" s="94">
        <f t="shared" si="231"/>
        <v>0</v>
      </c>
      <c r="Q734" s="95">
        <f t="shared" si="232"/>
        <v>0</v>
      </c>
      <c r="R734" s="96"/>
      <c r="S734" s="97">
        <f t="shared" si="233"/>
        <v>0</v>
      </c>
      <c r="T734" s="98">
        <f t="shared" si="228"/>
        <v>0</v>
      </c>
    </row>
    <row r="735" spans="2:31" ht="20.100000000000001" customHeight="1">
      <c r="B735" s="88">
        <v>8</v>
      </c>
      <c r="C735" s="89" t="s">
        <v>1892</v>
      </c>
      <c r="D735" s="90" t="s">
        <v>1904</v>
      </c>
      <c r="E735" s="91" t="s">
        <v>1905</v>
      </c>
      <c r="F735" s="315">
        <v>172.85</v>
      </c>
      <c r="G735" s="260"/>
      <c r="H735" s="260"/>
      <c r="I735" s="309"/>
      <c r="J735" s="199"/>
      <c r="K735" s="269"/>
      <c r="L735" s="93">
        <f t="shared" si="227"/>
        <v>0</v>
      </c>
      <c r="M735" s="183"/>
      <c r="N735" s="95">
        <f t="shared" si="229"/>
        <v>0</v>
      </c>
      <c r="O735" s="95">
        <f t="shared" si="230"/>
        <v>0</v>
      </c>
      <c r="P735" s="94">
        <f t="shared" si="231"/>
        <v>0</v>
      </c>
      <c r="Q735" s="95">
        <f t="shared" si="232"/>
        <v>0</v>
      </c>
      <c r="R735" s="96"/>
      <c r="S735" s="97">
        <f t="shared" si="233"/>
        <v>0</v>
      </c>
      <c r="T735" s="98">
        <f t="shared" si="228"/>
        <v>0</v>
      </c>
    </row>
    <row r="736" spans="2:31" ht="20.100000000000001" customHeight="1">
      <c r="B736" s="88">
        <v>8</v>
      </c>
      <c r="C736" s="89" t="s">
        <v>1892</v>
      </c>
      <c r="D736" s="90" t="s">
        <v>1906</v>
      </c>
      <c r="E736" s="91" t="s">
        <v>1907</v>
      </c>
      <c r="F736" s="315">
        <v>6.1</v>
      </c>
      <c r="G736" s="260"/>
      <c r="H736" s="260"/>
      <c r="I736" s="309"/>
      <c r="J736" s="199"/>
      <c r="K736" s="269"/>
      <c r="L736" s="93">
        <f t="shared" si="227"/>
        <v>0</v>
      </c>
      <c r="M736" s="183"/>
      <c r="N736" s="95">
        <f t="shared" si="229"/>
        <v>0</v>
      </c>
      <c r="O736" s="95">
        <f t="shared" si="230"/>
        <v>0</v>
      </c>
      <c r="P736" s="94">
        <f t="shared" si="231"/>
        <v>0</v>
      </c>
      <c r="Q736" s="95">
        <f t="shared" si="232"/>
        <v>0</v>
      </c>
      <c r="R736" s="96"/>
      <c r="S736" s="97">
        <f t="shared" si="233"/>
        <v>0</v>
      </c>
      <c r="T736" s="98">
        <f t="shared" si="228"/>
        <v>0</v>
      </c>
    </row>
    <row r="737" spans="2:31" ht="20.100000000000001" customHeight="1">
      <c r="B737" s="88">
        <v>8</v>
      </c>
      <c r="C737" s="89" t="s">
        <v>1892</v>
      </c>
      <c r="D737" s="90" t="s">
        <v>1908</v>
      </c>
      <c r="E737" s="91" t="s">
        <v>1909</v>
      </c>
      <c r="F737" s="315">
        <v>60.4</v>
      </c>
      <c r="G737" s="260">
        <v>27</v>
      </c>
      <c r="H737" s="260"/>
      <c r="I737" s="309"/>
      <c r="J737" s="199"/>
      <c r="K737" s="269">
        <v>7</v>
      </c>
      <c r="L737" s="93">
        <f t="shared" si="227"/>
        <v>20</v>
      </c>
      <c r="M737" s="183">
        <v>20</v>
      </c>
      <c r="N737" s="95">
        <f t="shared" si="229"/>
        <v>1208</v>
      </c>
      <c r="O737" s="95">
        <f t="shared" si="230"/>
        <v>1208</v>
      </c>
      <c r="P737" s="94">
        <f t="shared" si="231"/>
        <v>0</v>
      </c>
      <c r="Q737" s="95">
        <f t="shared" si="232"/>
        <v>0</v>
      </c>
      <c r="R737" s="96"/>
      <c r="S737" s="97">
        <f t="shared" si="233"/>
        <v>34</v>
      </c>
      <c r="T737" s="98">
        <f t="shared" si="228"/>
        <v>-14</v>
      </c>
      <c r="U737">
        <v>34</v>
      </c>
    </row>
    <row r="738" spans="2:31" ht="20.100000000000001" customHeight="1">
      <c r="B738" s="88">
        <v>8</v>
      </c>
      <c r="C738" s="89" t="s">
        <v>1892</v>
      </c>
      <c r="D738" s="90" t="s">
        <v>1910</v>
      </c>
      <c r="E738" s="91" t="s">
        <v>1911</v>
      </c>
      <c r="F738" s="315">
        <v>110.5</v>
      </c>
      <c r="G738" s="260">
        <v>14</v>
      </c>
      <c r="H738" s="260"/>
      <c r="I738" s="309"/>
      <c r="J738" s="199"/>
      <c r="K738" s="269"/>
      <c r="L738" s="93">
        <f t="shared" si="227"/>
        <v>14</v>
      </c>
      <c r="M738" s="183">
        <v>14</v>
      </c>
      <c r="N738" s="95">
        <f t="shared" si="229"/>
        <v>1547</v>
      </c>
      <c r="O738" s="95">
        <f t="shared" si="230"/>
        <v>1547</v>
      </c>
      <c r="P738" s="94">
        <f t="shared" si="231"/>
        <v>0</v>
      </c>
      <c r="Q738" s="95">
        <f t="shared" si="232"/>
        <v>0</v>
      </c>
      <c r="R738" s="96"/>
      <c r="S738" s="97">
        <f t="shared" si="233"/>
        <v>14</v>
      </c>
      <c r="T738" s="98">
        <f t="shared" si="228"/>
        <v>0</v>
      </c>
      <c r="U738">
        <v>14</v>
      </c>
    </row>
    <row r="739" spans="2:31" ht="20.100000000000001" customHeight="1">
      <c r="B739" s="88">
        <v>8</v>
      </c>
      <c r="C739" s="89" t="s">
        <v>1892</v>
      </c>
      <c r="D739" s="90" t="s">
        <v>1912</v>
      </c>
      <c r="E739" s="91" t="s">
        <v>1913</v>
      </c>
      <c r="F739" s="315">
        <v>11.66</v>
      </c>
      <c r="G739" s="260"/>
      <c r="H739" s="260"/>
      <c r="I739" s="309"/>
      <c r="J739" s="199"/>
      <c r="K739" s="269"/>
      <c r="L739" s="93">
        <f t="shared" si="227"/>
        <v>0</v>
      </c>
      <c r="M739" s="183"/>
      <c r="N739" s="95">
        <f t="shared" si="229"/>
        <v>0</v>
      </c>
      <c r="O739" s="95">
        <f t="shared" si="230"/>
        <v>0</v>
      </c>
      <c r="P739" s="94">
        <f t="shared" si="231"/>
        <v>0</v>
      </c>
      <c r="Q739" s="95">
        <f t="shared" si="232"/>
        <v>0</v>
      </c>
      <c r="R739" s="96"/>
      <c r="S739" s="97">
        <f t="shared" si="233"/>
        <v>0</v>
      </c>
      <c r="T739" s="98">
        <f t="shared" si="228"/>
        <v>0</v>
      </c>
    </row>
    <row r="740" spans="2:31" ht="20.100000000000001" customHeight="1">
      <c r="B740" s="88">
        <v>8</v>
      </c>
      <c r="C740" s="89" t="s">
        <v>1892</v>
      </c>
      <c r="D740" s="90" t="s">
        <v>1914</v>
      </c>
      <c r="E740" s="91" t="s">
        <v>1915</v>
      </c>
      <c r="F740" s="315">
        <v>76.17</v>
      </c>
      <c r="G740" s="260"/>
      <c r="H740" s="260"/>
      <c r="I740" s="309"/>
      <c r="J740" s="199"/>
      <c r="K740" s="269"/>
      <c r="L740" s="93">
        <f t="shared" si="227"/>
        <v>0</v>
      </c>
      <c r="M740" s="183"/>
      <c r="N740" s="95">
        <f t="shared" si="229"/>
        <v>0</v>
      </c>
      <c r="O740" s="95">
        <f t="shared" si="230"/>
        <v>0</v>
      </c>
      <c r="P740" s="94">
        <f t="shared" si="231"/>
        <v>0</v>
      </c>
      <c r="Q740" s="95">
        <f t="shared" si="232"/>
        <v>0</v>
      </c>
      <c r="R740" s="96"/>
      <c r="S740" s="97">
        <f t="shared" si="233"/>
        <v>0</v>
      </c>
      <c r="T740" s="98">
        <f t="shared" si="228"/>
        <v>0</v>
      </c>
    </row>
    <row r="741" spans="2:31" ht="20.100000000000001" customHeight="1">
      <c r="B741" s="88">
        <v>8</v>
      </c>
      <c r="C741" s="89" t="s">
        <v>1892</v>
      </c>
      <c r="D741" s="90" t="s">
        <v>1916</v>
      </c>
      <c r="E741" s="91" t="s">
        <v>1917</v>
      </c>
      <c r="F741" s="315">
        <v>22.5</v>
      </c>
      <c r="G741" s="260">
        <v>10</v>
      </c>
      <c r="H741" s="260"/>
      <c r="I741" s="309"/>
      <c r="J741" s="199"/>
      <c r="K741" s="269"/>
      <c r="L741" s="93">
        <f t="shared" si="227"/>
        <v>10</v>
      </c>
      <c r="M741" s="183">
        <v>10</v>
      </c>
      <c r="N741" s="95">
        <f t="shared" si="229"/>
        <v>225</v>
      </c>
      <c r="O741" s="95">
        <f t="shared" si="230"/>
        <v>225</v>
      </c>
      <c r="P741" s="94">
        <f t="shared" si="231"/>
        <v>0</v>
      </c>
      <c r="Q741" s="95">
        <f t="shared" si="232"/>
        <v>0</v>
      </c>
      <c r="R741" s="96"/>
      <c r="S741" s="97">
        <f t="shared" si="233"/>
        <v>10</v>
      </c>
      <c r="T741" s="98">
        <f t="shared" si="228"/>
        <v>0</v>
      </c>
      <c r="U741">
        <v>10</v>
      </c>
    </row>
    <row r="742" spans="2:31" ht="20.100000000000001" customHeight="1">
      <c r="B742" s="88">
        <v>8</v>
      </c>
      <c r="C742" s="89" t="s">
        <v>1892</v>
      </c>
      <c r="D742" s="90" t="s">
        <v>1918</v>
      </c>
      <c r="E742" s="91" t="s">
        <v>1919</v>
      </c>
      <c r="F742" s="315">
        <v>22.5</v>
      </c>
      <c r="G742" s="260">
        <v>9</v>
      </c>
      <c r="H742" s="260"/>
      <c r="I742" s="309"/>
      <c r="J742" s="199"/>
      <c r="K742" s="269"/>
      <c r="L742" s="93">
        <f t="shared" si="227"/>
        <v>9</v>
      </c>
      <c r="M742" s="183">
        <v>9</v>
      </c>
      <c r="N742" s="95">
        <f t="shared" si="229"/>
        <v>202.5</v>
      </c>
      <c r="O742" s="95">
        <f t="shared" si="230"/>
        <v>202.5</v>
      </c>
      <c r="P742" s="94">
        <f t="shared" si="231"/>
        <v>0</v>
      </c>
      <c r="Q742" s="95">
        <f t="shared" si="232"/>
        <v>0</v>
      </c>
      <c r="R742" s="96"/>
      <c r="S742" s="97">
        <f t="shared" si="233"/>
        <v>9</v>
      </c>
      <c r="T742" s="98">
        <f t="shared" si="228"/>
        <v>0</v>
      </c>
      <c r="U742">
        <v>9</v>
      </c>
    </row>
    <row r="743" spans="2:31" ht="20.100000000000001" customHeight="1">
      <c r="B743" s="88">
        <v>8</v>
      </c>
      <c r="C743" s="89" t="s">
        <v>1892</v>
      </c>
      <c r="D743" s="90" t="s">
        <v>1920</v>
      </c>
      <c r="E743" s="91" t="s">
        <v>1921</v>
      </c>
      <c r="F743" s="315">
        <v>27.69</v>
      </c>
      <c r="G743" s="260"/>
      <c r="H743" s="260"/>
      <c r="I743" s="309"/>
      <c r="J743" s="199"/>
      <c r="K743" s="269"/>
      <c r="L743" s="93">
        <f t="shared" si="227"/>
        <v>0</v>
      </c>
      <c r="M743" s="183"/>
      <c r="N743" s="95">
        <f t="shared" si="229"/>
        <v>0</v>
      </c>
      <c r="O743" s="95">
        <f t="shared" si="230"/>
        <v>0</v>
      </c>
      <c r="P743" s="94">
        <f t="shared" si="231"/>
        <v>0</v>
      </c>
      <c r="Q743" s="95">
        <f t="shared" si="232"/>
        <v>0</v>
      </c>
      <c r="R743" s="96"/>
      <c r="S743" s="97">
        <f t="shared" si="233"/>
        <v>0</v>
      </c>
      <c r="T743" s="98">
        <f t="shared" si="228"/>
        <v>0</v>
      </c>
    </row>
    <row r="744" spans="2:31" ht="20.100000000000001" customHeight="1">
      <c r="B744" s="88">
        <v>8</v>
      </c>
      <c r="C744" s="89" t="s">
        <v>1892</v>
      </c>
      <c r="D744" s="90" t="s">
        <v>1922</v>
      </c>
      <c r="E744" s="91" t="s">
        <v>1923</v>
      </c>
      <c r="F744" s="315">
        <v>13.85</v>
      </c>
      <c r="G744" s="260">
        <v>47</v>
      </c>
      <c r="H744" s="260"/>
      <c r="I744" s="309"/>
      <c r="J744" s="199"/>
      <c r="K744" s="269"/>
      <c r="L744" s="93">
        <f t="shared" si="227"/>
        <v>47</v>
      </c>
      <c r="M744" s="183">
        <v>42</v>
      </c>
      <c r="N744" s="95">
        <f t="shared" si="229"/>
        <v>650.94999999999993</v>
      </c>
      <c r="O744" s="95">
        <f t="shared" si="230"/>
        <v>581.69999999999993</v>
      </c>
      <c r="P744" s="94">
        <f t="shared" si="231"/>
        <v>5</v>
      </c>
      <c r="Q744" s="95">
        <f t="shared" si="232"/>
        <v>69.25</v>
      </c>
      <c r="R744" s="96"/>
      <c r="S744" s="97">
        <f t="shared" si="233"/>
        <v>51</v>
      </c>
      <c r="T744" s="98">
        <f t="shared" si="228"/>
        <v>-9</v>
      </c>
      <c r="U744">
        <v>51</v>
      </c>
    </row>
    <row r="745" spans="2:31" ht="20.100000000000001" customHeight="1">
      <c r="B745" s="88">
        <v>8</v>
      </c>
      <c r="C745" s="89" t="s">
        <v>1892</v>
      </c>
      <c r="D745" s="90" t="s">
        <v>1924</v>
      </c>
      <c r="E745" s="91" t="s">
        <v>1925</v>
      </c>
      <c r="F745" s="315">
        <v>65.08</v>
      </c>
      <c r="G745" s="260">
        <v>13</v>
      </c>
      <c r="H745" s="260"/>
      <c r="I745" s="309"/>
      <c r="J745" s="199"/>
      <c r="K745" s="269"/>
      <c r="L745" s="93">
        <f t="shared" si="227"/>
        <v>13</v>
      </c>
      <c r="M745" s="183">
        <v>13</v>
      </c>
      <c r="N745" s="95">
        <f t="shared" si="229"/>
        <v>846.04</v>
      </c>
      <c r="O745" s="95">
        <f t="shared" si="230"/>
        <v>846.04</v>
      </c>
      <c r="P745" s="94">
        <f t="shared" si="231"/>
        <v>0</v>
      </c>
      <c r="Q745" s="95">
        <f t="shared" si="232"/>
        <v>0</v>
      </c>
      <c r="R745" s="102">
        <v>45280</v>
      </c>
      <c r="S745" s="97">
        <f t="shared" si="233"/>
        <v>13</v>
      </c>
      <c r="T745" s="98">
        <f t="shared" si="228"/>
        <v>0</v>
      </c>
      <c r="W745">
        <v>13</v>
      </c>
      <c r="X745" t="s">
        <v>957</v>
      </c>
      <c r="AD745">
        <f>W745</f>
        <v>13</v>
      </c>
      <c r="AE745" s="100">
        <f>AD745*F745</f>
        <v>846.04</v>
      </c>
    </row>
    <row r="746" spans="2:31" ht="20.100000000000001" customHeight="1">
      <c r="B746" s="88">
        <v>8</v>
      </c>
      <c r="C746" s="89" t="s">
        <v>1892</v>
      </c>
      <c r="D746" s="90" t="s">
        <v>1926</v>
      </c>
      <c r="E746" s="91" t="s">
        <v>1927</v>
      </c>
      <c r="F746" s="315">
        <v>15.19</v>
      </c>
      <c r="G746" s="260">
        <v>0</v>
      </c>
      <c r="H746" s="260">
        <v>35</v>
      </c>
      <c r="I746" s="309"/>
      <c r="J746" s="199"/>
      <c r="K746" s="269"/>
      <c r="L746" s="93">
        <f t="shared" si="227"/>
        <v>35</v>
      </c>
      <c r="M746" s="183">
        <v>35</v>
      </c>
      <c r="N746" s="95">
        <f t="shared" si="229"/>
        <v>531.65</v>
      </c>
      <c r="O746" s="95">
        <f t="shared" si="230"/>
        <v>531.65</v>
      </c>
      <c r="P746" s="94">
        <f t="shared" si="231"/>
        <v>0</v>
      </c>
      <c r="Q746" s="95">
        <f t="shared" si="232"/>
        <v>0</v>
      </c>
      <c r="R746" s="96"/>
      <c r="S746" s="97">
        <f t="shared" si="233"/>
        <v>0</v>
      </c>
      <c r="T746" s="98">
        <f t="shared" si="228"/>
        <v>35</v>
      </c>
    </row>
    <row r="747" spans="2:31" ht="20.100000000000001" customHeight="1">
      <c r="B747" s="88">
        <v>8</v>
      </c>
      <c r="C747" s="89" t="s">
        <v>1892</v>
      </c>
      <c r="D747" s="90" t="s">
        <v>1928</v>
      </c>
      <c r="E747" s="91" t="s">
        <v>1929</v>
      </c>
      <c r="F747" s="315">
        <v>100</v>
      </c>
      <c r="G747" s="260"/>
      <c r="H747" s="260"/>
      <c r="I747" s="309"/>
      <c r="J747" s="199"/>
      <c r="K747" s="269"/>
      <c r="L747" s="93">
        <f t="shared" si="227"/>
        <v>0</v>
      </c>
      <c r="M747" s="183"/>
      <c r="N747" s="95">
        <f t="shared" si="229"/>
        <v>0</v>
      </c>
      <c r="O747" s="95">
        <f t="shared" si="230"/>
        <v>0</v>
      </c>
      <c r="P747" s="94">
        <f t="shared" si="231"/>
        <v>0</v>
      </c>
      <c r="Q747" s="95">
        <f t="shared" si="232"/>
        <v>0</v>
      </c>
      <c r="R747" s="96"/>
      <c r="S747" s="97">
        <f t="shared" si="233"/>
        <v>1</v>
      </c>
      <c r="T747" s="98">
        <f t="shared" si="228"/>
        <v>-1</v>
      </c>
      <c r="U747">
        <v>1</v>
      </c>
    </row>
    <row r="748" spans="2:31" ht="20.100000000000001" customHeight="1">
      <c r="B748" s="88">
        <v>8</v>
      </c>
      <c r="C748" s="89" t="s">
        <v>1892</v>
      </c>
      <c r="D748" s="90" t="s">
        <v>1930</v>
      </c>
      <c r="E748" s="91" t="s">
        <v>1931</v>
      </c>
      <c r="F748" s="315">
        <v>31.9</v>
      </c>
      <c r="G748" s="260">
        <v>74</v>
      </c>
      <c r="H748" s="260">
        <v>15</v>
      </c>
      <c r="I748" s="309"/>
      <c r="J748" s="199"/>
      <c r="K748" s="269">
        <v>31</v>
      </c>
      <c r="L748" s="93">
        <f t="shared" si="227"/>
        <v>58</v>
      </c>
      <c r="M748" s="183">
        <v>58</v>
      </c>
      <c r="N748" s="95">
        <f t="shared" si="229"/>
        <v>1850.1999999999998</v>
      </c>
      <c r="O748" s="95">
        <f t="shared" si="230"/>
        <v>1850.1999999999998</v>
      </c>
      <c r="P748" s="94">
        <f t="shared" si="231"/>
        <v>0</v>
      </c>
      <c r="Q748" s="95">
        <f t="shared" si="232"/>
        <v>0</v>
      </c>
      <c r="R748" s="278"/>
      <c r="S748" s="97">
        <f t="shared" si="233"/>
        <v>47</v>
      </c>
      <c r="T748" s="98">
        <f t="shared" si="228"/>
        <v>11</v>
      </c>
      <c r="U748">
        <v>46</v>
      </c>
      <c r="AA748">
        <v>1</v>
      </c>
      <c r="AB748" s="99" t="s">
        <v>1015</v>
      </c>
    </row>
    <row r="749" spans="2:31" ht="20.100000000000001" customHeight="1">
      <c r="B749" s="88">
        <v>8</v>
      </c>
      <c r="C749" s="89" t="s">
        <v>1892</v>
      </c>
      <c r="D749" s="90" t="s">
        <v>1932</v>
      </c>
      <c r="E749" s="91" t="s">
        <v>1933</v>
      </c>
      <c r="F749" s="315">
        <v>65.95</v>
      </c>
      <c r="G749" s="260">
        <v>22</v>
      </c>
      <c r="H749" s="260">
        <v>12</v>
      </c>
      <c r="I749" s="309"/>
      <c r="J749" s="199"/>
      <c r="K749" s="269">
        <v>30</v>
      </c>
      <c r="L749" s="93">
        <f t="shared" si="227"/>
        <v>4</v>
      </c>
      <c r="M749" s="183">
        <v>4</v>
      </c>
      <c r="N749" s="95">
        <f t="shared" si="229"/>
        <v>263.8</v>
      </c>
      <c r="O749" s="95">
        <f t="shared" si="230"/>
        <v>263.8</v>
      </c>
      <c r="P749" s="94">
        <f t="shared" si="231"/>
        <v>0</v>
      </c>
      <c r="Q749" s="95">
        <f t="shared" si="232"/>
        <v>0</v>
      </c>
      <c r="R749" s="96"/>
      <c r="S749" s="97">
        <f t="shared" si="233"/>
        <v>4</v>
      </c>
      <c r="T749" s="98">
        <f t="shared" si="228"/>
        <v>0</v>
      </c>
      <c r="U749">
        <v>4</v>
      </c>
    </row>
    <row r="750" spans="2:31" ht="20.100000000000001" customHeight="1">
      <c r="B750" s="88">
        <v>8</v>
      </c>
      <c r="C750" s="89" t="s">
        <v>1892</v>
      </c>
      <c r="D750" s="90" t="s">
        <v>1934</v>
      </c>
      <c r="E750" s="91" t="s">
        <v>1935</v>
      </c>
      <c r="F750" s="315">
        <v>13.56</v>
      </c>
      <c r="G750" s="260">
        <v>9</v>
      </c>
      <c r="H750" s="260">
        <v>15</v>
      </c>
      <c r="I750" s="309"/>
      <c r="J750" s="199"/>
      <c r="K750" s="269">
        <v>15</v>
      </c>
      <c r="L750" s="93">
        <f t="shared" si="227"/>
        <v>9</v>
      </c>
      <c r="M750" s="183">
        <v>9</v>
      </c>
      <c r="N750" s="95">
        <f t="shared" si="229"/>
        <v>122.04</v>
      </c>
      <c r="O750" s="95">
        <f t="shared" si="230"/>
        <v>122.04</v>
      </c>
      <c r="P750" s="94">
        <f t="shared" si="231"/>
        <v>0</v>
      </c>
      <c r="Q750" s="95">
        <f t="shared" si="232"/>
        <v>0</v>
      </c>
      <c r="R750" s="278"/>
      <c r="S750" s="97">
        <f t="shared" si="233"/>
        <v>14</v>
      </c>
      <c r="T750" s="98">
        <f t="shared" si="228"/>
        <v>-5</v>
      </c>
      <c r="U750">
        <v>14</v>
      </c>
    </row>
    <row r="751" spans="2:31" ht="20.100000000000001" customHeight="1">
      <c r="B751" s="88">
        <v>8</v>
      </c>
      <c r="C751" s="89" t="s">
        <v>1892</v>
      </c>
      <c r="D751" s="90" t="s">
        <v>1936</v>
      </c>
      <c r="E751" s="91" t="s">
        <v>1937</v>
      </c>
      <c r="F751" s="315">
        <v>71.75</v>
      </c>
      <c r="G751" s="260"/>
      <c r="H751" s="260">
        <v>1</v>
      </c>
      <c r="I751" s="309"/>
      <c r="J751" s="199"/>
      <c r="K751" s="80">
        <v>1</v>
      </c>
      <c r="L751" s="93">
        <f t="shared" si="227"/>
        <v>0</v>
      </c>
      <c r="M751" s="183"/>
      <c r="N751" s="95">
        <f t="shared" si="229"/>
        <v>0</v>
      </c>
      <c r="O751" s="95">
        <f t="shared" si="230"/>
        <v>0</v>
      </c>
      <c r="P751" s="94">
        <f t="shared" si="231"/>
        <v>0</v>
      </c>
      <c r="Q751" s="95">
        <f t="shared" si="232"/>
        <v>0</v>
      </c>
      <c r="R751" s="96"/>
      <c r="S751" s="97">
        <f t="shared" si="233"/>
        <v>2</v>
      </c>
      <c r="T751" s="98">
        <f t="shared" si="228"/>
        <v>-2</v>
      </c>
      <c r="U751">
        <v>2</v>
      </c>
    </row>
    <row r="752" spans="2:31" ht="20.100000000000001" customHeight="1">
      <c r="B752" s="88">
        <v>8</v>
      </c>
      <c r="C752" s="89" t="s">
        <v>1892</v>
      </c>
      <c r="D752" s="90" t="s">
        <v>1938</v>
      </c>
      <c r="E752" s="91" t="s">
        <v>1939</v>
      </c>
      <c r="F752" s="315">
        <v>25.65</v>
      </c>
      <c r="G752" s="260"/>
      <c r="H752" s="260"/>
      <c r="I752" s="309"/>
      <c r="J752" s="199"/>
      <c r="K752" s="269"/>
      <c r="L752" s="93">
        <f t="shared" si="227"/>
        <v>0</v>
      </c>
      <c r="M752" s="183"/>
      <c r="N752" s="95">
        <f t="shared" si="229"/>
        <v>0</v>
      </c>
      <c r="O752" s="95">
        <f t="shared" si="230"/>
        <v>0</v>
      </c>
      <c r="P752" s="94">
        <f t="shared" si="231"/>
        <v>0</v>
      </c>
      <c r="Q752" s="95">
        <f t="shared" si="232"/>
        <v>0</v>
      </c>
      <c r="R752" s="96"/>
      <c r="S752" s="97">
        <f t="shared" si="233"/>
        <v>0</v>
      </c>
      <c r="T752" s="98">
        <f t="shared" si="228"/>
        <v>0</v>
      </c>
    </row>
    <row r="753" spans="2:31" ht="20.100000000000001" customHeight="1">
      <c r="B753" s="88">
        <v>8</v>
      </c>
      <c r="C753" s="89" t="s">
        <v>1892</v>
      </c>
      <c r="D753" s="90" t="s">
        <v>1940</v>
      </c>
      <c r="E753" s="91" t="s">
        <v>1941</v>
      </c>
      <c r="F753" s="315">
        <v>51</v>
      </c>
      <c r="G753" s="260">
        <v>3</v>
      </c>
      <c r="H753" s="260"/>
      <c r="I753" s="309"/>
      <c r="J753" s="199"/>
      <c r="K753" s="269">
        <v>3</v>
      </c>
      <c r="L753" s="93">
        <f t="shared" si="227"/>
        <v>0</v>
      </c>
      <c r="M753" s="183"/>
      <c r="N753" s="95">
        <f t="shared" si="229"/>
        <v>0</v>
      </c>
      <c r="O753" s="95">
        <f t="shared" si="230"/>
        <v>0</v>
      </c>
      <c r="P753" s="94">
        <f t="shared" si="231"/>
        <v>0</v>
      </c>
      <c r="Q753" s="95">
        <f t="shared" si="232"/>
        <v>0</v>
      </c>
      <c r="R753" s="96"/>
      <c r="S753" s="97">
        <f t="shared" si="233"/>
        <v>5</v>
      </c>
      <c r="T753" s="98">
        <f t="shared" si="228"/>
        <v>-5</v>
      </c>
      <c r="U753">
        <v>5</v>
      </c>
    </row>
    <row r="754" spans="2:31" ht="20.100000000000001" customHeight="1">
      <c r="B754" s="88">
        <v>8</v>
      </c>
      <c r="C754" s="89" t="s">
        <v>1892</v>
      </c>
      <c r="D754" s="90" t="s">
        <v>1942</v>
      </c>
      <c r="E754" s="91" t="s">
        <v>1943</v>
      </c>
      <c r="F754" s="315">
        <v>10</v>
      </c>
      <c r="G754" s="260">
        <v>60</v>
      </c>
      <c r="H754" s="260">
        <v>20</v>
      </c>
      <c r="I754" s="309"/>
      <c r="J754" s="199"/>
      <c r="K754" s="269">
        <v>20</v>
      </c>
      <c r="L754" s="93">
        <f t="shared" si="227"/>
        <v>60</v>
      </c>
      <c r="M754" s="183">
        <v>60</v>
      </c>
      <c r="N754" s="95">
        <f t="shared" si="229"/>
        <v>600</v>
      </c>
      <c r="O754" s="95">
        <f t="shared" si="230"/>
        <v>600</v>
      </c>
      <c r="P754" s="94">
        <f t="shared" si="231"/>
        <v>0</v>
      </c>
      <c r="Q754" s="95">
        <f t="shared" si="232"/>
        <v>0</v>
      </c>
      <c r="R754" s="279"/>
      <c r="S754" s="97">
        <f t="shared" si="233"/>
        <v>60</v>
      </c>
      <c r="T754" s="98">
        <f t="shared" si="228"/>
        <v>0</v>
      </c>
      <c r="W754">
        <v>60</v>
      </c>
      <c r="X754" t="s">
        <v>555</v>
      </c>
      <c r="AD754">
        <f>W754</f>
        <v>60</v>
      </c>
      <c r="AE754" s="100">
        <f>AD754*F754</f>
        <v>600</v>
      </c>
    </row>
    <row r="755" spans="2:31" ht="20.100000000000001" customHeight="1">
      <c r="B755" s="88">
        <v>8</v>
      </c>
      <c r="C755" s="89" t="s">
        <v>1892</v>
      </c>
      <c r="D755" s="90" t="s">
        <v>1944</v>
      </c>
      <c r="E755" s="91" t="s">
        <v>1945</v>
      </c>
      <c r="F755" s="315">
        <v>18.98</v>
      </c>
      <c r="G755" s="260"/>
      <c r="H755" s="260"/>
      <c r="I755" s="309"/>
      <c r="J755" s="199"/>
      <c r="K755" s="269"/>
      <c r="L755" s="93">
        <f t="shared" si="227"/>
        <v>0</v>
      </c>
      <c r="M755" s="183"/>
      <c r="N755" s="95">
        <f t="shared" si="229"/>
        <v>0</v>
      </c>
      <c r="O755" s="95">
        <f t="shared" si="230"/>
        <v>0</v>
      </c>
      <c r="P755" s="94">
        <f t="shared" si="231"/>
        <v>0</v>
      </c>
      <c r="Q755" s="95">
        <f t="shared" si="232"/>
        <v>0</v>
      </c>
      <c r="R755" s="96"/>
      <c r="S755" s="97">
        <f t="shared" si="233"/>
        <v>0</v>
      </c>
      <c r="T755" s="98">
        <f t="shared" si="228"/>
        <v>0</v>
      </c>
    </row>
    <row r="756" spans="2:31" ht="20.100000000000001" customHeight="1">
      <c r="B756" s="88">
        <v>8</v>
      </c>
      <c r="C756" s="89" t="s">
        <v>1892</v>
      </c>
      <c r="D756" s="90" t="s">
        <v>1946</v>
      </c>
      <c r="E756" s="91" t="s">
        <v>1947</v>
      </c>
      <c r="F756" s="315">
        <v>41.25</v>
      </c>
      <c r="G756" s="260">
        <v>7</v>
      </c>
      <c r="H756" s="260"/>
      <c r="I756" s="309"/>
      <c r="J756" s="199"/>
      <c r="K756" s="269"/>
      <c r="L756" s="93">
        <f t="shared" si="227"/>
        <v>7</v>
      </c>
      <c r="M756" s="183">
        <v>7</v>
      </c>
      <c r="N756" s="95">
        <f t="shared" si="229"/>
        <v>288.75</v>
      </c>
      <c r="O756" s="95">
        <f t="shared" si="230"/>
        <v>288.75</v>
      </c>
      <c r="P756" s="94">
        <f t="shared" si="231"/>
        <v>0</v>
      </c>
      <c r="Q756" s="95">
        <f t="shared" si="232"/>
        <v>0</v>
      </c>
      <c r="R756" s="96"/>
      <c r="S756" s="97">
        <f t="shared" si="233"/>
        <v>12</v>
      </c>
      <c r="T756" s="98">
        <f t="shared" si="228"/>
        <v>-5</v>
      </c>
      <c r="U756">
        <v>12</v>
      </c>
    </row>
    <row r="757" spans="2:31" ht="20.100000000000001" customHeight="1">
      <c r="B757" s="88">
        <v>8</v>
      </c>
      <c r="C757" s="89" t="s">
        <v>1892</v>
      </c>
      <c r="D757" s="90" t="s">
        <v>1948</v>
      </c>
      <c r="E757" s="91" t="s">
        <v>1949</v>
      </c>
      <c r="F757" s="315">
        <v>7.6</v>
      </c>
      <c r="G757" s="260">
        <v>56</v>
      </c>
      <c r="H757" s="260"/>
      <c r="I757" s="309"/>
      <c r="J757" s="199"/>
      <c r="K757" s="269">
        <v>1</v>
      </c>
      <c r="L757" s="93">
        <f t="shared" si="227"/>
        <v>55</v>
      </c>
      <c r="M757" s="183">
        <v>55</v>
      </c>
      <c r="N757" s="95">
        <f t="shared" si="229"/>
        <v>418</v>
      </c>
      <c r="O757" s="95">
        <f t="shared" si="230"/>
        <v>418</v>
      </c>
      <c r="P757" s="94">
        <f t="shared" si="231"/>
        <v>0</v>
      </c>
      <c r="Q757" s="95">
        <f t="shared" si="232"/>
        <v>0</v>
      </c>
      <c r="R757" s="96" t="s">
        <v>1950</v>
      </c>
      <c r="S757" s="97">
        <f t="shared" si="233"/>
        <v>1</v>
      </c>
      <c r="T757" s="98">
        <f t="shared" si="228"/>
        <v>54</v>
      </c>
      <c r="AA757">
        <v>1</v>
      </c>
      <c r="AB757" s="99" t="s">
        <v>1951</v>
      </c>
      <c r="AD757">
        <f>AA757</f>
        <v>1</v>
      </c>
      <c r="AE757" s="100">
        <f>AD757*F757</f>
        <v>7.6</v>
      </c>
    </row>
    <row r="758" spans="2:31" ht="20.100000000000001" customHeight="1">
      <c r="B758" s="88">
        <v>8</v>
      </c>
      <c r="C758" s="89" t="s">
        <v>1892</v>
      </c>
      <c r="D758" s="90" t="s">
        <v>1952</v>
      </c>
      <c r="E758" s="91" t="s">
        <v>1953</v>
      </c>
      <c r="F758" s="315">
        <v>148.25</v>
      </c>
      <c r="G758" s="260">
        <v>3</v>
      </c>
      <c r="H758" s="260"/>
      <c r="I758" s="309"/>
      <c r="J758" s="199"/>
      <c r="K758" s="269">
        <v>2</v>
      </c>
      <c r="L758" s="93">
        <f t="shared" ref="L758:L821" si="234">G758+I758-J758-K758+H758</f>
        <v>1</v>
      </c>
      <c r="M758" s="183">
        <v>1</v>
      </c>
      <c r="N758" s="95">
        <f t="shared" si="229"/>
        <v>148.25</v>
      </c>
      <c r="O758" s="95">
        <f t="shared" si="230"/>
        <v>148.25</v>
      </c>
      <c r="P758" s="94">
        <f t="shared" si="231"/>
        <v>0</v>
      </c>
      <c r="Q758" s="95">
        <f t="shared" si="232"/>
        <v>0</v>
      </c>
      <c r="R758" s="96"/>
      <c r="S758" s="97">
        <f t="shared" si="233"/>
        <v>3</v>
      </c>
      <c r="T758" s="98">
        <f t="shared" si="228"/>
        <v>-2</v>
      </c>
      <c r="U758">
        <v>3</v>
      </c>
    </row>
    <row r="759" spans="2:31" ht="20.100000000000001" customHeight="1">
      <c r="B759" s="88">
        <v>8</v>
      </c>
      <c r="C759" s="89" t="s">
        <v>1892</v>
      </c>
      <c r="D759" s="90" t="s">
        <v>1954</v>
      </c>
      <c r="E759" s="91" t="s">
        <v>1955</v>
      </c>
      <c r="F759" s="315">
        <v>16.600000000000001</v>
      </c>
      <c r="G759" s="260"/>
      <c r="H759" s="260"/>
      <c r="I759" s="309"/>
      <c r="J759" s="199"/>
      <c r="K759" s="269"/>
      <c r="L759" s="93">
        <f t="shared" si="234"/>
        <v>0</v>
      </c>
      <c r="M759" s="183"/>
      <c r="N759" s="95">
        <f t="shared" si="229"/>
        <v>0</v>
      </c>
      <c r="O759" s="95">
        <f t="shared" si="230"/>
        <v>0</v>
      </c>
      <c r="P759" s="94">
        <f t="shared" si="231"/>
        <v>0</v>
      </c>
      <c r="Q759" s="95">
        <f t="shared" si="232"/>
        <v>0</v>
      </c>
      <c r="R759" s="96"/>
      <c r="S759" s="97">
        <f t="shared" si="233"/>
        <v>0</v>
      </c>
      <c r="T759" s="98">
        <f t="shared" si="228"/>
        <v>0</v>
      </c>
    </row>
    <row r="760" spans="2:31" ht="20.100000000000001" customHeight="1">
      <c r="B760" s="88">
        <v>8</v>
      </c>
      <c r="C760" s="89" t="s">
        <v>1892</v>
      </c>
      <c r="D760" s="90" t="s">
        <v>1956</v>
      </c>
      <c r="E760" s="91" t="s">
        <v>1957</v>
      </c>
      <c r="F760" s="315">
        <v>91.9</v>
      </c>
      <c r="G760" s="260"/>
      <c r="H760" s="260">
        <v>2</v>
      </c>
      <c r="I760" s="309"/>
      <c r="J760" s="199"/>
      <c r="K760" s="269">
        <v>1</v>
      </c>
      <c r="L760" s="93">
        <f t="shared" si="234"/>
        <v>1</v>
      </c>
      <c r="M760" s="183">
        <v>1</v>
      </c>
      <c r="N760" s="95">
        <f t="shared" si="229"/>
        <v>91.9</v>
      </c>
      <c r="O760" s="95">
        <f t="shared" si="230"/>
        <v>91.9</v>
      </c>
      <c r="P760" s="94">
        <f t="shared" si="231"/>
        <v>0</v>
      </c>
      <c r="Q760" s="95">
        <f t="shared" si="232"/>
        <v>0</v>
      </c>
      <c r="R760" s="278" t="s">
        <v>5183</v>
      </c>
      <c r="S760" s="97">
        <f t="shared" si="233"/>
        <v>0</v>
      </c>
      <c r="T760" s="98">
        <f t="shared" si="228"/>
        <v>1</v>
      </c>
    </row>
    <row r="761" spans="2:31" ht="20.100000000000001" customHeight="1">
      <c r="B761" s="88">
        <v>8</v>
      </c>
      <c r="C761" s="89" t="s">
        <v>1892</v>
      </c>
      <c r="D761" s="90" t="s">
        <v>1958</v>
      </c>
      <c r="E761" s="91" t="s">
        <v>1959</v>
      </c>
      <c r="F761" s="315">
        <v>90.24</v>
      </c>
      <c r="G761" s="260">
        <v>12</v>
      </c>
      <c r="H761" s="260"/>
      <c r="I761" s="309"/>
      <c r="J761" s="199"/>
      <c r="K761" s="269">
        <v>3</v>
      </c>
      <c r="L761" s="93">
        <f t="shared" si="234"/>
        <v>9</v>
      </c>
      <c r="M761" s="183">
        <v>9</v>
      </c>
      <c r="N761" s="95">
        <f t="shared" si="229"/>
        <v>812.16</v>
      </c>
      <c r="O761" s="95">
        <f t="shared" si="230"/>
        <v>812.16</v>
      </c>
      <c r="P761" s="94">
        <f t="shared" si="231"/>
        <v>0</v>
      </c>
      <c r="Q761" s="95">
        <f t="shared" si="232"/>
        <v>0</v>
      </c>
      <c r="R761" s="96"/>
      <c r="S761" s="97">
        <f t="shared" si="233"/>
        <v>2</v>
      </c>
      <c r="T761" s="98">
        <f t="shared" si="228"/>
        <v>7</v>
      </c>
      <c r="U761">
        <v>2</v>
      </c>
    </row>
    <row r="762" spans="2:31" ht="20.100000000000001" customHeight="1">
      <c r="B762" s="88">
        <v>8</v>
      </c>
      <c r="C762" s="89" t="s">
        <v>1892</v>
      </c>
      <c r="D762" s="90" t="s">
        <v>1960</v>
      </c>
      <c r="E762" s="91" t="s">
        <v>1961</v>
      </c>
      <c r="F762" s="315">
        <v>54.76</v>
      </c>
      <c r="G762" s="260"/>
      <c r="H762" s="260"/>
      <c r="I762" s="309"/>
      <c r="J762" s="199"/>
      <c r="K762" s="269"/>
      <c r="L762" s="93">
        <f t="shared" si="234"/>
        <v>0</v>
      </c>
      <c r="M762" s="183"/>
      <c r="N762" s="95">
        <f t="shared" si="229"/>
        <v>0</v>
      </c>
      <c r="O762" s="95">
        <f t="shared" si="230"/>
        <v>0</v>
      </c>
      <c r="P762" s="94">
        <f t="shared" si="231"/>
        <v>0</v>
      </c>
      <c r="Q762" s="95">
        <f t="shared" si="232"/>
        <v>0</v>
      </c>
      <c r="R762" s="96"/>
      <c r="S762" s="97">
        <f t="shared" si="233"/>
        <v>0</v>
      </c>
      <c r="T762" s="98">
        <f t="shared" si="228"/>
        <v>0</v>
      </c>
    </row>
    <row r="763" spans="2:31" ht="20.100000000000001" customHeight="1">
      <c r="B763" s="88">
        <v>8</v>
      </c>
      <c r="C763" s="89" t="s">
        <v>1892</v>
      </c>
      <c r="D763" s="90" t="s">
        <v>1962</v>
      </c>
      <c r="E763" s="91" t="s">
        <v>1963</v>
      </c>
      <c r="F763" s="315">
        <v>94.76</v>
      </c>
      <c r="G763" s="260"/>
      <c r="H763" s="260"/>
      <c r="I763" s="309"/>
      <c r="J763" s="199"/>
      <c r="K763" s="269"/>
      <c r="L763" s="93">
        <f t="shared" si="234"/>
        <v>0</v>
      </c>
      <c r="M763" s="183"/>
      <c r="N763" s="95">
        <f t="shared" si="229"/>
        <v>0</v>
      </c>
      <c r="O763" s="95">
        <f t="shared" si="230"/>
        <v>0</v>
      </c>
      <c r="P763" s="94">
        <f t="shared" si="231"/>
        <v>0</v>
      </c>
      <c r="Q763" s="95">
        <f t="shared" si="232"/>
        <v>0</v>
      </c>
      <c r="R763" s="96"/>
      <c r="S763" s="97">
        <f t="shared" si="233"/>
        <v>0</v>
      </c>
      <c r="T763" s="98">
        <f t="shared" si="228"/>
        <v>0</v>
      </c>
    </row>
    <row r="764" spans="2:31" ht="20.100000000000001" customHeight="1">
      <c r="B764" s="88">
        <v>8</v>
      </c>
      <c r="C764" s="89" t="s">
        <v>1892</v>
      </c>
      <c r="D764" s="90" t="s">
        <v>1964</v>
      </c>
      <c r="E764" s="91" t="s">
        <v>1965</v>
      </c>
      <c r="F764" s="315">
        <v>31.19</v>
      </c>
      <c r="G764" s="260">
        <v>51</v>
      </c>
      <c r="H764" s="260"/>
      <c r="I764" s="309"/>
      <c r="J764" s="199"/>
      <c r="K764" s="269">
        <v>4</v>
      </c>
      <c r="L764" s="93">
        <f t="shared" si="234"/>
        <v>47</v>
      </c>
      <c r="M764" s="183">
        <v>47</v>
      </c>
      <c r="N764" s="95">
        <f t="shared" si="229"/>
        <v>1465.93</v>
      </c>
      <c r="O764" s="95">
        <f t="shared" si="230"/>
        <v>1465.93</v>
      </c>
      <c r="P764" s="94">
        <f t="shared" si="231"/>
        <v>0</v>
      </c>
      <c r="Q764" s="95">
        <f t="shared" si="232"/>
        <v>0</v>
      </c>
      <c r="R764" s="96"/>
      <c r="S764" s="97">
        <f t="shared" si="233"/>
        <v>51</v>
      </c>
      <c r="T764" s="98">
        <f t="shared" si="228"/>
        <v>-4</v>
      </c>
      <c r="U764">
        <v>51</v>
      </c>
    </row>
    <row r="765" spans="2:31">
      <c r="B765" s="88">
        <v>8</v>
      </c>
      <c r="C765" s="89" t="s">
        <v>1892</v>
      </c>
      <c r="D765" s="90" t="s">
        <v>1966</v>
      </c>
      <c r="E765" s="91" t="s">
        <v>1967</v>
      </c>
      <c r="F765" s="315">
        <v>26.43</v>
      </c>
      <c r="G765" s="260">
        <v>1</v>
      </c>
      <c r="H765" s="260"/>
      <c r="I765" s="309"/>
      <c r="J765" s="199"/>
      <c r="K765" s="269"/>
      <c r="L765" s="93">
        <f t="shared" si="234"/>
        <v>1</v>
      </c>
      <c r="M765" s="183">
        <v>1</v>
      </c>
      <c r="N765" s="95">
        <f t="shared" si="229"/>
        <v>26.43</v>
      </c>
      <c r="O765" s="95">
        <f t="shared" si="230"/>
        <v>26.43</v>
      </c>
      <c r="P765" s="94">
        <f t="shared" si="231"/>
        <v>0</v>
      </c>
      <c r="Q765" s="95">
        <f t="shared" si="232"/>
        <v>0</v>
      </c>
      <c r="R765" s="96"/>
      <c r="S765" s="97">
        <f t="shared" si="233"/>
        <v>4</v>
      </c>
      <c r="T765" s="98">
        <f t="shared" si="228"/>
        <v>-3</v>
      </c>
      <c r="U765">
        <v>4</v>
      </c>
    </row>
    <row r="766" spans="2:31" ht="20.100000000000001" customHeight="1">
      <c r="B766" s="88">
        <v>8</v>
      </c>
      <c r="C766" s="89" t="s">
        <v>1892</v>
      </c>
      <c r="D766" s="90" t="s">
        <v>1968</v>
      </c>
      <c r="E766" s="91" t="s">
        <v>1969</v>
      </c>
      <c r="F766" s="315">
        <v>23.05</v>
      </c>
      <c r="G766" s="260"/>
      <c r="H766" s="260"/>
      <c r="I766" s="309"/>
      <c r="J766" s="199"/>
      <c r="K766" s="269"/>
      <c r="L766" s="93">
        <f t="shared" si="234"/>
        <v>0</v>
      </c>
      <c r="M766" s="183"/>
      <c r="N766" s="95">
        <f t="shared" si="229"/>
        <v>0</v>
      </c>
      <c r="O766" s="95">
        <f t="shared" si="230"/>
        <v>0</v>
      </c>
      <c r="P766" s="94">
        <f t="shared" si="231"/>
        <v>0</v>
      </c>
      <c r="Q766" s="95">
        <f t="shared" si="232"/>
        <v>0</v>
      </c>
      <c r="R766" s="96"/>
      <c r="S766" s="97">
        <f t="shared" si="233"/>
        <v>0</v>
      </c>
      <c r="T766" s="98">
        <f t="shared" si="228"/>
        <v>0</v>
      </c>
    </row>
    <row r="767" spans="2:31" ht="20.100000000000001" customHeight="1">
      <c r="B767" s="88">
        <v>8</v>
      </c>
      <c r="C767" s="89" t="s">
        <v>1892</v>
      </c>
      <c r="D767" s="90" t="s">
        <v>1970</v>
      </c>
      <c r="E767" s="91" t="s">
        <v>1971</v>
      </c>
      <c r="F767" s="315">
        <v>10</v>
      </c>
      <c r="G767" s="260">
        <v>9</v>
      </c>
      <c r="H767" s="260"/>
      <c r="I767" s="309"/>
      <c r="J767" s="199"/>
      <c r="K767" s="269"/>
      <c r="L767" s="93">
        <f t="shared" si="234"/>
        <v>9</v>
      </c>
      <c r="M767" s="183">
        <v>9</v>
      </c>
      <c r="N767" s="95">
        <f t="shared" si="229"/>
        <v>90</v>
      </c>
      <c r="O767" s="95">
        <f t="shared" si="230"/>
        <v>90</v>
      </c>
      <c r="P767" s="94">
        <f t="shared" si="231"/>
        <v>0</v>
      </c>
      <c r="Q767" s="95">
        <f t="shared" si="232"/>
        <v>0</v>
      </c>
      <c r="R767" s="96" t="s">
        <v>1972</v>
      </c>
      <c r="S767" s="97">
        <f t="shared" si="233"/>
        <v>9</v>
      </c>
      <c r="T767" s="98">
        <f t="shared" si="228"/>
        <v>0</v>
      </c>
      <c r="U767" s="104"/>
      <c r="V767" s="105"/>
      <c r="AA767">
        <v>9</v>
      </c>
      <c r="AB767" s="99" t="s">
        <v>1973</v>
      </c>
      <c r="AD767" s="18">
        <f>M767</f>
        <v>9</v>
      </c>
      <c r="AE767" s="100">
        <f>AD767*F767</f>
        <v>90</v>
      </c>
    </row>
    <row r="768" spans="2:31" ht="20.100000000000001" customHeight="1">
      <c r="B768" s="88">
        <v>8</v>
      </c>
      <c r="C768" s="89" t="s">
        <v>1892</v>
      </c>
      <c r="D768" s="90" t="s">
        <v>1974</v>
      </c>
      <c r="E768" s="91" t="s">
        <v>1975</v>
      </c>
      <c r="F768" s="315">
        <v>10</v>
      </c>
      <c r="G768" s="260">
        <v>7</v>
      </c>
      <c r="H768" s="260"/>
      <c r="I768" s="309"/>
      <c r="J768" s="199"/>
      <c r="K768" s="269"/>
      <c r="L768" s="93">
        <f t="shared" si="234"/>
        <v>7</v>
      </c>
      <c r="M768" s="183">
        <v>7</v>
      </c>
      <c r="N768" s="95">
        <f t="shared" si="229"/>
        <v>70</v>
      </c>
      <c r="O768" s="95">
        <f t="shared" si="230"/>
        <v>70</v>
      </c>
      <c r="P768" s="94">
        <f t="shared" si="231"/>
        <v>0</v>
      </c>
      <c r="Q768" s="95">
        <f t="shared" si="232"/>
        <v>0</v>
      </c>
      <c r="R768" s="96" t="s">
        <v>1976</v>
      </c>
      <c r="S768" s="97">
        <f t="shared" si="233"/>
        <v>7</v>
      </c>
      <c r="T768" s="98">
        <f t="shared" si="228"/>
        <v>0</v>
      </c>
      <c r="U768" s="104"/>
      <c r="V768" s="105"/>
      <c r="AA768">
        <v>7</v>
      </c>
      <c r="AB768" s="99" t="s">
        <v>525</v>
      </c>
      <c r="AD768" s="18">
        <f>M768</f>
        <v>7</v>
      </c>
      <c r="AE768" s="100">
        <f>AD768*F768</f>
        <v>70</v>
      </c>
    </row>
    <row r="769" spans="2:31" ht="20.100000000000001" customHeight="1">
      <c r="B769" s="88">
        <v>8</v>
      </c>
      <c r="C769" s="89" t="s">
        <v>1892</v>
      </c>
      <c r="D769" s="90" t="s">
        <v>1977</v>
      </c>
      <c r="E769" s="91" t="s">
        <v>1978</v>
      </c>
      <c r="F769" s="315">
        <v>10</v>
      </c>
      <c r="G769" s="260">
        <v>2</v>
      </c>
      <c r="H769" s="260"/>
      <c r="I769" s="309"/>
      <c r="J769" s="199"/>
      <c r="K769" s="269"/>
      <c r="L769" s="93">
        <f t="shared" si="234"/>
        <v>2</v>
      </c>
      <c r="M769" s="183">
        <v>2</v>
      </c>
      <c r="N769" s="95">
        <f t="shared" si="229"/>
        <v>20</v>
      </c>
      <c r="O769" s="95">
        <f t="shared" si="230"/>
        <v>20</v>
      </c>
      <c r="P769" s="94">
        <f t="shared" si="231"/>
        <v>0</v>
      </c>
      <c r="Q769" s="95">
        <f t="shared" si="232"/>
        <v>0</v>
      </c>
      <c r="R769" s="96" t="s">
        <v>1972</v>
      </c>
      <c r="S769" s="97">
        <f t="shared" si="233"/>
        <v>2</v>
      </c>
      <c r="T769" s="98">
        <f t="shared" si="228"/>
        <v>0</v>
      </c>
      <c r="U769" s="104"/>
      <c r="V769" s="105"/>
      <c r="AA769">
        <v>2</v>
      </c>
      <c r="AB769" s="99" t="s">
        <v>1973</v>
      </c>
      <c r="AD769" s="18">
        <f>M769</f>
        <v>2</v>
      </c>
      <c r="AE769" s="100">
        <f>AD769*F769</f>
        <v>20</v>
      </c>
    </row>
    <row r="770" spans="2:31" ht="20.100000000000001" customHeight="1">
      <c r="B770" s="88">
        <v>8</v>
      </c>
      <c r="C770" s="89" t="s">
        <v>1892</v>
      </c>
      <c r="D770" s="90" t="s">
        <v>1979</v>
      </c>
      <c r="E770" s="91" t="s">
        <v>1980</v>
      </c>
      <c r="F770" s="315">
        <v>21.43</v>
      </c>
      <c r="G770" s="260">
        <v>7</v>
      </c>
      <c r="H770" s="260"/>
      <c r="I770" s="309"/>
      <c r="J770" s="199"/>
      <c r="K770" s="269"/>
      <c r="L770" s="93">
        <f t="shared" si="234"/>
        <v>7</v>
      </c>
      <c r="M770" s="183">
        <v>7</v>
      </c>
      <c r="N770" s="95">
        <f t="shared" si="229"/>
        <v>150.01</v>
      </c>
      <c r="O770" s="95">
        <f t="shared" si="230"/>
        <v>150.01</v>
      </c>
      <c r="P770" s="94">
        <f t="shared" si="231"/>
        <v>0</v>
      </c>
      <c r="Q770" s="95">
        <f t="shared" si="232"/>
        <v>0</v>
      </c>
      <c r="R770" s="96"/>
      <c r="S770" s="97">
        <f t="shared" si="233"/>
        <v>6</v>
      </c>
      <c r="T770" s="98">
        <f t="shared" si="228"/>
        <v>1</v>
      </c>
      <c r="U770">
        <v>6</v>
      </c>
    </row>
    <row r="771" spans="2:31" ht="20.100000000000001" customHeight="1">
      <c r="B771" s="88">
        <v>8</v>
      </c>
      <c r="C771" s="89" t="s">
        <v>1892</v>
      </c>
      <c r="D771" s="90" t="s">
        <v>1981</v>
      </c>
      <c r="E771" s="91" t="s">
        <v>1982</v>
      </c>
      <c r="F771" s="315">
        <v>107.5</v>
      </c>
      <c r="G771" s="260">
        <v>20</v>
      </c>
      <c r="H771" s="260"/>
      <c r="I771" s="309"/>
      <c r="J771" s="199"/>
      <c r="K771" s="269"/>
      <c r="L771" s="93">
        <f t="shared" si="234"/>
        <v>20</v>
      </c>
      <c r="M771" s="183">
        <v>20</v>
      </c>
      <c r="N771" s="95">
        <f t="shared" si="229"/>
        <v>2150</v>
      </c>
      <c r="O771" s="95">
        <f t="shared" si="230"/>
        <v>2150</v>
      </c>
      <c r="P771" s="94">
        <f t="shared" si="231"/>
        <v>0</v>
      </c>
      <c r="Q771" s="95">
        <f t="shared" si="232"/>
        <v>0</v>
      </c>
      <c r="R771" s="96"/>
      <c r="S771" s="97">
        <f t="shared" si="233"/>
        <v>26</v>
      </c>
      <c r="T771" s="98">
        <f t="shared" si="228"/>
        <v>-6</v>
      </c>
      <c r="U771">
        <v>12</v>
      </c>
      <c r="W771">
        <v>14</v>
      </c>
    </row>
    <row r="772" spans="2:31" ht="20.100000000000001" customHeight="1">
      <c r="B772" s="88">
        <v>8</v>
      </c>
      <c r="C772" s="89" t="s">
        <v>1892</v>
      </c>
      <c r="D772" s="90" t="s">
        <v>1983</v>
      </c>
      <c r="E772" s="91" t="s">
        <v>1984</v>
      </c>
      <c r="F772" s="315">
        <v>49.2</v>
      </c>
      <c r="G772" s="260">
        <v>1</v>
      </c>
      <c r="H772" s="260">
        <v>3</v>
      </c>
      <c r="I772" s="309"/>
      <c r="J772" s="199"/>
      <c r="K772" s="269">
        <v>3</v>
      </c>
      <c r="L772" s="93">
        <f t="shared" si="234"/>
        <v>1</v>
      </c>
      <c r="M772" s="183">
        <v>1</v>
      </c>
      <c r="N772" s="95">
        <f t="shared" si="229"/>
        <v>49.2</v>
      </c>
      <c r="O772" s="95">
        <f t="shared" si="230"/>
        <v>49.2</v>
      </c>
      <c r="P772" s="94">
        <f t="shared" si="231"/>
        <v>0</v>
      </c>
      <c r="Q772" s="95">
        <f t="shared" si="232"/>
        <v>0</v>
      </c>
      <c r="R772" s="96"/>
      <c r="S772" s="97">
        <f t="shared" si="233"/>
        <v>0</v>
      </c>
      <c r="T772" s="98">
        <f t="shared" si="228"/>
        <v>1</v>
      </c>
    </row>
    <row r="773" spans="2:31" ht="20.100000000000001" customHeight="1">
      <c r="B773" s="88">
        <v>8</v>
      </c>
      <c r="C773" s="89" t="s">
        <v>1892</v>
      </c>
      <c r="D773" s="90" t="s">
        <v>1985</v>
      </c>
      <c r="E773" s="91" t="s">
        <v>1986</v>
      </c>
      <c r="F773" s="315">
        <v>35</v>
      </c>
      <c r="G773" s="260">
        <v>9</v>
      </c>
      <c r="H773" s="260"/>
      <c r="I773" s="309"/>
      <c r="J773" s="199"/>
      <c r="K773" s="269"/>
      <c r="L773" s="93">
        <f t="shared" si="234"/>
        <v>9</v>
      </c>
      <c r="M773" s="183">
        <v>9</v>
      </c>
      <c r="N773" s="95">
        <f t="shared" si="229"/>
        <v>315</v>
      </c>
      <c r="O773" s="95">
        <f t="shared" si="230"/>
        <v>315</v>
      </c>
      <c r="P773" s="94">
        <f t="shared" si="231"/>
        <v>0</v>
      </c>
      <c r="Q773" s="95">
        <f t="shared" si="232"/>
        <v>0</v>
      </c>
      <c r="R773" s="96"/>
      <c r="S773" s="97">
        <f t="shared" si="233"/>
        <v>9</v>
      </c>
      <c r="T773" s="98">
        <f t="shared" si="228"/>
        <v>0</v>
      </c>
      <c r="U773">
        <v>9</v>
      </c>
    </row>
    <row r="774" spans="2:31" ht="20.100000000000001" customHeight="1">
      <c r="B774" s="88">
        <v>8</v>
      </c>
      <c r="C774" s="89" t="s">
        <v>1892</v>
      </c>
      <c r="D774" s="90" t="s">
        <v>1987</v>
      </c>
      <c r="E774" s="91" t="s">
        <v>1988</v>
      </c>
      <c r="F774" s="315">
        <v>16.88</v>
      </c>
      <c r="G774" s="260">
        <v>18</v>
      </c>
      <c r="H774" s="260"/>
      <c r="I774" s="309"/>
      <c r="J774" s="199"/>
      <c r="K774" s="269">
        <v>1</v>
      </c>
      <c r="L774" s="93">
        <f t="shared" si="234"/>
        <v>17</v>
      </c>
      <c r="M774" s="183">
        <v>17</v>
      </c>
      <c r="N774" s="95">
        <f t="shared" si="229"/>
        <v>286.95999999999998</v>
      </c>
      <c r="O774" s="95">
        <f t="shared" si="230"/>
        <v>286.95999999999998</v>
      </c>
      <c r="P774" s="94">
        <f t="shared" si="231"/>
        <v>0</v>
      </c>
      <c r="Q774" s="95">
        <f t="shared" si="232"/>
        <v>0</v>
      </c>
      <c r="R774" s="96"/>
      <c r="S774" s="97">
        <f t="shared" si="233"/>
        <v>19</v>
      </c>
      <c r="T774" s="98">
        <f t="shared" si="228"/>
        <v>-2</v>
      </c>
      <c r="U774">
        <v>19</v>
      </c>
    </row>
    <row r="775" spans="2:31" ht="20.100000000000001" customHeight="1">
      <c r="B775" s="88">
        <v>8</v>
      </c>
      <c r="C775" s="89" t="s">
        <v>1892</v>
      </c>
      <c r="D775" s="90" t="s">
        <v>1989</v>
      </c>
      <c r="E775" s="91" t="s">
        <v>1990</v>
      </c>
      <c r="F775" s="315">
        <v>251.15</v>
      </c>
      <c r="G775" s="260"/>
      <c r="H775" s="260"/>
      <c r="I775" s="309"/>
      <c r="J775" s="199"/>
      <c r="K775" s="269"/>
      <c r="L775" s="93">
        <f t="shared" si="234"/>
        <v>0</v>
      </c>
      <c r="M775" s="183"/>
      <c r="N775" s="95">
        <f t="shared" si="229"/>
        <v>0</v>
      </c>
      <c r="O775" s="95">
        <f t="shared" si="230"/>
        <v>0</v>
      </c>
      <c r="P775" s="94">
        <f t="shared" si="231"/>
        <v>0</v>
      </c>
      <c r="Q775" s="95">
        <f t="shared" si="232"/>
        <v>0</v>
      </c>
      <c r="R775" s="96"/>
      <c r="S775" s="97">
        <f t="shared" si="233"/>
        <v>0</v>
      </c>
      <c r="T775" s="98">
        <f t="shared" si="228"/>
        <v>0</v>
      </c>
    </row>
    <row r="776" spans="2:31" ht="20.100000000000001" customHeight="1">
      <c r="B776" s="88">
        <v>8</v>
      </c>
      <c r="C776" s="89" t="s">
        <v>1892</v>
      </c>
      <c r="D776" s="90" t="s">
        <v>1993</v>
      </c>
      <c r="E776" s="91" t="s">
        <v>1994</v>
      </c>
      <c r="F776" s="315">
        <v>5.16</v>
      </c>
      <c r="G776" s="260">
        <f>170+2</f>
        <v>172</v>
      </c>
      <c r="H776" s="260">
        <v>24</v>
      </c>
      <c r="I776" s="309"/>
      <c r="J776" s="199"/>
      <c r="K776" s="269">
        <v>31</v>
      </c>
      <c r="L776" s="93">
        <f t="shared" si="234"/>
        <v>165</v>
      </c>
      <c r="M776" s="183">
        <v>165</v>
      </c>
      <c r="N776" s="95">
        <f t="shared" si="229"/>
        <v>851.4</v>
      </c>
      <c r="O776" s="95">
        <f t="shared" si="230"/>
        <v>851.4</v>
      </c>
      <c r="P776" s="94">
        <f t="shared" si="231"/>
        <v>0</v>
      </c>
      <c r="Q776" s="95">
        <f t="shared" si="232"/>
        <v>0</v>
      </c>
      <c r="R776" s="96"/>
      <c r="S776" s="97">
        <f t="shared" si="233"/>
        <v>183</v>
      </c>
      <c r="T776" s="98">
        <f t="shared" ref="T776:T823" si="235">M776-S776</f>
        <v>-18</v>
      </c>
      <c r="U776">
        <f>112+1+70</f>
        <v>183</v>
      </c>
    </row>
    <row r="777" spans="2:31" ht="20.100000000000001" customHeight="1">
      <c r="B777" s="88">
        <v>8</v>
      </c>
      <c r="C777" s="89" t="s">
        <v>1892</v>
      </c>
      <c r="D777" s="90" t="s">
        <v>1995</v>
      </c>
      <c r="E777" s="91" t="s">
        <v>1996</v>
      </c>
      <c r="F777" s="315">
        <v>51.97</v>
      </c>
      <c r="G777" s="260">
        <v>14</v>
      </c>
      <c r="H777" s="260"/>
      <c r="I777" s="309"/>
      <c r="J777" s="199"/>
      <c r="K777" s="269"/>
      <c r="L777" s="93">
        <f t="shared" si="234"/>
        <v>14</v>
      </c>
      <c r="M777" s="183">
        <v>14</v>
      </c>
      <c r="N777" s="95">
        <f t="shared" ref="N777:N824" si="236">F777*L777</f>
        <v>727.57999999999993</v>
      </c>
      <c r="O777" s="95">
        <f t="shared" ref="O777:O824" si="237">M777*F777</f>
        <v>727.57999999999993</v>
      </c>
      <c r="P777" s="94">
        <f t="shared" ref="P777:P824" si="238">L777-M777</f>
        <v>0</v>
      </c>
      <c r="Q777" s="95">
        <f t="shared" ref="Q777:Q824" si="239">N777-O777</f>
        <v>0</v>
      </c>
      <c r="R777" s="96"/>
      <c r="S777" s="97">
        <f t="shared" ref="S777:S824" si="240">U777+Y777+W777+AA777</f>
        <v>18</v>
      </c>
      <c r="T777" s="98">
        <f t="shared" si="235"/>
        <v>-4</v>
      </c>
      <c r="U777">
        <v>18</v>
      </c>
    </row>
    <row r="778" spans="2:31" ht="20.100000000000001" customHeight="1">
      <c r="B778" s="88">
        <v>8</v>
      </c>
      <c r="C778" s="89" t="s">
        <v>1892</v>
      </c>
      <c r="D778" s="90" t="s">
        <v>1997</v>
      </c>
      <c r="E778" s="91" t="s">
        <v>1998</v>
      </c>
      <c r="F778" s="315">
        <v>6.12</v>
      </c>
      <c r="G778" s="260">
        <v>78</v>
      </c>
      <c r="H778" s="260"/>
      <c r="I778" s="309">
        <v>240</v>
      </c>
      <c r="J778" s="199"/>
      <c r="K778" s="269">
        <v>137</v>
      </c>
      <c r="L778" s="93">
        <f t="shared" si="234"/>
        <v>181</v>
      </c>
      <c r="M778" s="183">
        <v>181</v>
      </c>
      <c r="N778" s="95">
        <f t="shared" si="236"/>
        <v>1107.72</v>
      </c>
      <c r="O778" s="95">
        <f t="shared" si="237"/>
        <v>1107.72</v>
      </c>
      <c r="P778" s="94">
        <f t="shared" si="238"/>
        <v>0</v>
      </c>
      <c r="Q778" s="95">
        <f t="shared" si="239"/>
        <v>0</v>
      </c>
      <c r="R778" s="278" t="s">
        <v>5242</v>
      </c>
      <c r="S778" s="97">
        <f t="shared" si="240"/>
        <v>17</v>
      </c>
      <c r="T778" s="98">
        <f t="shared" si="235"/>
        <v>164</v>
      </c>
      <c r="U778">
        <v>17</v>
      </c>
    </row>
    <row r="779" spans="2:31" ht="20.100000000000001" customHeight="1">
      <c r="B779" s="88">
        <v>8</v>
      </c>
      <c r="C779" s="89" t="s">
        <v>1892</v>
      </c>
      <c r="D779" s="90" t="s">
        <v>1999</v>
      </c>
      <c r="E779" s="91" t="s">
        <v>2000</v>
      </c>
      <c r="F779" s="315">
        <v>34.880000000000003</v>
      </c>
      <c r="G779" s="260"/>
      <c r="H779" s="260">
        <v>6</v>
      </c>
      <c r="I779" s="309"/>
      <c r="J779" s="199"/>
      <c r="K779" s="269">
        <v>6</v>
      </c>
      <c r="L779" s="93">
        <f t="shared" si="234"/>
        <v>0</v>
      </c>
      <c r="M779" s="183"/>
      <c r="N779" s="95">
        <f t="shared" si="236"/>
        <v>0</v>
      </c>
      <c r="O779" s="95">
        <f t="shared" si="237"/>
        <v>0</v>
      </c>
      <c r="P779" s="94">
        <f t="shared" si="238"/>
        <v>0</v>
      </c>
      <c r="Q779" s="95">
        <f t="shared" si="239"/>
        <v>0</v>
      </c>
      <c r="R779" s="278"/>
      <c r="S779" s="97">
        <f t="shared" si="240"/>
        <v>0</v>
      </c>
      <c r="T779" s="98">
        <f t="shared" si="235"/>
        <v>0</v>
      </c>
    </row>
    <row r="780" spans="2:31" ht="20.100000000000001" customHeight="1">
      <c r="B780" s="88">
        <v>8</v>
      </c>
      <c r="C780" s="89" t="s">
        <v>1892</v>
      </c>
      <c r="D780" s="90" t="s">
        <v>2001</v>
      </c>
      <c r="E780" s="91" t="s">
        <v>2002</v>
      </c>
      <c r="F780" s="315">
        <v>51.97</v>
      </c>
      <c r="G780" s="260">
        <v>6</v>
      </c>
      <c r="H780" s="260"/>
      <c r="I780" s="309">
        <v>24</v>
      </c>
      <c r="J780" s="199"/>
      <c r="K780" s="269">
        <v>3</v>
      </c>
      <c r="L780" s="93">
        <f t="shared" si="234"/>
        <v>27</v>
      </c>
      <c r="M780" s="183">
        <v>27</v>
      </c>
      <c r="N780" s="95">
        <f t="shared" si="236"/>
        <v>1403.19</v>
      </c>
      <c r="O780" s="95">
        <f t="shared" si="237"/>
        <v>1403.19</v>
      </c>
      <c r="P780" s="94">
        <f t="shared" si="238"/>
        <v>0</v>
      </c>
      <c r="Q780" s="95">
        <f t="shared" si="239"/>
        <v>0</v>
      </c>
      <c r="R780" s="96"/>
      <c r="S780" s="97">
        <f t="shared" si="240"/>
        <v>10</v>
      </c>
      <c r="T780" s="98">
        <f t="shared" si="235"/>
        <v>17</v>
      </c>
      <c r="U780">
        <v>10</v>
      </c>
    </row>
    <row r="781" spans="2:31" ht="20.100000000000001" customHeight="1">
      <c r="B781" s="88">
        <v>8</v>
      </c>
      <c r="C781" s="89" t="s">
        <v>1892</v>
      </c>
      <c r="D781" s="90" t="s">
        <v>2003</v>
      </c>
      <c r="E781" s="91" t="s">
        <v>2004</v>
      </c>
      <c r="F781" s="315">
        <v>35.39</v>
      </c>
      <c r="G781" s="260"/>
      <c r="H781" s="260">
        <v>6</v>
      </c>
      <c r="I781" s="309"/>
      <c r="J781" s="199"/>
      <c r="K781" s="269">
        <v>6</v>
      </c>
      <c r="L781" s="93">
        <f t="shared" si="234"/>
        <v>0</v>
      </c>
      <c r="M781" s="183"/>
      <c r="N781" s="95">
        <f t="shared" si="236"/>
        <v>0</v>
      </c>
      <c r="O781" s="95">
        <f t="shared" si="237"/>
        <v>0</v>
      </c>
      <c r="P781" s="94">
        <f t="shared" si="238"/>
        <v>0</v>
      </c>
      <c r="Q781" s="95">
        <f t="shared" si="239"/>
        <v>0</v>
      </c>
      <c r="R781" s="96"/>
      <c r="S781" s="97">
        <f t="shared" si="240"/>
        <v>0</v>
      </c>
      <c r="T781" s="98">
        <f t="shared" si="235"/>
        <v>0</v>
      </c>
    </row>
    <row r="782" spans="2:31" ht="20.100000000000001" customHeight="1">
      <c r="B782" s="88">
        <v>8</v>
      </c>
      <c r="C782" s="89" t="s">
        <v>1892</v>
      </c>
      <c r="D782" s="90" t="s">
        <v>2005</v>
      </c>
      <c r="E782" s="91" t="s">
        <v>2006</v>
      </c>
      <c r="F782" s="315">
        <v>35.39</v>
      </c>
      <c r="G782" s="260"/>
      <c r="H782" s="260"/>
      <c r="I782" s="309"/>
      <c r="J782" s="199"/>
      <c r="K782" s="269"/>
      <c r="L782" s="93">
        <f t="shared" si="234"/>
        <v>0</v>
      </c>
      <c r="M782" s="183"/>
      <c r="N782" s="95">
        <f t="shared" si="236"/>
        <v>0</v>
      </c>
      <c r="O782" s="95">
        <f t="shared" si="237"/>
        <v>0</v>
      </c>
      <c r="P782" s="94">
        <f t="shared" si="238"/>
        <v>0</v>
      </c>
      <c r="Q782" s="95">
        <f t="shared" si="239"/>
        <v>0</v>
      </c>
      <c r="R782" s="96"/>
      <c r="S782" s="97">
        <f t="shared" si="240"/>
        <v>0</v>
      </c>
      <c r="T782" s="98">
        <f t="shared" si="235"/>
        <v>0</v>
      </c>
    </row>
    <row r="783" spans="2:31" ht="20.100000000000001" customHeight="1">
      <c r="B783" s="88">
        <v>8</v>
      </c>
      <c r="C783" s="89" t="s">
        <v>1892</v>
      </c>
      <c r="D783" s="90" t="s">
        <v>2007</v>
      </c>
      <c r="E783" s="91" t="s">
        <v>2008</v>
      </c>
      <c r="F783" s="315">
        <v>51.97</v>
      </c>
      <c r="G783" s="260">
        <v>56</v>
      </c>
      <c r="H783" s="260"/>
      <c r="I783" s="309"/>
      <c r="J783" s="199"/>
      <c r="K783" s="269">
        <v>26</v>
      </c>
      <c r="L783" s="93">
        <f t="shared" si="234"/>
        <v>30</v>
      </c>
      <c r="M783" s="183">
        <v>30</v>
      </c>
      <c r="N783" s="95">
        <f t="shared" si="236"/>
        <v>1559.1</v>
      </c>
      <c r="O783" s="95">
        <f t="shared" si="237"/>
        <v>1559.1</v>
      </c>
      <c r="P783" s="94">
        <f t="shared" si="238"/>
        <v>0</v>
      </c>
      <c r="Q783" s="95">
        <f t="shared" si="239"/>
        <v>0</v>
      </c>
      <c r="R783" s="96"/>
      <c r="S783" s="97">
        <f t="shared" si="240"/>
        <v>0</v>
      </c>
      <c r="T783" s="98">
        <f t="shared" si="235"/>
        <v>30</v>
      </c>
    </row>
    <row r="784" spans="2:31" ht="20.100000000000001" customHeight="1">
      <c r="B784" s="88">
        <v>8</v>
      </c>
      <c r="C784" s="89" t="s">
        <v>1892</v>
      </c>
      <c r="D784" s="90" t="s">
        <v>2007</v>
      </c>
      <c r="E784" s="91" t="s">
        <v>2008</v>
      </c>
      <c r="F784" s="315">
        <v>51.97</v>
      </c>
      <c r="G784" s="260"/>
      <c r="H784" s="260"/>
      <c r="I784" s="309"/>
      <c r="J784" s="199"/>
      <c r="K784" s="269"/>
      <c r="L784" s="93">
        <f t="shared" si="234"/>
        <v>0</v>
      </c>
      <c r="M784" s="183"/>
      <c r="N784" s="95">
        <f t="shared" si="236"/>
        <v>0</v>
      </c>
      <c r="O784" s="95">
        <f t="shared" si="237"/>
        <v>0</v>
      </c>
      <c r="P784" s="94">
        <f t="shared" si="238"/>
        <v>0</v>
      </c>
      <c r="Q784" s="95">
        <f t="shared" si="239"/>
        <v>0</v>
      </c>
      <c r="R784" s="96"/>
      <c r="S784" s="97">
        <f t="shared" si="240"/>
        <v>0</v>
      </c>
      <c r="T784" s="98">
        <f t="shared" si="235"/>
        <v>0</v>
      </c>
    </row>
    <row r="785" spans="2:31" ht="20.100000000000001" customHeight="1">
      <c r="B785" s="88">
        <v>8</v>
      </c>
      <c r="C785" s="89" t="s">
        <v>1892</v>
      </c>
      <c r="D785" s="90" t="s">
        <v>2009</v>
      </c>
      <c r="E785" s="91" t="s">
        <v>2010</v>
      </c>
      <c r="F785" s="315">
        <v>60.64</v>
      </c>
      <c r="G785" s="260"/>
      <c r="H785" s="260"/>
      <c r="I785" s="309"/>
      <c r="J785" s="199"/>
      <c r="K785" s="269"/>
      <c r="L785" s="93">
        <f t="shared" si="234"/>
        <v>0</v>
      </c>
      <c r="M785" s="183"/>
      <c r="N785" s="95">
        <f t="shared" si="236"/>
        <v>0</v>
      </c>
      <c r="O785" s="95">
        <f t="shared" si="237"/>
        <v>0</v>
      </c>
      <c r="P785" s="94">
        <f t="shared" si="238"/>
        <v>0</v>
      </c>
      <c r="Q785" s="95">
        <f t="shared" si="239"/>
        <v>0</v>
      </c>
      <c r="R785" s="96"/>
      <c r="S785" s="97">
        <f t="shared" si="240"/>
        <v>0</v>
      </c>
      <c r="T785" s="98">
        <f t="shared" si="235"/>
        <v>0</v>
      </c>
    </row>
    <row r="786" spans="2:31" ht="20.100000000000001" customHeight="1">
      <c r="B786" s="88">
        <v>8</v>
      </c>
      <c r="C786" s="89" t="s">
        <v>1892</v>
      </c>
      <c r="D786" s="90" t="s">
        <v>2011</v>
      </c>
      <c r="E786" s="91" t="s">
        <v>2012</v>
      </c>
      <c r="F786" s="315">
        <v>99.09</v>
      </c>
      <c r="G786" s="260"/>
      <c r="H786" s="260"/>
      <c r="I786" s="309"/>
      <c r="J786" s="199"/>
      <c r="K786" s="269"/>
      <c r="L786" s="93">
        <f t="shared" si="234"/>
        <v>0</v>
      </c>
      <c r="M786" s="183"/>
      <c r="N786" s="95">
        <f t="shared" si="236"/>
        <v>0</v>
      </c>
      <c r="O786" s="95">
        <f t="shared" si="237"/>
        <v>0</v>
      </c>
      <c r="P786" s="94">
        <f t="shared" si="238"/>
        <v>0</v>
      </c>
      <c r="Q786" s="95">
        <f t="shared" si="239"/>
        <v>0</v>
      </c>
      <c r="R786" s="96"/>
      <c r="S786" s="97">
        <f t="shared" si="240"/>
        <v>0</v>
      </c>
      <c r="T786" s="98">
        <f t="shared" si="235"/>
        <v>0</v>
      </c>
    </row>
    <row r="787" spans="2:31" ht="20.100000000000001" customHeight="1">
      <c r="B787" s="88">
        <v>8</v>
      </c>
      <c r="C787" s="89" t="s">
        <v>1892</v>
      </c>
      <c r="D787" s="90" t="s">
        <v>2013</v>
      </c>
      <c r="E787" s="91" t="s">
        <v>2014</v>
      </c>
      <c r="F787" s="315">
        <v>56.54</v>
      </c>
      <c r="G787" s="260"/>
      <c r="H787" s="260"/>
      <c r="I787" s="309"/>
      <c r="J787" s="199"/>
      <c r="K787" s="269"/>
      <c r="L787" s="93">
        <f t="shared" si="234"/>
        <v>0</v>
      </c>
      <c r="M787" s="183"/>
      <c r="N787" s="95">
        <f t="shared" si="236"/>
        <v>0</v>
      </c>
      <c r="O787" s="95">
        <f t="shared" si="237"/>
        <v>0</v>
      </c>
      <c r="P787" s="94">
        <f t="shared" si="238"/>
        <v>0</v>
      </c>
      <c r="Q787" s="95">
        <f t="shared" si="239"/>
        <v>0</v>
      </c>
      <c r="R787" s="96"/>
      <c r="S787" s="97">
        <f t="shared" si="240"/>
        <v>0</v>
      </c>
      <c r="T787" s="98">
        <f t="shared" si="235"/>
        <v>0</v>
      </c>
    </row>
    <row r="788" spans="2:31" ht="20.100000000000001" customHeight="1">
      <c r="B788" s="88">
        <v>8</v>
      </c>
      <c r="C788" s="89" t="s">
        <v>1892</v>
      </c>
      <c r="D788" s="90" t="s">
        <v>2015</v>
      </c>
      <c r="E788" s="91" t="s">
        <v>2016</v>
      </c>
      <c r="F788" s="315">
        <v>301.87</v>
      </c>
      <c r="G788" s="260">
        <v>3</v>
      </c>
      <c r="H788" s="260"/>
      <c r="I788" s="309">
        <v>6</v>
      </c>
      <c r="J788" s="199"/>
      <c r="K788" s="269">
        <v>4</v>
      </c>
      <c r="L788" s="93">
        <f t="shared" si="234"/>
        <v>5</v>
      </c>
      <c r="M788" s="183">
        <v>5</v>
      </c>
      <c r="N788" s="95">
        <f t="shared" si="236"/>
        <v>1509.35</v>
      </c>
      <c r="O788" s="95">
        <f t="shared" si="237"/>
        <v>1509.35</v>
      </c>
      <c r="P788" s="94">
        <f t="shared" si="238"/>
        <v>0</v>
      </c>
      <c r="Q788" s="95">
        <f t="shared" si="239"/>
        <v>0</v>
      </c>
      <c r="R788" s="96"/>
      <c r="S788" s="97">
        <f t="shared" si="240"/>
        <v>0</v>
      </c>
      <c r="T788" s="98">
        <f t="shared" si="235"/>
        <v>5</v>
      </c>
    </row>
    <row r="789" spans="2:31" ht="20.100000000000001" customHeight="1">
      <c r="B789" s="88">
        <v>8</v>
      </c>
      <c r="C789" s="89" t="s">
        <v>1892</v>
      </c>
      <c r="D789" s="90" t="s">
        <v>2017</v>
      </c>
      <c r="E789" s="91" t="s">
        <v>2018</v>
      </c>
      <c r="F789" s="315">
        <v>6.02</v>
      </c>
      <c r="G789" s="260">
        <v>122</v>
      </c>
      <c r="H789" s="260">
        <v>24</v>
      </c>
      <c r="I789" s="309">
        <v>120</v>
      </c>
      <c r="J789" s="199"/>
      <c r="K789" s="269">
        <v>113</v>
      </c>
      <c r="L789" s="93">
        <f t="shared" si="234"/>
        <v>153</v>
      </c>
      <c r="M789" s="183">
        <v>153</v>
      </c>
      <c r="N789" s="95">
        <f t="shared" si="236"/>
        <v>921.06</v>
      </c>
      <c r="O789" s="95">
        <f t="shared" si="237"/>
        <v>921.06</v>
      </c>
      <c r="P789" s="94">
        <f t="shared" si="238"/>
        <v>0</v>
      </c>
      <c r="Q789" s="95">
        <f t="shared" si="239"/>
        <v>0</v>
      </c>
      <c r="R789" s="278"/>
      <c r="S789" s="97">
        <f t="shared" si="240"/>
        <v>0</v>
      </c>
      <c r="T789" s="98">
        <f t="shared" si="235"/>
        <v>153</v>
      </c>
    </row>
    <row r="790" spans="2:31" ht="20.100000000000001" customHeight="1">
      <c r="B790" s="88">
        <v>8</v>
      </c>
      <c r="C790" s="89" t="s">
        <v>1892</v>
      </c>
      <c r="D790" s="90" t="s">
        <v>2019</v>
      </c>
      <c r="E790" s="91" t="s">
        <v>2020</v>
      </c>
      <c r="F790" s="315">
        <v>6.02</v>
      </c>
      <c r="G790" s="260">
        <v>13</v>
      </c>
      <c r="H790" s="260">
        <v>24</v>
      </c>
      <c r="I790" s="309">
        <v>120</v>
      </c>
      <c r="J790" s="199"/>
      <c r="K790" s="269">
        <v>66</v>
      </c>
      <c r="L790" s="93">
        <f t="shared" si="234"/>
        <v>91</v>
      </c>
      <c r="M790" s="183">
        <v>65</v>
      </c>
      <c r="N790" s="95">
        <f t="shared" si="236"/>
        <v>547.81999999999994</v>
      </c>
      <c r="O790" s="95">
        <f t="shared" si="237"/>
        <v>391.29999999999995</v>
      </c>
      <c r="P790" s="94">
        <f t="shared" si="238"/>
        <v>26</v>
      </c>
      <c r="Q790" s="95">
        <f t="shared" si="239"/>
        <v>156.51999999999998</v>
      </c>
      <c r="R790" s="96"/>
      <c r="S790" s="97">
        <f t="shared" si="240"/>
        <v>0</v>
      </c>
      <c r="T790" s="98">
        <f t="shared" si="235"/>
        <v>65</v>
      </c>
    </row>
    <row r="791" spans="2:31" ht="20.100000000000001" customHeight="1">
      <c r="B791" s="88">
        <v>8</v>
      </c>
      <c r="C791" s="89" t="s">
        <v>1892</v>
      </c>
      <c r="D791" s="90" t="s">
        <v>2021</v>
      </c>
      <c r="E791" s="91" t="s">
        <v>2022</v>
      </c>
      <c r="F791" s="315">
        <v>86.29</v>
      </c>
      <c r="G791" s="260"/>
      <c r="H791" s="260">
        <v>12</v>
      </c>
      <c r="I791" s="309"/>
      <c r="J791" s="199"/>
      <c r="K791" s="269">
        <v>12</v>
      </c>
      <c r="L791" s="93">
        <f t="shared" si="234"/>
        <v>0</v>
      </c>
      <c r="M791" s="183"/>
      <c r="N791" s="95">
        <f t="shared" si="236"/>
        <v>0</v>
      </c>
      <c r="O791" s="95">
        <f t="shared" si="237"/>
        <v>0</v>
      </c>
      <c r="P791" s="94">
        <f t="shared" si="238"/>
        <v>0</v>
      </c>
      <c r="Q791" s="95">
        <f t="shared" si="239"/>
        <v>0</v>
      </c>
      <c r="R791" s="278"/>
      <c r="S791" s="97">
        <f t="shared" si="240"/>
        <v>0</v>
      </c>
      <c r="T791" s="98">
        <f t="shared" si="235"/>
        <v>0</v>
      </c>
    </row>
    <row r="792" spans="2:31" ht="20.100000000000001" customHeight="1">
      <c r="B792" s="88">
        <v>8</v>
      </c>
      <c r="C792" s="89" t="s">
        <v>1892</v>
      </c>
      <c r="D792" s="90" t="s">
        <v>2023</v>
      </c>
      <c r="E792" s="91" t="s">
        <v>2024</v>
      </c>
      <c r="F792" s="315">
        <v>7.14</v>
      </c>
      <c r="G792" s="260">
        <v>46</v>
      </c>
      <c r="H792" s="260"/>
      <c r="I792" s="309"/>
      <c r="J792" s="199"/>
      <c r="K792" s="269">
        <v>42</v>
      </c>
      <c r="L792" s="93">
        <f t="shared" si="234"/>
        <v>4</v>
      </c>
      <c r="M792" s="183">
        <v>4</v>
      </c>
      <c r="N792" s="95">
        <f t="shared" si="236"/>
        <v>28.56</v>
      </c>
      <c r="O792" s="95">
        <f t="shared" si="237"/>
        <v>28.56</v>
      </c>
      <c r="P792" s="94">
        <f t="shared" si="238"/>
        <v>0</v>
      </c>
      <c r="Q792" s="95">
        <f t="shared" si="239"/>
        <v>0</v>
      </c>
      <c r="R792" s="96"/>
      <c r="S792" s="97">
        <f t="shared" si="240"/>
        <v>79</v>
      </c>
      <c r="T792" s="98">
        <f t="shared" si="235"/>
        <v>-75</v>
      </c>
      <c r="U792">
        <v>79</v>
      </c>
    </row>
    <row r="793" spans="2:31" ht="20.100000000000001" customHeight="1">
      <c r="B793" s="88">
        <v>8</v>
      </c>
      <c r="C793" s="89" t="s">
        <v>1892</v>
      </c>
      <c r="D793" s="90" t="s">
        <v>2025</v>
      </c>
      <c r="E793" s="91" t="s">
        <v>2026</v>
      </c>
      <c r="F793" s="315">
        <v>82.62</v>
      </c>
      <c r="G793" s="260"/>
      <c r="H793" s="260"/>
      <c r="I793" s="309"/>
      <c r="J793" s="199"/>
      <c r="K793" s="269"/>
      <c r="L793" s="93">
        <f t="shared" si="234"/>
        <v>0</v>
      </c>
      <c r="M793" s="183"/>
      <c r="N793" s="95">
        <f t="shared" si="236"/>
        <v>0</v>
      </c>
      <c r="O793" s="95">
        <f t="shared" si="237"/>
        <v>0</v>
      </c>
      <c r="P793" s="94">
        <f t="shared" si="238"/>
        <v>0</v>
      </c>
      <c r="Q793" s="95">
        <f t="shared" si="239"/>
        <v>0</v>
      </c>
      <c r="R793" s="96"/>
      <c r="S793" s="97">
        <f t="shared" si="240"/>
        <v>0</v>
      </c>
      <c r="T793" s="98">
        <f t="shared" si="235"/>
        <v>0</v>
      </c>
    </row>
    <row r="794" spans="2:31" ht="20.100000000000001" customHeight="1">
      <c r="B794" s="88">
        <v>8</v>
      </c>
      <c r="C794" s="89" t="s">
        <v>1892</v>
      </c>
      <c r="D794" s="90" t="s">
        <v>2027</v>
      </c>
      <c r="E794" s="91" t="s">
        <v>2028</v>
      </c>
      <c r="F794" s="315">
        <v>14.38</v>
      </c>
      <c r="G794" s="260">
        <v>41</v>
      </c>
      <c r="H794" s="260"/>
      <c r="I794" s="309"/>
      <c r="J794" s="199"/>
      <c r="K794" s="269">
        <v>36</v>
      </c>
      <c r="L794" s="93">
        <f t="shared" si="234"/>
        <v>5</v>
      </c>
      <c r="M794" s="183">
        <v>5</v>
      </c>
      <c r="N794" s="95">
        <f t="shared" si="236"/>
        <v>71.900000000000006</v>
      </c>
      <c r="O794" s="95">
        <f t="shared" si="237"/>
        <v>71.900000000000006</v>
      </c>
      <c r="P794" s="94">
        <f t="shared" si="238"/>
        <v>0</v>
      </c>
      <c r="Q794" s="95">
        <f t="shared" si="239"/>
        <v>0</v>
      </c>
      <c r="R794" s="278" t="s">
        <v>5241</v>
      </c>
      <c r="S794" s="97">
        <f t="shared" si="240"/>
        <v>70</v>
      </c>
      <c r="T794" s="98">
        <f t="shared" si="235"/>
        <v>-65</v>
      </c>
      <c r="U794">
        <v>70</v>
      </c>
    </row>
    <row r="795" spans="2:31" ht="20.100000000000001" customHeight="1">
      <c r="B795" s="88">
        <v>8</v>
      </c>
      <c r="C795" s="89" t="s">
        <v>1892</v>
      </c>
      <c r="D795" s="90" t="s">
        <v>2029</v>
      </c>
      <c r="E795" s="91" t="s">
        <v>2030</v>
      </c>
      <c r="F795" s="315">
        <v>86.29</v>
      </c>
      <c r="G795" s="260"/>
      <c r="H795" s="260"/>
      <c r="I795" s="309"/>
      <c r="J795" s="199"/>
      <c r="K795" s="269"/>
      <c r="L795" s="93">
        <f t="shared" si="234"/>
        <v>0</v>
      </c>
      <c r="M795" s="183"/>
      <c r="N795" s="95">
        <f t="shared" si="236"/>
        <v>0</v>
      </c>
      <c r="O795" s="95">
        <f t="shared" si="237"/>
        <v>0</v>
      </c>
      <c r="P795" s="94">
        <f t="shared" si="238"/>
        <v>0</v>
      </c>
      <c r="Q795" s="95">
        <f t="shared" si="239"/>
        <v>0</v>
      </c>
      <c r="R795" s="96"/>
      <c r="S795" s="97">
        <f t="shared" si="240"/>
        <v>0</v>
      </c>
      <c r="T795" s="98">
        <f t="shared" si="235"/>
        <v>0</v>
      </c>
    </row>
    <row r="796" spans="2:31" ht="20.100000000000001" customHeight="1">
      <c r="B796" s="88">
        <v>8</v>
      </c>
      <c r="C796" s="89" t="s">
        <v>1892</v>
      </c>
      <c r="D796" s="90" t="s">
        <v>2031</v>
      </c>
      <c r="E796" s="91" t="s">
        <v>2032</v>
      </c>
      <c r="F796" s="315">
        <v>27.84</v>
      </c>
      <c r="G796" s="260"/>
      <c r="H796" s="260">
        <v>14</v>
      </c>
      <c r="I796" s="309"/>
      <c r="J796" s="199"/>
      <c r="K796" s="269">
        <v>14</v>
      </c>
      <c r="L796" s="93">
        <f t="shared" si="234"/>
        <v>0</v>
      </c>
      <c r="M796" s="183"/>
      <c r="N796" s="95">
        <f t="shared" si="236"/>
        <v>0</v>
      </c>
      <c r="O796" s="95">
        <f t="shared" si="237"/>
        <v>0</v>
      </c>
      <c r="P796" s="94">
        <f t="shared" si="238"/>
        <v>0</v>
      </c>
      <c r="Q796" s="95">
        <f t="shared" si="239"/>
        <v>0</v>
      </c>
      <c r="R796" s="96"/>
      <c r="S796" s="97">
        <f t="shared" si="240"/>
        <v>0</v>
      </c>
      <c r="T796" s="98">
        <f t="shared" si="235"/>
        <v>0</v>
      </c>
    </row>
    <row r="797" spans="2:31" ht="20.100000000000001" customHeight="1">
      <c r="B797" s="88">
        <v>8</v>
      </c>
      <c r="C797" s="89" t="s">
        <v>1892</v>
      </c>
      <c r="D797" s="90" t="s">
        <v>2033</v>
      </c>
      <c r="E797" s="91" t="s">
        <v>2034</v>
      </c>
      <c r="F797" s="315">
        <v>13.92</v>
      </c>
      <c r="G797" s="260"/>
      <c r="H797" s="260">
        <v>12</v>
      </c>
      <c r="I797" s="309"/>
      <c r="J797" s="199"/>
      <c r="K797" s="269">
        <v>12</v>
      </c>
      <c r="L797" s="93">
        <f t="shared" si="234"/>
        <v>0</v>
      </c>
      <c r="M797" s="183"/>
      <c r="N797" s="95">
        <f t="shared" si="236"/>
        <v>0</v>
      </c>
      <c r="O797" s="95">
        <f t="shared" si="237"/>
        <v>0</v>
      </c>
      <c r="P797" s="94">
        <f t="shared" si="238"/>
        <v>0</v>
      </c>
      <c r="Q797" s="95">
        <f t="shared" si="239"/>
        <v>0</v>
      </c>
      <c r="R797" s="96"/>
      <c r="S797" s="97">
        <f t="shared" si="240"/>
        <v>0</v>
      </c>
      <c r="T797" s="98">
        <f t="shared" si="235"/>
        <v>0</v>
      </c>
    </row>
    <row r="798" spans="2:31" ht="20.100000000000001" customHeight="1">
      <c r="B798" s="88">
        <v>8</v>
      </c>
      <c r="C798" s="89" t="s">
        <v>1892</v>
      </c>
      <c r="D798" s="90" t="s">
        <v>2035</v>
      </c>
      <c r="E798" s="91" t="s">
        <v>2036</v>
      </c>
      <c r="F798" s="315">
        <v>3430</v>
      </c>
      <c r="G798" s="260"/>
      <c r="H798" s="260"/>
      <c r="I798" s="309"/>
      <c r="J798" s="199"/>
      <c r="K798" s="269"/>
      <c r="L798" s="93">
        <f t="shared" si="234"/>
        <v>0</v>
      </c>
      <c r="M798" s="183"/>
      <c r="N798" s="95">
        <f t="shared" si="236"/>
        <v>0</v>
      </c>
      <c r="O798" s="95">
        <f t="shared" si="237"/>
        <v>0</v>
      </c>
      <c r="P798" s="94">
        <f t="shared" si="238"/>
        <v>0</v>
      </c>
      <c r="Q798" s="95">
        <f t="shared" si="239"/>
        <v>0</v>
      </c>
      <c r="R798" s="96"/>
      <c r="S798" s="97">
        <f t="shared" si="240"/>
        <v>0</v>
      </c>
      <c r="T798" s="98">
        <f t="shared" si="235"/>
        <v>0</v>
      </c>
    </row>
    <row r="799" spans="2:31" ht="20.100000000000001" customHeight="1">
      <c r="B799" s="88">
        <v>8</v>
      </c>
      <c r="C799" s="89" t="s">
        <v>1892</v>
      </c>
      <c r="D799" s="90" t="s">
        <v>2037</v>
      </c>
      <c r="E799" s="91" t="s">
        <v>2038</v>
      </c>
      <c r="F799" s="315">
        <v>4.74</v>
      </c>
      <c r="G799" s="260">
        <v>1036</v>
      </c>
      <c r="H799" s="260"/>
      <c r="I799" s="309"/>
      <c r="J799" s="199"/>
      <c r="K799" s="269">
        <v>214</v>
      </c>
      <c r="L799" s="93">
        <f t="shared" si="234"/>
        <v>822</v>
      </c>
      <c r="M799" s="183">
        <f>702+120</f>
        <v>822</v>
      </c>
      <c r="N799" s="95">
        <f t="shared" si="236"/>
        <v>3896.28</v>
      </c>
      <c r="O799" s="95">
        <f t="shared" si="237"/>
        <v>3896.28</v>
      </c>
      <c r="P799" s="94">
        <f t="shared" si="238"/>
        <v>0</v>
      </c>
      <c r="Q799" s="95">
        <f t="shared" si="239"/>
        <v>0</v>
      </c>
      <c r="R799" s="96"/>
      <c r="S799" s="97">
        <f t="shared" si="240"/>
        <v>862</v>
      </c>
      <c r="T799" s="98">
        <f t="shared" si="235"/>
        <v>-40</v>
      </c>
      <c r="U799">
        <f>144+14</f>
        <v>158</v>
      </c>
      <c r="W799">
        <f>16*44</f>
        <v>704</v>
      </c>
      <c r="X799" t="s">
        <v>555</v>
      </c>
      <c r="AD799">
        <f>W799</f>
        <v>704</v>
      </c>
      <c r="AE799" s="100">
        <f>AD799*F799</f>
        <v>3336.96</v>
      </c>
    </row>
    <row r="800" spans="2:31" ht="20.100000000000001" customHeight="1">
      <c r="B800" s="88">
        <v>8</v>
      </c>
      <c r="C800" s="89" t="s">
        <v>1892</v>
      </c>
      <c r="D800" s="90" t="s">
        <v>2039</v>
      </c>
      <c r="E800" s="91" t="s">
        <v>2040</v>
      </c>
      <c r="F800" s="315">
        <v>121.65</v>
      </c>
      <c r="G800" s="260"/>
      <c r="H800" s="260"/>
      <c r="I800" s="309"/>
      <c r="J800" s="199"/>
      <c r="K800" s="269"/>
      <c r="L800" s="93">
        <f t="shared" si="234"/>
        <v>0</v>
      </c>
      <c r="M800" s="183"/>
      <c r="N800" s="95">
        <f t="shared" si="236"/>
        <v>0</v>
      </c>
      <c r="O800" s="95">
        <f t="shared" si="237"/>
        <v>0</v>
      </c>
      <c r="P800" s="94">
        <f t="shared" si="238"/>
        <v>0</v>
      </c>
      <c r="Q800" s="95">
        <f t="shared" si="239"/>
        <v>0</v>
      </c>
      <c r="R800" s="96"/>
      <c r="S800" s="97">
        <f t="shared" si="240"/>
        <v>0</v>
      </c>
      <c r="T800" s="98">
        <f t="shared" si="235"/>
        <v>0</v>
      </c>
    </row>
    <row r="801" spans="2:21" ht="20.100000000000001" customHeight="1">
      <c r="B801" s="88">
        <v>8</v>
      </c>
      <c r="C801" s="89" t="s">
        <v>1892</v>
      </c>
      <c r="D801" s="90" t="s">
        <v>2041</v>
      </c>
      <c r="E801" s="91" t="s">
        <v>2042</v>
      </c>
      <c r="F801" s="315">
        <v>20.8</v>
      </c>
      <c r="G801" s="260">
        <v>52</v>
      </c>
      <c r="H801" s="260"/>
      <c r="I801" s="309"/>
      <c r="J801" s="199"/>
      <c r="K801" s="269">
        <v>33</v>
      </c>
      <c r="L801" s="93">
        <f t="shared" si="234"/>
        <v>19</v>
      </c>
      <c r="M801" s="183">
        <v>18</v>
      </c>
      <c r="N801" s="95">
        <f t="shared" si="236"/>
        <v>395.2</v>
      </c>
      <c r="O801" s="95">
        <f t="shared" si="237"/>
        <v>374.40000000000003</v>
      </c>
      <c r="P801" s="94">
        <f t="shared" si="238"/>
        <v>1</v>
      </c>
      <c r="Q801" s="95">
        <f t="shared" si="239"/>
        <v>20.799999999999955</v>
      </c>
      <c r="R801" s="96"/>
      <c r="S801" s="97">
        <f t="shared" si="240"/>
        <v>29</v>
      </c>
      <c r="T801" s="98">
        <f t="shared" si="235"/>
        <v>-11</v>
      </c>
      <c r="U801">
        <v>29</v>
      </c>
    </row>
    <row r="802" spans="2:21" ht="20.100000000000001" customHeight="1">
      <c r="B802" s="88">
        <v>8</v>
      </c>
      <c r="C802" s="89" t="s">
        <v>1892</v>
      </c>
      <c r="D802" s="90" t="s">
        <v>2043</v>
      </c>
      <c r="E802" s="91" t="s">
        <v>2044</v>
      </c>
      <c r="F802" s="315">
        <v>34.049999999999997</v>
      </c>
      <c r="G802" s="260">
        <v>17</v>
      </c>
      <c r="H802" s="260"/>
      <c r="I802" s="309"/>
      <c r="J802" s="199"/>
      <c r="K802" s="269"/>
      <c r="L802" s="93">
        <f t="shared" si="234"/>
        <v>17</v>
      </c>
      <c r="M802" s="183">
        <f>11+6</f>
        <v>17</v>
      </c>
      <c r="N802" s="95">
        <f t="shared" si="236"/>
        <v>578.84999999999991</v>
      </c>
      <c r="O802" s="95">
        <f t="shared" si="237"/>
        <v>578.84999999999991</v>
      </c>
      <c r="P802" s="94">
        <f t="shared" si="238"/>
        <v>0</v>
      </c>
      <c r="Q802" s="95">
        <f t="shared" si="239"/>
        <v>0</v>
      </c>
      <c r="R802" s="96"/>
      <c r="S802" s="97">
        <f t="shared" si="240"/>
        <v>17</v>
      </c>
      <c r="T802" s="98">
        <f t="shared" si="235"/>
        <v>0</v>
      </c>
      <c r="U802">
        <v>17</v>
      </c>
    </row>
    <row r="803" spans="2:21" ht="20.100000000000001" customHeight="1">
      <c r="B803" s="88">
        <v>8</v>
      </c>
      <c r="C803" s="89" t="s">
        <v>1892</v>
      </c>
      <c r="D803" s="90" t="s">
        <v>2043</v>
      </c>
      <c r="E803" s="91" t="s">
        <v>2044</v>
      </c>
      <c r="F803" s="315">
        <v>34.049999999999997</v>
      </c>
      <c r="G803" s="260"/>
      <c r="H803" s="260"/>
      <c r="I803" s="309"/>
      <c r="J803" s="199"/>
      <c r="K803" s="269"/>
      <c r="L803" s="93">
        <f t="shared" si="234"/>
        <v>0</v>
      </c>
      <c r="M803" s="183"/>
      <c r="N803" s="95">
        <f t="shared" si="236"/>
        <v>0</v>
      </c>
      <c r="O803" s="95">
        <f t="shared" si="237"/>
        <v>0</v>
      </c>
      <c r="P803" s="94">
        <f t="shared" si="238"/>
        <v>0</v>
      </c>
      <c r="Q803" s="95">
        <f t="shared" si="239"/>
        <v>0</v>
      </c>
      <c r="R803" s="96"/>
      <c r="S803" s="97">
        <f t="shared" si="240"/>
        <v>0</v>
      </c>
      <c r="T803" s="98">
        <f t="shared" si="235"/>
        <v>0</v>
      </c>
    </row>
    <row r="804" spans="2:21" ht="20.100000000000001" customHeight="1">
      <c r="B804" s="88">
        <v>8</v>
      </c>
      <c r="C804" s="89" t="s">
        <v>1892</v>
      </c>
      <c r="D804" s="90" t="s">
        <v>2045</v>
      </c>
      <c r="E804" s="91" t="s">
        <v>2046</v>
      </c>
      <c r="F804" s="315">
        <v>36.659999999999997</v>
      </c>
      <c r="G804" s="260">
        <v>23</v>
      </c>
      <c r="H804" s="260"/>
      <c r="I804" s="309"/>
      <c r="J804" s="199"/>
      <c r="K804" s="269"/>
      <c r="L804" s="93">
        <f t="shared" si="234"/>
        <v>23</v>
      </c>
      <c r="M804" s="183">
        <v>23</v>
      </c>
      <c r="N804" s="95">
        <f t="shared" si="236"/>
        <v>843.18</v>
      </c>
      <c r="O804" s="95">
        <f t="shared" si="237"/>
        <v>843.18</v>
      </c>
      <c r="P804" s="94">
        <f t="shared" si="238"/>
        <v>0</v>
      </c>
      <c r="Q804" s="95">
        <f t="shared" si="239"/>
        <v>0</v>
      </c>
      <c r="R804" s="96"/>
      <c r="S804" s="97">
        <f t="shared" si="240"/>
        <v>23</v>
      </c>
      <c r="T804" s="98">
        <f t="shared" si="235"/>
        <v>0</v>
      </c>
      <c r="U804">
        <v>23</v>
      </c>
    </row>
    <row r="805" spans="2:21" ht="20.100000000000001" customHeight="1">
      <c r="B805" s="88">
        <v>8</v>
      </c>
      <c r="C805" s="89" t="s">
        <v>1892</v>
      </c>
      <c r="D805" s="90" t="s">
        <v>2047</v>
      </c>
      <c r="E805" s="91" t="s">
        <v>2048</v>
      </c>
      <c r="F805" s="315">
        <v>35.68</v>
      </c>
      <c r="G805" s="260"/>
      <c r="H805" s="260"/>
      <c r="I805" s="309"/>
      <c r="J805" s="199"/>
      <c r="K805" s="269"/>
      <c r="L805" s="93">
        <f t="shared" si="234"/>
        <v>0</v>
      </c>
      <c r="M805" s="183"/>
      <c r="N805" s="95">
        <f t="shared" si="236"/>
        <v>0</v>
      </c>
      <c r="O805" s="95">
        <f t="shared" si="237"/>
        <v>0</v>
      </c>
      <c r="P805" s="94">
        <f t="shared" si="238"/>
        <v>0</v>
      </c>
      <c r="Q805" s="95">
        <f t="shared" si="239"/>
        <v>0</v>
      </c>
      <c r="R805" s="96"/>
      <c r="S805" s="97">
        <f t="shared" si="240"/>
        <v>0</v>
      </c>
      <c r="T805" s="98">
        <f t="shared" si="235"/>
        <v>0</v>
      </c>
    </row>
    <row r="806" spans="2:21" ht="20.100000000000001" customHeight="1">
      <c r="B806" s="88">
        <v>8</v>
      </c>
      <c r="C806" s="89" t="s">
        <v>1892</v>
      </c>
      <c r="D806" s="90" t="s">
        <v>2047</v>
      </c>
      <c r="E806" s="91" t="s">
        <v>2048</v>
      </c>
      <c r="F806" s="315">
        <v>35.68</v>
      </c>
      <c r="G806" s="260">
        <v>27</v>
      </c>
      <c r="H806" s="260"/>
      <c r="I806" s="309"/>
      <c r="J806" s="199"/>
      <c r="K806" s="269">
        <v>9</v>
      </c>
      <c r="L806" s="93">
        <f t="shared" si="234"/>
        <v>18</v>
      </c>
      <c r="M806" s="183">
        <v>18</v>
      </c>
      <c r="N806" s="95">
        <f t="shared" si="236"/>
        <v>642.24</v>
      </c>
      <c r="O806" s="95">
        <f t="shared" si="237"/>
        <v>642.24</v>
      </c>
      <c r="P806" s="94">
        <f t="shared" si="238"/>
        <v>0</v>
      </c>
      <c r="Q806" s="95">
        <f t="shared" si="239"/>
        <v>0</v>
      </c>
      <c r="R806" s="96"/>
      <c r="S806" s="97">
        <f t="shared" si="240"/>
        <v>30</v>
      </c>
      <c r="T806" s="98">
        <f t="shared" si="235"/>
        <v>-12</v>
      </c>
      <c r="U806">
        <v>30</v>
      </c>
    </row>
    <row r="807" spans="2:21" ht="20.100000000000001" customHeight="1">
      <c r="B807" s="88">
        <v>8</v>
      </c>
      <c r="C807" s="89" t="s">
        <v>1892</v>
      </c>
      <c r="D807" s="90" t="s">
        <v>2049</v>
      </c>
      <c r="E807" s="91" t="s">
        <v>2050</v>
      </c>
      <c r="F807" s="315">
        <v>31.04</v>
      </c>
      <c r="G807" s="260">
        <v>34</v>
      </c>
      <c r="H807" s="260"/>
      <c r="I807" s="309"/>
      <c r="J807" s="199"/>
      <c r="K807" s="269"/>
      <c r="L807" s="93">
        <f t="shared" si="234"/>
        <v>34</v>
      </c>
      <c r="M807" s="183">
        <v>34</v>
      </c>
      <c r="N807" s="95">
        <f t="shared" si="236"/>
        <v>1055.3599999999999</v>
      </c>
      <c r="O807" s="95">
        <f t="shared" si="237"/>
        <v>1055.3599999999999</v>
      </c>
      <c r="P807" s="94">
        <f t="shared" si="238"/>
        <v>0</v>
      </c>
      <c r="Q807" s="95">
        <f t="shared" si="239"/>
        <v>0</v>
      </c>
      <c r="R807" s="96"/>
      <c r="S807" s="97">
        <f t="shared" si="240"/>
        <v>34</v>
      </c>
      <c r="T807" s="98">
        <f t="shared" si="235"/>
        <v>0</v>
      </c>
      <c r="U807">
        <v>34</v>
      </c>
    </row>
    <row r="808" spans="2:21" ht="20.100000000000001" customHeight="1">
      <c r="B808" s="88">
        <v>8</v>
      </c>
      <c r="C808" s="89" t="s">
        <v>1892</v>
      </c>
      <c r="D808" s="90" t="s">
        <v>2051</v>
      </c>
      <c r="E808" s="91" t="s">
        <v>2052</v>
      </c>
      <c r="F808" s="315">
        <v>13.39</v>
      </c>
      <c r="G808" s="260">
        <v>42</v>
      </c>
      <c r="H808" s="260"/>
      <c r="I808" s="309"/>
      <c r="J808" s="199"/>
      <c r="K808" s="269">
        <v>37</v>
      </c>
      <c r="L808" s="93">
        <f t="shared" si="234"/>
        <v>5</v>
      </c>
      <c r="M808" s="183">
        <v>5</v>
      </c>
      <c r="N808" s="95">
        <f t="shared" si="236"/>
        <v>66.95</v>
      </c>
      <c r="O808" s="95">
        <f t="shared" si="237"/>
        <v>66.95</v>
      </c>
      <c r="P808" s="94">
        <f t="shared" si="238"/>
        <v>0</v>
      </c>
      <c r="Q808" s="95">
        <f t="shared" si="239"/>
        <v>0</v>
      </c>
      <c r="R808" s="96"/>
      <c r="S808" s="97">
        <f t="shared" si="240"/>
        <v>25</v>
      </c>
      <c r="T808" s="98">
        <f t="shared" si="235"/>
        <v>-20</v>
      </c>
      <c r="U808">
        <v>25</v>
      </c>
    </row>
    <row r="809" spans="2:21" ht="20.100000000000001" customHeight="1">
      <c r="B809" s="88">
        <v>8</v>
      </c>
      <c r="C809" s="89" t="s">
        <v>1892</v>
      </c>
      <c r="D809" s="90" t="s">
        <v>2051</v>
      </c>
      <c r="E809" s="91" t="s">
        <v>2052</v>
      </c>
      <c r="F809" s="315">
        <v>13.39</v>
      </c>
      <c r="G809" s="260"/>
      <c r="H809" s="260"/>
      <c r="I809" s="309"/>
      <c r="J809" s="199"/>
      <c r="K809" s="269"/>
      <c r="L809" s="93">
        <f t="shared" si="234"/>
        <v>0</v>
      </c>
      <c r="M809" s="183"/>
      <c r="N809" s="95">
        <f t="shared" si="236"/>
        <v>0</v>
      </c>
      <c r="O809" s="95">
        <f t="shared" si="237"/>
        <v>0</v>
      </c>
      <c r="P809" s="94">
        <f t="shared" si="238"/>
        <v>0</v>
      </c>
      <c r="Q809" s="95">
        <f t="shared" si="239"/>
        <v>0</v>
      </c>
      <c r="R809" s="96"/>
      <c r="S809" s="97">
        <f t="shared" si="240"/>
        <v>0</v>
      </c>
      <c r="T809" s="98">
        <f t="shared" si="235"/>
        <v>0</v>
      </c>
    </row>
    <row r="810" spans="2:21" ht="20.100000000000001" customHeight="1">
      <c r="B810" s="88">
        <v>8</v>
      </c>
      <c r="C810" s="89" t="s">
        <v>1892</v>
      </c>
      <c r="D810" s="90" t="s">
        <v>2053</v>
      </c>
      <c r="E810" s="91" t="s">
        <v>2054</v>
      </c>
      <c r="F810" s="315">
        <v>362.5</v>
      </c>
      <c r="G810" s="260"/>
      <c r="H810" s="260"/>
      <c r="I810" s="309"/>
      <c r="J810" s="199"/>
      <c r="K810" s="269"/>
      <c r="L810" s="93">
        <f t="shared" si="234"/>
        <v>0</v>
      </c>
      <c r="M810" s="183"/>
      <c r="N810" s="95">
        <f t="shared" si="236"/>
        <v>0</v>
      </c>
      <c r="O810" s="95">
        <f t="shared" si="237"/>
        <v>0</v>
      </c>
      <c r="P810" s="94">
        <f t="shared" si="238"/>
        <v>0</v>
      </c>
      <c r="Q810" s="95">
        <f t="shared" si="239"/>
        <v>0</v>
      </c>
      <c r="R810" s="96"/>
      <c r="S810" s="97">
        <f t="shared" si="240"/>
        <v>0</v>
      </c>
      <c r="T810" s="98">
        <f t="shared" si="235"/>
        <v>0</v>
      </c>
    </row>
    <row r="811" spans="2:21" ht="20.100000000000001" customHeight="1">
      <c r="B811" s="88">
        <v>8</v>
      </c>
      <c r="C811" s="89" t="s">
        <v>1892</v>
      </c>
      <c r="D811" s="90" t="s">
        <v>2055</v>
      </c>
      <c r="E811" s="91" t="s">
        <v>2056</v>
      </c>
      <c r="F811" s="315">
        <v>5.61</v>
      </c>
      <c r="G811" s="260">
        <v>68</v>
      </c>
      <c r="H811" s="260">
        <v>24</v>
      </c>
      <c r="I811" s="309"/>
      <c r="J811" s="199"/>
      <c r="K811" s="269">
        <v>24</v>
      </c>
      <c r="L811" s="93">
        <f t="shared" si="234"/>
        <v>68</v>
      </c>
      <c r="M811" s="183">
        <v>68</v>
      </c>
      <c r="N811" s="95">
        <f t="shared" si="236"/>
        <v>381.48</v>
      </c>
      <c r="O811" s="95">
        <f t="shared" si="237"/>
        <v>381.48</v>
      </c>
      <c r="P811" s="94">
        <f t="shared" si="238"/>
        <v>0</v>
      </c>
      <c r="Q811" s="95">
        <f t="shared" si="239"/>
        <v>0</v>
      </c>
      <c r="R811" s="278"/>
      <c r="S811" s="97">
        <f t="shared" si="240"/>
        <v>0</v>
      </c>
      <c r="T811" s="98">
        <f t="shared" si="235"/>
        <v>68</v>
      </c>
    </row>
    <row r="812" spans="2:21" ht="20.100000000000001" customHeight="1">
      <c r="B812" s="88">
        <v>8</v>
      </c>
      <c r="C812" s="89" t="s">
        <v>1892</v>
      </c>
      <c r="D812" s="90" t="s">
        <v>2057</v>
      </c>
      <c r="E812" s="91" t="s">
        <v>2058</v>
      </c>
      <c r="F812" s="315">
        <v>21.67</v>
      </c>
      <c r="G812" s="260">
        <v>5</v>
      </c>
      <c r="H812" s="260"/>
      <c r="I812" s="309"/>
      <c r="J812" s="199"/>
      <c r="K812" s="269">
        <v>2</v>
      </c>
      <c r="L812" s="93">
        <f t="shared" si="234"/>
        <v>3</v>
      </c>
      <c r="M812" s="183">
        <v>3</v>
      </c>
      <c r="N812" s="95">
        <f t="shared" si="236"/>
        <v>65.010000000000005</v>
      </c>
      <c r="O812" s="95">
        <f t="shared" si="237"/>
        <v>65.010000000000005</v>
      </c>
      <c r="P812" s="94">
        <f t="shared" si="238"/>
        <v>0</v>
      </c>
      <c r="Q812" s="95">
        <f t="shared" si="239"/>
        <v>0</v>
      </c>
      <c r="R812" s="96"/>
      <c r="S812" s="97">
        <f t="shared" si="240"/>
        <v>5</v>
      </c>
      <c r="T812" s="98">
        <f t="shared" si="235"/>
        <v>-2</v>
      </c>
      <c r="U812">
        <v>5</v>
      </c>
    </row>
    <row r="813" spans="2:21" ht="20.100000000000001" customHeight="1">
      <c r="B813" s="88">
        <v>8</v>
      </c>
      <c r="C813" s="89" t="s">
        <v>1892</v>
      </c>
      <c r="D813" s="90" t="s">
        <v>2059</v>
      </c>
      <c r="E813" s="91" t="s">
        <v>2060</v>
      </c>
      <c r="F813" s="315">
        <v>37.450000000000003</v>
      </c>
      <c r="G813" s="260">
        <v>15</v>
      </c>
      <c r="H813" s="260"/>
      <c r="I813" s="309"/>
      <c r="J813" s="199"/>
      <c r="K813" s="269"/>
      <c r="L813" s="93">
        <f t="shared" si="234"/>
        <v>15</v>
      </c>
      <c r="M813" s="183">
        <v>15</v>
      </c>
      <c r="N813" s="95">
        <f t="shared" si="236"/>
        <v>561.75</v>
      </c>
      <c r="O813" s="95">
        <f t="shared" si="237"/>
        <v>561.75</v>
      </c>
      <c r="P813" s="94">
        <f t="shared" si="238"/>
        <v>0</v>
      </c>
      <c r="Q813" s="95">
        <f t="shared" si="239"/>
        <v>0</v>
      </c>
      <c r="R813" s="96"/>
      <c r="S813" s="97">
        <f t="shared" si="240"/>
        <v>24</v>
      </c>
      <c r="T813" s="98">
        <f t="shared" si="235"/>
        <v>-9</v>
      </c>
      <c r="U813">
        <v>24</v>
      </c>
    </row>
    <row r="814" spans="2:21" ht="20.100000000000001" customHeight="1">
      <c r="B814" s="88">
        <v>8</v>
      </c>
      <c r="C814" s="89" t="s">
        <v>1892</v>
      </c>
      <c r="D814" s="90" t="s">
        <v>2059</v>
      </c>
      <c r="E814" s="91" t="s">
        <v>2060</v>
      </c>
      <c r="F814" s="315">
        <v>37.450000000000003</v>
      </c>
      <c r="G814" s="260"/>
      <c r="H814" s="260"/>
      <c r="I814" s="309"/>
      <c r="J814" s="199"/>
      <c r="K814" s="269"/>
      <c r="L814" s="93">
        <f t="shared" si="234"/>
        <v>0</v>
      </c>
      <c r="M814" s="183"/>
      <c r="N814" s="95">
        <f t="shared" si="236"/>
        <v>0</v>
      </c>
      <c r="O814" s="95">
        <f t="shared" si="237"/>
        <v>0</v>
      </c>
      <c r="P814" s="94">
        <f t="shared" si="238"/>
        <v>0</v>
      </c>
      <c r="Q814" s="95">
        <f t="shared" si="239"/>
        <v>0</v>
      </c>
      <c r="R814" s="96"/>
      <c r="S814" s="97">
        <f t="shared" si="240"/>
        <v>0</v>
      </c>
      <c r="T814" s="98">
        <f t="shared" si="235"/>
        <v>0</v>
      </c>
    </row>
    <row r="815" spans="2:21" ht="20.100000000000001" customHeight="1">
      <c r="B815" s="88">
        <v>8</v>
      </c>
      <c r="C815" s="89" t="s">
        <v>1892</v>
      </c>
      <c r="D815" s="90" t="s">
        <v>2061</v>
      </c>
      <c r="E815" s="91" t="s">
        <v>2062</v>
      </c>
      <c r="F815" s="315">
        <v>11.02</v>
      </c>
      <c r="G815" s="260"/>
      <c r="H815" s="260">
        <v>5</v>
      </c>
      <c r="I815" s="309"/>
      <c r="J815" s="199"/>
      <c r="K815" s="269"/>
      <c r="L815" s="93">
        <f t="shared" si="234"/>
        <v>5</v>
      </c>
      <c r="M815" s="183">
        <v>5</v>
      </c>
      <c r="N815" s="95">
        <f t="shared" si="236"/>
        <v>55.099999999999994</v>
      </c>
      <c r="O815" s="95">
        <f t="shared" si="237"/>
        <v>55.099999999999994</v>
      </c>
      <c r="P815" s="94">
        <f t="shared" si="238"/>
        <v>0</v>
      </c>
      <c r="Q815" s="95">
        <f t="shared" si="239"/>
        <v>0</v>
      </c>
      <c r="R815" s="96"/>
      <c r="S815" s="97">
        <f t="shared" si="240"/>
        <v>0</v>
      </c>
      <c r="T815" s="98">
        <f t="shared" si="235"/>
        <v>5</v>
      </c>
    </row>
    <row r="816" spans="2:21" ht="20.100000000000001" customHeight="1">
      <c r="B816" s="88">
        <v>8</v>
      </c>
      <c r="C816" s="89" t="s">
        <v>1892</v>
      </c>
      <c r="D816" s="90" t="s">
        <v>2063</v>
      </c>
      <c r="E816" s="91" t="s">
        <v>2064</v>
      </c>
      <c r="F816" s="315">
        <v>35</v>
      </c>
      <c r="G816" s="260">
        <v>3</v>
      </c>
      <c r="H816" s="260"/>
      <c r="I816" s="309"/>
      <c r="J816" s="199"/>
      <c r="K816" s="269">
        <v>1</v>
      </c>
      <c r="L816" s="93">
        <f t="shared" si="234"/>
        <v>2</v>
      </c>
      <c r="M816" s="183">
        <v>2</v>
      </c>
      <c r="N816" s="95">
        <f t="shared" si="236"/>
        <v>70</v>
      </c>
      <c r="O816" s="95">
        <f t="shared" si="237"/>
        <v>70</v>
      </c>
      <c r="P816" s="94">
        <f t="shared" si="238"/>
        <v>0</v>
      </c>
      <c r="Q816" s="95">
        <f t="shared" si="239"/>
        <v>0</v>
      </c>
      <c r="R816" s="96"/>
      <c r="S816" s="97">
        <f t="shared" si="240"/>
        <v>4</v>
      </c>
      <c r="T816" s="98">
        <f t="shared" si="235"/>
        <v>-2</v>
      </c>
      <c r="U816">
        <v>4</v>
      </c>
    </row>
    <row r="817" spans="2:31" ht="20.100000000000001" customHeight="1">
      <c r="B817" s="88">
        <v>8</v>
      </c>
      <c r="C817" s="89" t="s">
        <v>1892</v>
      </c>
      <c r="D817" s="90" t="s">
        <v>2065</v>
      </c>
      <c r="E817" s="91" t="s">
        <v>2066</v>
      </c>
      <c r="F817" s="315">
        <v>36</v>
      </c>
      <c r="G817" s="260"/>
      <c r="H817" s="260"/>
      <c r="I817" s="309"/>
      <c r="J817" s="199"/>
      <c r="K817" s="269"/>
      <c r="L817" s="93">
        <f t="shared" si="234"/>
        <v>0</v>
      </c>
      <c r="M817" s="183"/>
      <c r="N817" s="95">
        <f t="shared" si="236"/>
        <v>0</v>
      </c>
      <c r="O817" s="95">
        <f t="shared" si="237"/>
        <v>0</v>
      </c>
      <c r="P817" s="94">
        <f t="shared" si="238"/>
        <v>0</v>
      </c>
      <c r="Q817" s="95">
        <f t="shared" si="239"/>
        <v>0</v>
      </c>
      <c r="R817" s="96"/>
      <c r="S817" s="97">
        <f t="shared" si="240"/>
        <v>0</v>
      </c>
      <c r="T817" s="98">
        <f t="shared" si="235"/>
        <v>0</v>
      </c>
    </row>
    <row r="818" spans="2:31" ht="20.100000000000001" customHeight="1">
      <c r="B818" s="88">
        <v>8</v>
      </c>
      <c r="C818" s="89" t="s">
        <v>1892</v>
      </c>
      <c r="D818" s="90" t="s">
        <v>2067</v>
      </c>
      <c r="E818" s="91" t="s">
        <v>2068</v>
      </c>
      <c r="F818" s="315">
        <v>13.1</v>
      </c>
      <c r="G818" s="260">
        <v>5</v>
      </c>
      <c r="H818" s="260"/>
      <c r="I818" s="309"/>
      <c r="J818" s="199"/>
      <c r="K818" s="80">
        <v>1</v>
      </c>
      <c r="L818" s="93">
        <f t="shared" si="234"/>
        <v>4</v>
      </c>
      <c r="M818" s="183">
        <v>4</v>
      </c>
      <c r="N818" s="95">
        <f t="shared" si="236"/>
        <v>52.4</v>
      </c>
      <c r="O818" s="95">
        <f t="shared" si="237"/>
        <v>52.4</v>
      </c>
      <c r="P818" s="94">
        <f t="shared" si="238"/>
        <v>0</v>
      </c>
      <c r="Q818" s="95">
        <f t="shared" si="239"/>
        <v>0</v>
      </c>
      <c r="R818" s="96"/>
      <c r="S818" s="97">
        <f t="shared" si="240"/>
        <v>6</v>
      </c>
      <c r="T818" s="98">
        <f t="shared" si="235"/>
        <v>-2</v>
      </c>
      <c r="U818">
        <v>6</v>
      </c>
    </row>
    <row r="819" spans="2:31" ht="20.100000000000001" customHeight="1">
      <c r="B819" s="88">
        <v>8</v>
      </c>
      <c r="C819" s="89" t="s">
        <v>1892</v>
      </c>
      <c r="D819" s="90" t="s">
        <v>2069</v>
      </c>
      <c r="E819" s="91" t="s">
        <v>2070</v>
      </c>
      <c r="F819" s="315">
        <v>13.1</v>
      </c>
      <c r="G819" s="260">
        <v>6</v>
      </c>
      <c r="H819" s="260"/>
      <c r="I819" s="309"/>
      <c r="J819" s="199"/>
      <c r="K819" s="269">
        <v>1</v>
      </c>
      <c r="L819" s="93">
        <f t="shared" si="234"/>
        <v>5</v>
      </c>
      <c r="M819" s="183">
        <v>5</v>
      </c>
      <c r="N819" s="95">
        <f t="shared" si="236"/>
        <v>65.5</v>
      </c>
      <c r="O819" s="95">
        <f t="shared" si="237"/>
        <v>65.5</v>
      </c>
      <c r="P819" s="94">
        <f t="shared" si="238"/>
        <v>0</v>
      </c>
      <c r="Q819" s="95">
        <f t="shared" si="239"/>
        <v>0</v>
      </c>
      <c r="R819" s="96"/>
      <c r="S819" s="97">
        <f t="shared" si="240"/>
        <v>0</v>
      </c>
      <c r="T819" s="98">
        <f t="shared" si="235"/>
        <v>5</v>
      </c>
    </row>
    <row r="820" spans="2:31" ht="20.100000000000001" customHeight="1">
      <c r="B820" s="88">
        <v>8</v>
      </c>
      <c r="C820" s="89" t="s">
        <v>1892</v>
      </c>
      <c r="D820" s="90" t="s">
        <v>2071</v>
      </c>
      <c r="E820" s="91" t="s">
        <v>2072</v>
      </c>
      <c r="F820" s="315">
        <v>17.23</v>
      </c>
      <c r="G820" s="260"/>
      <c r="H820" s="260"/>
      <c r="I820" s="309"/>
      <c r="J820" s="199"/>
      <c r="K820" s="269"/>
      <c r="L820" s="93">
        <f t="shared" si="234"/>
        <v>0</v>
      </c>
      <c r="M820" s="183"/>
      <c r="N820" s="95">
        <f t="shared" si="236"/>
        <v>0</v>
      </c>
      <c r="O820" s="95">
        <f t="shared" si="237"/>
        <v>0</v>
      </c>
      <c r="P820" s="94">
        <f t="shared" si="238"/>
        <v>0</v>
      </c>
      <c r="Q820" s="95">
        <f t="shared" si="239"/>
        <v>0</v>
      </c>
      <c r="R820" s="96"/>
      <c r="S820" s="97">
        <f t="shared" si="240"/>
        <v>0</v>
      </c>
      <c r="T820" s="98">
        <f t="shared" si="235"/>
        <v>0</v>
      </c>
    </row>
    <row r="821" spans="2:31" ht="20.100000000000001" customHeight="1">
      <c r="B821" s="88">
        <v>8</v>
      </c>
      <c r="C821" s="89" t="s">
        <v>1892</v>
      </c>
      <c r="D821" s="90" t="s">
        <v>2071</v>
      </c>
      <c r="E821" s="91" t="s">
        <v>2072</v>
      </c>
      <c r="F821" s="315">
        <v>17.62</v>
      </c>
      <c r="G821" s="260">
        <v>3</v>
      </c>
      <c r="H821" s="260"/>
      <c r="I821" s="309"/>
      <c r="J821" s="199"/>
      <c r="K821" s="269"/>
      <c r="L821" s="93">
        <f t="shared" si="234"/>
        <v>3</v>
      </c>
      <c r="M821" s="183">
        <v>3</v>
      </c>
      <c r="N821" s="95">
        <f t="shared" si="236"/>
        <v>52.86</v>
      </c>
      <c r="O821" s="95">
        <f t="shared" si="237"/>
        <v>52.86</v>
      </c>
      <c r="P821" s="94">
        <f t="shared" si="238"/>
        <v>0</v>
      </c>
      <c r="Q821" s="95">
        <f t="shared" si="239"/>
        <v>0</v>
      </c>
      <c r="R821" s="96"/>
      <c r="S821" s="97">
        <f t="shared" si="240"/>
        <v>3</v>
      </c>
      <c r="T821" s="98">
        <f t="shared" si="235"/>
        <v>0</v>
      </c>
      <c r="U821">
        <v>3</v>
      </c>
    </row>
    <row r="822" spans="2:31" ht="20.100000000000001" customHeight="1">
      <c r="B822" s="88">
        <v>8</v>
      </c>
      <c r="C822" s="89" t="s">
        <v>1892</v>
      </c>
      <c r="D822" s="90" t="s">
        <v>2073</v>
      </c>
      <c r="E822" s="91" t="s">
        <v>2074</v>
      </c>
      <c r="F822" s="315">
        <v>67.290000000000006</v>
      </c>
      <c r="G822" s="260"/>
      <c r="H822" s="260"/>
      <c r="I822" s="309">
        <v>24</v>
      </c>
      <c r="J822" s="199"/>
      <c r="K822" s="269">
        <v>11</v>
      </c>
      <c r="L822" s="93">
        <f t="shared" ref="L822:L885" si="241">G822+I822-J822-K822+H822</f>
        <v>13</v>
      </c>
      <c r="M822" s="183">
        <v>13</v>
      </c>
      <c r="N822" s="95">
        <f t="shared" si="236"/>
        <v>874.7700000000001</v>
      </c>
      <c r="O822" s="95">
        <f t="shared" si="237"/>
        <v>874.7700000000001</v>
      </c>
      <c r="P822" s="94">
        <f t="shared" si="238"/>
        <v>0</v>
      </c>
      <c r="Q822" s="95">
        <f t="shared" si="239"/>
        <v>0</v>
      </c>
      <c r="R822" s="278" t="s">
        <v>5200</v>
      </c>
      <c r="S822" s="97">
        <f t="shared" si="240"/>
        <v>0</v>
      </c>
      <c r="T822" s="98">
        <f t="shared" si="235"/>
        <v>13</v>
      </c>
    </row>
    <row r="823" spans="2:31" ht="20.100000000000001" customHeight="1">
      <c r="B823" s="88">
        <v>8</v>
      </c>
      <c r="C823" s="89" t="s">
        <v>1892</v>
      </c>
      <c r="D823" s="90" t="s">
        <v>2075</v>
      </c>
      <c r="E823" s="91" t="s">
        <v>2076</v>
      </c>
      <c r="F823" s="315">
        <v>64.489999999999995</v>
      </c>
      <c r="G823" s="260">
        <v>24</v>
      </c>
      <c r="H823" s="260"/>
      <c r="I823" s="309"/>
      <c r="J823" s="199"/>
      <c r="K823" s="269">
        <v>6</v>
      </c>
      <c r="L823" s="93">
        <f t="shared" si="241"/>
        <v>18</v>
      </c>
      <c r="M823" s="183">
        <v>18</v>
      </c>
      <c r="N823" s="95">
        <f t="shared" si="236"/>
        <v>1160.82</v>
      </c>
      <c r="O823" s="95">
        <f t="shared" si="237"/>
        <v>1160.82</v>
      </c>
      <c r="P823" s="94">
        <f t="shared" si="238"/>
        <v>0</v>
      </c>
      <c r="Q823" s="95">
        <f t="shared" si="239"/>
        <v>0</v>
      </c>
      <c r="R823" s="96"/>
      <c r="S823" s="97">
        <f t="shared" si="240"/>
        <v>33</v>
      </c>
      <c r="T823" s="98">
        <f t="shared" si="235"/>
        <v>-15</v>
      </c>
      <c r="U823">
        <v>33</v>
      </c>
    </row>
    <row r="824" spans="2:31" ht="20.100000000000001" customHeight="1">
      <c r="B824" s="88">
        <v>8</v>
      </c>
      <c r="C824" s="89" t="s">
        <v>1892</v>
      </c>
      <c r="D824" s="90" t="s">
        <v>2077</v>
      </c>
      <c r="E824" s="91" t="s">
        <v>2078</v>
      </c>
      <c r="F824" s="315">
        <v>91.25</v>
      </c>
      <c r="G824" s="260"/>
      <c r="H824" s="260"/>
      <c r="I824" s="309"/>
      <c r="J824" s="199"/>
      <c r="K824" s="269"/>
      <c r="L824" s="93">
        <f t="shared" si="241"/>
        <v>0</v>
      </c>
      <c r="M824" s="183"/>
      <c r="N824" s="95">
        <f t="shared" si="236"/>
        <v>0</v>
      </c>
      <c r="O824" s="95">
        <f t="shared" si="237"/>
        <v>0</v>
      </c>
      <c r="P824" s="94">
        <f t="shared" si="238"/>
        <v>0</v>
      </c>
      <c r="Q824" s="95">
        <f t="shared" si="239"/>
        <v>0</v>
      </c>
      <c r="R824" s="96"/>
      <c r="S824" s="97">
        <f t="shared" si="240"/>
        <v>0</v>
      </c>
      <c r="T824" s="98">
        <f t="shared" ref="T824:T886" si="242">M824-S824</f>
        <v>0</v>
      </c>
    </row>
    <row r="825" spans="2:31" ht="20.100000000000001" customHeight="1">
      <c r="B825" s="88">
        <v>8</v>
      </c>
      <c r="C825" s="89" t="s">
        <v>1892</v>
      </c>
      <c r="D825" s="90" t="s">
        <v>2079</v>
      </c>
      <c r="E825" s="91" t="s">
        <v>2080</v>
      </c>
      <c r="F825" s="315">
        <v>15</v>
      </c>
      <c r="G825" s="260"/>
      <c r="H825" s="260"/>
      <c r="I825" s="309"/>
      <c r="J825" s="199"/>
      <c r="K825" s="269"/>
      <c r="L825" s="93">
        <f t="shared" si="241"/>
        <v>0</v>
      </c>
      <c r="M825" s="183"/>
      <c r="N825" s="95">
        <f t="shared" ref="N825:N887" si="243">F825*L825</f>
        <v>0</v>
      </c>
      <c r="O825" s="95">
        <f t="shared" ref="O825:O887" si="244">M825*F825</f>
        <v>0</v>
      </c>
      <c r="P825" s="94">
        <f t="shared" ref="P825:P887" si="245">L825-M825</f>
        <v>0</v>
      </c>
      <c r="Q825" s="95">
        <f t="shared" ref="Q825:Q887" si="246">N825-O825</f>
        <v>0</v>
      </c>
      <c r="R825" s="96"/>
      <c r="S825" s="97">
        <f t="shared" ref="S825:S887" si="247">U825+Y825+W825+AA825</f>
        <v>5</v>
      </c>
      <c r="T825" s="98">
        <f t="shared" si="242"/>
        <v>-5</v>
      </c>
      <c r="U825">
        <v>5</v>
      </c>
    </row>
    <row r="826" spans="2:31" ht="20.100000000000001" customHeight="1">
      <c r="B826" s="88">
        <v>8</v>
      </c>
      <c r="C826" s="89" t="s">
        <v>1892</v>
      </c>
      <c r="D826" s="90" t="s">
        <v>2081</v>
      </c>
      <c r="E826" s="91" t="s">
        <v>2082</v>
      </c>
      <c r="F826" s="315">
        <v>66.75</v>
      </c>
      <c r="G826" s="260">
        <v>22</v>
      </c>
      <c r="H826" s="260"/>
      <c r="I826" s="309"/>
      <c r="J826" s="199"/>
      <c r="K826" s="269"/>
      <c r="L826" s="93">
        <f t="shared" si="241"/>
        <v>22</v>
      </c>
      <c r="M826" s="183">
        <v>22</v>
      </c>
      <c r="N826" s="95">
        <f t="shared" si="243"/>
        <v>1468.5</v>
      </c>
      <c r="O826" s="95">
        <f t="shared" si="244"/>
        <v>1468.5</v>
      </c>
      <c r="P826" s="94">
        <f t="shared" si="245"/>
        <v>0</v>
      </c>
      <c r="Q826" s="95">
        <f t="shared" si="246"/>
        <v>0</v>
      </c>
      <c r="R826" s="102">
        <v>45930</v>
      </c>
      <c r="S826" s="97">
        <f t="shared" si="247"/>
        <v>22</v>
      </c>
      <c r="T826" s="98">
        <f t="shared" si="242"/>
        <v>0</v>
      </c>
      <c r="W826">
        <v>22</v>
      </c>
      <c r="X826" t="s">
        <v>555</v>
      </c>
      <c r="AD826">
        <f>W826</f>
        <v>22</v>
      </c>
      <c r="AE826" s="100">
        <f>AD826*F826</f>
        <v>1468.5</v>
      </c>
    </row>
    <row r="827" spans="2:31" ht="20.100000000000001" customHeight="1">
      <c r="B827" s="88">
        <v>8</v>
      </c>
      <c r="C827" s="89" t="s">
        <v>1892</v>
      </c>
      <c r="D827" s="90" t="s">
        <v>2083</v>
      </c>
      <c r="E827" s="91" t="s">
        <v>2084</v>
      </c>
      <c r="F827" s="315">
        <v>78.5</v>
      </c>
      <c r="G827" s="260">
        <v>17</v>
      </c>
      <c r="H827" s="260"/>
      <c r="I827" s="309"/>
      <c r="J827" s="199"/>
      <c r="K827" s="269"/>
      <c r="L827" s="93">
        <f t="shared" si="241"/>
        <v>17</v>
      </c>
      <c r="M827" s="183">
        <v>17</v>
      </c>
      <c r="N827" s="95">
        <f t="shared" si="243"/>
        <v>1334.5</v>
      </c>
      <c r="O827" s="95">
        <f t="shared" si="244"/>
        <v>1334.5</v>
      </c>
      <c r="P827" s="94">
        <f t="shared" si="245"/>
        <v>0</v>
      </c>
      <c r="Q827" s="95">
        <f t="shared" si="246"/>
        <v>0</v>
      </c>
      <c r="R827" s="102">
        <v>45886</v>
      </c>
      <c r="S827" s="97">
        <f t="shared" si="247"/>
        <v>17</v>
      </c>
      <c r="T827" s="98">
        <f t="shared" si="242"/>
        <v>0</v>
      </c>
      <c r="W827">
        <v>17</v>
      </c>
      <c r="X827" t="s">
        <v>555</v>
      </c>
      <c r="AD827">
        <f>W827</f>
        <v>17</v>
      </c>
      <c r="AE827" s="100">
        <f>AD827*F827</f>
        <v>1334.5</v>
      </c>
    </row>
    <row r="828" spans="2:31" ht="20.100000000000001" customHeight="1">
      <c r="B828" s="88">
        <v>8</v>
      </c>
      <c r="C828" s="89" t="s">
        <v>1892</v>
      </c>
      <c r="D828" s="90" t="s">
        <v>2085</v>
      </c>
      <c r="E828" s="91" t="s">
        <v>2086</v>
      </c>
      <c r="F828" s="315">
        <v>120</v>
      </c>
      <c r="G828" s="260"/>
      <c r="H828" s="260"/>
      <c r="I828" s="309"/>
      <c r="J828" s="199"/>
      <c r="K828" s="269"/>
      <c r="L828" s="93">
        <f t="shared" si="241"/>
        <v>0</v>
      </c>
      <c r="M828" s="183"/>
      <c r="N828" s="95">
        <f t="shared" si="243"/>
        <v>0</v>
      </c>
      <c r="O828" s="95">
        <f t="shared" si="244"/>
        <v>0</v>
      </c>
      <c r="P828" s="94">
        <f t="shared" si="245"/>
        <v>0</v>
      </c>
      <c r="Q828" s="95">
        <f t="shared" si="246"/>
        <v>0</v>
      </c>
      <c r="R828" s="96"/>
      <c r="S828" s="97">
        <f t="shared" si="247"/>
        <v>0</v>
      </c>
      <c r="T828" s="98">
        <f t="shared" si="242"/>
        <v>0</v>
      </c>
    </row>
    <row r="829" spans="2:31" ht="20.100000000000001" customHeight="1">
      <c r="B829" s="88">
        <v>8</v>
      </c>
      <c r="C829" s="89" t="s">
        <v>1892</v>
      </c>
      <c r="D829" s="90" t="s">
        <v>2087</v>
      </c>
      <c r="E829" s="91" t="s">
        <v>2088</v>
      </c>
      <c r="F829" s="315">
        <v>30.25</v>
      </c>
      <c r="G829" s="260"/>
      <c r="H829" s="260"/>
      <c r="I829" s="309"/>
      <c r="J829" s="199"/>
      <c r="K829" s="269"/>
      <c r="L829" s="93">
        <f t="shared" si="241"/>
        <v>0</v>
      </c>
      <c r="M829" s="183"/>
      <c r="N829" s="95">
        <f t="shared" si="243"/>
        <v>0</v>
      </c>
      <c r="O829" s="95">
        <f t="shared" si="244"/>
        <v>0</v>
      </c>
      <c r="P829" s="94">
        <f t="shared" si="245"/>
        <v>0</v>
      </c>
      <c r="Q829" s="95">
        <f t="shared" si="246"/>
        <v>0</v>
      </c>
      <c r="R829" s="96"/>
      <c r="S829" s="97">
        <f t="shared" si="247"/>
        <v>0</v>
      </c>
      <c r="T829" s="98">
        <f t="shared" si="242"/>
        <v>0</v>
      </c>
    </row>
    <row r="830" spans="2:31" ht="20.100000000000001" customHeight="1">
      <c r="B830" s="88">
        <v>8</v>
      </c>
      <c r="C830" s="89" t="s">
        <v>1892</v>
      </c>
      <c r="D830" s="90" t="s">
        <v>2089</v>
      </c>
      <c r="E830" s="91" t="s">
        <v>2090</v>
      </c>
      <c r="F830" s="315">
        <v>100</v>
      </c>
      <c r="G830" s="260"/>
      <c r="H830" s="260"/>
      <c r="I830" s="309"/>
      <c r="J830" s="199"/>
      <c r="K830" s="269"/>
      <c r="L830" s="93">
        <f t="shared" si="241"/>
        <v>0</v>
      </c>
      <c r="M830" s="183"/>
      <c r="N830" s="95">
        <f t="shared" si="243"/>
        <v>0</v>
      </c>
      <c r="O830" s="95">
        <f t="shared" si="244"/>
        <v>0</v>
      </c>
      <c r="P830" s="94">
        <f t="shared" si="245"/>
        <v>0</v>
      </c>
      <c r="Q830" s="95">
        <f t="shared" si="246"/>
        <v>0</v>
      </c>
      <c r="R830" s="96"/>
      <c r="S830" s="97">
        <f t="shared" si="247"/>
        <v>0</v>
      </c>
      <c r="T830" s="98">
        <f t="shared" si="242"/>
        <v>0</v>
      </c>
    </row>
    <row r="831" spans="2:31" ht="20.100000000000001" customHeight="1">
      <c r="B831" s="88">
        <v>8</v>
      </c>
      <c r="C831" s="89" t="s">
        <v>1892</v>
      </c>
      <c r="D831" s="90" t="s">
        <v>2091</v>
      </c>
      <c r="E831" s="91" t="s">
        <v>2092</v>
      </c>
      <c r="F831" s="315">
        <v>63.2</v>
      </c>
      <c r="G831" s="260">
        <v>10</v>
      </c>
      <c r="H831" s="260"/>
      <c r="I831" s="309"/>
      <c r="J831" s="199"/>
      <c r="K831" s="269">
        <v>1</v>
      </c>
      <c r="L831" s="93">
        <f t="shared" si="241"/>
        <v>9</v>
      </c>
      <c r="M831" s="183">
        <v>9</v>
      </c>
      <c r="N831" s="95">
        <f t="shared" si="243"/>
        <v>568.80000000000007</v>
      </c>
      <c r="O831" s="95">
        <f t="shared" si="244"/>
        <v>568.80000000000007</v>
      </c>
      <c r="P831" s="94">
        <f t="shared" si="245"/>
        <v>0</v>
      </c>
      <c r="Q831" s="95">
        <f t="shared" si="246"/>
        <v>0</v>
      </c>
      <c r="R831" s="96"/>
      <c r="S831" s="97">
        <f t="shared" si="247"/>
        <v>12</v>
      </c>
      <c r="T831" s="98">
        <f t="shared" si="242"/>
        <v>-3</v>
      </c>
      <c r="U831">
        <v>12</v>
      </c>
    </row>
    <row r="832" spans="2:31" ht="20.100000000000001" customHeight="1">
      <c r="B832" s="88">
        <v>8</v>
      </c>
      <c r="C832" s="89" t="s">
        <v>1892</v>
      </c>
      <c r="D832" s="90" t="s">
        <v>2093</v>
      </c>
      <c r="E832" s="91" t="s">
        <v>2094</v>
      </c>
      <c r="F832" s="315">
        <v>53.2</v>
      </c>
      <c r="G832" s="260">
        <v>12</v>
      </c>
      <c r="H832" s="260"/>
      <c r="I832" s="309"/>
      <c r="J832" s="199"/>
      <c r="K832" s="269">
        <v>7</v>
      </c>
      <c r="L832" s="93">
        <f t="shared" si="241"/>
        <v>5</v>
      </c>
      <c r="M832" s="183">
        <v>5</v>
      </c>
      <c r="N832" s="95">
        <f t="shared" si="243"/>
        <v>266</v>
      </c>
      <c r="O832" s="95">
        <f t="shared" si="244"/>
        <v>266</v>
      </c>
      <c r="P832" s="94">
        <f t="shared" si="245"/>
        <v>0</v>
      </c>
      <c r="Q832" s="95">
        <f t="shared" si="246"/>
        <v>0</v>
      </c>
      <c r="R832" s="96"/>
      <c r="S832" s="97">
        <f t="shared" si="247"/>
        <v>12</v>
      </c>
      <c r="T832" s="98">
        <f t="shared" si="242"/>
        <v>-7</v>
      </c>
      <c r="U832">
        <v>12</v>
      </c>
    </row>
    <row r="833" spans="2:31" ht="20.100000000000001" customHeight="1">
      <c r="B833" s="88">
        <v>8</v>
      </c>
      <c r="C833" s="89" t="s">
        <v>1892</v>
      </c>
      <c r="D833" s="90" t="s">
        <v>2095</v>
      </c>
      <c r="E833" s="91" t="s">
        <v>2096</v>
      </c>
      <c r="F833" s="315">
        <v>80</v>
      </c>
      <c r="G833" s="260"/>
      <c r="H833" s="260"/>
      <c r="I833" s="309"/>
      <c r="J833" s="199"/>
      <c r="K833" s="269"/>
      <c r="L833" s="93">
        <f t="shared" si="241"/>
        <v>0</v>
      </c>
      <c r="M833" s="183"/>
      <c r="N833" s="95">
        <f t="shared" si="243"/>
        <v>0</v>
      </c>
      <c r="O833" s="95">
        <f t="shared" si="244"/>
        <v>0</v>
      </c>
      <c r="P833" s="94">
        <f t="shared" si="245"/>
        <v>0</v>
      </c>
      <c r="Q833" s="95">
        <f t="shared" si="246"/>
        <v>0</v>
      </c>
      <c r="R833" s="96"/>
      <c r="S833" s="97">
        <f t="shared" si="247"/>
        <v>0</v>
      </c>
      <c r="T833" s="98">
        <f t="shared" si="242"/>
        <v>0</v>
      </c>
    </row>
    <row r="834" spans="2:31" ht="20.100000000000001" customHeight="1">
      <c r="B834" s="88">
        <v>8</v>
      </c>
      <c r="C834" s="89" t="s">
        <v>1892</v>
      </c>
      <c r="D834" s="90" t="s">
        <v>2097</v>
      </c>
      <c r="E834" s="91" t="s">
        <v>2098</v>
      </c>
      <c r="F834" s="315">
        <v>24.75</v>
      </c>
      <c r="G834" s="260">
        <v>13</v>
      </c>
      <c r="H834" s="260"/>
      <c r="I834" s="309"/>
      <c r="J834" s="199"/>
      <c r="K834" s="269"/>
      <c r="L834" s="93">
        <f t="shared" si="241"/>
        <v>13</v>
      </c>
      <c r="M834" s="183">
        <v>13</v>
      </c>
      <c r="N834" s="95">
        <f t="shared" si="243"/>
        <v>321.75</v>
      </c>
      <c r="O834" s="95">
        <f t="shared" si="244"/>
        <v>321.75</v>
      </c>
      <c r="P834" s="94">
        <f t="shared" si="245"/>
        <v>0</v>
      </c>
      <c r="Q834" s="95">
        <f t="shared" si="246"/>
        <v>0</v>
      </c>
      <c r="R834" s="102">
        <v>45023</v>
      </c>
      <c r="S834" s="97">
        <f t="shared" si="247"/>
        <v>13</v>
      </c>
      <c r="T834" s="98">
        <f t="shared" si="242"/>
        <v>0</v>
      </c>
      <c r="W834">
        <v>13</v>
      </c>
      <c r="X834" t="s">
        <v>957</v>
      </c>
      <c r="AD834">
        <f>W834</f>
        <v>13</v>
      </c>
      <c r="AE834" s="100">
        <f>AD834*F834</f>
        <v>321.75</v>
      </c>
    </row>
    <row r="835" spans="2:31" ht="20.100000000000001" customHeight="1">
      <c r="B835" s="88">
        <v>8</v>
      </c>
      <c r="C835" s="89" t="s">
        <v>1892</v>
      </c>
      <c r="D835" s="90" t="s">
        <v>2099</v>
      </c>
      <c r="E835" s="91" t="s">
        <v>2100</v>
      </c>
      <c r="F835" s="315">
        <v>199.95</v>
      </c>
      <c r="G835" s="260"/>
      <c r="H835" s="260"/>
      <c r="I835" s="309"/>
      <c r="J835" s="199"/>
      <c r="K835" s="269"/>
      <c r="L835" s="93">
        <f t="shared" si="241"/>
        <v>0</v>
      </c>
      <c r="M835" s="183"/>
      <c r="N835" s="95">
        <f t="shared" si="243"/>
        <v>0</v>
      </c>
      <c r="O835" s="95">
        <f t="shared" si="244"/>
        <v>0</v>
      </c>
      <c r="P835" s="94">
        <f t="shared" si="245"/>
        <v>0</v>
      </c>
      <c r="Q835" s="95">
        <f t="shared" si="246"/>
        <v>0</v>
      </c>
      <c r="R835" s="96"/>
      <c r="S835" s="97">
        <f t="shared" si="247"/>
        <v>0</v>
      </c>
      <c r="T835" s="98">
        <f t="shared" si="242"/>
        <v>0</v>
      </c>
    </row>
    <row r="836" spans="2:31" ht="20.100000000000001" customHeight="1">
      <c r="B836" s="88">
        <v>8</v>
      </c>
      <c r="C836" s="89" t="s">
        <v>1892</v>
      </c>
      <c r="D836" s="90" t="s">
        <v>2101</v>
      </c>
      <c r="E836" s="91" t="s">
        <v>2102</v>
      </c>
      <c r="F836" s="315">
        <v>10.25</v>
      </c>
      <c r="G836" s="260"/>
      <c r="H836" s="260"/>
      <c r="I836" s="309"/>
      <c r="J836" s="199"/>
      <c r="K836" s="269"/>
      <c r="L836" s="93">
        <f t="shared" si="241"/>
        <v>0</v>
      </c>
      <c r="M836" s="183"/>
      <c r="N836" s="95">
        <f t="shared" si="243"/>
        <v>0</v>
      </c>
      <c r="O836" s="95">
        <f t="shared" si="244"/>
        <v>0</v>
      </c>
      <c r="P836" s="94">
        <f t="shared" si="245"/>
        <v>0</v>
      </c>
      <c r="Q836" s="95">
        <f t="shared" si="246"/>
        <v>0</v>
      </c>
      <c r="R836" s="96"/>
      <c r="S836" s="97">
        <f t="shared" si="247"/>
        <v>0</v>
      </c>
      <c r="T836" s="98">
        <f t="shared" si="242"/>
        <v>0</v>
      </c>
    </row>
    <row r="837" spans="2:31" ht="20.100000000000001" customHeight="1">
      <c r="B837" s="88">
        <v>8</v>
      </c>
      <c r="C837" s="89" t="s">
        <v>1892</v>
      </c>
      <c r="D837" s="90" t="s">
        <v>2103</v>
      </c>
      <c r="E837" s="91" t="s">
        <v>2104</v>
      </c>
      <c r="F837" s="315">
        <v>68</v>
      </c>
      <c r="G837" s="260"/>
      <c r="H837" s="260"/>
      <c r="I837" s="309"/>
      <c r="J837" s="199"/>
      <c r="K837" s="269"/>
      <c r="L837" s="93">
        <f t="shared" si="241"/>
        <v>0</v>
      </c>
      <c r="M837" s="183"/>
      <c r="N837" s="95">
        <f t="shared" si="243"/>
        <v>0</v>
      </c>
      <c r="O837" s="95">
        <f t="shared" si="244"/>
        <v>0</v>
      </c>
      <c r="P837" s="94">
        <f t="shared" si="245"/>
        <v>0</v>
      </c>
      <c r="Q837" s="95">
        <f t="shared" si="246"/>
        <v>0</v>
      </c>
      <c r="R837" s="96"/>
      <c r="S837" s="97">
        <f t="shared" si="247"/>
        <v>0</v>
      </c>
      <c r="T837" s="98">
        <f t="shared" si="242"/>
        <v>0</v>
      </c>
    </row>
    <row r="838" spans="2:31" ht="20.100000000000001" customHeight="1">
      <c r="B838" s="88">
        <v>8</v>
      </c>
      <c r="C838" s="89" t="s">
        <v>1892</v>
      </c>
      <c r="D838" s="90" t="s">
        <v>2105</v>
      </c>
      <c r="E838" s="91" t="s">
        <v>2106</v>
      </c>
      <c r="F838" s="315">
        <v>17.5</v>
      </c>
      <c r="G838" s="260">
        <v>1</v>
      </c>
      <c r="H838" s="260"/>
      <c r="I838" s="309"/>
      <c r="J838" s="199"/>
      <c r="K838" s="269"/>
      <c r="L838" s="93">
        <f t="shared" si="241"/>
        <v>1</v>
      </c>
      <c r="M838" s="183">
        <v>1</v>
      </c>
      <c r="N838" s="95">
        <f t="shared" si="243"/>
        <v>17.5</v>
      </c>
      <c r="O838" s="95">
        <f t="shared" si="244"/>
        <v>17.5</v>
      </c>
      <c r="P838" s="94">
        <f t="shared" si="245"/>
        <v>0</v>
      </c>
      <c r="Q838" s="95">
        <f t="shared" si="246"/>
        <v>0</v>
      </c>
      <c r="R838" s="96" t="s">
        <v>2107</v>
      </c>
      <c r="S838" s="97">
        <f t="shared" si="247"/>
        <v>1</v>
      </c>
      <c r="T838" s="98">
        <f t="shared" si="242"/>
        <v>0</v>
      </c>
      <c r="W838">
        <v>1</v>
      </c>
      <c r="X838" t="s">
        <v>555</v>
      </c>
      <c r="AD838">
        <f>W838</f>
        <v>1</v>
      </c>
      <c r="AE838" s="100">
        <f>AD838*F838</f>
        <v>17.5</v>
      </c>
    </row>
    <row r="839" spans="2:31" ht="20.100000000000001" customHeight="1">
      <c r="B839" s="88">
        <v>8</v>
      </c>
      <c r="C839" s="89" t="s">
        <v>1892</v>
      </c>
      <c r="D839" s="90" t="s">
        <v>2108</v>
      </c>
      <c r="E839" s="91" t="s">
        <v>2109</v>
      </c>
      <c r="F839" s="315">
        <v>26</v>
      </c>
      <c r="G839" s="260">
        <v>1</v>
      </c>
      <c r="H839" s="260">
        <v>4</v>
      </c>
      <c r="I839" s="309"/>
      <c r="J839" s="199"/>
      <c r="K839" s="269">
        <v>4</v>
      </c>
      <c r="L839" s="93">
        <f t="shared" si="241"/>
        <v>1</v>
      </c>
      <c r="M839" s="183"/>
      <c r="N839" s="95">
        <f t="shared" si="243"/>
        <v>26</v>
      </c>
      <c r="O839" s="95">
        <f t="shared" si="244"/>
        <v>0</v>
      </c>
      <c r="P839" s="94">
        <f t="shared" si="245"/>
        <v>1</v>
      </c>
      <c r="Q839" s="95">
        <f t="shared" si="246"/>
        <v>26</v>
      </c>
      <c r="R839" s="96"/>
      <c r="S839" s="97">
        <f t="shared" si="247"/>
        <v>2</v>
      </c>
      <c r="T839" s="98">
        <f t="shared" si="242"/>
        <v>-2</v>
      </c>
      <c r="U839">
        <v>2</v>
      </c>
    </row>
    <row r="840" spans="2:31" ht="20.100000000000001" customHeight="1">
      <c r="B840" s="88">
        <v>8</v>
      </c>
      <c r="C840" s="89" t="s">
        <v>1892</v>
      </c>
      <c r="D840" s="90" t="s">
        <v>2108</v>
      </c>
      <c r="E840" s="91" t="s">
        <v>2109</v>
      </c>
      <c r="F840" s="315">
        <v>26</v>
      </c>
      <c r="G840" s="260"/>
      <c r="H840" s="260"/>
      <c r="I840" s="309"/>
      <c r="J840" s="199"/>
      <c r="K840" s="269"/>
      <c r="L840" s="93">
        <f t="shared" si="241"/>
        <v>0</v>
      </c>
      <c r="M840" s="183"/>
      <c r="N840" s="95">
        <f t="shared" si="243"/>
        <v>0</v>
      </c>
      <c r="O840" s="95">
        <f t="shared" si="244"/>
        <v>0</v>
      </c>
      <c r="P840" s="94">
        <f t="shared" si="245"/>
        <v>0</v>
      </c>
      <c r="Q840" s="95">
        <f t="shared" si="246"/>
        <v>0</v>
      </c>
      <c r="R840" s="96"/>
      <c r="S840" s="97">
        <f t="shared" si="247"/>
        <v>0</v>
      </c>
      <c r="T840" s="98">
        <f t="shared" si="242"/>
        <v>0</v>
      </c>
    </row>
    <row r="841" spans="2:31" ht="20.100000000000001" customHeight="1">
      <c r="B841" s="88">
        <v>8</v>
      </c>
      <c r="C841" s="89" t="s">
        <v>1892</v>
      </c>
      <c r="D841" s="90" t="s">
        <v>2110</v>
      </c>
      <c r="E841" s="91" t="s">
        <v>2111</v>
      </c>
      <c r="F841" s="315">
        <v>228</v>
      </c>
      <c r="G841" s="260"/>
      <c r="H841" s="260"/>
      <c r="I841" s="309"/>
      <c r="J841" s="199"/>
      <c r="K841" s="269"/>
      <c r="L841" s="93">
        <f t="shared" si="241"/>
        <v>0</v>
      </c>
      <c r="M841" s="183"/>
      <c r="N841" s="95">
        <f t="shared" si="243"/>
        <v>0</v>
      </c>
      <c r="O841" s="95">
        <f t="shared" si="244"/>
        <v>0</v>
      </c>
      <c r="P841" s="94">
        <f t="shared" si="245"/>
        <v>0</v>
      </c>
      <c r="Q841" s="95">
        <f t="shared" si="246"/>
        <v>0</v>
      </c>
      <c r="R841" s="96"/>
      <c r="S841" s="97">
        <f t="shared" si="247"/>
        <v>2</v>
      </c>
      <c r="T841" s="98">
        <f t="shared" si="242"/>
        <v>-2</v>
      </c>
      <c r="U841">
        <v>2</v>
      </c>
    </row>
    <row r="842" spans="2:31" ht="20.100000000000001" customHeight="1">
      <c r="B842" s="88">
        <v>8</v>
      </c>
      <c r="C842" s="89" t="s">
        <v>1892</v>
      </c>
      <c r="D842" s="90" t="s">
        <v>2112</v>
      </c>
      <c r="E842" s="91" t="s">
        <v>2113</v>
      </c>
      <c r="F842" s="315">
        <v>135.25</v>
      </c>
      <c r="G842" s="260">
        <v>5</v>
      </c>
      <c r="H842" s="260"/>
      <c r="I842" s="309"/>
      <c r="J842" s="199"/>
      <c r="K842" s="269">
        <v>4</v>
      </c>
      <c r="L842" s="93">
        <f t="shared" si="241"/>
        <v>1</v>
      </c>
      <c r="M842" s="183">
        <v>1</v>
      </c>
      <c r="N842" s="95">
        <f t="shared" si="243"/>
        <v>135.25</v>
      </c>
      <c r="O842" s="95">
        <f t="shared" si="244"/>
        <v>135.25</v>
      </c>
      <c r="P842" s="94">
        <f t="shared" si="245"/>
        <v>0</v>
      </c>
      <c r="Q842" s="95">
        <f t="shared" si="246"/>
        <v>0</v>
      </c>
      <c r="R842" s="96"/>
      <c r="S842" s="97">
        <f t="shared" si="247"/>
        <v>6</v>
      </c>
      <c r="T842" s="98">
        <f t="shared" si="242"/>
        <v>-5</v>
      </c>
      <c r="U842">
        <v>6</v>
      </c>
    </row>
    <row r="843" spans="2:31" ht="20.100000000000001" customHeight="1">
      <c r="B843" s="88">
        <v>8</v>
      </c>
      <c r="C843" s="89" t="s">
        <v>1892</v>
      </c>
      <c r="D843" s="90" t="s">
        <v>2114</v>
      </c>
      <c r="E843" s="91" t="s">
        <v>2115</v>
      </c>
      <c r="F843" s="315">
        <v>42.75</v>
      </c>
      <c r="G843" s="260"/>
      <c r="H843" s="260"/>
      <c r="I843" s="309"/>
      <c r="J843" s="199"/>
      <c r="K843" s="269"/>
      <c r="L843" s="93">
        <f t="shared" si="241"/>
        <v>0</v>
      </c>
      <c r="M843" s="183"/>
      <c r="N843" s="95">
        <f t="shared" si="243"/>
        <v>0</v>
      </c>
      <c r="O843" s="95">
        <f t="shared" si="244"/>
        <v>0</v>
      </c>
      <c r="P843" s="94">
        <f t="shared" si="245"/>
        <v>0</v>
      </c>
      <c r="Q843" s="95">
        <f t="shared" si="246"/>
        <v>0</v>
      </c>
      <c r="R843" s="96"/>
      <c r="S843" s="97">
        <f t="shared" si="247"/>
        <v>14</v>
      </c>
      <c r="T843" s="98">
        <f t="shared" si="242"/>
        <v>-14</v>
      </c>
      <c r="U843">
        <v>14</v>
      </c>
    </row>
    <row r="844" spans="2:31" ht="20.100000000000001" customHeight="1">
      <c r="B844" s="88">
        <v>8</v>
      </c>
      <c r="C844" s="89" t="s">
        <v>1892</v>
      </c>
      <c r="D844" s="90" t="s">
        <v>2116</v>
      </c>
      <c r="E844" s="91" t="s">
        <v>2117</v>
      </c>
      <c r="F844" s="315">
        <v>1638</v>
      </c>
      <c r="G844" s="260"/>
      <c r="H844" s="260"/>
      <c r="I844" s="309"/>
      <c r="J844" s="199"/>
      <c r="K844" s="269"/>
      <c r="L844" s="93">
        <f t="shared" si="241"/>
        <v>0</v>
      </c>
      <c r="M844" s="183"/>
      <c r="N844" s="95">
        <f t="shared" si="243"/>
        <v>0</v>
      </c>
      <c r="O844" s="95">
        <f t="shared" si="244"/>
        <v>0</v>
      </c>
      <c r="P844" s="94">
        <f t="shared" si="245"/>
        <v>0</v>
      </c>
      <c r="Q844" s="95">
        <f t="shared" si="246"/>
        <v>0</v>
      </c>
      <c r="R844" s="96"/>
      <c r="S844" s="97">
        <f t="shared" si="247"/>
        <v>0</v>
      </c>
      <c r="T844" s="98">
        <f t="shared" si="242"/>
        <v>0</v>
      </c>
    </row>
    <row r="845" spans="2:31" ht="20.100000000000001" customHeight="1">
      <c r="B845" s="88">
        <v>8</v>
      </c>
      <c r="C845" s="89" t="s">
        <v>1892</v>
      </c>
      <c r="D845" s="90" t="s">
        <v>2116</v>
      </c>
      <c r="E845" s="91" t="s">
        <v>2117</v>
      </c>
      <c r="F845" s="315">
        <v>1638</v>
      </c>
      <c r="G845" s="260"/>
      <c r="H845" s="260"/>
      <c r="I845" s="309"/>
      <c r="J845" s="199"/>
      <c r="K845" s="269"/>
      <c r="L845" s="93">
        <f t="shared" si="241"/>
        <v>0</v>
      </c>
      <c r="M845" s="183"/>
      <c r="N845" s="95">
        <f t="shared" si="243"/>
        <v>0</v>
      </c>
      <c r="O845" s="95">
        <f t="shared" si="244"/>
        <v>0</v>
      </c>
      <c r="P845" s="94">
        <f t="shared" si="245"/>
        <v>0</v>
      </c>
      <c r="Q845" s="95">
        <f t="shared" si="246"/>
        <v>0</v>
      </c>
      <c r="R845" s="96"/>
      <c r="S845" s="97">
        <f t="shared" si="247"/>
        <v>0</v>
      </c>
      <c r="T845" s="98">
        <f t="shared" si="242"/>
        <v>0</v>
      </c>
    </row>
    <row r="846" spans="2:31" ht="20.100000000000001" customHeight="1">
      <c r="B846" s="88">
        <v>8</v>
      </c>
      <c r="C846" s="89" t="s">
        <v>1892</v>
      </c>
      <c r="D846" s="90" t="s">
        <v>2116</v>
      </c>
      <c r="E846" s="91" t="s">
        <v>2117</v>
      </c>
      <c r="F846" s="315">
        <v>1638</v>
      </c>
      <c r="G846" s="260"/>
      <c r="H846" s="260"/>
      <c r="I846" s="309"/>
      <c r="J846" s="199"/>
      <c r="K846" s="269"/>
      <c r="L846" s="93">
        <f t="shared" si="241"/>
        <v>0</v>
      </c>
      <c r="M846" s="183"/>
      <c r="N846" s="95">
        <f t="shared" si="243"/>
        <v>0</v>
      </c>
      <c r="O846" s="95">
        <f t="shared" si="244"/>
        <v>0</v>
      </c>
      <c r="P846" s="94">
        <f t="shared" si="245"/>
        <v>0</v>
      </c>
      <c r="Q846" s="95">
        <f t="shared" si="246"/>
        <v>0</v>
      </c>
      <c r="R846" s="96"/>
      <c r="S846" s="97">
        <f t="shared" si="247"/>
        <v>0</v>
      </c>
      <c r="T846" s="98">
        <f t="shared" si="242"/>
        <v>0</v>
      </c>
    </row>
    <row r="847" spans="2:31" ht="20.100000000000001" customHeight="1">
      <c r="B847" s="88">
        <v>8</v>
      </c>
      <c r="C847" s="89" t="s">
        <v>1892</v>
      </c>
      <c r="D847" s="90" t="s">
        <v>2116</v>
      </c>
      <c r="E847" s="91" t="s">
        <v>2117</v>
      </c>
      <c r="F847" s="315">
        <v>1638</v>
      </c>
      <c r="G847" s="260"/>
      <c r="H847" s="260"/>
      <c r="I847" s="309"/>
      <c r="J847" s="199"/>
      <c r="K847" s="269"/>
      <c r="L847" s="93">
        <f t="shared" si="241"/>
        <v>0</v>
      </c>
      <c r="M847" s="183"/>
      <c r="N847" s="95">
        <f t="shared" si="243"/>
        <v>0</v>
      </c>
      <c r="O847" s="95">
        <f t="shared" si="244"/>
        <v>0</v>
      </c>
      <c r="P847" s="94">
        <f t="shared" si="245"/>
        <v>0</v>
      </c>
      <c r="Q847" s="95">
        <f t="shared" si="246"/>
        <v>0</v>
      </c>
      <c r="R847" s="96"/>
      <c r="S847" s="97">
        <f t="shared" si="247"/>
        <v>0</v>
      </c>
      <c r="T847" s="98">
        <f t="shared" si="242"/>
        <v>0</v>
      </c>
    </row>
    <row r="848" spans="2:31" ht="20.100000000000001" customHeight="1">
      <c r="B848" s="88">
        <v>8</v>
      </c>
      <c r="C848" s="89" t="s">
        <v>1892</v>
      </c>
      <c r="D848" s="90" t="s">
        <v>2118</v>
      </c>
      <c r="E848" s="91" t="s">
        <v>2119</v>
      </c>
      <c r="F848" s="315">
        <v>31.5</v>
      </c>
      <c r="G848" s="260">
        <v>25</v>
      </c>
      <c r="H848" s="260"/>
      <c r="I848" s="309"/>
      <c r="J848" s="199"/>
      <c r="K848" s="269">
        <v>2</v>
      </c>
      <c r="L848" s="93">
        <f t="shared" si="241"/>
        <v>23</v>
      </c>
      <c r="M848" s="183">
        <v>23</v>
      </c>
      <c r="N848" s="95">
        <f t="shared" si="243"/>
        <v>724.5</v>
      </c>
      <c r="O848" s="95">
        <f t="shared" si="244"/>
        <v>724.5</v>
      </c>
      <c r="P848" s="94">
        <f t="shared" si="245"/>
        <v>0</v>
      </c>
      <c r="Q848" s="95">
        <f t="shared" si="246"/>
        <v>0</v>
      </c>
      <c r="R848" s="96"/>
      <c r="S848" s="97">
        <f t="shared" si="247"/>
        <v>12</v>
      </c>
      <c r="T848" s="98">
        <f t="shared" si="242"/>
        <v>11</v>
      </c>
      <c r="U848">
        <v>12</v>
      </c>
    </row>
    <row r="849" spans="2:31" ht="20.100000000000001" customHeight="1">
      <c r="B849" s="88">
        <v>8</v>
      </c>
      <c r="C849" s="89" t="s">
        <v>1892</v>
      </c>
      <c r="D849" s="90" t="s">
        <v>2120</v>
      </c>
      <c r="E849" s="91" t="s">
        <v>2121</v>
      </c>
      <c r="F849" s="315">
        <v>61</v>
      </c>
      <c r="G849" s="260"/>
      <c r="H849" s="260"/>
      <c r="I849" s="309"/>
      <c r="J849" s="199"/>
      <c r="K849" s="269"/>
      <c r="L849" s="93">
        <f t="shared" si="241"/>
        <v>0</v>
      </c>
      <c r="M849" s="183"/>
      <c r="N849" s="95">
        <f t="shared" si="243"/>
        <v>0</v>
      </c>
      <c r="O849" s="95">
        <f t="shared" si="244"/>
        <v>0</v>
      </c>
      <c r="P849" s="94">
        <f t="shared" si="245"/>
        <v>0</v>
      </c>
      <c r="Q849" s="95">
        <f t="shared" si="246"/>
        <v>0</v>
      </c>
      <c r="R849" s="96"/>
      <c r="S849" s="97">
        <f t="shared" si="247"/>
        <v>0</v>
      </c>
      <c r="T849" s="98">
        <f t="shared" si="242"/>
        <v>0</v>
      </c>
    </row>
    <row r="850" spans="2:31" ht="20.100000000000001" customHeight="1">
      <c r="B850" s="88">
        <v>8</v>
      </c>
      <c r="C850" s="89" t="s">
        <v>1892</v>
      </c>
      <c r="D850" s="90" t="s">
        <v>2122</v>
      </c>
      <c r="E850" s="91" t="s">
        <v>2123</v>
      </c>
      <c r="F850" s="315">
        <v>3250</v>
      </c>
      <c r="G850" s="260"/>
      <c r="H850" s="260"/>
      <c r="I850" s="309"/>
      <c r="J850" s="199"/>
      <c r="K850" s="269"/>
      <c r="L850" s="93">
        <f t="shared" si="241"/>
        <v>0</v>
      </c>
      <c r="M850" s="183"/>
      <c r="N850" s="95">
        <f t="shared" si="243"/>
        <v>0</v>
      </c>
      <c r="O850" s="95">
        <f t="shared" si="244"/>
        <v>0</v>
      </c>
      <c r="P850" s="94">
        <f t="shared" si="245"/>
        <v>0</v>
      </c>
      <c r="Q850" s="95">
        <f t="shared" si="246"/>
        <v>0</v>
      </c>
      <c r="R850" s="96"/>
      <c r="S850" s="97">
        <f t="shared" si="247"/>
        <v>0</v>
      </c>
      <c r="T850" s="98">
        <f t="shared" si="242"/>
        <v>0</v>
      </c>
    </row>
    <row r="851" spans="2:31" ht="20.100000000000001" customHeight="1">
      <c r="B851" s="88">
        <v>8</v>
      </c>
      <c r="C851" s="89" t="s">
        <v>1892</v>
      </c>
      <c r="D851" s="90" t="s">
        <v>2124</v>
      </c>
      <c r="E851" s="91" t="s">
        <v>2125</v>
      </c>
      <c r="F851" s="315">
        <v>20.88</v>
      </c>
      <c r="G851" s="260"/>
      <c r="H851" s="260">
        <v>37</v>
      </c>
      <c r="I851" s="309"/>
      <c r="J851" s="199"/>
      <c r="K851" s="269">
        <v>7</v>
      </c>
      <c r="L851" s="93">
        <f t="shared" si="241"/>
        <v>30</v>
      </c>
      <c r="M851" s="183">
        <v>30</v>
      </c>
      <c r="N851" s="95">
        <f t="shared" si="243"/>
        <v>626.4</v>
      </c>
      <c r="O851" s="95">
        <f t="shared" si="244"/>
        <v>626.4</v>
      </c>
      <c r="P851" s="94">
        <f t="shared" si="245"/>
        <v>0</v>
      </c>
      <c r="Q851" s="95">
        <f t="shared" si="246"/>
        <v>0</v>
      </c>
      <c r="R851" s="96"/>
      <c r="S851" s="97">
        <f t="shared" si="247"/>
        <v>0</v>
      </c>
      <c r="T851" s="98">
        <f t="shared" si="242"/>
        <v>30</v>
      </c>
    </row>
    <row r="852" spans="2:31" ht="20.100000000000001" customHeight="1">
      <c r="B852" s="88">
        <v>8</v>
      </c>
      <c r="C852" s="89" t="s">
        <v>1892</v>
      </c>
      <c r="D852" s="90" t="s">
        <v>2126</v>
      </c>
      <c r="E852" s="91" t="s">
        <v>2127</v>
      </c>
      <c r="F852" s="315">
        <v>17.899999999999999</v>
      </c>
      <c r="G852" s="260"/>
      <c r="H852" s="260"/>
      <c r="I852" s="309"/>
      <c r="J852" s="199"/>
      <c r="K852" s="269"/>
      <c r="L852" s="93">
        <f t="shared" si="241"/>
        <v>0</v>
      </c>
      <c r="M852" s="183"/>
      <c r="N852" s="95">
        <f t="shared" si="243"/>
        <v>0</v>
      </c>
      <c r="O852" s="95">
        <f t="shared" si="244"/>
        <v>0</v>
      </c>
      <c r="P852" s="94">
        <f t="shared" si="245"/>
        <v>0</v>
      </c>
      <c r="Q852" s="95">
        <f t="shared" si="246"/>
        <v>0</v>
      </c>
      <c r="R852" s="96"/>
      <c r="S852" s="97">
        <f t="shared" si="247"/>
        <v>0</v>
      </c>
      <c r="T852" s="98">
        <f t="shared" si="242"/>
        <v>0</v>
      </c>
    </row>
    <row r="853" spans="2:31" ht="20.100000000000001" customHeight="1">
      <c r="B853" s="88">
        <v>8</v>
      </c>
      <c r="C853" s="89" t="s">
        <v>1892</v>
      </c>
      <c r="D853" s="90" t="s">
        <v>2126</v>
      </c>
      <c r="E853" s="91" t="s">
        <v>2127</v>
      </c>
      <c r="F853" s="315">
        <v>17.899999999999999</v>
      </c>
      <c r="G853" s="260">
        <v>33</v>
      </c>
      <c r="H853" s="260"/>
      <c r="I853" s="309"/>
      <c r="J853" s="199"/>
      <c r="K853" s="269">
        <v>8</v>
      </c>
      <c r="L853" s="93">
        <f t="shared" si="241"/>
        <v>25</v>
      </c>
      <c r="M853" s="183">
        <v>25</v>
      </c>
      <c r="N853" s="95">
        <f t="shared" si="243"/>
        <v>447.49999999999994</v>
      </c>
      <c r="O853" s="95">
        <f t="shared" si="244"/>
        <v>447.49999999999994</v>
      </c>
      <c r="P853" s="94">
        <f t="shared" si="245"/>
        <v>0</v>
      </c>
      <c r="Q853" s="95">
        <f t="shared" si="246"/>
        <v>0</v>
      </c>
      <c r="R853" s="96"/>
      <c r="S853" s="97">
        <f t="shared" si="247"/>
        <v>39</v>
      </c>
      <c r="T853" s="98">
        <f t="shared" si="242"/>
        <v>-14</v>
      </c>
      <c r="U853">
        <v>39</v>
      </c>
    </row>
    <row r="854" spans="2:31" ht="20.100000000000001" customHeight="1">
      <c r="B854" s="88">
        <v>8</v>
      </c>
      <c r="C854" s="89" t="s">
        <v>1892</v>
      </c>
      <c r="D854" s="90" t="s">
        <v>2128</v>
      </c>
      <c r="E854" s="91" t="s">
        <v>2129</v>
      </c>
      <c r="F854" s="315">
        <v>3050</v>
      </c>
      <c r="G854" s="260"/>
      <c r="H854" s="260"/>
      <c r="I854" s="309"/>
      <c r="J854" s="199"/>
      <c r="K854" s="269"/>
      <c r="L854" s="93">
        <f t="shared" si="241"/>
        <v>0</v>
      </c>
      <c r="M854" s="183"/>
      <c r="N854" s="95">
        <f t="shared" si="243"/>
        <v>0</v>
      </c>
      <c r="O854" s="95">
        <f t="shared" si="244"/>
        <v>0</v>
      </c>
      <c r="P854" s="94">
        <f t="shared" si="245"/>
        <v>0</v>
      </c>
      <c r="Q854" s="95">
        <f t="shared" si="246"/>
        <v>0</v>
      </c>
      <c r="R854" s="96"/>
      <c r="S854" s="97">
        <f t="shared" si="247"/>
        <v>0</v>
      </c>
      <c r="T854" s="98">
        <f t="shared" si="242"/>
        <v>0</v>
      </c>
    </row>
    <row r="855" spans="2:31" ht="20.100000000000001" customHeight="1">
      <c r="B855" s="88">
        <v>9</v>
      </c>
      <c r="C855" s="89" t="s">
        <v>2130</v>
      </c>
      <c r="D855" s="90" t="s">
        <v>2131</v>
      </c>
      <c r="E855" s="91" t="s">
        <v>2132</v>
      </c>
      <c r="F855" s="315">
        <v>75</v>
      </c>
      <c r="G855" s="260">
        <v>32</v>
      </c>
      <c r="H855" s="260"/>
      <c r="I855" s="309"/>
      <c r="J855" s="199"/>
      <c r="K855" s="269"/>
      <c r="L855" s="93">
        <f t="shared" si="241"/>
        <v>32</v>
      </c>
      <c r="M855" s="183">
        <v>32</v>
      </c>
      <c r="N855" s="95">
        <f t="shared" si="243"/>
        <v>2400</v>
      </c>
      <c r="O855" s="95">
        <f t="shared" si="244"/>
        <v>2400</v>
      </c>
      <c r="P855" s="94">
        <f t="shared" si="245"/>
        <v>0</v>
      </c>
      <c r="Q855" s="95">
        <f t="shared" si="246"/>
        <v>0</v>
      </c>
      <c r="R855" s="96" t="s">
        <v>2133</v>
      </c>
      <c r="S855" s="97">
        <f t="shared" si="247"/>
        <v>32</v>
      </c>
      <c r="T855" s="98">
        <f t="shared" si="242"/>
        <v>0</v>
      </c>
      <c r="U855">
        <v>32</v>
      </c>
      <c r="V855" s="99" t="s">
        <v>479</v>
      </c>
      <c r="AD855" s="18">
        <f>M855</f>
        <v>32</v>
      </c>
      <c r="AE855" s="100">
        <f>AD855*F855</f>
        <v>2400</v>
      </c>
    </row>
    <row r="856" spans="2:31" ht="20.100000000000001" customHeight="1">
      <c r="B856" s="88">
        <v>9</v>
      </c>
      <c r="C856" s="89" t="s">
        <v>2130</v>
      </c>
      <c r="D856" s="90" t="s">
        <v>2134</v>
      </c>
      <c r="E856" s="91" t="s">
        <v>2135</v>
      </c>
      <c r="F856" s="315">
        <v>88</v>
      </c>
      <c r="G856" s="260">
        <v>5</v>
      </c>
      <c r="H856" s="260"/>
      <c r="I856" s="309"/>
      <c r="J856" s="199"/>
      <c r="K856" s="269"/>
      <c r="L856" s="93">
        <f t="shared" si="241"/>
        <v>5</v>
      </c>
      <c r="M856" s="183">
        <v>5</v>
      </c>
      <c r="N856" s="95">
        <f t="shared" si="243"/>
        <v>440</v>
      </c>
      <c r="O856" s="95">
        <f t="shared" si="244"/>
        <v>440</v>
      </c>
      <c r="P856" s="94">
        <f t="shared" si="245"/>
        <v>0</v>
      </c>
      <c r="Q856" s="95">
        <f t="shared" si="246"/>
        <v>0</v>
      </c>
      <c r="R856" s="96"/>
      <c r="S856" s="97">
        <f t="shared" si="247"/>
        <v>6</v>
      </c>
      <c r="T856" s="98">
        <f t="shared" si="242"/>
        <v>-1</v>
      </c>
      <c r="U856">
        <v>6</v>
      </c>
    </row>
    <row r="857" spans="2:31" ht="20.100000000000001" customHeight="1">
      <c r="B857" s="88">
        <v>9</v>
      </c>
      <c r="C857" s="89" t="s">
        <v>2130</v>
      </c>
      <c r="D857" s="90" t="s">
        <v>2134</v>
      </c>
      <c r="E857" s="91" t="s">
        <v>2135</v>
      </c>
      <c r="F857" s="315">
        <v>88</v>
      </c>
      <c r="G857" s="260"/>
      <c r="H857" s="260"/>
      <c r="I857" s="309"/>
      <c r="J857" s="199"/>
      <c r="K857" s="269"/>
      <c r="L857" s="93">
        <f t="shared" si="241"/>
        <v>0</v>
      </c>
      <c r="M857" s="183"/>
      <c r="N857" s="95">
        <f t="shared" si="243"/>
        <v>0</v>
      </c>
      <c r="O857" s="95">
        <f t="shared" si="244"/>
        <v>0</v>
      </c>
      <c r="P857" s="94">
        <f t="shared" si="245"/>
        <v>0</v>
      </c>
      <c r="Q857" s="95">
        <f t="shared" si="246"/>
        <v>0</v>
      </c>
      <c r="R857" s="96"/>
      <c r="S857" s="97">
        <f t="shared" si="247"/>
        <v>0</v>
      </c>
      <c r="T857" s="98">
        <f t="shared" si="242"/>
        <v>0</v>
      </c>
    </row>
    <row r="858" spans="2:31" ht="20.100000000000001" customHeight="1">
      <c r="B858" s="88">
        <v>9</v>
      </c>
      <c r="C858" s="89" t="s">
        <v>2130</v>
      </c>
      <c r="D858" s="90" t="s">
        <v>2136</v>
      </c>
      <c r="E858" s="91" t="s">
        <v>2137</v>
      </c>
      <c r="F858" s="315">
        <v>4.96</v>
      </c>
      <c r="G858" s="260">
        <v>4</v>
      </c>
      <c r="H858" s="260"/>
      <c r="I858" s="309"/>
      <c r="J858" s="199"/>
      <c r="K858" s="269"/>
      <c r="L858" s="93">
        <f t="shared" si="241"/>
        <v>4</v>
      </c>
      <c r="M858" s="183">
        <v>4</v>
      </c>
      <c r="N858" s="95">
        <f t="shared" si="243"/>
        <v>19.84</v>
      </c>
      <c r="O858" s="95">
        <f t="shared" si="244"/>
        <v>19.84</v>
      </c>
      <c r="P858" s="94">
        <f t="shared" si="245"/>
        <v>0</v>
      </c>
      <c r="Q858" s="95">
        <f t="shared" si="246"/>
        <v>0</v>
      </c>
      <c r="R858" s="96" t="s">
        <v>2133</v>
      </c>
      <c r="S858" s="97">
        <f t="shared" si="247"/>
        <v>4</v>
      </c>
      <c r="T858" s="98">
        <f t="shared" si="242"/>
        <v>0</v>
      </c>
      <c r="U858">
        <v>4</v>
      </c>
      <c r="V858" s="99" t="s">
        <v>479</v>
      </c>
      <c r="AD858" s="18">
        <f>M858</f>
        <v>4</v>
      </c>
      <c r="AE858">
        <f>AD858*F858</f>
        <v>19.84</v>
      </c>
    </row>
    <row r="859" spans="2:31" ht="20.100000000000001" customHeight="1">
      <c r="B859" s="88">
        <v>9</v>
      </c>
      <c r="C859" s="89" t="s">
        <v>2130</v>
      </c>
      <c r="D859" s="90" t="s">
        <v>2138</v>
      </c>
      <c r="E859" s="91" t="s">
        <v>2139</v>
      </c>
      <c r="F859" s="315">
        <v>54</v>
      </c>
      <c r="G859" s="260">
        <v>6</v>
      </c>
      <c r="H859" s="260"/>
      <c r="I859" s="309"/>
      <c r="J859" s="199"/>
      <c r="K859" s="269"/>
      <c r="L859" s="93">
        <f t="shared" si="241"/>
        <v>6</v>
      </c>
      <c r="M859" s="183">
        <v>6</v>
      </c>
      <c r="N859" s="95">
        <f t="shared" si="243"/>
        <v>324</v>
      </c>
      <c r="O859" s="95">
        <f t="shared" si="244"/>
        <v>324</v>
      </c>
      <c r="P859" s="94">
        <f t="shared" si="245"/>
        <v>0</v>
      </c>
      <c r="Q859" s="95">
        <f t="shared" si="246"/>
        <v>0</v>
      </c>
      <c r="R859" s="96"/>
      <c r="S859" s="97">
        <f t="shared" si="247"/>
        <v>6</v>
      </c>
      <c r="T859" s="98">
        <f t="shared" si="242"/>
        <v>0</v>
      </c>
      <c r="U859">
        <v>6</v>
      </c>
    </row>
    <row r="860" spans="2:31" ht="20.100000000000001" customHeight="1">
      <c r="B860" s="88">
        <v>9</v>
      </c>
      <c r="C860" s="89" t="s">
        <v>2130</v>
      </c>
      <c r="D860" s="90" t="s">
        <v>2140</v>
      </c>
      <c r="E860" s="91" t="s">
        <v>2141</v>
      </c>
      <c r="F860" s="315">
        <v>54</v>
      </c>
      <c r="G860" s="260">
        <v>5</v>
      </c>
      <c r="H860" s="260"/>
      <c r="I860" s="309"/>
      <c r="J860" s="199"/>
      <c r="K860" s="269">
        <v>1</v>
      </c>
      <c r="L860" s="93">
        <f t="shared" si="241"/>
        <v>4</v>
      </c>
      <c r="M860" s="183">
        <v>4</v>
      </c>
      <c r="N860" s="95">
        <f t="shared" si="243"/>
        <v>216</v>
      </c>
      <c r="O860" s="95">
        <f t="shared" si="244"/>
        <v>216</v>
      </c>
      <c r="P860" s="94">
        <f t="shared" si="245"/>
        <v>0</v>
      </c>
      <c r="Q860" s="95">
        <f t="shared" si="246"/>
        <v>0</v>
      </c>
      <c r="R860" s="96"/>
      <c r="S860" s="97">
        <f t="shared" si="247"/>
        <v>6</v>
      </c>
      <c r="T860" s="98">
        <f t="shared" si="242"/>
        <v>-2</v>
      </c>
      <c r="U860">
        <v>6</v>
      </c>
    </row>
    <row r="861" spans="2:31" ht="20.100000000000001" customHeight="1">
      <c r="B861" s="88">
        <v>9</v>
      </c>
      <c r="C861" s="89" t="s">
        <v>2130</v>
      </c>
      <c r="D861" s="90" t="s">
        <v>2142</v>
      </c>
      <c r="E861" s="91" t="s">
        <v>2143</v>
      </c>
      <c r="F861" s="315">
        <v>54</v>
      </c>
      <c r="G861" s="260">
        <v>6</v>
      </c>
      <c r="H861" s="260"/>
      <c r="I861" s="309"/>
      <c r="J861" s="199"/>
      <c r="K861" s="269"/>
      <c r="L861" s="93">
        <f t="shared" si="241"/>
        <v>6</v>
      </c>
      <c r="M861" s="183">
        <v>6</v>
      </c>
      <c r="N861" s="95">
        <f t="shared" si="243"/>
        <v>324</v>
      </c>
      <c r="O861" s="95">
        <f t="shared" si="244"/>
        <v>324</v>
      </c>
      <c r="P861" s="94">
        <f t="shared" si="245"/>
        <v>0</v>
      </c>
      <c r="Q861" s="95">
        <f t="shared" si="246"/>
        <v>0</v>
      </c>
      <c r="R861" s="96"/>
      <c r="S861" s="97">
        <f t="shared" si="247"/>
        <v>6</v>
      </c>
      <c r="T861" s="98">
        <f t="shared" si="242"/>
        <v>0</v>
      </c>
      <c r="U861">
        <v>6</v>
      </c>
    </row>
    <row r="862" spans="2:31" ht="20.100000000000001" customHeight="1">
      <c r="B862" s="88">
        <v>9</v>
      </c>
      <c r="C862" s="89" t="s">
        <v>2130</v>
      </c>
      <c r="D862" s="90" t="s">
        <v>2142</v>
      </c>
      <c r="E862" s="91" t="s">
        <v>2143</v>
      </c>
      <c r="F862" s="315">
        <v>54</v>
      </c>
      <c r="G862" s="260"/>
      <c r="H862" s="260"/>
      <c r="I862" s="309"/>
      <c r="J862" s="199"/>
      <c r="K862" s="269"/>
      <c r="L862" s="93">
        <f t="shared" si="241"/>
        <v>0</v>
      </c>
      <c r="M862" s="183"/>
      <c r="N862" s="95">
        <f t="shared" si="243"/>
        <v>0</v>
      </c>
      <c r="O862" s="95">
        <f t="shared" si="244"/>
        <v>0</v>
      </c>
      <c r="P862" s="94">
        <f t="shared" si="245"/>
        <v>0</v>
      </c>
      <c r="Q862" s="95">
        <f t="shared" si="246"/>
        <v>0</v>
      </c>
      <c r="R862" s="96"/>
      <c r="S862" s="97">
        <f t="shared" si="247"/>
        <v>0</v>
      </c>
      <c r="T862" s="98">
        <f t="shared" si="242"/>
        <v>0</v>
      </c>
    </row>
    <row r="863" spans="2:31" ht="20.100000000000001" customHeight="1">
      <c r="B863" s="88">
        <v>9</v>
      </c>
      <c r="C863" s="89" t="s">
        <v>2130</v>
      </c>
      <c r="D863" s="90" t="s">
        <v>2144</v>
      </c>
      <c r="E863" s="91" t="s">
        <v>2145</v>
      </c>
      <c r="F863" s="315">
        <v>54</v>
      </c>
      <c r="G863" s="260">
        <v>6</v>
      </c>
      <c r="H863" s="260"/>
      <c r="I863" s="309"/>
      <c r="J863" s="199"/>
      <c r="K863" s="269"/>
      <c r="L863" s="93">
        <f t="shared" si="241"/>
        <v>6</v>
      </c>
      <c r="M863" s="183">
        <v>6</v>
      </c>
      <c r="N863" s="95">
        <f t="shared" si="243"/>
        <v>324</v>
      </c>
      <c r="O863" s="95">
        <f t="shared" si="244"/>
        <v>324</v>
      </c>
      <c r="P863" s="94">
        <f t="shared" si="245"/>
        <v>0</v>
      </c>
      <c r="Q863" s="95">
        <f t="shared" si="246"/>
        <v>0</v>
      </c>
      <c r="R863" s="96"/>
      <c r="S863" s="97">
        <f t="shared" si="247"/>
        <v>6</v>
      </c>
      <c r="T863" s="98">
        <f t="shared" si="242"/>
        <v>0</v>
      </c>
      <c r="U863">
        <v>6</v>
      </c>
    </row>
    <row r="864" spans="2:31" ht="20.100000000000001" customHeight="1">
      <c r="B864" s="88">
        <v>9</v>
      </c>
      <c r="C864" s="89" t="s">
        <v>2130</v>
      </c>
      <c r="D864" s="90" t="s">
        <v>2144</v>
      </c>
      <c r="E864" s="91" t="s">
        <v>2145</v>
      </c>
      <c r="F864" s="315">
        <v>54</v>
      </c>
      <c r="G864" s="260"/>
      <c r="H864" s="260"/>
      <c r="I864" s="309"/>
      <c r="J864" s="199"/>
      <c r="K864" s="269"/>
      <c r="L864" s="93">
        <f t="shared" si="241"/>
        <v>0</v>
      </c>
      <c r="M864" s="183"/>
      <c r="N864" s="95">
        <f t="shared" si="243"/>
        <v>0</v>
      </c>
      <c r="O864" s="95">
        <f t="shared" si="244"/>
        <v>0</v>
      </c>
      <c r="P864" s="94">
        <f t="shared" si="245"/>
        <v>0</v>
      </c>
      <c r="Q864" s="95">
        <f t="shared" si="246"/>
        <v>0</v>
      </c>
      <c r="R864" s="96"/>
      <c r="S864" s="97">
        <f t="shared" si="247"/>
        <v>0</v>
      </c>
      <c r="T864" s="98">
        <f t="shared" si="242"/>
        <v>0</v>
      </c>
    </row>
    <row r="865" spans="2:31" ht="20.100000000000001" customHeight="1">
      <c r="B865" s="88">
        <v>9</v>
      </c>
      <c r="C865" s="89" t="s">
        <v>2130</v>
      </c>
      <c r="D865" s="90" t="s">
        <v>2146</v>
      </c>
      <c r="E865" s="91" t="s">
        <v>2147</v>
      </c>
      <c r="F865" s="315">
        <v>27</v>
      </c>
      <c r="G865" s="260"/>
      <c r="H865" s="260"/>
      <c r="I865" s="309"/>
      <c r="J865" s="199"/>
      <c r="K865" s="269"/>
      <c r="L865" s="93">
        <f t="shared" si="241"/>
        <v>0</v>
      </c>
      <c r="M865" s="183"/>
      <c r="N865" s="95">
        <f t="shared" si="243"/>
        <v>0</v>
      </c>
      <c r="O865" s="95">
        <f t="shared" si="244"/>
        <v>0</v>
      </c>
      <c r="P865" s="94">
        <f t="shared" si="245"/>
        <v>0</v>
      </c>
      <c r="Q865" s="95">
        <f t="shared" si="246"/>
        <v>0</v>
      </c>
      <c r="R865" s="96"/>
      <c r="S865" s="97">
        <f t="shared" si="247"/>
        <v>0</v>
      </c>
      <c r="T865" s="98">
        <f t="shared" si="242"/>
        <v>0</v>
      </c>
    </row>
    <row r="866" spans="2:31" ht="20.100000000000001" customHeight="1">
      <c r="B866" s="88">
        <v>9</v>
      </c>
      <c r="C866" s="89" t="s">
        <v>2130</v>
      </c>
      <c r="D866" s="90" t="s">
        <v>2148</v>
      </c>
      <c r="E866" s="91" t="s">
        <v>2149</v>
      </c>
      <c r="F866" s="315">
        <v>37</v>
      </c>
      <c r="G866" s="260">
        <v>6</v>
      </c>
      <c r="H866" s="260"/>
      <c r="I866" s="309"/>
      <c r="J866" s="199"/>
      <c r="K866" s="269">
        <v>1</v>
      </c>
      <c r="L866" s="93">
        <f t="shared" si="241"/>
        <v>5</v>
      </c>
      <c r="M866" s="183">
        <v>5</v>
      </c>
      <c r="N866" s="95">
        <f t="shared" si="243"/>
        <v>185</v>
      </c>
      <c r="O866" s="95">
        <f t="shared" si="244"/>
        <v>185</v>
      </c>
      <c r="P866" s="94">
        <f t="shared" si="245"/>
        <v>0</v>
      </c>
      <c r="Q866" s="95">
        <f t="shared" si="246"/>
        <v>0</v>
      </c>
      <c r="R866" s="278"/>
      <c r="S866" s="97">
        <f t="shared" si="247"/>
        <v>6</v>
      </c>
      <c r="T866" s="98">
        <f t="shared" si="242"/>
        <v>-1</v>
      </c>
      <c r="U866">
        <v>6</v>
      </c>
    </row>
    <row r="867" spans="2:31" ht="20.100000000000001" customHeight="1">
      <c r="B867" s="88">
        <v>9</v>
      </c>
      <c r="C867" s="89" t="s">
        <v>2130</v>
      </c>
      <c r="D867" s="90" t="s">
        <v>2150</v>
      </c>
      <c r="E867" s="91" t="s">
        <v>2151</v>
      </c>
      <c r="F867" s="315">
        <v>54</v>
      </c>
      <c r="G867" s="260"/>
      <c r="H867" s="260"/>
      <c r="I867" s="309"/>
      <c r="J867" s="199"/>
      <c r="K867" s="269"/>
      <c r="L867" s="93">
        <f t="shared" si="241"/>
        <v>0</v>
      </c>
      <c r="M867" s="183"/>
      <c r="N867" s="95">
        <f t="shared" si="243"/>
        <v>0</v>
      </c>
      <c r="O867" s="95">
        <f t="shared" si="244"/>
        <v>0</v>
      </c>
      <c r="P867" s="94">
        <f t="shared" si="245"/>
        <v>0</v>
      </c>
      <c r="Q867" s="95">
        <f t="shared" si="246"/>
        <v>0</v>
      </c>
      <c r="R867" s="96"/>
      <c r="S867" s="97">
        <f t="shared" si="247"/>
        <v>0</v>
      </c>
      <c r="T867" s="98">
        <f t="shared" si="242"/>
        <v>0</v>
      </c>
    </row>
    <row r="868" spans="2:31" ht="20.100000000000001" customHeight="1">
      <c r="B868" s="88">
        <v>9</v>
      </c>
      <c r="C868" s="89" t="s">
        <v>2130</v>
      </c>
      <c r="D868" s="90" t="s">
        <v>2150</v>
      </c>
      <c r="E868" s="91" t="s">
        <v>2151</v>
      </c>
      <c r="F868" s="315">
        <v>54</v>
      </c>
      <c r="G868" s="260">
        <v>6</v>
      </c>
      <c r="H868" s="260"/>
      <c r="I868" s="309"/>
      <c r="J868" s="199"/>
      <c r="K868" s="269"/>
      <c r="L868" s="93">
        <f t="shared" si="241"/>
        <v>6</v>
      </c>
      <c r="M868" s="183">
        <v>6</v>
      </c>
      <c r="N868" s="95">
        <f t="shared" si="243"/>
        <v>324</v>
      </c>
      <c r="O868" s="95">
        <f t="shared" si="244"/>
        <v>324</v>
      </c>
      <c r="P868" s="94">
        <f t="shared" si="245"/>
        <v>0</v>
      </c>
      <c r="Q868" s="95">
        <f t="shared" si="246"/>
        <v>0</v>
      </c>
      <c r="R868" s="96"/>
      <c r="S868" s="97">
        <f t="shared" si="247"/>
        <v>0</v>
      </c>
      <c r="T868" s="98">
        <f t="shared" si="242"/>
        <v>6</v>
      </c>
    </row>
    <row r="869" spans="2:31" ht="20.100000000000001" customHeight="1">
      <c r="B869" s="88">
        <v>9</v>
      </c>
      <c r="C869" s="89" t="s">
        <v>2130</v>
      </c>
      <c r="D869" s="90" t="s">
        <v>2152</v>
      </c>
      <c r="E869" s="91" t="s">
        <v>2153</v>
      </c>
      <c r="F869" s="315">
        <v>37</v>
      </c>
      <c r="G869" s="260">
        <v>5</v>
      </c>
      <c r="H869" s="260"/>
      <c r="I869" s="309"/>
      <c r="J869" s="199"/>
      <c r="K869" s="269">
        <v>1</v>
      </c>
      <c r="L869" s="93">
        <f t="shared" si="241"/>
        <v>4</v>
      </c>
      <c r="M869" s="183">
        <v>4</v>
      </c>
      <c r="N869" s="95">
        <f t="shared" si="243"/>
        <v>148</v>
      </c>
      <c r="O869" s="95">
        <f t="shared" si="244"/>
        <v>148</v>
      </c>
      <c r="P869" s="94">
        <f t="shared" si="245"/>
        <v>0</v>
      </c>
      <c r="Q869" s="95">
        <f t="shared" si="246"/>
        <v>0</v>
      </c>
      <c r="R869" s="96"/>
      <c r="S869" s="97">
        <f t="shared" si="247"/>
        <v>6</v>
      </c>
      <c r="T869" s="98">
        <f t="shared" si="242"/>
        <v>-2</v>
      </c>
      <c r="U869">
        <v>6</v>
      </c>
    </row>
    <row r="870" spans="2:31" ht="20.100000000000001" customHeight="1">
      <c r="B870" s="88">
        <v>9</v>
      </c>
      <c r="C870" s="89" t="s">
        <v>2130</v>
      </c>
      <c r="D870" s="90" t="s">
        <v>2154</v>
      </c>
      <c r="E870" s="91" t="s">
        <v>2155</v>
      </c>
      <c r="F870" s="315">
        <v>37</v>
      </c>
      <c r="G870" s="260">
        <v>6</v>
      </c>
      <c r="H870" s="260"/>
      <c r="I870" s="309"/>
      <c r="J870" s="199"/>
      <c r="K870" s="269"/>
      <c r="L870" s="93">
        <f t="shared" si="241"/>
        <v>6</v>
      </c>
      <c r="M870" s="183">
        <v>6</v>
      </c>
      <c r="N870" s="95">
        <f t="shared" si="243"/>
        <v>222</v>
      </c>
      <c r="O870" s="95">
        <f t="shared" si="244"/>
        <v>222</v>
      </c>
      <c r="P870" s="94">
        <f t="shared" si="245"/>
        <v>0</v>
      </c>
      <c r="Q870" s="95">
        <f t="shared" si="246"/>
        <v>0</v>
      </c>
      <c r="R870" s="96"/>
      <c r="S870" s="97">
        <f t="shared" si="247"/>
        <v>6</v>
      </c>
      <c r="T870" s="98">
        <f t="shared" si="242"/>
        <v>0</v>
      </c>
      <c r="U870">
        <v>6</v>
      </c>
    </row>
    <row r="871" spans="2:31" ht="20.100000000000001" customHeight="1">
      <c r="B871" s="88">
        <v>9</v>
      </c>
      <c r="C871" s="89" t="s">
        <v>2130</v>
      </c>
      <c r="D871" s="90" t="s">
        <v>2156</v>
      </c>
      <c r="E871" s="91" t="s">
        <v>2157</v>
      </c>
      <c r="F871" s="315">
        <v>37</v>
      </c>
      <c r="G871" s="260">
        <v>5</v>
      </c>
      <c r="H871" s="260"/>
      <c r="I871" s="309"/>
      <c r="J871" s="199"/>
      <c r="K871" s="269"/>
      <c r="L871" s="93">
        <f t="shared" si="241"/>
        <v>5</v>
      </c>
      <c r="M871" s="183">
        <v>5</v>
      </c>
      <c r="N871" s="95">
        <f t="shared" si="243"/>
        <v>185</v>
      </c>
      <c r="O871" s="95">
        <f t="shared" si="244"/>
        <v>185</v>
      </c>
      <c r="P871" s="94">
        <f t="shared" si="245"/>
        <v>0</v>
      </c>
      <c r="Q871" s="95">
        <f t="shared" si="246"/>
        <v>0</v>
      </c>
      <c r="R871" s="96"/>
      <c r="S871" s="97">
        <f t="shared" si="247"/>
        <v>6</v>
      </c>
      <c r="T871" s="98">
        <f t="shared" si="242"/>
        <v>-1</v>
      </c>
      <c r="U871">
        <v>6</v>
      </c>
    </row>
    <row r="872" spans="2:31" ht="20.100000000000001" customHeight="1">
      <c r="B872" s="88">
        <v>9</v>
      </c>
      <c r="C872" s="89" t="s">
        <v>2130</v>
      </c>
      <c r="D872" s="90" t="s">
        <v>2158</v>
      </c>
      <c r="E872" s="91" t="s">
        <v>2159</v>
      </c>
      <c r="F872" s="315">
        <v>37</v>
      </c>
      <c r="G872" s="260"/>
      <c r="H872" s="260">
        <v>6</v>
      </c>
      <c r="I872" s="309"/>
      <c r="J872" s="199"/>
      <c r="K872" s="269"/>
      <c r="L872" s="93">
        <f t="shared" si="241"/>
        <v>6</v>
      </c>
      <c r="M872" s="183">
        <v>6</v>
      </c>
      <c r="N872" s="95">
        <f t="shared" si="243"/>
        <v>222</v>
      </c>
      <c r="O872" s="95">
        <f t="shared" si="244"/>
        <v>222</v>
      </c>
      <c r="P872" s="94">
        <f t="shared" si="245"/>
        <v>0</v>
      </c>
      <c r="Q872" s="95">
        <f t="shared" si="246"/>
        <v>0</v>
      </c>
      <c r="R872" s="96"/>
      <c r="S872" s="97">
        <f t="shared" si="247"/>
        <v>0</v>
      </c>
      <c r="T872" s="98">
        <f t="shared" si="242"/>
        <v>6</v>
      </c>
    </row>
    <row r="873" spans="2:31" ht="20.100000000000001" customHeight="1">
      <c r="B873" s="88">
        <v>9</v>
      </c>
      <c r="C873" s="89" t="s">
        <v>2130</v>
      </c>
      <c r="D873" s="90" t="s">
        <v>2160</v>
      </c>
      <c r="E873" s="91" t="s">
        <v>2161</v>
      </c>
      <c r="F873" s="315">
        <v>115</v>
      </c>
      <c r="G873" s="260"/>
      <c r="H873" s="260"/>
      <c r="I873" s="309"/>
      <c r="J873" s="199"/>
      <c r="K873" s="269"/>
      <c r="L873" s="93">
        <f t="shared" si="241"/>
        <v>0</v>
      </c>
      <c r="M873" s="183"/>
      <c r="N873" s="95">
        <f t="shared" si="243"/>
        <v>0</v>
      </c>
      <c r="O873" s="95">
        <f t="shared" si="244"/>
        <v>0</v>
      </c>
      <c r="P873" s="94">
        <f t="shared" si="245"/>
        <v>0</v>
      </c>
      <c r="Q873" s="95">
        <f t="shared" si="246"/>
        <v>0</v>
      </c>
      <c r="R873" s="96"/>
      <c r="S873" s="97">
        <f t="shared" si="247"/>
        <v>0</v>
      </c>
      <c r="T873" s="98">
        <f t="shared" si="242"/>
        <v>0</v>
      </c>
    </row>
    <row r="874" spans="2:31" ht="20.100000000000001" customHeight="1">
      <c r="B874" s="88">
        <v>9</v>
      </c>
      <c r="C874" s="89" t="s">
        <v>2130</v>
      </c>
      <c r="D874" s="90" t="s">
        <v>2162</v>
      </c>
      <c r="E874" s="91" t="s">
        <v>2163</v>
      </c>
      <c r="F874" s="315">
        <v>88</v>
      </c>
      <c r="G874" s="260">
        <v>5</v>
      </c>
      <c r="H874" s="260"/>
      <c r="I874" s="309"/>
      <c r="J874" s="199"/>
      <c r="K874" s="269">
        <v>2</v>
      </c>
      <c r="L874" s="93">
        <f t="shared" si="241"/>
        <v>3</v>
      </c>
      <c r="M874" s="183">
        <v>3</v>
      </c>
      <c r="N874" s="95">
        <f t="shared" si="243"/>
        <v>264</v>
      </c>
      <c r="O874" s="95">
        <f t="shared" si="244"/>
        <v>264</v>
      </c>
      <c r="P874" s="94">
        <f t="shared" si="245"/>
        <v>0</v>
      </c>
      <c r="Q874" s="95">
        <f t="shared" si="246"/>
        <v>0</v>
      </c>
      <c r="R874" s="96"/>
      <c r="S874" s="97">
        <f t="shared" si="247"/>
        <v>5</v>
      </c>
      <c r="T874" s="98">
        <f t="shared" si="242"/>
        <v>-2</v>
      </c>
      <c r="U874">
        <v>5</v>
      </c>
    </row>
    <row r="875" spans="2:31" ht="20.100000000000001" customHeight="1">
      <c r="B875" s="88">
        <v>9</v>
      </c>
      <c r="C875" s="89" t="s">
        <v>2130</v>
      </c>
      <c r="D875" s="90" t="s">
        <v>2164</v>
      </c>
      <c r="E875" s="91" t="s">
        <v>2165</v>
      </c>
      <c r="F875" s="315">
        <v>75</v>
      </c>
      <c r="G875" s="260">
        <v>5</v>
      </c>
      <c r="H875" s="260"/>
      <c r="I875" s="309"/>
      <c r="J875" s="199"/>
      <c r="K875" s="269"/>
      <c r="L875" s="93">
        <f t="shared" si="241"/>
        <v>5</v>
      </c>
      <c r="M875" s="183">
        <v>5</v>
      </c>
      <c r="N875" s="95">
        <f t="shared" si="243"/>
        <v>375</v>
      </c>
      <c r="O875" s="95">
        <f t="shared" si="244"/>
        <v>375</v>
      </c>
      <c r="P875" s="94">
        <f t="shared" si="245"/>
        <v>0</v>
      </c>
      <c r="Q875" s="95">
        <f t="shared" si="246"/>
        <v>0</v>
      </c>
      <c r="R875" s="96"/>
      <c r="S875" s="97">
        <f t="shared" si="247"/>
        <v>6</v>
      </c>
      <c r="T875" s="98">
        <f t="shared" si="242"/>
        <v>-1</v>
      </c>
      <c r="U875">
        <v>6</v>
      </c>
    </row>
    <row r="876" spans="2:31" ht="20.100000000000001" customHeight="1">
      <c r="B876" s="88">
        <v>9</v>
      </c>
      <c r="C876" s="89" t="s">
        <v>2130</v>
      </c>
      <c r="D876" s="90" t="s">
        <v>2166</v>
      </c>
      <c r="E876" s="91" t="s">
        <v>2167</v>
      </c>
      <c r="F876" s="315">
        <v>36.74</v>
      </c>
      <c r="G876" s="260">
        <v>5</v>
      </c>
      <c r="H876" s="260"/>
      <c r="I876" s="309"/>
      <c r="J876" s="199"/>
      <c r="K876" s="269"/>
      <c r="L876" s="93">
        <f t="shared" si="241"/>
        <v>5</v>
      </c>
      <c r="M876" s="183">
        <v>5</v>
      </c>
      <c r="N876" s="95">
        <f t="shared" si="243"/>
        <v>183.70000000000002</v>
      </c>
      <c r="O876" s="95">
        <f t="shared" si="244"/>
        <v>183.70000000000002</v>
      </c>
      <c r="P876" s="94">
        <f t="shared" si="245"/>
        <v>0</v>
      </c>
      <c r="Q876" s="95">
        <f t="shared" si="246"/>
        <v>0</v>
      </c>
      <c r="R876" s="96"/>
      <c r="S876" s="97">
        <f t="shared" si="247"/>
        <v>6</v>
      </c>
      <c r="T876" s="98">
        <f t="shared" si="242"/>
        <v>-1</v>
      </c>
      <c r="U876">
        <v>6</v>
      </c>
    </row>
    <row r="877" spans="2:31" ht="20.100000000000001" customHeight="1">
      <c r="B877" s="88">
        <v>9</v>
      </c>
      <c r="C877" s="89" t="s">
        <v>2130</v>
      </c>
      <c r="D877" s="90" t="s">
        <v>2168</v>
      </c>
      <c r="E877" s="91" t="s">
        <v>2169</v>
      </c>
      <c r="F877" s="315">
        <v>38</v>
      </c>
      <c r="G877" s="260">
        <v>1</v>
      </c>
      <c r="H877" s="260"/>
      <c r="I877" s="309"/>
      <c r="J877" s="199"/>
      <c r="K877" s="269"/>
      <c r="L877" s="93">
        <f t="shared" si="241"/>
        <v>1</v>
      </c>
      <c r="M877" s="183">
        <v>1</v>
      </c>
      <c r="N877" s="95">
        <f t="shared" si="243"/>
        <v>38</v>
      </c>
      <c r="O877" s="95">
        <f t="shared" si="244"/>
        <v>38</v>
      </c>
      <c r="P877" s="94">
        <f t="shared" si="245"/>
        <v>0</v>
      </c>
      <c r="Q877" s="95">
        <f t="shared" si="246"/>
        <v>0</v>
      </c>
      <c r="R877" s="96"/>
      <c r="S877" s="97">
        <f t="shared" si="247"/>
        <v>1</v>
      </c>
      <c r="T877" s="98">
        <f t="shared" si="242"/>
        <v>0</v>
      </c>
      <c r="AA877">
        <v>1</v>
      </c>
      <c r="AB877" s="99" t="s">
        <v>2170</v>
      </c>
      <c r="AD877">
        <f>AA877</f>
        <v>1</v>
      </c>
      <c r="AE877">
        <f>AD877*F877</f>
        <v>38</v>
      </c>
    </row>
    <row r="878" spans="2:31" ht="20.100000000000001" customHeight="1">
      <c r="B878" s="88">
        <v>9</v>
      </c>
      <c r="C878" s="89" t="s">
        <v>2130</v>
      </c>
      <c r="D878" s="90" t="s">
        <v>2171</v>
      </c>
      <c r="E878" s="91" t="s">
        <v>2172</v>
      </c>
      <c r="F878" s="315">
        <v>38</v>
      </c>
      <c r="G878" s="260">
        <v>1</v>
      </c>
      <c r="H878" s="260"/>
      <c r="I878" s="309"/>
      <c r="J878" s="199"/>
      <c r="K878" s="269"/>
      <c r="L878" s="93">
        <f t="shared" si="241"/>
        <v>1</v>
      </c>
      <c r="M878" s="183">
        <v>1</v>
      </c>
      <c r="N878" s="95">
        <f t="shared" si="243"/>
        <v>38</v>
      </c>
      <c r="O878" s="95">
        <f t="shared" si="244"/>
        <v>38</v>
      </c>
      <c r="P878" s="94">
        <f t="shared" si="245"/>
        <v>0</v>
      </c>
      <c r="Q878" s="95">
        <f t="shared" si="246"/>
        <v>0</v>
      </c>
      <c r="R878" s="96"/>
      <c r="S878" s="97">
        <f t="shared" si="247"/>
        <v>1</v>
      </c>
      <c r="T878" s="98">
        <f t="shared" si="242"/>
        <v>0</v>
      </c>
      <c r="AA878">
        <v>1</v>
      </c>
      <c r="AB878" s="99" t="s">
        <v>605</v>
      </c>
      <c r="AD878">
        <f>AA878</f>
        <v>1</v>
      </c>
      <c r="AE878">
        <f>AD878*F878</f>
        <v>38</v>
      </c>
    </row>
    <row r="879" spans="2:31" ht="20.100000000000001" customHeight="1">
      <c r="B879" s="88">
        <v>9</v>
      </c>
      <c r="C879" s="89" t="s">
        <v>2130</v>
      </c>
      <c r="D879" s="90" t="s">
        <v>2173</v>
      </c>
      <c r="E879" s="91" t="s">
        <v>2174</v>
      </c>
      <c r="F879" s="315">
        <v>68.64</v>
      </c>
      <c r="G879" s="260">
        <v>3</v>
      </c>
      <c r="H879" s="260"/>
      <c r="I879" s="309"/>
      <c r="J879" s="199"/>
      <c r="K879" s="269"/>
      <c r="L879" s="93">
        <f t="shared" si="241"/>
        <v>3</v>
      </c>
      <c r="M879" s="183">
        <f>2+1</f>
        <v>3</v>
      </c>
      <c r="N879" s="95">
        <f t="shared" si="243"/>
        <v>205.92000000000002</v>
      </c>
      <c r="O879" s="95">
        <f t="shared" si="244"/>
        <v>205.92000000000002</v>
      </c>
      <c r="P879" s="94">
        <f t="shared" si="245"/>
        <v>0</v>
      </c>
      <c r="Q879" s="95">
        <f t="shared" si="246"/>
        <v>0</v>
      </c>
      <c r="R879" s="96"/>
      <c r="S879" s="97">
        <f t="shared" si="247"/>
        <v>3</v>
      </c>
      <c r="T879" s="98">
        <f t="shared" si="242"/>
        <v>0</v>
      </c>
      <c r="U879">
        <v>3</v>
      </c>
    </row>
    <row r="880" spans="2:31" ht="20.100000000000001" customHeight="1">
      <c r="B880" s="88">
        <v>9</v>
      </c>
      <c r="C880" s="89" t="s">
        <v>2130</v>
      </c>
      <c r="D880" s="90" t="s">
        <v>2175</v>
      </c>
      <c r="E880" s="91" t="s">
        <v>2176</v>
      </c>
      <c r="F880" s="315">
        <v>169.42</v>
      </c>
      <c r="G880" s="260">
        <v>2</v>
      </c>
      <c r="H880" s="260"/>
      <c r="I880" s="309"/>
      <c r="J880" s="199"/>
      <c r="K880" s="269"/>
      <c r="L880" s="93">
        <f t="shared" si="241"/>
        <v>2</v>
      </c>
      <c r="M880" s="183">
        <v>2</v>
      </c>
      <c r="N880" s="95">
        <f t="shared" si="243"/>
        <v>338.84</v>
      </c>
      <c r="O880" s="95">
        <f t="shared" si="244"/>
        <v>338.84</v>
      </c>
      <c r="P880" s="94">
        <f t="shared" si="245"/>
        <v>0</v>
      </c>
      <c r="Q880" s="95">
        <f t="shared" si="246"/>
        <v>0</v>
      </c>
      <c r="R880" s="96"/>
      <c r="S880" s="97">
        <f t="shared" si="247"/>
        <v>3</v>
      </c>
      <c r="T880" s="98">
        <f t="shared" si="242"/>
        <v>-1</v>
      </c>
      <c r="U880">
        <v>3</v>
      </c>
    </row>
    <row r="881" spans="2:25" ht="20.100000000000001" customHeight="1">
      <c r="B881" s="88">
        <v>9</v>
      </c>
      <c r="C881" s="89" t="s">
        <v>2130</v>
      </c>
      <c r="D881" s="90" t="s">
        <v>2177</v>
      </c>
      <c r="E881" s="91" t="s">
        <v>2178</v>
      </c>
      <c r="F881" s="315">
        <v>58.03</v>
      </c>
      <c r="G881" s="260"/>
      <c r="H881" s="260"/>
      <c r="I881" s="309"/>
      <c r="J881" s="199"/>
      <c r="K881" s="269"/>
      <c r="L881" s="93">
        <f t="shared" si="241"/>
        <v>0</v>
      </c>
      <c r="M881" s="183"/>
      <c r="N881" s="95">
        <f t="shared" si="243"/>
        <v>0</v>
      </c>
      <c r="O881" s="95">
        <f t="shared" si="244"/>
        <v>0</v>
      </c>
      <c r="P881" s="94">
        <f t="shared" si="245"/>
        <v>0</v>
      </c>
      <c r="Q881" s="95">
        <f t="shared" si="246"/>
        <v>0</v>
      </c>
      <c r="R881" s="96"/>
      <c r="S881" s="97">
        <f t="shared" si="247"/>
        <v>1</v>
      </c>
      <c r="T881" s="98">
        <f t="shared" si="242"/>
        <v>-1</v>
      </c>
      <c r="U881">
        <v>1</v>
      </c>
    </row>
    <row r="882" spans="2:25" ht="20.100000000000001" customHeight="1">
      <c r="B882" s="88">
        <v>9</v>
      </c>
      <c r="C882" s="89" t="s">
        <v>2130</v>
      </c>
      <c r="D882" s="90" t="s">
        <v>2179</v>
      </c>
      <c r="E882" s="91" t="s">
        <v>2180</v>
      </c>
      <c r="F882" s="315">
        <v>143</v>
      </c>
      <c r="G882" s="260">
        <v>3</v>
      </c>
      <c r="H882" s="260"/>
      <c r="I882" s="309"/>
      <c r="J882" s="199"/>
      <c r="K882" s="269"/>
      <c r="L882" s="93">
        <f t="shared" si="241"/>
        <v>3</v>
      </c>
      <c r="M882" s="183">
        <v>3</v>
      </c>
      <c r="N882" s="95">
        <f t="shared" si="243"/>
        <v>429</v>
      </c>
      <c r="O882" s="95">
        <f t="shared" si="244"/>
        <v>429</v>
      </c>
      <c r="P882" s="94">
        <f t="shared" si="245"/>
        <v>0</v>
      </c>
      <c r="Q882" s="95">
        <f t="shared" si="246"/>
        <v>0</v>
      </c>
      <c r="R882" s="96"/>
      <c r="S882" s="97">
        <f t="shared" si="247"/>
        <v>3</v>
      </c>
      <c r="T882" s="98">
        <f t="shared" si="242"/>
        <v>0</v>
      </c>
      <c r="U882">
        <v>3</v>
      </c>
    </row>
    <row r="883" spans="2:25" ht="20.100000000000001" customHeight="1">
      <c r="B883" s="88">
        <v>9</v>
      </c>
      <c r="C883" s="89" t="s">
        <v>2130</v>
      </c>
      <c r="D883" s="90" t="s">
        <v>2181</v>
      </c>
      <c r="E883" s="91" t="s">
        <v>2182</v>
      </c>
      <c r="F883" s="315">
        <v>83.46</v>
      </c>
      <c r="G883" s="260">
        <v>3</v>
      </c>
      <c r="H883" s="260"/>
      <c r="I883" s="309"/>
      <c r="J883" s="199"/>
      <c r="K883" s="269"/>
      <c r="L883" s="93">
        <f t="shared" si="241"/>
        <v>3</v>
      </c>
      <c r="M883" s="183">
        <v>3</v>
      </c>
      <c r="N883" s="95">
        <f t="shared" si="243"/>
        <v>250.38</v>
      </c>
      <c r="O883" s="95">
        <f t="shared" si="244"/>
        <v>250.38</v>
      </c>
      <c r="P883" s="94">
        <f t="shared" si="245"/>
        <v>0</v>
      </c>
      <c r="Q883" s="95">
        <f t="shared" si="246"/>
        <v>0</v>
      </c>
      <c r="R883" s="96"/>
      <c r="S883" s="97">
        <f t="shared" si="247"/>
        <v>3</v>
      </c>
      <c r="T883" s="98">
        <f t="shared" si="242"/>
        <v>0</v>
      </c>
      <c r="U883">
        <v>3</v>
      </c>
    </row>
    <row r="884" spans="2:25" ht="20.100000000000001" customHeight="1">
      <c r="B884" s="88">
        <v>9</v>
      </c>
      <c r="C884" s="89" t="s">
        <v>2130</v>
      </c>
      <c r="D884" s="90" t="s">
        <v>2183</v>
      </c>
      <c r="E884" s="91" t="s">
        <v>2184</v>
      </c>
      <c r="F884" s="315">
        <v>206.23</v>
      </c>
      <c r="G884" s="260">
        <v>1</v>
      </c>
      <c r="H884" s="260"/>
      <c r="I884" s="309"/>
      <c r="J884" s="199"/>
      <c r="K884" s="269"/>
      <c r="L884" s="93">
        <f t="shared" si="241"/>
        <v>1</v>
      </c>
      <c r="M884" s="183">
        <v>1</v>
      </c>
      <c r="N884" s="95">
        <f t="shared" si="243"/>
        <v>206.23</v>
      </c>
      <c r="O884" s="95">
        <f t="shared" si="244"/>
        <v>206.23</v>
      </c>
      <c r="P884" s="94">
        <f t="shared" si="245"/>
        <v>0</v>
      </c>
      <c r="Q884" s="95">
        <f t="shared" si="246"/>
        <v>0</v>
      </c>
      <c r="R884" s="96"/>
      <c r="S884" s="97">
        <f t="shared" si="247"/>
        <v>1</v>
      </c>
      <c r="T884" s="98">
        <f t="shared" si="242"/>
        <v>0</v>
      </c>
      <c r="U884">
        <v>1</v>
      </c>
    </row>
    <row r="885" spans="2:25" ht="20.100000000000001" customHeight="1">
      <c r="B885" s="88">
        <v>9</v>
      </c>
      <c r="C885" s="89" t="s">
        <v>2130</v>
      </c>
      <c r="D885" s="90" t="s">
        <v>2185</v>
      </c>
      <c r="E885" s="91" t="s">
        <v>2186</v>
      </c>
      <c r="F885" s="315">
        <v>185.74</v>
      </c>
      <c r="G885" s="260"/>
      <c r="H885" s="260"/>
      <c r="I885" s="309"/>
      <c r="J885" s="199"/>
      <c r="K885" s="269"/>
      <c r="L885" s="93">
        <f t="shared" si="241"/>
        <v>0</v>
      </c>
      <c r="M885" s="183"/>
      <c r="N885" s="95">
        <f t="shared" si="243"/>
        <v>0</v>
      </c>
      <c r="O885" s="95">
        <f t="shared" si="244"/>
        <v>0</v>
      </c>
      <c r="P885" s="94">
        <f t="shared" si="245"/>
        <v>0</v>
      </c>
      <c r="Q885" s="95">
        <f t="shared" si="246"/>
        <v>0</v>
      </c>
      <c r="R885" s="96"/>
      <c r="S885" s="97">
        <f t="shared" si="247"/>
        <v>1</v>
      </c>
      <c r="T885" s="98">
        <f t="shared" si="242"/>
        <v>-1</v>
      </c>
      <c r="U885">
        <v>1</v>
      </c>
    </row>
    <row r="886" spans="2:25" ht="20.100000000000001" customHeight="1">
      <c r="B886" s="88">
        <v>9</v>
      </c>
      <c r="C886" s="89" t="s">
        <v>2130</v>
      </c>
      <c r="D886" s="90" t="s">
        <v>2187</v>
      </c>
      <c r="E886" s="91" t="s">
        <v>2188</v>
      </c>
      <c r="F886" s="315">
        <v>195.62</v>
      </c>
      <c r="G886" s="260"/>
      <c r="H886" s="260"/>
      <c r="I886" s="309"/>
      <c r="J886" s="199"/>
      <c r="K886" s="269"/>
      <c r="L886" s="93">
        <f t="shared" ref="L886:L949" si="248">G886+I886-J886-K886+H886</f>
        <v>0</v>
      </c>
      <c r="M886" s="183"/>
      <c r="N886" s="95">
        <f t="shared" si="243"/>
        <v>0</v>
      </c>
      <c r="O886" s="95">
        <f t="shared" si="244"/>
        <v>0</v>
      </c>
      <c r="P886" s="94">
        <f t="shared" si="245"/>
        <v>0</v>
      </c>
      <c r="Q886" s="95">
        <f t="shared" si="246"/>
        <v>0</v>
      </c>
      <c r="R886" s="96"/>
      <c r="S886" s="97">
        <f t="shared" si="247"/>
        <v>2</v>
      </c>
      <c r="T886" s="98">
        <f t="shared" si="242"/>
        <v>-2</v>
      </c>
      <c r="U886">
        <v>2</v>
      </c>
    </row>
    <row r="887" spans="2:25" ht="20.100000000000001" customHeight="1">
      <c r="B887" s="88">
        <v>9</v>
      </c>
      <c r="C887" s="89" t="s">
        <v>2130</v>
      </c>
      <c r="D887" s="90" t="s">
        <v>2189</v>
      </c>
      <c r="E887" s="91" t="s">
        <v>2190</v>
      </c>
      <c r="F887" s="315">
        <v>41.06</v>
      </c>
      <c r="G887" s="260"/>
      <c r="H887" s="260"/>
      <c r="I887" s="309"/>
      <c r="J887" s="199"/>
      <c r="K887" s="269"/>
      <c r="L887" s="93">
        <f t="shared" si="248"/>
        <v>0</v>
      </c>
      <c r="M887" s="183"/>
      <c r="N887" s="95">
        <f t="shared" si="243"/>
        <v>0</v>
      </c>
      <c r="O887" s="95">
        <f t="shared" si="244"/>
        <v>0</v>
      </c>
      <c r="P887" s="94">
        <f t="shared" si="245"/>
        <v>0</v>
      </c>
      <c r="Q887" s="95">
        <f t="shared" si="246"/>
        <v>0</v>
      </c>
      <c r="R887" s="96"/>
      <c r="S887" s="97">
        <f t="shared" si="247"/>
        <v>0</v>
      </c>
      <c r="T887" s="98">
        <f t="shared" ref="T887:T947" si="249">M887-S887</f>
        <v>0</v>
      </c>
    </row>
    <row r="888" spans="2:25" ht="20.100000000000001" customHeight="1">
      <c r="B888" s="88">
        <v>9</v>
      </c>
      <c r="C888" s="89" t="s">
        <v>2130</v>
      </c>
      <c r="D888" s="90" t="s">
        <v>2191</v>
      </c>
      <c r="E888" s="91" t="s">
        <v>2192</v>
      </c>
      <c r="F888" s="315">
        <v>16.32</v>
      </c>
      <c r="G888" s="260">
        <v>36</v>
      </c>
      <c r="H888" s="260"/>
      <c r="I888" s="309"/>
      <c r="J888" s="199"/>
      <c r="K888" s="269"/>
      <c r="L888" s="93">
        <f t="shared" si="248"/>
        <v>36</v>
      </c>
      <c r="M888" s="183">
        <v>36</v>
      </c>
      <c r="N888" s="95">
        <f t="shared" ref="N888:N948" si="250">F888*L888</f>
        <v>587.52</v>
      </c>
      <c r="O888" s="95">
        <f t="shared" ref="O888:O948" si="251">M888*F888</f>
        <v>587.52</v>
      </c>
      <c r="P888" s="94">
        <f t="shared" ref="P888:P948" si="252">L888-M888</f>
        <v>0</v>
      </c>
      <c r="Q888" s="95">
        <f t="shared" ref="Q888:Q948" si="253">N888-O888</f>
        <v>0</v>
      </c>
      <c r="R888" s="96"/>
      <c r="S888" s="97">
        <f t="shared" ref="S888:S948" si="254">U888+Y888+W888+AA888</f>
        <v>36</v>
      </c>
      <c r="T888" s="98">
        <f t="shared" si="249"/>
        <v>0</v>
      </c>
      <c r="Y888">
        <v>36</v>
      </c>
    </row>
    <row r="889" spans="2:25" ht="20.100000000000001" customHeight="1">
      <c r="B889" s="88">
        <v>9</v>
      </c>
      <c r="C889" s="89" t="s">
        <v>2130</v>
      </c>
      <c r="D889" s="90" t="s">
        <v>2193</v>
      </c>
      <c r="E889" s="91" t="s">
        <v>2194</v>
      </c>
      <c r="F889" s="315">
        <v>41.06</v>
      </c>
      <c r="G889" s="260"/>
      <c r="H889" s="260"/>
      <c r="I889" s="309"/>
      <c r="J889" s="199"/>
      <c r="K889" s="269"/>
      <c r="L889" s="93">
        <f t="shared" si="248"/>
        <v>0</v>
      </c>
      <c r="M889" s="183"/>
      <c r="N889" s="95">
        <f t="shared" si="250"/>
        <v>0</v>
      </c>
      <c r="O889" s="95">
        <f t="shared" si="251"/>
        <v>0</v>
      </c>
      <c r="P889" s="94">
        <f t="shared" si="252"/>
        <v>0</v>
      </c>
      <c r="Q889" s="95">
        <f t="shared" si="253"/>
        <v>0</v>
      </c>
      <c r="R889" s="96"/>
      <c r="S889" s="97">
        <f t="shared" si="254"/>
        <v>0</v>
      </c>
      <c r="T889" s="98">
        <f t="shared" si="249"/>
        <v>0</v>
      </c>
    </row>
    <row r="890" spans="2:25" ht="20.100000000000001" customHeight="1">
      <c r="B890" s="88">
        <v>9</v>
      </c>
      <c r="C890" s="89" t="s">
        <v>2130</v>
      </c>
      <c r="D890" s="90" t="s">
        <v>2195</v>
      </c>
      <c r="E890" s="91" t="s">
        <v>2196</v>
      </c>
      <c r="F890" s="315">
        <v>16.32</v>
      </c>
      <c r="G890" s="260">
        <v>51</v>
      </c>
      <c r="H890" s="260">
        <v>12</v>
      </c>
      <c r="I890" s="309"/>
      <c r="J890" s="199"/>
      <c r="K890" s="269">
        <v>12</v>
      </c>
      <c r="L890" s="93">
        <f t="shared" si="248"/>
        <v>51</v>
      </c>
      <c r="M890" s="183">
        <v>51</v>
      </c>
      <c r="N890" s="95">
        <f t="shared" si="250"/>
        <v>832.32</v>
      </c>
      <c r="O890" s="95">
        <f t="shared" si="251"/>
        <v>832.32</v>
      </c>
      <c r="P890" s="94">
        <f t="shared" si="252"/>
        <v>0</v>
      </c>
      <c r="Q890" s="95">
        <f t="shared" si="253"/>
        <v>0</v>
      </c>
      <c r="R890" s="278" t="s">
        <v>5185</v>
      </c>
      <c r="S890" s="97">
        <f t="shared" si="254"/>
        <v>51</v>
      </c>
      <c r="T890" s="98">
        <f t="shared" si="249"/>
        <v>0</v>
      </c>
      <c r="Y890">
        <v>51</v>
      </c>
    </row>
    <row r="891" spans="2:25" ht="20.100000000000001" customHeight="1">
      <c r="B891" s="88">
        <v>9</v>
      </c>
      <c r="C891" s="89" t="s">
        <v>2130</v>
      </c>
      <c r="D891" s="90" t="s">
        <v>2197</v>
      </c>
      <c r="E891" s="91" t="s">
        <v>2198</v>
      </c>
      <c r="F891" s="315">
        <v>15.9</v>
      </c>
      <c r="G891" s="260">
        <v>54</v>
      </c>
      <c r="H891" s="260"/>
      <c r="I891" s="309"/>
      <c r="J891" s="199"/>
      <c r="K891" s="269"/>
      <c r="L891" s="93">
        <f t="shared" si="248"/>
        <v>54</v>
      </c>
      <c r="M891" s="183">
        <v>54</v>
      </c>
      <c r="N891" s="95">
        <f t="shared" si="250"/>
        <v>858.6</v>
      </c>
      <c r="O891" s="95">
        <f t="shared" si="251"/>
        <v>858.6</v>
      </c>
      <c r="P891" s="94">
        <f t="shared" si="252"/>
        <v>0</v>
      </c>
      <c r="Q891" s="95">
        <f t="shared" si="253"/>
        <v>0</v>
      </c>
      <c r="R891" s="96"/>
      <c r="S891" s="97">
        <f t="shared" si="254"/>
        <v>54</v>
      </c>
      <c r="T891" s="98">
        <f t="shared" si="249"/>
        <v>0</v>
      </c>
      <c r="Y891">
        <v>54</v>
      </c>
    </row>
    <row r="892" spans="2:25" ht="20.100000000000001" customHeight="1">
      <c r="B892" s="88">
        <v>9</v>
      </c>
      <c r="C892" s="89" t="s">
        <v>2130</v>
      </c>
      <c r="D892" s="90" t="s">
        <v>2199</v>
      </c>
      <c r="E892" s="91" t="s">
        <v>2200</v>
      </c>
      <c r="F892" s="315">
        <v>8.4499999999999993</v>
      </c>
      <c r="G892" s="260"/>
      <c r="H892" s="260"/>
      <c r="I892" s="309"/>
      <c r="J892" s="199"/>
      <c r="K892" s="269"/>
      <c r="L892" s="93">
        <f t="shared" si="248"/>
        <v>0</v>
      </c>
      <c r="M892" s="183"/>
      <c r="N892" s="95">
        <f t="shared" si="250"/>
        <v>0</v>
      </c>
      <c r="O892" s="95">
        <f t="shared" si="251"/>
        <v>0</v>
      </c>
      <c r="P892" s="94">
        <f t="shared" si="252"/>
        <v>0</v>
      </c>
      <c r="Q892" s="95">
        <f t="shared" si="253"/>
        <v>0</v>
      </c>
      <c r="R892" s="96"/>
      <c r="S892" s="97">
        <f t="shared" si="254"/>
        <v>0</v>
      </c>
      <c r="T892" s="98">
        <f t="shared" si="249"/>
        <v>0</v>
      </c>
    </row>
    <row r="893" spans="2:25" ht="20.100000000000001" customHeight="1">
      <c r="B893" s="88">
        <v>9</v>
      </c>
      <c r="C893" s="89" t="s">
        <v>2130</v>
      </c>
      <c r="D893" s="90" t="s">
        <v>2201</v>
      </c>
      <c r="E893" s="91" t="s">
        <v>2202</v>
      </c>
      <c r="F893" s="315">
        <v>99.5</v>
      </c>
      <c r="G893" s="260"/>
      <c r="H893" s="260"/>
      <c r="I893" s="309"/>
      <c r="J893" s="199"/>
      <c r="K893" s="269"/>
      <c r="L893" s="93">
        <f t="shared" si="248"/>
        <v>0</v>
      </c>
      <c r="M893" s="183"/>
      <c r="N893" s="95">
        <f t="shared" si="250"/>
        <v>0</v>
      </c>
      <c r="O893" s="95">
        <f t="shared" si="251"/>
        <v>0</v>
      </c>
      <c r="P893" s="94">
        <f t="shared" si="252"/>
        <v>0</v>
      </c>
      <c r="Q893" s="95">
        <f t="shared" si="253"/>
        <v>0</v>
      </c>
      <c r="R893" s="96"/>
      <c r="S893" s="97">
        <f t="shared" si="254"/>
        <v>0</v>
      </c>
      <c r="T893" s="98">
        <f t="shared" si="249"/>
        <v>0</v>
      </c>
    </row>
    <row r="894" spans="2:25" ht="20.100000000000001" customHeight="1">
      <c r="B894" s="88">
        <v>9</v>
      </c>
      <c r="C894" s="89" t="s">
        <v>2130</v>
      </c>
      <c r="D894" s="90" t="s">
        <v>2203</v>
      </c>
      <c r="E894" s="91" t="s">
        <v>2204</v>
      </c>
      <c r="F894" s="315">
        <v>24.5</v>
      </c>
      <c r="G894" s="260">
        <v>1</v>
      </c>
      <c r="H894" s="260"/>
      <c r="I894" s="309"/>
      <c r="J894" s="199"/>
      <c r="K894" s="269"/>
      <c r="L894" s="93">
        <f t="shared" si="248"/>
        <v>1</v>
      </c>
      <c r="M894" s="183">
        <v>1</v>
      </c>
      <c r="N894" s="95">
        <f t="shared" si="250"/>
        <v>24.5</v>
      </c>
      <c r="O894" s="95">
        <f t="shared" si="251"/>
        <v>24.5</v>
      </c>
      <c r="P894" s="94">
        <f t="shared" si="252"/>
        <v>0</v>
      </c>
      <c r="Q894" s="95">
        <f t="shared" si="253"/>
        <v>0</v>
      </c>
      <c r="R894" s="96"/>
      <c r="S894" s="97">
        <f t="shared" si="254"/>
        <v>1</v>
      </c>
      <c r="T894" s="98">
        <f t="shared" si="249"/>
        <v>0</v>
      </c>
      <c r="U894">
        <v>1</v>
      </c>
    </row>
    <row r="895" spans="2:25" ht="20.100000000000001" customHeight="1">
      <c r="B895" s="88">
        <v>9</v>
      </c>
      <c r="C895" s="89" t="s">
        <v>2130</v>
      </c>
      <c r="D895" s="90" t="s">
        <v>2205</v>
      </c>
      <c r="E895" s="91" t="s">
        <v>2206</v>
      </c>
      <c r="F895" s="315">
        <v>22.75</v>
      </c>
      <c r="G895" s="260"/>
      <c r="H895" s="260"/>
      <c r="I895" s="309"/>
      <c r="J895" s="199"/>
      <c r="K895" s="269"/>
      <c r="L895" s="93">
        <f t="shared" si="248"/>
        <v>0</v>
      </c>
      <c r="M895" s="183"/>
      <c r="N895" s="95">
        <f t="shared" si="250"/>
        <v>0</v>
      </c>
      <c r="O895" s="95">
        <f t="shared" si="251"/>
        <v>0</v>
      </c>
      <c r="P895" s="94">
        <f t="shared" si="252"/>
        <v>0</v>
      </c>
      <c r="Q895" s="95">
        <f t="shared" si="253"/>
        <v>0</v>
      </c>
      <c r="R895" s="96"/>
      <c r="S895" s="97">
        <f t="shared" si="254"/>
        <v>0</v>
      </c>
      <c r="T895" s="98">
        <f t="shared" si="249"/>
        <v>0</v>
      </c>
    </row>
    <row r="896" spans="2:25" ht="20.100000000000001" customHeight="1">
      <c r="B896" s="88">
        <v>9</v>
      </c>
      <c r="C896" s="89" t="s">
        <v>2130</v>
      </c>
      <c r="D896" s="90" t="s">
        <v>2207</v>
      </c>
      <c r="E896" s="91" t="s">
        <v>2208</v>
      </c>
      <c r="F896" s="315">
        <v>5.46</v>
      </c>
      <c r="G896" s="260">
        <v>48</v>
      </c>
      <c r="H896" s="260"/>
      <c r="I896" s="309"/>
      <c r="J896" s="199"/>
      <c r="K896" s="269">
        <v>12</v>
      </c>
      <c r="L896" s="93">
        <f t="shared" si="248"/>
        <v>36</v>
      </c>
      <c r="M896" s="183">
        <v>36</v>
      </c>
      <c r="N896" s="95">
        <f t="shared" si="250"/>
        <v>196.56</v>
      </c>
      <c r="O896" s="95">
        <f t="shared" si="251"/>
        <v>196.56</v>
      </c>
      <c r="P896" s="94">
        <f t="shared" si="252"/>
        <v>0</v>
      </c>
      <c r="Q896" s="95">
        <f t="shared" si="253"/>
        <v>0</v>
      </c>
      <c r="R896" s="96"/>
      <c r="S896" s="97">
        <f t="shared" si="254"/>
        <v>48</v>
      </c>
      <c r="T896" s="98">
        <f t="shared" si="249"/>
        <v>-12</v>
      </c>
      <c r="U896">
        <f>36+12</f>
        <v>48</v>
      </c>
    </row>
    <row r="897" spans="2:25" ht="20.100000000000001" customHeight="1">
      <c r="B897" s="88">
        <v>9</v>
      </c>
      <c r="C897" s="89" t="s">
        <v>2130</v>
      </c>
      <c r="D897" s="90" t="s">
        <v>2209</v>
      </c>
      <c r="E897" s="91" t="s">
        <v>2210</v>
      </c>
      <c r="F897" s="315">
        <v>47</v>
      </c>
      <c r="G897" s="260"/>
      <c r="H897" s="260"/>
      <c r="I897" s="309"/>
      <c r="J897" s="199"/>
      <c r="K897" s="269"/>
      <c r="L897" s="93">
        <f t="shared" si="248"/>
        <v>0</v>
      </c>
      <c r="M897" s="183"/>
      <c r="N897" s="95">
        <f t="shared" si="250"/>
        <v>0</v>
      </c>
      <c r="O897" s="95">
        <f t="shared" si="251"/>
        <v>0</v>
      </c>
      <c r="P897" s="94">
        <f t="shared" si="252"/>
        <v>0</v>
      </c>
      <c r="Q897" s="95">
        <f t="shared" si="253"/>
        <v>0</v>
      </c>
      <c r="R897" s="96"/>
      <c r="S897" s="97">
        <f t="shared" si="254"/>
        <v>0</v>
      </c>
      <c r="T897" s="98">
        <f t="shared" si="249"/>
        <v>0</v>
      </c>
    </row>
    <row r="898" spans="2:25" ht="20.100000000000001" customHeight="1">
      <c r="B898" s="88">
        <v>9</v>
      </c>
      <c r="C898" s="89" t="s">
        <v>2130</v>
      </c>
      <c r="D898" s="90" t="s">
        <v>2211</v>
      </c>
      <c r="E898" s="91" t="s">
        <v>2212</v>
      </c>
      <c r="F898" s="315">
        <v>125.26</v>
      </c>
      <c r="G898" s="260"/>
      <c r="H898" s="260"/>
      <c r="I898" s="309"/>
      <c r="J898" s="199"/>
      <c r="K898" s="269"/>
      <c r="L898" s="93">
        <f t="shared" si="248"/>
        <v>0</v>
      </c>
      <c r="M898" s="183"/>
      <c r="N898" s="95">
        <f t="shared" si="250"/>
        <v>0</v>
      </c>
      <c r="O898" s="95">
        <f t="shared" si="251"/>
        <v>0</v>
      </c>
      <c r="P898" s="94">
        <f t="shared" si="252"/>
        <v>0</v>
      </c>
      <c r="Q898" s="95">
        <f t="shared" si="253"/>
        <v>0</v>
      </c>
      <c r="R898" s="96"/>
      <c r="S898" s="97">
        <f t="shared" si="254"/>
        <v>0</v>
      </c>
      <c r="T898" s="98">
        <f t="shared" si="249"/>
        <v>0</v>
      </c>
    </row>
    <row r="899" spans="2:25" ht="20.100000000000001" customHeight="1">
      <c r="B899" s="88">
        <v>9</v>
      </c>
      <c r="C899" s="89" t="s">
        <v>2130</v>
      </c>
      <c r="D899" s="90" t="s">
        <v>2213</v>
      </c>
      <c r="E899" s="91" t="s">
        <v>2214</v>
      </c>
      <c r="F899" s="315">
        <v>83.05</v>
      </c>
      <c r="G899" s="260"/>
      <c r="H899" s="260"/>
      <c r="I899" s="309"/>
      <c r="J899" s="199"/>
      <c r="K899" s="269"/>
      <c r="L899" s="93">
        <f t="shared" si="248"/>
        <v>0</v>
      </c>
      <c r="M899" s="183"/>
      <c r="N899" s="95">
        <f t="shared" si="250"/>
        <v>0</v>
      </c>
      <c r="O899" s="95">
        <f t="shared" si="251"/>
        <v>0</v>
      </c>
      <c r="P899" s="94">
        <f t="shared" si="252"/>
        <v>0</v>
      </c>
      <c r="Q899" s="95">
        <f t="shared" si="253"/>
        <v>0</v>
      </c>
      <c r="R899" s="96"/>
      <c r="S899" s="97">
        <f t="shared" si="254"/>
        <v>0</v>
      </c>
      <c r="T899" s="98">
        <f t="shared" si="249"/>
        <v>0</v>
      </c>
    </row>
    <row r="900" spans="2:25" ht="20.100000000000001" customHeight="1">
      <c r="B900" s="88">
        <v>9</v>
      </c>
      <c r="C900" s="89" t="s">
        <v>2130</v>
      </c>
      <c r="D900" s="90" t="s">
        <v>2215</v>
      </c>
      <c r="E900" s="91" t="s">
        <v>2216</v>
      </c>
      <c r="F900" s="315">
        <v>7.75</v>
      </c>
      <c r="G900" s="260">
        <v>170</v>
      </c>
      <c r="H900" s="260"/>
      <c r="I900" s="309"/>
      <c r="J900" s="199"/>
      <c r="K900" s="269">
        <v>3</v>
      </c>
      <c r="L900" s="93">
        <f t="shared" si="248"/>
        <v>167</v>
      </c>
      <c r="M900" s="183">
        <v>167</v>
      </c>
      <c r="N900" s="95">
        <f t="shared" si="250"/>
        <v>1294.25</v>
      </c>
      <c r="O900" s="95">
        <f t="shared" si="251"/>
        <v>1294.25</v>
      </c>
      <c r="P900" s="94">
        <f t="shared" si="252"/>
        <v>0</v>
      </c>
      <c r="Q900" s="95">
        <f t="shared" si="253"/>
        <v>0</v>
      </c>
      <c r="R900" s="278" t="s">
        <v>5232</v>
      </c>
      <c r="S900" s="97">
        <f t="shared" si="254"/>
        <v>172</v>
      </c>
      <c r="T900" s="98">
        <f t="shared" si="249"/>
        <v>-5</v>
      </c>
      <c r="U900">
        <f>149+23</f>
        <v>172</v>
      </c>
    </row>
    <row r="901" spans="2:25" ht="20.100000000000001" customHeight="1">
      <c r="B901" s="88">
        <v>9</v>
      </c>
      <c r="C901" s="89" t="s">
        <v>2130</v>
      </c>
      <c r="D901" s="90" t="s">
        <v>2217</v>
      </c>
      <c r="E901" s="91" t="s">
        <v>2218</v>
      </c>
      <c r="F901" s="315">
        <v>121.38</v>
      </c>
      <c r="G901" s="260"/>
      <c r="H901" s="260"/>
      <c r="I901" s="309"/>
      <c r="J901" s="199"/>
      <c r="K901" s="269"/>
      <c r="L901" s="93">
        <f t="shared" si="248"/>
        <v>0</v>
      </c>
      <c r="M901" s="183"/>
      <c r="N901" s="95">
        <f t="shared" si="250"/>
        <v>0</v>
      </c>
      <c r="O901" s="95">
        <f t="shared" si="251"/>
        <v>0</v>
      </c>
      <c r="P901" s="94">
        <f t="shared" si="252"/>
        <v>0</v>
      </c>
      <c r="Q901" s="95">
        <f t="shared" si="253"/>
        <v>0</v>
      </c>
      <c r="R901" s="96"/>
      <c r="S901" s="97">
        <f t="shared" si="254"/>
        <v>0</v>
      </c>
      <c r="T901" s="98">
        <f t="shared" si="249"/>
        <v>0</v>
      </c>
    </row>
    <row r="902" spans="2:25" ht="20.100000000000001" customHeight="1">
      <c r="B902" s="88">
        <v>9</v>
      </c>
      <c r="C902" s="89" t="s">
        <v>2130</v>
      </c>
      <c r="D902" s="90" t="s">
        <v>2219</v>
      </c>
      <c r="E902" s="91" t="s">
        <v>2220</v>
      </c>
      <c r="F902" s="315">
        <v>7.75</v>
      </c>
      <c r="G902" s="260">
        <v>99</v>
      </c>
      <c r="H902" s="260"/>
      <c r="I902" s="309"/>
      <c r="J902" s="199"/>
      <c r="K902" s="269"/>
      <c r="L902" s="93">
        <f t="shared" si="248"/>
        <v>99</v>
      </c>
      <c r="M902" s="183">
        <v>99</v>
      </c>
      <c r="N902" s="95">
        <f t="shared" si="250"/>
        <v>767.25</v>
      </c>
      <c r="O902" s="95">
        <f t="shared" si="251"/>
        <v>767.25</v>
      </c>
      <c r="P902" s="94">
        <f t="shared" si="252"/>
        <v>0</v>
      </c>
      <c r="Q902" s="95">
        <f t="shared" si="253"/>
        <v>0</v>
      </c>
      <c r="R902" s="96"/>
      <c r="S902" s="97">
        <f t="shared" si="254"/>
        <v>102</v>
      </c>
      <c r="T902" s="98">
        <f t="shared" si="249"/>
        <v>-3</v>
      </c>
      <c r="U902">
        <v>102</v>
      </c>
    </row>
    <row r="903" spans="2:25" ht="20.100000000000001" customHeight="1">
      <c r="B903" s="88">
        <v>9</v>
      </c>
      <c r="C903" s="89" t="s">
        <v>2130</v>
      </c>
      <c r="D903" s="90" t="s">
        <v>2219</v>
      </c>
      <c r="E903" s="91" t="s">
        <v>2220</v>
      </c>
      <c r="F903" s="315">
        <v>7.75</v>
      </c>
      <c r="G903" s="260"/>
      <c r="H903" s="260"/>
      <c r="I903" s="309"/>
      <c r="J903" s="199"/>
      <c r="K903" s="269"/>
      <c r="L903" s="93">
        <f t="shared" si="248"/>
        <v>0</v>
      </c>
      <c r="M903" s="183"/>
      <c r="N903" s="95">
        <f t="shared" si="250"/>
        <v>0</v>
      </c>
      <c r="O903" s="95">
        <f t="shared" si="251"/>
        <v>0</v>
      </c>
      <c r="P903" s="94">
        <f t="shared" si="252"/>
        <v>0</v>
      </c>
      <c r="Q903" s="95">
        <f t="shared" si="253"/>
        <v>0</v>
      </c>
      <c r="R903" s="96"/>
      <c r="S903" s="97">
        <f t="shared" si="254"/>
        <v>0</v>
      </c>
      <c r="T903" s="98">
        <f t="shared" si="249"/>
        <v>0</v>
      </c>
    </row>
    <row r="904" spans="2:25" ht="20.100000000000001" customHeight="1">
      <c r="B904" s="88">
        <v>9</v>
      </c>
      <c r="C904" s="89" t="s">
        <v>2130</v>
      </c>
      <c r="D904" s="90" t="s">
        <v>2221</v>
      </c>
      <c r="E904" s="91" t="s">
        <v>2222</v>
      </c>
      <c r="F904" s="315">
        <v>53.57</v>
      </c>
      <c r="G904" s="260">
        <v>3</v>
      </c>
      <c r="H904" s="260"/>
      <c r="I904" s="309"/>
      <c r="J904" s="199"/>
      <c r="K904" s="269"/>
      <c r="L904" s="93">
        <f t="shared" si="248"/>
        <v>3</v>
      </c>
      <c r="M904" s="183">
        <v>3</v>
      </c>
      <c r="N904" s="95">
        <f t="shared" si="250"/>
        <v>160.71</v>
      </c>
      <c r="O904" s="95">
        <f t="shared" si="251"/>
        <v>160.71</v>
      </c>
      <c r="P904" s="94">
        <f t="shared" si="252"/>
        <v>0</v>
      </c>
      <c r="Q904" s="95">
        <f t="shared" si="253"/>
        <v>0</v>
      </c>
      <c r="R904" s="96"/>
      <c r="S904" s="97">
        <f t="shared" si="254"/>
        <v>3</v>
      </c>
      <c r="T904" s="98">
        <f t="shared" si="249"/>
        <v>0</v>
      </c>
      <c r="U904">
        <v>3</v>
      </c>
    </row>
    <row r="905" spans="2:25" ht="20.100000000000001" customHeight="1">
      <c r="B905" s="88">
        <v>9</v>
      </c>
      <c r="C905" s="89" t="s">
        <v>2130</v>
      </c>
      <c r="D905" s="90" t="s">
        <v>2223</v>
      </c>
      <c r="E905" s="91" t="s">
        <v>2224</v>
      </c>
      <c r="F905" s="315">
        <v>71.5</v>
      </c>
      <c r="G905" s="260">
        <v>1</v>
      </c>
      <c r="H905" s="260"/>
      <c r="I905" s="309"/>
      <c r="J905" s="199"/>
      <c r="K905" s="269"/>
      <c r="L905" s="93">
        <f t="shared" si="248"/>
        <v>1</v>
      </c>
      <c r="M905" s="183">
        <v>1</v>
      </c>
      <c r="N905" s="95">
        <f t="shared" si="250"/>
        <v>71.5</v>
      </c>
      <c r="O905" s="95">
        <f t="shared" si="251"/>
        <v>71.5</v>
      </c>
      <c r="P905" s="94">
        <f t="shared" si="252"/>
        <v>0</v>
      </c>
      <c r="Q905" s="95">
        <f t="shared" si="253"/>
        <v>0</v>
      </c>
      <c r="R905" s="96"/>
      <c r="S905" s="97">
        <f t="shared" si="254"/>
        <v>1</v>
      </c>
      <c r="T905" s="98">
        <f t="shared" si="249"/>
        <v>0</v>
      </c>
      <c r="U905">
        <v>1</v>
      </c>
    </row>
    <row r="906" spans="2:25" ht="20.100000000000001" customHeight="1">
      <c r="B906" s="88">
        <v>9</v>
      </c>
      <c r="C906" s="89" t="s">
        <v>2130</v>
      </c>
      <c r="D906" s="90" t="s">
        <v>2225</v>
      </c>
      <c r="E906" s="91" t="s">
        <v>2226</v>
      </c>
      <c r="F906" s="315">
        <v>71.5</v>
      </c>
      <c r="G906" s="260">
        <v>2</v>
      </c>
      <c r="H906" s="260"/>
      <c r="I906" s="309"/>
      <c r="J906" s="199"/>
      <c r="K906" s="269"/>
      <c r="L906" s="93">
        <f t="shared" si="248"/>
        <v>2</v>
      </c>
      <c r="M906" s="183">
        <v>2</v>
      </c>
      <c r="N906" s="95">
        <f t="shared" si="250"/>
        <v>143</v>
      </c>
      <c r="O906" s="95">
        <f t="shared" si="251"/>
        <v>143</v>
      </c>
      <c r="P906" s="94">
        <f t="shared" si="252"/>
        <v>0</v>
      </c>
      <c r="Q906" s="95">
        <f t="shared" si="253"/>
        <v>0</v>
      </c>
      <c r="R906" s="96"/>
      <c r="S906" s="97">
        <f t="shared" si="254"/>
        <v>2</v>
      </c>
      <c r="T906" s="98">
        <f t="shared" si="249"/>
        <v>0</v>
      </c>
      <c r="U906">
        <v>2</v>
      </c>
    </row>
    <row r="907" spans="2:25" ht="20.100000000000001" customHeight="1">
      <c r="B907" s="88">
        <v>9</v>
      </c>
      <c r="C907" s="89" t="s">
        <v>2130</v>
      </c>
      <c r="D907" s="90" t="s">
        <v>2227</v>
      </c>
      <c r="E907" s="91" t="s">
        <v>2228</v>
      </c>
      <c r="F907" s="315">
        <v>9.17</v>
      </c>
      <c r="G907" s="260">
        <v>89</v>
      </c>
      <c r="H907" s="260"/>
      <c r="I907" s="309"/>
      <c r="J907" s="199"/>
      <c r="K907" s="269">
        <v>2</v>
      </c>
      <c r="L907" s="93">
        <f t="shared" si="248"/>
        <v>87</v>
      </c>
      <c r="M907" s="183">
        <v>87</v>
      </c>
      <c r="N907" s="95">
        <f t="shared" si="250"/>
        <v>797.79</v>
      </c>
      <c r="O907" s="95">
        <f t="shared" si="251"/>
        <v>797.79</v>
      </c>
      <c r="P907" s="94">
        <f t="shared" si="252"/>
        <v>0</v>
      </c>
      <c r="Q907" s="95">
        <f t="shared" si="253"/>
        <v>0</v>
      </c>
      <c r="R907" s="96"/>
      <c r="S907" s="97">
        <f t="shared" si="254"/>
        <v>92</v>
      </c>
      <c r="T907" s="98">
        <f t="shared" si="249"/>
        <v>-5</v>
      </c>
      <c r="U907">
        <v>92</v>
      </c>
    </row>
    <row r="908" spans="2:25" ht="20.100000000000001" customHeight="1">
      <c r="B908" s="88">
        <v>9</v>
      </c>
      <c r="C908" s="89" t="s">
        <v>2130</v>
      </c>
      <c r="D908" s="90" t="s">
        <v>2229</v>
      </c>
      <c r="E908" s="91" t="s">
        <v>2230</v>
      </c>
      <c r="F908" s="315">
        <v>15.5</v>
      </c>
      <c r="G908" s="260">
        <v>8</v>
      </c>
      <c r="H908" s="260"/>
      <c r="I908" s="309"/>
      <c r="J908" s="199"/>
      <c r="K908" s="269">
        <v>1</v>
      </c>
      <c r="L908" s="93">
        <f t="shared" si="248"/>
        <v>7</v>
      </c>
      <c r="M908" s="183">
        <v>7</v>
      </c>
      <c r="N908" s="95">
        <f t="shared" si="250"/>
        <v>108.5</v>
      </c>
      <c r="O908" s="95">
        <f t="shared" si="251"/>
        <v>108.5</v>
      </c>
      <c r="P908" s="94">
        <f t="shared" si="252"/>
        <v>0</v>
      </c>
      <c r="Q908" s="95">
        <f t="shared" si="253"/>
        <v>0</v>
      </c>
      <c r="R908" s="96"/>
      <c r="S908" s="97">
        <f t="shared" si="254"/>
        <v>0</v>
      </c>
      <c r="T908" s="98">
        <f t="shared" si="249"/>
        <v>7</v>
      </c>
    </row>
    <row r="909" spans="2:25" ht="20.100000000000001" customHeight="1">
      <c r="B909" s="88">
        <v>9</v>
      </c>
      <c r="C909" s="89" t="s">
        <v>2130</v>
      </c>
      <c r="D909" s="90" t="s">
        <v>2231</v>
      </c>
      <c r="E909" s="91" t="s">
        <v>2232</v>
      </c>
      <c r="F909" s="315">
        <v>12.67</v>
      </c>
      <c r="G909" s="260"/>
      <c r="H909" s="260"/>
      <c r="I909" s="309"/>
      <c r="J909" s="199"/>
      <c r="K909" s="269"/>
      <c r="L909" s="93">
        <f t="shared" si="248"/>
        <v>0</v>
      </c>
      <c r="M909" s="183"/>
      <c r="N909" s="95">
        <f t="shared" si="250"/>
        <v>0</v>
      </c>
      <c r="O909" s="95">
        <f t="shared" si="251"/>
        <v>0</v>
      </c>
      <c r="P909" s="94">
        <f t="shared" si="252"/>
        <v>0</v>
      </c>
      <c r="Q909" s="95">
        <f t="shared" si="253"/>
        <v>0</v>
      </c>
      <c r="R909" s="96"/>
      <c r="S909" s="97">
        <f t="shared" si="254"/>
        <v>0</v>
      </c>
      <c r="T909" s="98">
        <f t="shared" si="249"/>
        <v>0</v>
      </c>
    </row>
    <row r="910" spans="2:25" ht="20.100000000000001" customHeight="1">
      <c r="B910" s="88">
        <v>9</v>
      </c>
      <c r="C910" s="89" t="s">
        <v>2130</v>
      </c>
      <c r="D910" s="90" t="s">
        <v>2233</v>
      </c>
      <c r="E910" s="91" t="s">
        <v>2234</v>
      </c>
      <c r="F910" s="315">
        <v>30.2</v>
      </c>
      <c r="G910" s="260"/>
      <c r="H910" s="260">
        <v>2</v>
      </c>
      <c r="I910" s="309"/>
      <c r="J910" s="199"/>
      <c r="K910" s="269">
        <v>2</v>
      </c>
      <c r="L910" s="93">
        <f t="shared" si="248"/>
        <v>0</v>
      </c>
      <c r="M910" s="183"/>
      <c r="N910" s="95">
        <f t="shared" si="250"/>
        <v>0</v>
      </c>
      <c r="O910" s="95">
        <f t="shared" si="251"/>
        <v>0</v>
      </c>
      <c r="P910" s="94">
        <f t="shared" si="252"/>
        <v>0</v>
      </c>
      <c r="Q910" s="95">
        <f t="shared" si="253"/>
        <v>0</v>
      </c>
      <c r="R910" s="96"/>
      <c r="S910" s="97">
        <f t="shared" si="254"/>
        <v>0</v>
      </c>
      <c r="T910" s="98">
        <f t="shared" si="249"/>
        <v>0</v>
      </c>
    </row>
    <row r="911" spans="2:25" ht="20.100000000000001" customHeight="1">
      <c r="B911" s="88">
        <v>9</v>
      </c>
      <c r="C911" s="89" t="s">
        <v>2130</v>
      </c>
      <c r="D911" s="90" t="s">
        <v>2235</v>
      </c>
      <c r="E911" s="91" t="s">
        <v>2236</v>
      </c>
      <c r="F911" s="315">
        <v>91.5</v>
      </c>
      <c r="G911" s="260"/>
      <c r="H911" s="260">
        <v>2</v>
      </c>
      <c r="I911" s="309"/>
      <c r="J911" s="199"/>
      <c r="K911" s="269">
        <v>2</v>
      </c>
      <c r="L911" s="93">
        <f t="shared" si="248"/>
        <v>0</v>
      </c>
      <c r="M911" s="183"/>
      <c r="N911" s="95">
        <f t="shared" si="250"/>
        <v>0</v>
      </c>
      <c r="O911" s="95">
        <f t="shared" si="251"/>
        <v>0</v>
      </c>
      <c r="P911" s="94">
        <f t="shared" si="252"/>
        <v>0</v>
      </c>
      <c r="Q911" s="95">
        <f t="shared" si="253"/>
        <v>0</v>
      </c>
      <c r="R911" s="96"/>
      <c r="S911" s="97">
        <f t="shared" si="254"/>
        <v>2</v>
      </c>
      <c r="T911" s="98">
        <f t="shared" si="249"/>
        <v>-2</v>
      </c>
      <c r="U911">
        <v>2</v>
      </c>
    </row>
    <row r="912" spans="2:25" ht="20.100000000000001" customHeight="1">
      <c r="B912" s="88">
        <v>9</v>
      </c>
      <c r="C912" s="89" t="s">
        <v>2130</v>
      </c>
      <c r="D912" s="90" t="s">
        <v>2237</v>
      </c>
      <c r="E912" s="91" t="s">
        <v>2238</v>
      </c>
      <c r="F912" s="315">
        <v>152</v>
      </c>
      <c r="G912" s="260">
        <v>7</v>
      </c>
      <c r="H912" s="260"/>
      <c r="I912" s="309"/>
      <c r="J912" s="199"/>
      <c r="K912" s="269">
        <v>1</v>
      </c>
      <c r="L912" s="93">
        <f t="shared" si="248"/>
        <v>6</v>
      </c>
      <c r="M912" s="183">
        <v>6</v>
      </c>
      <c r="N912" s="95">
        <f t="shared" si="250"/>
        <v>912</v>
      </c>
      <c r="O912" s="95">
        <f t="shared" si="251"/>
        <v>912</v>
      </c>
      <c r="P912" s="94">
        <f t="shared" si="252"/>
        <v>0</v>
      </c>
      <c r="Q912" s="95">
        <f t="shared" si="253"/>
        <v>0</v>
      </c>
      <c r="R912" s="96"/>
      <c r="S912" s="97">
        <f t="shared" si="254"/>
        <v>6</v>
      </c>
      <c r="T912" s="98">
        <f t="shared" si="249"/>
        <v>0</v>
      </c>
      <c r="Y912">
        <v>6</v>
      </c>
    </row>
    <row r="913" spans="2:25" ht="20.100000000000001" customHeight="1">
      <c r="B913" s="88">
        <v>9</v>
      </c>
      <c r="C913" s="89" t="s">
        <v>2130</v>
      </c>
      <c r="D913" s="90" t="s">
        <v>2239</v>
      </c>
      <c r="E913" s="91" t="s">
        <v>2240</v>
      </c>
      <c r="F913" s="315">
        <v>133</v>
      </c>
      <c r="G913" s="260"/>
      <c r="H913" s="260"/>
      <c r="I913" s="309"/>
      <c r="J913" s="199"/>
      <c r="K913" s="269"/>
      <c r="L913" s="93">
        <f t="shared" si="248"/>
        <v>0</v>
      </c>
      <c r="M913" s="183"/>
      <c r="N913" s="95">
        <f t="shared" si="250"/>
        <v>0</v>
      </c>
      <c r="O913" s="95">
        <f t="shared" si="251"/>
        <v>0</v>
      </c>
      <c r="P913" s="94">
        <f t="shared" si="252"/>
        <v>0</v>
      </c>
      <c r="Q913" s="95">
        <f t="shared" si="253"/>
        <v>0</v>
      </c>
      <c r="R913" s="96"/>
      <c r="S913" s="97">
        <f t="shared" si="254"/>
        <v>0</v>
      </c>
      <c r="T913" s="98">
        <f t="shared" si="249"/>
        <v>0</v>
      </c>
    </row>
    <row r="914" spans="2:25" ht="20.100000000000001" customHeight="1">
      <c r="B914" s="88">
        <v>9</v>
      </c>
      <c r="C914" s="89" t="s">
        <v>2130</v>
      </c>
      <c r="D914" s="90" t="s">
        <v>2241</v>
      </c>
      <c r="E914" s="91" t="s">
        <v>2242</v>
      </c>
      <c r="F914" s="315">
        <v>152</v>
      </c>
      <c r="G914" s="260">
        <v>11</v>
      </c>
      <c r="H914" s="260"/>
      <c r="I914" s="309"/>
      <c r="J914" s="199"/>
      <c r="K914" s="269">
        <v>1</v>
      </c>
      <c r="L914" s="93">
        <f t="shared" si="248"/>
        <v>10</v>
      </c>
      <c r="M914" s="183">
        <v>10</v>
      </c>
      <c r="N914" s="95">
        <f t="shared" si="250"/>
        <v>1520</v>
      </c>
      <c r="O914" s="95">
        <f t="shared" si="251"/>
        <v>1520</v>
      </c>
      <c r="P914" s="94">
        <f t="shared" si="252"/>
        <v>0</v>
      </c>
      <c r="Q914" s="95">
        <f t="shared" si="253"/>
        <v>0</v>
      </c>
      <c r="R914" s="96"/>
      <c r="S914" s="97">
        <f t="shared" si="254"/>
        <v>12</v>
      </c>
      <c r="T914" s="98">
        <f t="shared" si="249"/>
        <v>-2</v>
      </c>
      <c r="U914">
        <v>3</v>
      </c>
      <c r="Y914">
        <v>9</v>
      </c>
    </row>
    <row r="915" spans="2:25" ht="20.100000000000001" customHeight="1">
      <c r="B915" s="88">
        <v>9</v>
      </c>
      <c r="C915" s="89" t="s">
        <v>2130</v>
      </c>
      <c r="D915" s="90" t="s">
        <v>2243</v>
      </c>
      <c r="E915" s="91" t="s">
        <v>2244</v>
      </c>
      <c r="F915" s="315">
        <v>133</v>
      </c>
      <c r="G915" s="260"/>
      <c r="H915" s="260"/>
      <c r="I915" s="309"/>
      <c r="J915" s="199"/>
      <c r="K915" s="269"/>
      <c r="L915" s="93">
        <f t="shared" si="248"/>
        <v>0</v>
      </c>
      <c r="M915" s="183"/>
      <c r="N915" s="95">
        <f t="shared" si="250"/>
        <v>0</v>
      </c>
      <c r="O915" s="95">
        <f t="shared" si="251"/>
        <v>0</v>
      </c>
      <c r="P915" s="94">
        <f t="shared" si="252"/>
        <v>0</v>
      </c>
      <c r="Q915" s="95">
        <f t="shared" si="253"/>
        <v>0</v>
      </c>
      <c r="R915" s="96"/>
      <c r="S915" s="97">
        <f t="shared" si="254"/>
        <v>0</v>
      </c>
      <c r="T915" s="98">
        <f t="shared" si="249"/>
        <v>0</v>
      </c>
    </row>
    <row r="916" spans="2:25" ht="20.100000000000001" customHeight="1">
      <c r="B916" s="88">
        <v>9</v>
      </c>
      <c r="C916" s="89" t="s">
        <v>2130</v>
      </c>
      <c r="D916" s="90" t="s">
        <v>2245</v>
      </c>
      <c r="E916" s="91" t="s">
        <v>2246</v>
      </c>
      <c r="F916" s="315">
        <v>152</v>
      </c>
      <c r="G916" s="260"/>
      <c r="H916" s="260"/>
      <c r="I916" s="309"/>
      <c r="J916" s="199"/>
      <c r="K916" s="269"/>
      <c r="L916" s="93">
        <f t="shared" si="248"/>
        <v>0</v>
      </c>
      <c r="M916" s="183"/>
      <c r="N916" s="95">
        <f t="shared" si="250"/>
        <v>0</v>
      </c>
      <c r="O916" s="95">
        <f t="shared" si="251"/>
        <v>0</v>
      </c>
      <c r="P916" s="94">
        <f t="shared" si="252"/>
        <v>0</v>
      </c>
      <c r="Q916" s="95">
        <f t="shared" si="253"/>
        <v>0</v>
      </c>
      <c r="R916" s="96"/>
      <c r="S916" s="97">
        <f t="shared" si="254"/>
        <v>0</v>
      </c>
      <c r="T916" s="98">
        <f t="shared" si="249"/>
        <v>0</v>
      </c>
    </row>
    <row r="917" spans="2:25" ht="20.100000000000001" customHeight="1">
      <c r="B917" s="88">
        <v>9</v>
      </c>
      <c r="C917" s="89" t="s">
        <v>2130</v>
      </c>
      <c r="D917" s="90" t="s">
        <v>2247</v>
      </c>
      <c r="E917" s="91" t="s">
        <v>2248</v>
      </c>
      <c r="F917" s="315">
        <v>171</v>
      </c>
      <c r="G917" s="260"/>
      <c r="H917" s="260"/>
      <c r="I917" s="309"/>
      <c r="J917" s="199"/>
      <c r="K917" s="269"/>
      <c r="L917" s="93">
        <f t="shared" si="248"/>
        <v>0</v>
      </c>
      <c r="M917" s="183"/>
      <c r="N917" s="95">
        <f t="shared" si="250"/>
        <v>0</v>
      </c>
      <c r="O917" s="95">
        <f t="shared" si="251"/>
        <v>0</v>
      </c>
      <c r="P917" s="94">
        <f t="shared" si="252"/>
        <v>0</v>
      </c>
      <c r="Q917" s="95">
        <f t="shared" si="253"/>
        <v>0</v>
      </c>
      <c r="R917" s="96"/>
      <c r="S917" s="97">
        <f t="shared" si="254"/>
        <v>0</v>
      </c>
      <c r="T917" s="98">
        <f t="shared" si="249"/>
        <v>0</v>
      </c>
    </row>
    <row r="918" spans="2:25" ht="20.100000000000001" customHeight="1">
      <c r="B918" s="88">
        <v>9</v>
      </c>
      <c r="C918" s="89" t="s">
        <v>2130</v>
      </c>
      <c r="D918" s="90" t="s">
        <v>2249</v>
      </c>
      <c r="E918" s="91" t="s">
        <v>2250</v>
      </c>
      <c r="F918" s="315">
        <v>8.3000000000000007</v>
      </c>
      <c r="G918" s="260">
        <f>264+6</f>
        <v>270</v>
      </c>
      <c r="H918" s="260">
        <v>36</v>
      </c>
      <c r="I918" s="309"/>
      <c r="J918" s="199"/>
      <c r="K918" s="269">
        <v>42</v>
      </c>
      <c r="L918" s="93">
        <f t="shared" si="248"/>
        <v>264</v>
      </c>
      <c r="M918" s="183">
        <v>264</v>
      </c>
      <c r="N918" s="95">
        <f t="shared" si="250"/>
        <v>2191.2000000000003</v>
      </c>
      <c r="O918" s="95">
        <f t="shared" si="251"/>
        <v>2191.2000000000003</v>
      </c>
      <c r="P918" s="94">
        <f t="shared" si="252"/>
        <v>0</v>
      </c>
      <c r="Q918" s="95">
        <f t="shared" si="253"/>
        <v>0</v>
      </c>
      <c r="R918" s="278"/>
      <c r="S918" s="97">
        <f t="shared" si="254"/>
        <v>264</v>
      </c>
      <c r="T918" s="98">
        <f t="shared" si="249"/>
        <v>0</v>
      </c>
      <c r="Y918">
        <v>264</v>
      </c>
    </row>
    <row r="919" spans="2:25" ht="20.100000000000001" customHeight="1">
      <c r="B919" s="88">
        <v>9</v>
      </c>
      <c r="C919" s="89" t="s">
        <v>2130</v>
      </c>
      <c r="D919" s="90" t="s">
        <v>2251</v>
      </c>
      <c r="E919" s="91" t="s">
        <v>2252</v>
      </c>
      <c r="F919" s="315">
        <v>120.1</v>
      </c>
      <c r="G919" s="260"/>
      <c r="H919" s="260"/>
      <c r="I919" s="309"/>
      <c r="J919" s="199"/>
      <c r="K919" s="269"/>
      <c r="L919" s="93">
        <f t="shared" si="248"/>
        <v>0</v>
      </c>
      <c r="M919" s="183"/>
      <c r="N919" s="95">
        <f t="shared" si="250"/>
        <v>0</v>
      </c>
      <c r="O919" s="95">
        <f t="shared" si="251"/>
        <v>0</v>
      </c>
      <c r="P919" s="94">
        <f t="shared" si="252"/>
        <v>0</v>
      </c>
      <c r="Q919" s="95">
        <f t="shared" si="253"/>
        <v>0</v>
      </c>
      <c r="R919" s="96"/>
      <c r="S919" s="97">
        <f t="shared" si="254"/>
        <v>0</v>
      </c>
      <c r="T919" s="98">
        <f t="shared" si="249"/>
        <v>0</v>
      </c>
    </row>
    <row r="920" spans="2:25" ht="20.100000000000001" customHeight="1">
      <c r="B920" s="88">
        <v>9</v>
      </c>
      <c r="C920" s="89" t="s">
        <v>2130</v>
      </c>
      <c r="D920" s="90" t="s">
        <v>2253</v>
      </c>
      <c r="E920" s="91" t="s">
        <v>2254</v>
      </c>
      <c r="F920" s="315">
        <v>120.1</v>
      </c>
      <c r="G920" s="260">
        <v>4</v>
      </c>
      <c r="H920" s="260"/>
      <c r="I920" s="309"/>
      <c r="J920" s="199"/>
      <c r="K920" s="269"/>
      <c r="L920" s="93">
        <f t="shared" si="248"/>
        <v>4</v>
      </c>
      <c r="M920" s="183">
        <v>4</v>
      </c>
      <c r="N920" s="95">
        <f t="shared" si="250"/>
        <v>480.4</v>
      </c>
      <c r="O920" s="95">
        <f t="shared" si="251"/>
        <v>480.4</v>
      </c>
      <c r="P920" s="94">
        <f t="shared" si="252"/>
        <v>0</v>
      </c>
      <c r="Q920" s="95">
        <f t="shared" si="253"/>
        <v>0</v>
      </c>
      <c r="R920" s="96"/>
      <c r="S920" s="97">
        <f t="shared" si="254"/>
        <v>4</v>
      </c>
      <c r="T920" s="98">
        <f t="shared" si="249"/>
        <v>0</v>
      </c>
      <c r="U920">
        <v>4</v>
      </c>
    </row>
    <row r="921" spans="2:25" ht="20.100000000000001" customHeight="1">
      <c r="B921" s="88">
        <v>9</v>
      </c>
      <c r="C921" s="89" t="s">
        <v>2130</v>
      </c>
      <c r="D921" s="90" t="s">
        <v>2255</v>
      </c>
      <c r="E921" s="91" t="s">
        <v>2256</v>
      </c>
      <c r="F921" s="315">
        <v>28.97</v>
      </c>
      <c r="G921" s="260"/>
      <c r="H921" s="260"/>
      <c r="I921" s="309"/>
      <c r="J921" s="199"/>
      <c r="K921" s="269"/>
      <c r="L921" s="93">
        <f t="shared" si="248"/>
        <v>0</v>
      </c>
      <c r="M921" s="183"/>
      <c r="N921" s="95">
        <f t="shared" si="250"/>
        <v>0</v>
      </c>
      <c r="O921" s="95">
        <f t="shared" si="251"/>
        <v>0</v>
      </c>
      <c r="P921" s="94">
        <f t="shared" si="252"/>
        <v>0</v>
      </c>
      <c r="Q921" s="95">
        <f t="shared" si="253"/>
        <v>0</v>
      </c>
      <c r="R921" s="96"/>
      <c r="S921" s="97">
        <f t="shared" si="254"/>
        <v>0</v>
      </c>
      <c r="T921" s="98">
        <f t="shared" si="249"/>
        <v>0</v>
      </c>
    </row>
    <row r="922" spans="2:25" ht="20.100000000000001" customHeight="1">
      <c r="B922" s="88">
        <v>9</v>
      </c>
      <c r="C922" s="89" t="s">
        <v>2130</v>
      </c>
      <c r="D922" s="90" t="s">
        <v>2257</v>
      </c>
      <c r="E922" s="91" t="s">
        <v>2258</v>
      </c>
      <c r="F922" s="315">
        <v>120.1</v>
      </c>
      <c r="G922" s="260"/>
      <c r="H922" s="260"/>
      <c r="I922" s="309"/>
      <c r="J922" s="199"/>
      <c r="K922" s="269"/>
      <c r="L922" s="93">
        <f t="shared" si="248"/>
        <v>0</v>
      </c>
      <c r="M922" s="183"/>
      <c r="N922" s="95">
        <f t="shared" si="250"/>
        <v>0</v>
      </c>
      <c r="O922" s="95">
        <f t="shared" si="251"/>
        <v>0</v>
      </c>
      <c r="P922" s="94">
        <f t="shared" si="252"/>
        <v>0</v>
      </c>
      <c r="Q922" s="95">
        <f t="shared" si="253"/>
        <v>0</v>
      </c>
      <c r="R922" s="96"/>
      <c r="S922" s="97">
        <f t="shared" si="254"/>
        <v>0</v>
      </c>
      <c r="T922" s="98">
        <f t="shared" si="249"/>
        <v>0</v>
      </c>
    </row>
    <row r="923" spans="2:25" ht="20.100000000000001" customHeight="1">
      <c r="B923" s="88">
        <v>9</v>
      </c>
      <c r="C923" s="89" t="s">
        <v>2130</v>
      </c>
      <c r="D923" s="90" t="s">
        <v>2259</v>
      </c>
      <c r="E923" s="91" t="s">
        <v>2260</v>
      </c>
      <c r="F923" s="315">
        <v>91.5</v>
      </c>
      <c r="G923" s="260">
        <v>11</v>
      </c>
      <c r="H923" s="260"/>
      <c r="I923" s="309"/>
      <c r="J923" s="199"/>
      <c r="K923" s="269"/>
      <c r="L923" s="93">
        <f t="shared" si="248"/>
        <v>11</v>
      </c>
      <c r="M923" s="183">
        <v>11</v>
      </c>
      <c r="N923" s="95">
        <f t="shared" si="250"/>
        <v>1006.5</v>
      </c>
      <c r="O923" s="95">
        <f t="shared" si="251"/>
        <v>1006.5</v>
      </c>
      <c r="P923" s="94">
        <f t="shared" si="252"/>
        <v>0</v>
      </c>
      <c r="Q923" s="95">
        <f t="shared" si="253"/>
        <v>0</v>
      </c>
      <c r="R923" s="96"/>
      <c r="S923" s="97">
        <f t="shared" si="254"/>
        <v>11</v>
      </c>
      <c r="T923" s="98">
        <f t="shared" si="249"/>
        <v>0</v>
      </c>
      <c r="Y923">
        <v>11</v>
      </c>
    </row>
    <row r="924" spans="2:25" ht="20.100000000000001" customHeight="1">
      <c r="B924" s="88">
        <v>9</v>
      </c>
      <c r="C924" s="89" t="s">
        <v>2130</v>
      </c>
      <c r="D924" s="90" t="s">
        <v>2261</v>
      </c>
      <c r="E924" s="91" t="s">
        <v>2262</v>
      </c>
      <c r="F924" s="315">
        <v>133</v>
      </c>
      <c r="G924" s="260">
        <v>8</v>
      </c>
      <c r="H924" s="260"/>
      <c r="I924" s="309"/>
      <c r="J924" s="199"/>
      <c r="K924" s="269"/>
      <c r="L924" s="93">
        <f t="shared" si="248"/>
        <v>8</v>
      </c>
      <c r="M924" s="183">
        <v>8</v>
      </c>
      <c r="N924" s="95">
        <f t="shared" si="250"/>
        <v>1064</v>
      </c>
      <c r="O924" s="95">
        <f t="shared" si="251"/>
        <v>1064</v>
      </c>
      <c r="P924" s="94">
        <f t="shared" si="252"/>
        <v>0</v>
      </c>
      <c r="Q924" s="95">
        <f t="shared" si="253"/>
        <v>0</v>
      </c>
      <c r="R924" s="96"/>
      <c r="S924" s="97">
        <f t="shared" si="254"/>
        <v>8</v>
      </c>
      <c r="T924" s="98">
        <f t="shared" si="249"/>
        <v>0</v>
      </c>
      <c r="Y924">
        <v>8</v>
      </c>
    </row>
    <row r="925" spans="2:25" ht="20.100000000000001" customHeight="1">
      <c r="B925" s="88">
        <v>9</v>
      </c>
      <c r="C925" s="89" t="s">
        <v>2130</v>
      </c>
      <c r="D925" s="90" t="s">
        <v>2263</v>
      </c>
      <c r="E925" s="91" t="s">
        <v>2264</v>
      </c>
      <c r="F925" s="315">
        <v>8.3000000000000007</v>
      </c>
      <c r="G925" s="260">
        <v>2</v>
      </c>
      <c r="H925" s="260"/>
      <c r="I925" s="309"/>
      <c r="J925" s="199"/>
      <c r="K925" s="269"/>
      <c r="L925" s="93">
        <f t="shared" si="248"/>
        <v>2</v>
      </c>
      <c r="M925" s="183">
        <v>2</v>
      </c>
      <c r="N925" s="95">
        <f t="shared" si="250"/>
        <v>16.600000000000001</v>
      </c>
      <c r="O925" s="95">
        <f t="shared" si="251"/>
        <v>16.600000000000001</v>
      </c>
      <c r="P925" s="94">
        <f t="shared" si="252"/>
        <v>0</v>
      </c>
      <c r="Q925" s="95">
        <f t="shared" si="253"/>
        <v>0</v>
      </c>
      <c r="R925" s="96"/>
      <c r="S925" s="97">
        <f t="shared" si="254"/>
        <v>2</v>
      </c>
      <c r="T925" s="98">
        <f t="shared" si="249"/>
        <v>0</v>
      </c>
      <c r="U925">
        <v>2</v>
      </c>
    </row>
    <row r="926" spans="2:25" ht="20.100000000000001" customHeight="1">
      <c r="B926" s="88">
        <v>9</v>
      </c>
      <c r="C926" s="89" t="s">
        <v>2130</v>
      </c>
      <c r="D926" s="90" t="s">
        <v>2265</v>
      </c>
      <c r="E926" s="91" t="s">
        <v>2266</v>
      </c>
      <c r="F926" s="315">
        <v>45</v>
      </c>
      <c r="G926" s="260">
        <v>3</v>
      </c>
      <c r="H926" s="260"/>
      <c r="I926" s="309"/>
      <c r="J926" s="199"/>
      <c r="K926" s="269"/>
      <c r="L926" s="93">
        <f t="shared" si="248"/>
        <v>3</v>
      </c>
      <c r="M926" s="183">
        <v>3</v>
      </c>
      <c r="N926" s="95">
        <f t="shared" si="250"/>
        <v>135</v>
      </c>
      <c r="O926" s="95">
        <f t="shared" si="251"/>
        <v>135</v>
      </c>
      <c r="P926" s="94">
        <f t="shared" si="252"/>
        <v>0</v>
      </c>
      <c r="Q926" s="95">
        <f t="shared" si="253"/>
        <v>0</v>
      </c>
      <c r="R926" s="96"/>
      <c r="S926" s="97">
        <f t="shared" si="254"/>
        <v>3</v>
      </c>
      <c r="T926" s="98">
        <f t="shared" si="249"/>
        <v>0</v>
      </c>
      <c r="U926">
        <v>3</v>
      </c>
    </row>
    <row r="927" spans="2:25" ht="20.100000000000001" customHeight="1">
      <c r="B927" s="88">
        <v>9</v>
      </c>
      <c r="C927" s="89" t="s">
        <v>2130</v>
      </c>
      <c r="D927" s="90" t="s">
        <v>2267</v>
      </c>
      <c r="E927" s="91" t="s">
        <v>2268</v>
      </c>
      <c r="F927" s="315">
        <v>23.1</v>
      </c>
      <c r="G927" s="260"/>
      <c r="H927" s="260"/>
      <c r="I927" s="309"/>
      <c r="J927" s="199"/>
      <c r="K927" s="269"/>
      <c r="L927" s="93">
        <f t="shared" si="248"/>
        <v>0</v>
      </c>
      <c r="M927" s="183"/>
      <c r="N927" s="95">
        <f t="shared" si="250"/>
        <v>0</v>
      </c>
      <c r="O927" s="95">
        <f t="shared" si="251"/>
        <v>0</v>
      </c>
      <c r="P927" s="94">
        <f t="shared" si="252"/>
        <v>0</v>
      </c>
      <c r="Q927" s="95">
        <f t="shared" si="253"/>
        <v>0</v>
      </c>
      <c r="R927" s="96"/>
      <c r="S927" s="97">
        <f t="shared" si="254"/>
        <v>0</v>
      </c>
      <c r="T927" s="98">
        <f t="shared" si="249"/>
        <v>0</v>
      </c>
    </row>
    <row r="928" spans="2:25" ht="20.100000000000001" customHeight="1">
      <c r="B928" s="88">
        <v>9</v>
      </c>
      <c r="C928" s="89" t="s">
        <v>2130</v>
      </c>
      <c r="D928" s="90" t="s">
        <v>2269</v>
      </c>
      <c r="E928" s="91" t="s">
        <v>2270</v>
      </c>
      <c r="F928" s="315">
        <v>16.100000000000001</v>
      </c>
      <c r="G928" s="260"/>
      <c r="H928" s="260"/>
      <c r="I928" s="309"/>
      <c r="J928" s="199"/>
      <c r="K928" s="269"/>
      <c r="L928" s="93">
        <f t="shared" si="248"/>
        <v>0</v>
      </c>
      <c r="M928" s="183"/>
      <c r="N928" s="95">
        <f t="shared" si="250"/>
        <v>0</v>
      </c>
      <c r="O928" s="95">
        <f t="shared" si="251"/>
        <v>0</v>
      </c>
      <c r="P928" s="94">
        <f t="shared" si="252"/>
        <v>0</v>
      </c>
      <c r="Q928" s="95">
        <f t="shared" si="253"/>
        <v>0</v>
      </c>
      <c r="R928" s="96"/>
      <c r="S928" s="97">
        <f t="shared" si="254"/>
        <v>0</v>
      </c>
      <c r="T928" s="98">
        <f t="shared" si="249"/>
        <v>0</v>
      </c>
    </row>
    <row r="929" spans="2:31" ht="20.100000000000001" customHeight="1">
      <c r="B929" s="88">
        <v>9</v>
      </c>
      <c r="C929" s="89" t="s">
        <v>2130</v>
      </c>
      <c r="D929" s="90" t="s">
        <v>2271</v>
      </c>
      <c r="E929" s="91" t="s">
        <v>2272</v>
      </c>
      <c r="F929" s="315">
        <v>157</v>
      </c>
      <c r="G929" s="260"/>
      <c r="H929" s="260"/>
      <c r="I929" s="309"/>
      <c r="J929" s="199"/>
      <c r="K929" s="269"/>
      <c r="L929" s="93">
        <f t="shared" si="248"/>
        <v>0</v>
      </c>
      <c r="M929" s="183"/>
      <c r="N929" s="95">
        <f t="shared" si="250"/>
        <v>0</v>
      </c>
      <c r="O929" s="95">
        <f t="shared" si="251"/>
        <v>0</v>
      </c>
      <c r="P929" s="94">
        <f t="shared" si="252"/>
        <v>0</v>
      </c>
      <c r="Q929" s="95">
        <f t="shared" si="253"/>
        <v>0</v>
      </c>
      <c r="R929" s="96"/>
      <c r="S929" s="97">
        <f t="shared" si="254"/>
        <v>0</v>
      </c>
      <c r="T929" s="98">
        <f t="shared" si="249"/>
        <v>0</v>
      </c>
    </row>
    <row r="930" spans="2:31" ht="20.100000000000001" customHeight="1">
      <c r="B930" s="88">
        <v>9</v>
      </c>
      <c r="C930" s="89" t="s">
        <v>2130</v>
      </c>
      <c r="D930" s="90" t="s">
        <v>2273</v>
      </c>
      <c r="E930" s="91" t="s">
        <v>2274</v>
      </c>
      <c r="F930" s="315">
        <v>177</v>
      </c>
      <c r="G930" s="260">
        <v>1</v>
      </c>
      <c r="H930" s="260"/>
      <c r="I930" s="309"/>
      <c r="J930" s="199"/>
      <c r="K930" s="269"/>
      <c r="L930" s="93">
        <f t="shared" si="248"/>
        <v>1</v>
      </c>
      <c r="M930" s="183">
        <v>1</v>
      </c>
      <c r="N930" s="95">
        <f t="shared" si="250"/>
        <v>177</v>
      </c>
      <c r="O930" s="95">
        <f t="shared" si="251"/>
        <v>177</v>
      </c>
      <c r="P930" s="94">
        <f t="shared" si="252"/>
        <v>0</v>
      </c>
      <c r="Q930" s="95">
        <f t="shared" si="253"/>
        <v>0</v>
      </c>
      <c r="R930" s="96"/>
      <c r="S930" s="97">
        <f t="shared" si="254"/>
        <v>1</v>
      </c>
      <c r="T930" s="98">
        <f t="shared" si="249"/>
        <v>0</v>
      </c>
      <c r="Y930">
        <v>1</v>
      </c>
    </row>
    <row r="931" spans="2:31" ht="20.100000000000001" customHeight="1">
      <c r="B931" s="88">
        <v>9</v>
      </c>
      <c r="C931" s="89" t="s">
        <v>2130</v>
      </c>
      <c r="D931" s="90" t="s">
        <v>2275</v>
      </c>
      <c r="E931" s="91" t="s">
        <v>2276</v>
      </c>
      <c r="F931" s="315">
        <v>8.77</v>
      </c>
      <c r="G931" s="260">
        <v>2</v>
      </c>
      <c r="H931" s="260">
        <v>84</v>
      </c>
      <c r="I931" s="309"/>
      <c r="J931" s="199"/>
      <c r="K931" s="269">
        <v>86</v>
      </c>
      <c r="L931" s="93">
        <f t="shared" si="248"/>
        <v>0</v>
      </c>
      <c r="M931" s="183"/>
      <c r="N931" s="95">
        <f t="shared" si="250"/>
        <v>0</v>
      </c>
      <c r="O931" s="95">
        <f t="shared" si="251"/>
        <v>0</v>
      </c>
      <c r="P931" s="94">
        <f t="shared" si="252"/>
        <v>0</v>
      </c>
      <c r="Q931" s="95">
        <f t="shared" si="253"/>
        <v>0</v>
      </c>
      <c r="R931" s="278"/>
      <c r="S931" s="97">
        <f t="shared" si="254"/>
        <v>0</v>
      </c>
      <c r="T931" s="98">
        <f t="shared" si="249"/>
        <v>0</v>
      </c>
    </row>
    <row r="932" spans="2:31" ht="20.100000000000001" customHeight="1">
      <c r="B932" s="88">
        <v>9</v>
      </c>
      <c r="C932" s="89" t="s">
        <v>2130</v>
      </c>
      <c r="D932" s="90" t="s">
        <v>2277</v>
      </c>
      <c r="E932" s="91" t="s">
        <v>2278</v>
      </c>
      <c r="F932" s="315">
        <v>6.12</v>
      </c>
      <c r="G932" s="260"/>
      <c r="H932" s="260"/>
      <c r="I932" s="309"/>
      <c r="J932" s="199"/>
      <c r="K932" s="269"/>
      <c r="L932" s="93">
        <f t="shared" si="248"/>
        <v>0</v>
      </c>
      <c r="M932" s="183"/>
      <c r="N932" s="95">
        <f t="shared" si="250"/>
        <v>0</v>
      </c>
      <c r="O932" s="95">
        <f t="shared" si="251"/>
        <v>0</v>
      </c>
      <c r="P932" s="94">
        <f t="shared" si="252"/>
        <v>0</v>
      </c>
      <c r="Q932" s="95">
        <f t="shared" si="253"/>
        <v>0</v>
      </c>
      <c r="R932" s="96"/>
      <c r="S932" s="97">
        <f t="shared" si="254"/>
        <v>0</v>
      </c>
      <c r="T932" s="98">
        <f t="shared" si="249"/>
        <v>0</v>
      </c>
    </row>
    <row r="933" spans="2:31" ht="20.100000000000001" customHeight="1">
      <c r="B933" s="88">
        <v>9</v>
      </c>
      <c r="C933" s="89" t="s">
        <v>2130</v>
      </c>
      <c r="D933" s="90" t="s">
        <v>2279</v>
      </c>
      <c r="E933" s="91" t="s">
        <v>2280</v>
      </c>
      <c r="F933" s="315">
        <v>8.77</v>
      </c>
      <c r="G933" s="260"/>
      <c r="H933" s="260"/>
      <c r="I933" s="309"/>
      <c r="J933" s="199"/>
      <c r="K933" s="269"/>
      <c r="L933" s="93">
        <f t="shared" si="248"/>
        <v>0</v>
      </c>
      <c r="M933" s="183"/>
      <c r="N933" s="95">
        <f t="shared" si="250"/>
        <v>0</v>
      </c>
      <c r="O933" s="95">
        <f t="shared" si="251"/>
        <v>0</v>
      </c>
      <c r="P933" s="94">
        <f t="shared" si="252"/>
        <v>0</v>
      </c>
      <c r="Q933" s="95">
        <f t="shared" si="253"/>
        <v>0</v>
      </c>
      <c r="R933" s="96"/>
      <c r="S933" s="97">
        <f t="shared" si="254"/>
        <v>0</v>
      </c>
      <c r="T933" s="98">
        <f t="shared" si="249"/>
        <v>0</v>
      </c>
    </row>
    <row r="934" spans="2:31" ht="20.100000000000001" customHeight="1">
      <c r="B934" s="88">
        <v>9</v>
      </c>
      <c r="C934" s="89" t="s">
        <v>2130</v>
      </c>
      <c r="D934" s="90" t="s">
        <v>2281</v>
      </c>
      <c r="E934" s="91" t="s">
        <v>2282</v>
      </c>
      <c r="F934" s="315">
        <v>6.05</v>
      </c>
      <c r="G934" s="260">
        <v>440</v>
      </c>
      <c r="H934" s="260"/>
      <c r="I934" s="309"/>
      <c r="J934" s="199"/>
      <c r="K934" s="269"/>
      <c r="L934" s="93">
        <f t="shared" si="248"/>
        <v>440</v>
      </c>
      <c r="M934" s="183">
        <v>440</v>
      </c>
      <c r="N934" s="95">
        <f t="shared" si="250"/>
        <v>2662</v>
      </c>
      <c r="O934" s="95">
        <f t="shared" si="251"/>
        <v>2662</v>
      </c>
      <c r="P934" s="94">
        <f t="shared" si="252"/>
        <v>0</v>
      </c>
      <c r="Q934" s="95">
        <f t="shared" si="253"/>
        <v>0</v>
      </c>
      <c r="R934" s="96" t="s">
        <v>821</v>
      </c>
      <c r="S934" s="97">
        <f t="shared" si="254"/>
        <v>436</v>
      </c>
      <c r="T934" s="98">
        <f t="shared" si="249"/>
        <v>4</v>
      </c>
      <c r="U934">
        <v>4</v>
      </c>
      <c r="Y934">
        <v>432</v>
      </c>
    </row>
    <row r="935" spans="2:31" ht="20.100000000000001" customHeight="1">
      <c r="B935" s="88">
        <v>9</v>
      </c>
      <c r="C935" s="89" t="s">
        <v>2130</v>
      </c>
      <c r="D935" s="90" t="s">
        <v>2283</v>
      </c>
      <c r="E935" s="91" t="s">
        <v>2284</v>
      </c>
      <c r="F935" s="315">
        <v>67.88</v>
      </c>
      <c r="G935" s="260">
        <v>4</v>
      </c>
      <c r="H935" s="260">
        <v>4</v>
      </c>
      <c r="I935" s="309"/>
      <c r="J935" s="199"/>
      <c r="K935" s="269">
        <v>5</v>
      </c>
      <c r="L935" s="93">
        <f t="shared" si="248"/>
        <v>3</v>
      </c>
      <c r="M935" s="183">
        <v>3</v>
      </c>
      <c r="N935" s="95">
        <f t="shared" si="250"/>
        <v>203.64</v>
      </c>
      <c r="O935" s="95">
        <f t="shared" si="251"/>
        <v>203.64</v>
      </c>
      <c r="P935" s="94">
        <f t="shared" si="252"/>
        <v>0</v>
      </c>
      <c r="Q935" s="95">
        <f t="shared" si="253"/>
        <v>0</v>
      </c>
      <c r="R935" s="278"/>
      <c r="S935" s="97">
        <f t="shared" si="254"/>
        <v>65</v>
      </c>
      <c r="T935" s="98">
        <f t="shared" si="249"/>
        <v>-62</v>
      </c>
      <c r="U935">
        <v>64</v>
      </c>
      <c r="AA935">
        <v>1</v>
      </c>
      <c r="AB935" t="s">
        <v>1466</v>
      </c>
    </row>
    <row r="936" spans="2:31" ht="20.100000000000001" customHeight="1">
      <c r="B936" s="88">
        <v>9</v>
      </c>
      <c r="C936" s="89" t="s">
        <v>2130</v>
      </c>
      <c r="D936" s="90" t="s">
        <v>2285</v>
      </c>
      <c r="E936" s="91" t="s">
        <v>2286</v>
      </c>
      <c r="F936" s="315">
        <v>6.17</v>
      </c>
      <c r="G936" s="260"/>
      <c r="H936" s="260">
        <v>48</v>
      </c>
      <c r="I936" s="309"/>
      <c r="J936" s="199"/>
      <c r="K936" s="269">
        <v>48</v>
      </c>
      <c r="L936" s="93">
        <f t="shared" si="248"/>
        <v>0</v>
      </c>
      <c r="M936" s="183"/>
      <c r="N936" s="95">
        <f t="shared" si="250"/>
        <v>0</v>
      </c>
      <c r="O936" s="95">
        <f t="shared" si="251"/>
        <v>0</v>
      </c>
      <c r="P936" s="94">
        <f t="shared" si="252"/>
        <v>0</v>
      </c>
      <c r="Q936" s="95">
        <f t="shared" si="253"/>
        <v>0</v>
      </c>
      <c r="R936" s="96"/>
      <c r="S936" s="97">
        <f t="shared" si="254"/>
        <v>0</v>
      </c>
      <c r="T936" s="98">
        <f t="shared" si="249"/>
        <v>0</v>
      </c>
    </row>
    <row r="937" spans="2:31" ht="20.100000000000001" customHeight="1">
      <c r="B937" s="88">
        <v>9</v>
      </c>
      <c r="C937" s="89" t="s">
        <v>2130</v>
      </c>
      <c r="D937" s="90" t="s">
        <v>2287</v>
      </c>
      <c r="E937" s="91" t="s">
        <v>2288</v>
      </c>
      <c r="F937" s="315">
        <v>67.88</v>
      </c>
      <c r="G937" s="260">
        <v>19</v>
      </c>
      <c r="H937" s="260">
        <v>6</v>
      </c>
      <c r="I937" s="309"/>
      <c r="J937" s="199"/>
      <c r="K937" s="269">
        <v>7</v>
      </c>
      <c r="L937" s="93">
        <f t="shared" si="248"/>
        <v>18</v>
      </c>
      <c r="M937" s="183">
        <f>18</f>
        <v>18</v>
      </c>
      <c r="N937" s="95">
        <f t="shared" si="250"/>
        <v>1221.8399999999999</v>
      </c>
      <c r="O937" s="95">
        <f t="shared" si="251"/>
        <v>1221.8399999999999</v>
      </c>
      <c r="P937" s="94">
        <f t="shared" si="252"/>
        <v>0</v>
      </c>
      <c r="Q937" s="95">
        <f t="shared" si="253"/>
        <v>0</v>
      </c>
      <c r="R937" s="278"/>
      <c r="S937" s="97">
        <f t="shared" si="254"/>
        <v>132</v>
      </c>
      <c r="T937" s="98">
        <f t="shared" si="249"/>
        <v>-114</v>
      </c>
      <c r="U937">
        <f>54+36+24</f>
        <v>114</v>
      </c>
      <c r="Y937">
        <v>18</v>
      </c>
      <c r="Z937" s="99" t="s">
        <v>2289</v>
      </c>
      <c r="AD937">
        <f>Y937</f>
        <v>18</v>
      </c>
      <c r="AE937">
        <f>AD937*F937</f>
        <v>1221.8399999999999</v>
      </c>
    </row>
    <row r="938" spans="2:31" ht="20.100000000000001" customHeight="1">
      <c r="B938" s="88">
        <v>9</v>
      </c>
      <c r="C938" s="89" t="s">
        <v>2130</v>
      </c>
      <c r="D938" s="90" t="s">
        <v>2290</v>
      </c>
      <c r="E938" s="91" t="s">
        <v>2291</v>
      </c>
      <c r="F938" s="315">
        <v>96.49</v>
      </c>
      <c r="G938" s="260">
        <v>5</v>
      </c>
      <c r="H938" s="260"/>
      <c r="I938" s="309"/>
      <c r="J938" s="199"/>
      <c r="K938" s="269"/>
      <c r="L938" s="93">
        <f t="shared" si="248"/>
        <v>5</v>
      </c>
      <c r="M938" s="183">
        <v>5</v>
      </c>
      <c r="N938" s="95">
        <f t="shared" si="250"/>
        <v>482.45</v>
      </c>
      <c r="O938" s="95">
        <f t="shared" si="251"/>
        <v>482.45</v>
      </c>
      <c r="P938" s="94">
        <f t="shared" si="252"/>
        <v>0</v>
      </c>
      <c r="Q938" s="95">
        <f t="shared" si="253"/>
        <v>0</v>
      </c>
      <c r="R938" s="96"/>
      <c r="S938" s="97">
        <f t="shared" si="254"/>
        <v>5</v>
      </c>
      <c r="T938" s="98">
        <f t="shared" si="249"/>
        <v>0</v>
      </c>
      <c r="U938">
        <v>5</v>
      </c>
    </row>
    <row r="939" spans="2:31" ht="20.100000000000001" customHeight="1">
      <c r="B939" s="88">
        <v>9</v>
      </c>
      <c r="C939" s="89" t="s">
        <v>2130</v>
      </c>
      <c r="D939" s="90" t="s">
        <v>2292</v>
      </c>
      <c r="E939" s="91" t="s">
        <v>2293</v>
      </c>
      <c r="F939" s="315">
        <v>62.15</v>
      </c>
      <c r="G939" s="260">
        <v>40</v>
      </c>
      <c r="H939" s="260"/>
      <c r="I939" s="309"/>
      <c r="J939" s="199"/>
      <c r="K939" s="269"/>
      <c r="L939" s="93">
        <f t="shared" si="248"/>
        <v>40</v>
      </c>
      <c r="M939" s="183">
        <v>40</v>
      </c>
      <c r="N939" s="95">
        <f t="shared" si="250"/>
        <v>2486</v>
      </c>
      <c r="O939" s="95">
        <f t="shared" si="251"/>
        <v>2486</v>
      </c>
      <c r="P939" s="94">
        <f t="shared" si="252"/>
        <v>0</v>
      </c>
      <c r="Q939" s="95">
        <f t="shared" si="253"/>
        <v>0</v>
      </c>
      <c r="R939" s="96" t="s">
        <v>821</v>
      </c>
      <c r="S939" s="97">
        <f t="shared" si="254"/>
        <v>40</v>
      </c>
      <c r="T939" s="98">
        <f t="shared" si="249"/>
        <v>0</v>
      </c>
      <c r="Y939">
        <v>40</v>
      </c>
      <c r="Z939" s="99" t="s">
        <v>2289</v>
      </c>
      <c r="AD939">
        <f>Y939</f>
        <v>40</v>
      </c>
      <c r="AE939">
        <f>AD939*F939</f>
        <v>2486</v>
      </c>
    </row>
    <row r="940" spans="2:31" ht="20.100000000000001" customHeight="1">
      <c r="B940" s="88">
        <v>9</v>
      </c>
      <c r="C940" s="89" t="s">
        <v>2130</v>
      </c>
      <c r="D940" s="90" t="s">
        <v>2294</v>
      </c>
      <c r="E940" s="91" t="s">
        <v>2295</v>
      </c>
      <c r="F940" s="315">
        <v>6.17</v>
      </c>
      <c r="G940" s="260">
        <v>1</v>
      </c>
      <c r="H940" s="260"/>
      <c r="I940" s="309"/>
      <c r="J940" s="199"/>
      <c r="K940" s="269"/>
      <c r="L940" s="93">
        <f t="shared" si="248"/>
        <v>1</v>
      </c>
      <c r="M940" s="183">
        <v>2</v>
      </c>
      <c r="N940" s="95">
        <f t="shared" si="250"/>
        <v>6.17</v>
      </c>
      <c r="O940" s="95">
        <f t="shared" si="251"/>
        <v>12.34</v>
      </c>
      <c r="P940" s="94">
        <f t="shared" si="252"/>
        <v>-1</v>
      </c>
      <c r="Q940" s="95">
        <f t="shared" si="253"/>
        <v>-6.17</v>
      </c>
      <c r="R940" s="96"/>
      <c r="S940" s="97">
        <f t="shared" si="254"/>
        <v>1</v>
      </c>
      <c r="T940" s="98">
        <f t="shared" si="249"/>
        <v>1</v>
      </c>
      <c r="U940">
        <v>1</v>
      </c>
    </row>
    <row r="941" spans="2:31" ht="20.100000000000001" customHeight="1">
      <c r="B941" s="88">
        <v>9</v>
      </c>
      <c r="C941" s="89" t="s">
        <v>2130</v>
      </c>
      <c r="D941" s="90" t="s">
        <v>2294</v>
      </c>
      <c r="E941" s="91" t="s">
        <v>2295</v>
      </c>
      <c r="F941" s="315">
        <v>6.17</v>
      </c>
      <c r="G941" s="260"/>
      <c r="H941" s="260"/>
      <c r="I941" s="309"/>
      <c r="J941" s="199"/>
      <c r="K941" s="269"/>
      <c r="L941" s="93">
        <f t="shared" si="248"/>
        <v>0</v>
      </c>
      <c r="M941" s="183"/>
      <c r="N941" s="95">
        <f t="shared" si="250"/>
        <v>0</v>
      </c>
      <c r="O941" s="95">
        <f t="shared" si="251"/>
        <v>0</v>
      </c>
      <c r="P941" s="94">
        <f t="shared" si="252"/>
        <v>0</v>
      </c>
      <c r="Q941" s="95">
        <f t="shared" si="253"/>
        <v>0</v>
      </c>
      <c r="R941" s="96"/>
      <c r="S941" s="97">
        <f t="shared" si="254"/>
        <v>0</v>
      </c>
      <c r="T941" s="98">
        <f t="shared" si="249"/>
        <v>0</v>
      </c>
    </row>
    <row r="942" spans="2:31" ht="20.100000000000001" customHeight="1">
      <c r="B942" s="88">
        <v>9</v>
      </c>
      <c r="C942" s="89" t="s">
        <v>2130</v>
      </c>
      <c r="D942" s="90" t="s">
        <v>2296</v>
      </c>
      <c r="E942" s="91" t="s">
        <v>2297</v>
      </c>
      <c r="F942" s="315">
        <v>6.15</v>
      </c>
      <c r="G942" s="260">
        <v>108</v>
      </c>
      <c r="H942" s="260"/>
      <c r="I942" s="309"/>
      <c r="J942" s="199"/>
      <c r="K942" s="269"/>
      <c r="L942" s="93">
        <f t="shared" si="248"/>
        <v>108</v>
      </c>
      <c r="M942" s="183">
        <v>108</v>
      </c>
      <c r="N942" s="95">
        <f t="shared" si="250"/>
        <v>664.2</v>
      </c>
      <c r="O942" s="95">
        <f t="shared" si="251"/>
        <v>664.2</v>
      </c>
      <c r="P942" s="94">
        <f t="shared" si="252"/>
        <v>0</v>
      </c>
      <c r="Q942" s="95">
        <f t="shared" si="253"/>
        <v>0</v>
      </c>
      <c r="R942" s="96"/>
      <c r="S942" s="97">
        <f t="shared" si="254"/>
        <v>108</v>
      </c>
      <c r="T942" s="98">
        <f t="shared" si="249"/>
        <v>0</v>
      </c>
      <c r="Y942">
        <v>108</v>
      </c>
    </row>
    <row r="943" spans="2:31" ht="20.100000000000001" customHeight="1">
      <c r="B943" s="88">
        <v>9</v>
      </c>
      <c r="C943" s="89" t="s">
        <v>2130</v>
      </c>
      <c r="D943" s="90" t="s">
        <v>2298</v>
      </c>
      <c r="E943" s="91" t="s">
        <v>2299</v>
      </c>
      <c r="F943" s="315">
        <v>54</v>
      </c>
      <c r="G943" s="260">
        <v>3</v>
      </c>
      <c r="H943" s="260"/>
      <c r="I943" s="309"/>
      <c r="J943" s="199"/>
      <c r="K943" s="269">
        <v>1</v>
      </c>
      <c r="L943" s="93">
        <f t="shared" si="248"/>
        <v>2</v>
      </c>
      <c r="M943" s="183">
        <v>2</v>
      </c>
      <c r="N943" s="95">
        <f t="shared" si="250"/>
        <v>108</v>
      </c>
      <c r="O943" s="95">
        <f t="shared" si="251"/>
        <v>108</v>
      </c>
      <c r="P943" s="94">
        <f t="shared" si="252"/>
        <v>0</v>
      </c>
      <c r="Q943" s="95">
        <f t="shared" si="253"/>
        <v>0</v>
      </c>
      <c r="R943" s="96"/>
      <c r="S943" s="97">
        <f t="shared" si="254"/>
        <v>6</v>
      </c>
      <c r="T943" s="98">
        <f t="shared" si="249"/>
        <v>-4</v>
      </c>
      <c r="U943">
        <v>6</v>
      </c>
    </row>
    <row r="944" spans="2:31" ht="20.100000000000001" customHeight="1">
      <c r="B944" s="88">
        <v>9</v>
      </c>
      <c r="C944" s="89" t="s">
        <v>2130</v>
      </c>
      <c r="D944" s="90" t="s">
        <v>2300</v>
      </c>
      <c r="E944" s="91" t="s">
        <v>2301</v>
      </c>
      <c r="F944" s="315">
        <v>13.55</v>
      </c>
      <c r="G944" s="260">
        <v>3</v>
      </c>
      <c r="H944" s="260"/>
      <c r="I944" s="309"/>
      <c r="J944" s="199"/>
      <c r="K944" s="269"/>
      <c r="L944" s="93">
        <f t="shared" si="248"/>
        <v>3</v>
      </c>
      <c r="M944" s="183">
        <v>3</v>
      </c>
      <c r="N944" s="95">
        <f t="shared" si="250"/>
        <v>40.650000000000006</v>
      </c>
      <c r="O944" s="95">
        <f t="shared" si="251"/>
        <v>40.650000000000006</v>
      </c>
      <c r="P944" s="94">
        <f t="shared" si="252"/>
        <v>0</v>
      </c>
      <c r="Q944" s="95">
        <f t="shared" si="253"/>
        <v>0</v>
      </c>
      <c r="R944" s="96"/>
      <c r="S944" s="97">
        <f t="shared" si="254"/>
        <v>3</v>
      </c>
      <c r="T944" s="98">
        <f t="shared" si="249"/>
        <v>0</v>
      </c>
      <c r="U944">
        <v>3</v>
      </c>
    </row>
    <row r="945" spans="2:31" ht="20.100000000000001" customHeight="1">
      <c r="B945" s="88">
        <v>9</v>
      </c>
      <c r="C945" s="89" t="s">
        <v>2130</v>
      </c>
      <c r="D945" s="90" t="s">
        <v>2302</v>
      </c>
      <c r="E945" s="91" t="s">
        <v>2303</v>
      </c>
      <c r="F945" s="315">
        <v>184.98</v>
      </c>
      <c r="G945" s="260"/>
      <c r="H945" s="260"/>
      <c r="I945" s="309"/>
      <c r="J945" s="199"/>
      <c r="K945" s="269"/>
      <c r="L945" s="93">
        <f t="shared" si="248"/>
        <v>0</v>
      </c>
      <c r="M945" s="183"/>
      <c r="N945" s="95">
        <f t="shared" si="250"/>
        <v>0</v>
      </c>
      <c r="O945" s="95">
        <f t="shared" si="251"/>
        <v>0</v>
      </c>
      <c r="P945" s="94">
        <f t="shared" si="252"/>
        <v>0</v>
      </c>
      <c r="Q945" s="95">
        <f t="shared" si="253"/>
        <v>0</v>
      </c>
      <c r="R945" s="96"/>
      <c r="S945" s="97">
        <f t="shared" si="254"/>
        <v>0</v>
      </c>
      <c r="T945" s="98">
        <f t="shared" si="249"/>
        <v>0</v>
      </c>
    </row>
    <row r="946" spans="2:31" ht="20.100000000000001" customHeight="1">
      <c r="B946" s="88">
        <v>9</v>
      </c>
      <c r="C946" s="89" t="s">
        <v>2130</v>
      </c>
      <c r="D946" s="90" t="s">
        <v>2304</v>
      </c>
      <c r="E946" s="91" t="s">
        <v>2305</v>
      </c>
      <c r="F946" s="315">
        <v>6.35</v>
      </c>
      <c r="G946" s="260">
        <v>5</v>
      </c>
      <c r="H946" s="260"/>
      <c r="I946" s="309"/>
      <c r="J946" s="199"/>
      <c r="K946" s="269"/>
      <c r="L946" s="93">
        <f t="shared" si="248"/>
        <v>5</v>
      </c>
      <c r="M946" s="183">
        <v>5</v>
      </c>
      <c r="N946" s="95">
        <f t="shared" si="250"/>
        <v>31.75</v>
      </c>
      <c r="O946" s="95">
        <f t="shared" si="251"/>
        <v>31.75</v>
      </c>
      <c r="P946" s="94">
        <f t="shared" si="252"/>
        <v>0</v>
      </c>
      <c r="Q946" s="95">
        <f t="shared" si="253"/>
        <v>0</v>
      </c>
      <c r="R946" s="96"/>
      <c r="S946" s="97">
        <f t="shared" si="254"/>
        <v>5</v>
      </c>
      <c r="T946" s="98">
        <f t="shared" si="249"/>
        <v>0</v>
      </c>
      <c r="U946">
        <v>5</v>
      </c>
    </row>
    <row r="947" spans="2:31" ht="20.100000000000001" customHeight="1">
      <c r="B947" s="88">
        <v>9</v>
      </c>
      <c r="C947" s="89" t="s">
        <v>2130</v>
      </c>
      <c r="D947" s="90" t="s">
        <v>2306</v>
      </c>
      <c r="E947" s="91" t="s">
        <v>2307</v>
      </c>
      <c r="F947" s="315">
        <v>4.8</v>
      </c>
      <c r="G947" s="260">
        <v>5</v>
      </c>
      <c r="H947" s="260"/>
      <c r="I947" s="309"/>
      <c r="J947" s="199"/>
      <c r="K947" s="269"/>
      <c r="L947" s="93">
        <f t="shared" si="248"/>
        <v>5</v>
      </c>
      <c r="M947" s="183">
        <v>5</v>
      </c>
      <c r="N947" s="95">
        <f t="shared" si="250"/>
        <v>24</v>
      </c>
      <c r="O947" s="95">
        <f t="shared" si="251"/>
        <v>24</v>
      </c>
      <c r="P947" s="94">
        <f t="shared" si="252"/>
        <v>0</v>
      </c>
      <c r="Q947" s="95">
        <f t="shared" si="253"/>
        <v>0</v>
      </c>
      <c r="R947" s="96"/>
      <c r="S947" s="97">
        <f t="shared" si="254"/>
        <v>5</v>
      </c>
      <c r="T947" s="98">
        <f t="shared" si="249"/>
        <v>0</v>
      </c>
      <c r="U947">
        <v>5</v>
      </c>
    </row>
    <row r="948" spans="2:31" ht="20.100000000000001" customHeight="1">
      <c r="B948" s="88">
        <v>9</v>
      </c>
      <c r="C948" s="89" t="s">
        <v>2130</v>
      </c>
      <c r="D948" s="90" t="s">
        <v>2308</v>
      </c>
      <c r="E948" s="91" t="s">
        <v>2309</v>
      </c>
      <c r="F948" s="315">
        <v>5.3</v>
      </c>
      <c r="G948" s="260">
        <v>20</v>
      </c>
      <c r="H948" s="260"/>
      <c r="I948" s="309"/>
      <c r="J948" s="199"/>
      <c r="K948" s="269"/>
      <c r="L948" s="93">
        <f t="shared" si="248"/>
        <v>20</v>
      </c>
      <c r="M948" s="183">
        <v>20</v>
      </c>
      <c r="N948" s="95">
        <f t="shared" si="250"/>
        <v>106</v>
      </c>
      <c r="O948" s="95">
        <f t="shared" si="251"/>
        <v>106</v>
      </c>
      <c r="P948" s="94">
        <f t="shared" si="252"/>
        <v>0</v>
      </c>
      <c r="Q948" s="95">
        <f t="shared" si="253"/>
        <v>0</v>
      </c>
      <c r="R948" s="96"/>
      <c r="S948" s="97">
        <f t="shared" si="254"/>
        <v>20</v>
      </c>
      <c r="T948" s="98">
        <f t="shared" ref="T948:T1009" si="255">M948-S948</f>
        <v>0</v>
      </c>
      <c r="AA948">
        <v>20</v>
      </c>
      <c r="AB948" t="s">
        <v>1466</v>
      </c>
      <c r="AD948">
        <f>AA948</f>
        <v>20</v>
      </c>
      <c r="AE948">
        <f>AD948*F948</f>
        <v>106</v>
      </c>
    </row>
    <row r="949" spans="2:31" ht="20.100000000000001" customHeight="1">
      <c r="B949" s="88">
        <v>9</v>
      </c>
      <c r="C949" s="89" t="s">
        <v>2130</v>
      </c>
      <c r="D949" s="90" t="s">
        <v>2310</v>
      </c>
      <c r="E949" s="91" t="s">
        <v>2311</v>
      </c>
      <c r="F949" s="315">
        <v>184.98</v>
      </c>
      <c r="G949" s="260">
        <v>2</v>
      </c>
      <c r="H949" s="260"/>
      <c r="I949" s="309"/>
      <c r="J949" s="199"/>
      <c r="K949" s="269"/>
      <c r="L949" s="93">
        <f t="shared" si="248"/>
        <v>2</v>
      </c>
      <c r="M949" s="183">
        <v>2</v>
      </c>
      <c r="N949" s="95">
        <f t="shared" ref="N949:N1010" si="256">F949*L949</f>
        <v>369.96</v>
      </c>
      <c r="O949" s="95">
        <f t="shared" ref="O949:O1010" si="257">M949*F949</f>
        <v>369.96</v>
      </c>
      <c r="P949" s="94">
        <f t="shared" ref="P949:P1010" si="258">L949-M949</f>
        <v>0</v>
      </c>
      <c r="Q949" s="95">
        <f t="shared" ref="Q949:Q1010" si="259">N949-O949</f>
        <v>0</v>
      </c>
      <c r="R949" s="96"/>
      <c r="S949" s="97">
        <f t="shared" ref="S949:S1010" si="260">U949+Y949+W949+AA949</f>
        <v>2</v>
      </c>
      <c r="T949" s="98">
        <f t="shared" si="255"/>
        <v>0</v>
      </c>
      <c r="U949">
        <v>2</v>
      </c>
    </row>
    <row r="950" spans="2:31" ht="20.100000000000001" customHeight="1">
      <c r="B950" s="88">
        <v>9</v>
      </c>
      <c r="C950" s="89" t="s">
        <v>2130</v>
      </c>
      <c r="D950" s="90" t="s">
        <v>2312</v>
      </c>
      <c r="E950" s="91" t="s">
        <v>2313</v>
      </c>
      <c r="F950" s="315">
        <v>6.48</v>
      </c>
      <c r="G950" s="260">
        <v>306</v>
      </c>
      <c r="H950" s="260"/>
      <c r="I950" s="309"/>
      <c r="J950" s="199"/>
      <c r="K950" s="269"/>
      <c r="L950" s="93">
        <f t="shared" ref="L950:L1012" si="261">G950+I950-J950-K950+H950</f>
        <v>306</v>
      </c>
      <c r="M950" s="183">
        <f>5+240+66</f>
        <v>311</v>
      </c>
      <c r="N950" s="95">
        <f t="shared" si="256"/>
        <v>1982.88</v>
      </c>
      <c r="O950" s="95">
        <f t="shared" si="257"/>
        <v>2015.2800000000002</v>
      </c>
      <c r="P950" s="94">
        <f t="shared" si="258"/>
        <v>-5</v>
      </c>
      <c r="Q950" s="95">
        <f t="shared" si="259"/>
        <v>-32.400000000000091</v>
      </c>
      <c r="R950" s="96"/>
      <c r="S950" s="97">
        <f t="shared" si="260"/>
        <v>306</v>
      </c>
      <c r="T950" s="98">
        <f t="shared" si="255"/>
        <v>5</v>
      </c>
      <c r="U950">
        <v>66</v>
      </c>
      <c r="Y950">
        <v>240</v>
      </c>
    </row>
    <row r="951" spans="2:31" ht="20.100000000000001" customHeight="1">
      <c r="B951" s="88">
        <v>9</v>
      </c>
      <c r="C951" s="89" t="s">
        <v>2130</v>
      </c>
      <c r="D951" s="90" t="s">
        <v>2314</v>
      </c>
      <c r="E951" s="91" t="s">
        <v>2315</v>
      </c>
      <c r="F951" s="315">
        <v>6.35</v>
      </c>
      <c r="G951" s="260">
        <v>220</v>
      </c>
      <c r="H951" s="260"/>
      <c r="I951" s="309"/>
      <c r="J951" s="199"/>
      <c r="K951" s="269"/>
      <c r="L951" s="93">
        <f t="shared" si="261"/>
        <v>220</v>
      </c>
      <c r="M951" s="183">
        <v>220</v>
      </c>
      <c r="N951" s="95">
        <f t="shared" si="256"/>
        <v>1397</v>
      </c>
      <c r="O951" s="95">
        <f t="shared" si="257"/>
        <v>1397</v>
      </c>
      <c r="P951" s="94">
        <f t="shared" si="258"/>
        <v>0</v>
      </c>
      <c r="Q951" s="95">
        <f t="shared" si="259"/>
        <v>0</v>
      </c>
      <c r="R951" s="96"/>
      <c r="S951" s="97">
        <f t="shared" si="260"/>
        <v>420</v>
      </c>
      <c r="T951" s="98">
        <f t="shared" si="255"/>
        <v>-200</v>
      </c>
      <c r="U951">
        <v>204</v>
      </c>
      <c r="Y951">
        <v>216</v>
      </c>
    </row>
    <row r="952" spans="2:31" ht="20.100000000000001" customHeight="1">
      <c r="B952" s="88">
        <v>9</v>
      </c>
      <c r="C952" s="89" t="s">
        <v>2130</v>
      </c>
      <c r="D952" s="90" t="s">
        <v>2316</v>
      </c>
      <c r="E952" s="91" t="s">
        <v>2317</v>
      </c>
      <c r="F952" s="315">
        <v>4.3</v>
      </c>
      <c r="G952" s="260">
        <v>2</v>
      </c>
      <c r="H952" s="260"/>
      <c r="I952" s="309"/>
      <c r="J952" s="199"/>
      <c r="K952" s="269"/>
      <c r="L952" s="93">
        <f t="shared" si="261"/>
        <v>2</v>
      </c>
      <c r="M952" s="183">
        <v>2</v>
      </c>
      <c r="N952" s="95">
        <f t="shared" si="256"/>
        <v>8.6</v>
      </c>
      <c r="O952" s="95">
        <f t="shared" si="257"/>
        <v>8.6</v>
      </c>
      <c r="P952" s="94">
        <f t="shared" si="258"/>
        <v>0</v>
      </c>
      <c r="Q952" s="95">
        <f t="shared" si="259"/>
        <v>0</v>
      </c>
      <c r="R952" s="96"/>
      <c r="S952" s="97">
        <f t="shared" si="260"/>
        <v>2</v>
      </c>
      <c r="T952" s="98">
        <f t="shared" si="255"/>
        <v>0</v>
      </c>
      <c r="AA952">
        <v>2</v>
      </c>
      <c r="AB952" t="s">
        <v>1466</v>
      </c>
      <c r="AD952">
        <f>AA952</f>
        <v>2</v>
      </c>
      <c r="AE952">
        <f>AD952*F952</f>
        <v>8.6</v>
      </c>
    </row>
    <row r="953" spans="2:31" ht="20.100000000000001" customHeight="1">
      <c r="B953" s="88">
        <v>9</v>
      </c>
      <c r="C953" s="89" t="s">
        <v>2130</v>
      </c>
      <c r="D953" s="90" t="s">
        <v>2318</v>
      </c>
      <c r="E953" s="91" t="s">
        <v>2319</v>
      </c>
      <c r="F953" s="315">
        <v>5.0999999999999996</v>
      </c>
      <c r="G953" s="260">
        <v>6</v>
      </c>
      <c r="H953" s="260"/>
      <c r="I953" s="309"/>
      <c r="J953" s="199"/>
      <c r="K953" s="269"/>
      <c r="L953" s="93">
        <f t="shared" si="261"/>
        <v>6</v>
      </c>
      <c r="M953" s="183">
        <v>6</v>
      </c>
      <c r="N953" s="95">
        <f t="shared" si="256"/>
        <v>30.599999999999998</v>
      </c>
      <c r="O953" s="95">
        <f t="shared" si="257"/>
        <v>30.599999999999998</v>
      </c>
      <c r="P953" s="94">
        <f t="shared" si="258"/>
        <v>0</v>
      </c>
      <c r="Q953" s="95">
        <f t="shared" si="259"/>
        <v>0</v>
      </c>
      <c r="R953" s="96"/>
      <c r="S953" s="97">
        <f t="shared" si="260"/>
        <v>0</v>
      </c>
      <c r="T953" s="98">
        <f t="shared" si="255"/>
        <v>6</v>
      </c>
    </row>
    <row r="954" spans="2:31" ht="20.100000000000001" customHeight="1">
      <c r="B954" s="88">
        <v>9</v>
      </c>
      <c r="C954" s="89" t="s">
        <v>2130</v>
      </c>
      <c r="D954" s="90" t="s">
        <v>2320</v>
      </c>
      <c r="E954" s="91" t="s">
        <v>2321</v>
      </c>
      <c r="F954" s="315">
        <v>57.22</v>
      </c>
      <c r="G954" s="260">
        <v>18</v>
      </c>
      <c r="H954" s="260"/>
      <c r="I954" s="309"/>
      <c r="J954" s="199"/>
      <c r="K954" s="269"/>
      <c r="L954" s="93">
        <f t="shared" si="261"/>
        <v>18</v>
      </c>
      <c r="M954" s="183">
        <v>18</v>
      </c>
      <c r="N954" s="95">
        <f t="shared" si="256"/>
        <v>1029.96</v>
      </c>
      <c r="O954" s="95">
        <f t="shared" si="257"/>
        <v>1029.96</v>
      </c>
      <c r="P954" s="94">
        <f t="shared" si="258"/>
        <v>0</v>
      </c>
      <c r="Q954" s="95">
        <f t="shared" si="259"/>
        <v>0</v>
      </c>
      <c r="R954" s="96"/>
      <c r="S954" s="97">
        <f t="shared" si="260"/>
        <v>18</v>
      </c>
      <c r="T954" s="98">
        <f t="shared" si="255"/>
        <v>0</v>
      </c>
      <c r="U954">
        <v>18</v>
      </c>
    </row>
    <row r="955" spans="2:31" ht="20.100000000000001" customHeight="1">
      <c r="B955" s="88">
        <v>9</v>
      </c>
      <c r="C955" s="89" t="s">
        <v>2130</v>
      </c>
      <c r="D955" s="90" t="s">
        <v>2322</v>
      </c>
      <c r="E955" s="91" t="s">
        <v>2323</v>
      </c>
      <c r="F955" s="315">
        <v>5.2</v>
      </c>
      <c r="G955" s="260"/>
      <c r="H955" s="260"/>
      <c r="I955" s="309"/>
      <c r="J955" s="199"/>
      <c r="K955" s="269"/>
      <c r="L955" s="93">
        <f t="shared" si="261"/>
        <v>0</v>
      </c>
      <c r="M955" s="183"/>
      <c r="N955" s="95">
        <f t="shared" si="256"/>
        <v>0</v>
      </c>
      <c r="O955" s="95">
        <f t="shared" si="257"/>
        <v>0</v>
      </c>
      <c r="P955" s="94">
        <f t="shared" si="258"/>
        <v>0</v>
      </c>
      <c r="Q955" s="95">
        <f t="shared" si="259"/>
        <v>0</v>
      </c>
      <c r="R955" s="96"/>
      <c r="S955" s="97">
        <f t="shared" si="260"/>
        <v>0</v>
      </c>
      <c r="T955" s="98">
        <f t="shared" si="255"/>
        <v>0</v>
      </c>
    </row>
    <row r="956" spans="2:31" ht="20.100000000000001" customHeight="1">
      <c r="B956" s="88">
        <v>9</v>
      </c>
      <c r="C956" s="89" t="s">
        <v>2130</v>
      </c>
      <c r="D956" s="90" t="s">
        <v>2324</v>
      </c>
      <c r="E956" s="91" t="s">
        <v>2325</v>
      </c>
      <c r="F956" s="315">
        <v>4.3</v>
      </c>
      <c r="G956" s="260">
        <v>2</v>
      </c>
      <c r="H956" s="260"/>
      <c r="I956" s="309"/>
      <c r="J956" s="199"/>
      <c r="K956" s="269"/>
      <c r="L956" s="93">
        <f t="shared" si="261"/>
        <v>2</v>
      </c>
      <c r="M956" s="183">
        <v>2</v>
      </c>
      <c r="N956" s="95">
        <f t="shared" si="256"/>
        <v>8.6</v>
      </c>
      <c r="O956" s="95">
        <f t="shared" si="257"/>
        <v>8.6</v>
      </c>
      <c r="P956" s="94">
        <f t="shared" si="258"/>
        <v>0</v>
      </c>
      <c r="Q956" s="95">
        <f t="shared" si="259"/>
        <v>0</v>
      </c>
      <c r="R956" s="96"/>
      <c r="S956" s="97">
        <f t="shared" si="260"/>
        <v>2</v>
      </c>
      <c r="T956" s="98">
        <f t="shared" si="255"/>
        <v>0</v>
      </c>
      <c r="U956">
        <v>2</v>
      </c>
    </row>
    <row r="957" spans="2:31" ht="20.100000000000001" customHeight="1">
      <c r="B957" s="88">
        <v>9</v>
      </c>
      <c r="C957" s="89" t="s">
        <v>2130</v>
      </c>
      <c r="D957" s="90" t="s">
        <v>2326</v>
      </c>
      <c r="E957" s="91" t="s">
        <v>2327</v>
      </c>
      <c r="F957" s="315">
        <v>5.92</v>
      </c>
      <c r="G957" s="260"/>
      <c r="H957" s="260">
        <v>5</v>
      </c>
      <c r="I957" s="309"/>
      <c r="J957" s="199"/>
      <c r="K957" s="269"/>
      <c r="L957" s="93">
        <f t="shared" si="261"/>
        <v>5</v>
      </c>
      <c r="M957" s="183">
        <v>5</v>
      </c>
      <c r="N957" s="95">
        <f t="shared" si="256"/>
        <v>29.6</v>
      </c>
      <c r="O957" s="95">
        <f t="shared" si="257"/>
        <v>29.6</v>
      </c>
      <c r="P957" s="94">
        <f t="shared" si="258"/>
        <v>0</v>
      </c>
      <c r="Q957" s="95">
        <f t="shared" si="259"/>
        <v>0</v>
      </c>
      <c r="R957" s="96"/>
      <c r="S957" s="97">
        <f t="shared" si="260"/>
        <v>0</v>
      </c>
      <c r="T957" s="98">
        <f t="shared" si="255"/>
        <v>5</v>
      </c>
    </row>
    <row r="958" spans="2:31" ht="20.100000000000001" customHeight="1">
      <c r="B958" s="88">
        <v>9</v>
      </c>
      <c r="C958" s="89" t="s">
        <v>2130</v>
      </c>
      <c r="D958" s="90" t="s">
        <v>2328</v>
      </c>
      <c r="E958" s="91" t="s">
        <v>2329</v>
      </c>
      <c r="F958" s="315">
        <v>63.95</v>
      </c>
      <c r="G958" s="260">
        <v>8</v>
      </c>
      <c r="H958" s="260">
        <v>29</v>
      </c>
      <c r="I958" s="309"/>
      <c r="J958" s="199"/>
      <c r="K958" s="269"/>
      <c r="L958" s="93">
        <f t="shared" si="261"/>
        <v>37</v>
      </c>
      <c r="M958" s="183">
        <v>37</v>
      </c>
      <c r="N958" s="95">
        <f t="shared" si="256"/>
        <v>2366.15</v>
      </c>
      <c r="O958" s="95">
        <f t="shared" si="257"/>
        <v>2366.15</v>
      </c>
      <c r="P958" s="94">
        <f t="shared" si="258"/>
        <v>0</v>
      </c>
      <c r="Q958" s="95">
        <f t="shared" si="259"/>
        <v>0</v>
      </c>
      <c r="R958" s="96"/>
      <c r="S958" s="97">
        <f t="shared" si="260"/>
        <v>97</v>
      </c>
      <c r="T958" s="98">
        <f t="shared" si="255"/>
        <v>-60</v>
      </c>
      <c r="U958">
        <v>60</v>
      </c>
      <c r="Y958">
        <v>37</v>
      </c>
    </row>
    <row r="959" spans="2:31" ht="20.100000000000001" customHeight="1">
      <c r="B959" s="88">
        <v>9</v>
      </c>
      <c r="C959" s="89" t="s">
        <v>2130</v>
      </c>
      <c r="D959" s="90" t="s">
        <v>2330</v>
      </c>
      <c r="E959" s="91" t="s">
        <v>2331</v>
      </c>
      <c r="F959" s="315">
        <v>186.43</v>
      </c>
      <c r="G959" s="260">
        <v>1</v>
      </c>
      <c r="H959" s="260"/>
      <c r="I959" s="309"/>
      <c r="J959" s="199"/>
      <c r="K959" s="269"/>
      <c r="L959" s="93">
        <f t="shared" si="261"/>
        <v>1</v>
      </c>
      <c r="M959" s="183">
        <v>1</v>
      </c>
      <c r="N959" s="95">
        <f t="shared" si="256"/>
        <v>186.43</v>
      </c>
      <c r="O959" s="95">
        <f t="shared" si="257"/>
        <v>186.43</v>
      </c>
      <c r="P959" s="94">
        <f t="shared" si="258"/>
        <v>0</v>
      </c>
      <c r="Q959" s="95">
        <f t="shared" si="259"/>
        <v>0</v>
      </c>
      <c r="R959" s="96"/>
      <c r="S959" s="97">
        <f t="shared" si="260"/>
        <v>1</v>
      </c>
      <c r="T959" s="98">
        <f t="shared" si="255"/>
        <v>0</v>
      </c>
      <c r="U959">
        <v>1</v>
      </c>
    </row>
    <row r="960" spans="2:31" ht="20.100000000000001" customHeight="1">
      <c r="B960" s="88">
        <v>9</v>
      </c>
      <c r="C960" s="89" t="s">
        <v>2130</v>
      </c>
      <c r="D960" s="90" t="s">
        <v>2332</v>
      </c>
      <c r="E960" s="91" t="s">
        <v>2333</v>
      </c>
      <c r="F960" s="315">
        <v>42.74</v>
      </c>
      <c r="G960" s="260">
        <v>2</v>
      </c>
      <c r="H960" s="260"/>
      <c r="I960" s="309"/>
      <c r="J960" s="199"/>
      <c r="K960" s="269"/>
      <c r="L960" s="93">
        <f t="shared" si="261"/>
        <v>2</v>
      </c>
      <c r="M960" s="183">
        <v>2</v>
      </c>
      <c r="N960" s="95">
        <f t="shared" si="256"/>
        <v>85.48</v>
      </c>
      <c r="O960" s="95">
        <f t="shared" si="257"/>
        <v>85.48</v>
      </c>
      <c r="P960" s="94">
        <f t="shared" si="258"/>
        <v>0</v>
      </c>
      <c r="Q960" s="95">
        <f t="shared" si="259"/>
        <v>0</v>
      </c>
      <c r="R960" s="96"/>
      <c r="S960" s="97">
        <f t="shared" si="260"/>
        <v>2</v>
      </c>
      <c r="T960" s="98">
        <f t="shared" si="255"/>
        <v>0</v>
      </c>
      <c r="U960">
        <v>2</v>
      </c>
    </row>
    <row r="961" spans="2:25" ht="20.100000000000001" customHeight="1">
      <c r="B961" s="88">
        <v>9</v>
      </c>
      <c r="C961" s="89" t="s">
        <v>2130</v>
      </c>
      <c r="D961" s="90" t="s">
        <v>2334</v>
      </c>
      <c r="E961" s="91" t="s">
        <v>2335</v>
      </c>
      <c r="F961" s="315">
        <v>26.25</v>
      </c>
      <c r="G961" s="260">
        <v>62</v>
      </c>
      <c r="H961" s="260"/>
      <c r="I961" s="309"/>
      <c r="J961" s="199"/>
      <c r="K961" s="269"/>
      <c r="L961" s="93">
        <f t="shared" si="261"/>
        <v>62</v>
      </c>
      <c r="M961" s="183">
        <v>62</v>
      </c>
      <c r="N961" s="95">
        <f t="shared" si="256"/>
        <v>1627.5</v>
      </c>
      <c r="O961" s="95">
        <f t="shared" si="257"/>
        <v>1627.5</v>
      </c>
      <c r="P961" s="94">
        <f t="shared" si="258"/>
        <v>0</v>
      </c>
      <c r="Q961" s="95">
        <f t="shared" si="259"/>
        <v>0</v>
      </c>
      <c r="R961" s="96"/>
      <c r="S961" s="97">
        <f t="shared" si="260"/>
        <v>64</v>
      </c>
      <c r="T961" s="98">
        <f t="shared" si="255"/>
        <v>-2</v>
      </c>
      <c r="U961">
        <v>56</v>
      </c>
      <c r="Y961">
        <v>8</v>
      </c>
    </row>
    <row r="962" spans="2:25" ht="20.100000000000001" customHeight="1">
      <c r="B962" s="88">
        <v>9</v>
      </c>
      <c r="C962" s="89" t="s">
        <v>2130</v>
      </c>
      <c r="D962" s="90" t="s">
        <v>2336</v>
      </c>
      <c r="E962" s="91" t="s">
        <v>2337</v>
      </c>
      <c r="F962" s="315">
        <v>3.75</v>
      </c>
      <c r="G962" s="260">
        <v>251</v>
      </c>
      <c r="H962" s="260"/>
      <c r="I962" s="309"/>
      <c r="J962" s="199"/>
      <c r="K962" s="269"/>
      <c r="L962" s="93">
        <f t="shared" si="261"/>
        <v>251</v>
      </c>
      <c r="M962" s="183">
        <f>213+38</f>
        <v>251</v>
      </c>
      <c r="N962" s="95">
        <f t="shared" si="256"/>
        <v>941.25</v>
      </c>
      <c r="O962" s="95">
        <f t="shared" si="257"/>
        <v>941.25</v>
      </c>
      <c r="P962" s="94">
        <f t="shared" si="258"/>
        <v>0</v>
      </c>
      <c r="Q962" s="95">
        <f t="shared" si="259"/>
        <v>0</v>
      </c>
      <c r="R962" s="96"/>
      <c r="S962" s="97">
        <f t="shared" si="260"/>
        <v>251</v>
      </c>
      <c r="T962" s="98">
        <f t="shared" si="255"/>
        <v>0</v>
      </c>
      <c r="U962">
        <f>38+213</f>
        <v>251</v>
      </c>
    </row>
    <row r="963" spans="2:25" ht="20.100000000000001" customHeight="1">
      <c r="B963" s="88">
        <v>9</v>
      </c>
      <c r="C963" s="89" t="s">
        <v>2130</v>
      </c>
      <c r="D963" s="90" t="s">
        <v>2338</v>
      </c>
      <c r="E963" s="91" t="s">
        <v>2339</v>
      </c>
      <c r="F963" s="315">
        <v>19.670000000000002</v>
      </c>
      <c r="G963" s="260"/>
      <c r="H963" s="260"/>
      <c r="I963" s="309"/>
      <c r="J963" s="199"/>
      <c r="K963" s="269"/>
      <c r="L963" s="93">
        <f t="shared" si="261"/>
        <v>0</v>
      </c>
      <c r="M963" s="183"/>
      <c r="N963" s="95">
        <f t="shared" si="256"/>
        <v>0</v>
      </c>
      <c r="O963" s="95">
        <f t="shared" si="257"/>
        <v>0</v>
      </c>
      <c r="P963" s="94">
        <f t="shared" si="258"/>
        <v>0</v>
      </c>
      <c r="Q963" s="95">
        <f t="shared" si="259"/>
        <v>0</v>
      </c>
      <c r="R963" s="96"/>
      <c r="S963" s="97">
        <f t="shared" si="260"/>
        <v>0</v>
      </c>
      <c r="T963" s="98">
        <f t="shared" si="255"/>
        <v>0</v>
      </c>
    </row>
    <row r="964" spans="2:25" ht="20.100000000000001" customHeight="1">
      <c r="B964" s="88">
        <v>9</v>
      </c>
      <c r="C964" s="89" t="s">
        <v>2130</v>
      </c>
      <c r="D964" s="90" t="s">
        <v>2340</v>
      </c>
      <c r="E964" s="91" t="s">
        <v>2341</v>
      </c>
      <c r="F964" s="315">
        <v>30.96</v>
      </c>
      <c r="G964" s="260">
        <v>1</v>
      </c>
      <c r="H964" s="260"/>
      <c r="I964" s="309"/>
      <c r="J964" s="199"/>
      <c r="K964" s="269"/>
      <c r="L964" s="93">
        <f t="shared" si="261"/>
        <v>1</v>
      </c>
      <c r="M964" s="183">
        <v>1</v>
      </c>
      <c r="N964" s="95">
        <f t="shared" si="256"/>
        <v>30.96</v>
      </c>
      <c r="O964" s="95">
        <f t="shared" si="257"/>
        <v>30.96</v>
      </c>
      <c r="P964" s="94">
        <f t="shared" si="258"/>
        <v>0</v>
      </c>
      <c r="Q964" s="95">
        <f t="shared" si="259"/>
        <v>0</v>
      </c>
      <c r="R964" s="96"/>
      <c r="S964" s="97">
        <f t="shared" si="260"/>
        <v>1</v>
      </c>
      <c r="T964" s="98">
        <f t="shared" si="255"/>
        <v>0</v>
      </c>
      <c r="U964">
        <v>1</v>
      </c>
    </row>
    <row r="965" spans="2:25" ht="20.100000000000001" customHeight="1">
      <c r="B965" s="88">
        <v>9</v>
      </c>
      <c r="C965" s="89" t="s">
        <v>2130</v>
      </c>
      <c r="D965" s="90" t="s">
        <v>2342</v>
      </c>
      <c r="E965" s="91" t="s">
        <v>2343</v>
      </c>
      <c r="F965" s="315">
        <v>551.66</v>
      </c>
      <c r="G965" s="260"/>
      <c r="H965" s="260"/>
      <c r="I965" s="309"/>
      <c r="J965" s="199"/>
      <c r="K965" s="269"/>
      <c r="L965" s="93">
        <f t="shared" si="261"/>
        <v>0</v>
      </c>
      <c r="M965" s="183"/>
      <c r="N965" s="95">
        <f t="shared" si="256"/>
        <v>0</v>
      </c>
      <c r="O965" s="95">
        <f t="shared" si="257"/>
        <v>0</v>
      </c>
      <c r="P965" s="94">
        <f t="shared" si="258"/>
        <v>0</v>
      </c>
      <c r="Q965" s="95">
        <f t="shared" si="259"/>
        <v>0</v>
      </c>
      <c r="R965" s="96"/>
      <c r="S965" s="97">
        <f t="shared" si="260"/>
        <v>0</v>
      </c>
      <c r="T965" s="98">
        <f t="shared" si="255"/>
        <v>0</v>
      </c>
    </row>
    <row r="966" spans="2:25" ht="20.100000000000001" customHeight="1">
      <c r="B966" s="88">
        <v>9</v>
      </c>
      <c r="C966" s="89" t="s">
        <v>2130</v>
      </c>
      <c r="D966" s="90" t="s">
        <v>2344</v>
      </c>
      <c r="E966" s="91" t="s">
        <v>2345</v>
      </c>
      <c r="F966" s="315">
        <v>171.82</v>
      </c>
      <c r="G966" s="260"/>
      <c r="H966" s="260"/>
      <c r="I966" s="309"/>
      <c r="J966" s="199"/>
      <c r="K966" s="269"/>
      <c r="L966" s="93">
        <f t="shared" si="261"/>
        <v>0</v>
      </c>
      <c r="M966" s="183"/>
      <c r="N966" s="95">
        <f t="shared" si="256"/>
        <v>0</v>
      </c>
      <c r="O966" s="95">
        <f t="shared" si="257"/>
        <v>0</v>
      </c>
      <c r="P966" s="94">
        <f t="shared" si="258"/>
        <v>0</v>
      </c>
      <c r="Q966" s="95">
        <f t="shared" si="259"/>
        <v>0</v>
      </c>
      <c r="R966" s="96"/>
      <c r="S966" s="97">
        <f t="shared" si="260"/>
        <v>0</v>
      </c>
      <c r="T966" s="98">
        <f t="shared" si="255"/>
        <v>0</v>
      </c>
    </row>
    <row r="967" spans="2:25" ht="20.100000000000001" customHeight="1">
      <c r="B967" s="88">
        <v>9</v>
      </c>
      <c r="C967" s="89" t="s">
        <v>2130</v>
      </c>
      <c r="D967" s="90" t="s">
        <v>2346</v>
      </c>
      <c r="E967" s="91" t="s">
        <v>2347</v>
      </c>
      <c r="F967" s="315">
        <v>83.55</v>
      </c>
      <c r="G967" s="260"/>
      <c r="H967" s="260"/>
      <c r="I967" s="309">
        <v>12</v>
      </c>
      <c r="J967" s="199"/>
      <c r="K967" s="269"/>
      <c r="L967" s="93">
        <f t="shared" si="261"/>
        <v>12</v>
      </c>
      <c r="M967" s="183">
        <v>12</v>
      </c>
      <c r="N967" s="95">
        <f t="shared" si="256"/>
        <v>1002.5999999999999</v>
      </c>
      <c r="O967" s="95">
        <f t="shared" si="257"/>
        <v>1002.5999999999999</v>
      </c>
      <c r="P967" s="94">
        <f t="shared" si="258"/>
        <v>0</v>
      </c>
      <c r="Q967" s="95">
        <f t="shared" si="259"/>
        <v>0</v>
      </c>
      <c r="R967" s="96"/>
      <c r="S967" s="97">
        <f t="shared" si="260"/>
        <v>0</v>
      </c>
      <c r="T967" s="98">
        <f t="shared" si="255"/>
        <v>12</v>
      </c>
    </row>
    <row r="968" spans="2:25" ht="20.100000000000001" customHeight="1">
      <c r="B968" s="88">
        <v>9</v>
      </c>
      <c r="C968" s="89" t="s">
        <v>2130</v>
      </c>
      <c r="D968" s="90" t="s">
        <v>4992</v>
      </c>
      <c r="E968" s="91" t="s">
        <v>4979</v>
      </c>
      <c r="F968" s="315">
        <v>90.69</v>
      </c>
      <c r="G968" s="260"/>
      <c r="H968" s="260"/>
      <c r="I968" s="309">
        <v>12</v>
      </c>
      <c r="J968" s="199"/>
      <c r="K968" s="269"/>
      <c r="L968" s="93">
        <f t="shared" si="261"/>
        <v>12</v>
      </c>
      <c r="M968" s="183">
        <v>12</v>
      </c>
      <c r="N968" s="95">
        <f t="shared" ref="N968" si="262">F968*L968</f>
        <v>1088.28</v>
      </c>
      <c r="O968" s="95">
        <f t="shared" ref="O968" si="263">M968*F968</f>
        <v>1088.28</v>
      </c>
      <c r="P968" s="94">
        <f t="shared" ref="P968" si="264">L968-M968</f>
        <v>0</v>
      </c>
      <c r="Q968" s="95">
        <f t="shared" ref="Q968" si="265">N968-O968</f>
        <v>0</v>
      </c>
      <c r="R968" s="96"/>
      <c r="S968" s="97">
        <f t="shared" ref="S968" si="266">U968+Y968+W968+AA968</f>
        <v>0</v>
      </c>
      <c r="T968" s="98">
        <f t="shared" ref="T968" si="267">M968-S968</f>
        <v>12</v>
      </c>
    </row>
    <row r="969" spans="2:25" ht="20.100000000000001" customHeight="1">
      <c r="B969" s="88">
        <v>9</v>
      </c>
      <c r="C969" s="89" t="s">
        <v>2130</v>
      </c>
      <c r="D969" s="90" t="s">
        <v>2348</v>
      </c>
      <c r="E969" s="91" t="s">
        <v>2349</v>
      </c>
      <c r="F969" s="315">
        <v>529.58000000000004</v>
      </c>
      <c r="G969" s="260">
        <v>23</v>
      </c>
      <c r="H969" s="260"/>
      <c r="I969" s="309">
        <v>15</v>
      </c>
      <c r="J969" s="199"/>
      <c r="K969" s="269">
        <v>15</v>
      </c>
      <c r="L969" s="93">
        <f t="shared" si="261"/>
        <v>23</v>
      </c>
      <c r="M969" s="183">
        <f>17+6</f>
        <v>23</v>
      </c>
      <c r="N969" s="95">
        <f t="shared" si="256"/>
        <v>12180.34</v>
      </c>
      <c r="O969" s="95">
        <f t="shared" si="257"/>
        <v>12180.34</v>
      </c>
      <c r="P969" s="94">
        <f t="shared" si="258"/>
        <v>0</v>
      </c>
      <c r="Q969" s="95">
        <f t="shared" si="259"/>
        <v>0</v>
      </c>
      <c r="R969" s="96"/>
      <c r="S969" s="97">
        <f t="shared" si="260"/>
        <v>27</v>
      </c>
      <c r="T969" s="98">
        <f t="shared" si="255"/>
        <v>-4</v>
      </c>
      <c r="U969">
        <v>6</v>
      </c>
      <c r="Y969">
        <v>21</v>
      </c>
    </row>
    <row r="970" spans="2:25" ht="20.100000000000001" customHeight="1">
      <c r="B970" s="88">
        <v>9</v>
      </c>
      <c r="C970" s="89" t="s">
        <v>2130</v>
      </c>
      <c r="D970" s="90" t="s">
        <v>2350</v>
      </c>
      <c r="E970" s="91" t="s">
        <v>2351</v>
      </c>
      <c r="F970" s="315">
        <v>54.38</v>
      </c>
      <c r="G970" s="260">
        <v>10</v>
      </c>
      <c r="H970" s="260"/>
      <c r="I970" s="309"/>
      <c r="J970" s="199"/>
      <c r="K970" s="269">
        <v>2</v>
      </c>
      <c r="L970" s="93">
        <f t="shared" si="261"/>
        <v>8</v>
      </c>
      <c r="M970" s="183">
        <v>8</v>
      </c>
      <c r="N970" s="95">
        <f t="shared" si="256"/>
        <v>435.04</v>
      </c>
      <c r="O970" s="95">
        <f t="shared" si="257"/>
        <v>435.04</v>
      </c>
      <c r="P970" s="94">
        <f t="shared" si="258"/>
        <v>0</v>
      </c>
      <c r="Q970" s="95">
        <f t="shared" si="259"/>
        <v>0</v>
      </c>
      <c r="R970" s="96"/>
      <c r="S970" s="97">
        <f t="shared" si="260"/>
        <v>11</v>
      </c>
      <c r="T970" s="98">
        <f t="shared" si="255"/>
        <v>-3</v>
      </c>
      <c r="U970">
        <v>11</v>
      </c>
    </row>
    <row r="971" spans="2:25" ht="20.100000000000001" customHeight="1">
      <c r="B971" s="88">
        <v>9</v>
      </c>
      <c r="C971" s="89" t="s">
        <v>2130</v>
      </c>
      <c r="D971" s="90" t="s">
        <v>2352</v>
      </c>
      <c r="E971" s="91" t="s">
        <v>2353</v>
      </c>
      <c r="F971" s="315">
        <v>30.11</v>
      </c>
      <c r="G971" s="260"/>
      <c r="H971" s="260"/>
      <c r="I971" s="309"/>
      <c r="J971" s="199"/>
      <c r="K971" s="269"/>
      <c r="L971" s="93">
        <f t="shared" si="261"/>
        <v>0</v>
      </c>
      <c r="M971" s="183"/>
      <c r="N971" s="95">
        <f t="shared" si="256"/>
        <v>0</v>
      </c>
      <c r="O971" s="95">
        <f t="shared" si="257"/>
        <v>0</v>
      </c>
      <c r="P971" s="94">
        <f t="shared" si="258"/>
        <v>0</v>
      </c>
      <c r="Q971" s="95">
        <f t="shared" si="259"/>
        <v>0</v>
      </c>
      <c r="R971" s="96"/>
      <c r="S971" s="97">
        <f t="shared" si="260"/>
        <v>0</v>
      </c>
      <c r="T971" s="98">
        <f t="shared" si="255"/>
        <v>0</v>
      </c>
    </row>
    <row r="972" spans="2:25" ht="20.100000000000001" customHeight="1">
      <c r="B972" s="88">
        <v>9</v>
      </c>
      <c r="C972" s="89" t="s">
        <v>2130</v>
      </c>
      <c r="D972" s="90" t="s">
        <v>2352</v>
      </c>
      <c r="E972" s="91" t="s">
        <v>2353</v>
      </c>
      <c r="F972" s="315">
        <v>31.05</v>
      </c>
      <c r="G972" s="260">
        <v>26</v>
      </c>
      <c r="H972" s="260"/>
      <c r="I972" s="309"/>
      <c r="J972" s="199"/>
      <c r="K972" s="269">
        <v>1</v>
      </c>
      <c r="L972" s="93">
        <f t="shared" si="261"/>
        <v>25</v>
      </c>
      <c r="M972" s="183">
        <v>25</v>
      </c>
      <c r="N972" s="95">
        <f t="shared" si="256"/>
        <v>776.25</v>
      </c>
      <c r="O972" s="95">
        <f t="shared" si="257"/>
        <v>776.25</v>
      </c>
      <c r="P972" s="94">
        <f t="shared" si="258"/>
        <v>0</v>
      </c>
      <c r="Q972" s="95">
        <f t="shared" si="259"/>
        <v>0</v>
      </c>
      <c r="R972" s="96"/>
      <c r="S972" s="97">
        <f t="shared" si="260"/>
        <v>27</v>
      </c>
      <c r="T972" s="98">
        <f t="shared" si="255"/>
        <v>-2</v>
      </c>
      <c r="U972">
        <v>27</v>
      </c>
    </row>
    <row r="973" spans="2:25" ht="20.100000000000001" customHeight="1">
      <c r="B973" s="88">
        <v>9</v>
      </c>
      <c r="C973" s="89" t="s">
        <v>2130</v>
      </c>
      <c r="D973" s="90" t="s">
        <v>2354</v>
      </c>
      <c r="E973" s="91" t="s">
        <v>2355</v>
      </c>
      <c r="F973" s="315">
        <v>27.9</v>
      </c>
      <c r="G973" s="260">
        <v>19</v>
      </c>
      <c r="H973" s="260"/>
      <c r="I973" s="309"/>
      <c r="J973" s="199"/>
      <c r="K973" s="269"/>
      <c r="L973" s="93">
        <f t="shared" si="261"/>
        <v>19</v>
      </c>
      <c r="M973" s="277">
        <v>19</v>
      </c>
      <c r="N973" s="95">
        <f t="shared" si="256"/>
        <v>530.1</v>
      </c>
      <c r="O973" s="95">
        <f t="shared" si="257"/>
        <v>530.1</v>
      </c>
      <c r="P973" s="94">
        <f t="shared" si="258"/>
        <v>0</v>
      </c>
      <c r="Q973" s="95">
        <f t="shared" si="259"/>
        <v>0</v>
      </c>
      <c r="R973" s="96"/>
      <c r="S973" s="97">
        <f t="shared" si="260"/>
        <v>23</v>
      </c>
      <c r="T973" s="98">
        <f t="shared" si="255"/>
        <v>-4</v>
      </c>
      <c r="U973">
        <v>23</v>
      </c>
    </row>
    <row r="974" spans="2:25" ht="20.100000000000001" customHeight="1">
      <c r="B974" s="88">
        <v>9</v>
      </c>
      <c r="C974" s="89" t="s">
        <v>2130</v>
      </c>
      <c r="D974" s="90" t="s">
        <v>2356</v>
      </c>
      <c r="E974" s="91" t="s">
        <v>2357</v>
      </c>
      <c r="F974" s="315">
        <v>21.5</v>
      </c>
      <c r="G974" s="260">
        <v>3</v>
      </c>
      <c r="H974" s="260"/>
      <c r="I974" s="309"/>
      <c r="J974" s="199"/>
      <c r="K974" s="269"/>
      <c r="L974" s="93">
        <f t="shared" si="261"/>
        <v>3</v>
      </c>
      <c r="M974" s="183">
        <f>2+1</f>
        <v>3</v>
      </c>
      <c r="N974" s="95">
        <f t="shared" si="256"/>
        <v>64.5</v>
      </c>
      <c r="O974" s="95">
        <f t="shared" si="257"/>
        <v>64.5</v>
      </c>
      <c r="P974" s="94">
        <f t="shared" si="258"/>
        <v>0</v>
      </c>
      <c r="Q974" s="95">
        <f t="shared" si="259"/>
        <v>0</v>
      </c>
      <c r="R974" s="96"/>
      <c r="S974" s="97">
        <f t="shared" si="260"/>
        <v>3</v>
      </c>
      <c r="T974" s="98">
        <f t="shared" si="255"/>
        <v>0</v>
      </c>
      <c r="U974">
        <v>3</v>
      </c>
    </row>
    <row r="975" spans="2:25" ht="20.100000000000001" customHeight="1">
      <c r="B975" s="88">
        <v>9</v>
      </c>
      <c r="C975" s="89" t="s">
        <v>2130</v>
      </c>
      <c r="D975" s="90" t="s">
        <v>2358</v>
      </c>
      <c r="E975" s="91" t="s">
        <v>2359</v>
      </c>
      <c r="F975" s="315">
        <v>25.5</v>
      </c>
      <c r="G975" s="260"/>
      <c r="H975" s="260"/>
      <c r="I975" s="309"/>
      <c r="J975" s="199"/>
      <c r="K975" s="269"/>
      <c r="L975" s="93">
        <f t="shared" si="261"/>
        <v>0</v>
      </c>
      <c r="M975" s="183"/>
      <c r="N975" s="95">
        <f t="shared" si="256"/>
        <v>0</v>
      </c>
      <c r="O975" s="95">
        <f t="shared" si="257"/>
        <v>0</v>
      </c>
      <c r="P975" s="94">
        <f t="shared" si="258"/>
        <v>0</v>
      </c>
      <c r="Q975" s="95">
        <f t="shared" si="259"/>
        <v>0</v>
      </c>
      <c r="R975" s="96"/>
      <c r="S975" s="97">
        <f t="shared" si="260"/>
        <v>0</v>
      </c>
      <c r="T975" s="98">
        <f t="shared" si="255"/>
        <v>0</v>
      </c>
    </row>
    <row r="976" spans="2:25" ht="20.100000000000001" customHeight="1">
      <c r="B976" s="88">
        <v>9</v>
      </c>
      <c r="C976" s="89" t="s">
        <v>2130</v>
      </c>
      <c r="D976" s="90" t="s">
        <v>2360</v>
      </c>
      <c r="E976" s="91" t="s">
        <v>2361</v>
      </c>
      <c r="F976" s="315">
        <v>267</v>
      </c>
      <c r="G976" s="260">
        <v>6</v>
      </c>
      <c r="H976" s="260"/>
      <c r="I976" s="309"/>
      <c r="J976" s="199"/>
      <c r="K976" s="269">
        <v>1</v>
      </c>
      <c r="L976" s="93">
        <f t="shared" si="261"/>
        <v>5</v>
      </c>
      <c r="M976" s="183">
        <v>6</v>
      </c>
      <c r="N976" s="95">
        <f t="shared" si="256"/>
        <v>1335</v>
      </c>
      <c r="O976" s="95">
        <f t="shared" si="257"/>
        <v>1602</v>
      </c>
      <c r="P976" s="94">
        <f t="shared" si="258"/>
        <v>-1</v>
      </c>
      <c r="Q976" s="95">
        <f t="shared" si="259"/>
        <v>-267</v>
      </c>
      <c r="R976" s="96"/>
      <c r="S976" s="97">
        <f t="shared" si="260"/>
        <v>12</v>
      </c>
      <c r="T976" s="98">
        <f t="shared" si="255"/>
        <v>-6</v>
      </c>
      <c r="U976">
        <v>12</v>
      </c>
    </row>
    <row r="977" spans="2:31" ht="20.100000000000001" customHeight="1">
      <c r="B977" s="88">
        <v>9</v>
      </c>
      <c r="C977" s="89" t="s">
        <v>2130</v>
      </c>
      <c r="D977" s="90" t="s">
        <v>2362</v>
      </c>
      <c r="E977" s="91" t="s">
        <v>2363</v>
      </c>
      <c r="F977" s="315">
        <v>51.3</v>
      </c>
      <c r="G977" s="260">
        <v>4</v>
      </c>
      <c r="H977" s="260"/>
      <c r="I977" s="309"/>
      <c r="J977" s="199"/>
      <c r="K977" s="269"/>
      <c r="L977" s="93">
        <f t="shared" si="261"/>
        <v>4</v>
      </c>
      <c r="M977" s="183">
        <v>4</v>
      </c>
      <c r="N977" s="95">
        <f t="shared" si="256"/>
        <v>205.2</v>
      </c>
      <c r="O977" s="95">
        <f t="shared" si="257"/>
        <v>205.2</v>
      </c>
      <c r="P977" s="94">
        <f t="shared" si="258"/>
        <v>0</v>
      </c>
      <c r="Q977" s="95">
        <f t="shared" si="259"/>
        <v>0</v>
      </c>
      <c r="R977" s="96"/>
      <c r="S977" s="97">
        <f t="shared" si="260"/>
        <v>4</v>
      </c>
      <c r="T977" s="98">
        <f t="shared" si="255"/>
        <v>0</v>
      </c>
      <c r="U977">
        <v>4</v>
      </c>
    </row>
    <row r="978" spans="2:31" ht="20.100000000000001" customHeight="1">
      <c r="B978" s="88">
        <v>9</v>
      </c>
      <c r="C978" s="89" t="s">
        <v>2130</v>
      </c>
      <c r="D978" s="90" t="s">
        <v>2362</v>
      </c>
      <c r="E978" s="91" t="s">
        <v>2363</v>
      </c>
      <c r="F978" s="315">
        <v>51.55</v>
      </c>
      <c r="G978" s="260">
        <v>5</v>
      </c>
      <c r="H978" s="260"/>
      <c r="I978" s="309"/>
      <c r="J978" s="199"/>
      <c r="K978" s="269"/>
      <c r="L978" s="93">
        <f t="shared" si="261"/>
        <v>5</v>
      </c>
      <c r="M978" s="183">
        <v>5</v>
      </c>
      <c r="N978" s="95">
        <f t="shared" si="256"/>
        <v>257.75</v>
      </c>
      <c r="O978" s="95">
        <f t="shared" si="257"/>
        <v>257.75</v>
      </c>
      <c r="P978" s="94">
        <f t="shared" si="258"/>
        <v>0</v>
      </c>
      <c r="Q978" s="95">
        <f t="shared" si="259"/>
        <v>0</v>
      </c>
      <c r="R978" s="96"/>
      <c r="S978" s="97">
        <f t="shared" si="260"/>
        <v>5</v>
      </c>
      <c r="T978" s="98">
        <f t="shared" si="255"/>
        <v>0</v>
      </c>
      <c r="U978">
        <v>5</v>
      </c>
    </row>
    <row r="979" spans="2:31" ht="20.100000000000001" customHeight="1">
      <c r="B979" s="88">
        <v>9</v>
      </c>
      <c r="C979" s="89" t="s">
        <v>2130</v>
      </c>
      <c r="D979" s="90" t="s">
        <v>2364</v>
      </c>
      <c r="E979" s="91" t="s">
        <v>2365</v>
      </c>
      <c r="F979" s="315">
        <v>51.3</v>
      </c>
      <c r="G979" s="260">
        <v>4</v>
      </c>
      <c r="H979" s="260"/>
      <c r="I979" s="309"/>
      <c r="J979" s="199"/>
      <c r="K979" s="269"/>
      <c r="L979" s="93">
        <f t="shared" si="261"/>
        <v>4</v>
      </c>
      <c r="M979" s="183">
        <v>4</v>
      </c>
      <c r="N979" s="95">
        <f t="shared" si="256"/>
        <v>205.2</v>
      </c>
      <c r="O979" s="95">
        <f t="shared" si="257"/>
        <v>205.2</v>
      </c>
      <c r="P979" s="94">
        <f t="shared" si="258"/>
        <v>0</v>
      </c>
      <c r="Q979" s="95">
        <f t="shared" si="259"/>
        <v>0</v>
      </c>
      <c r="R979" s="96"/>
      <c r="S979" s="97">
        <f t="shared" si="260"/>
        <v>0</v>
      </c>
      <c r="T979" s="98">
        <f t="shared" si="255"/>
        <v>4</v>
      </c>
    </row>
    <row r="980" spans="2:31" ht="20.100000000000001" customHeight="1">
      <c r="B980" s="88">
        <v>9</v>
      </c>
      <c r="C980" s="89" t="s">
        <v>2130</v>
      </c>
      <c r="D980" s="90" t="s">
        <v>2366</v>
      </c>
      <c r="E980" s="91" t="s">
        <v>2367</v>
      </c>
      <c r="F980" s="315">
        <v>61.75</v>
      </c>
      <c r="G980" s="260">
        <v>11</v>
      </c>
      <c r="H980" s="260"/>
      <c r="I980" s="309"/>
      <c r="J980" s="199"/>
      <c r="K980" s="269"/>
      <c r="L980" s="93">
        <f t="shared" si="261"/>
        <v>11</v>
      </c>
      <c r="M980" s="183">
        <v>11</v>
      </c>
      <c r="N980" s="95">
        <f t="shared" si="256"/>
        <v>679.25</v>
      </c>
      <c r="O980" s="95">
        <f t="shared" si="257"/>
        <v>679.25</v>
      </c>
      <c r="P980" s="94">
        <f t="shared" si="258"/>
        <v>0</v>
      </c>
      <c r="Q980" s="95">
        <f t="shared" si="259"/>
        <v>0</v>
      </c>
      <c r="R980" s="96"/>
      <c r="S980" s="97">
        <f t="shared" si="260"/>
        <v>11</v>
      </c>
      <c r="T980" s="98">
        <f t="shared" si="255"/>
        <v>0</v>
      </c>
      <c r="Y980">
        <v>11</v>
      </c>
    </row>
    <row r="981" spans="2:31" ht="20.100000000000001" customHeight="1">
      <c r="B981" s="88">
        <v>9</v>
      </c>
      <c r="C981" s="89" t="s">
        <v>2130</v>
      </c>
      <c r="D981" s="171" t="s">
        <v>2368</v>
      </c>
      <c r="E981" s="91" t="s">
        <v>2369</v>
      </c>
      <c r="F981" s="315">
        <v>10.95</v>
      </c>
      <c r="G981" s="260">
        <f>29+11</f>
        <v>40</v>
      </c>
      <c r="H981" s="260">
        <v>12</v>
      </c>
      <c r="I981" s="309">
        <v>36</v>
      </c>
      <c r="J981" s="199"/>
      <c r="K981" s="269">
        <v>17</v>
      </c>
      <c r="L981" s="93">
        <f t="shared" si="261"/>
        <v>71</v>
      </c>
      <c r="M981" s="183">
        <v>52</v>
      </c>
      <c r="N981" s="95">
        <f t="shared" si="256"/>
        <v>777.44999999999993</v>
      </c>
      <c r="O981" s="95">
        <f t="shared" si="257"/>
        <v>569.4</v>
      </c>
      <c r="P981" s="94">
        <f t="shared" si="258"/>
        <v>19</v>
      </c>
      <c r="Q981" s="95">
        <f t="shared" si="259"/>
        <v>208.04999999999995</v>
      </c>
      <c r="R981" s="96"/>
      <c r="S981" s="97">
        <f t="shared" si="260"/>
        <v>28</v>
      </c>
      <c r="T981" s="98">
        <f t="shared" si="255"/>
        <v>24</v>
      </c>
      <c r="U981">
        <v>28</v>
      </c>
    </row>
    <row r="982" spans="2:31" ht="20.100000000000001" customHeight="1">
      <c r="B982" s="88">
        <v>9</v>
      </c>
      <c r="C982" s="89" t="s">
        <v>2130</v>
      </c>
      <c r="D982" s="90" t="s">
        <v>2370</v>
      </c>
      <c r="E982" s="91" t="s">
        <v>2371</v>
      </c>
      <c r="F982" s="315">
        <v>125</v>
      </c>
      <c r="G982" s="260">
        <v>2</v>
      </c>
      <c r="H982" s="260"/>
      <c r="I982" s="309"/>
      <c r="J982" s="199"/>
      <c r="K982" s="269"/>
      <c r="L982" s="93">
        <f t="shared" si="261"/>
        <v>2</v>
      </c>
      <c r="M982" s="183">
        <v>2</v>
      </c>
      <c r="N982" s="95">
        <f t="shared" si="256"/>
        <v>250</v>
      </c>
      <c r="O982" s="95">
        <f t="shared" si="257"/>
        <v>250</v>
      </c>
      <c r="P982" s="94">
        <f t="shared" si="258"/>
        <v>0</v>
      </c>
      <c r="Q982" s="95">
        <f t="shared" si="259"/>
        <v>0</v>
      </c>
      <c r="R982" s="96"/>
      <c r="S982" s="97">
        <f t="shared" si="260"/>
        <v>2</v>
      </c>
      <c r="T982" s="98">
        <f t="shared" si="255"/>
        <v>0</v>
      </c>
      <c r="U982">
        <v>2</v>
      </c>
    </row>
    <row r="983" spans="2:31" ht="20.100000000000001" customHeight="1">
      <c r="B983" s="88">
        <v>9</v>
      </c>
      <c r="C983" s="89" t="s">
        <v>2130</v>
      </c>
      <c r="D983" s="90" t="s">
        <v>2372</v>
      </c>
      <c r="E983" s="91" t="s">
        <v>2373</v>
      </c>
      <c r="F983" s="315">
        <v>46.45</v>
      </c>
      <c r="G983" s="260">
        <v>5</v>
      </c>
      <c r="H983" s="260"/>
      <c r="I983" s="309"/>
      <c r="J983" s="199"/>
      <c r="K983" s="269"/>
      <c r="L983" s="93">
        <f t="shared" si="261"/>
        <v>5</v>
      </c>
      <c r="M983" s="183">
        <v>5</v>
      </c>
      <c r="N983" s="95">
        <f t="shared" si="256"/>
        <v>232.25</v>
      </c>
      <c r="O983" s="95">
        <f t="shared" si="257"/>
        <v>232.25</v>
      </c>
      <c r="P983" s="94">
        <f t="shared" si="258"/>
        <v>0</v>
      </c>
      <c r="Q983" s="95">
        <f t="shared" si="259"/>
        <v>0</v>
      </c>
      <c r="R983" s="96"/>
      <c r="S983" s="97">
        <f t="shared" si="260"/>
        <v>5</v>
      </c>
      <c r="T983" s="98">
        <f t="shared" si="255"/>
        <v>0</v>
      </c>
      <c r="U983">
        <v>5</v>
      </c>
    </row>
    <row r="984" spans="2:31" ht="20.100000000000001" customHeight="1">
      <c r="B984" s="88">
        <v>9</v>
      </c>
      <c r="C984" s="89" t="s">
        <v>2130</v>
      </c>
      <c r="D984" s="90" t="s">
        <v>2374</v>
      </c>
      <c r="E984" s="91" t="s">
        <v>2375</v>
      </c>
      <c r="F984" s="315">
        <v>46.45</v>
      </c>
      <c r="G984" s="260">
        <v>5</v>
      </c>
      <c r="H984" s="260"/>
      <c r="I984" s="309"/>
      <c r="J984" s="199"/>
      <c r="K984" s="269"/>
      <c r="L984" s="93">
        <f t="shared" si="261"/>
        <v>5</v>
      </c>
      <c r="M984" s="183">
        <v>5</v>
      </c>
      <c r="N984" s="95">
        <f t="shared" si="256"/>
        <v>232.25</v>
      </c>
      <c r="O984" s="95">
        <f t="shared" si="257"/>
        <v>232.25</v>
      </c>
      <c r="P984" s="94">
        <f t="shared" si="258"/>
        <v>0</v>
      </c>
      <c r="Q984" s="95">
        <f t="shared" si="259"/>
        <v>0</v>
      </c>
      <c r="R984" s="96"/>
      <c r="S984" s="97">
        <f t="shared" si="260"/>
        <v>5</v>
      </c>
      <c r="T984" s="98">
        <f t="shared" si="255"/>
        <v>0</v>
      </c>
      <c r="U984">
        <v>5</v>
      </c>
    </row>
    <row r="985" spans="2:31" ht="20.100000000000001" customHeight="1">
      <c r="B985" s="88">
        <v>9</v>
      </c>
      <c r="C985" s="89" t="s">
        <v>2130</v>
      </c>
      <c r="D985" s="90" t="s">
        <v>2376</v>
      </c>
      <c r="E985" s="91" t="s">
        <v>2377</v>
      </c>
      <c r="F985" s="315">
        <v>46.45</v>
      </c>
      <c r="G985" s="260">
        <v>3</v>
      </c>
      <c r="H985" s="260"/>
      <c r="I985" s="309"/>
      <c r="J985" s="199"/>
      <c r="K985" s="269"/>
      <c r="L985" s="93">
        <f t="shared" si="261"/>
        <v>3</v>
      </c>
      <c r="M985" s="183">
        <v>3</v>
      </c>
      <c r="N985" s="95">
        <f t="shared" si="256"/>
        <v>139.35000000000002</v>
      </c>
      <c r="O985" s="95">
        <f t="shared" si="257"/>
        <v>139.35000000000002</v>
      </c>
      <c r="P985" s="94">
        <f t="shared" si="258"/>
        <v>0</v>
      </c>
      <c r="Q985" s="95">
        <f t="shared" si="259"/>
        <v>0</v>
      </c>
      <c r="R985" s="96"/>
      <c r="S985" s="97">
        <f t="shared" si="260"/>
        <v>3</v>
      </c>
      <c r="T985" s="98">
        <f t="shared" si="255"/>
        <v>0</v>
      </c>
      <c r="U985">
        <v>3</v>
      </c>
    </row>
    <row r="986" spans="2:31" ht="20.100000000000001" customHeight="1">
      <c r="B986" s="88">
        <v>9</v>
      </c>
      <c r="C986" s="89" t="s">
        <v>2130</v>
      </c>
      <c r="D986" s="90" t="s">
        <v>2378</v>
      </c>
      <c r="E986" s="91" t="s">
        <v>2379</v>
      </c>
      <c r="F986" s="315">
        <v>46.45</v>
      </c>
      <c r="G986" s="260">
        <v>3</v>
      </c>
      <c r="H986" s="260"/>
      <c r="I986" s="309"/>
      <c r="J986" s="199"/>
      <c r="K986" s="269"/>
      <c r="L986" s="93">
        <f t="shared" si="261"/>
        <v>3</v>
      </c>
      <c r="M986" s="183">
        <v>3</v>
      </c>
      <c r="N986" s="95">
        <f t="shared" si="256"/>
        <v>139.35000000000002</v>
      </c>
      <c r="O986" s="95">
        <f t="shared" si="257"/>
        <v>139.35000000000002</v>
      </c>
      <c r="P986" s="94">
        <f t="shared" si="258"/>
        <v>0</v>
      </c>
      <c r="Q986" s="95">
        <f t="shared" si="259"/>
        <v>0</v>
      </c>
      <c r="R986" s="96"/>
      <c r="S986" s="97">
        <f t="shared" si="260"/>
        <v>3</v>
      </c>
      <c r="T986" s="98">
        <f t="shared" si="255"/>
        <v>0</v>
      </c>
      <c r="U986">
        <v>3</v>
      </c>
    </row>
    <row r="987" spans="2:31" ht="20.100000000000001" customHeight="1">
      <c r="B987" s="88">
        <v>9</v>
      </c>
      <c r="C987" s="89" t="s">
        <v>2130</v>
      </c>
      <c r="D987" s="90" t="s">
        <v>2380</v>
      </c>
      <c r="E987" s="91" t="s">
        <v>2381</v>
      </c>
      <c r="F987" s="315">
        <v>46.45</v>
      </c>
      <c r="G987" s="260">
        <v>1</v>
      </c>
      <c r="H987" s="260"/>
      <c r="I987" s="309"/>
      <c r="J987" s="199"/>
      <c r="K987" s="269"/>
      <c r="L987" s="93">
        <f t="shared" si="261"/>
        <v>1</v>
      </c>
      <c r="M987" s="183">
        <v>1</v>
      </c>
      <c r="N987" s="95">
        <f t="shared" si="256"/>
        <v>46.45</v>
      </c>
      <c r="O987" s="95">
        <f t="shared" si="257"/>
        <v>46.45</v>
      </c>
      <c r="P987" s="94">
        <f t="shared" si="258"/>
        <v>0</v>
      </c>
      <c r="Q987" s="95">
        <f t="shared" si="259"/>
        <v>0</v>
      </c>
      <c r="R987" s="96"/>
      <c r="S987" s="97">
        <f t="shared" si="260"/>
        <v>1</v>
      </c>
      <c r="T987" s="98">
        <f t="shared" si="255"/>
        <v>0</v>
      </c>
      <c r="U987">
        <v>1</v>
      </c>
    </row>
    <row r="988" spans="2:31" ht="20.100000000000001" customHeight="1">
      <c r="B988" s="88">
        <v>9</v>
      </c>
      <c r="C988" s="89" t="s">
        <v>2130</v>
      </c>
      <c r="D988" s="90" t="s">
        <v>2382</v>
      </c>
      <c r="E988" s="91" t="s">
        <v>2383</v>
      </c>
      <c r="F988" s="315">
        <v>232.89</v>
      </c>
      <c r="G988" s="260">
        <v>1</v>
      </c>
      <c r="H988" s="260"/>
      <c r="I988" s="309"/>
      <c r="J988" s="199"/>
      <c r="K988" s="269"/>
      <c r="L988" s="93">
        <f t="shared" si="261"/>
        <v>1</v>
      </c>
      <c r="M988" s="183">
        <v>1</v>
      </c>
      <c r="N988" s="95">
        <f t="shared" si="256"/>
        <v>232.89</v>
      </c>
      <c r="O988" s="95">
        <f t="shared" si="257"/>
        <v>232.89</v>
      </c>
      <c r="P988" s="94">
        <f t="shared" si="258"/>
        <v>0</v>
      </c>
      <c r="Q988" s="95">
        <f t="shared" si="259"/>
        <v>0</v>
      </c>
      <c r="R988" s="96"/>
      <c r="S988" s="97">
        <f t="shared" si="260"/>
        <v>1</v>
      </c>
      <c r="T988" s="98">
        <f t="shared" si="255"/>
        <v>0</v>
      </c>
      <c r="Y988">
        <v>1</v>
      </c>
      <c r="Z988" s="99" t="s">
        <v>2384</v>
      </c>
      <c r="AD988">
        <f>Y988</f>
        <v>1</v>
      </c>
      <c r="AE988">
        <f>AD988*F988</f>
        <v>232.89</v>
      </c>
    </row>
    <row r="989" spans="2:31" ht="20.100000000000001" customHeight="1">
      <c r="B989" s="88">
        <v>9</v>
      </c>
      <c r="C989" s="89" t="s">
        <v>2130</v>
      </c>
      <c r="D989" s="90" t="s">
        <v>2385</v>
      </c>
      <c r="E989" s="91" t="s">
        <v>2386</v>
      </c>
      <c r="F989" s="315">
        <v>6.82</v>
      </c>
      <c r="G989" s="260">
        <v>5</v>
      </c>
      <c r="H989" s="260"/>
      <c r="I989" s="309"/>
      <c r="J989" s="199"/>
      <c r="K989" s="269">
        <v>1</v>
      </c>
      <c r="L989" s="93">
        <f t="shared" si="261"/>
        <v>4</v>
      </c>
      <c r="M989" s="183">
        <v>5</v>
      </c>
      <c r="N989" s="95">
        <f t="shared" si="256"/>
        <v>27.28</v>
      </c>
      <c r="O989" s="95">
        <f t="shared" si="257"/>
        <v>34.1</v>
      </c>
      <c r="P989" s="94">
        <f t="shared" si="258"/>
        <v>-1</v>
      </c>
      <c r="Q989" s="95">
        <f t="shared" si="259"/>
        <v>-6.82</v>
      </c>
      <c r="R989" s="96"/>
      <c r="S989" s="97">
        <f t="shared" si="260"/>
        <v>0</v>
      </c>
      <c r="T989" s="98">
        <f t="shared" si="255"/>
        <v>5</v>
      </c>
    </row>
    <row r="990" spans="2:31" ht="20.100000000000001" customHeight="1">
      <c r="B990" s="88">
        <v>9</v>
      </c>
      <c r="C990" s="89" t="s">
        <v>2130</v>
      </c>
      <c r="D990" s="90" t="s">
        <v>2387</v>
      </c>
      <c r="E990" s="91" t="s">
        <v>2388</v>
      </c>
      <c r="F990" s="315">
        <v>5.43</v>
      </c>
      <c r="G990" s="260">
        <v>3</v>
      </c>
      <c r="H990" s="260"/>
      <c r="I990" s="309"/>
      <c r="J990" s="199"/>
      <c r="K990" s="269"/>
      <c r="L990" s="93">
        <f t="shared" si="261"/>
        <v>3</v>
      </c>
      <c r="M990" s="183">
        <v>3</v>
      </c>
      <c r="N990" s="95">
        <f t="shared" si="256"/>
        <v>16.29</v>
      </c>
      <c r="O990" s="95">
        <f t="shared" si="257"/>
        <v>16.29</v>
      </c>
      <c r="P990" s="94">
        <f t="shared" si="258"/>
        <v>0</v>
      </c>
      <c r="Q990" s="95">
        <f t="shared" si="259"/>
        <v>0</v>
      </c>
      <c r="R990" s="96"/>
      <c r="S990" s="97">
        <f t="shared" si="260"/>
        <v>9</v>
      </c>
      <c r="T990" s="98">
        <f t="shared" si="255"/>
        <v>-6</v>
      </c>
      <c r="U990">
        <v>9</v>
      </c>
    </row>
    <row r="991" spans="2:31" ht="20.100000000000001" customHeight="1">
      <c r="B991" s="88">
        <v>9</v>
      </c>
      <c r="C991" s="89" t="s">
        <v>2130</v>
      </c>
      <c r="D991" s="90" t="s">
        <v>2389</v>
      </c>
      <c r="E991" s="91" t="s">
        <v>2390</v>
      </c>
      <c r="F991" s="315">
        <v>5.03</v>
      </c>
      <c r="G991" s="260">
        <v>146</v>
      </c>
      <c r="H991" s="260"/>
      <c r="I991" s="309"/>
      <c r="J991" s="199"/>
      <c r="K991" s="269"/>
      <c r="L991" s="93">
        <f t="shared" si="261"/>
        <v>146</v>
      </c>
      <c r="M991" s="183">
        <f>144+2</f>
        <v>146</v>
      </c>
      <c r="N991" s="95">
        <f t="shared" si="256"/>
        <v>734.38</v>
      </c>
      <c r="O991" s="95">
        <f t="shared" si="257"/>
        <v>734.38</v>
      </c>
      <c r="P991" s="94">
        <f t="shared" si="258"/>
        <v>0</v>
      </c>
      <c r="Q991" s="95">
        <f t="shared" si="259"/>
        <v>0</v>
      </c>
      <c r="R991" s="96"/>
      <c r="S991" s="97">
        <f t="shared" si="260"/>
        <v>146</v>
      </c>
      <c r="T991" s="98">
        <f t="shared" si="255"/>
        <v>0</v>
      </c>
      <c r="U991">
        <v>2</v>
      </c>
      <c r="Y991">
        <v>144</v>
      </c>
    </row>
    <row r="992" spans="2:31" ht="20.100000000000001" customHeight="1">
      <c r="B992" s="88">
        <v>9</v>
      </c>
      <c r="C992" s="89" t="s">
        <v>2130</v>
      </c>
      <c r="D992" s="90" t="s">
        <v>2391</v>
      </c>
      <c r="E992" s="91" t="s">
        <v>2392</v>
      </c>
      <c r="F992" s="315">
        <v>6.92</v>
      </c>
      <c r="G992" s="260">
        <f>1529+6</f>
        <v>1535</v>
      </c>
      <c r="H992" s="260">
        <v>4</v>
      </c>
      <c r="I992" s="309"/>
      <c r="J992" s="199"/>
      <c r="K992" s="269">
        <v>10</v>
      </c>
      <c r="L992" s="93">
        <f t="shared" si="261"/>
        <v>1529</v>
      </c>
      <c r="M992" s="183">
        <f>864+665</f>
        <v>1529</v>
      </c>
      <c r="N992" s="95">
        <f t="shared" si="256"/>
        <v>10580.68</v>
      </c>
      <c r="O992" s="95">
        <f t="shared" si="257"/>
        <v>10580.68</v>
      </c>
      <c r="P992" s="94">
        <f t="shared" si="258"/>
        <v>0</v>
      </c>
      <c r="Q992" s="95">
        <f t="shared" si="259"/>
        <v>0</v>
      </c>
      <c r="R992" s="278"/>
      <c r="S992" s="97">
        <f t="shared" si="260"/>
        <v>1562</v>
      </c>
      <c r="T992" s="98">
        <f t="shared" si="255"/>
        <v>-33</v>
      </c>
      <c r="U992">
        <v>698</v>
      </c>
      <c r="Y992">
        <v>864</v>
      </c>
    </row>
    <row r="993" spans="2:25" ht="20.100000000000001" customHeight="1">
      <c r="B993" s="88">
        <v>9</v>
      </c>
      <c r="C993" s="89" t="s">
        <v>2130</v>
      </c>
      <c r="D993" s="90" t="s">
        <v>2393</v>
      </c>
      <c r="E993" s="91" t="s">
        <v>2394</v>
      </c>
      <c r="F993" s="315">
        <v>6.59</v>
      </c>
      <c r="G993" s="260">
        <v>987</v>
      </c>
      <c r="H993" s="260">
        <v>6</v>
      </c>
      <c r="I993" s="309"/>
      <c r="J993" s="199"/>
      <c r="K993" s="269">
        <v>18</v>
      </c>
      <c r="L993" s="93">
        <f t="shared" si="261"/>
        <v>975</v>
      </c>
      <c r="M993" s="183">
        <v>975</v>
      </c>
      <c r="N993" s="95">
        <f t="shared" si="256"/>
        <v>6425.25</v>
      </c>
      <c r="O993" s="95">
        <f t="shared" si="257"/>
        <v>6425.25</v>
      </c>
      <c r="P993" s="94">
        <f t="shared" si="258"/>
        <v>0</v>
      </c>
      <c r="Q993" s="95">
        <f t="shared" si="259"/>
        <v>0</v>
      </c>
      <c r="R993" s="96"/>
      <c r="S993" s="97">
        <f t="shared" si="260"/>
        <v>853</v>
      </c>
      <c r="T993" s="98">
        <f t="shared" si="255"/>
        <v>122</v>
      </c>
      <c r="U993">
        <v>7</v>
      </c>
      <c r="Y993">
        <v>846</v>
      </c>
    </row>
    <row r="994" spans="2:25" ht="20.100000000000001" customHeight="1">
      <c r="B994" s="88">
        <v>9</v>
      </c>
      <c r="C994" s="89" t="s">
        <v>2130</v>
      </c>
      <c r="D994" s="90" t="s">
        <v>2395</v>
      </c>
      <c r="E994" s="91" t="s">
        <v>2396</v>
      </c>
      <c r="F994" s="315">
        <v>47.5</v>
      </c>
      <c r="G994" s="260">
        <v>1</v>
      </c>
      <c r="H994" s="260"/>
      <c r="I994" s="309"/>
      <c r="J994" s="199"/>
      <c r="K994" s="269"/>
      <c r="L994" s="93">
        <f t="shared" si="261"/>
        <v>1</v>
      </c>
      <c r="M994" s="183">
        <v>1</v>
      </c>
      <c r="N994" s="95">
        <f t="shared" si="256"/>
        <v>47.5</v>
      </c>
      <c r="O994" s="95">
        <f t="shared" si="257"/>
        <v>47.5</v>
      </c>
      <c r="P994" s="94">
        <f t="shared" si="258"/>
        <v>0</v>
      </c>
      <c r="Q994" s="95">
        <f t="shared" si="259"/>
        <v>0</v>
      </c>
      <c r="R994" s="96"/>
      <c r="S994" s="97">
        <f t="shared" si="260"/>
        <v>1</v>
      </c>
      <c r="T994" s="98">
        <f t="shared" si="255"/>
        <v>0</v>
      </c>
      <c r="U994">
        <v>1</v>
      </c>
    </row>
    <row r="995" spans="2:25" ht="20.100000000000001" customHeight="1">
      <c r="B995" s="88">
        <v>9</v>
      </c>
      <c r="C995" s="89" t="s">
        <v>2130</v>
      </c>
      <c r="D995" s="90" t="s">
        <v>2397</v>
      </c>
      <c r="E995" s="91" t="s">
        <v>2398</v>
      </c>
      <c r="F995" s="315">
        <v>39.200000000000003</v>
      </c>
      <c r="G995" s="260"/>
      <c r="H995" s="260"/>
      <c r="I995" s="309"/>
      <c r="J995" s="199"/>
      <c r="K995" s="269"/>
      <c r="L995" s="93">
        <f t="shared" si="261"/>
        <v>0</v>
      </c>
      <c r="M995" s="183"/>
      <c r="N995" s="95">
        <f t="shared" si="256"/>
        <v>0</v>
      </c>
      <c r="O995" s="95">
        <f t="shared" si="257"/>
        <v>0</v>
      </c>
      <c r="P995" s="94">
        <f t="shared" si="258"/>
        <v>0</v>
      </c>
      <c r="Q995" s="95">
        <f t="shared" si="259"/>
        <v>0</v>
      </c>
      <c r="R995" s="96"/>
      <c r="S995" s="97">
        <f t="shared" si="260"/>
        <v>0</v>
      </c>
      <c r="T995" s="98">
        <f t="shared" si="255"/>
        <v>0</v>
      </c>
    </row>
    <row r="996" spans="2:25" ht="20.100000000000001" customHeight="1">
      <c r="B996" s="88">
        <v>9</v>
      </c>
      <c r="C996" s="89" t="s">
        <v>2130</v>
      </c>
      <c r="D996" s="90" t="s">
        <v>2399</v>
      </c>
      <c r="E996" s="91" t="s">
        <v>2400</v>
      </c>
      <c r="F996" s="315">
        <v>57.1</v>
      </c>
      <c r="G996" s="260">
        <v>4</v>
      </c>
      <c r="H996" s="260">
        <v>6</v>
      </c>
      <c r="I996" s="309"/>
      <c r="J996" s="199"/>
      <c r="K996" s="269">
        <v>7</v>
      </c>
      <c r="L996" s="93">
        <f t="shared" si="261"/>
        <v>3</v>
      </c>
      <c r="M996" s="183">
        <v>3</v>
      </c>
      <c r="N996" s="95">
        <f t="shared" si="256"/>
        <v>171.3</v>
      </c>
      <c r="O996" s="95">
        <f t="shared" si="257"/>
        <v>171.3</v>
      </c>
      <c r="P996" s="94">
        <f t="shared" si="258"/>
        <v>0</v>
      </c>
      <c r="Q996" s="95">
        <f t="shared" si="259"/>
        <v>0</v>
      </c>
      <c r="R996" s="96"/>
      <c r="S996" s="97">
        <f t="shared" si="260"/>
        <v>4</v>
      </c>
      <c r="T996" s="98">
        <f t="shared" si="255"/>
        <v>-1</v>
      </c>
      <c r="U996">
        <v>4</v>
      </c>
    </row>
    <row r="997" spans="2:25" ht="20.100000000000001" customHeight="1">
      <c r="B997" s="88">
        <v>9</v>
      </c>
      <c r="C997" s="89" t="s">
        <v>2130</v>
      </c>
      <c r="D997" s="90" t="s">
        <v>2401</v>
      </c>
      <c r="E997" s="91" t="s">
        <v>2402</v>
      </c>
      <c r="F997" s="315">
        <v>108.55</v>
      </c>
      <c r="G997" s="260">
        <v>3</v>
      </c>
      <c r="H997" s="260"/>
      <c r="I997" s="309"/>
      <c r="J997" s="199"/>
      <c r="K997" s="269"/>
      <c r="L997" s="93">
        <f t="shared" si="261"/>
        <v>3</v>
      </c>
      <c r="M997" s="183">
        <v>3</v>
      </c>
      <c r="N997" s="95">
        <f t="shared" si="256"/>
        <v>325.64999999999998</v>
      </c>
      <c r="O997" s="95">
        <f t="shared" si="257"/>
        <v>325.64999999999998</v>
      </c>
      <c r="P997" s="94">
        <f t="shared" si="258"/>
        <v>0</v>
      </c>
      <c r="Q997" s="95">
        <f t="shared" si="259"/>
        <v>0</v>
      </c>
      <c r="R997" s="96"/>
      <c r="S997" s="97">
        <f t="shared" si="260"/>
        <v>3</v>
      </c>
      <c r="T997" s="98">
        <f t="shared" si="255"/>
        <v>0</v>
      </c>
      <c r="U997">
        <v>3</v>
      </c>
    </row>
    <row r="998" spans="2:25" ht="20.100000000000001" customHeight="1">
      <c r="B998" s="88">
        <v>9</v>
      </c>
      <c r="C998" s="89" t="s">
        <v>2130</v>
      </c>
      <c r="D998" s="90" t="s">
        <v>2403</v>
      </c>
      <c r="E998" s="91" t="s">
        <v>2404</v>
      </c>
      <c r="F998" s="315">
        <v>31.15</v>
      </c>
      <c r="G998" s="260">
        <v>3</v>
      </c>
      <c r="H998" s="260">
        <v>6</v>
      </c>
      <c r="I998" s="309"/>
      <c r="J998" s="199"/>
      <c r="K998" s="269">
        <v>6</v>
      </c>
      <c r="L998" s="93">
        <f t="shared" si="261"/>
        <v>3</v>
      </c>
      <c r="M998" s="183">
        <v>3</v>
      </c>
      <c r="N998" s="95">
        <f t="shared" si="256"/>
        <v>93.449999999999989</v>
      </c>
      <c r="O998" s="95">
        <f t="shared" si="257"/>
        <v>93.449999999999989</v>
      </c>
      <c r="P998" s="94">
        <f t="shared" si="258"/>
        <v>0</v>
      </c>
      <c r="Q998" s="95">
        <f t="shared" si="259"/>
        <v>0</v>
      </c>
      <c r="R998" s="96"/>
      <c r="S998" s="97">
        <f t="shared" si="260"/>
        <v>3</v>
      </c>
      <c r="T998" s="98">
        <f t="shared" si="255"/>
        <v>0</v>
      </c>
      <c r="U998">
        <v>3</v>
      </c>
    </row>
    <row r="999" spans="2:25" ht="20.100000000000001" customHeight="1">
      <c r="B999" s="88">
        <v>9</v>
      </c>
      <c r="C999" s="89" t="s">
        <v>2130</v>
      </c>
      <c r="D999" s="90" t="s">
        <v>2405</v>
      </c>
      <c r="E999" s="91" t="s">
        <v>2406</v>
      </c>
      <c r="F999" s="315">
        <v>93.75</v>
      </c>
      <c r="G999" s="260"/>
      <c r="H999" s="260"/>
      <c r="I999" s="309"/>
      <c r="J999" s="199"/>
      <c r="K999" s="269"/>
      <c r="L999" s="93">
        <f t="shared" si="261"/>
        <v>0</v>
      </c>
      <c r="M999" s="183"/>
      <c r="N999" s="95">
        <f t="shared" si="256"/>
        <v>0</v>
      </c>
      <c r="O999" s="95">
        <f t="shared" si="257"/>
        <v>0</v>
      </c>
      <c r="P999" s="94">
        <f t="shared" si="258"/>
        <v>0</v>
      </c>
      <c r="Q999" s="95">
        <f t="shared" si="259"/>
        <v>0</v>
      </c>
      <c r="R999" s="96"/>
      <c r="S999" s="97">
        <f t="shared" si="260"/>
        <v>0</v>
      </c>
      <c r="T999" s="98">
        <f t="shared" si="255"/>
        <v>0</v>
      </c>
    </row>
    <row r="1000" spans="2:25" ht="20.100000000000001" customHeight="1">
      <c r="B1000" s="88">
        <v>9</v>
      </c>
      <c r="C1000" s="89" t="s">
        <v>2130</v>
      </c>
      <c r="D1000" s="90" t="s">
        <v>2407</v>
      </c>
      <c r="E1000" s="91" t="s">
        <v>2408</v>
      </c>
      <c r="F1000" s="315">
        <v>47.1</v>
      </c>
      <c r="G1000" s="260">
        <v>5</v>
      </c>
      <c r="H1000" s="260"/>
      <c r="I1000" s="309"/>
      <c r="J1000" s="199"/>
      <c r="K1000" s="269"/>
      <c r="L1000" s="93">
        <f t="shared" si="261"/>
        <v>5</v>
      </c>
      <c r="M1000" s="183">
        <f>1+4</f>
        <v>5</v>
      </c>
      <c r="N1000" s="95">
        <f t="shared" si="256"/>
        <v>235.5</v>
      </c>
      <c r="O1000" s="95">
        <f t="shared" si="257"/>
        <v>235.5</v>
      </c>
      <c r="P1000" s="94">
        <f t="shared" si="258"/>
        <v>0</v>
      </c>
      <c r="Q1000" s="95">
        <f t="shared" si="259"/>
        <v>0</v>
      </c>
      <c r="R1000" s="96"/>
      <c r="S1000" s="97">
        <f t="shared" si="260"/>
        <v>5</v>
      </c>
      <c r="T1000" s="98">
        <f t="shared" si="255"/>
        <v>0</v>
      </c>
      <c r="U1000">
        <v>5</v>
      </c>
    </row>
    <row r="1001" spans="2:25" ht="20.100000000000001" customHeight="1">
      <c r="B1001" s="88">
        <v>9</v>
      </c>
      <c r="C1001" s="89" t="s">
        <v>2130</v>
      </c>
      <c r="D1001" s="90" t="s">
        <v>2409</v>
      </c>
      <c r="E1001" s="91" t="s">
        <v>2410</v>
      </c>
      <c r="F1001" s="315">
        <v>81.349999999999994</v>
      </c>
      <c r="G1001" s="260"/>
      <c r="H1001" s="260"/>
      <c r="I1001" s="309"/>
      <c r="J1001" s="199"/>
      <c r="K1001" s="269"/>
      <c r="L1001" s="93">
        <f t="shared" si="261"/>
        <v>0</v>
      </c>
      <c r="M1001" s="183"/>
      <c r="N1001" s="95">
        <f t="shared" si="256"/>
        <v>0</v>
      </c>
      <c r="O1001" s="95">
        <f t="shared" si="257"/>
        <v>0</v>
      </c>
      <c r="P1001" s="94">
        <f t="shared" si="258"/>
        <v>0</v>
      </c>
      <c r="Q1001" s="95">
        <f t="shared" si="259"/>
        <v>0</v>
      </c>
      <c r="R1001" s="96"/>
      <c r="S1001" s="97">
        <f t="shared" si="260"/>
        <v>0</v>
      </c>
      <c r="T1001" s="98">
        <f t="shared" si="255"/>
        <v>0</v>
      </c>
    </row>
    <row r="1002" spans="2:25" ht="20.100000000000001" customHeight="1">
      <c r="B1002" s="88">
        <v>9</v>
      </c>
      <c r="C1002" s="89" t="s">
        <v>2130</v>
      </c>
      <c r="D1002" s="90" t="s">
        <v>2411</v>
      </c>
      <c r="E1002" s="91" t="s">
        <v>2412</v>
      </c>
      <c r="F1002" s="315">
        <v>24.08</v>
      </c>
      <c r="G1002" s="260">
        <v>9</v>
      </c>
      <c r="H1002" s="260"/>
      <c r="I1002" s="309"/>
      <c r="J1002" s="199"/>
      <c r="K1002" s="269">
        <v>1</v>
      </c>
      <c r="L1002" s="93">
        <f t="shared" si="261"/>
        <v>8</v>
      </c>
      <c r="M1002" s="183">
        <v>8</v>
      </c>
      <c r="N1002" s="95">
        <f t="shared" si="256"/>
        <v>192.64</v>
      </c>
      <c r="O1002" s="95">
        <f t="shared" si="257"/>
        <v>192.64</v>
      </c>
      <c r="P1002" s="94">
        <f t="shared" si="258"/>
        <v>0</v>
      </c>
      <c r="Q1002" s="95">
        <f t="shared" si="259"/>
        <v>0</v>
      </c>
      <c r="R1002" s="96"/>
      <c r="S1002" s="97">
        <f t="shared" si="260"/>
        <v>10</v>
      </c>
      <c r="T1002" s="98">
        <f t="shared" si="255"/>
        <v>-2</v>
      </c>
      <c r="U1002">
        <v>10</v>
      </c>
    </row>
    <row r="1003" spans="2:25" ht="20.100000000000001" customHeight="1">
      <c r="B1003" s="88">
        <v>9</v>
      </c>
      <c r="C1003" s="89" t="s">
        <v>2130</v>
      </c>
      <c r="D1003" s="90" t="s">
        <v>2413</v>
      </c>
      <c r="E1003" s="91" t="s">
        <v>2414</v>
      </c>
      <c r="F1003" s="315">
        <v>46.23</v>
      </c>
      <c r="G1003" s="260">
        <v>8</v>
      </c>
      <c r="H1003" s="260">
        <v>6</v>
      </c>
      <c r="I1003" s="309"/>
      <c r="J1003" s="199"/>
      <c r="K1003" s="269">
        <v>6</v>
      </c>
      <c r="L1003" s="93">
        <f t="shared" si="261"/>
        <v>8</v>
      </c>
      <c r="M1003" s="183">
        <v>8</v>
      </c>
      <c r="N1003" s="95">
        <f t="shared" si="256"/>
        <v>369.84</v>
      </c>
      <c r="O1003" s="95">
        <f t="shared" si="257"/>
        <v>369.84</v>
      </c>
      <c r="P1003" s="94">
        <f t="shared" si="258"/>
        <v>0</v>
      </c>
      <c r="Q1003" s="95">
        <f t="shared" si="259"/>
        <v>0</v>
      </c>
      <c r="R1003" s="96"/>
      <c r="S1003" s="97">
        <f t="shared" si="260"/>
        <v>8</v>
      </c>
      <c r="T1003" s="98">
        <f t="shared" si="255"/>
        <v>0</v>
      </c>
      <c r="U1003">
        <v>8</v>
      </c>
    </row>
    <row r="1004" spans="2:25" ht="20.100000000000001" customHeight="1">
      <c r="B1004" s="88">
        <v>9</v>
      </c>
      <c r="C1004" s="89" t="s">
        <v>2130</v>
      </c>
      <c r="D1004" s="90" t="s">
        <v>2415</v>
      </c>
      <c r="E1004" s="91" t="s">
        <v>2416</v>
      </c>
      <c r="F1004" s="315">
        <v>49.95</v>
      </c>
      <c r="G1004" s="260"/>
      <c r="H1004" s="260"/>
      <c r="I1004" s="309"/>
      <c r="J1004" s="199"/>
      <c r="K1004" s="269"/>
      <c r="L1004" s="93">
        <f t="shared" si="261"/>
        <v>0</v>
      </c>
      <c r="M1004" s="183"/>
      <c r="N1004" s="95">
        <f t="shared" si="256"/>
        <v>0</v>
      </c>
      <c r="O1004" s="95">
        <f t="shared" si="257"/>
        <v>0</v>
      </c>
      <c r="P1004" s="94">
        <f t="shared" si="258"/>
        <v>0</v>
      </c>
      <c r="Q1004" s="95">
        <f t="shared" si="259"/>
        <v>0</v>
      </c>
      <c r="R1004" s="96"/>
      <c r="S1004" s="97">
        <f t="shared" si="260"/>
        <v>0</v>
      </c>
      <c r="T1004" s="98">
        <f t="shared" si="255"/>
        <v>0</v>
      </c>
    </row>
    <row r="1005" spans="2:25" ht="20.100000000000001" customHeight="1">
      <c r="B1005" s="88">
        <v>9</v>
      </c>
      <c r="C1005" s="89" t="s">
        <v>2130</v>
      </c>
      <c r="D1005" s="90" t="s">
        <v>2417</v>
      </c>
      <c r="E1005" s="91" t="s">
        <v>2418</v>
      </c>
      <c r="F1005" s="315">
        <v>27.95</v>
      </c>
      <c r="G1005" s="260">
        <v>10</v>
      </c>
      <c r="H1005" s="260"/>
      <c r="I1005" s="309"/>
      <c r="J1005" s="199"/>
      <c r="K1005" s="269"/>
      <c r="L1005" s="93">
        <f t="shared" si="261"/>
        <v>10</v>
      </c>
      <c r="M1005" s="183">
        <v>10</v>
      </c>
      <c r="N1005" s="95">
        <f t="shared" si="256"/>
        <v>279.5</v>
      </c>
      <c r="O1005" s="95">
        <f t="shared" si="257"/>
        <v>279.5</v>
      </c>
      <c r="P1005" s="94">
        <f t="shared" si="258"/>
        <v>0</v>
      </c>
      <c r="Q1005" s="95">
        <f t="shared" si="259"/>
        <v>0</v>
      </c>
      <c r="R1005" s="96"/>
      <c r="S1005" s="97">
        <f t="shared" si="260"/>
        <v>10</v>
      </c>
      <c r="T1005" s="98">
        <f t="shared" si="255"/>
        <v>0</v>
      </c>
      <c r="U1005">
        <v>10</v>
      </c>
    </row>
    <row r="1006" spans="2:25" ht="20.100000000000001" customHeight="1">
      <c r="B1006" s="88">
        <v>9</v>
      </c>
      <c r="C1006" s="89" t="s">
        <v>2130</v>
      </c>
      <c r="D1006" s="90" t="s">
        <v>2419</v>
      </c>
      <c r="E1006" s="91" t="s">
        <v>2420</v>
      </c>
      <c r="F1006" s="315">
        <v>57.85</v>
      </c>
      <c r="G1006" s="260"/>
      <c r="H1006" s="260"/>
      <c r="I1006" s="309"/>
      <c r="J1006" s="199"/>
      <c r="K1006" s="269"/>
      <c r="L1006" s="93">
        <f t="shared" si="261"/>
        <v>0</v>
      </c>
      <c r="M1006" s="183"/>
      <c r="N1006" s="95">
        <f t="shared" si="256"/>
        <v>0</v>
      </c>
      <c r="O1006" s="95">
        <f t="shared" si="257"/>
        <v>0</v>
      </c>
      <c r="P1006" s="94">
        <f t="shared" si="258"/>
        <v>0</v>
      </c>
      <c r="Q1006" s="95">
        <f t="shared" si="259"/>
        <v>0</v>
      </c>
      <c r="R1006" s="96"/>
      <c r="S1006" s="97">
        <f t="shared" si="260"/>
        <v>0</v>
      </c>
      <c r="T1006" s="98">
        <f t="shared" si="255"/>
        <v>0</v>
      </c>
    </row>
    <row r="1007" spans="2:25" ht="20.100000000000001" customHeight="1">
      <c r="B1007" s="88">
        <v>9</v>
      </c>
      <c r="C1007" s="89" t="s">
        <v>2130</v>
      </c>
      <c r="D1007" s="90" t="s">
        <v>2421</v>
      </c>
      <c r="E1007" s="91" t="s">
        <v>2422</v>
      </c>
      <c r="F1007" s="315">
        <v>94.7</v>
      </c>
      <c r="G1007" s="260"/>
      <c r="H1007" s="260"/>
      <c r="I1007" s="309"/>
      <c r="J1007" s="199"/>
      <c r="K1007" s="269"/>
      <c r="L1007" s="93">
        <f t="shared" si="261"/>
        <v>0</v>
      </c>
      <c r="M1007" s="183"/>
      <c r="N1007" s="95">
        <f t="shared" si="256"/>
        <v>0</v>
      </c>
      <c r="O1007" s="95">
        <f t="shared" si="257"/>
        <v>0</v>
      </c>
      <c r="P1007" s="94">
        <f t="shared" si="258"/>
        <v>0</v>
      </c>
      <c r="Q1007" s="95">
        <f t="shared" si="259"/>
        <v>0</v>
      </c>
      <c r="R1007" s="96"/>
      <c r="S1007" s="97">
        <f t="shared" si="260"/>
        <v>0</v>
      </c>
      <c r="T1007" s="98">
        <f t="shared" si="255"/>
        <v>0</v>
      </c>
    </row>
    <row r="1008" spans="2:25" ht="20.100000000000001" customHeight="1">
      <c r="B1008" s="88">
        <v>9</v>
      </c>
      <c r="C1008" s="89" t="s">
        <v>2130</v>
      </c>
      <c r="D1008" s="90" t="s">
        <v>2423</v>
      </c>
      <c r="E1008" s="91" t="s">
        <v>2424</v>
      </c>
      <c r="F1008" s="315">
        <v>13.95</v>
      </c>
      <c r="G1008" s="260">
        <v>2</v>
      </c>
      <c r="H1008" s="260"/>
      <c r="I1008" s="309"/>
      <c r="J1008" s="199"/>
      <c r="K1008" s="269"/>
      <c r="L1008" s="93">
        <f t="shared" si="261"/>
        <v>2</v>
      </c>
      <c r="M1008" s="183">
        <v>2</v>
      </c>
      <c r="N1008" s="95">
        <f t="shared" si="256"/>
        <v>27.9</v>
      </c>
      <c r="O1008" s="95">
        <f t="shared" si="257"/>
        <v>27.9</v>
      </c>
      <c r="P1008" s="94">
        <f t="shared" si="258"/>
        <v>0</v>
      </c>
      <c r="Q1008" s="95">
        <f t="shared" si="259"/>
        <v>0</v>
      </c>
      <c r="R1008" s="96"/>
      <c r="S1008" s="97">
        <f t="shared" si="260"/>
        <v>2</v>
      </c>
      <c r="T1008" s="98">
        <f t="shared" si="255"/>
        <v>0</v>
      </c>
      <c r="U1008">
        <v>2</v>
      </c>
    </row>
    <row r="1009" spans="2:25" ht="20.100000000000001" customHeight="1">
      <c r="B1009" s="88">
        <v>9</v>
      </c>
      <c r="C1009" s="89" t="s">
        <v>2130</v>
      </c>
      <c r="D1009" s="90" t="s">
        <v>2425</v>
      </c>
      <c r="E1009" s="91" t="s">
        <v>2426</v>
      </c>
      <c r="F1009" s="315">
        <v>24</v>
      </c>
      <c r="G1009" s="260">
        <v>7</v>
      </c>
      <c r="H1009" s="260"/>
      <c r="I1009" s="309"/>
      <c r="J1009" s="199"/>
      <c r="K1009" s="269"/>
      <c r="L1009" s="93">
        <f t="shared" si="261"/>
        <v>7</v>
      </c>
      <c r="M1009" s="183">
        <v>7</v>
      </c>
      <c r="N1009" s="95">
        <f t="shared" si="256"/>
        <v>168</v>
      </c>
      <c r="O1009" s="95">
        <f t="shared" si="257"/>
        <v>168</v>
      </c>
      <c r="P1009" s="94">
        <f t="shared" si="258"/>
        <v>0</v>
      </c>
      <c r="Q1009" s="95">
        <f t="shared" si="259"/>
        <v>0</v>
      </c>
      <c r="R1009" s="96"/>
      <c r="S1009" s="97">
        <f t="shared" si="260"/>
        <v>7</v>
      </c>
      <c r="T1009" s="98">
        <f t="shared" si="255"/>
        <v>0</v>
      </c>
      <c r="U1009">
        <v>7</v>
      </c>
    </row>
    <row r="1010" spans="2:25" ht="20.100000000000001" customHeight="1">
      <c r="B1010" s="88">
        <v>9</v>
      </c>
      <c r="C1010" s="89" t="s">
        <v>2130</v>
      </c>
      <c r="D1010" s="90" t="s">
        <v>2427</v>
      </c>
      <c r="E1010" s="91" t="s">
        <v>2428</v>
      </c>
      <c r="F1010" s="315">
        <v>39.200000000000003</v>
      </c>
      <c r="G1010" s="260"/>
      <c r="H1010" s="260"/>
      <c r="I1010" s="309"/>
      <c r="J1010" s="199"/>
      <c r="K1010" s="269"/>
      <c r="L1010" s="93">
        <f t="shared" si="261"/>
        <v>0</v>
      </c>
      <c r="M1010" s="183"/>
      <c r="N1010" s="95">
        <f t="shared" si="256"/>
        <v>0</v>
      </c>
      <c r="O1010" s="95">
        <f t="shared" si="257"/>
        <v>0</v>
      </c>
      <c r="P1010" s="94">
        <f t="shared" si="258"/>
        <v>0</v>
      </c>
      <c r="Q1010" s="95">
        <f t="shared" si="259"/>
        <v>0</v>
      </c>
      <c r="R1010" s="96"/>
      <c r="S1010" s="97">
        <f t="shared" si="260"/>
        <v>0</v>
      </c>
      <c r="T1010" s="98">
        <f t="shared" ref="T1010:T1081" si="268">M1010-S1010</f>
        <v>0</v>
      </c>
    </row>
    <row r="1011" spans="2:25" ht="20.100000000000001" customHeight="1">
      <c r="B1011" s="88">
        <v>9</v>
      </c>
      <c r="C1011" s="89" t="s">
        <v>2130</v>
      </c>
      <c r="D1011" s="90" t="s">
        <v>2429</v>
      </c>
      <c r="E1011" s="91" t="s">
        <v>2430</v>
      </c>
      <c r="F1011" s="315">
        <v>39.200000000000003</v>
      </c>
      <c r="G1011" s="260">
        <v>3</v>
      </c>
      <c r="H1011" s="260"/>
      <c r="I1011" s="309"/>
      <c r="J1011" s="199"/>
      <c r="K1011" s="269"/>
      <c r="L1011" s="93">
        <f t="shared" si="261"/>
        <v>3</v>
      </c>
      <c r="M1011" s="183">
        <v>3</v>
      </c>
      <c r="N1011" s="95">
        <f t="shared" ref="N1011:N1082" si="269">F1011*L1011</f>
        <v>117.60000000000001</v>
      </c>
      <c r="O1011" s="95">
        <f t="shared" ref="O1011:O1082" si="270">M1011*F1011</f>
        <v>117.60000000000001</v>
      </c>
      <c r="P1011" s="94">
        <f t="shared" ref="P1011:P1082" si="271">L1011-M1011</f>
        <v>0</v>
      </c>
      <c r="Q1011" s="95">
        <f t="shared" ref="Q1011:Q1082" si="272">N1011-O1011</f>
        <v>0</v>
      </c>
      <c r="R1011" s="96"/>
      <c r="S1011" s="97">
        <f t="shared" ref="S1011:S1082" si="273">U1011+Y1011+W1011+AA1011</f>
        <v>4</v>
      </c>
      <c r="T1011" s="98">
        <f t="shared" si="268"/>
        <v>-1</v>
      </c>
      <c r="U1011">
        <v>4</v>
      </c>
    </row>
    <row r="1012" spans="2:25" ht="20.100000000000001" customHeight="1">
      <c r="B1012" s="88">
        <v>9</v>
      </c>
      <c r="C1012" s="89" t="s">
        <v>2130</v>
      </c>
      <c r="D1012" s="90" t="s">
        <v>2431</v>
      </c>
      <c r="E1012" s="91" t="s">
        <v>2432</v>
      </c>
      <c r="F1012" s="315">
        <v>15.46</v>
      </c>
      <c r="G1012" s="260"/>
      <c r="H1012" s="260"/>
      <c r="I1012" s="309"/>
      <c r="J1012" s="199"/>
      <c r="K1012" s="269"/>
      <c r="L1012" s="93">
        <f t="shared" si="261"/>
        <v>0</v>
      </c>
      <c r="M1012" s="183"/>
      <c r="N1012" s="95">
        <f t="shared" si="269"/>
        <v>0</v>
      </c>
      <c r="O1012" s="95">
        <f t="shared" si="270"/>
        <v>0</v>
      </c>
      <c r="P1012" s="94">
        <f t="shared" si="271"/>
        <v>0</v>
      </c>
      <c r="Q1012" s="95">
        <f t="shared" si="272"/>
        <v>0</v>
      </c>
      <c r="R1012" s="96"/>
      <c r="S1012" s="97">
        <f t="shared" si="273"/>
        <v>0</v>
      </c>
      <c r="T1012" s="98">
        <f t="shared" si="268"/>
        <v>0</v>
      </c>
    </row>
    <row r="1013" spans="2:25" ht="20.100000000000001" customHeight="1">
      <c r="B1013" s="88">
        <v>9</v>
      </c>
      <c r="C1013" s="89" t="s">
        <v>2130</v>
      </c>
      <c r="D1013" s="90" t="s">
        <v>2433</v>
      </c>
      <c r="E1013" s="91" t="s">
        <v>2434</v>
      </c>
      <c r="F1013" s="315">
        <v>177</v>
      </c>
      <c r="G1013" s="260">
        <v>2</v>
      </c>
      <c r="H1013" s="260"/>
      <c r="I1013" s="309"/>
      <c r="J1013" s="199"/>
      <c r="K1013" s="269"/>
      <c r="L1013" s="93">
        <f t="shared" ref="L1013:L1076" si="274">G1013+I1013-J1013-K1013+H1013</f>
        <v>2</v>
      </c>
      <c r="M1013" s="183">
        <v>2</v>
      </c>
      <c r="N1013" s="95">
        <f t="shared" si="269"/>
        <v>354</v>
      </c>
      <c r="O1013" s="95">
        <f t="shared" si="270"/>
        <v>354</v>
      </c>
      <c r="P1013" s="94">
        <f t="shared" si="271"/>
        <v>0</v>
      </c>
      <c r="Q1013" s="95">
        <f t="shared" si="272"/>
        <v>0</v>
      </c>
      <c r="R1013" s="96"/>
      <c r="S1013" s="97">
        <f t="shared" si="273"/>
        <v>2</v>
      </c>
      <c r="T1013" s="98">
        <f t="shared" si="268"/>
        <v>0</v>
      </c>
      <c r="U1013">
        <v>2</v>
      </c>
    </row>
    <row r="1014" spans="2:25" ht="20.100000000000001" customHeight="1">
      <c r="B1014" s="88">
        <v>9</v>
      </c>
      <c r="C1014" s="89" t="s">
        <v>2130</v>
      </c>
      <c r="D1014" s="90" t="s">
        <v>2435</v>
      </c>
      <c r="E1014" s="91" t="s">
        <v>2436</v>
      </c>
      <c r="F1014" s="315">
        <v>117.91</v>
      </c>
      <c r="G1014" s="260">
        <v>14</v>
      </c>
      <c r="H1014" s="260"/>
      <c r="I1014" s="309"/>
      <c r="J1014" s="199"/>
      <c r="K1014" s="269"/>
      <c r="L1014" s="93">
        <f t="shared" si="274"/>
        <v>14</v>
      </c>
      <c r="M1014" s="183">
        <f>10+4</f>
        <v>14</v>
      </c>
      <c r="N1014" s="95">
        <f t="shared" si="269"/>
        <v>1650.74</v>
      </c>
      <c r="O1014" s="95">
        <f t="shared" si="270"/>
        <v>1650.74</v>
      </c>
      <c r="P1014" s="94">
        <f t="shared" si="271"/>
        <v>0</v>
      </c>
      <c r="Q1014" s="95">
        <f t="shared" si="272"/>
        <v>0</v>
      </c>
      <c r="R1014" s="96"/>
      <c r="S1014" s="97">
        <f t="shared" si="273"/>
        <v>14</v>
      </c>
      <c r="T1014" s="98">
        <f t="shared" si="268"/>
        <v>0</v>
      </c>
      <c r="U1014">
        <v>4</v>
      </c>
      <c r="Y1014">
        <v>10</v>
      </c>
    </row>
    <row r="1015" spans="2:25" ht="20.100000000000001" customHeight="1">
      <c r="B1015" s="88">
        <v>9</v>
      </c>
      <c r="C1015" s="89" t="s">
        <v>2130</v>
      </c>
      <c r="D1015" s="90" t="s">
        <v>2437</v>
      </c>
      <c r="E1015" s="91" t="s">
        <v>2438</v>
      </c>
      <c r="F1015" s="315">
        <v>69.650000000000006</v>
      </c>
      <c r="G1015" s="260"/>
      <c r="H1015" s="260"/>
      <c r="I1015" s="309"/>
      <c r="J1015" s="199"/>
      <c r="K1015" s="269"/>
      <c r="L1015" s="93">
        <f t="shared" si="274"/>
        <v>0</v>
      </c>
      <c r="M1015" s="183"/>
      <c r="N1015" s="95">
        <f t="shared" si="269"/>
        <v>0</v>
      </c>
      <c r="O1015" s="95">
        <f t="shared" si="270"/>
        <v>0</v>
      </c>
      <c r="P1015" s="94">
        <f t="shared" si="271"/>
        <v>0</v>
      </c>
      <c r="Q1015" s="95">
        <f t="shared" si="272"/>
        <v>0</v>
      </c>
      <c r="R1015" s="96"/>
      <c r="S1015" s="97">
        <f t="shared" si="273"/>
        <v>0</v>
      </c>
      <c r="T1015" s="98">
        <f t="shared" si="268"/>
        <v>0</v>
      </c>
    </row>
    <row r="1016" spans="2:25" ht="20.100000000000001" customHeight="1">
      <c r="B1016" s="88">
        <v>9</v>
      </c>
      <c r="C1016" s="89" t="s">
        <v>2130</v>
      </c>
      <c r="D1016" s="90" t="s">
        <v>2437</v>
      </c>
      <c r="E1016" s="91" t="s">
        <v>2438</v>
      </c>
      <c r="F1016" s="315">
        <v>69.650000000000006</v>
      </c>
      <c r="G1016" s="260">
        <v>13</v>
      </c>
      <c r="H1016" s="260"/>
      <c r="I1016" s="309"/>
      <c r="J1016" s="199"/>
      <c r="K1016" s="269"/>
      <c r="L1016" s="93">
        <f t="shared" si="274"/>
        <v>13</v>
      </c>
      <c r="M1016" s="183">
        <v>13</v>
      </c>
      <c r="N1016" s="95">
        <f t="shared" si="269"/>
        <v>905.45</v>
      </c>
      <c r="O1016" s="95">
        <f t="shared" si="270"/>
        <v>905.45</v>
      </c>
      <c r="P1016" s="94">
        <f t="shared" si="271"/>
        <v>0</v>
      </c>
      <c r="Q1016" s="95">
        <f t="shared" si="272"/>
        <v>0</v>
      </c>
      <c r="R1016" s="96"/>
      <c r="S1016" s="97">
        <f t="shared" si="273"/>
        <v>13</v>
      </c>
      <c r="T1016" s="98">
        <f t="shared" si="268"/>
        <v>0</v>
      </c>
      <c r="U1016">
        <v>13</v>
      </c>
    </row>
    <row r="1017" spans="2:25" ht="20.100000000000001" customHeight="1">
      <c r="B1017" s="88">
        <v>9</v>
      </c>
      <c r="C1017" s="89" t="s">
        <v>2130</v>
      </c>
      <c r="D1017" s="90" t="s">
        <v>2439</v>
      </c>
      <c r="E1017" s="91" t="s">
        <v>2440</v>
      </c>
      <c r="F1017" s="315">
        <v>292.89</v>
      </c>
      <c r="G1017" s="260"/>
      <c r="H1017" s="260"/>
      <c r="I1017" s="309"/>
      <c r="J1017" s="199"/>
      <c r="K1017" s="269"/>
      <c r="L1017" s="93">
        <f t="shared" si="274"/>
        <v>0</v>
      </c>
      <c r="M1017" s="183"/>
      <c r="N1017" s="95">
        <f t="shared" si="269"/>
        <v>0</v>
      </c>
      <c r="O1017" s="95">
        <f t="shared" si="270"/>
        <v>0</v>
      </c>
      <c r="P1017" s="94">
        <f t="shared" si="271"/>
        <v>0</v>
      </c>
      <c r="Q1017" s="95">
        <f t="shared" si="272"/>
        <v>0</v>
      </c>
      <c r="R1017" s="96"/>
      <c r="S1017" s="97">
        <f t="shared" si="273"/>
        <v>0</v>
      </c>
      <c r="T1017" s="98">
        <f t="shared" si="268"/>
        <v>0</v>
      </c>
    </row>
    <row r="1018" spans="2:25" ht="20.100000000000001" customHeight="1">
      <c r="B1018" s="88">
        <v>9</v>
      </c>
      <c r="C1018" s="89" t="s">
        <v>2130</v>
      </c>
      <c r="D1018" s="90" t="s">
        <v>2441</v>
      </c>
      <c r="E1018" s="91" t="s">
        <v>2442</v>
      </c>
      <c r="F1018" s="315">
        <v>63.14</v>
      </c>
      <c r="G1018" s="260">
        <v>2</v>
      </c>
      <c r="H1018" s="260"/>
      <c r="I1018" s="309"/>
      <c r="J1018" s="199"/>
      <c r="K1018" s="269"/>
      <c r="L1018" s="93">
        <f t="shared" si="274"/>
        <v>2</v>
      </c>
      <c r="M1018" s="183">
        <v>2</v>
      </c>
      <c r="N1018" s="95">
        <f t="shared" si="269"/>
        <v>126.28</v>
      </c>
      <c r="O1018" s="95">
        <f t="shared" si="270"/>
        <v>126.28</v>
      </c>
      <c r="P1018" s="94">
        <f t="shared" si="271"/>
        <v>0</v>
      </c>
      <c r="Q1018" s="95">
        <f t="shared" si="272"/>
        <v>0</v>
      </c>
      <c r="R1018" s="96"/>
      <c r="S1018" s="97">
        <f t="shared" si="273"/>
        <v>2</v>
      </c>
      <c r="T1018" s="98">
        <f t="shared" si="268"/>
        <v>0</v>
      </c>
      <c r="U1018">
        <v>2</v>
      </c>
    </row>
    <row r="1019" spans="2:25" ht="20.100000000000001" customHeight="1">
      <c r="B1019" s="88">
        <v>9</v>
      </c>
      <c r="C1019" s="89" t="s">
        <v>2130</v>
      </c>
      <c r="D1019" s="90" t="s">
        <v>2443</v>
      </c>
      <c r="E1019" s="91" t="s">
        <v>2444</v>
      </c>
      <c r="F1019" s="315">
        <v>27.9</v>
      </c>
      <c r="G1019" s="260"/>
      <c r="H1019" s="260">
        <v>5</v>
      </c>
      <c r="I1019" s="309"/>
      <c r="J1019" s="199"/>
      <c r="K1019" s="269">
        <v>5</v>
      </c>
      <c r="L1019" s="93">
        <f t="shared" si="274"/>
        <v>0</v>
      </c>
      <c r="M1019" s="183"/>
      <c r="N1019" s="95">
        <f t="shared" si="269"/>
        <v>0</v>
      </c>
      <c r="O1019" s="95">
        <f t="shared" si="270"/>
        <v>0</v>
      </c>
      <c r="P1019" s="94">
        <f t="shared" si="271"/>
        <v>0</v>
      </c>
      <c r="Q1019" s="95">
        <f t="shared" si="272"/>
        <v>0</v>
      </c>
      <c r="R1019" s="278"/>
      <c r="S1019" s="97">
        <f t="shared" si="273"/>
        <v>0</v>
      </c>
      <c r="T1019" s="98">
        <f t="shared" si="268"/>
        <v>0</v>
      </c>
    </row>
    <row r="1020" spans="2:25" ht="20.100000000000001" customHeight="1">
      <c r="B1020" s="88">
        <v>9</v>
      </c>
      <c r="C1020" s="89" t="s">
        <v>2130</v>
      </c>
      <c r="D1020" s="90" t="s">
        <v>2445</v>
      </c>
      <c r="E1020" s="91" t="s">
        <v>2446</v>
      </c>
      <c r="F1020" s="315">
        <v>71.650000000000006</v>
      </c>
      <c r="G1020" s="260"/>
      <c r="H1020" s="260"/>
      <c r="I1020" s="309"/>
      <c r="J1020" s="199"/>
      <c r="K1020" s="269"/>
      <c r="L1020" s="93">
        <f t="shared" si="274"/>
        <v>0</v>
      </c>
      <c r="M1020" s="183"/>
      <c r="N1020" s="95">
        <f t="shared" si="269"/>
        <v>0</v>
      </c>
      <c r="O1020" s="95">
        <f t="shared" si="270"/>
        <v>0</v>
      </c>
      <c r="P1020" s="94">
        <f t="shared" si="271"/>
        <v>0</v>
      </c>
      <c r="Q1020" s="95">
        <f t="shared" si="272"/>
        <v>0</v>
      </c>
      <c r="R1020" s="96"/>
      <c r="S1020" s="97">
        <f t="shared" si="273"/>
        <v>0</v>
      </c>
      <c r="T1020" s="98">
        <f t="shared" si="268"/>
        <v>0</v>
      </c>
    </row>
    <row r="1021" spans="2:25" ht="20.100000000000001" customHeight="1">
      <c r="B1021" s="88">
        <v>9</v>
      </c>
      <c r="C1021" s="89" t="s">
        <v>2130</v>
      </c>
      <c r="D1021" s="90" t="s">
        <v>2447</v>
      </c>
      <c r="E1021" s="91" t="s">
        <v>2448</v>
      </c>
      <c r="F1021" s="315">
        <v>70.7</v>
      </c>
      <c r="G1021" s="260"/>
      <c r="H1021" s="260">
        <v>5</v>
      </c>
      <c r="I1021" s="309"/>
      <c r="J1021" s="199"/>
      <c r="K1021" s="269">
        <v>5</v>
      </c>
      <c r="L1021" s="93">
        <f t="shared" si="274"/>
        <v>0</v>
      </c>
      <c r="M1021" s="183"/>
      <c r="N1021" s="95">
        <f t="shared" si="269"/>
        <v>0</v>
      </c>
      <c r="O1021" s="95">
        <f t="shared" si="270"/>
        <v>0</v>
      </c>
      <c r="P1021" s="94">
        <f t="shared" si="271"/>
        <v>0</v>
      </c>
      <c r="Q1021" s="95">
        <f t="shared" si="272"/>
        <v>0</v>
      </c>
      <c r="R1021" s="278"/>
      <c r="S1021" s="97">
        <f t="shared" si="273"/>
        <v>0</v>
      </c>
      <c r="T1021" s="98">
        <f t="shared" si="268"/>
        <v>0</v>
      </c>
    </row>
    <row r="1022" spans="2:25" ht="20.100000000000001" customHeight="1">
      <c r="B1022" s="88">
        <v>9</v>
      </c>
      <c r="C1022" s="89" t="s">
        <v>2130</v>
      </c>
      <c r="D1022" s="90" t="s">
        <v>2449</v>
      </c>
      <c r="E1022" s="91" t="s">
        <v>2450</v>
      </c>
      <c r="F1022" s="315">
        <v>62.45</v>
      </c>
      <c r="G1022" s="260">
        <v>17</v>
      </c>
      <c r="H1022" s="260"/>
      <c r="I1022" s="309"/>
      <c r="J1022" s="199"/>
      <c r="K1022" s="269">
        <v>3</v>
      </c>
      <c r="L1022" s="93">
        <f t="shared" si="274"/>
        <v>14</v>
      </c>
      <c r="M1022" s="183">
        <v>14</v>
      </c>
      <c r="N1022" s="95">
        <f t="shared" si="269"/>
        <v>874.30000000000007</v>
      </c>
      <c r="O1022" s="95">
        <f t="shared" si="270"/>
        <v>874.30000000000007</v>
      </c>
      <c r="P1022" s="94">
        <f t="shared" si="271"/>
        <v>0</v>
      </c>
      <c r="Q1022" s="95">
        <f t="shared" si="272"/>
        <v>0</v>
      </c>
      <c r="R1022" s="96"/>
      <c r="S1022" s="97">
        <f t="shared" si="273"/>
        <v>19</v>
      </c>
      <c r="T1022" s="98">
        <f t="shared" si="268"/>
        <v>-5</v>
      </c>
      <c r="U1022">
        <v>19</v>
      </c>
    </row>
    <row r="1023" spans="2:25" ht="20.100000000000001" customHeight="1">
      <c r="B1023" s="88">
        <v>9</v>
      </c>
      <c r="C1023" s="89" t="s">
        <v>2130</v>
      </c>
      <c r="D1023" s="90" t="s">
        <v>2451</v>
      </c>
      <c r="E1023" s="91" t="s">
        <v>2452</v>
      </c>
      <c r="F1023" s="315">
        <v>347.05</v>
      </c>
      <c r="G1023" s="260">
        <v>3</v>
      </c>
      <c r="H1023" s="260"/>
      <c r="I1023" s="309"/>
      <c r="J1023" s="199"/>
      <c r="K1023" s="269"/>
      <c r="L1023" s="93">
        <f t="shared" si="274"/>
        <v>3</v>
      </c>
      <c r="M1023" s="183">
        <v>3</v>
      </c>
      <c r="N1023" s="95">
        <f t="shared" si="269"/>
        <v>1041.1500000000001</v>
      </c>
      <c r="O1023" s="95">
        <f t="shared" si="270"/>
        <v>1041.1500000000001</v>
      </c>
      <c r="P1023" s="94">
        <f t="shared" si="271"/>
        <v>0</v>
      </c>
      <c r="Q1023" s="95">
        <f t="shared" si="272"/>
        <v>0</v>
      </c>
      <c r="R1023" s="96"/>
      <c r="S1023" s="97">
        <f t="shared" si="273"/>
        <v>3</v>
      </c>
      <c r="T1023" s="98">
        <f t="shared" si="268"/>
        <v>0</v>
      </c>
      <c r="U1023">
        <v>3</v>
      </c>
    </row>
    <row r="1024" spans="2:25" ht="20.100000000000001" customHeight="1">
      <c r="B1024" s="88">
        <v>9</v>
      </c>
      <c r="C1024" s="89" t="s">
        <v>2130</v>
      </c>
      <c r="D1024" s="90" t="s">
        <v>2453</v>
      </c>
      <c r="E1024" s="91" t="s">
        <v>2454</v>
      </c>
      <c r="F1024" s="315">
        <v>318.10000000000002</v>
      </c>
      <c r="G1024" s="260">
        <v>2</v>
      </c>
      <c r="H1024" s="260"/>
      <c r="I1024" s="309"/>
      <c r="J1024" s="199"/>
      <c r="K1024" s="269"/>
      <c r="L1024" s="93">
        <f t="shared" si="274"/>
        <v>2</v>
      </c>
      <c r="M1024" s="183">
        <v>2</v>
      </c>
      <c r="N1024" s="95">
        <f t="shared" si="269"/>
        <v>636.20000000000005</v>
      </c>
      <c r="O1024" s="95">
        <f t="shared" si="270"/>
        <v>636.20000000000005</v>
      </c>
      <c r="P1024" s="94">
        <f t="shared" si="271"/>
        <v>0</v>
      </c>
      <c r="Q1024" s="95">
        <f t="shared" si="272"/>
        <v>0</v>
      </c>
      <c r="R1024" s="96"/>
      <c r="S1024" s="97">
        <f t="shared" si="273"/>
        <v>2</v>
      </c>
      <c r="T1024" s="98">
        <f t="shared" si="268"/>
        <v>0</v>
      </c>
      <c r="U1024">
        <v>2</v>
      </c>
    </row>
    <row r="1025" spans="2:21" ht="20.100000000000001" customHeight="1">
      <c r="B1025" s="88">
        <v>9</v>
      </c>
      <c r="C1025" s="89" t="s">
        <v>2130</v>
      </c>
      <c r="D1025" s="90" t="s">
        <v>2455</v>
      </c>
      <c r="E1025" s="91" t="s">
        <v>2456</v>
      </c>
      <c r="F1025" s="315">
        <v>375.95</v>
      </c>
      <c r="G1025" s="260">
        <v>3</v>
      </c>
      <c r="H1025" s="260"/>
      <c r="I1025" s="309"/>
      <c r="J1025" s="199"/>
      <c r="K1025" s="269"/>
      <c r="L1025" s="93">
        <f t="shared" si="274"/>
        <v>3</v>
      </c>
      <c r="M1025" s="183">
        <v>3</v>
      </c>
      <c r="N1025" s="95">
        <f t="shared" si="269"/>
        <v>1127.8499999999999</v>
      </c>
      <c r="O1025" s="95">
        <f t="shared" si="270"/>
        <v>1127.8499999999999</v>
      </c>
      <c r="P1025" s="94">
        <f t="shared" si="271"/>
        <v>0</v>
      </c>
      <c r="Q1025" s="95">
        <f t="shared" si="272"/>
        <v>0</v>
      </c>
      <c r="R1025" s="96"/>
      <c r="S1025" s="97">
        <f t="shared" si="273"/>
        <v>3</v>
      </c>
      <c r="T1025" s="98">
        <f t="shared" si="268"/>
        <v>0</v>
      </c>
      <c r="U1025">
        <v>3</v>
      </c>
    </row>
    <row r="1026" spans="2:21" ht="20.100000000000001" customHeight="1">
      <c r="B1026" s="88">
        <v>9</v>
      </c>
      <c r="C1026" s="89" t="s">
        <v>2130</v>
      </c>
      <c r="D1026" s="90" t="s">
        <v>4985</v>
      </c>
      <c r="E1026" s="91" t="s">
        <v>4968</v>
      </c>
      <c r="F1026" s="315">
        <v>60.28</v>
      </c>
      <c r="G1026" s="260"/>
      <c r="H1026" s="260"/>
      <c r="I1026" s="309">
        <v>12</v>
      </c>
      <c r="J1026" s="199"/>
      <c r="K1026" s="269"/>
      <c r="L1026" s="93">
        <f t="shared" si="274"/>
        <v>12</v>
      </c>
      <c r="M1026" s="183">
        <v>12</v>
      </c>
      <c r="N1026" s="95">
        <f t="shared" ref="N1026:N1030" si="275">F1026*L1026</f>
        <v>723.36</v>
      </c>
      <c r="O1026" s="95">
        <f t="shared" ref="O1026:O1030" si="276">M1026*F1026</f>
        <v>723.36</v>
      </c>
      <c r="P1026" s="94">
        <f t="shared" ref="P1026:P1030" si="277">L1026-M1026</f>
        <v>0</v>
      </c>
      <c r="Q1026" s="95">
        <f t="shared" ref="Q1026:Q1030" si="278">N1026-O1026</f>
        <v>0</v>
      </c>
      <c r="R1026" s="96"/>
      <c r="S1026" s="97">
        <f t="shared" ref="S1026:S1030" si="279">U1026+Y1026+W1026+AA1026</f>
        <v>3</v>
      </c>
      <c r="T1026" s="98">
        <f t="shared" ref="T1026:T1030" si="280">M1026-S1026</f>
        <v>9</v>
      </c>
      <c r="U1026">
        <v>3</v>
      </c>
    </row>
    <row r="1027" spans="2:21" ht="20.100000000000001" customHeight="1">
      <c r="B1027" s="88">
        <v>9</v>
      </c>
      <c r="C1027" s="89" t="s">
        <v>2130</v>
      </c>
      <c r="D1027" s="90" t="s">
        <v>4988</v>
      </c>
      <c r="E1027" s="91" t="s">
        <v>4971</v>
      </c>
      <c r="F1027" s="315">
        <v>180.86</v>
      </c>
      <c r="G1027" s="260"/>
      <c r="H1027" s="260"/>
      <c r="I1027" s="309">
        <v>4</v>
      </c>
      <c r="J1027" s="199"/>
      <c r="K1027" s="269"/>
      <c r="L1027" s="93">
        <f t="shared" si="274"/>
        <v>4</v>
      </c>
      <c r="M1027" s="183">
        <v>4</v>
      </c>
      <c r="N1027" s="95">
        <f t="shared" si="275"/>
        <v>723.44</v>
      </c>
      <c r="O1027" s="95">
        <f t="shared" si="276"/>
        <v>723.44</v>
      </c>
      <c r="P1027" s="94">
        <f t="shared" si="277"/>
        <v>0</v>
      </c>
      <c r="Q1027" s="95">
        <f t="shared" si="278"/>
        <v>0</v>
      </c>
      <c r="R1027" s="96"/>
      <c r="S1027" s="97">
        <f t="shared" si="279"/>
        <v>0</v>
      </c>
      <c r="T1027" s="98">
        <f t="shared" si="280"/>
        <v>4</v>
      </c>
    </row>
    <row r="1028" spans="2:21" ht="20.100000000000001" customHeight="1">
      <c r="B1028" s="88">
        <v>9</v>
      </c>
      <c r="C1028" s="89" t="s">
        <v>2130</v>
      </c>
      <c r="D1028" s="90" t="s">
        <v>4772</v>
      </c>
      <c r="E1028" s="91" t="s">
        <v>4774</v>
      </c>
      <c r="F1028" s="315">
        <v>197.3</v>
      </c>
      <c r="G1028" s="260"/>
      <c r="H1028" s="260"/>
      <c r="I1028" s="309">
        <v>4</v>
      </c>
      <c r="J1028" s="199"/>
      <c r="K1028" s="269">
        <v>1</v>
      </c>
      <c r="L1028" s="93">
        <f t="shared" si="274"/>
        <v>3</v>
      </c>
      <c r="M1028" s="183">
        <v>3</v>
      </c>
      <c r="N1028" s="95">
        <f t="shared" si="275"/>
        <v>591.90000000000009</v>
      </c>
      <c r="O1028" s="95">
        <f t="shared" si="276"/>
        <v>591.90000000000009</v>
      </c>
      <c r="P1028" s="94">
        <f t="shared" si="277"/>
        <v>0</v>
      </c>
      <c r="Q1028" s="95">
        <f t="shared" si="278"/>
        <v>0</v>
      </c>
      <c r="R1028" s="96"/>
      <c r="S1028" s="97">
        <f t="shared" si="279"/>
        <v>0</v>
      </c>
      <c r="T1028" s="98">
        <f t="shared" si="280"/>
        <v>3</v>
      </c>
    </row>
    <row r="1029" spans="2:21" ht="20.100000000000001" customHeight="1">
      <c r="B1029" s="88">
        <v>9</v>
      </c>
      <c r="C1029" s="89" t="s">
        <v>2130</v>
      </c>
      <c r="D1029" s="90" t="s">
        <v>4753</v>
      </c>
      <c r="E1029" s="91" t="s">
        <v>4755</v>
      </c>
      <c r="F1029" s="315">
        <v>71.25</v>
      </c>
      <c r="G1029" s="260"/>
      <c r="H1029" s="260"/>
      <c r="I1029" s="309">
        <v>12</v>
      </c>
      <c r="J1029" s="199"/>
      <c r="K1029" s="269">
        <v>3</v>
      </c>
      <c r="L1029" s="93">
        <f t="shared" si="274"/>
        <v>9</v>
      </c>
      <c r="M1029" s="183">
        <v>9</v>
      </c>
      <c r="N1029" s="95">
        <f t="shared" si="275"/>
        <v>641.25</v>
      </c>
      <c r="O1029" s="95">
        <f t="shared" si="276"/>
        <v>641.25</v>
      </c>
      <c r="P1029" s="94">
        <f t="shared" si="277"/>
        <v>0</v>
      </c>
      <c r="Q1029" s="95">
        <f t="shared" si="278"/>
        <v>0</v>
      </c>
      <c r="R1029" s="96"/>
      <c r="S1029" s="97">
        <f t="shared" si="279"/>
        <v>0</v>
      </c>
      <c r="T1029" s="98">
        <f t="shared" si="280"/>
        <v>9</v>
      </c>
    </row>
    <row r="1030" spans="2:21" ht="20.100000000000001" customHeight="1">
      <c r="B1030" s="88">
        <v>9</v>
      </c>
      <c r="C1030" s="89" t="s">
        <v>2130</v>
      </c>
      <c r="D1030" s="90" t="s">
        <v>4641</v>
      </c>
      <c r="E1030" s="91" t="s">
        <v>4643</v>
      </c>
      <c r="F1030" s="315">
        <v>213.74</v>
      </c>
      <c r="G1030" s="260"/>
      <c r="H1030" s="260"/>
      <c r="I1030" s="309">
        <v>4</v>
      </c>
      <c r="J1030" s="199"/>
      <c r="K1030" s="269">
        <v>1</v>
      </c>
      <c r="L1030" s="93">
        <f t="shared" si="274"/>
        <v>3</v>
      </c>
      <c r="M1030" s="183">
        <v>3</v>
      </c>
      <c r="N1030" s="95">
        <f t="shared" si="275"/>
        <v>641.22</v>
      </c>
      <c r="O1030" s="95">
        <f t="shared" si="276"/>
        <v>641.22</v>
      </c>
      <c r="P1030" s="94">
        <f t="shared" si="277"/>
        <v>0</v>
      </c>
      <c r="Q1030" s="95">
        <f t="shared" si="278"/>
        <v>0</v>
      </c>
      <c r="R1030" s="96"/>
      <c r="S1030" s="97">
        <f t="shared" si="279"/>
        <v>0</v>
      </c>
      <c r="T1030" s="98">
        <f t="shared" si="280"/>
        <v>3</v>
      </c>
    </row>
    <row r="1031" spans="2:21" ht="20.100000000000001" customHeight="1">
      <c r="B1031" s="88">
        <v>9</v>
      </c>
      <c r="C1031" s="89" t="s">
        <v>2130</v>
      </c>
      <c r="D1031" s="90" t="s">
        <v>2457</v>
      </c>
      <c r="E1031" s="91" t="s">
        <v>2458</v>
      </c>
      <c r="F1031" s="315">
        <v>70.400000000000006</v>
      </c>
      <c r="G1031" s="260"/>
      <c r="H1031" s="260"/>
      <c r="I1031" s="309"/>
      <c r="J1031" s="199"/>
      <c r="K1031" s="269"/>
      <c r="L1031" s="93">
        <f t="shared" si="274"/>
        <v>0</v>
      </c>
      <c r="M1031" s="183"/>
      <c r="N1031" s="95">
        <f t="shared" si="269"/>
        <v>0</v>
      </c>
      <c r="O1031" s="95">
        <f t="shared" si="270"/>
        <v>0</v>
      </c>
      <c r="P1031" s="94">
        <f t="shared" si="271"/>
        <v>0</v>
      </c>
      <c r="Q1031" s="95">
        <f t="shared" si="272"/>
        <v>0</v>
      </c>
      <c r="R1031" s="96"/>
      <c r="S1031" s="97">
        <f t="shared" si="273"/>
        <v>0</v>
      </c>
      <c r="T1031" s="98">
        <f t="shared" si="268"/>
        <v>0</v>
      </c>
    </row>
    <row r="1032" spans="2:21" ht="20.100000000000001" customHeight="1">
      <c r="B1032" s="88">
        <v>9</v>
      </c>
      <c r="C1032" s="89" t="s">
        <v>2130</v>
      </c>
      <c r="D1032" s="90" t="s">
        <v>2459</v>
      </c>
      <c r="E1032" s="91" t="s">
        <v>2460</v>
      </c>
      <c r="F1032" s="315">
        <v>209.3</v>
      </c>
      <c r="G1032" s="260"/>
      <c r="H1032" s="260">
        <v>2</v>
      </c>
      <c r="I1032" s="309"/>
      <c r="J1032" s="199"/>
      <c r="K1032" s="269">
        <v>2</v>
      </c>
      <c r="L1032" s="93">
        <f t="shared" si="274"/>
        <v>0</v>
      </c>
      <c r="M1032" s="183"/>
      <c r="N1032" s="95">
        <f t="shared" si="269"/>
        <v>0</v>
      </c>
      <c r="O1032" s="95">
        <f t="shared" si="270"/>
        <v>0</v>
      </c>
      <c r="P1032" s="94">
        <f t="shared" si="271"/>
        <v>0</v>
      </c>
      <c r="Q1032" s="95">
        <f t="shared" si="272"/>
        <v>0</v>
      </c>
      <c r="R1032" s="96"/>
      <c r="S1032" s="97">
        <f t="shared" si="273"/>
        <v>0</v>
      </c>
      <c r="T1032" s="98">
        <f t="shared" si="268"/>
        <v>0</v>
      </c>
    </row>
    <row r="1033" spans="2:21" ht="20.100000000000001" customHeight="1">
      <c r="B1033" s="88">
        <v>9</v>
      </c>
      <c r="C1033" s="89" t="s">
        <v>2130</v>
      </c>
      <c r="D1033" s="90" t="s">
        <v>4986</v>
      </c>
      <c r="E1033" s="91" t="s">
        <v>4969</v>
      </c>
      <c r="F1033" s="315">
        <v>65.77</v>
      </c>
      <c r="G1033" s="260"/>
      <c r="H1033" s="260"/>
      <c r="I1033" s="309">
        <v>12</v>
      </c>
      <c r="J1033" s="199"/>
      <c r="K1033" s="269"/>
      <c r="L1033" s="93">
        <f t="shared" si="274"/>
        <v>12</v>
      </c>
      <c r="M1033" s="183">
        <v>12</v>
      </c>
      <c r="N1033" s="95">
        <f t="shared" ref="N1033" si="281">F1033*L1033</f>
        <v>789.24</v>
      </c>
      <c r="O1033" s="95">
        <f t="shared" ref="O1033" si="282">M1033*F1033</f>
        <v>789.24</v>
      </c>
      <c r="P1033" s="94">
        <f t="shared" ref="P1033" si="283">L1033-M1033</f>
        <v>0</v>
      </c>
      <c r="Q1033" s="95">
        <f t="shared" ref="Q1033" si="284">N1033-O1033</f>
        <v>0</v>
      </c>
      <c r="R1033" s="96"/>
      <c r="S1033" s="97">
        <f t="shared" ref="S1033" si="285">U1033+Y1033+W1033+AA1033</f>
        <v>0</v>
      </c>
      <c r="T1033" s="98">
        <f t="shared" ref="T1033" si="286">M1033-S1033</f>
        <v>12</v>
      </c>
    </row>
    <row r="1034" spans="2:21" ht="20.100000000000001" customHeight="1">
      <c r="B1034" s="88">
        <v>9</v>
      </c>
      <c r="C1034" s="89" t="s">
        <v>2130</v>
      </c>
      <c r="D1034" s="90" t="s">
        <v>2461</v>
      </c>
      <c r="E1034" s="91" t="s">
        <v>2462</v>
      </c>
      <c r="F1034" s="315">
        <v>28.4</v>
      </c>
      <c r="G1034" s="260">
        <v>6</v>
      </c>
      <c r="H1034" s="260"/>
      <c r="I1034" s="309"/>
      <c r="J1034" s="199">
        <v>1</v>
      </c>
      <c r="K1034" s="269">
        <v>4</v>
      </c>
      <c r="L1034" s="93">
        <f t="shared" si="274"/>
        <v>1</v>
      </c>
      <c r="M1034" s="183">
        <v>1</v>
      </c>
      <c r="N1034" s="95">
        <f t="shared" si="269"/>
        <v>28.4</v>
      </c>
      <c r="O1034" s="95">
        <f t="shared" si="270"/>
        <v>28.4</v>
      </c>
      <c r="P1034" s="94">
        <f t="shared" si="271"/>
        <v>0</v>
      </c>
      <c r="Q1034" s="95">
        <f t="shared" si="272"/>
        <v>0</v>
      </c>
      <c r="R1034" s="96"/>
      <c r="S1034" s="97">
        <f t="shared" si="273"/>
        <v>6</v>
      </c>
      <c r="T1034" s="98">
        <f t="shared" si="268"/>
        <v>-5</v>
      </c>
      <c r="U1034">
        <v>6</v>
      </c>
    </row>
    <row r="1035" spans="2:21" ht="20.100000000000001" customHeight="1">
      <c r="B1035" s="88">
        <v>9</v>
      </c>
      <c r="C1035" s="89" t="s">
        <v>2130</v>
      </c>
      <c r="D1035" s="90" t="s">
        <v>2463</v>
      </c>
      <c r="E1035" s="91" t="s">
        <v>2464</v>
      </c>
      <c r="F1035" s="315">
        <v>37.42</v>
      </c>
      <c r="G1035" s="260">
        <f>49+27</f>
        <v>76</v>
      </c>
      <c r="H1035" s="260"/>
      <c r="I1035" s="309"/>
      <c r="J1035" s="199">
        <v>76</v>
      </c>
      <c r="K1035" s="269"/>
      <c r="L1035" s="93">
        <f t="shared" si="274"/>
        <v>0</v>
      </c>
      <c r="M1035" s="183"/>
      <c r="N1035" s="95">
        <f t="shared" si="269"/>
        <v>0</v>
      </c>
      <c r="O1035" s="95">
        <f t="shared" si="270"/>
        <v>0</v>
      </c>
      <c r="P1035" s="94">
        <f t="shared" si="271"/>
        <v>0</v>
      </c>
      <c r="Q1035" s="95">
        <f t="shared" si="272"/>
        <v>0</v>
      </c>
      <c r="R1035" s="96"/>
      <c r="S1035" s="97">
        <f t="shared" si="273"/>
        <v>49</v>
      </c>
      <c r="T1035" s="98">
        <f t="shared" si="268"/>
        <v>-49</v>
      </c>
      <c r="U1035">
        <f>18+25+6</f>
        <v>49</v>
      </c>
    </row>
    <row r="1036" spans="2:21" ht="20.100000000000001" customHeight="1">
      <c r="B1036" s="88">
        <v>9</v>
      </c>
      <c r="C1036" s="89" t="s">
        <v>2130</v>
      </c>
      <c r="D1036" s="90" t="s">
        <v>2465</v>
      </c>
      <c r="E1036" s="91" t="s">
        <v>2466</v>
      </c>
      <c r="F1036" s="315">
        <v>64.2</v>
      </c>
      <c r="G1036" s="260"/>
      <c r="H1036" s="260"/>
      <c r="I1036" s="309"/>
      <c r="J1036" s="199"/>
      <c r="K1036" s="269"/>
      <c r="L1036" s="93">
        <f t="shared" si="274"/>
        <v>0</v>
      </c>
      <c r="M1036" s="183"/>
      <c r="N1036" s="95">
        <f t="shared" si="269"/>
        <v>0</v>
      </c>
      <c r="O1036" s="95">
        <f t="shared" si="270"/>
        <v>0</v>
      </c>
      <c r="P1036" s="94">
        <f t="shared" si="271"/>
        <v>0</v>
      </c>
      <c r="Q1036" s="95">
        <f t="shared" si="272"/>
        <v>0</v>
      </c>
      <c r="R1036" s="96"/>
      <c r="S1036" s="97">
        <f t="shared" si="273"/>
        <v>0</v>
      </c>
      <c r="T1036" s="98">
        <f t="shared" si="268"/>
        <v>0</v>
      </c>
    </row>
    <row r="1037" spans="2:21" ht="20.100000000000001" customHeight="1">
      <c r="B1037" s="88">
        <v>9</v>
      </c>
      <c r="C1037" s="89" t="s">
        <v>2130</v>
      </c>
      <c r="D1037" s="90" t="s">
        <v>2467</v>
      </c>
      <c r="E1037" s="91" t="s">
        <v>2468</v>
      </c>
      <c r="F1037" s="315">
        <v>190.8</v>
      </c>
      <c r="G1037" s="260">
        <v>6</v>
      </c>
      <c r="H1037" s="260">
        <v>2</v>
      </c>
      <c r="I1037" s="309"/>
      <c r="J1037" s="199"/>
      <c r="K1037" s="269">
        <v>2</v>
      </c>
      <c r="L1037" s="93">
        <f t="shared" si="274"/>
        <v>6</v>
      </c>
      <c r="M1037" s="183">
        <v>6</v>
      </c>
      <c r="N1037" s="95">
        <f t="shared" si="269"/>
        <v>1144.8000000000002</v>
      </c>
      <c r="O1037" s="95">
        <f t="shared" si="270"/>
        <v>1144.8000000000002</v>
      </c>
      <c r="P1037" s="94">
        <f t="shared" si="271"/>
        <v>0</v>
      </c>
      <c r="Q1037" s="95">
        <f t="shared" si="272"/>
        <v>0</v>
      </c>
      <c r="R1037" s="96"/>
      <c r="S1037" s="97">
        <f t="shared" si="273"/>
        <v>6</v>
      </c>
      <c r="T1037" s="98">
        <f t="shared" si="268"/>
        <v>0</v>
      </c>
      <c r="U1037">
        <v>6</v>
      </c>
    </row>
    <row r="1038" spans="2:21" ht="20.100000000000001" customHeight="1">
      <c r="B1038" s="88">
        <v>9</v>
      </c>
      <c r="C1038" s="89" t="s">
        <v>2130</v>
      </c>
      <c r="D1038" s="90" t="s">
        <v>2469</v>
      </c>
      <c r="E1038" s="91" t="s">
        <v>2470</v>
      </c>
      <c r="F1038" s="315">
        <v>25.95</v>
      </c>
      <c r="G1038" s="260"/>
      <c r="H1038" s="260"/>
      <c r="I1038" s="309"/>
      <c r="J1038" s="199"/>
      <c r="K1038" s="269"/>
      <c r="L1038" s="93">
        <f t="shared" si="274"/>
        <v>0</v>
      </c>
      <c r="M1038" s="183"/>
      <c r="N1038" s="95">
        <f t="shared" si="269"/>
        <v>0</v>
      </c>
      <c r="O1038" s="95">
        <f t="shared" si="270"/>
        <v>0</v>
      </c>
      <c r="P1038" s="94">
        <f t="shared" si="271"/>
        <v>0</v>
      </c>
      <c r="Q1038" s="95">
        <f t="shared" si="272"/>
        <v>0</v>
      </c>
      <c r="R1038" s="96"/>
      <c r="S1038" s="97">
        <f t="shared" si="273"/>
        <v>0</v>
      </c>
      <c r="T1038" s="98">
        <f t="shared" si="268"/>
        <v>0</v>
      </c>
    </row>
    <row r="1039" spans="2:21" ht="20.100000000000001" customHeight="1">
      <c r="B1039" s="88">
        <v>9</v>
      </c>
      <c r="C1039" s="89" t="s">
        <v>2130</v>
      </c>
      <c r="D1039" s="90" t="s">
        <v>2471</v>
      </c>
      <c r="E1039" s="91" t="s">
        <v>2472</v>
      </c>
      <c r="F1039" s="315">
        <v>82.1</v>
      </c>
      <c r="G1039" s="260">
        <v>8</v>
      </c>
      <c r="H1039" s="260">
        <v>2</v>
      </c>
      <c r="I1039" s="309"/>
      <c r="J1039" s="199">
        <v>6</v>
      </c>
      <c r="K1039" s="269">
        <v>2</v>
      </c>
      <c r="L1039" s="93">
        <f t="shared" si="274"/>
        <v>2</v>
      </c>
      <c r="M1039" s="183">
        <v>2</v>
      </c>
      <c r="N1039" s="95">
        <f t="shared" si="269"/>
        <v>164.2</v>
      </c>
      <c r="O1039" s="95">
        <f t="shared" si="270"/>
        <v>164.2</v>
      </c>
      <c r="P1039" s="94">
        <f t="shared" si="271"/>
        <v>0</v>
      </c>
      <c r="Q1039" s="95">
        <f t="shared" si="272"/>
        <v>0</v>
      </c>
      <c r="R1039" s="96"/>
      <c r="S1039" s="97">
        <f t="shared" si="273"/>
        <v>8</v>
      </c>
      <c r="T1039" s="98">
        <f t="shared" si="268"/>
        <v>-6</v>
      </c>
      <c r="U1039">
        <f>2+5+1</f>
        <v>8</v>
      </c>
    </row>
    <row r="1040" spans="2:21" ht="20.100000000000001" customHeight="1">
      <c r="B1040" s="88">
        <v>9</v>
      </c>
      <c r="C1040" s="89" t="s">
        <v>2130</v>
      </c>
      <c r="D1040" s="90" t="s">
        <v>2473</v>
      </c>
      <c r="E1040" s="91" t="s">
        <v>2474</v>
      </c>
      <c r="F1040" s="315">
        <v>246.35</v>
      </c>
      <c r="G1040" s="260">
        <v>2</v>
      </c>
      <c r="H1040" s="260">
        <v>3</v>
      </c>
      <c r="I1040" s="309"/>
      <c r="J1040" s="199"/>
      <c r="K1040" s="269">
        <v>3</v>
      </c>
      <c r="L1040" s="93">
        <f t="shared" si="274"/>
        <v>2</v>
      </c>
      <c r="M1040" s="183">
        <v>2</v>
      </c>
      <c r="N1040" s="95">
        <f t="shared" si="269"/>
        <v>492.7</v>
      </c>
      <c r="O1040" s="95">
        <f t="shared" si="270"/>
        <v>492.7</v>
      </c>
      <c r="P1040" s="94">
        <f t="shared" si="271"/>
        <v>0</v>
      </c>
      <c r="Q1040" s="95">
        <f t="shared" si="272"/>
        <v>0</v>
      </c>
      <c r="R1040" s="96"/>
      <c r="S1040" s="97">
        <f t="shared" si="273"/>
        <v>2</v>
      </c>
      <c r="T1040" s="98">
        <f t="shared" si="268"/>
        <v>0</v>
      </c>
      <c r="U1040">
        <v>2</v>
      </c>
    </row>
    <row r="1041" spans="2:28" ht="20.100000000000001" customHeight="1">
      <c r="B1041" s="88">
        <v>9</v>
      </c>
      <c r="C1041" s="89" t="s">
        <v>2130</v>
      </c>
      <c r="D1041" s="90" t="s">
        <v>2475</v>
      </c>
      <c r="E1041" s="91" t="s">
        <v>2476</v>
      </c>
      <c r="F1041" s="315">
        <v>394.75</v>
      </c>
      <c r="G1041" s="260">
        <v>1</v>
      </c>
      <c r="H1041" s="260"/>
      <c r="I1041" s="309"/>
      <c r="J1041" s="199">
        <v>1</v>
      </c>
      <c r="K1041" s="269"/>
      <c r="L1041" s="93">
        <f t="shared" si="274"/>
        <v>0</v>
      </c>
      <c r="M1041" s="183"/>
      <c r="N1041" s="95">
        <f t="shared" si="269"/>
        <v>0</v>
      </c>
      <c r="O1041" s="95">
        <f t="shared" si="270"/>
        <v>0</v>
      </c>
      <c r="P1041" s="94">
        <f t="shared" si="271"/>
        <v>0</v>
      </c>
      <c r="Q1041" s="95">
        <f t="shared" si="272"/>
        <v>0</v>
      </c>
      <c r="R1041" s="96"/>
      <c r="S1041" s="97">
        <f t="shared" si="273"/>
        <v>1</v>
      </c>
      <c r="T1041" s="98">
        <f t="shared" si="268"/>
        <v>-1</v>
      </c>
      <c r="U1041">
        <v>1</v>
      </c>
    </row>
    <row r="1042" spans="2:28" ht="20.100000000000001" customHeight="1">
      <c r="B1042" s="88">
        <v>9</v>
      </c>
      <c r="C1042" s="89" t="s">
        <v>2130</v>
      </c>
      <c r="D1042" s="90" t="s">
        <v>2477</v>
      </c>
      <c r="E1042" s="91" t="s">
        <v>2478</v>
      </c>
      <c r="F1042" s="315">
        <v>76.599999999999994</v>
      </c>
      <c r="G1042" s="260"/>
      <c r="H1042" s="260"/>
      <c r="I1042" s="309"/>
      <c r="J1042" s="199"/>
      <c r="K1042" s="269"/>
      <c r="L1042" s="93">
        <f t="shared" si="274"/>
        <v>0</v>
      </c>
      <c r="M1042" s="183"/>
      <c r="N1042" s="95">
        <f t="shared" si="269"/>
        <v>0</v>
      </c>
      <c r="O1042" s="95">
        <f t="shared" si="270"/>
        <v>0</v>
      </c>
      <c r="P1042" s="94">
        <f t="shared" si="271"/>
        <v>0</v>
      </c>
      <c r="Q1042" s="95">
        <f t="shared" si="272"/>
        <v>0</v>
      </c>
      <c r="R1042" s="96"/>
      <c r="S1042" s="97">
        <f t="shared" si="273"/>
        <v>0</v>
      </c>
      <c r="T1042" s="98">
        <f t="shared" si="268"/>
        <v>0</v>
      </c>
    </row>
    <row r="1043" spans="2:28" ht="20.100000000000001" customHeight="1">
      <c r="B1043" s="88">
        <v>9</v>
      </c>
      <c r="C1043" s="89" t="s">
        <v>2130</v>
      </c>
      <c r="D1043" s="90" t="s">
        <v>4987</v>
      </c>
      <c r="E1043" s="91" t="s">
        <v>4970</v>
      </c>
      <c r="F1043" s="315">
        <v>261.51</v>
      </c>
      <c r="G1043" s="260"/>
      <c r="H1043" s="260"/>
      <c r="I1043" s="309">
        <v>4</v>
      </c>
      <c r="J1043" s="199"/>
      <c r="K1043" s="269"/>
      <c r="L1043" s="93">
        <f t="shared" si="274"/>
        <v>4</v>
      </c>
      <c r="M1043" s="183">
        <v>4</v>
      </c>
      <c r="N1043" s="95">
        <f t="shared" ref="N1043" si="287">F1043*L1043</f>
        <v>1046.04</v>
      </c>
      <c r="O1043" s="95">
        <f t="shared" ref="O1043" si="288">M1043*F1043</f>
        <v>1046.04</v>
      </c>
      <c r="P1043" s="94">
        <f t="shared" ref="P1043" si="289">L1043-M1043</f>
        <v>0</v>
      </c>
      <c r="Q1043" s="95">
        <f t="shared" ref="Q1043" si="290">N1043-O1043</f>
        <v>0</v>
      </c>
      <c r="R1043" s="96"/>
      <c r="S1043" s="97">
        <f t="shared" ref="S1043" si="291">U1043+Y1043+W1043+AA1043</f>
        <v>0</v>
      </c>
      <c r="T1043" s="98">
        <f t="shared" ref="T1043" si="292">M1043-S1043</f>
        <v>4</v>
      </c>
    </row>
    <row r="1044" spans="2:28" ht="20.100000000000001" customHeight="1">
      <c r="B1044" s="88">
        <v>9</v>
      </c>
      <c r="C1044" s="89" t="s">
        <v>2130</v>
      </c>
      <c r="D1044" s="90" t="s">
        <v>2479</v>
      </c>
      <c r="E1044" s="91" t="s">
        <v>2480</v>
      </c>
      <c r="F1044" s="315">
        <v>227.85</v>
      </c>
      <c r="G1044" s="260">
        <v>3</v>
      </c>
      <c r="H1044" s="260">
        <v>2</v>
      </c>
      <c r="I1044" s="309"/>
      <c r="J1044" s="199"/>
      <c r="K1044" s="269">
        <v>2</v>
      </c>
      <c r="L1044" s="93">
        <f t="shared" si="274"/>
        <v>3</v>
      </c>
      <c r="M1044" s="183">
        <v>3</v>
      </c>
      <c r="N1044" s="95">
        <f t="shared" si="269"/>
        <v>683.55</v>
      </c>
      <c r="O1044" s="95">
        <f t="shared" si="270"/>
        <v>683.55</v>
      </c>
      <c r="P1044" s="94">
        <f t="shared" si="271"/>
        <v>0</v>
      </c>
      <c r="Q1044" s="95">
        <f t="shared" si="272"/>
        <v>0</v>
      </c>
      <c r="R1044" s="96"/>
      <c r="S1044" s="97">
        <f t="shared" si="273"/>
        <v>4</v>
      </c>
      <c r="T1044" s="98">
        <f t="shared" si="268"/>
        <v>-1</v>
      </c>
      <c r="U1044">
        <v>4</v>
      </c>
    </row>
    <row r="1045" spans="2:28" ht="20.100000000000001" customHeight="1">
      <c r="B1045" s="88">
        <v>9</v>
      </c>
      <c r="C1045" s="89" t="s">
        <v>2130</v>
      </c>
      <c r="D1045" s="90" t="s">
        <v>2481</v>
      </c>
      <c r="E1045" s="91" t="s">
        <v>2482</v>
      </c>
      <c r="F1045" s="315">
        <v>30.9</v>
      </c>
      <c r="G1045" s="260">
        <v>38</v>
      </c>
      <c r="H1045" s="260"/>
      <c r="I1045" s="309"/>
      <c r="J1045" s="199">
        <v>1</v>
      </c>
      <c r="K1045" s="269">
        <v>1</v>
      </c>
      <c r="L1045" s="93">
        <f t="shared" si="274"/>
        <v>36</v>
      </c>
      <c r="M1045" s="183">
        <v>36</v>
      </c>
      <c r="N1045" s="95">
        <f t="shared" si="269"/>
        <v>1112.3999999999999</v>
      </c>
      <c r="O1045" s="95">
        <f t="shared" si="270"/>
        <v>1112.3999999999999</v>
      </c>
      <c r="P1045" s="94">
        <f t="shared" si="271"/>
        <v>0</v>
      </c>
      <c r="Q1045" s="95">
        <f t="shared" si="272"/>
        <v>0</v>
      </c>
      <c r="R1045" s="96"/>
      <c r="S1045" s="97">
        <f t="shared" si="273"/>
        <v>38</v>
      </c>
      <c r="T1045" s="98">
        <f t="shared" si="268"/>
        <v>-2</v>
      </c>
      <c r="U1045">
        <v>37</v>
      </c>
      <c r="AA1045">
        <v>1</v>
      </c>
      <c r="AB1045" s="99" t="s">
        <v>1466</v>
      </c>
    </row>
    <row r="1046" spans="2:28" ht="20.100000000000001" customHeight="1">
      <c r="B1046" s="88">
        <v>9</v>
      </c>
      <c r="C1046" s="89" t="s">
        <v>2130</v>
      </c>
      <c r="D1046" s="90" t="s">
        <v>4989</v>
      </c>
      <c r="E1046" s="91" t="s">
        <v>4973</v>
      </c>
      <c r="F1046" s="315">
        <v>87.17</v>
      </c>
      <c r="G1046" s="260"/>
      <c r="H1046" s="260"/>
      <c r="I1046" s="309">
        <v>12</v>
      </c>
      <c r="J1046" s="199"/>
      <c r="K1046" s="269"/>
      <c r="L1046" s="93">
        <f t="shared" si="274"/>
        <v>12</v>
      </c>
      <c r="M1046" s="183">
        <v>12</v>
      </c>
      <c r="N1046" s="95">
        <f t="shared" ref="N1046" si="293">F1046*L1046</f>
        <v>1046.04</v>
      </c>
      <c r="O1046" s="95">
        <f t="shared" ref="O1046" si="294">M1046*F1046</f>
        <v>1046.04</v>
      </c>
      <c r="P1046" s="94">
        <f t="shared" ref="P1046" si="295">L1046-M1046</f>
        <v>0</v>
      </c>
      <c r="Q1046" s="95">
        <f t="shared" ref="Q1046" si="296">N1046-O1046</f>
        <v>0</v>
      </c>
      <c r="R1046" s="96"/>
      <c r="S1046" s="97">
        <f t="shared" ref="S1046" si="297">U1046+Y1046+W1046+AA1046</f>
        <v>0</v>
      </c>
      <c r="T1046" s="98">
        <f t="shared" ref="T1046" si="298">M1046-S1046</f>
        <v>12</v>
      </c>
    </row>
    <row r="1047" spans="2:28" ht="20.100000000000001" customHeight="1">
      <c r="B1047" s="88">
        <v>9</v>
      </c>
      <c r="C1047" s="89" t="s">
        <v>2130</v>
      </c>
      <c r="D1047" s="90" t="s">
        <v>2483</v>
      </c>
      <c r="E1047" s="91" t="s">
        <v>2484</v>
      </c>
      <c r="F1047" s="315">
        <v>172.3</v>
      </c>
      <c r="G1047" s="260">
        <v>8</v>
      </c>
      <c r="H1047" s="260"/>
      <c r="I1047" s="309"/>
      <c r="J1047" s="199">
        <v>2</v>
      </c>
      <c r="K1047" s="269"/>
      <c r="L1047" s="93">
        <f t="shared" si="274"/>
        <v>6</v>
      </c>
      <c r="M1047" s="183">
        <v>6</v>
      </c>
      <c r="N1047" s="95">
        <f t="shared" si="269"/>
        <v>1033.8000000000002</v>
      </c>
      <c r="O1047" s="95">
        <f t="shared" si="270"/>
        <v>1033.8000000000002</v>
      </c>
      <c r="P1047" s="94">
        <f t="shared" si="271"/>
        <v>0</v>
      </c>
      <c r="Q1047" s="95">
        <f t="shared" si="272"/>
        <v>0</v>
      </c>
      <c r="R1047" s="96"/>
      <c r="S1047" s="97">
        <f t="shared" si="273"/>
        <v>8</v>
      </c>
      <c r="T1047" s="98">
        <f t="shared" si="268"/>
        <v>-2</v>
      </c>
      <c r="U1047">
        <v>8</v>
      </c>
    </row>
    <row r="1048" spans="2:28" ht="20.100000000000001" customHeight="1">
      <c r="B1048" s="88">
        <v>9</v>
      </c>
      <c r="C1048" s="89" t="s">
        <v>2130</v>
      </c>
      <c r="D1048" s="90" t="s">
        <v>2485</v>
      </c>
      <c r="E1048" s="91" t="s">
        <v>2486</v>
      </c>
      <c r="F1048" s="315">
        <v>58.05</v>
      </c>
      <c r="G1048" s="260">
        <v>10</v>
      </c>
      <c r="H1048" s="260"/>
      <c r="I1048" s="309"/>
      <c r="J1048" s="199">
        <v>4</v>
      </c>
      <c r="K1048" s="269"/>
      <c r="L1048" s="93">
        <f t="shared" si="274"/>
        <v>6</v>
      </c>
      <c r="M1048" s="183">
        <v>6</v>
      </c>
      <c r="N1048" s="95">
        <f t="shared" si="269"/>
        <v>348.29999999999995</v>
      </c>
      <c r="O1048" s="95">
        <f t="shared" si="270"/>
        <v>348.29999999999995</v>
      </c>
      <c r="P1048" s="94">
        <f t="shared" si="271"/>
        <v>0</v>
      </c>
      <c r="Q1048" s="95">
        <f t="shared" si="272"/>
        <v>0</v>
      </c>
      <c r="R1048" s="96"/>
      <c r="S1048" s="97">
        <f t="shared" si="273"/>
        <v>10</v>
      </c>
      <c r="T1048" s="98">
        <f t="shared" si="268"/>
        <v>-4</v>
      </c>
      <c r="U1048">
        <v>10</v>
      </c>
    </row>
    <row r="1049" spans="2:28" ht="20.100000000000001" customHeight="1">
      <c r="B1049" s="88">
        <v>9</v>
      </c>
      <c r="C1049" s="89" t="s">
        <v>2130</v>
      </c>
      <c r="D1049" s="90" t="s">
        <v>2487</v>
      </c>
      <c r="E1049" s="91" t="s">
        <v>2488</v>
      </c>
      <c r="F1049" s="315">
        <v>23.5</v>
      </c>
      <c r="G1049" s="260">
        <v>21</v>
      </c>
      <c r="H1049" s="260"/>
      <c r="I1049" s="309"/>
      <c r="J1049" s="199">
        <v>21</v>
      </c>
      <c r="K1049" s="269"/>
      <c r="L1049" s="93">
        <f t="shared" si="274"/>
        <v>0</v>
      </c>
      <c r="M1049" s="183"/>
      <c r="N1049" s="95">
        <f t="shared" si="269"/>
        <v>0</v>
      </c>
      <c r="O1049" s="95">
        <f t="shared" si="270"/>
        <v>0</v>
      </c>
      <c r="P1049" s="94">
        <f t="shared" si="271"/>
        <v>0</v>
      </c>
      <c r="Q1049" s="95">
        <f t="shared" si="272"/>
        <v>0</v>
      </c>
      <c r="R1049" s="96"/>
      <c r="S1049" s="97">
        <f t="shared" si="273"/>
        <v>0</v>
      </c>
      <c r="T1049" s="98">
        <f t="shared" si="268"/>
        <v>0</v>
      </c>
    </row>
    <row r="1050" spans="2:28" ht="20.100000000000001" customHeight="1">
      <c r="B1050" s="88">
        <v>9</v>
      </c>
      <c r="C1050" s="89" t="s">
        <v>2130</v>
      </c>
      <c r="D1050" s="90" t="s">
        <v>2489</v>
      </c>
      <c r="E1050" s="91" t="s">
        <v>2490</v>
      </c>
      <c r="F1050" s="315">
        <v>78.400000000000006</v>
      </c>
      <c r="G1050" s="260">
        <v>11</v>
      </c>
      <c r="H1050" s="260"/>
      <c r="I1050" s="309"/>
      <c r="J1050" s="199"/>
      <c r="K1050" s="269">
        <v>1</v>
      </c>
      <c r="L1050" s="93">
        <f t="shared" si="274"/>
        <v>10</v>
      </c>
      <c r="M1050" s="183">
        <v>10</v>
      </c>
      <c r="N1050" s="95">
        <f t="shared" si="269"/>
        <v>784</v>
      </c>
      <c r="O1050" s="95">
        <f t="shared" si="270"/>
        <v>784</v>
      </c>
      <c r="P1050" s="94">
        <f t="shared" si="271"/>
        <v>0</v>
      </c>
      <c r="Q1050" s="95">
        <f t="shared" si="272"/>
        <v>0</v>
      </c>
      <c r="R1050" s="96"/>
      <c r="S1050" s="97">
        <f t="shared" si="273"/>
        <v>11</v>
      </c>
      <c r="T1050" s="98">
        <f t="shared" si="268"/>
        <v>-1</v>
      </c>
      <c r="U1050">
        <v>11</v>
      </c>
    </row>
    <row r="1051" spans="2:28" ht="20.100000000000001" customHeight="1">
      <c r="B1051" s="88">
        <v>9</v>
      </c>
      <c r="C1051" s="89" t="s">
        <v>2130</v>
      </c>
      <c r="D1051" s="90" t="s">
        <v>2491</v>
      </c>
      <c r="E1051" s="91" t="s">
        <v>2492</v>
      </c>
      <c r="F1051" s="315">
        <v>230.19</v>
      </c>
      <c r="G1051" s="260"/>
      <c r="H1051" s="260"/>
      <c r="I1051" s="309">
        <v>4</v>
      </c>
      <c r="J1051" s="199"/>
      <c r="K1051" s="269"/>
      <c r="L1051" s="93">
        <f t="shared" si="274"/>
        <v>4</v>
      </c>
      <c r="M1051" s="183">
        <v>4</v>
      </c>
      <c r="N1051" s="95">
        <f t="shared" si="269"/>
        <v>920.76</v>
      </c>
      <c r="O1051" s="95">
        <f t="shared" si="270"/>
        <v>920.76</v>
      </c>
      <c r="P1051" s="94">
        <f t="shared" si="271"/>
        <v>0</v>
      </c>
      <c r="Q1051" s="95">
        <f t="shared" si="272"/>
        <v>0</v>
      </c>
      <c r="R1051" s="96"/>
      <c r="S1051" s="97">
        <f t="shared" si="273"/>
        <v>0</v>
      </c>
      <c r="T1051" s="98">
        <f t="shared" si="268"/>
        <v>4</v>
      </c>
    </row>
    <row r="1052" spans="2:28" ht="20.100000000000001" customHeight="1">
      <c r="B1052" s="88">
        <v>9</v>
      </c>
      <c r="C1052" s="89" t="s">
        <v>2130</v>
      </c>
      <c r="D1052" s="90" t="s">
        <v>2493</v>
      </c>
      <c r="E1052" s="91" t="s">
        <v>2494</v>
      </c>
      <c r="F1052" s="315">
        <v>45.4</v>
      </c>
      <c r="G1052" s="260">
        <v>1</v>
      </c>
      <c r="H1052" s="260"/>
      <c r="I1052" s="309"/>
      <c r="J1052" s="199"/>
      <c r="K1052" s="269"/>
      <c r="L1052" s="93">
        <f t="shared" si="274"/>
        <v>1</v>
      </c>
      <c r="M1052" s="183">
        <v>1</v>
      </c>
      <c r="N1052" s="95">
        <f t="shared" si="269"/>
        <v>45.4</v>
      </c>
      <c r="O1052" s="95">
        <f t="shared" si="270"/>
        <v>45.4</v>
      </c>
      <c r="P1052" s="94">
        <f t="shared" si="271"/>
        <v>0</v>
      </c>
      <c r="Q1052" s="95">
        <f t="shared" si="272"/>
        <v>0</v>
      </c>
      <c r="R1052" s="96"/>
      <c r="S1052" s="97">
        <f t="shared" si="273"/>
        <v>1</v>
      </c>
      <c r="T1052" s="98">
        <f t="shared" si="268"/>
        <v>0</v>
      </c>
      <c r="U1052">
        <v>1</v>
      </c>
    </row>
    <row r="1053" spans="2:28" ht="20.100000000000001" customHeight="1">
      <c r="B1053" s="88">
        <v>9</v>
      </c>
      <c r="C1053" s="89" t="s">
        <v>2130</v>
      </c>
      <c r="D1053" s="90" t="s">
        <v>2495</v>
      </c>
      <c r="E1053" s="91" t="s">
        <v>2496</v>
      </c>
      <c r="F1053" s="315">
        <v>45.4</v>
      </c>
      <c r="G1053" s="260">
        <v>3</v>
      </c>
      <c r="H1053" s="260"/>
      <c r="I1053" s="309"/>
      <c r="J1053" s="199"/>
      <c r="K1053" s="269"/>
      <c r="L1053" s="93">
        <f t="shared" si="274"/>
        <v>3</v>
      </c>
      <c r="M1053" s="183">
        <v>3</v>
      </c>
      <c r="N1053" s="95">
        <f t="shared" si="269"/>
        <v>136.19999999999999</v>
      </c>
      <c r="O1053" s="95">
        <f t="shared" si="270"/>
        <v>136.19999999999999</v>
      </c>
      <c r="P1053" s="94">
        <f t="shared" si="271"/>
        <v>0</v>
      </c>
      <c r="Q1053" s="95">
        <f t="shared" si="272"/>
        <v>0</v>
      </c>
      <c r="R1053" s="96"/>
      <c r="S1053" s="97">
        <f t="shared" si="273"/>
        <v>3</v>
      </c>
      <c r="T1053" s="98">
        <f t="shared" si="268"/>
        <v>0</v>
      </c>
      <c r="U1053">
        <v>3</v>
      </c>
    </row>
    <row r="1054" spans="2:28" ht="20.100000000000001" customHeight="1">
      <c r="B1054" s="88">
        <v>9</v>
      </c>
      <c r="C1054" s="89" t="s">
        <v>2130</v>
      </c>
      <c r="D1054" s="90" t="s">
        <v>2497</v>
      </c>
      <c r="E1054" s="91" t="s">
        <v>2498</v>
      </c>
      <c r="F1054" s="315">
        <v>45.4</v>
      </c>
      <c r="G1054" s="260">
        <v>1</v>
      </c>
      <c r="H1054" s="260"/>
      <c r="I1054" s="309"/>
      <c r="J1054" s="199"/>
      <c r="K1054" s="269"/>
      <c r="L1054" s="93">
        <f t="shared" si="274"/>
        <v>1</v>
      </c>
      <c r="M1054" s="183">
        <v>1</v>
      </c>
      <c r="N1054" s="95">
        <f t="shared" si="269"/>
        <v>45.4</v>
      </c>
      <c r="O1054" s="95">
        <f t="shared" si="270"/>
        <v>45.4</v>
      </c>
      <c r="P1054" s="94">
        <f t="shared" si="271"/>
        <v>0</v>
      </c>
      <c r="Q1054" s="95">
        <f t="shared" si="272"/>
        <v>0</v>
      </c>
      <c r="R1054" s="96"/>
      <c r="S1054" s="97">
        <f t="shared" si="273"/>
        <v>2</v>
      </c>
      <c r="T1054" s="98">
        <f t="shared" si="268"/>
        <v>-1</v>
      </c>
      <c r="U1054">
        <v>2</v>
      </c>
    </row>
    <row r="1055" spans="2:28" ht="20.100000000000001" customHeight="1">
      <c r="B1055" s="88">
        <v>9</v>
      </c>
      <c r="C1055" s="89" t="s">
        <v>2130</v>
      </c>
      <c r="D1055" s="90" t="s">
        <v>2499</v>
      </c>
      <c r="E1055" s="91" t="s">
        <v>2500</v>
      </c>
      <c r="F1055" s="315">
        <v>49.25</v>
      </c>
      <c r="G1055" s="260"/>
      <c r="H1055" s="260"/>
      <c r="I1055" s="309"/>
      <c r="J1055" s="199"/>
      <c r="K1055" s="269"/>
      <c r="L1055" s="93">
        <f t="shared" si="274"/>
        <v>0</v>
      </c>
      <c r="M1055" s="183"/>
      <c r="N1055" s="95">
        <f t="shared" si="269"/>
        <v>0</v>
      </c>
      <c r="O1055" s="95">
        <f t="shared" si="270"/>
        <v>0</v>
      </c>
      <c r="P1055" s="94">
        <f t="shared" si="271"/>
        <v>0</v>
      </c>
      <c r="Q1055" s="95">
        <f t="shared" si="272"/>
        <v>0</v>
      </c>
      <c r="R1055" s="96"/>
      <c r="S1055" s="97">
        <f t="shared" si="273"/>
        <v>0</v>
      </c>
      <c r="T1055" s="98">
        <f t="shared" si="268"/>
        <v>0</v>
      </c>
    </row>
    <row r="1056" spans="2:28" ht="20.100000000000001" customHeight="1">
      <c r="B1056" s="88">
        <v>9</v>
      </c>
      <c r="C1056" s="89" t="s">
        <v>2130</v>
      </c>
      <c r="D1056" s="90" t="s">
        <v>2501</v>
      </c>
      <c r="E1056" s="91" t="s">
        <v>2502</v>
      </c>
      <c r="F1056" s="315">
        <v>37.25</v>
      </c>
      <c r="G1056" s="260"/>
      <c r="H1056" s="260">
        <v>2</v>
      </c>
      <c r="I1056" s="309"/>
      <c r="J1056" s="199"/>
      <c r="K1056" s="269">
        <v>1</v>
      </c>
      <c r="L1056" s="93">
        <f t="shared" si="274"/>
        <v>1</v>
      </c>
      <c r="M1056" s="183">
        <v>1</v>
      </c>
      <c r="N1056" s="95">
        <f t="shared" si="269"/>
        <v>37.25</v>
      </c>
      <c r="O1056" s="95">
        <f t="shared" si="270"/>
        <v>37.25</v>
      </c>
      <c r="P1056" s="94">
        <f t="shared" si="271"/>
        <v>0</v>
      </c>
      <c r="Q1056" s="95">
        <f t="shared" si="272"/>
        <v>0</v>
      </c>
      <c r="R1056" s="96"/>
      <c r="S1056" s="97">
        <f t="shared" si="273"/>
        <v>1</v>
      </c>
      <c r="T1056" s="98">
        <f t="shared" si="268"/>
        <v>0</v>
      </c>
      <c r="U1056">
        <v>1</v>
      </c>
    </row>
    <row r="1057" spans="2:31" ht="20.100000000000001" customHeight="1">
      <c r="B1057" s="88">
        <v>9</v>
      </c>
      <c r="C1057" s="89" t="s">
        <v>2130</v>
      </c>
      <c r="D1057" s="90" t="s">
        <v>2503</v>
      </c>
      <c r="E1057" s="91" t="s">
        <v>2504</v>
      </c>
      <c r="F1057" s="315">
        <v>37.5</v>
      </c>
      <c r="G1057" s="260"/>
      <c r="H1057" s="260"/>
      <c r="I1057" s="309"/>
      <c r="J1057" s="199"/>
      <c r="K1057" s="269"/>
      <c r="L1057" s="93">
        <f t="shared" si="274"/>
        <v>0</v>
      </c>
      <c r="M1057" s="183"/>
      <c r="N1057" s="95">
        <f t="shared" si="269"/>
        <v>0</v>
      </c>
      <c r="O1057" s="95">
        <f t="shared" si="270"/>
        <v>0</v>
      </c>
      <c r="P1057" s="94">
        <f t="shared" si="271"/>
        <v>0</v>
      </c>
      <c r="Q1057" s="95">
        <f t="shared" si="272"/>
        <v>0</v>
      </c>
      <c r="R1057" s="96"/>
      <c r="S1057" s="97">
        <f t="shared" si="273"/>
        <v>0</v>
      </c>
      <c r="T1057" s="98">
        <f t="shared" si="268"/>
        <v>0</v>
      </c>
    </row>
    <row r="1058" spans="2:31" ht="20.100000000000001" customHeight="1">
      <c r="B1058" s="88">
        <v>9</v>
      </c>
      <c r="C1058" s="89" t="s">
        <v>2130</v>
      </c>
      <c r="D1058" s="90" t="s">
        <v>2505</v>
      </c>
      <c r="E1058" s="91" t="s">
        <v>2506</v>
      </c>
      <c r="F1058" s="315">
        <v>37.5</v>
      </c>
      <c r="G1058" s="260">
        <v>2</v>
      </c>
      <c r="H1058" s="260"/>
      <c r="I1058" s="309"/>
      <c r="J1058" s="199"/>
      <c r="K1058" s="269"/>
      <c r="L1058" s="93">
        <f t="shared" si="274"/>
        <v>2</v>
      </c>
      <c r="M1058" s="183">
        <v>2</v>
      </c>
      <c r="N1058" s="95">
        <f t="shared" si="269"/>
        <v>75</v>
      </c>
      <c r="O1058" s="95">
        <f t="shared" si="270"/>
        <v>75</v>
      </c>
      <c r="P1058" s="94">
        <f t="shared" si="271"/>
        <v>0</v>
      </c>
      <c r="Q1058" s="95">
        <f t="shared" si="272"/>
        <v>0</v>
      </c>
      <c r="R1058" s="96"/>
      <c r="S1058" s="97">
        <f t="shared" si="273"/>
        <v>2</v>
      </c>
      <c r="T1058" s="98">
        <f t="shared" si="268"/>
        <v>0</v>
      </c>
      <c r="U1058">
        <v>2</v>
      </c>
    </row>
    <row r="1059" spans="2:31" ht="20.100000000000001" customHeight="1">
      <c r="B1059" s="88">
        <v>9</v>
      </c>
      <c r="C1059" s="89" t="s">
        <v>2130</v>
      </c>
      <c r="D1059" s="90" t="s">
        <v>2507</v>
      </c>
      <c r="E1059" s="91" t="s">
        <v>2508</v>
      </c>
      <c r="F1059" s="315">
        <v>37.25</v>
      </c>
      <c r="G1059" s="260">
        <v>14</v>
      </c>
      <c r="H1059" s="260"/>
      <c r="I1059" s="309"/>
      <c r="J1059" s="199"/>
      <c r="K1059" s="269">
        <v>1</v>
      </c>
      <c r="L1059" s="93">
        <f t="shared" si="274"/>
        <v>13</v>
      </c>
      <c r="M1059" s="183">
        <v>14</v>
      </c>
      <c r="N1059" s="95">
        <f t="shared" si="269"/>
        <v>484.25</v>
      </c>
      <c r="O1059" s="95">
        <f t="shared" si="270"/>
        <v>521.5</v>
      </c>
      <c r="P1059" s="94">
        <f t="shared" si="271"/>
        <v>-1</v>
      </c>
      <c r="Q1059" s="95">
        <f t="shared" si="272"/>
        <v>-37.25</v>
      </c>
      <c r="R1059" s="96"/>
      <c r="S1059" s="97">
        <f t="shared" si="273"/>
        <v>15</v>
      </c>
      <c r="T1059" s="98">
        <f t="shared" si="268"/>
        <v>-1</v>
      </c>
      <c r="U1059">
        <v>15</v>
      </c>
    </row>
    <row r="1060" spans="2:31" ht="20.100000000000001" customHeight="1">
      <c r="B1060" s="88">
        <v>9</v>
      </c>
      <c r="C1060" s="89" t="s">
        <v>2130</v>
      </c>
      <c r="D1060" s="90" t="s">
        <v>2509</v>
      </c>
      <c r="E1060" s="91" t="s">
        <v>2510</v>
      </c>
      <c r="F1060" s="315">
        <v>59.8</v>
      </c>
      <c r="G1060" s="260">
        <v>11</v>
      </c>
      <c r="H1060" s="260"/>
      <c r="I1060" s="309"/>
      <c r="J1060" s="199"/>
      <c r="K1060" s="269">
        <v>4</v>
      </c>
      <c r="L1060" s="93">
        <f t="shared" si="274"/>
        <v>7</v>
      </c>
      <c r="M1060" s="183">
        <v>7</v>
      </c>
      <c r="N1060" s="95">
        <f t="shared" si="269"/>
        <v>418.59999999999997</v>
      </c>
      <c r="O1060" s="95">
        <f t="shared" si="270"/>
        <v>418.59999999999997</v>
      </c>
      <c r="P1060" s="94">
        <f t="shared" si="271"/>
        <v>0</v>
      </c>
      <c r="Q1060" s="95">
        <f t="shared" si="272"/>
        <v>0</v>
      </c>
      <c r="R1060" s="96"/>
      <c r="S1060" s="97">
        <f t="shared" si="273"/>
        <v>0</v>
      </c>
      <c r="T1060" s="98">
        <f t="shared" si="268"/>
        <v>7</v>
      </c>
    </row>
    <row r="1061" spans="2:31" ht="20.100000000000001" customHeight="1">
      <c r="B1061" s="88">
        <v>9</v>
      </c>
      <c r="C1061" s="89" t="s">
        <v>2130</v>
      </c>
      <c r="D1061" s="90" t="s">
        <v>2511</v>
      </c>
      <c r="E1061" s="91" t="s">
        <v>2512</v>
      </c>
      <c r="F1061" s="315">
        <v>71.5</v>
      </c>
      <c r="G1061" s="260">
        <v>1</v>
      </c>
      <c r="H1061" s="260"/>
      <c r="I1061" s="309"/>
      <c r="J1061" s="199"/>
      <c r="K1061" s="269"/>
      <c r="L1061" s="93">
        <f t="shared" si="274"/>
        <v>1</v>
      </c>
      <c r="M1061" s="183">
        <v>1</v>
      </c>
      <c r="N1061" s="95">
        <f t="shared" si="269"/>
        <v>71.5</v>
      </c>
      <c r="O1061" s="95">
        <f t="shared" si="270"/>
        <v>71.5</v>
      </c>
      <c r="P1061" s="94">
        <f t="shared" si="271"/>
        <v>0</v>
      </c>
      <c r="Q1061" s="95">
        <f t="shared" si="272"/>
        <v>0</v>
      </c>
      <c r="R1061" s="96"/>
      <c r="S1061" s="97">
        <f t="shared" si="273"/>
        <v>1</v>
      </c>
      <c r="T1061" s="98">
        <f t="shared" si="268"/>
        <v>0</v>
      </c>
      <c r="U1061">
        <v>1</v>
      </c>
    </row>
    <row r="1062" spans="2:31" ht="20.100000000000001" customHeight="1">
      <c r="B1062" s="88">
        <v>9</v>
      </c>
      <c r="C1062" s="89" t="s">
        <v>2130</v>
      </c>
      <c r="D1062" s="90" t="s">
        <v>2513</v>
      </c>
      <c r="E1062" s="91" t="s">
        <v>2514</v>
      </c>
      <c r="F1062" s="315">
        <v>110.66</v>
      </c>
      <c r="G1062" s="260">
        <v>2</v>
      </c>
      <c r="H1062" s="260"/>
      <c r="I1062" s="309"/>
      <c r="J1062" s="199"/>
      <c r="K1062" s="269"/>
      <c r="L1062" s="93">
        <f t="shared" si="274"/>
        <v>2</v>
      </c>
      <c r="M1062" s="183">
        <v>2</v>
      </c>
      <c r="N1062" s="95">
        <f t="shared" si="269"/>
        <v>221.32</v>
      </c>
      <c r="O1062" s="95">
        <f t="shared" si="270"/>
        <v>221.32</v>
      </c>
      <c r="P1062" s="94">
        <f t="shared" si="271"/>
        <v>0</v>
      </c>
      <c r="Q1062" s="95">
        <f t="shared" si="272"/>
        <v>0</v>
      </c>
      <c r="R1062" s="96"/>
      <c r="S1062" s="97">
        <f t="shared" si="273"/>
        <v>3</v>
      </c>
      <c r="T1062" s="98">
        <f t="shared" si="268"/>
        <v>-1</v>
      </c>
      <c r="U1062">
        <v>3</v>
      </c>
    </row>
    <row r="1063" spans="2:31" ht="20.100000000000001" customHeight="1">
      <c r="B1063" s="88">
        <v>9</v>
      </c>
      <c r="C1063" s="89" t="s">
        <v>2130</v>
      </c>
      <c r="D1063" s="90" t="s">
        <v>2515</v>
      </c>
      <c r="E1063" s="91" t="s">
        <v>2516</v>
      </c>
      <c r="F1063" s="315">
        <v>139.53</v>
      </c>
      <c r="G1063" s="260">
        <v>1</v>
      </c>
      <c r="H1063" s="260"/>
      <c r="I1063" s="309"/>
      <c r="J1063" s="199"/>
      <c r="K1063" s="269"/>
      <c r="L1063" s="93">
        <f t="shared" si="274"/>
        <v>1</v>
      </c>
      <c r="M1063" s="183">
        <v>1</v>
      </c>
      <c r="N1063" s="95">
        <f t="shared" si="269"/>
        <v>139.53</v>
      </c>
      <c r="O1063" s="95">
        <f t="shared" si="270"/>
        <v>139.53</v>
      </c>
      <c r="P1063" s="94">
        <f t="shared" si="271"/>
        <v>0</v>
      </c>
      <c r="Q1063" s="95">
        <f t="shared" si="272"/>
        <v>0</v>
      </c>
      <c r="R1063" s="96"/>
      <c r="S1063" s="97">
        <f t="shared" si="273"/>
        <v>1</v>
      </c>
      <c r="T1063" s="98">
        <f t="shared" si="268"/>
        <v>0</v>
      </c>
      <c r="U1063">
        <v>1</v>
      </c>
    </row>
    <row r="1064" spans="2:31" ht="20.100000000000001" customHeight="1">
      <c r="B1064" s="88">
        <v>9</v>
      </c>
      <c r="C1064" s="89" t="s">
        <v>2130</v>
      </c>
      <c r="D1064" s="90" t="s">
        <v>2517</v>
      </c>
      <c r="E1064" s="91" t="s">
        <v>2518</v>
      </c>
      <c r="F1064" s="315">
        <v>8.6</v>
      </c>
      <c r="G1064" s="260">
        <v>15</v>
      </c>
      <c r="H1064" s="260"/>
      <c r="I1064" s="309"/>
      <c r="J1064" s="199"/>
      <c r="K1064" s="269"/>
      <c r="L1064" s="93">
        <f t="shared" si="274"/>
        <v>15</v>
      </c>
      <c r="M1064" s="183">
        <v>15</v>
      </c>
      <c r="N1064" s="95">
        <f t="shared" si="269"/>
        <v>129</v>
      </c>
      <c r="O1064" s="95">
        <f t="shared" si="270"/>
        <v>129</v>
      </c>
      <c r="P1064" s="94">
        <f t="shared" si="271"/>
        <v>0</v>
      </c>
      <c r="Q1064" s="95">
        <f t="shared" si="272"/>
        <v>0</v>
      </c>
      <c r="R1064" s="96"/>
      <c r="S1064" s="97">
        <f t="shared" si="273"/>
        <v>15</v>
      </c>
      <c r="T1064" s="98">
        <f t="shared" si="268"/>
        <v>0</v>
      </c>
      <c r="U1064">
        <v>15</v>
      </c>
      <c r="V1064" s="99" t="s">
        <v>2519</v>
      </c>
      <c r="AD1064">
        <v>1</v>
      </c>
      <c r="AE1064">
        <f>AD1064*F1064</f>
        <v>8.6</v>
      </c>
    </row>
    <row r="1065" spans="2:31" ht="20.100000000000001" customHeight="1">
      <c r="B1065" s="88">
        <v>9</v>
      </c>
      <c r="C1065" s="89" t="s">
        <v>2130</v>
      </c>
      <c r="D1065" s="90" t="s">
        <v>2520</v>
      </c>
      <c r="E1065" s="91" t="s">
        <v>2521</v>
      </c>
      <c r="F1065" s="315">
        <v>8.6</v>
      </c>
      <c r="G1065" s="260">
        <v>37</v>
      </c>
      <c r="H1065" s="260"/>
      <c r="I1065" s="309"/>
      <c r="J1065" s="199"/>
      <c r="K1065" s="269">
        <v>1</v>
      </c>
      <c r="L1065" s="93">
        <f t="shared" si="274"/>
        <v>36</v>
      </c>
      <c r="M1065" s="183">
        <v>36</v>
      </c>
      <c r="N1065" s="95">
        <f t="shared" si="269"/>
        <v>309.59999999999997</v>
      </c>
      <c r="O1065" s="95">
        <f t="shared" si="270"/>
        <v>309.59999999999997</v>
      </c>
      <c r="P1065" s="94">
        <f t="shared" si="271"/>
        <v>0</v>
      </c>
      <c r="Q1065" s="95">
        <f t="shared" si="272"/>
        <v>0</v>
      </c>
      <c r="R1065" s="96"/>
      <c r="S1065" s="97">
        <f t="shared" si="273"/>
        <v>37</v>
      </c>
      <c r="T1065" s="98">
        <f t="shared" si="268"/>
        <v>-1</v>
      </c>
      <c r="U1065">
        <f>5+32</f>
        <v>37</v>
      </c>
    </row>
    <row r="1066" spans="2:31" ht="20.100000000000001" customHeight="1">
      <c r="B1066" s="88">
        <v>9</v>
      </c>
      <c r="C1066" s="89" t="s">
        <v>2130</v>
      </c>
      <c r="D1066" s="90" t="s">
        <v>2522</v>
      </c>
      <c r="E1066" s="91" t="s">
        <v>2523</v>
      </c>
      <c r="F1066" s="315">
        <v>147.94999999999999</v>
      </c>
      <c r="G1066" s="260">
        <v>2</v>
      </c>
      <c r="H1066" s="260"/>
      <c r="I1066" s="309"/>
      <c r="J1066" s="199"/>
      <c r="K1066" s="269"/>
      <c r="L1066" s="93">
        <f t="shared" si="274"/>
        <v>2</v>
      </c>
      <c r="M1066" s="183">
        <v>2</v>
      </c>
      <c r="N1066" s="95">
        <f t="shared" si="269"/>
        <v>295.89999999999998</v>
      </c>
      <c r="O1066" s="95">
        <f t="shared" si="270"/>
        <v>295.89999999999998</v>
      </c>
      <c r="P1066" s="94">
        <f t="shared" si="271"/>
        <v>0</v>
      </c>
      <c r="Q1066" s="95">
        <f t="shared" si="272"/>
        <v>0</v>
      </c>
      <c r="R1066" s="96"/>
      <c r="S1066" s="97">
        <f t="shared" si="273"/>
        <v>2</v>
      </c>
      <c r="T1066" s="98">
        <f t="shared" si="268"/>
        <v>0</v>
      </c>
      <c r="U1066">
        <f>1+1</f>
        <v>2</v>
      </c>
      <c r="V1066" s="99" t="s">
        <v>479</v>
      </c>
      <c r="AD1066" s="18">
        <f>M1066</f>
        <v>2</v>
      </c>
      <c r="AE1066">
        <f>AD1066*F1066</f>
        <v>295.89999999999998</v>
      </c>
    </row>
    <row r="1067" spans="2:31" ht="20.100000000000001" customHeight="1">
      <c r="B1067" s="88">
        <v>9</v>
      </c>
      <c r="C1067" s="89" t="s">
        <v>2130</v>
      </c>
      <c r="D1067" s="90" t="s">
        <v>2524</v>
      </c>
      <c r="E1067" s="91" t="s">
        <v>2525</v>
      </c>
      <c r="F1067" s="315">
        <v>12.59</v>
      </c>
      <c r="G1067" s="260">
        <v>6</v>
      </c>
      <c r="H1067" s="260"/>
      <c r="I1067" s="309"/>
      <c r="J1067" s="199"/>
      <c r="K1067" s="269"/>
      <c r="L1067" s="93">
        <f t="shared" si="274"/>
        <v>6</v>
      </c>
      <c r="M1067" s="183">
        <v>6</v>
      </c>
      <c r="N1067" s="95">
        <f t="shared" si="269"/>
        <v>75.539999999999992</v>
      </c>
      <c r="O1067" s="95">
        <f t="shared" si="270"/>
        <v>75.539999999999992</v>
      </c>
      <c r="P1067" s="94">
        <f t="shared" si="271"/>
        <v>0</v>
      </c>
      <c r="Q1067" s="95">
        <f t="shared" si="272"/>
        <v>0</v>
      </c>
      <c r="R1067" s="96"/>
      <c r="S1067" s="97">
        <f t="shared" si="273"/>
        <v>6</v>
      </c>
      <c r="T1067" s="98">
        <f t="shared" si="268"/>
        <v>0</v>
      </c>
      <c r="U1067">
        <v>6</v>
      </c>
      <c r="V1067" s="99" t="s">
        <v>479</v>
      </c>
      <c r="AD1067" s="18">
        <f>M1067</f>
        <v>6</v>
      </c>
      <c r="AE1067">
        <f>AD1067*F1067</f>
        <v>75.539999999999992</v>
      </c>
    </row>
    <row r="1068" spans="2:31" ht="20.100000000000001" customHeight="1">
      <c r="B1068" s="88">
        <v>9</v>
      </c>
      <c r="C1068" s="89" t="s">
        <v>2130</v>
      </c>
      <c r="D1068" s="90" t="s">
        <v>2526</v>
      </c>
      <c r="E1068" s="91" t="s">
        <v>2527</v>
      </c>
      <c r="F1068" s="315">
        <v>18.62</v>
      </c>
      <c r="G1068" s="260"/>
      <c r="H1068" s="260"/>
      <c r="I1068" s="309"/>
      <c r="J1068" s="199"/>
      <c r="K1068" s="269"/>
      <c r="L1068" s="93">
        <f t="shared" si="274"/>
        <v>0</v>
      </c>
      <c r="M1068" s="183"/>
      <c r="N1068" s="95">
        <f t="shared" si="269"/>
        <v>0</v>
      </c>
      <c r="O1068" s="95">
        <f t="shared" si="270"/>
        <v>0</v>
      </c>
      <c r="P1068" s="94">
        <f t="shared" si="271"/>
        <v>0</v>
      </c>
      <c r="Q1068" s="95">
        <f t="shared" si="272"/>
        <v>0</v>
      </c>
      <c r="R1068" s="96"/>
      <c r="S1068" s="97">
        <f t="shared" si="273"/>
        <v>0</v>
      </c>
      <c r="T1068" s="98">
        <f t="shared" si="268"/>
        <v>0</v>
      </c>
    </row>
    <row r="1069" spans="2:31" ht="20.100000000000001" customHeight="1">
      <c r="B1069" s="88">
        <v>9</v>
      </c>
      <c r="C1069" s="89" t="s">
        <v>2130</v>
      </c>
      <c r="D1069" s="90" t="s">
        <v>2528</v>
      </c>
      <c r="E1069" s="91" t="s">
        <v>2529</v>
      </c>
      <c r="F1069" s="315">
        <v>57.77</v>
      </c>
      <c r="G1069" s="260"/>
      <c r="H1069" s="260"/>
      <c r="I1069" s="309"/>
      <c r="J1069" s="199"/>
      <c r="K1069" s="269"/>
      <c r="L1069" s="93">
        <f t="shared" si="274"/>
        <v>0</v>
      </c>
      <c r="M1069" s="183"/>
      <c r="N1069" s="95">
        <f t="shared" si="269"/>
        <v>0</v>
      </c>
      <c r="O1069" s="95">
        <f t="shared" si="270"/>
        <v>0</v>
      </c>
      <c r="P1069" s="94">
        <f t="shared" si="271"/>
        <v>0</v>
      </c>
      <c r="Q1069" s="95">
        <f t="shared" si="272"/>
        <v>0</v>
      </c>
      <c r="R1069" s="96"/>
      <c r="S1069" s="97">
        <f t="shared" si="273"/>
        <v>0</v>
      </c>
      <c r="T1069" s="98">
        <f t="shared" si="268"/>
        <v>0</v>
      </c>
    </row>
    <row r="1070" spans="2:31" ht="20.100000000000001" customHeight="1">
      <c r="B1070" s="88">
        <v>9</v>
      </c>
      <c r="C1070" s="89" t="s">
        <v>2130</v>
      </c>
      <c r="D1070" s="90" t="s">
        <v>2530</v>
      </c>
      <c r="E1070" s="91" t="s">
        <v>2531</v>
      </c>
      <c r="F1070" s="315">
        <v>61.5</v>
      </c>
      <c r="G1070" s="260">
        <v>45</v>
      </c>
      <c r="H1070" s="260"/>
      <c r="I1070" s="309"/>
      <c r="J1070" s="199"/>
      <c r="K1070" s="269"/>
      <c r="L1070" s="93">
        <f t="shared" si="274"/>
        <v>45</v>
      </c>
      <c r="M1070" s="183">
        <v>45</v>
      </c>
      <c r="N1070" s="95">
        <f t="shared" si="269"/>
        <v>2767.5</v>
      </c>
      <c r="O1070" s="95">
        <f t="shared" si="270"/>
        <v>2767.5</v>
      </c>
      <c r="P1070" s="94">
        <f t="shared" si="271"/>
        <v>0</v>
      </c>
      <c r="Q1070" s="95">
        <f t="shared" si="272"/>
        <v>0</v>
      </c>
      <c r="R1070" s="96"/>
      <c r="S1070" s="97">
        <f t="shared" si="273"/>
        <v>45</v>
      </c>
      <c r="T1070" s="98">
        <f t="shared" si="268"/>
        <v>0</v>
      </c>
      <c r="Y1070">
        <v>45</v>
      </c>
    </row>
    <row r="1071" spans="2:31" ht="20.100000000000001" customHeight="1">
      <c r="B1071" s="88">
        <v>9</v>
      </c>
      <c r="C1071" s="89" t="s">
        <v>2130</v>
      </c>
      <c r="D1071" s="90" t="s">
        <v>2532</v>
      </c>
      <c r="E1071" s="91" t="s">
        <v>2533</v>
      </c>
      <c r="F1071" s="315">
        <v>5.59</v>
      </c>
      <c r="G1071" s="260">
        <v>8</v>
      </c>
      <c r="H1071" s="260"/>
      <c r="I1071" s="309"/>
      <c r="J1071" s="199"/>
      <c r="K1071" s="269"/>
      <c r="L1071" s="93">
        <f t="shared" si="274"/>
        <v>8</v>
      </c>
      <c r="M1071" s="183">
        <v>8</v>
      </c>
      <c r="N1071" s="95">
        <f t="shared" si="269"/>
        <v>44.72</v>
      </c>
      <c r="O1071" s="95">
        <f t="shared" si="270"/>
        <v>44.72</v>
      </c>
      <c r="P1071" s="94">
        <f t="shared" si="271"/>
        <v>0</v>
      </c>
      <c r="Q1071" s="95">
        <f t="shared" si="272"/>
        <v>0</v>
      </c>
      <c r="R1071" s="96"/>
      <c r="S1071" s="97">
        <f t="shared" si="273"/>
        <v>8</v>
      </c>
      <c r="T1071" s="98">
        <f t="shared" si="268"/>
        <v>0</v>
      </c>
      <c r="U1071">
        <v>8</v>
      </c>
    </row>
    <row r="1072" spans="2:31" ht="20.100000000000001" customHeight="1">
      <c r="B1072" s="88">
        <v>9</v>
      </c>
      <c r="C1072" s="89" t="s">
        <v>2130</v>
      </c>
      <c r="D1072" s="90" t="s">
        <v>2534</v>
      </c>
      <c r="E1072" s="91" t="s">
        <v>2535</v>
      </c>
      <c r="F1072" s="315">
        <v>84.25</v>
      </c>
      <c r="G1072" s="260">
        <v>11</v>
      </c>
      <c r="H1072" s="260"/>
      <c r="I1072" s="309"/>
      <c r="J1072" s="199"/>
      <c r="K1072" s="269"/>
      <c r="L1072" s="93">
        <f t="shared" si="274"/>
        <v>11</v>
      </c>
      <c r="M1072" s="183">
        <v>11</v>
      </c>
      <c r="N1072" s="95">
        <f t="shared" si="269"/>
        <v>926.75</v>
      </c>
      <c r="O1072" s="95">
        <f t="shared" si="270"/>
        <v>926.75</v>
      </c>
      <c r="P1072" s="94">
        <f t="shared" si="271"/>
        <v>0</v>
      </c>
      <c r="Q1072" s="95">
        <f t="shared" si="272"/>
        <v>0</v>
      </c>
      <c r="R1072" s="96"/>
      <c r="S1072" s="97">
        <f t="shared" si="273"/>
        <v>11</v>
      </c>
      <c r="T1072" s="98">
        <f t="shared" si="268"/>
        <v>0</v>
      </c>
      <c r="U1072">
        <v>11</v>
      </c>
    </row>
    <row r="1073" spans="2:31" ht="20.100000000000001" customHeight="1">
      <c r="B1073" s="88">
        <v>9</v>
      </c>
      <c r="C1073" s="89" t="s">
        <v>2130</v>
      </c>
      <c r="D1073" s="90" t="s">
        <v>2536</v>
      </c>
      <c r="E1073" s="91" t="s">
        <v>2537</v>
      </c>
      <c r="F1073" s="315">
        <v>84.25</v>
      </c>
      <c r="G1073" s="260"/>
      <c r="H1073" s="260"/>
      <c r="I1073" s="309"/>
      <c r="J1073" s="199"/>
      <c r="K1073" s="269"/>
      <c r="L1073" s="93">
        <f t="shared" si="274"/>
        <v>0</v>
      </c>
      <c r="M1073" s="183"/>
      <c r="N1073" s="95">
        <f t="shared" si="269"/>
        <v>0</v>
      </c>
      <c r="O1073" s="95">
        <f t="shared" si="270"/>
        <v>0</v>
      </c>
      <c r="P1073" s="94">
        <f t="shared" si="271"/>
        <v>0</v>
      </c>
      <c r="Q1073" s="95">
        <f t="shared" si="272"/>
        <v>0</v>
      </c>
      <c r="R1073" s="96"/>
      <c r="S1073" s="97">
        <f t="shared" si="273"/>
        <v>0</v>
      </c>
      <c r="T1073" s="98">
        <f t="shared" si="268"/>
        <v>0</v>
      </c>
    </row>
    <row r="1074" spans="2:31" ht="20.100000000000001" customHeight="1">
      <c r="B1074" s="88">
        <v>9</v>
      </c>
      <c r="C1074" s="89" t="s">
        <v>2130</v>
      </c>
      <c r="D1074" s="90" t="s">
        <v>2538</v>
      </c>
      <c r="E1074" s="91" t="s">
        <v>2539</v>
      </c>
      <c r="F1074" s="315">
        <v>84.25</v>
      </c>
      <c r="G1074" s="260"/>
      <c r="H1074" s="260"/>
      <c r="I1074" s="309"/>
      <c r="J1074" s="199"/>
      <c r="K1074" s="269"/>
      <c r="L1074" s="93">
        <f t="shared" si="274"/>
        <v>0</v>
      </c>
      <c r="M1074" s="183"/>
      <c r="N1074" s="95">
        <f t="shared" si="269"/>
        <v>0</v>
      </c>
      <c r="O1074" s="95">
        <f t="shared" si="270"/>
        <v>0</v>
      </c>
      <c r="P1074" s="94">
        <f t="shared" si="271"/>
        <v>0</v>
      </c>
      <c r="Q1074" s="95">
        <f t="shared" si="272"/>
        <v>0</v>
      </c>
      <c r="R1074" s="96"/>
      <c r="S1074" s="97">
        <f t="shared" si="273"/>
        <v>0</v>
      </c>
      <c r="T1074" s="98">
        <f t="shared" si="268"/>
        <v>0</v>
      </c>
    </row>
    <row r="1075" spans="2:31" ht="20.100000000000001" customHeight="1">
      <c r="B1075" s="88">
        <v>9</v>
      </c>
      <c r="C1075" s="89" t="s">
        <v>2130</v>
      </c>
      <c r="D1075" s="90" t="s">
        <v>2540</v>
      </c>
      <c r="E1075" s="91" t="s">
        <v>2541</v>
      </c>
      <c r="F1075" s="315">
        <v>61.5</v>
      </c>
      <c r="G1075" s="260">
        <v>66</v>
      </c>
      <c r="H1075" s="260"/>
      <c r="I1075" s="309"/>
      <c r="J1075" s="199"/>
      <c r="K1075" s="269">
        <v>1</v>
      </c>
      <c r="L1075" s="93">
        <f t="shared" si="274"/>
        <v>65</v>
      </c>
      <c r="M1075" s="183">
        <v>65</v>
      </c>
      <c r="N1075" s="95">
        <f t="shared" si="269"/>
        <v>3997.5</v>
      </c>
      <c r="O1075" s="95">
        <f t="shared" si="270"/>
        <v>3997.5</v>
      </c>
      <c r="P1075" s="94">
        <f t="shared" si="271"/>
        <v>0</v>
      </c>
      <c r="Q1075" s="95">
        <f t="shared" si="272"/>
        <v>0</v>
      </c>
      <c r="R1075" s="96"/>
      <c r="S1075" s="97">
        <f t="shared" si="273"/>
        <v>67</v>
      </c>
      <c r="T1075" s="98">
        <f t="shared" si="268"/>
        <v>-2</v>
      </c>
      <c r="U1075">
        <f>65+2</f>
        <v>67</v>
      </c>
    </row>
    <row r="1076" spans="2:31" ht="20.100000000000001" customHeight="1">
      <c r="B1076" s="88">
        <v>9</v>
      </c>
      <c r="C1076" s="89" t="s">
        <v>2130</v>
      </c>
      <c r="D1076" s="90" t="s">
        <v>2542</v>
      </c>
      <c r="E1076" s="91" t="s">
        <v>2543</v>
      </c>
      <c r="F1076" s="315">
        <v>5.25</v>
      </c>
      <c r="G1076" s="260">
        <v>584</v>
      </c>
      <c r="H1076" s="260"/>
      <c r="I1076" s="309"/>
      <c r="J1076" s="199"/>
      <c r="K1076" s="269">
        <v>54</v>
      </c>
      <c r="L1076" s="93">
        <f t="shared" si="274"/>
        <v>530</v>
      </c>
      <c r="M1076" s="183">
        <v>530</v>
      </c>
      <c r="N1076" s="95">
        <f t="shared" si="269"/>
        <v>2782.5</v>
      </c>
      <c r="O1076" s="95">
        <f t="shared" si="270"/>
        <v>2782.5</v>
      </c>
      <c r="P1076" s="94">
        <f t="shared" si="271"/>
        <v>0</v>
      </c>
      <c r="Q1076" s="95">
        <f t="shared" si="272"/>
        <v>0</v>
      </c>
      <c r="R1076" s="96"/>
      <c r="S1076" s="97">
        <f t="shared" si="273"/>
        <v>584</v>
      </c>
      <c r="T1076" s="98">
        <f t="shared" si="268"/>
        <v>-54</v>
      </c>
      <c r="U1076">
        <v>224</v>
      </c>
      <c r="Y1076">
        <v>360</v>
      </c>
    </row>
    <row r="1077" spans="2:31" ht="20.100000000000001" customHeight="1">
      <c r="B1077" s="88">
        <v>9</v>
      </c>
      <c r="C1077" s="89" t="s">
        <v>2130</v>
      </c>
      <c r="D1077" s="90" t="s">
        <v>2544</v>
      </c>
      <c r="E1077" s="91" t="s">
        <v>2545</v>
      </c>
      <c r="F1077" s="315">
        <v>57.77</v>
      </c>
      <c r="G1077" s="260">
        <v>114</v>
      </c>
      <c r="H1077" s="260"/>
      <c r="I1077" s="309"/>
      <c r="J1077" s="199"/>
      <c r="K1077" s="269"/>
      <c r="L1077" s="93">
        <f t="shared" ref="L1077:L1140" si="299">G1077+I1077-J1077-K1077+H1077</f>
        <v>114</v>
      </c>
      <c r="M1077" s="183">
        <f>91+24</f>
        <v>115</v>
      </c>
      <c r="N1077" s="95">
        <f t="shared" si="269"/>
        <v>6585.7800000000007</v>
      </c>
      <c r="O1077" s="95">
        <f t="shared" si="270"/>
        <v>6643.55</v>
      </c>
      <c r="P1077" s="94">
        <f t="shared" si="271"/>
        <v>-1</v>
      </c>
      <c r="Q1077" s="95">
        <f t="shared" si="272"/>
        <v>-57.769999999999527</v>
      </c>
      <c r="R1077" s="96"/>
      <c r="S1077" s="97">
        <f t="shared" si="273"/>
        <v>114</v>
      </c>
      <c r="T1077" s="98">
        <f t="shared" si="268"/>
        <v>1</v>
      </c>
      <c r="U1077">
        <v>23</v>
      </c>
      <c r="Y1077">
        <v>91</v>
      </c>
    </row>
    <row r="1078" spans="2:31" ht="20.100000000000001" customHeight="1">
      <c r="B1078" s="88">
        <v>9</v>
      </c>
      <c r="C1078" s="89" t="s">
        <v>2130</v>
      </c>
      <c r="D1078" s="90" t="s">
        <v>2546</v>
      </c>
      <c r="E1078" s="91" t="s">
        <v>2547</v>
      </c>
      <c r="F1078" s="315">
        <v>6.63</v>
      </c>
      <c r="G1078" s="260">
        <f>255+144</f>
        <v>399</v>
      </c>
      <c r="H1078" s="260"/>
      <c r="I1078" s="309"/>
      <c r="J1078" s="199"/>
      <c r="K1078" s="269">
        <v>5</v>
      </c>
      <c r="L1078" s="93">
        <f t="shared" si="299"/>
        <v>394</v>
      </c>
      <c r="M1078" s="183">
        <v>394</v>
      </c>
      <c r="N1078" s="95">
        <f t="shared" si="269"/>
        <v>2612.2199999999998</v>
      </c>
      <c r="O1078" s="95">
        <f t="shared" si="270"/>
        <v>2612.2199999999998</v>
      </c>
      <c r="P1078" s="94">
        <f t="shared" si="271"/>
        <v>0</v>
      </c>
      <c r="Q1078" s="95">
        <f t="shared" si="272"/>
        <v>0</v>
      </c>
      <c r="R1078" s="96"/>
      <c r="S1078" s="97">
        <f t="shared" si="273"/>
        <v>255</v>
      </c>
      <c r="T1078" s="98">
        <f t="shared" si="268"/>
        <v>139</v>
      </c>
      <c r="U1078">
        <v>255</v>
      </c>
    </row>
    <row r="1079" spans="2:31" ht="20.100000000000001" customHeight="1">
      <c r="B1079" s="88">
        <v>9</v>
      </c>
      <c r="C1079" s="89" t="s">
        <v>2130</v>
      </c>
      <c r="D1079" s="90" t="s">
        <v>2546</v>
      </c>
      <c r="E1079" s="91" t="s">
        <v>2547</v>
      </c>
      <c r="F1079" s="315">
        <v>6.63</v>
      </c>
      <c r="G1079" s="260"/>
      <c r="H1079" s="260"/>
      <c r="I1079" s="309"/>
      <c r="J1079" s="199"/>
      <c r="K1079" s="269"/>
      <c r="L1079" s="93">
        <f t="shared" si="299"/>
        <v>0</v>
      </c>
      <c r="M1079" s="183"/>
      <c r="N1079" s="95">
        <f t="shared" si="269"/>
        <v>0</v>
      </c>
      <c r="O1079" s="95">
        <f t="shared" si="270"/>
        <v>0</v>
      </c>
      <c r="P1079" s="94">
        <f t="shared" si="271"/>
        <v>0</v>
      </c>
      <c r="Q1079" s="95">
        <f t="shared" si="272"/>
        <v>0</v>
      </c>
      <c r="R1079" s="96"/>
      <c r="S1079" s="97">
        <f t="shared" si="273"/>
        <v>144</v>
      </c>
      <c r="T1079" s="98">
        <f t="shared" si="268"/>
        <v>-144</v>
      </c>
      <c r="Y1079">
        <v>144</v>
      </c>
    </row>
    <row r="1080" spans="2:31" ht="20.100000000000001" customHeight="1">
      <c r="B1080" s="88">
        <v>9</v>
      </c>
      <c r="C1080" s="89" t="s">
        <v>2130</v>
      </c>
      <c r="D1080" s="90" t="s">
        <v>2546</v>
      </c>
      <c r="E1080" s="91" t="s">
        <v>2547</v>
      </c>
      <c r="F1080" s="315">
        <v>6.97</v>
      </c>
      <c r="G1080" s="260"/>
      <c r="H1080" s="260"/>
      <c r="I1080" s="309"/>
      <c r="J1080" s="199"/>
      <c r="K1080" s="269"/>
      <c r="L1080" s="93">
        <f t="shared" si="299"/>
        <v>0</v>
      </c>
      <c r="M1080" s="183"/>
      <c r="N1080" s="95">
        <f t="shared" si="269"/>
        <v>0</v>
      </c>
      <c r="O1080" s="95">
        <f t="shared" si="270"/>
        <v>0</v>
      </c>
      <c r="P1080" s="94">
        <f t="shared" si="271"/>
        <v>0</v>
      </c>
      <c r="Q1080" s="95">
        <f t="shared" si="272"/>
        <v>0</v>
      </c>
      <c r="R1080" s="96"/>
      <c r="S1080" s="97">
        <f t="shared" si="273"/>
        <v>0</v>
      </c>
      <c r="T1080" s="98">
        <f t="shared" si="268"/>
        <v>0</v>
      </c>
    </row>
    <row r="1081" spans="2:31" ht="20.100000000000001" customHeight="1">
      <c r="B1081" s="88">
        <v>9</v>
      </c>
      <c r="C1081" s="89" t="s">
        <v>2130</v>
      </c>
      <c r="D1081" s="90" t="s">
        <v>2548</v>
      </c>
      <c r="E1081" s="91" t="s">
        <v>2549</v>
      </c>
      <c r="F1081" s="315">
        <v>7.33</v>
      </c>
      <c r="G1081" s="260">
        <v>149</v>
      </c>
      <c r="H1081" s="260"/>
      <c r="I1081" s="309"/>
      <c r="J1081" s="199"/>
      <c r="K1081" s="269">
        <v>9</v>
      </c>
      <c r="L1081" s="93">
        <f t="shared" si="299"/>
        <v>140</v>
      </c>
      <c r="M1081" s="183">
        <v>141</v>
      </c>
      <c r="N1081" s="95">
        <f t="shared" si="269"/>
        <v>1026.2</v>
      </c>
      <c r="O1081" s="95">
        <f t="shared" si="270"/>
        <v>1033.53</v>
      </c>
      <c r="P1081" s="94">
        <f t="shared" si="271"/>
        <v>-1</v>
      </c>
      <c r="Q1081" s="95">
        <f t="shared" si="272"/>
        <v>-7.3299999999999272</v>
      </c>
      <c r="R1081" s="96"/>
      <c r="S1081" s="97">
        <f t="shared" si="273"/>
        <v>150</v>
      </c>
      <c r="T1081" s="98">
        <f t="shared" si="268"/>
        <v>-9</v>
      </c>
      <c r="U1081">
        <v>150</v>
      </c>
    </row>
    <row r="1082" spans="2:31" ht="20.100000000000001" customHeight="1">
      <c r="B1082" s="88">
        <v>9</v>
      </c>
      <c r="C1082" s="89" t="s">
        <v>2130</v>
      </c>
      <c r="D1082" s="90" t="s">
        <v>2548</v>
      </c>
      <c r="E1082" s="91" t="s">
        <v>2549</v>
      </c>
      <c r="F1082" s="315">
        <v>7.71</v>
      </c>
      <c r="G1082" s="260"/>
      <c r="H1082" s="260"/>
      <c r="I1082" s="309"/>
      <c r="J1082" s="199"/>
      <c r="K1082" s="269"/>
      <c r="L1082" s="93">
        <f t="shared" si="299"/>
        <v>0</v>
      </c>
      <c r="M1082" s="183"/>
      <c r="N1082" s="95">
        <f t="shared" si="269"/>
        <v>0</v>
      </c>
      <c r="O1082" s="95">
        <f t="shared" si="270"/>
        <v>0</v>
      </c>
      <c r="P1082" s="94">
        <f t="shared" si="271"/>
        <v>0</v>
      </c>
      <c r="Q1082" s="95">
        <f t="shared" si="272"/>
        <v>0</v>
      </c>
      <c r="R1082" s="96"/>
      <c r="S1082" s="97">
        <f t="shared" si="273"/>
        <v>0</v>
      </c>
      <c r="T1082" s="98">
        <f t="shared" ref="T1082:T1144" si="300">M1082-S1082</f>
        <v>0</v>
      </c>
    </row>
    <row r="1083" spans="2:31" ht="20.100000000000001" customHeight="1">
      <c r="B1083" s="88">
        <v>9</v>
      </c>
      <c r="C1083" s="89" t="s">
        <v>2130</v>
      </c>
      <c r="D1083" s="90" t="s">
        <v>2550</v>
      </c>
      <c r="E1083" s="91" t="s">
        <v>2551</v>
      </c>
      <c r="F1083" s="315">
        <v>5.73</v>
      </c>
      <c r="G1083" s="260"/>
      <c r="H1083" s="260"/>
      <c r="I1083" s="309"/>
      <c r="J1083" s="199"/>
      <c r="K1083" s="269"/>
      <c r="L1083" s="93">
        <f t="shared" si="299"/>
        <v>0</v>
      </c>
      <c r="M1083" s="183"/>
      <c r="N1083" s="95">
        <f t="shared" ref="N1083:N1145" si="301">F1083*L1083</f>
        <v>0</v>
      </c>
      <c r="O1083" s="95">
        <f t="shared" ref="O1083:O1145" si="302">M1083*F1083</f>
        <v>0</v>
      </c>
      <c r="P1083" s="94">
        <f t="shared" ref="P1083:P1145" si="303">L1083-M1083</f>
        <v>0</v>
      </c>
      <c r="Q1083" s="95">
        <f t="shared" ref="Q1083:Q1145" si="304">N1083-O1083</f>
        <v>0</v>
      </c>
      <c r="R1083" s="96"/>
      <c r="S1083" s="97">
        <f t="shared" ref="S1083:S1145" si="305">U1083+Y1083+W1083+AA1083</f>
        <v>0</v>
      </c>
      <c r="T1083" s="98">
        <f t="shared" si="300"/>
        <v>0</v>
      </c>
    </row>
    <row r="1084" spans="2:31" ht="20.100000000000001" customHeight="1">
      <c r="B1084" s="88">
        <v>9</v>
      </c>
      <c r="C1084" s="89" t="s">
        <v>2130</v>
      </c>
      <c r="D1084" s="90" t="s">
        <v>2552</v>
      </c>
      <c r="E1084" s="91" t="s">
        <v>2553</v>
      </c>
      <c r="F1084" s="315">
        <v>5.74</v>
      </c>
      <c r="G1084" s="260">
        <v>2</v>
      </c>
      <c r="H1084" s="260"/>
      <c r="I1084" s="309"/>
      <c r="J1084" s="199"/>
      <c r="K1084" s="269"/>
      <c r="L1084" s="93">
        <f t="shared" si="299"/>
        <v>2</v>
      </c>
      <c r="M1084" s="183">
        <v>2</v>
      </c>
      <c r="N1084" s="95">
        <f t="shared" si="301"/>
        <v>11.48</v>
      </c>
      <c r="O1084" s="95">
        <f t="shared" si="302"/>
        <v>11.48</v>
      </c>
      <c r="P1084" s="94">
        <f t="shared" si="303"/>
        <v>0</v>
      </c>
      <c r="Q1084" s="95">
        <f t="shared" si="304"/>
        <v>0</v>
      </c>
      <c r="R1084" s="96"/>
      <c r="S1084" s="97">
        <f t="shared" si="305"/>
        <v>2</v>
      </c>
      <c r="T1084" s="98">
        <f t="shared" si="300"/>
        <v>0</v>
      </c>
      <c r="U1084">
        <v>2</v>
      </c>
    </row>
    <row r="1085" spans="2:31" ht="20.100000000000001" customHeight="1">
      <c r="B1085" s="88">
        <v>9</v>
      </c>
      <c r="C1085" s="89" t="s">
        <v>2130</v>
      </c>
      <c r="D1085" s="90" t="s">
        <v>2554</v>
      </c>
      <c r="E1085" s="91" t="s">
        <v>2555</v>
      </c>
      <c r="F1085" s="315">
        <v>43.23</v>
      </c>
      <c r="G1085" s="260"/>
      <c r="H1085" s="260"/>
      <c r="I1085" s="309"/>
      <c r="J1085" s="199"/>
      <c r="K1085" s="269"/>
      <c r="L1085" s="93">
        <f t="shared" si="299"/>
        <v>0</v>
      </c>
      <c r="M1085" s="183"/>
      <c r="N1085" s="95">
        <f t="shared" si="301"/>
        <v>0</v>
      </c>
      <c r="O1085" s="95">
        <f t="shared" si="302"/>
        <v>0</v>
      </c>
      <c r="P1085" s="94">
        <f t="shared" si="303"/>
        <v>0</v>
      </c>
      <c r="Q1085" s="95">
        <f t="shared" si="304"/>
        <v>0</v>
      </c>
      <c r="R1085" s="96"/>
      <c r="S1085" s="97">
        <f t="shared" si="305"/>
        <v>0</v>
      </c>
      <c r="T1085" s="98">
        <f t="shared" si="300"/>
        <v>0</v>
      </c>
    </row>
    <row r="1086" spans="2:31" ht="20.100000000000001" customHeight="1">
      <c r="B1086" s="88">
        <v>9</v>
      </c>
      <c r="C1086" s="89" t="s">
        <v>2130</v>
      </c>
      <c r="D1086" s="90" t="s">
        <v>2556</v>
      </c>
      <c r="E1086" s="91" t="s">
        <v>2557</v>
      </c>
      <c r="F1086" s="315">
        <v>79.42</v>
      </c>
      <c r="G1086" s="260">
        <v>3</v>
      </c>
      <c r="H1086" s="260"/>
      <c r="I1086" s="309"/>
      <c r="J1086" s="199"/>
      <c r="K1086" s="269"/>
      <c r="L1086" s="93">
        <f t="shared" si="299"/>
        <v>3</v>
      </c>
      <c r="M1086" s="183">
        <v>3</v>
      </c>
      <c r="N1086" s="95">
        <f t="shared" si="301"/>
        <v>238.26</v>
      </c>
      <c r="O1086" s="95">
        <f t="shared" si="302"/>
        <v>238.26</v>
      </c>
      <c r="P1086" s="94">
        <f t="shared" si="303"/>
        <v>0</v>
      </c>
      <c r="Q1086" s="95">
        <f t="shared" si="304"/>
        <v>0</v>
      </c>
      <c r="R1086" s="96"/>
      <c r="S1086" s="97">
        <f t="shared" si="305"/>
        <v>3</v>
      </c>
      <c r="T1086" s="98">
        <f t="shared" si="300"/>
        <v>0</v>
      </c>
      <c r="U1086">
        <v>2</v>
      </c>
      <c r="AA1086">
        <v>1</v>
      </c>
      <c r="AB1086" s="99" t="s">
        <v>1466</v>
      </c>
      <c r="AD1086">
        <f>AA1086</f>
        <v>1</v>
      </c>
      <c r="AE1086">
        <f>AD1086*F1086</f>
        <v>79.42</v>
      </c>
    </row>
    <row r="1087" spans="2:31" ht="20.100000000000001" customHeight="1">
      <c r="B1087" s="88">
        <v>9</v>
      </c>
      <c r="C1087" s="89" t="s">
        <v>2130</v>
      </c>
      <c r="D1087" s="90" t="s">
        <v>2558</v>
      </c>
      <c r="E1087" s="91" t="s">
        <v>2559</v>
      </c>
      <c r="F1087" s="315">
        <v>14.81</v>
      </c>
      <c r="G1087" s="260">
        <v>2</v>
      </c>
      <c r="H1087" s="260"/>
      <c r="I1087" s="309"/>
      <c r="J1087" s="199"/>
      <c r="K1087" s="269"/>
      <c r="L1087" s="93">
        <f t="shared" si="299"/>
        <v>2</v>
      </c>
      <c r="M1087" s="183">
        <v>2</v>
      </c>
      <c r="N1087" s="95">
        <f t="shared" si="301"/>
        <v>29.62</v>
      </c>
      <c r="O1087" s="95">
        <f t="shared" si="302"/>
        <v>29.62</v>
      </c>
      <c r="P1087" s="94">
        <f t="shared" si="303"/>
        <v>0</v>
      </c>
      <c r="Q1087" s="95">
        <f t="shared" si="304"/>
        <v>0</v>
      </c>
      <c r="R1087" s="96"/>
      <c r="S1087" s="97">
        <f t="shared" si="305"/>
        <v>2</v>
      </c>
      <c r="T1087" s="98">
        <f t="shared" si="300"/>
        <v>0</v>
      </c>
      <c r="AA1087">
        <v>2</v>
      </c>
      <c r="AB1087" s="99" t="s">
        <v>2560</v>
      </c>
      <c r="AD1087">
        <f>AA1087</f>
        <v>2</v>
      </c>
      <c r="AE1087">
        <f>AD1087*F1087</f>
        <v>29.62</v>
      </c>
    </row>
    <row r="1088" spans="2:31" ht="20.100000000000001" customHeight="1">
      <c r="B1088" s="88">
        <v>9</v>
      </c>
      <c r="C1088" s="89" t="s">
        <v>2130</v>
      </c>
      <c r="D1088" s="90" t="s">
        <v>2561</v>
      </c>
      <c r="E1088" s="91" t="s">
        <v>2562</v>
      </c>
      <c r="F1088" s="315">
        <v>24.04</v>
      </c>
      <c r="G1088" s="260"/>
      <c r="H1088" s="260"/>
      <c r="I1088" s="309"/>
      <c r="J1088" s="199"/>
      <c r="K1088" s="269"/>
      <c r="L1088" s="93">
        <f t="shared" si="299"/>
        <v>0</v>
      </c>
      <c r="M1088" s="183"/>
      <c r="N1088" s="95">
        <f t="shared" si="301"/>
        <v>0</v>
      </c>
      <c r="O1088" s="95">
        <f t="shared" si="302"/>
        <v>0</v>
      </c>
      <c r="P1088" s="94">
        <f t="shared" si="303"/>
        <v>0</v>
      </c>
      <c r="Q1088" s="95">
        <f t="shared" si="304"/>
        <v>0</v>
      </c>
      <c r="R1088" s="96"/>
      <c r="S1088" s="97">
        <f t="shared" si="305"/>
        <v>0</v>
      </c>
      <c r="T1088" s="98">
        <f t="shared" si="300"/>
        <v>0</v>
      </c>
    </row>
    <row r="1089" spans="2:31" ht="20.100000000000001" customHeight="1">
      <c r="B1089" s="88">
        <v>9</v>
      </c>
      <c r="C1089" s="89" t="s">
        <v>2130</v>
      </c>
      <c r="D1089" s="90" t="s">
        <v>2563</v>
      </c>
      <c r="E1089" s="91" t="s">
        <v>2564</v>
      </c>
      <c r="F1089" s="315">
        <v>30.24</v>
      </c>
      <c r="G1089" s="260"/>
      <c r="H1089" s="260"/>
      <c r="I1089" s="309"/>
      <c r="J1089" s="199"/>
      <c r="K1089" s="269"/>
      <c r="L1089" s="93">
        <f t="shared" si="299"/>
        <v>0</v>
      </c>
      <c r="M1089" s="183"/>
      <c r="N1089" s="95">
        <f t="shared" si="301"/>
        <v>0</v>
      </c>
      <c r="O1089" s="95">
        <f t="shared" si="302"/>
        <v>0</v>
      </c>
      <c r="P1089" s="94">
        <f t="shared" si="303"/>
        <v>0</v>
      </c>
      <c r="Q1089" s="95">
        <f t="shared" si="304"/>
        <v>0</v>
      </c>
      <c r="R1089" s="96"/>
      <c r="S1089" s="97">
        <f t="shared" si="305"/>
        <v>0</v>
      </c>
      <c r="T1089" s="98">
        <f t="shared" si="300"/>
        <v>0</v>
      </c>
    </row>
    <row r="1090" spans="2:31" ht="20.100000000000001" customHeight="1">
      <c r="B1090" s="88">
        <v>9</v>
      </c>
      <c r="C1090" s="89" t="s">
        <v>2130</v>
      </c>
      <c r="D1090" s="90" t="s">
        <v>2565</v>
      </c>
      <c r="E1090" s="91" t="s">
        <v>2566</v>
      </c>
      <c r="F1090" s="315">
        <v>58.77</v>
      </c>
      <c r="G1090" s="260"/>
      <c r="H1090" s="260"/>
      <c r="I1090" s="309"/>
      <c r="J1090" s="199"/>
      <c r="K1090" s="269"/>
      <c r="L1090" s="93">
        <f t="shared" si="299"/>
        <v>0</v>
      </c>
      <c r="M1090" s="183"/>
      <c r="N1090" s="95">
        <f t="shared" si="301"/>
        <v>0</v>
      </c>
      <c r="O1090" s="95">
        <f t="shared" si="302"/>
        <v>0</v>
      </c>
      <c r="P1090" s="94">
        <f t="shared" si="303"/>
        <v>0</v>
      </c>
      <c r="Q1090" s="95">
        <f t="shared" si="304"/>
        <v>0</v>
      </c>
      <c r="R1090" s="96"/>
      <c r="S1090" s="97">
        <f t="shared" si="305"/>
        <v>0</v>
      </c>
      <c r="T1090" s="98">
        <f t="shared" si="300"/>
        <v>0</v>
      </c>
    </row>
    <row r="1091" spans="2:31" ht="20.100000000000001" customHeight="1">
      <c r="B1091" s="88">
        <v>9</v>
      </c>
      <c r="C1091" s="89" t="s">
        <v>2130</v>
      </c>
      <c r="D1091" s="90" t="s">
        <v>2567</v>
      </c>
      <c r="E1091" s="91" t="s">
        <v>2568</v>
      </c>
      <c r="F1091" s="315">
        <v>6.68</v>
      </c>
      <c r="G1091" s="260"/>
      <c r="H1091" s="260"/>
      <c r="I1091" s="309"/>
      <c r="J1091" s="199"/>
      <c r="K1091" s="269"/>
      <c r="L1091" s="93">
        <f t="shared" si="299"/>
        <v>0</v>
      </c>
      <c r="M1091" s="183"/>
      <c r="N1091" s="95">
        <f t="shared" si="301"/>
        <v>0</v>
      </c>
      <c r="O1091" s="95">
        <f t="shared" si="302"/>
        <v>0</v>
      </c>
      <c r="P1091" s="94">
        <f t="shared" si="303"/>
        <v>0</v>
      </c>
      <c r="Q1091" s="95">
        <f t="shared" si="304"/>
        <v>0</v>
      </c>
      <c r="R1091" s="96"/>
      <c r="S1091" s="97">
        <f t="shared" si="305"/>
        <v>0</v>
      </c>
      <c r="T1091" s="98">
        <f t="shared" si="300"/>
        <v>0</v>
      </c>
    </row>
    <row r="1092" spans="2:31" ht="20.100000000000001" customHeight="1">
      <c r="B1092" s="88">
        <v>9</v>
      </c>
      <c r="C1092" s="89" t="s">
        <v>2130</v>
      </c>
      <c r="D1092" s="90" t="s">
        <v>2569</v>
      </c>
      <c r="E1092" s="91" t="s">
        <v>2570</v>
      </c>
      <c r="F1092" s="315">
        <v>29.39</v>
      </c>
      <c r="G1092" s="260"/>
      <c r="H1092" s="260"/>
      <c r="I1092" s="309"/>
      <c r="J1092" s="199"/>
      <c r="K1092" s="269"/>
      <c r="L1092" s="93">
        <f t="shared" si="299"/>
        <v>0</v>
      </c>
      <c r="M1092" s="183"/>
      <c r="N1092" s="95">
        <f t="shared" si="301"/>
        <v>0</v>
      </c>
      <c r="O1092" s="95">
        <f t="shared" si="302"/>
        <v>0</v>
      </c>
      <c r="P1092" s="94">
        <f t="shared" si="303"/>
        <v>0</v>
      </c>
      <c r="Q1092" s="95">
        <f t="shared" si="304"/>
        <v>0</v>
      </c>
      <c r="R1092" s="96"/>
      <c r="S1092" s="97">
        <f t="shared" si="305"/>
        <v>0</v>
      </c>
      <c r="T1092" s="98">
        <f t="shared" si="300"/>
        <v>0</v>
      </c>
    </row>
    <row r="1093" spans="2:31" ht="20.100000000000001" customHeight="1">
      <c r="B1093" s="88">
        <v>9</v>
      </c>
      <c r="C1093" s="89" t="s">
        <v>2130</v>
      </c>
      <c r="D1093" s="90" t="s">
        <v>2571</v>
      </c>
      <c r="E1093" s="91" t="s">
        <v>2572</v>
      </c>
      <c r="F1093" s="315">
        <v>80.150000000000006</v>
      </c>
      <c r="G1093" s="260"/>
      <c r="H1093" s="260">
        <v>1</v>
      </c>
      <c r="I1093" s="309"/>
      <c r="J1093" s="199"/>
      <c r="K1093" s="269">
        <v>1</v>
      </c>
      <c r="L1093" s="93">
        <f t="shared" si="299"/>
        <v>0</v>
      </c>
      <c r="M1093" s="183"/>
      <c r="N1093" s="95">
        <f t="shared" si="301"/>
        <v>0</v>
      </c>
      <c r="O1093" s="95">
        <f t="shared" si="302"/>
        <v>0</v>
      </c>
      <c r="P1093" s="94">
        <f t="shared" si="303"/>
        <v>0</v>
      </c>
      <c r="Q1093" s="95">
        <f t="shared" si="304"/>
        <v>0</v>
      </c>
      <c r="R1093" s="278"/>
      <c r="S1093" s="97">
        <f t="shared" si="305"/>
        <v>0</v>
      </c>
      <c r="T1093" s="98">
        <f t="shared" si="300"/>
        <v>0</v>
      </c>
    </row>
    <row r="1094" spans="2:31" ht="20.100000000000001" customHeight="1">
      <c r="B1094" s="88">
        <v>9</v>
      </c>
      <c r="C1094" s="89" t="s">
        <v>2130</v>
      </c>
      <c r="D1094" s="90" t="s">
        <v>2573</v>
      </c>
      <c r="E1094" s="91" t="s">
        <v>2574</v>
      </c>
      <c r="F1094" s="315">
        <v>55.37</v>
      </c>
      <c r="G1094" s="260"/>
      <c r="H1094" s="260"/>
      <c r="I1094" s="309"/>
      <c r="J1094" s="199"/>
      <c r="K1094" s="269"/>
      <c r="L1094" s="93">
        <f t="shared" si="299"/>
        <v>0</v>
      </c>
      <c r="M1094" s="183"/>
      <c r="N1094" s="95">
        <f t="shared" si="301"/>
        <v>0</v>
      </c>
      <c r="O1094" s="95">
        <f t="shared" si="302"/>
        <v>0</v>
      </c>
      <c r="P1094" s="94">
        <f t="shared" si="303"/>
        <v>0</v>
      </c>
      <c r="Q1094" s="95">
        <f t="shared" si="304"/>
        <v>0</v>
      </c>
      <c r="R1094" s="96"/>
      <c r="S1094" s="97">
        <f t="shared" si="305"/>
        <v>1</v>
      </c>
      <c r="T1094" s="98">
        <f t="shared" si="300"/>
        <v>-1</v>
      </c>
      <c r="U1094">
        <v>1</v>
      </c>
    </row>
    <row r="1095" spans="2:31" ht="20.100000000000001" customHeight="1">
      <c r="B1095" s="88">
        <v>9</v>
      </c>
      <c r="C1095" s="89" t="s">
        <v>2130</v>
      </c>
      <c r="D1095" s="90" t="s">
        <v>2575</v>
      </c>
      <c r="E1095" s="91" t="s">
        <v>2576</v>
      </c>
      <c r="F1095" s="315">
        <v>42.26</v>
      </c>
      <c r="G1095" s="260"/>
      <c r="H1095" s="260"/>
      <c r="I1095" s="309"/>
      <c r="J1095" s="199"/>
      <c r="K1095" s="269"/>
      <c r="L1095" s="93">
        <f t="shared" si="299"/>
        <v>0</v>
      </c>
      <c r="M1095" s="183"/>
      <c r="N1095" s="95">
        <f t="shared" si="301"/>
        <v>0</v>
      </c>
      <c r="O1095" s="95">
        <f t="shared" si="302"/>
        <v>0</v>
      </c>
      <c r="P1095" s="94">
        <f t="shared" si="303"/>
        <v>0</v>
      </c>
      <c r="Q1095" s="95">
        <f t="shared" si="304"/>
        <v>0</v>
      </c>
      <c r="R1095" s="96"/>
      <c r="S1095" s="97">
        <f t="shared" si="305"/>
        <v>0</v>
      </c>
      <c r="T1095" s="98">
        <f t="shared" si="300"/>
        <v>0</v>
      </c>
    </row>
    <row r="1096" spans="2:31" ht="20.100000000000001" customHeight="1">
      <c r="B1096" s="88">
        <v>9</v>
      </c>
      <c r="C1096" s="89" t="s">
        <v>2130</v>
      </c>
      <c r="D1096" s="90" t="s">
        <v>2577</v>
      </c>
      <c r="E1096" s="91" t="s">
        <v>2578</v>
      </c>
      <c r="F1096" s="315">
        <v>5.79</v>
      </c>
      <c r="G1096" s="260">
        <v>4</v>
      </c>
      <c r="H1096" s="260"/>
      <c r="I1096" s="309"/>
      <c r="J1096" s="199"/>
      <c r="K1096" s="269">
        <v>2</v>
      </c>
      <c r="L1096" s="93">
        <f t="shared" si="299"/>
        <v>2</v>
      </c>
      <c r="M1096" s="183">
        <v>2</v>
      </c>
      <c r="N1096" s="95">
        <f t="shared" si="301"/>
        <v>11.58</v>
      </c>
      <c r="O1096" s="95">
        <f t="shared" si="302"/>
        <v>11.58</v>
      </c>
      <c r="P1096" s="94">
        <f t="shared" si="303"/>
        <v>0</v>
      </c>
      <c r="Q1096" s="95">
        <f t="shared" si="304"/>
        <v>0</v>
      </c>
      <c r="R1096" s="96"/>
      <c r="S1096" s="97">
        <f t="shared" si="305"/>
        <v>6</v>
      </c>
      <c r="T1096" s="98">
        <f t="shared" si="300"/>
        <v>-4</v>
      </c>
      <c r="U1096">
        <v>4</v>
      </c>
      <c r="AA1096">
        <v>2</v>
      </c>
      <c r="AB1096" t="s">
        <v>1322</v>
      </c>
      <c r="AD1096">
        <f>AA1096</f>
        <v>2</v>
      </c>
      <c r="AE1096">
        <f>AD1096*F1096</f>
        <v>11.58</v>
      </c>
    </row>
    <row r="1097" spans="2:31" ht="20.100000000000001" customHeight="1">
      <c r="B1097" s="88">
        <v>9</v>
      </c>
      <c r="C1097" s="89" t="s">
        <v>2130</v>
      </c>
      <c r="D1097" s="90" t="s">
        <v>2579</v>
      </c>
      <c r="E1097" s="91" t="s">
        <v>2580</v>
      </c>
      <c r="F1097" s="315">
        <v>4.7</v>
      </c>
      <c r="G1097" s="260">
        <v>15</v>
      </c>
      <c r="H1097" s="260"/>
      <c r="I1097" s="309"/>
      <c r="J1097" s="199"/>
      <c r="K1097" s="269"/>
      <c r="L1097" s="93">
        <f t="shared" si="299"/>
        <v>15</v>
      </c>
      <c r="M1097" s="183">
        <v>15</v>
      </c>
      <c r="N1097" s="95">
        <f t="shared" si="301"/>
        <v>70.5</v>
      </c>
      <c r="O1097" s="95">
        <f t="shared" si="302"/>
        <v>70.5</v>
      </c>
      <c r="P1097" s="94">
        <f t="shared" si="303"/>
        <v>0</v>
      </c>
      <c r="Q1097" s="95">
        <f t="shared" si="304"/>
        <v>0</v>
      </c>
      <c r="R1097" s="96"/>
      <c r="S1097" s="97">
        <f t="shared" si="305"/>
        <v>0</v>
      </c>
      <c r="T1097" s="98">
        <f t="shared" si="300"/>
        <v>15</v>
      </c>
    </row>
    <row r="1098" spans="2:31" ht="20.100000000000001" customHeight="1">
      <c r="B1098" s="88">
        <v>9</v>
      </c>
      <c r="C1098" s="89" t="s">
        <v>2130</v>
      </c>
      <c r="D1098" s="90" t="s">
        <v>2581</v>
      </c>
      <c r="E1098" s="91" t="s">
        <v>2582</v>
      </c>
      <c r="F1098" s="315">
        <v>6.73</v>
      </c>
      <c r="G1098" s="260">
        <v>31</v>
      </c>
      <c r="H1098" s="260"/>
      <c r="I1098" s="309"/>
      <c r="J1098" s="199"/>
      <c r="K1098" s="269"/>
      <c r="L1098" s="93">
        <f t="shared" si="299"/>
        <v>31</v>
      </c>
      <c r="M1098" s="183">
        <f>1+29</f>
        <v>30</v>
      </c>
      <c r="N1098" s="95">
        <f t="shared" si="301"/>
        <v>208.63000000000002</v>
      </c>
      <c r="O1098" s="95">
        <f t="shared" si="302"/>
        <v>201.9</v>
      </c>
      <c r="P1098" s="94">
        <f t="shared" si="303"/>
        <v>1</v>
      </c>
      <c r="Q1098" s="95">
        <f t="shared" si="304"/>
        <v>6.7300000000000182</v>
      </c>
      <c r="R1098" s="96"/>
      <c r="S1098" s="97">
        <f t="shared" si="305"/>
        <v>33</v>
      </c>
      <c r="T1098" s="98">
        <f t="shared" si="300"/>
        <v>-3</v>
      </c>
      <c r="U1098">
        <v>33</v>
      </c>
    </row>
    <row r="1099" spans="2:31" ht="20.100000000000001" customHeight="1">
      <c r="B1099" s="88">
        <v>9</v>
      </c>
      <c r="C1099" s="89" t="s">
        <v>2130</v>
      </c>
      <c r="D1099" s="90" t="s">
        <v>2581</v>
      </c>
      <c r="E1099" s="91" t="s">
        <v>2582</v>
      </c>
      <c r="F1099" s="315">
        <v>6.73</v>
      </c>
      <c r="G1099" s="260"/>
      <c r="H1099" s="260"/>
      <c r="I1099" s="309"/>
      <c r="J1099" s="199"/>
      <c r="K1099" s="269"/>
      <c r="L1099" s="93">
        <f t="shared" si="299"/>
        <v>0</v>
      </c>
      <c r="M1099" s="183"/>
      <c r="N1099" s="95">
        <f t="shared" si="301"/>
        <v>0</v>
      </c>
      <c r="O1099" s="95">
        <f t="shared" si="302"/>
        <v>0</v>
      </c>
      <c r="P1099" s="94">
        <f t="shared" si="303"/>
        <v>0</v>
      </c>
      <c r="Q1099" s="95">
        <f t="shared" si="304"/>
        <v>0</v>
      </c>
      <c r="R1099" s="96"/>
      <c r="S1099" s="97">
        <f t="shared" si="305"/>
        <v>0</v>
      </c>
      <c r="T1099" s="98">
        <f t="shared" si="300"/>
        <v>0</v>
      </c>
    </row>
    <row r="1100" spans="2:31" ht="20.100000000000001" customHeight="1">
      <c r="B1100" s="88">
        <v>9</v>
      </c>
      <c r="C1100" s="89" t="s">
        <v>2130</v>
      </c>
      <c r="D1100" s="90" t="s">
        <v>2583</v>
      </c>
      <c r="E1100" s="91" t="s">
        <v>2584</v>
      </c>
      <c r="F1100" s="315">
        <v>64.97</v>
      </c>
      <c r="G1100" s="260"/>
      <c r="H1100" s="260"/>
      <c r="I1100" s="309"/>
      <c r="J1100" s="199"/>
      <c r="K1100" s="269"/>
      <c r="L1100" s="93">
        <f t="shared" si="299"/>
        <v>0</v>
      </c>
      <c r="M1100" s="183"/>
      <c r="N1100" s="95">
        <f t="shared" si="301"/>
        <v>0</v>
      </c>
      <c r="O1100" s="95">
        <f t="shared" si="302"/>
        <v>0</v>
      </c>
      <c r="P1100" s="94">
        <f t="shared" si="303"/>
        <v>0</v>
      </c>
      <c r="Q1100" s="95">
        <f t="shared" si="304"/>
        <v>0</v>
      </c>
      <c r="R1100" s="96"/>
      <c r="S1100" s="97">
        <f t="shared" si="305"/>
        <v>0</v>
      </c>
      <c r="T1100" s="98">
        <f t="shared" si="300"/>
        <v>0</v>
      </c>
    </row>
    <row r="1101" spans="2:31" ht="20.100000000000001" customHeight="1">
      <c r="B1101" s="88">
        <v>9</v>
      </c>
      <c r="C1101" s="89" t="s">
        <v>2130</v>
      </c>
      <c r="D1101" s="90" t="s">
        <v>2585</v>
      </c>
      <c r="E1101" s="91" t="s">
        <v>2586</v>
      </c>
      <c r="F1101" s="315">
        <v>6.6</v>
      </c>
      <c r="G1101" s="260">
        <v>27</v>
      </c>
      <c r="H1101" s="260"/>
      <c r="I1101" s="309"/>
      <c r="J1101" s="199"/>
      <c r="K1101" s="269">
        <v>1</v>
      </c>
      <c r="L1101" s="93">
        <f t="shared" si="299"/>
        <v>26</v>
      </c>
      <c r="M1101" s="183">
        <v>26</v>
      </c>
      <c r="N1101" s="95">
        <f t="shared" si="301"/>
        <v>171.6</v>
      </c>
      <c r="O1101" s="95">
        <f t="shared" si="302"/>
        <v>171.6</v>
      </c>
      <c r="P1101" s="94">
        <f t="shared" si="303"/>
        <v>0</v>
      </c>
      <c r="Q1101" s="95">
        <f t="shared" si="304"/>
        <v>0</v>
      </c>
      <c r="R1101" s="96" t="s">
        <v>2587</v>
      </c>
      <c r="S1101" s="97">
        <f t="shared" si="305"/>
        <v>27</v>
      </c>
      <c r="T1101" s="98">
        <f t="shared" si="300"/>
        <v>-1</v>
      </c>
      <c r="U1101">
        <f>26+1</f>
        <v>27</v>
      </c>
      <c r="V1101" s="99" t="s">
        <v>2588</v>
      </c>
      <c r="AD1101">
        <v>1</v>
      </c>
      <c r="AE1101">
        <f>AD1101*F1101</f>
        <v>6.6</v>
      </c>
    </row>
    <row r="1102" spans="2:31" ht="20.100000000000001" customHeight="1">
      <c r="B1102" s="88">
        <v>9</v>
      </c>
      <c r="C1102" s="89" t="s">
        <v>2130</v>
      </c>
      <c r="D1102" s="90" t="s">
        <v>2589</v>
      </c>
      <c r="E1102" s="91" t="s">
        <v>2590</v>
      </c>
      <c r="F1102" s="315">
        <v>6.6</v>
      </c>
      <c r="G1102" s="260">
        <v>11</v>
      </c>
      <c r="H1102" s="260"/>
      <c r="I1102" s="309"/>
      <c r="J1102" s="199"/>
      <c r="K1102" s="269">
        <v>2</v>
      </c>
      <c r="L1102" s="93">
        <f t="shared" si="299"/>
        <v>9</v>
      </c>
      <c r="M1102" s="183">
        <f>7+3</f>
        <v>10</v>
      </c>
      <c r="N1102" s="95">
        <f t="shared" si="301"/>
        <v>59.4</v>
      </c>
      <c r="O1102" s="95">
        <f t="shared" si="302"/>
        <v>66</v>
      </c>
      <c r="P1102" s="94">
        <f t="shared" si="303"/>
        <v>-1</v>
      </c>
      <c r="Q1102" s="95">
        <f t="shared" si="304"/>
        <v>-6.6000000000000014</v>
      </c>
      <c r="R1102" s="278"/>
      <c r="S1102" s="97">
        <f t="shared" si="305"/>
        <v>11</v>
      </c>
      <c r="T1102" s="98">
        <f t="shared" si="300"/>
        <v>-1</v>
      </c>
      <c r="U1102">
        <f>3+8</f>
        <v>11</v>
      </c>
      <c r="V1102" s="99" t="s">
        <v>2591</v>
      </c>
      <c r="AD1102">
        <v>8</v>
      </c>
      <c r="AE1102" s="100">
        <f>AD1102*F1102</f>
        <v>52.8</v>
      </c>
    </row>
    <row r="1103" spans="2:31" ht="20.100000000000001" customHeight="1">
      <c r="B1103" s="88">
        <v>9</v>
      </c>
      <c r="C1103" s="89" t="s">
        <v>2130</v>
      </c>
      <c r="D1103" s="90" t="s">
        <v>2592</v>
      </c>
      <c r="E1103" s="91" t="s">
        <v>2593</v>
      </c>
      <c r="F1103" s="315">
        <v>6.73</v>
      </c>
      <c r="G1103" s="260">
        <v>22</v>
      </c>
      <c r="H1103" s="260"/>
      <c r="I1103" s="309"/>
      <c r="J1103" s="199"/>
      <c r="K1103" s="269">
        <v>1</v>
      </c>
      <c r="L1103" s="93">
        <f t="shared" si="299"/>
        <v>21</v>
      </c>
      <c r="M1103" s="183">
        <v>21</v>
      </c>
      <c r="N1103" s="95">
        <f t="shared" si="301"/>
        <v>141.33000000000001</v>
      </c>
      <c r="O1103" s="95">
        <f t="shared" si="302"/>
        <v>141.33000000000001</v>
      </c>
      <c r="P1103" s="94">
        <f t="shared" si="303"/>
        <v>0</v>
      </c>
      <c r="Q1103" s="95">
        <f t="shared" si="304"/>
        <v>0</v>
      </c>
      <c r="R1103" s="96"/>
      <c r="S1103" s="97">
        <f t="shared" si="305"/>
        <v>23</v>
      </c>
      <c r="T1103" s="98">
        <f t="shared" si="300"/>
        <v>-2</v>
      </c>
      <c r="U1103">
        <f>4+19</f>
        <v>23</v>
      </c>
    </row>
    <row r="1104" spans="2:31" ht="20.100000000000001" customHeight="1">
      <c r="B1104" s="88">
        <v>9</v>
      </c>
      <c r="C1104" s="89" t="s">
        <v>2130</v>
      </c>
      <c r="D1104" s="90" t="s">
        <v>2594</v>
      </c>
      <c r="E1104" s="91" t="s">
        <v>2595</v>
      </c>
      <c r="F1104" s="315">
        <v>6.73</v>
      </c>
      <c r="G1104" s="260">
        <v>30</v>
      </c>
      <c r="H1104" s="260"/>
      <c r="I1104" s="309"/>
      <c r="J1104" s="199"/>
      <c r="K1104" s="269">
        <v>1</v>
      </c>
      <c r="L1104" s="93">
        <f t="shared" si="299"/>
        <v>29</v>
      </c>
      <c r="M1104" s="183">
        <v>29</v>
      </c>
      <c r="N1104" s="95">
        <f t="shared" si="301"/>
        <v>195.17000000000002</v>
      </c>
      <c r="O1104" s="95">
        <f t="shared" si="302"/>
        <v>195.17000000000002</v>
      </c>
      <c r="P1104" s="94">
        <f t="shared" si="303"/>
        <v>0</v>
      </c>
      <c r="Q1104" s="95">
        <f t="shared" si="304"/>
        <v>0</v>
      </c>
      <c r="R1104" s="96"/>
      <c r="S1104" s="97">
        <f t="shared" si="305"/>
        <v>35</v>
      </c>
      <c r="T1104" s="98">
        <f t="shared" si="300"/>
        <v>-6</v>
      </c>
      <c r="U1104">
        <f>17+18</f>
        <v>35</v>
      </c>
    </row>
    <row r="1105" spans="2:31" ht="20.100000000000001" customHeight="1">
      <c r="B1105" s="88">
        <v>9</v>
      </c>
      <c r="C1105" s="89" t="s">
        <v>2130</v>
      </c>
      <c r="D1105" s="90" t="s">
        <v>2596</v>
      </c>
      <c r="E1105" s="91" t="s">
        <v>2597</v>
      </c>
      <c r="F1105" s="315">
        <v>64.98</v>
      </c>
      <c r="G1105" s="260">
        <v>1</v>
      </c>
      <c r="H1105" s="260"/>
      <c r="I1105" s="309"/>
      <c r="J1105" s="199"/>
      <c r="K1105" s="269">
        <v>1</v>
      </c>
      <c r="L1105" s="93">
        <f t="shared" si="299"/>
        <v>0</v>
      </c>
      <c r="M1105" s="183"/>
      <c r="N1105" s="95">
        <f t="shared" si="301"/>
        <v>0</v>
      </c>
      <c r="O1105" s="95">
        <f t="shared" si="302"/>
        <v>0</v>
      </c>
      <c r="P1105" s="94">
        <f t="shared" si="303"/>
        <v>0</v>
      </c>
      <c r="Q1105" s="95">
        <f t="shared" si="304"/>
        <v>0</v>
      </c>
      <c r="R1105" s="96"/>
      <c r="S1105" s="97">
        <f t="shared" si="305"/>
        <v>1</v>
      </c>
      <c r="T1105" s="98">
        <f t="shared" si="300"/>
        <v>-1</v>
      </c>
      <c r="U1105">
        <v>1</v>
      </c>
    </row>
    <row r="1106" spans="2:31" ht="20.100000000000001" customHeight="1">
      <c r="B1106" s="88">
        <v>9</v>
      </c>
      <c r="C1106" s="89" t="s">
        <v>2130</v>
      </c>
      <c r="D1106" s="90" t="s">
        <v>2598</v>
      </c>
      <c r="E1106" s="91" t="s">
        <v>2599</v>
      </c>
      <c r="F1106" s="315">
        <v>121.12</v>
      </c>
      <c r="G1106" s="260">
        <v>1</v>
      </c>
      <c r="H1106" s="260"/>
      <c r="I1106" s="309"/>
      <c r="J1106" s="199"/>
      <c r="K1106" s="269"/>
      <c r="L1106" s="93">
        <f t="shared" si="299"/>
        <v>1</v>
      </c>
      <c r="M1106" s="183">
        <v>1</v>
      </c>
      <c r="N1106" s="95">
        <f t="shared" si="301"/>
        <v>121.12</v>
      </c>
      <c r="O1106" s="95">
        <f t="shared" si="302"/>
        <v>121.12</v>
      </c>
      <c r="P1106" s="94">
        <f t="shared" si="303"/>
        <v>0</v>
      </c>
      <c r="Q1106" s="95">
        <f t="shared" si="304"/>
        <v>0</v>
      </c>
      <c r="R1106" s="96"/>
      <c r="S1106" s="97">
        <f t="shared" si="305"/>
        <v>1</v>
      </c>
      <c r="T1106" s="98">
        <f t="shared" si="300"/>
        <v>0</v>
      </c>
      <c r="U1106">
        <v>1</v>
      </c>
    </row>
    <row r="1107" spans="2:31" ht="20.100000000000001" customHeight="1">
      <c r="B1107" s="88">
        <v>9</v>
      </c>
      <c r="C1107" s="89" t="s">
        <v>2130</v>
      </c>
      <c r="D1107" s="90" t="s">
        <v>2600</v>
      </c>
      <c r="E1107" s="91" t="s">
        <v>2601</v>
      </c>
      <c r="F1107" s="315">
        <v>81.39</v>
      </c>
      <c r="G1107" s="260">
        <v>10</v>
      </c>
      <c r="H1107" s="260"/>
      <c r="I1107" s="309"/>
      <c r="J1107" s="199"/>
      <c r="K1107" s="269"/>
      <c r="L1107" s="93">
        <f t="shared" si="299"/>
        <v>10</v>
      </c>
      <c r="M1107" s="183">
        <v>10</v>
      </c>
      <c r="N1107" s="95">
        <f t="shared" si="301"/>
        <v>813.9</v>
      </c>
      <c r="O1107" s="95">
        <f t="shared" si="302"/>
        <v>813.9</v>
      </c>
      <c r="P1107" s="94">
        <f t="shared" si="303"/>
        <v>0</v>
      </c>
      <c r="Q1107" s="95">
        <f t="shared" si="304"/>
        <v>0</v>
      </c>
      <c r="R1107" s="96"/>
      <c r="S1107" s="97">
        <f t="shared" si="305"/>
        <v>10</v>
      </c>
      <c r="T1107" s="98">
        <f t="shared" si="300"/>
        <v>0</v>
      </c>
      <c r="U1107">
        <v>10</v>
      </c>
    </row>
    <row r="1108" spans="2:31" ht="20.100000000000001" customHeight="1">
      <c r="B1108" s="88">
        <v>9</v>
      </c>
      <c r="C1108" s="89" t="s">
        <v>2130</v>
      </c>
      <c r="D1108" s="90" t="s">
        <v>2602</v>
      </c>
      <c r="E1108" s="91" t="s">
        <v>2603</v>
      </c>
      <c r="F1108" s="315">
        <v>75.47</v>
      </c>
      <c r="G1108" s="260">
        <v>1</v>
      </c>
      <c r="H1108" s="260"/>
      <c r="I1108" s="309"/>
      <c r="J1108" s="199"/>
      <c r="K1108" s="269"/>
      <c r="L1108" s="93">
        <f t="shared" si="299"/>
        <v>1</v>
      </c>
      <c r="M1108" s="183">
        <v>1</v>
      </c>
      <c r="N1108" s="95">
        <f t="shared" si="301"/>
        <v>75.47</v>
      </c>
      <c r="O1108" s="95">
        <f t="shared" si="302"/>
        <v>75.47</v>
      </c>
      <c r="P1108" s="94">
        <f t="shared" si="303"/>
        <v>0</v>
      </c>
      <c r="Q1108" s="95">
        <f t="shared" si="304"/>
        <v>0</v>
      </c>
      <c r="R1108" s="96"/>
      <c r="S1108" s="97">
        <f t="shared" si="305"/>
        <v>1</v>
      </c>
      <c r="T1108" s="98">
        <f t="shared" si="300"/>
        <v>0</v>
      </c>
      <c r="Y1108">
        <v>1</v>
      </c>
      <c r="Z1108" s="99" t="s">
        <v>2604</v>
      </c>
      <c r="AD1108">
        <f>Y1108</f>
        <v>1</v>
      </c>
      <c r="AE1108" s="100">
        <f>AD1108*F1108</f>
        <v>75.47</v>
      </c>
    </row>
    <row r="1109" spans="2:31" ht="20.100000000000001" customHeight="1">
      <c r="B1109" s="88">
        <v>9</v>
      </c>
      <c r="C1109" s="89" t="s">
        <v>2130</v>
      </c>
      <c r="D1109" s="90" t="s">
        <v>2605</v>
      </c>
      <c r="E1109" s="91" t="s">
        <v>2606</v>
      </c>
      <c r="F1109" s="315">
        <v>55.86</v>
      </c>
      <c r="G1109" s="260">
        <v>10</v>
      </c>
      <c r="H1109" s="260"/>
      <c r="I1109" s="309"/>
      <c r="J1109" s="199"/>
      <c r="K1109" s="269"/>
      <c r="L1109" s="93">
        <f t="shared" si="299"/>
        <v>10</v>
      </c>
      <c r="M1109" s="183">
        <v>10</v>
      </c>
      <c r="N1109" s="95">
        <f t="shared" si="301"/>
        <v>558.6</v>
      </c>
      <c r="O1109" s="95">
        <f t="shared" si="302"/>
        <v>558.6</v>
      </c>
      <c r="P1109" s="94">
        <f t="shared" si="303"/>
        <v>0</v>
      </c>
      <c r="Q1109" s="95">
        <f t="shared" si="304"/>
        <v>0</v>
      </c>
      <c r="R1109" s="96"/>
      <c r="S1109" s="97">
        <f t="shared" si="305"/>
        <v>10</v>
      </c>
      <c r="T1109" s="98">
        <f t="shared" si="300"/>
        <v>0</v>
      </c>
      <c r="U1109">
        <v>10</v>
      </c>
    </row>
    <row r="1110" spans="2:31" ht="20.100000000000001" customHeight="1">
      <c r="B1110" s="88">
        <v>9</v>
      </c>
      <c r="C1110" s="89" t="s">
        <v>2130</v>
      </c>
      <c r="D1110" s="90" t="s">
        <v>2607</v>
      </c>
      <c r="E1110" s="91" t="s">
        <v>2608</v>
      </c>
      <c r="F1110" s="315">
        <v>47.2</v>
      </c>
      <c r="G1110" s="260">
        <v>39</v>
      </c>
      <c r="H1110" s="260"/>
      <c r="I1110" s="309"/>
      <c r="J1110" s="199"/>
      <c r="K1110" s="269">
        <v>1</v>
      </c>
      <c r="L1110" s="93">
        <f t="shared" si="299"/>
        <v>38</v>
      </c>
      <c r="M1110" s="183">
        <f>3+36</f>
        <v>39</v>
      </c>
      <c r="N1110" s="95">
        <f t="shared" si="301"/>
        <v>1793.6000000000001</v>
      </c>
      <c r="O1110" s="95">
        <f t="shared" si="302"/>
        <v>1840.8000000000002</v>
      </c>
      <c r="P1110" s="94">
        <f t="shared" si="303"/>
        <v>-1</v>
      </c>
      <c r="Q1110" s="95">
        <f t="shared" si="304"/>
        <v>-47.200000000000045</v>
      </c>
      <c r="R1110" s="96"/>
      <c r="S1110" s="97">
        <f t="shared" si="305"/>
        <v>40</v>
      </c>
      <c r="T1110" s="98">
        <f t="shared" si="300"/>
        <v>-1</v>
      </c>
      <c r="U1110">
        <v>4</v>
      </c>
      <c r="Y1110">
        <v>36</v>
      </c>
    </row>
    <row r="1111" spans="2:31" ht="20.100000000000001" customHeight="1">
      <c r="B1111" s="88">
        <v>9</v>
      </c>
      <c r="C1111" s="89" t="s">
        <v>2130</v>
      </c>
      <c r="D1111" s="90" t="s">
        <v>2609</v>
      </c>
      <c r="E1111" s="91" t="s">
        <v>2610</v>
      </c>
      <c r="F1111" s="315">
        <v>79.22</v>
      </c>
      <c r="G1111" s="260">
        <v>12</v>
      </c>
      <c r="H1111" s="260"/>
      <c r="I1111" s="309"/>
      <c r="J1111" s="199"/>
      <c r="K1111" s="269"/>
      <c r="L1111" s="93">
        <f t="shared" si="299"/>
        <v>12</v>
      </c>
      <c r="M1111" s="183">
        <v>12</v>
      </c>
      <c r="N1111" s="95">
        <f t="shared" si="301"/>
        <v>950.64</v>
      </c>
      <c r="O1111" s="95">
        <f t="shared" si="302"/>
        <v>950.64</v>
      </c>
      <c r="P1111" s="94">
        <f t="shared" si="303"/>
        <v>0</v>
      </c>
      <c r="Q1111" s="95">
        <f t="shared" si="304"/>
        <v>0</v>
      </c>
      <c r="R1111" s="96"/>
      <c r="S1111" s="97">
        <f t="shared" si="305"/>
        <v>12</v>
      </c>
      <c r="T1111" s="98">
        <f t="shared" si="300"/>
        <v>0</v>
      </c>
      <c r="Y1111">
        <v>12</v>
      </c>
    </row>
    <row r="1112" spans="2:31" ht="20.100000000000001" customHeight="1">
      <c r="B1112" s="88">
        <v>9</v>
      </c>
      <c r="C1112" s="89" t="s">
        <v>2130</v>
      </c>
      <c r="D1112" s="90" t="s">
        <v>2611</v>
      </c>
      <c r="E1112" s="91" t="s">
        <v>2612</v>
      </c>
      <c r="F1112" s="315">
        <v>36.840000000000003</v>
      </c>
      <c r="G1112" s="260">
        <v>23</v>
      </c>
      <c r="H1112" s="260"/>
      <c r="I1112" s="309"/>
      <c r="J1112" s="199"/>
      <c r="K1112" s="269"/>
      <c r="L1112" s="93">
        <f t="shared" si="299"/>
        <v>23</v>
      </c>
      <c r="M1112" s="183">
        <v>23</v>
      </c>
      <c r="N1112" s="95">
        <f t="shared" si="301"/>
        <v>847.32</v>
      </c>
      <c r="O1112" s="95">
        <f t="shared" si="302"/>
        <v>847.32</v>
      </c>
      <c r="P1112" s="94">
        <f t="shared" si="303"/>
        <v>0</v>
      </c>
      <c r="Q1112" s="95">
        <f t="shared" si="304"/>
        <v>0</v>
      </c>
      <c r="R1112" s="96"/>
      <c r="S1112" s="97">
        <f t="shared" si="305"/>
        <v>23</v>
      </c>
      <c r="T1112" s="98">
        <f t="shared" si="300"/>
        <v>0</v>
      </c>
      <c r="U1112">
        <v>23</v>
      </c>
    </row>
    <row r="1113" spans="2:31" ht="20.100000000000001" customHeight="1">
      <c r="B1113" s="88">
        <v>9</v>
      </c>
      <c r="C1113" s="89" t="s">
        <v>2130</v>
      </c>
      <c r="D1113" s="90" t="s">
        <v>2613</v>
      </c>
      <c r="E1113" s="91" t="s">
        <v>2614</v>
      </c>
      <c r="F1113" s="315">
        <v>180.11</v>
      </c>
      <c r="G1113" s="260">
        <v>6</v>
      </c>
      <c r="H1113" s="260"/>
      <c r="I1113" s="309"/>
      <c r="J1113" s="199"/>
      <c r="K1113" s="269"/>
      <c r="L1113" s="93">
        <f t="shared" si="299"/>
        <v>6</v>
      </c>
      <c r="M1113" s="183">
        <v>6</v>
      </c>
      <c r="N1113" s="95">
        <f t="shared" si="301"/>
        <v>1080.6600000000001</v>
      </c>
      <c r="O1113" s="95">
        <f t="shared" si="302"/>
        <v>1080.6600000000001</v>
      </c>
      <c r="P1113" s="94">
        <f t="shared" si="303"/>
        <v>0</v>
      </c>
      <c r="Q1113" s="95">
        <f t="shared" si="304"/>
        <v>0</v>
      </c>
      <c r="R1113" s="96"/>
      <c r="S1113" s="97">
        <f t="shared" si="305"/>
        <v>6</v>
      </c>
      <c r="T1113" s="98">
        <f t="shared" si="300"/>
        <v>0</v>
      </c>
      <c r="U1113">
        <v>6</v>
      </c>
    </row>
    <row r="1114" spans="2:31" ht="20.100000000000001" customHeight="1">
      <c r="B1114" s="88">
        <v>9</v>
      </c>
      <c r="C1114" s="89" t="s">
        <v>2130</v>
      </c>
      <c r="D1114" s="90" t="s">
        <v>2615</v>
      </c>
      <c r="E1114" s="91" t="s">
        <v>2616</v>
      </c>
      <c r="F1114" s="315">
        <v>61.83</v>
      </c>
      <c r="G1114" s="260"/>
      <c r="H1114" s="260"/>
      <c r="I1114" s="309"/>
      <c r="J1114" s="199"/>
      <c r="K1114" s="269"/>
      <c r="L1114" s="93">
        <f t="shared" si="299"/>
        <v>0</v>
      </c>
      <c r="M1114" s="183"/>
      <c r="N1114" s="95">
        <f t="shared" si="301"/>
        <v>0</v>
      </c>
      <c r="O1114" s="95">
        <f t="shared" si="302"/>
        <v>0</v>
      </c>
      <c r="P1114" s="94">
        <f t="shared" si="303"/>
        <v>0</v>
      </c>
      <c r="Q1114" s="95">
        <f t="shared" si="304"/>
        <v>0</v>
      </c>
      <c r="R1114" s="96" t="s">
        <v>2617</v>
      </c>
      <c r="S1114" s="97">
        <f t="shared" si="305"/>
        <v>0</v>
      </c>
      <c r="T1114" s="98">
        <f t="shared" si="300"/>
        <v>0</v>
      </c>
    </row>
    <row r="1115" spans="2:31" ht="20.100000000000001" customHeight="1">
      <c r="B1115" s="88">
        <v>9</v>
      </c>
      <c r="C1115" s="89" t="s">
        <v>2130</v>
      </c>
      <c r="D1115" s="90" t="s">
        <v>2618</v>
      </c>
      <c r="E1115" s="91" t="s">
        <v>2619</v>
      </c>
      <c r="F1115" s="315">
        <v>18.64</v>
      </c>
      <c r="G1115" s="260">
        <v>137</v>
      </c>
      <c r="H1115" s="260"/>
      <c r="I1115" s="309"/>
      <c r="J1115" s="199"/>
      <c r="K1115" s="269">
        <v>4</v>
      </c>
      <c r="L1115" s="93">
        <f t="shared" si="299"/>
        <v>133</v>
      </c>
      <c r="M1115" s="183">
        <v>136</v>
      </c>
      <c r="N1115" s="95">
        <f t="shared" si="301"/>
        <v>2479.12</v>
      </c>
      <c r="O1115" s="95">
        <f t="shared" si="302"/>
        <v>2535.04</v>
      </c>
      <c r="P1115" s="94">
        <f t="shared" si="303"/>
        <v>-3</v>
      </c>
      <c r="Q1115" s="95">
        <f t="shared" si="304"/>
        <v>-55.920000000000073</v>
      </c>
      <c r="R1115" s="278"/>
      <c r="S1115" s="97">
        <f t="shared" si="305"/>
        <v>141</v>
      </c>
      <c r="T1115" s="98">
        <f t="shared" si="300"/>
        <v>-5</v>
      </c>
      <c r="U1115">
        <v>141</v>
      </c>
    </row>
    <row r="1116" spans="2:31" ht="20.100000000000001" customHeight="1">
      <c r="B1116" s="88">
        <v>9</v>
      </c>
      <c r="C1116" s="89" t="s">
        <v>2130</v>
      </c>
      <c r="D1116" s="90" t="s">
        <v>2620</v>
      </c>
      <c r="E1116" s="91" t="s">
        <v>2621</v>
      </c>
      <c r="F1116" s="315">
        <v>18.64</v>
      </c>
      <c r="G1116" s="260">
        <v>51</v>
      </c>
      <c r="H1116" s="260"/>
      <c r="I1116" s="309"/>
      <c r="J1116" s="199"/>
      <c r="K1116" s="269">
        <v>13</v>
      </c>
      <c r="L1116" s="93">
        <f t="shared" si="299"/>
        <v>38</v>
      </c>
      <c r="M1116" s="277">
        <v>38</v>
      </c>
      <c r="N1116" s="95">
        <f t="shared" si="301"/>
        <v>708.32</v>
      </c>
      <c r="O1116" s="95">
        <f t="shared" si="302"/>
        <v>708.32</v>
      </c>
      <c r="P1116" s="94">
        <f t="shared" si="303"/>
        <v>0</v>
      </c>
      <c r="Q1116" s="95">
        <f t="shared" si="304"/>
        <v>0</v>
      </c>
      <c r="R1116" s="96"/>
      <c r="S1116" s="97">
        <f t="shared" si="305"/>
        <v>53</v>
      </c>
      <c r="T1116" s="98">
        <f t="shared" si="300"/>
        <v>-15</v>
      </c>
      <c r="U1116">
        <f>34+6+12+1</f>
        <v>53</v>
      </c>
    </row>
    <row r="1117" spans="2:31" ht="20.100000000000001" customHeight="1">
      <c r="B1117" s="88">
        <v>9</v>
      </c>
      <c r="C1117" s="89" t="s">
        <v>2130</v>
      </c>
      <c r="D1117" s="90" t="s">
        <v>2620</v>
      </c>
      <c r="E1117" s="91" t="s">
        <v>2621</v>
      </c>
      <c r="F1117" s="315">
        <v>20.57</v>
      </c>
      <c r="G1117" s="260"/>
      <c r="H1117" s="260"/>
      <c r="I1117" s="309"/>
      <c r="J1117" s="199"/>
      <c r="K1117" s="269"/>
      <c r="L1117" s="93">
        <f t="shared" si="299"/>
        <v>0</v>
      </c>
      <c r="M1117" s="183"/>
      <c r="N1117" s="95">
        <f t="shared" si="301"/>
        <v>0</v>
      </c>
      <c r="O1117" s="95">
        <f t="shared" si="302"/>
        <v>0</v>
      </c>
      <c r="P1117" s="94">
        <f t="shared" si="303"/>
        <v>0</v>
      </c>
      <c r="Q1117" s="95">
        <f t="shared" si="304"/>
        <v>0</v>
      </c>
      <c r="R1117" s="96"/>
      <c r="S1117" s="97">
        <f t="shared" si="305"/>
        <v>0</v>
      </c>
      <c r="T1117" s="98">
        <f t="shared" si="300"/>
        <v>0</v>
      </c>
    </row>
    <row r="1118" spans="2:31" ht="20.100000000000001" customHeight="1">
      <c r="B1118" s="88">
        <v>9</v>
      </c>
      <c r="C1118" s="89" t="s">
        <v>2130</v>
      </c>
      <c r="D1118" s="90" t="s">
        <v>2622</v>
      </c>
      <c r="E1118" s="91" t="s">
        <v>2623</v>
      </c>
      <c r="F1118" s="315">
        <v>167.11</v>
      </c>
      <c r="G1118" s="260">
        <v>3</v>
      </c>
      <c r="H1118" s="260"/>
      <c r="I1118" s="309"/>
      <c r="J1118" s="199"/>
      <c r="K1118" s="269"/>
      <c r="L1118" s="93">
        <f t="shared" si="299"/>
        <v>3</v>
      </c>
      <c r="M1118" s="183">
        <v>3</v>
      </c>
      <c r="N1118" s="95">
        <f t="shared" si="301"/>
        <v>501.33000000000004</v>
      </c>
      <c r="O1118" s="95">
        <f t="shared" si="302"/>
        <v>501.33000000000004</v>
      </c>
      <c r="P1118" s="94">
        <f t="shared" si="303"/>
        <v>0</v>
      </c>
      <c r="Q1118" s="95">
        <f t="shared" si="304"/>
        <v>0</v>
      </c>
      <c r="R1118" s="96"/>
      <c r="S1118" s="97">
        <f t="shared" si="305"/>
        <v>2</v>
      </c>
      <c r="T1118" s="98">
        <f t="shared" si="300"/>
        <v>1</v>
      </c>
      <c r="U1118">
        <v>2</v>
      </c>
    </row>
    <row r="1119" spans="2:31" ht="20.100000000000001" customHeight="1">
      <c r="B1119" s="88">
        <v>9</v>
      </c>
      <c r="C1119" s="89" t="s">
        <v>2130</v>
      </c>
      <c r="D1119" s="90" t="s">
        <v>2624</v>
      </c>
      <c r="E1119" s="91" t="s">
        <v>2625</v>
      </c>
      <c r="F1119" s="315">
        <v>79.22</v>
      </c>
      <c r="G1119" s="260">
        <v>14</v>
      </c>
      <c r="H1119" s="260"/>
      <c r="I1119" s="309"/>
      <c r="J1119" s="199"/>
      <c r="K1119" s="269"/>
      <c r="L1119" s="93">
        <f t="shared" si="299"/>
        <v>14</v>
      </c>
      <c r="M1119" s="183">
        <v>14</v>
      </c>
      <c r="N1119" s="95">
        <f t="shared" si="301"/>
        <v>1109.08</v>
      </c>
      <c r="O1119" s="95">
        <f t="shared" si="302"/>
        <v>1109.08</v>
      </c>
      <c r="P1119" s="94">
        <f t="shared" si="303"/>
        <v>0</v>
      </c>
      <c r="Q1119" s="95">
        <f t="shared" si="304"/>
        <v>0</v>
      </c>
      <c r="R1119" s="96"/>
      <c r="S1119" s="97">
        <f t="shared" si="305"/>
        <v>14</v>
      </c>
      <c r="T1119" s="98">
        <f t="shared" si="300"/>
        <v>0</v>
      </c>
      <c r="Y1119">
        <v>14</v>
      </c>
    </row>
    <row r="1120" spans="2:31" ht="20.100000000000001" customHeight="1">
      <c r="B1120" s="88">
        <v>9</v>
      </c>
      <c r="C1120" s="89" t="s">
        <v>2130</v>
      </c>
      <c r="D1120" s="90" t="s">
        <v>2626</v>
      </c>
      <c r="E1120" s="91" t="s">
        <v>2627</v>
      </c>
      <c r="F1120" s="315">
        <v>47.2</v>
      </c>
      <c r="G1120" s="260">
        <v>47</v>
      </c>
      <c r="H1120" s="260"/>
      <c r="I1120" s="309"/>
      <c r="J1120" s="199"/>
      <c r="K1120" s="269">
        <v>7</v>
      </c>
      <c r="L1120" s="93">
        <f t="shared" si="299"/>
        <v>40</v>
      </c>
      <c r="M1120" s="183">
        <v>47</v>
      </c>
      <c r="N1120" s="95">
        <f t="shared" si="301"/>
        <v>1888</v>
      </c>
      <c r="O1120" s="95">
        <f t="shared" si="302"/>
        <v>2218.4</v>
      </c>
      <c r="P1120" s="94">
        <f t="shared" si="303"/>
        <v>-7</v>
      </c>
      <c r="Q1120" s="95">
        <f t="shared" si="304"/>
        <v>-330.40000000000009</v>
      </c>
      <c r="R1120" s="96"/>
      <c r="S1120" s="97">
        <f t="shared" si="305"/>
        <v>47</v>
      </c>
      <c r="T1120" s="98">
        <f t="shared" si="300"/>
        <v>0</v>
      </c>
      <c r="Y1120">
        <v>47</v>
      </c>
    </row>
    <row r="1121" spans="2:25" ht="20.100000000000001" customHeight="1">
      <c r="B1121" s="88">
        <v>9</v>
      </c>
      <c r="C1121" s="89" t="s">
        <v>2130</v>
      </c>
      <c r="D1121" s="90" t="s">
        <v>2628</v>
      </c>
      <c r="E1121" s="91" t="s">
        <v>2629</v>
      </c>
      <c r="F1121" s="315">
        <v>55.86</v>
      </c>
      <c r="G1121" s="260">
        <v>21</v>
      </c>
      <c r="H1121" s="260"/>
      <c r="I1121" s="309"/>
      <c r="J1121" s="199"/>
      <c r="K1121" s="269"/>
      <c r="L1121" s="93">
        <f t="shared" si="299"/>
        <v>21</v>
      </c>
      <c r="M1121" s="183">
        <f>21+10</f>
        <v>31</v>
      </c>
      <c r="N1121" s="95">
        <f t="shared" si="301"/>
        <v>1173.06</v>
      </c>
      <c r="O1121" s="95">
        <f t="shared" si="302"/>
        <v>1731.66</v>
      </c>
      <c r="P1121" s="94">
        <f t="shared" si="303"/>
        <v>-10</v>
      </c>
      <c r="Q1121" s="95">
        <f t="shared" si="304"/>
        <v>-558.60000000000014</v>
      </c>
      <c r="R1121" s="96"/>
      <c r="S1121" s="97">
        <f t="shared" si="305"/>
        <v>21</v>
      </c>
      <c r="T1121" s="98">
        <f t="shared" si="300"/>
        <v>10</v>
      </c>
      <c r="U1121">
        <v>10</v>
      </c>
      <c r="Y1121">
        <v>11</v>
      </c>
    </row>
    <row r="1122" spans="2:25" ht="20.100000000000001" customHeight="1">
      <c r="B1122" s="88">
        <v>9</v>
      </c>
      <c r="C1122" s="89" t="s">
        <v>2130</v>
      </c>
      <c r="D1122" s="90" t="s">
        <v>2630</v>
      </c>
      <c r="E1122" s="91" t="s">
        <v>2631</v>
      </c>
      <c r="F1122" s="315">
        <v>18.64</v>
      </c>
      <c r="G1122" s="260">
        <v>56</v>
      </c>
      <c r="H1122" s="260"/>
      <c r="I1122" s="309"/>
      <c r="J1122" s="199"/>
      <c r="K1122" s="269">
        <v>1</v>
      </c>
      <c r="L1122" s="93">
        <f t="shared" si="299"/>
        <v>55</v>
      </c>
      <c r="M1122" s="183">
        <f>54+8</f>
        <v>62</v>
      </c>
      <c r="N1122" s="95">
        <f t="shared" si="301"/>
        <v>1025.2</v>
      </c>
      <c r="O1122" s="95">
        <f t="shared" si="302"/>
        <v>1155.68</v>
      </c>
      <c r="P1122" s="94">
        <f t="shared" si="303"/>
        <v>-7</v>
      </c>
      <c r="Q1122" s="95">
        <f t="shared" si="304"/>
        <v>-130.48000000000002</v>
      </c>
      <c r="R1122" s="96"/>
      <c r="S1122" s="97">
        <f t="shared" si="305"/>
        <v>59</v>
      </c>
      <c r="T1122" s="98">
        <f t="shared" si="300"/>
        <v>3</v>
      </c>
      <c r="U1122">
        <v>59</v>
      </c>
    </row>
    <row r="1123" spans="2:25" ht="20.100000000000001" customHeight="1">
      <c r="B1123" s="88">
        <v>9</v>
      </c>
      <c r="C1123" s="89" t="s">
        <v>2130</v>
      </c>
      <c r="D1123" s="90" t="s">
        <v>2632</v>
      </c>
      <c r="E1123" s="91" t="s">
        <v>2633</v>
      </c>
      <c r="F1123" s="315">
        <v>19.61</v>
      </c>
      <c r="G1123" s="260">
        <v>14</v>
      </c>
      <c r="H1123" s="260"/>
      <c r="I1123" s="309"/>
      <c r="J1123" s="199"/>
      <c r="K1123" s="269">
        <v>3</v>
      </c>
      <c r="L1123" s="93">
        <f t="shared" si="299"/>
        <v>11</v>
      </c>
      <c r="M1123" s="183">
        <v>11</v>
      </c>
      <c r="N1123" s="95">
        <f t="shared" si="301"/>
        <v>215.70999999999998</v>
      </c>
      <c r="O1123" s="95">
        <f t="shared" si="302"/>
        <v>215.70999999999998</v>
      </c>
      <c r="P1123" s="94">
        <f t="shared" si="303"/>
        <v>0</v>
      </c>
      <c r="Q1123" s="95">
        <f t="shared" si="304"/>
        <v>0</v>
      </c>
      <c r="R1123" s="96"/>
      <c r="S1123" s="97">
        <f t="shared" si="305"/>
        <v>15</v>
      </c>
      <c r="T1123" s="98">
        <f t="shared" si="300"/>
        <v>-4</v>
      </c>
      <c r="U1123">
        <v>15</v>
      </c>
    </row>
    <row r="1124" spans="2:25" ht="20.100000000000001" customHeight="1">
      <c r="B1124" s="88">
        <v>9</v>
      </c>
      <c r="C1124" s="89" t="s">
        <v>2130</v>
      </c>
      <c r="D1124" s="90" t="s">
        <v>2634</v>
      </c>
      <c r="E1124" s="91" t="s">
        <v>2635</v>
      </c>
      <c r="F1124" s="315">
        <v>36.840000000000003</v>
      </c>
      <c r="G1124" s="260">
        <v>34</v>
      </c>
      <c r="H1124" s="260"/>
      <c r="I1124" s="309"/>
      <c r="J1124" s="199"/>
      <c r="K1124" s="269">
        <v>1</v>
      </c>
      <c r="L1124" s="93">
        <f t="shared" si="299"/>
        <v>33</v>
      </c>
      <c r="M1124" s="183">
        <v>35</v>
      </c>
      <c r="N1124" s="95">
        <f t="shared" si="301"/>
        <v>1215.72</v>
      </c>
      <c r="O1124" s="95">
        <f t="shared" si="302"/>
        <v>1289.4000000000001</v>
      </c>
      <c r="P1124" s="94">
        <f t="shared" si="303"/>
        <v>-2</v>
      </c>
      <c r="Q1124" s="95">
        <f t="shared" si="304"/>
        <v>-73.680000000000064</v>
      </c>
      <c r="R1124" s="96"/>
      <c r="S1124" s="97">
        <f t="shared" si="305"/>
        <v>35</v>
      </c>
      <c r="T1124" s="98">
        <f t="shared" si="300"/>
        <v>0</v>
      </c>
      <c r="U1124">
        <v>35</v>
      </c>
    </row>
    <row r="1125" spans="2:25" ht="20.100000000000001" customHeight="1">
      <c r="B1125" s="88">
        <v>9</v>
      </c>
      <c r="C1125" s="89" t="s">
        <v>2130</v>
      </c>
      <c r="D1125" s="90" t="s">
        <v>2636</v>
      </c>
      <c r="E1125" s="91" t="s">
        <v>2637</v>
      </c>
      <c r="F1125" s="315">
        <v>28.17</v>
      </c>
      <c r="G1125" s="260">
        <v>72</v>
      </c>
      <c r="H1125" s="260"/>
      <c r="I1125" s="309"/>
      <c r="J1125" s="199"/>
      <c r="K1125" s="269"/>
      <c r="L1125" s="93">
        <f t="shared" si="299"/>
        <v>72</v>
      </c>
      <c r="M1125" s="183">
        <v>72</v>
      </c>
      <c r="N1125" s="95">
        <f t="shared" si="301"/>
        <v>2028.2400000000002</v>
      </c>
      <c r="O1125" s="95">
        <f t="shared" si="302"/>
        <v>2028.2400000000002</v>
      </c>
      <c r="P1125" s="94">
        <f t="shared" si="303"/>
        <v>0</v>
      </c>
      <c r="Q1125" s="95">
        <f t="shared" si="304"/>
        <v>0</v>
      </c>
      <c r="R1125" s="96"/>
      <c r="S1125" s="97">
        <f t="shared" si="305"/>
        <v>72</v>
      </c>
      <c r="T1125" s="98">
        <f t="shared" si="300"/>
        <v>0</v>
      </c>
      <c r="Y1125">
        <v>72</v>
      </c>
    </row>
    <row r="1126" spans="2:25" ht="20.100000000000001" customHeight="1">
      <c r="B1126" s="88">
        <v>9</v>
      </c>
      <c r="C1126" s="89" t="s">
        <v>2130</v>
      </c>
      <c r="D1126" s="90" t="s">
        <v>2638</v>
      </c>
      <c r="E1126" s="91" t="s">
        <v>2639</v>
      </c>
      <c r="F1126" s="315">
        <v>19.600000000000001</v>
      </c>
      <c r="G1126" s="260">
        <v>5</v>
      </c>
      <c r="H1126" s="260"/>
      <c r="I1126" s="309"/>
      <c r="J1126" s="199"/>
      <c r="K1126" s="269"/>
      <c r="L1126" s="93">
        <f t="shared" si="299"/>
        <v>5</v>
      </c>
      <c r="M1126" s="183">
        <f>5+25</f>
        <v>30</v>
      </c>
      <c r="N1126" s="95">
        <f t="shared" si="301"/>
        <v>98</v>
      </c>
      <c r="O1126" s="95">
        <f t="shared" si="302"/>
        <v>588</v>
      </c>
      <c r="P1126" s="94">
        <f t="shared" si="303"/>
        <v>-25</v>
      </c>
      <c r="Q1126" s="95">
        <f t="shared" si="304"/>
        <v>-490</v>
      </c>
      <c r="R1126" s="96"/>
      <c r="S1126" s="97">
        <f t="shared" si="305"/>
        <v>6</v>
      </c>
      <c r="T1126" s="98">
        <f t="shared" si="300"/>
        <v>24</v>
      </c>
      <c r="U1126">
        <v>6</v>
      </c>
    </row>
    <row r="1127" spans="2:25" ht="20.100000000000001" customHeight="1">
      <c r="B1127" s="88">
        <v>9</v>
      </c>
      <c r="C1127" s="89" t="s">
        <v>2130</v>
      </c>
      <c r="D1127" s="90" t="s">
        <v>2640</v>
      </c>
      <c r="E1127" s="91" t="s">
        <v>2641</v>
      </c>
      <c r="F1127" s="315">
        <v>60.75</v>
      </c>
      <c r="G1127" s="260"/>
      <c r="H1127" s="260"/>
      <c r="I1127" s="309"/>
      <c r="J1127" s="199"/>
      <c r="K1127" s="269"/>
      <c r="L1127" s="93">
        <f t="shared" si="299"/>
        <v>0</v>
      </c>
      <c r="M1127" s="183"/>
      <c r="N1127" s="95">
        <f t="shared" si="301"/>
        <v>0</v>
      </c>
      <c r="O1127" s="95">
        <f t="shared" si="302"/>
        <v>0</v>
      </c>
      <c r="P1127" s="94">
        <f t="shared" si="303"/>
        <v>0</v>
      </c>
      <c r="Q1127" s="95">
        <f t="shared" si="304"/>
        <v>0</v>
      </c>
      <c r="R1127" s="96"/>
      <c r="S1127" s="97">
        <f t="shared" si="305"/>
        <v>0</v>
      </c>
      <c r="T1127" s="98">
        <f t="shared" si="300"/>
        <v>0</v>
      </c>
    </row>
    <row r="1128" spans="2:25" ht="20.100000000000001" customHeight="1">
      <c r="B1128" s="88">
        <v>9</v>
      </c>
      <c r="C1128" s="89" t="s">
        <v>2130</v>
      </c>
      <c r="D1128" s="90" t="s">
        <v>2642</v>
      </c>
      <c r="E1128" s="91" t="s">
        <v>2643</v>
      </c>
      <c r="F1128" s="315">
        <v>279.75</v>
      </c>
      <c r="G1128" s="260">
        <v>83</v>
      </c>
      <c r="H1128" s="260"/>
      <c r="I1128" s="309"/>
      <c r="J1128" s="199"/>
      <c r="K1128" s="269">
        <v>35</v>
      </c>
      <c r="L1128" s="93">
        <f t="shared" si="299"/>
        <v>48</v>
      </c>
      <c r="M1128" s="183">
        <v>48</v>
      </c>
      <c r="N1128" s="95">
        <f t="shared" si="301"/>
        <v>13428</v>
      </c>
      <c r="O1128" s="95">
        <f t="shared" si="302"/>
        <v>13428</v>
      </c>
      <c r="P1128" s="94">
        <f t="shared" si="303"/>
        <v>0</v>
      </c>
      <c r="Q1128" s="95">
        <f t="shared" si="304"/>
        <v>0</v>
      </c>
      <c r="R1128" s="96"/>
      <c r="S1128" s="97">
        <f t="shared" si="305"/>
        <v>39</v>
      </c>
      <c r="T1128" s="98">
        <f t="shared" si="300"/>
        <v>9</v>
      </c>
      <c r="U1128">
        <v>7</v>
      </c>
      <c r="Y1128">
        <v>32</v>
      </c>
    </row>
    <row r="1129" spans="2:25" ht="20.100000000000001" customHeight="1">
      <c r="B1129" s="88">
        <v>9</v>
      </c>
      <c r="C1129" s="89" t="s">
        <v>2130</v>
      </c>
      <c r="D1129" s="90" t="s">
        <v>2644</v>
      </c>
      <c r="E1129" s="91" t="s">
        <v>2645</v>
      </c>
      <c r="F1129" s="315">
        <v>30.9</v>
      </c>
      <c r="G1129" s="260">
        <v>13</v>
      </c>
      <c r="H1129" s="260"/>
      <c r="I1129" s="309"/>
      <c r="J1129" s="199"/>
      <c r="K1129" s="269">
        <v>4</v>
      </c>
      <c r="L1129" s="93">
        <f t="shared" si="299"/>
        <v>9</v>
      </c>
      <c r="M1129" s="183">
        <v>9</v>
      </c>
      <c r="N1129" s="95">
        <f t="shared" si="301"/>
        <v>278.09999999999997</v>
      </c>
      <c r="O1129" s="95">
        <f t="shared" si="302"/>
        <v>278.09999999999997</v>
      </c>
      <c r="P1129" s="94">
        <f t="shared" si="303"/>
        <v>0</v>
      </c>
      <c r="Q1129" s="95">
        <f t="shared" si="304"/>
        <v>0</v>
      </c>
      <c r="R1129" s="96"/>
      <c r="S1129" s="97">
        <f t="shared" si="305"/>
        <v>13</v>
      </c>
      <c r="T1129" s="98">
        <f t="shared" si="300"/>
        <v>-4</v>
      </c>
      <c r="U1129">
        <v>13</v>
      </c>
    </row>
    <row r="1130" spans="2:25" ht="20.100000000000001" customHeight="1">
      <c r="B1130" s="88">
        <v>9</v>
      </c>
      <c r="C1130" s="89" t="s">
        <v>2130</v>
      </c>
      <c r="D1130" s="90" t="s">
        <v>2646</v>
      </c>
      <c r="E1130" s="91" t="s">
        <v>2647</v>
      </c>
      <c r="F1130" s="315">
        <v>20.48</v>
      </c>
      <c r="G1130" s="260"/>
      <c r="H1130" s="260">
        <v>12</v>
      </c>
      <c r="I1130" s="309"/>
      <c r="J1130" s="199"/>
      <c r="K1130" s="269">
        <v>12</v>
      </c>
      <c r="L1130" s="93">
        <f t="shared" si="299"/>
        <v>0</v>
      </c>
      <c r="M1130" s="183"/>
      <c r="N1130" s="95">
        <f t="shared" si="301"/>
        <v>0</v>
      </c>
      <c r="O1130" s="95">
        <f t="shared" si="302"/>
        <v>0</v>
      </c>
      <c r="P1130" s="94">
        <f t="shared" si="303"/>
        <v>0</v>
      </c>
      <c r="Q1130" s="95">
        <f t="shared" si="304"/>
        <v>0</v>
      </c>
      <c r="R1130" s="278"/>
      <c r="S1130" s="97">
        <f t="shared" si="305"/>
        <v>1</v>
      </c>
      <c r="T1130" s="98">
        <f t="shared" si="300"/>
        <v>-1</v>
      </c>
      <c r="U1130">
        <v>1</v>
      </c>
    </row>
    <row r="1131" spans="2:25" ht="20.100000000000001" customHeight="1">
      <c r="B1131" s="88">
        <v>9</v>
      </c>
      <c r="C1131" s="89" t="s">
        <v>2130</v>
      </c>
      <c r="D1131" s="90" t="s">
        <v>2648</v>
      </c>
      <c r="E1131" s="91" t="s">
        <v>2649</v>
      </c>
      <c r="F1131" s="315">
        <v>17.059999999999999</v>
      </c>
      <c r="G1131" s="260">
        <v>98</v>
      </c>
      <c r="H1131" s="260">
        <v>17</v>
      </c>
      <c r="I1131" s="309"/>
      <c r="J1131" s="199"/>
      <c r="K1131" s="269">
        <v>24</v>
      </c>
      <c r="L1131" s="93">
        <f t="shared" si="299"/>
        <v>91</v>
      </c>
      <c r="M1131" s="183">
        <v>91</v>
      </c>
      <c r="N1131" s="95">
        <f t="shared" si="301"/>
        <v>1552.4599999999998</v>
      </c>
      <c r="O1131" s="95">
        <f t="shared" si="302"/>
        <v>1552.4599999999998</v>
      </c>
      <c r="P1131" s="94">
        <f t="shared" si="303"/>
        <v>0</v>
      </c>
      <c r="Q1131" s="95">
        <f t="shared" si="304"/>
        <v>0</v>
      </c>
      <c r="R1131" s="278"/>
      <c r="S1131" s="97">
        <f t="shared" si="305"/>
        <v>102</v>
      </c>
      <c r="T1131" s="98">
        <f t="shared" si="300"/>
        <v>-11</v>
      </c>
      <c r="U1131">
        <v>102</v>
      </c>
    </row>
    <row r="1132" spans="2:25" ht="20.100000000000001" customHeight="1">
      <c r="B1132" s="88">
        <v>9</v>
      </c>
      <c r="C1132" s="89" t="s">
        <v>2130</v>
      </c>
      <c r="D1132" s="90" t="s">
        <v>2650</v>
      </c>
      <c r="E1132" s="91" t="s">
        <v>2651</v>
      </c>
      <c r="F1132" s="315">
        <v>20.75</v>
      </c>
      <c r="G1132" s="260">
        <v>5</v>
      </c>
      <c r="H1132" s="260"/>
      <c r="I1132" s="309"/>
      <c r="J1132" s="199"/>
      <c r="K1132" s="269"/>
      <c r="L1132" s="93">
        <f t="shared" si="299"/>
        <v>5</v>
      </c>
      <c r="M1132" s="183">
        <v>5</v>
      </c>
      <c r="N1132" s="95">
        <f t="shared" si="301"/>
        <v>103.75</v>
      </c>
      <c r="O1132" s="95">
        <f t="shared" si="302"/>
        <v>103.75</v>
      </c>
      <c r="P1132" s="94">
        <f t="shared" si="303"/>
        <v>0</v>
      </c>
      <c r="Q1132" s="95">
        <f t="shared" si="304"/>
        <v>0</v>
      </c>
      <c r="R1132" s="96"/>
      <c r="S1132" s="97">
        <f t="shared" si="305"/>
        <v>5</v>
      </c>
      <c r="T1132" s="98">
        <f t="shared" si="300"/>
        <v>0</v>
      </c>
      <c r="U1132">
        <v>5</v>
      </c>
    </row>
    <row r="1133" spans="2:25" ht="20.100000000000001" customHeight="1">
      <c r="B1133" s="88">
        <v>9</v>
      </c>
      <c r="C1133" s="89" t="s">
        <v>2130</v>
      </c>
      <c r="D1133" s="90" t="s">
        <v>2652</v>
      </c>
      <c r="E1133" s="91" t="s">
        <v>2653</v>
      </c>
      <c r="F1133" s="315">
        <v>23.75</v>
      </c>
      <c r="G1133" s="260">
        <v>8</v>
      </c>
      <c r="H1133" s="260"/>
      <c r="I1133" s="309"/>
      <c r="J1133" s="199"/>
      <c r="K1133" s="269"/>
      <c r="L1133" s="93">
        <f t="shared" si="299"/>
        <v>8</v>
      </c>
      <c r="M1133" s="183">
        <v>8</v>
      </c>
      <c r="N1133" s="95">
        <f t="shared" si="301"/>
        <v>190</v>
      </c>
      <c r="O1133" s="95">
        <f t="shared" si="302"/>
        <v>190</v>
      </c>
      <c r="P1133" s="94">
        <f t="shared" si="303"/>
        <v>0</v>
      </c>
      <c r="Q1133" s="95">
        <f t="shared" si="304"/>
        <v>0</v>
      </c>
      <c r="R1133" s="96"/>
      <c r="S1133" s="97">
        <f t="shared" si="305"/>
        <v>9</v>
      </c>
      <c r="T1133" s="98">
        <f t="shared" si="300"/>
        <v>-1</v>
      </c>
      <c r="U1133">
        <v>9</v>
      </c>
    </row>
    <row r="1134" spans="2:25" ht="20.100000000000001" customHeight="1">
      <c r="B1134" s="88">
        <v>9</v>
      </c>
      <c r="C1134" s="89" t="s">
        <v>2130</v>
      </c>
      <c r="D1134" s="90" t="s">
        <v>2654</v>
      </c>
      <c r="E1134" s="91" t="s">
        <v>2655</v>
      </c>
      <c r="F1134" s="315">
        <v>23</v>
      </c>
      <c r="G1134" s="260">
        <v>4</v>
      </c>
      <c r="H1134" s="260"/>
      <c r="I1134" s="309"/>
      <c r="J1134" s="199"/>
      <c r="K1134" s="269">
        <v>3</v>
      </c>
      <c r="L1134" s="93">
        <f t="shared" si="299"/>
        <v>1</v>
      </c>
      <c r="M1134" s="183">
        <v>3</v>
      </c>
      <c r="N1134" s="95">
        <f t="shared" si="301"/>
        <v>23</v>
      </c>
      <c r="O1134" s="95">
        <f t="shared" si="302"/>
        <v>69</v>
      </c>
      <c r="P1134" s="94">
        <f t="shared" si="303"/>
        <v>-2</v>
      </c>
      <c r="Q1134" s="95">
        <f t="shared" si="304"/>
        <v>-46</v>
      </c>
      <c r="R1134" s="96"/>
      <c r="S1134" s="97">
        <f t="shared" si="305"/>
        <v>8</v>
      </c>
      <c r="T1134" s="98">
        <f t="shared" si="300"/>
        <v>-5</v>
      </c>
      <c r="U1134">
        <v>8</v>
      </c>
    </row>
    <row r="1135" spans="2:25" ht="20.100000000000001" customHeight="1">
      <c r="B1135" s="88">
        <v>9</v>
      </c>
      <c r="C1135" s="89" t="s">
        <v>2130</v>
      </c>
      <c r="D1135" s="90" t="s">
        <v>2656</v>
      </c>
      <c r="E1135" s="91" t="s">
        <v>2657</v>
      </c>
      <c r="F1135" s="315">
        <v>30</v>
      </c>
      <c r="G1135" s="260">
        <v>5</v>
      </c>
      <c r="H1135" s="260"/>
      <c r="I1135" s="309"/>
      <c r="J1135" s="199"/>
      <c r="K1135" s="269"/>
      <c r="L1135" s="93">
        <f t="shared" si="299"/>
        <v>5</v>
      </c>
      <c r="M1135" s="183">
        <v>6</v>
      </c>
      <c r="N1135" s="95">
        <f t="shared" si="301"/>
        <v>150</v>
      </c>
      <c r="O1135" s="95">
        <f t="shared" si="302"/>
        <v>180</v>
      </c>
      <c r="P1135" s="94">
        <f t="shared" si="303"/>
        <v>-1</v>
      </c>
      <c r="Q1135" s="95">
        <f t="shared" si="304"/>
        <v>-30</v>
      </c>
      <c r="R1135" s="96"/>
      <c r="S1135" s="97">
        <f t="shared" si="305"/>
        <v>7</v>
      </c>
      <c r="T1135" s="98">
        <f t="shared" si="300"/>
        <v>-1</v>
      </c>
      <c r="U1135">
        <v>7</v>
      </c>
      <c r="V1135" s="99" t="s">
        <v>2658</v>
      </c>
    </row>
    <row r="1136" spans="2:25" ht="20.100000000000001" customHeight="1">
      <c r="B1136" s="88">
        <v>9</v>
      </c>
      <c r="C1136" s="89" t="s">
        <v>2130</v>
      </c>
      <c r="D1136" s="90" t="s">
        <v>2659</v>
      </c>
      <c r="E1136" s="91" t="s">
        <v>2660</v>
      </c>
      <c r="F1136" s="315">
        <v>18.25</v>
      </c>
      <c r="G1136" s="260">
        <v>2</v>
      </c>
      <c r="H1136" s="260"/>
      <c r="I1136" s="309"/>
      <c r="J1136" s="199"/>
      <c r="K1136" s="269"/>
      <c r="L1136" s="93">
        <f t="shared" si="299"/>
        <v>2</v>
      </c>
      <c r="M1136" s="183">
        <v>2</v>
      </c>
      <c r="N1136" s="95">
        <f t="shared" si="301"/>
        <v>36.5</v>
      </c>
      <c r="O1136" s="95">
        <f t="shared" si="302"/>
        <v>36.5</v>
      </c>
      <c r="P1136" s="94">
        <f t="shared" si="303"/>
        <v>0</v>
      </c>
      <c r="Q1136" s="95">
        <f t="shared" si="304"/>
        <v>0</v>
      </c>
      <c r="R1136" s="96"/>
      <c r="S1136" s="97">
        <f t="shared" si="305"/>
        <v>4</v>
      </c>
      <c r="T1136" s="98">
        <f t="shared" si="300"/>
        <v>-2</v>
      </c>
      <c r="U1136">
        <v>4</v>
      </c>
    </row>
    <row r="1137" spans="2:31" ht="20.100000000000001" customHeight="1">
      <c r="B1137" s="88">
        <v>9</v>
      </c>
      <c r="C1137" s="89" t="s">
        <v>2130</v>
      </c>
      <c r="D1137" s="90" t="s">
        <v>2661</v>
      </c>
      <c r="E1137" s="91" t="s">
        <v>2662</v>
      </c>
      <c r="F1137" s="315">
        <v>26.5</v>
      </c>
      <c r="G1137" s="260"/>
      <c r="H1137" s="260"/>
      <c r="I1137" s="309"/>
      <c r="J1137" s="199"/>
      <c r="K1137" s="269"/>
      <c r="L1137" s="93">
        <f t="shared" si="299"/>
        <v>0</v>
      </c>
      <c r="M1137" s="183"/>
      <c r="N1137" s="95">
        <f t="shared" si="301"/>
        <v>0</v>
      </c>
      <c r="O1137" s="95">
        <f t="shared" si="302"/>
        <v>0</v>
      </c>
      <c r="P1137" s="94">
        <f t="shared" si="303"/>
        <v>0</v>
      </c>
      <c r="Q1137" s="95">
        <f t="shared" si="304"/>
        <v>0</v>
      </c>
      <c r="R1137" s="96"/>
      <c r="S1137" s="97">
        <f t="shared" si="305"/>
        <v>0</v>
      </c>
      <c r="T1137" s="98">
        <f t="shared" si="300"/>
        <v>0</v>
      </c>
    </row>
    <row r="1138" spans="2:31" ht="20.100000000000001" customHeight="1">
      <c r="B1138" s="88">
        <v>9</v>
      </c>
      <c r="C1138" s="89" t="s">
        <v>2130</v>
      </c>
      <c r="D1138" s="90" t="s">
        <v>2663</v>
      </c>
      <c r="E1138" s="91" t="s">
        <v>2664</v>
      </c>
      <c r="F1138" s="315">
        <v>26.5</v>
      </c>
      <c r="G1138" s="260"/>
      <c r="H1138" s="260"/>
      <c r="I1138" s="309"/>
      <c r="J1138" s="199"/>
      <c r="K1138" s="269"/>
      <c r="L1138" s="93">
        <f t="shared" si="299"/>
        <v>0</v>
      </c>
      <c r="M1138" s="183"/>
      <c r="N1138" s="95">
        <f t="shared" si="301"/>
        <v>0</v>
      </c>
      <c r="O1138" s="95">
        <f t="shared" si="302"/>
        <v>0</v>
      </c>
      <c r="P1138" s="94">
        <f t="shared" si="303"/>
        <v>0</v>
      </c>
      <c r="Q1138" s="95">
        <f t="shared" si="304"/>
        <v>0</v>
      </c>
      <c r="R1138" s="96"/>
      <c r="S1138" s="97">
        <f t="shared" si="305"/>
        <v>0</v>
      </c>
      <c r="T1138" s="98">
        <f t="shared" si="300"/>
        <v>0</v>
      </c>
    </row>
    <row r="1139" spans="2:31" ht="20.100000000000001" customHeight="1">
      <c r="B1139" s="88">
        <v>9</v>
      </c>
      <c r="C1139" s="89" t="s">
        <v>2130</v>
      </c>
      <c r="D1139" s="90" t="s">
        <v>2665</v>
      </c>
      <c r="E1139" s="91" t="s">
        <v>2666</v>
      </c>
      <c r="F1139" s="315">
        <v>18.25</v>
      </c>
      <c r="G1139" s="260">
        <v>13</v>
      </c>
      <c r="H1139" s="260"/>
      <c r="I1139" s="309"/>
      <c r="J1139" s="199"/>
      <c r="K1139" s="269">
        <v>1</v>
      </c>
      <c r="L1139" s="93">
        <f t="shared" si="299"/>
        <v>12</v>
      </c>
      <c r="M1139" s="183">
        <v>12</v>
      </c>
      <c r="N1139" s="95">
        <f t="shared" si="301"/>
        <v>219</v>
      </c>
      <c r="O1139" s="95">
        <f t="shared" si="302"/>
        <v>219</v>
      </c>
      <c r="P1139" s="94">
        <f t="shared" si="303"/>
        <v>0</v>
      </c>
      <c r="Q1139" s="95">
        <f t="shared" si="304"/>
        <v>0</v>
      </c>
      <c r="R1139" s="96"/>
      <c r="S1139" s="97">
        <f t="shared" si="305"/>
        <v>13</v>
      </c>
      <c r="T1139" s="98">
        <f t="shared" si="300"/>
        <v>-1</v>
      </c>
      <c r="U1139">
        <v>13</v>
      </c>
    </row>
    <row r="1140" spans="2:31" ht="20.100000000000001" customHeight="1">
      <c r="B1140" s="88">
        <v>9</v>
      </c>
      <c r="C1140" s="89" t="s">
        <v>2130</v>
      </c>
      <c r="D1140" s="90" t="s">
        <v>2667</v>
      </c>
      <c r="E1140" s="91" t="s">
        <v>2668</v>
      </c>
      <c r="F1140" s="315">
        <v>9.5</v>
      </c>
      <c r="G1140" s="260">
        <v>16</v>
      </c>
      <c r="H1140" s="260"/>
      <c r="I1140" s="309"/>
      <c r="J1140" s="199"/>
      <c r="K1140" s="80">
        <v>1</v>
      </c>
      <c r="L1140" s="93">
        <f t="shared" si="299"/>
        <v>15</v>
      </c>
      <c r="M1140" s="183">
        <v>15</v>
      </c>
      <c r="N1140" s="95">
        <f t="shared" si="301"/>
        <v>142.5</v>
      </c>
      <c r="O1140" s="95">
        <f t="shared" si="302"/>
        <v>142.5</v>
      </c>
      <c r="P1140" s="94">
        <f t="shared" si="303"/>
        <v>0</v>
      </c>
      <c r="Q1140" s="95">
        <f t="shared" si="304"/>
        <v>0</v>
      </c>
      <c r="R1140" s="96"/>
      <c r="S1140" s="97">
        <f t="shared" si="305"/>
        <v>18</v>
      </c>
      <c r="T1140" s="98">
        <f t="shared" si="300"/>
        <v>-3</v>
      </c>
      <c r="U1140">
        <v>18</v>
      </c>
    </row>
    <row r="1141" spans="2:31" ht="20.100000000000001" customHeight="1">
      <c r="B1141" s="88">
        <v>9</v>
      </c>
      <c r="C1141" s="89" t="s">
        <v>2130</v>
      </c>
      <c r="D1141" s="90" t="s">
        <v>2669</v>
      </c>
      <c r="E1141" s="91" t="s">
        <v>2670</v>
      </c>
      <c r="F1141" s="315">
        <v>31.25</v>
      </c>
      <c r="G1141" s="260">
        <v>11</v>
      </c>
      <c r="H1141" s="260"/>
      <c r="I1141" s="309"/>
      <c r="J1141" s="199"/>
      <c r="K1141" s="269"/>
      <c r="L1141" s="93">
        <f t="shared" ref="L1141:L1204" si="306">G1141+I1141-J1141-K1141+H1141</f>
        <v>11</v>
      </c>
      <c r="M1141" s="183">
        <v>11</v>
      </c>
      <c r="N1141" s="95">
        <f t="shared" si="301"/>
        <v>343.75</v>
      </c>
      <c r="O1141" s="95">
        <f t="shared" si="302"/>
        <v>343.75</v>
      </c>
      <c r="P1141" s="94">
        <f t="shared" si="303"/>
        <v>0</v>
      </c>
      <c r="Q1141" s="95">
        <f t="shared" si="304"/>
        <v>0</v>
      </c>
      <c r="R1141" s="96"/>
      <c r="S1141" s="97">
        <f t="shared" si="305"/>
        <v>11</v>
      </c>
      <c r="T1141" s="98">
        <f t="shared" si="300"/>
        <v>0</v>
      </c>
      <c r="U1141">
        <v>11</v>
      </c>
    </row>
    <row r="1142" spans="2:31" ht="20.100000000000001" customHeight="1">
      <c r="B1142" s="88">
        <v>9</v>
      </c>
      <c r="C1142" s="89" t="s">
        <v>2130</v>
      </c>
      <c r="D1142" s="90" t="s">
        <v>2671</v>
      </c>
      <c r="E1142" s="91" t="s">
        <v>2672</v>
      </c>
      <c r="F1142" s="315">
        <v>26.5</v>
      </c>
      <c r="G1142" s="260">
        <v>1</v>
      </c>
      <c r="H1142" s="260"/>
      <c r="I1142" s="309"/>
      <c r="J1142" s="199"/>
      <c r="K1142" s="269"/>
      <c r="L1142" s="93">
        <f t="shared" si="306"/>
        <v>1</v>
      </c>
      <c r="M1142" s="183">
        <v>1</v>
      </c>
      <c r="N1142" s="95">
        <f t="shared" si="301"/>
        <v>26.5</v>
      </c>
      <c r="O1142" s="95">
        <f t="shared" si="302"/>
        <v>26.5</v>
      </c>
      <c r="P1142" s="94">
        <f t="shared" si="303"/>
        <v>0</v>
      </c>
      <c r="Q1142" s="95">
        <f t="shared" si="304"/>
        <v>0</v>
      </c>
      <c r="R1142" s="96"/>
      <c r="S1142" s="97">
        <f t="shared" si="305"/>
        <v>1</v>
      </c>
      <c r="T1142" s="98">
        <f t="shared" si="300"/>
        <v>0</v>
      </c>
      <c r="U1142">
        <v>1</v>
      </c>
      <c r="V1142" s="99" t="s">
        <v>2673</v>
      </c>
    </row>
    <row r="1143" spans="2:31" ht="20.100000000000001" customHeight="1">
      <c r="B1143" s="88">
        <v>9</v>
      </c>
      <c r="C1143" s="89" t="s">
        <v>2130</v>
      </c>
      <c r="D1143" s="90" t="s">
        <v>2674</v>
      </c>
      <c r="E1143" s="91" t="s">
        <v>2675</v>
      </c>
      <c r="F1143" s="315">
        <v>47.5</v>
      </c>
      <c r="G1143" s="260">
        <v>8</v>
      </c>
      <c r="H1143" s="260"/>
      <c r="I1143" s="309"/>
      <c r="J1143" s="199"/>
      <c r="K1143" s="269">
        <v>5</v>
      </c>
      <c r="L1143" s="93">
        <f t="shared" si="306"/>
        <v>3</v>
      </c>
      <c r="M1143" s="183">
        <v>3</v>
      </c>
      <c r="N1143" s="95">
        <f t="shared" si="301"/>
        <v>142.5</v>
      </c>
      <c r="O1143" s="95">
        <f t="shared" si="302"/>
        <v>142.5</v>
      </c>
      <c r="P1143" s="94">
        <f t="shared" si="303"/>
        <v>0</v>
      </c>
      <c r="Q1143" s="95">
        <f t="shared" si="304"/>
        <v>0</v>
      </c>
      <c r="R1143" s="96"/>
      <c r="S1143" s="97">
        <f t="shared" si="305"/>
        <v>10</v>
      </c>
      <c r="T1143" s="98">
        <f t="shared" si="300"/>
        <v>-7</v>
      </c>
      <c r="U1143">
        <v>10</v>
      </c>
    </row>
    <row r="1144" spans="2:31" ht="20.100000000000001" customHeight="1">
      <c r="B1144" s="88">
        <v>9</v>
      </c>
      <c r="C1144" s="89" t="s">
        <v>2130</v>
      </c>
      <c r="D1144" s="90" t="s">
        <v>2676</v>
      </c>
      <c r="E1144" s="91" t="s">
        <v>2677</v>
      </c>
      <c r="F1144" s="315">
        <v>22.75</v>
      </c>
      <c r="G1144" s="260"/>
      <c r="H1144" s="260"/>
      <c r="I1144" s="309"/>
      <c r="J1144" s="199"/>
      <c r="K1144" s="269"/>
      <c r="L1144" s="93">
        <f t="shared" si="306"/>
        <v>0</v>
      </c>
      <c r="M1144" s="183"/>
      <c r="N1144" s="95">
        <f t="shared" si="301"/>
        <v>0</v>
      </c>
      <c r="O1144" s="95">
        <f t="shared" si="302"/>
        <v>0</v>
      </c>
      <c r="P1144" s="94">
        <f t="shared" si="303"/>
        <v>0</v>
      </c>
      <c r="Q1144" s="95">
        <f t="shared" si="304"/>
        <v>0</v>
      </c>
      <c r="R1144" s="348"/>
      <c r="S1144" s="97">
        <f t="shared" si="305"/>
        <v>0</v>
      </c>
      <c r="T1144" s="98">
        <f t="shared" si="300"/>
        <v>0</v>
      </c>
    </row>
    <row r="1145" spans="2:31" ht="20.100000000000001" customHeight="1">
      <c r="B1145" s="88">
        <v>9</v>
      </c>
      <c r="C1145" s="89" t="s">
        <v>2130</v>
      </c>
      <c r="D1145" s="90" t="s">
        <v>2678</v>
      </c>
      <c r="E1145" s="91" t="s">
        <v>2679</v>
      </c>
      <c r="F1145" s="315">
        <v>127.35</v>
      </c>
      <c r="G1145" s="260">
        <v>1</v>
      </c>
      <c r="H1145" s="260"/>
      <c r="I1145" s="309"/>
      <c r="J1145" s="199"/>
      <c r="K1145" s="269"/>
      <c r="L1145" s="93">
        <f t="shared" si="306"/>
        <v>1</v>
      </c>
      <c r="M1145" s="183">
        <v>1</v>
      </c>
      <c r="N1145" s="95">
        <f t="shared" si="301"/>
        <v>127.35</v>
      </c>
      <c r="O1145" s="95">
        <f t="shared" si="302"/>
        <v>127.35</v>
      </c>
      <c r="P1145" s="94">
        <f t="shared" si="303"/>
        <v>0</v>
      </c>
      <c r="Q1145" s="95">
        <f t="shared" si="304"/>
        <v>0</v>
      </c>
      <c r="R1145" s="348"/>
      <c r="S1145" s="97">
        <f t="shared" si="305"/>
        <v>1</v>
      </c>
      <c r="T1145" s="98">
        <f t="shared" ref="T1145:T1208" si="307">M1145-S1145</f>
        <v>0</v>
      </c>
      <c r="U1145">
        <v>1</v>
      </c>
    </row>
    <row r="1146" spans="2:31" ht="20.100000000000001" customHeight="1">
      <c r="B1146" s="88">
        <v>9</v>
      </c>
      <c r="C1146" s="89" t="s">
        <v>2130</v>
      </c>
      <c r="D1146" s="90" t="s">
        <v>2680</v>
      </c>
      <c r="E1146" s="91" t="s">
        <v>2681</v>
      </c>
      <c r="F1146" s="315">
        <v>71.3</v>
      </c>
      <c r="G1146" s="260">
        <v>3</v>
      </c>
      <c r="H1146" s="260"/>
      <c r="I1146" s="309"/>
      <c r="J1146" s="199"/>
      <c r="K1146" s="269">
        <v>1</v>
      </c>
      <c r="L1146" s="93">
        <f t="shared" si="306"/>
        <v>2</v>
      </c>
      <c r="M1146" s="183">
        <f>1+1</f>
        <v>2</v>
      </c>
      <c r="N1146" s="95">
        <f t="shared" ref="N1146:N1209" si="308">F1146*L1146</f>
        <v>142.6</v>
      </c>
      <c r="O1146" s="95">
        <f t="shared" ref="O1146:O1209" si="309">M1146*F1146</f>
        <v>142.6</v>
      </c>
      <c r="P1146" s="94">
        <f t="shared" ref="P1146:P1209" si="310">L1146-M1146</f>
        <v>0</v>
      </c>
      <c r="Q1146" s="95">
        <f t="shared" ref="Q1146:Q1209" si="311">N1146-O1146</f>
        <v>0</v>
      </c>
      <c r="R1146" s="96"/>
      <c r="S1146" s="97">
        <f t="shared" ref="S1146:S1209" si="312">U1146+Y1146+W1146+AA1146</f>
        <v>5</v>
      </c>
      <c r="T1146" s="98">
        <f t="shared" si="307"/>
        <v>-3</v>
      </c>
      <c r="U1146">
        <v>5</v>
      </c>
    </row>
    <row r="1147" spans="2:31" ht="20.100000000000001" customHeight="1">
      <c r="B1147" s="88">
        <v>9</v>
      </c>
      <c r="C1147" s="89" t="s">
        <v>2130</v>
      </c>
      <c r="D1147" s="90" t="s">
        <v>4990</v>
      </c>
      <c r="E1147" s="91" t="s">
        <v>4974</v>
      </c>
      <c r="F1147" s="315">
        <v>8.75</v>
      </c>
      <c r="G1147" s="260"/>
      <c r="H1147" s="260"/>
      <c r="I1147" s="309">
        <v>24</v>
      </c>
      <c r="J1147" s="199"/>
      <c r="K1147" s="269"/>
      <c r="L1147" s="93">
        <f t="shared" si="306"/>
        <v>24</v>
      </c>
      <c r="M1147" s="183">
        <v>24</v>
      </c>
      <c r="N1147" s="95">
        <f t="shared" ref="N1147" si="313">F1147*L1147</f>
        <v>210</v>
      </c>
      <c r="O1147" s="95">
        <f t="shared" ref="O1147" si="314">M1147*F1147</f>
        <v>210</v>
      </c>
      <c r="P1147" s="94">
        <f t="shared" ref="P1147" si="315">L1147-M1147</f>
        <v>0</v>
      </c>
      <c r="Q1147" s="95">
        <f t="shared" ref="Q1147" si="316">N1147-O1147</f>
        <v>0</v>
      </c>
      <c r="R1147" s="96"/>
      <c r="S1147" s="97">
        <f t="shared" ref="S1147" si="317">U1147+Y1147+W1147+AA1147</f>
        <v>48</v>
      </c>
      <c r="T1147" s="98">
        <f t="shared" ref="T1147" si="318">M1147-S1147</f>
        <v>-24</v>
      </c>
      <c r="Y1147">
        <v>48</v>
      </c>
    </row>
    <row r="1148" spans="2:31" ht="20.100000000000001" customHeight="1">
      <c r="B1148" s="88">
        <v>9</v>
      </c>
      <c r="C1148" s="89" t="s">
        <v>2130</v>
      </c>
      <c r="D1148" s="90" t="s">
        <v>4660</v>
      </c>
      <c r="E1148" s="91" t="s">
        <v>4661</v>
      </c>
      <c r="F1148" s="315">
        <v>14.5</v>
      </c>
      <c r="G1148" s="260"/>
      <c r="H1148" s="260"/>
      <c r="I1148" s="309">
        <v>24</v>
      </c>
      <c r="J1148" s="199"/>
      <c r="K1148" s="269">
        <v>7</v>
      </c>
      <c r="L1148" s="93">
        <f t="shared" si="306"/>
        <v>17</v>
      </c>
      <c r="M1148" s="183">
        <v>17</v>
      </c>
      <c r="N1148" s="95">
        <f t="shared" ref="N1148" si="319">F1148*L1148</f>
        <v>246.5</v>
      </c>
      <c r="O1148" s="95">
        <f t="shared" ref="O1148" si="320">M1148*F1148</f>
        <v>246.5</v>
      </c>
      <c r="P1148" s="94">
        <f t="shared" ref="P1148" si="321">L1148-M1148</f>
        <v>0</v>
      </c>
      <c r="Q1148" s="95">
        <f t="shared" ref="Q1148" si="322">N1148-O1148</f>
        <v>0</v>
      </c>
      <c r="R1148" s="96"/>
      <c r="S1148" s="97">
        <f t="shared" ref="S1148" si="323">U1148+Y1148+W1148+AA1148</f>
        <v>48</v>
      </c>
      <c r="T1148" s="98">
        <f t="shared" ref="T1148" si="324">M1148-S1148</f>
        <v>-31</v>
      </c>
      <c r="Y1148">
        <v>48</v>
      </c>
    </row>
    <row r="1149" spans="2:31" ht="20.100000000000001" customHeight="1">
      <c r="B1149" s="88">
        <v>9</v>
      </c>
      <c r="C1149" s="89" t="s">
        <v>2130</v>
      </c>
      <c r="D1149" s="90" t="s">
        <v>2682</v>
      </c>
      <c r="E1149" s="91" t="s">
        <v>2683</v>
      </c>
      <c r="F1149" s="315">
        <v>63.95</v>
      </c>
      <c r="G1149" s="260">
        <v>48</v>
      </c>
      <c r="H1149" s="260">
        <v>10</v>
      </c>
      <c r="I1149" s="309"/>
      <c r="J1149" s="199"/>
      <c r="K1149" s="269">
        <v>10</v>
      </c>
      <c r="L1149" s="93">
        <f t="shared" si="306"/>
        <v>48</v>
      </c>
      <c r="M1149" s="183">
        <v>48</v>
      </c>
      <c r="N1149" s="95">
        <f t="shared" si="308"/>
        <v>3069.6000000000004</v>
      </c>
      <c r="O1149" s="95">
        <f t="shared" si="309"/>
        <v>3069.6000000000004</v>
      </c>
      <c r="P1149" s="94">
        <f t="shared" si="310"/>
        <v>0</v>
      </c>
      <c r="Q1149" s="95">
        <f t="shared" si="311"/>
        <v>0</v>
      </c>
      <c r="R1149" s="278"/>
      <c r="S1149" s="97">
        <f t="shared" si="312"/>
        <v>48</v>
      </c>
      <c r="T1149" s="98">
        <f t="shared" si="307"/>
        <v>0</v>
      </c>
      <c r="Y1149">
        <v>48</v>
      </c>
    </row>
    <row r="1150" spans="2:31" ht="20.100000000000001" customHeight="1">
      <c r="B1150" s="88">
        <v>9</v>
      </c>
      <c r="C1150" s="89" t="s">
        <v>2130</v>
      </c>
      <c r="D1150" s="90" t="s">
        <v>2684</v>
      </c>
      <c r="E1150" s="91" t="s">
        <v>2685</v>
      </c>
      <c r="F1150" s="315">
        <v>5.92</v>
      </c>
      <c r="G1150" s="260">
        <v>406</v>
      </c>
      <c r="H1150" s="260"/>
      <c r="I1150" s="309"/>
      <c r="J1150" s="199"/>
      <c r="K1150" s="269">
        <v>6</v>
      </c>
      <c r="L1150" s="93">
        <f t="shared" si="306"/>
        <v>400</v>
      </c>
      <c r="M1150" s="183">
        <v>400</v>
      </c>
      <c r="N1150" s="95">
        <f t="shared" si="308"/>
        <v>2368</v>
      </c>
      <c r="O1150" s="95">
        <f t="shared" si="309"/>
        <v>2368</v>
      </c>
      <c r="P1150" s="94">
        <f t="shared" si="310"/>
        <v>0</v>
      </c>
      <c r="Q1150" s="95">
        <f t="shared" si="311"/>
        <v>0</v>
      </c>
      <c r="R1150" s="96"/>
      <c r="S1150" s="97">
        <f t="shared" si="312"/>
        <v>406</v>
      </c>
      <c r="T1150" s="98">
        <f t="shared" si="307"/>
        <v>-6</v>
      </c>
      <c r="U1150">
        <f>10+6+126</f>
        <v>142</v>
      </c>
      <c r="Y1150">
        <v>264</v>
      </c>
    </row>
    <row r="1151" spans="2:31" ht="20.100000000000001" customHeight="1">
      <c r="B1151" s="88">
        <v>9</v>
      </c>
      <c r="C1151" s="89" t="s">
        <v>2130</v>
      </c>
      <c r="D1151" s="90" t="s">
        <v>2686</v>
      </c>
      <c r="E1151" s="91" t="s">
        <v>2687</v>
      </c>
      <c r="F1151" s="315">
        <v>63.95</v>
      </c>
      <c r="G1151" s="260">
        <v>77</v>
      </c>
      <c r="H1151" s="260">
        <v>5</v>
      </c>
      <c r="I1151" s="309"/>
      <c r="J1151" s="199"/>
      <c r="K1151" s="269">
        <v>5</v>
      </c>
      <c r="L1151" s="93">
        <f t="shared" si="306"/>
        <v>77</v>
      </c>
      <c r="M1151" s="183">
        <f>77+70</f>
        <v>147</v>
      </c>
      <c r="N1151" s="95">
        <f t="shared" si="308"/>
        <v>4924.1500000000005</v>
      </c>
      <c r="O1151" s="95">
        <f t="shared" si="309"/>
        <v>9400.65</v>
      </c>
      <c r="P1151" s="94">
        <f t="shared" si="310"/>
        <v>-70</v>
      </c>
      <c r="Q1151" s="95">
        <f t="shared" si="311"/>
        <v>-4476.4999999999991</v>
      </c>
      <c r="R1151" s="278"/>
      <c r="S1151" s="97">
        <f t="shared" si="312"/>
        <v>78</v>
      </c>
      <c r="T1151" s="98">
        <f t="shared" si="307"/>
        <v>69</v>
      </c>
      <c r="U1151">
        <v>8</v>
      </c>
      <c r="Y1151">
        <f>24+46</f>
        <v>70</v>
      </c>
    </row>
    <row r="1152" spans="2:31" ht="20.100000000000001" customHeight="1">
      <c r="B1152" s="88">
        <v>9</v>
      </c>
      <c r="C1152" s="89" t="s">
        <v>2130</v>
      </c>
      <c r="D1152" s="90" t="s">
        <v>2688</v>
      </c>
      <c r="E1152" s="91" t="s">
        <v>2689</v>
      </c>
      <c r="F1152" s="315">
        <v>5.92</v>
      </c>
      <c r="G1152" s="260">
        <v>586</v>
      </c>
      <c r="H1152" s="260"/>
      <c r="I1152" s="309"/>
      <c r="J1152" s="199"/>
      <c r="K1152" s="269">
        <v>1</v>
      </c>
      <c r="L1152" s="93">
        <f t="shared" si="306"/>
        <v>585</v>
      </c>
      <c r="M1152" s="183">
        <v>585</v>
      </c>
      <c r="N1152" s="95">
        <f t="shared" si="308"/>
        <v>3463.2</v>
      </c>
      <c r="O1152" s="95">
        <f t="shared" si="309"/>
        <v>3463.2</v>
      </c>
      <c r="P1152" s="94">
        <f t="shared" si="310"/>
        <v>0</v>
      </c>
      <c r="Q1152" s="95">
        <f t="shared" si="311"/>
        <v>0</v>
      </c>
      <c r="R1152" s="96"/>
      <c r="S1152" s="97">
        <f t="shared" si="312"/>
        <v>584</v>
      </c>
      <c r="T1152" s="98">
        <f t="shared" si="307"/>
        <v>1</v>
      </c>
      <c r="U1152">
        <v>4</v>
      </c>
      <c r="Y1152">
        <v>576</v>
      </c>
      <c r="AA1152">
        <v>4</v>
      </c>
      <c r="AB1152" t="s">
        <v>1322</v>
      </c>
      <c r="AD1152">
        <f>AA1152</f>
        <v>4</v>
      </c>
      <c r="AE1152" s="100">
        <f>AD1152*F1152</f>
        <v>23.68</v>
      </c>
    </row>
    <row r="1153" spans="2:31" ht="20.100000000000001" customHeight="1">
      <c r="B1153" s="88">
        <v>9</v>
      </c>
      <c r="C1153" s="89" t="s">
        <v>2130</v>
      </c>
      <c r="D1153" s="90" t="s">
        <v>2690</v>
      </c>
      <c r="E1153" s="91" t="s">
        <v>2691</v>
      </c>
      <c r="F1153" s="315">
        <v>4.8</v>
      </c>
      <c r="G1153" s="260">
        <v>5</v>
      </c>
      <c r="H1153" s="260"/>
      <c r="I1153" s="309"/>
      <c r="J1153" s="199"/>
      <c r="K1153" s="269">
        <v>2</v>
      </c>
      <c r="L1153" s="93">
        <f t="shared" si="306"/>
        <v>3</v>
      </c>
      <c r="M1153" s="183">
        <v>3</v>
      </c>
      <c r="N1153" s="95">
        <f t="shared" si="308"/>
        <v>14.399999999999999</v>
      </c>
      <c r="O1153" s="95">
        <f t="shared" si="309"/>
        <v>14.399999999999999</v>
      </c>
      <c r="P1153" s="94">
        <f t="shared" si="310"/>
        <v>0</v>
      </c>
      <c r="Q1153" s="95">
        <f t="shared" si="311"/>
        <v>0</v>
      </c>
      <c r="R1153" s="96"/>
      <c r="S1153" s="97">
        <f t="shared" si="312"/>
        <v>4</v>
      </c>
      <c r="T1153" s="98">
        <f t="shared" si="307"/>
        <v>-1</v>
      </c>
      <c r="U1153">
        <v>1</v>
      </c>
      <c r="AA1153">
        <v>3</v>
      </c>
      <c r="AB1153" t="s">
        <v>1322</v>
      </c>
      <c r="AD1153">
        <f>AA1153</f>
        <v>3</v>
      </c>
      <c r="AE1153" s="100">
        <f>AD1153*F1153</f>
        <v>14.399999999999999</v>
      </c>
    </row>
    <row r="1154" spans="2:31" ht="20.100000000000001" customHeight="1">
      <c r="B1154" s="88">
        <v>9</v>
      </c>
      <c r="C1154" s="89" t="s">
        <v>2130</v>
      </c>
      <c r="D1154" s="90" t="s">
        <v>2692</v>
      </c>
      <c r="E1154" s="91" t="s">
        <v>2693</v>
      </c>
      <c r="F1154" s="315">
        <v>4.8</v>
      </c>
      <c r="G1154" s="260">
        <v>7</v>
      </c>
      <c r="H1154" s="260"/>
      <c r="I1154" s="309"/>
      <c r="J1154" s="199"/>
      <c r="K1154" s="269">
        <v>1</v>
      </c>
      <c r="L1154" s="93">
        <f t="shared" si="306"/>
        <v>6</v>
      </c>
      <c r="M1154" s="183">
        <v>13</v>
      </c>
      <c r="N1154" s="95">
        <f t="shared" si="308"/>
        <v>28.799999999999997</v>
      </c>
      <c r="O1154" s="95">
        <f t="shared" si="309"/>
        <v>62.4</v>
      </c>
      <c r="P1154" s="94">
        <f t="shared" si="310"/>
        <v>-7</v>
      </c>
      <c r="Q1154" s="95">
        <f t="shared" si="311"/>
        <v>-33.6</v>
      </c>
      <c r="R1154" s="96"/>
      <c r="S1154" s="97">
        <f t="shared" si="312"/>
        <v>8</v>
      </c>
      <c r="T1154" s="98">
        <f t="shared" si="307"/>
        <v>5</v>
      </c>
      <c r="U1154">
        <f>1+1</f>
        <v>2</v>
      </c>
      <c r="AA1154">
        <v>6</v>
      </c>
      <c r="AB1154" t="s">
        <v>1322</v>
      </c>
      <c r="AD1154">
        <f>AA1154</f>
        <v>6</v>
      </c>
      <c r="AE1154" s="100">
        <f>AD1154*F1154</f>
        <v>28.799999999999997</v>
      </c>
    </row>
    <row r="1155" spans="2:31" ht="20.100000000000001" customHeight="1">
      <c r="B1155" s="88">
        <v>9</v>
      </c>
      <c r="C1155" s="89" t="s">
        <v>2130</v>
      </c>
      <c r="D1155" s="90" t="s">
        <v>2694</v>
      </c>
      <c r="E1155" s="91" t="s">
        <v>2695</v>
      </c>
      <c r="F1155" s="315">
        <v>4.8</v>
      </c>
      <c r="G1155" s="260">
        <v>18</v>
      </c>
      <c r="H1155" s="260"/>
      <c r="I1155" s="309"/>
      <c r="J1155" s="199"/>
      <c r="K1155" s="269"/>
      <c r="L1155" s="93">
        <f t="shared" si="306"/>
        <v>18</v>
      </c>
      <c r="M1155" s="183">
        <v>18</v>
      </c>
      <c r="N1155" s="95">
        <f t="shared" si="308"/>
        <v>86.399999999999991</v>
      </c>
      <c r="O1155" s="95">
        <f t="shared" si="309"/>
        <v>86.399999999999991</v>
      </c>
      <c r="P1155" s="94">
        <f t="shared" si="310"/>
        <v>0</v>
      </c>
      <c r="Q1155" s="95">
        <f t="shared" si="311"/>
        <v>0</v>
      </c>
      <c r="R1155" s="96"/>
      <c r="S1155" s="97">
        <f t="shared" si="312"/>
        <v>18</v>
      </c>
      <c r="T1155" s="98">
        <f t="shared" si="307"/>
        <v>0</v>
      </c>
      <c r="U1155">
        <v>18</v>
      </c>
    </row>
    <row r="1156" spans="2:31" ht="20.100000000000001" customHeight="1">
      <c r="B1156" s="88">
        <v>9</v>
      </c>
      <c r="C1156" s="89" t="s">
        <v>2130</v>
      </c>
      <c r="D1156" s="90" t="s">
        <v>2696</v>
      </c>
      <c r="E1156" s="91" t="s">
        <v>2697</v>
      </c>
      <c r="F1156" s="315">
        <v>53.55</v>
      </c>
      <c r="G1156" s="260"/>
      <c r="H1156" s="260">
        <v>6</v>
      </c>
      <c r="I1156" s="309"/>
      <c r="J1156" s="199"/>
      <c r="K1156" s="269">
        <v>6</v>
      </c>
      <c r="L1156" s="93">
        <f t="shared" si="306"/>
        <v>0</v>
      </c>
      <c r="M1156" s="183"/>
      <c r="N1156" s="95">
        <f t="shared" si="308"/>
        <v>0</v>
      </c>
      <c r="O1156" s="95">
        <f t="shared" si="309"/>
        <v>0</v>
      </c>
      <c r="P1156" s="94">
        <f t="shared" si="310"/>
        <v>0</v>
      </c>
      <c r="Q1156" s="95">
        <f t="shared" si="311"/>
        <v>0</v>
      </c>
      <c r="R1156" s="96"/>
      <c r="S1156" s="97">
        <f t="shared" si="312"/>
        <v>0</v>
      </c>
      <c r="T1156" s="98">
        <f t="shared" si="307"/>
        <v>0</v>
      </c>
    </row>
    <row r="1157" spans="2:31" ht="20.100000000000001" customHeight="1">
      <c r="B1157" s="88">
        <v>9</v>
      </c>
      <c r="C1157" s="89" t="s">
        <v>2130</v>
      </c>
      <c r="D1157" s="90" t="s">
        <v>2698</v>
      </c>
      <c r="E1157" s="91" t="s">
        <v>2699</v>
      </c>
      <c r="F1157" s="315">
        <v>46.5</v>
      </c>
      <c r="G1157" s="260">
        <v>1</v>
      </c>
      <c r="H1157" s="260">
        <v>6</v>
      </c>
      <c r="I1157" s="309"/>
      <c r="J1157" s="199"/>
      <c r="K1157" s="269">
        <v>7</v>
      </c>
      <c r="L1157" s="93">
        <f t="shared" si="306"/>
        <v>0</v>
      </c>
      <c r="M1157" s="183"/>
      <c r="N1157" s="95">
        <f t="shared" si="308"/>
        <v>0</v>
      </c>
      <c r="O1157" s="95">
        <f t="shared" si="309"/>
        <v>0</v>
      </c>
      <c r="P1157" s="94">
        <f t="shared" si="310"/>
        <v>0</v>
      </c>
      <c r="Q1157" s="95">
        <f t="shared" si="311"/>
        <v>0</v>
      </c>
      <c r="R1157" s="278"/>
      <c r="S1157" s="97">
        <f t="shared" si="312"/>
        <v>2</v>
      </c>
      <c r="T1157" s="98">
        <f t="shared" si="307"/>
        <v>-2</v>
      </c>
      <c r="U1157">
        <v>2</v>
      </c>
    </row>
    <row r="1158" spans="2:31" ht="20.100000000000001" customHeight="1">
      <c r="B1158" s="88">
        <v>9</v>
      </c>
      <c r="C1158" s="89" t="s">
        <v>2130</v>
      </c>
      <c r="D1158" s="90" t="s">
        <v>2700</v>
      </c>
      <c r="E1158" s="91" t="s">
        <v>2701</v>
      </c>
      <c r="F1158" s="315">
        <v>27</v>
      </c>
      <c r="G1158" s="260">
        <v>6</v>
      </c>
      <c r="H1158" s="260"/>
      <c r="I1158" s="309"/>
      <c r="J1158" s="199"/>
      <c r="K1158" s="269"/>
      <c r="L1158" s="93">
        <f t="shared" si="306"/>
        <v>6</v>
      </c>
      <c r="M1158" s="183">
        <v>6</v>
      </c>
      <c r="N1158" s="95">
        <f t="shared" si="308"/>
        <v>162</v>
      </c>
      <c r="O1158" s="95">
        <f t="shared" si="309"/>
        <v>162</v>
      </c>
      <c r="P1158" s="94">
        <f t="shared" si="310"/>
        <v>0</v>
      </c>
      <c r="Q1158" s="95">
        <f t="shared" si="311"/>
        <v>0</v>
      </c>
      <c r="R1158" s="96"/>
      <c r="S1158" s="97">
        <f t="shared" si="312"/>
        <v>6</v>
      </c>
      <c r="T1158" s="98">
        <f t="shared" si="307"/>
        <v>0</v>
      </c>
      <c r="U1158">
        <v>6</v>
      </c>
    </row>
    <row r="1159" spans="2:31" ht="20.100000000000001" customHeight="1">
      <c r="B1159" s="88">
        <v>9</v>
      </c>
      <c r="C1159" s="89" t="s">
        <v>2130</v>
      </c>
      <c r="D1159" s="90" t="s">
        <v>2702</v>
      </c>
      <c r="E1159" s="91" t="s">
        <v>2703</v>
      </c>
      <c r="F1159" s="315">
        <v>39.35</v>
      </c>
      <c r="G1159" s="260"/>
      <c r="H1159" s="260"/>
      <c r="I1159" s="309"/>
      <c r="J1159" s="199"/>
      <c r="K1159" s="269"/>
      <c r="L1159" s="93">
        <f t="shared" si="306"/>
        <v>0</v>
      </c>
      <c r="M1159" s="183"/>
      <c r="N1159" s="95">
        <f t="shared" si="308"/>
        <v>0</v>
      </c>
      <c r="O1159" s="95">
        <f t="shared" si="309"/>
        <v>0</v>
      </c>
      <c r="P1159" s="94">
        <f t="shared" si="310"/>
        <v>0</v>
      </c>
      <c r="Q1159" s="95">
        <f t="shared" si="311"/>
        <v>0</v>
      </c>
      <c r="R1159" s="96"/>
      <c r="S1159" s="97">
        <f t="shared" si="312"/>
        <v>0</v>
      </c>
      <c r="T1159" s="98">
        <f t="shared" si="307"/>
        <v>0</v>
      </c>
    </row>
    <row r="1160" spans="2:31" ht="20.100000000000001" customHeight="1">
      <c r="B1160" s="88">
        <v>9</v>
      </c>
      <c r="C1160" s="89" t="s">
        <v>2130</v>
      </c>
      <c r="D1160" s="90" t="s">
        <v>2704</v>
      </c>
      <c r="E1160" s="91" t="s">
        <v>2705</v>
      </c>
      <c r="F1160" s="315">
        <v>27</v>
      </c>
      <c r="G1160" s="260">
        <v>12</v>
      </c>
      <c r="H1160" s="260"/>
      <c r="I1160" s="309"/>
      <c r="J1160" s="199"/>
      <c r="K1160" s="269">
        <v>1</v>
      </c>
      <c r="L1160" s="93">
        <f t="shared" si="306"/>
        <v>11</v>
      </c>
      <c r="M1160" s="183">
        <f>1+10</f>
        <v>11</v>
      </c>
      <c r="N1160" s="95">
        <f t="shared" si="308"/>
        <v>297</v>
      </c>
      <c r="O1160" s="95">
        <f t="shared" si="309"/>
        <v>297</v>
      </c>
      <c r="P1160" s="94">
        <f t="shared" si="310"/>
        <v>0</v>
      </c>
      <c r="Q1160" s="95">
        <f t="shared" si="311"/>
        <v>0</v>
      </c>
      <c r="R1160" s="96"/>
      <c r="S1160" s="97">
        <f t="shared" si="312"/>
        <v>12</v>
      </c>
      <c r="T1160" s="98">
        <f t="shared" si="307"/>
        <v>-1</v>
      </c>
      <c r="U1160">
        <f>11+1</f>
        <v>12</v>
      </c>
    </row>
    <row r="1161" spans="2:31" ht="20.100000000000001" customHeight="1">
      <c r="B1161" s="88">
        <v>9</v>
      </c>
      <c r="C1161" s="89" t="s">
        <v>2130</v>
      </c>
      <c r="D1161" s="90" t="s">
        <v>2706</v>
      </c>
      <c r="E1161" s="91" t="s">
        <v>2707</v>
      </c>
      <c r="F1161" s="315">
        <v>55</v>
      </c>
      <c r="G1161" s="260">
        <v>1</v>
      </c>
      <c r="H1161" s="260"/>
      <c r="I1161" s="309"/>
      <c r="J1161" s="199"/>
      <c r="K1161" s="269"/>
      <c r="L1161" s="93">
        <f t="shared" si="306"/>
        <v>1</v>
      </c>
      <c r="M1161" s="183">
        <v>1</v>
      </c>
      <c r="N1161" s="95">
        <f t="shared" si="308"/>
        <v>55</v>
      </c>
      <c r="O1161" s="95">
        <f t="shared" si="309"/>
        <v>55</v>
      </c>
      <c r="P1161" s="94">
        <f t="shared" si="310"/>
        <v>0</v>
      </c>
      <c r="Q1161" s="95">
        <f t="shared" si="311"/>
        <v>0</v>
      </c>
      <c r="R1161" s="96"/>
      <c r="S1161" s="97">
        <f t="shared" si="312"/>
        <v>1</v>
      </c>
      <c r="T1161" s="98">
        <f t="shared" si="307"/>
        <v>0</v>
      </c>
      <c r="U1161">
        <v>1</v>
      </c>
    </row>
    <row r="1162" spans="2:31" ht="20.100000000000001" customHeight="1">
      <c r="B1162" s="88">
        <v>9</v>
      </c>
      <c r="C1162" s="89" t="s">
        <v>2130</v>
      </c>
      <c r="D1162" s="90" t="s">
        <v>2708</v>
      </c>
      <c r="E1162" s="91" t="s">
        <v>2709</v>
      </c>
      <c r="F1162" s="315">
        <v>58</v>
      </c>
      <c r="G1162" s="260">
        <v>30</v>
      </c>
      <c r="H1162" s="260"/>
      <c r="I1162" s="309"/>
      <c r="J1162" s="199"/>
      <c r="K1162" s="269">
        <v>1</v>
      </c>
      <c r="L1162" s="93">
        <f t="shared" si="306"/>
        <v>29</v>
      </c>
      <c r="M1162" s="183">
        <v>29</v>
      </c>
      <c r="N1162" s="95">
        <f t="shared" si="308"/>
        <v>1682</v>
      </c>
      <c r="O1162" s="95">
        <f t="shared" si="309"/>
        <v>1682</v>
      </c>
      <c r="P1162" s="94">
        <f t="shared" si="310"/>
        <v>0</v>
      </c>
      <c r="Q1162" s="95">
        <f t="shared" si="311"/>
        <v>0</v>
      </c>
      <c r="R1162" s="96"/>
      <c r="S1162" s="97">
        <f t="shared" si="312"/>
        <v>30</v>
      </c>
      <c r="T1162" s="98">
        <f t="shared" si="307"/>
        <v>-1</v>
      </c>
      <c r="U1162">
        <v>12</v>
      </c>
      <c r="Y1162">
        <v>18</v>
      </c>
    </row>
    <row r="1163" spans="2:31" ht="20.100000000000001" customHeight="1">
      <c r="B1163" s="88">
        <v>9</v>
      </c>
      <c r="C1163" s="89" t="s">
        <v>2130</v>
      </c>
      <c r="D1163" s="90" t="s">
        <v>2710</v>
      </c>
      <c r="E1163" s="91" t="s">
        <v>2711</v>
      </c>
      <c r="F1163" s="315">
        <v>6.15</v>
      </c>
      <c r="G1163" s="260"/>
      <c r="H1163" s="260"/>
      <c r="I1163" s="309"/>
      <c r="J1163" s="199"/>
      <c r="K1163" s="269"/>
      <c r="L1163" s="93">
        <f t="shared" si="306"/>
        <v>0</v>
      </c>
      <c r="M1163" s="183"/>
      <c r="N1163" s="95">
        <f t="shared" si="308"/>
        <v>0</v>
      </c>
      <c r="O1163" s="95">
        <f t="shared" si="309"/>
        <v>0</v>
      </c>
      <c r="P1163" s="94">
        <f t="shared" si="310"/>
        <v>0</v>
      </c>
      <c r="Q1163" s="95">
        <f t="shared" si="311"/>
        <v>0</v>
      </c>
      <c r="R1163" s="96"/>
      <c r="S1163" s="97">
        <f t="shared" si="312"/>
        <v>0</v>
      </c>
      <c r="T1163" s="98">
        <f t="shared" si="307"/>
        <v>0</v>
      </c>
    </row>
    <row r="1164" spans="2:31" ht="20.100000000000001" customHeight="1">
      <c r="B1164" s="88">
        <v>9</v>
      </c>
      <c r="C1164" s="89" t="s">
        <v>2130</v>
      </c>
      <c r="D1164" s="90" t="s">
        <v>2712</v>
      </c>
      <c r="E1164" s="91" t="s">
        <v>2713</v>
      </c>
      <c r="F1164" s="315">
        <v>115.5</v>
      </c>
      <c r="G1164" s="260">
        <v>3</v>
      </c>
      <c r="H1164" s="260"/>
      <c r="I1164" s="309"/>
      <c r="J1164" s="199"/>
      <c r="K1164" s="269"/>
      <c r="L1164" s="93">
        <f t="shared" si="306"/>
        <v>3</v>
      </c>
      <c r="M1164" s="183">
        <v>3</v>
      </c>
      <c r="N1164" s="95">
        <f t="shared" si="308"/>
        <v>346.5</v>
      </c>
      <c r="O1164" s="95">
        <f t="shared" si="309"/>
        <v>346.5</v>
      </c>
      <c r="P1164" s="94">
        <f t="shared" si="310"/>
        <v>0</v>
      </c>
      <c r="Q1164" s="95">
        <f t="shared" si="311"/>
        <v>0</v>
      </c>
      <c r="R1164" s="96"/>
      <c r="S1164" s="97">
        <f t="shared" si="312"/>
        <v>2</v>
      </c>
      <c r="T1164" s="98">
        <f t="shared" si="307"/>
        <v>1</v>
      </c>
      <c r="U1164">
        <v>2</v>
      </c>
    </row>
    <row r="1165" spans="2:31" ht="20.100000000000001" customHeight="1">
      <c r="B1165" s="88">
        <v>9</v>
      </c>
      <c r="C1165" s="89" t="s">
        <v>2130</v>
      </c>
      <c r="D1165" s="90" t="s">
        <v>2714</v>
      </c>
      <c r="E1165" s="91" t="s">
        <v>2715</v>
      </c>
      <c r="F1165" s="315">
        <v>104.5</v>
      </c>
      <c r="G1165" s="260">
        <v>1</v>
      </c>
      <c r="H1165" s="260"/>
      <c r="I1165" s="309"/>
      <c r="J1165" s="199"/>
      <c r="K1165" s="269"/>
      <c r="L1165" s="93">
        <f t="shared" si="306"/>
        <v>1</v>
      </c>
      <c r="M1165" s="183">
        <v>1</v>
      </c>
      <c r="N1165" s="95">
        <f t="shared" si="308"/>
        <v>104.5</v>
      </c>
      <c r="O1165" s="95">
        <f t="shared" si="309"/>
        <v>104.5</v>
      </c>
      <c r="P1165" s="94">
        <f t="shared" si="310"/>
        <v>0</v>
      </c>
      <c r="Q1165" s="95">
        <f t="shared" si="311"/>
        <v>0</v>
      </c>
      <c r="R1165" s="96"/>
      <c r="S1165" s="97">
        <f t="shared" si="312"/>
        <v>1</v>
      </c>
      <c r="T1165" s="98">
        <f t="shared" si="307"/>
        <v>0</v>
      </c>
      <c r="U1165">
        <v>1</v>
      </c>
    </row>
    <row r="1166" spans="2:31" ht="20.100000000000001" customHeight="1">
      <c r="B1166" s="88">
        <v>9</v>
      </c>
      <c r="C1166" s="89" t="s">
        <v>2130</v>
      </c>
      <c r="D1166" s="90" t="s">
        <v>2716</v>
      </c>
      <c r="E1166" s="91" t="s">
        <v>2717</v>
      </c>
      <c r="F1166" s="315">
        <v>132</v>
      </c>
      <c r="G1166" s="260">
        <v>1</v>
      </c>
      <c r="H1166" s="260"/>
      <c r="I1166" s="309"/>
      <c r="J1166" s="199"/>
      <c r="K1166" s="269"/>
      <c r="L1166" s="93">
        <f t="shared" si="306"/>
        <v>1</v>
      </c>
      <c r="M1166" s="183">
        <v>1</v>
      </c>
      <c r="N1166" s="95">
        <f t="shared" si="308"/>
        <v>132</v>
      </c>
      <c r="O1166" s="95">
        <f t="shared" si="309"/>
        <v>132</v>
      </c>
      <c r="P1166" s="94">
        <f t="shared" si="310"/>
        <v>0</v>
      </c>
      <c r="Q1166" s="95">
        <f t="shared" si="311"/>
        <v>0</v>
      </c>
      <c r="R1166" s="96"/>
      <c r="S1166" s="97">
        <f t="shared" si="312"/>
        <v>1</v>
      </c>
      <c r="T1166" s="98">
        <f t="shared" si="307"/>
        <v>0</v>
      </c>
      <c r="U1166">
        <v>1</v>
      </c>
    </row>
    <row r="1167" spans="2:31" ht="20.100000000000001" customHeight="1">
      <c r="B1167" s="88">
        <v>9</v>
      </c>
      <c r="C1167" s="89" t="s">
        <v>2130</v>
      </c>
      <c r="D1167" s="90" t="s">
        <v>2718</v>
      </c>
      <c r="E1167" s="91" t="s">
        <v>2719</v>
      </c>
      <c r="F1167" s="315">
        <v>143.25</v>
      </c>
      <c r="G1167" s="260"/>
      <c r="H1167" s="260"/>
      <c r="I1167" s="309"/>
      <c r="J1167" s="199"/>
      <c r="K1167" s="269"/>
      <c r="L1167" s="93">
        <f t="shared" si="306"/>
        <v>0</v>
      </c>
      <c r="M1167" s="183"/>
      <c r="N1167" s="95">
        <f t="shared" si="308"/>
        <v>0</v>
      </c>
      <c r="O1167" s="95">
        <f t="shared" si="309"/>
        <v>0</v>
      </c>
      <c r="P1167" s="94">
        <f t="shared" si="310"/>
        <v>0</v>
      </c>
      <c r="Q1167" s="95">
        <f t="shared" si="311"/>
        <v>0</v>
      </c>
      <c r="R1167" s="96"/>
      <c r="S1167" s="97">
        <f t="shared" si="312"/>
        <v>0</v>
      </c>
      <c r="T1167" s="98">
        <f t="shared" si="307"/>
        <v>0</v>
      </c>
    </row>
    <row r="1168" spans="2:31" ht="30">
      <c r="B1168" s="88">
        <v>9</v>
      </c>
      <c r="C1168" s="89" t="s">
        <v>2130</v>
      </c>
      <c r="D1168" s="90" t="s">
        <v>2720</v>
      </c>
      <c r="E1168" s="91" t="s">
        <v>2721</v>
      </c>
      <c r="F1168" s="315">
        <v>60.5</v>
      </c>
      <c r="G1168" s="260">
        <v>4</v>
      </c>
      <c r="H1168" s="260"/>
      <c r="I1168" s="309"/>
      <c r="J1168" s="199"/>
      <c r="K1168" s="269"/>
      <c r="L1168" s="93">
        <f t="shared" si="306"/>
        <v>4</v>
      </c>
      <c r="M1168" s="183">
        <v>4</v>
      </c>
      <c r="N1168" s="95">
        <f t="shared" si="308"/>
        <v>242</v>
      </c>
      <c r="O1168" s="95">
        <f t="shared" si="309"/>
        <v>242</v>
      </c>
      <c r="P1168" s="94">
        <f t="shared" si="310"/>
        <v>0</v>
      </c>
      <c r="Q1168" s="95">
        <f t="shared" si="311"/>
        <v>0</v>
      </c>
      <c r="R1168" s="96"/>
      <c r="S1168" s="97">
        <f t="shared" si="312"/>
        <v>48</v>
      </c>
      <c r="T1168" s="98">
        <f t="shared" si="307"/>
        <v>-44</v>
      </c>
      <c r="U1168">
        <v>48</v>
      </c>
    </row>
    <row r="1169" spans="2:31" ht="20.100000000000001" customHeight="1">
      <c r="B1169" s="88">
        <v>9</v>
      </c>
      <c r="C1169" s="89" t="s">
        <v>2130</v>
      </c>
      <c r="D1169" s="90" t="s">
        <v>2722</v>
      </c>
      <c r="E1169" s="91" t="s">
        <v>2723</v>
      </c>
      <c r="F1169" s="315">
        <v>66</v>
      </c>
      <c r="G1169" s="260"/>
      <c r="H1169" s="260"/>
      <c r="I1169" s="309"/>
      <c r="J1169" s="199"/>
      <c r="K1169" s="269"/>
      <c r="L1169" s="93">
        <f t="shared" si="306"/>
        <v>0</v>
      </c>
      <c r="M1169" s="183"/>
      <c r="N1169" s="95">
        <f t="shared" si="308"/>
        <v>0</v>
      </c>
      <c r="O1169" s="95">
        <f t="shared" si="309"/>
        <v>0</v>
      </c>
      <c r="P1169" s="94">
        <f t="shared" si="310"/>
        <v>0</v>
      </c>
      <c r="Q1169" s="95">
        <f t="shared" si="311"/>
        <v>0</v>
      </c>
      <c r="R1169" s="96"/>
      <c r="S1169" s="97">
        <f t="shared" si="312"/>
        <v>0</v>
      </c>
      <c r="T1169" s="98">
        <f t="shared" si="307"/>
        <v>0</v>
      </c>
    </row>
    <row r="1170" spans="2:31" ht="20.100000000000001" customHeight="1">
      <c r="B1170" s="88">
        <v>9</v>
      </c>
      <c r="C1170" s="89" t="s">
        <v>2130</v>
      </c>
      <c r="D1170" s="90" t="s">
        <v>2724</v>
      </c>
      <c r="E1170" s="91" t="s">
        <v>2725</v>
      </c>
      <c r="F1170" s="315">
        <v>6</v>
      </c>
      <c r="G1170" s="260">
        <v>143</v>
      </c>
      <c r="H1170" s="260"/>
      <c r="I1170" s="309"/>
      <c r="J1170" s="199"/>
      <c r="K1170" s="269">
        <v>18</v>
      </c>
      <c r="L1170" s="93">
        <f t="shared" si="306"/>
        <v>125</v>
      </c>
      <c r="M1170" s="183">
        <v>124</v>
      </c>
      <c r="N1170" s="95">
        <f t="shared" si="308"/>
        <v>750</v>
      </c>
      <c r="O1170" s="95">
        <f t="shared" si="309"/>
        <v>744</v>
      </c>
      <c r="P1170" s="94">
        <f t="shared" si="310"/>
        <v>1</v>
      </c>
      <c r="Q1170" s="95">
        <f t="shared" si="311"/>
        <v>6</v>
      </c>
      <c r="R1170" s="96"/>
      <c r="S1170" s="97">
        <f t="shared" si="312"/>
        <v>168</v>
      </c>
      <c r="T1170" s="98">
        <f t="shared" si="307"/>
        <v>-44</v>
      </c>
      <c r="U1170">
        <v>168</v>
      </c>
    </row>
    <row r="1171" spans="2:31" ht="30">
      <c r="B1171" s="88">
        <v>9</v>
      </c>
      <c r="C1171" s="89" t="s">
        <v>2130</v>
      </c>
      <c r="D1171" s="90" t="s">
        <v>2726</v>
      </c>
      <c r="E1171" s="91" t="s">
        <v>2727</v>
      </c>
      <c r="F1171" s="315">
        <v>4.5</v>
      </c>
      <c r="G1171" s="260">
        <v>127</v>
      </c>
      <c r="H1171" s="260">
        <v>64</v>
      </c>
      <c r="I1171" s="309"/>
      <c r="J1171" s="199"/>
      <c r="K1171" s="269">
        <v>64</v>
      </c>
      <c r="L1171" s="93">
        <f t="shared" si="306"/>
        <v>127</v>
      </c>
      <c r="M1171" s="183">
        <f>43+84</f>
        <v>127</v>
      </c>
      <c r="N1171" s="95">
        <f t="shared" si="308"/>
        <v>571.5</v>
      </c>
      <c r="O1171" s="95">
        <f t="shared" si="309"/>
        <v>571.5</v>
      </c>
      <c r="P1171" s="94">
        <f t="shared" si="310"/>
        <v>0</v>
      </c>
      <c r="Q1171" s="95">
        <f t="shared" si="311"/>
        <v>0</v>
      </c>
      <c r="R1171" s="278"/>
      <c r="S1171" s="97">
        <f t="shared" si="312"/>
        <v>126</v>
      </c>
      <c r="T1171" s="98">
        <f t="shared" si="307"/>
        <v>1</v>
      </c>
      <c r="U1171">
        <v>42</v>
      </c>
      <c r="Y1171">
        <v>84</v>
      </c>
    </row>
    <row r="1172" spans="2:31" ht="20.100000000000001" customHeight="1">
      <c r="B1172" s="88">
        <v>9</v>
      </c>
      <c r="C1172" s="89" t="s">
        <v>2130</v>
      </c>
      <c r="D1172" s="90" t="s">
        <v>2728</v>
      </c>
      <c r="E1172" s="91" t="s">
        <v>2729</v>
      </c>
      <c r="F1172" s="315">
        <v>5</v>
      </c>
      <c r="G1172" s="260">
        <v>332</v>
      </c>
      <c r="H1172" s="260"/>
      <c r="I1172" s="309"/>
      <c r="J1172" s="199"/>
      <c r="K1172" s="269"/>
      <c r="L1172" s="93">
        <f t="shared" si="306"/>
        <v>332</v>
      </c>
      <c r="M1172" s="183">
        <f>8+324</f>
        <v>332</v>
      </c>
      <c r="N1172" s="95">
        <f t="shared" si="308"/>
        <v>1660</v>
      </c>
      <c r="O1172" s="95">
        <f t="shared" si="309"/>
        <v>1660</v>
      </c>
      <c r="P1172" s="94">
        <f t="shared" si="310"/>
        <v>0</v>
      </c>
      <c r="Q1172" s="95">
        <f t="shared" si="311"/>
        <v>0</v>
      </c>
      <c r="R1172" s="96"/>
      <c r="S1172" s="97">
        <f t="shared" si="312"/>
        <v>331</v>
      </c>
      <c r="T1172" s="98">
        <f t="shared" si="307"/>
        <v>1</v>
      </c>
      <c r="U1172">
        <v>7</v>
      </c>
      <c r="Y1172">
        <f>180+144</f>
        <v>324</v>
      </c>
    </row>
    <row r="1173" spans="2:31" ht="20.100000000000001" customHeight="1">
      <c r="B1173" s="88">
        <v>9</v>
      </c>
      <c r="C1173" s="89" t="s">
        <v>2130</v>
      </c>
      <c r="D1173" s="90" t="s">
        <v>2730</v>
      </c>
      <c r="E1173" s="91" t="s">
        <v>2731</v>
      </c>
      <c r="F1173" s="315">
        <v>6</v>
      </c>
      <c r="G1173" s="260">
        <v>134</v>
      </c>
      <c r="H1173" s="260"/>
      <c r="I1173" s="309"/>
      <c r="J1173" s="199"/>
      <c r="K1173" s="269"/>
      <c r="L1173" s="93">
        <f t="shared" si="306"/>
        <v>134</v>
      </c>
      <c r="M1173" s="183">
        <f>2+132</f>
        <v>134</v>
      </c>
      <c r="N1173" s="95">
        <f t="shared" si="308"/>
        <v>804</v>
      </c>
      <c r="O1173" s="95">
        <f t="shared" si="309"/>
        <v>804</v>
      </c>
      <c r="P1173" s="94">
        <f t="shared" si="310"/>
        <v>0</v>
      </c>
      <c r="Q1173" s="95">
        <f t="shared" si="311"/>
        <v>0</v>
      </c>
      <c r="R1173" s="96"/>
      <c r="S1173" s="97">
        <f t="shared" si="312"/>
        <v>134</v>
      </c>
      <c r="T1173" s="98">
        <f t="shared" si="307"/>
        <v>0</v>
      </c>
      <c r="U1173">
        <v>2</v>
      </c>
      <c r="Y1173">
        <v>132</v>
      </c>
    </row>
    <row r="1174" spans="2:31" ht="20.100000000000001" customHeight="1">
      <c r="B1174" s="88">
        <v>9</v>
      </c>
      <c r="C1174" s="89" t="s">
        <v>2130</v>
      </c>
      <c r="D1174" s="90" t="s">
        <v>2732</v>
      </c>
      <c r="E1174" s="91" t="s">
        <v>2733</v>
      </c>
      <c r="F1174" s="315">
        <v>45</v>
      </c>
      <c r="G1174" s="260"/>
      <c r="H1174" s="260">
        <v>6</v>
      </c>
      <c r="I1174" s="309"/>
      <c r="J1174" s="199"/>
      <c r="K1174" s="269">
        <v>6</v>
      </c>
      <c r="L1174" s="93">
        <f t="shared" si="306"/>
        <v>0</v>
      </c>
      <c r="M1174" s="183"/>
      <c r="N1174" s="95">
        <f t="shared" si="308"/>
        <v>0</v>
      </c>
      <c r="O1174" s="95">
        <f t="shared" si="309"/>
        <v>0</v>
      </c>
      <c r="P1174" s="94">
        <f t="shared" si="310"/>
        <v>0</v>
      </c>
      <c r="Q1174" s="95">
        <f t="shared" si="311"/>
        <v>0</v>
      </c>
      <c r="R1174" s="278"/>
      <c r="S1174" s="97">
        <f t="shared" si="312"/>
        <v>0</v>
      </c>
      <c r="T1174" s="98">
        <f t="shared" si="307"/>
        <v>0</v>
      </c>
    </row>
    <row r="1175" spans="2:31" ht="20.100000000000001" customHeight="1">
      <c r="B1175" s="88">
        <v>9</v>
      </c>
      <c r="C1175" s="89" t="s">
        <v>2130</v>
      </c>
      <c r="D1175" s="90" t="s">
        <v>2734</v>
      </c>
      <c r="E1175" s="91" t="s">
        <v>2735</v>
      </c>
      <c r="F1175" s="315">
        <v>4.3499999999999996</v>
      </c>
      <c r="G1175" s="260">
        <v>2</v>
      </c>
      <c r="H1175" s="260"/>
      <c r="I1175" s="309"/>
      <c r="J1175" s="199"/>
      <c r="K1175" s="269">
        <v>2</v>
      </c>
      <c r="L1175" s="93">
        <f t="shared" si="306"/>
        <v>0</v>
      </c>
      <c r="M1175" s="183">
        <v>1</v>
      </c>
      <c r="N1175" s="95">
        <f t="shared" si="308"/>
        <v>0</v>
      </c>
      <c r="O1175" s="95">
        <f t="shared" si="309"/>
        <v>4.3499999999999996</v>
      </c>
      <c r="P1175" s="94">
        <f t="shared" si="310"/>
        <v>-1</v>
      </c>
      <c r="Q1175" s="95">
        <f t="shared" si="311"/>
        <v>-4.3499999999999996</v>
      </c>
      <c r="R1175" s="278"/>
      <c r="S1175" s="97">
        <f t="shared" si="312"/>
        <v>2</v>
      </c>
      <c r="T1175" s="98">
        <f t="shared" si="307"/>
        <v>-1</v>
      </c>
      <c r="U1175">
        <v>2</v>
      </c>
    </row>
    <row r="1176" spans="2:31" ht="20.100000000000001" customHeight="1">
      <c r="B1176" s="88">
        <v>9</v>
      </c>
      <c r="C1176" s="89" t="s">
        <v>2130</v>
      </c>
      <c r="D1176" s="90" t="s">
        <v>2736</v>
      </c>
      <c r="E1176" s="91" t="s">
        <v>2737</v>
      </c>
      <c r="F1176" s="315">
        <v>26.86</v>
      </c>
      <c r="G1176" s="260"/>
      <c r="H1176" s="260"/>
      <c r="I1176" s="309"/>
      <c r="J1176" s="199"/>
      <c r="K1176" s="269"/>
      <c r="L1176" s="93">
        <f t="shared" si="306"/>
        <v>0</v>
      </c>
      <c r="M1176" s="183"/>
      <c r="N1176" s="95">
        <f t="shared" si="308"/>
        <v>0</v>
      </c>
      <c r="O1176" s="95">
        <f t="shared" si="309"/>
        <v>0</v>
      </c>
      <c r="P1176" s="94">
        <f t="shared" si="310"/>
        <v>0</v>
      </c>
      <c r="Q1176" s="95">
        <f t="shared" si="311"/>
        <v>0</v>
      </c>
      <c r="R1176" s="96"/>
      <c r="S1176" s="97">
        <f t="shared" si="312"/>
        <v>0</v>
      </c>
      <c r="T1176" s="98">
        <f t="shared" si="307"/>
        <v>0</v>
      </c>
    </row>
    <row r="1177" spans="2:31" ht="20.100000000000001" customHeight="1">
      <c r="B1177" s="88">
        <v>9</v>
      </c>
      <c r="C1177" s="89" t="s">
        <v>2130</v>
      </c>
      <c r="D1177" s="90" t="s">
        <v>2738</v>
      </c>
      <c r="E1177" s="91" t="s">
        <v>2739</v>
      </c>
      <c r="F1177" s="315">
        <v>46.08</v>
      </c>
      <c r="G1177" s="260"/>
      <c r="H1177" s="260"/>
      <c r="I1177" s="309"/>
      <c r="J1177" s="199"/>
      <c r="K1177" s="269"/>
      <c r="L1177" s="93">
        <f t="shared" si="306"/>
        <v>0</v>
      </c>
      <c r="M1177" s="183"/>
      <c r="N1177" s="95">
        <f t="shared" si="308"/>
        <v>0</v>
      </c>
      <c r="O1177" s="95">
        <f t="shared" si="309"/>
        <v>0</v>
      </c>
      <c r="P1177" s="94">
        <f t="shared" si="310"/>
        <v>0</v>
      </c>
      <c r="Q1177" s="95">
        <f t="shared" si="311"/>
        <v>0</v>
      </c>
      <c r="R1177" s="96"/>
      <c r="S1177" s="97">
        <f t="shared" si="312"/>
        <v>0</v>
      </c>
      <c r="T1177" s="98">
        <f t="shared" si="307"/>
        <v>0</v>
      </c>
    </row>
    <row r="1178" spans="2:31" ht="20.100000000000001" customHeight="1">
      <c r="B1178" s="88">
        <v>9</v>
      </c>
      <c r="C1178" s="89" t="s">
        <v>2130</v>
      </c>
      <c r="D1178" s="90" t="s">
        <v>2740</v>
      </c>
      <c r="E1178" s="91" t="s">
        <v>2741</v>
      </c>
      <c r="F1178" s="315">
        <v>56.66</v>
      </c>
      <c r="G1178" s="260">
        <v>5</v>
      </c>
      <c r="H1178" s="260">
        <v>7</v>
      </c>
      <c r="I1178" s="309"/>
      <c r="J1178" s="199"/>
      <c r="K1178" s="269">
        <v>7</v>
      </c>
      <c r="L1178" s="93">
        <f t="shared" si="306"/>
        <v>5</v>
      </c>
      <c r="M1178" s="183">
        <v>5</v>
      </c>
      <c r="N1178" s="95">
        <f t="shared" si="308"/>
        <v>283.29999999999995</v>
      </c>
      <c r="O1178" s="95">
        <f t="shared" si="309"/>
        <v>283.29999999999995</v>
      </c>
      <c r="P1178" s="94">
        <f t="shared" si="310"/>
        <v>0</v>
      </c>
      <c r="Q1178" s="95">
        <f t="shared" si="311"/>
        <v>0</v>
      </c>
      <c r="R1178" s="278"/>
      <c r="S1178" s="97">
        <f t="shared" si="312"/>
        <v>60</v>
      </c>
      <c r="T1178" s="98">
        <f t="shared" si="307"/>
        <v>-55</v>
      </c>
      <c r="U1178">
        <v>60</v>
      </c>
    </row>
    <row r="1179" spans="2:31" ht="20.100000000000001" customHeight="1">
      <c r="B1179" s="88">
        <v>9</v>
      </c>
      <c r="C1179" s="89" t="s">
        <v>2130</v>
      </c>
      <c r="D1179" s="90" t="s">
        <v>2742</v>
      </c>
      <c r="E1179" s="91" t="s">
        <v>2743</v>
      </c>
      <c r="F1179" s="315">
        <v>5.15</v>
      </c>
      <c r="G1179" s="260">
        <v>112</v>
      </c>
      <c r="H1179" s="260"/>
      <c r="I1179" s="309"/>
      <c r="J1179" s="199"/>
      <c r="K1179" s="269">
        <v>3</v>
      </c>
      <c r="L1179" s="93">
        <f t="shared" si="306"/>
        <v>109</v>
      </c>
      <c r="M1179" s="183">
        <f>6+108</f>
        <v>114</v>
      </c>
      <c r="N1179" s="95">
        <f t="shared" si="308"/>
        <v>561.35</v>
      </c>
      <c r="O1179" s="95">
        <f t="shared" si="309"/>
        <v>587.1</v>
      </c>
      <c r="P1179" s="94">
        <f t="shared" si="310"/>
        <v>-5</v>
      </c>
      <c r="Q1179" s="95">
        <f t="shared" si="311"/>
        <v>-25.75</v>
      </c>
      <c r="R1179" s="278"/>
      <c r="S1179" s="97">
        <f t="shared" si="312"/>
        <v>115</v>
      </c>
      <c r="T1179" s="98">
        <f t="shared" si="307"/>
        <v>-1</v>
      </c>
      <c r="U1179">
        <v>7</v>
      </c>
      <c r="Y1179">
        <v>108</v>
      </c>
    </row>
    <row r="1180" spans="2:31" ht="20.100000000000001" customHeight="1">
      <c r="B1180" s="88">
        <v>9</v>
      </c>
      <c r="C1180" s="89" t="s">
        <v>2130</v>
      </c>
      <c r="D1180" s="90" t="s">
        <v>2744</v>
      </c>
      <c r="E1180" s="91" t="s">
        <v>2745</v>
      </c>
      <c r="F1180" s="315">
        <v>5.15</v>
      </c>
      <c r="G1180" s="260">
        <v>156</v>
      </c>
      <c r="H1180" s="260"/>
      <c r="I1180" s="309"/>
      <c r="J1180" s="199"/>
      <c r="K1180" s="269"/>
      <c r="L1180" s="93">
        <f t="shared" si="306"/>
        <v>156</v>
      </c>
      <c r="M1180" s="183">
        <v>156</v>
      </c>
      <c r="N1180" s="95">
        <f t="shared" si="308"/>
        <v>803.40000000000009</v>
      </c>
      <c r="O1180" s="95">
        <f t="shared" si="309"/>
        <v>803.40000000000009</v>
      </c>
      <c r="P1180" s="94">
        <f t="shared" si="310"/>
        <v>0</v>
      </c>
      <c r="Q1180" s="95">
        <f t="shared" si="311"/>
        <v>0</v>
      </c>
      <c r="R1180" s="96"/>
      <c r="S1180" s="97">
        <f t="shared" si="312"/>
        <v>157</v>
      </c>
      <c r="T1180" s="98">
        <f t="shared" si="307"/>
        <v>-1</v>
      </c>
      <c r="U1180">
        <v>1</v>
      </c>
      <c r="Y1180">
        <v>156</v>
      </c>
    </row>
    <row r="1181" spans="2:31" ht="20.100000000000001" customHeight="1">
      <c r="B1181" s="88">
        <v>9</v>
      </c>
      <c r="C1181" s="89" t="s">
        <v>2130</v>
      </c>
      <c r="D1181" s="90" t="s">
        <v>2746</v>
      </c>
      <c r="E1181" s="91" t="s">
        <v>2747</v>
      </c>
      <c r="F1181" s="315">
        <v>25</v>
      </c>
      <c r="G1181" s="260">
        <v>2</v>
      </c>
      <c r="H1181" s="260"/>
      <c r="I1181" s="309"/>
      <c r="J1181" s="199"/>
      <c r="K1181" s="269"/>
      <c r="L1181" s="93">
        <f t="shared" si="306"/>
        <v>2</v>
      </c>
      <c r="M1181" s="183">
        <v>2</v>
      </c>
      <c r="N1181" s="95">
        <f t="shared" si="308"/>
        <v>50</v>
      </c>
      <c r="O1181" s="95">
        <f t="shared" si="309"/>
        <v>50</v>
      </c>
      <c r="P1181" s="94">
        <f t="shared" si="310"/>
        <v>0</v>
      </c>
      <c r="Q1181" s="95">
        <f t="shared" si="311"/>
        <v>0</v>
      </c>
      <c r="R1181" s="96" t="s">
        <v>2587</v>
      </c>
      <c r="S1181" s="97">
        <f t="shared" si="312"/>
        <v>2</v>
      </c>
      <c r="T1181" s="98">
        <f t="shared" si="307"/>
        <v>0</v>
      </c>
      <c r="U1181">
        <v>2</v>
      </c>
      <c r="V1181" s="99" t="s">
        <v>479</v>
      </c>
      <c r="AD1181" s="18">
        <f>M1181</f>
        <v>2</v>
      </c>
      <c r="AE1181" s="100">
        <f>AD1181*F1181</f>
        <v>50</v>
      </c>
    </row>
    <row r="1182" spans="2:31" ht="20.100000000000001" customHeight="1">
      <c r="B1182" s="88">
        <v>10</v>
      </c>
      <c r="C1182" s="89" t="s">
        <v>2748</v>
      </c>
      <c r="D1182" s="90" t="s">
        <v>2749</v>
      </c>
      <c r="E1182" s="91" t="s">
        <v>2750</v>
      </c>
      <c r="F1182" s="315">
        <v>55</v>
      </c>
      <c r="G1182" s="260">
        <v>3</v>
      </c>
      <c r="H1182" s="260"/>
      <c r="I1182" s="309"/>
      <c r="J1182" s="199"/>
      <c r="K1182" s="269"/>
      <c r="L1182" s="93">
        <f t="shared" si="306"/>
        <v>3</v>
      </c>
      <c r="M1182" s="183">
        <v>3</v>
      </c>
      <c r="N1182" s="95">
        <f t="shared" si="308"/>
        <v>165</v>
      </c>
      <c r="O1182" s="95">
        <f t="shared" si="309"/>
        <v>165</v>
      </c>
      <c r="P1182" s="94">
        <f t="shared" si="310"/>
        <v>0</v>
      </c>
      <c r="Q1182" s="95">
        <f t="shared" si="311"/>
        <v>0</v>
      </c>
      <c r="R1182" s="96"/>
      <c r="S1182" s="97">
        <f t="shared" si="312"/>
        <v>3</v>
      </c>
      <c r="T1182" s="98">
        <f t="shared" si="307"/>
        <v>0</v>
      </c>
      <c r="U1182">
        <v>3</v>
      </c>
    </row>
    <row r="1183" spans="2:31" ht="20.100000000000001" customHeight="1">
      <c r="B1183" s="88">
        <v>10</v>
      </c>
      <c r="C1183" s="89" t="s">
        <v>2748</v>
      </c>
      <c r="D1183" s="90" t="s">
        <v>2751</v>
      </c>
      <c r="E1183" s="91" t="s">
        <v>2752</v>
      </c>
      <c r="F1183" s="315">
        <v>78</v>
      </c>
      <c r="G1183" s="260">
        <v>3</v>
      </c>
      <c r="H1183" s="260"/>
      <c r="I1183" s="309"/>
      <c r="J1183" s="199"/>
      <c r="K1183" s="269"/>
      <c r="L1183" s="93">
        <f t="shared" si="306"/>
        <v>3</v>
      </c>
      <c r="M1183" s="183">
        <v>3</v>
      </c>
      <c r="N1183" s="95">
        <f t="shared" si="308"/>
        <v>234</v>
      </c>
      <c r="O1183" s="95">
        <f t="shared" si="309"/>
        <v>234</v>
      </c>
      <c r="P1183" s="94">
        <f t="shared" si="310"/>
        <v>0</v>
      </c>
      <c r="Q1183" s="95">
        <f t="shared" si="311"/>
        <v>0</v>
      </c>
      <c r="R1183" s="96"/>
      <c r="S1183" s="97">
        <f t="shared" si="312"/>
        <v>3</v>
      </c>
      <c r="T1183" s="98">
        <f t="shared" si="307"/>
        <v>0</v>
      </c>
      <c r="U1183">
        <v>3</v>
      </c>
    </row>
    <row r="1184" spans="2:31" ht="20.100000000000001" customHeight="1">
      <c r="B1184" s="88">
        <v>10</v>
      </c>
      <c r="C1184" s="89" t="s">
        <v>2748</v>
      </c>
      <c r="D1184" s="90" t="s">
        <v>2753</v>
      </c>
      <c r="E1184" s="91" t="s">
        <v>2754</v>
      </c>
      <c r="F1184" s="315">
        <v>140</v>
      </c>
      <c r="G1184" s="260">
        <v>12</v>
      </c>
      <c r="H1184" s="260"/>
      <c r="I1184" s="309"/>
      <c r="J1184" s="199"/>
      <c r="K1184" s="269"/>
      <c r="L1184" s="93">
        <f t="shared" si="306"/>
        <v>12</v>
      </c>
      <c r="M1184" s="183">
        <v>12</v>
      </c>
      <c r="N1184" s="95">
        <f t="shared" si="308"/>
        <v>1680</v>
      </c>
      <c r="O1184" s="95">
        <f t="shared" si="309"/>
        <v>1680</v>
      </c>
      <c r="P1184" s="94">
        <f t="shared" si="310"/>
        <v>0</v>
      </c>
      <c r="Q1184" s="95">
        <f t="shared" si="311"/>
        <v>0</v>
      </c>
      <c r="R1184" s="96"/>
      <c r="S1184" s="97">
        <f t="shared" si="312"/>
        <v>12</v>
      </c>
      <c r="T1184" s="98">
        <f t="shared" si="307"/>
        <v>0</v>
      </c>
      <c r="U1184">
        <v>12</v>
      </c>
    </row>
    <row r="1185" spans="2:21" ht="20.100000000000001" customHeight="1">
      <c r="B1185" s="88">
        <v>10</v>
      </c>
      <c r="C1185" s="89" t="s">
        <v>2748</v>
      </c>
      <c r="D1185" s="90" t="s">
        <v>2755</v>
      </c>
      <c r="E1185" s="91" t="s">
        <v>2756</v>
      </c>
      <c r="F1185" s="315">
        <v>65</v>
      </c>
      <c r="G1185" s="260">
        <v>12</v>
      </c>
      <c r="H1185" s="260"/>
      <c r="I1185" s="309"/>
      <c r="J1185" s="199"/>
      <c r="K1185" s="269"/>
      <c r="L1185" s="93">
        <f t="shared" si="306"/>
        <v>12</v>
      </c>
      <c r="M1185" s="183">
        <v>12</v>
      </c>
      <c r="N1185" s="95">
        <f t="shared" si="308"/>
        <v>780</v>
      </c>
      <c r="O1185" s="95">
        <f t="shared" si="309"/>
        <v>780</v>
      </c>
      <c r="P1185" s="94">
        <f t="shared" si="310"/>
        <v>0</v>
      </c>
      <c r="Q1185" s="95">
        <f t="shared" si="311"/>
        <v>0</v>
      </c>
      <c r="R1185" s="96"/>
      <c r="S1185" s="97">
        <f t="shared" si="312"/>
        <v>12</v>
      </c>
      <c r="T1185" s="98">
        <f t="shared" si="307"/>
        <v>0</v>
      </c>
      <c r="U1185">
        <v>12</v>
      </c>
    </row>
    <row r="1186" spans="2:21" ht="20.100000000000001" customHeight="1">
      <c r="B1186" s="88">
        <v>10</v>
      </c>
      <c r="C1186" s="89" t="s">
        <v>2748</v>
      </c>
      <c r="D1186" s="90" t="s">
        <v>2757</v>
      </c>
      <c r="E1186" s="91" t="s">
        <v>2758</v>
      </c>
      <c r="F1186" s="315">
        <v>62.75</v>
      </c>
      <c r="G1186" s="260">
        <v>12</v>
      </c>
      <c r="H1186" s="260"/>
      <c r="I1186" s="309"/>
      <c r="J1186" s="199"/>
      <c r="K1186" s="269"/>
      <c r="L1186" s="93">
        <f t="shared" si="306"/>
        <v>12</v>
      </c>
      <c r="M1186" s="183">
        <v>12</v>
      </c>
      <c r="N1186" s="95">
        <f t="shared" si="308"/>
        <v>753</v>
      </c>
      <c r="O1186" s="95">
        <f t="shared" si="309"/>
        <v>753</v>
      </c>
      <c r="P1186" s="94">
        <f t="shared" si="310"/>
        <v>0</v>
      </c>
      <c r="Q1186" s="95">
        <f t="shared" si="311"/>
        <v>0</v>
      </c>
      <c r="R1186" s="96"/>
      <c r="S1186" s="97">
        <f t="shared" si="312"/>
        <v>12</v>
      </c>
      <c r="T1186" s="98">
        <f t="shared" si="307"/>
        <v>0</v>
      </c>
      <c r="U1186">
        <v>12</v>
      </c>
    </row>
    <row r="1187" spans="2:21" ht="20.100000000000001" customHeight="1">
      <c r="B1187" s="88">
        <v>10</v>
      </c>
      <c r="C1187" s="89" t="s">
        <v>2748</v>
      </c>
      <c r="D1187" s="90" t="s">
        <v>2757</v>
      </c>
      <c r="E1187" s="91" t="s">
        <v>2758</v>
      </c>
      <c r="F1187" s="315">
        <v>65</v>
      </c>
      <c r="G1187" s="260"/>
      <c r="H1187" s="260"/>
      <c r="I1187" s="309"/>
      <c r="J1187" s="199"/>
      <c r="K1187" s="269"/>
      <c r="L1187" s="93">
        <f t="shared" si="306"/>
        <v>0</v>
      </c>
      <c r="M1187" s="183"/>
      <c r="N1187" s="95">
        <f t="shared" si="308"/>
        <v>0</v>
      </c>
      <c r="O1187" s="95">
        <f t="shared" si="309"/>
        <v>0</v>
      </c>
      <c r="P1187" s="94">
        <f t="shared" si="310"/>
        <v>0</v>
      </c>
      <c r="Q1187" s="95">
        <f t="shared" si="311"/>
        <v>0</v>
      </c>
      <c r="R1187" s="96"/>
      <c r="S1187" s="97">
        <f t="shared" si="312"/>
        <v>0</v>
      </c>
      <c r="T1187" s="98">
        <f t="shared" si="307"/>
        <v>0</v>
      </c>
    </row>
    <row r="1188" spans="2:21" ht="20.100000000000001" customHeight="1">
      <c r="B1188" s="88">
        <v>10</v>
      </c>
      <c r="C1188" s="89" t="s">
        <v>2748</v>
      </c>
      <c r="D1188" s="90" t="s">
        <v>2759</v>
      </c>
      <c r="E1188" s="91" t="s">
        <v>2760</v>
      </c>
      <c r="F1188" s="315">
        <v>43.5</v>
      </c>
      <c r="G1188" s="260">
        <v>11</v>
      </c>
      <c r="H1188" s="260"/>
      <c r="I1188" s="309"/>
      <c r="J1188" s="199"/>
      <c r="K1188" s="269"/>
      <c r="L1188" s="93">
        <f t="shared" si="306"/>
        <v>11</v>
      </c>
      <c r="M1188" s="183">
        <v>11</v>
      </c>
      <c r="N1188" s="95">
        <f t="shared" si="308"/>
        <v>478.5</v>
      </c>
      <c r="O1188" s="95">
        <f t="shared" si="309"/>
        <v>478.5</v>
      </c>
      <c r="P1188" s="94">
        <f t="shared" si="310"/>
        <v>0</v>
      </c>
      <c r="Q1188" s="95">
        <f t="shared" si="311"/>
        <v>0</v>
      </c>
      <c r="R1188" s="96"/>
      <c r="S1188" s="97">
        <f t="shared" si="312"/>
        <v>11</v>
      </c>
      <c r="T1188" s="98">
        <f t="shared" si="307"/>
        <v>0</v>
      </c>
      <c r="U1188">
        <v>11</v>
      </c>
    </row>
    <row r="1189" spans="2:21">
      <c r="B1189" s="88">
        <v>10</v>
      </c>
      <c r="C1189" s="89" t="s">
        <v>2748</v>
      </c>
      <c r="D1189" s="90" t="s">
        <v>2761</v>
      </c>
      <c r="E1189" s="91" t="s">
        <v>2762</v>
      </c>
      <c r="F1189" s="315">
        <v>32</v>
      </c>
      <c r="G1189" s="260"/>
      <c r="H1189" s="260"/>
      <c r="I1189" s="309"/>
      <c r="J1189" s="199"/>
      <c r="K1189" s="269"/>
      <c r="L1189" s="93">
        <f t="shared" si="306"/>
        <v>0</v>
      </c>
      <c r="M1189" s="183"/>
      <c r="N1189" s="95">
        <f t="shared" si="308"/>
        <v>0</v>
      </c>
      <c r="O1189" s="95">
        <f t="shared" si="309"/>
        <v>0</v>
      </c>
      <c r="P1189" s="94">
        <f t="shared" si="310"/>
        <v>0</v>
      </c>
      <c r="Q1189" s="95">
        <f t="shared" si="311"/>
        <v>0</v>
      </c>
      <c r="R1189" s="96"/>
      <c r="S1189" s="97">
        <f t="shared" si="312"/>
        <v>0</v>
      </c>
      <c r="T1189" s="98">
        <f t="shared" si="307"/>
        <v>0</v>
      </c>
    </row>
    <row r="1190" spans="2:21" ht="20.100000000000001" customHeight="1">
      <c r="B1190" s="88">
        <v>10</v>
      </c>
      <c r="C1190" s="89" t="s">
        <v>2748</v>
      </c>
      <c r="D1190" s="90" t="s">
        <v>2763</v>
      </c>
      <c r="E1190" s="91" t="s">
        <v>2764</v>
      </c>
      <c r="F1190" s="315">
        <v>43.5</v>
      </c>
      <c r="G1190" s="260">
        <v>12</v>
      </c>
      <c r="H1190" s="260"/>
      <c r="I1190" s="309"/>
      <c r="J1190" s="199"/>
      <c r="K1190" s="269"/>
      <c r="L1190" s="93">
        <f t="shared" si="306"/>
        <v>12</v>
      </c>
      <c r="M1190" s="183">
        <v>12</v>
      </c>
      <c r="N1190" s="95">
        <f t="shared" si="308"/>
        <v>522</v>
      </c>
      <c r="O1190" s="95">
        <f t="shared" si="309"/>
        <v>522</v>
      </c>
      <c r="P1190" s="94">
        <f t="shared" si="310"/>
        <v>0</v>
      </c>
      <c r="Q1190" s="95">
        <f t="shared" si="311"/>
        <v>0</v>
      </c>
      <c r="R1190" s="96"/>
      <c r="S1190" s="97">
        <f t="shared" si="312"/>
        <v>12</v>
      </c>
      <c r="T1190" s="98">
        <f t="shared" si="307"/>
        <v>0</v>
      </c>
      <c r="U1190">
        <v>12</v>
      </c>
    </row>
    <row r="1191" spans="2:21" ht="20.100000000000001" customHeight="1">
      <c r="B1191" s="88">
        <v>10</v>
      </c>
      <c r="C1191" s="89" t="s">
        <v>2748</v>
      </c>
      <c r="D1191" s="90" t="s">
        <v>2765</v>
      </c>
      <c r="E1191" s="91" t="s">
        <v>2766</v>
      </c>
      <c r="F1191" s="315">
        <v>55</v>
      </c>
      <c r="G1191" s="260"/>
      <c r="H1191" s="260"/>
      <c r="I1191" s="309"/>
      <c r="J1191" s="199"/>
      <c r="K1191" s="269"/>
      <c r="L1191" s="93">
        <f t="shared" si="306"/>
        <v>0</v>
      </c>
      <c r="M1191" s="183"/>
      <c r="N1191" s="95">
        <f t="shared" si="308"/>
        <v>0</v>
      </c>
      <c r="O1191" s="95">
        <f t="shared" si="309"/>
        <v>0</v>
      </c>
      <c r="P1191" s="94">
        <f t="shared" si="310"/>
        <v>0</v>
      </c>
      <c r="Q1191" s="95">
        <f t="shared" si="311"/>
        <v>0</v>
      </c>
      <c r="R1191" s="96"/>
      <c r="S1191" s="97">
        <f t="shared" si="312"/>
        <v>0</v>
      </c>
      <c r="T1191" s="98">
        <f t="shared" si="307"/>
        <v>0</v>
      </c>
    </row>
    <row r="1192" spans="2:21" ht="20.100000000000001" customHeight="1">
      <c r="B1192" s="88">
        <v>10</v>
      </c>
      <c r="C1192" s="89" t="s">
        <v>2748</v>
      </c>
      <c r="D1192" s="90" t="s">
        <v>2767</v>
      </c>
      <c r="E1192" s="91" t="s">
        <v>2768</v>
      </c>
      <c r="F1192" s="315">
        <v>32</v>
      </c>
      <c r="G1192" s="260">
        <v>1</v>
      </c>
      <c r="H1192" s="260"/>
      <c r="I1192" s="309"/>
      <c r="J1192" s="199"/>
      <c r="K1192" s="269"/>
      <c r="L1192" s="93">
        <f t="shared" si="306"/>
        <v>1</v>
      </c>
      <c r="M1192" s="183">
        <v>1</v>
      </c>
      <c r="N1192" s="95">
        <f t="shared" si="308"/>
        <v>32</v>
      </c>
      <c r="O1192" s="95">
        <f t="shared" si="309"/>
        <v>32</v>
      </c>
      <c r="P1192" s="94">
        <f t="shared" si="310"/>
        <v>0</v>
      </c>
      <c r="Q1192" s="95">
        <f t="shared" si="311"/>
        <v>0</v>
      </c>
      <c r="R1192" s="96"/>
      <c r="S1192" s="97">
        <f t="shared" si="312"/>
        <v>0</v>
      </c>
      <c r="T1192" s="98">
        <f t="shared" si="307"/>
        <v>1</v>
      </c>
    </row>
    <row r="1193" spans="2:21" ht="20.100000000000001" customHeight="1">
      <c r="B1193" s="88">
        <v>10</v>
      </c>
      <c r="C1193" s="89" t="s">
        <v>2748</v>
      </c>
      <c r="D1193" s="90" t="s">
        <v>2769</v>
      </c>
      <c r="E1193" s="91" t="s">
        <v>2770</v>
      </c>
      <c r="F1193" s="315">
        <v>65</v>
      </c>
      <c r="G1193" s="260">
        <v>12</v>
      </c>
      <c r="H1193" s="260"/>
      <c r="I1193" s="309"/>
      <c r="J1193" s="199"/>
      <c r="K1193" s="269">
        <v>10</v>
      </c>
      <c r="L1193" s="93">
        <f t="shared" si="306"/>
        <v>2</v>
      </c>
      <c r="M1193" s="183">
        <v>2</v>
      </c>
      <c r="N1193" s="95">
        <f t="shared" si="308"/>
        <v>130</v>
      </c>
      <c r="O1193" s="95">
        <f t="shared" si="309"/>
        <v>130</v>
      </c>
      <c r="P1193" s="94">
        <f t="shared" si="310"/>
        <v>0</v>
      </c>
      <c r="Q1193" s="95">
        <f t="shared" si="311"/>
        <v>0</v>
      </c>
      <c r="R1193" s="96"/>
      <c r="S1193" s="97">
        <f t="shared" si="312"/>
        <v>12</v>
      </c>
      <c r="T1193" s="98">
        <f t="shared" si="307"/>
        <v>-10</v>
      </c>
      <c r="U1193">
        <v>12</v>
      </c>
    </row>
    <row r="1194" spans="2:21" ht="20.100000000000001" customHeight="1">
      <c r="B1194" s="88">
        <v>10</v>
      </c>
      <c r="C1194" s="89" t="s">
        <v>2748</v>
      </c>
      <c r="D1194" s="90" t="s">
        <v>2771</v>
      </c>
      <c r="E1194" s="91" t="s">
        <v>2772</v>
      </c>
      <c r="F1194" s="315">
        <v>43.5</v>
      </c>
      <c r="G1194" s="260"/>
      <c r="H1194" s="260"/>
      <c r="I1194" s="309"/>
      <c r="J1194" s="199"/>
      <c r="K1194" s="269"/>
      <c r="L1194" s="93">
        <f t="shared" si="306"/>
        <v>0</v>
      </c>
      <c r="M1194" s="183"/>
      <c r="N1194" s="95">
        <f t="shared" si="308"/>
        <v>0</v>
      </c>
      <c r="O1194" s="95">
        <f t="shared" si="309"/>
        <v>0</v>
      </c>
      <c r="P1194" s="94">
        <f t="shared" si="310"/>
        <v>0</v>
      </c>
      <c r="Q1194" s="95">
        <f t="shared" si="311"/>
        <v>0</v>
      </c>
      <c r="R1194" s="96"/>
      <c r="S1194" s="97">
        <f t="shared" si="312"/>
        <v>11</v>
      </c>
      <c r="T1194" s="98">
        <f t="shared" si="307"/>
        <v>-11</v>
      </c>
      <c r="U1194">
        <v>11</v>
      </c>
    </row>
    <row r="1195" spans="2:21" ht="20.100000000000001" customHeight="1">
      <c r="B1195" s="88">
        <v>10</v>
      </c>
      <c r="C1195" s="89" t="s">
        <v>2748</v>
      </c>
      <c r="D1195" s="90" t="s">
        <v>2773</v>
      </c>
      <c r="E1195" s="91" t="s">
        <v>2774</v>
      </c>
      <c r="F1195" s="315">
        <v>32</v>
      </c>
      <c r="G1195" s="260"/>
      <c r="H1195" s="260"/>
      <c r="I1195" s="309"/>
      <c r="J1195" s="199"/>
      <c r="K1195" s="269"/>
      <c r="L1195" s="93">
        <f t="shared" si="306"/>
        <v>0</v>
      </c>
      <c r="M1195" s="183"/>
      <c r="N1195" s="95">
        <f t="shared" si="308"/>
        <v>0</v>
      </c>
      <c r="O1195" s="95">
        <f t="shared" si="309"/>
        <v>0</v>
      </c>
      <c r="P1195" s="94">
        <f t="shared" si="310"/>
        <v>0</v>
      </c>
      <c r="Q1195" s="95">
        <f t="shared" si="311"/>
        <v>0</v>
      </c>
      <c r="R1195" s="96"/>
      <c r="S1195" s="97">
        <f t="shared" si="312"/>
        <v>0</v>
      </c>
      <c r="T1195" s="98">
        <f t="shared" si="307"/>
        <v>0</v>
      </c>
    </row>
    <row r="1196" spans="2:21" ht="20.100000000000001" customHeight="1">
      <c r="B1196" s="88">
        <v>10</v>
      </c>
      <c r="C1196" s="89" t="s">
        <v>2748</v>
      </c>
      <c r="D1196" s="90" t="s">
        <v>2775</v>
      </c>
      <c r="E1196" s="91" t="s">
        <v>2776</v>
      </c>
      <c r="F1196" s="315">
        <v>62.75</v>
      </c>
      <c r="G1196" s="260"/>
      <c r="H1196" s="260"/>
      <c r="I1196" s="309"/>
      <c r="J1196" s="199"/>
      <c r="K1196" s="269"/>
      <c r="L1196" s="93">
        <f t="shared" si="306"/>
        <v>0</v>
      </c>
      <c r="M1196" s="183"/>
      <c r="N1196" s="95">
        <f t="shared" si="308"/>
        <v>0</v>
      </c>
      <c r="O1196" s="95">
        <f t="shared" si="309"/>
        <v>0</v>
      </c>
      <c r="P1196" s="94">
        <f t="shared" si="310"/>
        <v>0</v>
      </c>
      <c r="Q1196" s="95">
        <f t="shared" si="311"/>
        <v>0</v>
      </c>
      <c r="R1196" s="96"/>
      <c r="S1196" s="97">
        <f t="shared" si="312"/>
        <v>0</v>
      </c>
      <c r="T1196" s="98">
        <f t="shared" si="307"/>
        <v>0</v>
      </c>
    </row>
    <row r="1197" spans="2:21" ht="20.100000000000001" customHeight="1">
      <c r="B1197" s="88">
        <v>10</v>
      </c>
      <c r="C1197" s="89" t="s">
        <v>2748</v>
      </c>
      <c r="D1197" s="90" t="s">
        <v>2777</v>
      </c>
      <c r="E1197" s="91" t="s">
        <v>2778</v>
      </c>
      <c r="F1197" s="315">
        <v>41.5</v>
      </c>
      <c r="G1197" s="260"/>
      <c r="H1197" s="260"/>
      <c r="I1197" s="309"/>
      <c r="J1197" s="199"/>
      <c r="K1197" s="269"/>
      <c r="L1197" s="93">
        <f t="shared" si="306"/>
        <v>0</v>
      </c>
      <c r="M1197" s="183"/>
      <c r="N1197" s="95">
        <f t="shared" si="308"/>
        <v>0</v>
      </c>
      <c r="O1197" s="95">
        <f t="shared" si="309"/>
        <v>0</v>
      </c>
      <c r="P1197" s="94">
        <f t="shared" si="310"/>
        <v>0</v>
      </c>
      <c r="Q1197" s="95">
        <f t="shared" si="311"/>
        <v>0</v>
      </c>
      <c r="R1197" s="96"/>
      <c r="S1197" s="97">
        <f t="shared" si="312"/>
        <v>0</v>
      </c>
      <c r="T1197" s="98">
        <f t="shared" si="307"/>
        <v>0</v>
      </c>
    </row>
    <row r="1198" spans="2:21" ht="20.100000000000001" customHeight="1">
      <c r="B1198" s="88">
        <v>10</v>
      </c>
      <c r="C1198" s="89" t="s">
        <v>2748</v>
      </c>
      <c r="D1198" s="90" t="s">
        <v>2779</v>
      </c>
      <c r="E1198" s="91" t="s">
        <v>2780</v>
      </c>
      <c r="F1198" s="315">
        <v>65</v>
      </c>
      <c r="G1198" s="260">
        <v>12</v>
      </c>
      <c r="H1198" s="260"/>
      <c r="I1198" s="309"/>
      <c r="J1198" s="199"/>
      <c r="K1198" s="269"/>
      <c r="L1198" s="93">
        <f t="shared" si="306"/>
        <v>12</v>
      </c>
      <c r="M1198" s="183">
        <v>12</v>
      </c>
      <c r="N1198" s="95">
        <f t="shared" si="308"/>
        <v>780</v>
      </c>
      <c r="O1198" s="95">
        <f t="shared" si="309"/>
        <v>780</v>
      </c>
      <c r="P1198" s="94">
        <f t="shared" si="310"/>
        <v>0</v>
      </c>
      <c r="Q1198" s="95">
        <f t="shared" si="311"/>
        <v>0</v>
      </c>
      <c r="R1198" s="96"/>
      <c r="S1198" s="97">
        <f t="shared" si="312"/>
        <v>12</v>
      </c>
      <c r="T1198" s="98">
        <f t="shared" si="307"/>
        <v>0</v>
      </c>
      <c r="U1198">
        <v>12</v>
      </c>
    </row>
    <row r="1199" spans="2:21" ht="20.100000000000001" customHeight="1">
      <c r="B1199" s="88">
        <v>10</v>
      </c>
      <c r="C1199" s="89" t="s">
        <v>2748</v>
      </c>
      <c r="D1199" s="90" t="s">
        <v>2781</v>
      </c>
      <c r="E1199" s="91" t="s">
        <v>2782</v>
      </c>
      <c r="F1199" s="315">
        <v>27.25</v>
      </c>
      <c r="G1199" s="260"/>
      <c r="H1199" s="260"/>
      <c r="I1199" s="309"/>
      <c r="J1199" s="199"/>
      <c r="K1199" s="269"/>
      <c r="L1199" s="93">
        <f t="shared" si="306"/>
        <v>0</v>
      </c>
      <c r="M1199" s="183"/>
      <c r="N1199" s="95">
        <f t="shared" si="308"/>
        <v>0</v>
      </c>
      <c r="O1199" s="95">
        <f t="shared" si="309"/>
        <v>0</v>
      </c>
      <c r="P1199" s="94">
        <f t="shared" si="310"/>
        <v>0</v>
      </c>
      <c r="Q1199" s="95">
        <f t="shared" si="311"/>
        <v>0</v>
      </c>
      <c r="R1199" s="96"/>
      <c r="S1199" s="97">
        <f t="shared" si="312"/>
        <v>0</v>
      </c>
      <c r="T1199" s="98">
        <f t="shared" si="307"/>
        <v>0</v>
      </c>
    </row>
    <row r="1200" spans="2:21" ht="20.100000000000001" customHeight="1">
      <c r="B1200" s="88">
        <v>10</v>
      </c>
      <c r="C1200" s="89" t="s">
        <v>2748</v>
      </c>
      <c r="D1200" s="90" t="s">
        <v>2783</v>
      </c>
      <c r="E1200" s="91" t="s">
        <v>2782</v>
      </c>
      <c r="F1200" s="315">
        <v>43.5</v>
      </c>
      <c r="G1200" s="260">
        <v>12</v>
      </c>
      <c r="H1200" s="260"/>
      <c r="I1200" s="309"/>
      <c r="J1200" s="199"/>
      <c r="K1200" s="269"/>
      <c r="L1200" s="93">
        <f t="shared" si="306"/>
        <v>12</v>
      </c>
      <c r="M1200" s="183">
        <v>12</v>
      </c>
      <c r="N1200" s="95">
        <f t="shared" si="308"/>
        <v>522</v>
      </c>
      <c r="O1200" s="95">
        <f t="shared" si="309"/>
        <v>522</v>
      </c>
      <c r="P1200" s="94">
        <f t="shared" si="310"/>
        <v>0</v>
      </c>
      <c r="Q1200" s="95">
        <f t="shared" si="311"/>
        <v>0</v>
      </c>
      <c r="R1200" s="96"/>
      <c r="S1200" s="97">
        <f t="shared" si="312"/>
        <v>12</v>
      </c>
      <c r="T1200" s="98">
        <f t="shared" si="307"/>
        <v>0</v>
      </c>
      <c r="U1200">
        <v>12</v>
      </c>
    </row>
    <row r="1201" spans="2:31" ht="20.100000000000001" customHeight="1">
      <c r="B1201" s="88">
        <v>10</v>
      </c>
      <c r="C1201" s="89" t="s">
        <v>2748</v>
      </c>
      <c r="D1201" s="90" t="s">
        <v>2784</v>
      </c>
      <c r="E1201" s="91" t="s">
        <v>2785</v>
      </c>
      <c r="F1201" s="315">
        <v>65</v>
      </c>
      <c r="G1201" s="260">
        <v>11</v>
      </c>
      <c r="H1201" s="260"/>
      <c r="I1201" s="309"/>
      <c r="J1201" s="199"/>
      <c r="K1201" s="269">
        <v>5</v>
      </c>
      <c r="L1201" s="93">
        <f t="shared" si="306"/>
        <v>6</v>
      </c>
      <c r="M1201" s="183">
        <v>6</v>
      </c>
      <c r="N1201" s="95">
        <f t="shared" si="308"/>
        <v>390</v>
      </c>
      <c r="O1201" s="95">
        <f t="shared" si="309"/>
        <v>390</v>
      </c>
      <c r="P1201" s="94">
        <f t="shared" si="310"/>
        <v>0</v>
      </c>
      <c r="Q1201" s="95">
        <f t="shared" si="311"/>
        <v>0</v>
      </c>
      <c r="R1201" s="96"/>
      <c r="S1201" s="97">
        <f t="shared" si="312"/>
        <v>11</v>
      </c>
      <c r="T1201" s="98">
        <f t="shared" si="307"/>
        <v>-5</v>
      </c>
      <c r="U1201">
        <v>11</v>
      </c>
    </row>
    <row r="1202" spans="2:31" ht="20.100000000000001" customHeight="1">
      <c r="B1202" s="88">
        <v>10</v>
      </c>
      <c r="C1202" s="89" t="s">
        <v>2748</v>
      </c>
      <c r="D1202" s="90" t="s">
        <v>2786</v>
      </c>
      <c r="E1202" s="91" t="s">
        <v>2787</v>
      </c>
      <c r="F1202" s="315">
        <v>43.5</v>
      </c>
      <c r="G1202" s="260">
        <v>2</v>
      </c>
      <c r="H1202" s="260"/>
      <c r="I1202" s="309"/>
      <c r="J1202" s="199"/>
      <c r="K1202" s="269"/>
      <c r="L1202" s="93">
        <f t="shared" si="306"/>
        <v>2</v>
      </c>
      <c r="M1202" s="183">
        <v>2</v>
      </c>
      <c r="N1202" s="95">
        <f t="shared" si="308"/>
        <v>87</v>
      </c>
      <c r="O1202" s="95">
        <f t="shared" si="309"/>
        <v>87</v>
      </c>
      <c r="P1202" s="94">
        <f t="shared" si="310"/>
        <v>0</v>
      </c>
      <c r="Q1202" s="95">
        <f t="shared" si="311"/>
        <v>0</v>
      </c>
      <c r="R1202" s="96"/>
      <c r="S1202" s="97">
        <f t="shared" si="312"/>
        <v>12</v>
      </c>
      <c r="T1202" s="98">
        <f t="shared" si="307"/>
        <v>-10</v>
      </c>
      <c r="U1202">
        <v>12</v>
      </c>
    </row>
    <row r="1203" spans="2:31" ht="20.100000000000001" customHeight="1">
      <c r="B1203" s="88">
        <v>10</v>
      </c>
      <c r="C1203" s="89" t="s">
        <v>2748</v>
      </c>
      <c r="D1203" s="90" t="s">
        <v>2788</v>
      </c>
      <c r="E1203" s="91" t="s">
        <v>2789</v>
      </c>
      <c r="F1203" s="315">
        <v>55</v>
      </c>
      <c r="G1203" s="260"/>
      <c r="H1203" s="260"/>
      <c r="I1203" s="309"/>
      <c r="J1203" s="199"/>
      <c r="K1203" s="269"/>
      <c r="L1203" s="93">
        <f t="shared" si="306"/>
        <v>0</v>
      </c>
      <c r="M1203" s="183"/>
      <c r="N1203" s="95">
        <f t="shared" si="308"/>
        <v>0</v>
      </c>
      <c r="O1203" s="95">
        <f t="shared" si="309"/>
        <v>0</v>
      </c>
      <c r="P1203" s="94">
        <f t="shared" si="310"/>
        <v>0</v>
      </c>
      <c r="Q1203" s="95">
        <f t="shared" si="311"/>
        <v>0</v>
      </c>
      <c r="R1203" s="96"/>
      <c r="S1203" s="97">
        <f t="shared" si="312"/>
        <v>0</v>
      </c>
      <c r="T1203" s="98">
        <f t="shared" si="307"/>
        <v>0</v>
      </c>
    </row>
    <row r="1204" spans="2:31" ht="20.100000000000001" customHeight="1">
      <c r="B1204" s="88">
        <v>10</v>
      </c>
      <c r="C1204" s="89" t="s">
        <v>2748</v>
      </c>
      <c r="D1204" s="90" t="s">
        <v>2790</v>
      </c>
      <c r="E1204" s="91" t="s">
        <v>2791</v>
      </c>
      <c r="F1204" s="315">
        <v>32</v>
      </c>
      <c r="G1204" s="260"/>
      <c r="H1204" s="260"/>
      <c r="I1204" s="309"/>
      <c r="J1204" s="199"/>
      <c r="K1204" s="269"/>
      <c r="L1204" s="93">
        <f t="shared" si="306"/>
        <v>0</v>
      </c>
      <c r="M1204" s="183"/>
      <c r="N1204" s="95">
        <f t="shared" si="308"/>
        <v>0</v>
      </c>
      <c r="O1204" s="95">
        <f t="shared" si="309"/>
        <v>0</v>
      </c>
      <c r="P1204" s="94">
        <f t="shared" si="310"/>
        <v>0</v>
      </c>
      <c r="Q1204" s="95">
        <f t="shared" si="311"/>
        <v>0</v>
      </c>
      <c r="R1204" s="96"/>
      <c r="S1204" s="97">
        <f t="shared" si="312"/>
        <v>0</v>
      </c>
      <c r="T1204" s="98">
        <f t="shared" si="307"/>
        <v>0</v>
      </c>
    </row>
    <row r="1205" spans="2:31" ht="20.100000000000001" customHeight="1">
      <c r="B1205" s="88">
        <v>10</v>
      </c>
      <c r="C1205" s="89" t="s">
        <v>2748</v>
      </c>
      <c r="D1205" s="90" t="s">
        <v>2792</v>
      </c>
      <c r="E1205" s="91" t="s">
        <v>2793</v>
      </c>
      <c r="F1205" s="315">
        <v>65</v>
      </c>
      <c r="G1205" s="260">
        <v>11</v>
      </c>
      <c r="H1205" s="260"/>
      <c r="I1205" s="309"/>
      <c r="J1205" s="199"/>
      <c r="K1205" s="269"/>
      <c r="L1205" s="93">
        <f t="shared" ref="L1205:L1268" si="325">G1205+I1205-J1205-K1205+H1205</f>
        <v>11</v>
      </c>
      <c r="M1205" s="183">
        <v>11</v>
      </c>
      <c r="N1205" s="95">
        <f t="shared" si="308"/>
        <v>715</v>
      </c>
      <c r="O1205" s="95">
        <f t="shared" si="309"/>
        <v>715</v>
      </c>
      <c r="P1205" s="94">
        <f t="shared" si="310"/>
        <v>0</v>
      </c>
      <c r="Q1205" s="95">
        <f t="shared" si="311"/>
        <v>0</v>
      </c>
      <c r="R1205" s="96"/>
      <c r="S1205" s="97">
        <f t="shared" si="312"/>
        <v>11</v>
      </c>
      <c r="T1205" s="98">
        <f t="shared" si="307"/>
        <v>0</v>
      </c>
      <c r="U1205">
        <v>11</v>
      </c>
    </row>
    <row r="1206" spans="2:31" ht="20.100000000000001" customHeight="1">
      <c r="B1206" s="88">
        <v>10</v>
      </c>
      <c r="C1206" s="89" t="s">
        <v>2748</v>
      </c>
      <c r="D1206" s="90" t="s">
        <v>2794</v>
      </c>
      <c r="E1206" s="91" t="s">
        <v>2795</v>
      </c>
      <c r="F1206" s="315">
        <v>43.5</v>
      </c>
      <c r="G1206" s="260">
        <v>8</v>
      </c>
      <c r="H1206" s="260"/>
      <c r="I1206" s="309"/>
      <c r="J1206" s="199"/>
      <c r="K1206" s="269"/>
      <c r="L1206" s="93">
        <f t="shared" si="325"/>
        <v>8</v>
      </c>
      <c r="M1206" s="183">
        <v>8</v>
      </c>
      <c r="N1206" s="95">
        <f t="shared" si="308"/>
        <v>348</v>
      </c>
      <c r="O1206" s="95">
        <f t="shared" si="309"/>
        <v>348</v>
      </c>
      <c r="P1206" s="94">
        <f t="shared" si="310"/>
        <v>0</v>
      </c>
      <c r="Q1206" s="95">
        <f t="shared" si="311"/>
        <v>0</v>
      </c>
      <c r="R1206" s="96"/>
      <c r="S1206" s="97">
        <f t="shared" si="312"/>
        <v>12</v>
      </c>
      <c r="T1206" s="98">
        <f t="shared" si="307"/>
        <v>-4</v>
      </c>
      <c r="U1206">
        <v>12</v>
      </c>
    </row>
    <row r="1207" spans="2:31" ht="20.100000000000001" customHeight="1">
      <c r="B1207" s="88">
        <v>10</v>
      </c>
      <c r="C1207" s="89" t="s">
        <v>2748</v>
      </c>
      <c r="D1207" s="90" t="s">
        <v>2796</v>
      </c>
      <c r="E1207" s="91" t="s">
        <v>2797</v>
      </c>
      <c r="F1207" s="315">
        <v>32</v>
      </c>
      <c r="G1207" s="260"/>
      <c r="H1207" s="260"/>
      <c r="I1207" s="309"/>
      <c r="J1207" s="199"/>
      <c r="K1207" s="269"/>
      <c r="L1207" s="93">
        <f t="shared" si="325"/>
        <v>0</v>
      </c>
      <c r="M1207" s="183"/>
      <c r="N1207" s="95">
        <f t="shared" si="308"/>
        <v>0</v>
      </c>
      <c r="O1207" s="95">
        <f t="shared" si="309"/>
        <v>0</v>
      </c>
      <c r="P1207" s="94">
        <f t="shared" si="310"/>
        <v>0</v>
      </c>
      <c r="Q1207" s="95">
        <f t="shared" si="311"/>
        <v>0</v>
      </c>
      <c r="R1207" s="96"/>
      <c r="S1207" s="97">
        <f t="shared" si="312"/>
        <v>0</v>
      </c>
      <c r="T1207" s="98">
        <f t="shared" si="307"/>
        <v>0</v>
      </c>
    </row>
    <row r="1208" spans="2:31" ht="20.100000000000001" customHeight="1">
      <c r="B1208" s="88">
        <v>10</v>
      </c>
      <c r="C1208" s="89" t="s">
        <v>2748</v>
      </c>
      <c r="D1208" s="90" t="s">
        <v>2798</v>
      </c>
      <c r="E1208" s="91" t="s">
        <v>2799</v>
      </c>
      <c r="F1208" s="315">
        <v>18.75</v>
      </c>
      <c r="G1208" s="260"/>
      <c r="H1208" s="260"/>
      <c r="I1208" s="309"/>
      <c r="J1208" s="199"/>
      <c r="K1208" s="269"/>
      <c r="L1208" s="93">
        <f t="shared" si="325"/>
        <v>0</v>
      </c>
      <c r="M1208" s="183"/>
      <c r="N1208" s="95">
        <f t="shared" si="308"/>
        <v>0</v>
      </c>
      <c r="O1208" s="95">
        <f t="shared" si="309"/>
        <v>0</v>
      </c>
      <c r="P1208" s="94">
        <f t="shared" si="310"/>
        <v>0</v>
      </c>
      <c r="Q1208" s="95">
        <f t="shared" si="311"/>
        <v>0</v>
      </c>
      <c r="R1208" s="96"/>
      <c r="S1208" s="97">
        <f t="shared" si="312"/>
        <v>0</v>
      </c>
      <c r="T1208" s="98">
        <f t="shared" si="307"/>
        <v>0</v>
      </c>
    </row>
    <row r="1209" spans="2:31" ht="20.100000000000001" customHeight="1">
      <c r="B1209" s="88">
        <v>10</v>
      </c>
      <c r="C1209" s="89" t="s">
        <v>2748</v>
      </c>
      <c r="D1209" s="90" t="s">
        <v>2800</v>
      </c>
      <c r="E1209" s="91" t="s">
        <v>2801</v>
      </c>
      <c r="F1209" s="315">
        <v>206.95</v>
      </c>
      <c r="G1209" s="260">
        <v>22</v>
      </c>
      <c r="H1209" s="260"/>
      <c r="I1209" s="309"/>
      <c r="J1209" s="199"/>
      <c r="K1209" s="269"/>
      <c r="L1209" s="93">
        <f t="shared" si="325"/>
        <v>22</v>
      </c>
      <c r="M1209" s="183">
        <v>22</v>
      </c>
      <c r="N1209" s="95">
        <f t="shared" si="308"/>
        <v>4552.8999999999996</v>
      </c>
      <c r="O1209" s="95">
        <f t="shared" si="309"/>
        <v>4552.8999999999996</v>
      </c>
      <c r="P1209" s="94">
        <f t="shared" si="310"/>
        <v>0</v>
      </c>
      <c r="Q1209" s="95">
        <f t="shared" si="311"/>
        <v>0</v>
      </c>
      <c r="R1209" s="96"/>
      <c r="S1209" s="97">
        <f t="shared" si="312"/>
        <v>22</v>
      </c>
      <c r="T1209" s="98">
        <f t="shared" ref="T1209:T1271" si="326">M1209-S1209</f>
        <v>0</v>
      </c>
      <c r="Y1209">
        <v>22</v>
      </c>
      <c r="Z1209" s="99" t="s">
        <v>2802</v>
      </c>
      <c r="AD1209">
        <f>Y1209</f>
        <v>22</v>
      </c>
      <c r="AE1209" s="100">
        <f>AD1209*F1209</f>
        <v>4552.8999999999996</v>
      </c>
    </row>
    <row r="1210" spans="2:31" ht="20.100000000000001" customHeight="1">
      <c r="B1210" s="88">
        <v>10</v>
      </c>
      <c r="C1210" s="89" t="s">
        <v>2748</v>
      </c>
      <c r="D1210" s="90" t="s">
        <v>2803</v>
      </c>
      <c r="E1210" s="91" t="s">
        <v>2804</v>
      </c>
      <c r="F1210" s="315">
        <v>14.42</v>
      </c>
      <c r="G1210" s="260">
        <v>305</v>
      </c>
      <c r="H1210" s="260"/>
      <c r="I1210" s="309"/>
      <c r="J1210" s="199"/>
      <c r="K1210" s="269">
        <v>12</v>
      </c>
      <c r="L1210" s="93">
        <f t="shared" si="325"/>
        <v>293</v>
      </c>
      <c r="M1210" s="183">
        <v>293</v>
      </c>
      <c r="N1210" s="95">
        <f t="shared" ref="N1210:N1272" si="327">F1210*L1210</f>
        <v>4225.0600000000004</v>
      </c>
      <c r="O1210" s="95">
        <f t="shared" ref="O1210:O1272" si="328">M1210*F1210</f>
        <v>4225.0600000000004</v>
      </c>
      <c r="P1210" s="94">
        <f t="shared" ref="P1210:P1272" si="329">L1210-M1210</f>
        <v>0</v>
      </c>
      <c r="Q1210" s="95">
        <f t="shared" ref="Q1210:Q1272" si="330">N1210-O1210</f>
        <v>0</v>
      </c>
      <c r="R1210" s="278" t="s">
        <v>5259</v>
      </c>
      <c r="S1210" s="97">
        <f t="shared" ref="S1210:S1272" si="331">U1210+Y1210+W1210+AA1210</f>
        <v>320</v>
      </c>
      <c r="T1210" s="98">
        <f t="shared" si="326"/>
        <v>-27</v>
      </c>
      <c r="U1210">
        <f>2+90</f>
        <v>92</v>
      </c>
      <c r="Y1210">
        <v>228</v>
      </c>
    </row>
    <row r="1211" spans="2:31" ht="20.100000000000001" customHeight="1">
      <c r="B1211" s="88">
        <v>10</v>
      </c>
      <c r="C1211" s="89" t="s">
        <v>2748</v>
      </c>
      <c r="D1211" s="90" t="s">
        <v>2805</v>
      </c>
      <c r="E1211" s="91" t="s">
        <v>2806</v>
      </c>
      <c r="F1211" s="315">
        <v>14.91</v>
      </c>
      <c r="G1211" s="260">
        <v>580</v>
      </c>
      <c r="H1211" s="260"/>
      <c r="I1211" s="309"/>
      <c r="J1211" s="199"/>
      <c r="K1211" s="269">
        <v>35</v>
      </c>
      <c r="L1211" s="93">
        <f t="shared" si="325"/>
        <v>545</v>
      </c>
      <c r="M1211" s="183">
        <v>545</v>
      </c>
      <c r="N1211" s="95">
        <f t="shared" si="327"/>
        <v>8125.95</v>
      </c>
      <c r="O1211" s="95">
        <f t="shared" si="328"/>
        <v>8125.95</v>
      </c>
      <c r="P1211" s="94">
        <f t="shared" si="329"/>
        <v>0</v>
      </c>
      <c r="Q1211" s="95">
        <f t="shared" si="330"/>
        <v>0</v>
      </c>
      <c r="R1211" s="96"/>
      <c r="S1211" s="97">
        <f t="shared" si="331"/>
        <v>530</v>
      </c>
      <c r="T1211" s="98">
        <f t="shared" si="326"/>
        <v>15</v>
      </c>
      <c r="U1211">
        <f>67+29+8</f>
        <v>104</v>
      </c>
      <c r="Y1211">
        <v>426</v>
      </c>
    </row>
    <row r="1212" spans="2:31" ht="20.100000000000001" customHeight="1">
      <c r="B1212" s="88">
        <v>10</v>
      </c>
      <c r="C1212" s="89" t="s">
        <v>2748</v>
      </c>
      <c r="D1212" s="90" t="s">
        <v>2807</v>
      </c>
      <c r="E1212" s="91" t="s">
        <v>2808</v>
      </c>
      <c r="F1212" s="315">
        <v>19.47</v>
      </c>
      <c r="G1212" s="260">
        <v>26</v>
      </c>
      <c r="H1212" s="260"/>
      <c r="I1212" s="309"/>
      <c r="J1212" s="199"/>
      <c r="K1212" s="269"/>
      <c r="L1212" s="93">
        <f t="shared" si="325"/>
        <v>26</v>
      </c>
      <c r="M1212" s="183">
        <v>26</v>
      </c>
      <c r="N1212" s="95">
        <f t="shared" si="327"/>
        <v>506.21999999999997</v>
      </c>
      <c r="O1212" s="95">
        <f t="shared" si="328"/>
        <v>506.21999999999997</v>
      </c>
      <c r="P1212" s="94">
        <f t="shared" si="329"/>
        <v>0</v>
      </c>
      <c r="Q1212" s="95">
        <f t="shared" si="330"/>
        <v>0</v>
      </c>
      <c r="R1212" s="96"/>
      <c r="S1212" s="97">
        <f t="shared" si="331"/>
        <v>27</v>
      </c>
      <c r="T1212" s="98">
        <f t="shared" si="326"/>
        <v>-1</v>
      </c>
      <c r="U1212">
        <v>27</v>
      </c>
    </row>
    <row r="1213" spans="2:31" ht="20.100000000000001" customHeight="1">
      <c r="B1213" s="88">
        <v>10</v>
      </c>
      <c r="C1213" s="89" t="s">
        <v>2748</v>
      </c>
      <c r="D1213" s="90" t="s">
        <v>2809</v>
      </c>
      <c r="E1213" s="91" t="s">
        <v>2810</v>
      </c>
      <c r="F1213" s="315">
        <v>14.42</v>
      </c>
      <c r="G1213" s="260">
        <v>66</v>
      </c>
      <c r="H1213" s="260">
        <v>30</v>
      </c>
      <c r="I1213" s="309"/>
      <c r="J1213" s="199"/>
      <c r="K1213" s="269">
        <v>30</v>
      </c>
      <c r="L1213" s="93">
        <f t="shared" si="325"/>
        <v>66</v>
      </c>
      <c r="M1213" s="183">
        <v>66</v>
      </c>
      <c r="N1213" s="95">
        <f t="shared" si="327"/>
        <v>951.72</v>
      </c>
      <c r="O1213" s="95">
        <f t="shared" si="328"/>
        <v>951.72</v>
      </c>
      <c r="P1213" s="94">
        <f t="shared" si="329"/>
        <v>0</v>
      </c>
      <c r="Q1213" s="95">
        <f t="shared" si="330"/>
        <v>0</v>
      </c>
      <c r="R1213" s="278"/>
      <c r="S1213" s="97">
        <f t="shared" si="331"/>
        <v>65</v>
      </c>
      <c r="T1213" s="98">
        <f t="shared" si="326"/>
        <v>1</v>
      </c>
      <c r="U1213">
        <v>65</v>
      </c>
    </row>
    <row r="1214" spans="2:31" ht="20.100000000000001" customHeight="1">
      <c r="B1214" s="88">
        <v>10</v>
      </c>
      <c r="C1214" s="89" t="s">
        <v>2748</v>
      </c>
      <c r="D1214" s="90" t="s">
        <v>2811</v>
      </c>
      <c r="E1214" s="91" t="s">
        <v>2812</v>
      </c>
      <c r="F1214" s="315">
        <v>279.33999999999997</v>
      </c>
      <c r="G1214" s="260"/>
      <c r="H1214" s="260"/>
      <c r="I1214" s="309"/>
      <c r="J1214" s="199"/>
      <c r="K1214" s="269"/>
      <c r="L1214" s="93">
        <f t="shared" si="325"/>
        <v>0</v>
      </c>
      <c r="M1214" s="183"/>
      <c r="N1214" s="95">
        <f t="shared" si="327"/>
        <v>0</v>
      </c>
      <c r="O1214" s="95">
        <f t="shared" si="328"/>
        <v>0</v>
      </c>
      <c r="P1214" s="94">
        <f t="shared" si="329"/>
        <v>0</v>
      </c>
      <c r="Q1214" s="95">
        <f t="shared" si="330"/>
        <v>0</v>
      </c>
      <c r="R1214" s="96"/>
      <c r="S1214" s="97">
        <f t="shared" si="331"/>
        <v>0</v>
      </c>
      <c r="T1214" s="98">
        <f t="shared" si="326"/>
        <v>0</v>
      </c>
    </row>
    <row r="1215" spans="2:31" ht="20.100000000000001" customHeight="1">
      <c r="B1215" s="88">
        <v>10</v>
      </c>
      <c r="C1215" s="89" t="s">
        <v>2748</v>
      </c>
      <c r="D1215" s="90" t="s">
        <v>2813</v>
      </c>
      <c r="E1215" s="91" t="s">
        <v>2814</v>
      </c>
      <c r="F1215" s="315">
        <v>20.2</v>
      </c>
      <c r="G1215" s="260">
        <v>49</v>
      </c>
      <c r="H1215" s="260"/>
      <c r="I1215" s="309"/>
      <c r="J1215" s="199"/>
      <c r="K1215" s="269"/>
      <c r="L1215" s="93">
        <f t="shared" si="325"/>
        <v>49</v>
      </c>
      <c r="M1215" s="183">
        <v>49</v>
      </c>
      <c r="N1215" s="95">
        <f t="shared" si="327"/>
        <v>989.8</v>
      </c>
      <c r="O1215" s="95">
        <f t="shared" si="328"/>
        <v>989.8</v>
      </c>
      <c r="P1215" s="94">
        <f t="shared" si="329"/>
        <v>0</v>
      </c>
      <c r="Q1215" s="95">
        <f t="shared" si="330"/>
        <v>0</v>
      </c>
      <c r="R1215" s="96"/>
      <c r="S1215" s="97">
        <f t="shared" si="331"/>
        <v>49</v>
      </c>
      <c r="T1215" s="98">
        <f t="shared" si="326"/>
        <v>0</v>
      </c>
      <c r="U1215">
        <v>49</v>
      </c>
    </row>
    <row r="1216" spans="2:31" ht="20.100000000000001" customHeight="1">
      <c r="B1216" s="88">
        <v>10</v>
      </c>
      <c r="C1216" s="89" t="s">
        <v>2748</v>
      </c>
      <c r="D1216" s="90" t="s">
        <v>2815</v>
      </c>
      <c r="E1216" s="91" t="s">
        <v>2816</v>
      </c>
      <c r="F1216" s="315">
        <v>296.10000000000002</v>
      </c>
      <c r="G1216" s="260">
        <v>7</v>
      </c>
      <c r="H1216" s="260"/>
      <c r="I1216" s="309"/>
      <c r="J1216" s="199">
        <v>1</v>
      </c>
      <c r="K1216" s="269">
        <v>2</v>
      </c>
      <c r="L1216" s="93">
        <f t="shared" si="325"/>
        <v>4</v>
      </c>
      <c r="M1216" s="183">
        <v>4</v>
      </c>
      <c r="N1216" s="95">
        <f t="shared" si="327"/>
        <v>1184.4000000000001</v>
      </c>
      <c r="O1216" s="95">
        <f t="shared" si="328"/>
        <v>1184.4000000000001</v>
      </c>
      <c r="P1216" s="94">
        <f t="shared" si="329"/>
        <v>0</v>
      </c>
      <c r="Q1216" s="95">
        <f t="shared" si="330"/>
        <v>0</v>
      </c>
      <c r="R1216" s="96"/>
      <c r="S1216" s="97">
        <f t="shared" si="331"/>
        <v>0</v>
      </c>
      <c r="T1216" s="98">
        <f t="shared" si="326"/>
        <v>4</v>
      </c>
    </row>
    <row r="1217" spans="2:31" ht="20.100000000000001" customHeight="1">
      <c r="B1217" s="88">
        <v>10</v>
      </c>
      <c r="C1217" s="89" t="s">
        <v>2748</v>
      </c>
      <c r="D1217" s="90" t="s">
        <v>2817</v>
      </c>
      <c r="E1217" s="91" t="s">
        <v>2818</v>
      </c>
      <c r="F1217" s="315">
        <v>360.65</v>
      </c>
      <c r="G1217" s="260">
        <v>4</v>
      </c>
      <c r="H1217" s="260"/>
      <c r="I1217" s="309">
        <v>8</v>
      </c>
      <c r="J1217" s="199">
        <v>4</v>
      </c>
      <c r="K1217" s="269"/>
      <c r="L1217" s="93">
        <f t="shared" si="325"/>
        <v>8</v>
      </c>
      <c r="M1217" s="183">
        <v>8</v>
      </c>
      <c r="N1217" s="95">
        <f t="shared" si="327"/>
        <v>2885.2</v>
      </c>
      <c r="O1217" s="95">
        <f t="shared" si="328"/>
        <v>2885.2</v>
      </c>
      <c r="P1217" s="94">
        <f t="shared" si="329"/>
        <v>0</v>
      </c>
      <c r="Q1217" s="95">
        <f t="shared" si="330"/>
        <v>0</v>
      </c>
      <c r="R1217" s="96"/>
      <c r="S1217" s="97">
        <f t="shared" si="331"/>
        <v>0</v>
      </c>
      <c r="T1217" s="98">
        <f t="shared" si="326"/>
        <v>8</v>
      </c>
    </row>
    <row r="1218" spans="2:31" ht="20.100000000000001" customHeight="1">
      <c r="B1218" s="88">
        <v>10</v>
      </c>
      <c r="C1218" s="89" t="s">
        <v>2748</v>
      </c>
      <c r="D1218" s="90" t="s">
        <v>2819</v>
      </c>
      <c r="E1218" s="91" t="s">
        <v>2820</v>
      </c>
      <c r="F1218" s="315">
        <v>360.65</v>
      </c>
      <c r="G1218" s="260">
        <v>11</v>
      </c>
      <c r="H1218" s="260"/>
      <c r="I1218" s="309"/>
      <c r="J1218" s="199">
        <v>1</v>
      </c>
      <c r="K1218" s="269">
        <v>1</v>
      </c>
      <c r="L1218" s="93">
        <f t="shared" si="325"/>
        <v>9</v>
      </c>
      <c r="M1218" s="183">
        <v>9</v>
      </c>
      <c r="N1218" s="95">
        <f t="shared" si="327"/>
        <v>3245.85</v>
      </c>
      <c r="O1218" s="95">
        <f t="shared" si="328"/>
        <v>3245.85</v>
      </c>
      <c r="P1218" s="94">
        <f t="shared" si="329"/>
        <v>0</v>
      </c>
      <c r="Q1218" s="95">
        <f t="shared" si="330"/>
        <v>0</v>
      </c>
      <c r="R1218" s="96"/>
      <c r="S1218" s="97">
        <f t="shared" si="331"/>
        <v>15</v>
      </c>
      <c r="T1218" s="98">
        <f t="shared" si="326"/>
        <v>-6</v>
      </c>
      <c r="U1218">
        <v>15</v>
      </c>
    </row>
    <row r="1219" spans="2:31" ht="20.100000000000001" customHeight="1">
      <c r="B1219" s="88">
        <v>10</v>
      </c>
      <c r="C1219" s="89" t="s">
        <v>2748</v>
      </c>
      <c r="D1219" s="90" t="s">
        <v>2821</v>
      </c>
      <c r="E1219" s="91" t="s">
        <v>2822</v>
      </c>
      <c r="F1219" s="315">
        <v>333.8</v>
      </c>
      <c r="G1219" s="260">
        <v>13</v>
      </c>
      <c r="H1219" s="260"/>
      <c r="I1219" s="309">
        <v>8</v>
      </c>
      <c r="J1219" s="199">
        <v>5</v>
      </c>
      <c r="K1219" s="269"/>
      <c r="L1219" s="93">
        <f t="shared" si="325"/>
        <v>16</v>
      </c>
      <c r="M1219" s="183">
        <v>16</v>
      </c>
      <c r="N1219" s="95">
        <f t="shared" si="327"/>
        <v>5340.8</v>
      </c>
      <c r="O1219" s="95">
        <f t="shared" si="328"/>
        <v>5340.8</v>
      </c>
      <c r="P1219" s="94">
        <f t="shared" si="329"/>
        <v>0</v>
      </c>
      <c r="Q1219" s="95">
        <f t="shared" si="330"/>
        <v>0</v>
      </c>
      <c r="R1219" s="96"/>
      <c r="S1219" s="97">
        <f t="shared" si="331"/>
        <v>13</v>
      </c>
      <c r="T1219" s="98">
        <f t="shared" si="326"/>
        <v>3</v>
      </c>
      <c r="U1219">
        <v>13</v>
      </c>
    </row>
    <row r="1220" spans="2:31" ht="20.100000000000001" customHeight="1">
      <c r="B1220" s="88">
        <v>10</v>
      </c>
      <c r="C1220" s="89" t="s">
        <v>2748</v>
      </c>
      <c r="D1220" s="90" t="s">
        <v>2823</v>
      </c>
      <c r="E1220" s="91" t="s">
        <v>2824</v>
      </c>
      <c r="F1220" s="315">
        <v>18</v>
      </c>
      <c r="G1220" s="260"/>
      <c r="H1220" s="260"/>
      <c r="I1220" s="309"/>
      <c r="J1220" s="199"/>
      <c r="K1220" s="269"/>
      <c r="L1220" s="93">
        <f t="shared" si="325"/>
        <v>0</v>
      </c>
      <c r="M1220" s="183"/>
      <c r="N1220" s="95">
        <f t="shared" si="327"/>
        <v>0</v>
      </c>
      <c r="O1220" s="95">
        <f t="shared" si="328"/>
        <v>0</v>
      </c>
      <c r="P1220" s="94">
        <f t="shared" si="329"/>
        <v>0</v>
      </c>
      <c r="Q1220" s="95">
        <f t="shared" si="330"/>
        <v>0</v>
      </c>
      <c r="R1220" s="96"/>
      <c r="S1220" s="97">
        <f t="shared" si="331"/>
        <v>0</v>
      </c>
      <c r="T1220" s="98">
        <f t="shared" si="326"/>
        <v>0</v>
      </c>
    </row>
    <row r="1221" spans="2:31" ht="20.100000000000001" customHeight="1">
      <c r="B1221" s="88">
        <v>10</v>
      </c>
      <c r="C1221" s="89" t="s">
        <v>2748</v>
      </c>
      <c r="D1221" s="90" t="s">
        <v>2825</v>
      </c>
      <c r="E1221" s="91" t="s">
        <v>2826</v>
      </c>
      <c r="F1221" s="315">
        <v>21</v>
      </c>
      <c r="G1221" s="260"/>
      <c r="H1221" s="260"/>
      <c r="I1221" s="309"/>
      <c r="J1221" s="199"/>
      <c r="K1221" s="269"/>
      <c r="L1221" s="93">
        <f t="shared" si="325"/>
        <v>0</v>
      </c>
      <c r="M1221" s="183"/>
      <c r="N1221" s="95">
        <f t="shared" si="327"/>
        <v>0</v>
      </c>
      <c r="O1221" s="95">
        <f t="shared" si="328"/>
        <v>0</v>
      </c>
      <c r="P1221" s="94">
        <f t="shared" si="329"/>
        <v>0</v>
      </c>
      <c r="Q1221" s="95">
        <f t="shared" si="330"/>
        <v>0</v>
      </c>
      <c r="R1221" s="96"/>
      <c r="S1221" s="97">
        <f t="shared" si="331"/>
        <v>0</v>
      </c>
      <c r="T1221" s="98">
        <f t="shared" si="326"/>
        <v>0</v>
      </c>
    </row>
    <row r="1222" spans="2:31" ht="20.100000000000001" customHeight="1">
      <c r="B1222" s="88">
        <v>10</v>
      </c>
      <c r="C1222" s="89" t="s">
        <v>2748</v>
      </c>
      <c r="D1222" s="90" t="s">
        <v>2827</v>
      </c>
      <c r="E1222" s="91" t="s">
        <v>2828</v>
      </c>
      <c r="F1222" s="315">
        <v>85</v>
      </c>
      <c r="G1222" s="260">
        <v>5</v>
      </c>
      <c r="H1222" s="260"/>
      <c r="I1222" s="309"/>
      <c r="J1222" s="199"/>
      <c r="K1222" s="269"/>
      <c r="L1222" s="93">
        <f t="shared" si="325"/>
        <v>5</v>
      </c>
      <c r="M1222" s="183">
        <f>4+1</f>
        <v>5</v>
      </c>
      <c r="N1222" s="95">
        <f t="shared" si="327"/>
        <v>425</v>
      </c>
      <c r="O1222" s="95">
        <f t="shared" si="328"/>
        <v>425</v>
      </c>
      <c r="P1222" s="94">
        <f t="shared" si="329"/>
        <v>0</v>
      </c>
      <c r="Q1222" s="95">
        <f t="shared" si="330"/>
        <v>0</v>
      </c>
      <c r="R1222" s="96"/>
      <c r="S1222" s="97">
        <f t="shared" si="331"/>
        <v>5</v>
      </c>
      <c r="T1222" s="98">
        <f t="shared" si="326"/>
        <v>0</v>
      </c>
      <c r="U1222">
        <v>1</v>
      </c>
      <c r="Y1222">
        <v>4</v>
      </c>
    </row>
    <row r="1223" spans="2:31" ht="20.100000000000001" customHeight="1">
      <c r="B1223" s="88">
        <v>10</v>
      </c>
      <c r="C1223" s="89" t="s">
        <v>2748</v>
      </c>
      <c r="D1223" s="90" t="s">
        <v>2829</v>
      </c>
      <c r="E1223" s="91" t="s">
        <v>2830</v>
      </c>
      <c r="F1223" s="315">
        <v>76.19</v>
      </c>
      <c r="G1223" s="260">
        <v>63</v>
      </c>
      <c r="H1223" s="260"/>
      <c r="I1223" s="309"/>
      <c r="J1223" s="199"/>
      <c r="K1223" s="269"/>
      <c r="L1223" s="93">
        <f t="shared" si="325"/>
        <v>63</v>
      </c>
      <c r="M1223" s="183">
        <v>63</v>
      </c>
      <c r="N1223" s="95">
        <f t="shared" si="327"/>
        <v>4799.97</v>
      </c>
      <c r="O1223" s="95">
        <f t="shared" si="328"/>
        <v>4799.97</v>
      </c>
      <c r="P1223" s="94">
        <f t="shared" si="329"/>
        <v>0</v>
      </c>
      <c r="Q1223" s="95">
        <f t="shared" si="330"/>
        <v>0</v>
      </c>
      <c r="R1223" s="96"/>
      <c r="S1223" s="97">
        <f t="shared" si="331"/>
        <v>9</v>
      </c>
      <c r="T1223" s="98">
        <f t="shared" si="326"/>
        <v>54</v>
      </c>
      <c r="U1223">
        <v>9</v>
      </c>
    </row>
    <row r="1224" spans="2:31" ht="20.100000000000001" customHeight="1">
      <c r="B1224" s="88">
        <v>10</v>
      </c>
      <c r="C1224" s="89" t="s">
        <v>2748</v>
      </c>
      <c r="D1224" s="90" t="s">
        <v>2831</v>
      </c>
      <c r="E1224" s="91" t="s">
        <v>2832</v>
      </c>
      <c r="F1224" s="315">
        <v>12.7</v>
      </c>
      <c r="G1224" s="260"/>
      <c r="H1224" s="260"/>
      <c r="I1224" s="309"/>
      <c r="J1224" s="199"/>
      <c r="K1224" s="269"/>
      <c r="L1224" s="93">
        <f t="shared" si="325"/>
        <v>0</v>
      </c>
      <c r="M1224" s="183"/>
      <c r="N1224" s="95">
        <f t="shared" si="327"/>
        <v>0</v>
      </c>
      <c r="O1224" s="95">
        <f t="shared" si="328"/>
        <v>0</v>
      </c>
      <c r="P1224" s="94">
        <f t="shared" si="329"/>
        <v>0</v>
      </c>
      <c r="Q1224" s="95">
        <f t="shared" si="330"/>
        <v>0</v>
      </c>
      <c r="R1224" s="96"/>
      <c r="S1224" s="97">
        <f t="shared" si="331"/>
        <v>0</v>
      </c>
      <c r="T1224" s="98">
        <f t="shared" si="326"/>
        <v>0</v>
      </c>
    </row>
    <row r="1225" spans="2:31" ht="20.100000000000001" customHeight="1">
      <c r="B1225" s="88">
        <v>10</v>
      </c>
      <c r="C1225" s="89" t="s">
        <v>2748</v>
      </c>
      <c r="D1225" s="90" t="s">
        <v>2833</v>
      </c>
      <c r="E1225" s="91" t="s">
        <v>2834</v>
      </c>
      <c r="F1225" s="315">
        <v>76.19</v>
      </c>
      <c r="G1225" s="260">
        <v>18</v>
      </c>
      <c r="H1225" s="260"/>
      <c r="I1225" s="309"/>
      <c r="J1225" s="199"/>
      <c r="K1225" s="269"/>
      <c r="L1225" s="93">
        <f t="shared" si="325"/>
        <v>18</v>
      </c>
      <c r="M1225" s="183">
        <v>18</v>
      </c>
      <c r="N1225" s="95">
        <f t="shared" si="327"/>
        <v>1371.42</v>
      </c>
      <c r="O1225" s="95">
        <f t="shared" si="328"/>
        <v>1371.42</v>
      </c>
      <c r="P1225" s="94">
        <f t="shared" si="329"/>
        <v>0</v>
      </c>
      <c r="Q1225" s="95">
        <f t="shared" si="330"/>
        <v>0</v>
      </c>
      <c r="R1225" s="96"/>
      <c r="S1225" s="97">
        <f t="shared" si="331"/>
        <v>18</v>
      </c>
      <c r="T1225" s="98">
        <f t="shared" si="326"/>
        <v>0</v>
      </c>
      <c r="Y1225">
        <v>18</v>
      </c>
    </row>
    <row r="1226" spans="2:31" ht="20.100000000000001" customHeight="1">
      <c r="B1226" s="88">
        <v>10</v>
      </c>
      <c r="C1226" s="89" t="s">
        <v>2748</v>
      </c>
      <c r="D1226" s="90" t="s">
        <v>2835</v>
      </c>
      <c r="E1226" s="91" t="s">
        <v>2836</v>
      </c>
      <c r="F1226" s="315">
        <v>6.29</v>
      </c>
      <c r="G1226" s="260">
        <v>212</v>
      </c>
      <c r="H1226" s="260"/>
      <c r="I1226" s="309"/>
      <c r="J1226" s="199"/>
      <c r="K1226" s="269"/>
      <c r="L1226" s="93">
        <f t="shared" si="325"/>
        <v>212</v>
      </c>
      <c r="M1226" s="183">
        <f>210+2</f>
        <v>212</v>
      </c>
      <c r="N1226" s="95">
        <f t="shared" si="327"/>
        <v>1333.48</v>
      </c>
      <c r="O1226" s="95">
        <f t="shared" si="328"/>
        <v>1333.48</v>
      </c>
      <c r="P1226" s="94">
        <f t="shared" si="329"/>
        <v>0</v>
      </c>
      <c r="Q1226" s="95">
        <f t="shared" si="330"/>
        <v>0</v>
      </c>
      <c r="R1226" s="96"/>
      <c r="S1226" s="97">
        <f t="shared" si="331"/>
        <v>212</v>
      </c>
      <c r="T1226" s="98">
        <f t="shared" si="326"/>
        <v>0</v>
      </c>
      <c r="U1226">
        <f>1+1</f>
        <v>2</v>
      </c>
      <c r="Y1226">
        <v>210</v>
      </c>
      <c r="Z1226" s="99" t="s">
        <v>2802</v>
      </c>
      <c r="AD1226">
        <f>Y1226</f>
        <v>210</v>
      </c>
      <c r="AE1226" s="100">
        <f>AD1226*F1226</f>
        <v>1320.9</v>
      </c>
    </row>
    <row r="1227" spans="2:31" ht="20.100000000000001" customHeight="1">
      <c r="B1227" s="88">
        <v>10</v>
      </c>
      <c r="C1227" s="89" t="s">
        <v>2748</v>
      </c>
      <c r="D1227" s="90" t="s">
        <v>2837</v>
      </c>
      <c r="E1227" s="91" t="s">
        <v>2838</v>
      </c>
      <c r="F1227" s="315">
        <v>6.29</v>
      </c>
      <c r="G1227" s="260">
        <v>24</v>
      </c>
      <c r="H1227" s="260"/>
      <c r="I1227" s="309"/>
      <c r="J1227" s="199"/>
      <c r="K1227" s="269"/>
      <c r="L1227" s="93">
        <f t="shared" si="325"/>
        <v>24</v>
      </c>
      <c r="M1227" s="183">
        <v>24</v>
      </c>
      <c r="N1227" s="95">
        <f t="shared" si="327"/>
        <v>150.96</v>
      </c>
      <c r="O1227" s="95">
        <f t="shared" si="328"/>
        <v>150.96</v>
      </c>
      <c r="P1227" s="94">
        <f t="shared" si="329"/>
        <v>0</v>
      </c>
      <c r="Q1227" s="95">
        <f t="shared" si="330"/>
        <v>0</v>
      </c>
      <c r="R1227" s="96"/>
      <c r="S1227" s="97">
        <f t="shared" si="331"/>
        <v>48</v>
      </c>
      <c r="T1227" s="98">
        <f t="shared" si="326"/>
        <v>-24</v>
      </c>
      <c r="U1227">
        <v>48</v>
      </c>
    </row>
    <row r="1228" spans="2:31" ht="20.100000000000001" customHeight="1">
      <c r="B1228" s="88">
        <v>10</v>
      </c>
      <c r="C1228" s="89" t="s">
        <v>2748</v>
      </c>
      <c r="D1228" s="90" t="s">
        <v>2839</v>
      </c>
      <c r="E1228" s="91" t="s">
        <v>2840</v>
      </c>
      <c r="F1228" s="315">
        <v>6.29</v>
      </c>
      <c r="G1228" s="260">
        <v>210</v>
      </c>
      <c r="H1228" s="260"/>
      <c r="I1228" s="309"/>
      <c r="J1228" s="199"/>
      <c r="K1228" s="269"/>
      <c r="L1228" s="93">
        <f t="shared" si="325"/>
        <v>210</v>
      </c>
      <c r="M1228" s="183">
        <v>210</v>
      </c>
      <c r="N1228" s="95">
        <f t="shared" si="327"/>
        <v>1320.9</v>
      </c>
      <c r="O1228" s="95">
        <f t="shared" si="328"/>
        <v>1320.9</v>
      </c>
      <c r="P1228" s="94">
        <f t="shared" si="329"/>
        <v>0</v>
      </c>
      <c r="Q1228" s="95">
        <f t="shared" si="330"/>
        <v>0</v>
      </c>
      <c r="R1228" s="96" t="s">
        <v>821</v>
      </c>
      <c r="S1228" s="97">
        <f t="shared" si="331"/>
        <v>210</v>
      </c>
      <c r="T1228" s="98">
        <f t="shared" si="326"/>
        <v>0</v>
      </c>
      <c r="Y1228">
        <v>210</v>
      </c>
      <c r="Z1228" s="99" t="s">
        <v>2802</v>
      </c>
      <c r="AD1228">
        <f>Y1228</f>
        <v>210</v>
      </c>
      <c r="AE1228" s="100">
        <f>AD1228*F1228</f>
        <v>1320.9</v>
      </c>
    </row>
    <row r="1229" spans="2:31" ht="20.100000000000001" customHeight="1">
      <c r="B1229" s="88">
        <v>10</v>
      </c>
      <c r="C1229" s="89" t="s">
        <v>2748</v>
      </c>
      <c r="D1229" s="90" t="s">
        <v>2841</v>
      </c>
      <c r="E1229" s="91" t="s">
        <v>2842</v>
      </c>
      <c r="F1229" s="315">
        <v>22.09</v>
      </c>
      <c r="G1229" s="260">
        <v>144</v>
      </c>
      <c r="H1229" s="260"/>
      <c r="I1229" s="309"/>
      <c r="J1229" s="199"/>
      <c r="K1229" s="269"/>
      <c r="L1229" s="93">
        <f t="shared" si="325"/>
        <v>144</v>
      </c>
      <c r="M1229" s="183">
        <v>144</v>
      </c>
      <c r="N1229" s="95">
        <f t="shared" si="327"/>
        <v>3180.96</v>
      </c>
      <c r="O1229" s="95">
        <f t="shared" si="328"/>
        <v>3180.96</v>
      </c>
      <c r="P1229" s="94">
        <f t="shared" si="329"/>
        <v>0</v>
      </c>
      <c r="Q1229" s="95">
        <f t="shared" si="330"/>
        <v>0</v>
      </c>
      <c r="R1229" s="96"/>
      <c r="S1229" s="97">
        <f t="shared" si="331"/>
        <v>144</v>
      </c>
      <c r="T1229" s="98">
        <f t="shared" si="326"/>
        <v>0</v>
      </c>
      <c r="Y1229">
        <v>144</v>
      </c>
    </row>
    <row r="1230" spans="2:31" ht="20.100000000000001" customHeight="1">
      <c r="B1230" s="88">
        <v>10</v>
      </c>
      <c r="C1230" s="89" t="s">
        <v>2748</v>
      </c>
      <c r="D1230" s="90" t="s">
        <v>2843</v>
      </c>
      <c r="E1230" s="91" t="s">
        <v>2844</v>
      </c>
      <c r="F1230" s="315">
        <v>20.8</v>
      </c>
      <c r="G1230" s="260">
        <v>72</v>
      </c>
      <c r="H1230" s="260"/>
      <c r="I1230" s="309"/>
      <c r="J1230" s="199"/>
      <c r="K1230" s="269"/>
      <c r="L1230" s="93">
        <f t="shared" si="325"/>
        <v>72</v>
      </c>
      <c r="M1230" s="183">
        <v>72</v>
      </c>
      <c r="N1230" s="95">
        <f t="shared" si="327"/>
        <v>1497.6000000000001</v>
      </c>
      <c r="O1230" s="95">
        <f t="shared" si="328"/>
        <v>1497.6000000000001</v>
      </c>
      <c r="P1230" s="94">
        <f t="shared" si="329"/>
        <v>0</v>
      </c>
      <c r="Q1230" s="95">
        <f t="shared" si="330"/>
        <v>0</v>
      </c>
      <c r="R1230" s="96"/>
      <c r="S1230" s="97">
        <f t="shared" si="331"/>
        <v>72</v>
      </c>
      <c r="T1230" s="98">
        <f t="shared" si="326"/>
        <v>0</v>
      </c>
      <c r="Y1230">
        <v>72</v>
      </c>
    </row>
    <row r="1231" spans="2:31" ht="20.100000000000001" customHeight="1">
      <c r="B1231" s="88">
        <v>10</v>
      </c>
      <c r="C1231" s="89" t="s">
        <v>2748</v>
      </c>
      <c r="D1231" s="90" t="s">
        <v>2845</v>
      </c>
      <c r="E1231" s="91" t="s">
        <v>2846</v>
      </c>
      <c r="F1231" s="315">
        <v>21.5</v>
      </c>
      <c r="G1231" s="260">
        <v>40</v>
      </c>
      <c r="H1231" s="260"/>
      <c r="I1231" s="309"/>
      <c r="J1231" s="199"/>
      <c r="K1231" s="269"/>
      <c r="L1231" s="93">
        <f t="shared" si="325"/>
        <v>40</v>
      </c>
      <c r="M1231" s="183">
        <v>40</v>
      </c>
      <c r="N1231" s="95">
        <f t="shared" si="327"/>
        <v>860</v>
      </c>
      <c r="O1231" s="95">
        <f t="shared" si="328"/>
        <v>860</v>
      </c>
      <c r="P1231" s="94">
        <f t="shared" si="329"/>
        <v>0</v>
      </c>
      <c r="Q1231" s="95">
        <f t="shared" si="330"/>
        <v>0</v>
      </c>
      <c r="R1231" s="96"/>
      <c r="S1231" s="97">
        <f t="shared" si="331"/>
        <v>40</v>
      </c>
      <c r="T1231" s="98">
        <f t="shared" si="326"/>
        <v>0</v>
      </c>
      <c r="Y1231">
        <v>40</v>
      </c>
    </row>
    <row r="1232" spans="2:31" ht="20.100000000000001" customHeight="1">
      <c r="B1232" s="88">
        <v>10</v>
      </c>
      <c r="C1232" s="89" t="s">
        <v>2748</v>
      </c>
      <c r="D1232" s="90" t="s">
        <v>2847</v>
      </c>
      <c r="E1232" s="91" t="s">
        <v>2848</v>
      </c>
      <c r="F1232" s="315">
        <v>22.57</v>
      </c>
      <c r="G1232" s="260">
        <v>224</v>
      </c>
      <c r="H1232" s="260"/>
      <c r="I1232" s="309"/>
      <c r="J1232" s="199"/>
      <c r="K1232" s="269"/>
      <c r="L1232" s="93">
        <f t="shared" si="325"/>
        <v>224</v>
      </c>
      <c r="M1232" s="183">
        <v>224</v>
      </c>
      <c r="N1232" s="95">
        <f t="shared" si="327"/>
        <v>5055.68</v>
      </c>
      <c r="O1232" s="95">
        <f t="shared" si="328"/>
        <v>5055.68</v>
      </c>
      <c r="P1232" s="94">
        <f t="shared" si="329"/>
        <v>0</v>
      </c>
      <c r="Q1232" s="95">
        <f t="shared" si="330"/>
        <v>0</v>
      </c>
      <c r="R1232" s="96"/>
      <c r="S1232" s="97">
        <f t="shared" si="331"/>
        <v>224</v>
      </c>
      <c r="T1232" s="98">
        <f t="shared" si="326"/>
        <v>0</v>
      </c>
      <c r="Y1232">
        <v>224</v>
      </c>
    </row>
    <row r="1233" spans="2:31" ht="20.100000000000001" customHeight="1">
      <c r="B1233" s="88">
        <v>10</v>
      </c>
      <c r="C1233" s="89" t="s">
        <v>2748</v>
      </c>
      <c r="D1233" s="90" t="s">
        <v>2849</v>
      </c>
      <c r="E1233" s="91" t="s">
        <v>2850</v>
      </c>
      <c r="F1233" s="315">
        <v>24.42</v>
      </c>
      <c r="G1233" s="260">
        <v>39</v>
      </c>
      <c r="H1233" s="260"/>
      <c r="I1233" s="309"/>
      <c r="J1233" s="199"/>
      <c r="K1233" s="269"/>
      <c r="L1233" s="93">
        <f t="shared" si="325"/>
        <v>39</v>
      </c>
      <c r="M1233" s="183">
        <v>39</v>
      </c>
      <c r="N1233" s="95">
        <f t="shared" si="327"/>
        <v>952.38000000000011</v>
      </c>
      <c r="O1233" s="95">
        <f t="shared" si="328"/>
        <v>952.38000000000011</v>
      </c>
      <c r="P1233" s="94">
        <f t="shared" si="329"/>
        <v>0</v>
      </c>
      <c r="Q1233" s="95">
        <f t="shared" si="330"/>
        <v>0</v>
      </c>
      <c r="R1233" s="96"/>
      <c r="S1233" s="97">
        <f t="shared" si="331"/>
        <v>39</v>
      </c>
      <c r="T1233" s="98">
        <f t="shared" si="326"/>
        <v>0</v>
      </c>
      <c r="Y1233">
        <v>39</v>
      </c>
    </row>
    <row r="1234" spans="2:31" ht="20.100000000000001" customHeight="1">
      <c r="B1234" s="88">
        <v>10</v>
      </c>
      <c r="C1234" s="89" t="s">
        <v>2748</v>
      </c>
      <c r="D1234" s="90" t="s">
        <v>2851</v>
      </c>
      <c r="E1234" s="91" t="s">
        <v>2852</v>
      </c>
      <c r="F1234" s="315">
        <v>5.34</v>
      </c>
      <c r="G1234" s="260">
        <v>385</v>
      </c>
      <c r="H1234" s="260"/>
      <c r="I1234" s="309"/>
      <c r="J1234" s="199"/>
      <c r="K1234" s="269"/>
      <c r="L1234" s="93">
        <f t="shared" si="325"/>
        <v>385</v>
      </c>
      <c r="M1234" s="183">
        <v>385</v>
      </c>
      <c r="N1234" s="95">
        <f t="shared" si="327"/>
        <v>2055.9</v>
      </c>
      <c r="O1234" s="95">
        <f t="shared" si="328"/>
        <v>2055.9</v>
      </c>
      <c r="P1234" s="94">
        <f t="shared" si="329"/>
        <v>0</v>
      </c>
      <c r="Q1234" s="95">
        <f t="shared" si="330"/>
        <v>0</v>
      </c>
      <c r="R1234" s="96"/>
      <c r="S1234" s="97">
        <f t="shared" si="331"/>
        <v>208</v>
      </c>
      <c r="T1234" s="98">
        <f t="shared" si="326"/>
        <v>177</v>
      </c>
      <c r="U1234">
        <v>76</v>
      </c>
      <c r="AA1234">
        <v>132</v>
      </c>
      <c r="AB1234" s="99" t="s">
        <v>2853</v>
      </c>
      <c r="AD1234">
        <f>AA1234</f>
        <v>132</v>
      </c>
      <c r="AE1234" s="100">
        <f>AD1234*F1234</f>
        <v>704.88</v>
      </c>
    </row>
    <row r="1235" spans="2:31" ht="20.100000000000001" customHeight="1">
      <c r="B1235" s="88">
        <v>10</v>
      </c>
      <c r="C1235" s="89" t="s">
        <v>2748</v>
      </c>
      <c r="D1235" s="90" t="s">
        <v>2854</v>
      </c>
      <c r="E1235" s="91" t="s">
        <v>2855</v>
      </c>
      <c r="F1235" s="315">
        <v>5.0199999999999996</v>
      </c>
      <c r="G1235" s="260">
        <v>62</v>
      </c>
      <c r="H1235" s="260"/>
      <c r="I1235" s="309"/>
      <c r="J1235" s="199"/>
      <c r="K1235" s="269"/>
      <c r="L1235" s="93">
        <f t="shared" si="325"/>
        <v>62</v>
      </c>
      <c r="M1235" s="183">
        <f>60+2</f>
        <v>62</v>
      </c>
      <c r="N1235" s="95">
        <f t="shared" si="327"/>
        <v>311.23999999999995</v>
      </c>
      <c r="O1235" s="95">
        <f t="shared" si="328"/>
        <v>311.23999999999995</v>
      </c>
      <c r="P1235" s="94">
        <f t="shared" si="329"/>
        <v>0</v>
      </c>
      <c r="Q1235" s="95">
        <f t="shared" si="330"/>
        <v>0</v>
      </c>
      <c r="R1235" s="96"/>
      <c r="S1235" s="97">
        <f t="shared" si="331"/>
        <v>62</v>
      </c>
      <c r="T1235" s="98">
        <f t="shared" si="326"/>
        <v>0</v>
      </c>
      <c r="U1235">
        <v>2</v>
      </c>
      <c r="Y1235">
        <v>60</v>
      </c>
    </row>
    <row r="1236" spans="2:31" ht="20.100000000000001" customHeight="1">
      <c r="B1236" s="88">
        <v>10</v>
      </c>
      <c r="C1236" s="89" t="s">
        <v>2748</v>
      </c>
      <c r="D1236" s="90" t="s">
        <v>2856</v>
      </c>
      <c r="E1236" s="91" t="s">
        <v>2857</v>
      </c>
      <c r="F1236" s="315">
        <v>4.79</v>
      </c>
      <c r="G1236" s="260">
        <v>8</v>
      </c>
      <c r="H1236" s="260"/>
      <c r="I1236" s="309"/>
      <c r="J1236" s="199"/>
      <c r="K1236" s="269"/>
      <c r="L1236" s="93">
        <f t="shared" si="325"/>
        <v>8</v>
      </c>
      <c r="M1236" s="183">
        <v>8</v>
      </c>
      <c r="N1236" s="95">
        <f t="shared" si="327"/>
        <v>38.32</v>
      </c>
      <c r="O1236" s="95">
        <f t="shared" si="328"/>
        <v>38.32</v>
      </c>
      <c r="P1236" s="94">
        <f t="shared" si="329"/>
        <v>0</v>
      </c>
      <c r="Q1236" s="95">
        <f t="shared" si="330"/>
        <v>0</v>
      </c>
      <c r="R1236" s="96"/>
      <c r="S1236" s="97">
        <f t="shared" si="331"/>
        <v>8</v>
      </c>
      <c r="T1236" s="98">
        <f t="shared" si="326"/>
        <v>0</v>
      </c>
      <c r="U1236">
        <v>8</v>
      </c>
    </row>
    <row r="1237" spans="2:31" ht="20.100000000000001" customHeight="1">
      <c r="B1237" s="88">
        <v>10</v>
      </c>
      <c r="C1237" s="89" t="s">
        <v>2748</v>
      </c>
      <c r="D1237" s="90" t="s">
        <v>2858</v>
      </c>
      <c r="E1237" s="91" t="s">
        <v>2859</v>
      </c>
      <c r="F1237" s="315">
        <v>5.0199999999999996</v>
      </c>
      <c r="G1237" s="260">
        <v>84</v>
      </c>
      <c r="H1237" s="260"/>
      <c r="I1237" s="309"/>
      <c r="J1237" s="199"/>
      <c r="K1237" s="269"/>
      <c r="L1237" s="93">
        <f t="shared" si="325"/>
        <v>84</v>
      </c>
      <c r="M1237" s="183">
        <v>82</v>
      </c>
      <c r="N1237" s="95">
        <f t="shared" si="327"/>
        <v>421.67999999999995</v>
      </c>
      <c r="O1237" s="95">
        <f t="shared" si="328"/>
        <v>411.64</v>
      </c>
      <c r="P1237" s="94">
        <f t="shared" si="329"/>
        <v>2</v>
      </c>
      <c r="Q1237" s="95">
        <f t="shared" si="330"/>
        <v>10.039999999999964</v>
      </c>
      <c r="R1237" s="96"/>
      <c r="S1237" s="97">
        <f t="shared" si="331"/>
        <v>84</v>
      </c>
      <c r="T1237" s="98">
        <f t="shared" si="326"/>
        <v>-2</v>
      </c>
      <c r="U1237">
        <f>21+3</f>
        <v>24</v>
      </c>
      <c r="Y1237">
        <v>60</v>
      </c>
    </row>
    <row r="1238" spans="2:31" ht="20.100000000000001" customHeight="1">
      <c r="B1238" s="88">
        <v>10</v>
      </c>
      <c r="C1238" s="89" t="s">
        <v>2748</v>
      </c>
      <c r="D1238" s="90" t="s">
        <v>2860</v>
      </c>
      <c r="E1238" s="91" t="s">
        <v>2861</v>
      </c>
      <c r="F1238" s="315">
        <v>5.34</v>
      </c>
      <c r="G1238" s="260">
        <v>244</v>
      </c>
      <c r="H1238" s="260"/>
      <c r="I1238" s="309"/>
      <c r="J1238" s="199"/>
      <c r="K1238" s="269"/>
      <c r="L1238" s="93">
        <f t="shared" si="325"/>
        <v>244</v>
      </c>
      <c r="M1238" s="183">
        <f>101+143</f>
        <v>244</v>
      </c>
      <c r="N1238" s="95">
        <f t="shared" si="327"/>
        <v>1302.96</v>
      </c>
      <c r="O1238" s="95">
        <f t="shared" si="328"/>
        <v>1302.96</v>
      </c>
      <c r="P1238" s="94">
        <f t="shared" si="329"/>
        <v>0</v>
      </c>
      <c r="Q1238" s="95">
        <f t="shared" si="330"/>
        <v>0</v>
      </c>
      <c r="R1238" s="96"/>
      <c r="S1238" s="97">
        <f t="shared" si="331"/>
        <v>244</v>
      </c>
      <c r="T1238" s="98">
        <f t="shared" si="326"/>
        <v>0</v>
      </c>
      <c r="U1238">
        <v>101</v>
      </c>
      <c r="AA1238">
        <v>143</v>
      </c>
    </row>
    <row r="1239" spans="2:31" ht="20.100000000000001" customHeight="1">
      <c r="B1239" s="88">
        <v>10</v>
      </c>
      <c r="C1239" s="89" t="s">
        <v>2748</v>
      </c>
      <c r="D1239" s="90" t="s">
        <v>2862</v>
      </c>
      <c r="E1239" s="91" t="s">
        <v>2863</v>
      </c>
      <c r="F1239" s="315">
        <v>12.69</v>
      </c>
      <c r="G1239" s="260">
        <v>74</v>
      </c>
      <c r="H1239" s="260"/>
      <c r="I1239" s="309"/>
      <c r="J1239" s="199"/>
      <c r="K1239" s="269">
        <v>1</v>
      </c>
      <c r="L1239" s="93">
        <f t="shared" si="325"/>
        <v>73</v>
      </c>
      <c r="M1239" s="183">
        <v>73</v>
      </c>
      <c r="N1239" s="95">
        <f t="shared" si="327"/>
        <v>926.37</v>
      </c>
      <c r="O1239" s="95">
        <f t="shared" si="328"/>
        <v>926.37</v>
      </c>
      <c r="P1239" s="94">
        <f t="shared" si="329"/>
        <v>0</v>
      </c>
      <c r="Q1239" s="95">
        <f t="shared" si="330"/>
        <v>0</v>
      </c>
      <c r="R1239" s="96"/>
      <c r="S1239" s="97">
        <f t="shared" si="331"/>
        <v>75</v>
      </c>
      <c r="T1239" s="98">
        <f t="shared" si="326"/>
        <v>-2</v>
      </c>
      <c r="U1239">
        <v>75</v>
      </c>
    </row>
    <row r="1240" spans="2:31" ht="20.100000000000001" customHeight="1">
      <c r="B1240" s="88">
        <v>10</v>
      </c>
      <c r="C1240" s="89" t="s">
        <v>2748</v>
      </c>
      <c r="D1240" s="90" t="s">
        <v>2864</v>
      </c>
      <c r="E1240" s="91" t="s">
        <v>2865</v>
      </c>
      <c r="F1240" s="315">
        <v>44.36</v>
      </c>
      <c r="G1240" s="260">
        <v>2</v>
      </c>
      <c r="H1240" s="260"/>
      <c r="I1240" s="309"/>
      <c r="J1240" s="199"/>
      <c r="K1240" s="269"/>
      <c r="L1240" s="93">
        <f t="shared" si="325"/>
        <v>2</v>
      </c>
      <c r="M1240" s="183">
        <v>2</v>
      </c>
      <c r="N1240" s="95">
        <f t="shared" si="327"/>
        <v>88.72</v>
      </c>
      <c r="O1240" s="95">
        <f t="shared" si="328"/>
        <v>88.72</v>
      </c>
      <c r="P1240" s="94">
        <f t="shared" si="329"/>
        <v>0</v>
      </c>
      <c r="Q1240" s="95">
        <f t="shared" si="330"/>
        <v>0</v>
      </c>
      <c r="R1240" s="96"/>
      <c r="S1240" s="97">
        <f t="shared" si="331"/>
        <v>2</v>
      </c>
      <c r="T1240" s="98">
        <f t="shared" si="326"/>
        <v>0</v>
      </c>
      <c r="U1240">
        <v>2</v>
      </c>
    </row>
    <row r="1241" spans="2:31" ht="20.100000000000001" customHeight="1">
      <c r="B1241" s="88">
        <v>10</v>
      </c>
      <c r="C1241" s="89" t="s">
        <v>2748</v>
      </c>
      <c r="D1241" s="90" t="s">
        <v>2866</v>
      </c>
      <c r="E1241" s="91" t="s">
        <v>2867</v>
      </c>
      <c r="F1241" s="315">
        <v>36.51</v>
      </c>
      <c r="G1241" s="260"/>
      <c r="H1241" s="260"/>
      <c r="I1241" s="309"/>
      <c r="J1241" s="199"/>
      <c r="K1241" s="269"/>
      <c r="L1241" s="93">
        <f t="shared" si="325"/>
        <v>0</v>
      </c>
      <c r="M1241" s="183"/>
      <c r="N1241" s="95">
        <f t="shared" si="327"/>
        <v>0</v>
      </c>
      <c r="O1241" s="95">
        <f t="shared" si="328"/>
        <v>0</v>
      </c>
      <c r="P1241" s="94">
        <f t="shared" si="329"/>
        <v>0</v>
      </c>
      <c r="Q1241" s="95">
        <f t="shared" si="330"/>
        <v>0</v>
      </c>
      <c r="R1241" s="96"/>
      <c r="S1241" s="97">
        <f t="shared" si="331"/>
        <v>0</v>
      </c>
      <c r="T1241" s="98">
        <f t="shared" si="326"/>
        <v>0</v>
      </c>
    </row>
    <row r="1242" spans="2:31" ht="20.100000000000001" customHeight="1">
      <c r="B1242" s="88">
        <v>10</v>
      </c>
      <c r="C1242" s="89" t="s">
        <v>2748</v>
      </c>
      <c r="D1242" s="90" t="s">
        <v>2866</v>
      </c>
      <c r="E1242" s="91" t="s">
        <v>2867</v>
      </c>
      <c r="F1242" s="315">
        <v>36.51</v>
      </c>
      <c r="G1242" s="260">
        <v>84</v>
      </c>
      <c r="H1242" s="260"/>
      <c r="I1242" s="309"/>
      <c r="J1242" s="199"/>
      <c r="K1242" s="269">
        <v>1</v>
      </c>
      <c r="L1242" s="93">
        <f t="shared" si="325"/>
        <v>83</v>
      </c>
      <c r="M1242" s="183">
        <v>83</v>
      </c>
      <c r="N1242" s="95">
        <f t="shared" si="327"/>
        <v>3030.33</v>
      </c>
      <c r="O1242" s="95">
        <f t="shared" si="328"/>
        <v>3030.33</v>
      </c>
      <c r="P1242" s="94">
        <f t="shared" si="329"/>
        <v>0</v>
      </c>
      <c r="Q1242" s="95">
        <f t="shared" si="330"/>
        <v>0</v>
      </c>
      <c r="R1242" s="96"/>
      <c r="S1242" s="97">
        <f t="shared" si="331"/>
        <v>84</v>
      </c>
      <c r="T1242" s="98">
        <f t="shared" si="326"/>
        <v>-1</v>
      </c>
      <c r="U1242">
        <v>84</v>
      </c>
    </row>
    <row r="1243" spans="2:31" ht="20.100000000000001" customHeight="1">
      <c r="B1243" s="88">
        <v>10</v>
      </c>
      <c r="C1243" s="89" t="s">
        <v>2748</v>
      </c>
      <c r="D1243" s="90" t="s">
        <v>2868</v>
      </c>
      <c r="E1243" s="91" t="s">
        <v>2869</v>
      </c>
      <c r="F1243" s="315">
        <v>19.66</v>
      </c>
      <c r="G1243" s="260">
        <v>80</v>
      </c>
      <c r="H1243" s="260"/>
      <c r="I1243" s="309"/>
      <c r="J1243" s="199"/>
      <c r="K1243" s="269">
        <v>1</v>
      </c>
      <c r="L1243" s="93">
        <f t="shared" si="325"/>
        <v>79</v>
      </c>
      <c r="M1243" s="183">
        <v>79</v>
      </c>
      <c r="N1243" s="95">
        <f t="shared" si="327"/>
        <v>1553.14</v>
      </c>
      <c r="O1243" s="95">
        <f t="shared" si="328"/>
        <v>1553.14</v>
      </c>
      <c r="P1243" s="94">
        <f t="shared" si="329"/>
        <v>0</v>
      </c>
      <c r="Q1243" s="95">
        <f t="shared" si="330"/>
        <v>0</v>
      </c>
      <c r="R1243" s="96"/>
      <c r="S1243" s="97">
        <f t="shared" si="331"/>
        <v>80</v>
      </c>
      <c r="T1243" s="98">
        <f t="shared" si="326"/>
        <v>-1</v>
      </c>
      <c r="U1243">
        <v>80</v>
      </c>
    </row>
    <row r="1244" spans="2:31" ht="20.100000000000001" customHeight="1">
      <c r="B1244" s="88">
        <v>10</v>
      </c>
      <c r="C1244" s="89" t="s">
        <v>2748</v>
      </c>
      <c r="D1244" s="90" t="s">
        <v>2868</v>
      </c>
      <c r="E1244" s="91" t="s">
        <v>2869</v>
      </c>
      <c r="F1244" s="315">
        <v>19.66</v>
      </c>
      <c r="G1244" s="260">
        <v>1</v>
      </c>
      <c r="H1244" s="260"/>
      <c r="I1244" s="309"/>
      <c r="J1244" s="199"/>
      <c r="K1244" s="269">
        <v>1</v>
      </c>
      <c r="L1244" s="93">
        <f t="shared" si="325"/>
        <v>0</v>
      </c>
      <c r="M1244" s="183"/>
      <c r="N1244" s="95">
        <f t="shared" si="327"/>
        <v>0</v>
      </c>
      <c r="O1244" s="95">
        <f t="shared" si="328"/>
        <v>0</v>
      </c>
      <c r="P1244" s="94">
        <f t="shared" si="329"/>
        <v>0</v>
      </c>
      <c r="Q1244" s="95">
        <f t="shared" si="330"/>
        <v>0</v>
      </c>
      <c r="R1244" s="96"/>
      <c r="S1244" s="97">
        <f t="shared" si="331"/>
        <v>0</v>
      </c>
      <c r="T1244" s="98">
        <f t="shared" si="326"/>
        <v>0</v>
      </c>
    </row>
    <row r="1245" spans="2:31" ht="20.100000000000001" customHeight="1">
      <c r="B1245" s="88">
        <v>10</v>
      </c>
      <c r="C1245" s="89" t="s">
        <v>2748</v>
      </c>
      <c r="D1245" s="90" t="s">
        <v>2870</v>
      </c>
      <c r="E1245" s="91" t="s">
        <v>2871</v>
      </c>
      <c r="F1245" s="315">
        <v>48</v>
      </c>
      <c r="G1245" s="260">
        <v>3</v>
      </c>
      <c r="H1245" s="260"/>
      <c r="I1245" s="309"/>
      <c r="J1245" s="199"/>
      <c r="K1245" s="269"/>
      <c r="L1245" s="93">
        <f t="shared" si="325"/>
        <v>3</v>
      </c>
      <c r="M1245" s="183">
        <v>3</v>
      </c>
      <c r="N1245" s="95">
        <f t="shared" si="327"/>
        <v>144</v>
      </c>
      <c r="O1245" s="95">
        <f t="shared" si="328"/>
        <v>144</v>
      </c>
      <c r="P1245" s="94">
        <f t="shared" si="329"/>
        <v>0</v>
      </c>
      <c r="Q1245" s="95">
        <f t="shared" si="330"/>
        <v>0</v>
      </c>
      <c r="R1245" s="96"/>
      <c r="S1245" s="97">
        <f t="shared" si="331"/>
        <v>3</v>
      </c>
      <c r="T1245" s="98">
        <f t="shared" si="326"/>
        <v>0</v>
      </c>
      <c r="U1245">
        <v>3</v>
      </c>
    </row>
    <row r="1246" spans="2:31" ht="20.100000000000001" customHeight="1">
      <c r="B1246" s="88">
        <v>10</v>
      </c>
      <c r="C1246" s="89" t="s">
        <v>2748</v>
      </c>
      <c r="D1246" s="90" t="s">
        <v>2872</v>
      </c>
      <c r="E1246" s="91" t="s">
        <v>2873</v>
      </c>
      <c r="F1246" s="315">
        <v>15</v>
      </c>
      <c r="G1246" s="260">
        <v>4</v>
      </c>
      <c r="H1246" s="260"/>
      <c r="I1246" s="309"/>
      <c r="J1246" s="199"/>
      <c r="K1246" s="269"/>
      <c r="L1246" s="93">
        <f t="shared" si="325"/>
        <v>4</v>
      </c>
      <c r="M1246" s="183">
        <v>4</v>
      </c>
      <c r="N1246" s="95">
        <f t="shared" si="327"/>
        <v>60</v>
      </c>
      <c r="O1246" s="95">
        <f t="shared" si="328"/>
        <v>60</v>
      </c>
      <c r="P1246" s="94">
        <f t="shared" si="329"/>
        <v>0</v>
      </c>
      <c r="Q1246" s="95">
        <f t="shared" si="330"/>
        <v>0</v>
      </c>
      <c r="R1246" s="96"/>
      <c r="S1246" s="97">
        <f t="shared" si="331"/>
        <v>4</v>
      </c>
      <c r="T1246" s="98">
        <f t="shared" si="326"/>
        <v>0</v>
      </c>
      <c r="U1246">
        <v>4</v>
      </c>
    </row>
    <row r="1247" spans="2:31" ht="20.100000000000001" customHeight="1">
      <c r="B1247" s="88">
        <v>10</v>
      </c>
      <c r="C1247" s="89" t="s">
        <v>2748</v>
      </c>
      <c r="D1247" s="90" t="s">
        <v>2874</v>
      </c>
      <c r="E1247" s="91" t="s">
        <v>2875</v>
      </c>
      <c r="F1247" s="315">
        <v>3.72</v>
      </c>
      <c r="G1247" s="260">
        <v>167</v>
      </c>
      <c r="H1247" s="260"/>
      <c r="I1247" s="309"/>
      <c r="J1247" s="199"/>
      <c r="K1247" s="269">
        <v>6</v>
      </c>
      <c r="L1247" s="93">
        <f t="shared" si="325"/>
        <v>161</v>
      </c>
      <c r="M1247" s="183">
        <f>156+5</f>
        <v>161</v>
      </c>
      <c r="N1247" s="95">
        <f t="shared" si="327"/>
        <v>598.92000000000007</v>
      </c>
      <c r="O1247" s="95">
        <f t="shared" si="328"/>
        <v>598.92000000000007</v>
      </c>
      <c r="P1247" s="94">
        <f t="shared" si="329"/>
        <v>0</v>
      </c>
      <c r="Q1247" s="95">
        <f t="shared" si="330"/>
        <v>0</v>
      </c>
      <c r="R1247" s="96"/>
      <c r="S1247" s="97">
        <f t="shared" si="331"/>
        <v>167</v>
      </c>
      <c r="T1247" s="98">
        <f t="shared" si="326"/>
        <v>-6</v>
      </c>
      <c r="U1247">
        <f>120+42+5</f>
        <v>167</v>
      </c>
    </row>
    <row r="1248" spans="2:31" ht="20.100000000000001" customHeight="1">
      <c r="B1248" s="88">
        <v>10</v>
      </c>
      <c r="C1248" s="89" t="s">
        <v>2748</v>
      </c>
      <c r="D1248" s="90" t="s">
        <v>2876</v>
      </c>
      <c r="E1248" s="91" t="s">
        <v>2877</v>
      </c>
      <c r="F1248" s="315">
        <v>3.72</v>
      </c>
      <c r="G1248" s="260">
        <v>540</v>
      </c>
      <c r="H1248" s="260"/>
      <c r="I1248" s="309"/>
      <c r="J1248" s="199"/>
      <c r="K1248" s="269">
        <v>6</v>
      </c>
      <c r="L1248" s="93">
        <f t="shared" si="325"/>
        <v>534</v>
      </c>
      <c r="M1248" s="183">
        <v>534</v>
      </c>
      <c r="N1248" s="95">
        <f t="shared" si="327"/>
        <v>1986.48</v>
      </c>
      <c r="O1248" s="95">
        <f t="shared" si="328"/>
        <v>1986.48</v>
      </c>
      <c r="P1248" s="94">
        <f t="shared" si="329"/>
        <v>0</v>
      </c>
      <c r="Q1248" s="95">
        <f t="shared" si="330"/>
        <v>0</v>
      </c>
      <c r="R1248" s="278"/>
      <c r="S1248" s="97">
        <f t="shared" si="331"/>
        <v>555</v>
      </c>
      <c r="T1248" s="98">
        <f t="shared" si="326"/>
        <v>-21</v>
      </c>
      <c r="U1248">
        <f>144+3</f>
        <v>147</v>
      </c>
      <c r="Y1248">
        <f>396+12</f>
        <v>408</v>
      </c>
    </row>
    <row r="1249" spans="2:31" ht="20.100000000000001" customHeight="1">
      <c r="B1249" s="88">
        <v>10</v>
      </c>
      <c r="C1249" s="89" t="s">
        <v>2748</v>
      </c>
      <c r="D1249" s="90" t="s">
        <v>2878</v>
      </c>
      <c r="E1249" s="91" t="s">
        <v>2879</v>
      </c>
      <c r="F1249" s="315">
        <v>4.7</v>
      </c>
      <c r="G1249" s="260">
        <v>16</v>
      </c>
      <c r="H1249" s="260"/>
      <c r="I1249" s="309"/>
      <c r="J1249" s="199"/>
      <c r="K1249" s="269"/>
      <c r="L1249" s="93">
        <f t="shared" si="325"/>
        <v>16</v>
      </c>
      <c r="M1249" s="183">
        <v>396</v>
      </c>
      <c r="N1249" s="95">
        <f t="shared" si="327"/>
        <v>75.2</v>
      </c>
      <c r="O1249" s="95">
        <f t="shared" si="328"/>
        <v>1861.2</v>
      </c>
      <c r="P1249" s="94">
        <f t="shared" si="329"/>
        <v>-380</v>
      </c>
      <c r="Q1249" s="95">
        <f t="shared" si="330"/>
        <v>-1786</v>
      </c>
      <c r="R1249" s="96"/>
      <c r="S1249" s="97">
        <f t="shared" si="331"/>
        <v>413</v>
      </c>
      <c r="T1249" s="98">
        <f t="shared" si="326"/>
        <v>-17</v>
      </c>
      <c r="U1249">
        <v>5</v>
      </c>
      <c r="Y1249">
        <v>408</v>
      </c>
    </row>
    <row r="1250" spans="2:31" ht="20.100000000000001" customHeight="1">
      <c r="B1250" s="88">
        <v>10</v>
      </c>
      <c r="C1250" s="89" t="s">
        <v>2748</v>
      </c>
      <c r="D1250" s="90" t="s">
        <v>2880</v>
      </c>
      <c r="E1250" s="91" t="s">
        <v>2881</v>
      </c>
      <c r="F1250" s="315">
        <v>4.7</v>
      </c>
      <c r="G1250" s="260">
        <v>391</v>
      </c>
      <c r="H1250" s="260"/>
      <c r="I1250" s="309"/>
      <c r="J1250" s="199"/>
      <c r="K1250" s="269"/>
      <c r="L1250" s="93">
        <f t="shared" si="325"/>
        <v>391</v>
      </c>
      <c r="M1250" s="183">
        <v>391</v>
      </c>
      <c r="N1250" s="95">
        <f t="shared" si="327"/>
        <v>1837.7</v>
      </c>
      <c r="O1250" s="95">
        <f t="shared" si="328"/>
        <v>1837.7</v>
      </c>
      <c r="P1250" s="94">
        <f t="shared" si="329"/>
        <v>0</v>
      </c>
      <c r="Q1250" s="95">
        <f t="shared" si="330"/>
        <v>0</v>
      </c>
      <c r="R1250" s="96"/>
      <c r="S1250" s="97">
        <f t="shared" si="331"/>
        <v>395</v>
      </c>
      <c r="T1250" s="98">
        <f t="shared" si="326"/>
        <v>-4</v>
      </c>
      <c r="U1250">
        <f>300+59+36</f>
        <v>395</v>
      </c>
    </row>
    <row r="1251" spans="2:31" ht="20.100000000000001" customHeight="1">
      <c r="B1251" s="88">
        <v>10</v>
      </c>
      <c r="C1251" s="89" t="s">
        <v>2748</v>
      </c>
      <c r="D1251" s="90" t="s">
        <v>2882</v>
      </c>
      <c r="E1251" s="91" t="s">
        <v>2883</v>
      </c>
      <c r="F1251" s="315">
        <v>4.7</v>
      </c>
      <c r="G1251" s="260">
        <v>410</v>
      </c>
      <c r="H1251" s="260"/>
      <c r="I1251" s="309"/>
      <c r="J1251" s="199"/>
      <c r="K1251" s="269"/>
      <c r="L1251" s="93">
        <f t="shared" si="325"/>
        <v>410</v>
      </c>
      <c r="M1251" s="183">
        <f>14+396</f>
        <v>410</v>
      </c>
      <c r="N1251" s="95">
        <f t="shared" si="327"/>
        <v>1927</v>
      </c>
      <c r="O1251" s="95">
        <f t="shared" si="328"/>
        <v>1927</v>
      </c>
      <c r="P1251" s="94">
        <f t="shared" si="329"/>
        <v>0</v>
      </c>
      <c r="Q1251" s="95">
        <f t="shared" si="330"/>
        <v>0</v>
      </c>
      <c r="R1251" s="96"/>
      <c r="S1251" s="97">
        <f t="shared" si="331"/>
        <v>410</v>
      </c>
      <c r="T1251" s="98">
        <f t="shared" si="326"/>
        <v>0</v>
      </c>
      <c r="U1251">
        <v>14</v>
      </c>
      <c r="Y1251">
        <v>396</v>
      </c>
    </row>
    <row r="1252" spans="2:31" ht="20.100000000000001" customHeight="1">
      <c r="B1252" s="88">
        <v>10</v>
      </c>
      <c r="C1252" s="89" t="s">
        <v>2748</v>
      </c>
      <c r="D1252" s="90" t="s">
        <v>2884</v>
      </c>
      <c r="E1252" s="91" t="s">
        <v>2885</v>
      </c>
      <c r="F1252" s="315">
        <v>7.46</v>
      </c>
      <c r="G1252" s="260"/>
      <c r="H1252" s="260"/>
      <c r="I1252" s="309"/>
      <c r="J1252" s="199"/>
      <c r="K1252" s="269"/>
      <c r="L1252" s="93">
        <f t="shared" si="325"/>
        <v>0</v>
      </c>
      <c r="M1252" s="183"/>
      <c r="N1252" s="95">
        <f t="shared" si="327"/>
        <v>0</v>
      </c>
      <c r="O1252" s="95">
        <f t="shared" si="328"/>
        <v>0</v>
      </c>
      <c r="P1252" s="94">
        <f t="shared" si="329"/>
        <v>0</v>
      </c>
      <c r="Q1252" s="95">
        <f t="shared" si="330"/>
        <v>0</v>
      </c>
      <c r="R1252" s="96"/>
      <c r="S1252" s="97">
        <f t="shared" si="331"/>
        <v>0</v>
      </c>
      <c r="T1252" s="98">
        <f t="shared" si="326"/>
        <v>0</v>
      </c>
    </row>
    <row r="1253" spans="2:31" ht="20.100000000000001" customHeight="1">
      <c r="B1253" s="88">
        <v>10</v>
      </c>
      <c r="C1253" s="89" t="s">
        <v>2748</v>
      </c>
      <c r="D1253" s="90" t="s">
        <v>2886</v>
      </c>
      <c r="E1253" s="91" t="s">
        <v>2887</v>
      </c>
      <c r="F1253" s="315">
        <v>6.12</v>
      </c>
      <c r="G1253" s="260">
        <v>386</v>
      </c>
      <c r="H1253" s="260"/>
      <c r="I1253" s="309"/>
      <c r="J1253" s="199"/>
      <c r="K1253" s="269"/>
      <c r="L1253" s="93">
        <f t="shared" si="325"/>
        <v>386</v>
      </c>
      <c r="M1253" s="183">
        <f>348+30+8</f>
        <v>386</v>
      </c>
      <c r="N1253" s="95">
        <f t="shared" si="327"/>
        <v>2362.3200000000002</v>
      </c>
      <c r="O1253" s="95">
        <f t="shared" si="328"/>
        <v>2362.3200000000002</v>
      </c>
      <c r="P1253" s="94">
        <f t="shared" si="329"/>
        <v>0</v>
      </c>
      <c r="Q1253" s="95">
        <f t="shared" si="330"/>
        <v>0</v>
      </c>
      <c r="R1253" s="96"/>
      <c r="S1253" s="97">
        <f t="shared" si="331"/>
        <v>395</v>
      </c>
      <c r="T1253" s="98">
        <f t="shared" si="326"/>
        <v>-9</v>
      </c>
      <c r="U1253">
        <f>17+18+12</f>
        <v>47</v>
      </c>
      <c r="Y1253">
        <v>348</v>
      </c>
    </row>
    <row r="1254" spans="2:31" ht="20.100000000000001" customHeight="1">
      <c r="B1254" s="88">
        <v>10</v>
      </c>
      <c r="C1254" s="89" t="s">
        <v>2748</v>
      </c>
      <c r="D1254" s="90" t="s">
        <v>2888</v>
      </c>
      <c r="E1254" s="91" t="s">
        <v>2889</v>
      </c>
      <c r="F1254" s="315">
        <v>13.87</v>
      </c>
      <c r="G1254" s="260">
        <v>294</v>
      </c>
      <c r="H1254" s="260"/>
      <c r="I1254" s="309"/>
      <c r="J1254" s="199"/>
      <c r="K1254" s="80">
        <v>1</v>
      </c>
      <c r="L1254" s="93">
        <f t="shared" si="325"/>
        <v>293</v>
      </c>
      <c r="M1254" s="183">
        <f>132+156+6</f>
        <v>294</v>
      </c>
      <c r="N1254" s="95">
        <f t="shared" si="327"/>
        <v>4063.91</v>
      </c>
      <c r="O1254" s="95">
        <f t="shared" si="328"/>
        <v>4077.7799999999997</v>
      </c>
      <c r="P1254" s="94">
        <f t="shared" si="329"/>
        <v>-1</v>
      </c>
      <c r="Q1254" s="95">
        <f t="shared" si="330"/>
        <v>-13.869999999999891</v>
      </c>
      <c r="R1254" s="96"/>
      <c r="S1254" s="97">
        <f t="shared" si="331"/>
        <v>295</v>
      </c>
      <c r="T1254" s="98">
        <f t="shared" si="326"/>
        <v>-1</v>
      </c>
      <c r="U1254">
        <v>6</v>
      </c>
      <c r="Y1254">
        <f>132+156</f>
        <v>288</v>
      </c>
      <c r="AA1254">
        <v>1</v>
      </c>
      <c r="AB1254" t="s">
        <v>1322</v>
      </c>
      <c r="AD1254">
        <f>AA1254</f>
        <v>1</v>
      </c>
      <c r="AE1254" s="100">
        <f>AD1254*F1254</f>
        <v>13.87</v>
      </c>
    </row>
    <row r="1255" spans="2:31" ht="20.100000000000001" customHeight="1">
      <c r="B1255" s="88">
        <v>10</v>
      </c>
      <c r="C1255" s="89" t="s">
        <v>2748</v>
      </c>
      <c r="D1255" s="90" t="s">
        <v>2890</v>
      </c>
      <c r="E1255" s="91" t="s">
        <v>2891</v>
      </c>
      <c r="F1255" s="315">
        <v>5.88</v>
      </c>
      <c r="G1255" s="260"/>
      <c r="H1255" s="260"/>
      <c r="I1255" s="309"/>
      <c r="J1255" s="199"/>
      <c r="K1255" s="269"/>
      <c r="L1255" s="93">
        <f t="shared" si="325"/>
        <v>0</v>
      </c>
      <c r="M1255" s="183"/>
      <c r="N1255" s="95">
        <f t="shared" si="327"/>
        <v>0</v>
      </c>
      <c r="O1255" s="95">
        <f t="shared" si="328"/>
        <v>0</v>
      </c>
      <c r="P1255" s="94">
        <f t="shared" si="329"/>
        <v>0</v>
      </c>
      <c r="Q1255" s="95">
        <f t="shared" si="330"/>
        <v>0</v>
      </c>
      <c r="R1255" s="96"/>
      <c r="S1255" s="97">
        <f t="shared" si="331"/>
        <v>0</v>
      </c>
      <c r="T1255" s="98">
        <f t="shared" si="326"/>
        <v>0</v>
      </c>
    </row>
    <row r="1256" spans="2:31" ht="20.100000000000001" customHeight="1">
      <c r="B1256" s="88">
        <v>10</v>
      </c>
      <c r="C1256" s="89" t="s">
        <v>2748</v>
      </c>
      <c r="D1256" s="90" t="s">
        <v>2890</v>
      </c>
      <c r="E1256" s="91" t="s">
        <v>2891</v>
      </c>
      <c r="F1256" s="315">
        <v>6.12</v>
      </c>
      <c r="G1256" s="260">
        <v>348</v>
      </c>
      <c r="H1256" s="260"/>
      <c r="I1256" s="309"/>
      <c r="J1256" s="199"/>
      <c r="K1256" s="269">
        <v>3</v>
      </c>
      <c r="L1256" s="93">
        <f t="shared" si="325"/>
        <v>345</v>
      </c>
      <c r="M1256" s="183">
        <f>339+4</f>
        <v>343</v>
      </c>
      <c r="N1256" s="95">
        <f t="shared" si="327"/>
        <v>2111.4</v>
      </c>
      <c r="O1256" s="95">
        <f t="shared" si="328"/>
        <v>2099.16</v>
      </c>
      <c r="P1256" s="94">
        <f t="shared" si="329"/>
        <v>2</v>
      </c>
      <c r="Q1256" s="95">
        <f t="shared" si="330"/>
        <v>12.240000000000236</v>
      </c>
      <c r="R1256" s="96"/>
      <c r="S1256" s="97">
        <f t="shared" si="331"/>
        <v>345</v>
      </c>
      <c r="T1256" s="98">
        <f t="shared" si="326"/>
        <v>-2</v>
      </c>
      <c r="U1256">
        <v>345</v>
      </c>
    </row>
    <row r="1257" spans="2:31" ht="20.100000000000001" customHeight="1">
      <c r="B1257" s="88">
        <v>10</v>
      </c>
      <c r="C1257" s="89" t="s">
        <v>2748</v>
      </c>
      <c r="D1257" s="90" t="s">
        <v>2892</v>
      </c>
      <c r="E1257" s="91" t="s">
        <v>2893</v>
      </c>
      <c r="F1257" s="315">
        <v>150.43</v>
      </c>
      <c r="G1257" s="260">
        <v>8</v>
      </c>
      <c r="H1257" s="260"/>
      <c r="I1257" s="309"/>
      <c r="J1257" s="199"/>
      <c r="K1257" s="269">
        <v>1</v>
      </c>
      <c r="L1257" s="93">
        <f t="shared" si="325"/>
        <v>7</v>
      </c>
      <c r="M1257" s="183">
        <v>7</v>
      </c>
      <c r="N1257" s="95">
        <f t="shared" si="327"/>
        <v>1053.01</v>
      </c>
      <c r="O1257" s="95">
        <f t="shared" si="328"/>
        <v>1053.01</v>
      </c>
      <c r="P1257" s="94">
        <f t="shared" si="329"/>
        <v>0</v>
      </c>
      <c r="Q1257" s="95">
        <f t="shared" si="330"/>
        <v>0</v>
      </c>
      <c r="R1257" s="96"/>
      <c r="S1257" s="97">
        <f t="shared" si="331"/>
        <v>8</v>
      </c>
      <c r="T1257" s="98">
        <f t="shared" si="326"/>
        <v>-1</v>
      </c>
      <c r="U1257">
        <v>8</v>
      </c>
    </row>
    <row r="1258" spans="2:31" ht="20.100000000000001" customHeight="1">
      <c r="B1258" s="88">
        <v>10</v>
      </c>
      <c r="C1258" s="89" t="s">
        <v>2748</v>
      </c>
      <c r="D1258" s="90" t="s">
        <v>2892</v>
      </c>
      <c r="E1258" s="91" t="s">
        <v>2893</v>
      </c>
      <c r="F1258" s="315">
        <v>155.63999999999999</v>
      </c>
      <c r="G1258" s="260"/>
      <c r="H1258" s="260"/>
      <c r="I1258" s="309"/>
      <c r="J1258" s="199"/>
      <c r="K1258" s="269"/>
      <c r="L1258" s="93">
        <f t="shared" si="325"/>
        <v>0</v>
      </c>
      <c r="M1258" s="183"/>
      <c r="N1258" s="95">
        <f t="shared" si="327"/>
        <v>0</v>
      </c>
      <c r="O1258" s="95">
        <f t="shared" si="328"/>
        <v>0</v>
      </c>
      <c r="P1258" s="94">
        <f t="shared" si="329"/>
        <v>0</v>
      </c>
      <c r="Q1258" s="95">
        <f t="shared" si="330"/>
        <v>0</v>
      </c>
      <c r="R1258" s="96"/>
      <c r="S1258" s="97">
        <f t="shared" si="331"/>
        <v>0</v>
      </c>
      <c r="T1258" s="98">
        <f t="shared" si="326"/>
        <v>0</v>
      </c>
    </row>
    <row r="1259" spans="2:31" ht="20.100000000000001" customHeight="1">
      <c r="B1259" s="88">
        <v>10</v>
      </c>
      <c r="C1259" s="89" t="s">
        <v>2748</v>
      </c>
      <c r="D1259" s="90" t="s">
        <v>2894</v>
      </c>
      <c r="E1259" s="91" t="s">
        <v>2895</v>
      </c>
      <c r="F1259" s="315">
        <v>160.51</v>
      </c>
      <c r="G1259" s="260">
        <v>8</v>
      </c>
      <c r="H1259" s="260">
        <v>8</v>
      </c>
      <c r="I1259" s="309"/>
      <c r="J1259" s="199"/>
      <c r="K1259" s="269">
        <v>8</v>
      </c>
      <c r="L1259" s="93">
        <f t="shared" si="325"/>
        <v>8</v>
      </c>
      <c r="M1259" s="183">
        <v>8</v>
      </c>
      <c r="N1259" s="95">
        <f t="shared" si="327"/>
        <v>1284.08</v>
      </c>
      <c r="O1259" s="95">
        <f t="shared" si="328"/>
        <v>1284.08</v>
      </c>
      <c r="P1259" s="94">
        <f t="shared" si="329"/>
        <v>0</v>
      </c>
      <c r="Q1259" s="95">
        <f t="shared" si="330"/>
        <v>0</v>
      </c>
      <c r="R1259" s="96"/>
      <c r="S1259" s="97">
        <f t="shared" si="331"/>
        <v>8</v>
      </c>
      <c r="T1259" s="98">
        <f t="shared" si="326"/>
        <v>0</v>
      </c>
      <c r="U1259">
        <v>8</v>
      </c>
    </row>
    <row r="1260" spans="2:31" ht="20.100000000000001" customHeight="1">
      <c r="B1260" s="88">
        <v>10</v>
      </c>
      <c r="C1260" s="89" t="s">
        <v>2748</v>
      </c>
      <c r="D1260" s="90" t="s">
        <v>2896</v>
      </c>
      <c r="E1260" s="91" t="s">
        <v>2897</v>
      </c>
      <c r="F1260" s="315">
        <v>15.25</v>
      </c>
      <c r="G1260" s="260">
        <v>561</v>
      </c>
      <c r="H1260" s="260"/>
      <c r="I1260" s="309"/>
      <c r="J1260" s="199"/>
      <c r="K1260" s="269">
        <v>10</v>
      </c>
      <c r="L1260" s="93">
        <f t="shared" si="325"/>
        <v>551</v>
      </c>
      <c r="M1260" s="183">
        <f>468+83</f>
        <v>551</v>
      </c>
      <c r="N1260" s="95">
        <f t="shared" si="327"/>
        <v>8402.75</v>
      </c>
      <c r="O1260" s="95">
        <f t="shared" si="328"/>
        <v>8402.75</v>
      </c>
      <c r="P1260" s="94">
        <f t="shared" si="329"/>
        <v>0</v>
      </c>
      <c r="Q1260" s="95">
        <f t="shared" si="330"/>
        <v>0</v>
      </c>
      <c r="R1260" s="96"/>
      <c r="S1260" s="97">
        <f t="shared" si="331"/>
        <v>561</v>
      </c>
      <c r="T1260" s="98">
        <f t="shared" si="326"/>
        <v>-10</v>
      </c>
      <c r="U1260">
        <f>6+87</f>
        <v>93</v>
      </c>
      <c r="Y1260">
        <v>468</v>
      </c>
    </row>
    <row r="1261" spans="2:31" ht="20.100000000000001" customHeight="1">
      <c r="B1261" s="88">
        <v>10</v>
      </c>
      <c r="C1261" s="89" t="s">
        <v>2748</v>
      </c>
      <c r="D1261" s="90" t="s">
        <v>2898</v>
      </c>
      <c r="E1261" s="91" t="s">
        <v>2899</v>
      </c>
      <c r="F1261" s="315">
        <v>6.12</v>
      </c>
      <c r="G1261" s="260"/>
      <c r="H1261" s="260"/>
      <c r="I1261" s="309"/>
      <c r="J1261" s="199"/>
      <c r="K1261" s="269"/>
      <c r="L1261" s="93">
        <f t="shared" si="325"/>
        <v>0</v>
      </c>
      <c r="M1261" s="183"/>
      <c r="N1261" s="95">
        <f t="shared" si="327"/>
        <v>0</v>
      </c>
      <c r="O1261" s="95">
        <f t="shared" si="328"/>
        <v>0</v>
      </c>
      <c r="P1261" s="94">
        <f t="shared" si="329"/>
        <v>0</v>
      </c>
      <c r="Q1261" s="95">
        <f t="shared" si="330"/>
        <v>0</v>
      </c>
      <c r="R1261" s="96"/>
      <c r="S1261" s="97">
        <f t="shared" si="331"/>
        <v>0</v>
      </c>
      <c r="T1261" s="98">
        <f t="shared" si="326"/>
        <v>0</v>
      </c>
    </row>
    <row r="1262" spans="2:31" ht="20.100000000000001" customHeight="1">
      <c r="B1262" s="88">
        <v>10</v>
      </c>
      <c r="C1262" s="89" t="s">
        <v>2748</v>
      </c>
      <c r="D1262" s="90" t="s">
        <v>2898</v>
      </c>
      <c r="E1262" s="91" t="s">
        <v>2899</v>
      </c>
      <c r="F1262" s="315">
        <v>6.12</v>
      </c>
      <c r="G1262" s="260">
        <v>256</v>
      </c>
      <c r="H1262" s="260"/>
      <c r="I1262" s="309"/>
      <c r="J1262" s="199"/>
      <c r="K1262" s="269">
        <v>28</v>
      </c>
      <c r="L1262" s="93">
        <f t="shared" si="325"/>
        <v>228</v>
      </c>
      <c r="M1262" s="183">
        <f>129+126</f>
        <v>255</v>
      </c>
      <c r="N1262" s="95">
        <f t="shared" si="327"/>
        <v>1395.3600000000001</v>
      </c>
      <c r="O1262" s="95">
        <f t="shared" si="328"/>
        <v>1560.6000000000001</v>
      </c>
      <c r="P1262" s="94">
        <f t="shared" si="329"/>
        <v>-27</v>
      </c>
      <c r="Q1262" s="95">
        <f t="shared" si="330"/>
        <v>-165.24</v>
      </c>
      <c r="R1262" s="96"/>
      <c r="S1262" s="97">
        <f t="shared" si="331"/>
        <v>332</v>
      </c>
      <c r="T1262" s="98">
        <f t="shared" si="326"/>
        <v>-77</v>
      </c>
      <c r="U1262">
        <v>332</v>
      </c>
    </row>
    <row r="1263" spans="2:31" ht="20.100000000000001" customHeight="1">
      <c r="B1263" s="88">
        <v>10</v>
      </c>
      <c r="C1263" s="89" t="s">
        <v>2748</v>
      </c>
      <c r="D1263" s="90" t="s">
        <v>2900</v>
      </c>
      <c r="E1263" s="91" t="s">
        <v>2901</v>
      </c>
      <c r="F1263" s="315">
        <v>5.88</v>
      </c>
      <c r="G1263" s="260">
        <v>1</v>
      </c>
      <c r="H1263" s="260"/>
      <c r="I1263" s="309"/>
      <c r="J1263" s="199"/>
      <c r="K1263" s="269"/>
      <c r="L1263" s="93">
        <f t="shared" si="325"/>
        <v>1</v>
      </c>
      <c r="M1263" s="183">
        <v>1</v>
      </c>
      <c r="N1263" s="95">
        <f t="shared" si="327"/>
        <v>5.88</v>
      </c>
      <c r="O1263" s="95">
        <f t="shared" si="328"/>
        <v>5.88</v>
      </c>
      <c r="P1263" s="94">
        <f t="shared" si="329"/>
        <v>0</v>
      </c>
      <c r="Q1263" s="95">
        <f t="shared" si="330"/>
        <v>0</v>
      </c>
      <c r="R1263" s="96"/>
      <c r="S1263" s="97">
        <f t="shared" si="331"/>
        <v>0</v>
      </c>
      <c r="T1263" s="98">
        <f t="shared" si="326"/>
        <v>1</v>
      </c>
    </row>
    <row r="1264" spans="2:31" ht="20.100000000000001" customHeight="1">
      <c r="B1264" s="88">
        <v>10</v>
      </c>
      <c r="C1264" s="89" t="s">
        <v>2748</v>
      </c>
      <c r="D1264" s="90" t="s">
        <v>2902</v>
      </c>
      <c r="E1264" s="91" t="s">
        <v>2903</v>
      </c>
      <c r="F1264" s="315">
        <v>152.97</v>
      </c>
      <c r="G1264" s="260">
        <v>6</v>
      </c>
      <c r="H1264" s="260"/>
      <c r="I1264" s="309"/>
      <c r="J1264" s="199"/>
      <c r="K1264" s="269"/>
      <c r="L1264" s="93">
        <f t="shared" si="325"/>
        <v>6</v>
      </c>
      <c r="M1264" s="183">
        <v>6</v>
      </c>
      <c r="N1264" s="95">
        <f t="shared" si="327"/>
        <v>917.81999999999994</v>
      </c>
      <c r="O1264" s="95">
        <f t="shared" si="328"/>
        <v>917.81999999999994</v>
      </c>
      <c r="P1264" s="94">
        <f t="shared" si="329"/>
        <v>0</v>
      </c>
      <c r="Q1264" s="95">
        <f t="shared" si="330"/>
        <v>0</v>
      </c>
      <c r="R1264" s="96"/>
      <c r="S1264" s="97">
        <f t="shared" si="331"/>
        <v>11</v>
      </c>
      <c r="T1264" s="98">
        <f t="shared" si="326"/>
        <v>-5</v>
      </c>
      <c r="U1264">
        <v>11</v>
      </c>
    </row>
    <row r="1265" spans="2:25" ht="20.100000000000001" customHeight="1">
      <c r="B1265" s="88">
        <v>10</v>
      </c>
      <c r="C1265" s="89" t="s">
        <v>2748</v>
      </c>
      <c r="D1265" s="90" t="s">
        <v>2904</v>
      </c>
      <c r="E1265" s="91" t="s">
        <v>2905</v>
      </c>
      <c r="F1265" s="315">
        <v>6.12</v>
      </c>
      <c r="G1265" s="260">
        <v>9</v>
      </c>
      <c r="H1265" s="260"/>
      <c r="I1265" s="309"/>
      <c r="J1265" s="199"/>
      <c r="K1265" s="269">
        <v>5</v>
      </c>
      <c r="L1265" s="93">
        <f t="shared" si="325"/>
        <v>4</v>
      </c>
      <c r="M1265" s="183">
        <v>4</v>
      </c>
      <c r="N1265" s="95">
        <f t="shared" si="327"/>
        <v>24.48</v>
      </c>
      <c r="O1265" s="95">
        <f t="shared" si="328"/>
        <v>24.48</v>
      </c>
      <c r="P1265" s="94">
        <f t="shared" si="329"/>
        <v>0</v>
      </c>
      <c r="Q1265" s="95">
        <f t="shared" si="330"/>
        <v>0</v>
      </c>
      <c r="R1265" s="96"/>
      <c r="S1265" s="97">
        <f t="shared" si="331"/>
        <v>14</v>
      </c>
      <c r="T1265" s="98">
        <f t="shared" si="326"/>
        <v>-10</v>
      </c>
      <c r="U1265">
        <f>7+7</f>
        <v>14</v>
      </c>
    </row>
    <row r="1266" spans="2:25" ht="20.100000000000001" customHeight="1">
      <c r="B1266" s="88">
        <v>10</v>
      </c>
      <c r="C1266" s="89" t="s">
        <v>2748</v>
      </c>
      <c r="D1266" s="90" t="s">
        <v>2906</v>
      </c>
      <c r="E1266" s="91" t="s">
        <v>2907</v>
      </c>
      <c r="F1266" s="315">
        <v>155.6</v>
      </c>
      <c r="G1266" s="260">
        <v>17</v>
      </c>
      <c r="H1266" s="260"/>
      <c r="I1266" s="309"/>
      <c r="J1266" s="199"/>
      <c r="K1266" s="269">
        <v>3</v>
      </c>
      <c r="L1266" s="93">
        <f t="shared" si="325"/>
        <v>14</v>
      </c>
      <c r="M1266" s="183">
        <f>8+4+6</f>
        <v>18</v>
      </c>
      <c r="N1266" s="95">
        <f t="shared" si="327"/>
        <v>2178.4</v>
      </c>
      <c r="O1266" s="95">
        <f t="shared" si="328"/>
        <v>2800.7999999999997</v>
      </c>
      <c r="P1266" s="94">
        <f t="shared" si="329"/>
        <v>-4</v>
      </c>
      <c r="Q1266" s="95">
        <f t="shared" si="330"/>
        <v>-622.39999999999964</v>
      </c>
      <c r="R1266" s="278" t="s">
        <v>5258</v>
      </c>
      <c r="S1266" s="97">
        <f t="shared" si="331"/>
        <v>8</v>
      </c>
      <c r="T1266" s="98">
        <f t="shared" si="326"/>
        <v>10</v>
      </c>
      <c r="Y1266">
        <v>8</v>
      </c>
    </row>
    <row r="1267" spans="2:25" ht="20.100000000000001" customHeight="1">
      <c r="B1267" s="88">
        <v>10</v>
      </c>
      <c r="C1267" s="89" t="s">
        <v>2748</v>
      </c>
      <c r="D1267" s="90" t="s">
        <v>2906</v>
      </c>
      <c r="E1267" s="91" t="s">
        <v>2907</v>
      </c>
      <c r="F1267" s="315">
        <v>160.51</v>
      </c>
      <c r="G1267" s="260"/>
      <c r="H1267" s="260"/>
      <c r="I1267" s="309"/>
      <c r="J1267" s="199"/>
      <c r="K1267" s="269"/>
      <c r="L1267" s="93">
        <f t="shared" si="325"/>
        <v>0</v>
      </c>
      <c r="M1267" s="183"/>
      <c r="N1267" s="95">
        <f t="shared" si="327"/>
        <v>0</v>
      </c>
      <c r="O1267" s="95">
        <f t="shared" si="328"/>
        <v>0</v>
      </c>
      <c r="P1267" s="94">
        <f t="shared" si="329"/>
        <v>0</v>
      </c>
      <c r="Q1267" s="95">
        <f t="shared" si="330"/>
        <v>0</v>
      </c>
      <c r="R1267" s="96"/>
      <c r="S1267" s="97">
        <f t="shared" si="331"/>
        <v>14</v>
      </c>
      <c r="T1267" s="98">
        <f t="shared" si="326"/>
        <v>-14</v>
      </c>
      <c r="U1267">
        <v>14</v>
      </c>
    </row>
    <row r="1268" spans="2:25" ht="20.100000000000001" customHeight="1">
      <c r="B1268" s="88">
        <v>10</v>
      </c>
      <c r="C1268" s="89" t="s">
        <v>2748</v>
      </c>
      <c r="D1268" s="90" t="s">
        <v>2908</v>
      </c>
      <c r="E1268" s="91" t="s">
        <v>2909</v>
      </c>
      <c r="F1268" s="315">
        <v>13.88</v>
      </c>
      <c r="G1268" s="260"/>
      <c r="H1268" s="260"/>
      <c r="I1268" s="309"/>
      <c r="J1268" s="199"/>
      <c r="K1268" s="269"/>
      <c r="L1268" s="93">
        <f t="shared" si="325"/>
        <v>0</v>
      </c>
      <c r="M1268" s="183"/>
      <c r="N1268" s="95">
        <f t="shared" si="327"/>
        <v>0</v>
      </c>
      <c r="O1268" s="95">
        <f t="shared" si="328"/>
        <v>0</v>
      </c>
      <c r="P1268" s="94">
        <f t="shared" si="329"/>
        <v>0</v>
      </c>
      <c r="Q1268" s="95">
        <f t="shared" si="330"/>
        <v>0</v>
      </c>
      <c r="R1268" s="96"/>
      <c r="S1268" s="97">
        <f t="shared" si="331"/>
        <v>0</v>
      </c>
      <c r="T1268" s="98">
        <f t="shared" si="326"/>
        <v>0</v>
      </c>
    </row>
    <row r="1269" spans="2:25" ht="20.100000000000001" customHeight="1">
      <c r="B1269" s="88">
        <v>10</v>
      </c>
      <c r="C1269" s="89" t="s">
        <v>2748</v>
      </c>
      <c r="D1269" s="90" t="s">
        <v>2910</v>
      </c>
      <c r="E1269" s="91" t="s">
        <v>2911</v>
      </c>
      <c r="F1269" s="315">
        <v>158.25</v>
      </c>
      <c r="G1269" s="260">
        <v>2</v>
      </c>
      <c r="H1269" s="260"/>
      <c r="I1269" s="309"/>
      <c r="J1269" s="199"/>
      <c r="K1269" s="269"/>
      <c r="L1269" s="93">
        <f t="shared" ref="L1269:L1332" si="332">G1269+I1269-J1269-K1269+H1269</f>
        <v>2</v>
      </c>
      <c r="M1269" s="183">
        <v>2</v>
      </c>
      <c r="N1269" s="95">
        <f t="shared" si="327"/>
        <v>316.5</v>
      </c>
      <c r="O1269" s="95">
        <f t="shared" si="328"/>
        <v>316.5</v>
      </c>
      <c r="P1269" s="94">
        <f t="shared" si="329"/>
        <v>0</v>
      </c>
      <c r="Q1269" s="95">
        <f t="shared" si="330"/>
        <v>0</v>
      </c>
      <c r="R1269" s="96"/>
      <c r="S1269" s="97">
        <f t="shared" si="331"/>
        <v>2</v>
      </c>
      <c r="T1269" s="98">
        <f t="shared" si="326"/>
        <v>0</v>
      </c>
      <c r="U1269">
        <v>2</v>
      </c>
    </row>
    <row r="1270" spans="2:25" ht="20.100000000000001" customHeight="1">
      <c r="B1270" s="88">
        <v>10</v>
      </c>
      <c r="C1270" s="89" t="s">
        <v>2748</v>
      </c>
      <c r="D1270" s="90">
        <v>9555222610649</v>
      </c>
      <c r="E1270" s="91" t="s">
        <v>2912</v>
      </c>
      <c r="F1270" s="315">
        <v>242.5</v>
      </c>
      <c r="G1270" s="260">
        <v>3</v>
      </c>
      <c r="H1270" s="260"/>
      <c r="I1270" s="309"/>
      <c r="J1270" s="199"/>
      <c r="K1270" s="269"/>
      <c r="L1270" s="93">
        <f t="shared" si="332"/>
        <v>3</v>
      </c>
      <c r="M1270" s="183">
        <f>2+1</f>
        <v>3</v>
      </c>
      <c r="N1270" s="95">
        <f t="shared" si="327"/>
        <v>727.5</v>
      </c>
      <c r="O1270" s="95">
        <f t="shared" si="328"/>
        <v>727.5</v>
      </c>
      <c r="P1270" s="94">
        <f t="shared" si="329"/>
        <v>0</v>
      </c>
      <c r="Q1270" s="95">
        <f t="shared" si="330"/>
        <v>0</v>
      </c>
      <c r="R1270" s="96"/>
      <c r="S1270" s="97">
        <f t="shared" si="331"/>
        <v>30</v>
      </c>
      <c r="T1270" s="98">
        <f t="shared" si="326"/>
        <v>-27</v>
      </c>
      <c r="U1270">
        <v>30</v>
      </c>
    </row>
    <row r="1271" spans="2:25" ht="20.100000000000001" customHeight="1">
      <c r="B1271" s="88">
        <v>10</v>
      </c>
      <c r="C1271" s="89" t="s">
        <v>2748</v>
      </c>
      <c r="D1271" s="90" t="s">
        <v>2913</v>
      </c>
      <c r="E1271" s="91" t="s">
        <v>2914</v>
      </c>
      <c r="F1271" s="315">
        <v>34.729999999999997</v>
      </c>
      <c r="G1271" s="260">
        <v>1</v>
      </c>
      <c r="H1271" s="260"/>
      <c r="I1271" s="309"/>
      <c r="J1271" s="199"/>
      <c r="K1271" s="269"/>
      <c r="L1271" s="93">
        <f t="shared" si="332"/>
        <v>1</v>
      </c>
      <c r="M1271" s="183">
        <v>1</v>
      </c>
      <c r="N1271" s="95">
        <f t="shared" si="327"/>
        <v>34.729999999999997</v>
      </c>
      <c r="O1271" s="95">
        <f t="shared" si="328"/>
        <v>34.729999999999997</v>
      </c>
      <c r="P1271" s="94">
        <f t="shared" si="329"/>
        <v>0</v>
      </c>
      <c r="Q1271" s="95">
        <f t="shared" si="330"/>
        <v>0</v>
      </c>
      <c r="R1271" s="96"/>
      <c r="S1271" s="97">
        <f t="shared" si="331"/>
        <v>1</v>
      </c>
      <c r="T1271" s="98">
        <f t="shared" si="326"/>
        <v>0</v>
      </c>
      <c r="U1271">
        <v>1</v>
      </c>
    </row>
    <row r="1272" spans="2:25" ht="20.100000000000001" customHeight="1">
      <c r="B1272" s="88">
        <v>10</v>
      </c>
      <c r="C1272" s="89" t="s">
        <v>2748</v>
      </c>
      <c r="D1272" s="90" t="s">
        <v>2915</v>
      </c>
      <c r="E1272" s="91" t="s">
        <v>2916</v>
      </c>
      <c r="F1272" s="315">
        <v>34.729999999999997</v>
      </c>
      <c r="G1272" s="260">
        <v>1</v>
      </c>
      <c r="H1272" s="260"/>
      <c r="I1272" s="309"/>
      <c r="J1272" s="199"/>
      <c r="K1272" s="269"/>
      <c r="L1272" s="93">
        <f t="shared" si="332"/>
        <v>1</v>
      </c>
      <c r="M1272" s="183">
        <v>1</v>
      </c>
      <c r="N1272" s="95">
        <f t="shared" si="327"/>
        <v>34.729999999999997</v>
      </c>
      <c r="O1272" s="95">
        <f t="shared" si="328"/>
        <v>34.729999999999997</v>
      </c>
      <c r="P1272" s="94">
        <f t="shared" si="329"/>
        <v>0</v>
      </c>
      <c r="Q1272" s="95">
        <f t="shared" si="330"/>
        <v>0</v>
      </c>
      <c r="R1272" s="96"/>
      <c r="S1272" s="97">
        <f t="shared" si="331"/>
        <v>1</v>
      </c>
      <c r="T1272" s="98">
        <f t="shared" ref="T1272:T1334" si="333">M1272-S1272</f>
        <v>0</v>
      </c>
      <c r="U1272">
        <v>1</v>
      </c>
    </row>
    <row r="1273" spans="2:25" ht="20.100000000000001" customHeight="1">
      <c r="B1273" s="88">
        <v>10</v>
      </c>
      <c r="C1273" s="89" t="s">
        <v>2748</v>
      </c>
      <c r="D1273" s="90" t="s">
        <v>2917</v>
      </c>
      <c r="E1273" s="91" t="s">
        <v>2918</v>
      </c>
      <c r="F1273" s="315">
        <v>36.61</v>
      </c>
      <c r="G1273" s="260">
        <v>8</v>
      </c>
      <c r="H1273" s="260"/>
      <c r="I1273" s="309"/>
      <c r="J1273" s="199"/>
      <c r="K1273" s="269"/>
      <c r="L1273" s="93">
        <f t="shared" si="332"/>
        <v>8</v>
      </c>
      <c r="M1273" s="183">
        <v>8</v>
      </c>
      <c r="N1273" s="95">
        <f t="shared" ref="N1273:N1335" si="334">F1273*L1273</f>
        <v>292.88</v>
      </c>
      <c r="O1273" s="95">
        <f t="shared" ref="O1273:O1335" si="335">M1273*F1273</f>
        <v>292.88</v>
      </c>
      <c r="P1273" s="94">
        <f t="shared" ref="P1273:P1335" si="336">L1273-M1273</f>
        <v>0</v>
      </c>
      <c r="Q1273" s="95">
        <f t="shared" ref="Q1273:Q1335" si="337">N1273-O1273</f>
        <v>0</v>
      </c>
      <c r="R1273" s="96"/>
      <c r="S1273" s="97">
        <f t="shared" ref="S1273:S1335" si="338">U1273+Y1273+W1273+AA1273</f>
        <v>8</v>
      </c>
      <c r="T1273" s="98">
        <f t="shared" si="333"/>
        <v>0</v>
      </c>
      <c r="U1273">
        <v>8</v>
      </c>
    </row>
    <row r="1274" spans="2:25" ht="20.100000000000001" customHeight="1">
      <c r="B1274" s="88">
        <v>10</v>
      </c>
      <c r="C1274" s="89" t="s">
        <v>2748</v>
      </c>
      <c r="D1274" s="90" t="s">
        <v>2919</v>
      </c>
      <c r="E1274" s="91" t="s">
        <v>2920</v>
      </c>
      <c r="F1274" s="315">
        <v>350.45</v>
      </c>
      <c r="G1274" s="260">
        <v>10</v>
      </c>
      <c r="H1274" s="260"/>
      <c r="I1274" s="309"/>
      <c r="J1274" s="199"/>
      <c r="K1274" s="269"/>
      <c r="L1274" s="93">
        <f t="shared" si="332"/>
        <v>10</v>
      </c>
      <c r="M1274" s="183">
        <v>10</v>
      </c>
      <c r="N1274" s="95">
        <f t="shared" si="334"/>
        <v>3504.5</v>
      </c>
      <c r="O1274" s="95">
        <f t="shared" si="335"/>
        <v>3504.5</v>
      </c>
      <c r="P1274" s="94">
        <f t="shared" si="336"/>
        <v>0</v>
      </c>
      <c r="Q1274" s="95">
        <f t="shared" si="337"/>
        <v>0</v>
      </c>
      <c r="R1274" s="96"/>
      <c r="S1274" s="97">
        <f t="shared" si="338"/>
        <v>13</v>
      </c>
      <c r="T1274" s="98">
        <f t="shared" si="333"/>
        <v>-3</v>
      </c>
      <c r="U1274">
        <v>13</v>
      </c>
    </row>
    <row r="1275" spans="2:25" ht="20.100000000000001" customHeight="1">
      <c r="B1275" s="88">
        <v>10</v>
      </c>
      <c r="C1275" s="89" t="s">
        <v>2748</v>
      </c>
      <c r="D1275" s="90" t="s">
        <v>2921</v>
      </c>
      <c r="E1275" s="91" t="s">
        <v>2922</v>
      </c>
      <c r="F1275" s="315">
        <v>209.3</v>
      </c>
      <c r="G1275" s="260">
        <v>10</v>
      </c>
      <c r="H1275" s="260"/>
      <c r="I1275" s="309"/>
      <c r="J1275" s="199"/>
      <c r="K1275" s="269"/>
      <c r="L1275" s="93">
        <f t="shared" si="332"/>
        <v>10</v>
      </c>
      <c r="M1275" s="183">
        <v>10</v>
      </c>
      <c r="N1275" s="95">
        <f t="shared" si="334"/>
        <v>2093</v>
      </c>
      <c r="O1275" s="95">
        <f t="shared" si="335"/>
        <v>2093</v>
      </c>
      <c r="P1275" s="94">
        <f t="shared" si="336"/>
        <v>0</v>
      </c>
      <c r="Q1275" s="95">
        <f t="shared" si="337"/>
        <v>0</v>
      </c>
      <c r="R1275" s="96"/>
      <c r="S1275" s="97">
        <f t="shared" si="338"/>
        <v>10</v>
      </c>
      <c r="T1275" s="98">
        <f t="shared" si="333"/>
        <v>0</v>
      </c>
      <c r="U1275">
        <v>10</v>
      </c>
    </row>
    <row r="1276" spans="2:25" ht="20.100000000000001" customHeight="1">
      <c r="B1276" s="88">
        <v>10</v>
      </c>
      <c r="C1276" s="89" t="s">
        <v>2748</v>
      </c>
      <c r="D1276" s="90" t="s">
        <v>2923</v>
      </c>
      <c r="E1276" s="91" t="s">
        <v>2924</v>
      </c>
      <c r="F1276" s="315">
        <v>199.35</v>
      </c>
      <c r="G1276" s="260"/>
      <c r="H1276" s="260"/>
      <c r="I1276" s="309"/>
      <c r="J1276" s="199"/>
      <c r="K1276" s="269"/>
      <c r="L1276" s="93">
        <f t="shared" si="332"/>
        <v>0</v>
      </c>
      <c r="M1276" s="183"/>
      <c r="N1276" s="95">
        <f t="shared" si="334"/>
        <v>0</v>
      </c>
      <c r="O1276" s="95">
        <f t="shared" si="335"/>
        <v>0</v>
      </c>
      <c r="P1276" s="94">
        <f t="shared" si="336"/>
        <v>0</v>
      </c>
      <c r="Q1276" s="95">
        <f t="shared" si="337"/>
        <v>0</v>
      </c>
      <c r="R1276" s="96"/>
      <c r="S1276" s="97">
        <f t="shared" si="338"/>
        <v>0</v>
      </c>
      <c r="T1276" s="98">
        <f t="shared" si="333"/>
        <v>0</v>
      </c>
    </row>
    <row r="1277" spans="2:25" ht="20.25" customHeight="1">
      <c r="B1277" s="88">
        <v>10</v>
      </c>
      <c r="C1277" s="89" t="s">
        <v>2748</v>
      </c>
      <c r="D1277" s="90" t="s">
        <v>2925</v>
      </c>
      <c r="E1277" s="91" t="s">
        <v>2926</v>
      </c>
      <c r="F1277" s="315">
        <v>209.3</v>
      </c>
      <c r="G1277" s="260">
        <v>2</v>
      </c>
      <c r="H1277" s="260"/>
      <c r="I1277" s="309"/>
      <c r="J1277" s="199"/>
      <c r="K1277" s="269"/>
      <c r="L1277" s="93">
        <f t="shared" si="332"/>
        <v>2</v>
      </c>
      <c r="M1277" s="183">
        <v>2</v>
      </c>
      <c r="N1277" s="95">
        <f t="shared" si="334"/>
        <v>418.6</v>
      </c>
      <c r="O1277" s="95">
        <f t="shared" si="335"/>
        <v>418.6</v>
      </c>
      <c r="P1277" s="94">
        <f t="shared" si="336"/>
        <v>0</v>
      </c>
      <c r="Q1277" s="95">
        <f t="shared" si="337"/>
        <v>0</v>
      </c>
      <c r="R1277" s="96"/>
      <c r="S1277" s="97">
        <f t="shared" si="338"/>
        <v>4</v>
      </c>
      <c r="T1277" s="98">
        <f t="shared" si="333"/>
        <v>-2</v>
      </c>
      <c r="U1277">
        <v>4</v>
      </c>
    </row>
    <row r="1278" spans="2:25" ht="20.100000000000001" customHeight="1">
      <c r="B1278" s="88">
        <v>10</v>
      </c>
      <c r="C1278" s="89" t="s">
        <v>2748</v>
      </c>
      <c r="D1278" s="90" t="s">
        <v>2927</v>
      </c>
      <c r="E1278" s="91" t="s">
        <v>2928</v>
      </c>
      <c r="F1278" s="315">
        <v>209.3</v>
      </c>
      <c r="G1278" s="260">
        <v>9</v>
      </c>
      <c r="H1278" s="260"/>
      <c r="I1278" s="309"/>
      <c r="J1278" s="199"/>
      <c r="K1278" s="269"/>
      <c r="L1278" s="93">
        <f t="shared" si="332"/>
        <v>9</v>
      </c>
      <c r="M1278" s="183">
        <v>9</v>
      </c>
      <c r="N1278" s="95">
        <f t="shared" si="334"/>
        <v>1883.7</v>
      </c>
      <c r="O1278" s="95">
        <f t="shared" si="335"/>
        <v>1883.7</v>
      </c>
      <c r="P1278" s="94">
        <f t="shared" si="336"/>
        <v>0</v>
      </c>
      <c r="Q1278" s="95">
        <f t="shared" si="337"/>
        <v>0</v>
      </c>
      <c r="R1278" s="96"/>
      <c r="S1278" s="97">
        <f t="shared" si="338"/>
        <v>9</v>
      </c>
      <c r="T1278" s="98">
        <f t="shared" si="333"/>
        <v>0</v>
      </c>
      <c r="U1278">
        <v>9</v>
      </c>
    </row>
    <row r="1279" spans="2:25" ht="20.100000000000001" customHeight="1">
      <c r="B1279" s="88">
        <v>10</v>
      </c>
      <c r="C1279" s="89" t="s">
        <v>2748</v>
      </c>
      <c r="D1279" s="90" t="s">
        <v>2929</v>
      </c>
      <c r="E1279" s="91" t="s">
        <v>2930</v>
      </c>
      <c r="F1279" s="315">
        <v>88.1</v>
      </c>
      <c r="G1279" s="260">
        <v>11</v>
      </c>
      <c r="H1279" s="260"/>
      <c r="I1279" s="309"/>
      <c r="J1279" s="199"/>
      <c r="K1279" s="269">
        <v>1</v>
      </c>
      <c r="L1279" s="93">
        <f t="shared" si="332"/>
        <v>10</v>
      </c>
      <c r="M1279" s="183">
        <v>10</v>
      </c>
      <c r="N1279" s="95">
        <f t="shared" si="334"/>
        <v>881</v>
      </c>
      <c r="O1279" s="95">
        <f t="shared" si="335"/>
        <v>881</v>
      </c>
      <c r="P1279" s="94">
        <f t="shared" si="336"/>
        <v>0</v>
      </c>
      <c r="Q1279" s="95">
        <f t="shared" si="337"/>
        <v>0</v>
      </c>
      <c r="R1279" s="96"/>
      <c r="S1279" s="97">
        <f t="shared" si="338"/>
        <v>11</v>
      </c>
      <c r="T1279" s="98">
        <f t="shared" si="333"/>
        <v>-1</v>
      </c>
      <c r="U1279">
        <v>11</v>
      </c>
    </row>
    <row r="1280" spans="2:25" ht="20.100000000000001" customHeight="1">
      <c r="B1280" s="88">
        <v>10</v>
      </c>
      <c r="C1280" s="89" t="s">
        <v>2748</v>
      </c>
      <c r="D1280" s="90" t="s">
        <v>2931</v>
      </c>
      <c r="E1280" s="91" t="s">
        <v>2932</v>
      </c>
      <c r="F1280" s="315">
        <v>267</v>
      </c>
      <c r="G1280" s="260">
        <v>5</v>
      </c>
      <c r="H1280" s="260"/>
      <c r="I1280" s="309"/>
      <c r="J1280" s="199"/>
      <c r="K1280" s="269"/>
      <c r="L1280" s="93">
        <f t="shared" si="332"/>
        <v>5</v>
      </c>
      <c r="M1280" s="183">
        <v>5</v>
      </c>
      <c r="N1280" s="95">
        <f t="shared" si="334"/>
        <v>1335</v>
      </c>
      <c r="O1280" s="95">
        <f t="shared" si="335"/>
        <v>1335</v>
      </c>
      <c r="P1280" s="94">
        <f t="shared" si="336"/>
        <v>0</v>
      </c>
      <c r="Q1280" s="95">
        <f t="shared" si="337"/>
        <v>0</v>
      </c>
      <c r="R1280" s="96"/>
      <c r="S1280" s="97">
        <f t="shared" si="338"/>
        <v>10</v>
      </c>
      <c r="T1280" s="98">
        <f t="shared" si="333"/>
        <v>-5</v>
      </c>
      <c r="U1280">
        <v>10</v>
      </c>
    </row>
    <row r="1281" spans="2:31" ht="20.100000000000001" customHeight="1">
      <c r="B1281" s="88">
        <v>10</v>
      </c>
      <c r="C1281" s="89" t="s">
        <v>2748</v>
      </c>
      <c r="D1281" s="90" t="s">
        <v>2933</v>
      </c>
      <c r="E1281" s="91" t="s">
        <v>2934</v>
      </c>
      <c r="F1281" s="315">
        <v>267</v>
      </c>
      <c r="G1281" s="260">
        <v>4</v>
      </c>
      <c r="H1281" s="260"/>
      <c r="I1281" s="309"/>
      <c r="J1281" s="199"/>
      <c r="K1281" s="269"/>
      <c r="L1281" s="93">
        <f t="shared" si="332"/>
        <v>4</v>
      </c>
      <c r="M1281" s="183">
        <v>4</v>
      </c>
      <c r="N1281" s="95">
        <f t="shared" si="334"/>
        <v>1068</v>
      </c>
      <c r="O1281" s="95">
        <f t="shared" si="335"/>
        <v>1068</v>
      </c>
      <c r="P1281" s="94">
        <f t="shared" si="336"/>
        <v>0</v>
      </c>
      <c r="Q1281" s="95">
        <f t="shared" si="337"/>
        <v>0</v>
      </c>
      <c r="R1281" s="96"/>
      <c r="S1281" s="97">
        <f t="shared" si="338"/>
        <v>8</v>
      </c>
      <c r="T1281" s="98">
        <f t="shared" si="333"/>
        <v>-4</v>
      </c>
      <c r="U1281">
        <v>8</v>
      </c>
    </row>
    <row r="1282" spans="2:31" ht="20.100000000000001" customHeight="1">
      <c r="B1282" s="88">
        <v>10</v>
      </c>
      <c r="C1282" s="89" t="s">
        <v>2748</v>
      </c>
      <c r="D1282" s="90" t="s">
        <v>2935</v>
      </c>
      <c r="E1282" s="91" t="s">
        <v>2936</v>
      </c>
      <c r="F1282" s="315">
        <v>31.5</v>
      </c>
      <c r="G1282" s="260">
        <v>47</v>
      </c>
      <c r="H1282" s="260"/>
      <c r="I1282" s="309"/>
      <c r="J1282" s="199"/>
      <c r="K1282" s="269"/>
      <c r="L1282" s="93">
        <f t="shared" si="332"/>
        <v>47</v>
      </c>
      <c r="M1282" s="183">
        <v>47</v>
      </c>
      <c r="N1282" s="95">
        <f t="shared" si="334"/>
        <v>1480.5</v>
      </c>
      <c r="O1282" s="95">
        <f t="shared" si="335"/>
        <v>1480.5</v>
      </c>
      <c r="P1282" s="94">
        <f t="shared" si="336"/>
        <v>0</v>
      </c>
      <c r="Q1282" s="95">
        <f t="shared" si="337"/>
        <v>0</v>
      </c>
      <c r="R1282" s="96"/>
      <c r="S1282" s="97">
        <f t="shared" si="338"/>
        <v>47</v>
      </c>
      <c r="T1282" s="98">
        <f t="shared" si="333"/>
        <v>0</v>
      </c>
      <c r="Y1282">
        <v>47</v>
      </c>
      <c r="Z1282" s="99" t="s">
        <v>2937</v>
      </c>
      <c r="AD1282">
        <f>Y1282</f>
        <v>47</v>
      </c>
      <c r="AE1282" s="100">
        <f>AD1282*F1282</f>
        <v>1480.5</v>
      </c>
    </row>
    <row r="1283" spans="2:31" ht="20.100000000000001" customHeight="1">
      <c r="B1283" s="88">
        <v>10</v>
      </c>
      <c r="C1283" s="89" t="s">
        <v>2748</v>
      </c>
      <c r="D1283" s="90" t="s">
        <v>2938</v>
      </c>
      <c r="E1283" s="91" t="s">
        <v>2939</v>
      </c>
      <c r="F1283" s="315">
        <v>44.75</v>
      </c>
      <c r="G1283" s="260">
        <v>1</v>
      </c>
      <c r="H1283" s="260"/>
      <c r="I1283" s="309"/>
      <c r="J1283" s="199"/>
      <c r="K1283" s="269"/>
      <c r="L1283" s="93">
        <f t="shared" si="332"/>
        <v>1</v>
      </c>
      <c r="M1283" s="183">
        <v>1</v>
      </c>
      <c r="N1283" s="95">
        <f t="shared" si="334"/>
        <v>44.75</v>
      </c>
      <c r="O1283" s="95">
        <f t="shared" si="335"/>
        <v>44.75</v>
      </c>
      <c r="P1283" s="94">
        <f t="shared" si="336"/>
        <v>0</v>
      </c>
      <c r="Q1283" s="95">
        <f t="shared" si="337"/>
        <v>0</v>
      </c>
      <c r="R1283" s="96"/>
      <c r="S1283" s="97">
        <f t="shared" si="338"/>
        <v>1</v>
      </c>
      <c r="T1283" s="98">
        <f t="shared" si="333"/>
        <v>0</v>
      </c>
      <c r="U1283">
        <v>1</v>
      </c>
    </row>
    <row r="1284" spans="2:31" ht="20.100000000000001" customHeight="1">
      <c r="B1284" s="88">
        <v>10</v>
      </c>
      <c r="C1284" s="89" t="s">
        <v>2748</v>
      </c>
      <c r="D1284" s="90" t="s">
        <v>2940</v>
      </c>
      <c r="E1284" s="91" t="s">
        <v>2941</v>
      </c>
      <c r="F1284" s="315">
        <v>9.4700000000000006</v>
      </c>
      <c r="G1284" s="260"/>
      <c r="H1284" s="260"/>
      <c r="I1284" s="309"/>
      <c r="J1284" s="199"/>
      <c r="K1284" s="269"/>
      <c r="L1284" s="93">
        <f t="shared" si="332"/>
        <v>0</v>
      </c>
      <c r="M1284" s="183"/>
      <c r="N1284" s="95">
        <f t="shared" si="334"/>
        <v>0</v>
      </c>
      <c r="O1284" s="95">
        <f t="shared" si="335"/>
        <v>0</v>
      </c>
      <c r="P1284" s="94">
        <f t="shared" si="336"/>
        <v>0</v>
      </c>
      <c r="Q1284" s="95">
        <f t="shared" si="337"/>
        <v>0</v>
      </c>
      <c r="R1284" s="96"/>
      <c r="S1284" s="97">
        <f t="shared" si="338"/>
        <v>0</v>
      </c>
      <c r="T1284" s="98">
        <f t="shared" si="333"/>
        <v>0</v>
      </c>
    </row>
    <row r="1285" spans="2:31" ht="20.100000000000001" customHeight="1">
      <c r="B1285" s="88">
        <v>10</v>
      </c>
      <c r="C1285" s="89" t="s">
        <v>2748</v>
      </c>
      <c r="D1285" s="90" t="s">
        <v>2942</v>
      </c>
      <c r="E1285" s="91" t="s">
        <v>2943</v>
      </c>
      <c r="F1285" s="315">
        <v>55.8</v>
      </c>
      <c r="G1285" s="260">
        <v>22</v>
      </c>
      <c r="H1285" s="260"/>
      <c r="I1285" s="309"/>
      <c r="J1285" s="199"/>
      <c r="K1285" s="269"/>
      <c r="L1285" s="93">
        <f t="shared" si="332"/>
        <v>22</v>
      </c>
      <c r="M1285" s="183">
        <f>10+12</f>
        <v>22</v>
      </c>
      <c r="N1285" s="95">
        <f t="shared" si="334"/>
        <v>1227.5999999999999</v>
      </c>
      <c r="O1285" s="95">
        <f t="shared" si="335"/>
        <v>1227.5999999999999</v>
      </c>
      <c r="P1285" s="94">
        <f t="shared" si="336"/>
        <v>0</v>
      </c>
      <c r="Q1285" s="95">
        <f t="shared" si="337"/>
        <v>0</v>
      </c>
      <c r="R1285" s="96"/>
      <c r="S1285" s="97">
        <f t="shared" si="338"/>
        <v>23</v>
      </c>
      <c r="T1285" s="98">
        <f t="shared" si="333"/>
        <v>-1</v>
      </c>
      <c r="U1285">
        <v>13</v>
      </c>
      <c r="Y1285">
        <v>10</v>
      </c>
    </row>
    <row r="1286" spans="2:31" ht="20.100000000000001" customHeight="1">
      <c r="B1286" s="88">
        <v>10</v>
      </c>
      <c r="C1286" s="89" t="s">
        <v>2748</v>
      </c>
      <c r="D1286" s="90" t="s">
        <v>2944</v>
      </c>
      <c r="E1286" s="91" t="s">
        <v>2945</v>
      </c>
      <c r="F1286" s="315">
        <v>11.1</v>
      </c>
      <c r="G1286" s="260">
        <v>156</v>
      </c>
      <c r="H1286" s="260"/>
      <c r="I1286" s="309"/>
      <c r="J1286" s="199"/>
      <c r="K1286" s="269">
        <v>1</v>
      </c>
      <c r="L1286" s="93">
        <f t="shared" si="332"/>
        <v>155</v>
      </c>
      <c r="M1286" s="183">
        <f>60+96+1</f>
        <v>157</v>
      </c>
      <c r="N1286" s="95">
        <f t="shared" si="334"/>
        <v>1720.5</v>
      </c>
      <c r="O1286" s="95">
        <f t="shared" si="335"/>
        <v>1742.7</v>
      </c>
      <c r="P1286" s="94">
        <f t="shared" si="336"/>
        <v>-2</v>
      </c>
      <c r="Q1286" s="95">
        <f t="shared" si="337"/>
        <v>-22.200000000000045</v>
      </c>
      <c r="R1286" s="96"/>
      <c r="S1286" s="97">
        <f t="shared" si="338"/>
        <v>157</v>
      </c>
      <c r="T1286" s="98">
        <f t="shared" si="333"/>
        <v>0</v>
      </c>
      <c r="U1286">
        <v>1</v>
      </c>
      <c r="Y1286">
        <f>96+60</f>
        <v>156</v>
      </c>
    </row>
    <row r="1287" spans="2:31" ht="20.100000000000001" customHeight="1">
      <c r="B1287" s="88">
        <v>10</v>
      </c>
      <c r="C1287" s="89" t="s">
        <v>2748</v>
      </c>
      <c r="D1287" s="90" t="s">
        <v>2946</v>
      </c>
      <c r="E1287" s="91" t="s">
        <v>2947</v>
      </c>
      <c r="F1287" s="315">
        <v>5.77</v>
      </c>
      <c r="G1287" s="260">
        <v>60</v>
      </c>
      <c r="H1287" s="260"/>
      <c r="I1287" s="309"/>
      <c r="J1287" s="199"/>
      <c r="K1287" s="269">
        <v>1</v>
      </c>
      <c r="L1287" s="93">
        <f t="shared" si="332"/>
        <v>59</v>
      </c>
      <c r="M1287" s="183">
        <v>60</v>
      </c>
      <c r="N1287" s="95">
        <f t="shared" si="334"/>
        <v>340.42999999999995</v>
      </c>
      <c r="O1287" s="95">
        <f t="shared" si="335"/>
        <v>346.2</v>
      </c>
      <c r="P1287" s="94">
        <f t="shared" si="336"/>
        <v>-1</v>
      </c>
      <c r="Q1287" s="95">
        <f t="shared" si="337"/>
        <v>-5.7700000000000387</v>
      </c>
      <c r="R1287" s="96"/>
      <c r="S1287" s="97">
        <f t="shared" si="338"/>
        <v>61</v>
      </c>
      <c r="T1287" s="98">
        <f t="shared" si="333"/>
        <v>-1</v>
      </c>
      <c r="U1287">
        <v>1</v>
      </c>
      <c r="Y1287">
        <v>60</v>
      </c>
    </row>
    <row r="1288" spans="2:31" ht="20.100000000000001" customHeight="1">
      <c r="B1288" s="88">
        <v>10</v>
      </c>
      <c r="C1288" s="89" t="s">
        <v>2748</v>
      </c>
      <c r="D1288" s="90" t="s">
        <v>2948</v>
      </c>
      <c r="E1288" s="91" t="s">
        <v>2949</v>
      </c>
      <c r="F1288" s="315">
        <v>144.31</v>
      </c>
      <c r="G1288" s="260">
        <v>1</v>
      </c>
      <c r="H1288" s="260"/>
      <c r="I1288" s="309"/>
      <c r="J1288" s="199"/>
      <c r="K1288" s="269"/>
      <c r="L1288" s="93">
        <f t="shared" si="332"/>
        <v>1</v>
      </c>
      <c r="M1288" s="183">
        <v>1</v>
      </c>
      <c r="N1288" s="95">
        <f t="shared" si="334"/>
        <v>144.31</v>
      </c>
      <c r="O1288" s="95">
        <f t="shared" si="335"/>
        <v>144.31</v>
      </c>
      <c r="P1288" s="94">
        <f t="shared" si="336"/>
        <v>0</v>
      </c>
      <c r="Q1288" s="95">
        <f t="shared" si="337"/>
        <v>0</v>
      </c>
      <c r="R1288" s="96"/>
      <c r="S1288" s="97">
        <f t="shared" si="338"/>
        <v>20</v>
      </c>
      <c r="T1288" s="98">
        <f t="shared" si="333"/>
        <v>-19</v>
      </c>
      <c r="U1288">
        <v>20</v>
      </c>
    </row>
    <row r="1289" spans="2:31" ht="29.25" customHeight="1">
      <c r="B1289" s="88">
        <v>10</v>
      </c>
      <c r="C1289" s="89" t="s">
        <v>2748</v>
      </c>
      <c r="D1289" s="90" t="s">
        <v>2950</v>
      </c>
      <c r="E1289" s="91" t="s">
        <v>2951</v>
      </c>
      <c r="F1289" s="315">
        <v>5.77</v>
      </c>
      <c r="G1289" s="260">
        <v>60</v>
      </c>
      <c r="H1289" s="260"/>
      <c r="I1289" s="309"/>
      <c r="J1289" s="199"/>
      <c r="K1289" s="269"/>
      <c r="L1289" s="93">
        <f t="shared" si="332"/>
        <v>60</v>
      </c>
      <c r="M1289" s="183">
        <v>60</v>
      </c>
      <c r="N1289" s="95">
        <f t="shared" si="334"/>
        <v>346.2</v>
      </c>
      <c r="O1289" s="95">
        <f t="shared" si="335"/>
        <v>346.2</v>
      </c>
      <c r="P1289" s="94">
        <f t="shared" si="336"/>
        <v>0</v>
      </c>
      <c r="Q1289" s="95">
        <f t="shared" si="337"/>
        <v>0</v>
      </c>
      <c r="R1289" s="96"/>
      <c r="S1289" s="97">
        <f t="shared" si="338"/>
        <v>60</v>
      </c>
      <c r="T1289" s="98">
        <f t="shared" si="333"/>
        <v>0</v>
      </c>
      <c r="Y1289">
        <v>60</v>
      </c>
    </row>
    <row r="1290" spans="2:31" ht="29.25" customHeight="1">
      <c r="B1290" s="88">
        <v>10</v>
      </c>
      <c r="C1290" s="89" t="s">
        <v>2748</v>
      </c>
      <c r="D1290" s="90" t="s">
        <v>2952</v>
      </c>
      <c r="E1290" s="91" t="s">
        <v>2953</v>
      </c>
      <c r="F1290" s="315">
        <v>11.1</v>
      </c>
      <c r="G1290" s="260">
        <v>96</v>
      </c>
      <c r="H1290" s="260"/>
      <c r="I1290" s="309"/>
      <c r="J1290" s="199"/>
      <c r="K1290" s="269">
        <v>2</v>
      </c>
      <c r="L1290" s="93">
        <f t="shared" si="332"/>
        <v>94</v>
      </c>
      <c r="M1290" s="183">
        <v>98</v>
      </c>
      <c r="N1290" s="95">
        <f t="shared" si="334"/>
        <v>1043.3999999999999</v>
      </c>
      <c r="O1290" s="95">
        <f t="shared" si="335"/>
        <v>1087.8</v>
      </c>
      <c r="P1290" s="94">
        <f t="shared" si="336"/>
        <v>-4</v>
      </c>
      <c r="Q1290" s="95">
        <f t="shared" si="337"/>
        <v>-44.400000000000091</v>
      </c>
      <c r="R1290" s="96"/>
      <c r="S1290" s="97">
        <f t="shared" si="338"/>
        <v>98</v>
      </c>
      <c r="T1290" s="98">
        <f t="shared" si="333"/>
        <v>0</v>
      </c>
      <c r="Y1290">
        <f>56+42</f>
        <v>98</v>
      </c>
    </row>
    <row r="1291" spans="2:31" ht="29.25" customHeight="1">
      <c r="B1291" s="88">
        <v>10</v>
      </c>
      <c r="C1291" s="89" t="s">
        <v>2748</v>
      </c>
      <c r="D1291" s="90" t="s">
        <v>2954</v>
      </c>
      <c r="E1291" s="91" t="s">
        <v>2955</v>
      </c>
      <c r="F1291" s="315">
        <v>11.1</v>
      </c>
      <c r="G1291" s="260">
        <v>96</v>
      </c>
      <c r="H1291" s="260"/>
      <c r="I1291" s="309"/>
      <c r="J1291" s="199"/>
      <c r="K1291" s="269"/>
      <c r="L1291" s="93">
        <f t="shared" si="332"/>
        <v>96</v>
      </c>
      <c r="M1291" s="183">
        <f>36+60</f>
        <v>96</v>
      </c>
      <c r="N1291" s="95">
        <f t="shared" si="334"/>
        <v>1065.5999999999999</v>
      </c>
      <c r="O1291" s="95">
        <f t="shared" si="335"/>
        <v>1065.5999999999999</v>
      </c>
      <c r="P1291" s="94">
        <f t="shared" si="336"/>
        <v>0</v>
      </c>
      <c r="Q1291" s="95">
        <f t="shared" si="337"/>
        <v>0</v>
      </c>
      <c r="R1291" s="96"/>
      <c r="S1291" s="97">
        <f t="shared" si="338"/>
        <v>96</v>
      </c>
      <c r="T1291" s="98">
        <f t="shared" si="333"/>
        <v>0</v>
      </c>
      <c r="Y1291">
        <f>60+36</f>
        <v>96</v>
      </c>
    </row>
    <row r="1292" spans="2:31" ht="20.100000000000001" customHeight="1">
      <c r="B1292" s="88">
        <v>10</v>
      </c>
      <c r="C1292" s="89" t="s">
        <v>2748</v>
      </c>
      <c r="D1292" s="90" t="s">
        <v>2956</v>
      </c>
      <c r="E1292" s="91" t="s">
        <v>2957</v>
      </c>
      <c r="F1292" s="315">
        <v>5.78</v>
      </c>
      <c r="G1292" s="260">
        <v>95</v>
      </c>
      <c r="H1292" s="260"/>
      <c r="I1292" s="309"/>
      <c r="J1292" s="199"/>
      <c r="K1292" s="269"/>
      <c r="L1292" s="93">
        <f t="shared" si="332"/>
        <v>95</v>
      </c>
      <c r="M1292" s="183">
        <f>60+34</f>
        <v>94</v>
      </c>
      <c r="N1292" s="95">
        <f t="shared" si="334"/>
        <v>549.1</v>
      </c>
      <c r="O1292" s="95">
        <f t="shared" si="335"/>
        <v>543.32000000000005</v>
      </c>
      <c r="P1292" s="94">
        <f t="shared" si="336"/>
        <v>1</v>
      </c>
      <c r="Q1292" s="95">
        <f t="shared" si="337"/>
        <v>5.7799999999999727</v>
      </c>
      <c r="R1292" s="96"/>
      <c r="S1292" s="97">
        <f t="shared" si="338"/>
        <v>98</v>
      </c>
      <c r="T1292" s="98">
        <f t="shared" si="333"/>
        <v>-4</v>
      </c>
      <c r="U1292">
        <f>31+7</f>
        <v>38</v>
      </c>
      <c r="Y1292">
        <v>60</v>
      </c>
    </row>
    <row r="1293" spans="2:31" ht="20.100000000000001" customHeight="1">
      <c r="B1293" s="88">
        <v>10</v>
      </c>
      <c r="C1293" s="89" t="s">
        <v>2748</v>
      </c>
      <c r="D1293" s="90" t="s">
        <v>2958</v>
      </c>
      <c r="E1293" s="91" t="s">
        <v>2959</v>
      </c>
      <c r="F1293" s="315">
        <v>7.2</v>
      </c>
      <c r="G1293" s="260"/>
      <c r="H1293" s="260"/>
      <c r="I1293" s="309"/>
      <c r="J1293" s="199"/>
      <c r="K1293" s="269">
        <v>3</v>
      </c>
      <c r="L1293" s="93">
        <f t="shared" si="332"/>
        <v>-3</v>
      </c>
      <c r="M1293" s="183">
        <v>3</v>
      </c>
      <c r="N1293" s="95">
        <f t="shared" si="334"/>
        <v>-21.6</v>
      </c>
      <c r="O1293" s="95">
        <f t="shared" si="335"/>
        <v>21.6</v>
      </c>
      <c r="P1293" s="94">
        <f t="shared" si="336"/>
        <v>-6</v>
      </c>
      <c r="Q1293" s="95">
        <f t="shared" si="337"/>
        <v>-43.2</v>
      </c>
      <c r="R1293" s="96" t="s">
        <v>2133</v>
      </c>
      <c r="S1293" s="97">
        <f t="shared" si="338"/>
        <v>3</v>
      </c>
      <c r="T1293" s="98">
        <f t="shared" si="333"/>
        <v>0</v>
      </c>
      <c r="U1293">
        <v>3</v>
      </c>
      <c r="V1293" s="99" t="s">
        <v>479</v>
      </c>
      <c r="AD1293" s="18">
        <f>M1293</f>
        <v>3</v>
      </c>
      <c r="AE1293" s="100">
        <f>AD1293*F1293</f>
        <v>21.6</v>
      </c>
    </row>
    <row r="1294" spans="2:31" ht="20.100000000000001" customHeight="1">
      <c r="B1294" s="88">
        <v>10</v>
      </c>
      <c r="C1294" s="89" t="s">
        <v>2748</v>
      </c>
      <c r="D1294" s="90" t="s">
        <v>2960</v>
      </c>
      <c r="E1294" s="91" t="s">
        <v>2961</v>
      </c>
      <c r="F1294" s="315">
        <v>75.45</v>
      </c>
      <c r="G1294" s="260"/>
      <c r="H1294" s="260"/>
      <c r="I1294" s="309"/>
      <c r="J1294" s="199"/>
      <c r="K1294" s="269"/>
      <c r="L1294" s="93">
        <f t="shared" si="332"/>
        <v>0</v>
      </c>
      <c r="M1294" s="183">
        <v>1</v>
      </c>
      <c r="N1294" s="95">
        <f t="shared" si="334"/>
        <v>0</v>
      </c>
      <c r="O1294" s="95">
        <f t="shared" si="335"/>
        <v>75.45</v>
      </c>
      <c r="P1294" s="94">
        <f t="shared" si="336"/>
        <v>-1</v>
      </c>
      <c r="Q1294" s="95">
        <f t="shared" si="337"/>
        <v>-75.45</v>
      </c>
      <c r="R1294" s="96"/>
      <c r="S1294" s="97">
        <f t="shared" si="338"/>
        <v>0</v>
      </c>
      <c r="T1294" s="98">
        <f t="shared" si="333"/>
        <v>1</v>
      </c>
    </row>
    <row r="1295" spans="2:31" ht="20.100000000000001" customHeight="1">
      <c r="B1295" s="88">
        <v>10</v>
      </c>
      <c r="C1295" s="89" t="s">
        <v>2748</v>
      </c>
      <c r="D1295" s="90" t="s">
        <v>2962</v>
      </c>
      <c r="E1295" s="91" t="s">
        <v>2963</v>
      </c>
      <c r="F1295" s="315">
        <v>381.01</v>
      </c>
      <c r="G1295" s="260"/>
      <c r="H1295" s="260"/>
      <c r="I1295" s="309"/>
      <c r="J1295" s="199"/>
      <c r="K1295" s="269"/>
      <c r="L1295" s="93">
        <f t="shared" si="332"/>
        <v>0</v>
      </c>
      <c r="M1295" s="183"/>
      <c r="N1295" s="95">
        <f t="shared" si="334"/>
        <v>0</v>
      </c>
      <c r="O1295" s="95">
        <f t="shared" si="335"/>
        <v>0</v>
      </c>
      <c r="P1295" s="94">
        <f t="shared" si="336"/>
        <v>0</v>
      </c>
      <c r="Q1295" s="95">
        <f t="shared" si="337"/>
        <v>0</v>
      </c>
      <c r="R1295" s="96"/>
      <c r="S1295" s="97">
        <f t="shared" si="338"/>
        <v>0</v>
      </c>
      <c r="T1295" s="98">
        <f t="shared" si="333"/>
        <v>0</v>
      </c>
    </row>
    <row r="1296" spans="2:31" ht="20.100000000000001" customHeight="1">
      <c r="B1296" s="88">
        <v>10</v>
      </c>
      <c r="C1296" s="89" t="s">
        <v>2748</v>
      </c>
      <c r="D1296" s="90" t="s">
        <v>2964</v>
      </c>
      <c r="E1296" s="91" t="s">
        <v>2965</v>
      </c>
      <c r="F1296" s="315">
        <v>28.75</v>
      </c>
      <c r="G1296" s="260"/>
      <c r="H1296" s="260"/>
      <c r="I1296" s="309"/>
      <c r="J1296" s="199"/>
      <c r="K1296" s="269"/>
      <c r="L1296" s="93">
        <f t="shared" si="332"/>
        <v>0</v>
      </c>
      <c r="M1296" s="183"/>
      <c r="N1296" s="95">
        <f t="shared" si="334"/>
        <v>0</v>
      </c>
      <c r="O1296" s="95">
        <f t="shared" si="335"/>
        <v>0</v>
      </c>
      <c r="P1296" s="94">
        <f t="shared" si="336"/>
        <v>0</v>
      </c>
      <c r="Q1296" s="95">
        <f t="shared" si="337"/>
        <v>0</v>
      </c>
      <c r="R1296" s="96"/>
      <c r="S1296" s="97">
        <f t="shared" si="338"/>
        <v>0</v>
      </c>
      <c r="T1296" s="98">
        <f t="shared" si="333"/>
        <v>0</v>
      </c>
    </row>
    <row r="1297" spans="2:31" ht="20.100000000000001" customHeight="1">
      <c r="B1297" s="88">
        <v>10</v>
      </c>
      <c r="C1297" s="89" t="s">
        <v>2748</v>
      </c>
      <c r="D1297" s="90" t="s">
        <v>2966</v>
      </c>
      <c r="E1297" s="91" t="s">
        <v>2967</v>
      </c>
      <c r="F1297" s="315">
        <v>34</v>
      </c>
      <c r="G1297" s="260"/>
      <c r="H1297" s="260"/>
      <c r="I1297" s="309"/>
      <c r="J1297" s="199"/>
      <c r="K1297" s="269"/>
      <c r="L1297" s="93">
        <f t="shared" si="332"/>
        <v>0</v>
      </c>
      <c r="M1297" s="183"/>
      <c r="N1297" s="95">
        <f t="shared" si="334"/>
        <v>0</v>
      </c>
      <c r="O1297" s="95">
        <f t="shared" si="335"/>
        <v>0</v>
      </c>
      <c r="P1297" s="94">
        <f t="shared" si="336"/>
        <v>0</v>
      </c>
      <c r="Q1297" s="95">
        <f t="shared" si="337"/>
        <v>0</v>
      </c>
      <c r="R1297" s="96"/>
      <c r="S1297" s="97">
        <f t="shared" si="338"/>
        <v>0</v>
      </c>
      <c r="T1297" s="98">
        <f t="shared" si="333"/>
        <v>0</v>
      </c>
    </row>
    <row r="1298" spans="2:31" ht="20.100000000000001" customHeight="1">
      <c r="B1298" s="88">
        <v>10</v>
      </c>
      <c r="C1298" s="89" t="s">
        <v>2748</v>
      </c>
      <c r="D1298" s="90" t="s">
        <v>2968</v>
      </c>
      <c r="E1298" s="91" t="s">
        <v>2969</v>
      </c>
      <c r="F1298" s="315">
        <v>225</v>
      </c>
      <c r="G1298" s="260">
        <v>4</v>
      </c>
      <c r="H1298" s="260"/>
      <c r="I1298" s="309"/>
      <c r="J1298" s="199"/>
      <c r="K1298" s="269"/>
      <c r="L1298" s="93">
        <f t="shared" si="332"/>
        <v>4</v>
      </c>
      <c r="M1298" s="183">
        <v>4</v>
      </c>
      <c r="N1298" s="95">
        <f t="shared" si="334"/>
        <v>900</v>
      </c>
      <c r="O1298" s="95">
        <f t="shared" si="335"/>
        <v>900</v>
      </c>
      <c r="P1298" s="94">
        <f t="shared" si="336"/>
        <v>0</v>
      </c>
      <c r="Q1298" s="95">
        <f t="shared" si="337"/>
        <v>0</v>
      </c>
      <c r="R1298" s="96"/>
      <c r="S1298" s="97">
        <f t="shared" si="338"/>
        <v>4</v>
      </c>
      <c r="T1298" s="98">
        <f t="shared" si="333"/>
        <v>0</v>
      </c>
      <c r="AA1298">
        <v>4</v>
      </c>
      <c r="AB1298" s="99" t="s">
        <v>2970</v>
      </c>
      <c r="AD1298">
        <f>AA1298</f>
        <v>4</v>
      </c>
      <c r="AE1298" s="100">
        <f>AD1298*F1298</f>
        <v>900</v>
      </c>
    </row>
    <row r="1299" spans="2:31" ht="20.100000000000001" customHeight="1">
      <c r="B1299" s="88">
        <v>10</v>
      </c>
      <c r="C1299" s="89" t="s">
        <v>2748</v>
      </c>
      <c r="D1299" s="90" t="s">
        <v>2971</v>
      </c>
      <c r="E1299" s="91" t="s">
        <v>2972</v>
      </c>
      <c r="F1299" s="315">
        <v>55</v>
      </c>
      <c r="G1299" s="260">
        <v>1</v>
      </c>
      <c r="H1299" s="260"/>
      <c r="I1299" s="309"/>
      <c r="J1299" s="199"/>
      <c r="K1299" s="269"/>
      <c r="L1299" s="93">
        <f t="shared" si="332"/>
        <v>1</v>
      </c>
      <c r="M1299" s="183">
        <v>1</v>
      </c>
      <c r="N1299" s="95">
        <f t="shared" si="334"/>
        <v>55</v>
      </c>
      <c r="O1299" s="95">
        <f t="shared" si="335"/>
        <v>55</v>
      </c>
      <c r="P1299" s="94">
        <f t="shared" si="336"/>
        <v>0</v>
      </c>
      <c r="Q1299" s="95">
        <f t="shared" si="337"/>
        <v>0</v>
      </c>
      <c r="R1299" s="96"/>
      <c r="S1299" s="97">
        <f t="shared" si="338"/>
        <v>1</v>
      </c>
      <c r="T1299" s="98">
        <f t="shared" si="333"/>
        <v>0</v>
      </c>
      <c r="U1299">
        <v>1</v>
      </c>
    </row>
    <row r="1300" spans="2:31" ht="20.100000000000001" customHeight="1">
      <c r="B1300" s="88">
        <v>10</v>
      </c>
      <c r="C1300" s="89" t="s">
        <v>2748</v>
      </c>
      <c r="D1300" s="90" t="s">
        <v>2973</v>
      </c>
      <c r="E1300" s="91" t="s">
        <v>2974</v>
      </c>
      <c r="F1300" s="315">
        <v>72</v>
      </c>
      <c r="G1300" s="260">
        <v>1</v>
      </c>
      <c r="H1300" s="260"/>
      <c r="I1300" s="309"/>
      <c r="J1300" s="199"/>
      <c r="K1300" s="269"/>
      <c r="L1300" s="93">
        <f t="shared" si="332"/>
        <v>1</v>
      </c>
      <c r="M1300" s="183">
        <v>1</v>
      </c>
      <c r="N1300" s="95">
        <f t="shared" si="334"/>
        <v>72</v>
      </c>
      <c r="O1300" s="95">
        <f t="shared" si="335"/>
        <v>72</v>
      </c>
      <c r="P1300" s="94">
        <f t="shared" si="336"/>
        <v>0</v>
      </c>
      <c r="Q1300" s="95">
        <f t="shared" si="337"/>
        <v>0</v>
      </c>
      <c r="R1300" s="96"/>
      <c r="S1300" s="97">
        <f t="shared" si="338"/>
        <v>1</v>
      </c>
      <c r="T1300" s="98">
        <f t="shared" si="333"/>
        <v>0</v>
      </c>
      <c r="U1300">
        <v>1</v>
      </c>
    </row>
    <row r="1301" spans="2:31" ht="20.100000000000001" customHeight="1">
      <c r="B1301" s="88">
        <v>10</v>
      </c>
      <c r="C1301" s="89" t="s">
        <v>2748</v>
      </c>
      <c r="D1301" s="90" t="s">
        <v>2975</v>
      </c>
      <c r="E1301" s="91" t="s">
        <v>2976</v>
      </c>
      <c r="F1301" s="315">
        <v>28</v>
      </c>
      <c r="G1301" s="260"/>
      <c r="H1301" s="260"/>
      <c r="I1301" s="309"/>
      <c r="J1301" s="199"/>
      <c r="K1301" s="269"/>
      <c r="L1301" s="93">
        <f t="shared" si="332"/>
        <v>0</v>
      </c>
      <c r="M1301" s="183">
        <v>5</v>
      </c>
      <c r="N1301" s="95">
        <f t="shared" si="334"/>
        <v>0</v>
      </c>
      <c r="O1301" s="95">
        <f t="shared" si="335"/>
        <v>140</v>
      </c>
      <c r="P1301" s="94">
        <f t="shared" si="336"/>
        <v>-5</v>
      </c>
      <c r="Q1301" s="95">
        <f t="shared" si="337"/>
        <v>-140</v>
      </c>
      <c r="R1301" s="96"/>
      <c r="S1301" s="97">
        <f t="shared" si="338"/>
        <v>0</v>
      </c>
      <c r="T1301" s="98">
        <f t="shared" si="333"/>
        <v>5</v>
      </c>
    </row>
    <row r="1302" spans="2:31" ht="20.100000000000001" customHeight="1">
      <c r="B1302" s="88">
        <v>10</v>
      </c>
      <c r="C1302" s="89" t="s">
        <v>2748</v>
      </c>
      <c r="D1302" s="90" t="s">
        <v>2977</v>
      </c>
      <c r="E1302" s="91" t="s">
        <v>2978</v>
      </c>
      <c r="F1302" s="315">
        <v>252</v>
      </c>
      <c r="G1302" s="260"/>
      <c r="H1302" s="260"/>
      <c r="I1302" s="309"/>
      <c r="J1302" s="199"/>
      <c r="K1302" s="269"/>
      <c r="L1302" s="93">
        <f t="shared" si="332"/>
        <v>0</v>
      </c>
      <c r="M1302" s="183">
        <v>2</v>
      </c>
      <c r="N1302" s="95">
        <f t="shared" si="334"/>
        <v>0</v>
      </c>
      <c r="O1302" s="95">
        <f t="shared" si="335"/>
        <v>504</v>
      </c>
      <c r="P1302" s="94">
        <f t="shared" si="336"/>
        <v>-2</v>
      </c>
      <c r="Q1302" s="95">
        <f t="shared" si="337"/>
        <v>-504</v>
      </c>
      <c r="R1302" s="96"/>
      <c r="S1302" s="97">
        <f t="shared" si="338"/>
        <v>0</v>
      </c>
      <c r="T1302" s="98">
        <f t="shared" si="333"/>
        <v>2</v>
      </c>
    </row>
    <row r="1303" spans="2:31" ht="20.100000000000001" customHeight="1">
      <c r="B1303" s="88">
        <v>10</v>
      </c>
      <c r="C1303" s="89" t="s">
        <v>2748</v>
      </c>
      <c r="D1303" s="90" t="s">
        <v>2979</v>
      </c>
      <c r="E1303" s="91" t="s">
        <v>2980</v>
      </c>
      <c r="F1303" s="315">
        <v>252</v>
      </c>
      <c r="G1303" s="260">
        <v>3</v>
      </c>
      <c r="H1303" s="260"/>
      <c r="I1303" s="309"/>
      <c r="J1303" s="199"/>
      <c r="K1303" s="269"/>
      <c r="L1303" s="93">
        <f t="shared" si="332"/>
        <v>3</v>
      </c>
      <c r="M1303" s="183">
        <v>3</v>
      </c>
      <c r="N1303" s="95">
        <f t="shared" si="334"/>
        <v>756</v>
      </c>
      <c r="O1303" s="95">
        <f t="shared" si="335"/>
        <v>756</v>
      </c>
      <c r="P1303" s="94">
        <f t="shared" si="336"/>
        <v>0</v>
      </c>
      <c r="Q1303" s="95">
        <f t="shared" si="337"/>
        <v>0</v>
      </c>
      <c r="R1303" s="96"/>
      <c r="S1303" s="97">
        <f t="shared" si="338"/>
        <v>3</v>
      </c>
      <c r="T1303" s="98">
        <f t="shared" si="333"/>
        <v>0</v>
      </c>
      <c r="U1303">
        <v>3</v>
      </c>
    </row>
    <row r="1304" spans="2:31" ht="20.100000000000001" customHeight="1">
      <c r="B1304" s="88">
        <v>10</v>
      </c>
      <c r="C1304" s="89" t="s">
        <v>2748</v>
      </c>
      <c r="D1304" s="204" t="s">
        <v>2981</v>
      </c>
      <c r="E1304" s="205" t="s">
        <v>2982</v>
      </c>
      <c r="F1304" s="314">
        <v>57</v>
      </c>
      <c r="G1304" s="298">
        <v>56</v>
      </c>
      <c r="H1304" s="298"/>
      <c r="I1304" s="310"/>
      <c r="J1304" s="299"/>
      <c r="K1304" s="300"/>
      <c r="L1304" s="93">
        <f t="shared" si="332"/>
        <v>56</v>
      </c>
      <c r="M1304" s="206">
        <v>56</v>
      </c>
      <c r="N1304" s="95">
        <f t="shared" si="334"/>
        <v>3192</v>
      </c>
      <c r="O1304" s="95">
        <f t="shared" si="335"/>
        <v>3192</v>
      </c>
      <c r="P1304" s="207">
        <f t="shared" si="336"/>
        <v>0</v>
      </c>
      <c r="Q1304" s="208">
        <f t="shared" si="337"/>
        <v>0</v>
      </c>
      <c r="R1304" s="209"/>
      <c r="S1304" s="97">
        <f t="shared" si="338"/>
        <v>72</v>
      </c>
      <c r="T1304" s="98">
        <f t="shared" si="333"/>
        <v>-16</v>
      </c>
      <c r="Y1304">
        <v>72</v>
      </c>
    </row>
    <row r="1305" spans="2:31" ht="20.100000000000001" customHeight="1">
      <c r="B1305" s="88">
        <v>10</v>
      </c>
      <c r="C1305" s="89" t="s">
        <v>2748</v>
      </c>
      <c r="D1305" s="90" t="s">
        <v>2983</v>
      </c>
      <c r="E1305" s="91" t="s">
        <v>2984</v>
      </c>
      <c r="F1305" s="315">
        <v>49</v>
      </c>
      <c r="G1305" s="260"/>
      <c r="H1305" s="260"/>
      <c r="I1305" s="309"/>
      <c r="J1305" s="199"/>
      <c r="K1305" s="269"/>
      <c r="L1305" s="93">
        <f t="shared" si="332"/>
        <v>0</v>
      </c>
      <c r="M1305" s="183"/>
      <c r="N1305" s="95">
        <f t="shared" si="334"/>
        <v>0</v>
      </c>
      <c r="O1305" s="95">
        <f t="shared" si="335"/>
        <v>0</v>
      </c>
      <c r="P1305" s="94">
        <f t="shared" si="336"/>
        <v>0</v>
      </c>
      <c r="Q1305" s="95">
        <f t="shared" si="337"/>
        <v>0</v>
      </c>
      <c r="R1305" s="96"/>
      <c r="S1305" s="97">
        <f t="shared" si="338"/>
        <v>0</v>
      </c>
      <c r="T1305" s="98">
        <f t="shared" si="333"/>
        <v>0</v>
      </c>
    </row>
    <row r="1306" spans="2:31" ht="20.100000000000001" customHeight="1">
      <c r="B1306" s="88">
        <v>10</v>
      </c>
      <c r="C1306" s="89" t="s">
        <v>2748</v>
      </c>
      <c r="D1306" s="90" t="s">
        <v>2985</v>
      </c>
      <c r="E1306" s="91" t="s">
        <v>2986</v>
      </c>
      <c r="F1306" s="315">
        <v>21.96</v>
      </c>
      <c r="G1306" s="260">
        <v>5</v>
      </c>
      <c r="H1306" s="260"/>
      <c r="I1306" s="309"/>
      <c r="J1306" s="199"/>
      <c r="K1306" s="269"/>
      <c r="L1306" s="93">
        <f t="shared" si="332"/>
        <v>5</v>
      </c>
      <c r="M1306" s="183">
        <v>5</v>
      </c>
      <c r="N1306" s="95">
        <f t="shared" si="334"/>
        <v>109.80000000000001</v>
      </c>
      <c r="O1306" s="95">
        <f t="shared" si="335"/>
        <v>109.80000000000001</v>
      </c>
      <c r="P1306" s="94">
        <f t="shared" si="336"/>
        <v>0</v>
      </c>
      <c r="Q1306" s="95">
        <f t="shared" si="337"/>
        <v>0</v>
      </c>
      <c r="R1306" s="96"/>
      <c r="S1306" s="97">
        <f t="shared" si="338"/>
        <v>5</v>
      </c>
      <c r="T1306" s="98">
        <f t="shared" si="333"/>
        <v>0</v>
      </c>
      <c r="U1306">
        <v>5</v>
      </c>
    </row>
    <row r="1307" spans="2:31" ht="20.100000000000001" customHeight="1">
      <c r="B1307" s="88">
        <v>10</v>
      </c>
      <c r="C1307" s="89" t="s">
        <v>2748</v>
      </c>
      <c r="D1307" s="90" t="s">
        <v>2987</v>
      </c>
      <c r="E1307" s="91" t="s">
        <v>2988</v>
      </c>
      <c r="F1307" s="315">
        <v>37.93</v>
      </c>
      <c r="G1307" s="260">
        <v>96</v>
      </c>
      <c r="H1307" s="260"/>
      <c r="I1307" s="309"/>
      <c r="J1307" s="199"/>
      <c r="K1307" s="269"/>
      <c r="L1307" s="93">
        <f t="shared" si="332"/>
        <v>96</v>
      </c>
      <c r="M1307" s="183">
        <f>93+3</f>
        <v>96</v>
      </c>
      <c r="N1307" s="95">
        <f t="shared" si="334"/>
        <v>3641.2799999999997</v>
      </c>
      <c r="O1307" s="95">
        <f t="shared" si="335"/>
        <v>3641.2799999999997</v>
      </c>
      <c r="P1307" s="94">
        <f t="shared" si="336"/>
        <v>0</v>
      </c>
      <c r="Q1307" s="95">
        <f t="shared" si="337"/>
        <v>0</v>
      </c>
      <c r="R1307" s="96"/>
      <c r="S1307" s="97">
        <f t="shared" si="338"/>
        <v>96</v>
      </c>
      <c r="T1307" s="98">
        <f t="shared" si="333"/>
        <v>0</v>
      </c>
      <c r="U1307">
        <v>3</v>
      </c>
      <c r="Y1307">
        <v>93</v>
      </c>
    </row>
    <row r="1308" spans="2:31" ht="20.100000000000001" customHeight="1">
      <c r="B1308" s="88">
        <v>10</v>
      </c>
      <c r="C1308" s="89" t="s">
        <v>2748</v>
      </c>
      <c r="D1308" s="90" t="s">
        <v>2989</v>
      </c>
      <c r="E1308" s="91" t="s">
        <v>2990</v>
      </c>
      <c r="F1308" s="315">
        <v>58.25</v>
      </c>
      <c r="G1308" s="260"/>
      <c r="H1308" s="260"/>
      <c r="I1308" s="309"/>
      <c r="J1308" s="199"/>
      <c r="K1308" s="269"/>
      <c r="L1308" s="93">
        <f t="shared" si="332"/>
        <v>0</v>
      </c>
      <c r="M1308" s="183"/>
      <c r="N1308" s="95">
        <f t="shared" si="334"/>
        <v>0</v>
      </c>
      <c r="O1308" s="95">
        <f t="shared" si="335"/>
        <v>0</v>
      </c>
      <c r="P1308" s="94">
        <f t="shared" si="336"/>
        <v>0</v>
      </c>
      <c r="Q1308" s="95">
        <f t="shared" si="337"/>
        <v>0</v>
      </c>
      <c r="R1308" s="96"/>
      <c r="S1308" s="97">
        <f t="shared" si="338"/>
        <v>0</v>
      </c>
      <c r="T1308" s="98">
        <f t="shared" si="333"/>
        <v>0</v>
      </c>
    </row>
    <row r="1309" spans="2:31" ht="20.100000000000001" customHeight="1">
      <c r="B1309" s="88">
        <v>10</v>
      </c>
      <c r="C1309" s="89" t="s">
        <v>2748</v>
      </c>
      <c r="D1309" s="90" t="s">
        <v>2991</v>
      </c>
      <c r="E1309" s="91" t="s">
        <v>2992</v>
      </c>
      <c r="F1309" s="315">
        <v>36.75</v>
      </c>
      <c r="G1309" s="260"/>
      <c r="H1309" s="260"/>
      <c r="I1309" s="309"/>
      <c r="J1309" s="199"/>
      <c r="K1309" s="269"/>
      <c r="L1309" s="93">
        <f t="shared" si="332"/>
        <v>0</v>
      </c>
      <c r="M1309" s="183"/>
      <c r="N1309" s="95">
        <f t="shared" si="334"/>
        <v>0</v>
      </c>
      <c r="O1309" s="95">
        <f t="shared" si="335"/>
        <v>0</v>
      </c>
      <c r="P1309" s="94">
        <f t="shared" si="336"/>
        <v>0</v>
      </c>
      <c r="Q1309" s="95">
        <f t="shared" si="337"/>
        <v>0</v>
      </c>
      <c r="R1309" s="96"/>
      <c r="S1309" s="97">
        <f t="shared" si="338"/>
        <v>0</v>
      </c>
      <c r="T1309" s="98">
        <f t="shared" si="333"/>
        <v>0</v>
      </c>
    </row>
    <row r="1310" spans="2:31" ht="20.100000000000001" customHeight="1">
      <c r="B1310" s="88">
        <v>10</v>
      </c>
      <c r="C1310" s="89" t="s">
        <v>2748</v>
      </c>
      <c r="D1310" s="90" t="s">
        <v>2993</v>
      </c>
      <c r="E1310" s="91" t="s">
        <v>2994</v>
      </c>
      <c r="F1310" s="315">
        <v>1030</v>
      </c>
      <c r="G1310" s="260"/>
      <c r="H1310" s="260"/>
      <c r="I1310" s="309"/>
      <c r="J1310" s="199"/>
      <c r="K1310" s="269"/>
      <c r="L1310" s="93">
        <f t="shared" si="332"/>
        <v>0</v>
      </c>
      <c r="M1310" s="183"/>
      <c r="N1310" s="95">
        <f t="shared" si="334"/>
        <v>0</v>
      </c>
      <c r="O1310" s="95">
        <f t="shared" si="335"/>
        <v>0</v>
      </c>
      <c r="P1310" s="94">
        <f t="shared" si="336"/>
        <v>0</v>
      </c>
      <c r="Q1310" s="95">
        <f t="shared" si="337"/>
        <v>0</v>
      </c>
      <c r="R1310" s="96"/>
      <c r="S1310" s="97">
        <f t="shared" si="338"/>
        <v>0</v>
      </c>
      <c r="T1310" s="98">
        <f t="shared" si="333"/>
        <v>0</v>
      </c>
    </row>
    <row r="1311" spans="2:31" ht="20.100000000000001" customHeight="1">
      <c r="B1311" s="88">
        <v>10</v>
      </c>
      <c r="C1311" s="89" t="s">
        <v>2748</v>
      </c>
      <c r="D1311" s="90" t="s">
        <v>2995</v>
      </c>
      <c r="E1311" s="91" t="s">
        <v>2996</v>
      </c>
      <c r="F1311" s="315">
        <v>4.8499999999999996</v>
      </c>
      <c r="G1311" s="260">
        <v>48</v>
      </c>
      <c r="H1311" s="260"/>
      <c r="I1311" s="309"/>
      <c r="J1311" s="199"/>
      <c r="K1311" s="269"/>
      <c r="L1311" s="93">
        <f t="shared" si="332"/>
        <v>48</v>
      </c>
      <c r="M1311" s="183">
        <v>48</v>
      </c>
      <c r="N1311" s="95">
        <f t="shared" si="334"/>
        <v>232.79999999999998</v>
      </c>
      <c r="O1311" s="95">
        <f t="shared" si="335"/>
        <v>232.79999999999998</v>
      </c>
      <c r="P1311" s="94">
        <f t="shared" si="336"/>
        <v>0</v>
      </c>
      <c r="Q1311" s="95">
        <f t="shared" si="337"/>
        <v>0</v>
      </c>
      <c r="R1311" s="96"/>
      <c r="S1311" s="97">
        <f t="shared" si="338"/>
        <v>48</v>
      </c>
      <c r="T1311" s="98">
        <f t="shared" si="333"/>
        <v>0</v>
      </c>
      <c r="Y1311">
        <v>48</v>
      </c>
    </row>
    <row r="1312" spans="2:31" ht="27" customHeight="1">
      <c r="B1312" s="88">
        <v>10</v>
      </c>
      <c r="C1312" s="89" t="s">
        <v>2748</v>
      </c>
      <c r="D1312" s="90" t="s">
        <v>2997</v>
      </c>
      <c r="E1312" s="91" t="s">
        <v>2998</v>
      </c>
      <c r="F1312" s="315">
        <v>4.58</v>
      </c>
      <c r="G1312" s="260">
        <v>180</v>
      </c>
      <c r="H1312" s="260"/>
      <c r="I1312" s="309"/>
      <c r="J1312" s="199"/>
      <c r="K1312" s="269"/>
      <c r="L1312" s="93">
        <f t="shared" si="332"/>
        <v>180</v>
      </c>
      <c r="M1312" s="183">
        <v>180</v>
      </c>
      <c r="N1312" s="95">
        <f t="shared" si="334"/>
        <v>824.4</v>
      </c>
      <c r="O1312" s="95">
        <f t="shared" si="335"/>
        <v>824.4</v>
      </c>
      <c r="P1312" s="94">
        <f t="shared" si="336"/>
        <v>0</v>
      </c>
      <c r="Q1312" s="95">
        <f t="shared" si="337"/>
        <v>0</v>
      </c>
      <c r="R1312" s="96"/>
      <c r="S1312" s="97">
        <f t="shared" si="338"/>
        <v>180</v>
      </c>
      <c r="T1312" s="98">
        <f t="shared" si="333"/>
        <v>0</v>
      </c>
      <c r="Y1312">
        <v>180</v>
      </c>
    </row>
    <row r="1313" spans="2:31" ht="20.100000000000001" customHeight="1">
      <c r="B1313" s="88">
        <v>10</v>
      </c>
      <c r="C1313" s="89" t="s">
        <v>2748</v>
      </c>
      <c r="D1313" s="90" t="s">
        <v>2999</v>
      </c>
      <c r="E1313" s="91" t="s">
        <v>3000</v>
      </c>
      <c r="F1313" s="315">
        <v>4.8499999999999996</v>
      </c>
      <c r="G1313" s="260">
        <v>180</v>
      </c>
      <c r="H1313" s="260"/>
      <c r="I1313" s="309"/>
      <c r="J1313" s="199"/>
      <c r="K1313" s="269"/>
      <c r="L1313" s="93">
        <f t="shared" si="332"/>
        <v>180</v>
      </c>
      <c r="M1313" s="183">
        <v>180</v>
      </c>
      <c r="N1313" s="95">
        <f t="shared" si="334"/>
        <v>872.99999999999989</v>
      </c>
      <c r="O1313" s="95">
        <f t="shared" si="335"/>
        <v>872.99999999999989</v>
      </c>
      <c r="P1313" s="94">
        <f t="shared" si="336"/>
        <v>0</v>
      </c>
      <c r="Q1313" s="95">
        <f t="shared" si="337"/>
        <v>0</v>
      </c>
      <c r="R1313" s="96"/>
      <c r="S1313" s="97">
        <f t="shared" si="338"/>
        <v>180</v>
      </c>
      <c r="T1313" s="98">
        <f t="shared" si="333"/>
        <v>0</v>
      </c>
      <c r="Y1313">
        <v>180</v>
      </c>
    </row>
    <row r="1314" spans="2:31" ht="27.75" customHeight="1">
      <c r="B1314" s="88">
        <v>10</v>
      </c>
      <c r="C1314" s="89" t="s">
        <v>2748</v>
      </c>
      <c r="D1314" s="90" t="s">
        <v>3001</v>
      </c>
      <c r="E1314" s="91" t="s">
        <v>3002</v>
      </c>
      <c r="F1314" s="315">
        <v>4.58</v>
      </c>
      <c r="G1314" s="260">
        <v>187</v>
      </c>
      <c r="H1314" s="260"/>
      <c r="I1314" s="309"/>
      <c r="J1314" s="199"/>
      <c r="K1314" s="269"/>
      <c r="L1314" s="93">
        <f t="shared" si="332"/>
        <v>187</v>
      </c>
      <c r="M1314" s="183">
        <f>36+144+7</f>
        <v>187</v>
      </c>
      <c r="N1314" s="95">
        <f t="shared" si="334"/>
        <v>856.46</v>
      </c>
      <c r="O1314" s="95">
        <f t="shared" si="335"/>
        <v>856.46</v>
      </c>
      <c r="P1314" s="94">
        <f t="shared" si="336"/>
        <v>0</v>
      </c>
      <c r="Q1314" s="95">
        <f t="shared" si="337"/>
        <v>0</v>
      </c>
      <c r="R1314" s="96"/>
      <c r="S1314" s="97">
        <f t="shared" si="338"/>
        <v>187</v>
      </c>
      <c r="T1314" s="98">
        <f t="shared" si="333"/>
        <v>0</v>
      </c>
      <c r="Y1314">
        <f>36+144+7</f>
        <v>187</v>
      </c>
    </row>
    <row r="1315" spans="2:31" ht="20.100000000000001" customHeight="1">
      <c r="B1315" s="88">
        <v>10</v>
      </c>
      <c r="C1315" s="89" t="s">
        <v>2748</v>
      </c>
      <c r="D1315" s="90" t="s">
        <v>3003</v>
      </c>
      <c r="E1315" s="91" t="s">
        <v>3004</v>
      </c>
      <c r="F1315" s="315">
        <v>27.45</v>
      </c>
      <c r="G1315" s="260">
        <v>12</v>
      </c>
      <c r="H1315" s="260"/>
      <c r="I1315" s="309"/>
      <c r="J1315" s="199"/>
      <c r="K1315" s="269"/>
      <c r="L1315" s="93">
        <f t="shared" si="332"/>
        <v>12</v>
      </c>
      <c r="M1315" s="183">
        <v>12</v>
      </c>
      <c r="N1315" s="95">
        <f t="shared" si="334"/>
        <v>329.4</v>
      </c>
      <c r="O1315" s="95">
        <f t="shared" si="335"/>
        <v>329.4</v>
      </c>
      <c r="P1315" s="94">
        <f t="shared" si="336"/>
        <v>0</v>
      </c>
      <c r="Q1315" s="95">
        <f t="shared" si="337"/>
        <v>0</v>
      </c>
      <c r="R1315" s="96" t="s">
        <v>821</v>
      </c>
      <c r="S1315" s="97">
        <f t="shared" si="338"/>
        <v>12</v>
      </c>
      <c r="T1315" s="98">
        <f t="shared" si="333"/>
        <v>0</v>
      </c>
      <c r="Y1315">
        <v>12</v>
      </c>
      <c r="Z1315" s="99" t="s">
        <v>3005</v>
      </c>
      <c r="AD1315">
        <f>Y1315</f>
        <v>12</v>
      </c>
      <c r="AE1315" s="100">
        <f>AD1315*F1315</f>
        <v>329.4</v>
      </c>
    </row>
    <row r="1316" spans="2:31" ht="20.100000000000001" customHeight="1">
      <c r="B1316" s="88">
        <v>10</v>
      </c>
      <c r="C1316" s="89" t="s">
        <v>2748</v>
      </c>
      <c r="D1316" s="90" t="s">
        <v>3006</v>
      </c>
      <c r="E1316" s="91" t="s">
        <v>3007</v>
      </c>
      <c r="F1316" s="315">
        <v>27.45</v>
      </c>
      <c r="G1316" s="260"/>
      <c r="H1316" s="260"/>
      <c r="I1316" s="309"/>
      <c r="J1316" s="199"/>
      <c r="K1316" s="269"/>
      <c r="L1316" s="93">
        <f t="shared" si="332"/>
        <v>0</v>
      </c>
      <c r="M1316" s="183"/>
      <c r="N1316" s="95">
        <f t="shared" si="334"/>
        <v>0</v>
      </c>
      <c r="O1316" s="95">
        <f t="shared" si="335"/>
        <v>0</v>
      </c>
      <c r="P1316" s="94">
        <f t="shared" si="336"/>
        <v>0</v>
      </c>
      <c r="Q1316" s="95">
        <f t="shared" si="337"/>
        <v>0</v>
      </c>
      <c r="R1316" s="96"/>
      <c r="S1316" s="97">
        <f t="shared" si="338"/>
        <v>0</v>
      </c>
      <c r="T1316" s="98">
        <f t="shared" si="333"/>
        <v>0</v>
      </c>
    </row>
    <row r="1317" spans="2:31" ht="20.100000000000001" customHeight="1">
      <c r="B1317" s="88">
        <v>10</v>
      </c>
      <c r="C1317" s="89" t="s">
        <v>2748</v>
      </c>
      <c r="D1317" s="90" t="s">
        <v>3008</v>
      </c>
      <c r="E1317" s="91" t="s">
        <v>3009</v>
      </c>
      <c r="F1317" s="315">
        <v>11.17</v>
      </c>
      <c r="G1317" s="260">
        <v>54</v>
      </c>
      <c r="H1317" s="260">
        <v>10</v>
      </c>
      <c r="I1317" s="309"/>
      <c r="J1317" s="199"/>
      <c r="K1317" s="269">
        <v>10</v>
      </c>
      <c r="L1317" s="93">
        <f t="shared" si="332"/>
        <v>54</v>
      </c>
      <c r="M1317" s="183">
        <v>54</v>
      </c>
      <c r="N1317" s="95">
        <f t="shared" si="334"/>
        <v>603.17999999999995</v>
      </c>
      <c r="O1317" s="95">
        <f t="shared" si="335"/>
        <v>603.17999999999995</v>
      </c>
      <c r="P1317" s="94">
        <f t="shared" si="336"/>
        <v>0</v>
      </c>
      <c r="Q1317" s="95">
        <f t="shared" si="337"/>
        <v>0</v>
      </c>
      <c r="R1317" s="278"/>
      <c r="S1317" s="97">
        <f t="shared" si="338"/>
        <v>60</v>
      </c>
      <c r="T1317" s="98">
        <f t="shared" si="333"/>
        <v>-6</v>
      </c>
      <c r="U1317">
        <v>60</v>
      </c>
    </row>
    <row r="1318" spans="2:31" ht="20.100000000000001" customHeight="1">
      <c r="B1318" s="88">
        <v>10</v>
      </c>
      <c r="C1318" s="89" t="s">
        <v>2748</v>
      </c>
      <c r="D1318" s="90" t="s">
        <v>3010</v>
      </c>
      <c r="E1318" s="91" t="s">
        <v>3011</v>
      </c>
      <c r="F1318" s="315">
        <v>25.45</v>
      </c>
      <c r="G1318" s="260"/>
      <c r="H1318" s="260"/>
      <c r="I1318" s="309"/>
      <c r="J1318" s="199"/>
      <c r="K1318" s="269"/>
      <c r="L1318" s="93">
        <f t="shared" si="332"/>
        <v>0</v>
      </c>
      <c r="M1318" s="183"/>
      <c r="N1318" s="95">
        <f t="shared" si="334"/>
        <v>0</v>
      </c>
      <c r="O1318" s="95">
        <f t="shared" si="335"/>
        <v>0</v>
      </c>
      <c r="P1318" s="94">
        <f t="shared" si="336"/>
        <v>0</v>
      </c>
      <c r="Q1318" s="95">
        <f t="shared" si="337"/>
        <v>0</v>
      </c>
      <c r="R1318" s="96"/>
      <c r="S1318" s="97">
        <f t="shared" si="338"/>
        <v>0</v>
      </c>
      <c r="T1318" s="98">
        <f t="shared" si="333"/>
        <v>0</v>
      </c>
    </row>
    <row r="1319" spans="2:31" ht="20.100000000000001" customHeight="1">
      <c r="B1319" s="88">
        <v>10</v>
      </c>
      <c r="C1319" s="89" t="s">
        <v>2748</v>
      </c>
      <c r="D1319" s="90" t="s">
        <v>3012</v>
      </c>
      <c r="E1319" s="91" t="s">
        <v>3013</v>
      </c>
      <c r="F1319" s="315">
        <v>11.17</v>
      </c>
      <c r="G1319" s="260">
        <v>4</v>
      </c>
      <c r="H1319" s="260"/>
      <c r="I1319" s="309"/>
      <c r="J1319" s="199"/>
      <c r="K1319" s="269">
        <v>2</v>
      </c>
      <c r="L1319" s="93">
        <f t="shared" si="332"/>
        <v>2</v>
      </c>
      <c r="M1319" s="183">
        <v>2</v>
      </c>
      <c r="N1319" s="95">
        <f t="shared" si="334"/>
        <v>22.34</v>
      </c>
      <c r="O1319" s="95">
        <f t="shared" si="335"/>
        <v>22.34</v>
      </c>
      <c r="P1319" s="94">
        <f t="shared" si="336"/>
        <v>0</v>
      </c>
      <c r="Q1319" s="95">
        <f t="shared" si="337"/>
        <v>0</v>
      </c>
      <c r="R1319" s="96"/>
      <c r="S1319" s="97">
        <f t="shared" si="338"/>
        <v>6</v>
      </c>
      <c r="T1319" s="98">
        <f t="shared" si="333"/>
        <v>-4</v>
      </c>
      <c r="U1319">
        <v>6</v>
      </c>
    </row>
    <row r="1320" spans="2:31" ht="20.100000000000001" customHeight="1">
      <c r="B1320" s="88">
        <v>10</v>
      </c>
      <c r="C1320" s="89" t="s">
        <v>2748</v>
      </c>
      <c r="D1320" s="90" t="s">
        <v>3014</v>
      </c>
      <c r="E1320" s="91" t="s">
        <v>3015</v>
      </c>
      <c r="F1320" s="315">
        <v>25.45</v>
      </c>
      <c r="G1320" s="260">
        <v>22</v>
      </c>
      <c r="H1320" s="260"/>
      <c r="I1320" s="309"/>
      <c r="J1320" s="199"/>
      <c r="K1320" s="269">
        <v>1</v>
      </c>
      <c r="L1320" s="93">
        <f t="shared" si="332"/>
        <v>21</v>
      </c>
      <c r="M1320" s="183">
        <f>22+1</f>
        <v>23</v>
      </c>
      <c r="N1320" s="95">
        <f t="shared" si="334"/>
        <v>534.44999999999993</v>
      </c>
      <c r="O1320" s="95">
        <f t="shared" si="335"/>
        <v>585.35</v>
      </c>
      <c r="P1320" s="94">
        <f t="shared" si="336"/>
        <v>-2</v>
      </c>
      <c r="Q1320" s="95">
        <f t="shared" si="337"/>
        <v>-50.900000000000091</v>
      </c>
      <c r="R1320" s="278"/>
      <c r="S1320" s="97">
        <f t="shared" si="338"/>
        <v>23</v>
      </c>
      <c r="T1320" s="98">
        <f t="shared" si="333"/>
        <v>0</v>
      </c>
      <c r="U1320">
        <v>1</v>
      </c>
      <c r="Y1320">
        <v>22</v>
      </c>
    </row>
    <row r="1321" spans="2:31" ht="20.100000000000001" customHeight="1">
      <c r="B1321" s="88">
        <v>10</v>
      </c>
      <c r="C1321" s="89" t="s">
        <v>2748</v>
      </c>
      <c r="D1321" s="90" t="s">
        <v>3016</v>
      </c>
      <c r="E1321" s="91" t="s">
        <v>3017</v>
      </c>
      <c r="F1321" s="315">
        <v>21.88</v>
      </c>
      <c r="G1321" s="260">
        <v>23</v>
      </c>
      <c r="H1321" s="260"/>
      <c r="I1321" s="309"/>
      <c r="J1321" s="199"/>
      <c r="K1321" s="269"/>
      <c r="L1321" s="93">
        <f t="shared" si="332"/>
        <v>23</v>
      </c>
      <c r="M1321" s="183">
        <v>23</v>
      </c>
      <c r="N1321" s="95">
        <f t="shared" si="334"/>
        <v>503.23999999999995</v>
      </c>
      <c r="O1321" s="95">
        <f t="shared" si="335"/>
        <v>503.23999999999995</v>
      </c>
      <c r="P1321" s="94">
        <f t="shared" si="336"/>
        <v>0</v>
      </c>
      <c r="Q1321" s="95">
        <f t="shared" si="337"/>
        <v>0</v>
      </c>
      <c r="R1321" s="96"/>
      <c r="S1321" s="97">
        <f t="shared" si="338"/>
        <v>23</v>
      </c>
      <c r="T1321" s="98">
        <f t="shared" si="333"/>
        <v>0</v>
      </c>
      <c r="Y1321">
        <v>23</v>
      </c>
    </row>
    <row r="1322" spans="2:31" ht="20.100000000000001" customHeight="1">
      <c r="B1322" s="88">
        <v>10</v>
      </c>
      <c r="C1322" s="89" t="s">
        <v>2748</v>
      </c>
      <c r="D1322" s="90" t="s">
        <v>3018</v>
      </c>
      <c r="E1322" s="91" t="s">
        <v>3019</v>
      </c>
      <c r="F1322" s="315">
        <v>11.17</v>
      </c>
      <c r="G1322" s="260"/>
      <c r="H1322" s="260"/>
      <c r="I1322" s="309"/>
      <c r="J1322" s="199"/>
      <c r="K1322" s="269"/>
      <c r="L1322" s="93">
        <f t="shared" si="332"/>
        <v>0</v>
      </c>
      <c r="M1322" s="183"/>
      <c r="N1322" s="95">
        <f t="shared" si="334"/>
        <v>0</v>
      </c>
      <c r="O1322" s="95">
        <f t="shared" si="335"/>
        <v>0</v>
      </c>
      <c r="P1322" s="94">
        <f t="shared" si="336"/>
        <v>0</v>
      </c>
      <c r="Q1322" s="95">
        <f t="shared" si="337"/>
        <v>0</v>
      </c>
      <c r="R1322" s="96"/>
      <c r="S1322" s="97">
        <f t="shared" si="338"/>
        <v>0</v>
      </c>
      <c r="T1322" s="98">
        <f t="shared" si="333"/>
        <v>0</v>
      </c>
    </row>
    <row r="1323" spans="2:31" ht="20.100000000000001" customHeight="1">
      <c r="B1323" s="88">
        <v>10</v>
      </c>
      <c r="C1323" s="89" t="s">
        <v>2748</v>
      </c>
      <c r="D1323" s="90" t="s">
        <v>3020</v>
      </c>
      <c r="E1323" s="91" t="s">
        <v>3021</v>
      </c>
      <c r="F1323" s="315">
        <v>5.41</v>
      </c>
      <c r="G1323" s="260">
        <v>3</v>
      </c>
      <c r="H1323" s="260"/>
      <c r="I1323" s="309"/>
      <c r="J1323" s="199"/>
      <c r="K1323" s="269">
        <v>3</v>
      </c>
      <c r="L1323" s="93">
        <f t="shared" si="332"/>
        <v>0</v>
      </c>
      <c r="M1323" s="183">
        <v>2</v>
      </c>
      <c r="N1323" s="95">
        <f t="shared" si="334"/>
        <v>0</v>
      </c>
      <c r="O1323" s="95">
        <f t="shared" si="335"/>
        <v>10.82</v>
      </c>
      <c r="P1323" s="94">
        <f t="shared" si="336"/>
        <v>-2</v>
      </c>
      <c r="Q1323" s="95">
        <f t="shared" si="337"/>
        <v>-10.82</v>
      </c>
      <c r="R1323" s="278"/>
      <c r="S1323" s="97">
        <f t="shared" si="338"/>
        <v>9</v>
      </c>
      <c r="T1323" s="98">
        <f t="shared" si="333"/>
        <v>-7</v>
      </c>
      <c r="U1323">
        <v>9</v>
      </c>
    </row>
    <row r="1324" spans="2:31" ht="20.100000000000001" customHeight="1">
      <c r="B1324" s="88">
        <v>10</v>
      </c>
      <c r="C1324" s="89" t="s">
        <v>2748</v>
      </c>
      <c r="D1324" s="90" t="s">
        <v>3022</v>
      </c>
      <c r="E1324" s="91" t="s">
        <v>3023</v>
      </c>
      <c r="F1324" s="315">
        <v>5.41</v>
      </c>
      <c r="G1324" s="260">
        <v>109</v>
      </c>
      <c r="H1324" s="260"/>
      <c r="I1324" s="309"/>
      <c r="J1324" s="199"/>
      <c r="K1324" s="269"/>
      <c r="L1324" s="93">
        <f t="shared" si="332"/>
        <v>109</v>
      </c>
      <c r="M1324" s="183">
        <v>108</v>
      </c>
      <c r="N1324" s="95">
        <f t="shared" si="334"/>
        <v>589.69000000000005</v>
      </c>
      <c r="O1324" s="95">
        <f t="shared" si="335"/>
        <v>584.28</v>
      </c>
      <c r="P1324" s="94">
        <f t="shared" si="336"/>
        <v>1</v>
      </c>
      <c r="Q1324" s="95">
        <f t="shared" si="337"/>
        <v>5.4100000000000819</v>
      </c>
      <c r="R1324" s="96"/>
      <c r="S1324" s="97">
        <f t="shared" si="338"/>
        <v>109</v>
      </c>
      <c r="T1324" s="98">
        <f t="shared" si="333"/>
        <v>-1</v>
      </c>
      <c r="U1324">
        <v>1</v>
      </c>
      <c r="Y1324">
        <v>108</v>
      </c>
    </row>
    <row r="1325" spans="2:31" ht="20.100000000000001" customHeight="1">
      <c r="B1325" s="88">
        <v>10</v>
      </c>
      <c r="C1325" s="89" t="s">
        <v>2748</v>
      </c>
      <c r="D1325" s="90" t="s">
        <v>3024</v>
      </c>
      <c r="E1325" s="91" t="s">
        <v>3025</v>
      </c>
      <c r="F1325" s="315">
        <v>5.41</v>
      </c>
      <c r="G1325" s="260">
        <v>213</v>
      </c>
      <c r="H1325" s="260"/>
      <c r="I1325" s="309"/>
      <c r="J1325" s="199"/>
      <c r="K1325" s="269">
        <v>6</v>
      </c>
      <c r="L1325" s="93">
        <f t="shared" si="332"/>
        <v>207</v>
      </c>
      <c r="M1325" s="183">
        <f>88+108+8</f>
        <v>204</v>
      </c>
      <c r="N1325" s="95">
        <f t="shared" si="334"/>
        <v>1119.8700000000001</v>
      </c>
      <c r="O1325" s="95">
        <f t="shared" si="335"/>
        <v>1103.6400000000001</v>
      </c>
      <c r="P1325" s="94">
        <f t="shared" si="336"/>
        <v>3</v>
      </c>
      <c r="Q1325" s="95">
        <f t="shared" si="337"/>
        <v>16.230000000000018</v>
      </c>
      <c r="R1325" s="96"/>
      <c r="S1325" s="97">
        <f t="shared" si="338"/>
        <v>211</v>
      </c>
      <c r="T1325" s="98">
        <f t="shared" si="333"/>
        <v>-7</v>
      </c>
      <c r="U1325">
        <f>95+8</f>
        <v>103</v>
      </c>
      <c r="Y1325">
        <v>108</v>
      </c>
    </row>
    <row r="1326" spans="2:31" ht="20.100000000000001" customHeight="1">
      <c r="B1326" s="88">
        <v>10</v>
      </c>
      <c r="C1326" s="89" t="s">
        <v>2748</v>
      </c>
      <c r="D1326" s="90" t="s">
        <v>3026</v>
      </c>
      <c r="E1326" s="91" t="s">
        <v>3027</v>
      </c>
      <c r="F1326" s="315">
        <v>5.41</v>
      </c>
      <c r="G1326" s="260">
        <v>955</v>
      </c>
      <c r="H1326" s="260"/>
      <c r="I1326" s="309"/>
      <c r="J1326" s="199"/>
      <c r="K1326" s="269">
        <v>32</v>
      </c>
      <c r="L1326" s="93">
        <f t="shared" si="332"/>
        <v>923</v>
      </c>
      <c r="M1326" s="183">
        <v>923</v>
      </c>
      <c r="N1326" s="95">
        <f t="shared" si="334"/>
        <v>4993.43</v>
      </c>
      <c r="O1326" s="95">
        <f t="shared" si="335"/>
        <v>4993.43</v>
      </c>
      <c r="P1326" s="94">
        <f t="shared" si="336"/>
        <v>0</v>
      </c>
      <c r="Q1326" s="95">
        <f t="shared" si="337"/>
        <v>0</v>
      </c>
      <c r="R1326" s="96"/>
      <c r="S1326" s="97">
        <f t="shared" si="338"/>
        <v>973</v>
      </c>
      <c r="T1326" s="98">
        <f t="shared" si="333"/>
        <v>-50</v>
      </c>
      <c r="U1326">
        <v>265</v>
      </c>
      <c r="Y1326">
        <f>354+354</f>
        <v>708</v>
      </c>
    </row>
    <row r="1327" spans="2:31" ht="20.100000000000001" customHeight="1">
      <c r="B1327" s="88">
        <v>10</v>
      </c>
      <c r="C1327" s="89" t="s">
        <v>2748</v>
      </c>
      <c r="D1327" s="90" t="s">
        <v>3026</v>
      </c>
      <c r="E1327" s="91" t="s">
        <v>3027</v>
      </c>
      <c r="F1327" s="315">
        <v>5.41</v>
      </c>
      <c r="G1327" s="260"/>
      <c r="H1327" s="260"/>
      <c r="I1327" s="309"/>
      <c r="J1327" s="199"/>
      <c r="K1327" s="269"/>
      <c r="L1327" s="93">
        <f t="shared" si="332"/>
        <v>0</v>
      </c>
      <c r="M1327" s="183"/>
      <c r="N1327" s="95">
        <f t="shared" si="334"/>
        <v>0</v>
      </c>
      <c r="O1327" s="95">
        <f t="shared" si="335"/>
        <v>0</v>
      </c>
      <c r="P1327" s="94">
        <f t="shared" si="336"/>
        <v>0</v>
      </c>
      <c r="Q1327" s="95">
        <f t="shared" si="337"/>
        <v>0</v>
      </c>
      <c r="R1327" s="96"/>
      <c r="S1327" s="97">
        <f t="shared" si="338"/>
        <v>0</v>
      </c>
      <c r="T1327" s="98">
        <f t="shared" si="333"/>
        <v>0</v>
      </c>
    </row>
    <row r="1328" spans="2:31" ht="20.100000000000001" customHeight="1">
      <c r="B1328" s="88">
        <v>10</v>
      </c>
      <c r="C1328" s="89" t="s">
        <v>2748</v>
      </c>
      <c r="D1328" s="90" t="s">
        <v>3028</v>
      </c>
      <c r="E1328" s="91" t="s">
        <v>3029</v>
      </c>
      <c r="F1328" s="315">
        <v>27.03</v>
      </c>
      <c r="G1328" s="260"/>
      <c r="H1328" s="260"/>
      <c r="I1328" s="309"/>
      <c r="J1328" s="199"/>
      <c r="K1328" s="269"/>
      <c r="L1328" s="93">
        <f t="shared" si="332"/>
        <v>0</v>
      </c>
      <c r="M1328" s="183"/>
      <c r="N1328" s="95">
        <f t="shared" si="334"/>
        <v>0</v>
      </c>
      <c r="O1328" s="95">
        <f t="shared" si="335"/>
        <v>0</v>
      </c>
      <c r="P1328" s="94">
        <f t="shared" si="336"/>
        <v>0</v>
      </c>
      <c r="Q1328" s="95">
        <f t="shared" si="337"/>
        <v>0</v>
      </c>
      <c r="R1328" s="96"/>
      <c r="S1328" s="97">
        <f t="shared" si="338"/>
        <v>0</v>
      </c>
      <c r="T1328" s="98">
        <f t="shared" si="333"/>
        <v>0</v>
      </c>
    </row>
    <row r="1329" spans="2:25" ht="20.100000000000001" customHeight="1">
      <c r="B1329" s="88">
        <v>10</v>
      </c>
      <c r="C1329" s="89" t="s">
        <v>2748</v>
      </c>
      <c r="D1329" s="90" t="s">
        <v>3030</v>
      </c>
      <c r="E1329" s="91" t="s">
        <v>3031</v>
      </c>
      <c r="F1329" s="315">
        <v>5.41</v>
      </c>
      <c r="G1329" s="260">
        <v>108</v>
      </c>
      <c r="H1329" s="260"/>
      <c r="I1329" s="309"/>
      <c r="J1329" s="199"/>
      <c r="K1329" s="269"/>
      <c r="L1329" s="93">
        <f t="shared" si="332"/>
        <v>108</v>
      </c>
      <c r="M1329" s="183">
        <f>108+1</f>
        <v>109</v>
      </c>
      <c r="N1329" s="95">
        <f t="shared" si="334"/>
        <v>584.28</v>
      </c>
      <c r="O1329" s="95">
        <f t="shared" si="335"/>
        <v>589.69000000000005</v>
      </c>
      <c r="P1329" s="94">
        <f t="shared" si="336"/>
        <v>-1</v>
      </c>
      <c r="Q1329" s="95">
        <f t="shared" si="337"/>
        <v>-5.4100000000000819</v>
      </c>
      <c r="R1329" s="96"/>
      <c r="S1329" s="97">
        <f t="shared" si="338"/>
        <v>108</v>
      </c>
      <c r="T1329" s="98">
        <f t="shared" si="333"/>
        <v>1</v>
      </c>
      <c r="Y1329">
        <v>108</v>
      </c>
    </row>
    <row r="1330" spans="2:25" ht="20.100000000000001" customHeight="1">
      <c r="B1330" s="88">
        <v>10</v>
      </c>
      <c r="C1330" s="89" t="s">
        <v>2748</v>
      </c>
      <c r="D1330" s="90" t="s">
        <v>3032</v>
      </c>
      <c r="E1330" s="91" t="s">
        <v>3033</v>
      </c>
      <c r="F1330" s="315">
        <v>6.37</v>
      </c>
      <c r="G1330" s="260">
        <f>102+5</f>
        <v>107</v>
      </c>
      <c r="H1330" s="260">
        <v>30</v>
      </c>
      <c r="I1330" s="309"/>
      <c r="J1330" s="199"/>
      <c r="K1330" s="269">
        <v>73</v>
      </c>
      <c r="L1330" s="93">
        <f t="shared" si="332"/>
        <v>64</v>
      </c>
      <c r="M1330" s="183">
        <v>54</v>
      </c>
      <c r="N1330" s="95">
        <f t="shared" si="334"/>
        <v>407.68</v>
      </c>
      <c r="O1330" s="95">
        <f t="shared" si="335"/>
        <v>343.98</v>
      </c>
      <c r="P1330" s="94">
        <f t="shared" si="336"/>
        <v>10</v>
      </c>
      <c r="Q1330" s="95">
        <f t="shared" si="337"/>
        <v>63.699999999999989</v>
      </c>
      <c r="R1330" s="278"/>
      <c r="S1330" s="97">
        <f t="shared" si="338"/>
        <v>152</v>
      </c>
      <c r="T1330" s="98">
        <f t="shared" si="333"/>
        <v>-98</v>
      </c>
      <c r="U1330">
        <v>152</v>
      </c>
    </row>
    <row r="1331" spans="2:25" ht="20.100000000000001" customHeight="1">
      <c r="B1331" s="88">
        <v>10</v>
      </c>
      <c r="C1331" s="89" t="s">
        <v>2748</v>
      </c>
      <c r="D1331" s="90" t="s">
        <v>3034</v>
      </c>
      <c r="E1331" s="91" t="s">
        <v>3035</v>
      </c>
      <c r="F1331" s="315">
        <v>5.41</v>
      </c>
      <c r="G1331" s="260">
        <v>196</v>
      </c>
      <c r="H1331" s="260"/>
      <c r="I1331" s="309"/>
      <c r="J1331" s="199"/>
      <c r="K1331" s="269"/>
      <c r="L1331" s="93">
        <f t="shared" si="332"/>
        <v>196</v>
      </c>
      <c r="M1331" s="183">
        <f>90+108+1</f>
        <v>199</v>
      </c>
      <c r="N1331" s="95">
        <f t="shared" si="334"/>
        <v>1060.3600000000001</v>
      </c>
      <c r="O1331" s="95">
        <f t="shared" si="335"/>
        <v>1076.5899999999999</v>
      </c>
      <c r="P1331" s="94">
        <f t="shared" si="336"/>
        <v>-3</v>
      </c>
      <c r="Q1331" s="95">
        <f t="shared" si="337"/>
        <v>-16.229999999999791</v>
      </c>
      <c r="R1331" s="96"/>
      <c r="S1331" s="97">
        <f t="shared" si="338"/>
        <v>78</v>
      </c>
      <c r="T1331" s="98">
        <f t="shared" si="333"/>
        <v>121</v>
      </c>
      <c r="U1331">
        <v>78</v>
      </c>
    </row>
    <row r="1332" spans="2:25" ht="20.100000000000001" customHeight="1">
      <c r="B1332" s="88">
        <v>10</v>
      </c>
      <c r="C1332" s="89" t="s">
        <v>2748</v>
      </c>
      <c r="D1332" s="90" t="s">
        <v>3036</v>
      </c>
      <c r="E1332" s="91" t="s">
        <v>3037</v>
      </c>
      <c r="F1332" s="315">
        <v>6.37</v>
      </c>
      <c r="G1332" s="260">
        <f>650</f>
        <v>650</v>
      </c>
      <c r="H1332" s="260">
        <v>30</v>
      </c>
      <c r="I1332" s="309"/>
      <c r="J1332" s="199"/>
      <c r="K1332" s="269">
        <v>32</v>
      </c>
      <c r="L1332" s="93">
        <f t="shared" si="332"/>
        <v>648</v>
      </c>
      <c r="M1332" s="183">
        <f>162+486</f>
        <v>648</v>
      </c>
      <c r="N1332" s="95">
        <f t="shared" si="334"/>
        <v>4127.76</v>
      </c>
      <c r="O1332" s="95">
        <f t="shared" si="335"/>
        <v>4127.76</v>
      </c>
      <c r="P1332" s="94">
        <f t="shared" si="336"/>
        <v>0</v>
      </c>
      <c r="Q1332" s="95">
        <f t="shared" si="337"/>
        <v>0</v>
      </c>
      <c r="R1332" s="278"/>
      <c r="S1332" s="97">
        <f t="shared" si="338"/>
        <v>660</v>
      </c>
      <c r="T1332" s="98">
        <f t="shared" si="333"/>
        <v>-12</v>
      </c>
      <c r="U1332">
        <v>174</v>
      </c>
      <c r="Y1332">
        <v>486</v>
      </c>
    </row>
    <row r="1333" spans="2:25" ht="20.100000000000001" customHeight="1">
      <c r="B1333" s="88">
        <v>10</v>
      </c>
      <c r="C1333" s="89" t="s">
        <v>2748</v>
      </c>
      <c r="D1333" s="90" t="s">
        <v>3038</v>
      </c>
      <c r="E1333" s="91" t="s">
        <v>3039</v>
      </c>
      <c r="F1333" s="315">
        <v>6.37</v>
      </c>
      <c r="G1333" s="260">
        <v>120</v>
      </c>
      <c r="H1333" s="260">
        <v>60</v>
      </c>
      <c r="I1333" s="309"/>
      <c r="J1333" s="199"/>
      <c r="K1333" s="269">
        <v>60</v>
      </c>
      <c r="L1333" s="93">
        <f t="shared" ref="L1333:L1393" si="339">G1333+I1333-J1333-K1333+H1333</f>
        <v>120</v>
      </c>
      <c r="M1333" s="183">
        <v>120</v>
      </c>
      <c r="N1333" s="95">
        <f t="shared" si="334"/>
        <v>764.4</v>
      </c>
      <c r="O1333" s="95">
        <f t="shared" si="335"/>
        <v>764.4</v>
      </c>
      <c r="P1333" s="94">
        <f t="shared" si="336"/>
        <v>0</v>
      </c>
      <c r="Q1333" s="95">
        <f t="shared" si="337"/>
        <v>0</v>
      </c>
      <c r="R1333" s="278"/>
      <c r="S1333" s="97">
        <f t="shared" si="338"/>
        <v>122</v>
      </c>
      <c r="T1333" s="98">
        <f t="shared" si="333"/>
        <v>-2</v>
      </c>
      <c r="U1333">
        <v>2</v>
      </c>
      <c r="Y1333">
        <v>120</v>
      </c>
    </row>
    <row r="1334" spans="2:25" ht="20.100000000000001" customHeight="1">
      <c r="B1334" s="88">
        <v>10</v>
      </c>
      <c r="C1334" s="89" t="s">
        <v>2748</v>
      </c>
      <c r="D1334" s="90" t="s">
        <v>3040</v>
      </c>
      <c r="E1334" s="91" t="s">
        <v>3041</v>
      </c>
      <c r="F1334" s="315">
        <v>37.5</v>
      </c>
      <c r="G1334" s="260">
        <v>33</v>
      </c>
      <c r="H1334" s="260"/>
      <c r="I1334" s="309"/>
      <c r="J1334" s="199"/>
      <c r="K1334" s="269"/>
      <c r="L1334" s="93">
        <f t="shared" si="339"/>
        <v>33</v>
      </c>
      <c r="M1334" s="183">
        <v>33</v>
      </c>
      <c r="N1334" s="95">
        <f t="shared" si="334"/>
        <v>1237.5</v>
      </c>
      <c r="O1334" s="95">
        <f t="shared" si="335"/>
        <v>1237.5</v>
      </c>
      <c r="P1334" s="94">
        <f t="shared" si="336"/>
        <v>0</v>
      </c>
      <c r="Q1334" s="95">
        <f t="shared" si="337"/>
        <v>0</v>
      </c>
      <c r="R1334" s="96"/>
      <c r="S1334" s="97">
        <f t="shared" si="338"/>
        <v>37</v>
      </c>
      <c r="T1334" s="98">
        <f t="shared" si="333"/>
        <v>-4</v>
      </c>
      <c r="U1334">
        <v>37</v>
      </c>
    </row>
    <row r="1335" spans="2:25" ht="20.100000000000001" customHeight="1">
      <c r="B1335" s="88">
        <v>10</v>
      </c>
      <c r="C1335" s="89" t="s">
        <v>2748</v>
      </c>
      <c r="D1335" s="90" t="s">
        <v>3040</v>
      </c>
      <c r="E1335" s="91" t="s">
        <v>3041</v>
      </c>
      <c r="F1335" s="315">
        <v>38.25</v>
      </c>
      <c r="G1335" s="260"/>
      <c r="H1335" s="260"/>
      <c r="I1335" s="309"/>
      <c r="J1335" s="199"/>
      <c r="K1335" s="269"/>
      <c r="L1335" s="93">
        <f t="shared" si="339"/>
        <v>0</v>
      </c>
      <c r="M1335" s="183"/>
      <c r="N1335" s="95">
        <f t="shared" si="334"/>
        <v>0</v>
      </c>
      <c r="O1335" s="95">
        <f t="shared" si="335"/>
        <v>0</v>
      </c>
      <c r="P1335" s="94">
        <f t="shared" si="336"/>
        <v>0</v>
      </c>
      <c r="Q1335" s="95">
        <f t="shared" si="337"/>
        <v>0</v>
      </c>
      <c r="R1335" s="96"/>
      <c r="S1335" s="97">
        <f t="shared" si="338"/>
        <v>0</v>
      </c>
      <c r="T1335" s="98">
        <f t="shared" ref="T1335:T1386" si="340">M1335-S1335</f>
        <v>0</v>
      </c>
    </row>
    <row r="1336" spans="2:25" ht="20.100000000000001" customHeight="1">
      <c r="B1336" s="88">
        <v>10</v>
      </c>
      <c r="C1336" s="89" t="s">
        <v>2748</v>
      </c>
      <c r="D1336" s="90" t="s">
        <v>3042</v>
      </c>
      <c r="E1336" s="91" t="s">
        <v>3043</v>
      </c>
      <c r="F1336" s="315">
        <v>6.37</v>
      </c>
      <c r="G1336" s="260"/>
      <c r="H1336" s="260">
        <v>60</v>
      </c>
      <c r="I1336" s="309"/>
      <c r="J1336" s="199"/>
      <c r="K1336" s="269">
        <v>60</v>
      </c>
      <c r="L1336" s="93">
        <f t="shared" si="339"/>
        <v>0</v>
      </c>
      <c r="M1336" s="183"/>
      <c r="N1336" s="95">
        <f t="shared" ref="N1336:N1387" si="341">F1336*L1336</f>
        <v>0</v>
      </c>
      <c r="O1336" s="95">
        <f t="shared" ref="O1336:O1387" si="342">M1336*F1336</f>
        <v>0</v>
      </c>
      <c r="P1336" s="94">
        <f t="shared" ref="P1336:P1387" si="343">L1336-M1336</f>
        <v>0</v>
      </c>
      <c r="Q1336" s="95">
        <f t="shared" ref="Q1336:Q1387" si="344">N1336-O1336</f>
        <v>0</v>
      </c>
      <c r="R1336" s="278"/>
      <c r="S1336" s="97">
        <f t="shared" ref="S1336:S1387" si="345">U1336+Y1336+W1336+AA1336</f>
        <v>0</v>
      </c>
      <c r="T1336" s="98">
        <f t="shared" si="340"/>
        <v>0</v>
      </c>
    </row>
    <row r="1337" spans="2:25" ht="20.100000000000001" customHeight="1">
      <c r="B1337" s="88">
        <v>10</v>
      </c>
      <c r="C1337" s="89" t="s">
        <v>2748</v>
      </c>
      <c r="D1337" s="90" t="s">
        <v>3044</v>
      </c>
      <c r="E1337" s="91" t="s">
        <v>3045</v>
      </c>
      <c r="F1337" s="315">
        <v>6.37</v>
      </c>
      <c r="G1337" s="260">
        <v>707</v>
      </c>
      <c r="H1337" s="260">
        <v>102</v>
      </c>
      <c r="I1337" s="309"/>
      <c r="J1337" s="199"/>
      <c r="K1337" s="269">
        <v>119</v>
      </c>
      <c r="L1337" s="93">
        <f t="shared" si="339"/>
        <v>690</v>
      </c>
      <c r="M1337" s="183">
        <f>261+428+1</f>
        <v>690</v>
      </c>
      <c r="N1337" s="95">
        <f t="shared" si="341"/>
        <v>4395.3</v>
      </c>
      <c r="O1337" s="95">
        <f t="shared" si="342"/>
        <v>4395.3</v>
      </c>
      <c r="P1337" s="94">
        <f t="shared" si="343"/>
        <v>0</v>
      </c>
      <c r="Q1337" s="95">
        <f t="shared" si="344"/>
        <v>0</v>
      </c>
      <c r="R1337" s="278"/>
      <c r="S1337" s="97">
        <f t="shared" si="345"/>
        <v>716</v>
      </c>
      <c r="T1337" s="98">
        <f t="shared" si="340"/>
        <v>-26</v>
      </c>
      <c r="U1337">
        <f>12+276</f>
        <v>288</v>
      </c>
      <c r="Y1337">
        <v>428</v>
      </c>
    </row>
    <row r="1338" spans="2:25" ht="20.100000000000001" customHeight="1">
      <c r="B1338" s="88">
        <v>10</v>
      </c>
      <c r="C1338" s="89" t="s">
        <v>2748</v>
      </c>
      <c r="D1338" s="90" t="s">
        <v>3046</v>
      </c>
      <c r="E1338" s="91" t="s">
        <v>3047</v>
      </c>
      <c r="F1338" s="315">
        <v>37.5</v>
      </c>
      <c r="G1338" s="260">
        <v>39</v>
      </c>
      <c r="H1338" s="260"/>
      <c r="I1338" s="309"/>
      <c r="J1338" s="199"/>
      <c r="K1338" s="269">
        <v>1</v>
      </c>
      <c r="L1338" s="93">
        <f t="shared" si="339"/>
        <v>38</v>
      </c>
      <c r="M1338" s="183">
        <v>38</v>
      </c>
      <c r="N1338" s="95">
        <f t="shared" si="341"/>
        <v>1425</v>
      </c>
      <c r="O1338" s="95">
        <f t="shared" si="342"/>
        <v>1425</v>
      </c>
      <c r="P1338" s="94">
        <f t="shared" si="343"/>
        <v>0</v>
      </c>
      <c r="Q1338" s="95">
        <f t="shared" si="344"/>
        <v>0</v>
      </c>
      <c r="R1338" s="96"/>
      <c r="S1338" s="97">
        <f t="shared" si="345"/>
        <v>59</v>
      </c>
      <c r="T1338" s="98">
        <f t="shared" si="340"/>
        <v>-21</v>
      </c>
      <c r="U1338">
        <v>39</v>
      </c>
      <c r="Y1338">
        <v>20</v>
      </c>
    </row>
    <row r="1339" spans="2:25" ht="20.100000000000001" customHeight="1">
      <c r="B1339" s="88">
        <v>10</v>
      </c>
      <c r="C1339" s="89" t="s">
        <v>2748</v>
      </c>
      <c r="D1339" s="90" t="s">
        <v>3048</v>
      </c>
      <c r="E1339" s="91" t="s">
        <v>3049</v>
      </c>
      <c r="F1339" s="315">
        <v>6.37</v>
      </c>
      <c r="G1339" s="260">
        <f>954+4</f>
        <v>958</v>
      </c>
      <c r="H1339" s="260">
        <v>22</v>
      </c>
      <c r="I1339" s="309"/>
      <c r="J1339" s="199"/>
      <c r="K1339" s="269">
        <v>25</v>
      </c>
      <c r="L1339" s="93">
        <f t="shared" si="339"/>
        <v>955</v>
      </c>
      <c r="M1339" s="183">
        <f>1+954</f>
        <v>955</v>
      </c>
      <c r="N1339" s="95">
        <f t="shared" si="341"/>
        <v>6083.35</v>
      </c>
      <c r="O1339" s="95">
        <f t="shared" si="342"/>
        <v>6083.35</v>
      </c>
      <c r="P1339" s="94">
        <f t="shared" si="343"/>
        <v>0</v>
      </c>
      <c r="Q1339" s="95">
        <f t="shared" si="344"/>
        <v>0</v>
      </c>
      <c r="R1339" s="278"/>
      <c r="S1339" s="97">
        <f t="shared" si="345"/>
        <v>957</v>
      </c>
      <c r="T1339" s="98">
        <f t="shared" si="340"/>
        <v>-2</v>
      </c>
      <c r="U1339">
        <v>3</v>
      </c>
      <c r="Y1339">
        <v>954</v>
      </c>
    </row>
    <row r="1340" spans="2:25" ht="20.100000000000001" customHeight="1">
      <c r="B1340" s="88">
        <v>10</v>
      </c>
      <c r="C1340" s="89" t="s">
        <v>2748</v>
      </c>
      <c r="D1340" s="90" t="s">
        <v>3050</v>
      </c>
      <c r="E1340" s="91" t="s">
        <v>3051</v>
      </c>
      <c r="F1340" s="315">
        <v>6.37</v>
      </c>
      <c r="G1340" s="260">
        <v>360</v>
      </c>
      <c r="H1340" s="260">
        <v>107</v>
      </c>
      <c r="I1340" s="309"/>
      <c r="J1340" s="199"/>
      <c r="K1340" s="269">
        <v>155</v>
      </c>
      <c r="L1340" s="93">
        <f t="shared" si="339"/>
        <v>312</v>
      </c>
      <c r="M1340" s="183">
        <f>24+288</f>
        <v>312</v>
      </c>
      <c r="N1340" s="95">
        <f t="shared" si="341"/>
        <v>1987.44</v>
      </c>
      <c r="O1340" s="95">
        <f t="shared" si="342"/>
        <v>1987.44</v>
      </c>
      <c r="P1340" s="94">
        <f t="shared" si="343"/>
        <v>0</v>
      </c>
      <c r="Q1340" s="95">
        <f t="shared" si="344"/>
        <v>0</v>
      </c>
      <c r="R1340" s="278"/>
      <c r="S1340" s="97">
        <f t="shared" si="345"/>
        <v>288</v>
      </c>
      <c r="T1340" s="98">
        <f t="shared" si="340"/>
        <v>24</v>
      </c>
      <c r="Y1340">
        <v>288</v>
      </c>
    </row>
    <row r="1341" spans="2:25" ht="20.100000000000001" customHeight="1">
      <c r="B1341" s="88">
        <v>10</v>
      </c>
      <c r="C1341" s="89" t="s">
        <v>2748</v>
      </c>
      <c r="D1341" s="90" t="s">
        <v>3052</v>
      </c>
      <c r="E1341" s="91" t="s">
        <v>3053</v>
      </c>
      <c r="F1341" s="315">
        <v>37.5</v>
      </c>
      <c r="G1341" s="260">
        <v>17</v>
      </c>
      <c r="H1341" s="260">
        <v>3</v>
      </c>
      <c r="I1341" s="309"/>
      <c r="J1341" s="199"/>
      <c r="K1341" s="269">
        <v>3</v>
      </c>
      <c r="L1341" s="93">
        <f t="shared" si="339"/>
        <v>17</v>
      </c>
      <c r="M1341" s="183">
        <v>17</v>
      </c>
      <c r="N1341" s="95">
        <f t="shared" si="341"/>
        <v>637.5</v>
      </c>
      <c r="O1341" s="95">
        <f t="shared" si="342"/>
        <v>637.5</v>
      </c>
      <c r="P1341" s="94">
        <f t="shared" si="343"/>
        <v>0</v>
      </c>
      <c r="Q1341" s="95">
        <f t="shared" si="344"/>
        <v>0</v>
      </c>
      <c r="R1341" s="96"/>
      <c r="S1341" s="97">
        <f t="shared" si="345"/>
        <v>20</v>
      </c>
      <c r="T1341" s="98">
        <f t="shared" si="340"/>
        <v>-3</v>
      </c>
      <c r="Y1341">
        <v>20</v>
      </c>
    </row>
    <row r="1342" spans="2:25" ht="20.100000000000001" customHeight="1">
      <c r="B1342" s="88">
        <v>10</v>
      </c>
      <c r="C1342" s="89" t="s">
        <v>2748</v>
      </c>
      <c r="D1342" s="90" t="s">
        <v>3054</v>
      </c>
      <c r="E1342" s="91" t="s">
        <v>3055</v>
      </c>
      <c r="F1342" s="315">
        <v>27.25</v>
      </c>
      <c r="G1342" s="260">
        <v>57</v>
      </c>
      <c r="H1342" s="260"/>
      <c r="I1342" s="309"/>
      <c r="J1342" s="199"/>
      <c r="K1342" s="269"/>
      <c r="L1342" s="93">
        <f t="shared" si="339"/>
        <v>57</v>
      </c>
      <c r="M1342" s="183">
        <v>57</v>
      </c>
      <c r="N1342" s="95">
        <f t="shared" si="341"/>
        <v>1553.25</v>
      </c>
      <c r="O1342" s="95">
        <f t="shared" si="342"/>
        <v>1553.25</v>
      </c>
      <c r="P1342" s="94">
        <f t="shared" si="343"/>
        <v>0</v>
      </c>
      <c r="Q1342" s="95">
        <f t="shared" si="344"/>
        <v>0</v>
      </c>
      <c r="R1342" s="96"/>
      <c r="S1342" s="97">
        <f t="shared" si="345"/>
        <v>57</v>
      </c>
      <c r="T1342" s="98">
        <f t="shared" si="340"/>
        <v>0</v>
      </c>
      <c r="U1342">
        <v>57</v>
      </c>
    </row>
    <row r="1343" spans="2:25" ht="20.100000000000001" customHeight="1">
      <c r="B1343" s="88">
        <v>10</v>
      </c>
      <c r="C1343" s="89" t="s">
        <v>2748</v>
      </c>
      <c r="D1343" s="90" t="s">
        <v>3056</v>
      </c>
      <c r="E1343" s="91" t="s">
        <v>3057</v>
      </c>
      <c r="F1343" s="315">
        <v>60.95</v>
      </c>
      <c r="G1343" s="260"/>
      <c r="H1343" s="260"/>
      <c r="I1343" s="309"/>
      <c r="J1343" s="199"/>
      <c r="K1343" s="269"/>
      <c r="L1343" s="93">
        <f t="shared" si="339"/>
        <v>0</v>
      </c>
      <c r="M1343" s="183"/>
      <c r="N1343" s="95">
        <f t="shared" si="341"/>
        <v>0</v>
      </c>
      <c r="O1343" s="95">
        <f t="shared" si="342"/>
        <v>0</v>
      </c>
      <c r="P1343" s="94">
        <f t="shared" si="343"/>
        <v>0</v>
      </c>
      <c r="Q1343" s="95">
        <f t="shared" si="344"/>
        <v>0</v>
      </c>
      <c r="R1343" s="96"/>
      <c r="S1343" s="97">
        <f t="shared" si="345"/>
        <v>0</v>
      </c>
      <c r="T1343" s="98">
        <f t="shared" si="340"/>
        <v>0</v>
      </c>
    </row>
    <row r="1344" spans="2:25" ht="20.100000000000001" customHeight="1">
      <c r="B1344" s="88">
        <v>10</v>
      </c>
      <c r="C1344" s="89" t="s">
        <v>2748</v>
      </c>
      <c r="D1344" s="90" t="s">
        <v>3058</v>
      </c>
      <c r="E1344" s="91" t="s">
        <v>3059</v>
      </c>
      <c r="F1344" s="315">
        <v>154.75</v>
      </c>
      <c r="G1344" s="260"/>
      <c r="H1344" s="260"/>
      <c r="I1344" s="309"/>
      <c r="J1344" s="199"/>
      <c r="K1344" s="269"/>
      <c r="L1344" s="93">
        <f t="shared" si="339"/>
        <v>0</v>
      </c>
      <c r="M1344" s="183"/>
      <c r="N1344" s="95">
        <f t="shared" si="341"/>
        <v>0</v>
      </c>
      <c r="O1344" s="95">
        <f t="shared" si="342"/>
        <v>0</v>
      </c>
      <c r="P1344" s="94">
        <f t="shared" si="343"/>
        <v>0</v>
      </c>
      <c r="Q1344" s="95">
        <f t="shared" si="344"/>
        <v>0</v>
      </c>
      <c r="R1344" s="96"/>
      <c r="S1344" s="97">
        <f t="shared" si="345"/>
        <v>0</v>
      </c>
      <c r="T1344" s="98">
        <f t="shared" si="340"/>
        <v>0</v>
      </c>
    </row>
    <row r="1345" spans="2:31" ht="26.25" customHeight="1">
      <c r="B1345" s="88">
        <v>10</v>
      </c>
      <c r="C1345" s="89" t="s">
        <v>2748</v>
      </c>
      <c r="D1345" s="90" t="s">
        <v>3060</v>
      </c>
      <c r="E1345" s="91" t="s">
        <v>3061</v>
      </c>
      <c r="F1345" s="315">
        <v>265</v>
      </c>
      <c r="G1345" s="260">
        <v>6</v>
      </c>
      <c r="H1345" s="260"/>
      <c r="I1345" s="309"/>
      <c r="J1345" s="199"/>
      <c r="K1345" s="269"/>
      <c r="L1345" s="93">
        <f t="shared" si="339"/>
        <v>6</v>
      </c>
      <c r="M1345" s="183">
        <v>6</v>
      </c>
      <c r="N1345" s="95">
        <f t="shared" si="341"/>
        <v>1590</v>
      </c>
      <c r="O1345" s="95">
        <f t="shared" si="342"/>
        <v>1590</v>
      </c>
      <c r="P1345" s="94">
        <f t="shared" si="343"/>
        <v>0</v>
      </c>
      <c r="Q1345" s="95">
        <f t="shared" si="344"/>
        <v>0</v>
      </c>
      <c r="R1345" s="96"/>
      <c r="S1345" s="97">
        <f t="shared" si="345"/>
        <v>6</v>
      </c>
      <c r="T1345" s="98">
        <f t="shared" si="340"/>
        <v>0</v>
      </c>
      <c r="U1345">
        <v>6</v>
      </c>
    </row>
    <row r="1346" spans="2:31" ht="20.100000000000001" customHeight="1">
      <c r="B1346" s="88">
        <v>10</v>
      </c>
      <c r="C1346" s="89" t="s">
        <v>2748</v>
      </c>
      <c r="D1346" s="90" t="s">
        <v>3062</v>
      </c>
      <c r="E1346" s="91" t="s">
        <v>3063</v>
      </c>
      <c r="F1346" s="315">
        <v>163.25</v>
      </c>
      <c r="G1346" s="260"/>
      <c r="H1346" s="260"/>
      <c r="I1346" s="309"/>
      <c r="J1346" s="199"/>
      <c r="K1346" s="269"/>
      <c r="L1346" s="93">
        <f t="shared" si="339"/>
        <v>0</v>
      </c>
      <c r="M1346" s="183"/>
      <c r="N1346" s="95">
        <f t="shared" si="341"/>
        <v>0</v>
      </c>
      <c r="O1346" s="95">
        <f t="shared" si="342"/>
        <v>0</v>
      </c>
      <c r="P1346" s="94">
        <f t="shared" si="343"/>
        <v>0</v>
      </c>
      <c r="Q1346" s="95">
        <f t="shared" si="344"/>
        <v>0</v>
      </c>
      <c r="R1346" s="96"/>
      <c r="S1346" s="97">
        <f t="shared" si="345"/>
        <v>1</v>
      </c>
      <c r="T1346" s="98">
        <f t="shared" si="340"/>
        <v>-1</v>
      </c>
      <c r="U1346">
        <v>1</v>
      </c>
    </row>
    <row r="1347" spans="2:31" ht="20.100000000000001" customHeight="1">
      <c r="B1347" s="88">
        <v>10</v>
      </c>
      <c r="C1347" s="89" t="s">
        <v>2748</v>
      </c>
      <c r="D1347" s="90" t="s">
        <v>3064</v>
      </c>
      <c r="E1347" s="91" t="s">
        <v>3065</v>
      </c>
      <c r="F1347" s="315">
        <v>276.95</v>
      </c>
      <c r="G1347" s="260">
        <v>6</v>
      </c>
      <c r="H1347" s="260"/>
      <c r="I1347" s="309"/>
      <c r="J1347" s="199"/>
      <c r="K1347" s="269"/>
      <c r="L1347" s="93">
        <f t="shared" si="339"/>
        <v>6</v>
      </c>
      <c r="M1347" s="183">
        <v>6</v>
      </c>
      <c r="N1347" s="95">
        <f t="shared" si="341"/>
        <v>1661.6999999999998</v>
      </c>
      <c r="O1347" s="95">
        <f t="shared" si="342"/>
        <v>1661.6999999999998</v>
      </c>
      <c r="P1347" s="94">
        <f t="shared" si="343"/>
        <v>0</v>
      </c>
      <c r="Q1347" s="95">
        <f t="shared" si="344"/>
        <v>0</v>
      </c>
      <c r="R1347" s="96"/>
      <c r="S1347" s="97">
        <f t="shared" si="345"/>
        <v>6</v>
      </c>
      <c r="T1347" s="98">
        <f t="shared" si="340"/>
        <v>0</v>
      </c>
      <c r="U1347">
        <v>6</v>
      </c>
    </row>
    <row r="1348" spans="2:31" ht="20.100000000000001" customHeight="1">
      <c r="B1348" s="88">
        <v>10</v>
      </c>
      <c r="C1348" s="89" t="s">
        <v>2748</v>
      </c>
      <c r="D1348" s="90" t="s">
        <v>3066</v>
      </c>
      <c r="E1348" s="91" t="s">
        <v>3067</v>
      </c>
      <c r="F1348" s="315">
        <v>13.17</v>
      </c>
      <c r="G1348" s="260"/>
      <c r="H1348" s="260"/>
      <c r="I1348" s="309"/>
      <c r="J1348" s="199"/>
      <c r="K1348" s="269"/>
      <c r="L1348" s="93">
        <f t="shared" si="339"/>
        <v>0</v>
      </c>
      <c r="M1348" s="183"/>
      <c r="N1348" s="95">
        <f t="shared" si="341"/>
        <v>0</v>
      </c>
      <c r="O1348" s="95">
        <f t="shared" si="342"/>
        <v>0</v>
      </c>
      <c r="P1348" s="94">
        <f t="shared" si="343"/>
        <v>0</v>
      </c>
      <c r="Q1348" s="95">
        <f t="shared" si="344"/>
        <v>0</v>
      </c>
      <c r="R1348" s="96"/>
      <c r="S1348" s="97">
        <f t="shared" si="345"/>
        <v>0</v>
      </c>
      <c r="T1348" s="98">
        <f t="shared" si="340"/>
        <v>0</v>
      </c>
    </row>
    <row r="1349" spans="2:31" ht="20.100000000000001" customHeight="1">
      <c r="B1349" s="88">
        <v>10</v>
      </c>
      <c r="C1349" s="89" t="s">
        <v>2748</v>
      </c>
      <c r="D1349" s="90" t="s">
        <v>3068</v>
      </c>
      <c r="E1349" s="91" t="s">
        <v>3069</v>
      </c>
      <c r="F1349" s="315">
        <v>13.96</v>
      </c>
      <c r="G1349" s="260"/>
      <c r="H1349" s="260"/>
      <c r="I1349" s="309"/>
      <c r="J1349" s="199"/>
      <c r="K1349" s="269"/>
      <c r="L1349" s="93">
        <f t="shared" si="339"/>
        <v>0</v>
      </c>
      <c r="M1349" s="183"/>
      <c r="N1349" s="95">
        <f t="shared" si="341"/>
        <v>0</v>
      </c>
      <c r="O1349" s="95">
        <f t="shared" si="342"/>
        <v>0</v>
      </c>
      <c r="P1349" s="94">
        <f t="shared" si="343"/>
        <v>0</v>
      </c>
      <c r="Q1349" s="95">
        <f t="shared" si="344"/>
        <v>0</v>
      </c>
      <c r="R1349" s="96"/>
      <c r="S1349" s="97">
        <f t="shared" si="345"/>
        <v>0</v>
      </c>
      <c r="T1349" s="98">
        <f t="shared" si="340"/>
        <v>0</v>
      </c>
    </row>
    <row r="1350" spans="2:31" ht="20.100000000000001" customHeight="1">
      <c r="B1350" s="88">
        <v>10</v>
      </c>
      <c r="C1350" s="89" t="s">
        <v>2748</v>
      </c>
      <c r="D1350" s="90" t="s">
        <v>3070</v>
      </c>
      <c r="E1350" s="91" t="s">
        <v>3071</v>
      </c>
      <c r="F1350" s="315">
        <v>14.43</v>
      </c>
      <c r="G1350" s="260">
        <v>136</v>
      </c>
      <c r="H1350" s="260">
        <v>30</v>
      </c>
      <c r="I1350" s="309"/>
      <c r="J1350" s="199"/>
      <c r="K1350" s="269">
        <v>12</v>
      </c>
      <c r="L1350" s="93">
        <f t="shared" si="339"/>
        <v>154</v>
      </c>
      <c r="M1350" s="183">
        <v>154</v>
      </c>
      <c r="N1350" s="95">
        <f t="shared" si="341"/>
        <v>2222.2199999999998</v>
      </c>
      <c r="O1350" s="95">
        <f t="shared" si="342"/>
        <v>2222.2199999999998</v>
      </c>
      <c r="P1350" s="94">
        <f t="shared" si="343"/>
        <v>0</v>
      </c>
      <c r="Q1350" s="95">
        <f t="shared" si="344"/>
        <v>0</v>
      </c>
      <c r="R1350" s="96"/>
      <c r="S1350" s="97">
        <f t="shared" si="345"/>
        <v>161</v>
      </c>
      <c r="T1350" s="98">
        <f t="shared" si="340"/>
        <v>-7</v>
      </c>
      <c r="U1350">
        <v>161</v>
      </c>
    </row>
    <row r="1351" spans="2:31" ht="20.100000000000001" customHeight="1">
      <c r="B1351" s="88">
        <v>10</v>
      </c>
      <c r="C1351" s="89" t="s">
        <v>2748</v>
      </c>
      <c r="D1351" s="90" t="s">
        <v>3072</v>
      </c>
      <c r="E1351" s="91" t="s">
        <v>3073</v>
      </c>
      <c r="F1351" s="315">
        <v>14.43</v>
      </c>
      <c r="G1351" s="260"/>
      <c r="H1351" s="260">
        <v>30</v>
      </c>
      <c r="I1351" s="309"/>
      <c r="J1351" s="199"/>
      <c r="K1351" s="269">
        <v>30</v>
      </c>
      <c r="L1351" s="93">
        <f t="shared" si="339"/>
        <v>0</v>
      </c>
      <c r="M1351" s="183"/>
      <c r="N1351" s="95">
        <f t="shared" si="341"/>
        <v>0</v>
      </c>
      <c r="O1351" s="95">
        <f t="shared" si="342"/>
        <v>0</v>
      </c>
      <c r="P1351" s="94">
        <f t="shared" si="343"/>
        <v>0</v>
      </c>
      <c r="Q1351" s="95">
        <f t="shared" si="344"/>
        <v>0</v>
      </c>
      <c r="R1351" s="278"/>
      <c r="S1351" s="97">
        <f t="shared" si="345"/>
        <v>1</v>
      </c>
      <c r="T1351" s="98">
        <f t="shared" si="340"/>
        <v>-1</v>
      </c>
      <c r="U1351">
        <v>1</v>
      </c>
    </row>
    <row r="1352" spans="2:31" ht="20.100000000000001" customHeight="1">
      <c r="B1352" s="88">
        <v>10</v>
      </c>
      <c r="C1352" s="89" t="s">
        <v>2748</v>
      </c>
      <c r="D1352" s="90" t="s">
        <v>3074</v>
      </c>
      <c r="E1352" s="91" t="s">
        <v>3075</v>
      </c>
      <c r="F1352" s="315">
        <v>11.29</v>
      </c>
      <c r="G1352" s="260">
        <v>18</v>
      </c>
      <c r="H1352" s="260"/>
      <c r="I1352" s="309"/>
      <c r="J1352" s="199"/>
      <c r="K1352" s="269"/>
      <c r="L1352" s="93">
        <f t="shared" si="339"/>
        <v>18</v>
      </c>
      <c r="M1352" s="183">
        <v>18</v>
      </c>
      <c r="N1352" s="95">
        <f t="shared" si="341"/>
        <v>203.21999999999997</v>
      </c>
      <c r="O1352" s="95">
        <f t="shared" si="342"/>
        <v>203.21999999999997</v>
      </c>
      <c r="P1352" s="94">
        <f t="shared" si="343"/>
        <v>0</v>
      </c>
      <c r="Q1352" s="95">
        <f t="shared" si="344"/>
        <v>0</v>
      </c>
      <c r="R1352" s="96"/>
      <c r="S1352" s="97">
        <f t="shared" si="345"/>
        <v>36</v>
      </c>
      <c r="T1352" s="98">
        <f t="shared" si="340"/>
        <v>-18</v>
      </c>
      <c r="U1352">
        <v>36</v>
      </c>
    </row>
    <row r="1353" spans="2:31" ht="20.100000000000001" customHeight="1">
      <c r="B1353" s="88">
        <v>10</v>
      </c>
      <c r="C1353" s="89" t="s">
        <v>2748</v>
      </c>
      <c r="D1353" s="90" t="s">
        <v>3076</v>
      </c>
      <c r="E1353" s="91" t="s">
        <v>3077</v>
      </c>
      <c r="F1353" s="315">
        <v>27</v>
      </c>
      <c r="G1353" s="260">
        <v>4</v>
      </c>
      <c r="H1353" s="260"/>
      <c r="I1353" s="309"/>
      <c r="J1353" s="199"/>
      <c r="K1353" s="269"/>
      <c r="L1353" s="93">
        <f t="shared" si="339"/>
        <v>4</v>
      </c>
      <c r="M1353" s="183">
        <v>4</v>
      </c>
      <c r="N1353" s="95">
        <f t="shared" si="341"/>
        <v>108</v>
      </c>
      <c r="O1353" s="95">
        <f t="shared" si="342"/>
        <v>108</v>
      </c>
      <c r="P1353" s="94">
        <f t="shared" si="343"/>
        <v>0</v>
      </c>
      <c r="Q1353" s="95">
        <f t="shared" si="344"/>
        <v>0</v>
      </c>
      <c r="R1353" s="96"/>
      <c r="S1353" s="97">
        <f t="shared" si="345"/>
        <v>0</v>
      </c>
      <c r="T1353" s="98">
        <f t="shared" si="340"/>
        <v>4</v>
      </c>
    </row>
    <row r="1354" spans="2:31" ht="20.100000000000001" customHeight="1">
      <c r="B1354" s="88">
        <v>10</v>
      </c>
      <c r="C1354" s="89" t="s">
        <v>2748</v>
      </c>
      <c r="D1354" s="90" t="s">
        <v>3078</v>
      </c>
      <c r="E1354" s="91" t="s">
        <v>3079</v>
      </c>
      <c r="F1354" s="315">
        <v>35.619999999999997</v>
      </c>
      <c r="G1354" s="260">
        <v>9</v>
      </c>
      <c r="H1354" s="260"/>
      <c r="I1354" s="309"/>
      <c r="J1354" s="199"/>
      <c r="K1354" s="269"/>
      <c r="L1354" s="93">
        <f t="shared" si="339"/>
        <v>9</v>
      </c>
      <c r="M1354" s="183">
        <v>9</v>
      </c>
      <c r="N1354" s="95">
        <f t="shared" si="341"/>
        <v>320.58</v>
      </c>
      <c r="O1354" s="95">
        <f t="shared" si="342"/>
        <v>320.58</v>
      </c>
      <c r="P1354" s="94">
        <f t="shared" si="343"/>
        <v>0</v>
      </c>
      <c r="Q1354" s="95">
        <f t="shared" si="344"/>
        <v>0</v>
      </c>
      <c r="R1354" s="96"/>
      <c r="S1354" s="97">
        <f t="shared" si="345"/>
        <v>9</v>
      </c>
      <c r="T1354" s="98">
        <f t="shared" si="340"/>
        <v>0</v>
      </c>
      <c r="U1354">
        <v>9</v>
      </c>
    </row>
    <row r="1355" spans="2:31" ht="20.100000000000001" customHeight="1">
      <c r="B1355" s="88">
        <v>10</v>
      </c>
      <c r="C1355" s="89" t="s">
        <v>2748</v>
      </c>
      <c r="D1355" s="90" t="s">
        <v>3080</v>
      </c>
      <c r="E1355" s="91" t="s">
        <v>3081</v>
      </c>
      <c r="F1355" s="315">
        <v>200</v>
      </c>
      <c r="G1355" s="260">
        <v>1</v>
      </c>
      <c r="H1355" s="260"/>
      <c r="I1355" s="309"/>
      <c r="J1355" s="199"/>
      <c r="K1355" s="269"/>
      <c r="L1355" s="93">
        <f t="shared" si="339"/>
        <v>1</v>
      </c>
      <c r="M1355" s="183">
        <v>1</v>
      </c>
      <c r="N1355" s="95">
        <f t="shared" si="341"/>
        <v>200</v>
      </c>
      <c r="O1355" s="95">
        <f t="shared" si="342"/>
        <v>200</v>
      </c>
      <c r="P1355" s="94">
        <f t="shared" si="343"/>
        <v>0</v>
      </c>
      <c r="Q1355" s="95">
        <f t="shared" si="344"/>
        <v>0</v>
      </c>
      <c r="R1355" s="96"/>
      <c r="S1355" s="97">
        <f t="shared" si="345"/>
        <v>1</v>
      </c>
      <c r="T1355" s="98">
        <f t="shared" si="340"/>
        <v>0</v>
      </c>
      <c r="Y1355">
        <v>1</v>
      </c>
      <c r="Z1355" s="99" t="s">
        <v>3082</v>
      </c>
      <c r="AD1355">
        <f>Y1355</f>
        <v>1</v>
      </c>
      <c r="AE1355" s="100">
        <f>AD1355*F1355</f>
        <v>200</v>
      </c>
    </row>
    <row r="1356" spans="2:31" ht="20.100000000000001" customHeight="1">
      <c r="B1356" s="88">
        <v>10</v>
      </c>
      <c r="C1356" s="89" t="s">
        <v>2748</v>
      </c>
      <c r="D1356" s="90" t="s">
        <v>3083</v>
      </c>
      <c r="E1356" s="91" t="s">
        <v>3084</v>
      </c>
      <c r="F1356" s="315">
        <v>215.75</v>
      </c>
      <c r="G1356" s="260">
        <v>1</v>
      </c>
      <c r="H1356" s="260"/>
      <c r="I1356" s="309"/>
      <c r="J1356" s="199"/>
      <c r="K1356" s="269">
        <v>1</v>
      </c>
      <c r="L1356" s="93">
        <f t="shared" si="339"/>
        <v>0</v>
      </c>
      <c r="M1356" s="183"/>
      <c r="N1356" s="95">
        <f t="shared" si="341"/>
        <v>0</v>
      </c>
      <c r="O1356" s="95">
        <f t="shared" si="342"/>
        <v>0</v>
      </c>
      <c r="P1356" s="94">
        <f t="shared" si="343"/>
        <v>0</v>
      </c>
      <c r="Q1356" s="95">
        <f t="shared" si="344"/>
        <v>0</v>
      </c>
      <c r="R1356" s="96"/>
      <c r="S1356" s="97">
        <f t="shared" si="345"/>
        <v>20</v>
      </c>
      <c r="T1356" s="98">
        <f t="shared" si="340"/>
        <v>-20</v>
      </c>
      <c r="U1356">
        <v>2</v>
      </c>
      <c r="Y1356">
        <v>18</v>
      </c>
    </row>
    <row r="1357" spans="2:31" ht="20.100000000000001" customHeight="1">
      <c r="B1357" s="88">
        <v>10</v>
      </c>
      <c r="C1357" s="89" t="s">
        <v>2748</v>
      </c>
      <c r="D1357" s="90" t="s">
        <v>3085</v>
      </c>
      <c r="E1357" s="91" t="s">
        <v>3086</v>
      </c>
      <c r="F1357" s="315">
        <v>18.600000000000001</v>
      </c>
      <c r="G1357" s="260">
        <v>58</v>
      </c>
      <c r="H1357" s="260">
        <v>24</v>
      </c>
      <c r="I1357" s="309"/>
      <c r="J1357" s="199"/>
      <c r="K1357" s="269">
        <v>32</v>
      </c>
      <c r="L1357" s="93">
        <f t="shared" si="339"/>
        <v>50</v>
      </c>
      <c r="M1357" s="183">
        <v>50</v>
      </c>
      <c r="N1357" s="95">
        <f t="shared" si="341"/>
        <v>930.00000000000011</v>
      </c>
      <c r="O1357" s="95">
        <f t="shared" si="342"/>
        <v>930.00000000000011</v>
      </c>
      <c r="P1357" s="94">
        <f t="shared" si="343"/>
        <v>0</v>
      </c>
      <c r="Q1357" s="95">
        <f t="shared" si="344"/>
        <v>0</v>
      </c>
      <c r="R1357" s="278"/>
      <c r="S1357" s="97">
        <f t="shared" si="345"/>
        <v>59</v>
      </c>
      <c r="T1357" s="98">
        <f t="shared" si="340"/>
        <v>-9</v>
      </c>
      <c r="U1357">
        <f>23+36</f>
        <v>59</v>
      </c>
    </row>
    <row r="1358" spans="2:31" ht="20.100000000000001" customHeight="1">
      <c r="B1358" s="88">
        <v>10</v>
      </c>
      <c r="C1358" s="89" t="s">
        <v>2748</v>
      </c>
      <c r="D1358" s="90" t="s">
        <v>3087</v>
      </c>
      <c r="E1358" s="91" t="s">
        <v>3088</v>
      </c>
      <c r="F1358" s="315">
        <v>5.47</v>
      </c>
      <c r="G1358" s="260">
        <v>168</v>
      </c>
      <c r="H1358" s="260"/>
      <c r="I1358" s="309"/>
      <c r="J1358" s="199"/>
      <c r="K1358" s="269"/>
      <c r="L1358" s="93">
        <f t="shared" si="339"/>
        <v>168</v>
      </c>
      <c r="M1358" s="183">
        <v>168</v>
      </c>
      <c r="N1358" s="95">
        <f t="shared" si="341"/>
        <v>918.95999999999992</v>
      </c>
      <c r="O1358" s="95">
        <f t="shared" si="342"/>
        <v>918.95999999999992</v>
      </c>
      <c r="P1358" s="94">
        <f t="shared" si="343"/>
        <v>0</v>
      </c>
      <c r="Q1358" s="95">
        <f t="shared" si="344"/>
        <v>0</v>
      </c>
      <c r="R1358" s="96"/>
      <c r="S1358" s="97">
        <f t="shared" si="345"/>
        <v>159</v>
      </c>
      <c r="T1358" s="98">
        <f t="shared" si="340"/>
        <v>9</v>
      </c>
      <c r="U1358">
        <v>75</v>
      </c>
      <c r="Y1358">
        <v>84</v>
      </c>
    </row>
    <row r="1359" spans="2:31" ht="20.100000000000001" customHeight="1">
      <c r="B1359" s="88">
        <v>10</v>
      </c>
      <c r="C1359" s="89" t="s">
        <v>2748</v>
      </c>
      <c r="D1359" s="90" t="s">
        <v>3089</v>
      </c>
      <c r="E1359" s="91" t="s">
        <v>3090</v>
      </c>
      <c r="F1359" s="315">
        <v>5.67</v>
      </c>
      <c r="G1359" s="260">
        <v>372</v>
      </c>
      <c r="H1359" s="260"/>
      <c r="I1359" s="309"/>
      <c r="J1359" s="199"/>
      <c r="K1359" s="269">
        <v>1</v>
      </c>
      <c r="L1359" s="93">
        <f t="shared" si="339"/>
        <v>371</v>
      </c>
      <c r="M1359" s="183">
        <f>204+168</f>
        <v>372</v>
      </c>
      <c r="N1359" s="95">
        <f t="shared" si="341"/>
        <v>2103.5700000000002</v>
      </c>
      <c r="O1359" s="95">
        <f t="shared" si="342"/>
        <v>2109.2399999999998</v>
      </c>
      <c r="P1359" s="94">
        <f t="shared" si="343"/>
        <v>-1</v>
      </c>
      <c r="Q1359" s="95">
        <f t="shared" si="344"/>
        <v>-5.669999999999618</v>
      </c>
      <c r="R1359" s="96"/>
      <c r="S1359" s="97">
        <f t="shared" si="345"/>
        <v>373</v>
      </c>
      <c r="T1359" s="98">
        <f t="shared" si="340"/>
        <v>-1</v>
      </c>
      <c r="U1359">
        <f>4+3+162</f>
        <v>169</v>
      </c>
      <c r="Y1359">
        <v>204</v>
      </c>
    </row>
    <row r="1360" spans="2:31" ht="20.100000000000001" customHeight="1">
      <c r="B1360" s="88">
        <v>10</v>
      </c>
      <c r="C1360" s="89" t="s">
        <v>2748</v>
      </c>
      <c r="D1360" s="90" t="s">
        <v>3091</v>
      </c>
      <c r="E1360" s="91" t="s">
        <v>3092</v>
      </c>
      <c r="F1360" s="315">
        <v>5.67</v>
      </c>
      <c r="G1360" s="260">
        <v>1</v>
      </c>
      <c r="H1360" s="260"/>
      <c r="I1360" s="309"/>
      <c r="J1360" s="199"/>
      <c r="K1360" s="269"/>
      <c r="L1360" s="93">
        <f t="shared" si="339"/>
        <v>1</v>
      </c>
      <c r="M1360" s="183">
        <v>1</v>
      </c>
      <c r="N1360" s="95">
        <f t="shared" si="341"/>
        <v>5.67</v>
      </c>
      <c r="O1360" s="95">
        <f t="shared" si="342"/>
        <v>5.67</v>
      </c>
      <c r="P1360" s="94">
        <f t="shared" si="343"/>
        <v>0</v>
      </c>
      <c r="Q1360" s="95">
        <f t="shared" si="344"/>
        <v>0</v>
      </c>
      <c r="R1360" s="96"/>
      <c r="S1360" s="97">
        <f t="shared" si="345"/>
        <v>1</v>
      </c>
      <c r="T1360" s="98">
        <f t="shared" si="340"/>
        <v>0</v>
      </c>
      <c r="U1360">
        <v>1</v>
      </c>
    </row>
    <row r="1361" spans="2:31" ht="20.100000000000001" customHeight="1">
      <c r="B1361" s="88">
        <v>10</v>
      </c>
      <c r="C1361" s="89" t="s">
        <v>2748</v>
      </c>
      <c r="D1361" s="90" t="s">
        <v>3093</v>
      </c>
      <c r="E1361" s="91" t="s">
        <v>3094</v>
      </c>
      <c r="F1361" s="315">
        <v>5</v>
      </c>
      <c r="G1361" s="260">
        <v>126</v>
      </c>
      <c r="H1361" s="260"/>
      <c r="I1361" s="309"/>
      <c r="J1361" s="199"/>
      <c r="K1361" s="269">
        <v>4</v>
      </c>
      <c r="L1361" s="93">
        <f t="shared" si="339"/>
        <v>122</v>
      </c>
      <c r="M1361" s="183">
        <f>78+4+48</f>
        <v>130</v>
      </c>
      <c r="N1361" s="95">
        <f t="shared" si="341"/>
        <v>610</v>
      </c>
      <c r="O1361" s="95">
        <f t="shared" si="342"/>
        <v>650</v>
      </c>
      <c r="P1361" s="94">
        <f t="shared" si="343"/>
        <v>-8</v>
      </c>
      <c r="Q1361" s="95">
        <f t="shared" si="344"/>
        <v>-40</v>
      </c>
      <c r="R1361" s="96"/>
      <c r="S1361" s="97">
        <f t="shared" si="345"/>
        <v>130</v>
      </c>
      <c r="T1361" s="98">
        <f t="shared" si="340"/>
        <v>0</v>
      </c>
      <c r="U1361">
        <f>48+4</f>
        <v>52</v>
      </c>
      <c r="Y1361">
        <v>78</v>
      </c>
    </row>
    <row r="1362" spans="2:31" ht="20.100000000000001" customHeight="1">
      <c r="B1362" s="88">
        <v>10</v>
      </c>
      <c r="C1362" s="89" t="s">
        <v>2748</v>
      </c>
      <c r="D1362" s="90" t="s">
        <v>3095</v>
      </c>
      <c r="E1362" s="91" t="s">
        <v>3096</v>
      </c>
      <c r="F1362" s="315">
        <v>4.54</v>
      </c>
      <c r="G1362" s="260"/>
      <c r="H1362" s="260"/>
      <c r="I1362" s="309"/>
      <c r="J1362" s="199"/>
      <c r="K1362" s="269"/>
      <c r="L1362" s="93">
        <f t="shared" si="339"/>
        <v>0</v>
      </c>
      <c r="M1362" s="183"/>
      <c r="N1362" s="95">
        <f t="shared" si="341"/>
        <v>0</v>
      </c>
      <c r="O1362" s="95">
        <f t="shared" si="342"/>
        <v>0</v>
      </c>
      <c r="P1362" s="94">
        <f t="shared" si="343"/>
        <v>0</v>
      </c>
      <c r="Q1362" s="95">
        <f t="shared" si="344"/>
        <v>0</v>
      </c>
      <c r="R1362" s="96"/>
      <c r="S1362" s="97">
        <f t="shared" si="345"/>
        <v>0</v>
      </c>
      <c r="T1362" s="98">
        <f t="shared" si="340"/>
        <v>0</v>
      </c>
    </row>
    <row r="1363" spans="2:31" ht="20.100000000000001" customHeight="1">
      <c r="B1363" s="88">
        <v>10</v>
      </c>
      <c r="C1363" s="89" t="s">
        <v>2748</v>
      </c>
      <c r="D1363" s="90" t="s">
        <v>3097</v>
      </c>
      <c r="E1363" s="91" t="s">
        <v>3098</v>
      </c>
      <c r="F1363" s="315">
        <v>5</v>
      </c>
      <c r="G1363" s="260">
        <v>11</v>
      </c>
      <c r="H1363" s="260"/>
      <c r="I1363" s="309"/>
      <c r="J1363" s="199"/>
      <c r="K1363" s="269">
        <v>2</v>
      </c>
      <c r="L1363" s="93">
        <f t="shared" si="339"/>
        <v>9</v>
      </c>
      <c r="M1363" s="183">
        <f>5+3</f>
        <v>8</v>
      </c>
      <c r="N1363" s="95">
        <f t="shared" si="341"/>
        <v>45</v>
      </c>
      <c r="O1363" s="95">
        <f t="shared" si="342"/>
        <v>40</v>
      </c>
      <c r="P1363" s="94">
        <f t="shared" si="343"/>
        <v>1</v>
      </c>
      <c r="Q1363" s="95">
        <f t="shared" si="344"/>
        <v>5</v>
      </c>
      <c r="R1363" s="96"/>
      <c r="S1363" s="97">
        <f t="shared" si="345"/>
        <v>10</v>
      </c>
      <c r="T1363" s="98">
        <f t="shared" si="340"/>
        <v>-2</v>
      </c>
      <c r="U1363">
        <v>5</v>
      </c>
      <c r="Y1363">
        <v>5</v>
      </c>
    </row>
    <row r="1364" spans="2:31" ht="20.100000000000001" customHeight="1">
      <c r="B1364" s="88">
        <v>10</v>
      </c>
      <c r="C1364" s="89" t="s">
        <v>2748</v>
      </c>
      <c r="D1364" s="90" t="s">
        <v>3099</v>
      </c>
      <c r="E1364" s="91" t="s">
        <v>3100</v>
      </c>
      <c r="F1364" s="315">
        <v>5</v>
      </c>
      <c r="G1364" s="260">
        <v>12</v>
      </c>
      <c r="H1364" s="260"/>
      <c r="I1364" s="309"/>
      <c r="J1364" s="199"/>
      <c r="K1364" s="269"/>
      <c r="L1364" s="93">
        <f t="shared" si="339"/>
        <v>12</v>
      </c>
      <c r="M1364" s="183">
        <v>12</v>
      </c>
      <c r="N1364" s="95">
        <f t="shared" si="341"/>
        <v>60</v>
      </c>
      <c r="O1364" s="95">
        <f t="shared" si="342"/>
        <v>60</v>
      </c>
      <c r="P1364" s="94">
        <f t="shared" si="343"/>
        <v>0</v>
      </c>
      <c r="Q1364" s="95">
        <f t="shared" si="344"/>
        <v>0</v>
      </c>
      <c r="R1364" s="96"/>
      <c r="S1364" s="97">
        <f t="shared" si="345"/>
        <v>12</v>
      </c>
      <c r="T1364" s="98">
        <f t="shared" si="340"/>
        <v>0</v>
      </c>
      <c r="U1364">
        <v>6</v>
      </c>
      <c r="Y1364">
        <v>6</v>
      </c>
    </row>
    <row r="1365" spans="2:31" ht="20.100000000000001" customHeight="1">
      <c r="B1365" s="88">
        <v>10</v>
      </c>
      <c r="C1365" s="89" t="s">
        <v>2748</v>
      </c>
      <c r="D1365" s="90" t="s">
        <v>3101</v>
      </c>
      <c r="E1365" s="91" t="s">
        <v>3102</v>
      </c>
      <c r="F1365" s="315">
        <v>43</v>
      </c>
      <c r="G1365" s="260">
        <v>2</v>
      </c>
      <c r="H1365" s="260"/>
      <c r="I1365" s="309"/>
      <c r="J1365" s="199"/>
      <c r="K1365" s="269"/>
      <c r="L1365" s="93">
        <f t="shared" si="339"/>
        <v>2</v>
      </c>
      <c r="M1365" s="183">
        <v>2</v>
      </c>
      <c r="N1365" s="95">
        <f t="shared" si="341"/>
        <v>86</v>
      </c>
      <c r="O1365" s="95">
        <f t="shared" si="342"/>
        <v>86</v>
      </c>
      <c r="P1365" s="94">
        <f t="shared" si="343"/>
        <v>0</v>
      </c>
      <c r="Q1365" s="95">
        <f t="shared" si="344"/>
        <v>0</v>
      </c>
      <c r="R1365" s="96"/>
      <c r="S1365" s="97">
        <f t="shared" si="345"/>
        <v>2</v>
      </c>
      <c r="T1365" s="98">
        <f t="shared" si="340"/>
        <v>0</v>
      </c>
      <c r="U1365">
        <v>2</v>
      </c>
    </row>
    <row r="1366" spans="2:31" ht="20.100000000000001" customHeight="1">
      <c r="B1366" s="88">
        <v>10</v>
      </c>
      <c r="C1366" s="89" t="s">
        <v>2748</v>
      </c>
      <c r="D1366" s="90" t="s">
        <v>3103</v>
      </c>
      <c r="E1366" s="91" t="s">
        <v>3104</v>
      </c>
      <c r="F1366" s="315">
        <v>7.59</v>
      </c>
      <c r="G1366" s="260">
        <v>72</v>
      </c>
      <c r="H1366" s="260">
        <v>15</v>
      </c>
      <c r="I1366" s="309"/>
      <c r="J1366" s="199"/>
      <c r="K1366" s="269">
        <v>15</v>
      </c>
      <c r="L1366" s="93">
        <f t="shared" si="339"/>
        <v>72</v>
      </c>
      <c r="M1366" s="183">
        <v>72</v>
      </c>
      <c r="N1366" s="95">
        <f t="shared" si="341"/>
        <v>546.48</v>
      </c>
      <c r="O1366" s="95">
        <f t="shared" si="342"/>
        <v>546.48</v>
      </c>
      <c r="P1366" s="94">
        <f t="shared" si="343"/>
        <v>0</v>
      </c>
      <c r="Q1366" s="95">
        <f t="shared" si="344"/>
        <v>0</v>
      </c>
      <c r="R1366" s="278"/>
      <c r="S1366" s="97">
        <f t="shared" si="345"/>
        <v>72</v>
      </c>
      <c r="T1366" s="98">
        <f t="shared" si="340"/>
        <v>0</v>
      </c>
      <c r="U1366">
        <v>72</v>
      </c>
    </row>
    <row r="1367" spans="2:31" ht="20.100000000000001" customHeight="1">
      <c r="B1367" s="88">
        <v>10</v>
      </c>
      <c r="C1367" s="89" t="s">
        <v>2748</v>
      </c>
      <c r="D1367" s="90" t="s">
        <v>3105</v>
      </c>
      <c r="E1367" s="91" t="s">
        <v>3106</v>
      </c>
      <c r="F1367" s="315">
        <v>39.880000000000003</v>
      </c>
      <c r="G1367" s="260">
        <v>11</v>
      </c>
      <c r="H1367" s="260">
        <v>6</v>
      </c>
      <c r="I1367" s="309"/>
      <c r="J1367" s="199"/>
      <c r="K1367" s="269">
        <v>12</v>
      </c>
      <c r="L1367" s="93">
        <f t="shared" si="339"/>
        <v>5</v>
      </c>
      <c r="M1367" s="183">
        <f>5+5</f>
        <v>10</v>
      </c>
      <c r="N1367" s="95">
        <f t="shared" si="341"/>
        <v>199.4</v>
      </c>
      <c r="O1367" s="95">
        <f t="shared" si="342"/>
        <v>398.8</v>
      </c>
      <c r="P1367" s="94">
        <f t="shared" si="343"/>
        <v>-5</v>
      </c>
      <c r="Q1367" s="95">
        <f t="shared" si="344"/>
        <v>-199.4</v>
      </c>
      <c r="R1367" s="278"/>
      <c r="S1367" s="97">
        <f t="shared" si="345"/>
        <v>25</v>
      </c>
      <c r="T1367" s="98">
        <f t="shared" si="340"/>
        <v>-15</v>
      </c>
      <c r="U1367">
        <v>25</v>
      </c>
    </row>
    <row r="1368" spans="2:31" ht="20.100000000000001" customHeight="1">
      <c r="B1368" s="88">
        <v>10</v>
      </c>
      <c r="C1368" s="89" t="s">
        <v>2748</v>
      </c>
      <c r="D1368" s="90" t="s">
        <v>3107</v>
      </c>
      <c r="E1368" s="91" t="s">
        <v>3108</v>
      </c>
      <c r="F1368" s="315">
        <v>15.15</v>
      </c>
      <c r="G1368" s="260">
        <v>61</v>
      </c>
      <c r="H1368" s="260">
        <v>20</v>
      </c>
      <c r="I1368" s="309"/>
      <c r="J1368" s="199"/>
      <c r="K1368" s="269">
        <v>31</v>
      </c>
      <c r="L1368" s="93">
        <f t="shared" si="339"/>
        <v>50</v>
      </c>
      <c r="M1368" s="183">
        <f>7+47</f>
        <v>54</v>
      </c>
      <c r="N1368" s="95">
        <f t="shared" si="341"/>
        <v>757.5</v>
      </c>
      <c r="O1368" s="95">
        <f t="shared" si="342"/>
        <v>818.1</v>
      </c>
      <c r="P1368" s="94">
        <f t="shared" si="343"/>
        <v>-4</v>
      </c>
      <c r="Q1368" s="95">
        <f t="shared" si="344"/>
        <v>-60.600000000000023</v>
      </c>
      <c r="R1368" s="278"/>
      <c r="S1368" s="97">
        <f t="shared" si="345"/>
        <v>72</v>
      </c>
      <c r="T1368" s="98">
        <f t="shared" si="340"/>
        <v>-18</v>
      </c>
      <c r="U1368">
        <v>64</v>
      </c>
      <c r="Y1368">
        <v>7</v>
      </c>
      <c r="AA1368">
        <v>1</v>
      </c>
      <c r="AB1368" t="s">
        <v>976</v>
      </c>
      <c r="AD1368">
        <f>AA1368</f>
        <v>1</v>
      </c>
      <c r="AE1368" s="100">
        <f>AD1368*F1368</f>
        <v>15.15</v>
      </c>
    </row>
    <row r="1369" spans="2:31" ht="20.100000000000001" customHeight="1">
      <c r="B1369" s="88">
        <v>10</v>
      </c>
      <c r="C1369" s="89" t="s">
        <v>2748</v>
      </c>
      <c r="D1369" s="90" t="s">
        <v>3109</v>
      </c>
      <c r="E1369" s="91" t="s">
        <v>3110</v>
      </c>
      <c r="F1369" s="315">
        <v>23.38</v>
      </c>
      <c r="G1369" s="260">
        <v>87</v>
      </c>
      <c r="H1369" s="260">
        <v>15</v>
      </c>
      <c r="I1369" s="309"/>
      <c r="J1369" s="199"/>
      <c r="K1369" s="269">
        <v>18</v>
      </c>
      <c r="L1369" s="93">
        <f t="shared" si="339"/>
        <v>84</v>
      </c>
      <c r="M1369" s="183">
        <f>8+47+20+17</f>
        <v>92</v>
      </c>
      <c r="N1369" s="95">
        <f t="shared" si="341"/>
        <v>1963.9199999999998</v>
      </c>
      <c r="O1369" s="95">
        <f t="shared" si="342"/>
        <v>2150.96</v>
      </c>
      <c r="P1369" s="94">
        <f t="shared" si="343"/>
        <v>-8</v>
      </c>
      <c r="Q1369" s="95">
        <f t="shared" si="344"/>
        <v>-187.04000000000019</v>
      </c>
      <c r="R1369" s="278"/>
      <c r="S1369" s="97">
        <f t="shared" si="345"/>
        <v>90</v>
      </c>
      <c r="T1369" s="98">
        <f t="shared" si="340"/>
        <v>2</v>
      </c>
      <c r="U1369">
        <f>34+1+35</f>
        <v>70</v>
      </c>
      <c r="Y1369">
        <v>20</v>
      </c>
    </row>
    <row r="1370" spans="2:31" ht="20.100000000000001" customHeight="1">
      <c r="B1370" s="88">
        <v>10</v>
      </c>
      <c r="C1370" s="89" t="s">
        <v>2748</v>
      </c>
      <c r="D1370" s="90" t="s">
        <v>3111</v>
      </c>
      <c r="E1370" s="91" t="s">
        <v>3112</v>
      </c>
      <c r="F1370" s="315">
        <v>8.16</v>
      </c>
      <c r="G1370" s="260">
        <v>19</v>
      </c>
      <c r="H1370" s="260"/>
      <c r="I1370" s="309"/>
      <c r="J1370" s="199"/>
      <c r="K1370" s="269"/>
      <c r="L1370" s="93">
        <f t="shared" si="339"/>
        <v>19</v>
      </c>
      <c r="M1370" s="183">
        <v>19</v>
      </c>
      <c r="N1370" s="95">
        <f t="shared" si="341"/>
        <v>155.04</v>
      </c>
      <c r="O1370" s="95">
        <f t="shared" si="342"/>
        <v>155.04</v>
      </c>
      <c r="P1370" s="94">
        <f t="shared" si="343"/>
        <v>0</v>
      </c>
      <c r="Q1370" s="95">
        <f t="shared" si="344"/>
        <v>0</v>
      </c>
      <c r="R1370" s="96"/>
      <c r="S1370" s="97">
        <f t="shared" si="345"/>
        <v>19</v>
      </c>
      <c r="T1370" s="98">
        <f t="shared" si="340"/>
        <v>0</v>
      </c>
      <c r="Y1370">
        <v>19</v>
      </c>
    </row>
    <row r="1371" spans="2:31" ht="20.100000000000001" customHeight="1">
      <c r="B1371" s="88">
        <v>10</v>
      </c>
      <c r="C1371" s="89" t="s">
        <v>2748</v>
      </c>
      <c r="D1371" s="90" t="s">
        <v>3113</v>
      </c>
      <c r="E1371" s="91" t="s">
        <v>3114</v>
      </c>
      <c r="F1371" s="315">
        <v>20.91</v>
      </c>
      <c r="G1371" s="260">
        <v>31</v>
      </c>
      <c r="H1371" s="260"/>
      <c r="I1371" s="309"/>
      <c r="J1371" s="199"/>
      <c r="K1371" s="269"/>
      <c r="L1371" s="93">
        <f t="shared" si="339"/>
        <v>31</v>
      </c>
      <c r="M1371" s="183">
        <v>31</v>
      </c>
      <c r="N1371" s="95">
        <f t="shared" si="341"/>
        <v>648.21</v>
      </c>
      <c r="O1371" s="95">
        <f t="shared" si="342"/>
        <v>648.21</v>
      </c>
      <c r="P1371" s="94">
        <f t="shared" si="343"/>
        <v>0</v>
      </c>
      <c r="Q1371" s="95">
        <f t="shared" si="344"/>
        <v>0</v>
      </c>
      <c r="R1371" s="96"/>
      <c r="S1371" s="97">
        <f t="shared" si="345"/>
        <v>31</v>
      </c>
      <c r="T1371" s="98">
        <f t="shared" si="340"/>
        <v>0</v>
      </c>
      <c r="Y1371">
        <v>31</v>
      </c>
    </row>
    <row r="1372" spans="2:31" ht="20.100000000000001" customHeight="1">
      <c r="B1372" s="88">
        <v>10</v>
      </c>
      <c r="C1372" s="89" t="s">
        <v>2748</v>
      </c>
      <c r="D1372" s="90" t="s">
        <v>3115</v>
      </c>
      <c r="E1372" s="91" t="s">
        <v>3116</v>
      </c>
      <c r="F1372" s="315">
        <v>23.47</v>
      </c>
      <c r="G1372" s="260">
        <v>57</v>
      </c>
      <c r="H1372" s="260"/>
      <c r="I1372" s="309"/>
      <c r="J1372" s="199"/>
      <c r="K1372" s="269"/>
      <c r="L1372" s="93">
        <f t="shared" si="339"/>
        <v>57</v>
      </c>
      <c r="M1372" s="183">
        <v>57</v>
      </c>
      <c r="N1372" s="95">
        <f t="shared" si="341"/>
        <v>1337.79</v>
      </c>
      <c r="O1372" s="95">
        <f t="shared" si="342"/>
        <v>1337.79</v>
      </c>
      <c r="P1372" s="94">
        <f t="shared" si="343"/>
        <v>0</v>
      </c>
      <c r="Q1372" s="95">
        <f t="shared" si="344"/>
        <v>0</v>
      </c>
      <c r="R1372" s="96"/>
      <c r="S1372" s="97">
        <f t="shared" si="345"/>
        <v>57</v>
      </c>
      <c r="T1372" s="98">
        <f t="shared" si="340"/>
        <v>0</v>
      </c>
      <c r="Y1372">
        <v>57</v>
      </c>
    </row>
    <row r="1373" spans="2:31" ht="20.100000000000001" customHeight="1">
      <c r="B1373" s="88">
        <v>10</v>
      </c>
      <c r="C1373" s="89" t="s">
        <v>2748</v>
      </c>
      <c r="D1373" s="90" t="s">
        <v>3117</v>
      </c>
      <c r="E1373" s="91" t="s">
        <v>3118</v>
      </c>
      <c r="F1373" s="315">
        <v>38.01</v>
      </c>
      <c r="G1373" s="260">
        <v>130</v>
      </c>
      <c r="H1373" s="260">
        <v>10</v>
      </c>
      <c r="I1373" s="309"/>
      <c r="J1373" s="199"/>
      <c r="K1373" s="269">
        <v>12</v>
      </c>
      <c r="L1373" s="93">
        <f t="shared" si="339"/>
        <v>128</v>
      </c>
      <c r="M1373" s="183">
        <f>15+67+65</f>
        <v>147</v>
      </c>
      <c r="N1373" s="95">
        <f t="shared" si="341"/>
        <v>4865.28</v>
      </c>
      <c r="O1373" s="95">
        <f t="shared" si="342"/>
        <v>5587.4699999999993</v>
      </c>
      <c r="P1373" s="94">
        <f t="shared" si="343"/>
        <v>-19</v>
      </c>
      <c r="Q1373" s="95">
        <f t="shared" si="344"/>
        <v>-722.1899999999996</v>
      </c>
      <c r="R1373" s="96"/>
      <c r="S1373" s="97">
        <f t="shared" si="345"/>
        <v>132</v>
      </c>
      <c r="T1373" s="98">
        <f t="shared" si="340"/>
        <v>15</v>
      </c>
      <c r="U1373">
        <f>32+35</f>
        <v>67</v>
      </c>
      <c r="Y1373">
        <v>65</v>
      </c>
    </row>
    <row r="1374" spans="2:31" ht="20.100000000000001" customHeight="1">
      <c r="B1374" s="88">
        <v>10</v>
      </c>
      <c r="C1374" s="89" t="s">
        <v>2748</v>
      </c>
      <c r="D1374" s="90" t="s">
        <v>3119</v>
      </c>
      <c r="E1374" s="91" t="s">
        <v>3120</v>
      </c>
      <c r="F1374" s="315">
        <v>65.989999999999995</v>
      </c>
      <c r="G1374" s="260">
        <v>19</v>
      </c>
      <c r="H1374" s="260">
        <v>6</v>
      </c>
      <c r="I1374" s="309"/>
      <c r="J1374" s="199"/>
      <c r="K1374" s="269">
        <v>20</v>
      </c>
      <c r="L1374" s="93">
        <f t="shared" si="339"/>
        <v>5</v>
      </c>
      <c r="M1374" s="183">
        <f>3+3</f>
        <v>6</v>
      </c>
      <c r="N1374" s="95">
        <f t="shared" si="341"/>
        <v>329.95</v>
      </c>
      <c r="O1374" s="95">
        <f t="shared" si="342"/>
        <v>395.93999999999994</v>
      </c>
      <c r="P1374" s="94">
        <f t="shared" si="343"/>
        <v>-1</v>
      </c>
      <c r="Q1374" s="95">
        <f t="shared" si="344"/>
        <v>-65.989999999999952</v>
      </c>
      <c r="R1374" s="278"/>
      <c r="S1374" s="97">
        <f t="shared" si="345"/>
        <v>30</v>
      </c>
      <c r="T1374" s="98">
        <f t="shared" si="340"/>
        <v>-24</v>
      </c>
      <c r="U1374">
        <v>30</v>
      </c>
    </row>
    <row r="1375" spans="2:31" ht="20.100000000000001" customHeight="1">
      <c r="B1375" s="88">
        <v>10</v>
      </c>
      <c r="C1375" s="89" t="s">
        <v>2748</v>
      </c>
      <c r="D1375" s="90" t="s">
        <v>3121</v>
      </c>
      <c r="E1375" s="91" t="s">
        <v>3122</v>
      </c>
      <c r="F1375" s="315">
        <v>11.32</v>
      </c>
      <c r="G1375" s="260">
        <v>25</v>
      </c>
      <c r="H1375" s="260">
        <v>10</v>
      </c>
      <c r="I1375" s="309"/>
      <c r="J1375" s="199"/>
      <c r="K1375" s="269">
        <v>10</v>
      </c>
      <c r="L1375" s="93">
        <f t="shared" si="339"/>
        <v>25</v>
      </c>
      <c r="M1375" s="183">
        <f>24+1</f>
        <v>25</v>
      </c>
      <c r="N1375" s="95">
        <f t="shared" si="341"/>
        <v>283</v>
      </c>
      <c r="O1375" s="95">
        <f t="shared" si="342"/>
        <v>283</v>
      </c>
      <c r="P1375" s="94">
        <f t="shared" si="343"/>
        <v>0</v>
      </c>
      <c r="Q1375" s="95">
        <f t="shared" si="344"/>
        <v>0</v>
      </c>
      <c r="R1375" s="278"/>
      <c r="S1375" s="97">
        <f t="shared" si="345"/>
        <v>26</v>
      </c>
      <c r="T1375" s="98">
        <f t="shared" si="340"/>
        <v>-1</v>
      </c>
      <c r="U1375">
        <v>2</v>
      </c>
      <c r="Y1375">
        <v>24</v>
      </c>
    </row>
    <row r="1376" spans="2:31" ht="20.100000000000001" customHeight="1">
      <c r="B1376" s="88">
        <v>10</v>
      </c>
      <c r="C1376" s="89" t="s">
        <v>2748</v>
      </c>
      <c r="D1376" s="90" t="s">
        <v>3123</v>
      </c>
      <c r="E1376" s="91" t="s">
        <v>3124</v>
      </c>
      <c r="F1376" s="315">
        <v>21.73</v>
      </c>
      <c r="G1376" s="260">
        <v>24</v>
      </c>
      <c r="H1376" s="260"/>
      <c r="I1376" s="309"/>
      <c r="J1376" s="199"/>
      <c r="K1376" s="269"/>
      <c r="L1376" s="93">
        <f t="shared" si="339"/>
        <v>24</v>
      </c>
      <c r="M1376" s="183">
        <v>24</v>
      </c>
      <c r="N1376" s="95">
        <f t="shared" si="341"/>
        <v>521.52</v>
      </c>
      <c r="O1376" s="95">
        <f t="shared" si="342"/>
        <v>521.52</v>
      </c>
      <c r="P1376" s="94">
        <f t="shared" si="343"/>
        <v>0</v>
      </c>
      <c r="Q1376" s="95">
        <f t="shared" si="344"/>
        <v>0</v>
      </c>
      <c r="R1376" s="96"/>
      <c r="S1376" s="97">
        <f t="shared" si="345"/>
        <v>24</v>
      </c>
      <c r="T1376" s="98">
        <f t="shared" si="340"/>
        <v>0</v>
      </c>
      <c r="Y1376">
        <v>24</v>
      </c>
    </row>
    <row r="1377" spans="2:31" ht="20.100000000000001" customHeight="1">
      <c r="B1377" s="88">
        <v>10</v>
      </c>
      <c r="C1377" s="89" t="s">
        <v>2748</v>
      </c>
      <c r="D1377" s="90" t="s">
        <v>3125</v>
      </c>
      <c r="E1377" s="91" t="s">
        <v>3126</v>
      </c>
      <c r="F1377" s="315">
        <v>51.92</v>
      </c>
      <c r="G1377" s="260">
        <v>24</v>
      </c>
      <c r="H1377" s="260"/>
      <c r="I1377" s="309"/>
      <c r="J1377" s="199"/>
      <c r="K1377" s="269"/>
      <c r="L1377" s="93">
        <f t="shared" si="339"/>
        <v>24</v>
      </c>
      <c r="M1377" s="183">
        <v>24</v>
      </c>
      <c r="N1377" s="95">
        <f t="shared" si="341"/>
        <v>1246.08</v>
      </c>
      <c r="O1377" s="95">
        <f t="shared" si="342"/>
        <v>1246.08</v>
      </c>
      <c r="P1377" s="94">
        <f t="shared" si="343"/>
        <v>0</v>
      </c>
      <c r="Q1377" s="95">
        <f t="shared" si="344"/>
        <v>0</v>
      </c>
      <c r="R1377" s="96"/>
      <c r="S1377" s="97">
        <f t="shared" si="345"/>
        <v>24</v>
      </c>
      <c r="T1377" s="98">
        <f t="shared" si="340"/>
        <v>0</v>
      </c>
      <c r="Y1377">
        <v>24</v>
      </c>
    </row>
    <row r="1378" spans="2:31" ht="20.100000000000001" customHeight="1">
      <c r="B1378" s="88">
        <v>10</v>
      </c>
      <c r="C1378" s="89" t="s">
        <v>2748</v>
      </c>
      <c r="D1378" s="90" t="s">
        <v>3127</v>
      </c>
      <c r="E1378" s="91" t="s">
        <v>3128</v>
      </c>
      <c r="F1378" s="315">
        <v>30.5</v>
      </c>
      <c r="G1378" s="260">
        <v>18</v>
      </c>
      <c r="H1378" s="260"/>
      <c r="I1378" s="309"/>
      <c r="J1378" s="199"/>
      <c r="K1378" s="269"/>
      <c r="L1378" s="93">
        <f t="shared" si="339"/>
        <v>18</v>
      </c>
      <c r="M1378" s="183">
        <v>18</v>
      </c>
      <c r="N1378" s="95">
        <f t="shared" si="341"/>
        <v>549</v>
      </c>
      <c r="O1378" s="95">
        <f t="shared" si="342"/>
        <v>549</v>
      </c>
      <c r="P1378" s="94">
        <f t="shared" si="343"/>
        <v>0</v>
      </c>
      <c r="Q1378" s="95">
        <f t="shared" si="344"/>
        <v>0</v>
      </c>
      <c r="R1378" s="96"/>
      <c r="S1378" s="97">
        <f t="shared" si="345"/>
        <v>18</v>
      </c>
      <c r="T1378" s="98">
        <f t="shared" si="340"/>
        <v>0</v>
      </c>
      <c r="Y1378">
        <v>18</v>
      </c>
    </row>
    <row r="1379" spans="2:31" ht="20.100000000000001" customHeight="1">
      <c r="B1379" s="88">
        <v>11</v>
      </c>
      <c r="C1379" s="89" t="s">
        <v>3129</v>
      </c>
      <c r="D1379" s="90" t="s">
        <v>3130</v>
      </c>
      <c r="E1379" s="91" t="s">
        <v>3131</v>
      </c>
      <c r="F1379" s="315">
        <v>180</v>
      </c>
      <c r="G1379" s="260">
        <v>1</v>
      </c>
      <c r="H1379" s="260"/>
      <c r="I1379" s="309"/>
      <c r="J1379" s="199"/>
      <c r="K1379" s="269"/>
      <c r="L1379" s="93">
        <f t="shared" si="339"/>
        <v>1</v>
      </c>
      <c r="M1379" s="183">
        <v>1</v>
      </c>
      <c r="N1379" s="95">
        <f t="shared" si="341"/>
        <v>180</v>
      </c>
      <c r="O1379" s="95">
        <f t="shared" si="342"/>
        <v>180</v>
      </c>
      <c r="P1379" s="94">
        <f t="shared" si="343"/>
        <v>0</v>
      </c>
      <c r="Q1379" s="95">
        <f t="shared" si="344"/>
        <v>0</v>
      </c>
      <c r="R1379" s="96"/>
      <c r="S1379" s="97">
        <f t="shared" si="345"/>
        <v>0</v>
      </c>
      <c r="T1379" s="98">
        <f t="shared" si="340"/>
        <v>1</v>
      </c>
    </row>
    <row r="1380" spans="2:31" ht="20.100000000000001" customHeight="1">
      <c r="B1380" s="88">
        <v>11</v>
      </c>
      <c r="C1380" s="89" t="s">
        <v>3129</v>
      </c>
      <c r="D1380" s="90" t="s">
        <v>3132</v>
      </c>
      <c r="E1380" s="91" t="s">
        <v>3133</v>
      </c>
      <c r="F1380" s="315">
        <v>250</v>
      </c>
      <c r="G1380" s="260">
        <v>1</v>
      </c>
      <c r="H1380" s="260"/>
      <c r="I1380" s="309"/>
      <c r="J1380" s="199"/>
      <c r="K1380" s="269"/>
      <c r="L1380" s="93">
        <f t="shared" si="339"/>
        <v>1</v>
      </c>
      <c r="M1380" s="183">
        <v>1</v>
      </c>
      <c r="N1380" s="95">
        <f t="shared" si="341"/>
        <v>250</v>
      </c>
      <c r="O1380" s="95">
        <f t="shared" si="342"/>
        <v>250</v>
      </c>
      <c r="P1380" s="94">
        <f t="shared" si="343"/>
        <v>0</v>
      </c>
      <c r="Q1380" s="95">
        <f t="shared" si="344"/>
        <v>0</v>
      </c>
      <c r="R1380" s="96"/>
      <c r="S1380" s="97">
        <f t="shared" si="345"/>
        <v>0</v>
      </c>
      <c r="T1380" s="98">
        <f t="shared" si="340"/>
        <v>1</v>
      </c>
    </row>
    <row r="1381" spans="2:31" ht="20.100000000000001" customHeight="1">
      <c r="B1381" s="88">
        <v>11</v>
      </c>
      <c r="C1381" s="89" t="s">
        <v>3129</v>
      </c>
      <c r="D1381" s="90" t="s">
        <v>3134</v>
      </c>
      <c r="E1381" s="91" t="s">
        <v>3135</v>
      </c>
      <c r="F1381" s="315">
        <v>300</v>
      </c>
      <c r="G1381" s="260">
        <v>1</v>
      </c>
      <c r="H1381" s="260"/>
      <c r="I1381" s="309"/>
      <c r="J1381" s="199"/>
      <c r="K1381" s="269"/>
      <c r="L1381" s="93">
        <f t="shared" si="339"/>
        <v>1</v>
      </c>
      <c r="M1381" s="183">
        <v>1</v>
      </c>
      <c r="N1381" s="95">
        <f t="shared" si="341"/>
        <v>300</v>
      </c>
      <c r="O1381" s="95">
        <f t="shared" si="342"/>
        <v>300</v>
      </c>
      <c r="P1381" s="94">
        <f t="shared" si="343"/>
        <v>0</v>
      </c>
      <c r="Q1381" s="95">
        <f t="shared" si="344"/>
        <v>0</v>
      </c>
      <c r="R1381" s="96"/>
      <c r="S1381" s="97">
        <f t="shared" si="345"/>
        <v>0</v>
      </c>
      <c r="T1381" s="98">
        <f t="shared" si="340"/>
        <v>1</v>
      </c>
    </row>
    <row r="1382" spans="2:31" ht="20.100000000000001" customHeight="1">
      <c r="B1382" s="88">
        <v>11</v>
      </c>
      <c r="C1382" s="89" t="s">
        <v>3129</v>
      </c>
      <c r="D1382" s="90" t="s">
        <v>3136</v>
      </c>
      <c r="E1382" s="91" t="s">
        <v>3137</v>
      </c>
      <c r="F1382" s="315">
        <v>150</v>
      </c>
      <c r="G1382" s="260">
        <v>1</v>
      </c>
      <c r="H1382" s="260"/>
      <c r="I1382" s="309"/>
      <c r="J1382" s="199"/>
      <c r="K1382" s="269"/>
      <c r="L1382" s="93">
        <f t="shared" si="339"/>
        <v>1</v>
      </c>
      <c r="M1382" s="183">
        <v>1</v>
      </c>
      <c r="N1382" s="95">
        <f t="shared" si="341"/>
        <v>150</v>
      </c>
      <c r="O1382" s="95">
        <f t="shared" si="342"/>
        <v>150</v>
      </c>
      <c r="P1382" s="94">
        <f t="shared" si="343"/>
        <v>0</v>
      </c>
      <c r="Q1382" s="95">
        <f t="shared" si="344"/>
        <v>0</v>
      </c>
      <c r="R1382" s="96"/>
      <c r="S1382" s="97">
        <f t="shared" si="345"/>
        <v>0</v>
      </c>
      <c r="T1382" s="98">
        <f t="shared" si="340"/>
        <v>1</v>
      </c>
    </row>
    <row r="1383" spans="2:31">
      <c r="B1383" s="88">
        <v>11</v>
      </c>
      <c r="C1383" s="89" t="s">
        <v>3129</v>
      </c>
      <c r="D1383" s="90" t="s">
        <v>3138</v>
      </c>
      <c r="E1383" s="91" t="s">
        <v>3139</v>
      </c>
      <c r="F1383" s="315">
        <v>300</v>
      </c>
      <c r="G1383" s="260">
        <v>1</v>
      </c>
      <c r="H1383" s="260"/>
      <c r="I1383" s="309"/>
      <c r="J1383" s="199"/>
      <c r="K1383" s="269"/>
      <c r="L1383" s="93">
        <f t="shared" si="339"/>
        <v>1</v>
      </c>
      <c r="M1383" s="183">
        <v>1</v>
      </c>
      <c r="N1383" s="95">
        <f t="shared" si="341"/>
        <v>300</v>
      </c>
      <c r="O1383" s="95">
        <f t="shared" si="342"/>
        <v>300</v>
      </c>
      <c r="P1383" s="94">
        <f t="shared" si="343"/>
        <v>0</v>
      </c>
      <c r="Q1383" s="95">
        <f t="shared" si="344"/>
        <v>0</v>
      </c>
      <c r="R1383" s="96"/>
      <c r="S1383" s="97">
        <f t="shared" si="345"/>
        <v>0</v>
      </c>
      <c r="T1383" s="98">
        <f t="shared" si="340"/>
        <v>1</v>
      </c>
    </row>
    <row r="1384" spans="2:31" ht="20.100000000000001" customHeight="1">
      <c r="B1384" s="88">
        <v>11</v>
      </c>
      <c r="C1384" s="89" t="s">
        <v>3129</v>
      </c>
      <c r="D1384" s="90" t="s">
        <v>3140</v>
      </c>
      <c r="E1384" s="91" t="s">
        <v>3141</v>
      </c>
      <c r="F1384" s="315">
        <v>75</v>
      </c>
      <c r="G1384" s="260">
        <v>5</v>
      </c>
      <c r="H1384" s="260"/>
      <c r="I1384" s="309"/>
      <c r="J1384" s="199"/>
      <c r="K1384" s="269"/>
      <c r="L1384" s="93">
        <f t="shared" si="339"/>
        <v>5</v>
      </c>
      <c r="M1384" s="183">
        <v>5</v>
      </c>
      <c r="N1384" s="95">
        <f t="shared" si="341"/>
        <v>375</v>
      </c>
      <c r="O1384" s="95">
        <f t="shared" si="342"/>
        <v>375</v>
      </c>
      <c r="P1384" s="94">
        <f t="shared" si="343"/>
        <v>0</v>
      </c>
      <c r="Q1384" s="95">
        <f t="shared" si="344"/>
        <v>0</v>
      </c>
      <c r="R1384" s="96"/>
      <c r="S1384" s="97">
        <f t="shared" si="345"/>
        <v>5</v>
      </c>
      <c r="T1384" s="98">
        <f t="shared" si="340"/>
        <v>0</v>
      </c>
      <c r="AA1384">
        <v>5</v>
      </c>
      <c r="AB1384" t="s">
        <v>1466</v>
      </c>
      <c r="AD1384">
        <f>AA1384</f>
        <v>5</v>
      </c>
      <c r="AE1384" s="100">
        <f>AD1384*F1384</f>
        <v>375</v>
      </c>
    </row>
    <row r="1385" spans="2:31" ht="20.100000000000001" customHeight="1">
      <c r="B1385" s="88">
        <v>11</v>
      </c>
      <c r="C1385" s="89" t="s">
        <v>3129</v>
      </c>
      <c r="D1385" s="90" t="s">
        <v>3142</v>
      </c>
      <c r="E1385" s="91" t="s">
        <v>3143</v>
      </c>
      <c r="F1385" s="315">
        <v>140</v>
      </c>
      <c r="G1385" s="260"/>
      <c r="H1385" s="260"/>
      <c r="I1385" s="309"/>
      <c r="J1385" s="199"/>
      <c r="K1385" s="269"/>
      <c r="L1385" s="93">
        <f t="shared" si="339"/>
        <v>0</v>
      </c>
      <c r="M1385" s="183"/>
      <c r="N1385" s="95">
        <f t="shared" si="341"/>
        <v>0</v>
      </c>
      <c r="O1385" s="95">
        <f t="shared" si="342"/>
        <v>0</v>
      </c>
      <c r="P1385" s="94">
        <f t="shared" si="343"/>
        <v>0</v>
      </c>
      <c r="Q1385" s="95">
        <f t="shared" si="344"/>
        <v>0</v>
      </c>
      <c r="R1385" s="96"/>
      <c r="S1385" s="97">
        <f t="shared" si="345"/>
        <v>0</v>
      </c>
      <c r="T1385" s="98">
        <f t="shared" si="340"/>
        <v>0</v>
      </c>
    </row>
    <row r="1386" spans="2:31" ht="20.100000000000001" customHeight="1">
      <c r="B1386" s="88">
        <v>11</v>
      </c>
      <c r="C1386" s="89" t="s">
        <v>3129</v>
      </c>
      <c r="D1386" s="90" t="s">
        <v>3144</v>
      </c>
      <c r="E1386" s="91" t="s">
        <v>3145</v>
      </c>
      <c r="F1386" s="315">
        <v>160</v>
      </c>
      <c r="G1386" s="260">
        <v>2</v>
      </c>
      <c r="H1386" s="260"/>
      <c r="I1386" s="309"/>
      <c r="J1386" s="199"/>
      <c r="K1386" s="269"/>
      <c r="L1386" s="93">
        <f t="shared" si="339"/>
        <v>2</v>
      </c>
      <c r="M1386" s="183">
        <v>2</v>
      </c>
      <c r="N1386" s="95">
        <f t="shared" si="341"/>
        <v>320</v>
      </c>
      <c r="O1386" s="95">
        <f t="shared" si="342"/>
        <v>320</v>
      </c>
      <c r="P1386" s="94">
        <f t="shared" si="343"/>
        <v>0</v>
      </c>
      <c r="Q1386" s="95">
        <f t="shared" si="344"/>
        <v>0</v>
      </c>
      <c r="R1386" s="96"/>
      <c r="S1386" s="97">
        <f t="shared" si="345"/>
        <v>2</v>
      </c>
      <c r="T1386" s="98">
        <f t="shared" si="340"/>
        <v>0</v>
      </c>
      <c r="AA1386">
        <v>2</v>
      </c>
      <c r="AB1386" t="s">
        <v>1466</v>
      </c>
      <c r="AD1386">
        <f>AA1386</f>
        <v>2</v>
      </c>
      <c r="AE1386" s="100">
        <f>AD1386*F1386</f>
        <v>320</v>
      </c>
    </row>
    <row r="1387" spans="2:31" ht="20.100000000000001" customHeight="1">
      <c r="B1387" s="88">
        <v>11</v>
      </c>
      <c r="C1387" s="89" t="s">
        <v>3129</v>
      </c>
      <c r="D1387" s="90" t="s">
        <v>3146</v>
      </c>
      <c r="E1387" s="91" t="s">
        <v>3147</v>
      </c>
      <c r="F1387" s="315">
        <v>160</v>
      </c>
      <c r="G1387" s="260"/>
      <c r="H1387" s="260"/>
      <c r="I1387" s="309"/>
      <c r="J1387" s="199"/>
      <c r="K1387" s="269"/>
      <c r="L1387" s="93">
        <f t="shared" si="339"/>
        <v>0</v>
      </c>
      <c r="M1387" s="183"/>
      <c r="N1387" s="95">
        <f t="shared" si="341"/>
        <v>0</v>
      </c>
      <c r="O1387" s="95">
        <f t="shared" si="342"/>
        <v>0</v>
      </c>
      <c r="P1387" s="94">
        <f t="shared" si="343"/>
        <v>0</v>
      </c>
      <c r="Q1387" s="95">
        <f t="shared" si="344"/>
        <v>0</v>
      </c>
      <c r="R1387" s="96"/>
      <c r="S1387" s="97">
        <f t="shared" si="345"/>
        <v>0</v>
      </c>
      <c r="T1387" s="98">
        <f t="shared" ref="T1387:T1450" si="346">M1387-S1387</f>
        <v>0</v>
      </c>
    </row>
    <row r="1388" spans="2:31" ht="20.100000000000001" customHeight="1">
      <c r="B1388" s="88">
        <v>11</v>
      </c>
      <c r="C1388" s="89" t="s">
        <v>3129</v>
      </c>
      <c r="D1388" s="90" t="s">
        <v>3148</v>
      </c>
      <c r="E1388" s="91" t="s">
        <v>3149</v>
      </c>
      <c r="F1388" s="315">
        <v>160</v>
      </c>
      <c r="G1388" s="260">
        <v>2</v>
      </c>
      <c r="H1388" s="260"/>
      <c r="I1388" s="309"/>
      <c r="J1388" s="199"/>
      <c r="K1388" s="269"/>
      <c r="L1388" s="93">
        <f t="shared" si="339"/>
        <v>2</v>
      </c>
      <c r="M1388" s="183">
        <v>2</v>
      </c>
      <c r="N1388" s="95">
        <f t="shared" ref="N1388:N1451" si="347">F1388*L1388</f>
        <v>320</v>
      </c>
      <c r="O1388" s="95">
        <f t="shared" ref="O1388:O1451" si="348">M1388*F1388</f>
        <v>320</v>
      </c>
      <c r="P1388" s="94">
        <f t="shared" ref="P1388:P1451" si="349">L1388-M1388</f>
        <v>0</v>
      </c>
      <c r="Q1388" s="95">
        <f t="shared" ref="Q1388:Q1451" si="350">N1388-O1388</f>
        <v>0</v>
      </c>
      <c r="R1388" s="96"/>
      <c r="S1388" s="97">
        <f t="shared" ref="S1388:S1451" si="351">U1388+Y1388+W1388+AA1388</f>
        <v>0</v>
      </c>
      <c r="T1388" s="98">
        <f t="shared" si="346"/>
        <v>2</v>
      </c>
    </row>
    <row r="1389" spans="2:31" ht="20.100000000000001" customHeight="1">
      <c r="B1389" s="88">
        <v>11</v>
      </c>
      <c r="C1389" s="89" t="s">
        <v>3129</v>
      </c>
      <c r="D1389" s="90" t="s">
        <v>3150</v>
      </c>
      <c r="E1389" s="91" t="s">
        <v>3151</v>
      </c>
      <c r="F1389" s="315">
        <v>75</v>
      </c>
      <c r="G1389" s="260">
        <v>7</v>
      </c>
      <c r="H1389" s="260"/>
      <c r="I1389" s="309"/>
      <c r="J1389" s="199"/>
      <c r="K1389" s="269"/>
      <c r="L1389" s="93">
        <f t="shared" si="339"/>
        <v>7</v>
      </c>
      <c r="M1389" s="183">
        <v>7</v>
      </c>
      <c r="N1389" s="95">
        <f t="shared" si="347"/>
        <v>525</v>
      </c>
      <c r="O1389" s="95">
        <f t="shared" si="348"/>
        <v>525</v>
      </c>
      <c r="P1389" s="94">
        <f t="shared" si="349"/>
        <v>0</v>
      </c>
      <c r="Q1389" s="95">
        <f t="shared" si="350"/>
        <v>0</v>
      </c>
      <c r="R1389" s="96" t="s">
        <v>821</v>
      </c>
      <c r="S1389" s="97">
        <f t="shared" si="351"/>
        <v>0</v>
      </c>
      <c r="T1389" s="98">
        <f t="shared" si="346"/>
        <v>7</v>
      </c>
    </row>
    <row r="1390" spans="2:31" ht="20.100000000000001" customHeight="1">
      <c r="B1390" s="88">
        <v>11</v>
      </c>
      <c r="C1390" s="89" t="s">
        <v>3129</v>
      </c>
      <c r="D1390" s="90" t="s">
        <v>3152</v>
      </c>
      <c r="E1390" s="91" t="s">
        <v>3153</v>
      </c>
      <c r="F1390" s="315">
        <v>140</v>
      </c>
      <c r="G1390" s="260">
        <v>1</v>
      </c>
      <c r="H1390" s="260"/>
      <c r="I1390" s="309"/>
      <c r="J1390" s="199"/>
      <c r="K1390" s="269"/>
      <c r="L1390" s="93">
        <f t="shared" si="339"/>
        <v>1</v>
      </c>
      <c r="M1390" s="183">
        <v>1</v>
      </c>
      <c r="N1390" s="95">
        <f t="shared" si="347"/>
        <v>140</v>
      </c>
      <c r="O1390" s="95">
        <f t="shared" si="348"/>
        <v>140</v>
      </c>
      <c r="P1390" s="94">
        <f t="shared" si="349"/>
        <v>0</v>
      </c>
      <c r="Q1390" s="95">
        <f t="shared" si="350"/>
        <v>0</v>
      </c>
      <c r="R1390" s="96"/>
      <c r="S1390" s="97">
        <f t="shared" si="351"/>
        <v>1</v>
      </c>
      <c r="T1390" s="98">
        <f t="shared" si="346"/>
        <v>0</v>
      </c>
      <c r="U1390">
        <v>1</v>
      </c>
    </row>
    <row r="1391" spans="2:31" ht="20.100000000000001" customHeight="1">
      <c r="B1391" s="88">
        <v>11</v>
      </c>
      <c r="C1391" s="89" t="s">
        <v>3129</v>
      </c>
      <c r="D1391" s="90" t="s">
        <v>3154</v>
      </c>
      <c r="E1391" s="91" t="s">
        <v>3155</v>
      </c>
      <c r="F1391" s="315">
        <v>105</v>
      </c>
      <c r="G1391" s="260">
        <v>1</v>
      </c>
      <c r="H1391" s="260"/>
      <c r="I1391" s="309"/>
      <c r="J1391" s="199"/>
      <c r="K1391" s="269"/>
      <c r="L1391" s="93">
        <f t="shared" si="339"/>
        <v>1</v>
      </c>
      <c r="M1391" s="183">
        <v>1</v>
      </c>
      <c r="N1391" s="95">
        <f t="shared" si="347"/>
        <v>105</v>
      </c>
      <c r="O1391" s="95">
        <f t="shared" si="348"/>
        <v>105</v>
      </c>
      <c r="P1391" s="94">
        <f t="shared" si="349"/>
        <v>0</v>
      </c>
      <c r="Q1391" s="95">
        <f t="shared" si="350"/>
        <v>0</v>
      </c>
      <c r="R1391" s="96"/>
      <c r="S1391" s="97">
        <f t="shared" si="351"/>
        <v>0</v>
      </c>
      <c r="T1391" s="98">
        <f t="shared" si="346"/>
        <v>1</v>
      </c>
    </row>
    <row r="1392" spans="2:31" ht="20.100000000000001" customHeight="1">
      <c r="B1392" s="88">
        <v>11</v>
      </c>
      <c r="C1392" s="89" t="s">
        <v>3129</v>
      </c>
      <c r="D1392" s="90" t="s">
        <v>3156</v>
      </c>
      <c r="E1392" s="91" t="s">
        <v>3157</v>
      </c>
      <c r="F1392" s="315">
        <v>293.83</v>
      </c>
      <c r="G1392" s="260">
        <v>2</v>
      </c>
      <c r="H1392" s="260"/>
      <c r="I1392" s="309"/>
      <c r="J1392" s="199"/>
      <c r="K1392" s="269"/>
      <c r="L1392" s="93">
        <f t="shared" si="339"/>
        <v>2</v>
      </c>
      <c r="M1392" s="183">
        <v>2</v>
      </c>
      <c r="N1392" s="95">
        <f t="shared" si="347"/>
        <v>587.66</v>
      </c>
      <c r="O1392" s="95">
        <f t="shared" si="348"/>
        <v>587.66</v>
      </c>
      <c r="P1392" s="94">
        <f t="shared" si="349"/>
        <v>0</v>
      </c>
      <c r="Q1392" s="95">
        <f t="shared" si="350"/>
        <v>0</v>
      </c>
      <c r="R1392" s="96"/>
      <c r="S1392" s="97">
        <f t="shared" si="351"/>
        <v>0</v>
      </c>
      <c r="T1392" s="98">
        <f t="shared" si="346"/>
        <v>2</v>
      </c>
    </row>
    <row r="1393" spans="2:20" ht="20.100000000000001" customHeight="1">
      <c r="B1393" s="88">
        <v>11</v>
      </c>
      <c r="C1393" s="89" t="s">
        <v>3129</v>
      </c>
      <c r="D1393" s="90" t="s">
        <v>3158</v>
      </c>
      <c r="E1393" s="91" t="s">
        <v>3159</v>
      </c>
      <c r="F1393" s="315">
        <v>227.33</v>
      </c>
      <c r="G1393" s="260">
        <v>2</v>
      </c>
      <c r="H1393" s="260"/>
      <c r="I1393" s="309"/>
      <c r="J1393" s="199"/>
      <c r="K1393" s="269"/>
      <c r="L1393" s="93">
        <f t="shared" si="339"/>
        <v>2</v>
      </c>
      <c r="M1393" s="183">
        <v>2</v>
      </c>
      <c r="N1393" s="95">
        <f t="shared" si="347"/>
        <v>454.66</v>
      </c>
      <c r="O1393" s="95">
        <f t="shared" si="348"/>
        <v>454.66</v>
      </c>
      <c r="P1393" s="94">
        <f t="shared" si="349"/>
        <v>0</v>
      </c>
      <c r="Q1393" s="95">
        <f t="shared" si="350"/>
        <v>0</v>
      </c>
      <c r="R1393" s="96"/>
      <c r="S1393" s="97">
        <f t="shared" si="351"/>
        <v>0</v>
      </c>
      <c r="T1393" s="98">
        <f t="shared" si="346"/>
        <v>2</v>
      </c>
    </row>
    <row r="1394" spans="2:20" ht="20.100000000000001" customHeight="1">
      <c r="B1394" s="88">
        <v>11</v>
      </c>
      <c r="C1394" s="89" t="s">
        <v>3129</v>
      </c>
      <c r="D1394" s="90" t="s">
        <v>3160</v>
      </c>
      <c r="E1394" s="91" t="s">
        <v>3161</v>
      </c>
      <c r="F1394" s="315">
        <v>120</v>
      </c>
      <c r="G1394" s="260"/>
      <c r="H1394" s="260"/>
      <c r="I1394" s="309"/>
      <c r="J1394" s="199"/>
      <c r="K1394" s="269"/>
      <c r="L1394" s="93">
        <f t="shared" ref="L1394:L1457" si="352">G1394+I1394-J1394-K1394+H1394</f>
        <v>0</v>
      </c>
      <c r="M1394" s="183"/>
      <c r="N1394" s="95">
        <f t="shared" si="347"/>
        <v>0</v>
      </c>
      <c r="O1394" s="95">
        <f t="shared" si="348"/>
        <v>0</v>
      </c>
      <c r="P1394" s="94">
        <f t="shared" si="349"/>
        <v>0</v>
      </c>
      <c r="Q1394" s="95">
        <f t="shared" si="350"/>
        <v>0</v>
      </c>
      <c r="R1394" s="96"/>
      <c r="S1394" s="97">
        <f t="shared" si="351"/>
        <v>0</v>
      </c>
      <c r="T1394" s="98">
        <f t="shared" si="346"/>
        <v>0</v>
      </c>
    </row>
    <row r="1395" spans="2:20" ht="20.100000000000001" customHeight="1">
      <c r="B1395" s="88">
        <v>11</v>
      </c>
      <c r="C1395" s="89" t="s">
        <v>3129</v>
      </c>
      <c r="D1395" s="90" t="s">
        <v>3162</v>
      </c>
      <c r="E1395" s="91" t="s">
        <v>3163</v>
      </c>
      <c r="F1395" s="315">
        <v>120</v>
      </c>
      <c r="G1395" s="260"/>
      <c r="H1395" s="260"/>
      <c r="I1395" s="309"/>
      <c r="J1395" s="199"/>
      <c r="K1395" s="269"/>
      <c r="L1395" s="93">
        <f t="shared" si="352"/>
        <v>0</v>
      </c>
      <c r="M1395" s="183"/>
      <c r="N1395" s="95">
        <f t="shared" si="347"/>
        <v>0</v>
      </c>
      <c r="O1395" s="95">
        <f t="shared" si="348"/>
        <v>0</v>
      </c>
      <c r="P1395" s="94">
        <f t="shared" si="349"/>
        <v>0</v>
      </c>
      <c r="Q1395" s="95">
        <f t="shared" si="350"/>
        <v>0</v>
      </c>
      <c r="R1395" s="96"/>
      <c r="S1395" s="97">
        <f t="shared" si="351"/>
        <v>0</v>
      </c>
      <c r="T1395" s="98">
        <f t="shared" si="346"/>
        <v>0</v>
      </c>
    </row>
    <row r="1396" spans="2:20" ht="20.100000000000001" customHeight="1">
      <c r="B1396" s="88">
        <v>11</v>
      </c>
      <c r="C1396" s="89" t="s">
        <v>3129</v>
      </c>
      <c r="D1396" s="90" t="s">
        <v>3164</v>
      </c>
      <c r="E1396" s="91" t="s">
        <v>3165</v>
      </c>
      <c r="F1396" s="315">
        <v>120</v>
      </c>
      <c r="G1396" s="260"/>
      <c r="H1396" s="260"/>
      <c r="I1396" s="309"/>
      <c r="J1396" s="199"/>
      <c r="K1396" s="269"/>
      <c r="L1396" s="93">
        <f t="shared" si="352"/>
        <v>0</v>
      </c>
      <c r="M1396" s="183"/>
      <c r="N1396" s="95">
        <f t="shared" si="347"/>
        <v>0</v>
      </c>
      <c r="O1396" s="95">
        <f t="shared" si="348"/>
        <v>0</v>
      </c>
      <c r="P1396" s="94">
        <f t="shared" si="349"/>
        <v>0</v>
      </c>
      <c r="Q1396" s="95">
        <f t="shared" si="350"/>
        <v>0</v>
      </c>
      <c r="R1396" s="96"/>
      <c r="S1396" s="97">
        <f t="shared" si="351"/>
        <v>0</v>
      </c>
      <c r="T1396" s="98">
        <f t="shared" si="346"/>
        <v>0</v>
      </c>
    </row>
    <row r="1397" spans="2:20" ht="20.100000000000001" customHeight="1">
      <c r="B1397" s="88">
        <v>11</v>
      </c>
      <c r="C1397" s="89" t="s">
        <v>3129</v>
      </c>
      <c r="D1397" s="90" t="s">
        <v>3166</v>
      </c>
      <c r="E1397" s="91" t="s">
        <v>3167</v>
      </c>
      <c r="F1397" s="315">
        <v>120</v>
      </c>
      <c r="G1397" s="260"/>
      <c r="H1397" s="260"/>
      <c r="I1397" s="309"/>
      <c r="J1397" s="199"/>
      <c r="K1397" s="269"/>
      <c r="L1397" s="93">
        <f t="shared" si="352"/>
        <v>0</v>
      </c>
      <c r="M1397" s="183"/>
      <c r="N1397" s="95">
        <f t="shared" si="347"/>
        <v>0</v>
      </c>
      <c r="O1397" s="95">
        <f t="shared" si="348"/>
        <v>0</v>
      </c>
      <c r="P1397" s="94">
        <f t="shared" si="349"/>
        <v>0</v>
      </c>
      <c r="Q1397" s="95">
        <f t="shared" si="350"/>
        <v>0</v>
      </c>
      <c r="R1397" s="96"/>
      <c r="S1397" s="97">
        <f t="shared" si="351"/>
        <v>0</v>
      </c>
      <c r="T1397" s="98">
        <f t="shared" si="346"/>
        <v>0</v>
      </c>
    </row>
    <row r="1398" spans="2:20" ht="20.100000000000001" customHeight="1">
      <c r="B1398" s="88">
        <v>11</v>
      </c>
      <c r="C1398" s="89" t="s">
        <v>3129</v>
      </c>
      <c r="D1398" s="90" t="s">
        <v>3168</v>
      </c>
      <c r="E1398" s="91" t="s">
        <v>3169</v>
      </c>
      <c r="F1398" s="315">
        <v>60</v>
      </c>
      <c r="G1398" s="260"/>
      <c r="H1398" s="260"/>
      <c r="I1398" s="309"/>
      <c r="J1398" s="199"/>
      <c r="K1398" s="269"/>
      <c r="L1398" s="93">
        <f t="shared" si="352"/>
        <v>0</v>
      </c>
      <c r="M1398" s="183"/>
      <c r="N1398" s="95">
        <f t="shared" si="347"/>
        <v>0</v>
      </c>
      <c r="O1398" s="95">
        <f t="shared" si="348"/>
        <v>0</v>
      </c>
      <c r="P1398" s="94">
        <f t="shared" si="349"/>
        <v>0</v>
      </c>
      <c r="Q1398" s="95">
        <f t="shared" si="350"/>
        <v>0</v>
      </c>
      <c r="R1398" s="96"/>
      <c r="S1398" s="97">
        <f t="shared" si="351"/>
        <v>0</v>
      </c>
      <c r="T1398" s="98">
        <f t="shared" si="346"/>
        <v>0</v>
      </c>
    </row>
    <row r="1399" spans="2:20" ht="20.100000000000001" customHeight="1">
      <c r="B1399" s="88">
        <v>11</v>
      </c>
      <c r="C1399" s="89" t="s">
        <v>3129</v>
      </c>
      <c r="D1399" s="90" t="s">
        <v>3170</v>
      </c>
      <c r="E1399" s="91" t="s">
        <v>3171</v>
      </c>
      <c r="F1399" s="315">
        <v>60</v>
      </c>
      <c r="G1399" s="260"/>
      <c r="H1399" s="260"/>
      <c r="I1399" s="309"/>
      <c r="J1399" s="199"/>
      <c r="K1399" s="269"/>
      <c r="L1399" s="93">
        <f t="shared" si="352"/>
        <v>0</v>
      </c>
      <c r="M1399" s="183"/>
      <c r="N1399" s="95">
        <f t="shared" si="347"/>
        <v>0</v>
      </c>
      <c r="O1399" s="95">
        <f t="shared" si="348"/>
        <v>0</v>
      </c>
      <c r="P1399" s="94">
        <f t="shared" si="349"/>
        <v>0</v>
      </c>
      <c r="Q1399" s="95">
        <f t="shared" si="350"/>
        <v>0</v>
      </c>
      <c r="R1399" s="96"/>
      <c r="S1399" s="97">
        <f t="shared" si="351"/>
        <v>0</v>
      </c>
      <c r="T1399" s="98">
        <f t="shared" si="346"/>
        <v>0</v>
      </c>
    </row>
    <row r="1400" spans="2:20" ht="20.100000000000001" customHeight="1">
      <c r="B1400" s="88">
        <v>11</v>
      </c>
      <c r="C1400" s="89" t="s">
        <v>3129</v>
      </c>
      <c r="D1400" s="90" t="s">
        <v>3172</v>
      </c>
      <c r="E1400" s="91" t="s">
        <v>3173</v>
      </c>
      <c r="F1400" s="315">
        <v>50</v>
      </c>
      <c r="G1400" s="260"/>
      <c r="H1400" s="260"/>
      <c r="I1400" s="309"/>
      <c r="J1400" s="199"/>
      <c r="K1400" s="269"/>
      <c r="L1400" s="93">
        <f t="shared" si="352"/>
        <v>0</v>
      </c>
      <c r="M1400" s="183"/>
      <c r="N1400" s="95">
        <f t="shared" si="347"/>
        <v>0</v>
      </c>
      <c r="O1400" s="95">
        <f t="shared" si="348"/>
        <v>0</v>
      </c>
      <c r="P1400" s="94">
        <f t="shared" si="349"/>
        <v>0</v>
      </c>
      <c r="Q1400" s="95">
        <f t="shared" si="350"/>
        <v>0</v>
      </c>
      <c r="R1400" s="96"/>
      <c r="S1400" s="97">
        <f t="shared" si="351"/>
        <v>0</v>
      </c>
      <c r="T1400" s="98">
        <f t="shared" si="346"/>
        <v>0</v>
      </c>
    </row>
    <row r="1401" spans="2:20" ht="20.100000000000001" customHeight="1">
      <c r="B1401" s="88">
        <v>11</v>
      </c>
      <c r="C1401" s="89" t="s">
        <v>3129</v>
      </c>
      <c r="D1401" s="90" t="s">
        <v>3174</v>
      </c>
      <c r="E1401" s="91" t="s">
        <v>3175</v>
      </c>
      <c r="F1401" s="315">
        <v>224</v>
      </c>
      <c r="G1401" s="260">
        <v>2</v>
      </c>
      <c r="H1401" s="260"/>
      <c r="I1401" s="309"/>
      <c r="J1401" s="199"/>
      <c r="K1401" s="269"/>
      <c r="L1401" s="93">
        <f t="shared" si="352"/>
        <v>2</v>
      </c>
      <c r="M1401" s="183">
        <v>2</v>
      </c>
      <c r="N1401" s="95">
        <f t="shared" si="347"/>
        <v>448</v>
      </c>
      <c r="O1401" s="95">
        <f t="shared" si="348"/>
        <v>448</v>
      </c>
      <c r="P1401" s="94">
        <f t="shared" si="349"/>
        <v>0</v>
      </c>
      <c r="Q1401" s="95">
        <f t="shared" si="350"/>
        <v>0</v>
      </c>
      <c r="R1401" s="96"/>
      <c r="S1401" s="97">
        <f t="shared" si="351"/>
        <v>0</v>
      </c>
      <c r="T1401" s="98">
        <f t="shared" si="346"/>
        <v>2</v>
      </c>
    </row>
    <row r="1402" spans="2:20" ht="20.100000000000001" customHeight="1">
      <c r="B1402" s="88">
        <v>11</v>
      </c>
      <c r="C1402" s="89" t="s">
        <v>3129</v>
      </c>
      <c r="D1402" s="90" t="s">
        <v>3176</v>
      </c>
      <c r="E1402" s="91" t="s">
        <v>3177</v>
      </c>
      <c r="F1402" s="315">
        <v>224</v>
      </c>
      <c r="G1402" s="260">
        <v>3</v>
      </c>
      <c r="H1402" s="260"/>
      <c r="I1402" s="309"/>
      <c r="J1402" s="199"/>
      <c r="K1402" s="269"/>
      <c r="L1402" s="93">
        <f t="shared" si="352"/>
        <v>3</v>
      </c>
      <c r="M1402" s="183">
        <v>3</v>
      </c>
      <c r="N1402" s="95">
        <f t="shared" si="347"/>
        <v>672</v>
      </c>
      <c r="O1402" s="95">
        <f t="shared" si="348"/>
        <v>672</v>
      </c>
      <c r="P1402" s="94">
        <f t="shared" si="349"/>
        <v>0</v>
      </c>
      <c r="Q1402" s="95">
        <f t="shared" si="350"/>
        <v>0</v>
      </c>
      <c r="R1402" s="96"/>
      <c r="S1402" s="97">
        <f t="shared" si="351"/>
        <v>0</v>
      </c>
      <c r="T1402" s="98">
        <f t="shared" si="346"/>
        <v>3</v>
      </c>
    </row>
    <row r="1403" spans="2:20" ht="20.100000000000001" customHeight="1">
      <c r="B1403" s="88">
        <v>11</v>
      </c>
      <c r="C1403" s="89" t="s">
        <v>3129</v>
      </c>
      <c r="D1403" s="90" t="s">
        <v>3178</v>
      </c>
      <c r="E1403" s="91" t="s">
        <v>3179</v>
      </c>
      <c r="F1403" s="315">
        <v>224</v>
      </c>
      <c r="G1403" s="260"/>
      <c r="H1403" s="260"/>
      <c r="I1403" s="309"/>
      <c r="J1403" s="199"/>
      <c r="K1403" s="269"/>
      <c r="L1403" s="93">
        <f t="shared" si="352"/>
        <v>0</v>
      </c>
      <c r="M1403" s="183"/>
      <c r="N1403" s="95">
        <f t="shared" si="347"/>
        <v>0</v>
      </c>
      <c r="O1403" s="95">
        <f t="shared" si="348"/>
        <v>0</v>
      </c>
      <c r="P1403" s="94">
        <f t="shared" si="349"/>
        <v>0</v>
      </c>
      <c r="Q1403" s="95">
        <f t="shared" si="350"/>
        <v>0</v>
      </c>
      <c r="R1403" s="96"/>
      <c r="S1403" s="97">
        <f t="shared" si="351"/>
        <v>0</v>
      </c>
      <c r="T1403" s="98">
        <f t="shared" si="346"/>
        <v>0</v>
      </c>
    </row>
    <row r="1404" spans="2:20" ht="20.100000000000001" customHeight="1">
      <c r="B1404" s="88">
        <v>11</v>
      </c>
      <c r="C1404" s="89" t="s">
        <v>3129</v>
      </c>
      <c r="D1404" s="90" t="s">
        <v>3180</v>
      </c>
      <c r="E1404" s="91" t="s">
        <v>3181</v>
      </c>
      <c r="F1404" s="315">
        <v>224</v>
      </c>
      <c r="G1404" s="260">
        <v>1</v>
      </c>
      <c r="H1404" s="260"/>
      <c r="I1404" s="309"/>
      <c r="J1404" s="199"/>
      <c r="K1404" s="269"/>
      <c r="L1404" s="93">
        <f t="shared" si="352"/>
        <v>1</v>
      </c>
      <c r="M1404" s="183">
        <v>1</v>
      </c>
      <c r="N1404" s="95">
        <f t="shared" si="347"/>
        <v>224</v>
      </c>
      <c r="O1404" s="95">
        <f t="shared" si="348"/>
        <v>224</v>
      </c>
      <c r="P1404" s="94">
        <f t="shared" si="349"/>
        <v>0</v>
      </c>
      <c r="Q1404" s="95">
        <f t="shared" si="350"/>
        <v>0</v>
      </c>
      <c r="R1404" s="96"/>
      <c r="S1404" s="97">
        <f t="shared" si="351"/>
        <v>0</v>
      </c>
      <c r="T1404" s="98">
        <f t="shared" si="346"/>
        <v>1</v>
      </c>
    </row>
    <row r="1405" spans="2:20" ht="20.100000000000001" customHeight="1">
      <c r="B1405" s="88">
        <v>11</v>
      </c>
      <c r="C1405" s="89" t="s">
        <v>3129</v>
      </c>
      <c r="D1405" s="90" t="s">
        <v>3182</v>
      </c>
      <c r="E1405" s="91" t="s">
        <v>3183</v>
      </c>
      <c r="F1405" s="315">
        <v>224</v>
      </c>
      <c r="G1405" s="260">
        <v>2</v>
      </c>
      <c r="H1405" s="260"/>
      <c r="I1405" s="309"/>
      <c r="J1405" s="199"/>
      <c r="K1405" s="269"/>
      <c r="L1405" s="93">
        <f t="shared" si="352"/>
        <v>2</v>
      </c>
      <c r="M1405" s="183">
        <v>2</v>
      </c>
      <c r="N1405" s="95">
        <f t="shared" si="347"/>
        <v>448</v>
      </c>
      <c r="O1405" s="95">
        <f t="shared" si="348"/>
        <v>448</v>
      </c>
      <c r="P1405" s="94">
        <f t="shared" si="349"/>
        <v>0</v>
      </c>
      <c r="Q1405" s="95">
        <f t="shared" si="350"/>
        <v>0</v>
      </c>
      <c r="R1405" s="96"/>
      <c r="S1405" s="97">
        <f t="shared" si="351"/>
        <v>0</v>
      </c>
      <c r="T1405" s="98">
        <f t="shared" si="346"/>
        <v>2</v>
      </c>
    </row>
    <row r="1406" spans="2:20" ht="20.100000000000001" customHeight="1">
      <c r="B1406" s="88">
        <v>11</v>
      </c>
      <c r="C1406" s="89" t="s">
        <v>3129</v>
      </c>
      <c r="D1406" s="90" t="s">
        <v>3184</v>
      </c>
      <c r="E1406" s="91" t="s">
        <v>3185</v>
      </c>
      <c r="F1406" s="315">
        <v>224</v>
      </c>
      <c r="G1406" s="260">
        <v>1</v>
      </c>
      <c r="H1406" s="260"/>
      <c r="I1406" s="309"/>
      <c r="J1406" s="199"/>
      <c r="K1406" s="269"/>
      <c r="L1406" s="93">
        <f t="shared" si="352"/>
        <v>1</v>
      </c>
      <c r="M1406" s="183">
        <v>1</v>
      </c>
      <c r="N1406" s="95">
        <f t="shared" si="347"/>
        <v>224</v>
      </c>
      <c r="O1406" s="95">
        <f t="shared" si="348"/>
        <v>224</v>
      </c>
      <c r="P1406" s="94">
        <f t="shared" si="349"/>
        <v>0</v>
      </c>
      <c r="Q1406" s="95">
        <f t="shared" si="350"/>
        <v>0</v>
      </c>
      <c r="R1406" s="96"/>
      <c r="S1406" s="97">
        <f t="shared" si="351"/>
        <v>0</v>
      </c>
      <c r="T1406" s="98">
        <f t="shared" si="346"/>
        <v>1</v>
      </c>
    </row>
    <row r="1407" spans="2:20" ht="20.100000000000001" customHeight="1">
      <c r="B1407" s="88">
        <v>11</v>
      </c>
      <c r="C1407" s="89" t="s">
        <v>3129</v>
      </c>
      <c r="D1407" s="90" t="s">
        <v>3186</v>
      </c>
      <c r="E1407" s="91" t="s">
        <v>3187</v>
      </c>
      <c r="F1407" s="315">
        <v>224</v>
      </c>
      <c r="G1407" s="260"/>
      <c r="H1407" s="260"/>
      <c r="I1407" s="309"/>
      <c r="J1407" s="199"/>
      <c r="K1407" s="269"/>
      <c r="L1407" s="93">
        <f t="shared" si="352"/>
        <v>0</v>
      </c>
      <c r="M1407" s="183"/>
      <c r="N1407" s="95">
        <f t="shared" si="347"/>
        <v>0</v>
      </c>
      <c r="O1407" s="95">
        <f t="shared" si="348"/>
        <v>0</v>
      </c>
      <c r="P1407" s="94">
        <f t="shared" si="349"/>
        <v>0</v>
      </c>
      <c r="Q1407" s="95">
        <f t="shared" si="350"/>
        <v>0</v>
      </c>
      <c r="R1407" s="96"/>
      <c r="S1407" s="97">
        <f t="shared" si="351"/>
        <v>0</v>
      </c>
      <c r="T1407" s="98">
        <f t="shared" si="346"/>
        <v>0</v>
      </c>
    </row>
    <row r="1408" spans="2:20" ht="20.100000000000001" customHeight="1">
      <c r="B1408" s="88">
        <v>11</v>
      </c>
      <c r="C1408" s="89" t="s">
        <v>3129</v>
      </c>
      <c r="D1408" s="90" t="s">
        <v>3188</v>
      </c>
      <c r="E1408" s="91" t="s">
        <v>3189</v>
      </c>
      <c r="F1408" s="315">
        <v>224</v>
      </c>
      <c r="G1408" s="260">
        <v>2</v>
      </c>
      <c r="H1408" s="260"/>
      <c r="I1408" s="309"/>
      <c r="J1408" s="199"/>
      <c r="K1408" s="269"/>
      <c r="L1408" s="93">
        <f t="shared" si="352"/>
        <v>2</v>
      </c>
      <c r="M1408" s="183">
        <v>2</v>
      </c>
      <c r="N1408" s="95">
        <f t="shared" si="347"/>
        <v>448</v>
      </c>
      <c r="O1408" s="95">
        <f t="shared" si="348"/>
        <v>448</v>
      </c>
      <c r="P1408" s="94">
        <f t="shared" si="349"/>
        <v>0</v>
      </c>
      <c r="Q1408" s="95">
        <f t="shared" si="350"/>
        <v>0</v>
      </c>
      <c r="R1408" s="96"/>
      <c r="S1408" s="97">
        <f t="shared" si="351"/>
        <v>0</v>
      </c>
      <c r="T1408" s="98">
        <f t="shared" si="346"/>
        <v>2</v>
      </c>
    </row>
    <row r="1409" spans="2:21" ht="20.100000000000001" customHeight="1">
      <c r="B1409" s="88">
        <v>11</v>
      </c>
      <c r="C1409" s="89" t="s">
        <v>3129</v>
      </c>
      <c r="D1409" s="90" t="s">
        <v>3190</v>
      </c>
      <c r="E1409" s="91" t="s">
        <v>3191</v>
      </c>
      <c r="F1409" s="315">
        <v>224</v>
      </c>
      <c r="G1409" s="260"/>
      <c r="H1409" s="260"/>
      <c r="I1409" s="309"/>
      <c r="J1409" s="199"/>
      <c r="K1409" s="269"/>
      <c r="L1409" s="93">
        <f t="shared" si="352"/>
        <v>0</v>
      </c>
      <c r="M1409" s="183"/>
      <c r="N1409" s="95">
        <f t="shared" si="347"/>
        <v>0</v>
      </c>
      <c r="O1409" s="95">
        <f t="shared" si="348"/>
        <v>0</v>
      </c>
      <c r="P1409" s="94">
        <f t="shared" si="349"/>
        <v>0</v>
      </c>
      <c r="Q1409" s="95">
        <f t="shared" si="350"/>
        <v>0</v>
      </c>
      <c r="R1409" s="96"/>
      <c r="S1409" s="97">
        <f t="shared" si="351"/>
        <v>0</v>
      </c>
      <c r="T1409" s="98">
        <f t="shared" si="346"/>
        <v>0</v>
      </c>
    </row>
    <row r="1410" spans="2:21" ht="20.100000000000001" customHeight="1">
      <c r="B1410" s="88">
        <v>11</v>
      </c>
      <c r="C1410" s="89" t="s">
        <v>3129</v>
      </c>
      <c r="D1410" s="90" t="s">
        <v>3192</v>
      </c>
      <c r="E1410" s="91" t="s">
        <v>3193</v>
      </c>
      <c r="F1410" s="315">
        <v>203</v>
      </c>
      <c r="G1410" s="260">
        <v>2</v>
      </c>
      <c r="H1410" s="260"/>
      <c r="I1410" s="309"/>
      <c r="J1410" s="199"/>
      <c r="K1410" s="269"/>
      <c r="L1410" s="93">
        <f t="shared" si="352"/>
        <v>2</v>
      </c>
      <c r="M1410" s="183">
        <v>2</v>
      </c>
      <c r="N1410" s="95">
        <f t="shared" si="347"/>
        <v>406</v>
      </c>
      <c r="O1410" s="95">
        <f t="shared" si="348"/>
        <v>406</v>
      </c>
      <c r="P1410" s="94">
        <f t="shared" si="349"/>
        <v>0</v>
      </c>
      <c r="Q1410" s="95">
        <f t="shared" si="350"/>
        <v>0</v>
      </c>
      <c r="R1410" s="96"/>
      <c r="S1410" s="97">
        <f t="shared" si="351"/>
        <v>0</v>
      </c>
      <c r="T1410" s="98">
        <f t="shared" si="346"/>
        <v>2</v>
      </c>
    </row>
    <row r="1411" spans="2:21" ht="20.100000000000001" customHeight="1">
      <c r="B1411" s="88">
        <v>11</v>
      </c>
      <c r="C1411" s="89" t="s">
        <v>3129</v>
      </c>
      <c r="D1411" s="90" t="s">
        <v>3194</v>
      </c>
      <c r="E1411" s="91" t="s">
        <v>3195</v>
      </c>
      <c r="F1411" s="315">
        <v>203</v>
      </c>
      <c r="G1411" s="260">
        <v>1</v>
      </c>
      <c r="H1411" s="260"/>
      <c r="I1411" s="309"/>
      <c r="J1411" s="199"/>
      <c r="K1411" s="269"/>
      <c r="L1411" s="93">
        <f t="shared" si="352"/>
        <v>1</v>
      </c>
      <c r="M1411" s="183">
        <v>1</v>
      </c>
      <c r="N1411" s="95">
        <f t="shared" si="347"/>
        <v>203</v>
      </c>
      <c r="O1411" s="95">
        <f t="shared" si="348"/>
        <v>203</v>
      </c>
      <c r="P1411" s="94">
        <f t="shared" si="349"/>
        <v>0</v>
      </c>
      <c r="Q1411" s="95">
        <f t="shared" si="350"/>
        <v>0</v>
      </c>
      <c r="R1411" s="96"/>
      <c r="S1411" s="97">
        <f t="shared" si="351"/>
        <v>0</v>
      </c>
      <c r="T1411" s="98">
        <f t="shared" si="346"/>
        <v>1</v>
      </c>
    </row>
    <row r="1412" spans="2:21" ht="20.100000000000001" customHeight="1">
      <c r="B1412" s="88">
        <v>11</v>
      </c>
      <c r="C1412" s="89" t="s">
        <v>3129</v>
      </c>
      <c r="D1412" s="90" t="s">
        <v>3196</v>
      </c>
      <c r="E1412" s="91" t="s">
        <v>3197</v>
      </c>
      <c r="F1412" s="315">
        <v>203</v>
      </c>
      <c r="G1412" s="260">
        <v>1</v>
      </c>
      <c r="H1412" s="260"/>
      <c r="I1412" s="309"/>
      <c r="J1412" s="199"/>
      <c r="K1412" s="269"/>
      <c r="L1412" s="93">
        <f t="shared" si="352"/>
        <v>1</v>
      </c>
      <c r="M1412" s="183">
        <v>1</v>
      </c>
      <c r="N1412" s="95">
        <f t="shared" si="347"/>
        <v>203</v>
      </c>
      <c r="O1412" s="95">
        <f t="shared" si="348"/>
        <v>203</v>
      </c>
      <c r="P1412" s="94">
        <f t="shared" si="349"/>
        <v>0</v>
      </c>
      <c r="Q1412" s="95">
        <f t="shared" si="350"/>
        <v>0</v>
      </c>
      <c r="R1412" s="96"/>
      <c r="S1412" s="97">
        <f t="shared" si="351"/>
        <v>0</v>
      </c>
      <c r="T1412" s="98">
        <f t="shared" si="346"/>
        <v>1</v>
      </c>
    </row>
    <row r="1413" spans="2:21" ht="20.100000000000001" customHeight="1">
      <c r="B1413" s="88">
        <v>11</v>
      </c>
      <c r="C1413" s="89" t="s">
        <v>3129</v>
      </c>
      <c r="D1413" s="90" t="s">
        <v>3198</v>
      </c>
      <c r="E1413" s="91" t="s">
        <v>3199</v>
      </c>
      <c r="F1413" s="315">
        <v>210</v>
      </c>
      <c r="G1413" s="260"/>
      <c r="H1413" s="260"/>
      <c r="I1413" s="309"/>
      <c r="J1413" s="199"/>
      <c r="K1413" s="269"/>
      <c r="L1413" s="93">
        <f t="shared" si="352"/>
        <v>0</v>
      </c>
      <c r="M1413" s="183"/>
      <c r="N1413" s="95">
        <f t="shared" si="347"/>
        <v>0</v>
      </c>
      <c r="O1413" s="95">
        <f t="shared" si="348"/>
        <v>0</v>
      </c>
      <c r="P1413" s="94">
        <f t="shared" si="349"/>
        <v>0</v>
      </c>
      <c r="Q1413" s="95">
        <f t="shared" si="350"/>
        <v>0</v>
      </c>
      <c r="R1413" s="96"/>
      <c r="S1413" s="97">
        <f t="shared" si="351"/>
        <v>0</v>
      </c>
      <c r="T1413" s="98">
        <f t="shared" si="346"/>
        <v>0</v>
      </c>
    </row>
    <row r="1414" spans="2:21" ht="20.100000000000001" customHeight="1">
      <c r="B1414" s="88">
        <v>11</v>
      </c>
      <c r="C1414" s="89" t="s">
        <v>3129</v>
      </c>
      <c r="D1414" s="90" t="s">
        <v>3200</v>
      </c>
      <c r="E1414" s="91" t="s">
        <v>3201</v>
      </c>
      <c r="F1414" s="315">
        <v>210</v>
      </c>
      <c r="G1414" s="260">
        <v>1</v>
      </c>
      <c r="H1414" s="260"/>
      <c r="I1414" s="309"/>
      <c r="J1414" s="199"/>
      <c r="K1414" s="269"/>
      <c r="L1414" s="93">
        <f t="shared" si="352"/>
        <v>1</v>
      </c>
      <c r="M1414" s="183">
        <v>1</v>
      </c>
      <c r="N1414" s="95">
        <f t="shared" si="347"/>
        <v>210</v>
      </c>
      <c r="O1414" s="95">
        <f t="shared" si="348"/>
        <v>210</v>
      </c>
      <c r="P1414" s="94">
        <f t="shared" si="349"/>
        <v>0</v>
      </c>
      <c r="Q1414" s="95">
        <f t="shared" si="350"/>
        <v>0</v>
      </c>
      <c r="R1414" s="96"/>
      <c r="S1414" s="97">
        <f t="shared" si="351"/>
        <v>0</v>
      </c>
      <c r="T1414" s="98">
        <f t="shared" si="346"/>
        <v>1</v>
      </c>
    </row>
    <row r="1415" spans="2:21" ht="20.100000000000001" customHeight="1">
      <c r="B1415" s="88">
        <v>11</v>
      </c>
      <c r="C1415" s="89" t="s">
        <v>3129</v>
      </c>
      <c r="D1415" s="90" t="s">
        <v>3202</v>
      </c>
      <c r="E1415" s="91" t="s">
        <v>3203</v>
      </c>
      <c r="F1415" s="315">
        <v>112</v>
      </c>
      <c r="G1415" s="260">
        <v>2</v>
      </c>
      <c r="H1415" s="260"/>
      <c r="I1415" s="309"/>
      <c r="J1415" s="199"/>
      <c r="K1415" s="269"/>
      <c r="L1415" s="93">
        <f t="shared" si="352"/>
        <v>2</v>
      </c>
      <c r="M1415" s="183">
        <v>2</v>
      </c>
      <c r="N1415" s="95">
        <f t="shared" si="347"/>
        <v>224</v>
      </c>
      <c r="O1415" s="95">
        <f t="shared" si="348"/>
        <v>224</v>
      </c>
      <c r="P1415" s="94">
        <f t="shared" si="349"/>
        <v>0</v>
      </c>
      <c r="Q1415" s="95">
        <f t="shared" si="350"/>
        <v>0</v>
      </c>
      <c r="R1415" s="96"/>
      <c r="S1415" s="97">
        <f t="shared" si="351"/>
        <v>2</v>
      </c>
      <c r="T1415" s="98">
        <f t="shared" si="346"/>
        <v>0</v>
      </c>
      <c r="U1415">
        <v>2</v>
      </c>
    </row>
    <row r="1416" spans="2:21" ht="20.100000000000001" customHeight="1">
      <c r="B1416" s="88">
        <v>11</v>
      </c>
      <c r="C1416" s="89" t="s">
        <v>3129</v>
      </c>
      <c r="D1416" s="90" t="s">
        <v>3204</v>
      </c>
      <c r="E1416" s="91" t="s">
        <v>3205</v>
      </c>
      <c r="F1416" s="315">
        <v>144</v>
      </c>
      <c r="G1416" s="260">
        <v>5</v>
      </c>
      <c r="H1416" s="260"/>
      <c r="I1416" s="309"/>
      <c r="J1416" s="199"/>
      <c r="K1416" s="269"/>
      <c r="L1416" s="93">
        <f t="shared" si="352"/>
        <v>5</v>
      </c>
      <c r="M1416" s="183">
        <v>5</v>
      </c>
      <c r="N1416" s="95">
        <f t="shared" si="347"/>
        <v>720</v>
      </c>
      <c r="O1416" s="95">
        <f t="shared" si="348"/>
        <v>720</v>
      </c>
      <c r="P1416" s="94">
        <f t="shared" si="349"/>
        <v>0</v>
      </c>
      <c r="Q1416" s="95">
        <f t="shared" si="350"/>
        <v>0</v>
      </c>
      <c r="R1416" s="96"/>
      <c r="S1416" s="97">
        <f t="shared" si="351"/>
        <v>5</v>
      </c>
      <c r="T1416" s="98">
        <f t="shared" si="346"/>
        <v>0</v>
      </c>
      <c r="U1416">
        <v>5</v>
      </c>
    </row>
    <row r="1417" spans="2:21" ht="20.100000000000001" customHeight="1">
      <c r="B1417" s="88">
        <v>11</v>
      </c>
      <c r="C1417" s="89" t="s">
        <v>3129</v>
      </c>
      <c r="D1417" s="90" t="s">
        <v>3206</v>
      </c>
      <c r="E1417" s="91" t="s">
        <v>3207</v>
      </c>
      <c r="F1417" s="315">
        <v>542.5</v>
      </c>
      <c r="G1417" s="260">
        <v>1</v>
      </c>
      <c r="H1417" s="260"/>
      <c r="I1417" s="309"/>
      <c r="J1417" s="199"/>
      <c r="K1417" s="269"/>
      <c r="L1417" s="93">
        <f t="shared" si="352"/>
        <v>1</v>
      </c>
      <c r="M1417" s="183">
        <v>1</v>
      </c>
      <c r="N1417" s="95">
        <f t="shared" si="347"/>
        <v>542.5</v>
      </c>
      <c r="O1417" s="95">
        <f t="shared" si="348"/>
        <v>542.5</v>
      </c>
      <c r="P1417" s="94">
        <f t="shared" si="349"/>
        <v>0</v>
      </c>
      <c r="Q1417" s="95">
        <f t="shared" si="350"/>
        <v>0</v>
      </c>
      <c r="R1417" s="96"/>
      <c r="S1417" s="97">
        <f t="shared" si="351"/>
        <v>1</v>
      </c>
      <c r="T1417" s="98">
        <f t="shared" si="346"/>
        <v>0</v>
      </c>
      <c r="U1417">
        <v>1</v>
      </c>
    </row>
    <row r="1418" spans="2:21" ht="20.100000000000001" customHeight="1">
      <c r="B1418" s="88">
        <v>11</v>
      </c>
      <c r="C1418" s="89" t="s">
        <v>3129</v>
      </c>
      <c r="D1418" s="90" t="s">
        <v>3208</v>
      </c>
      <c r="E1418" s="91" t="s">
        <v>3209</v>
      </c>
      <c r="F1418" s="315">
        <v>230.83</v>
      </c>
      <c r="G1418" s="260">
        <v>1</v>
      </c>
      <c r="H1418" s="260"/>
      <c r="I1418" s="309"/>
      <c r="J1418" s="199"/>
      <c r="K1418" s="269"/>
      <c r="L1418" s="93">
        <f t="shared" si="352"/>
        <v>1</v>
      </c>
      <c r="M1418" s="183">
        <v>1</v>
      </c>
      <c r="N1418" s="95">
        <f t="shared" si="347"/>
        <v>230.83</v>
      </c>
      <c r="O1418" s="95">
        <f t="shared" si="348"/>
        <v>230.83</v>
      </c>
      <c r="P1418" s="94">
        <f t="shared" si="349"/>
        <v>0</v>
      </c>
      <c r="Q1418" s="95">
        <f t="shared" si="350"/>
        <v>0</v>
      </c>
      <c r="R1418" s="96"/>
      <c r="S1418" s="97">
        <f t="shared" si="351"/>
        <v>1</v>
      </c>
      <c r="T1418" s="98">
        <f t="shared" si="346"/>
        <v>0</v>
      </c>
      <c r="U1418">
        <v>1</v>
      </c>
    </row>
    <row r="1419" spans="2:21" ht="20.100000000000001" customHeight="1">
      <c r="B1419" s="88">
        <v>11</v>
      </c>
      <c r="C1419" s="89" t="s">
        <v>3129</v>
      </c>
      <c r="D1419" s="90" t="s">
        <v>3210</v>
      </c>
      <c r="E1419" s="91" t="s">
        <v>3211</v>
      </c>
      <c r="F1419" s="315">
        <v>188.3</v>
      </c>
      <c r="G1419" s="260">
        <v>1</v>
      </c>
      <c r="H1419" s="260"/>
      <c r="I1419" s="309"/>
      <c r="J1419" s="199"/>
      <c r="K1419" s="269"/>
      <c r="L1419" s="93">
        <f t="shared" si="352"/>
        <v>1</v>
      </c>
      <c r="M1419" s="183">
        <v>1</v>
      </c>
      <c r="N1419" s="95">
        <f t="shared" si="347"/>
        <v>188.3</v>
      </c>
      <c r="O1419" s="95">
        <f t="shared" si="348"/>
        <v>188.3</v>
      </c>
      <c r="P1419" s="94">
        <f t="shared" si="349"/>
        <v>0</v>
      </c>
      <c r="Q1419" s="95">
        <f t="shared" si="350"/>
        <v>0</v>
      </c>
      <c r="R1419" s="96"/>
      <c r="S1419" s="97">
        <f t="shared" si="351"/>
        <v>1</v>
      </c>
      <c r="T1419" s="98">
        <f t="shared" si="346"/>
        <v>0</v>
      </c>
      <c r="U1419">
        <v>1</v>
      </c>
    </row>
    <row r="1420" spans="2:21" ht="20.100000000000001" customHeight="1">
      <c r="B1420" s="88">
        <v>11</v>
      </c>
      <c r="C1420" s="89" t="s">
        <v>3129</v>
      </c>
      <c r="D1420" s="90" t="s">
        <v>3212</v>
      </c>
      <c r="E1420" s="91" t="s">
        <v>3213</v>
      </c>
      <c r="F1420" s="315">
        <v>188.3</v>
      </c>
      <c r="G1420" s="260">
        <v>1</v>
      </c>
      <c r="H1420" s="260"/>
      <c r="I1420" s="309"/>
      <c r="J1420" s="199"/>
      <c r="K1420" s="269"/>
      <c r="L1420" s="93">
        <f t="shared" si="352"/>
        <v>1</v>
      </c>
      <c r="M1420" s="183">
        <v>1</v>
      </c>
      <c r="N1420" s="95">
        <f t="shared" si="347"/>
        <v>188.3</v>
      </c>
      <c r="O1420" s="95">
        <f t="shared" si="348"/>
        <v>188.3</v>
      </c>
      <c r="P1420" s="94">
        <f t="shared" si="349"/>
        <v>0</v>
      </c>
      <c r="Q1420" s="95">
        <f t="shared" si="350"/>
        <v>0</v>
      </c>
      <c r="R1420" s="96"/>
      <c r="S1420" s="97">
        <f t="shared" si="351"/>
        <v>1</v>
      </c>
      <c r="T1420" s="98">
        <f t="shared" si="346"/>
        <v>0</v>
      </c>
      <c r="U1420">
        <v>1</v>
      </c>
    </row>
    <row r="1421" spans="2:21" ht="20.100000000000001" customHeight="1">
      <c r="B1421" s="88">
        <v>11</v>
      </c>
      <c r="C1421" s="89" t="s">
        <v>3129</v>
      </c>
      <c r="D1421" s="90" t="s">
        <v>3214</v>
      </c>
      <c r="E1421" s="91" t="s">
        <v>3215</v>
      </c>
      <c r="F1421" s="315">
        <v>188.3</v>
      </c>
      <c r="G1421" s="260">
        <v>1</v>
      </c>
      <c r="H1421" s="260"/>
      <c r="I1421" s="309"/>
      <c r="J1421" s="199"/>
      <c r="K1421" s="269"/>
      <c r="L1421" s="93">
        <f t="shared" si="352"/>
        <v>1</v>
      </c>
      <c r="M1421" s="183">
        <v>1</v>
      </c>
      <c r="N1421" s="95">
        <f t="shared" si="347"/>
        <v>188.3</v>
      </c>
      <c r="O1421" s="95">
        <f t="shared" si="348"/>
        <v>188.3</v>
      </c>
      <c r="P1421" s="94">
        <f t="shared" si="349"/>
        <v>0</v>
      </c>
      <c r="Q1421" s="95">
        <f t="shared" si="350"/>
        <v>0</v>
      </c>
      <c r="R1421" s="96"/>
      <c r="S1421" s="97">
        <f t="shared" si="351"/>
        <v>1</v>
      </c>
      <c r="T1421" s="98">
        <f t="shared" si="346"/>
        <v>0</v>
      </c>
      <c r="U1421">
        <v>1</v>
      </c>
    </row>
    <row r="1422" spans="2:21" ht="20.100000000000001" customHeight="1">
      <c r="B1422" s="88">
        <v>11</v>
      </c>
      <c r="C1422" s="89" t="s">
        <v>3129</v>
      </c>
      <c r="D1422" s="90" t="s">
        <v>3216</v>
      </c>
      <c r="E1422" s="91" t="s">
        <v>3217</v>
      </c>
      <c r="F1422" s="315">
        <v>153.83000000000001</v>
      </c>
      <c r="G1422" s="260">
        <v>1</v>
      </c>
      <c r="H1422" s="260"/>
      <c r="I1422" s="309"/>
      <c r="J1422" s="199"/>
      <c r="K1422" s="269"/>
      <c r="L1422" s="93">
        <f t="shared" si="352"/>
        <v>1</v>
      </c>
      <c r="M1422" s="183">
        <v>1</v>
      </c>
      <c r="N1422" s="95">
        <f t="shared" si="347"/>
        <v>153.83000000000001</v>
      </c>
      <c r="O1422" s="95">
        <f t="shared" si="348"/>
        <v>153.83000000000001</v>
      </c>
      <c r="P1422" s="94">
        <f t="shared" si="349"/>
        <v>0</v>
      </c>
      <c r="Q1422" s="95">
        <f t="shared" si="350"/>
        <v>0</v>
      </c>
      <c r="R1422" s="96"/>
      <c r="S1422" s="97">
        <f t="shared" si="351"/>
        <v>1</v>
      </c>
      <c r="T1422" s="98">
        <f t="shared" si="346"/>
        <v>0</v>
      </c>
      <c r="U1422">
        <v>1</v>
      </c>
    </row>
    <row r="1423" spans="2:21" ht="20.100000000000001" customHeight="1">
      <c r="B1423" s="88">
        <v>11</v>
      </c>
      <c r="C1423" s="89" t="s">
        <v>3129</v>
      </c>
      <c r="D1423" s="90" t="s">
        <v>3218</v>
      </c>
      <c r="E1423" s="91" t="s">
        <v>3219</v>
      </c>
      <c r="F1423" s="315">
        <v>188.83</v>
      </c>
      <c r="G1423" s="260">
        <v>1</v>
      </c>
      <c r="H1423" s="260"/>
      <c r="I1423" s="309"/>
      <c r="J1423" s="199"/>
      <c r="K1423" s="269"/>
      <c r="L1423" s="93">
        <f t="shared" si="352"/>
        <v>1</v>
      </c>
      <c r="M1423" s="183">
        <v>1</v>
      </c>
      <c r="N1423" s="95">
        <f t="shared" si="347"/>
        <v>188.83</v>
      </c>
      <c r="O1423" s="95">
        <f t="shared" si="348"/>
        <v>188.83</v>
      </c>
      <c r="P1423" s="94">
        <f t="shared" si="349"/>
        <v>0</v>
      </c>
      <c r="Q1423" s="95">
        <f t="shared" si="350"/>
        <v>0</v>
      </c>
      <c r="R1423" s="96"/>
      <c r="S1423" s="97">
        <f t="shared" si="351"/>
        <v>1</v>
      </c>
      <c r="T1423" s="98">
        <f t="shared" si="346"/>
        <v>0</v>
      </c>
      <c r="U1423">
        <v>1</v>
      </c>
    </row>
    <row r="1424" spans="2:21" ht="20.100000000000001" customHeight="1">
      <c r="B1424" s="88">
        <v>11</v>
      </c>
      <c r="C1424" s="89" t="s">
        <v>3129</v>
      </c>
      <c r="D1424" s="90" t="s">
        <v>3220</v>
      </c>
      <c r="E1424" s="91" t="s">
        <v>3219</v>
      </c>
      <c r="F1424" s="315">
        <v>153.83000000000001</v>
      </c>
      <c r="G1424" s="260">
        <v>1</v>
      </c>
      <c r="H1424" s="260"/>
      <c r="I1424" s="309"/>
      <c r="J1424" s="199"/>
      <c r="K1424" s="269"/>
      <c r="L1424" s="93">
        <f t="shared" si="352"/>
        <v>1</v>
      </c>
      <c r="M1424" s="183">
        <v>1</v>
      </c>
      <c r="N1424" s="95">
        <f t="shared" si="347"/>
        <v>153.83000000000001</v>
      </c>
      <c r="O1424" s="95">
        <f t="shared" si="348"/>
        <v>153.83000000000001</v>
      </c>
      <c r="P1424" s="94">
        <f t="shared" si="349"/>
        <v>0</v>
      </c>
      <c r="Q1424" s="95">
        <f t="shared" si="350"/>
        <v>0</v>
      </c>
      <c r="R1424" s="96"/>
      <c r="S1424" s="97">
        <f t="shared" si="351"/>
        <v>1</v>
      </c>
      <c r="T1424" s="98">
        <f t="shared" si="346"/>
        <v>0</v>
      </c>
      <c r="U1424">
        <v>1</v>
      </c>
    </row>
    <row r="1425" spans="2:21" ht="20.100000000000001" customHeight="1">
      <c r="B1425" s="88">
        <v>11</v>
      </c>
      <c r="C1425" s="89" t="s">
        <v>3129</v>
      </c>
      <c r="D1425" s="90" t="s">
        <v>3221</v>
      </c>
      <c r="E1425" s="91" t="s">
        <v>3222</v>
      </c>
      <c r="F1425" s="315">
        <v>188.83</v>
      </c>
      <c r="G1425" s="260">
        <v>1</v>
      </c>
      <c r="H1425" s="260"/>
      <c r="I1425" s="309"/>
      <c r="J1425" s="199"/>
      <c r="K1425" s="269"/>
      <c r="L1425" s="93">
        <f t="shared" si="352"/>
        <v>1</v>
      </c>
      <c r="M1425" s="183">
        <v>1</v>
      </c>
      <c r="N1425" s="95">
        <f t="shared" si="347"/>
        <v>188.83</v>
      </c>
      <c r="O1425" s="95">
        <f t="shared" si="348"/>
        <v>188.83</v>
      </c>
      <c r="P1425" s="94">
        <f t="shared" si="349"/>
        <v>0</v>
      </c>
      <c r="Q1425" s="95">
        <f t="shared" si="350"/>
        <v>0</v>
      </c>
      <c r="R1425" s="96"/>
      <c r="S1425" s="97">
        <f t="shared" si="351"/>
        <v>1</v>
      </c>
      <c r="T1425" s="98">
        <f t="shared" si="346"/>
        <v>0</v>
      </c>
      <c r="U1425">
        <v>1</v>
      </c>
    </row>
    <row r="1426" spans="2:21" ht="20.100000000000001" customHeight="1">
      <c r="B1426" s="88">
        <v>11</v>
      </c>
      <c r="C1426" s="89" t="s">
        <v>3129</v>
      </c>
      <c r="D1426" s="90" t="s">
        <v>3223</v>
      </c>
      <c r="E1426" s="91" t="s">
        <v>3222</v>
      </c>
      <c r="F1426" s="315">
        <v>153.83000000000001</v>
      </c>
      <c r="G1426" s="260">
        <v>1</v>
      </c>
      <c r="H1426" s="260"/>
      <c r="I1426" s="309"/>
      <c r="J1426" s="199"/>
      <c r="K1426" s="269"/>
      <c r="L1426" s="93">
        <f t="shared" si="352"/>
        <v>1</v>
      </c>
      <c r="M1426" s="183">
        <v>1</v>
      </c>
      <c r="N1426" s="95">
        <f t="shared" si="347"/>
        <v>153.83000000000001</v>
      </c>
      <c r="O1426" s="95">
        <f t="shared" si="348"/>
        <v>153.83000000000001</v>
      </c>
      <c r="P1426" s="94">
        <f t="shared" si="349"/>
        <v>0</v>
      </c>
      <c r="Q1426" s="95">
        <f t="shared" si="350"/>
        <v>0</v>
      </c>
      <c r="R1426" s="96"/>
      <c r="S1426" s="97">
        <f t="shared" si="351"/>
        <v>1</v>
      </c>
      <c r="T1426" s="98">
        <f t="shared" si="346"/>
        <v>0</v>
      </c>
      <c r="U1426">
        <v>1</v>
      </c>
    </row>
    <row r="1427" spans="2:21" ht="20.100000000000001" customHeight="1">
      <c r="B1427" s="88">
        <v>11</v>
      </c>
      <c r="C1427" s="89" t="s">
        <v>3129</v>
      </c>
      <c r="D1427" s="90" t="s">
        <v>3224</v>
      </c>
      <c r="E1427" s="91" t="s">
        <v>3225</v>
      </c>
      <c r="F1427" s="315">
        <v>188.83</v>
      </c>
      <c r="G1427" s="260">
        <v>1</v>
      </c>
      <c r="H1427" s="260"/>
      <c r="I1427" s="309"/>
      <c r="J1427" s="199"/>
      <c r="K1427" s="269"/>
      <c r="L1427" s="93">
        <f t="shared" si="352"/>
        <v>1</v>
      </c>
      <c r="M1427" s="183">
        <v>1</v>
      </c>
      <c r="N1427" s="95">
        <f t="shared" si="347"/>
        <v>188.83</v>
      </c>
      <c r="O1427" s="95">
        <f t="shared" si="348"/>
        <v>188.83</v>
      </c>
      <c r="P1427" s="94">
        <f t="shared" si="349"/>
        <v>0</v>
      </c>
      <c r="Q1427" s="95">
        <f t="shared" si="350"/>
        <v>0</v>
      </c>
      <c r="R1427" s="96"/>
      <c r="S1427" s="97">
        <f t="shared" si="351"/>
        <v>1</v>
      </c>
      <c r="T1427" s="98">
        <f t="shared" si="346"/>
        <v>0</v>
      </c>
      <c r="U1427">
        <v>1</v>
      </c>
    </row>
    <row r="1428" spans="2:21" ht="20.100000000000001" customHeight="1">
      <c r="B1428" s="88">
        <v>11</v>
      </c>
      <c r="C1428" s="89" t="s">
        <v>3129</v>
      </c>
      <c r="D1428" s="90" t="s">
        <v>3226</v>
      </c>
      <c r="E1428" s="91" t="s">
        <v>3225</v>
      </c>
      <c r="F1428" s="315">
        <v>153.83000000000001</v>
      </c>
      <c r="G1428" s="260">
        <v>1</v>
      </c>
      <c r="H1428" s="260"/>
      <c r="I1428" s="309"/>
      <c r="J1428" s="199"/>
      <c r="K1428" s="269"/>
      <c r="L1428" s="93">
        <f t="shared" si="352"/>
        <v>1</v>
      </c>
      <c r="M1428" s="183">
        <v>1</v>
      </c>
      <c r="N1428" s="95">
        <f t="shared" si="347"/>
        <v>153.83000000000001</v>
      </c>
      <c r="O1428" s="95">
        <f t="shared" si="348"/>
        <v>153.83000000000001</v>
      </c>
      <c r="P1428" s="94">
        <f t="shared" si="349"/>
        <v>0</v>
      </c>
      <c r="Q1428" s="95">
        <f t="shared" si="350"/>
        <v>0</v>
      </c>
      <c r="R1428" s="96"/>
      <c r="S1428" s="97">
        <f t="shared" si="351"/>
        <v>1</v>
      </c>
      <c r="T1428" s="98">
        <f t="shared" si="346"/>
        <v>0</v>
      </c>
      <c r="U1428">
        <v>1</v>
      </c>
    </row>
    <row r="1429" spans="2:21" ht="20.100000000000001" customHeight="1">
      <c r="B1429" s="88">
        <v>11</v>
      </c>
      <c r="C1429" s="89" t="s">
        <v>3129</v>
      </c>
      <c r="D1429" s="90" t="s">
        <v>3227</v>
      </c>
      <c r="E1429" s="91" t="s">
        <v>3228</v>
      </c>
      <c r="F1429" s="315">
        <v>188.83</v>
      </c>
      <c r="G1429" s="260">
        <v>1</v>
      </c>
      <c r="H1429" s="260"/>
      <c r="I1429" s="309"/>
      <c r="J1429" s="199"/>
      <c r="K1429" s="269"/>
      <c r="L1429" s="93">
        <f t="shared" si="352"/>
        <v>1</v>
      </c>
      <c r="M1429" s="183">
        <v>1</v>
      </c>
      <c r="N1429" s="95">
        <f t="shared" si="347"/>
        <v>188.83</v>
      </c>
      <c r="O1429" s="95">
        <f t="shared" si="348"/>
        <v>188.83</v>
      </c>
      <c r="P1429" s="94">
        <f t="shared" si="349"/>
        <v>0</v>
      </c>
      <c r="Q1429" s="95">
        <f t="shared" si="350"/>
        <v>0</v>
      </c>
      <c r="R1429" s="96"/>
      <c r="S1429" s="97">
        <f t="shared" si="351"/>
        <v>1</v>
      </c>
      <c r="T1429" s="98">
        <f t="shared" si="346"/>
        <v>0</v>
      </c>
      <c r="U1429">
        <v>1</v>
      </c>
    </row>
    <row r="1430" spans="2:21" ht="20.100000000000001" customHeight="1">
      <c r="B1430" s="88">
        <v>11</v>
      </c>
      <c r="C1430" s="89" t="s">
        <v>3129</v>
      </c>
      <c r="D1430" s="90" t="s">
        <v>3229</v>
      </c>
      <c r="E1430" s="91" t="s">
        <v>3230</v>
      </c>
      <c r="F1430" s="315">
        <v>279.3</v>
      </c>
      <c r="G1430" s="260">
        <v>3</v>
      </c>
      <c r="H1430" s="260"/>
      <c r="I1430" s="309"/>
      <c r="J1430" s="199"/>
      <c r="K1430" s="269"/>
      <c r="L1430" s="93">
        <f t="shared" si="352"/>
        <v>3</v>
      </c>
      <c r="M1430" s="183">
        <v>3</v>
      </c>
      <c r="N1430" s="95">
        <f t="shared" si="347"/>
        <v>837.90000000000009</v>
      </c>
      <c r="O1430" s="95">
        <f t="shared" si="348"/>
        <v>837.90000000000009</v>
      </c>
      <c r="P1430" s="94">
        <f t="shared" si="349"/>
        <v>0</v>
      </c>
      <c r="Q1430" s="95">
        <f t="shared" si="350"/>
        <v>0</v>
      </c>
      <c r="R1430" s="96"/>
      <c r="S1430" s="97">
        <f t="shared" si="351"/>
        <v>3</v>
      </c>
      <c r="T1430" s="98">
        <f t="shared" si="346"/>
        <v>0</v>
      </c>
      <c r="U1430">
        <v>3</v>
      </c>
    </row>
    <row r="1431" spans="2:21" ht="20.100000000000001" customHeight="1">
      <c r="B1431" s="88">
        <v>11</v>
      </c>
      <c r="C1431" s="89" t="s">
        <v>3129</v>
      </c>
      <c r="D1431" s="90" t="s">
        <v>3231</v>
      </c>
      <c r="E1431" s="91" t="s">
        <v>3232</v>
      </c>
      <c r="F1431" s="315">
        <v>279.3</v>
      </c>
      <c r="G1431" s="260">
        <v>6</v>
      </c>
      <c r="H1431" s="260"/>
      <c r="I1431" s="309"/>
      <c r="J1431" s="199"/>
      <c r="K1431" s="269"/>
      <c r="L1431" s="93">
        <f t="shared" si="352"/>
        <v>6</v>
      </c>
      <c r="M1431" s="183">
        <v>6</v>
      </c>
      <c r="N1431" s="95">
        <f t="shared" si="347"/>
        <v>1675.8000000000002</v>
      </c>
      <c r="O1431" s="95">
        <f t="shared" si="348"/>
        <v>1675.8000000000002</v>
      </c>
      <c r="P1431" s="94">
        <f t="shared" si="349"/>
        <v>0</v>
      </c>
      <c r="Q1431" s="95">
        <f t="shared" si="350"/>
        <v>0</v>
      </c>
      <c r="R1431" s="96"/>
      <c r="S1431" s="97">
        <f t="shared" si="351"/>
        <v>6</v>
      </c>
      <c r="T1431" s="98">
        <f t="shared" si="346"/>
        <v>0</v>
      </c>
      <c r="U1431">
        <v>6</v>
      </c>
    </row>
    <row r="1432" spans="2:21" ht="20.100000000000001" customHeight="1">
      <c r="B1432" s="88">
        <v>11</v>
      </c>
      <c r="C1432" s="89" t="s">
        <v>3129</v>
      </c>
      <c r="D1432" s="90" t="s">
        <v>3233</v>
      </c>
      <c r="E1432" s="91" t="s">
        <v>3234</v>
      </c>
      <c r="F1432" s="315">
        <v>279.3</v>
      </c>
      <c r="G1432" s="260">
        <v>3</v>
      </c>
      <c r="H1432" s="260"/>
      <c r="I1432" s="309"/>
      <c r="J1432" s="199"/>
      <c r="K1432" s="269"/>
      <c r="L1432" s="93">
        <f t="shared" si="352"/>
        <v>3</v>
      </c>
      <c r="M1432" s="183">
        <v>3</v>
      </c>
      <c r="N1432" s="95">
        <f t="shared" si="347"/>
        <v>837.90000000000009</v>
      </c>
      <c r="O1432" s="95">
        <f t="shared" si="348"/>
        <v>837.90000000000009</v>
      </c>
      <c r="P1432" s="94">
        <f t="shared" si="349"/>
        <v>0</v>
      </c>
      <c r="Q1432" s="95">
        <f t="shared" si="350"/>
        <v>0</v>
      </c>
      <c r="R1432" s="96"/>
      <c r="S1432" s="97">
        <f t="shared" si="351"/>
        <v>3</v>
      </c>
      <c r="T1432" s="98">
        <f t="shared" si="346"/>
        <v>0</v>
      </c>
      <c r="U1432">
        <v>3</v>
      </c>
    </row>
    <row r="1433" spans="2:21" ht="20.100000000000001" customHeight="1">
      <c r="B1433" s="88">
        <v>11</v>
      </c>
      <c r="C1433" s="89" t="s">
        <v>3129</v>
      </c>
      <c r="D1433" s="90" t="s">
        <v>3235</v>
      </c>
      <c r="E1433" s="91" t="s">
        <v>3236</v>
      </c>
      <c r="F1433" s="315">
        <v>265.3</v>
      </c>
      <c r="G1433" s="260">
        <v>1</v>
      </c>
      <c r="H1433" s="260"/>
      <c r="I1433" s="309"/>
      <c r="J1433" s="199"/>
      <c r="K1433" s="269"/>
      <c r="L1433" s="93">
        <f t="shared" si="352"/>
        <v>1</v>
      </c>
      <c r="M1433" s="183">
        <v>1</v>
      </c>
      <c r="N1433" s="95">
        <f t="shared" si="347"/>
        <v>265.3</v>
      </c>
      <c r="O1433" s="95">
        <f t="shared" si="348"/>
        <v>265.3</v>
      </c>
      <c r="P1433" s="94">
        <f t="shared" si="349"/>
        <v>0</v>
      </c>
      <c r="Q1433" s="95">
        <f t="shared" si="350"/>
        <v>0</v>
      </c>
      <c r="R1433" s="96"/>
      <c r="S1433" s="97">
        <f t="shared" si="351"/>
        <v>1</v>
      </c>
      <c r="T1433" s="98">
        <f t="shared" si="346"/>
        <v>0</v>
      </c>
      <c r="U1433">
        <v>1</v>
      </c>
    </row>
    <row r="1434" spans="2:21" ht="20.100000000000001" customHeight="1">
      <c r="B1434" s="88">
        <v>11</v>
      </c>
      <c r="C1434" s="89" t="s">
        <v>3129</v>
      </c>
      <c r="D1434" s="90" t="s">
        <v>3237</v>
      </c>
      <c r="E1434" s="91" t="s">
        <v>3238</v>
      </c>
      <c r="F1434" s="315">
        <v>265.3</v>
      </c>
      <c r="G1434" s="260">
        <v>1</v>
      </c>
      <c r="H1434" s="260"/>
      <c r="I1434" s="309"/>
      <c r="J1434" s="199"/>
      <c r="K1434" s="269"/>
      <c r="L1434" s="93">
        <f t="shared" si="352"/>
        <v>1</v>
      </c>
      <c r="M1434" s="183">
        <v>1</v>
      </c>
      <c r="N1434" s="95">
        <f t="shared" si="347"/>
        <v>265.3</v>
      </c>
      <c r="O1434" s="95">
        <f t="shared" si="348"/>
        <v>265.3</v>
      </c>
      <c r="P1434" s="94">
        <f t="shared" si="349"/>
        <v>0</v>
      </c>
      <c r="Q1434" s="95">
        <f t="shared" si="350"/>
        <v>0</v>
      </c>
      <c r="R1434" s="96"/>
      <c r="S1434" s="97">
        <f t="shared" si="351"/>
        <v>1</v>
      </c>
      <c r="T1434" s="98">
        <f t="shared" si="346"/>
        <v>0</v>
      </c>
      <c r="U1434">
        <v>1</v>
      </c>
    </row>
    <row r="1435" spans="2:21" ht="20.100000000000001" customHeight="1">
      <c r="B1435" s="88">
        <v>11</v>
      </c>
      <c r="C1435" s="89" t="s">
        <v>3129</v>
      </c>
      <c r="D1435" s="90" t="s">
        <v>3239</v>
      </c>
      <c r="E1435" s="91" t="s">
        <v>3240</v>
      </c>
      <c r="F1435" s="315">
        <v>434</v>
      </c>
      <c r="G1435" s="260">
        <v>2</v>
      </c>
      <c r="H1435" s="260"/>
      <c r="I1435" s="309"/>
      <c r="J1435" s="199"/>
      <c r="K1435" s="269"/>
      <c r="L1435" s="93">
        <f t="shared" si="352"/>
        <v>2</v>
      </c>
      <c r="M1435" s="183">
        <v>2</v>
      </c>
      <c r="N1435" s="95">
        <f t="shared" si="347"/>
        <v>868</v>
      </c>
      <c r="O1435" s="95">
        <f t="shared" si="348"/>
        <v>868</v>
      </c>
      <c r="P1435" s="94">
        <f t="shared" si="349"/>
        <v>0</v>
      </c>
      <c r="Q1435" s="95">
        <f t="shared" si="350"/>
        <v>0</v>
      </c>
      <c r="R1435" s="96"/>
      <c r="S1435" s="97">
        <f t="shared" si="351"/>
        <v>2</v>
      </c>
      <c r="T1435" s="98">
        <f t="shared" si="346"/>
        <v>0</v>
      </c>
      <c r="U1435">
        <v>2</v>
      </c>
    </row>
    <row r="1436" spans="2:21" ht="20.100000000000001" customHeight="1">
      <c r="B1436" s="88">
        <v>11</v>
      </c>
      <c r="C1436" s="89" t="s">
        <v>3129</v>
      </c>
      <c r="D1436" s="90" t="s">
        <v>3241</v>
      </c>
      <c r="E1436" s="91" t="s">
        <v>3242</v>
      </c>
      <c r="F1436" s="315">
        <v>434</v>
      </c>
      <c r="G1436" s="260">
        <v>1</v>
      </c>
      <c r="H1436" s="260"/>
      <c r="I1436" s="309"/>
      <c r="J1436" s="199"/>
      <c r="K1436" s="269"/>
      <c r="L1436" s="93">
        <f t="shared" si="352"/>
        <v>1</v>
      </c>
      <c r="M1436" s="183">
        <v>1</v>
      </c>
      <c r="N1436" s="95">
        <f t="shared" si="347"/>
        <v>434</v>
      </c>
      <c r="O1436" s="95">
        <f t="shared" si="348"/>
        <v>434</v>
      </c>
      <c r="P1436" s="94">
        <f t="shared" si="349"/>
        <v>0</v>
      </c>
      <c r="Q1436" s="95">
        <f t="shared" si="350"/>
        <v>0</v>
      </c>
      <c r="R1436" s="96"/>
      <c r="S1436" s="97">
        <f t="shared" si="351"/>
        <v>1</v>
      </c>
      <c r="T1436" s="98">
        <f t="shared" si="346"/>
        <v>0</v>
      </c>
      <c r="U1436">
        <v>1</v>
      </c>
    </row>
    <row r="1437" spans="2:21" ht="20.100000000000001" customHeight="1">
      <c r="B1437" s="88">
        <v>11</v>
      </c>
      <c r="C1437" s="89" t="s">
        <v>3129</v>
      </c>
      <c r="D1437" s="90" t="s">
        <v>3243</v>
      </c>
      <c r="E1437" s="91" t="s">
        <v>3244</v>
      </c>
      <c r="F1437" s="315">
        <v>434</v>
      </c>
      <c r="G1437" s="260">
        <v>1</v>
      </c>
      <c r="H1437" s="260"/>
      <c r="I1437" s="309"/>
      <c r="J1437" s="199"/>
      <c r="K1437" s="269"/>
      <c r="L1437" s="93">
        <f t="shared" si="352"/>
        <v>1</v>
      </c>
      <c r="M1437" s="183">
        <v>1</v>
      </c>
      <c r="N1437" s="95">
        <f t="shared" si="347"/>
        <v>434</v>
      </c>
      <c r="O1437" s="95">
        <f t="shared" si="348"/>
        <v>434</v>
      </c>
      <c r="P1437" s="94">
        <f t="shared" si="349"/>
        <v>0</v>
      </c>
      <c r="Q1437" s="95">
        <f t="shared" si="350"/>
        <v>0</v>
      </c>
      <c r="R1437" s="96"/>
      <c r="S1437" s="97">
        <f t="shared" si="351"/>
        <v>1</v>
      </c>
      <c r="T1437" s="98">
        <f t="shared" si="346"/>
        <v>0</v>
      </c>
      <c r="U1437">
        <v>1</v>
      </c>
    </row>
    <row r="1438" spans="2:21" ht="20.100000000000001" customHeight="1">
      <c r="B1438" s="88">
        <v>11</v>
      </c>
      <c r="C1438" s="89" t="s">
        <v>3129</v>
      </c>
      <c r="D1438" s="90" t="s">
        <v>3245</v>
      </c>
      <c r="E1438" s="91" t="s">
        <v>3246</v>
      </c>
      <c r="F1438" s="315">
        <v>265.3</v>
      </c>
      <c r="G1438" s="260">
        <v>1</v>
      </c>
      <c r="H1438" s="260"/>
      <c r="I1438" s="309"/>
      <c r="J1438" s="199"/>
      <c r="K1438" s="269"/>
      <c r="L1438" s="93">
        <f t="shared" si="352"/>
        <v>1</v>
      </c>
      <c r="M1438" s="183">
        <v>1</v>
      </c>
      <c r="N1438" s="95">
        <f t="shared" si="347"/>
        <v>265.3</v>
      </c>
      <c r="O1438" s="95">
        <f t="shared" si="348"/>
        <v>265.3</v>
      </c>
      <c r="P1438" s="94">
        <f t="shared" si="349"/>
        <v>0</v>
      </c>
      <c r="Q1438" s="95">
        <f t="shared" si="350"/>
        <v>0</v>
      </c>
      <c r="R1438" s="96"/>
      <c r="S1438" s="97">
        <f t="shared" si="351"/>
        <v>1</v>
      </c>
      <c r="T1438" s="98">
        <f t="shared" si="346"/>
        <v>0</v>
      </c>
      <c r="U1438">
        <v>1</v>
      </c>
    </row>
    <row r="1439" spans="2:21" ht="20.100000000000001" customHeight="1">
      <c r="B1439" s="88">
        <v>11</v>
      </c>
      <c r="C1439" s="89" t="s">
        <v>3129</v>
      </c>
      <c r="D1439" s="90" t="s">
        <v>3247</v>
      </c>
      <c r="E1439" s="91" t="s">
        <v>3248</v>
      </c>
      <c r="F1439" s="315">
        <v>265.3</v>
      </c>
      <c r="G1439" s="260">
        <v>1</v>
      </c>
      <c r="H1439" s="260"/>
      <c r="I1439" s="309"/>
      <c r="J1439" s="199"/>
      <c r="K1439" s="269"/>
      <c r="L1439" s="93">
        <f t="shared" si="352"/>
        <v>1</v>
      </c>
      <c r="M1439" s="183">
        <v>1</v>
      </c>
      <c r="N1439" s="95">
        <f t="shared" si="347"/>
        <v>265.3</v>
      </c>
      <c r="O1439" s="95">
        <f t="shared" si="348"/>
        <v>265.3</v>
      </c>
      <c r="P1439" s="94">
        <f t="shared" si="349"/>
        <v>0</v>
      </c>
      <c r="Q1439" s="95">
        <f t="shared" si="350"/>
        <v>0</v>
      </c>
      <c r="R1439" s="96"/>
      <c r="S1439" s="97">
        <f t="shared" si="351"/>
        <v>1</v>
      </c>
      <c r="T1439" s="98">
        <f t="shared" si="346"/>
        <v>0</v>
      </c>
      <c r="U1439">
        <v>1</v>
      </c>
    </row>
    <row r="1440" spans="2:21" ht="20.100000000000001" customHeight="1">
      <c r="B1440" s="88">
        <v>11</v>
      </c>
      <c r="C1440" s="89" t="s">
        <v>3129</v>
      </c>
      <c r="D1440" s="90" t="s">
        <v>3249</v>
      </c>
      <c r="E1440" s="91" t="s">
        <v>3250</v>
      </c>
      <c r="F1440" s="315">
        <v>265.3</v>
      </c>
      <c r="G1440" s="260">
        <v>1</v>
      </c>
      <c r="H1440" s="260"/>
      <c r="I1440" s="309"/>
      <c r="J1440" s="199"/>
      <c r="K1440" s="269"/>
      <c r="L1440" s="93">
        <f t="shared" si="352"/>
        <v>1</v>
      </c>
      <c r="M1440" s="183">
        <v>1</v>
      </c>
      <c r="N1440" s="95">
        <f t="shared" si="347"/>
        <v>265.3</v>
      </c>
      <c r="O1440" s="95">
        <f t="shared" si="348"/>
        <v>265.3</v>
      </c>
      <c r="P1440" s="94">
        <f t="shared" si="349"/>
        <v>0</v>
      </c>
      <c r="Q1440" s="95">
        <f t="shared" si="350"/>
        <v>0</v>
      </c>
      <c r="R1440" s="96"/>
      <c r="S1440" s="97">
        <f t="shared" si="351"/>
        <v>1</v>
      </c>
      <c r="T1440" s="98">
        <f t="shared" si="346"/>
        <v>0</v>
      </c>
      <c r="U1440">
        <v>1</v>
      </c>
    </row>
    <row r="1441" spans="2:21" ht="20.100000000000001" customHeight="1">
      <c r="B1441" s="88">
        <v>11</v>
      </c>
      <c r="C1441" s="89" t="s">
        <v>3129</v>
      </c>
      <c r="D1441" s="90" t="s">
        <v>3251</v>
      </c>
      <c r="E1441" s="91" t="s">
        <v>3252</v>
      </c>
      <c r="F1441" s="315">
        <v>153.30000000000001</v>
      </c>
      <c r="G1441" s="260">
        <v>1</v>
      </c>
      <c r="H1441" s="260"/>
      <c r="I1441" s="309"/>
      <c r="J1441" s="199"/>
      <c r="K1441" s="269"/>
      <c r="L1441" s="93">
        <f t="shared" si="352"/>
        <v>1</v>
      </c>
      <c r="M1441" s="183">
        <v>1</v>
      </c>
      <c r="N1441" s="95">
        <f t="shared" si="347"/>
        <v>153.30000000000001</v>
      </c>
      <c r="O1441" s="95">
        <f t="shared" si="348"/>
        <v>153.30000000000001</v>
      </c>
      <c r="P1441" s="94">
        <f t="shared" si="349"/>
        <v>0</v>
      </c>
      <c r="Q1441" s="95">
        <f t="shared" si="350"/>
        <v>0</v>
      </c>
      <c r="R1441" s="96"/>
      <c r="S1441" s="97">
        <f t="shared" si="351"/>
        <v>1</v>
      </c>
      <c r="T1441" s="98">
        <f t="shared" si="346"/>
        <v>0</v>
      </c>
      <c r="U1441">
        <v>1</v>
      </c>
    </row>
    <row r="1442" spans="2:21" ht="20.100000000000001" customHeight="1">
      <c r="B1442" s="88">
        <v>11</v>
      </c>
      <c r="C1442" s="89" t="s">
        <v>3129</v>
      </c>
      <c r="D1442" s="90" t="s">
        <v>3253</v>
      </c>
      <c r="E1442" s="91" t="s">
        <v>3254</v>
      </c>
      <c r="F1442" s="315">
        <v>167.3</v>
      </c>
      <c r="G1442" s="260">
        <v>1</v>
      </c>
      <c r="H1442" s="260"/>
      <c r="I1442" s="309"/>
      <c r="J1442" s="199"/>
      <c r="K1442" s="269"/>
      <c r="L1442" s="93">
        <f t="shared" si="352"/>
        <v>1</v>
      </c>
      <c r="M1442" s="183">
        <v>1</v>
      </c>
      <c r="N1442" s="95">
        <f t="shared" si="347"/>
        <v>167.3</v>
      </c>
      <c r="O1442" s="95">
        <f t="shared" si="348"/>
        <v>167.3</v>
      </c>
      <c r="P1442" s="94">
        <f t="shared" si="349"/>
        <v>0</v>
      </c>
      <c r="Q1442" s="95">
        <f t="shared" si="350"/>
        <v>0</v>
      </c>
      <c r="R1442" s="96"/>
      <c r="S1442" s="97">
        <f t="shared" si="351"/>
        <v>1</v>
      </c>
      <c r="T1442" s="98">
        <f t="shared" si="346"/>
        <v>0</v>
      </c>
      <c r="U1442">
        <v>1</v>
      </c>
    </row>
    <row r="1443" spans="2:21" ht="20.100000000000001" customHeight="1">
      <c r="B1443" s="88">
        <v>11</v>
      </c>
      <c r="C1443" s="89" t="s">
        <v>3129</v>
      </c>
      <c r="D1443" s="90" t="s">
        <v>3255</v>
      </c>
      <c r="E1443" s="91" t="s">
        <v>3256</v>
      </c>
      <c r="F1443" s="315">
        <v>139.30000000000001</v>
      </c>
      <c r="G1443" s="260">
        <v>3</v>
      </c>
      <c r="H1443" s="260"/>
      <c r="I1443" s="309"/>
      <c r="J1443" s="199"/>
      <c r="K1443" s="269"/>
      <c r="L1443" s="93">
        <f t="shared" si="352"/>
        <v>3</v>
      </c>
      <c r="M1443" s="183">
        <v>3</v>
      </c>
      <c r="N1443" s="95">
        <f t="shared" si="347"/>
        <v>417.90000000000003</v>
      </c>
      <c r="O1443" s="95">
        <f t="shared" si="348"/>
        <v>417.90000000000003</v>
      </c>
      <c r="P1443" s="94">
        <f t="shared" si="349"/>
        <v>0</v>
      </c>
      <c r="Q1443" s="95">
        <f t="shared" si="350"/>
        <v>0</v>
      </c>
      <c r="R1443" s="96"/>
      <c r="S1443" s="97">
        <f t="shared" si="351"/>
        <v>3</v>
      </c>
      <c r="T1443" s="98">
        <f t="shared" si="346"/>
        <v>0</v>
      </c>
      <c r="U1443">
        <v>3</v>
      </c>
    </row>
    <row r="1444" spans="2:21" ht="20.100000000000001" customHeight="1">
      <c r="B1444" s="88">
        <v>11</v>
      </c>
      <c r="C1444" s="89" t="s">
        <v>3129</v>
      </c>
      <c r="D1444" s="90" t="s">
        <v>3257</v>
      </c>
      <c r="E1444" s="91" t="s">
        <v>3258</v>
      </c>
      <c r="F1444" s="315">
        <v>153.30000000000001</v>
      </c>
      <c r="G1444" s="260">
        <v>6</v>
      </c>
      <c r="H1444" s="260"/>
      <c r="I1444" s="309"/>
      <c r="J1444" s="199"/>
      <c r="K1444" s="269"/>
      <c r="L1444" s="93">
        <f t="shared" si="352"/>
        <v>6</v>
      </c>
      <c r="M1444" s="183">
        <v>6</v>
      </c>
      <c r="N1444" s="95">
        <f t="shared" si="347"/>
        <v>919.80000000000007</v>
      </c>
      <c r="O1444" s="95">
        <f t="shared" si="348"/>
        <v>919.80000000000007</v>
      </c>
      <c r="P1444" s="94">
        <f t="shared" si="349"/>
        <v>0</v>
      </c>
      <c r="Q1444" s="95">
        <f t="shared" si="350"/>
        <v>0</v>
      </c>
      <c r="R1444" s="96"/>
      <c r="S1444" s="97">
        <f t="shared" si="351"/>
        <v>6</v>
      </c>
      <c r="T1444" s="98">
        <f t="shared" si="346"/>
        <v>0</v>
      </c>
      <c r="U1444">
        <v>6</v>
      </c>
    </row>
    <row r="1445" spans="2:21" ht="20.100000000000001" customHeight="1">
      <c r="B1445" s="88">
        <v>11</v>
      </c>
      <c r="C1445" s="89" t="s">
        <v>3129</v>
      </c>
      <c r="D1445" s="90" t="s">
        <v>3259</v>
      </c>
      <c r="E1445" s="91" t="s">
        <v>3260</v>
      </c>
      <c r="F1445" s="315">
        <v>153.30000000000001</v>
      </c>
      <c r="G1445" s="260">
        <v>1</v>
      </c>
      <c r="H1445" s="260"/>
      <c r="I1445" s="309"/>
      <c r="J1445" s="199"/>
      <c r="K1445" s="269"/>
      <c r="L1445" s="93">
        <f t="shared" si="352"/>
        <v>1</v>
      </c>
      <c r="M1445" s="183">
        <v>1</v>
      </c>
      <c r="N1445" s="95">
        <f t="shared" si="347"/>
        <v>153.30000000000001</v>
      </c>
      <c r="O1445" s="95">
        <f t="shared" si="348"/>
        <v>153.30000000000001</v>
      </c>
      <c r="P1445" s="94">
        <f t="shared" si="349"/>
        <v>0</v>
      </c>
      <c r="Q1445" s="95">
        <f t="shared" si="350"/>
        <v>0</v>
      </c>
      <c r="R1445" s="96"/>
      <c r="S1445" s="97">
        <f t="shared" si="351"/>
        <v>1</v>
      </c>
      <c r="T1445" s="98">
        <f t="shared" si="346"/>
        <v>0</v>
      </c>
      <c r="U1445">
        <v>1</v>
      </c>
    </row>
    <row r="1446" spans="2:21" ht="20.100000000000001" customHeight="1">
      <c r="B1446" s="88">
        <v>11</v>
      </c>
      <c r="C1446" s="89" t="s">
        <v>3129</v>
      </c>
      <c r="D1446" s="90" t="s">
        <v>3261</v>
      </c>
      <c r="E1446" s="91" t="s">
        <v>3262</v>
      </c>
      <c r="F1446" s="315">
        <v>139.30000000000001</v>
      </c>
      <c r="G1446" s="260">
        <v>1</v>
      </c>
      <c r="H1446" s="260"/>
      <c r="I1446" s="309"/>
      <c r="J1446" s="199"/>
      <c r="K1446" s="269"/>
      <c r="L1446" s="93">
        <f t="shared" si="352"/>
        <v>1</v>
      </c>
      <c r="M1446" s="183">
        <v>1</v>
      </c>
      <c r="N1446" s="95">
        <f t="shared" si="347"/>
        <v>139.30000000000001</v>
      </c>
      <c r="O1446" s="95">
        <f t="shared" si="348"/>
        <v>139.30000000000001</v>
      </c>
      <c r="P1446" s="94">
        <f t="shared" si="349"/>
        <v>0</v>
      </c>
      <c r="Q1446" s="95">
        <f t="shared" si="350"/>
        <v>0</v>
      </c>
      <c r="R1446" s="96"/>
      <c r="S1446" s="97">
        <f t="shared" si="351"/>
        <v>1</v>
      </c>
      <c r="T1446" s="98">
        <f t="shared" si="346"/>
        <v>0</v>
      </c>
      <c r="U1446">
        <v>1</v>
      </c>
    </row>
    <row r="1447" spans="2:21" ht="20.100000000000001" customHeight="1">
      <c r="B1447" s="88">
        <v>11</v>
      </c>
      <c r="C1447" s="89" t="s">
        <v>3129</v>
      </c>
      <c r="D1447" s="90" t="s">
        <v>3263</v>
      </c>
      <c r="E1447" s="91" t="s">
        <v>3264</v>
      </c>
      <c r="F1447" s="315">
        <v>157.33000000000001</v>
      </c>
      <c r="G1447" s="260">
        <v>2</v>
      </c>
      <c r="H1447" s="260"/>
      <c r="I1447" s="309"/>
      <c r="J1447" s="199"/>
      <c r="K1447" s="269"/>
      <c r="L1447" s="93">
        <f t="shared" si="352"/>
        <v>2</v>
      </c>
      <c r="M1447" s="183">
        <v>2</v>
      </c>
      <c r="N1447" s="95">
        <f t="shared" si="347"/>
        <v>314.66000000000003</v>
      </c>
      <c r="O1447" s="95">
        <f t="shared" si="348"/>
        <v>314.66000000000003</v>
      </c>
      <c r="P1447" s="94">
        <f t="shared" si="349"/>
        <v>0</v>
      </c>
      <c r="Q1447" s="95">
        <f t="shared" si="350"/>
        <v>0</v>
      </c>
      <c r="R1447" s="96"/>
      <c r="S1447" s="97">
        <f t="shared" si="351"/>
        <v>2</v>
      </c>
      <c r="T1447" s="98">
        <f t="shared" si="346"/>
        <v>0</v>
      </c>
      <c r="U1447">
        <v>2</v>
      </c>
    </row>
    <row r="1448" spans="2:21" ht="20.100000000000001" customHeight="1">
      <c r="B1448" s="88">
        <v>11</v>
      </c>
      <c r="C1448" s="89" t="s">
        <v>3129</v>
      </c>
      <c r="D1448" s="90" t="s">
        <v>3265</v>
      </c>
      <c r="E1448" s="91" t="s">
        <v>3266</v>
      </c>
      <c r="F1448" s="315">
        <v>171.33</v>
      </c>
      <c r="G1448" s="260">
        <v>1</v>
      </c>
      <c r="H1448" s="260"/>
      <c r="I1448" s="309"/>
      <c r="J1448" s="199"/>
      <c r="K1448" s="269"/>
      <c r="L1448" s="93">
        <f t="shared" si="352"/>
        <v>1</v>
      </c>
      <c r="M1448" s="183">
        <v>1</v>
      </c>
      <c r="N1448" s="95">
        <f t="shared" si="347"/>
        <v>171.33</v>
      </c>
      <c r="O1448" s="95">
        <f t="shared" si="348"/>
        <v>171.33</v>
      </c>
      <c r="P1448" s="94">
        <f t="shared" si="349"/>
        <v>0</v>
      </c>
      <c r="Q1448" s="95">
        <f t="shared" si="350"/>
        <v>0</v>
      </c>
      <c r="R1448" s="96"/>
      <c r="S1448" s="97">
        <f t="shared" si="351"/>
        <v>1</v>
      </c>
      <c r="T1448" s="98">
        <f t="shared" si="346"/>
        <v>0</v>
      </c>
      <c r="U1448">
        <v>1</v>
      </c>
    </row>
    <row r="1449" spans="2:21" ht="20.100000000000001" customHeight="1">
      <c r="B1449" s="88">
        <v>11</v>
      </c>
      <c r="C1449" s="89" t="s">
        <v>3129</v>
      </c>
      <c r="D1449" s="90" t="s">
        <v>3267</v>
      </c>
      <c r="E1449" s="91" t="s">
        <v>3268</v>
      </c>
      <c r="F1449" s="315">
        <v>157.33000000000001</v>
      </c>
      <c r="G1449" s="260">
        <v>1</v>
      </c>
      <c r="H1449" s="260"/>
      <c r="I1449" s="309"/>
      <c r="J1449" s="199"/>
      <c r="K1449" s="269"/>
      <c r="L1449" s="93">
        <f t="shared" si="352"/>
        <v>1</v>
      </c>
      <c r="M1449" s="183">
        <v>1</v>
      </c>
      <c r="N1449" s="95">
        <f t="shared" si="347"/>
        <v>157.33000000000001</v>
      </c>
      <c r="O1449" s="95">
        <f t="shared" si="348"/>
        <v>157.33000000000001</v>
      </c>
      <c r="P1449" s="94">
        <f t="shared" si="349"/>
        <v>0</v>
      </c>
      <c r="Q1449" s="95">
        <f t="shared" si="350"/>
        <v>0</v>
      </c>
      <c r="R1449" s="96"/>
      <c r="S1449" s="97">
        <f t="shared" si="351"/>
        <v>1</v>
      </c>
      <c r="T1449" s="98">
        <f t="shared" si="346"/>
        <v>0</v>
      </c>
      <c r="U1449">
        <v>1</v>
      </c>
    </row>
    <row r="1450" spans="2:21" ht="20.100000000000001" customHeight="1">
      <c r="B1450" s="88">
        <v>11</v>
      </c>
      <c r="C1450" s="89" t="s">
        <v>3129</v>
      </c>
      <c r="D1450" s="90" t="s">
        <v>3269</v>
      </c>
      <c r="E1450" s="91" t="s">
        <v>3270</v>
      </c>
      <c r="F1450" s="315">
        <v>139.30000000000001</v>
      </c>
      <c r="G1450" s="260">
        <v>5</v>
      </c>
      <c r="H1450" s="260"/>
      <c r="I1450" s="309"/>
      <c r="J1450" s="199"/>
      <c r="K1450" s="269"/>
      <c r="L1450" s="93">
        <f t="shared" si="352"/>
        <v>5</v>
      </c>
      <c r="M1450" s="183">
        <v>5</v>
      </c>
      <c r="N1450" s="95">
        <f t="shared" si="347"/>
        <v>696.5</v>
      </c>
      <c r="O1450" s="95">
        <f t="shared" si="348"/>
        <v>696.5</v>
      </c>
      <c r="P1450" s="94">
        <f t="shared" si="349"/>
        <v>0</v>
      </c>
      <c r="Q1450" s="95">
        <f t="shared" si="350"/>
        <v>0</v>
      </c>
      <c r="R1450" s="96"/>
      <c r="S1450" s="97">
        <f t="shared" si="351"/>
        <v>5</v>
      </c>
      <c r="T1450" s="98">
        <f t="shared" si="346"/>
        <v>0</v>
      </c>
      <c r="U1450">
        <v>5</v>
      </c>
    </row>
    <row r="1451" spans="2:21" ht="20.100000000000001" customHeight="1">
      <c r="B1451" s="88">
        <v>11</v>
      </c>
      <c r="C1451" s="89" t="s">
        <v>3129</v>
      </c>
      <c r="D1451" s="90" t="s">
        <v>3271</v>
      </c>
      <c r="E1451" s="91" t="s">
        <v>3272</v>
      </c>
      <c r="F1451" s="315">
        <v>157.33000000000001</v>
      </c>
      <c r="G1451" s="260">
        <v>1</v>
      </c>
      <c r="H1451" s="260"/>
      <c r="I1451" s="309"/>
      <c r="J1451" s="199"/>
      <c r="K1451" s="269"/>
      <c r="L1451" s="93">
        <f t="shared" si="352"/>
        <v>1</v>
      </c>
      <c r="M1451" s="183">
        <v>1</v>
      </c>
      <c r="N1451" s="95">
        <f t="shared" si="347"/>
        <v>157.33000000000001</v>
      </c>
      <c r="O1451" s="95">
        <f t="shared" si="348"/>
        <v>157.33000000000001</v>
      </c>
      <c r="P1451" s="94">
        <f t="shared" si="349"/>
        <v>0</v>
      </c>
      <c r="Q1451" s="95">
        <f t="shared" si="350"/>
        <v>0</v>
      </c>
      <c r="R1451" s="96"/>
      <c r="S1451" s="97">
        <f t="shared" si="351"/>
        <v>1</v>
      </c>
      <c r="T1451" s="98">
        <f t="shared" ref="T1451:T1514" si="353">M1451-S1451</f>
        <v>0</v>
      </c>
      <c r="U1451">
        <v>1</v>
      </c>
    </row>
    <row r="1452" spans="2:21" ht="20.100000000000001" customHeight="1">
      <c r="B1452" s="88">
        <v>11</v>
      </c>
      <c r="C1452" s="89" t="s">
        <v>3129</v>
      </c>
      <c r="D1452" s="90" t="s">
        <v>3273</v>
      </c>
      <c r="E1452" s="91" t="s">
        <v>3274</v>
      </c>
      <c r="F1452" s="315">
        <v>153.83000000000001</v>
      </c>
      <c r="G1452" s="260">
        <v>1</v>
      </c>
      <c r="H1452" s="260"/>
      <c r="I1452" s="309"/>
      <c r="J1452" s="199"/>
      <c r="K1452" s="269"/>
      <c r="L1452" s="93">
        <f t="shared" si="352"/>
        <v>1</v>
      </c>
      <c r="M1452" s="183">
        <v>1</v>
      </c>
      <c r="N1452" s="95">
        <f t="shared" ref="N1452:N1515" si="354">F1452*L1452</f>
        <v>153.83000000000001</v>
      </c>
      <c r="O1452" s="95">
        <f t="shared" ref="O1452:O1515" si="355">M1452*F1452</f>
        <v>153.83000000000001</v>
      </c>
      <c r="P1452" s="94">
        <f t="shared" ref="P1452:P1515" si="356">L1452-M1452</f>
        <v>0</v>
      </c>
      <c r="Q1452" s="95">
        <f t="shared" ref="Q1452:Q1515" si="357">N1452-O1452</f>
        <v>0</v>
      </c>
      <c r="R1452" s="96"/>
      <c r="S1452" s="97">
        <f t="shared" ref="S1452:S1515" si="358">U1452+Y1452+W1452+AA1452</f>
        <v>1</v>
      </c>
      <c r="T1452" s="98">
        <f t="shared" si="353"/>
        <v>0</v>
      </c>
      <c r="U1452">
        <v>1</v>
      </c>
    </row>
    <row r="1453" spans="2:21" ht="20.100000000000001" customHeight="1">
      <c r="B1453" s="88">
        <v>11</v>
      </c>
      <c r="C1453" s="89" t="s">
        <v>3129</v>
      </c>
      <c r="D1453" s="90" t="s">
        <v>3275</v>
      </c>
      <c r="E1453" s="91" t="s">
        <v>3276</v>
      </c>
      <c r="F1453" s="315">
        <v>244.83</v>
      </c>
      <c r="G1453" s="260">
        <v>1</v>
      </c>
      <c r="H1453" s="260"/>
      <c r="I1453" s="309"/>
      <c r="J1453" s="199"/>
      <c r="K1453" s="269"/>
      <c r="L1453" s="93">
        <f t="shared" si="352"/>
        <v>1</v>
      </c>
      <c r="M1453" s="183">
        <v>1</v>
      </c>
      <c r="N1453" s="95">
        <f t="shared" si="354"/>
        <v>244.83</v>
      </c>
      <c r="O1453" s="95">
        <f t="shared" si="355"/>
        <v>244.83</v>
      </c>
      <c r="P1453" s="94">
        <f t="shared" si="356"/>
        <v>0</v>
      </c>
      <c r="Q1453" s="95">
        <f t="shared" si="357"/>
        <v>0</v>
      </c>
      <c r="R1453" s="96"/>
      <c r="S1453" s="97">
        <f t="shared" si="358"/>
        <v>1</v>
      </c>
      <c r="T1453" s="98">
        <f t="shared" si="353"/>
        <v>0</v>
      </c>
      <c r="U1453">
        <v>1</v>
      </c>
    </row>
    <row r="1454" spans="2:21" ht="20.100000000000001" customHeight="1">
      <c r="B1454" s="88">
        <v>11</v>
      </c>
      <c r="C1454" s="89" t="s">
        <v>3129</v>
      </c>
      <c r="D1454" s="90" t="s">
        <v>3277</v>
      </c>
      <c r="E1454" s="91" t="s">
        <v>3278</v>
      </c>
      <c r="F1454" s="315">
        <v>258.3</v>
      </c>
      <c r="G1454" s="260">
        <v>10</v>
      </c>
      <c r="H1454" s="260"/>
      <c r="I1454" s="309"/>
      <c r="J1454" s="199"/>
      <c r="K1454" s="269"/>
      <c r="L1454" s="93">
        <f t="shared" si="352"/>
        <v>10</v>
      </c>
      <c r="M1454" s="183">
        <v>10</v>
      </c>
      <c r="N1454" s="95">
        <f t="shared" si="354"/>
        <v>2583</v>
      </c>
      <c r="O1454" s="95">
        <f t="shared" si="355"/>
        <v>2583</v>
      </c>
      <c r="P1454" s="94">
        <f t="shared" si="356"/>
        <v>0</v>
      </c>
      <c r="Q1454" s="95">
        <f t="shared" si="357"/>
        <v>0</v>
      </c>
      <c r="R1454" s="96"/>
      <c r="S1454" s="97">
        <f t="shared" si="358"/>
        <v>10</v>
      </c>
      <c r="T1454" s="98">
        <f t="shared" si="353"/>
        <v>0</v>
      </c>
      <c r="U1454">
        <v>10</v>
      </c>
    </row>
    <row r="1455" spans="2:21" ht="20.100000000000001" customHeight="1">
      <c r="B1455" s="88">
        <v>11</v>
      </c>
      <c r="C1455" s="89" t="s">
        <v>3129</v>
      </c>
      <c r="D1455" s="90" t="s">
        <v>3279</v>
      </c>
      <c r="E1455" s="91" t="s">
        <v>3280</v>
      </c>
      <c r="F1455" s="315">
        <v>244.3</v>
      </c>
      <c r="G1455" s="260">
        <v>9</v>
      </c>
      <c r="H1455" s="260"/>
      <c r="I1455" s="309"/>
      <c r="J1455" s="199"/>
      <c r="K1455" s="269"/>
      <c r="L1455" s="93">
        <f t="shared" si="352"/>
        <v>9</v>
      </c>
      <c r="M1455" s="183">
        <v>9</v>
      </c>
      <c r="N1455" s="95">
        <f t="shared" si="354"/>
        <v>2198.7000000000003</v>
      </c>
      <c r="O1455" s="95">
        <f t="shared" si="355"/>
        <v>2198.7000000000003</v>
      </c>
      <c r="P1455" s="94">
        <f t="shared" si="356"/>
        <v>0</v>
      </c>
      <c r="Q1455" s="95">
        <f t="shared" si="357"/>
        <v>0</v>
      </c>
      <c r="R1455" s="96"/>
      <c r="S1455" s="97">
        <f t="shared" si="358"/>
        <v>9</v>
      </c>
      <c r="T1455" s="98">
        <f t="shared" si="353"/>
        <v>0</v>
      </c>
      <c r="U1455">
        <v>9</v>
      </c>
    </row>
    <row r="1456" spans="2:21" ht="20.100000000000001" customHeight="1">
      <c r="B1456" s="88">
        <v>11</v>
      </c>
      <c r="C1456" s="89" t="s">
        <v>3129</v>
      </c>
      <c r="D1456" s="90" t="s">
        <v>3281</v>
      </c>
      <c r="E1456" s="91" t="s">
        <v>3282</v>
      </c>
      <c r="F1456" s="315">
        <v>244.3</v>
      </c>
      <c r="G1456" s="260">
        <v>8</v>
      </c>
      <c r="H1456" s="260"/>
      <c r="I1456" s="309"/>
      <c r="J1456" s="199"/>
      <c r="K1456" s="269"/>
      <c r="L1456" s="93">
        <f t="shared" si="352"/>
        <v>8</v>
      </c>
      <c r="M1456" s="183">
        <v>8</v>
      </c>
      <c r="N1456" s="95">
        <f t="shared" si="354"/>
        <v>1954.4</v>
      </c>
      <c r="O1456" s="95">
        <f t="shared" si="355"/>
        <v>1954.4</v>
      </c>
      <c r="P1456" s="94">
        <f t="shared" si="356"/>
        <v>0</v>
      </c>
      <c r="Q1456" s="95">
        <f t="shared" si="357"/>
        <v>0</v>
      </c>
      <c r="R1456" s="96"/>
      <c r="S1456" s="97">
        <f t="shared" si="358"/>
        <v>8</v>
      </c>
      <c r="T1456" s="98">
        <f t="shared" si="353"/>
        <v>0</v>
      </c>
      <c r="U1456">
        <v>8</v>
      </c>
    </row>
    <row r="1457" spans="2:21" ht="20.100000000000001" customHeight="1">
      <c r="B1457" s="88">
        <v>11</v>
      </c>
      <c r="C1457" s="89" t="s">
        <v>3129</v>
      </c>
      <c r="D1457" s="90" t="s">
        <v>3283</v>
      </c>
      <c r="E1457" s="91" t="s">
        <v>3284</v>
      </c>
      <c r="F1457" s="315">
        <v>251.3</v>
      </c>
      <c r="G1457" s="260">
        <v>2</v>
      </c>
      <c r="H1457" s="260"/>
      <c r="I1457" s="309"/>
      <c r="J1457" s="199"/>
      <c r="K1457" s="269"/>
      <c r="L1457" s="93">
        <f t="shared" si="352"/>
        <v>2</v>
      </c>
      <c r="M1457" s="183">
        <v>2</v>
      </c>
      <c r="N1457" s="95">
        <f t="shared" si="354"/>
        <v>502.6</v>
      </c>
      <c r="O1457" s="95">
        <f t="shared" si="355"/>
        <v>502.6</v>
      </c>
      <c r="P1457" s="94">
        <f t="shared" si="356"/>
        <v>0</v>
      </c>
      <c r="Q1457" s="95">
        <f t="shared" si="357"/>
        <v>0</v>
      </c>
      <c r="R1457" s="96"/>
      <c r="S1457" s="97">
        <f t="shared" si="358"/>
        <v>3</v>
      </c>
      <c r="T1457" s="98">
        <f t="shared" si="353"/>
        <v>-1</v>
      </c>
      <c r="U1457">
        <v>3</v>
      </c>
    </row>
    <row r="1458" spans="2:21" ht="20.100000000000001" customHeight="1">
      <c r="B1458" s="88">
        <v>11</v>
      </c>
      <c r="C1458" s="89" t="s">
        <v>3129</v>
      </c>
      <c r="D1458" s="90" t="s">
        <v>3285</v>
      </c>
      <c r="E1458" s="91" t="s">
        <v>3286</v>
      </c>
      <c r="F1458" s="315">
        <v>181.83</v>
      </c>
      <c r="G1458" s="260">
        <v>1</v>
      </c>
      <c r="H1458" s="260"/>
      <c r="I1458" s="309"/>
      <c r="J1458" s="199"/>
      <c r="K1458" s="269"/>
      <c r="L1458" s="93">
        <f t="shared" ref="L1458:L1521" si="359">G1458+I1458-J1458-K1458+H1458</f>
        <v>1</v>
      </c>
      <c r="M1458" s="183">
        <v>1</v>
      </c>
      <c r="N1458" s="95">
        <f t="shared" si="354"/>
        <v>181.83</v>
      </c>
      <c r="O1458" s="95">
        <f t="shared" si="355"/>
        <v>181.83</v>
      </c>
      <c r="P1458" s="94">
        <f t="shared" si="356"/>
        <v>0</v>
      </c>
      <c r="Q1458" s="95">
        <f t="shared" si="357"/>
        <v>0</v>
      </c>
      <c r="R1458" s="96"/>
      <c r="S1458" s="97">
        <f t="shared" si="358"/>
        <v>1</v>
      </c>
      <c r="T1458" s="98">
        <f t="shared" si="353"/>
        <v>0</v>
      </c>
      <c r="U1458">
        <v>1</v>
      </c>
    </row>
    <row r="1459" spans="2:21" ht="20.100000000000001" customHeight="1">
      <c r="B1459" s="88">
        <v>11</v>
      </c>
      <c r="C1459" s="89" t="s">
        <v>3129</v>
      </c>
      <c r="D1459" s="90" t="s">
        <v>3287</v>
      </c>
      <c r="E1459" s="91" t="s">
        <v>3288</v>
      </c>
      <c r="F1459" s="315">
        <v>181.83</v>
      </c>
      <c r="G1459" s="260">
        <v>1</v>
      </c>
      <c r="H1459" s="260"/>
      <c r="I1459" s="309"/>
      <c r="J1459" s="199"/>
      <c r="K1459" s="269"/>
      <c r="L1459" s="93">
        <f t="shared" si="359"/>
        <v>1</v>
      </c>
      <c r="M1459" s="183">
        <v>1</v>
      </c>
      <c r="N1459" s="95">
        <f t="shared" si="354"/>
        <v>181.83</v>
      </c>
      <c r="O1459" s="95">
        <f t="shared" si="355"/>
        <v>181.83</v>
      </c>
      <c r="P1459" s="94">
        <f t="shared" si="356"/>
        <v>0</v>
      </c>
      <c r="Q1459" s="95">
        <f t="shared" si="357"/>
        <v>0</v>
      </c>
      <c r="R1459" s="96"/>
      <c r="S1459" s="97">
        <f t="shared" si="358"/>
        <v>1</v>
      </c>
      <c r="T1459" s="98">
        <f t="shared" si="353"/>
        <v>0</v>
      </c>
      <c r="U1459">
        <v>1</v>
      </c>
    </row>
    <row r="1460" spans="2:21" ht="20.100000000000001" customHeight="1">
      <c r="B1460" s="88">
        <v>11</v>
      </c>
      <c r="C1460" s="89" t="s">
        <v>3129</v>
      </c>
      <c r="D1460" s="90" t="s">
        <v>3289</v>
      </c>
      <c r="E1460" s="91" t="s">
        <v>3290</v>
      </c>
      <c r="F1460" s="315">
        <v>181.83</v>
      </c>
      <c r="G1460" s="260">
        <v>1</v>
      </c>
      <c r="H1460" s="260"/>
      <c r="I1460" s="309"/>
      <c r="J1460" s="199"/>
      <c r="K1460" s="269"/>
      <c r="L1460" s="93">
        <f t="shared" si="359"/>
        <v>1</v>
      </c>
      <c r="M1460" s="183">
        <v>1</v>
      </c>
      <c r="N1460" s="95">
        <f t="shared" si="354"/>
        <v>181.83</v>
      </c>
      <c r="O1460" s="95">
        <f t="shared" si="355"/>
        <v>181.83</v>
      </c>
      <c r="P1460" s="94">
        <f t="shared" si="356"/>
        <v>0</v>
      </c>
      <c r="Q1460" s="95">
        <f t="shared" si="357"/>
        <v>0</v>
      </c>
      <c r="R1460" s="96"/>
      <c r="S1460" s="97">
        <f t="shared" si="358"/>
        <v>1</v>
      </c>
      <c r="T1460" s="98">
        <f t="shared" si="353"/>
        <v>0</v>
      </c>
      <c r="U1460">
        <v>1</v>
      </c>
    </row>
    <row r="1461" spans="2:21" ht="20.100000000000001" customHeight="1">
      <c r="B1461" s="88">
        <v>11</v>
      </c>
      <c r="C1461" s="89" t="s">
        <v>3129</v>
      </c>
      <c r="D1461" s="90" t="s">
        <v>3291</v>
      </c>
      <c r="E1461" s="91" t="s">
        <v>3292</v>
      </c>
      <c r="F1461" s="315">
        <v>188.3</v>
      </c>
      <c r="G1461" s="260">
        <v>2</v>
      </c>
      <c r="H1461" s="260"/>
      <c r="I1461" s="309"/>
      <c r="J1461" s="199"/>
      <c r="K1461" s="269"/>
      <c r="L1461" s="93">
        <f t="shared" si="359"/>
        <v>2</v>
      </c>
      <c r="M1461" s="183">
        <v>2</v>
      </c>
      <c r="N1461" s="95">
        <f t="shared" si="354"/>
        <v>376.6</v>
      </c>
      <c r="O1461" s="95">
        <f t="shared" si="355"/>
        <v>376.6</v>
      </c>
      <c r="P1461" s="94">
        <f t="shared" si="356"/>
        <v>0</v>
      </c>
      <c r="Q1461" s="95">
        <f t="shared" si="357"/>
        <v>0</v>
      </c>
      <c r="R1461" s="96"/>
      <c r="S1461" s="97">
        <f t="shared" si="358"/>
        <v>2</v>
      </c>
      <c r="T1461" s="98">
        <f t="shared" si="353"/>
        <v>0</v>
      </c>
      <c r="U1461">
        <v>2</v>
      </c>
    </row>
    <row r="1462" spans="2:21" ht="20.100000000000001" customHeight="1">
      <c r="B1462" s="88">
        <v>11</v>
      </c>
      <c r="C1462" s="89" t="s">
        <v>3129</v>
      </c>
      <c r="D1462" s="90" t="s">
        <v>3293</v>
      </c>
      <c r="E1462" s="91" t="s">
        <v>3294</v>
      </c>
      <c r="F1462" s="315">
        <v>188.3</v>
      </c>
      <c r="G1462" s="260">
        <v>1</v>
      </c>
      <c r="H1462" s="260"/>
      <c r="I1462" s="309"/>
      <c r="J1462" s="199"/>
      <c r="K1462" s="269"/>
      <c r="L1462" s="93">
        <f t="shared" si="359"/>
        <v>1</v>
      </c>
      <c r="M1462" s="183">
        <v>1</v>
      </c>
      <c r="N1462" s="95">
        <f t="shared" si="354"/>
        <v>188.3</v>
      </c>
      <c r="O1462" s="95">
        <f t="shared" si="355"/>
        <v>188.3</v>
      </c>
      <c r="P1462" s="94">
        <f t="shared" si="356"/>
        <v>0</v>
      </c>
      <c r="Q1462" s="95">
        <f t="shared" si="357"/>
        <v>0</v>
      </c>
      <c r="R1462" s="96"/>
      <c r="S1462" s="97">
        <f t="shared" si="358"/>
        <v>1</v>
      </c>
      <c r="T1462" s="98">
        <f t="shared" si="353"/>
        <v>0</v>
      </c>
      <c r="U1462">
        <v>1</v>
      </c>
    </row>
    <row r="1463" spans="2:21" ht="20.100000000000001" customHeight="1">
      <c r="B1463" s="88">
        <v>11</v>
      </c>
      <c r="C1463" s="89" t="s">
        <v>3129</v>
      </c>
      <c r="D1463" s="90" t="s">
        <v>3295</v>
      </c>
      <c r="E1463" s="91" t="s">
        <v>3296</v>
      </c>
      <c r="F1463" s="315">
        <v>188.3</v>
      </c>
      <c r="G1463" s="260">
        <v>1</v>
      </c>
      <c r="H1463" s="260"/>
      <c r="I1463" s="309"/>
      <c r="J1463" s="199"/>
      <c r="K1463" s="269"/>
      <c r="L1463" s="93">
        <f t="shared" si="359"/>
        <v>1</v>
      </c>
      <c r="M1463" s="183">
        <v>1</v>
      </c>
      <c r="N1463" s="95">
        <f t="shared" si="354"/>
        <v>188.3</v>
      </c>
      <c r="O1463" s="95">
        <f t="shared" si="355"/>
        <v>188.3</v>
      </c>
      <c r="P1463" s="94">
        <f t="shared" si="356"/>
        <v>0</v>
      </c>
      <c r="Q1463" s="95">
        <f t="shared" si="357"/>
        <v>0</v>
      </c>
      <c r="R1463" s="96"/>
      <c r="S1463" s="97">
        <f t="shared" si="358"/>
        <v>1</v>
      </c>
      <c r="T1463" s="98">
        <f t="shared" si="353"/>
        <v>0</v>
      </c>
      <c r="U1463">
        <v>1</v>
      </c>
    </row>
    <row r="1464" spans="2:21" ht="20.100000000000001" customHeight="1">
      <c r="B1464" s="88">
        <v>11</v>
      </c>
      <c r="C1464" s="89" t="s">
        <v>3129</v>
      </c>
      <c r="D1464" s="90" t="s">
        <v>3297</v>
      </c>
      <c r="E1464" s="91" t="s">
        <v>3298</v>
      </c>
      <c r="F1464" s="315">
        <v>188.3</v>
      </c>
      <c r="G1464" s="260">
        <v>2</v>
      </c>
      <c r="H1464" s="260"/>
      <c r="I1464" s="309"/>
      <c r="J1464" s="199"/>
      <c r="K1464" s="269"/>
      <c r="L1464" s="93">
        <f t="shared" si="359"/>
        <v>2</v>
      </c>
      <c r="M1464" s="183">
        <v>2</v>
      </c>
      <c r="N1464" s="95">
        <f t="shared" si="354"/>
        <v>376.6</v>
      </c>
      <c r="O1464" s="95">
        <f t="shared" si="355"/>
        <v>376.6</v>
      </c>
      <c r="P1464" s="94">
        <f t="shared" si="356"/>
        <v>0</v>
      </c>
      <c r="Q1464" s="95">
        <f t="shared" si="357"/>
        <v>0</v>
      </c>
      <c r="R1464" s="96"/>
      <c r="S1464" s="97">
        <f t="shared" si="358"/>
        <v>2</v>
      </c>
      <c r="T1464" s="98">
        <f t="shared" si="353"/>
        <v>0</v>
      </c>
      <c r="U1464">
        <v>2</v>
      </c>
    </row>
    <row r="1465" spans="2:21" ht="20.100000000000001" customHeight="1">
      <c r="B1465" s="88">
        <v>11</v>
      </c>
      <c r="C1465" s="89" t="s">
        <v>3129</v>
      </c>
      <c r="D1465" s="90" t="s">
        <v>3299</v>
      </c>
      <c r="E1465" s="91" t="s">
        <v>3300</v>
      </c>
      <c r="F1465" s="315">
        <v>188.3</v>
      </c>
      <c r="G1465" s="260">
        <v>1</v>
      </c>
      <c r="H1465" s="260"/>
      <c r="I1465" s="309"/>
      <c r="J1465" s="199"/>
      <c r="K1465" s="269"/>
      <c r="L1465" s="93">
        <f t="shared" si="359"/>
        <v>1</v>
      </c>
      <c r="M1465" s="183">
        <v>1</v>
      </c>
      <c r="N1465" s="95">
        <f t="shared" si="354"/>
        <v>188.3</v>
      </c>
      <c r="O1465" s="95">
        <f t="shared" si="355"/>
        <v>188.3</v>
      </c>
      <c r="P1465" s="94">
        <f t="shared" si="356"/>
        <v>0</v>
      </c>
      <c r="Q1465" s="95">
        <f t="shared" si="357"/>
        <v>0</v>
      </c>
      <c r="R1465" s="96"/>
      <c r="S1465" s="97">
        <f t="shared" si="358"/>
        <v>1</v>
      </c>
      <c r="T1465" s="98">
        <f t="shared" si="353"/>
        <v>0</v>
      </c>
      <c r="U1465">
        <v>1</v>
      </c>
    </row>
    <row r="1466" spans="2:21" ht="20.100000000000001" customHeight="1">
      <c r="B1466" s="88">
        <v>11</v>
      </c>
      <c r="C1466" s="89" t="s">
        <v>3129</v>
      </c>
      <c r="D1466" s="90" t="s">
        <v>3301</v>
      </c>
      <c r="E1466" s="91" t="s">
        <v>3302</v>
      </c>
      <c r="F1466" s="315">
        <v>507.5</v>
      </c>
      <c r="G1466" s="260">
        <v>1</v>
      </c>
      <c r="H1466" s="260"/>
      <c r="I1466" s="309"/>
      <c r="J1466" s="199"/>
      <c r="K1466" s="269"/>
      <c r="L1466" s="93">
        <f t="shared" si="359"/>
        <v>1</v>
      </c>
      <c r="M1466" s="183">
        <v>1</v>
      </c>
      <c r="N1466" s="95">
        <f t="shared" si="354"/>
        <v>507.5</v>
      </c>
      <c r="O1466" s="95">
        <f t="shared" si="355"/>
        <v>507.5</v>
      </c>
      <c r="P1466" s="94">
        <f t="shared" si="356"/>
        <v>0</v>
      </c>
      <c r="Q1466" s="95">
        <f t="shared" si="357"/>
        <v>0</v>
      </c>
      <c r="R1466" s="96"/>
      <c r="S1466" s="97">
        <f t="shared" si="358"/>
        <v>1</v>
      </c>
      <c r="T1466" s="98">
        <f t="shared" si="353"/>
        <v>0</v>
      </c>
      <c r="U1466">
        <v>1</v>
      </c>
    </row>
    <row r="1467" spans="2:21" ht="20.100000000000001" customHeight="1">
      <c r="B1467" s="88">
        <v>11</v>
      </c>
      <c r="C1467" s="89" t="s">
        <v>3129</v>
      </c>
      <c r="D1467" s="90" t="s">
        <v>3303</v>
      </c>
      <c r="E1467" s="91" t="s">
        <v>3304</v>
      </c>
      <c r="F1467" s="315">
        <v>321.3</v>
      </c>
      <c r="G1467" s="260">
        <v>3</v>
      </c>
      <c r="H1467" s="260"/>
      <c r="I1467" s="309"/>
      <c r="J1467" s="199"/>
      <c r="K1467" s="269"/>
      <c r="L1467" s="93">
        <f t="shared" si="359"/>
        <v>3</v>
      </c>
      <c r="M1467" s="183">
        <v>3</v>
      </c>
      <c r="N1467" s="95">
        <f t="shared" si="354"/>
        <v>963.90000000000009</v>
      </c>
      <c r="O1467" s="95">
        <f t="shared" si="355"/>
        <v>963.90000000000009</v>
      </c>
      <c r="P1467" s="94">
        <f t="shared" si="356"/>
        <v>0</v>
      </c>
      <c r="Q1467" s="95">
        <f t="shared" si="357"/>
        <v>0</v>
      </c>
      <c r="R1467" s="96"/>
      <c r="S1467" s="97">
        <f t="shared" si="358"/>
        <v>3</v>
      </c>
      <c r="T1467" s="98">
        <f t="shared" si="353"/>
        <v>0</v>
      </c>
      <c r="U1467">
        <v>3</v>
      </c>
    </row>
    <row r="1468" spans="2:21" ht="20.100000000000001" customHeight="1">
      <c r="B1468" s="88">
        <v>11</v>
      </c>
      <c r="C1468" s="89" t="s">
        <v>3129</v>
      </c>
      <c r="D1468" s="90" t="s">
        <v>3305</v>
      </c>
      <c r="E1468" s="91" t="s">
        <v>3306</v>
      </c>
      <c r="F1468" s="315">
        <v>300.3</v>
      </c>
      <c r="G1468" s="260">
        <v>1</v>
      </c>
      <c r="H1468" s="260"/>
      <c r="I1468" s="309"/>
      <c r="J1468" s="199"/>
      <c r="K1468" s="269"/>
      <c r="L1468" s="93">
        <f t="shared" si="359"/>
        <v>1</v>
      </c>
      <c r="M1468" s="183">
        <v>1</v>
      </c>
      <c r="N1468" s="95">
        <f t="shared" si="354"/>
        <v>300.3</v>
      </c>
      <c r="O1468" s="95">
        <f t="shared" si="355"/>
        <v>300.3</v>
      </c>
      <c r="P1468" s="94">
        <f t="shared" si="356"/>
        <v>0</v>
      </c>
      <c r="Q1468" s="95">
        <f t="shared" si="357"/>
        <v>0</v>
      </c>
      <c r="R1468" s="96"/>
      <c r="S1468" s="97">
        <f t="shared" si="358"/>
        <v>1</v>
      </c>
      <c r="T1468" s="98">
        <f t="shared" si="353"/>
        <v>0</v>
      </c>
      <c r="U1468">
        <v>1</v>
      </c>
    </row>
    <row r="1469" spans="2:21" ht="20.100000000000001" customHeight="1">
      <c r="B1469" s="88">
        <v>11</v>
      </c>
      <c r="C1469" s="89" t="s">
        <v>3129</v>
      </c>
      <c r="D1469" s="90" t="s">
        <v>3307</v>
      </c>
      <c r="E1469" s="91" t="s">
        <v>3308</v>
      </c>
      <c r="F1469" s="315">
        <v>300.3</v>
      </c>
      <c r="G1469" s="260">
        <v>1</v>
      </c>
      <c r="H1469" s="260"/>
      <c r="I1469" s="309"/>
      <c r="J1469" s="199"/>
      <c r="K1469" s="269"/>
      <c r="L1469" s="93">
        <f t="shared" si="359"/>
        <v>1</v>
      </c>
      <c r="M1469" s="183">
        <v>1</v>
      </c>
      <c r="N1469" s="95">
        <f t="shared" si="354"/>
        <v>300.3</v>
      </c>
      <c r="O1469" s="95">
        <f t="shared" si="355"/>
        <v>300.3</v>
      </c>
      <c r="P1469" s="94">
        <f t="shared" si="356"/>
        <v>0</v>
      </c>
      <c r="Q1469" s="95">
        <f t="shared" si="357"/>
        <v>0</v>
      </c>
      <c r="R1469" s="96"/>
      <c r="S1469" s="97">
        <f t="shared" si="358"/>
        <v>1</v>
      </c>
      <c r="T1469" s="98">
        <f t="shared" si="353"/>
        <v>0</v>
      </c>
      <c r="U1469">
        <v>1</v>
      </c>
    </row>
    <row r="1470" spans="2:21" ht="20.100000000000001" customHeight="1">
      <c r="B1470" s="88">
        <v>11</v>
      </c>
      <c r="C1470" s="89" t="s">
        <v>3129</v>
      </c>
      <c r="D1470" s="90" t="s">
        <v>3309</v>
      </c>
      <c r="E1470" s="91" t="s">
        <v>3310</v>
      </c>
      <c r="F1470" s="315">
        <v>300.3</v>
      </c>
      <c r="G1470" s="260">
        <v>1</v>
      </c>
      <c r="H1470" s="260"/>
      <c r="I1470" s="309"/>
      <c r="J1470" s="199"/>
      <c r="K1470" s="269"/>
      <c r="L1470" s="93">
        <f t="shared" si="359"/>
        <v>1</v>
      </c>
      <c r="M1470" s="183">
        <v>1</v>
      </c>
      <c r="N1470" s="95">
        <f t="shared" si="354"/>
        <v>300.3</v>
      </c>
      <c r="O1470" s="95">
        <f t="shared" si="355"/>
        <v>300.3</v>
      </c>
      <c r="P1470" s="94">
        <f t="shared" si="356"/>
        <v>0</v>
      </c>
      <c r="Q1470" s="95">
        <f t="shared" si="357"/>
        <v>0</v>
      </c>
      <c r="R1470" s="96"/>
      <c r="S1470" s="97">
        <f t="shared" si="358"/>
        <v>1</v>
      </c>
      <c r="T1470" s="98">
        <f t="shared" si="353"/>
        <v>0</v>
      </c>
      <c r="U1470">
        <v>1</v>
      </c>
    </row>
    <row r="1471" spans="2:21" ht="20.100000000000001" customHeight="1">
      <c r="B1471" s="88">
        <v>11</v>
      </c>
      <c r="C1471" s="89" t="s">
        <v>3129</v>
      </c>
      <c r="D1471" s="90" t="s">
        <v>3311</v>
      </c>
      <c r="E1471" s="91" t="s">
        <v>3312</v>
      </c>
      <c r="F1471" s="315">
        <v>300.3</v>
      </c>
      <c r="G1471" s="260">
        <v>1</v>
      </c>
      <c r="H1471" s="260"/>
      <c r="I1471" s="309"/>
      <c r="J1471" s="199"/>
      <c r="K1471" s="269"/>
      <c r="L1471" s="93">
        <f t="shared" si="359"/>
        <v>1</v>
      </c>
      <c r="M1471" s="183">
        <v>1</v>
      </c>
      <c r="N1471" s="95">
        <f t="shared" si="354"/>
        <v>300.3</v>
      </c>
      <c r="O1471" s="95">
        <f t="shared" si="355"/>
        <v>300.3</v>
      </c>
      <c r="P1471" s="94">
        <f t="shared" si="356"/>
        <v>0</v>
      </c>
      <c r="Q1471" s="95">
        <f t="shared" si="357"/>
        <v>0</v>
      </c>
      <c r="R1471" s="96"/>
      <c r="S1471" s="97">
        <f t="shared" si="358"/>
        <v>1</v>
      </c>
      <c r="T1471" s="98">
        <f t="shared" si="353"/>
        <v>0</v>
      </c>
      <c r="U1471">
        <v>1</v>
      </c>
    </row>
    <row r="1472" spans="2:21" ht="20.100000000000001" customHeight="1">
      <c r="B1472" s="88">
        <v>11</v>
      </c>
      <c r="C1472" s="89" t="s">
        <v>3129</v>
      </c>
      <c r="D1472" s="90" t="s">
        <v>3313</v>
      </c>
      <c r="E1472" s="91" t="s">
        <v>3314</v>
      </c>
      <c r="F1472" s="315">
        <v>293.83</v>
      </c>
      <c r="G1472" s="260">
        <v>1</v>
      </c>
      <c r="H1472" s="260"/>
      <c r="I1472" s="309"/>
      <c r="J1472" s="199"/>
      <c r="K1472" s="269"/>
      <c r="L1472" s="93">
        <f t="shared" si="359"/>
        <v>1</v>
      </c>
      <c r="M1472" s="183">
        <v>1</v>
      </c>
      <c r="N1472" s="95">
        <f t="shared" si="354"/>
        <v>293.83</v>
      </c>
      <c r="O1472" s="95">
        <f t="shared" si="355"/>
        <v>293.83</v>
      </c>
      <c r="P1472" s="94">
        <f t="shared" si="356"/>
        <v>0</v>
      </c>
      <c r="Q1472" s="95">
        <f t="shared" si="357"/>
        <v>0</v>
      </c>
      <c r="R1472" s="96"/>
      <c r="S1472" s="97">
        <f t="shared" si="358"/>
        <v>1</v>
      </c>
      <c r="T1472" s="98">
        <f t="shared" si="353"/>
        <v>0</v>
      </c>
      <c r="U1472">
        <v>1</v>
      </c>
    </row>
    <row r="1473" spans="2:21" ht="20.100000000000001" customHeight="1">
      <c r="B1473" s="88">
        <v>11</v>
      </c>
      <c r="C1473" s="89" t="s">
        <v>3129</v>
      </c>
      <c r="D1473" s="90" t="s">
        <v>3315</v>
      </c>
      <c r="E1473" s="91" t="s">
        <v>3316</v>
      </c>
      <c r="F1473" s="315">
        <v>293.83</v>
      </c>
      <c r="G1473" s="260">
        <v>1</v>
      </c>
      <c r="H1473" s="260"/>
      <c r="I1473" s="309"/>
      <c r="J1473" s="199"/>
      <c r="K1473" s="269"/>
      <c r="L1473" s="93">
        <f t="shared" si="359"/>
        <v>1</v>
      </c>
      <c r="M1473" s="183">
        <v>1</v>
      </c>
      <c r="N1473" s="95">
        <f t="shared" si="354"/>
        <v>293.83</v>
      </c>
      <c r="O1473" s="95">
        <f t="shared" si="355"/>
        <v>293.83</v>
      </c>
      <c r="P1473" s="94">
        <f t="shared" si="356"/>
        <v>0</v>
      </c>
      <c r="Q1473" s="95">
        <f t="shared" si="357"/>
        <v>0</v>
      </c>
      <c r="R1473" s="96"/>
      <c r="S1473" s="97">
        <f t="shared" si="358"/>
        <v>1</v>
      </c>
      <c r="T1473" s="98">
        <f t="shared" si="353"/>
        <v>0</v>
      </c>
      <c r="U1473">
        <v>1</v>
      </c>
    </row>
    <row r="1474" spans="2:21" ht="20.100000000000001" customHeight="1">
      <c r="B1474" s="88">
        <v>11</v>
      </c>
      <c r="C1474" s="89" t="s">
        <v>3129</v>
      </c>
      <c r="D1474" s="90" t="s">
        <v>3317</v>
      </c>
      <c r="E1474" s="91" t="s">
        <v>3318</v>
      </c>
      <c r="F1474" s="315">
        <v>293.83</v>
      </c>
      <c r="G1474" s="260">
        <v>1</v>
      </c>
      <c r="H1474" s="260"/>
      <c r="I1474" s="309"/>
      <c r="J1474" s="199"/>
      <c r="K1474" s="269"/>
      <c r="L1474" s="93">
        <f t="shared" si="359"/>
        <v>1</v>
      </c>
      <c r="M1474" s="183">
        <v>1</v>
      </c>
      <c r="N1474" s="95">
        <f t="shared" si="354"/>
        <v>293.83</v>
      </c>
      <c r="O1474" s="95">
        <f t="shared" si="355"/>
        <v>293.83</v>
      </c>
      <c r="P1474" s="94">
        <f t="shared" si="356"/>
        <v>0</v>
      </c>
      <c r="Q1474" s="95">
        <f t="shared" si="357"/>
        <v>0</v>
      </c>
      <c r="R1474" s="96"/>
      <c r="S1474" s="97">
        <f t="shared" si="358"/>
        <v>1</v>
      </c>
      <c r="T1474" s="98">
        <f t="shared" si="353"/>
        <v>0</v>
      </c>
      <c r="U1474">
        <v>1</v>
      </c>
    </row>
    <row r="1475" spans="2:21" ht="20.100000000000001" customHeight="1">
      <c r="B1475" s="88">
        <v>11</v>
      </c>
      <c r="C1475" s="89" t="s">
        <v>3129</v>
      </c>
      <c r="D1475" s="90" t="s">
        <v>3319</v>
      </c>
      <c r="E1475" s="91" t="s">
        <v>3320</v>
      </c>
      <c r="F1475" s="315">
        <v>293.83</v>
      </c>
      <c r="G1475" s="260">
        <v>1</v>
      </c>
      <c r="H1475" s="260"/>
      <c r="I1475" s="309"/>
      <c r="J1475" s="199"/>
      <c r="K1475" s="269"/>
      <c r="L1475" s="93">
        <f t="shared" si="359"/>
        <v>1</v>
      </c>
      <c r="M1475" s="183">
        <v>1</v>
      </c>
      <c r="N1475" s="95">
        <f t="shared" si="354"/>
        <v>293.83</v>
      </c>
      <c r="O1475" s="95">
        <f t="shared" si="355"/>
        <v>293.83</v>
      </c>
      <c r="P1475" s="94">
        <f t="shared" si="356"/>
        <v>0</v>
      </c>
      <c r="Q1475" s="95">
        <f t="shared" si="357"/>
        <v>0</v>
      </c>
      <c r="R1475" s="96"/>
      <c r="S1475" s="97">
        <f t="shared" si="358"/>
        <v>1</v>
      </c>
      <c r="T1475" s="98">
        <f t="shared" si="353"/>
        <v>0</v>
      </c>
      <c r="U1475">
        <v>1</v>
      </c>
    </row>
    <row r="1476" spans="2:21" ht="20.100000000000001" customHeight="1">
      <c r="B1476" s="88">
        <v>11</v>
      </c>
      <c r="C1476" s="89" t="s">
        <v>3129</v>
      </c>
      <c r="D1476" s="90" t="s">
        <v>3321</v>
      </c>
      <c r="E1476" s="91" t="s">
        <v>3322</v>
      </c>
      <c r="F1476" s="315">
        <v>300.83</v>
      </c>
      <c r="G1476" s="260">
        <v>1</v>
      </c>
      <c r="H1476" s="260"/>
      <c r="I1476" s="309"/>
      <c r="J1476" s="199"/>
      <c r="K1476" s="269"/>
      <c r="L1476" s="93">
        <f t="shared" si="359"/>
        <v>1</v>
      </c>
      <c r="M1476" s="183">
        <v>1</v>
      </c>
      <c r="N1476" s="95">
        <f t="shared" si="354"/>
        <v>300.83</v>
      </c>
      <c r="O1476" s="95">
        <f t="shared" si="355"/>
        <v>300.83</v>
      </c>
      <c r="P1476" s="94">
        <f t="shared" si="356"/>
        <v>0</v>
      </c>
      <c r="Q1476" s="95">
        <f t="shared" si="357"/>
        <v>0</v>
      </c>
      <c r="R1476" s="96"/>
      <c r="S1476" s="97">
        <f t="shared" si="358"/>
        <v>1</v>
      </c>
      <c r="T1476" s="98">
        <f t="shared" si="353"/>
        <v>0</v>
      </c>
      <c r="U1476">
        <v>1</v>
      </c>
    </row>
    <row r="1477" spans="2:21" ht="20.100000000000001" customHeight="1">
      <c r="B1477" s="88">
        <v>11</v>
      </c>
      <c r="C1477" s="89" t="s">
        <v>3129</v>
      </c>
      <c r="D1477" s="90" t="s">
        <v>3323</v>
      </c>
      <c r="E1477" s="91" t="s">
        <v>3324</v>
      </c>
      <c r="F1477" s="315">
        <v>237.83</v>
      </c>
      <c r="G1477" s="260">
        <v>1</v>
      </c>
      <c r="H1477" s="260"/>
      <c r="I1477" s="309"/>
      <c r="J1477" s="199"/>
      <c r="K1477" s="269"/>
      <c r="L1477" s="93">
        <f t="shared" si="359"/>
        <v>1</v>
      </c>
      <c r="M1477" s="183">
        <v>1</v>
      </c>
      <c r="N1477" s="95">
        <f t="shared" si="354"/>
        <v>237.83</v>
      </c>
      <c r="O1477" s="95">
        <f t="shared" si="355"/>
        <v>237.83</v>
      </c>
      <c r="P1477" s="94">
        <f t="shared" si="356"/>
        <v>0</v>
      </c>
      <c r="Q1477" s="95">
        <f t="shared" si="357"/>
        <v>0</v>
      </c>
      <c r="R1477" s="96"/>
      <c r="S1477" s="97">
        <f t="shared" si="358"/>
        <v>1</v>
      </c>
      <c r="T1477" s="98">
        <f t="shared" si="353"/>
        <v>0</v>
      </c>
      <c r="U1477">
        <v>1</v>
      </c>
    </row>
    <row r="1478" spans="2:21" ht="20.100000000000001" customHeight="1">
      <c r="B1478" s="88">
        <v>11</v>
      </c>
      <c r="C1478" s="89" t="s">
        <v>3129</v>
      </c>
      <c r="D1478" s="90" t="s">
        <v>3325</v>
      </c>
      <c r="E1478" s="91" t="s">
        <v>3326</v>
      </c>
      <c r="F1478" s="315">
        <v>321.3</v>
      </c>
      <c r="G1478" s="260">
        <v>1</v>
      </c>
      <c r="H1478" s="260"/>
      <c r="I1478" s="309"/>
      <c r="J1478" s="199"/>
      <c r="K1478" s="269"/>
      <c r="L1478" s="93">
        <f t="shared" si="359"/>
        <v>1</v>
      </c>
      <c r="M1478" s="183">
        <v>1</v>
      </c>
      <c r="N1478" s="95">
        <f t="shared" si="354"/>
        <v>321.3</v>
      </c>
      <c r="O1478" s="95">
        <f t="shared" si="355"/>
        <v>321.3</v>
      </c>
      <c r="P1478" s="94">
        <f t="shared" si="356"/>
        <v>0</v>
      </c>
      <c r="Q1478" s="95">
        <f t="shared" si="357"/>
        <v>0</v>
      </c>
      <c r="R1478" s="96"/>
      <c r="S1478" s="97">
        <f t="shared" si="358"/>
        <v>1</v>
      </c>
      <c r="T1478" s="98">
        <f t="shared" si="353"/>
        <v>0</v>
      </c>
      <c r="U1478">
        <v>1</v>
      </c>
    </row>
    <row r="1479" spans="2:21" ht="20.100000000000001" customHeight="1">
      <c r="B1479" s="88">
        <v>11</v>
      </c>
      <c r="C1479" s="89" t="s">
        <v>3129</v>
      </c>
      <c r="D1479" s="90" t="s">
        <v>3327</v>
      </c>
      <c r="E1479" s="91" t="s">
        <v>3328</v>
      </c>
      <c r="F1479" s="315">
        <v>300.83</v>
      </c>
      <c r="G1479" s="260">
        <v>2</v>
      </c>
      <c r="H1479" s="260"/>
      <c r="I1479" s="309"/>
      <c r="J1479" s="199"/>
      <c r="K1479" s="269"/>
      <c r="L1479" s="93">
        <f t="shared" si="359"/>
        <v>2</v>
      </c>
      <c r="M1479" s="183">
        <v>2</v>
      </c>
      <c r="N1479" s="95">
        <f t="shared" si="354"/>
        <v>601.66</v>
      </c>
      <c r="O1479" s="95">
        <f t="shared" si="355"/>
        <v>601.66</v>
      </c>
      <c r="P1479" s="94">
        <f t="shared" si="356"/>
        <v>0</v>
      </c>
      <c r="Q1479" s="95">
        <f t="shared" si="357"/>
        <v>0</v>
      </c>
      <c r="R1479" s="96"/>
      <c r="S1479" s="97">
        <f t="shared" si="358"/>
        <v>2</v>
      </c>
      <c r="T1479" s="98">
        <f t="shared" si="353"/>
        <v>0</v>
      </c>
      <c r="U1479">
        <v>2</v>
      </c>
    </row>
    <row r="1480" spans="2:21" ht="20.100000000000001" customHeight="1">
      <c r="B1480" s="88">
        <v>11</v>
      </c>
      <c r="C1480" s="89" t="s">
        <v>3129</v>
      </c>
      <c r="D1480" s="90" t="s">
        <v>3329</v>
      </c>
      <c r="E1480" s="91" t="s">
        <v>3330</v>
      </c>
      <c r="F1480" s="315">
        <v>300.83</v>
      </c>
      <c r="G1480" s="260">
        <v>1</v>
      </c>
      <c r="H1480" s="260"/>
      <c r="I1480" s="309"/>
      <c r="J1480" s="199"/>
      <c r="K1480" s="269"/>
      <c r="L1480" s="93">
        <f t="shared" si="359"/>
        <v>1</v>
      </c>
      <c r="M1480" s="183">
        <v>1</v>
      </c>
      <c r="N1480" s="95">
        <f t="shared" si="354"/>
        <v>300.83</v>
      </c>
      <c r="O1480" s="95">
        <f t="shared" si="355"/>
        <v>300.83</v>
      </c>
      <c r="P1480" s="94">
        <f t="shared" si="356"/>
        <v>0</v>
      </c>
      <c r="Q1480" s="95">
        <f t="shared" si="357"/>
        <v>0</v>
      </c>
      <c r="R1480" s="96"/>
      <c r="S1480" s="97">
        <f t="shared" si="358"/>
        <v>2</v>
      </c>
      <c r="T1480" s="98">
        <f t="shared" si="353"/>
        <v>-1</v>
      </c>
      <c r="U1480">
        <v>2</v>
      </c>
    </row>
    <row r="1481" spans="2:21" ht="20.100000000000001" customHeight="1">
      <c r="B1481" s="88">
        <v>11</v>
      </c>
      <c r="C1481" s="89" t="s">
        <v>3129</v>
      </c>
      <c r="D1481" s="90" t="s">
        <v>3331</v>
      </c>
      <c r="E1481" s="91" t="s">
        <v>3332</v>
      </c>
      <c r="F1481" s="315">
        <v>314.83</v>
      </c>
      <c r="G1481" s="260">
        <v>1</v>
      </c>
      <c r="H1481" s="260"/>
      <c r="I1481" s="309"/>
      <c r="J1481" s="199"/>
      <c r="K1481" s="269"/>
      <c r="L1481" s="93">
        <f t="shared" si="359"/>
        <v>1</v>
      </c>
      <c r="M1481" s="183">
        <v>1</v>
      </c>
      <c r="N1481" s="95">
        <f t="shared" si="354"/>
        <v>314.83</v>
      </c>
      <c r="O1481" s="95">
        <f t="shared" si="355"/>
        <v>314.83</v>
      </c>
      <c r="P1481" s="94">
        <f t="shared" si="356"/>
        <v>0</v>
      </c>
      <c r="Q1481" s="95">
        <f t="shared" si="357"/>
        <v>0</v>
      </c>
      <c r="R1481" s="96"/>
      <c r="S1481" s="97">
        <f t="shared" si="358"/>
        <v>1</v>
      </c>
      <c r="T1481" s="98">
        <f t="shared" si="353"/>
        <v>0</v>
      </c>
      <c r="U1481">
        <v>1</v>
      </c>
    </row>
    <row r="1482" spans="2:21" ht="20.100000000000001" customHeight="1">
      <c r="B1482" s="88">
        <v>11</v>
      </c>
      <c r="C1482" s="89" t="s">
        <v>3129</v>
      </c>
      <c r="D1482" s="90" t="s">
        <v>3333</v>
      </c>
      <c r="E1482" s="91" t="s">
        <v>3334</v>
      </c>
      <c r="F1482" s="315">
        <v>314.83</v>
      </c>
      <c r="G1482" s="260"/>
      <c r="H1482" s="260"/>
      <c r="I1482" s="309"/>
      <c r="J1482" s="199"/>
      <c r="K1482" s="269"/>
      <c r="L1482" s="93">
        <f t="shared" si="359"/>
        <v>0</v>
      </c>
      <c r="M1482" s="183"/>
      <c r="N1482" s="95">
        <f t="shared" si="354"/>
        <v>0</v>
      </c>
      <c r="O1482" s="95">
        <f t="shared" si="355"/>
        <v>0</v>
      </c>
      <c r="P1482" s="94">
        <f t="shared" si="356"/>
        <v>0</v>
      </c>
      <c r="Q1482" s="95">
        <f t="shared" si="357"/>
        <v>0</v>
      </c>
      <c r="R1482" s="96"/>
      <c r="S1482" s="97">
        <f t="shared" si="358"/>
        <v>1</v>
      </c>
      <c r="T1482" s="98">
        <f t="shared" si="353"/>
        <v>-1</v>
      </c>
      <c r="U1482">
        <v>1</v>
      </c>
    </row>
    <row r="1483" spans="2:21" ht="20.100000000000001" customHeight="1">
      <c r="B1483" s="88">
        <v>11</v>
      </c>
      <c r="C1483" s="89" t="s">
        <v>3129</v>
      </c>
      <c r="D1483" s="90" t="s">
        <v>3335</v>
      </c>
      <c r="E1483" s="91" t="s">
        <v>3336</v>
      </c>
      <c r="F1483" s="315">
        <v>300.83</v>
      </c>
      <c r="G1483" s="260">
        <v>1</v>
      </c>
      <c r="H1483" s="260"/>
      <c r="I1483" s="309"/>
      <c r="J1483" s="199"/>
      <c r="K1483" s="269"/>
      <c r="L1483" s="93">
        <f t="shared" si="359"/>
        <v>1</v>
      </c>
      <c r="M1483" s="183">
        <v>1</v>
      </c>
      <c r="N1483" s="95">
        <f t="shared" si="354"/>
        <v>300.83</v>
      </c>
      <c r="O1483" s="95">
        <f t="shared" si="355"/>
        <v>300.83</v>
      </c>
      <c r="P1483" s="94">
        <f t="shared" si="356"/>
        <v>0</v>
      </c>
      <c r="Q1483" s="95">
        <f t="shared" si="357"/>
        <v>0</v>
      </c>
      <c r="R1483" s="96"/>
      <c r="S1483" s="97">
        <f t="shared" si="358"/>
        <v>1</v>
      </c>
      <c r="T1483" s="98">
        <f t="shared" si="353"/>
        <v>0</v>
      </c>
      <c r="U1483">
        <v>1</v>
      </c>
    </row>
    <row r="1484" spans="2:21" ht="20.100000000000001" customHeight="1">
      <c r="B1484" s="88">
        <v>11</v>
      </c>
      <c r="C1484" s="89" t="s">
        <v>3129</v>
      </c>
      <c r="D1484" s="90" t="s">
        <v>3337</v>
      </c>
      <c r="E1484" s="91" t="s">
        <v>3338</v>
      </c>
      <c r="F1484" s="315">
        <v>209.3</v>
      </c>
      <c r="G1484" s="260">
        <v>1</v>
      </c>
      <c r="H1484" s="260"/>
      <c r="I1484" s="309"/>
      <c r="J1484" s="199"/>
      <c r="K1484" s="269"/>
      <c r="L1484" s="93">
        <f t="shared" si="359"/>
        <v>1</v>
      </c>
      <c r="M1484" s="183">
        <v>1</v>
      </c>
      <c r="N1484" s="95">
        <f t="shared" si="354"/>
        <v>209.3</v>
      </c>
      <c r="O1484" s="95">
        <f t="shared" si="355"/>
        <v>209.3</v>
      </c>
      <c r="P1484" s="94">
        <f t="shared" si="356"/>
        <v>0</v>
      </c>
      <c r="Q1484" s="95">
        <f t="shared" si="357"/>
        <v>0</v>
      </c>
      <c r="R1484" s="96"/>
      <c r="S1484" s="97">
        <f t="shared" si="358"/>
        <v>1</v>
      </c>
      <c r="T1484" s="98">
        <f t="shared" si="353"/>
        <v>0</v>
      </c>
      <c r="U1484">
        <v>1</v>
      </c>
    </row>
    <row r="1485" spans="2:21" ht="20.100000000000001" customHeight="1">
      <c r="B1485" s="88">
        <v>11</v>
      </c>
      <c r="C1485" s="89" t="s">
        <v>3129</v>
      </c>
      <c r="D1485" s="90" t="s">
        <v>3339</v>
      </c>
      <c r="E1485" s="91" t="s">
        <v>3340</v>
      </c>
      <c r="F1485" s="315">
        <v>209.3</v>
      </c>
      <c r="G1485" s="260">
        <v>1</v>
      </c>
      <c r="H1485" s="260"/>
      <c r="I1485" s="309"/>
      <c r="J1485" s="199"/>
      <c r="K1485" s="269"/>
      <c r="L1485" s="93">
        <f t="shared" si="359"/>
        <v>1</v>
      </c>
      <c r="M1485" s="183">
        <v>1</v>
      </c>
      <c r="N1485" s="95">
        <f t="shared" si="354"/>
        <v>209.3</v>
      </c>
      <c r="O1485" s="95">
        <f t="shared" si="355"/>
        <v>209.3</v>
      </c>
      <c r="P1485" s="94">
        <f t="shared" si="356"/>
        <v>0</v>
      </c>
      <c r="Q1485" s="95">
        <f t="shared" si="357"/>
        <v>0</v>
      </c>
      <c r="R1485" s="96"/>
      <c r="S1485" s="97">
        <f t="shared" si="358"/>
        <v>1</v>
      </c>
      <c r="T1485" s="98">
        <f t="shared" si="353"/>
        <v>0</v>
      </c>
      <c r="U1485">
        <v>1</v>
      </c>
    </row>
    <row r="1486" spans="2:21" ht="20.100000000000001" customHeight="1">
      <c r="B1486" s="88">
        <v>11</v>
      </c>
      <c r="C1486" s="89" t="s">
        <v>3129</v>
      </c>
      <c r="D1486" s="90" t="s">
        <v>3341</v>
      </c>
      <c r="E1486" s="91" t="s">
        <v>3342</v>
      </c>
      <c r="F1486" s="315">
        <v>230.83</v>
      </c>
      <c r="G1486" s="260">
        <v>1</v>
      </c>
      <c r="H1486" s="260"/>
      <c r="I1486" s="309"/>
      <c r="J1486" s="199"/>
      <c r="K1486" s="269"/>
      <c r="L1486" s="93">
        <f t="shared" si="359"/>
        <v>1</v>
      </c>
      <c r="M1486" s="183">
        <v>1</v>
      </c>
      <c r="N1486" s="95">
        <f t="shared" si="354"/>
        <v>230.83</v>
      </c>
      <c r="O1486" s="95">
        <f t="shared" si="355"/>
        <v>230.83</v>
      </c>
      <c r="P1486" s="94">
        <f t="shared" si="356"/>
        <v>0</v>
      </c>
      <c r="Q1486" s="95">
        <f t="shared" si="357"/>
        <v>0</v>
      </c>
      <c r="R1486" s="96"/>
      <c r="S1486" s="97">
        <f t="shared" si="358"/>
        <v>1</v>
      </c>
      <c r="T1486" s="98">
        <f t="shared" si="353"/>
        <v>0</v>
      </c>
      <c r="U1486">
        <v>1</v>
      </c>
    </row>
    <row r="1487" spans="2:21" ht="20.100000000000001" customHeight="1">
      <c r="B1487" s="88">
        <v>11</v>
      </c>
      <c r="C1487" s="89" t="s">
        <v>3129</v>
      </c>
      <c r="D1487" s="90" t="s">
        <v>3343</v>
      </c>
      <c r="E1487" s="91" t="s">
        <v>3344</v>
      </c>
      <c r="F1487" s="315">
        <v>195.83</v>
      </c>
      <c r="G1487" s="260">
        <v>1</v>
      </c>
      <c r="H1487" s="260"/>
      <c r="I1487" s="309"/>
      <c r="J1487" s="199"/>
      <c r="K1487" s="269"/>
      <c r="L1487" s="93">
        <f t="shared" si="359"/>
        <v>1</v>
      </c>
      <c r="M1487" s="183">
        <v>1</v>
      </c>
      <c r="N1487" s="95">
        <f t="shared" si="354"/>
        <v>195.83</v>
      </c>
      <c r="O1487" s="95">
        <f t="shared" si="355"/>
        <v>195.83</v>
      </c>
      <c r="P1487" s="94">
        <f t="shared" si="356"/>
        <v>0</v>
      </c>
      <c r="Q1487" s="95">
        <f t="shared" si="357"/>
        <v>0</v>
      </c>
      <c r="R1487" s="96"/>
      <c r="S1487" s="97">
        <f t="shared" si="358"/>
        <v>1</v>
      </c>
      <c r="T1487" s="98">
        <f t="shared" si="353"/>
        <v>0</v>
      </c>
      <c r="U1487">
        <v>1</v>
      </c>
    </row>
    <row r="1488" spans="2:21" ht="20.100000000000001" customHeight="1">
      <c r="B1488" s="88">
        <v>11</v>
      </c>
      <c r="C1488" s="89" t="s">
        <v>3129</v>
      </c>
      <c r="D1488" s="90" t="s">
        <v>3345</v>
      </c>
      <c r="E1488" s="91" t="s">
        <v>3346</v>
      </c>
      <c r="F1488" s="315">
        <v>174.83</v>
      </c>
      <c r="G1488" s="260">
        <v>1</v>
      </c>
      <c r="H1488" s="260"/>
      <c r="I1488" s="309"/>
      <c r="J1488" s="199"/>
      <c r="K1488" s="269"/>
      <c r="L1488" s="93">
        <f t="shared" si="359"/>
        <v>1</v>
      </c>
      <c r="M1488" s="183">
        <v>1</v>
      </c>
      <c r="N1488" s="95">
        <f t="shared" si="354"/>
        <v>174.83</v>
      </c>
      <c r="O1488" s="95">
        <f t="shared" si="355"/>
        <v>174.83</v>
      </c>
      <c r="P1488" s="94">
        <f t="shared" si="356"/>
        <v>0</v>
      </c>
      <c r="Q1488" s="95">
        <f t="shared" si="357"/>
        <v>0</v>
      </c>
      <c r="R1488" s="96"/>
      <c r="S1488" s="97">
        <f t="shared" si="358"/>
        <v>1</v>
      </c>
      <c r="T1488" s="98">
        <f t="shared" si="353"/>
        <v>0</v>
      </c>
      <c r="U1488">
        <v>1</v>
      </c>
    </row>
    <row r="1489" spans="2:31" ht="20.100000000000001" customHeight="1">
      <c r="B1489" s="88">
        <v>11</v>
      </c>
      <c r="C1489" s="89" t="s">
        <v>3129</v>
      </c>
      <c r="D1489" s="90" t="s">
        <v>3347</v>
      </c>
      <c r="E1489" s="91" t="s">
        <v>3348</v>
      </c>
      <c r="F1489" s="315">
        <v>230.83</v>
      </c>
      <c r="G1489" s="260">
        <v>2</v>
      </c>
      <c r="H1489" s="260"/>
      <c r="I1489" s="309"/>
      <c r="J1489" s="199"/>
      <c r="K1489" s="269"/>
      <c r="L1489" s="93">
        <f t="shared" si="359"/>
        <v>2</v>
      </c>
      <c r="M1489" s="183">
        <v>2</v>
      </c>
      <c r="N1489" s="95">
        <f t="shared" si="354"/>
        <v>461.66</v>
      </c>
      <c r="O1489" s="95">
        <f t="shared" si="355"/>
        <v>461.66</v>
      </c>
      <c r="P1489" s="94">
        <f t="shared" si="356"/>
        <v>0</v>
      </c>
      <c r="Q1489" s="95">
        <f t="shared" si="357"/>
        <v>0</v>
      </c>
      <c r="R1489" s="96"/>
      <c r="S1489" s="97">
        <f t="shared" si="358"/>
        <v>2</v>
      </c>
      <c r="T1489" s="98">
        <f t="shared" si="353"/>
        <v>0</v>
      </c>
      <c r="U1489">
        <v>2</v>
      </c>
    </row>
    <row r="1490" spans="2:31" ht="20.100000000000001" customHeight="1">
      <c r="B1490" s="88">
        <v>11</v>
      </c>
      <c r="C1490" s="89" t="s">
        <v>3129</v>
      </c>
      <c r="D1490" s="90" t="s">
        <v>3349</v>
      </c>
      <c r="E1490" s="91" t="s">
        <v>3350</v>
      </c>
      <c r="F1490" s="315">
        <v>174.83</v>
      </c>
      <c r="G1490" s="260">
        <v>1</v>
      </c>
      <c r="H1490" s="260"/>
      <c r="I1490" s="309"/>
      <c r="J1490" s="199"/>
      <c r="K1490" s="269"/>
      <c r="L1490" s="93">
        <f t="shared" si="359"/>
        <v>1</v>
      </c>
      <c r="M1490" s="183">
        <v>1</v>
      </c>
      <c r="N1490" s="95">
        <f t="shared" si="354"/>
        <v>174.83</v>
      </c>
      <c r="O1490" s="95">
        <f t="shared" si="355"/>
        <v>174.83</v>
      </c>
      <c r="P1490" s="94">
        <f t="shared" si="356"/>
        <v>0</v>
      </c>
      <c r="Q1490" s="95">
        <f t="shared" si="357"/>
        <v>0</v>
      </c>
      <c r="R1490" s="96"/>
      <c r="S1490" s="97">
        <f t="shared" si="358"/>
        <v>1</v>
      </c>
      <c r="T1490" s="98">
        <f t="shared" si="353"/>
        <v>0</v>
      </c>
      <c r="U1490">
        <v>1</v>
      </c>
    </row>
    <row r="1491" spans="2:31" ht="20.100000000000001" customHeight="1">
      <c r="B1491" s="88">
        <v>11</v>
      </c>
      <c r="C1491" s="89" t="s">
        <v>3129</v>
      </c>
      <c r="D1491" s="90" t="s">
        <v>3351</v>
      </c>
      <c r="E1491" s="91" t="s">
        <v>3352</v>
      </c>
      <c r="F1491" s="315">
        <v>174.83</v>
      </c>
      <c r="G1491" s="260">
        <v>1</v>
      </c>
      <c r="H1491" s="260"/>
      <c r="I1491" s="309"/>
      <c r="J1491" s="199"/>
      <c r="K1491" s="269"/>
      <c r="L1491" s="93">
        <f t="shared" si="359"/>
        <v>1</v>
      </c>
      <c r="M1491" s="183">
        <v>1</v>
      </c>
      <c r="N1491" s="95">
        <f t="shared" si="354"/>
        <v>174.83</v>
      </c>
      <c r="O1491" s="95">
        <f t="shared" si="355"/>
        <v>174.83</v>
      </c>
      <c r="P1491" s="94">
        <f t="shared" si="356"/>
        <v>0</v>
      </c>
      <c r="Q1491" s="95">
        <f t="shared" si="357"/>
        <v>0</v>
      </c>
      <c r="R1491" s="96"/>
      <c r="S1491" s="97">
        <f t="shared" si="358"/>
        <v>1</v>
      </c>
      <c r="T1491" s="98">
        <f t="shared" si="353"/>
        <v>0</v>
      </c>
      <c r="U1491">
        <v>1</v>
      </c>
    </row>
    <row r="1492" spans="2:31" ht="20.100000000000001" customHeight="1">
      <c r="B1492" s="88">
        <v>11</v>
      </c>
      <c r="C1492" s="89" t="s">
        <v>3129</v>
      </c>
      <c r="D1492" s="90" t="s">
        <v>3353</v>
      </c>
      <c r="E1492" s="91" t="s">
        <v>3354</v>
      </c>
      <c r="F1492" s="315">
        <v>174.83</v>
      </c>
      <c r="G1492" s="260">
        <v>1</v>
      </c>
      <c r="H1492" s="260"/>
      <c r="I1492" s="309"/>
      <c r="J1492" s="199"/>
      <c r="K1492" s="269"/>
      <c r="L1492" s="93">
        <f t="shared" si="359"/>
        <v>1</v>
      </c>
      <c r="M1492" s="183">
        <v>1</v>
      </c>
      <c r="N1492" s="95">
        <f t="shared" si="354"/>
        <v>174.83</v>
      </c>
      <c r="O1492" s="95">
        <f t="shared" si="355"/>
        <v>174.83</v>
      </c>
      <c r="P1492" s="94">
        <f t="shared" si="356"/>
        <v>0</v>
      </c>
      <c r="Q1492" s="95">
        <f t="shared" si="357"/>
        <v>0</v>
      </c>
      <c r="R1492" s="96"/>
      <c r="S1492" s="97">
        <f t="shared" si="358"/>
        <v>1</v>
      </c>
      <c r="T1492" s="98">
        <f t="shared" si="353"/>
        <v>0</v>
      </c>
      <c r="U1492">
        <v>1</v>
      </c>
    </row>
    <row r="1493" spans="2:31" ht="20.100000000000001" customHeight="1">
      <c r="B1493" s="88">
        <v>11</v>
      </c>
      <c r="C1493" s="89" t="s">
        <v>3129</v>
      </c>
      <c r="D1493" s="90" t="s">
        <v>3355</v>
      </c>
      <c r="E1493" s="91" t="s">
        <v>3356</v>
      </c>
      <c r="F1493" s="315">
        <v>206.33</v>
      </c>
      <c r="G1493" s="260">
        <v>1</v>
      </c>
      <c r="H1493" s="260"/>
      <c r="I1493" s="309"/>
      <c r="J1493" s="199"/>
      <c r="K1493" s="269"/>
      <c r="L1493" s="93">
        <f t="shared" si="359"/>
        <v>1</v>
      </c>
      <c r="M1493" s="183">
        <v>1</v>
      </c>
      <c r="N1493" s="95">
        <f t="shared" si="354"/>
        <v>206.33</v>
      </c>
      <c r="O1493" s="95">
        <f t="shared" si="355"/>
        <v>206.33</v>
      </c>
      <c r="P1493" s="94">
        <f t="shared" si="356"/>
        <v>0</v>
      </c>
      <c r="Q1493" s="95">
        <f t="shared" si="357"/>
        <v>0</v>
      </c>
      <c r="R1493" s="96"/>
      <c r="S1493" s="97">
        <f t="shared" si="358"/>
        <v>1</v>
      </c>
      <c r="T1493" s="98">
        <f t="shared" si="353"/>
        <v>0</v>
      </c>
      <c r="U1493">
        <v>1</v>
      </c>
    </row>
    <row r="1494" spans="2:31" ht="20.100000000000001" customHeight="1">
      <c r="B1494" s="88">
        <v>11</v>
      </c>
      <c r="C1494" s="89" t="s">
        <v>3129</v>
      </c>
      <c r="D1494" s="90" t="s">
        <v>3357</v>
      </c>
      <c r="E1494" s="91" t="s">
        <v>3358</v>
      </c>
      <c r="F1494" s="315">
        <v>206.33</v>
      </c>
      <c r="G1494" s="260">
        <v>5</v>
      </c>
      <c r="H1494" s="260"/>
      <c r="I1494" s="309"/>
      <c r="J1494" s="199"/>
      <c r="K1494" s="269"/>
      <c r="L1494" s="93">
        <f t="shared" si="359"/>
        <v>5</v>
      </c>
      <c r="M1494" s="183">
        <v>5</v>
      </c>
      <c r="N1494" s="95">
        <f t="shared" si="354"/>
        <v>1031.6500000000001</v>
      </c>
      <c r="O1494" s="95">
        <f t="shared" si="355"/>
        <v>1031.6500000000001</v>
      </c>
      <c r="P1494" s="94">
        <f t="shared" si="356"/>
        <v>0</v>
      </c>
      <c r="Q1494" s="95">
        <f t="shared" si="357"/>
        <v>0</v>
      </c>
      <c r="R1494" s="96"/>
      <c r="S1494" s="97">
        <f t="shared" si="358"/>
        <v>5</v>
      </c>
      <c r="T1494" s="98">
        <f t="shared" si="353"/>
        <v>0</v>
      </c>
      <c r="U1494">
        <v>5</v>
      </c>
    </row>
    <row r="1495" spans="2:31" ht="20.100000000000001" customHeight="1">
      <c r="B1495" s="88">
        <v>11</v>
      </c>
      <c r="C1495" s="89" t="s">
        <v>3129</v>
      </c>
      <c r="D1495" s="90" t="s">
        <v>3359</v>
      </c>
      <c r="E1495" s="91" t="s">
        <v>3360</v>
      </c>
      <c r="F1495" s="315">
        <v>206.33</v>
      </c>
      <c r="G1495" s="260">
        <v>1</v>
      </c>
      <c r="H1495" s="260"/>
      <c r="I1495" s="309"/>
      <c r="J1495" s="199"/>
      <c r="K1495" s="269"/>
      <c r="L1495" s="93">
        <f t="shared" si="359"/>
        <v>1</v>
      </c>
      <c r="M1495" s="183">
        <v>1</v>
      </c>
      <c r="N1495" s="95">
        <f t="shared" si="354"/>
        <v>206.33</v>
      </c>
      <c r="O1495" s="95">
        <f t="shared" si="355"/>
        <v>206.33</v>
      </c>
      <c r="P1495" s="94">
        <f t="shared" si="356"/>
        <v>0</v>
      </c>
      <c r="Q1495" s="95">
        <f t="shared" si="357"/>
        <v>0</v>
      </c>
      <c r="R1495" s="96"/>
      <c r="S1495" s="97">
        <f t="shared" si="358"/>
        <v>1</v>
      </c>
      <c r="T1495" s="98">
        <f t="shared" si="353"/>
        <v>0</v>
      </c>
      <c r="U1495">
        <v>1</v>
      </c>
    </row>
    <row r="1496" spans="2:31" ht="20.100000000000001" customHeight="1">
      <c r="B1496" s="88">
        <v>11</v>
      </c>
      <c r="C1496" s="89" t="s">
        <v>3129</v>
      </c>
      <c r="D1496" s="90" t="s">
        <v>3361</v>
      </c>
      <c r="E1496" s="91" t="s">
        <v>3362</v>
      </c>
      <c r="F1496" s="315">
        <v>272.3</v>
      </c>
      <c r="G1496" s="260">
        <v>1</v>
      </c>
      <c r="H1496" s="260"/>
      <c r="I1496" s="309"/>
      <c r="J1496" s="199"/>
      <c r="K1496" s="269"/>
      <c r="L1496" s="93">
        <f t="shared" si="359"/>
        <v>1</v>
      </c>
      <c r="M1496" s="183">
        <v>1</v>
      </c>
      <c r="N1496" s="95">
        <f t="shared" si="354"/>
        <v>272.3</v>
      </c>
      <c r="O1496" s="95">
        <f t="shared" si="355"/>
        <v>272.3</v>
      </c>
      <c r="P1496" s="94">
        <f t="shared" si="356"/>
        <v>0</v>
      </c>
      <c r="Q1496" s="95">
        <f t="shared" si="357"/>
        <v>0</v>
      </c>
      <c r="R1496" s="96"/>
      <c r="S1496" s="97">
        <f t="shared" si="358"/>
        <v>1</v>
      </c>
      <c r="T1496" s="98">
        <f t="shared" si="353"/>
        <v>0</v>
      </c>
      <c r="U1496">
        <v>1</v>
      </c>
    </row>
    <row r="1497" spans="2:31" ht="20.100000000000001" customHeight="1">
      <c r="B1497" s="88">
        <v>11</v>
      </c>
      <c r="C1497" s="89" t="s">
        <v>3129</v>
      </c>
      <c r="D1497" s="90" t="s">
        <v>3363</v>
      </c>
      <c r="E1497" s="91" t="s">
        <v>3364</v>
      </c>
      <c r="F1497" s="315">
        <v>272.3</v>
      </c>
      <c r="G1497" s="260">
        <v>1</v>
      </c>
      <c r="H1497" s="260"/>
      <c r="I1497" s="309"/>
      <c r="J1497" s="199"/>
      <c r="K1497" s="269"/>
      <c r="L1497" s="93">
        <f t="shared" si="359"/>
        <v>1</v>
      </c>
      <c r="M1497" s="183">
        <v>1</v>
      </c>
      <c r="N1497" s="95">
        <f t="shared" si="354"/>
        <v>272.3</v>
      </c>
      <c r="O1497" s="95">
        <f t="shared" si="355"/>
        <v>272.3</v>
      </c>
      <c r="P1497" s="94">
        <f t="shared" si="356"/>
        <v>0</v>
      </c>
      <c r="Q1497" s="95">
        <f t="shared" si="357"/>
        <v>0</v>
      </c>
      <c r="R1497" s="96"/>
      <c r="S1497" s="97">
        <f t="shared" si="358"/>
        <v>1</v>
      </c>
      <c r="T1497" s="98">
        <f t="shared" si="353"/>
        <v>0</v>
      </c>
      <c r="U1497">
        <v>1</v>
      </c>
    </row>
    <row r="1498" spans="2:31" ht="20.100000000000001" customHeight="1">
      <c r="B1498" s="88">
        <v>11</v>
      </c>
      <c r="C1498" s="89" t="s">
        <v>3129</v>
      </c>
      <c r="D1498" s="90" t="s">
        <v>3365</v>
      </c>
      <c r="E1498" s="91" t="s">
        <v>3366</v>
      </c>
      <c r="F1498" s="315">
        <v>147.5</v>
      </c>
      <c r="G1498" s="260">
        <v>3</v>
      </c>
      <c r="H1498" s="260"/>
      <c r="I1498" s="309"/>
      <c r="J1498" s="199"/>
      <c r="K1498" s="269"/>
      <c r="L1498" s="93">
        <f t="shared" si="359"/>
        <v>3</v>
      </c>
      <c r="M1498" s="183">
        <v>3</v>
      </c>
      <c r="N1498" s="95">
        <f t="shared" si="354"/>
        <v>442.5</v>
      </c>
      <c r="O1498" s="95">
        <f t="shared" si="355"/>
        <v>442.5</v>
      </c>
      <c r="P1498" s="94">
        <f t="shared" si="356"/>
        <v>0</v>
      </c>
      <c r="Q1498" s="95">
        <f t="shared" si="357"/>
        <v>0</v>
      </c>
      <c r="R1498" s="96" t="s">
        <v>2587</v>
      </c>
      <c r="S1498" s="97">
        <f t="shared" si="358"/>
        <v>3</v>
      </c>
      <c r="T1498" s="98">
        <f t="shared" si="353"/>
        <v>0</v>
      </c>
      <c r="U1498">
        <v>3</v>
      </c>
      <c r="V1498" s="99" t="s">
        <v>479</v>
      </c>
      <c r="AD1498" s="18">
        <f>M1498</f>
        <v>3</v>
      </c>
      <c r="AE1498" s="100">
        <f>AD1498*F1498</f>
        <v>442.5</v>
      </c>
    </row>
    <row r="1499" spans="2:31" ht="20.100000000000001" customHeight="1">
      <c r="B1499" s="88">
        <v>11</v>
      </c>
      <c r="C1499" s="89" t="s">
        <v>3129</v>
      </c>
      <c r="D1499" s="90" t="s">
        <v>3367</v>
      </c>
      <c r="E1499" s="91" t="s">
        <v>3368</v>
      </c>
      <c r="F1499" s="315">
        <v>287.5</v>
      </c>
      <c r="G1499" s="260">
        <v>2</v>
      </c>
      <c r="H1499" s="260"/>
      <c r="I1499" s="309"/>
      <c r="J1499" s="199"/>
      <c r="K1499" s="269"/>
      <c r="L1499" s="93">
        <f t="shared" si="359"/>
        <v>2</v>
      </c>
      <c r="M1499" s="183">
        <v>2</v>
      </c>
      <c r="N1499" s="95">
        <f t="shared" si="354"/>
        <v>575</v>
      </c>
      <c r="O1499" s="95">
        <f t="shared" si="355"/>
        <v>575</v>
      </c>
      <c r="P1499" s="94">
        <f t="shared" si="356"/>
        <v>0</v>
      </c>
      <c r="Q1499" s="95">
        <f t="shared" si="357"/>
        <v>0</v>
      </c>
      <c r="R1499" s="96"/>
      <c r="S1499" s="97">
        <f t="shared" si="358"/>
        <v>2</v>
      </c>
      <c r="T1499" s="98">
        <f t="shared" si="353"/>
        <v>0</v>
      </c>
      <c r="U1499">
        <v>2</v>
      </c>
      <c r="V1499" s="99" t="s">
        <v>479</v>
      </c>
      <c r="AD1499" s="18">
        <f>M1499</f>
        <v>2</v>
      </c>
      <c r="AE1499" s="100">
        <f>AD1499*F1499</f>
        <v>575</v>
      </c>
    </row>
    <row r="1500" spans="2:31" ht="20.100000000000001" customHeight="1">
      <c r="B1500" s="88">
        <v>11</v>
      </c>
      <c r="C1500" s="89" t="s">
        <v>3129</v>
      </c>
      <c r="D1500" s="90" t="s">
        <v>3369</v>
      </c>
      <c r="E1500" s="91" t="s">
        <v>3370</v>
      </c>
      <c r="F1500" s="315">
        <v>287.5</v>
      </c>
      <c r="G1500" s="260">
        <v>2</v>
      </c>
      <c r="H1500" s="260"/>
      <c r="I1500" s="309"/>
      <c r="J1500" s="199"/>
      <c r="K1500" s="269"/>
      <c r="L1500" s="93">
        <f t="shared" si="359"/>
        <v>2</v>
      </c>
      <c r="M1500" s="183">
        <v>2</v>
      </c>
      <c r="N1500" s="95">
        <f t="shared" si="354"/>
        <v>575</v>
      </c>
      <c r="O1500" s="95">
        <f t="shared" si="355"/>
        <v>575</v>
      </c>
      <c r="P1500" s="94">
        <f t="shared" si="356"/>
        <v>0</v>
      </c>
      <c r="Q1500" s="95">
        <f t="shared" si="357"/>
        <v>0</v>
      </c>
      <c r="R1500" s="96"/>
      <c r="S1500" s="97">
        <f t="shared" si="358"/>
        <v>2</v>
      </c>
      <c r="T1500" s="98">
        <f t="shared" si="353"/>
        <v>0</v>
      </c>
      <c r="U1500">
        <v>2</v>
      </c>
      <c r="V1500" s="99" t="s">
        <v>479</v>
      </c>
      <c r="AD1500" s="18">
        <f>M1500</f>
        <v>2</v>
      </c>
      <c r="AE1500" s="100">
        <f>AD1500*F1500</f>
        <v>575</v>
      </c>
    </row>
    <row r="1501" spans="2:31" ht="20.100000000000001" customHeight="1">
      <c r="B1501" s="88">
        <v>11</v>
      </c>
      <c r="C1501" s="89" t="s">
        <v>3129</v>
      </c>
      <c r="D1501" s="90" t="s">
        <v>3371</v>
      </c>
      <c r="E1501" s="91" t="s">
        <v>3372</v>
      </c>
      <c r="F1501" s="315">
        <v>209.3</v>
      </c>
      <c r="G1501" s="260">
        <v>2</v>
      </c>
      <c r="H1501" s="260"/>
      <c r="I1501" s="309"/>
      <c r="J1501" s="199"/>
      <c r="K1501" s="269"/>
      <c r="L1501" s="93">
        <f t="shared" si="359"/>
        <v>2</v>
      </c>
      <c r="M1501" s="183">
        <v>2</v>
      </c>
      <c r="N1501" s="95">
        <f t="shared" si="354"/>
        <v>418.6</v>
      </c>
      <c r="O1501" s="95">
        <f t="shared" si="355"/>
        <v>418.6</v>
      </c>
      <c r="P1501" s="94">
        <f t="shared" si="356"/>
        <v>0</v>
      </c>
      <c r="Q1501" s="95">
        <f t="shared" si="357"/>
        <v>0</v>
      </c>
      <c r="R1501" s="96"/>
      <c r="S1501" s="97">
        <f t="shared" si="358"/>
        <v>0</v>
      </c>
      <c r="T1501" s="98">
        <f t="shared" si="353"/>
        <v>2</v>
      </c>
    </row>
    <row r="1502" spans="2:31" ht="20.100000000000001" customHeight="1">
      <c r="B1502" s="88">
        <v>11</v>
      </c>
      <c r="C1502" s="89" t="s">
        <v>3129</v>
      </c>
      <c r="D1502" s="90" t="s">
        <v>3373</v>
      </c>
      <c r="E1502" s="91" t="s">
        <v>3374</v>
      </c>
      <c r="F1502" s="315">
        <v>209.3</v>
      </c>
      <c r="G1502" s="260">
        <v>2</v>
      </c>
      <c r="H1502" s="260"/>
      <c r="I1502" s="309"/>
      <c r="J1502" s="199"/>
      <c r="K1502" s="269"/>
      <c r="L1502" s="93">
        <f t="shared" si="359"/>
        <v>2</v>
      </c>
      <c r="M1502" s="183">
        <v>2</v>
      </c>
      <c r="N1502" s="95">
        <f t="shared" si="354"/>
        <v>418.6</v>
      </c>
      <c r="O1502" s="95">
        <f t="shared" si="355"/>
        <v>418.6</v>
      </c>
      <c r="P1502" s="94">
        <f t="shared" si="356"/>
        <v>0</v>
      </c>
      <c r="Q1502" s="95">
        <f t="shared" si="357"/>
        <v>0</v>
      </c>
      <c r="R1502" s="96"/>
      <c r="S1502" s="97">
        <f t="shared" si="358"/>
        <v>0</v>
      </c>
      <c r="T1502" s="98">
        <f t="shared" si="353"/>
        <v>2</v>
      </c>
    </row>
    <row r="1503" spans="2:31" ht="20.100000000000001" customHeight="1">
      <c r="B1503" s="88">
        <v>11</v>
      </c>
      <c r="C1503" s="89" t="s">
        <v>3129</v>
      </c>
      <c r="D1503" s="90" t="s">
        <v>3375</v>
      </c>
      <c r="E1503" s="91" t="s">
        <v>3376</v>
      </c>
      <c r="F1503" s="315">
        <v>209.3</v>
      </c>
      <c r="G1503" s="260">
        <v>3</v>
      </c>
      <c r="H1503" s="260"/>
      <c r="I1503" s="309"/>
      <c r="J1503" s="199"/>
      <c r="K1503" s="269"/>
      <c r="L1503" s="93">
        <f t="shared" si="359"/>
        <v>3</v>
      </c>
      <c r="M1503" s="183">
        <v>3</v>
      </c>
      <c r="N1503" s="95">
        <f t="shared" si="354"/>
        <v>627.90000000000009</v>
      </c>
      <c r="O1503" s="95">
        <f t="shared" si="355"/>
        <v>627.90000000000009</v>
      </c>
      <c r="P1503" s="94">
        <f t="shared" si="356"/>
        <v>0</v>
      </c>
      <c r="Q1503" s="95">
        <f t="shared" si="357"/>
        <v>0</v>
      </c>
      <c r="R1503" s="96"/>
      <c r="S1503" s="97">
        <f t="shared" si="358"/>
        <v>0</v>
      </c>
      <c r="T1503" s="98">
        <f t="shared" si="353"/>
        <v>3</v>
      </c>
    </row>
    <row r="1504" spans="2:31" ht="20.100000000000001" customHeight="1">
      <c r="B1504" s="88">
        <v>11</v>
      </c>
      <c r="C1504" s="89" t="s">
        <v>3129</v>
      </c>
      <c r="D1504" s="90" t="s">
        <v>3377</v>
      </c>
      <c r="E1504" s="91" t="s">
        <v>3378</v>
      </c>
      <c r="F1504" s="315">
        <v>130</v>
      </c>
      <c r="G1504" s="260"/>
      <c r="H1504" s="260"/>
      <c r="I1504" s="309"/>
      <c r="J1504" s="199"/>
      <c r="K1504" s="269"/>
      <c r="L1504" s="93">
        <f t="shared" si="359"/>
        <v>0</v>
      </c>
      <c r="M1504" s="183"/>
      <c r="N1504" s="95">
        <f t="shared" si="354"/>
        <v>0</v>
      </c>
      <c r="O1504" s="95">
        <f t="shared" si="355"/>
        <v>0</v>
      </c>
      <c r="P1504" s="94">
        <f t="shared" si="356"/>
        <v>0</v>
      </c>
      <c r="Q1504" s="95">
        <f t="shared" si="357"/>
        <v>0</v>
      </c>
      <c r="R1504" s="96"/>
      <c r="S1504" s="97">
        <f t="shared" si="358"/>
        <v>0</v>
      </c>
      <c r="T1504" s="98">
        <f t="shared" si="353"/>
        <v>0</v>
      </c>
    </row>
    <row r="1505" spans="2:31" ht="20.100000000000001" customHeight="1">
      <c r="B1505" s="88">
        <v>11</v>
      </c>
      <c r="C1505" s="89" t="s">
        <v>3129</v>
      </c>
      <c r="D1505" s="90" t="s">
        <v>3379</v>
      </c>
      <c r="E1505" s="91" t="s">
        <v>3380</v>
      </c>
      <c r="F1505" s="315">
        <v>140</v>
      </c>
      <c r="G1505" s="260">
        <v>5</v>
      </c>
      <c r="H1505" s="260"/>
      <c r="I1505" s="309"/>
      <c r="J1505" s="199"/>
      <c r="K1505" s="269"/>
      <c r="L1505" s="93">
        <f t="shared" si="359"/>
        <v>5</v>
      </c>
      <c r="M1505" s="183">
        <v>5</v>
      </c>
      <c r="N1505" s="95">
        <f t="shared" si="354"/>
        <v>700</v>
      </c>
      <c r="O1505" s="95">
        <f t="shared" si="355"/>
        <v>700</v>
      </c>
      <c r="P1505" s="94">
        <f t="shared" si="356"/>
        <v>0</v>
      </c>
      <c r="Q1505" s="95">
        <f t="shared" si="357"/>
        <v>0</v>
      </c>
      <c r="R1505" s="96" t="s">
        <v>3381</v>
      </c>
      <c r="S1505" s="97">
        <f t="shared" si="358"/>
        <v>0</v>
      </c>
      <c r="T1505" s="98">
        <f t="shared" si="353"/>
        <v>5</v>
      </c>
    </row>
    <row r="1506" spans="2:31" ht="20.100000000000001" customHeight="1">
      <c r="B1506" s="88">
        <v>11</v>
      </c>
      <c r="C1506" s="89" t="s">
        <v>3129</v>
      </c>
      <c r="D1506" s="90" t="s">
        <v>3382</v>
      </c>
      <c r="E1506" s="91" t="s">
        <v>3383</v>
      </c>
      <c r="F1506" s="315">
        <v>115</v>
      </c>
      <c r="G1506" s="260">
        <v>22</v>
      </c>
      <c r="H1506" s="260"/>
      <c r="I1506" s="309"/>
      <c r="J1506" s="199"/>
      <c r="K1506" s="269"/>
      <c r="L1506" s="93">
        <f t="shared" si="359"/>
        <v>22</v>
      </c>
      <c r="M1506" s="183">
        <v>22</v>
      </c>
      <c r="N1506" s="95">
        <f t="shared" si="354"/>
        <v>2530</v>
      </c>
      <c r="O1506" s="95">
        <f t="shared" si="355"/>
        <v>2530</v>
      </c>
      <c r="P1506" s="94">
        <f t="shared" si="356"/>
        <v>0</v>
      </c>
      <c r="Q1506" s="95">
        <f t="shared" si="357"/>
        <v>0</v>
      </c>
      <c r="R1506" s="96"/>
      <c r="S1506" s="97">
        <f t="shared" si="358"/>
        <v>22</v>
      </c>
      <c r="T1506" s="98">
        <f t="shared" si="353"/>
        <v>0</v>
      </c>
      <c r="U1506">
        <v>22</v>
      </c>
    </row>
    <row r="1507" spans="2:31" ht="20.100000000000001" customHeight="1">
      <c r="B1507" s="88">
        <v>11</v>
      </c>
      <c r="C1507" s="89" t="s">
        <v>3129</v>
      </c>
      <c r="D1507" s="90" t="s">
        <v>3384</v>
      </c>
      <c r="E1507" s="91" t="s">
        <v>3385</v>
      </c>
      <c r="F1507" s="315">
        <v>1215</v>
      </c>
      <c r="G1507" s="260">
        <v>1</v>
      </c>
      <c r="H1507" s="260"/>
      <c r="I1507" s="309"/>
      <c r="J1507" s="199"/>
      <c r="K1507" s="269"/>
      <c r="L1507" s="93">
        <f t="shared" si="359"/>
        <v>1</v>
      </c>
      <c r="M1507" s="183">
        <v>1</v>
      </c>
      <c r="N1507" s="95">
        <f t="shared" si="354"/>
        <v>1215</v>
      </c>
      <c r="O1507" s="95">
        <f t="shared" si="355"/>
        <v>1215</v>
      </c>
      <c r="P1507" s="94">
        <f t="shared" si="356"/>
        <v>0</v>
      </c>
      <c r="Q1507" s="95">
        <f t="shared" si="357"/>
        <v>0</v>
      </c>
      <c r="R1507" s="96"/>
      <c r="S1507" s="97">
        <f t="shared" si="358"/>
        <v>1</v>
      </c>
      <c r="T1507" s="98">
        <f t="shared" si="353"/>
        <v>0</v>
      </c>
      <c r="U1507">
        <v>1</v>
      </c>
      <c r="V1507" s="99" t="s">
        <v>479</v>
      </c>
      <c r="AD1507" s="18">
        <f t="shared" ref="AD1507:AD1513" si="360">M1507</f>
        <v>1</v>
      </c>
      <c r="AE1507" s="100">
        <f t="shared" ref="AE1507:AE1513" si="361">AD1507*F1507</f>
        <v>1215</v>
      </c>
    </row>
    <row r="1508" spans="2:31" ht="20.100000000000001" customHeight="1">
      <c r="B1508" s="88">
        <v>11</v>
      </c>
      <c r="C1508" s="89" t="s">
        <v>3129</v>
      </c>
      <c r="D1508" s="90" t="s">
        <v>3386</v>
      </c>
      <c r="E1508" s="91" t="s">
        <v>3387</v>
      </c>
      <c r="F1508" s="315">
        <v>1476</v>
      </c>
      <c r="G1508" s="260">
        <v>1</v>
      </c>
      <c r="H1508" s="260"/>
      <c r="I1508" s="309"/>
      <c r="J1508" s="199"/>
      <c r="K1508" s="269"/>
      <c r="L1508" s="93">
        <f t="shared" si="359"/>
        <v>1</v>
      </c>
      <c r="M1508" s="183">
        <v>1</v>
      </c>
      <c r="N1508" s="95">
        <f t="shared" si="354"/>
        <v>1476</v>
      </c>
      <c r="O1508" s="95">
        <f t="shared" si="355"/>
        <v>1476</v>
      </c>
      <c r="P1508" s="94">
        <f t="shared" si="356"/>
        <v>0</v>
      </c>
      <c r="Q1508" s="95">
        <f t="shared" si="357"/>
        <v>0</v>
      </c>
      <c r="R1508" s="96"/>
      <c r="S1508" s="97">
        <f t="shared" si="358"/>
        <v>1</v>
      </c>
      <c r="T1508" s="98">
        <f t="shared" si="353"/>
        <v>0</v>
      </c>
      <c r="U1508">
        <v>1</v>
      </c>
      <c r="V1508" s="99" t="s">
        <v>479</v>
      </c>
      <c r="AD1508" s="18">
        <f t="shared" si="360"/>
        <v>1</v>
      </c>
      <c r="AE1508" s="100">
        <f t="shared" si="361"/>
        <v>1476</v>
      </c>
    </row>
    <row r="1509" spans="2:31" ht="20.100000000000001" customHeight="1">
      <c r="B1509" s="88">
        <v>11</v>
      </c>
      <c r="C1509" s="89" t="s">
        <v>3129</v>
      </c>
      <c r="D1509" s="90" t="s">
        <v>3388</v>
      </c>
      <c r="E1509" s="91" t="s">
        <v>3389</v>
      </c>
      <c r="F1509" s="315">
        <v>985.5</v>
      </c>
      <c r="G1509" s="260">
        <v>1</v>
      </c>
      <c r="H1509" s="260"/>
      <c r="I1509" s="309"/>
      <c r="J1509" s="199"/>
      <c r="K1509" s="269"/>
      <c r="L1509" s="93">
        <f t="shared" si="359"/>
        <v>1</v>
      </c>
      <c r="M1509" s="183">
        <v>1</v>
      </c>
      <c r="N1509" s="95">
        <f t="shared" si="354"/>
        <v>985.5</v>
      </c>
      <c r="O1509" s="95">
        <f t="shared" si="355"/>
        <v>985.5</v>
      </c>
      <c r="P1509" s="94">
        <f t="shared" si="356"/>
        <v>0</v>
      </c>
      <c r="Q1509" s="95">
        <f t="shared" si="357"/>
        <v>0</v>
      </c>
      <c r="R1509" s="96"/>
      <c r="S1509" s="97">
        <f t="shared" si="358"/>
        <v>1</v>
      </c>
      <c r="T1509" s="98">
        <f t="shared" si="353"/>
        <v>0</v>
      </c>
      <c r="U1509">
        <v>1</v>
      </c>
      <c r="V1509" s="99" t="s">
        <v>479</v>
      </c>
      <c r="AD1509" s="18">
        <f t="shared" si="360"/>
        <v>1</v>
      </c>
      <c r="AE1509" s="100">
        <f t="shared" si="361"/>
        <v>985.5</v>
      </c>
    </row>
    <row r="1510" spans="2:31" ht="20.100000000000001" customHeight="1">
      <c r="B1510" s="88">
        <v>11</v>
      </c>
      <c r="C1510" s="89" t="s">
        <v>3129</v>
      </c>
      <c r="D1510" s="90" t="s">
        <v>3390</v>
      </c>
      <c r="E1510" s="91" t="s">
        <v>3391</v>
      </c>
      <c r="F1510" s="315">
        <v>1215</v>
      </c>
      <c r="G1510" s="260">
        <v>1</v>
      </c>
      <c r="H1510" s="260"/>
      <c r="I1510" s="309"/>
      <c r="J1510" s="199"/>
      <c r="K1510" s="269"/>
      <c r="L1510" s="93">
        <f t="shared" si="359"/>
        <v>1</v>
      </c>
      <c r="M1510" s="183">
        <v>1</v>
      </c>
      <c r="N1510" s="95">
        <f t="shared" si="354"/>
        <v>1215</v>
      </c>
      <c r="O1510" s="95">
        <f t="shared" si="355"/>
        <v>1215</v>
      </c>
      <c r="P1510" s="94">
        <f t="shared" si="356"/>
        <v>0</v>
      </c>
      <c r="Q1510" s="95">
        <f t="shared" si="357"/>
        <v>0</v>
      </c>
      <c r="R1510" s="96"/>
      <c r="S1510" s="97">
        <f t="shared" si="358"/>
        <v>1</v>
      </c>
      <c r="T1510" s="98">
        <f t="shared" si="353"/>
        <v>0</v>
      </c>
      <c r="U1510">
        <v>1</v>
      </c>
      <c r="V1510" s="99" t="s">
        <v>479</v>
      </c>
      <c r="AD1510" s="18">
        <f t="shared" si="360"/>
        <v>1</v>
      </c>
      <c r="AE1510" s="100">
        <f t="shared" si="361"/>
        <v>1215</v>
      </c>
    </row>
    <row r="1511" spans="2:31" ht="20.100000000000001" customHeight="1">
      <c r="B1511" s="88">
        <v>11</v>
      </c>
      <c r="C1511" s="89" t="s">
        <v>3129</v>
      </c>
      <c r="D1511" s="90" t="s">
        <v>3392</v>
      </c>
      <c r="E1511" s="91" t="s">
        <v>3393</v>
      </c>
      <c r="F1511" s="315">
        <v>495</v>
      </c>
      <c r="G1511" s="260">
        <v>3</v>
      </c>
      <c r="H1511" s="260"/>
      <c r="I1511" s="309"/>
      <c r="J1511" s="199"/>
      <c r="K1511" s="269"/>
      <c r="L1511" s="93">
        <f t="shared" si="359"/>
        <v>3</v>
      </c>
      <c r="M1511" s="183">
        <v>3</v>
      </c>
      <c r="N1511" s="95">
        <f t="shared" si="354"/>
        <v>1485</v>
      </c>
      <c r="O1511" s="95">
        <f t="shared" si="355"/>
        <v>1485</v>
      </c>
      <c r="P1511" s="94">
        <f t="shared" si="356"/>
        <v>0</v>
      </c>
      <c r="Q1511" s="95">
        <f t="shared" si="357"/>
        <v>0</v>
      </c>
      <c r="R1511" s="96"/>
      <c r="S1511" s="97">
        <f t="shared" si="358"/>
        <v>3</v>
      </c>
      <c r="T1511" s="98">
        <f t="shared" si="353"/>
        <v>0</v>
      </c>
      <c r="U1511">
        <v>3</v>
      </c>
      <c r="V1511" s="99" t="s">
        <v>479</v>
      </c>
      <c r="AD1511" s="18">
        <f t="shared" si="360"/>
        <v>3</v>
      </c>
      <c r="AE1511" s="100">
        <f t="shared" si="361"/>
        <v>1485</v>
      </c>
    </row>
    <row r="1512" spans="2:31" ht="20.100000000000001" customHeight="1">
      <c r="B1512" s="88">
        <v>11</v>
      </c>
      <c r="C1512" s="89" t="s">
        <v>3129</v>
      </c>
      <c r="D1512" s="90" t="s">
        <v>3394</v>
      </c>
      <c r="E1512" s="91" t="s">
        <v>3395</v>
      </c>
      <c r="F1512" s="315">
        <v>1215</v>
      </c>
      <c r="G1512" s="260">
        <v>1</v>
      </c>
      <c r="H1512" s="260"/>
      <c r="I1512" s="309"/>
      <c r="J1512" s="199"/>
      <c r="K1512" s="269"/>
      <c r="L1512" s="93">
        <f t="shared" si="359"/>
        <v>1</v>
      </c>
      <c r="M1512" s="183">
        <v>1</v>
      </c>
      <c r="N1512" s="95">
        <f t="shared" si="354"/>
        <v>1215</v>
      </c>
      <c r="O1512" s="95">
        <f t="shared" si="355"/>
        <v>1215</v>
      </c>
      <c r="P1512" s="94">
        <f t="shared" si="356"/>
        <v>0</v>
      </c>
      <c r="Q1512" s="95">
        <f t="shared" si="357"/>
        <v>0</v>
      </c>
      <c r="R1512" s="96"/>
      <c r="S1512" s="97">
        <f t="shared" si="358"/>
        <v>1</v>
      </c>
      <c r="T1512" s="98">
        <f t="shared" si="353"/>
        <v>0</v>
      </c>
      <c r="U1512">
        <v>1</v>
      </c>
      <c r="V1512" s="99" t="s">
        <v>479</v>
      </c>
      <c r="AD1512" s="18">
        <f t="shared" si="360"/>
        <v>1</v>
      </c>
      <c r="AE1512" s="100">
        <f t="shared" si="361"/>
        <v>1215</v>
      </c>
    </row>
    <row r="1513" spans="2:31" ht="20.100000000000001" customHeight="1">
      <c r="B1513" s="88">
        <v>11</v>
      </c>
      <c r="C1513" s="89" t="s">
        <v>3129</v>
      </c>
      <c r="D1513" s="90" t="s">
        <v>3396</v>
      </c>
      <c r="E1513" s="91" t="s">
        <v>3397</v>
      </c>
      <c r="F1513" s="315">
        <v>985.5</v>
      </c>
      <c r="G1513" s="260">
        <v>1</v>
      </c>
      <c r="H1513" s="260"/>
      <c r="I1513" s="309"/>
      <c r="J1513" s="199"/>
      <c r="K1513" s="269"/>
      <c r="L1513" s="93">
        <f t="shared" si="359"/>
        <v>1</v>
      </c>
      <c r="M1513" s="183">
        <v>1</v>
      </c>
      <c r="N1513" s="95">
        <f t="shared" si="354"/>
        <v>985.5</v>
      </c>
      <c r="O1513" s="95">
        <f t="shared" si="355"/>
        <v>985.5</v>
      </c>
      <c r="P1513" s="94">
        <f t="shared" si="356"/>
        <v>0</v>
      </c>
      <c r="Q1513" s="95">
        <f t="shared" si="357"/>
        <v>0</v>
      </c>
      <c r="R1513" s="96"/>
      <c r="S1513" s="97">
        <f t="shared" si="358"/>
        <v>1</v>
      </c>
      <c r="T1513" s="98">
        <f t="shared" si="353"/>
        <v>0</v>
      </c>
      <c r="U1513">
        <v>1</v>
      </c>
      <c r="V1513" s="99" t="s">
        <v>479</v>
      </c>
      <c r="AD1513" s="18">
        <f t="shared" si="360"/>
        <v>1</v>
      </c>
      <c r="AE1513" s="100">
        <f t="shared" si="361"/>
        <v>985.5</v>
      </c>
    </row>
    <row r="1514" spans="2:31" ht="20.100000000000001" customHeight="1">
      <c r="B1514" s="88">
        <v>11</v>
      </c>
      <c r="C1514" s="89" t="s">
        <v>3129</v>
      </c>
      <c r="D1514" s="90" t="s">
        <v>3398</v>
      </c>
      <c r="E1514" s="91" t="s">
        <v>3399</v>
      </c>
      <c r="F1514" s="315">
        <v>90</v>
      </c>
      <c r="G1514" s="260">
        <v>7</v>
      </c>
      <c r="H1514" s="260"/>
      <c r="I1514" s="309">
        <v>60</v>
      </c>
      <c r="J1514" s="199"/>
      <c r="K1514" s="269">
        <v>47</v>
      </c>
      <c r="L1514" s="93">
        <f t="shared" si="359"/>
        <v>20</v>
      </c>
      <c r="M1514" s="183">
        <v>20</v>
      </c>
      <c r="N1514" s="95">
        <f t="shared" si="354"/>
        <v>1800</v>
      </c>
      <c r="O1514" s="95">
        <f t="shared" si="355"/>
        <v>1800</v>
      </c>
      <c r="P1514" s="94">
        <f t="shared" si="356"/>
        <v>0</v>
      </c>
      <c r="Q1514" s="95">
        <f t="shared" si="357"/>
        <v>0</v>
      </c>
      <c r="R1514" s="96"/>
      <c r="S1514" s="97">
        <f t="shared" si="358"/>
        <v>21</v>
      </c>
      <c r="T1514" s="98">
        <f t="shared" si="353"/>
        <v>-1</v>
      </c>
      <c r="U1514">
        <v>21</v>
      </c>
    </row>
    <row r="1515" spans="2:31" ht="20.100000000000001" customHeight="1">
      <c r="B1515" s="88">
        <v>11</v>
      </c>
      <c r="C1515" s="89" t="s">
        <v>3129</v>
      </c>
      <c r="D1515" s="90" t="s">
        <v>3400</v>
      </c>
      <c r="E1515" s="91" t="s">
        <v>3401</v>
      </c>
      <c r="F1515" s="315">
        <v>139.30000000000001</v>
      </c>
      <c r="G1515" s="260">
        <v>4</v>
      </c>
      <c r="H1515" s="260"/>
      <c r="I1515" s="309"/>
      <c r="J1515" s="199"/>
      <c r="K1515" s="269"/>
      <c r="L1515" s="93">
        <f t="shared" si="359"/>
        <v>4</v>
      </c>
      <c r="M1515" s="183">
        <v>4</v>
      </c>
      <c r="N1515" s="95">
        <f t="shared" si="354"/>
        <v>557.20000000000005</v>
      </c>
      <c r="O1515" s="95">
        <f t="shared" si="355"/>
        <v>557.20000000000005</v>
      </c>
      <c r="P1515" s="94">
        <f t="shared" si="356"/>
        <v>0</v>
      </c>
      <c r="Q1515" s="95">
        <f t="shared" si="357"/>
        <v>0</v>
      </c>
      <c r="R1515" s="96"/>
      <c r="S1515" s="97">
        <f t="shared" si="358"/>
        <v>0</v>
      </c>
      <c r="T1515" s="98">
        <f t="shared" ref="T1515:T1575" si="362">M1515-S1515</f>
        <v>4</v>
      </c>
    </row>
    <row r="1516" spans="2:31" ht="20.100000000000001" customHeight="1">
      <c r="B1516" s="88">
        <v>11</v>
      </c>
      <c r="C1516" s="89" t="s">
        <v>3129</v>
      </c>
      <c r="D1516" s="90" t="s">
        <v>3402</v>
      </c>
      <c r="E1516" s="91" t="s">
        <v>3403</v>
      </c>
      <c r="F1516" s="315">
        <v>244.3</v>
      </c>
      <c r="G1516" s="260">
        <v>3</v>
      </c>
      <c r="H1516" s="260"/>
      <c r="I1516" s="309"/>
      <c r="J1516" s="199"/>
      <c r="K1516" s="269"/>
      <c r="L1516" s="93">
        <f t="shared" si="359"/>
        <v>3</v>
      </c>
      <c r="M1516" s="183">
        <v>3</v>
      </c>
      <c r="N1516" s="95">
        <f t="shared" ref="N1516:N1575" si="363">F1516*L1516</f>
        <v>732.90000000000009</v>
      </c>
      <c r="O1516" s="95">
        <f t="shared" ref="O1516:O1575" si="364">M1516*F1516</f>
        <v>732.90000000000009</v>
      </c>
      <c r="P1516" s="94">
        <f t="shared" ref="P1516:P1575" si="365">L1516-M1516</f>
        <v>0</v>
      </c>
      <c r="Q1516" s="95">
        <f t="shared" ref="Q1516:Q1575" si="366">N1516-O1516</f>
        <v>0</v>
      </c>
      <c r="R1516" s="96"/>
      <c r="S1516" s="97">
        <f t="shared" ref="S1516:S1575" si="367">U1516+Y1516+W1516+AA1516</f>
        <v>0</v>
      </c>
      <c r="T1516" s="98">
        <f t="shared" si="362"/>
        <v>3</v>
      </c>
    </row>
    <row r="1517" spans="2:31" ht="20.100000000000001" customHeight="1">
      <c r="B1517" s="88">
        <v>11</v>
      </c>
      <c r="C1517" s="89" t="s">
        <v>3129</v>
      </c>
      <c r="D1517" s="90" t="s">
        <v>3404</v>
      </c>
      <c r="E1517" s="91" t="s">
        <v>3405</v>
      </c>
      <c r="F1517" s="315">
        <v>244.3</v>
      </c>
      <c r="G1517" s="260">
        <v>1</v>
      </c>
      <c r="H1517" s="260"/>
      <c r="I1517" s="309"/>
      <c r="J1517" s="199"/>
      <c r="K1517" s="269"/>
      <c r="L1517" s="93">
        <f t="shared" si="359"/>
        <v>1</v>
      </c>
      <c r="M1517" s="183">
        <v>1</v>
      </c>
      <c r="N1517" s="95">
        <f t="shared" si="363"/>
        <v>244.3</v>
      </c>
      <c r="O1517" s="95">
        <f t="shared" si="364"/>
        <v>244.3</v>
      </c>
      <c r="P1517" s="94">
        <f t="shared" si="365"/>
        <v>0</v>
      </c>
      <c r="Q1517" s="95">
        <f t="shared" si="366"/>
        <v>0</v>
      </c>
      <c r="R1517" s="96"/>
      <c r="S1517" s="97">
        <f t="shared" si="367"/>
        <v>0</v>
      </c>
      <c r="T1517" s="98">
        <f t="shared" si="362"/>
        <v>1</v>
      </c>
    </row>
    <row r="1518" spans="2:31" ht="20.100000000000001" customHeight="1">
      <c r="B1518" s="88">
        <v>11</v>
      </c>
      <c r="C1518" s="89" t="s">
        <v>3129</v>
      </c>
      <c r="D1518" s="90" t="s">
        <v>3406</v>
      </c>
      <c r="E1518" s="91" t="s">
        <v>3407</v>
      </c>
      <c r="F1518" s="315">
        <v>97.3</v>
      </c>
      <c r="G1518" s="260">
        <v>2</v>
      </c>
      <c r="H1518" s="260"/>
      <c r="I1518" s="309"/>
      <c r="J1518" s="199"/>
      <c r="K1518" s="269"/>
      <c r="L1518" s="93">
        <f t="shared" si="359"/>
        <v>2</v>
      </c>
      <c r="M1518" s="183">
        <v>2</v>
      </c>
      <c r="N1518" s="95">
        <f t="shared" si="363"/>
        <v>194.6</v>
      </c>
      <c r="O1518" s="95">
        <f t="shared" si="364"/>
        <v>194.6</v>
      </c>
      <c r="P1518" s="94">
        <f t="shared" si="365"/>
        <v>0</v>
      </c>
      <c r="Q1518" s="95">
        <f t="shared" si="366"/>
        <v>0</v>
      </c>
      <c r="R1518" s="96"/>
      <c r="S1518" s="97">
        <f t="shared" si="367"/>
        <v>0</v>
      </c>
      <c r="T1518" s="98">
        <f t="shared" si="362"/>
        <v>2</v>
      </c>
    </row>
    <row r="1519" spans="2:31" ht="20.100000000000001" customHeight="1">
      <c r="B1519" s="88">
        <v>11</v>
      </c>
      <c r="C1519" s="89" t="s">
        <v>3129</v>
      </c>
      <c r="D1519" s="90" t="s">
        <v>3408</v>
      </c>
      <c r="E1519" s="91" t="s">
        <v>3409</v>
      </c>
      <c r="F1519" s="315">
        <v>139.30000000000001</v>
      </c>
      <c r="G1519" s="260">
        <v>4</v>
      </c>
      <c r="H1519" s="260"/>
      <c r="I1519" s="309"/>
      <c r="J1519" s="199"/>
      <c r="K1519" s="269"/>
      <c r="L1519" s="93">
        <f t="shared" si="359"/>
        <v>4</v>
      </c>
      <c r="M1519" s="183">
        <v>4</v>
      </c>
      <c r="N1519" s="95">
        <f t="shared" si="363"/>
        <v>557.20000000000005</v>
      </c>
      <c r="O1519" s="95">
        <f t="shared" si="364"/>
        <v>557.20000000000005</v>
      </c>
      <c r="P1519" s="94">
        <f t="shared" si="365"/>
        <v>0</v>
      </c>
      <c r="Q1519" s="95">
        <f t="shared" si="366"/>
        <v>0</v>
      </c>
      <c r="R1519" s="96"/>
      <c r="S1519" s="97">
        <f t="shared" si="367"/>
        <v>0</v>
      </c>
      <c r="T1519" s="98">
        <f t="shared" si="362"/>
        <v>4</v>
      </c>
    </row>
    <row r="1520" spans="2:31" ht="20.100000000000001" customHeight="1">
      <c r="B1520" s="88">
        <v>11</v>
      </c>
      <c r="C1520" s="89" t="s">
        <v>3129</v>
      </c>
      <c r="D1520" s="90" t="s">
        <v>3410</v>
      </c>
      <c r="E1520" s="91" t="s">
        <v>3411</v>
      </c>
      <c r="F1520" s="315">
        <v>112</v>
      </c>
      <c r="G1520" s="260">
        <v>0</v>
      </c>
      <c r="H1520" s="260"/>
      <c r="I1520" s="309"/>
      <c r="J1520" s="199"/>
      <c r="K1520" s="269"/>
      <c r="L1520" s="93">
        <f t="shared" si="359"/>
        <v>0</v>
      </c>
      <c r="M1520" s="183"/>
      <c r="N1520" s="95">
        <f t="shared" si="363"/>
        <v>0</v>
      </c>
      <c r="O1520" s="95">
        <f t="shared" si="364"/>
        <v>0</v>
      </c>
      <c r="P1520" s="94">
        <f t="shared" si="365"/>
        <v>0</v>
      </c>
      <c r="Q1520" s="95">
        <f t="shared" si="366"/>
        <v>0</v>
      </c>
      <c r="R1520" s="96"/>
      <c r="S1520" s="97">
        <f t="shared" si="367"/>
        <v>0</v>
      </c>
      <c r="T1520" s="98">
        <f t="shared" si="362"/>
        <v>0</v>
      </c>
    </row>
    <row r="1521" spans="2:21" ht="20.100000000000001" customHeight="1">
      <c r="B1521" s="88">
        <v>11</v>
      </c>
      <c r="C1521" s="89" t="s">
        <v>3129</v>
      </c>
      <c r="D1521" s="90" t="s">
        <v>3412</v>
      </c>
      <c r="E1521" s="91" t="s">
        <v>3413</v>
      </c>
      <c r="F1521" s="315">
        <v>184</v>
      </c>
      <c r="G1521" s="260">
        <v>4</v>
      </c>
      <c r="H1521" s="260"/>
      <c r="I1521" s="309"/>
      <c r="J1521" s="199"/>
      <c r="K1521" s="269"/>
      <c r="L1521" s="93">
        <f t="shared" si="359"/>
        <v>4</v>
      </c>
      <c r="M1521" s="183">
        <v>4</v>
      </c>
      <c r="N1521" s="95">
        <f t="shared" si="363"/>
        <v>736</v>
      </c>
      <c r="O1521" s="95">
        <f t="shared" si="364"/>
        <v>736</v>
      </c>
      <c r="P1521" s="94">
        <f t="shared" si="365"/>
        <v>0</v>
      </c>
      <c r="Q1521" s="95">
        <f t="shared" si="366"/>
        <v>0</v>
      </c>
      <c r="R1521" s="96"/>
      <c r="S1521" s="97">
        <f t="shared" si="367"/>
        <v>4</v>
      </c>
      <c r="T1521" s="98">
        <f t="shared" si="362"/>
        <v>0</v>
      </c>
      <c r="U1521">
        <v>4</v>
      </c>
    </row>
    <row r="1522" spans="2:21" ht="20.100000000000001" customHeight="1">
      <c r="B1522" s="88">
        <v>11</v>
      </c>
      <c r="C1522" s="89" t="s">
        <v>3129</v>
      </c>
      <c r="D1522" s="90" t="s">
        <v>3414</v>
      </c>
      <c r="E1522" s="91" t="s">
        <v>3415</v>
      </c>
      <c r="F1522" s="315">
        <v>83.3</v>
      </c>
      <c r="G1522" s="260">
        <v>2</v>
      </c>
      <c r="H1522" s="260"/>
      <c r="I1522" s="309"/>
      <c r="J1522" s="199"/>
      <c r="K1522" s="269"/>
      <c r="L1522" s="93">
        <f t="shared" ref="L1522:L1585" si="368">G1522+I1522-J1522-K1522+H1522</f>
        <v>2</v>
      </c>
      <c r="M1522" s="183">
        <v>2</v>
      </c>
      <c r="N1522" s="95">
        <f t="shared" si="363"/>
        <v>166.6</v>
      </c>
      <c r="O1522" s="95">
        <f t="shared" si="364"/>
        <v>166.6</v>
      </c>
      <c r="P1522" s="94">
        <f t="shared" si="365"/>
        <v>0</v>
      </c>
      <c r="Q1522" s="95">
        <f t="shared" si="366"/>
        <v>0</v>
      </c>
      <c r="R1522" s="96"/>
      <c r="S1522" s="97">
        <f t="shared" si="367"/>
        <v>0</v>
      </c>
      <c r="T1522" s="98">
        <f t="shared" si="362"/>
        <v>2</v>
      </c>
    </row>
    <row r="1523" spans="2:21" ht="20.100000000000001" customHeight="1">
      <c r="B1523" s="88">
        <v>11</v>
      </c>
      <c r="C1523" s="89" t="s">
        <v>3129</v>
      </c>
      <c r="D1523" s="90" t="s">
        <v>3416</v>
      </c>
      <c r="E1523" s="91" t="s">
        <v>3417</v>
      </c>
      <c r="F1523" s="315">
        <v>244.3</v>
      </c>
      <c r="G1523" s="260">
        <v>2</v>
      </c>
      <c r="H1523" s="260"/>
      <c r="I1523" s="309"/>
      <c r="J1523" s="199"/>
      <c r="K1523" s="269"/>
      <c r="L1523" s="93">
        <f t="shared" si="368"/>
        <v>2</v>
      </c>
      <c r="M1523" s="183">
        <v>2</v>
      </c>
      <c r="N1523" s="95">
        <f t="shared" si="363"/>
        <v>488.6</v>
      </c>
      <c r="O1523" s="95">
        <f t="shared" si="364"/>
        <v>488.6</v>
      </c>
      <c r="P1523" s="94">
        <f t="shared" si="365"/>
        <v>0</v>
      </c>
      <c r="Q1523" s="95">
        <f t="shared" si="366"/>
        <v>0</v>
      </c>
      <c r="R1523" s="96"/>
      <c r="S1523" s="97">
        <f t="shared" si="367"/>
        <v>0</v>
      </c>
      <c r="T1523" s="98">
        <f t="shared" si="362"/>
        <v>2</v>
      </c>
    </row>
    <row r="1524" spans="2:21" ht="20.100000000000001" customHeight="1">
      <c r="B1524" s="88">
        <v>11</v>
      </c>
      <c r="C1524" s="89" t="s">
        <v>3129</v>
      </c>
      <c r="D1524" s="90" t="s">
        <v>3418</v>
      </c>
      <c r="E1524" s="91" t="s">
        <v>3419</v>
      </c>
      <c r="F1524" s="315">
        <v>209.3</v>
      </c>
      <c r="G1524" s="260">
        <v>5</v>
      </c>
      <c r="H1524" s="260"/>
      <c r="I1524" s="309"/>
      <c r="J1524" s="199"/>
      <c r="K1524" s="269"/>
      <c r="L1524" s="93">
        <f t="shared" si="368"/>
        <v>5</v>
      </c>
      <c r="M1524" s="183">
        <v>5</v>
      </c>
      <c r="N1524" s="95">
        <f t="shared" si="363"/>
        <v>1046.5</v>
      </c>
      <c r="O1524" s="95">
        <f t="shared" si="364"/>
        <v>1046.5</v>
      </c>
      <c r="P1524" s="94">
        <f t="shared" si="365"/>
        <v>0</v>
      </c>
      <c r="Q1524" s="95">
        <f t="shared" si="366"/>
        <v>0</v>
      </c>
      <c r="R1524" s="96"/>
      <c r="S1524" s="97">
        <f t="shared" si="367"/>
        <v>0</v>
      </c>
      <c r="T1524" s="98">
        <f t="shared" si="362"/>
        <v>5</v>
      </c>
    </row>
    <row r="1525" spans="2:21" ht="20.100000000000001" customHeight="1">
      <c r="B1525" s="88">
        <v>11</v>
      </c>
      <c r="C1525" s="89" t="s">
        <v>3129</v>
      </c>
      <c r="D1525" s="90" t="s">
        <v>3420</v>
      </c>
      <c r="E1525" s="91" t="s">
        <v>3421</v>
      </c>
      <c r="F1525" s="315">
        <v>139.30000000000001</v>
      </c>
      <c r="G1525" s="260">
        <v>5</v>
      </c>
      <c r="H1525" s="260"/>
      <c r="I1525" s="309"/>
      <c r="J1525" s="199"/>
      <c r="K1525" s="269"/>
      <c r="L1525" s="93">
        <f t="shared" si="368"/>
        <v>5</v>
      </c>
      <c r="M1525" s="183">
        <v>5</v>
      </c>
      <c r="N1525" s="95">
        <f t="shared" si="363"/>
        <v>696.5</v>
      </c>
      <c r="O1525" s="95">
        <f t="shared" si="364"/>
        <v>696.5</v>
      </c>
      <c r="P1525" s="94">
        <f t="shared" si="365"/>
        <v>0</v>
      </c>
      <c r="Q1525" s="95">
        <f t="shared" si="366"/>
        <v>0</v>
      </c>
      <c r="R1525" s="96"/>
      <c r="S1525" s="97">
        <f t="shared" si="367"/>
        <v>0</v>
      </c>
      <c r="T1525" s="98">
        <f t="shared" si="362"/>
        <v>5</v>
      </c>
    </row>
    <row r="1526" spans="2:21" ht="20.100000000000001" customHeight="1">
      <c r="B1526" s="88">
        <v>11</v>
      </c>
      <c r="C1526" s="89" t="s">
        <v>3129</v>
      </c>
      <c r="D1526" s="90" t="s">
        <v>3422</v>
      </c>
      <c r="E1526" s="91" t="s">
        <v>3423</v>
      </c>
      <c r="F1526" s="315">
        <v>62.3</v>
      </c>
      <c r="G1526" s="260">
        <v>1</v>
      </c>
      <c r="H1526" s="260"/>
      <c r="I1526" s="309"/>
      <c r="J1526" s="199"/>
      <c r="K1526" s="269"/>
      <c r="L1526" s="93">
        <f t="shared" si="368"/>
        <v>1</v>
      </c>
      <c r="M1526" s="183">
        <v>1</v>
      </c>
      <c r="N1526" s="95">
        <f t="shared" si="363"/>
        <v>62.3</v>
      </c>
      <c r="O1526" s="95">
        <f t="shared" si="364"/>
        <v>62.3</v>
      </c>
      <c r="P1526" s="94">
        <f t="shared" si="365"/>
        <v>0</v>
      </c>
      <c r="Q1526" s="95">
        <f t="shared" si="366"/>
        <v>0</v>
      </c>
      <c r="R1526" s="96"/>
      <c r="S1526" s="97">
        <f t="shared" si="367"/>
        <v>0</v>
      </c>
      <c r="T1526" s="98">
        <f t="shared" si="362"/>
        <v>1</v>
      </c>
    </row>
    <row r="1527" spans="2:21" ht="20.100000000000001" customHeight="1">
      <c r="B1527" s="88">
        <v>11</v>
      </c>
      <c r="C1527" s="89" t="s">
        <v>3129</v>
      </c>
      <c r="D1527" s="90" t="s">
        <v>3424</v>
      </c>
      <c r="E1527" s="91" t="s">
        <v>3425</v>
      </c>
      <c r="F1527" s="315">
        <v>125.3</v>
      </c>
      <c r="G1527" s="260">
        <v>1</v>
      </c>
      <c r="H1527" s="260"/>
      <c r="I1527" s="309"/>
      <c r="J1527" s="199"/>
      <c r="K1527" s="269"/>
      <c r="L1527" s="93">
        <f t="shared" si="368"/>
        <v>1</v>
      </c>
      <c r="M1527" s="183">
        <v>1</v>
      </c>
      <c r="N1527" s="95">
        <f t="shared" si="363"/>
        <v>125.3</v>
      </c>
      <c r="O1527" s="95">
        <f t="shared" si="364"/>
        <v>125.3</v>
      </c>
      <c r="P1527" s="94">
        <f t="shared" si="365"/>
        <v>0</v>
      </c>
      <c r="Q1527" s="95">
        <f t="shared" si="366"/>
        <v>0</v>
      </c>
      <c r="R1527" s="96"/>
      <c r="S1527" s="97">
        <f t="shared" si="367"/>
        <v>0</v>
      </c>
      <c r="T1527" s="98">
        <f t="shared" si="362"/>
        <v>1</v>
      </c>
    </row>
    <row r="1528" spans="2:21" ht="20.100000000000001" customHeight="1">
      <c r="B1528" s="88">
        <v>11</v>
      </c>
      <c r="C1528" s="89" t="s">
        <v>3129</v>
      </c>
      <c r="D1528" s="90" t="s">
        <v>3426</v>
      </c>
      <c r="E1528" s="91" t="s">
        <v>3427</v>
      </c>
      <c r="F1528" s="315">
        <v>209.3</v>
      </c>
      <c r="G1528" s="260">
        <v>1</v>
      </c>
      <c r="H1528" s="260"/>
      <c r="I1528" s="309"/>
      <c r="J1528" s="199"/>
      <c r="K1528" s="269"/>
      <c r="L1528" s="93">
        <f t="shared" si="368"/>
        <v>1</v>
      </c>
      <c r="M1528" s="183">
        <v>1</v>
      </c>
      <c r="N1528" s="95">
        <f t="shared" si="363"/>
        <v>209.3</v>
      </c>
      <c r="O1528" s="95">
        <f t="shared" si="364"/>
        <v>209.3</v>
      </c>
      <c r="P1528" s="94">
        <f t="shared" si="365"/>
        <v>0</v>
      </c>
      <c r="Q1528" s="95">
        <f t="shared" si="366"/>
        <v>0</v>
      </c>
      <c r="R1528" s="96"/>
      <c r="S1528" s="97">
        <f t="shared" si="367"/>
        <v>0</v>
      </c>
      <c r="T1528" s="98">
        <f t="shared" si="362"/>
        <v>1</v>
      </c>
    </row>
    <row r="1529" spans="2:21" ht="20.100000000000001" customHeight="1">
      <c r="B1529" s="88">
        <v>11</v>
      </c>
      <c r="C1529" s="89" t="s">
        <v>3129</v>
      </c>
      <c r="D1529" s="90" t="s">
        <v>3428</v>
      </c>
      <c r="E1529" s="91" t="s">
        <v>3429</v>
      </c>
      <c r="F1529" s="315">
        <v>209.3</v>
      </c>
      <c r="G1529" s="260">
        <v>1</v>
      </c>
      <c r="H1529" s="260"/>
      <c r="I1529" s="309"/>
      <c r="J1529" s="199"/>
      <c r="K1529" s="269"/>
      <c r="L1529" s="93">
        <f t="shared" si="368"/>
        <v>1</v>
      </c>
      <c r="M1529" s="183">
        <v>1</v>
      </c>
      <c r="N1529" s="95">
        <f t="shared" si="363"/>
        <v>209.3</v>
      </c>
      <c r="O1529" s="95">
        <f t="shared" si="364"/>
        <v>209.3</v>
      </c>
      <c r="P1529" s="94">
        <f t="shared" si="365"/>
        <v>0</v>
      </c>
      <c r="Q1529" s="95">
        <f t="shared" si="366"/>
        <v>0</v>
      </c>
      <c r="R1529" s="96"/>
      <c r="S1529" s="97">
        <f t="shared" si="367"/>
        <v>0</v>
      </c>
      <c r="T1529" s="98">
        <f t="shared" si="362"/>
        <v>1</v>
      </c>
    </row>
    <row r="1530" spans="2:21" ht="20.100000000000001" customHeight="1">
      <c r="B1530" s="88">
        <v>11</v>
      </c>
      <c r="C1530" s="89" t="s">
        <v>3129</v>
      </c>
      <c r="D1530" s="90" t="s">
        <v>3430</v>
      </c>
      <c r="E1530" s="91" t="s">
        <v>3431</v>
      </c>
      <c r="F1530" s="315">
        <v>83.3</v>
      </c>
      <c r="G1530" s="260">
        <v>4</v>
      </c>
      <c r="H1530" s="260"/>
      <c r="I1530" s="309"/>
      <c r="J1530" s="199"/>
      <c r="K1530" s="269"/>
      <c r="L1530" s="93">
        <f t="shared" si="368"/>
        <v>4</v>
      </c>
      <c r="M1530" s="183">
        <v>4</v>
      </c>
      <c r="N1530" s="95">
        <f t="shared" si="363"/>
        <v>333.2</v>
      </c>
      <c r="O1530" s="95">
        <f t="shared" si="364"/>
        <v>333.2</v>
      </c>
      <c r="P1530" s="94">
        <f t="shared" si="365"/>
        <v>0</v>
      </c>
      <c r="Q1530" s="95">
        <f t="shared" si="366"/>
        <v>0</v>
      </c>
      <c r="R1530" s="96"/>
      <c r="S1530" s="97">
        <f t="shared" si="367"/>
        <v>0</v>
      </c>
      <c r="T1530" s="98">
        <f t="shared" si="362"/>
        <v>4</v>
      </c>
    </row>
    <row r="1531" spans="2:21" ht="20.100000000000001" customHeight="1">
      <c r="B1531" s="88">
        <v>11</v>
      </c>
      <c r="C1531" s="89" t="s">
        <v>3129</v>
      </c>
      <c r="D1531" s="90" t="s">
        <v>3432</v>
      </c>
      <c r="E1531" s="91" t="s">
        <v>3433</v>
      </c>
      <c r="F1531" s="315">
        <v>181.3</v>
      </c>
      <c r="G1531" s="260">
        <v>5</v>
      </c>
      <c r="H1531" s="260"/>
      <c r="I1531" s="309"/>
      <c r="J1531" s="199"/>
      <c r="K1531" s="269"/>
      <c r="L1531" s="93">
        <f t="shared" si="368"/>
        <v>5</v>
      </c>
      <c r="M1531" s="183">
        <v>5</v>
      </c>
      <c r="N1531" s="95">
        <f t="shared" si="363"/>
        <v>906.5</v>
      </c>
      <c r="O1531" s="95">
        <f t="shared" si="364"/>
        <v>906.5</v>
      </c>
      <c r="P1531" s="94">
        <f t="shared" si="365"/>
        <v>0</v>
      </c>
      <c r="Q1531" s="95">
        <f t="shared" si="366"/>
        <v>0</v>
      </c>
      <c r="R1531" s="96"/>
      <c r="S1531" s="97">
        <f t="shared" si="367"/>
        <v>0</v>
      </c>
      <c r="T1531" s="98">
        <f t="shared" si="362"/>
        <v>5</v>
      </c>
    </row>
    <row r="1532" spans="2:21" ht="20.100000000000001" customHeight="1">
      <c r="B1532" s="88">
        <v>11</v>
      </c>
      <c r="C1532" s="89" t="s">
        <v>3129</v>
      </c>
      <c r="D1532" s="90" t="s">
        <v>3434</v>
      </c>
      <c r="E1532" s="91" t="s">
        <v>3435</v>
      </c>
      <c r="F1532" s="315">
        <v>181.3</v>
      </c>
      <c r="G1532" s="260">
        <v>2</v>
      </c>
      <c r="H1532" s="260"/>
      <c r="I1532" s="309"/>
      <c r="J1532" s="199"/>
      <c r="K1532" s="269"/>
      <c r="L1532" s="93">
        <f t="shared" si="368"/>
        <v>2</v>
      </c>
      <c r="M1532" s="183">
        <v>2</v>
      </c>
      <c r="N1532" s="95">
        <f t="shared" si="363"/>
        <v>362.6</v>
      </c>
      <c r="O1532" s="95">
        <f t="shared" si="364"/>
        <v>362.6</v>
      </c>
      <c r="P1532" s="94">
        <f t="shared" si="365"/>
        <v>0</v>
      </c>
      <c r="Q1532" s="95">
        <f t="shared" si="366"/>
        <v>0</v>
      </c>
      <c r="R1532" s="96"/>
      <c r="S1532" s="97">
        <f t="shared" si="367"/>
        <v>0</v>
      </c>
      <c r="T1532" s="98">
        <f t="shared" si="362"/>
        <v>2</v>
      </c>
    </row>
    <row r="1533" spans="2:21" ht="20.100000000000001" customHeight="1">
      <c r="B1533" s="88">
        <v>11</v>
      </c>
      <c r="C1533" s="89" t="s">
        <v>3129</v>
      </c>
      <c r="D1533" s="90" t="s">
        <v>3436</v>
      </c>
      <c r="E1533" s="91" t="s">
        <v>3437</v>
      </c>
      <c r="F1533" s="315">
        <v>181.3</v>
      </c>
      <c r="G1533" s="260">
        <v>1</v>
      </c>
      <c r="H1533" s="260"/>
      <c r="I1533" s="309"/>
      <c r="J1533" s="199"/>
      <c r="K1533" s="269"/>
      <c r="L1533" s="93">
        <f t="shared" si="368"/>
        <v>1</v>
      </c>
      <c r="M1533" s="183">
        <v>1</v>
      </c>
      <c r="N1533" s="95">
        <f t="shared" si="363"/>
        <v>181.3</v>
      </c>
      <c r="O1533" s="95">
        <f t="shared" si="364"/>
        <v>181.3</v>
      </c>
      <c r="P1533" s="94">
        <f t="shared" si="365"/>
        <v>0</v>
      </c>
      <c r="Q1533" s="95">
        <f t="shared" si="366"/>
        <v>0</v>
      </c>
      <c r="R1533" s="96"/>
      <c r="S1533" s="97">
        <f t="shared" si="367"/>
        <v>0</v>
      </c>
      <c r="T1533" s="98">
        <f t="shared" si="362"/>
        <v>1</v>
      </c>
    </row>
    <row r="1534" spans="2:21" ht="20.100000000000001" customHeight="1">
      <c r="B1534" s="88">
        <v>11</v>
      </c>
      <c r="C1534" s="89" t="s">
        <v>3129</v>
      </c>
      <c r="D1534" s="90" t="s">
        <v>3438</v>
      </c>
      <c r="E1534" s="91" t="s">
        <v>3439</v>
      </c>
      <c r="F1534" s="315">
        <v>174.3</v>
      </c>
      <c r="G1534" s="260">
        <v>2</v>
      </c>
      <c r="H1534" s="260"/>
      <c r="I1534" s="309"/>
      <c r="J1534" s="199"/>
      <c r="K1534" s="269"/>
      <c r="L1534" s="93">
        <f t="shared" si="368"/>
        <v>2</v>
      </c>
      <c r="M1534" s="183">
        <v>2</v>
      </c>
      <c r="N1534" s="95">
        <f t="shared" si="363"/>
        <v>348.6</v>
      </c>
      <c r="O1534" s="95">
        <f t="shared" si="364"/>
        <v>348.6</v>
      </c>
      <c r="P1534" s="94">
        <f t="shared" si="365"/>
        <v>0</v>
      </c>
      <c r="Q1534" s="95">
        <f t="shared" si="366"/>
        <v>0</v>
      </c>
      <c r="R1534" s="96"/>
      <c r="S1534" s="97">
        <f t="shared" si="367"/>
        <v>0</v>
      </c>
      <c r="T1534" s="98">
        <f t="shared" si="362"/>
        <v>2</v>
      </c>
    </row>
    <row r="1535" spans="2:21" ht="20.100000000000001" customHeight="1">
      <c r="B1535" s="88">
        <v>11</v>
      </c>
      <c r="C1535" s="89" t="s">
        <v>3129</v>
      </c>
      <c r="D1535" s="90" t="s">
        <v>3440</v>
      </c>
      <c r="E1535" s="91" t="s">
        <v>3441</v>
      </c>
      <c r="F1535" s="315">
        <v>174.3</v>
      </c>
      <c r="G1535" s="260">
        <v>3</v>
      </c>
      <c r="H1535" s="260"/>
      <c r="I1535" s="309"/>
      <c r="J1535" s="199"/>
      <c r="K1535" s="269"/>
      <c r="L1535" s="93">
        <f t="shared" si="368"/>
        <v>3</v>
      </c>
      <c r="M1535" s="183">
        <v>3</v>
      </c>
      <c r="N1535" s="95">
        <f t="shared" si="363"/>
        <v>522.90000000000009</v>
      </c>
      <c r="O1535" s="95">
        <f t="shared" si="364"/>
        <v>522.90000000000009</v>
      </c>
      <c r="P1535" s="94">
        <f t="shared" si="365"/>
        <v>0</v>
      </c>
      <c r="Q1535" s="95">
        <f t="shared" si="366"/>
        <v>0</v>
      </c>
      <c r="R1535" s="96"/>
      <c r="S1535" s="97">
        <f t="shared" si="367"/>
        <v>0</v>
      </c>
      <c r="T1535" s="98">
        <f t="shared" si="362"/>
        <v>3</v>
      </c>
    </row>
    <row r="1536" spans="2:21" ht="20.100000000000001" customHeight="1">
      <c r="B1536" s="88">
        <v>11</v>
      </c>
      <c r="C1536" s="89" t="s">
        <v>3129</v>
      </c>
      <c r="D1536" s="90" t="s">
        <v>3442</v>
      </c>
      <c r="E1536" s="91" t="s">
        <v>3443</v>
      </c>
      <c r="F1536" s="315">
        <v>174.3</v>
      </c>
      <c r="G1536" s="260">
        <v>2</v>
      </c>
      <c r="H1536" s="260"/>
      <c r="I1536" s="309"/>
      <c r="J1536" s="199"/>
      <c r="K1536" s="269"/>
      <c r="L1536" s="93">
        <f t="shared" si="368"/>
        <v>2</v>
      </c>
      <c r="M1536" s="183">
        <v>2</v>
      </c>
      <c r="N1536" s="95">
        <f t="shared" si="363"/>
        <v>348.6</v>
      </c>
      <c r="O1536" s="95">
        <f t="shared" si="364"/>
        <v>348.6</v>
      </c>
      <c r="P1536" s="94">
        <f t="shared" si="365"/>
        <v>0</v>
      </c>
      <c r="Q1536" s="95">
        <f t="shared" si="366"/>
        <v>0</v>
      </c>
      <c r="R1536" s="96"/>
      <c r="S1536" s="97">
        <f t="shared" si="367"/>
        <v>0</v>
      </c>
      <c r="T1536" s="98">
        <f t="shared" si="362"/>
        <v>2</v>
      </c>
    </row>
    <row r="1537" spans="2:20" ht="20.100000000000001" customHeight="1">
      <c r="B1537" s="88">
        <v>11</v>
      </c>
      <c r="C1537" s="89" t="s">
        <v>3129</v>
      </c>
      <c r="D1537" s="90" t="s">
        <v>3444</v>
      </c>
      <c r="E1537" s="91" t="s">
        <v>3445</v>
      </c>
      <c r="F1537" s="315">
        <v>62.3</v>
      </c>
      <c r="G1537" s="260">
        <v>5</v>
      </c>
      <c r="H1537" s="260"/>
      <c r="I1537" s="309"/>
      <c r="J1537" s="199"/>
      <c r="K1537" s="269"/>
      <c r="L1537" s="93">
        <f t="shared" si="368"/>
        <v>5</v>
      </c>
      <c r="M1537" s="183">
        <v>5</v>
      </c>
      <c r="N1537" s="95">
        <f t="shared" si="363"/>
        <v>311.5</v>
      </c>
      <c r="O1537" s="95">
        <f t="shared" si="364"/>
        <v>311.5</v>
      </c>
      <c r="P1537" s="94">
        <f t="shared" si="365"/>
        <v>0</v>
      </c>
      <c r="Q1537" s="95">
        <f t="shared" si="366"/>
        <v>0</v>
      </c>
      <c r="R1537" s="96"/>
      <c r="S1537" s="97">
        <f t="shared" si="367"/>
        <v>0</v>
      </c>
      <c r="T1537" s="98">
        <f t="shared" si="362"/>
        <v>5</v>
      </c>
    </row>
    <row r="1538" spans="2:20" ht="20.100000000000001" customHeight="1">
      <c r="B1538" s="88">
        <v>11</v>
      </c>
      <c r="C1538" s="89" t="s">
        <v>3129</v>
      </c>
      <c r="D1538" s="90" t="s">
        <v>3446</v>
      </c>
      <c r="E1538" s="91" t="s">
        <v>3447</v>
      </c>
      <c r="F1538" s="315">
        <v>69.3</v>
      </c>
      <c r="G1538" s="260">
        <v>2</v>
      </c>
      <c r="H1538" s="260"/>
      <c r="I1538" s="309"/>
      <c r="J1538" s="199"/>
      <c r="K1538" s="269"/>
      <c r="L1538" s="93">
        <f t="shared" si="368"/>
        <v>2</v>
      </c>
      <c r="M1538" s="183">
        <v>2</v>
      </c>
      <c r="N1538" s="95">
        <f t="shared" si="363"/>
        <v>138.6</v>
      </c>
      <c r="O1538" s="95">
        <f t="shared" si="364"/>
        <v>138.6</v>
      </c>
      <c r="P1538" s="94">
        <f t="shared" si="365"/>
        <v>0</v>
      </c>
      <c r="Q1538" s="95">
        <f t="shared" si="366"/>
        <v>0</v>
      </c>
      <c r="R1538" s="96"/>
      <c r="S1538" s="97">
        <f t="shared" si="367"/>
        <v>0</v>
      </c>
      <c r="T1538" s="98">
        <f t="shared" si="362"/>
        <v>2</v>
      </c>
    </row>
    <row r="1539" spans="2:20" ht="20.100000000000001" customHeight="1">
      <c r="B1539" s="88">
        <v>11</v>
      </c>
      <c r="C1539" s="89" t="s">
        <v>3129</v>
      </c>
      <c r="D1539" s="90" t="s">
        <v>3448</v>
      </c>
      <c r="E1539" s="91" t="s">
        <v>3449</v>
      </c>
      <c r="F1539" s="315">
        <v>62.3</v>
      </c>
      <c r="G1539" s="260">
        <v>2</v>
      </c>
      <c r="H1539" s="260"/>
      <c r="I1539" s="309"/>
      <c r="J1539" s="199"/>
      <c r="K1539" s="269"/>
      <c r="L1539" s="93">
        <f t="shared" si="368"/>
        <v>2</v>
      </c>
      <c r="M1539" s="183">
        <v>2</v>
      </c>
      <c r="N1539" s="95">
        <f t="shared" si="363"/>
        <v>124.6</v>
      </c>
      <c r="O1539" s="95">
        <f t="shared" si="364"/>
        <v>124.6</v>
      </c>
      <c r="P1539" s="94">
        <f t="shared" si="365"/>
        <v>0</v>
      </c>
      <c r="Q1539" s="95">
        <f t="shared" si="366"/>
        <v>0</v>
      </c>
      <c r="R1539" s="96"/>
      <c r="S1539" s="97">
        <f t="shared" si="367"/>
        <v>0</v>
      </c>
      <c r="T1539" s="98">
        <f t="shared" si="362"/>
        <v>2</v>
      </c>
    </row>
    <row r="1540" spans="2:20" ht="20.100000000000001" customHeight="1">
      <c r="B1540" s="88">
        <v>11</v>
      </c>
      <c r="C1540" s="89" t="s">
        <v>3129</v>
      </c>
      <c r="D1540" s="90" t="s">
        <v>3450</v>
      </c>
      <c r="E1540" s="91" t="s">
        <v>3451</v>
      </c>
      <c r="F1540" s="315">
        <v>90.3</v>
      </c>
      <c r="G1540" s="260">
        <v>2</v>
      </c>
      <c r="H1540" s="260"/>
      <c r="I1540" s="309"/>
      <c r="J1540" s="199"/>
      <c r="K1540" s="269"/>
      <c r="L1540" s="93">
        <f t="shared" si="368"/>
        <v>2</v>
      </c>
      <c r="M1540" s="183">
        <v>2</v>
      </c>
      <c r="N1540" s="95">
        <f t="shared" si="363"/>
        <v>180.6</v>
      </c>
      <c r="O1540" s="95">
        <f t="shared" si="364"/>
        <v>180.6</v>
      </c>
      <c r="P1540" s="94">
        <f t="shared" si="365"/>
        <v>0</v>
      </c>
      <c r="Q1540" s="95">
        <f t="shared" si="366"/>
        <v>0</v>
      </c>
      <c r="R1540" s="96"/>
      <c r="S1540" s="97">
        <f t="shared" si="367"/>
        <v>0</v>
      </c>
      <c r="T1540" s="98">
        <f t="shared" si="362"/>
        <v>2</v>
      </c>
    </row>
    <row r="1541" spans="2:20" ht="20.100000000000001" customHeight="1">
      <c r="B1541" s="88">
        <v>11</v>
      </c>
      <c r="C1541" s="89" t="s">
        <v>3129</v>
      </c>
      <c r="D1541" s="90" t="s">
        <v>3452</v>
      </c>
      <c r="E1541" s="91" t="s">
        <v>3453</v>
      </c>
      <c r="F1541" s="315">
        <v>83.3</v>
      </c>
      <c r="G1541" s="260">
        <v>3</v>
      </c>
      <c r="H1541" s="260"/>
      <c r="I1541" s="309"/>
      <c r="J1541" s="199"/>
      <c r="K1541" s="269"/>
      <c r="L1541" s="93">
        <f t="shared" si="368"/>
        <v>3</v>
      </c>
      <c r="M1541" s="183">
        <v>3</v>
      </c>
      <c r="N1541" s="95">
        <f t="shared" si="363"/>
        <v>249.89999999999998</v>
      </c>
      <c r="O1541" s="95">
        <f t="shared" si="364"/>
        <v>249.89999999999998</v>
      </c>
      <c r="P1541" s="94">
        <f t="shared" si="365"/>
        <v>0</v>
      </c>
      <c r="Q1541" s="95">
        <f t="shared" si="366"/>
        <v>0</v>
      </c>
      <c r="R1541" s="96"/>
      <c r="S1541" s="97">
        <f t="shared" si="367"/>
        <v>0</v>
      </c>
      <c r="T1541" s="98">
        <f t="shared" si="362"/>
        <v>3</v>
      </c>
    </row>
    <row r="1542" spans="2:20" ht="20.100000000000001" customHeight="1">
      <c r="B1542" s="88">
        <v>11</v>
      </c>
      <c r="C1542" s="89" t="s">
        <v>3129</v>
      </c>
      <c r="D1542" s="90" t="s">
        <v>3454</v>
      </c>
      <c r="E1542" s="91" t="s">
        <v>3455</v>
      </c>
      <c r="F1542" s="315">
        <v>62.3</v>
      </c>
      <c r="G1542" s="260">
        <v>1</v>
      </c>
      <c r="H1542" s="260"/>
      <c r="I1542" s="309"/>
      <c r="J1542" s="199"/>
      <c r="K1542" s="269"/>
      <c r="L1542" s="93">
        <f t="shared" si="368"/>
        <v>1</v>
      </c>
      <c r="M1542" s="183">
        <v>1</v>
      </c>
      <c r="N1542" s="95">
        <f t="shared" si="363"/>
        <v>62.3</v>
      </c>
      <c r="O1542" s="95">
        <f t="shared" si="364"/>
        <v>62.3</v>
      </c>
      <c r="P1542" s="94">
        <f t="shared" si="365"/>
        <v>0</v>
      </c>
      <c r="Q1542" s="95">
        <f t="shared" si="366"/>
        <v>0</v>
      </c>
      <c r="R1542" s="96"/>
      <c r="S1542" s="97">
        <f t="shared" si="367"/>
        <v>0</v>
      </c>
      <c r="T1542" s="98">
        <f t="shared" si="362"/>
        <v>1</v>
      </c>
    </row>
    <row r="1543" spans="2:20" ht="20.100000000000001" customHeight="1">
      <c r="B1543" s="88">
        <v>11</v>
      </c>
      <c r="C1543" s="89" t="s">
        <v>3129</v>
      </c>
      <c r="D1543" s="90" t="s">
        <v>3456</v>
      </c>
      <c r="E1543" s="91" t="s">
        <v>3457</v>
      </c>
      <c r="F1543" s="315">
        <v>62.3</v>
      </c>
      <c r="G1543" s="260">
        <v>7</v>
      </c>
      <c r="H1543" s="260"/>
      <c r="I1543" s="309"/>
      <c r="J1543" s="199"/>
      <c r="K1543" s="269"/>
      <c r="L1543" s="93">
        <f t="shared" si="368"/>
        <v>7</v>
      </c>
      <c r="M1543" s="183">
        <v>7</v>
      </c>
      <c r="N1543" s="95">
        <f t="shared" si="363"/>
        <v>436.09999999999997</v>
      </c>
      <c r="O1543" s="95">
        <f t="shared" si="364"/>
        <v>436.09999999999997</v>
      </c>
      <c r="P1543" s="94">
        <f t="shared" si="365"/>
        <v>0</v>
      </c>
      <c r="Q1543" s="95">
        <f t="shared" si="366"/>
        <v>0</v>
      </c>
      <c r="R1543" s="96"/>
      <c r="S1543" s="97">
        <f t="shared" si="367"/>
        <v>0</v>
      </c>
      <c r="T1543" s="98">
        <f t="shared" si="362"/>
        <v>7</v>
      </c>
    </row>
    <row r="1544" spans="2:20" ht="20.100000000000001" customHeight="1">
      <c r="B1544" s="88">
        <v>11</v>
      </c>
      <c r="C1544" s="89" t="s">
        <v>3129</v>
      </c>
      <c r="D1544" s="90" t="s">
        <v>3458</v>
      </c>
      <c r="E1544" s="91" t="s">
        <v>3459</v>
      </c>
      <c r="F1544" s="315">
        <v>62.3</v>
      </c>
      <c r="G1544" s="260">
        <v>3</v>
      </c>
      <c r="H1544" s="260"/>
      <c r="I1544" s="309"/>
      <c r="J1544" s="199"/>
      <c r="K1544" s="269"/>
      <c r="L1544" s="93">
        <f t="shared" si="368"/>
        <v>3</v>
      </c>
      <c r="M1544" s="183">
        <v>3</v>
      </c>
      <c r="N1544" s="95">
        <f t="shared" si="363"/>
        <v>186.89999999999998</v>
      </c>
      <c r="O1544" s="95">
        <f t="shared" si="364"/>
        <v>186.89999999999998</v>
      </c>
      <c r="P1544" s="94">
        <f t="shared" si="365"/>
        <v>0</v>
      </c>
      <c r="Q1544" s="95">
        <f t="shared" si="366"/>
        <v>0</v>
      </c>
      <c r="R1544" s="96"/>
      <c r="S1544" s="97">
        <f t="shared" si="367"/>
        <v>0</v>
      </c>
      <c r="T1544" s="98">
        <f t="shared" si="362"/>
        <v>3</v>
      </c>
    </row>
    <row r="1545" spans="2:20" ht="20.100000000000001" customHeight="1">
      <c r="B1545" s="88">
        <v>11</v>
      </c>
      <c r="C1545" s="89" t="s">
        <v>3129</v>
      </c>
      <c r="D1545" s="90" t="s">
        <v>3460</v>
      </c>
      <c r="E1545" s="91" t="s">
        <v>3461</v>
      </c>
      <c r="F1545" s="315">
        <v>90.3</v>
      </c>
      <c r="G1545" s="260">
        <v>2</v>
      </c>
      <c r="H1545" s="260"/>
      <c r="I1545" s="309"/>
      <c r="J1545" s="199"/>
      <c r="K1545" s="269"/>
      <c r="L1545" s="93">
        <f t="shared" si="368"/>
        <v>2</v>
      </c>
      <c r="M1545" s="183">
        <v>2</v>
      </c>
      <c r="N1545" s="95">
        <f t="shared" si="363"/>
        <v>180.6</v>
      </c>
      <c r="O1545" s="95">
        <f t="shared" si="364"/>
        <v>180.6</v>
      </c>
      <c r="P1545" s="94">
        <f t="shared" si="365"/>
        <v>0</v>
      </c>
      <c r="Q1545" s="95">
        <f t="shared" si="366"/>
        <v>0</v>
      </c>
      <c r="R1545" s="96"/>
      <c r="S1545" s="97">
        <f t="shared" si="367"/>
        <v>0</v>
      </c>
      <c r="T1545" s="98">
        <f t="shared" si="362"/>
        <v>2</v>
      </c>
    </row>
    <row r="1546" spans="2:20" ht="20.100000000000001" customHeight="1">
      <c r="B1546" s="88">
        <v>11</v>
      </c>
      <c r="C1546" s="89" t="s">
        <v>3129</v>
      </c>
      <c r="D1546" s="90" t="s">
        <v>3462</v>
      </c>
      <c r="E1546" s="91" t="s">
        <v>3463</v>
      </c>
      <c r="F1546" s="315">
        <v>90.3</v>
      </c>
      <c r="G1546" s="260">
        <v>2</v>
      </c>
      <c r="H1546" s="260"/>
      <c r="I1546" s="309"/>
      <c r="J1546" s="199"/>
      <c r="K1546" s="269"/>
      <c r="L1546" s="93">
        <f t="shared" si="368"/>
        <v>2</v>
      </c>
      <c r="M1546" s="183">
        <v>2</v>
      </c>
      <c r="N1546" s="95">
        <f t="shared" si="363"/>
        <v>180.6</v>
      </c>
      <c r="O1546" s="95">
        <f t="shared" si="364"/>
        <v>180.6</v>
      </c>
      <c r="P1546" s="94">
        <f t="shared" si="365"/>
        <v>0</v>
      </c>
      <c r="Q1546" s="95">
        <f t="shared" si="366"/>
        <v>0</v>
      </c>
      <c r="R1546" s="96"/>
      <c r="S1546" s="97">
        <f t="shared" si="367"/>
        <v>0</v>
      </c>
      <c r="T1546" s="98">
        <f t="shared" si="362"/>
        <v>2</v>
      </c>
    </row>
    <row r="1547" spans="2:20" ht="20.100000000000001" customHeight="1">
      <c r="B1547" s="88">
        <v>11</v>
      </c>
      <c r="C1547" s="89" t="s">
        <v>3129</v>
      </c>
      <c r="D1547" s="90" t="s">
        <v>3464</v>
      </c>
      <c r="E1547" s="91" t="s">
        <v>3465</v>
      </c>
      <c r="F1547" s="315">
        <v>90.3</v>
      </c>
      <c r="G1547" s="260">
        <v>2</v>
      </c>
      <c r="H1547" s="260"/>
      <c r="I1547" s="309"/>
      <c r="J1547" s="199"/>
      <c r="K1547" s="269"/>
      <c r="L1547" s="93">
        <f t="shared" si="368"/>
        <v>2</v>
      </c>
      <c r="M1547" s="183">
        <v>2</v>
      </c>
      <c r="N1547" s="95">
        <f t="shared" si="363"/>
        <v>180.6</v>
      </c>
      <c r="O1547" s="95">
        <f t="shared" si="364"/>
        <v>180.6</v>
      </c>
      <c r="P1547" s="94">
        <f t="shared" si="365"/>
        <v>0</v>
      </c>
      <c r="Q1547" s="95">
        <f t="shared" si="366"/>
        <v>0</v>
      </c>
      <c r="R1547" s="96"/>
      <c r="S1547" s="97">
        <f t="shared" si="367"/>
        <v>0</v>
      </c>
      <c r="T1547" s="98">
        <f t="shared" si="362"/>
        <v>2</v>
      </c>
    </row>
    <row r="1548" spans="2:20" ht="20.100000000000001" customHeight="1">
      <c r="B1548" s="88">
        <v>11</v>
      </c>
      <c r="C1548" s="89" t="s">
        <v>3129</v>
      </c>
      <c r="D1548" s="90" t="s">
        <v>3466</v>
      </c>
      <c r="E1548" s="91" t="s">
        <v>3467</v>
      </c>
      <c r="F1548" s="315">
        <v>62.3</v>
      </c>
      <c r="G1548" s="260">
        <v>2</v>
      </c>
      <c r="H1548" s="260"/>
      <c r="I1548" s="309"/>
      <c r="J1548" s="199"/>
      <c r="K1548" s="269"/>
      <c r="L1548" s="93">
        <f t="shared" si="368"/>
        <v>2</v>
      </c>
      <c r="M1548" s="183">
        <v>2</v>
      </c>
      <c r="N1548" s="95">
        <f t="shared" si="363"/>
        <v>124.6</v>
      </c>
      <c r="O1548" s="95">
        <f t="shared" si="364"/>
        <v>124.6</v>
      </c>
      <c r="P1548" s="94">
        <f t="shared" si="365"/>
        <v>0</v>
      </c>
      <c r="Q1548" s="95">
        <f t="shared" si="366"/>
        <v>0</v>
      </c>
      <c r="R1548" s="96"/>
      <c r="S1548" s="97">
        <f t="shared" si="367"/>
        <v>0</v>
      </c>
      <c r="T1548" s="98">
        <f t="shared" si="362"/>
        <v>2</v>
      </c>
    </row>
    <row r="1549" spans="2:20" ht="20.100000000000001" customHeight="1">
      <c r="B1549" s="88">
        <v>11</v>
      </c>
      <c r="C1549" s="89" t="s">
        <v>3129</v>
      </c>
      <c r="D1549" s="90" t="s">
        <v>3468</v>
      </c>
      <c r="E1549" s="91" t="s">
        <v>3469</v>
      </c>
      <c r="F1549" s="315">
        <v>209.3</v>
      </c>
      <c r="G1549" s="260">
        <v>2</v>
      </c>
      <c r="H1549" s="260"/>
      <c r="I1549" s="309"/>
      <c r="J1549" s="199"/>
      <c r="K1549" s="269"/>
      <c r="L1549" s="93">
        <f t="shared" si="368"/>
        <v>2</v>
      </c>
      <c r="M1549" s="183">
        <v>2</v>
      </c>
      <c r="N1549" s="95">
        <f t="shared" si="363"/>
        <v>418.6</v>
      </c>
      <c r="O1549" s="95">
        <f t="shared" si="364"/>
        <v>418.6</v>
      </c>
      <c r="P1549" s="94">
        <f t="shared" si="365"/>
        <v>0</v>
      </c>
      <c r="Q1549" s="95">
        <f t="shared" si="366"/>
        <v>0</v>
      </c>
      <c r="R1549" s="96"/>
      <c r="S1549" s="97">
        <f t="shared" si="367"/>
        <v>0</v>
      </c>
      <c r="T1549" s="98">
        <f t="shared" si="362"/>
        <v>2</v>
      </c>
    </row>
    <row r="1550" spans="2:20" ht="20.100000000000001" customHeight="1">
      <c r="B1550" s="88">
        <v>11</v>
      </c>
      <c r="C1550" s="89" t="s">
        <v>3129</v>
      </c>
      <c r="D1550" s="90" t="s">
        <v>3470</v>
      </c>
      <c r="E1550" s="91" t="s">
        <v>3471</v>
      </c>
      <c r="F1550" s="315">
        <v>110</v>
      </c>
      <c r="G1550" s="260">
        <v>22</v>
      </c>
      <c r="H1550" s="260"/>
      <c r="I1550" s="309"/>
      <c r="J1550" s="199"/>
      <c r="K1550" s="269"/>
      <c r="L1550" s="93">
        <f t="shared" si="368"/>
        <v>22</v>
      </c>
      <c r="M1550" s="183">
        <f>4+18</f>
        <v>22</v>
      </c>
      <c r="N1550" s="95">
        <f t="shared" si="363"/>
        <v>2420</v>
      </c>
      <c r="O1550" s="95">
        <f t="shared" si="364"/>
        <v>2420</v>
      </c>
      <c r="P1550" s="94">
        <f t="shared" si="365"/>
        <v>0</v>
      </c>
      <c r="Q1550" s="95">
        <f t="shared" si="366"/>
        <v>0</v>
      </c>
      <c r="R1550" s="96"/>
      <c r="S1550" s="97">
        <f t="shared" si="367"/>
        <v>0</v>
      </c>
      <c r="T1550" s="98">
        <f t="shared" si="362"/>
        <v>22</v>
      </c>
    </row>
    <row r="1551" spans="2:20" ht="20.100000000000001" customHeight="1">
      <c r="B1551" s="88">
        <v>11</v>
      </c>
      <c r="C1551" s="89" t="s">
        <v>3129</v>
      </c>
      <c r="D1551" s="90" t="s">
        <v>3472</v>
      </c>
      <c r="E1551" s="91" t="s">
        <v>3473</v>
      </c>
      <c r="F1551" s="315">
        <v>83.3</v>
      </c>
      <c r="G1551" s="260"/>
      <c r="H1551" s="260"/>
      <c r="I1551" s="309"/>
      <c r="J1551" s="199"/>
      <c r="K1551" s="269"/>
      <c r="L1551" s="93">
        <f t="shared" si="368"/>
        <v>0</v>
      </c>
      <c r="M1551" s="183"/>
      <c r="N1551" s="95">
        <f t="shared" si="363"/>
        <v>0</v>
      </c>
      <c r="O1551" s="95">
        <f t="shared" si="364"/>
        <v>0</v>
      </c>
      <c r="P1551" s="94">
        <f t="shared" si="365"/>
        <v>0</v>
      </c>
      <c r="Q1551" s="95">
        <f t="shared" si="366"/>
        <v>0</v>
      </c>
      <c r="R1551" s="96"/>
      <c r="S1551" s="97">
        <f t="shared" si="367"/>
        <v>0</v>
      </c>
      <c r="T1551" s="98">
        <f t="shared" si="362"/>
        <v>0</v>
      </c>
    </row>
    <row r="1552" spans="2:20" ht="20.100000000000001" customHeight="1">
      <c r="B1552" s="88">
        <v>11</v>
      </c>
      <c r="C1552" s="89" t="s">
        <v>3129</v>
      </c>
      <c r="D1552" s="90" t="s">
        <v>3474</v>
      </c>
      <c r="E1552" s="91" t="s">
        <v>3475</v>
      </c>
      <c r="F1552" s="315">
        <v>139.30000000000001</v>
      </c>
      <c r="G1552" s="260">
        <v>2</v>
      </c>
      <c r="H1552" s="260"/>
      <c r="I1552" s="309"/>
      <c r="J1552" s="199"/>
      <c r="K1552" s="269"/>
      <c r="L1552" s="93">
        <f t="shared" si="368"/>
        <v>2</v>
      </c>
      <c r="M1552" s="183">
        <v>2</v>
      </c>
      <c r="N1552" s="95">
        <f t="shared" si="363"/>
        <v>278.60000000000002</v>
      </c>
      <c r="O1552" s="95">
        <f t="shared" si="364"/>
        <v>278.60000000000002</v>
      </c>
      <c r="P1552" s="94">
        <f t="shared" si="365"/>
        <v>0</v>
      </c>
      <c r="Q1552" s="95">
        <f t="shared" si="366"/>
        <v>0</v>
      </c>
      <c r="R1552" s="96"/>
      <c r="S1552" s="97">
        <f t="shared" si="367"/>
        <v>0</v>
      </c>
      <c r="T1552" s="98">
        <f t="shared" si="362"/>
        <v>2</v>
      </c>
    </row>
    <row r="1553" spans="2:21" ht="20.100000000000001" customHeight="1">
      <c r="B1553" s="88">
        <v>11</v>
      </c>
      <c r="C1553" s="89" t="s">
        <v>3129</v>
      </c>
      <c r="D1553" s="90" t="s">
        <v>3476</v>
      </c>
      <c r="E1553" s="91" t="s">
        <v>3477</v>
      </c>
      <c r="F1553" s="315">
        <v>279.3</v>
      </c>
      <c r="G1553" s="260">
        <v>2</v>
      </c>
      <c r="H1553" s="260"/>
      <c r="I1553" s="309"/>
      <c r="J1553" s="199"/>
      <c r="K1553" s="269"/>
      <c r="L1553" s="93">
        <f t="shared" si="368"/>
        <v>2</v>
      </c>
      <c r="M1553" s="183">
        <v>2</v>
      </c>
      <c r="N1553" s="95">
        <f t="shared" si="363"/>
        <v>558.6</v>
      </c>
      <c r="O1553" s="95">
        <f t="shared" si="364"/>
        <v>558.6</v>
      </c>
      <c r="P1553" s="94">
        <f t="shared" si="365"/>
        <v>0</v>
      </c>
      <c r="Q1553" s="95">
        <f t="shared" si="366"/>
        <v>0</v>
      </c>
      <c r="R1553" s="96"/>
      <c r="S1553" s="97">
        <f t="shared" si="367"/>
        <v>0</v>
      </c>
      <c r="T1553" s="98">
        <f t="shared" si="362"/>
        <v>2</v>
      </c>
    </row>
    <row r="1554" spans="2:21" ht="20.100000000000001" customHeight="1">
      <c r="B1554" s="88">
        <v>11</v>
      </c>
      <c r="C1554" s="89" t="s">
        <v>3129</v>
      </c>
      <c r="D1554" s="90" t="s">
        <v>3478</v>
      </c>
      <c r="E1554" s="91" t="s">
        <v>3479</v>
      </c>
      <c r="F1554" s="315">
        <v>69.3</v>
      </c>
      <c r="G1554" s="260">
        <v>1</v>
      </c>
      <c r="H1554" s="260"/>
      <c r="I1554" s="309"/>
      <c r="J1554" s="199"/>
      <c r="K1554" s="269"/>
      <c r="L1554" s="93">
        <f t="shared" si="368"/>
        <v>1</v>
      </c>
      <c r="M1554" s="183">
        <v>1</v>
      </c>
      <c r="N1554" s="95">
        <f t="shared" si="363"/>
        <v>69.3</v>
      </c>
      <c r="O1554" s="95">
        <f t="shared" si="364"/>
        <v>69.3</v>
      </c>
      <c r="P1554" s="94">
        <f t="shared" si="365"/>
        <v>0</v>
      </c>
      <c r="Q1554" s="95">
        <f t="shared" si="366"/>
        <v>0</v>
      </c>
      <c r="R1554" s="96"/>
      <c r="S1554" s="97">
        <f t="shared" si="367"/>
        <v>0</v>
      </c>
      <c r="T1554" s="98">
        <f t="shared" si="362"/>
        <v>1</v>
      </c>
    </row>
    <row r="1555" spans="2:21" ht="20.100000000000001" customHeight="1">
      <c r="B1555" s="88">
        <v>11</v>
      </c>
      <c r="C1555" s="89" t="s">
        <v>3129</v>
      </c>
      <c r="D1555" s="90" t="s">
        <v>3480</v>
      </c>
      <c r="E1555" s="91" t="s">
        <v>3481</v>
      </c>
      <c r="F1555" s="315">
        <v>153.30000000000001</v>
      </c>
      <c r="G1555" s="260">
        <v>1</v>
      </c>
      <c r="H1555" s="260"/>
      <c r="I1555" s="309"/>
      <c r="J1555" s="199"/>
      <c r="K1555" s="269"/>
      <c r="L1555" s="93">
        <f t="shared" si="368"/>
        <v>1</v>
      </c>
      <c r="M1555" s="183">
        <v>1</v>
      </c>
      <c r="N1555" s="95">
        <f t="shared" si="363"/>
        <v>153.30000000000001</v>
      </c>
      <c r="O1555" s="95">
        <f t="shared" si="364"/>
        <v>153.30000000000001</v>
      </c>
      <c r="P1555" s="94">
        <f t="shared" si="365"/>
        <v>0</v>
      </c>
      <c r="Q1555" s="95">
        <f t="shared" si="366"/>
        <v>0</v>
      </c>
      <c r="R1555" s="96"/>
      <c r="S1555" s="97">
        <f t="shared" si="367"/>
        <v>0</v>
      </c>
      <c r="T1555" s="98">
        <f t="shared" si="362"/>
        <v>1</v>
      </c>
    </row>
    <row r="1556" spans="2:21" ht="20.100000000000001" customHeight="1">
      <c r="B1556" s="88">
        <v>11</v>
      </c>
      <c r="C1556" s="89" t="s">
        <v>3129</v>
      </c>
      <c r="D1556" s="90" t="s">
        <v>3482</v>
      </c>
      <c r="E1556" s="91" t="s">
        <v>3483</v>
      </c>
      <c r="F1556" s="315">
        <v>139.30000000000001</v>
      </c>
      <c r="G1556" s="260"/>
      <c r="H1556" s="260"/>
      <c r="I1556" s="309"/>
      <c r="J1556" s="199"/>
      <c r="K1556" s="269"/>
      <c r="L1556" s="93">
        <f t="shared" si="368"/>
        <v>0</v>
      </c>
      <c r="M1556" s="183"/>
      <c r="N1556" s="95">
        <f t="shared" si="363"/>
        <v>0</v>
      </c>
      <c r="O1556" s="95">
        <f t="shared" si="364"/>
        <v>0</v>
      </c>
      <c r="P1556" s="94">
        <f t="shared" si="365"/>
        <v>0</v>
      </c>
      <c r="Q1556" s="95">
        <f t="shared" si="366"/>
        <v>0</v>
      </c>
      <c r="R1556" s="96"/>
      <c r="S1556" s="97">
        <f t="shared" si="367"/>
        <v>0</v>
      </c>
      <c r="T1556" s="98">
        <f t="shared" si="362"/>
        <v>0</v>
      </c>
    </row>
    <row r="1557" spans="2:21" ht="20.100000000000001" customHeight="1">
      <c r="B1557" s="88">
        <v>12</v>
      </c>
      <c r="C1557" s="89" t="s">
        <v>3484</v>
      </c>
      <c r="D1557" s="90" t="s">
        <v>3485</v>
      </c>
      <c r="E1557" s="91" t="s">
        <v>3486</v>
      </c>
      <c r="F1557" s="315">
        <v>18.2</v>
      </c>
      <c r="G1557" s="260">
        <v>3</v>
      </c>
      <c r="H1557" s="260"/>
      <c r="I1557" s="309"/>
      <c r="J1557" s="199"/>
      <c r="K1557" s="269"/>
      <c r="L1557" s="93">
        <f t="shared" si="368"/>
        <v>3</v>
      </c>
      <c r="M1557" s="183">
        <v>3</v>
      </c>
      <c r="N1557" s="95">
        <f t="shared" si="363"/>
        <v>54.599999999999994</v>
      </c>
      <c r="O1557" s="95">
        <f t="shared" si="364"/>
        <v>54.599999999999994</v>
      </c>
      <c r="P1557" s="94">
        <f t="shared" si="365"/>
        <v>0</v>
      </c>
      <c r="Q1557" s="95">
        <f t="shared" si="366"/>
        <v>0</v>
      </c>
      <c r="R1557" s="96"/>
      <c r="S1557" s="97">
        <f t="shared" si="367"/>
        <v>3</v>
      </c>
      <c r="T1557" s="98">
        <f t="shared" si="362"/>
        <v>0</v>
      </c>
      <c r="U1557">
        <v>3</v>
      </c>
    </row>
    <row r="1558" spans="2:21" ht="20.100000000000001" customHeight="1">
      <c r="B1558" s="88">
        <v>12</v>
      </c>
      <c r="C1558" s="89" t="s">
        <v>3484</v>
      </c>
      <c r="D1558" s="90" t="s">
        <v>3487</v>
      </c>
      <c r="E1558" s="91" t="s">
        <v>3488</v>
      </c>
      <c r="F1558" s="315">
        <v>41.67</v>
      </c>
      <c r="G1558" s="260">
        <v>35</v>
      </c>
      <c r="H1558" s="260"/>
      <c r="I1558" s="309"/>
      <c r="J1558" s="199">
        <v>35</v>
      </c>
      <c r="K1558" s="269"/>
      <c r="L1558" s="93">
        <f t="shared" si="368"/>
        <v>0</v>
      </c>
      <c r="M1558" s="183"/>
      <c r="N1558" s="95">
        <f t="shared" si="363"/>
        <v>0</v>
      </c>
      <c r="O1558" s="95">
        <f t="shared" si="364"/>
        <v>0</v>
      </c>
      <c r="P1558" s="94">
        <f t="shared" si="365"/>
        <v>0</v>
      </c>
      <c r="Q1558" s="95">
        <f t="shared" si="366"/>
        <v>0</v>
      </c>
      <c r="R1558" s="96"/>
      <c r="S1558" s="97">
        <f t="shared" si="367"/>
        <v>36</v>
      </c>
      <c r="T1558" s="98">
        <f t="shared" si="362"/>
        <v>-36</v>
      </c>
      <c r="U1558">
        <v>36</v>
      </c>
    </row>
    <row r="1559" spans="2:21" ht="20.100000000000001" customHeight="1">
      <c r="B1559" s="88">
        <v>12</v>
      </c>
      <c r="C1559" s="89" t="s">
        <v>3484</v>
      </c>
      <c r="D1559" s="90" t="s">
        <v>3489</v>
      </c>
      <c r="E1559" s="91" t="s">
        <v>3490</v>
      </c>
      <c r="F1559" s="315">
        <v>37.869999999999997</v>
      </c>
      <c r="G1559" s="260">
        <v>12</v>
      </c>
      <c r="H1559" s="260">
        <v>19</v>
      </c>
      <c r="I1559" s="309"/>
      <c r="J1559" s="199">
        <v>1</v>
      </c>
      <c r="K1559" s="269"/>
      <c r="L1559" s="93">
        <f t="shared" si="368"/>
        <v>30</v>
      </c>
      <c r="M1559" s="183">
        <v>30</v>
      </c>
      <c r="N1559" s="95">
        <f t="shared" si="363"/>
        <v>1136.0999999999999</v>
      </c>
      <c r="O1559" s="95">
        <f t="shared" si="364"/>
        <v>1136.0999999999999</v>
      </c>
      <c r="P1559" s="94">
        <f t="shared" si="365"/>
        <v>0</v>
      </c>
      <c r="Q1559" s="95">
        <f t="shared" si="366"/>
        <v>0</v>
      </c>
      <c r="R1559" s="96"/>
      <c r="S1559" s="97">
        <f t="shared" si="367"/>
        <v>12</v>
      </c>
      <c r="T1559" s="98">
        <f t="shared" si="362"/>
        <v>18</v>
      </c>
      <c r="U1559">
        <v>12</v>
      </c>
    </row>
    <row r="1560" spans="2:21" ht="20.100000000000001" customHeight="1">
      <c r="B1560" s="88">
        <v>12</v>
      </c>
      <c r="C1560" s="89" t="s">
        <v>3484</v>
      </c>
      <c r="D1560" s="90" t="s">
        <v>3491</v>
      </c>
      <c r="E1560" s="91" t="s">
        <v>3492</v>
      </c>
      <c r="F1560" s="315">
        <v>41.67</v>
      </c>
      <c r="G1560" s="260">
        <v>27</v>
      </c>
      <c r="H1560" s="260">
        <v>18</v>
      </c>
      <c r="I1560" s="309"/>
      <c r="J1560" s="199">
        <v>36</v>
      </c>
      <c r="K1560" s="269"/>
      <c r="L1560" s="93">
        <f t="shared" si="368"/>
        <v>9</v>
      </c>
      <c r="M1560" s="183">
        <v>9</v>
      </c>
      <c r="N1560" s="95">
        <f t="shared" si="363"/>
        <v>375.03000000000003</v>
      </c>
      <c r="O1560" s="95">
        <f t="shared" si="364"/>
        <v>375.03000000000003</v>
      </c>
      <c r="P1560" s="94">
        <f t="shared" si="365"/>
        <v>0</v>
      </c>
      <c r="Q1560" s="95">
        <f t="shared" si="366"/>
        <v>0</v>
      </c>
      <c r="R1560" s="96"/>
      <c r="S1560" s="97">
        <f t="shared" si="367"/>
        <v>27</v>
      </c>
      <c r="T1560" s="98">
        <f t="shared" si="362"/>
        <v>-18</v>
      </c>
      <c r="U1560">
        <v>27</v>
      </c>
    </row>
    <row r="1561" spans="2:21" ht="20.100000000000001" customHeight="1">
      <c r="B1561" s="88">
        <v>12</v>
      </c>
      <c r="C1561" s="89" t="s">
        <v>3484</v>
      </c>
      <c r="D1561" s="90" t="s">
        <v>3493</v>
      </c>
      <c r="E1561" s="91" t="s">
        <v>3494</v>
      </c>
      <c r="F1561" s="315">
        <v>68.150000000000006</v>
      </c>
      <c r="G1561" s="260">
        <v>28</v>
      </c>
      <c r="H1561" s="260"/>
      <c r="I1561" s="309"/>
      <c r="J1561" s="199"/>
      <c r="K1561" s="269">
        <v>1</v>
      </c>
      <c r="L1561" s="93">
        <f t="shared" si="368"/>
        <v>27</v>
      </c>
      <c r="M1561" s="183">
        <v>27</v>
      </c>
      <c r="N1561" s="95">
        <f t="shared" si="363"/>
        <v>1840.0500000000002</v>
      </c>
      <c r="O1561" s="95">
        <f t="shared" si="364"/>
        <v>1840.0500000000002</v>
      </c>
      <c r="P1561" s="94">
        <f t="shared" si="365"/>
        <v>0</v>
      </c>
      <c r="Q1561" s="95">
        <f t="shared" si="366"/>
        <v>0</v>
      </c>
      <c r="R1561" s="96"/>
      <c r="S1561" s="97">
        <f t="shared" si="367"/>
        <v>4</v>
      </c>
      <c r="T1561" s="98">
        <f t="shared" si="362"/>
        <v>23</v>
      </c>
      <c r="U1561">
        <v>4</v>
      </c>
    </row>
    <row r="1562" spans="2:21" ht="20.100000000000001" customHeight="1">
      <c r="B1562" s="88">
        <v>12</v>
      </c>
      <c r="C1562" s="89" t="s">
        <v>3484</v>
      </c>
      <c r="D1562" s="106" t="s">
        <v>3495</v>
      </c>
      <c r="E1562" s="91" t="s">
        <v>3496</v>
      </c>
      <c r="F1562" s="315">
        <v>135.4528</v>
      </c>
      <c r="G1562" s="260">
        <v>3</v>
      </c>
      <c r="H1562" s="260"/>
      <c r="I1562" s="309"/>
      <c r="J1562" s="199"/>
      <c r="K1562" s="269"/>
      <c r="L1562" s="93">
        <f t="shared" si="368"/>
        <v>3</v>
      </c>
      <c r="M1562" s="183">
        <v>3</v>
      </c>
      <c r="N1562" s="95">
        <f t="shared" si="363"/>
        <v>406.35839999999996</v>
      </c>
      <c r="O1562" s="95">
        <f t="shared" si="364"/>
        <v>406.35839999999996</v>
      </c>
      <c r="P1562" s="94">
        <f t="shared" si="365"/>
        <v>0</v>
      </c>
      <c r="Q1562" s="95">
        <f t="shared" si="366"/>
        <v>0</v>
      </c>
      <c r="R1562" s="96"/>
      <c r="S1562" s="97">
        <f t="shared" si="367"/>
        <v>3</v>
      </c>
      <c r="T1562" s="98">
        <f t="shared" si="362"/>
        <v>0</v>
      </c>
      <c r="U1562">
        <v>3</v>
      </c>
    </row>
    <row r="1563" spans="2:21" ht="20.100000000000001" customHeight="1">
      <c r="B1563" s="88">
        <v>12</v>
      </c>
      <c r="C1563" s="89" t="s">
        <v>3484</v>
      </c>
      <c r="D1563" s="90" t="s">
        <v>3497</v>
      </c>
      <c r="E1563" s="91" t="s">
        <v>3498</v>
      </c>
      <c r="F1563" s="315">
        <v>90</v>
      </c>
      <c r="G1563" s="260">
        <v>2</v>
      </c>
      <c r="H1563" s="260"/>
      <c r="I1563" s="309"/>
      <c r="J1563" s="199"/>
      <c r="K1563" s="269"/>
      <c r="L1563" s="93">
        <f t="shared" si="368"/>
        <v>2</v>
      </c>
      <c r="M1563" s="183">
        <v>2</v>
      </c>
      <c r="N1563" s="95">
        <f t="shared" si="363"/>
        <v>180</v>
      </c>
      <c r="O1563" s="95">
        <f t="shared" si="364"/>
        <v>180</v>
      </c>
      <c r="P1563" s="94">
        <f t="shared" si="365"/>
        <v>0</v>
      </c>
      <c r="Q1563" s="95">
        <f t="shared" si="366"/>
        <v>0</v>
      </c>
      <c r="R1563" s="96"/>
      <c r="S1563" s="97">
        <f t="shared" si="367"/>
        <v>3</v>
      </c>
      <c r="T1563" s="98">
        <f t="shared" si="362"/>
        <v>-1</v>
      </c>
      <c r="U1563">
        <v>3</v>
      </c>
    </row>
    <row r="1564" spans="2:21" ht="20.100000000000001" customHeight="1">
      <c r="B1564" s="88">
        <v>12</v>
      </c>
      <c r="C1564" s="89" t="s">
        <v>3484</v>
      </c>
      <c r="D1564" s="90" t="s">
        <v>3499</v>
      </c>
      <c r="E1564" s="91" t="s">
        <v>3500</v>
      </c>
      <c r="F1564" s="315">
        <v>90</v>
      </c>
      <c r="G1564" s="260"/>
      <c r="H1564" s="260"/>
      <c r="I1564" s="309"/>
      <c r="J1564" s="199"/>
      <c r="K1564" s="269"/>
      <c r="L1564" s="93">
        <f t="shared" si="368"/>
        <v>0</v>
      </c>
      <c r="M1564" s="183"/>
      <c r="N1564" s="95">
        <f t="shared" si="363"/>
        <v>0</v>
      </c>
      <c r="O1564" s="95">
        <f t="shared" si="364"/>
        <v>0</v>
      </c>
      <c r="P1564" s="94">
        <f t="shared" si="365"/>
        <v>0</v>
      </c>
      <c r="Q1564" s="95">
        <f t="shared" si="366"/>
        <v>0</v>
      </c>
      <c r="R1564" s="96"/>
      <c r="S1564" s="97">
        <f t="shared" si="367"/>
        <v>1</v>
      </c>
      <c r="T1564" s="98">
        <f t="shared" si="362"/>
        <v>-1</v>
      </c>
      <c r="U1564">
        <v>1</v>
      </c>
    </row>
    <row r="1565" spans="2:21" ht="20.100000000000001" customHeight="1">
      <c r="B1565" s="88">
        <v>12</v>
      </c>
      <c r="C1565" s="89" t="s">
        <v>3484</v>
      </c>
      <c r="D1565" s="90" t="s">
        <v>3501</v>
      </c>
      <c r="E1565" s="91" t="s">
        <v>3502</v>
      </c>
      <c r="F1565" s="315">
        <v>90</v>
      </c>
      <c r="G1565" s="260">
        <v>2</v>
      </c>
      <c r="H1565" s="260"/>
      <c r="I1565" s="309"/>
      <c r="J1565" s="199"/>
      <c r="K1565" s="269">
        <v>1</v>
      </c>
      <c r="L1565" s="93">
        <f t="shared" si="368"/>
        <v>1</v>
      </c>
      <c r="M1565" s="183">
        <v>1</v>
      </c>
      <c r="N1565" s="95">
        <f t="shared" si="363"/>
        <v>90</v>
      </c>
      <c r="O1565" s="95">
        <f t="shared" si="364"/>
        <v>90</v>
      </c>
      <c r="P1565" s="94">
        <f t="shared" si="365"/>
        <v>0</v>
      </c>
      <c r="Q1565" s="95">
        <f t="shared" si="366"/>
        <v>0</v>
      </c>
      <c r="R1565" s="96"/>
      <c r="S1565" s="97">
        <f t="shared" si="367"/>
        <v>2</v>
      </c>
      <c r="T1565" s="98">
        <f t="shared" si="362"/>
        <v>-1</v>
      </c>
      <c r="U1565">
        <v>2</v>
      </c>
    </row>
    <row r="1566" spans="2:21" ht="20.100000000000001" customHeight="1">
      <c r="B1566" s="88">
        <v>12</v>
      </c>
      <c r="C1566" s="89" t="s">
        <v>3484</v>
      </c>
      <c r="D1566" s="90" t="s">
        <v>3503</v>
      </c>
      <c r="E1566" s="91" t="s">
        <v>3504</v>
      </c>
      <c r="F1566" s="315">
        <v>54.56</v>
      </c>
      <c r="G1566" s="260">
        <v>2</v>
      </c>
      <c r="H1566" s="260"/>
      <c r="I1566" s="309"/>
      <c r="J1566" s="199">
        <v>2</v>
      </c>
      <c r="K1566" s="269"/>
      <c r="L1566" s="93">
        <f t="shared" si="368"/>
        <v>0</v>
      </c>
      <c r="M1566" s="183"/>
      <c r="N1566" s="95">
        <f t="shared" si="363"/>
        <v>0</v>
      </c>
      <c r="O1566" s="95">
        <f t="shared" si="364"/>
        <v>0</v>
      </c>
      <c r="P1566" s="94">
        <f t="shared" si="365"/>
        <v>0</v>
      </c>
      <c r="Q1566" s="95">
        <f t="shared" si="366"/>
        <v>0</v>
      </c>
      <c r="R1566" s="96"/>
      <c r="S1566" s="97">
        <f t="shared" si="367"/>
        <v>2</v>
      </c>
      <c r="T1566" s="98">
        <f t="shared" si="362"/>
        <v>-2</v>
      </c>
      <c r="U1566">
        <v>2</v>
      </c>
    </row>
    <row r="1567" spans="2:21" ht="20.100000000000001" customHeight="1">
      <c r="B1567" s="88">
        <v>12</v>
      </c>
      <c r="C1567" s="89" t="s">
        <v>3484</v>
      </c>
      <c r="D1567" s="90" t="s">
        <v>3505</v>
      </c>
      <c r="E1567" s="91" t="s">
        <v>3506</v>
      </c>
      <c r="F1567" s="315">
        <v>54.56</v>
      </c>
      <c r="G1567" s="260"/>
      <c r="H1567" s="260"/>
      <c r="I1567" s="309"/>
      <c r="J1567" s="199"/>
      <c r="K1567" s="269"/>
      <c r="L1567" s="93">
        <f t="shared" si="368"/>
        <v>0</v>
      </c>
      <c r="M1567" s="183"/>
      <c r="N1567" s="95">
        <f t="shared" si="363"/>
        <v>0</v>
      </c>
      <c r="O1567" s="95">
        <f t="shared" si="364"/>
        <v>0</v>
      </c>
      <c r="P1567" s="94">
        <f t="shared" si="365"/>
        <v>0</v>
      </c>
      <c r="Q1567" s="95">
        <f t="shared" si="366"/>
        <v>0</v>
      </c>
      <c r="R1567" s="96"/>
      <c r="S1567" s="97">
        <f t="shared" si="367"/>
        <v>1</v>
      </c>
      <c r="T1567" s="98">
        <f t="shared" si="362"/>
        <v>-1</v>
      </c>
      <c r="U1567">
        <v>1</v>
      </c>
    </row>
    <row r="1568" spans="2:21" ht="20.100000000000001" customHeight="1">
      <c r="B1568" s="88">
        <v>12</v>
      </c>
      <c r="C1568" s="89" t="s">
        <v>3484</v>
      </c>
      <c r="D1568" s="90" t="s">
        <v>3505</v>
      </c>
      <c r="E1568" s="91" t="s">
        <v>3506</v>
      </c>
      <c r="F1568" s="315">
        <v>54.56</v>
      </c>
      <c r="G1568" s="260">
        <v>3</v>
      </c>
      <c r="H1568" s="260"/>
      <c r="I1568" s="309"/>
      <c r="J1568" s="199"/>
      <c r="K1568" s="269"/>
      <c r="L1568" s="93">
        <f t="shared" si="368"/>
        <v>3</v>
      </c>
      <c r="M1568" s="183">
        <v>3</v>
      </c>
      <c r="N1568" s="95">
        <f t="shared" si="363"/>
        <v>163.68</v>
      </c>
      <c r="O1568" s="95">
        <f t="shared" si="364"/>
        <v>163.68</v>
      </c>
      <c r="P1568" s="94">
        <f t="shared" si="365"/>
        <v>0</v>
      </c>
      <c r="Q1568" s="95">
        <f t="shared" si="366"/>
        <v>0</v>
      </c>
      <c r="R1568" s="96"/>
      <c r="S1568" s="97">
        <f t="shared" si="367"/>
        <v>3</v>
      </c>
      <c r="T1568" s="98">
        <f t="shared" si="362"/>
        <v>0</v>
      </c>
      <c r="U1568">
        <v>3</v>
      </c>
    </row>
    <row r="1569" spans="2:21" ht="20.100000000000001" customHeight="1">
      <c r="B1569" s="88">
        <v>12</v>
      </c>
      <c r="C1569" s="89" t="s">
        <v>3484</v>
      </c>
      <c r="D1569" s="90" t="s">
        <v>3507</v>
      </c>
      <c r="E1569" s="91" t="s">
        <v>3508</v>
      </c>
      <c r="F1569" s="315">
        <v>16.350000000000001</v>
      </c>
      <c r="G1569" s="260">
        <v>5</v>
      </c>
      <c r="H1569" s="260"/>
      <c r="I1569" s="309"/>
      <c r="J1569" s="199">
        <v>5</v>
      </c>
      <c r="K1569" s="269"/>
      <c r="L1569" s="93">
        <f t="shared" si="368"/>
        <v>0</v>
      </c>
      <c r="M1569" s="183"/>
      <c r="N1569" s="95">
        <f t="shared" si="363"/>
        <v>0</v>
      </c>
      <c r="O1569" s="95">
        <f t="shared" si="364"/>
        <v>0</v>
      </c>
      <c r="P1569" s="94">
        <f t="shared" si="365"/>
        <v>0</v>
      </c>
      <c r="Q1569" s="95">
        <f t="shared" si="366"/>
        <v>0</v>
      </c>
      <c r="R1569" s="96"/>
      <c r="S1569" s="97">
        <f t="shared" si="367"/>
        <v>13</v>
      </c>
      <c r="T1569" s="98">
        <f t="shared" si="362"/>
        <v>-13</v>
      </c>
      <c r="U1569">
        <v>13</v>
      </c>
    </row>
    <row r="1570" spans="2:21" ht="20.100000000000001" customHeight="1">
      <c r="B1570" s="88">
        <v>12</v>
      </c>
      <c r="C1570" s="89" t="s">
        <v>3484</v>
      </c>
      <c r="D1570" s="90" t="s">
        <v>3509</v>
      </c>
      <c r="E1570" s="91" t="s">
        <v>3510</v>
      </c>
      <c r="F1570" s="315">
        <v>16.350000000000001</v>
      </c>
      <c r="G1570" s="260">
        <v>7</v>
      </c>
      <c r="H1570" s="260"/>
      <c r="I1570" s="309"/>
      <c r="J1570" s="199">
        <v>7</v>
      </c>
      <c r="K1570" s="269"/>
      <c r="L1570" s="93">
        <f t="shared" si="368"/>
        <v>0</v>
      </c>
      <c r="M1570" s="183"/>
      <c r="N1570" s="95">
        <f t="shared" si="363"/>
        <v>0</v>
      </c>
      <c r="O1570" s="95">
        <f t="shared" si="364"/>
        <v>0</v>
      </c>
      <c r="P1570" s="94">
        <f t="shared" si="365"/>
        <v>0</v>
      </c>
      <c r="Q1570" s="95">
        <f t="shared" si="366"/>
        <v>0</v>
      </c>
      <c r="R1570" s="96"/>
      <c r="S1570" s="97">
        <f t="shared" si="367"/>
        <v>11</v>
      </c>
      <c r="T1570" s="98">
        <f t="shared" si="362"/>
        <v>-11</v>
      </c>
      <c r="U1570">
        <v>11</v>
      </c>
    </row>
    <row r="1571" spans="2:21" ht="20.100000000000001" customHeight="1">
      <c r="B1571" s="88">
        <v>12</v>
      </c>
      <c r="C1571" s="89" t="s">
        <v>3484</v>
      </c>
      <c r="D1571" s="90" t="s">
        <v>3511</v>
      </c>
      <c r="E1571" s="91" t="s">
        <v>3512</v>
      </c>
      <c r="F1571" s="315">
        <v>9.2799999999999994</v>
      </c>
      <c r="G1571" s="260"/>
      <c r="H1571" s="260"/>
      <c r="I1571" s="309">
        <v>30</v>
      </c>
      <c r="J1571" s="199"/>
      <c r="K1571" s="269">
        <v>3</v>
      </c>
      <c r="L1571" s="93">
        <f t="shared" si="368"/>
        <v>27</v>
      </c>
      <c r="M1571" s="183">
        <v>27</v>
      </c>
      <c r="N1571" s="95">
        <f t="shared" si="363"/>
        <v>250.55999999999997</v>
      </c>
      <c r="O1571" s="95">
        <f t="shared" si="364"/>
        <v>250.55999999999997</v>
      </c>
      <c r="P1571" s="94">
        <f t="shared" si="365"/>
        <v>0</v>
      </c>
      <c r="Q1571" s="95">
        <f t="shared" si="366"/>
        <v>0</v>
      </c>
      <c r="R1571" s="96"/>
      <c r="S1571" s="97">
        <f t="shared" si="367"/>
        <v>20</v>
      </c>
      <c r="T1571" s="98">
        <f t="shared" si="362"/>
        <v>7</v>
      </c>
      <c r="U1571">
        <v>20</v>
      </c>
    </row>
    <row r="1572" spans="2:21" ht="20.100000000000001" customHeight="1">
      <c r="B1572" s="88">
        <v>12</v>
      </c>
      <c r="C1572" s="89" t="s">
        <v>3484</v>
      </c>
      <c r="D1572" s="90" t="s">
        <v>3513</v>
      </c>
      <c r="E1572" s="91" t="s">
        <v>3514</v>
      </c>
      <c r="F1572" s="315">
        <v>135.44999999999999</v>
      </c>
      <c r="G1572" s="260">
        <v>2</v>
      </c>
      <c r="H1572" s="260"/>
      <c r="I1572" s="309"/>
      <c r="J1572" s="199">
        <v>1</v>
      </c>
      <c r="K1572" s="269"/>
      <c r="L1572" s="93">
        <f t="shared" si="368"/>
        <v>1</v>
      </c>
      <c r="M1572" s="183">
        <v>1</v>
      </c>
      <c r="N1572" s="95">
        <f t="shared" si="363"/>
        <v>135.44999999999999</v>
      </c>
      <c r="O1572" s="95">
        <f t="shared" si="364"/>
        <v>135.44999999999999</v>
      </c>
      <c r="P1572" s="94">
        <f t="shared" si="365"/>
        <v>0</v>
      </c>
      <c r="Q1572" s="95">
        <f t="shared" si="366"/>
        <v>0</v>
      </c>
      <c r="R1572" s="96"/>
      <c r="S1572" s="97">
        <f t="shared" si="367"/>
        <v>1</v>
      </c>
      <c r="T1572" s="98">
        <f t="shared" si="362"/>
        <v>0</v>
      </c>
      <c r="U1572">
        <v>1</v>
      </c>
    </row>
    <row r="1573" spans="2:21" ht="20.100000000000001" customHeight="1">
      <c r="B1573" s="88">
        <v>12</v>
      </c>
      <c r="C1573" s="89" t="s">
        <v>3484</v>
      </c>
      <c r="D1573" s="90" t="s">
        <v>3515</v>
      </c>
      <c r="E1573" s="91" t="s">
        <v>3516</v>
      </c>
      <c r="F1573" s="315">
        <v>18.2</v>
      </c>
      <c r="G1573" s="260">
        <v>8</v>
      </c>
      <c r="H1573" s="260"/>
      <c r="I1573" s="309"/>
      <c r="J1573" s="199">
        <v>8</v>
      </c>
      <c r="K1573" s="269"/>
      <c r="L1573" s="93">
        <f t="shared" si="368"/>
        <v>0</v>
      </c>
      <c r="M1573" s="183"/>
      <c r="N1573" s="95">
        <f t="shared" si="363"/>
        <v>0</v>
      </c>
      <c r="O1573" s="95">
        <f t="shared" si="364"/>
        <v>0</v>
      </c>
      <c r="P1573" s="94">
        <f t="shared" si="365"/>
        <v>0</v>
      </c>
      <c r="Q1573" s="95">
        <f t="shared" si="366"/>
        <v>0</v>
      </c>
      <c r="R1573" s="96"/>
      <c r="S1573" s="97">
        <f t="shared" si="367"/>
        <v>8</v>
      </c>
      <c r="T1573" s="98">
        <f t="shared" si="362"/>
        <v>-8</v>
      </c>
      <c r="U1573">
        <v>8</v>
      </c>
    </row>
    <row r="1574" spans="2:21" ht="20.100000000000001" customHeight="1">
      <c r="B1574" s="88">
        <v>12</v>
      </c>
      <c r="C1574" s="89" t="s">
        <v>3484</v>
      </c>
      <c r="D1574" s="90" t="s">
        <v>3517</v>
      </c>
      <c r="E1574" s="91" t="s">
        <v>3518</v>
      </c>
      <c r="F1574" s="315">
        <v>20.399999999999999</v>
      </c>
      <c r="G1574" s="260">
        <v>45</v>
      </c>
      <c r="H1574" s="260"/>
      <c r="I1574" s="309">
        <v>24</v>
      </c>
      <c r="J1574" s="199">
        <v>29</v>
      </c>
      <c r="K1574" s="269">
        <v>6</v>
      </c>
      <c r="L1574" s="93">
        <f t="shared" si="368"/>
        <v>34</v>
      </c>
      <c r="M1574" s="183">
        <v>34</v>
      </c>
      <c r="N1574" s="95">
        <f t="shared" si="363"/>
        <v>693.59999999999991</v>
      </c>
      <c r="O1574" s="95">
        <f t="shared" si="364"/>
        <v>693.59999999999991</v>
      </c>
      <c r="P1574" s="94">
        <f t="shared" si="365"/>
        <v>0</v>
      </c>
      <c r="Q1574" s="95">
        <f t="shared" si="366"/>
        <v>0</v>
      </c>
      <c r="R1574" s="96"/>
      <c r="S1574" s="97">
        <f t="shared" si="367"/>
        <v>0</v>
      </c>
      <c r="T1574" s="98">
        <f t="shared" si="362"/>
        <v>34</v>
      </c>
    </row>
    <row r="1575" spans="2:21" ht="20.100000000000001" customHeight="1">
      <c r="B1575" s="88">
        <v>12</v>
      </c>
      <c r="C1575" s="89" t="s">
        <v>3484</v>
      </c>
      <c r="D1575" s="90" t="s">
        <v>3519</v>
      </c>
      <c r="E1575" s="91" t="s">
        <v>3520</v>
      </c>
      <c r="F1575" s="315">
        <v>20.399999999999999</v>
      </c>
      <c r="G1575" s="260">
        <v>45</v>
      </c>
      <c r="H1575" s="260"/>
      <c r="I1575" s="309">
        <v>24</v>
      </c>
      <c r="J1575" s="199">
        <v>6</v>
      </c>
      <c r="K1575" s="269">
        <v>9</v>
      </c>
      <c r="L1575" s="93">
        <f t="shared" si="368"/>
        <v>54</v>
      </c>
      <c r="M1575" s="183">
        <v>54</v>
      </c>
      <c r="N1575" s="95">
        <f t="shared" si="363"/>
        <v>1101.5999999999999</v>
      </c>
      <c r="O1575" s="95">
        <f t="shared" si="364"/>
        <v>1101.5999999999999</v>
      </c>
      <c r="P1575" s="94">
        <f t="shared" si="365"/>
        <v>0</v>
      </c>
      <c r="Q1575" s="95">
        <f t="shared" si="366"/>
        <v>0</v>
      </c>
      <c r="R1575" s="96"/>
      <c r="S1575" s="97">
        <f t="shared" si="367"/>
        <v>0</v>
      </c>
      <c r="T1575" s="98">
        <f t="shared" si="362"/>
        <v>54</v>
      </c>
    </row>
    <row r="1576" spans="2:21" ht="20.100000000000001" customHeight="1">
      <c r="B1576" s="88">
        <v>12</v>
      </c>
      <c r="C1576" s="89" t="s">
        <v>3484</v>
      </c>
      <c r="D1576" s="90" t="s">
        <v>3521</v>
      </c>
      <c r="E1576" s="91" t="s">
        <v>3522</v>
      </c>
      <c r="F1576" s="315">
        <v>27.3</v>
      </c>
      <c r="G1576" s="260">
        <v>24</v>
      </c>
      <c r="H1576" s="260"/>
      <c r="I1576" s="309">
        <v>24</v>
      </c>
      <c r="J1576" s="199">
        <v>20</v>
      </c>
      <c r="K1576" s="269">
        <v>1</v>
      </c>
      <c r="L1576" s="93">
        <f t="shared" si="368"/>
        <v>27</v>
      </c>
      <c r="M1576" s="183">
        <v>27</v>
      </c>
      <c r="N1576" s="95">
        <f t="shared" ref="N1576:N1641" si="369">F1576*L1576</f>
        <v>737.1</v>
      </c>
      <c r="O1576" s="95">
        <f t="shared" ref="O1576:O1641" si="370">M1576*F1576</f>
        <v>737.1</v>
      </c>
      <c r="P1576" s="94">
        <f t="shared" ref="P1576:P1641" si="371">L1576-M1576</f>
        <v>0</v>
      </c>
      <c r="Q1576" s="95">
        <f t="shared" ref="Q1576:Q1641" si="372">N1576-O1576</f>
        <v>0</v>
      </c>
      <c r="R1576" s="96"/>
      <c r="S1576" s="97">
        <f t="shared" ref="S1576:S1641" si="373">U1576+Y1576+W1576+AA1576</f>
        <v>0</v>
      </c>
      <c r="T1576" s="98">
        <f t="shared" ref="T1576:T1640" si="374">M1576-S1576</f>
        <v>27</v>
      </c>
    </row>
    <row r="1577" spans="2:21" ht="20.100000000000001" customHeight="1">
      <c r="B1577" s="88">
        <v>12</v>
      </c>
      <c r="C1577" s="89" t="s">
        <v>3484</v>
      </c>
      <c r="D1577" s="90" t="s">
        <v>3523</v>
      </c>
      <c r="E1577" s="91" t="s">
        <v>3524</v>
      </c>
      <c r="F1577" s="315">
        <v>27.3</v>
      </c>
      <c r="G1577" s="260"/>
      <c r="H1577" s="260"/>
      <c r="I1577" s="309"/>
      <c r="J1577" s="199"/>
      <c r="K1577" s="269"/>
      <c r="L1577" s="93">
        <f t="shared" si="368"/>
        <v>0</v>
      </c>
      <c r="M1577" s="183"/>
      <c r="N1577" s="95">
        <f t="shared" si="369"/>
        <v>0</v>
      </c>
      <c r="O1577" s="95">
        <f t="shared" si="370"/>
        <v>0</v>
      </c>
      <c r="P1577" s="94">
        <f t="shared" si="371"/>
        <v>0</v>
      </c>
      <c r="Q1577" s="95">
        <f t="shared" si="372"/>
        <v>0</v>
      </c>
      <c r="R1577" s="96"/>
      <c r="S1577" s="97">
        <f t="shared" si="373"/>
        <v>0</v>
      </c>
      <c r="T1577" s="98">
        <f t="shared" si="374"/>
        <v>0</v>
      </c>
    </row>
    <row r="1578" spans="2:21" ht="20.100000000000001" customHeight="1">
      <c r="B1578" s="88">
        <v>12</v>
      </c>
      <c r="C1578" s="89" t="s">
        <v>3484</v>
      </c>
      <c r="D1578" s="90" t="s">
        <v>3525</v>
      </c>
      <c r="E1578" s="91" t="s">
        <v>3526</v>
      </c>
      <c r="F1578" s="315">
        <v>27.3</v>
      </c>
      <c r="G1578" s="260">
        <v>39</v>
      </c>
      <c r="H1578" s="260"/>
      <c r="I1578" s="309">
        <v>48</v>
      </c>
      <c r="J1578" s="199">
        <v>14</v>
      </c>
      <c r="K1578" s="269"/>
      <c r="L1578" s="93">
        <f t="shared" si="368"/>
        <v>73</v>
      </c>
      <c r="M1578" s="183">
        <v>73</v>
      </c>
      <c r="N1578" s="95">
        <f t="shared" si="369"/>
        <v>1992.9</v>
      </c>
      <c r="O1578" s="95">
        <f t="shared" si="370"/>
        <v>1992.9</v>
      </c>
      <c r="P1578" s="94">
        <f t="shared" si="371"/>
        <v>0</v>
      </c>
      <c r="Q1578" s="95">
        <f t="shared" si="372"/>
        <v>0</v>
      </c>
      <c r="R1578" s="96"/>
      <c r="S1578" s="97">
        <f t="shared" si="373"/>
        <v>0</v>
      </c>
      <c r="T1578" s="98">
        <f t="shared" si="374"/>
        <v>73</v>
      </c>
    </row>
    <row r="1579" spans="2:21" ht="20.100000000000001" customHeight="1">
      <c r="B1579" s="88">
        <v>12</v>
      </c>
      <c r="C1579" s="89" t="s">
        <v>3484</v>
      </c>
      <c r="D1579" s="90" t="s">
        <v>3525</v>
      </c>
      <c r="E1579" s="91" t="s">
        <v>3526</v>
      </c>
      <c r="F1579" s="315">
        <v>27.3</v>
      </c>
      <c r="G1579" s="260"/>
      <c r="H1579" s="260"/>
      <c r="I1579" s="309"/>
      <c r="J1579" s="199"/>
      <c r="K1579" s="269"/>
      <c r="L1579" s="93">
        <f t="shared" si="368"/>
        <v>0</v>
      </c>
      <c r="M1579" s="183"/>
      <c r="N1579" s="95">
        <f t="shared" si="369"/>
        <v>0</v>
      </c>
      <c r="O1579" s="95">
        <f t="shared" si="370"/>
        <v>0</v>
      </c>
      <c r="P1579" s="94">
        <f t="shared" si="371"/>
        <v>0</v>
      </c>
      <c r="Q1579" s="95">
        <f t="shared" si="372"/>
        <v>0</v>
      </c>
      <c r="R1579" s="96"/>
      <c r="S1579" s="97">
        <f t="shared" si="373"/>
        <v>0</v>
      </c>
      <c r="T1579" s="98">
        <f t="shared" si="374"/>
        <v>0</v>
      </c>
    </row>
    <row r="1580" spans="2:21" ht="20.100000000000001" customHeight="1">
      <c r="B1580" s="88">
        <v>12</v>
      </c>
      <c r="C1580" s="89" t="s">
        <v>3484</v>
      </c>
      <c r="D1580" s="90" t="s">
        <v>3527</v>
      </c>
      <c r="E1580" s="91" t="s">
        <v>3528</v>
      </c>
      <c r="F1580" s="315">
        <v>20.399999999999999</v>
      </c>
      <c r="G1580" s="260">
        <v>48</v>
      </c>
      <c r="H1580" s="260"/>
      <c r="I1580" s="309">
        <v>24</v>
      </c>
      <c r="J1580" s="199">
        <v>16</v>
      </c>
      <c r="K1580" s="269">
        <v>7</v>
      </c>
      <c r="L1580" s="93">
        <f t="shared" si="368"/>
        <v>49</v>
      </c>
      <c r="M1580" s="183">
        <v>49</v>
      </c>
      <c r="N1580" s="95">
        <f t="shared" si="369"/>
        <v>999.59999999999991</v>
      </c>
      <c r="O1580" s="95">
        <f t="shared" si="370"/>
        <v>999.59999999999991</v>
      </c>
      <c r="P1580" s="94">
        <f t="shared" si="371"/>
        <v>0</v>
      </c>
      <c r="Q1580" s="95">
        <f t="shared" si="372"/>
        <v>0</v>
      </c>
      <c r="R1580" s="96"/>
      <c r="S1580" s="97">
        <f t="shared" si="373"/>
        <v>0</v>
      </c>
      <c r="T1580" s="98">
        <f t="shared" si="374"/>
        <v>49</v>
      </c>
    </row>
    <row r="1581" spans="2:21" ht="20.100000000000001" customHeight="1">
      <c r="B1581" s="88">
        <v>12</v>
      </c>
      <c r="C1581" s="89" t="s">
        <v>3484</v>
      </c>
      <c r="D1581" s="90" t="s">
        <v>3529</v>
      </c>
      <c r="E1581" s="91" t="s">
        <v>3530</v>
      </c>
      <c r="F1581" s="315">
        <v>135.44999999999999</v>
      </c>
      <c r="G1581" s="260">
        <v>1</v>
      </c>
      <c r="H1581" s="260"/>
      <c r="I1581" s="309"/>
      <c r="J1581" s="199"/>
      <c r="K1581" s="269"/>
      <c r="L1581" s="93">
        <f t="shared" si="368"/>
        <v>1</v>
      </c>
      <c r="M1581" s="183">
        <v>1</v>
      </c>
      <c r="N1581" s="95">
        <f t="shared" si="369"/>
        <v>135.44999999999999</v>
      </c>
      <c r="O1581" s="95">
        <f t="shared" si="370"/>
        <v>135.44999999999999</v>
      </c>
      <c r="P1581" s="94">
        <f t="shared" si="371"/>
        <v>0</v>
      </c>
      <c r="Q1581" s="95">
        <f t="shared" si="372"/>
        <v>0</v>
      </c>
      <c r="R1581" s="96"/>
      <c r="S1581" s="97">
        <f t="shared" si="373"/>
        <v>0</v>
      </c>
      <c r="T1581" s="98">
        <f t="shared" si="374"/>
        <v>1</v>
      </c>
    </row>
    <row r="1582" spans="2:21" ht="20.100000000000001" customHeight="1">
      <c r="B1582" s="88">
        <v>12</v>
      </c>
      <c r="C1582" s="89" t="s">
        <v>3484</v>
      </c>
      <c r="D1582" s="90" t="s">
        <v>3529</v>
      </c>
      <c r="E1582" s="91" t="s">
        <v>3530</v>
      </c>
      <c r="F1582" s="315">
        <v>135.44999999999999</v>
      </c>
      <c r="G1582" s="260"/>
      <c r="H1582" s="260"/>
      <c r="I1582" s="309"/>
      <c r="J1582" s="199"/>
      <c r="K1582" s="269"/>
      <c r="L1582" s="93">
        <f t="shared" si="368"/>
        <v>0</v>
      </c>
      <c r="M1582" s="183"/>
      <c r="N1582" s="95">
        <f t="shared" si="369"/>
        <v>0</v>
      </c>
      <c r="O1582" s="95">
        <f t="shared" si="370"/>
        <v>0</v>
      </c>
      <c r="P1582" s="94">
        <f t="shared" si="371"/>
        <v>0</v>
      </c>
      <c r="Q1582" s="95">
        <f t="shared" si="372"/>
        <v>0</v>
      </c>
      <c r="R1582" s="96"/>
      <c r="S1582" s="97">
        <f t="shared" si="373"/>
        <v>0</v>
      </c>
      <c r="T1582" s="98">
        <f t="shared" si="374"/>
        <v>0</v>
      </c>
    </row>
    <row r="1583" spans="2:21" ht="20.100000000000001" customHeight="1">
      <c r="B1583" s="88">
        <v>12</v>
      </c>
      <c r="C1583" s="89" t="s">
        <v>3484</v>
      </c>
      <c r="D1583" s="90" t="s">
        <v>3529</v>
      </c>
      <c r="E1583" s="91" t="s">
        <v>3530</v>
      </c>
      <c r="F1583" s="315">
        <v>135.44999999999999</v>
      </c>
      <c r="G1583" s="260"/>
      <c r="H1583" s="260"/>
      <c r="I1583" s="309"/>
      <c r="J1583" s="199"/>
      <c r="K1583" s="269"/>
      <c r="L1583" s="93">
        <f t="shared" si="368"/>
        <v>0</v>
      </c>
      <c r="M1583" s="183"/>
      <c r="N1583" s="95">
        <f t="shared" si="369"/>
        <v>0</v>
      </c>
      <c r="O1583" s="95">
        <f t="shared" si="370"/>
        <v>0</v>
      </c>
      <c r="P1583" s="94">
        <f t="shared" si="371"/>
        <v>0</v>
      </c>
      <c r="Q1583" s="95">
        <f t="shared" si="372"/>
        <v>0</v>
      </c>
      <c r="R1583" s="96"/>
      <c r="S1583" s="97">
        <f t="shared" si="373"/>
        <v>0</v>
      </c>
      <c r="T1583" s="98">
        <f t="shared" si="374"/>
        <v>0</v>
      </c>
    </row>
    <row r="1584" spans="2:21" ht="20.100000000000001" customHeight="1">
      <c r="B1584" s="88">
        <v>12</v>
      </c>
      <c r="C1584" s="89" t="s">
        <v>3484</v>
      </c>
      <c r="D1584" s="90" t="s">
        <v>3531</v>
      </c>
      <c r="E1584" s="91" t="s">
        <v>3532</v>
      </c>
      <c r="F1584" s="315">
        <v>18.559999999999999</v>
      </c>
      <c r="G1584" s="260">
        <v>6</v>
      </c>
      <c r="H1584" s="260"/>
      <c r="I1584" s="309">
        <v>16</v>
      </c>
      <c r="J1584" s="199"/>
      <c r="K1584" s="269">
        <v>2</v>
      </c>
      <c r="L1584" s="93">
        <f t="shared" si="368"/>
        <v>20</v>
      </c>
      <c r="M1584" s="183">
        <v>20</v>
      </c>
      <c r="N1584" s="95">
        <f t="shared" si="369"/>
        <v>371.2</v>
      </c>
      <c r="O1584" s="95">
        <f t="shared" si="370"/>
        <v>371.2</v>
      </c>
      <c r="P1584" s="94">
        <f t="shared" si="371"/>
        <v>0</v>
      </c>
      <c r="Q1584" s="95">
        <f t="shared" si="372"/>
        <v>0</v>
      </c>
      <c r="R1584" s="96"/>
      <c r="S1584" s="97">
        <f t="shared" si="373"/>
        <v>0</v>
      </c>
      <c r="T1584" s="98">
        <f t="shared" si="374"/>
        <v>20</v>
      </c>
    </row>
    <row r="1585" spans="2:20" ht="20.100000000000001" customHeight="1">
      <c r="B1585" s="88">
        <v>12</v>
      </c>
      <c r="C1585" s="89" t="s">
        <v>3484</v>
      </c>
      <c r="D1585" s="90" t="s">
        <v>3533</v>
      </c>
      <c r="E1585" s="91" t="s">
        <v>3534</v>
      </c>
      <c r="F1585" s="315">
        <v>18.2</v>
      </c>
      <c r="G1585" s="260">
        <v>9</v>
      </c>
      <c r="H1585" s="260"/>
      <c r="I1585" s="309"/>
      <c r="J1585" s="199"/>
      <c r="K1585" s="269">
        <v>4</v>
      </c>
      <c r="L1585" s="93">
        <f t="shared" si="368"/>
        <v>5</v>
      </c>
      <c r="M1585" s="183">
        <v>5</v>
      </c>
      <c r="N1585" s="95">
        <f t="shared" si="369"/>
        <v>91</v>
      </c>
      <c r="O1585" s="95">
        <f t="shared" si="370"/>
        <v>91</v>
      </c>
      <c r="P1585" s="94">
        <f t="shared" si="371"/>
        <v>0</v>
      </c>
      <c r="Q1585" s="95">
        <f t="shared" si="372"/>
        <v>0</v>
      </c>
      <c r="R1585" s="96"/>
      <c r="S1585" s="97">
        <f t="shared" si="373"/>
        <v>0</v>
      </c>
      <c r="T1585" s="98">
        <f t="shared" si="374"/>
        <v>5</v>
      </c>
    </row>
    <row r="1586" spans="2:20" ht="20.100000000000001" customHeight="1">
      <c r="B1586" s="88">
        <v>12</v>
      </c>
      <c r="C1586" s="89" t="s">
        <v>3484</v>
      </c>
      <c r="D1586" s="90" t="s">
        <v>3535</v>
      </c>
      <c r="E1586" s="91" t="s">
        <v>3536</v>
      </c>
      <c r="F1586" s="315">
        <v>9.1</v>
      </c>
      <c r="G1586" s="260"/>
      <c r="H1586" s="260"/>
      <c r="I1586" s="309"/>
      <c r="J1586" s="199"/>
      <c r="K1586" s="269"/>
      <c r="L1586" s="93">
        <f t="shared" ref="L1586:L1649" si="375">G1586+I1586-J1586-K1586+H1586</f>
        <v>0</v>
      </c>
      <c r="M1586" s="183"/>
      <c r="N1586" s="95">
        <f t="shared" si="369"/>
        <v>0</v>
      </c>
      <c r="O1586" s="95">
        <f t="shared" si="370"/>
        <v>0</v>
      </c>
      <c r="P1586" s="94">
        <f t="shared" si="371"/>
        <v>0</v>
      </c>
      <c r="Q1586" s="95">
        <f t="shared" si="372"/>
        <v>0</v>
      </c>
      <c r="R1586" s="96"/>
      <c r="S1586" s="97">
        <f t="shared" si="373"/>
        <v>0</v>
      </c>
      <c r="T1586" s="98">
        <f t="shared" si="374"/>
        <v>0</v>
      </c>
    </row>
    <row r="1587" spans="2:20" ht="20.100000000000001" customHeight="1">
      <c r="B1587" s="88">
        <v>12</v>
      </c>
      <c r="C1587" s="89" t="s">
        <v>3484</v>
      </c>
      <c r="D1587" s="90" t="s">
        <v>3537</v>
      </c>
      <c r="E1587" s="91" t="s">
        <v>3538</v>
      </c>
      <c r="F1587" s="315">
        <v>23.15</v>
      </c>
      <c r="G1587" s="260">
        <v>27</v>
      </c>
      <c r="H1587" s="260"/>
      <c r="I1587" s="309">
        <v>16</v>
      </c>
      <c r="J1587" s="199"/>
      <c r="K1587" s="269">
        <v>4</v>
      </c>
      <c r="L1587" s="93">
        <f t="shared" si="375"/>
        <v>39</v>
      </c>
      <c r="M1587" s="183">
        <v>39</v>
      </c>
      <c r="N1587" s="95">
        <f t="shared" si="369"/>
        <v>902.84999999999991</v>
      </c>
      <c r="O1587" s="95">
        <f t="shared" si="370"/>
        <v>902.84999999999991</v>
      </c>
      <c r="P1587" s="94">
        <f t="shared" si="371"/>
        <v>0</v>
      </c>
      <c r="Q1587" s="95">
        <f t="shared" si="372"/>
        <v>0</v>
      </c>
      <c r="R1587" s="96"/>
      <c r="S1587" s="97">
        <f t="shared" si="373"/>
        <v>0</v>
      </c>
      <c r="T1587" s="98">
        <f t="shared" si="374"/>
        <v>39</v>
      </c>
    </row>
    <row r="1588" spans="2:20" ht="20.100000000000001" customHeight="1">
      <c r="B1588" s="88">
        <v>12</v>
      </c>
      <c r="C1588" s="89" t="s">
        <v>3484</v>
      </c>
      <c r="D1588" s="90" t="s">
        <v>3539</v>
      </c>
      <c r="E1588" s="91" t="s">
        <v>3540</v>
      </c>
      <c r="F1588" s="315">
        <v>250</v>
      </c>
      <c r="G1588" s="260">
        <v>1</v>
      </c>
      <c r="H1588" s="260"/>
      <c r="I1588" s="309"/>
      <c r="J1588" s="199"/>
      <c r="K1588" s="269"/>
      <c r="L1588" s="93">
        <f t="shared" si="375"/>
        <v>1</v>
      </c>
      <c r="M1588" s="183">
        <v>1</v>
      </c>
      <c r="N1588" s="95">
        <f t="shared" si="369"/>
        <v>250</v>
      </c>
      <c r="O1588" s="95">
        <f t="shared" si="370"/>
        <v>250</v>
      </c>
      <c r="P1588" s="94">
        <f t="shared" si="371"/>
        <v>0</v>
      </c>
      <c r="Q1588" s="95">
        <f t="shared" si="372"/>
        <v>0</v>
      </c>
      <c r="R1588" s="96"/>
      <c r="S1588" s="97">
        <f t="shared" si="373"/>
        <v>0</v>
      </c>
      <c r="T1588" s="98">
        <f t="shared" si="374"/>
        <v>1</v>
      </c>
    </row>
    <row r="1589" spans="2:20" ht="20.100000000000001" customHeight="1">
      <c r="B1589" s="88">
        <v>12</v>
      </c>
      <c r="C1589" s="89" t="s">
        <v>3484</v>
      </c>
      <c r="D1589" s="90" t="s">
        <v>3541</v>
      </c>
      <c r="E1589" s="91" t="s">
        <v>3542</v>
      </c>
      <c r="F1589" s="315">
        <v>115.88</v>
      </c>
      <c r="G1589" s="260">
        <v>1</v>
      </c>
      <c r="H1589" s="260"/>
      <c r="I1589" s="309">
        <v>2</v>
      </c>
      <c r="J1589" s="199"/>
      <c r="K1589" s="269"/>
      <c r="L1589" s="93">
        <f t="shared" si="375"/>
        <v>3</v>
      </c>
      <c r="M1589" s="183">
        <v>3</v>
      </c>
      <c r="N1589" s="95">
        <f t="shared" si="369"/>
        <v>347.64</v>
      </c>
      <c r="O1589" s="95">
        <f t="shared" si="370"/>
        <v>347.64</v>
      </c>
      <c r="P1589" s="94">
        <f t="shared" si="371"/>
        <v>0</v>
      </c>
      <c r="Q1589" s="95">
        <f t="shared" si="372"/>
        <v>0</v>
      </c>
      <c r="R1589" s="96"/>
      <c r="S1589" s="97">
        <f t="shared" si="373"/>
        <v>0</v>
      </c>
      <c r="T1589" s="98">
        <f t="shared" si="374"/>
        <v>3</v>
      </c>
    </row>
    <row r="1590" spans="2:20" ht="20.100000000000001" customHeight="1">
      <c r="B1590" s="88">
        <v>12</v>
      </c>
      <c r="C1590" s="89" t="s">
        <v>3484</v>
      </c>
      <c r="D1590" s="90" t="s">
        <v>3543</v>
      </c>
      <c r="E1590" s="91" t="s">
        <v>3544</v>
      </c>
      <c r="F1590" s="315">
        <v>250</v>
      </c>
      <c r="G1590" s="260">
        <v>1</v>
      </c>
      <c r="H1590" s="260"/>
      <c r="I1590" s="309"/>
      <c r="J1590" s="199"/>
      <c r="K1590" s="269"/>
      <c r="L1590" s="93">
        <f t="shared" si="375"/>
        <v>1</v>
      </c>
      <c r="M1590" s="183">
        <v>1</v>
      </c>
      <c r="N1590" s="95">
        <f t="shared" si="369"/>
        <v>250</v>
      </c>
      <c r="O1590" s="95">
        <f t="shared" si="370"/>
        <v>250</v>
      </c>
      <c r="P1590" s="94">
        <f t="shared" si="371"/>
        <v>0</v>
      </c>
      <c r="Q1590" s="95">
        <f t="shared" si="372"/>
        <v>0</v>
      </c>
      <c r="R1590" s="96"/>
      <c r="S1590" s="97">
        <f t="shared" si="373"/>
        <v>0</v>
      </c>
      <c r="T1590" s="98">
        <f t="shared" si="374"/>
        <v>1</v>
      </c>
    </row>
    <row r="1591" spans="2:20" ht="20.100000000000001" customHeight="1">
      <c r="B1591" s="88">
        <v>12</v>
      </c>
      <c r="C1591" s="89" t="s">
        <v>3484</v>
      </c>
      <c r="D1591" s="90" t="s">
        <v>4155</v>
      </c>
      <c r="E1591" s="91" t="s">
        <v>4131</v>
      </c>
      <c r="F1591" s="315">
        <v>115.87</v>
      </c>
      <c r="G1591" s="260">
        <v>2</v>
      </c>
      <c r="H1591" s="260"/>
      <c r="I1591" s="309">
        <v>2</v>
      </c>
      <c r="J1591" s="199"/>
      <c r="K1591" s="269">
        <v>1</v>
      </c>
      <c r="L1591" s="93">
        <f t="shared" si="375"/>
        <v>3</v>
      </c>
      <c r="M1591" s="183">
        <v>3</v>
      </c>
      <c r="N1591" s="95">
        <f t="shared" ref="N1591" si="376">F1591*L1591</f>
        <v>347.61</v>
      </c>
      <c r="O1591" s="95">
        <f t="shared" ref="O1591" si="377">M1591*F1591</f>
        <v>347.61</v>
      </c>
      <c r="P1591" s="94">
        <f t="shared" ref="P1591" si="378">L1591-M1591</f>
        <v>0</v>
      </c>
      <c r="Q1591" s="95">
        <f t="shared" ref="Q1591" si="379">N1591-O1591</f>
        <v>0</v>
      </c>
      <c r="R1591" s="96"/>
      <c r="S1591" s="97">
        <f t="shared" ref="S1591" si="380">U1591+Y1591+W1591+AA1591</f>
        <v>0</v>
      </c>
      <c r="T1591" s="98">
        <f t="shared" ref="T1591" si="381">M1591-S1591</f>
        <v>3</v>
      </c>
    </row>
    <row r="1592" spans="2:20" ht="20.100000000000001" customHeight="1">
      <c r="B1592" s="88">
        <v>12</v>
      </c>
      <c r="C1592" s="89" t="s">
        <v>3484</v>
      </c>
      <c r="D1592" s="90" t="s">
        <v>3545</v>
      </c>
      <c r="E1592" s="91" t="s">
        <v>3546</v>
      </c>
      <c r="F1592" s="315">
        <v>97.36</v>
      </c>
      <c r="G1592" s="260"/>
      <c r="H1592" s="260"/>
      <c r="I1592" s="309">
        <v>3</v>
      </c>
      <c r="J1592" s="199"/>
      <c r="K1592" s="269">
        <v>1</v>
      </c>
      <c r="L1592" s="93">
        <f t="shared" si="375"/>
        <v>2</v>
      </c>
      <c r="M1592" s="183">
        <v>2</v>
      </c>
      <c r="N1592" s="95">
        <f t="shared" si="369"/>
        <v>194.72</v>
      </c>
      <c r="O1592" s="95">
        <f t="shared" si="370"/>
        <v>194.72</v>
      </c>
      <c r="P1592" s="94">
        <f t="shared" si="371"/>
        <v>0</v>
      </c>
      <c r="Q1592" s="95">
        <f t="shared" si="372"/>
        <v>0</v>
      </c>
      <c r="R1592" s="96"/>
      <c r="S1592" s="97">
        <f t="shared" si="373"/>
        <v>0</v>
      </c>
      <c r="T1592" s="98">
        <f t="shared" si="374"/>
        <v>2</v>
      </c>
    </row>
    <row r="1593" spans="2:20" ht="20.100000000000001" customHeight="1">
      <c r="B1593" s="88">
        <v>12</v>
      </c>
      <c r="C1593" s="89" t="s">
        <v>3484</v>
      </c>
      <c r="D1593" s="90" t="s">
        <v>3545</v>
      </c>
      <c r="E1593" s="91" t="s">
        <v>3546</v>
      </c>
      <c r="F1593" s="315">
        <v>95.45</v>
      </c>
      <c r="G1593" s="260"/>
      <c r="H1593" s="260"/>
      <c r="I1593" s="309"/>
      <c r="J1593" s="199"/>
      <c r="K1593" s="269"/>
      <c r="L1593" s="93">
        <f t="shared" si="375"/>
        <v>0</v>
      </c>
      <c r="M1593" s="183"/>
      <c r="N1593" s="95">
        <f t="shared" si="369"/>
        <v>0</v>
      </c>
      <c r="O1593" s="95">
        <f t="shared" si="370"/>
        <v>0</v>
      </c>
      <c r="P1593" s="94">
        <f t="shared" si="371"/>
        <v>0</v>
      </c>
      <c r="Q1593" s="95">
        <f t="shared" si="372"/>
        <v>0</v>
      </c>
      <c r="R1593" s="96"/>
      <c r="S1593" s="97">
        <f t="shared" si="373"/>
        <v>0</v>
      </c>
      <c r="T1593" s="98">
        <f t="shared" si="374"/>
        <v>0</v>
      </c>
    </row>
    <row r="1594" spans="2:20" ht="20.100000000000001" customHeight="1">
      <c r="B1594" s="88">
        <v>12</v>
      </c>
      <c r="C1594" s="89" t="s">
        <v>3484</v>
      </c>
      <c r="D1594" s="90" t="s">
        <v>3547</v>
      </c>
      <c r="E1594" s="91" t="s">
        <v>3548</v>
      </c>
      <c r="F1594" s="315">
        <v>97.36</v>
      </c>
      <c r="G1594" s="260"/>
      <c r="H1594" s="260"/>
      <c r="I1594" s="309">
        <v>3</v>
      </c>
      <c r="J1594" s="199"/>
      <c r="K1594" s="269">
        <v>1</v>
      </c>
      <c r="L1594" s="93">
        <f t="shared" si="375"/>
        <v>2</v>
      </c>
      <c r="M1594" s="183">
        <v>2</v>
      </c>
      <c r="N1594" s="95">
        <f t="shared" si="369"/>
        <v>194.72</v>
      </c>
      <c r="O1594" s="95">
        <f t="shared" si="370"/>
        <v>194.72</v>
      </c>
      <c r="P1594" s="94">
        <f t="shared" si="371"/>
        <v>0</v>
      </c>
      <c r="Q1594" s="95">
        <f t="shared" si="372"/>
        <v>0</v>
      </c>
      <c r="R1594" s="96"/>
      <c r="S1594" s="97">
        <f t="shared" si="373"/>
        <v>0</v>
      </c>
      <c r="T1594" s="98">
        <f t="shared" si="374"/>
        <v>2</v>
      </c>
    </row>
    <row r="1595" spans="2:20" ht="20.100000000000001" customHeight="1">
      <c r="B1595" s="88">
        <v>12</v>
      </c>
      <c r="C1595" s="89" t="s">
        <v>3484</v>
      </c>
      <c r="D1595" s="90" t="s">
        <v>3549</v>
      </c>
      <c r="E1595" s="91" t="s">
        <v>3550</v>
      </c>
      <c r="F1595" s="315">
        <v>97.36</v>
      </c>
      <c r="G1595" s="260"/>
      <c r="H1595" s="260"/>
      <c r="I1595" s="309">
        <v>3</v>
      </c>
      <c r="J1595" s="199"/>
      <c r="K1595" s="269"/>
      <c r="L1595" s="93">
        <f t="shared" si="375"/>
        <v>3</v>
      </c>
      <c r="M1595" s="183">
        <v>3</v>
      </c>
      <c r="N1595" s="95">
        <f t="shared" si="369"/>
        <v>292.08</v>
      </c>
      <c r="O1595" s="95">
        <f t="shared" si="370"/>
        <v>292.08</v>
      </c>
      <c r="P1595" s="94">
        <f t="shared" si="371"/>
        <v>0</v>
      </c>
      <c r="Q1595" s="95">
        <f t="shared" si="372"/>
        <v>0</v>
      </c>
      <c r="R1595" s="96"/>
      <c r="S1595" s="97">
        <f t="shared" si="373"/>
        <v>0</v>
      </c>
      <c r="T1595" s="98">
        <f t="shared" si="374"/>
        <v>3</v>
      </c>
    </row>
    <row r="1596" spans="2:20" ht="20.100000000000001" customHeight="1">
      <c r="B1596" s="88">
        <v>12</v>
      </c>
      <c r="C1596" s="89" t="s">
        <v>3484</v>
      </c>
      <c r="D1596" s="90" t="s">
        <v>4993</v>
      </c>
      <c r="E1596" s="91" t="s">
        <v>4980</v>
      </c>
      <c r="F1596" s="315">
        <v>97.36</v>
      </c>
      <c r="G1596" s="260"/>
      <c r="H1596" s="260"/>
      <c r="I1596" s="309">
        <v>2</v>
      </c>
      <c r="J1596" s="199"/>
      <c r="K1596" s="269"/>
      <c r="L1596" s="93">
        <f t="shared" si="375"/>
        <v>2</v>
      </c>
      <c r="M1596" s="183">
        <v>2</v>
      </c>
      <c r="N1596" s="95">
        <f t="shared" ref="N1596:N1597" si="382">F1596*L1596</f>
        <v>194.72</v>
      </c>
      <c r="O1596" s="95">
        <f t="shared" ref="O1596:O1597" si="383">M1596*F1596</f>
        <v>194.72</v>
      </c>
      <c r="P1596" s="94">
        <f t="shared" ref="P1596:P1597" si="384">L1596-M1596</f>
        <v>0</v>
      </c>
      <c r="Q1596" s="95">
        <f t="shared" ref="Q1596:Q1597" si="385">N1596-O1596</f>
        <v>0</v>
      </c>
      <c r="R1596" s="96"/>
      <c r="S1596" s="97">
        <f t="shared" ref="S1596:S1597" si="386">U1596+Y1596+W1596+AA1596</f>
        <v>0</v>
      </c>
      <c r="T1596" s="98">
        <f t="shared" ref="T1596:T1597" si="387">M1596-S1596</f>
        <v>2</v>
      </c>
    </row>
    <row r="1597" spans="2:20" ht="20.100000000000001" customHeight="1">
      <c r="B1597" s="88">
        <v>12</v>
      </c>
      <c r="C1597" s="89" t="s">
        <v>3484</v>
      </c>
      <c r="D1597" s="90" t="s">
        <v>4994</v>
      </c>
      <c r="E1597" s="91" t="s">
        <v>4981</v>
      </c>
      <c r="F1597" s="315">
        <v>115.87</v>
      </c>
      <c r="G1597" s="260"/>
      <c r="H1597" s="260"/>
      <c r="I1597" s="309">
        <v>2</v>
      </c>
      <c r="J1597" s="199"/>
      <c r="K1597" s="269"/>
      <c r="L1597" s="93">
        <f t="shared" si="375"/>
        <v>2</v>
      </c>
      <c r="M1597" s="183">
        <v>2</v>
      </c>
      <c r="N1597" s="95">
        <f t="shared" si="382"/>
        <v>231.74</v>
      </c>
      <c r="O1597" s="95">
        <f t="shared" si="383"/>
        <v>231.74</v>
      </c>
      <c r="P1597" s="94">
        <f t="shared" si="384"/>
        <v>0</v>
      </c>
      <c r="Q1597" s="95">
        <f t="shared" si="385"/>
        <v>0</v>
      </c>
      <c r="R1597" s="96"/>
      <c r="S1597" s="97">
        <f t="shared" si="386"/>
        <v>0</v>
      </c>
      <c r="T1597" s="98">
        <f t="shared" si="387"/>
        <v>2</v>
      </c>
    </row>
    <row r="1598" spans="2:20" ht="20.100000000000001" customHeight="1">
      <c r="B1598" s="88">
        <v>12</v>
      </c>
      <c r="C1598" s="89" t="s">
        <v>3484</v>
      </c>
      <c r="D1598" s="90" t="s">
        <v>3551</v>
      </c>
      <c r="E1598" s="91" t="s">
        <v>3552</v>
      </c>
      <c r="F1598" s="315">
        <v>113.6</v>
      </c>
      <c r="G1598" s="260"/>
      <c r="H1598" s="260"/>
      <c r="I1598" s="309"/>
      <c r="J1598" s="199"/>
      <c r="K1598" s="269"/>
      <c r="L1598" s="93">
        <f t="shared" si="375"/>
        <v>0</v>
      </c>
      <c r="M1598" s="183"/>
      <c r="N1598" s="95">
        <f t="shared" si="369"/>
        <v>0</v>
      </c>
      <c r="O1598" s="95">
        <f t="shared" si="370"/>
        <v>0</v>
      </c>
      <c r="P1598" s="94">
        <f t="shared" si="371"/>
        <v>0</v>
      </c>
      <c r="Q1598" s="95">
        <f t="shared" si="372"/>
        <v>0</v>
      </c>
      <c r="R1598" s="96"/>
      <c r="S1598" s="97">
        <f t="shared" si="373"/>
        <v>0</v>
      </c>
      <c r="T1598" s="98">
        <f t="shared" si="374"/>
        <v>0</v>
      </c>
    </row>
    <row r="1599" spans="2:20" ht="20.100000000000001" customHeight="1">
      <c r="B1599" s="88">
        <v>12</v>
      </c>
      <c r="C1599" s="89" t="s">
        <v>3484</v>
      </c>
      <c r="D1599" s="90" t="s">
        <v>3553</v>
      </c>
      <c r="E1599" s="91" t="s">
        <v>3554</v>
      </c>
      <c r="F1599" s="315">
        <v>250</v>
      </c>
      <c r="G1599" s="260"/>
      <c r="H1599" s="260"/>
      <c r="I1599" s="309"/>
      <c r="J1599" s="199"/>
      <c r="K1599" s="269"/>
      <c r="L1599" s="93">
        <f t="shared" si="375"/>
        <v>0</v>
      </c>
      <c r="M1599" s="183"/>
      <c r="N1599" s="95">
        <f t="shared" si="369"/>
        <v>0</v>
      </c>
      <c r="O1599" s="95">
        <f t="shared" si="370"/>
        <v>0</v>
      </c>
      <c r="P1599" s="94">
        <f t="shared" si="371"/>
        <v>0</v>
      </c>
      <c r="Q1599" s="95">
        <f t="shared" si="372"/>
        <v>0</v>
      </c>
      <c r="R1599" s="96"/>
      <c r="S1599" s="97">
        <f t="shared" si="373"/>
        <v>0</v>
      </c>
      <c r="T1599" s="98">
        <f t="shared" si="374"/>
        <v>0</v>
      </c>
    </row>
    <row r="1600" spans="2:20" ht="20.100000000000001" customHeight="1">
      <c r="B1600" s="88">
        <v>12</v>
      </c>
      <c r="C1600" s="89" t="s">
        <v>3484</v>
      </c>
      <c r="D1600" s="90" t="s">
        <v>3553</v>
      </c>
      <c r="E1600" s="91" t="s">
        <v>3554</v>
      </c>
      <c r="F1600" s="315">
        <v>250</v>
      </c>
      <c r="G1600" s="260"/>
      <c r="H1600" s="260"/>
      <c r="I1600" s="309"/>
      <c r="J1600" s="199"/>
      <c r="K1600" s="269"/>
      <c r="L1600" s="93">
        <f t="shared" si="375"/>
        <v>0</v>
      </c>
      <c r="M1600" s="183"/>
      <c r="N1600" s="95">
        <f t="shared" si="369"/>
        <v>0</v>
      </c>
      <c r="O1600" s="95">
        <f t="shared" si="370"/>
        <v>0</v>
      </c>
      <c r="P1600" s="94">
        <f t="shared" si="371"/>
        <v>0</v>
      </c>
      <c r="Q1600" s="95">
        <f t="shared" si="372"/>
        <v>0</v>
      </c>
      <c r="R1600" s="96"/>
      <c r="S1600" s="97">
        <f t="shared" si="373"/>
        <v>0</v>
      </c>
      <c r="T1600" s="98">
        <f t="shared" si="374"/>
        <v>0</v>
      </c>
    </row>
    <row r="1601" spans="2:20" ht="20.100000000000001" customHeight="1">
      <c r="B1601" s="88">
        <v>12</v>
      </c>
      <c r="C1601" s="89" t="s">
        <v>3484</v>
      </c>
      <c r="D1601" s="90" t="s">
        <v>3555</v>
      </c>
      <c r="E1601" s="91" t="s">
        <v>3556</v>
      </c>
      <c r="F1601" s="315">
        <v>227.51</v>
      </c>
      <c r="G1601" s="260"/>
      <c r="H1601" s="260"/>
      <c r="I1601" s="309"/>
      <c r="J1601" s="199"/>
      <c r="K1601" s="269"/>
      <c r="L1601" s="93">
        <f t="shared" si="375"/>
        <v>0</v>
      </c>
      <c r="M1601" s="183"/>
      <c r="N1601" s="95">
        <f t="shared" si="369"/>
        <v>0</v>
      </c>
      <c r="O1601" s="95">
        <f t="shared" si="370"/>
        <v>0</v>
      </c>
      <c r="P1601" s="94">
        <f t="shared" si="371"/>
        <v>0</v>
      </c>
      <c r="Q1601" s="95">
        <f t="shared" si="372"/>
        <v>0</v>
      </c>
      <c r="R1601" s="96"/>
      <c r="S1601" s="97">
        <f t="shared" si="373"/>
        <v>0</v>
      </c>
      <c r="T1601" s="98">
        <f t="shared" si="374"/>
        <v>0</v>
      </c>
    </row>
    <row r="1602" spans="2:20" ht="20.100000000000001" customHeight="1">
      <c r="B1602" s="88">
        <v>12</v>
      </c>
      <c r="C1602" s="89" t="s">
        <v>3484</v>
      </c>
      <c r="D1602" s="90" t="s">
        <v>3557</v>
      </c>
      <c r="E1602" s="91" t="s">
        <v>3558</v>
      </c>
      <c r="F1602" s="315">
        <v>227.51</v>
      </c>
      <c r="G1602" s="260">
        <v>2</v>
      </c>
      <c r="H1602" s="260"/>
      <c r="I1602" s="309"/>
      <c r="J1602" s="199"/>
      <c r="K1602" s="269"/>
      <c r="L1602" s="93">
        <f t="shared" si="375"/>
        <v>2</v>
      </c>
      <c r="M1602" s="183">
        <v>2</v>
      </c>
      <c r="N1602" s="95">
        <f t="shared" si="369"/>
        <v>455.02</v>
      </c>
      <c r="O1602" s="95">
        <f t="shared" si="370"/>
        <v>455.02</v>
      </c>
      <c r="P1602" s="94">
        <f t="shared" si="371"/>
        <v>0</v>
      </c>
      <c r="Q1602" s="95">
        <f t="shared" si="372"/>
        <v>0</v>
      </c>
      <c r="R1602" s="96"/>
      <c r="S1602" s="97">
        <f t="shared" si="373"/>
        <v>0</v>
      </c>
      <c r="T1602" s="98">
        <f t="shared" si="374"/>
        <v>2</v>
      </c>
    </row>
    <row r="1603" spans="2:20" ht="20.100000000000001" customHeight="1">
      <c r="B1603" s="88">
        <v>12</v>
      </c>
      <c r="C1603" s="89" t="s">
        <v>3484</v>
      </c>
      <c r="D1603" s="90" t="s">
        <v>3557</v>
      </c>
      <c r="E1603" s="91" t="s">
        <v>3558</v>
      </c>
      <c r="F1603" s="315">
        <v>231.8</v>
      </c>
      <c r="G1603" s="260"/>
      <c r="H1603" s="260"/>
      <c r="I1603" s="309"/>
      <c r="J1603" s="199"/>
      <c r="K1603" s="269"/>
      <c r="L1603" s="93">
        <f t="shared" si="375"/>
        <v>0</v>
      </c>
      <c r="M1603" s="183"/>
      <c r="N1603" s="95">
        <f t="shared" si="369"/>
        <v>0</v>
      </c>
      <c r="O1603" s="95">
        <f t="shared" si="370"/>
        <v>0</v>
      </c>
      <c r="P1603" s="94">
        <f t="shared" si="371"/>
        <v>0</v>
      </c>
      <c r="Q1603" s="95">
        <f t="shared" si="372"/>
        <v>0</v>
      </c>
      <c r="R1603" s="96"/>
      <c r="S1603" s="97">
        <f t="shared" si="373"/>
        <v>0</v>
      </c>
      <c r="T1603" s="98">
        <f t="shared" si="374"/>
        <v>0</v>
      </c>
    </row>
    <row r="1604" spans="2:20" ht="20.100000000000001" customHeight="1">
      <c r="B1604" s="88">
        <v>12</v>
      </c>
      <c r="C1604" s="89" t="s">
        <v>3484</v>
      </c>
      <c r="D1604" s="90" t="s">
        <v>3559</v>
      </c>
      <c r="E1604" s="91" t="s">
        <v>3560</v>
      </c>
      <c r="F1604" s="315">
        <v>135.44999999999999</v>
      </c>
      <c r="G1604" s="260">
        <v>1</v>
      </c>
      <c r="H1604" s="260"/>
      <c r="I1604" s="309"/>
      <c r="J1604" s="199">
        <v>1</v>
      </c>
      <c r="K1604" s="269"/>
      <c r="L1604" s="93">
        <f t="shared" si="375"/>
        <v>0</v>
      </c>
      <c r="M1604" s="183"/>
      <c r="N1604" s="95">
        <f t="shared" si="369"/>
        <v>0</v>
      </c>
      <c r="O1604" s="95">
        <f t="shared" si="370"/>
        <v>0</v>
      </c>
      <c r="P1604" s="94">
        <f t="shared" si="371"/>
        <v>0</v>
      </c>
      <c r="Q1604" s="95">
        <f t="shared" si="372"/>
        <v>0</v>
      </c>
      <c r="R1604" s="96"/>
      <c r="S1604" s="97">
        <f t="shared" si="373"/>
        <v>0</v>
      </c>
      <c r="T1604" s="98">
        <f t="shared" si="374"/>
        <v>0</v>
      </c>
    </row>
    <row r="1605" spans="2:20" ht="20.100000000000001" customHeight="1">
      <c r="B1605" s="88">
        <v>12</v>
      </c>
      <c r="C1605" s="89" t="s">
        <v>3484</v>
      </c>
      <c r="D1605" s="90" t="s">
        <v>3561</v>
      </c>
      <c r="E1605" s="91" t="s">
        <v>3562</v>
      </c>
      <c r="F1605" s="315">
        <v>227.51</v>
      </c>
      <c r="G1605" s="260"/>
      <c r="H1605" s="260"/>
      <c r="I1605" s="309"/>
      <c r="J1605" s="199"/>
      <c r="K1605" s="269"/>
      <c r="L1605" s="93">
        <f t="shared" si="375"/>
        <v>0</v>
      </c>
      <c r="M1605" s="183"/>
      <c r="N1605" s="95">
        <f t="shared" si="369"/>
        <v>0</v>
      </c>
      <c r="O1605" s="95">
        <f t="shared" si="370"/>
        <v>0</v>
      </c>
      <c r="P1605" s="94">
        <f t="shared" si="371"/>
        <v>0</v>
      </c>
      <c r="Q1605" s="95">
        <f t="shared" si="372"/>
        <v>0</v>
      </c>
      <c r="R1605" s="96"/>
      <c r="S1605" s="97">
        <f t="shared" si="373"/>
        <v>0</v>
      </c>
      <c r="T1605" s="98">
        <f t="shared" si="374"/>
        <v>0</v>
      </c>
    </row>
    <row r="1606" spans="2:20" ht="20.100000000000001" customHeight="1">
      <c r="B1606" s="88">
        <v>12</v>
      </c>
      <c r="C1606" s="89" t="s">
        <v>3484</v>
      </c>
      <c r="D1606" s="90" t="s">
        <v>3563</v>
      </c>
      <c r="E1606" s="91" t="s">
        <v>3564</v>
      </c>
      <c r="F1606" s="315">
        <v>140.9</v>
      </c>
      <c r="G1606" s="260"/>
      <c r="H1606" s="260"/>
      <c r="I1606" s="309"/>
      <c r="J1606" s="199"/>
      <c r="K1606" s="269"/>
      <c r="L1606" s="93">
        <f t="shared" si="375"/>
        <v>0</v>
      </c>
      <c r="M1606" s="183"/>
      <c r="N1606" s="95">
        <f t="shared" si="369"/>
        <v>0</v>
      </c>
      <c r="O1606" s="95">
        <f t="shared" si="370"/>
        <v>0</v>
      </c>
      <c r="P1606" s="94">
        <f t="shared" si="371"/>
        <v>0</v>
      </c>
      <c r="Q1606" s="95">
        <f t="shared" si="372"/>
        <v>0</v>
      </c>
      <c r="R1606" s="96"/>
      <c r="S1606" s="97">
        <f t="shared" si="373"/>
        <v>0</v>
      </c>
      <c r="T1606" s="98">
        <f t="shared" si="374"/>
        <v>0</v>
      </c>
    </row>
    <row r="1607" spans="2:20" ht="20.100000000000001" customHeight="1">
      <c r="B1607" s="88">
        <v>12</v>
      </c>
      <c r="C1607" s="89" t="s">
        <v>3484</v>
      </c>
      <c r="D1607" s="90" t="s">
        <v>3565</v>
      </c>
      <c r="E1607" s="91" t="s">
        <v>3566</v>
      </c>
      <c r="F1607" s="315">
        <v>250</v>
      </c>
      <c r="G1607" s="260"/>
      <c r="H1607" s="260"/>
      <c r="I1607" s="309"/>
      <c r="J1607" s="199"/>
      <c r="K1607" s="269"/>
      <c r="L1607" s="93">
        <f t="shared" si="375"/>
        <v>0</v>
      </c>
      <c r="M1607" s="183"/>
      <c r="N1607" s="95">
        <f t="shared" si="369"/>
        <v>0</v>
      </c>
      <c r="O1607" s="95">
        <f t="shared" si="370"/>
        <v>0</v>
      </c>
      <c r="P1607" s="94">
        <f t="shared" si="371"/>
        <v>0</v>
      </c>
      <c r="Q1607" s="95">
        <f t="shared" si="372"/>
        <v>0</v>
      </c>
      <c r="R1607" s="96"/>
      <c r="S1607" s="97">
        <f t="shared" si="373"/>
        <v>0</v>
      </c>
      <c r="T1607" s="98">
        <f t="shared" si="374"/>
        <v>0</v>
      </c>
    </row>
    <row r="1608" spans="2:20" ht="20.100000000000001" customHeight="1">
      <c r="B1608" s="88">
        <v>12</v>
      </c>
      <c r="C1608" s="89" t="s">
        <v>3484</v>
      </c>
      <c r="D1608" s="90" t="s">
        <v>3565</v>
      </c>
      <c r="E1608" s="91" t="s">
        <v>3566</v>
      </c>
      <c r="F1608" s="315">
        <v>250</v>
      </c>
      <c r="G1608" s="260"/>
      <c r="H1608" s="260"/>
      <c r="I1608" s="309"/>
      <c r="J1608" s="199"/>
      <c r="K1608" s="269"/>
      <c r="L1608" s="93">
        <f t="shared" si="375"/>
        <v>0</v>
      </c>
      <c r="M1608" s="183"/>
      <c r="N1608" s="95">
        <f t="shared" si="369"/>
        <v>0</v>
      </c>
      <c r="O1608" s="95">
        <f t="shared" si="370"/>
        <v>0</v>
      </c>
      <c r="P1608" s="94">
        <f t="shared" si="371"/>
        <v>0</v>
      </c>
      <c r="Q1608" s="95">
        <f t="shared" si="372"/>
        <v>0</v>
      </c>
      <c r="R1608" s="96"/>
      <c r="S1608" s="97">
        <f t="shared" si="373"/>
        <v>0</v>
      </c>
      <c r="T1608" s="98">
        <f t="shared" si="374"/>
        <v>0</v>
      </c>
    </row>
    <row r="1609" spans="2:20" ht="20.100000000000001" customHeight="1">
      <c r="B1609" s="88">
        <v>12</v>
      </c>
      <c r="C1609" s="89" t="s">
        <v>3484</v>
      </c>
      <c r="D1609" s="90" t="s">
        <v>3567</v>
      </c>
      <c r="E1609" s="91" t="s">
        <v>3568</v>
      </c>
      <c r="F1609" s="315">
        <v>227.51</v>
      </c>
      <c r="G1609" s="260">
        <v>2</v>
      </c>
      <c r="H1609" s="260"/>
      <c r="I1609" s="309"/>
      <c r="J1609" s="199"/>
      <c r="K1609" s="269"/>
      <c r="L1609" s="93">
        <f t="shared" si="375"/>
        <v>2</v>
      </c>
      <c r="M1609" s="183">
        <v>2</v>
      </c>
      <c r="N1609" s="95">
        <f t="shared" si="369"/>
        <v>455.02</v>
      </c>
      <c r="O1609" s="95">
        <f t="shared" si="370"/>
        <v>455.02</v>
      </c>
      <c r="P1609" s="94">
        <f t="shared" si="371"/>
        <v>0</v>
      </c>
      <c r="Q1609" s="95">
        <f t="shared" si="372"/>
        <v>0</v>
      </c>
      <c r="R1609" s="96"/>
      <c r="S1609" s="97">
        <f t="shared" si="373"/>
        <v>0</v>
      </c>
      <c r="T1609" s="98">
        <f t="shared" si="374"/>
        <v>2</v>
      </c>
    </row>
    <row r="1610" spans="2:20" ht="20.100000000000001" customHeight="1">
      <c r="B1610" s="88">
        <v>12</v>
      </c>
      <c r="C1610" s="89" t="s">
        <v>3484</v>
      </c>
      <c r="D1610" s="90" t="s">
        <v>3567</v>
      </c>
      <c r="E1610" s="91" t="s">
        <v>3568</v>
      </c>
      <c r="F1610" s="315">
        <v>231.8</v>
      </c>
      <c r="G1610" s="260"/>
      <c r="H1610" s="260"/>
      <c r="I1610" s="309"/>
      <c r="J1610" s="199"/>
      <c r="K1610" s="269"/>
      <c r="L1610" s="93">
        <f t="shared" si="375"/>
        <v>0</v>
      </c>
      <c r="M1610" s="183"/>
      <c r="N1610" s="95">
        <f t="shared" si="369"/>
        <v>0</v>
      </c>
      <c r="O1610" s="95">
        <f t="shared" si="370"/>
        <v>0</v>
      </c>
      <c r="P1610" s="94">
        <f t="shared" si="371"/>
        <v>0</v>
      </c>
      <c r="Q1610" s="95">
        <f t="shared" si="372"/>
        <v>0</v>
      </c>
      <c r="R1610" s="96"/>
      <c r="S1610" s="97">
        <f t="shared" si="373"/>
        <v>0</v>
      </c>
      <c r="T1610" s="98">
        <f t="shared" si="374"/>
        <v>0</v>
      </c>
    </row>
    <row r="1611" spans="2:20" ht="20.100000000000001" customHeight="1">
      <c r="B1611" s="88">
        <v>12</v>
      </c>
      <c r="C1611" s="89" t="s">
        <v>3484</v>
      </c>
      <c r="D1611" s="90" t="s">
        <v>3569</v>
      </c>
      <c r="E1611" s="91" t="s">
        <v>3570</v>
      </c>
      <c r="F1611" s="315">
        <v>140.9</v>
      </c>
      <c r="G1611" s="260">
        <v>1</v>
      </c>
      <c r="H1611" s="260"/>
      <c r="I1611" s="309"/>
      <c r="J1611" s="199">
        <v>1</v>
      </c>
      <c r="K1611" s="269"/>
      <c r="L1611" s="93">
        <f t="shared" si="375"/>
        <v>0</v>
      </c>
      <c r="M1611" s="183"/>
      <c r="N1611" s="95">
        <f t="shared" si="369"/>
        <v>0</v>
      </c>
      <c r="O1611" s="95">
        <f t="shared" si="370"/>
        <v>0</v>
      </c>
      <c r="P1611" s="94">
        <f t="shared" si="371"/>
        <v>0</v>
      </c>
      <c r="Q1611" s="95">
        <f t="shared" si="372"/>
        <v>0</v>
      </c>
      <c r="R1611" s="96"/>
      <c r="S1611" s="97">
        <f t="shared" si="373"/>
        <v>0</v>
      </c>
      <c r="T1611" s="98">
        <f t="shared" si="374"/>
        <v>0</v>
      </c>
    </row>
    <row r="1612" spans="2:20" ht="20.100000000000001" customHeight="1">
      <c r="B1612" s="88">
        <v>12</v>
      </c>
      <c r="C1612" s="89" t="s">
        <v>3484</v>
      </c>
      <c r="D1612" s="90" t="s">
        <v>3571</v>
      </c>
      <c r="E1612" s="91" t="s">
        <v>3572</v>
      </c>
      <c r="F1612" s="315">
        <v>135.44999999999999</v>
      </c>
      <c r="G1612" s="260"/>
      <c r="H1612" s="260"/>
      <c r="I1612" s="309"/>
      <c r="J1612" s="199"/>
      <c r="K1612" s="269"/>
      <c r="L1612" s="93">
        <f t="shared" si="375"/>
        <v>0</v>
      </c>
      <c r="M1612" s="183"/>
      <c r="N1612" s="95">
        <f t="shared" si="369"/>
        <v>0</v>
      </c>
      <c r="O1612" s="95">
        <f t="shared" si="370"/>
        <v>0</v>
      </c>
      <c r="P1612" s="94">
        <f t="shared" si="371"/>
        <v>0</v>
      </c>
      <c r="Q1612" s="95">
        <f t="shared" si="372"/>
        <v>0</v>
      </c>
      <c r="R1612" s="96"/>
      <c r="S1612" s="97">
        <f t="shared" si="373"/>
        <v>0</v>
      </c>
      <c r="T1612" s="98">
        <f t="shared" si="374"/>
        <v>0</v>
      </c>
    </row>
    <row r="1613" spans="2:20" ht="20.100000000000001" customHeight="1">
      <c r="B1613" s="88">
        <v>12</v>
      </c>
      <c r="C1613" s="89" t="s">
        <v>3484</v>
      </c>
      <c r="D1613" s="90" t="s">
        <v>3571</v>
      </c>
      <c r="E1613" s="91" t="s">
        <v>3572</v>
      </c>
      <c r="F1613" s="315">
        <v>135.44999999999999</v>
      </c>
      <c r="G1613" s="260"/>
      <c r="H1613" s="260"/>
      <c r="I1613" s="309"/>
      <c r="J1613" s="199"/>
      <c r="K1613" s="269"/>
      <c r="L1613" s="93">
        <f t="shared" si="375"/>
        <v>0</v>
      </c>
      <c r="M1613" s="183"/>
      <c r="N1613" s="95">
        <f t="shared" si="369"/>
        <v>0</v>
      </c>
      <c r="O1613" s="95">
        <f t="shared" si="370"/>
        <v>0</v>
      </c>
      <c r="P1613" s="94">
        <f t="shared" si="371"/>
        <v>0</v>
      </c>
      <c r="Q1613" s="95">
        <f t="shared" si="372"/>
        <v>0</v>
      </c>
      <c r="R1613" s="96"/>
      <c r="S1613" s="97">
        <f t="shared" si="373"/>
        <v>0</v>
      </c>
      <c r="T1613" s="98">
        <f t="shared" si="374"/>
        <v>0</v>
      </c>
    </row>
    <row r="1614" spans="2:20" ht="20.100000000000001" customHeight="1">
      <c r="B1614" s="88">
        <v>12</v>
      </c>
      <c r="C1614" s="89" t="s">
        <v>3484</v>
      </c>
      <c r="D1614" s="106" t="s">
        <v>3573</v>
      </c>
      <c r="E1614" s="91" t="s">
        <v>3574</v>
      </c>
      <c r="F1614" s="315">
        <v>22.7</v>
      </c>
      <c r="G1614" s="260">
        <v>11</v>
      </c>
      <c r="H1614" s="260">
        <v>1</v>
      </c>
      <c r="I1614" s="309"/>
      <c r="J1614" s="199">
        <v>12</v>
      </c>
      <c r="K1614" s="269"/>
      <c r="L1614" s="93">
        <f t="shared" si="375"/>
        <v>0</v>
      </c>
      <c r="M1614" s="183"/>
      <c r="N1614" s="95">
        <f t="shared" si="369"/>
        <v>0</v>
      </c>
      <c r="O1614" s="95">
        <f t="shared" si="370"/>
        <v>0</v>
      </c>
      <c r="P1614" s="94">
        <f t="shared" si="371"/>
        <v>0</v>
      </c>
      <c r="Q1614" s="95">
        <f t="shared" si="372"/>
        <v>0</v>
      </c>
      <c r="R1614" s="96"/>
      <c r="S1614" s="97">
        <f t="shared" si="373"/>
        <v>0</v>
      </c>
      <c r="T1614" s="98">
        <f t="shared" si="374"/>
        <v>0</v>
      </c>
    </row>
    <row r="1615" spans="2:20" ht="20.100000000000001" customHeight="1">
      <c r="B1615" s="88">
        <v>12</v>
      </c>
      <c r="C1615" s="89" t="s">
        <v>3484</v>
      </c>
      <c r="D1615" s="106" t="s">
        <v>3575</v>
      </c>
      <c r="E1615" s="91" t="s">
        <v>3576</v>
      </c>
      <c r="F1615" s="315">
        <v>22.7</v>
      </c>
      <c r="G1615" s="260"/>
      <c r="H1615" s="260"/>
      <c r="I1615" s="309"/>
      <c r="J1615" s="199"/>
      <c r="K1615" s="269"/>
      <c r="L1615" s="93">
        <f t="shared" si="375"/>
        <v>0</v>
      </c>
      <c r="M1615" s="183"/>
      <c r="N1615" s="95">
        <f t="shared" si="369"/>
        <v>0</v>
      </c>
      <c r="O1615" s="95">
        <f t="shared" si="370"/>
        <v>0</v>
      </c>
      <c r="P1615" s="94">
        <f t="shared" si="371"/>
        <v>0</v>
      </c>
      <c r="Q1615" s="95">
        <f t="shared" si="372"/>
        <v>0</v>
      </c>
      <c r="R1615" s="96"/>
      <c r="S1615" s="97">
        <f t="shared" si="373"/>
        <v>0</v>
      </c>
      <c r="T1615" s="98">
        <f t="shared" si="374"/>
        <v>0</v>
      </c>
    </row>
    <row r="1616" spans="2:20" ht="20.100000000000001" customHeight="1">
      <c r="B1616" s="88">
        <v>12</v>
      </c>
      <c r="C1616" s="89" t="s">
        <v>3484</v>
      </c>
      <c r="D1616" s="90" t="s">
        <v>3577</v>
      </c>
      <c r="E1616" s="91" t="s">
        <v>3578</v>
      </c>
      <c r="F1616" s="315">
        <v>22.75</v>
      </c>
      <c r="G1616" s="260">
        <v>20</v>
      </c>
      <c r="H1616" s="260"/>
      <c r="I1616" s="309"/>
      <c r="J1616" s="199">
        <v>9</v>
      </c>
      <c r="K1616" s="269"/>
      <c r="L1616" s="93">
        <f t="shared" si="375"/>
        <v>11</v>
      </c>
      <c r="M1616" s="183">
        <v>11</v>
      </c>
      <c r="N1616" s="95">
        <f t="shared" si="369"/>
        <v>250.25</v>
      </c>
      <c r="O1616" s="95">
        <f t="shared" si="370"/>
        <v>250.25</v>
      </c>
      <c r="P1616" s="94">
        <f t="shared" si="371"/>
        <v>0</v>
      </c>
      <c r="Q1616" s="95">
        <f t="shared" si="372"/>
        <v>0</v>
      </c>
      <c r="R1616" s="96"/>
      <c r="S1616" s="97">
        <f t="shared" si="373"/>
        <v>0</v>
      </c>
      <c r="T1616" s="98">
        <f t="shared" si="374"/>
        <v>11</v>
      </c>
    </row>
    <row r="1617" spans="2:21" ht="20.100000000000001" customHeight="1">
      <c r="B1617" s="88">
        <v>12</v>
      </c>
      <c r="C1617" s="89" t="s">
        <v>3484</v>
      </c>
      <c r="D1617" s="90" t="s">
        <v>3579</v>
      </c>
      <c r="E1617" s="91" t="s">
        <v>3580</v>
      </c>
      <c r="F1617" s="315">
        <v>23.21</v>
      </c>
      <c r="G1617" s="260"/>
      <c r="H1617" s="260"/>
      <c r="I1617" s="309">
        <v>24</v>
      </c>
      <c r="J1617" s="199"/>
      <c r="K1617" s="269">
        <v>6</v>
      </c>
      <c r="L1617" s="93">
        <f t="shared" si="375"/>
        <v>18</v>
      </c>
      <c r="M1617" s="183">
        <v>18</v>
      </c>
      <c r="N1617" s="95">
        <f t="shared" si="369"/>
        <v>417.78000000000003</v>
      </c>
      <c r="O1617" s="95">
        <f t="shared" si="370"/>
        <v>417.78000000000003</v>
      </c>
      <c r="P1617" s="94">
        <f t="shared" si="371"/>
        <v>0</v>
      </c>
      <c r="Q1617" s="95">
        <f t="shared" si="372"/>
        <v>0</v>
      </c>
      <c r="R1617" s="96"/>
      <c r="S1617" s="97">
        <f t="shared" si="373"/>
        <v>0</v>
      </c>
      <c r="T1617" s="98">
        <f t="shared" si="374"/>
        <v>18</v>
      </c>
    </row>
    <row r="1618" spans="2:21" ht="20.100000000000001" customHeight="1">
      <c r="B1618" s="88">
        <v>12</v>
      </c>
      <c r="C1618" s="89" t="s">
        <v>3484</v>
      </c>
      <c r="D1618" s="90" t="s">
        <v>4525</v>
      </c>
      <c r="E1618" s="91" t="s">
        <v>4527</v>
      </c>
      <c r="F1618" s="315">
        <v>20.399999999999999</v>
      </c>
      <c r="G1618" s="260"/>
      <c r="H1618" s="260"/>
      <c r="I1618" s="309">
        <v>24</v>
      </c>
      <c r="J1618" s="199"/>
      <c r="K1618" s="269">
        <v>3</v>
      </c>
      <c r="L1618" s="93">
        <f t="shared" si="375"/>
        <v>21</v>
      </c>
      <c r="M1618" s="183">
        <v>21</v>
      </c>
      <c r="N1618" s="95">
        <f t="shared" si="369"/>
        <v>428.4</v>
      </c>
      <c r="O1618" s="95">
        <f t="shared" si="370"/>
        <v>428.4</v>
      </c>
      <c r="P1618" s="94">
        <f t="shared" si="371"/>
        <v>0</v>
      </c>
      <c r="Q1618" s="95">
        <f t="shared" si="372"/>
        <v>0</v>
      </c>
      <c r="R1618" s="96"/>
      <c r="S1618" s="97">
        <f t="shared" si="373"/>
        <v>0</v>
      </c>
      <c r="T1618" s="98">
        <f t="shared" si="374"/>
        <v>21</v>
      </c>
    </row>
    <row r="1619" spans="2:21" ht="20.100000000000001" customHeight="1">
      <c r="B1619" s="88">
        <v>12</v>
      </c>
      <c r="C1619" s="89" t="s">
        <v>3484</v>
      </c>
      <c r="D1619" s="90" t="s">
        <v>4171</v>
      </c>
      <c r="E1619" s="91" t="s">
        <v>4172</v>
      </c>
      <c r="F1619" s="315">
        <v>9.27</v>
      </c>
      <c r="G1619" s="260"/>
      <c r="H1619" s="260"/>
      <c r="I1619" s="309">
        <v>30</v>
      </c>
      <c r="J1619" s="199"/>
      <c r="K1619" s="269">
        <v>2</v>
      </c>
      <c r="L1619" s="93">
        <f t="shared" si="375"/>
        <v>28</v>
      </c>
      <c r="M1619" s="183">
        <v>28</v>
      </c>
      <c r="N1619" s="95">
        <f t="shared" ref="N1619" si="388">F1619*L1619</f>
        <v>259.56</v>
      </c>
      <c r="O1619" s="95">
        <f t="shared" ref="O1619" si="389">M1619*F1619</f>
        <v>259.56</v>
      </c>
      <c r="P1619" s="94">
        <f t="shared" ref="P1619" si="390">L1619-M1619</f>
        <v>0</v>
      </c>
      <c r="Q1619" s="95">
        <f t="shared" ref="Q1619" si="391">N1619-O1619</f>
        <v>0</v>
      </c>
      <c r="R1619" s="96"/>
      <c r="S1619" s="97">
        <f t="shared" ref="S1619" si="392">U1619+Y1619+W1619+AA1619</f>
        <v>0</v>
      </c>
      <c r="T1619" s="98">
        <f t="shared" ref="T1619" si="393">M1619-S1619</f>
        <v>28</v>
      </c>
    </row>
    <row r="1620" spans="2:21" ht="20.100000000000001" customHeight="1">
      <c r="B1620" s="88">
        <v>12</v>
      </c>
      <c r="C1620" s="89" t="s">
        <v>3484</v>
      </c>
      <c r="D1620" s="90" t="s">
        <v>4370</v>
      </c>
      <c r="E1620" s="91" t="s">
        <v>4372</v>
      </c>
      <c r="F1620" s="315">
        <v>9.2799999999999994</v>
      </c>
      <c r="G1620" s="260"/>
      <c r="H1620" s="260"/>
      <c r="I1620" s="309">
        <v>30</v>
      </c>
      <c r="J1620" s="199"/>
      <c r="K1620" s="269">
        <v>8</v>
      </c>
      <c r="L1620" s="93">
        <f t="shared" si="375"/>
        <v>22</v>
      </c>
      <c r="M1620" s="183">
        <v>22</v>
      </c>
      <c r="N1620" s="95">
        <f t="shared" si="369"/>
        <v>204.16</v>
      </c>
      <c r="O1620" s="95">
        <f t="shared" si="370"/>
        <v>204.16</v>
      </c>
      <c r="P1620" s="94">
        <f t="shared" si="371"/>
        <v>0</v>
      </c>
      <c r="Q1620" s="95">
        <f t="shared" si="372"/>
        <v>0</v>
      </c>
      <c r="R1620" s="96"/>
      <c r="S1620" s="97">
        <f t="shared" si="373"/>
        <v>0</v>
      </c>
      <c r="T1620" s="98">
        <f t="shared" si="374"/>
        <v>22</v>
      </c>
    </row>
    <row r="1621" spans="2:21" ht="20.100000000000001" customHeight="1">
      <c r="B1621" s="88">
        <v>13</v>
      </c>
      <c r="C1621" s="89" t="s">
        <v>3581</v>
      </c>
      <c r="D1621" s="90" t="s">
        <v>3582</v>
      </c>
      <c r="E1621" s="91" t="s">
        <v>3583</v>
      </c>
      <c r="F1621" s="315">
        <v>49.75</v>
      </c>
      <c r="G1621" s="260">
        <v>40</v>
      </c>
      <c r="H1621" s="260"/>
      <c r="I1621" s="309"/>
      <c r="J1621" s="199"/>
      <c r="K1621" s="269">
        <v>4</v>
      </c>
      <c r="L1621" s="93">
        <f t="shared" si="375"/>
        <v>36</v>
      </c>
      <c r="M1621" s="183">
        <v>36</v>
      </c>
      <c r="N1621" s="95">
        <f t="shared" si="369"/>
        <v>1791</v>
      </c>
      <c r="O1621" s="95">
        <f t="shared" si="370"/>
        <v>1791</v>
      </c>
      <c r="P1621" s="94">
        <f t="shared" si="371"/>
        <v>0</v>
      </c>
      <c r="Q1621" s="95">
        <f t="shared" si="372"/>
        <v>0</v>
      </c>
      <c r="R1621" s="96"/>
      <c r="S1621" s="97">
        <f t="shared" si="373"/>
        <v>43</v>
      </c>
      <c r="T1621" s="98">
        <f t="shared" si="374"/>
        <v>-7</v>
      </c>
      <c r="U1621">
        <v>43</v>
      </c>
    </row>
    <row r="1622" spans="2:21" ht="20.100000000000001" customHeight="1">
      <c r="B1622" s="88">
        <v>13</v>
      </c>
      <c r="C1622" s="89" t="s">
        <v>3581</v>
      </c>
      <c r="D1622" s="90" t="s">
        <v>3584</v>
      </c>
      <c r="E1622" s="91" t="s">
        <v>3585</v>
      </c>
      <c r="F1622" s="315">
        <v>23.55</v>
      </c>
      <c r="G1622" s="260"/>
      <c r="H1622" s="260"/>
      <c r="I1622" s="309"/>
      <c r="J1622" s="199"/>
      <c r="K1622" s="269"/>
      <c r="L1622" s="93">
        <f t="shared" si="375"/>
        <v>0</v>
      </c>
      <c r="M1622" s="183"/>
      <c r="N1622" s="95">
        <f t="shared" si="369"/>
        <v>0</v>
      </c>
      <c r="O1622" s="95">
        <f t="shared" si="370"/>
        <v>0</v>
      </c>
      <c r="P1622" s="94">
        <f t="shared" si="371"/>
        <v>0</v>
      </c>
      <c r="Q1622" s="95">
        <f t="shared" si="372"/>
        <v>0</v>
      </c>
      <c r="R1622" s="96"/>
      <c r="S1622" s="97">
        <f t="shared" si="373"/>
        <v>0</v>
      </c>
      <c r="T1622" s="98">
        <f t="shared" si="374"/>
        <v>0</v>
      </c>
    </row>
    <row r="1623" spans="2:21" ht="20.100000000000001" customHeight="1">
      <c r="B1623" s="88">
        <v>13</v>
      </c>
      <c r="C1623" s="89" t="s">
        <v>3581</v>
      </c>
      <c r="D1623" s="90" t="s">
        <v>3586</v>
      </c>
      <c r="E1623" s="91" t="s">
        <v>3587</v>
      </c>
      <c r="F1623" s="315">
        <v>12.25</v>
      </c>
      <c r="G1623" s="260">
        <v>19</v>
      </c>
      <c r="H1623" s="260"/>
      <c r="I1623" s="309">
        <v>600</v>
      </c>
      <c r="J1623" s="199"/>
      <c r="K1623" s="269">
        <v>2</v>
      </c>
      <c r="L1623" s="93">
        <f t="shared" si="375"/>
        <v>617</v>
      </c>
      <c r="M1623" s="183">
        <v>617</v>
      </c>
      <c r="N1623" s="95">
        <f t="shared" si="369"/>
        <v>7558.25</v>
      </c>
      <c r="O1623" s="95">
        <f t="shared" si="370"/>
        <v>7558.25</v>
      </c>
      <c r="P1623" s="94">
        <f t="shared" si="371"/>
        <v>0</v>
      </c>
      <c r="Q1623" s="95">
        <f t="shared" si="372"/>
        <v>0</v>
      </c>
      <c r="R1623" s="96"/>
      <c r="S1623" s="97">
        <f t="shared" si="373"/>
        <v>11</v>
      </c>
      <c r="T1623" s="98">
        <f t="shared" si="374"/>
        <v>606</v>
      </c>
      <c r="U1623">
        <v>11</v>
      </c>
    </row>
    <row r="1624" spans="2:21" ht="20.100000000000001" customHeight="1">
      <c r="B1624" s="88">
        <v>13</v>
      </c>
      <c r="C1624" s="89" t="s">
        <v>3581</v>
      </c>
      <c r="D1624" s="90" t="s">
        <v>3588</v>
      </c>
      <c r="E1624" s="91" t="s">
        <v>3589</v>
      </c>
      <c r="F1624" s="315">
        <v>12.92</v>
      </c>
      <c r="G1624" s="260"/>
      <c r="H1624" s="260"/>
      <c r="I1624" s="309"/>
      <c r="J1624" s="199"/>
      <c r="K1624" s="269"/>
      <c r="L1624" s="93">
        <f t="shared" si="375"/>
        <v>0</v>
      </c>
      <c r="M1624" s="183"/>
      <c r="N1624" s="95">
        <f t="shared" si="369"/>
        <v>0</v>
      </c>
      <c r="O1624" s="95">
        <f t="shared" si="370"/>
        <v>0</v>
      </c>
      <c r="P1624" s="94">
        <f t="shared" si="371"/>
        <v>0</v>
      </c>
      <c r="Q1624" s="95">
        <f t="shared" si="372"/>
        <v>0</v>
      </c>
      <c r="R1624" s="96"/>
      <c r="S1624" s="97">
        <f t="shared" si="373"/>
        <v>0</v>
      </c>
      <c r="T1624" s="98">
        <f t="shared" si="374"/>
        <v>0</v>
      </c>
    </row>
    <row r="1625" spans="2:21" ht="20.100000000000001" customHeight="1">
      <c r="B1625" s="88">
        <v>13</v>
      </c>
      <c r="C1625" s="89" t="s">
        <v>3581</v>
      </c>
      <c r="D1625" s="90" t="s">
        <v>3590</v>
      </c>
      <c r="E1625" s="91" t="s">
        <v>3591</v>
      </c>
      <c r="F1625" s="315">
        <v>62</v>
      </c>
      <c r="G1625" s="260"/>
      <c r="H1625" s="260"/>
      <c r="I1625" s="309"/>
      <c r="J1625" s="199"/>
      <c r="K1625" s="269"/>
      <c r="L1625" s="93">
        <f t="shared" si="375"/>
        <v>0</v>
      </c>
      <c r="M1625" s="183"/>
      <c r="N1625" s="95">
        <f t="shared" si="369"/>
        <v>0</v>
      </c>
      <c r="O1625" s="95">
        <f t="shared" si="370"/>
        <v>0</v>
      </c>
      <c r="P1625" s="94">
        <f t="shared" si="371"/>
        <v>0</v>
      </c>
      <c r="Q1625" s="95">
        <f t="shared" si="372"/>
        <v>0</v>
      </c>
      <c r="R1625" s="96"/>
      <c r="S1625" s="97">
        <f t="shared" si="373"/>
        <v>0</v>
      </c>
      <c r="T1625" s="98">
        <f t="shared" si="374"/>
        <v>0</v>
      </c>
    </row>
    <row r="1626" spans="2:21" ht="20.100000000000001" customHeight="1">
      <c r="B1626" s="88">
        <v>13</v>
      </c>
      <c r="C1626" s="89" t="s">
        <v>3581</v>
      </c>
      <c r="D1626" s="90" t="s">
        <v>3592</v>
      </c>
      <c r="E1626" s="91" t="s">
        <v>3593</v>
      </c>
      <c r="F1626" s="315">
        <v>15.83</v>
      </c>
      <c r="G1626" s="260"/>
      <c r="H1626" s="260"/>
      <c r="I1626" s="309"/>
      <c r="J1626" s="199"/>
      <c r="K1626" s="269"/>
      <c r="L1626" s="93">
        <f t="shared" si="375"/>
        <v>0</v>
      </c>
      <c r="M1626" s="183"/>
      <c r="N1626" s="95">
        <f t="shared" si="369"/>
        <v>0</v>
      </c>
      <c r="O1626" s="95">
        <f t="shared" si="370"/>
        <v>0</v>
      </c>
      <c r="P1626" s="94">
        <f t="shared" si="371"/>
        <v>0</v>
      </c>
      <c r="Q1626" s="95">
        <f t="shared" si="372"/>
        <v>0</v>
      </c>
      <c r="R1626" s="96"/>
      <c r="S1626" s="97">
        <f t="shared" si="373"/>
        <v>0</v>
      </c>
      <c r="T1626" s="98">
        <f t="shared" si="374"/>
        <v>0</v>
      </c>
    </row>
    <row r="1627" spans="2:21" ht="20.100000000000001" customHeight="1">
      <c r="B1627" s="88">
        <v>13</v>
      </c>
      <c r="C1627" s="89" t="s">
        <v>3581</v>
      </c>
      <c r="D1627" s="90" t="s">
        <v>3594</v>
      </c>
      <c r="E1627" s="91" t="s">
        <v>3595</v>
      </c>
      <c r="F1627" s="315">
        <v>37</v>
      </c>
      <c r="G1627" s="260"/>
      <c r="H1627" s="260"/>
      <c r="I1627" s="309"/>
      <c r="J1627" s="199"/>
      <c r="K1627" s="269"/>
      <c r="L1627" s="93">
        <f t="shared" si="375"/>
        <v>0</v>
      </c>
      <c r="M1627" s="183"/>
      <c r="N1627" s="95">
        <f t="shared" si="369"/>
        <v>0</v>
      </c>
      <c r="O1627" s="95">
        <f t="shared" si="370"/>
        <v>0</v>
      </c>
      <c r="P1627" s="94">
        <f t="shared" si="371"/>
        <v>0</v>
      </c>
      <c r="Q1627" s="95">
        <f t="shared" si="372"/>
        <v>0</v>
      </c>
      <c r="R1627" s="96"/>
      <c r="S1627" s="97">
        <f t="shared" si="373"/>
        <v>0</v>
      </c>
      <c r="T1627" s="98">
        <f t="shared" si="374"/>
        <v>0</v>
      </c>
    </row>
    <row r="1628" spans="2:21" ht="20.100000000000001" customHeight="1">
      <c r="B1628" s="88">
        <v>13</v>
      </c>
      <c r="C1628" s="89" t="s">
        <v>3581</v>
      </c>
      <c r="D1628" s="189" t="s">
        <v>3596</v>
      </c>
      <c r="E1628" s="190" t="s">
        <v>3597</v>
      </c>
      <c r="F1628" s="315">
        <v>59.58</v>
      </c>
      <c r="G1628" s="260"/>
      <c r="H1628" s="260"/>
      <c r="I1628" s="309"/>
      <c r="J1628" s="199"/>
      <c r="K1628" s="269"/>
      <c r="L1628" s="93">
        <f t="shared" si="375"/>
        <v>0</v>
      </c>
      <c r="M1628" s="183"/>
      <c r="N1628" s="95">
        <f t="shared" si="369"/>
        <v>0</v>
      </c>
      <c r="O1628" s="95">
        <f t="shared" si="370"/>
        <v>0</v>
      </c>
      <c r="P1628" s="94">
        <f t="shared" si="371"/>
        <v>0</v>
      </c>
      <c r="Q1628" s="95">
        <f t="shared" si="372"/>
        <v>0</v>
      </c>
      <c r="R1628" s="96"/>
      <c r="S1628" s="97">
        <f t="shared" si="373"/>
        <v>28</v>
      </c>
      <c r="T1628" s="98">
        <f t="shared" si="374"/>
        <v>-28</v>
      </c>
      <c r="U1628">
        <f>12+7+9</f>
        <v>28</v>
      </c>
    </row>
    <row r="1629" spans="2:21" ht="20.100000000000001" customHeight="1">
      <c r="B1629" s="88">
        <v>13</v>
      </c>
      <c r="C1629" s="89" t="s">
        <v>3581</v>
      </c>
      <c r="D1629" s="90" t="s">
        <v>3596</v>
      </c>
      <c r="E1629" s="91" t="s">
        <v>3597</v>
      </c>
      <c r="F1629" s="315">
        <v>59.58</v>
      </c>
      <c r="G1629" s="260">
        <v>1</v>
      </c>
      <c r="H1629" s="260"/>
      <c r="I1629" s="309"/>
      <c r="J1629" s="199"/>
      <c r="K1629" s="269"/>
      <c r="L1629" s="93">
        <f t="shared" si="375"/>
        <v>1</v>
      </c>
      <c r="M1629" s="183">
        <v>1</v>
      </c>
      <c r="N1629" s="95">
        <f t="shared" si="369"/>
        <v>59.58</v>
      </c>
      <c r="O1629" s="95">
        <f t="shared" si="370"/>
        <v>59.58</v>
      </c>
      <c r="P1629" s="94">
        <f t="shared" si="371"/>
        <v>0</v>
      </c>
      <c r="Q1629" s="95">
        <f t="shared" si="372"/>
        <v>0</v>
      </c>
      <c r="R1629" s="96"/>
      <c r="S1629" s="97">
        <f t="shared" si="373"/>
        <v>0</v>
      </c>
      <c r="T1629" s="98">
        <f t="shared" si="374"/>
        <v>1</v>
      </c>
    </row>
    <row r="1630" spans="2:21" ht="20.100000000000001" customHeight="1">
      <c r="B1630" s="88">
        <v>13</v>
      </c>
      <c r="C1630" s="89" t="s">
        <v>3581</v>
      </c>
      <c r="D1630" s="90" t="s">
        <v>3596</v>
      </c>
      <c r="E1630" s="91" t="s">
        <v>3597</v>
      </c>
      <c r="F1630" s="315">
        <v>59.58</v>
      </c>
      <c r="G1630" s="260"/>
      <c r="H1630" s="260"/>
      <c r="I1630" s="309"/>
      <c r="J1630" s="199"/>
      <c r="K1630" s="269"/>
      <c r="L1630" s="93">
        <f t="shared" si="375"/>
        <v>0</v>
      </c>
      <c r="M1630" s="183"/>
      <c r="N1630" s="95">
        <f t="shared" si="369"/>
        <v>0</v>
      </c>
      <c r="O1630" s="95">
        <f t="shared" si="370"/>
        <v>0</v>
      </c>
      <c r="P1630" s="94">
        <f t="shared" si="371"/>
        <v>0</v>
      </c>
      <c r="Q1630" s="95">
        <f t="shared" si="372"/>
        <v>0</v>
      </c>
      <c r="R1630" s="96"/>
      <c r="S1630" s="97">
        <f t="shared" si="373"/>
        <v>0</v>
      </c>
      <c r="T1630" s="98">
        <f t="shared" si="374"/>
        <v>0</v>
      </c>
    </row>
    <row r="1631" spans="2:21" ht="20.100000000000001" customHeight="1">
      <c r="B1631" s="88">
        <v>13</v>
      </c>
      <c r="C1631" s="89" t="s">
        <v>3581</v>
      </c>
      <c r="D1631" s="189" t="s">
        <v>3598</v>
      </c>
      <c r="E1631" s="190" t="s">
        <v>3599</v>
      </c>
      <c r="F1631" s="315">
        <v>7.33</v>
      </c>
      <c r="G1631" s="260"/>
      <c r="H1631" s="260"/>
      <c r="I1631" s="309"/>
      <c r="J1631" s="199"/>
      <c r="K1631" s="269"/>
      <c r="L1631" s="93">
        <f t="shared" si="375"/>
        <v>0</v>
      </c>
      <c r="M1631" s="183"/>
      <c r="N1631" s="95">
        <f t="shared" si="369"/>
        <v>0</v>
      </c>
      <c r="O1631" s="95">
        <f t="shared" si="370"/>
        <v>0</v>
      </c>
      <c r="P1631" s="94">
        <f t="shared" si="371"/>
        <v>0</v>
      </c>
      <c r="Q1631" s="95">
        <f t="shared" si="372"/>
        <v>0</v>
      </c>
      <c r="R1631" s="96"/>
      <c r="S1631" s="97">
        <f t="shared" si="373"/>
        <v>129</v>
      </c>
      <c r="T1631" s="98">
        <f t="shared" si="374"/>
        <v>-129</v>
      </c>
      <c r="U1631" s="99">
        <f>23+18+9+23+56</f>
        <v>129</v>
      </c>
    </row>
    <row r="1632" spans="2:21" ht="20.100000000000001" customHeight="1">
      <c r="B1632" s="88">
        <v>13</v>
      </c>
      <c r="C1632" s="89" t="s">
        <v>3581</v>
      </c>
      <c r="D1632" s="90" t="s">
        <v>3598</v>
      </c>
      <c r="E1632" s="91" t="s">
        <v>3599</v>
      </c>
      <c r="F1632" s="315">
        <v>7.33</v>
      </c>
      <c r="G1632" s="260"/>
      <c r="H1632" s="260"/>
      <c r="I1632" s="309"/>
      <c r="J1632" s="199"/>
      <c r="K1632" s="269"/>
      <c r="L1632" s="93">
        <f t="shared" si="375"/>
        <v>0</v>
      </c>
      <c r="M1632" s="183"/>
      <c r="N1632" s="95">
        <f t="shared" si="369"/>
        <v>0</v>
      </c>
      <c r="O1632" s="95">
        <f t="shared" si="370"/>
        <v>0</v>
      </c>
      <c r="P1632" s="94">
        <f t="shared" si="371"/>
        <v>0</v>
      </c>
      <c r="Q1632" s="95">
        <f t="shared" si="372"/>
        <v>0</v>
      </c>
      <c r="R1632" s="96"/>
      <c r="S1632" s="97">
        <f t="shared" si="373"/>
        <v>0</v>
      </c>
      <c r="T1632" s="98">
        <f t="shared" si="374"/>
        <v>0</v>
      </c>
    </row>
    <row r="1633" spans="2:31" ht="20.100000000000001" customHeight="1">
      <c r="B1633" s="88">
        <v>13</v>
      </c>
      <c r="C1633" s="89" t="s">
        <v>3581</v>
      </c>
      <c r="D1633" s="90" t="s">
        <v>3600</v>
      </c>
      <c r="E1633" s="91" t="s">
        <v>3601</v>
      </c>
      <c r="F1633" s="315">
        <v>21.92</v>
      </c>
      <c r="G1633" s="260"/>
      <c r="H1633" s="260"/>
      <c r="I1633" s="309"/>
      <c r="J1633" s="199"/>
      <c r="K1633" s="269"/>
      <c r="L1633" s="93">
        <f t="shared" si="375"/>
        <v>0</v>
      </c>
      <c r="M1633" s="183"/>
      <c r="N1633" s="95">
        <f t="shared" si="369"/>
        <v>0</v>
      </c>
      <c r="O1633" s="95">
        <f t="shared" si="370"/>
        <v>0</v>
      </c>
      <c r="P1633" s="94">
        <f t="shared" si="371"/>
        <v>0</v>
      </c>
      <c r="Q1633" s="95">
        <f t="shared" si="372"/>
        <v>0</v>
      </c>
      <c r="R1633" s="96"/>
      <c r="S1633" s="97">
        <f t="shared" si="373"/>
        <v>0</v>
      </c>
      <c r="T1633" s="98">
        <f t="shared" si="374"/>
        <v>0</v>
      </c>
    </row>
    <row r="1634" spans="2:31" ht="20.100000000000001" customHeight="1">
      <c r="B1634" s="88">
        <v>13</v>
      </c>
      <c r="C1634" s="89" t="s">
        <v>3581</v>
      </c>
      <c r="D1634" s="90" t="s">
        <v>3600</v>
      </c>
      <c r="E1634" s="91" t="s">
        <v>3601</v>
      </c>
      <c r="F1634" s="315">
        <v>21.92</v>
      </c>
      <c r="G1634" s="260"/>
      <c r="H1634" s="260"/>
      <c r="I1634" s="309"/>
      <c r="J1634" s="199"/>
      <c r="K1634" s="269"/>
      <c r="L1634" s="93">
        <f t="shared" si="375"/>
        <v>0</v>
      </c>
      <c r="M1634" s="183"/>
      <c r="N1634" s="95">
        <f t="shared" si="369"/>
        <v>0</v>
      </c>
      <c r="O1634" s="95">
        <f t="shared" si="370"/>
        <v>0</v>
      </c>
      <c r="P1634" s="94">
        <f t="shared" si="371"/>
        <v>0</v>
      </c>
      <c r="Q1634" s="95">
        <f t="shared" si="372"/>
        <v>0</v>
      </c>
      <c r="R1634" s="96"/>
      <c r="S1634" s="97">
        <f t="shared" si="373"/>
        <v>0</v>
      </c>
      <c r="T1634" s="98">
        <f t="shared" si="374"/>
        <v>0</v>
      </c>
    </row>
    <row r="1635" spans="2:31" ht="20.100000000000001" customHeight="1">
      <c r="B1635" s="88">
        <v>13</v>
      </c>
      <c r="C1635" s="89" t="s">
        <v>3581</v>
      </c>
      <c r="D1635" s="90" t="s">
        <v>3600</v>
      </c>
      <c r="E1635" s="91" t="s">
        <v>3601</v>
      </c>
      <c r="F1635" s="315">
        <v>21.92</v>
      </c>
      <c r="G1635" s="260"/>
      <c r="H1635" s="260"/>
      <c r="I1635" s="309"/>
      <c r="J1635" s="199"/>
      <c r="K1635" s="269"/>
      <c r="L1635" s="93">
        <f t="shared" si="375"/>
        <v>0</v>
      </c>
      <c r="M1635" s="183"/>
      <c r="N1635" s="95">
        <f t="shared" si="369"/>
        <v>0</v>
      </c>
      <c r="O1635" s="95">
        <f t="shared" si="370"/>
        <v>0</v>
      </c>
      <c r="P1635" s="94">
        <f t="shared" si="371"/>
        <v>0</v>
      </c>
      <c r="Q1635" s="95">
        <f t="shared" si="372"/>
        <v>0</v>
      </c>
      <c r="R1635" s="96"/>
      <c r="S1635" s="97">
        <f t="shared" si="373"/>
        <v>0</v>
      </c>
      <c r="T1635" s="98">
        <f t="shared" si="374"/>
        <v>0</v>
      </c>
    </row>
    <row r="1636" spans="2:31" ht="20.100000000000001" customHeight="1">
      <c r="B1636" s="88">
        <v>13</v>
      </c>
      <c r="C1636" s="89" t="s">
        <v>3581</v>
      </c>
      <c r="D1636" s="189" t="s">
        <v>3602</v>
      </c>
      <c r="E1636" s="190" t="s">
        <v>3603</v>
      </c>
      <c r="F1636" s="315">
        <v>31.71</v>
      </c>
      <c r="G1636" s="260"/>
      <c r="H1636" s="260"/>
      <c r="I1636" s="309"/>
      <c r="J1636" s="199"/>
      <c r="K1636" s="269"/>
      <c r="L1636" s="93">
        <f t="shared" si="375"/>
        <v>0</v>
      </c>
      <c r="M1636" s="183"/>
      <c r="N1636" s="95">
        <f t="shared" si="369"/>
        <v>0</v>
      </c>
      <c r="O1636" s="95">
        <f t="shared" si="370"/>
        <v>0</v>
      </c>
      <c r="P1636" s="94">
        <f t="shared" si="371"/>
        <v>0</v>
      </c>
      <c r="Q1636" s="95">
        <f t="shared" si="372"/>
        <v>0</v>
      </c>
      <c r="R1636" s="96" t="s">
        <v>3604</v>
      </c>
      <c r="S1636" s="97">
        <f t="shared" si="373"/>
        <v>22</v>
      </c>
      <c r="T1636" s="98">
        <f t="shared" si="374"/>
        <v>-22</v>
      </c>
      <c r="W1636">
        <v>7</v>
      </c>
      <c r="X1636" t="s">
        <v>555</v>
      </c>
      <c r="AA1636">
        <v>15</v>
      </c>
      <c r="AD1636">
        <f>W1636</f>
        <v>7</v>
      </c>
      <c r="AE1636" s="100">
        <f>AD1636*F1636</f>
        <v>221.97</v>
      </c>
    </row>
    <row r="1637" spans="2:31" ht="20.100000000000001" customHeight="1">
      <c r="B1637" s="88">
        <v>13</v>
      </c>
      <c r="C1637" s="89" t="s">
        <v>3581</v>
      </c>
      <c r="D1637" s="90" t="s">
        <v>3605</v>
      </c>
      <c r="E1637" s="91" t="s">
        <v>3606</v>
      </c>
      <c r="F1637" s="315">
        <v>58.58</v>
      </c>
      <c r="G1637" s="260">
        <v>2</v>
      </c>
      <c r="H1637" s="260"/>
      <c r="I1637" s="309"/>
      <c r="J1637" s="199"/>
      <c r="K1637" s="269"/>
      <c r="L1637" s="93">
        <f t="shared" si="375"/>
        <v>2</v>
      </c>
      <c r="M1637" s="183">
        <v>2</v>
      </c>
      <c r="N1637" s="95">
        <f t="shared" si="369"/>
        <v>117.16</v>
      </c>
      <c r="O1637" s="95">
        <f t="shared" si="370"/>
        <v>117.16</v>
      </c>
      <c r="P1637" s="94">
        <f t="shared" si="371"/>
        <v>0</v>
      </c>
      <c r="Q1637" s="95">
        <f t="shared" si="372"/>
        <v>0</v>
      </c>
      <c r="R1637" s="96"/>
      <c r="S1637" s="97">
        <f t="shared" si="373"/>
        <v>0</v>
      </c>
      <c r="T1637" s="98">
        <f t="shared" si="374"/>
        <v>2</v>
      </c>
    </row>
    <row r="1638" spans="2:31" s="38" customFormat="1" ht="20.100000000000001" customHeight="1">
      <c r="B1638" s="182">
        <v>13</v>
      </c>
      <c r="C1638" s="198" t="s">
        <v>3581</v>
      </c>
      <c r="D1638" s="171" t="s">
        <v>3607</v>
      </c>
      <c r="E1638" s="194" t="s">
        <v>3608</v>
      </c>
      <c r="F1638" s="316">
        <v>16.170000000000002</v>
      </c>
      <c r="G1638" s="260">
        <v>24</v>
      </c>
      <c r="H1638" s="260"/>
      <c r="I1638" s="309"/>
      <c r="J1638" s="199"/>
      <c r="K1638" s="269"/>
      <c r="L1638" s="93">
        <f t="shared" si="375"/>
        <v>24</v>
      </c>
      <c r="M1638" s="183">
        <v>24</v>
      </c>
      <c r="N1638" s="95">
        <f t="shared" si="369"/>
        <v>388.08000000000004</v>
      </c>
      <c r="O1638" s="95">
        <f t="shared" si="370"/>
        <v>388.08000000000004</v>
      </c>
      <c r="P1638" s="200">
        <f t="shared" si="371"/>
        <v>0</v>
      </c>
      <c r="Q1638" s="172">
        <f t="shared" si="372"/>
        <v>0</v>
      </c>
      <c r="R1638" s="201"/>
      <c r="S1638" s="202">
        <f t="shared" si="373"/>
        <v>15</v>
      </c>
      <c r="T1638" s="203">
        <f t="shared" si="374"/>
        <v>9</v>
      </c>
      <c r="U1638" s="38">
        <v>15</v>
      </c>
    </row>
    <row r="1639" spans="2:31" ht="20.100000000000001" customHeight="1">
      <c r="B1639" s="88">
        <v>13</v>
      </c>
      <c r="C1639" s="89" t="s">
        <v>3581</v>
      </c>
      <c r="D1639" s="90" t="s">
        <v>3609</v>
      </c>
      <c r="E1639" s="91" t="s">
        <v>3610</v>
      </c>
      <c r="F1639" s="315">
        <v>11.83</v>
      </c>
      <c r="G1639" s="260">
        <v>1</v>
      </c>
      <c r="H1639" s="260"/>
      <c r="I1639" s="309"/>
      <c r="J1639" s="199"/>
      <c r="K1639" s="269"/>
      <c r="L1639" s="93">
        <f t="shared" si="375"/>
        <v>1</v>
      </c>
      <c r="M1639" s="183">
        <v>1</v>
      </c>
      <c r="N1639" s="95">
        <f t="shared" si="369"/>
        <v>11.83</v>
      </c>
      <c r="O1639" s="95">
        <f t="shared" si="370"/>
        <v>11.83</v>
      </c>
      <c r="P1639" s="94">
        <f t="shared" si="371"/>
        <v>0</v>
      </c>
      <c r="Q1639" s="95">
        <f t="shared" si="372"/>
        <v>0</v>
      </c>
      <c r="R1639" s="96"/>
      <c r="S1639" s="97">
        <f t="shared" si="373"/>
        <v>0</v>
      </c>
      <c r="T1639" s="98">
        <f t="shared" si="374"/>
        <v>1</v>
      </c>
    </row>
    <row r="1640" spans="2:31" ht="20.100000000000001" customHeight="1">
      <c r="B1640" s="88">
        <v>13</v>
      </c>
      <c r="C1640" s="89" t="s">
        <v>3581</v>
      </c>
      <c r="D1640" s="90" t="s">
        <v>3609</v>
      </c>
      <c r="E1640" s="91" t="s">
        <v>3610</v>
      </c>
      <c r="F1640" s="315">
        <v>11.83</v>
      </c>
      <c r="G1640" s="260"/>
      <c r="H1640" s="260"/>
      <c r="I1640" s="309"/>
      <c r="J1640" s="199"/>
      <c r="K1640" s="269"/>
      <c r="L1640" s="93">
        <f t="shared" si="375"/>
        <v>0</v>
      </c>
      <c r="M1640" s="183"/>
      <c r="N1640" s="95">
        <f t="shared" si="369"/>
        <v>0</v>
      </c>
      <c r="O1640" s="95">
        <f t="shared" si="370"/>
        <v>0</v>
      </c>
      <c r="P1640" s="94">
        <f t="shared" si="371"/>
        <v>0</v>
      </c>
      <c r="Q1640" s="95">
        <f t="shared" si="372"/>
        <v>0</v>
      </c>
      <c r="R1640" s="96"/>
      <c r="S1640" s="97">
        <f t="shared" si="373"/>
        <v>0</v>
      </c>
      <c r="T1640" s="98">
        <f t="shared" si="374"/>
        <v>0</v>
      </c>
    </row>
    <row r="1641" spans="2:31" ht="20.100000000000001" customHeight="1">
      <c r="B1641" s="88">
        <v>13</v>
      </c>
      <c r="C1641" s="89" t="s">
        <v>3581</v>
      </c>
      <c r="D1641" s="90" t="s">
        <v>3609</v>
      </c>
      <c r="E1641" s="91" t="s">
        <v>3610</v>
      </c>
      <c r="F1641" s="315">
        <v>11.83</v>
      </c>
      <c r="G1641" s="260"/>
      <c r="H1641" s="260"/>
      <c r="I1641" s="309"/>
      <c r="J1641" s="199"/>
      <c r="K1641" s="269"/>
      <c r="L1641" s="93">
        <f t="shared" si="375"/>
        <v>0</v>
      </c>
      <c r="M1641" s="183"/>
      <c r="N1641" s="95">
        <f t="shared" si="369"/>
        <v>0</v>
      </c>
      <c r="O1641" s="95">
        <f t="shared" si="370"/>
        <v>0</v>
      </c>
      <c r="P1641" s="94">
        <f t="shared" si="371"/>
        <v>0</v>
      </c>
      <c r="Q1641" s="95">
        <f t="shared" si="372"/>
        <v>0</v>
      </c>
      <c r="R1641" s="96"/>
      <c r="S1641" s="97">
        <f t="shared" si="373"/>
        <v>0</v>
      </c>
      <c r="T1641" s="98">
        <f t="shared" ref="T1641:T1704" si="394">M1641-S1641</f>
        <v>0</v>
      </c>
    </row>
    <row r="1642" spans="2:31" s="38" customFormat="1" ht="20.100000000000001" customHeight="1">
      <c r="B1642" s="182">
        <v>13</v>
      </c>
      <c r="C1642" s="198" t="s">
        <v>3581</v>
      </c>
      <c r="D1642" s="171" t="s">
        <v>3611</v>
      </c>
      <c r="E1642" s="194" t="s">
        <v>3612</v>
      </c>
      <c r="F1642" s="316">
        <v>10.83</v>
      </c>
      <c r="G1642" s="260">
        <v>26</v>
      </c>
      <c r="H1642" s="260"/>
      <c r="I1642" s="309"/>
      <c r="J1642" s="199"/>
      <c r="K1642" s="269"/>
      <c r="L1642" s="93">
        <f t="shared" si="375"/>
        <v>26</v>
      </c>
      <c r="M1642" s="183">
        <v>26</v>
      </c>
      <c r="N1642" s="95">
        <f t="shared" ref="N1642:N1705" si="395">F1642*L1642</f>
        <v>281.58</v>
      </c>
      <c r="O1642" s="95">
        <f t="shared" ref="O1642:O1705" si="396">M1642*F1642</f>
        <v>281.58</v>
      </c>
      <c r="P1642" s="200">
        <f t="shared" ref="P1642:P1705" si="397">L1642-M1642</f>
        <v>0</v>
      </c>
      <c r="Q1642" s="172">
        <f t="shared" ref="Q1642:Q1705" si="398">N1642-O1642</f>
        <v>0</v>
      </c>
      <c r="R1642" s="201"/>
      <c r="S1642" s="202">
        <f t="shared" ref="S1642:S1705" si="399">U1642+Y1642+W1642+AA1642</f>
        <v>0</v>
      </c>
      <c r="T1642" s="203">
        <f t="shared" si="394"/>
        <v>26</v>
      </c>
    </row>
    <row r="1643" spans="2:31" s="38" customFormat="1" ht="20.100000000000001" customHeight="1">
      <c r="B1643" s="182">
        <v>13</v>
      </c>
      <c r="C1643" s="198" t="s">
        <v>3581</v>
      </c>
      <c r="D1643" s="171" t="s">
        <v>3613</v>
      </c>
      <c r="E1643" s="194" t="s">
        <v>3614</v>
      </c>
      <c r="F1643" s="316">
        <v>58.58</v>
      </c>
      <c r="G1643" s="260">
        <v>4</v>
      </c>
      <c r="H1643" s="260"/>
      <c r="I1643" s="309"/>
      <c r="J1643" s="199"/>
      <c r="K1643" s="269"/>
      <c r="L1643" s="93">
        <f t="shared" si="375"/>
        <v>4</v>
      </c>
      <c r="M1643" s="183">
        <v>4</v>
      </c>
      <c r="N1643" s="95">
        <f t="shared" si="395"/>
        <v>234.32</v>
      </c>
      <c r="O1643" s="95">
        <f t="shared" si="396"/>
        <v>234.32</v>
      </c>
      <c r="P1643" s="200">
        <f t="shared" si="397"/>
        <v>0</v>
      </c>
      <c r="Q1643" s="172">
        <f t="shared" si="398"/>
        <v>0</v>
      </c>
      <c r="R1643" s="201"/>
      <c r="S1643" s="202">
        <f t="shared" si="399"/>
        <v>0</v>
      </c>
      <c r="T1643" s="203">
        <f t="shared" si="394"/>
        <v>4</v>
      </c>
    </row>
    <row r="1644" spans="2:31" ht="20.100000000000001" customHeight="1">
      <c r="B1644" s="88">
        <v>13</v>
      </c>
      <c r="C1644" s="89" t="s">
        <v>3581</v>
      </c>
      <c r="D1644" s="90" t="s">
        <v>3615</v>
      </c>
      <c r="E1644" s="91" t="s">
        <v>3616</v>
      </c>
      <c r="F1644" s="315">
        <v>75.33</v>
      </c>
      <c r="G1644" s="260"/>
      <c r="H1644" s="260"/>
      <c r="I1644" s="309"/>
      <c r="J1644" s="199"/>
      <c r="K1644" s="269"/>
      <c r="L1644" s="93">
        <f t="shared" si="375"/>
        <v>0</v>
      </c>
      <c r="M1644" s="183"/>
      <c r="N1644" s="95">
        <f t="shared" si="395"/>
        <v>0</v>
      </c>
      <c r="O1644" s="95">
        <f t="shared" si="396"/>
        <v>0</v>
      </c>
      <c r="P1644" s="94">
        <f t="shared" si="397"/>
        <v>0</v>
      </c>
      <c r="Q1644" s="95">
        <f t="shared" si="398"/>
        <v>0</v>
      </c>
      <c r="R1644" s="96"/>
      <c r="S1644" s="97">
        <f t="shared" si="399"/>
        <v>0</v>
      </c>
      <c r="T1644" s="98">
        <f t="shared" si="394"/>
        <v>0</v>
      </c>
    </row>
    <row r="1645" spans="2:31" ht="20.100000000000001" customHeight="1">
      <c r="B1645" s="88">
        <v>13</v>
      </c>
      <c r="C1645" s="89" t="s">
        <v>3581</v>
      </c>
      <c r="D1645" s="189" t="s">
        <v>3617</v>
      </c>
      <c r="E1645" s="190" t="s">
        <v>3618</v>
      </c>
      <c r="F1645" s="315">
        <v>8.8000000000000007</v>
      </c>
      <c r="G1645" s="260"/>
      <c r="H1645" s="260"/>
      <c r="I1645" s="309"/>
      <c r="J1645" s="199"/>
      <c r="K1645" s="269"/>
      <c r="L1645" s="93">
        <f t="shared" si="375"/>
        <v>0</v>
      </c>
      <c r="M1645" s="183"/>
      <c r="N1645" s="95">
        <f t="shared" si="395"/>
        <v>0</v>
      </c>
      <c r="O1645" s="95">
        <f t="shared" si="396"/>
        <v>0</v>
      </c>
      <c r="P1645" s="94">
        <f t="shared" si="397"/>
        <v>0</v>
      </c>
      <c r="Q1645" s="95">
        <f t="shared" si="398"/>
        <v>0</v>
      </c>
      <c r="R1645" s="96" t="s">
        <v>3619</v>
      </c>
      <c r="S1645" s="97">
        <f t="shared" si="399"/>
        <v>24</v>
      </c>
      <c r="T1645" s="98">
        <f t="shared" si="394"/>
        <v>-24</v>
      </c>
      <c r="U1645">
        <f>20+1</f>
        <v>21</v>
      </c>
      <c r="W1645">
        <v>3</v>
      </c>
      <c r="X1645" t="s">
        <v>549</v>
      </c>
      <c r="AD1645">
        <f>W1645</f>
        <v>3</v>
      </c>
      <c r="AE1645" s="100">
        <f>AD1645*F1645</f>
        <v>26.400000000000002</v>
      </c>
    </row>
    <row r="1646" spans="2:31" ht="20.100000000000001" customHeight="1">
      <c r="B1646" s="88">
        <v>13</v>
      </c>
      <c r="C1646" s="89" t="s">
        <v>3581</v>
      </c>
      <c r="D1646" s="189" t="s">
        <v>3620</v>
      </c>
      <c r="E1646" s="190" t="s">
        <v>3621</v>
      </c>
      <c r="F1646" s="315">
        <v>11.5</v>
      </c>
      <c r="G1646" s="260"/>
      <c r="H1646" s="260"/>
      <c r="I1646" s="309"/>
      <c r="J1646" s="199"/>
      <c r="K1646" s="269"/>
      <c r="L1646" s="93">
        <f t="shared" si="375"/>
        <v>0</v>
      </c>
      <c r="M1646" s="183"/>
      <c r="N1646" s="95">
        <f t="shared" si="395"/>
        <v>0</v>
      </c>
      <c r="O1646" s="95">
        <f t="shared" si="396"/>
        <v>0</v>
      </c>
      <c r="P1646" s="94">
        <f t="shared" si="397"/>
        <v>0</v>
      </c>
      <c r="Q1646" s="95">
        <f t="shared" si="398"/>
        <v>0</v>
      </c>
      <c r="R1646" s="96" t="s">
        <v>3622</v>
      </c>
      <c r="S1646" s="97">
        <f t="shared" si="399"/>
        <v>10</v>
      </c>
      <c r="T1646" s="98">
        <f t="shared" si="394"/>
        <v>-10</v>
      </c>
      <c r="U1646">
        <v>1</v>
      </c>
      <c r="W1646">
        <v>8</v>
      </c>
      <c r="X1646" t="s">
        <v>549</v>
      </c>
      <c r="AA1646">
        <v>1</v>
      </c>
      <c r="AB1646" s="99" t="s">
        <v>1736</v>
      </c>
      <c r="AD1646">
        <f>W1646+AA1646</f>
        <v>9</v>
      </c>
      <c r="AE1646" s="100">
        <f>AD1646*F1646</f>
        <v>103.5</v>
      </c>
    </row>
    <row r="1647" spans="2:31" ht="20.100000000000001" customHeight="1">
      <c r="B1647" s="88">
        <v>13</v>
      </c>
      <c r="C1647" s="89" t="s">
        <v>3581</v>
      </c>
      <c r="D1647" s="189" t="s">
        <v>3623</v>
      </c>
      <c r="E1647" s="190" t="s">
        <v>3624</v>
      </c>
      <c r="F1647" s="315">
        <v>11.5</v>
      </c>
      <c r="G1647" s="260"/>
      <c r="H1647" s="260"/>
      <c r="I1647" s="309"/>
      <c r="J1647" s="199"/>
      <c r="K1647" s="269"/>
      <c r="L1647" s="93">
        <f t="shared" si="375"/>
        <v>0</v>
      </c>
      <c r="M1647" s="183"/>
      <c r="N1647" s="95">
        <f t="shared" si="395"/>
        <v>0</v>
      </c>
      <c r="O1647" s="95">
        <f t="shared" si="396"/>
        <v>0</v>
      </c>
      <c r="P1647" s="94">
        <f t="shared" si="397"/>
        <v>0</v>
      </c>
      <c r="Q1647" s="95">
        <f t="shared" si="398"/>
        <v>0</v>
      </c>
      <c r="R1647" s="96"/>
      <c r="S1647" s="97">
        <f t="shared" si="399"/>
        <v>60</v>
      </c>
      <c r="T1647" s="98">
        <f t="shared" si="394"/>
        <v>-60</v>
      </c>
      <c r="AA1647">
        <f>24+24+12</f>
        <v>60</v>
      </c>
      <c r="AB1647" s="99" t="s">
        <v>605</v>
      </c>
      <c r="AD1647">
        <f>AA1647</f>
        <v>60</v>
      </c>
      <c r="AE1647" s="100">
        <f>AD1647*F1647</f>
        <v>690</v>
      </c>
    </row>
    <row r="1648" spans="2:31" ht="20.100000000000001" customHeight="1">
      <c r="B1648" s="88">
        <v>13</v>
      </c>
      <c r="C1648" s="89" t="s">
        <v>3581</v>
      </c>
      <c r="D1648" s="90" t="s">
        <v>3623</v>
      </c>
      <c r="E1648" s="91" t="s">
        <v>3624</v>
      </c>
      <c r="F1648" s="315">
        <v>11.5</v>
      </c>
      <c r="G1648" s="260"/>
      <c r="H1648" s="260"/>
      <c r="I1648" s="309"/>
      <c r="J1648" s="199"/>
      <c r="K1648" s="269"/>
      <c r="L1648" s="93">
        <f t="shared" si="375"/>
        <v>0</v>
      </c>
      <c r="M1648" s="183"/>
      <c r="N1648" s="95">
        <f t="shared" si="395"/>
        <v>0</v>
      </c>
      <c r="O1648" s="95">
        <f t="shared" si="396"/>
        <v>0</v>
      </c>
      <c r="P1648" s="94">
        <f t="shared" si="397"/>
        <v>0</v>
      </c>
      <c r="Q1648" s="95">
        <f t="shared" si="398"/>
        <v>0</v>
      </c>
      <c r="R1648" s="96"/>
      <c r="S1648" s="97">
        <f t="shared" si="399"/>
        <v>0</v>
      </c>
      <c r="T1648" s="98">
        <f t="shared" si="394"/>
        <v>0</v>
      </c>
    </row>
    <row r="1649" spans="2:21" ht="20.100000000000001" customHeight="1">
      <c r="B1649" s="88">
        <v>13</v>
      </c>
      <c r="C1649" s="89" t="s">
        <v>3581</v>
      </c>
      <c r="D1649" s="90" t="s">
        <v>3625</v>
      </c>
      <c r="E1649" s="91" t="s">
        <v>3626</v>
      </c>
      <c r="F1649" s="315">
        <v>15.5</v>
      </c>
      <c r="G1649" s="260"/>
      <c r="H1649" s="260"/>
      <c r="I1649" s="309"/>
      <c r="J1649" s="199"/>
      <c r="K1649" s="269"/>
      <c r="L1649" s="93">
        <f t="shared" si="375"/>
        <v>0</v>
      </c>
      <c r="M1649" s="183"/>
      <c r="N1649" s="95">
        <f t="shared" si="395"/>
        <v>0</v>
      </c>
      <c r="O1649" s="95">
        <f t="shared" si="396"/>
        <v>0</v>
      </c>
      <c r="P1649" s="94">
        <f t="shared" si="397"/>
        <v>0</v>
      </c>
      <c r="Q1649" s="95">
        <f t="shared" si="398"/>
        <v>0</v>
      </c>
      <c r="R1649" s="96"/>
      <c r="S1649" s="97">
        <f t="shared" si="399"/>
        <v>0</v>
      </c>
      <c r="T1649" s="98">
        <f t="shared" si="394"/>
        <v>0</v>
      </c>
    </row>
    <row r="1650" spans="2:21" s="38" customFormat="1" ht="20.100000000000001" customHeight="1">
      <c r="B1650" s="182">
        <v>13</v>
      </c>
      <c r="C1650" s="198" t="s">
        <v>3581</v>
      </c>
      <c r="D1650" s="171" t="s">
        <v>3627</v>
      </c>
      <c r="E1650" s="194" t="s">
        <v>3628</v>
      </c>
      <c r="F1650" s="316">
        <v>59.58</v>
      </c>
      <c r="G1650" s="260">
        <v>44</v>
      </c>
      <c r="H1650" s="260"/>
      <c r="I1650" s="309"/>
      <c r="J1650" s="199"/>
      <c r="K1650" s="269">
        <v>1</v>
      </c>
      <c r="L1650" s="93">
        <f t="shared" ref="L1650:L1713" si="400">G1650+I1650-J1650-K1650+H1650</f>
        <v>43</v>
      </c>
      <c r="M1650" s="183">
        <v>43</v>
      </c>
      <c r="N1650" s="95">
        <f t="shared" si="395"/>
        <v>2561.94</v>
      </c>
      <c r="O1650" s="95">
        <f t="shared" si="396"/>
        <v>2561.94</v>
      </c>
      <c r="P1650" s="200">
        <f t="shared" si="397"/>
        <v>0</v>
      </c>
      <c r="Q1650" s="172">
        <f t="shared" si="398"/>
        <v>0</v>
      </c>
      <c r="R1650" s="201"/>
      <c r="S1650" s="202">
        <f t="shared" si="399"/>
        <v>0</v>
      </c>
      <c r="T1650" s="203">
        <f t="shared" si="394"/>
        <v>43</v>
      </c>
    </row>
    <row r="1651" spans="2:21" ht="20.100000000000001" customHeight="1">
      <c r="B1651" s="88">
        <v>13</v>
      </c>
      <c r="C1651" s="89" t="s">
        <v>3581</v>
      </c>
      <c r="D1651" s="90" t="s">
        <v>3627</v>
      </c>
      <c r="E1651" s="91" t="s">
        <v>3628</v>
      </c>
      <c r="F1651" s="315">
        <v>59.58</v>
      </c>
      <c r="G1651" s="260"/>
      <c r="H1651" s="260"/>
      <c r="I1651" s="309"/>
      <c r="J1651" s="199"/>
      <c r="K1651" s="269"/>
      <c r="L1651" s="93">
        <f t="shared" si="400"/>
        <v>0</v>
      </c>
      <c r="M1651" s="183"/>
      <c r="N1651" s="95">
        <f t="shared" si="395"/>
        <v>0</v>
      </c>
      <c r="O1651" s="95">
        <f t="shared" si="396"/>
        <v>0</v>
      </c>
      <c r="P1651" s="94">
        <f t="shared" si="397"/>
        <v>0</v>
      </c>
      <c r="Q1651" s="95">
        <f t="shared" si="398"/>
        <v>0</v>
      </c>
      <c r="R1651" s="96"/>
      <c r="S1651" s="97">
        <f t="shared" si="399"/>
        <v>0</v>
      </c>
      <c r="T1651" s="98">
        <f t="shared" si="394"/>
        <v>0</v>
      </c>
    </row>
    <row r="1652" spans="2:21" ht="20.100000000000001" customHeight="1">
      <c r="B1652" s="88">
        <v>13</v>
      </c>
      <c r="C1652" s="89" t="s">
        <v>3581</v>
      </c>
      <c r="D1652" s="90" t="s">
        <v>3627</v>
      </c>
      <c r="E1652" s="91" t="s">
        <v>3628</v>
      </c>
      <c r="F1652" s="315">
        <v>59.58</v>
      </c>
      <c r="G1652" s="260"/>
      <c r="H1652" s="260"/>
      <c r="I1652" s="309"/>
      <c r="J1652" s="199"/>
      <c r="K1652" s="269"/>
      <c r="L1652" s="93">
        <f t="shared" si="400"/>
        <v>0</v>
      </c>
      <c r="M1652" s="183"/>
      <c r="N1652" s="95">
        <f t="shared" si="395"/>
        <v>0</v>
      </c>
      <c r="O1652" s="95">
        <f t="shared" si="396"/>
        <v>0</v>
      </c>
      <c r="P1652" s="94">
        <f t="shared" si="397"/>
        <v>0</v>
      </c>
      <c r="Q1652" s="95">
        <f t="shared" si="398"/>
        <v>0</v>
      </c>
      <c r="R1652" s="96"/>
      <c r="S1652" s="97">
        <f t="shared" si="399"/>
        <v>0</v>
      </c>
      <c r="T1652" s="98">
        <f t="shared" si="394"/>
        <v>0</v>
      </c>
    </row>
    <row r="1653" spans="2:21" ht="20.100000000000001" customHeight="1">
      <c r="B1653" s="88">
        <v>13</v>
      </c>
      <c r="C1653" s="89" t="s">
        <v>3581</v>
      </c>
      <c r="D1653" s="90" t="s">
        <v>3629</v>
      </c>
      <c r="E1653" s="91" t="s">
        <v>3630</v>
      </c>
      <c r="F1653" s="315">
        <v>21.92</v>
      </c>
      <c r="G1653" s="260"/>
      <c r="H1653" s="260"/>
      <c r="I1653" s="309"/>
      <c r="J1653" s="199"/>
      <c r="K1653" s="269"/>
      <c r="L1653" s="93">
        <f t="shared" si="400"/>
        <v>0</v>
      </c>
      <c r="M1653" s="183"/>
      <c r="N1653" s="95">
        <f t="shared" si="395"/>
        <v>0</v>
      </c>
      <c r="O1653" s="95">
        <f t="shared" si="396"/>
        <v>0</v>
      </c>
      <c r="P1653" s="94">
        <f t="shared" si="397"/>
        <v>0</v>
      </c>
      <c r="Q1653" s="95">
        <f t="shared" si="398"/>
        <v>0</v>
      </c>
      <c r="R1653" s="96"/>
      <c r="S1653" s="97">
        <f t="shared" si="399"/>
        <v>0</v>
      </c>
      <c r="T1653" s="98">
        <f t="shared" si="394"/>
        <v>0</v>
      </c>
    </row>
    <row r="1654" spans="2:21" ht="20.100000000000001" customHeight="1">
      <c r="B1654" s="88">
        <v>13</v>
      </c>
      <c r="C1654" s="89" t="s">
        <v>3581</v>
      </c>
      <c r="D1654" s="90" t="s">
        <v>3629</v>
      </c>
      <c r="E1654" s="91" t="s">
        <v>3630</v>
      </c>
      <c r="F1654" s="315">
        <v>21.92</v>
      </c>
      <c r="G1654" s="260"/>
      <c r="H1654" s="260"/>
      <c r="I1654" s="309"/>
      <c r="J1654" s="199"/>
      <c r="K1654" s="269"/>
      <c r="L1654" s="93">
        <f t="shared" si="400"/>
        <v>0</v>
      </c>
      <c r="M1654" s="183"/>
      <c r="N1654" s="95">
        <f t="shared" si="395"/>
        <v>0</v>
      </c>
      <c r="O1654" s="95">
        <f t="shared" si="396"/>
        <v>0</v>
      </c>
      <c r="P1654" s="94">
        <f t="shared" si="397"/>
        <v>0</v>
      </c>
      <c r="Q1654" s="95">
        <f t="shared" si="398"/>
        <v>0</v>
      </c>
      <c r="R1654" s="96"/>
      <c r="S1654" s="97">
        <f t="shared" si="399"/>
        <v>0</v>
      </c>
      <c r="T1654" s="98">
        <f t="shared" si="394"/>
        <v>0</v>
      </c>
    </row>
    <row r="1655" spans="2:21" ht="20.100000000000001" customHeight="1">
      <c r="B1655" s="88">
        <v>13</v>
      </c>
      <c r="C1655" s="89" t="s">
        <v>3581</v>
      </c>
      <c r="D1655" s="189" t="s">
        <v>3631</v>
      </c>
      <c r="E1655" s="190" t="s">
        <v>3632</v>
      </c>
      <c r="F1655" s="315">
        <v>7.08</v>
      </c>
      <c r="G1655" s="260"/>
      <c r="H1655" s="260"/>
      <c r="I1655" s="309"/>
      <c r="J1655" s="199"/>
      <c r="K1655" s="269"/>
      <c r="L1655" s="93">
        <f t="shared" si="400"/>
        <v>0</v>
      </c>
      <c r="M1655" s="183"/>
      <c r="N1655" s="95">
        <f t="shared" si="395"/>
        <v>0</v>
      </c>
      <c r="O1655" s="95">
        <f t="shared" si="396"/>
        <v>0</v>
      </c>
      <c r="P1655" s="94">
        <f t="shared" si="397"/>
        <v>0</v>
      </c>
      <c r="Q1655" s="95">
        <f t="shared" si="398"/>
        <v>0</v>
      </c>
      <c r="R1655" s="96"/>
      <c r="S1655" s="97">
        <f t="shared" si="399"/>
        <v>76</v>
      </c>
      <c r="T1655" s="98">
        <f t="shared" si="394"/>
        <v>-76</v>
      </c>
      <c r="U1655">
        <f>1+11+64</f>
        <v>76</v>
      </c>
    </row>
    <row r="1656" spans="2:21" s="38" customFormat="1" ht="20.100000000000001" customHeight="1">
      <c r="B1656" s="182">
        <v>13</v>
      </c>
      <c r="C1656" s="198" t="s">
        <v>3581</v>
      </c>
      <c r="D1656" s="171" t="s">
        <v>3633</v>
      </c>
      <c r="E1656" s="194" t="s">
        <v>3634</v>
      </c>
      <c r="F1656" s="316">
        <v>16.170000000000002</v>
      </c>
      <c r="G1656" s="260">
        <v>54</v>
      </c>
      <c r="H1656" s="260"/>
      <c r="I1656" s="309"/>
      <c r="J1656" s="199"/>
      <c r="K1656" s="269"/>
      <c r="L1656" s="93">
        <f t="shared" si="400"/>
        <v>54</v>
      </c>
      <c r="M1656" s="183">
        <v>54</v>
      </c>
      <c r="N1656" s="95">
        <f t="shared" si="395"/>
        <v>873.18000000000006</v>
      </c>
      <c r="O1656" s="95">
        <f t="shared" si="396"/>
        <v>873.18000000000006</v>
      </c>
      <c r="P1656" s="200">
        <f t="shared" si="397"/>
        <v>0</v>
      </c>
      <c r="Q1656" s="172">
        <f t="shared" si="398"/>
        <v>0</v>
      </c>
      <c r="R1656" s="201"/>
      <c r="S1656" s="202">
        <f t="shared" si="399"/>
        <v>0</v>
      </c>
      <c r="T1656" s="203">
        <f t="shared" si="394"/>
        <v>54</v>
      </c>
    </row>
    <row r="1657" spans="2:21" s="38" customFormat="1" ht="20.100000000000001" customHeight="1">
      <c r="B1657" s="182">
        <v>13</v>
      </c>
      <c r="C1657" s="198" t="s">
        <v>3581</v>
      </c>
      <c r="D1657" s="171" t="s">
        <v>3635</v>
      </c>
      <c r="E1657" s="194" t="s">
        <v>3636</v>
      </c>
      <c r="F1657" s="316">
        <v>15.67</v>
      </c>
      <c r="G1657" s="260">
        <v>21</v>
      </c>
      <c r="H1657" s="260"/>
      <c r="I1657" s="309"/>
      <c r="J1657" s="199"/>
      <c r="K1657" s="269"/>
      <c r="L1657" s="93">
        <f t="shared" si="400"/>
        <v>21</v>
      </c>
      <c r="M1657" s="183">
        <v>21</v>
      </c>
      <c r="N1657" s="95">
        <f t="shared" si="395"/>
        <v>329.07</v>
      </c>
      <c r="O1657" s="95">
        <f t="shared" si="396"/>
        <v>329.07</v>
      </c>
      <c r="P1657" s="200">
        <f t="shared" si="397"/>
        <v>0</v>
      </c>
      <c r="Q1657" s="172">
        <f t="shared" si="398"/>
        <v>0</v>
      </c>
      <c r="R1657" s="201"/>
      <c r="S1657" s="202">
        <f t="shared" si="399"/>
        <v>0</v>
      </c>
      <c r="T1657" s="203">
        <f t="shared" si="394"/>
        <v>21</v>
      </c>
    </row>
    <row r="1658" spans="2:21" ht="20.100000000000001" customHeight="1">
      <c r="B1658" s="88">
        <v>13</v>
      </c>
      <c r="C1658" s="89" t="s">
        <v>3581</v>
      </c>
      <c r="D1658" s="90" t="s">
        <v>3637</v>
      </c>
      <c r="E1658" s="91" t="s">
        <v>3638</v>
      </c>
      <c r="F1658" s="315">
        <v>11.83</v>
      </c>
      <c r="G1658" s="260">
        <v>25</v>
      </c>
      <c r="H1658" s="260"/>
      <c r="I1658" s="309"/>
      <c r="J1658" s="199"/>
      <c r="K1658" s="269"/>
      <c r="L1658" s="93">
        <f t="shared" si="400"/>
        <v>25</v>
      </c>
      <c r="M1658" s="183">
        <v>25</v>
      </c>
      <c r="N1658" s="95">
        <f t="shared" si="395"/>
        <v>295.75</v>
      </c>
      <c r="O1658" s="95">
        <f t="shared" si="396"/>
        <v>295.75</v>
      </c>
      <c r="P1658" s="94">
        <f t="shared" si="397"/>
        <v>0</v>
      </c>
      <c r="Q1658" s="95">
        <f t="shared" si="398"/>
        <v>0</v>
      </c>
      <c r="R1658" s="96"/>
      <c r="S1658" s="97">
        <f t="shared" si="399"/>
        <v>0</v>
      </c>
      <c r="T1658" s="98">
        <f t="shared" si="394"/>
        <v>25</v>
      </c>
    </row>
    <row r="1659" spans="2:21" ht="20.100000000000001" customHeight="1">
      <c r="B1659" s="88">
        <v>13</v>
      </c>
      <c r="C1659" s="89" t="s">
        <v>3581</v>
      </c>
      <c r="D1659" s="90" t="s">
        <v>3637</v>
      </c>
      <c r="E1659" s="91" t="s">
        <v>3638</v>
      </c>
      <c r="F1659" s="315">
        <v>11.83</v>
      </c>
      <c r="G1659" s="260"/>
      <c r="H1659" s="260"/>
      <c r="I1659" s="309"/>
      <c r="J1659" s="199"/>
      <c r="K1659" s="269"/>
      <c r="L1659" s="93">
        <f t="shared" si="400"/>
        <v>0</v>
      </c>
      <c r="M1659" s="183"/>
      <c r="N1659" s="95">
        <f t="shared" si="395"/>
        <v>0</v>
      </c>
      <c r="O1659" s="95">
        <f t="shared" si="396"/>
        <v>0</v>
      </c>
      <c r="P1659" s="94">
        <f t="shared" si="397"/>
        <v>0</v>
      </c>
      <c r="Q1659" s="95">
        <f t="shared" si="398"/>
        <v>0</v>
      </c>
      <c r="R1659" s="96"/>
      <c r="S1659" s="97">
        <f t="shared" si="399"/>
        <v>0</v>
      </c>
      <c r="T1659" s="98">
        <f t="shared" si="394"/>
        <v>0</v>
      </c>
    </row>
    <row r="1660" spans="2:21" ht="20.100000000000001" customHeight="1">
      <c r="B1660" s="88">
        <v>13</v>
      </c>
      <c r="C1660" s="89" t="s">
        <v>3581</v>
      </c>
      <c r="D1660" s="90" t="s">
        <v>3637</v>
      </c>
      <c r="E1660" s="91" t="s">
        <v>3638</v>
      </c>
      <c r="F1660" s="315">
        <v>11.83</v>
      </c>
      <c r="G1660" s="260"/>
      <c r="H1660" s="260"/>
      <c r="I1660" s="309"/>
      <c r="J1660" s="199"/>
      <c r="K1660" s="269"/>
      <c r="L1660" s="93">
        <f t="shared" si="400"/>
        <v>0</v>
      </c>
      <c r="M1660" s="183"/>
      <c r="N1660" s="95">
        <f t="shared" si="395"/>
        <v>0</v>
      </c>
      <c r="O1660" s="95">
        <f t="shared" si="396"/>
        <v>0</v>
      </c>
      <c r="P1660" s="94">
        <f t="shared" si="397"/>
        <v>0</v>
      </c>
      <c r="Q1660" s="95">
        <f t="shared" si="398"/>
        <v>0</v>
      </c>
      <c r="R1660" s="96"/>
      <c r="S1660" s="97">
        <f t="shared" si="399"/>
        <v>0</v>
      </c>
      <c r="T1660" s="98">
        <f t="shared" si="394"/>
        <v>0</v>
      </c>
    </row>
    <row r="1661" spans="2:21" s="38" customFormat="1" ht="20.100000000000001" customHeight="1">
      <c r="B1661" s="182">
        <v>13</v>
      </c>
      <c r="C1661" s="198" t="s">
        <v>3581</v>
      </c>
      <c r="D1661" s="171" t="s">
        <v>3639</v>
      </c>
      <c r="E1661" s="194" t="s">
        <v>3640</v>
      </c>
      <c r="F1661" s="316">
        <v>59.58</v>
      </c>
      <c r="G1661" s="260">
        <v>22</v>
      </c>
      <c r="H1661" s="260"/>
      <c r="I1661" s="309"/>
      <c r="J1661" s="199"/>
      <c r="K1661" s="269">
        <v>9</v>
      </c>
      <c r="L1661" s="93">
        <f t="shared" si="400"/>
        <v>13</v>
      </c>
      <c r="M1661" s="183">
        <v>13</v>
      </c>
      <c r="N1661" s="95">
        <f t="shared" si="395"/>
        <v>774.54</v>
      </c>
      <c r="O1661" s="95">
        <f t="shared" si="396"/>
        <v>774.54</v>
      </c>
      <c r="P1661" s="200">
        <f t="shared" si="397"/>
        <v>0</v>
      </c>
      <c r="Q1661" s="172">
        <f t="shared" si="398"/>
        <v>0</v>
      </c>
      <c r="R1661" s="201"/>
      <c r="S1661" s="202">
        <f t="shared" si="399"/>
        <v>4</v>
      </c>
      <c r="T1661" s="203">
        <f t="shared" si="394"/>
        <v>9</v>
      </c>
      <c r="U1661" s="38">
        <v>4</v>
      </c>
    </row>
    <row r="1662" spans="2:21" ht="20.100000000000001" customHeight="1">
      <c r="B1662" s="88">
        <v>13</v>
      </c>
      <c r="C1662" s="89" t="s">
        <v>3581</v>
      </c>
      <c r="D1662" s="90" t="s">
        <v>3639</v>
      </c>
      <c r="E1662" s="91" t="s">
        <v>3640</v>
      </c>
      <c r="F1662" s="315">
        <v>59.58</v>
      </c>
      <c r="G1662" s="260"/>
      <c r="H1662" s="260"/>
      <c r="I1662" s="309"/>
      <c r="J1662" s="199"/>
      <c r="K1662" s="269"/>
      <c r="L1662" s="93">
        <f t="shared" si="400"/>
        <v>0</v>
      </c>
      <c r="M1662" s="183"/>
      <c r="N1662" s="95">
        <f t="shared" si="395"/>
        <v>0</v>
      </c>
      <c r="O1662" s="95">
        <f t="shared" si="396"/>
        <v>0</v>
      </c>
      <c r="P1662" s="94">
        <f t="shared" si="397"/>
        <v>0</v>
      </c>
      <c r="Q1662" s="95">
        <f t="shared" si="398"/>
        <v>0</v>
      </c>
      <c r="R1662" s="96"/>
      <c r="S1662" s="97">
        <f t="shared" si="399"/>
        <v>0</v>
      </c>
      <c r="T1662" s="98">
        <f t="shared" si="394"/>
        <v>0</v>
      </c>
    </row>
    <row r="1663" spans="2:21" ht="20.100000000000001" customHeight="1">
      <c r="B1663" s="88">
        <v>13</v>
      </c>
      <c r="C1663" s="89" t="s">
        <v>3581</v>
      </c>
      <c r="D1663" s="90" t="s">
        <v>3639</v>
      </c>
      <c r="E1663" s="91" t="s">
        <v>3640</v>
      </c>
      <c r="F1663" s="315">
        <v>59.58</v>
      </c>
      <c r="G1663" s="260"/>
      <c r="H1663" s="260"/>
      <c r="I1663" s="309"/>
      <c r="J1663" s="199"/>
      <c r="K1663" s="269"/>
      <c r="L1663" s="93">
        <f t="shared" si="400"/>
        <v>0</v>
      </c>
      <c r="M1663" s="183"/>
      <c r="N1663" s="95">
        <f t="shared" si="395"/>
        <v>0</v>
      </c>
      <c r="O1663" s="95">
        <f t="shared" si="396"/>
        <v>0</v>
      </c>
      <c r="P1663" s="94">
        <f t="shared" si="397"/>
        <v>0</v>
      </c>
      <c r="Q1663" s="95">
        <f t="shared" si="398"/>
        <v>0</v>
      </c>
      <c r="R1663" s="96"/>
      <c r="S1663" s="97">
        <f t="shared" si="399"/>
        <v>0</v>
      </c>
      <c r="T1663" s="98">
        <f t="shared" si="394"/>
        <v>0</v>
      </c>
    </row>
    <row r="1664" spans="2:21" ht="20.100000000000001" customHeight="1">
      <c r="B1664" s="88">
        <v>13</v>
      </c>
      <c r="C1664" s="89" t="s">
        <v>3581</v>
      </c>
      <c r="D1664" s="189" t="s">
        <v>3641</v>
      </c>
      <c r="E1664" s="190" t="s">
        <v>3642</v>
      </c>
      <c r="F1664" s="315">
        <v>7.33</v>
      </c>
      <c r="G1664" s="260"/>
      <c r="H1664" s="260"/>
      <c r="I1664" s="309"/>
      <c r="J1664" s="199"/>
      <c r="K1664" s="269"/>
      <c r="L1664" s="93">
        <f t="shared" si="400"/>
        <v>0</v>
      </c>
      <c r="M1664" s="183"/>
      <c r="N1664" s="95">
        <f t="shared" si="395"/>
        <v>0</v>
      </c>
      <c r="O1664" s="95">
        <f t="shared" si="396"/>
        <v>0</v>
      </c>
      <c r="P1664" s="94">
        <f t="shared" si="397"/>
        <v>0</v>
      </c>
      <c r="Q1664" s="95">
        <f t="shared" si="398"/>
        <v>0</v>
      </c>
      <c r="R1664" s="96"/>
      <c r="S1664" s="97">
        <f t="shared" si="399"/>
        <v>57</v>
      </c>
      <c r="T1664" s="98">
        <f t="shared" si="394"/>
        <v>-57</v>
      </c>
      <c r="U1664">
        <f>6+3+48</f>
        <v>57</v>
      </c>
    </row>
    <row r="1665" spans="2:21" ht="20.100000000000001" customHeight="1">
      <c r="B1665" s="88">
        <v>13</v>
      </c>
      <c r="C1665" s="89" t="s">
        <v>3581</v>
      </c>
      <c r="D1665" s="90" t="s">
        <v>3641</v>
      </c>
      <c r="E1665" s="91" t="s">
        <v>3642</v>
      </c>
      <c r="F1665" s="315">
        <v>7.33</v>
      </c>
      <c r="G1665" s="260"/>
      <c r="H1665" s="260"/>
      <c r="I1665" s="309"/>
      <c r="J1665" s="199"/>
      <c r="K1665" s="269"/>
      <c r="L1665" s="93">
        <f t="shared" si="400"/>
        <v>0</v>
      </c>
      <c r="M1665" s="183"/>
      <c r="N1665" s="95">
        <f t="shared" si="395"/>
        <v>0</v>
      </c>
      <c r="O1665" s="95">
        <f t="shared" si="396"/>
        <v>0</v>
      </c>
      <c r="P1665" s="94">
        <f t="shared" si="397"/>
        <v>0</v>
      </c>
      <c r="Q1665" s="95">
        <f t="shared" si="398"/>
        <v>0</v>
      </c>
      <c r="R1665" s="96"/>
      <c r="S1665" s="97">
        <f t="shared" si="399"/>
        <v>0</v>
      </c>
      <c r="T1665" s="98">
        <f t="shared" si="394"/>
        <v>0</v>
      </c>
    </row>
    <row r="1666" spans="2:21" ht="20.100000000000001" customHeight="1">
      <c r="B1666" s="88">
        <v>13</v>
      </c>
      <c r="C1666" s="89" t="s">
        <v>3581</v>
      </c>
      <c r="D1666" s="90" t="s">
        <v>3643</v>
      </c>
      <c r="E1666" s="91" t="s">
        <v>3644</v>
      </c>
      <c r="F1666" s="315">
        <v>21.92</v>
      </c>
      <c r="G1666" s="260"/>
      <c r="H1666" s="260"/>
      <c r="I1666" s="309"/>
      <c r="J1666" s="199"/>
      <c r="K1666" s="269"/>
      <c r="L1666" s="93">
        <f t="shared" si="400"/>
        <v>0</v>
      </c>
      <c r="M1666" s="183"/>
      <c r="N1666" s="95">
        <f t="shared" si="395"/>
        <v>0</v>
      </c>
      <c r="O1666" s="95">
        <f t="shared" si="396"/>
        <v>0</v>
      </c>
      <c r="P1666" s="94">
        <f t="shared" si="397"/>
        <v>0</v>
      </c>
      <c r="Q1666" s="95">
        <f t="shared" si="398"/>
        <v>0</v>
      </c>
      <c r="R1666" s="96"/>
      <c r="S1666" s="97">
        <f t="shared" si="399"/>
        <v>0</v>
      </c>
      <c r="T1666" s="98">
        <f t="shared" si="394"/>
        <v>0</v>
      </c>
    </row>
    <row r="1667" spans="2:21" ht="20.100000000000001" customHeight="1">
      <c r="B1667" s="88">
        <v>13</v>
      </c>
      <c r="C1667" s="89" t="s">
        <v>3581</v>
      </c>
      <c r="D1667" s="90" t="s">
        <v>3643</v>
      </c>
      <c r="E1667" s="91" t="s">
        <v>3644</v>
      </c>
      <c r="F1667" s="315">
        <v>21.92</v>
      </c>
      <c r="G1667" s="260"/>
      <c r="H1667" s="260"/>
      <c r="I1667" s="309"/>
      <c r="J1667" s="199"/>
      <c r="K1667" s="269"/>
      <c r="L1667" s="93">
        <f t="shared" si="400"/>
        <v>0</v>
      </c>
      <c r="M1667" s="183"/>
      <c r="N1667" s="95">
        <f t="shared" si="395"/>
        <v>0</v>
      </c>
      <c r="O1667" s="95">
        <f t="shared" si="396"/>
        <v>0</v>
      </c>
      <c r="P1667" s="94">
        <f t="shared" si="397"/>
        <v>0</v>
      </c>
      <c r="Q1667" s="95">
        <f t="shared" si="398"/>
        <v>0</v>
      </c>
      <c r="R1667" s="96"/>
      <c r="S1667" s="97">
        <f t="shared" si="399"/>
        <v>0</v>
      </c>
      <c r="T1667" s="98">
        <f t="shared" si="394"/>
        <v>0</v>
      </c>
    </row>
    <row r="1668" spans="2:21" s="38" customFormat="1" ht="20.100000000000001" customHeight="1">
      <c r="B1668" s="182">
        <v>13</v>
      </c>
      <c r="C1668" s="198" t="s">
        <v>3581</v>
      </c>
      <c r="D1668" s="171" t="s">
        <v>3645</v>
      </c>
      <c r="E1668" s="194" t="s">
        <v>3646</v>
      </c>
      <c r="F1668" s="316">
        <v>16.170000000000002</v>
      </c>
      <c r="G1668" s="260">
        <v>16</v>
      </c>
      <c r="H1668" s="260"/>
      <c r="I1668" s="309"/>
      <c r="J1668" s="199"/>
      <c r="K1668" s="269"/>
      <c r="L1668" s="93">
        <f t="shared" si="400"/>
        <v>16</v>
      </c>
      <c r="M1668" s="183">
        <v>16</v>
      </c>
      <c r="N1668" s="95">
        <f t="shared" si="395"/>
        <v>258.72000000000003</v>
      </c>
      <c r="O1668" s="95">
        <f t="shared" si="396"/>
        <v>258.72000000000003</v>
      </c>
      <c r="P1668" s="200">
        <f t="shared" si="397"/>
        <v>0</v>
      </c>
      <c r="Q1668" s="172">
        <f t="shared" si="398"/>
        <v>0</v>
      </c>
      <c r="R1668" s="201"/>
      <c r="S1668" s="202">
        <f t="shared" si="399"/>
        <v>0</v>
      </c>
      <c r="T1668" s="203">
        <f t="shared" si="394"/>
        <v>16</v>
      </c>
    </row>
    <row r="1669" spans="2:21" s="38" customFormat="1" ht="20.100000000000001" customHeight="1">
      <c r="B1669" s="182">
        <v>13</v>
      </c>
      <c r="C1669" s="198" t="s">
        <v>3581</v>
      </c>
      <c r="D1669" s="171" t="s">
        <v>3647</v>
      </c>
      <c r="E1669" s="194" t="s">
        <v>3648</v>
      </c>
      <c r="F1669" s="316">
        <v>11.83</v>
      </c>
      <c r="G1669" s="260">
        <v>67</v>
      </c>
      <c r="H1669" s="260"/>
      <c r="I1669" s="309"/>
      <c r="J1669" s="199"/>
      <c r="K1669" s="269"/>
      <c r="L1669" s="93">
        <f t="shared" si="400"/>
        <v>67</v>
      </c>
      <c r="M1669" s="183">
        <v>67</v>
      </c>
      <c r="N1669" s="95">
        <f t="shared" si="395"/>
        <v>792.61</v>
      </c>
      <c r="O1669" s="95">
        <f t="shared" si="396"/>
        <v>792.61</v>
      </c>
      <c r="P1669" s="200">
        <f t="shared" si="397"/>
        <v>0</v>
      </c>
      <c r="Q1669" s="172">
        <f t="shared" si="398"/>
        <v>0</v>
      </c>
      <c r="R1669" s="201"/>
      <c r="S1669" s="202">
        <f t="shared" si="399"/>
        <v>0</v>
      </c>
      <c r="T1669" s="203">
        <f t="shared" si="394"/>
        <v>67</v>
      </c>
    </row>
    <row r="1670" spans="2:21" ht="20.100000000000001" customHeight="1">
      <c r="B1670" s="88">
        <v>13</v>
      </c>
      <c r="C1670" s="89" t="s">
        <v>3581</v>
      </c>
      <c r="D1670" s="90" t="s">
        <v>3647</v>
      </c>
      <c r="E1670" s="91" t="s">
        <v>3648</v>
      </c>
      <c r="F1670" s="315">
        <v>11.83</v>
      </c>
      <c r="G1670" s="260"/>
      <c r="H1670" s="260"/>
      <c r="I1670" s="309"/>
      <c r="J1670" s="199"/>
      <c r="K1670" s="269"/>
      <c r="L1670" s="93">
        <f t="shared" si="400"/>
        <v>0</v>
      </c>
      <c r="M1670" s="183"/>
      <c r="N1670" s="95">
        <f t="shared" si="395"/>
        <v>0</v>
      </c>
      <c r="O1670" s="95">
        <f t="shared" si="396"/>
        <v>0</v>
      </c>
      <c r="P1670" s="94">
        <f t="shared" si="397"/>
        <v>0</v>
      </c>
      <c r="Q1670" s="95">
        <f t="shared" si="398"/>
        <v>0</v>
      </c>
      <c r="R1670" s="96"/>
      <c r="S1670" s="97">
        <f t="shared" si="399"/>
        <v>0</v>
      </c>
      <c r="T1670" s="98">
        <f t="shared" si="394"/>
        <v>0</v>
      </c>
    </row>
    <row r="1671" spans="2:21" ht="20.100000000000001" customHeight="1">
      <c r="B1671" s="88">
        <v>13</v>
      </c>
      <c r="C1671" s="89" t="s">
        <v>3581</v>
      </c>
      <c r="D1671" s="90" t="s">
        <v>3649</v>
      </c>
      <c r="E1671" s="91" t="s">
        <v>3650</v>
      </c>
      <c r="F1671" s="315">
        <v>15.5</v>
      </c>
      <c r="G1671" s="260"/>
      <c r="H1671" s="260"/>
      <c r="I1671" s="309"/>
      <c r="J1671" s="199"/>
      <c r="K1671" s="269"/>
      <c r="L1671" s="93">
        <f t="shared" si="400"/>
        <v>0</v>
      </c>
      <c r="M1671" s="183"/>
      <c r="N1671" s="95">
        <f t="shared" si="395"/>
        <v>0</v>
      </c>
      <c r="O1671" s="95">
        <f t="shared" si="396"/>
        <v>0</v>
      </c>
      <c r="P1671" s="94">
        <f t="shared" si="397"/>
        <v>0</v>
      </c>
      <c r="Q1671" s="95">
        <f t="shared" si="398"/>
        <v>0</v>
      </c>
      <c r="R1671" s="96"/>
      <c r="S1671" s="97">
        <f t="shared" si="399"/>
        <v>13</v>
      </c>
      <c r="T1671" s="98">
        <f t="shared" si="394"/>
        <v>-13</v>
      </c>
      <c r="U1671">
        <v>13</v>
      </c>
    </row>
    <row r="1672" spans="2:21" ht="20.100000000000001" customHeight="1">
      <c r="B1672" s="88">
        <v>13</v>
      </c>
      <c r="C1672" s="89" t="s">
        <v>3581</v>
      </c>
      <c r="D1672" s="90" t="s">
        <v>3649</v>
      </c>
      <c r="E1672" s="91" t="s">
        <v>3650</v>
      </c>
      <c r="F1672" s="315">
        <v>15.5</v>
      </c>
      <c r="G1672" s="260"/>
      <c r="H1672" s="260"/>
      <c r="I1672" s="309"/>
      <c r="J1672" s="199"/>
      <c r="K1672" s="269"/>
      <c r="L1672" s="93">
        <f t="shared" si="400"/>
        <v>0</v>
      </c>
      <c r="M1672" s="183"/>
      <c r="N1672" s="95">
        <f t="shared" si="395"/>
        <v>0</v>
      </c>
      <c r="O1672" s="95">
        <f t="shared" si="396"/>
        <v>0</v>
      </c>
      <c r="P1672" s="94">
        <f t="shared" si="397"/>
        <v>0</v>
      </c>
      <c r="Q1672" s="95">
        <f t="shared" si="398"/>
        <v>0</v>
      </c>
      <c r="R1672" s="96"/>
      <c r="S1672" s="97">
        <f t="shared" si="399"/>
        <v>0</v>
      </c>
      <c r="T1672" s="98">
        <f t="shared" si="394"/>
        <v>0</v>
      </c>
    </row>
    <row r="1673" spans="2:21" ht="20.100000000000001" customHeight="1">
      <c r="B1673" s="88">
        <v>13</v>
      </c>
      <c r="C1673" s="89" t="s">
        <v>3581</v>
      </c>
      <c r="D1673" s="90" t="s">
        <v>3651</v>
      </c>
      <c r="E1673" s="91" t="s">
        <v>3652</v>
      </c>
      <c r="F1673" s="315">
        <v>7.03</v>
      </c>
      <c r="G1673" s="260"/>
      <c r="H1673" s="260"/>
      <c r="I1673" s="309"/>
      <c r="J1673" s="199"/>
      <c r="K1673" s="269"/>
      <c r="L1673" s="93">
        <f t="shared" si="400"/>
        <v>0</v>
      </c>
      <c r="M1673" s="183"/>
      <c r="N1673" s="95">
        <f t="shared" si="395"/>
        <v>0</v>
      </c>
      <c r="O1673" s="95">
        <f t="shared" si="396"/>
        <v>0</v>
      </c>
      <c r="P1673" s="94">
        <f t="shared" si="397"/>
        <v>0</v>
      </c>
      <c r="Q1673" s="95">
        <f t="shared" si="398"/>
        <v>0</v>
      </c>
      <c r="R1673" s="96"/>
      <c r="S1673" s="97">
        <f t="shared" si="399"/>
        <v>0</v>
      </c>
      <c r="T1673" s="98">
        <f t="shared" si="394"/>
        <v>0</v>
      </c>
    </row>
    <row r="1674" spans="2:21" ht="20.100000000000001" customHeight="1">
      <c r="B1674" s="88">
        <v>13</v>
      </c>
      <c r="C1674" s="89" t="s">
        <v>3581</v>
      </c>
      <c r="D1674" s="189" t="s">
        <v>3651</v>
      </c>
      <c r="E1674" s="190" t="s">
        <v>3652</v>
      </c>
      <c r="F1674" s="315">
        <v>7.03</v>
      </c>
      <c r="G1674" s="260"/>
      <c r="H1674" s="260"/>
      <c r="I1674" s="309"/>
      <c r="J1674" s="199"/>
      <c r="K1674" s="269"/>
      <c r="L1674" s="93">
        <f t="shared" si="400"/>
        <v>0</v>
      </c>
      <c r="M1674" s="183"/>
      <c r="N1674" s="95">
        <f t="shared" si="395"/>
        <v>0</v>
      </c>
      <c r="O1674" s="95">
        <f t="shared" si="396"/>
        <v>0</v>
      </c>
      <c r="P1674" s="94">
        <f t="shared" si="397"/>
        <v>0</v>
      </c>
      <c r="Q1674" s="95">
        <f t="shared" si="398"/>
        <v>0</v>
      </c>
      <c r="R1674" s="96"/>
      <c r="S1674" s="97">
        <f t="shared" si="399"/>
        <v>35</v>
      </c>
      <c r="T1674" s="98">
        <f t="shared" si="394"/>
        <v>-35</v>
      </c>
      <c r="U1674">
        <v>35</v>
      </c>
    </row>
    <row r="1675" spans="2:21" ht="20.100000000000001" customHeight="1">
      <c r="B1675" s="88">
        <v>13</v>
      </c>
      <c r="C1675" s="89" t="s">
        <v>3581</v>
      </c>
      <c r="D1675" s="90" t="s">
        <v>3651</v>
      </c>
      <c r="E1675" s="91" t="s">
        <v>3652</v>
      </c>
      <c r="F1675" s="315">
        <v>7.03</v>
      </c>
      <c r="G1675" s="260"/>
      <c r="H1675" s="260"/>
      <c r="I1675" s="309"/>
      <c r="J1675" s="199"/>
      <c r="K1675" s="269"/>
      <c r="L1675" s="93">
        <f t="shared" si="400"/>
        <v>0</v>
      </c>
      <c r="M1675" s="183"/>
      <c r="N1675" s="95">
        <f t="shared" si="395"/>
        <v>0</v>
      </c>
      <c r="O1675" s="95">
        <f t="shared" si="396"/>
        <v>0</v>
      </c>
      <c r="P1675" s="94">
        <f t="shared" si="397"/>
        <v>0</v>
      </c>
      <c r="Q1675" s="95">
        <f t="shared" si="398"/>
        <v>0</v>
      </c>
      <c r="R1675" s="96"/>
      <c r="S1675" s="97">
        <f t="shared" si="399"/>
        <v>0</v>
      </c>
      <c r="T1675" s="98">
        <f t="shared" si="394"/>
        <v>0</v>
      </c>
    </row>
    <row r="1676" spans="2:21" ht="20.100000000000001" customHeight="1">
      <c r="B1676" s="88">
        <v>13</v>
      </c>
      <c r="C1676" s="89" t="s">
        <v>3581</v>
      </c>
      <c r="D1676" s="90" t="s">
        <v>3651</v>
      </c>
      <c r="E1676" s="91" t="s">
        <v>3652</v>
      </c>
      <c r="F1676" s="315">
        <v>7.03</v>
      </c>
      <c r="G1676" s="260"/>
      <c r="H1676" s="260"/>
      <c r="I1676" s="309"/>
      <c r="J1676" s="199"/>
      <c r="K1676" s="269"/>
      <c r="L1676" s="93">
        <f t="shared" si="400"/>
        <v>0</v>
      </c>
      <c r="M1676" s="183"/>
      <c r="N1676" s="95">
        <f t="shared" si="395"/>
        <v>0</v>
      </c>
      <c r="O1676" s="95">
        <f t="shared" si="396"/>
        <v>0</v>
      </c>
      <c r="P1676" s="94">
        <f t="shared" si="397"/>
        <v>0</v>
      </c>
      <c r="Q1676" s="95">
        <f t="shared" si="398"/>
        <v>0</v>
      </c>
      <c r="R1676" s="96"/>
      <c r="S1676" s="97">
        <f t="shared" si="399"/>
        <v>0</v>
      </c>
      <c r="T1676" s="98">
        <f t="shared" si="394"/>
        <v>0</v>
      </c>
    </row>
    <row r="1677" spans="2:21" ht="20.100000000000001" customHeight="1">
      <c r="B1677" s="88">
        <v>13</v>
      </c>
      <c r="C1677" s="89" t="s">
        <v>3581</v>
      </c>
      <c r="D1677" s="90" t="s">
        <v>3653</v>
      </c>
      <c r="E1677" s="91" t="s">
        <v>3654</v>
      </c>
      <c r="F1677" s="315">
        <v>9.17</v>
      </c>
      <c r="G1677" s="260"/>
      <c r="H1677" s="260">
        <v>11</v>
      </c>
      <c r="I1677" s="309"/>
      <c r="J1677" s="199"/>
      <c r="K1677" s="269">
        <v>11</v>
      </c>
      <c r="L1677" s="93">
        <f t="shared" si="400"/>
        <v>0</v>
      </c>
      <c r="M1677" s="183"/>
      <c r="N1677" s="95">
        <f t="shared" si="395"/>
        <v>0</v>
      </c>
      <c r="O1677" s="95">
        <f t="shared" si="396"/>
        <v>0</v>
      </c>
      <c r="P1677" s="94">
        <f t="shared" si="397"/>
        <v>0</v>
      </c>
      <c r="Q1677" s="95">
        <f t="shared" si="398"/>
        <v>0</v>
      </c>
      <c r="R1677" s="96"/>
      <c r="S1677" s="97">
        <f t="shared" si="399"/>
        <v>0</v>
      </c>
      <c r="T1677" s="98">
        <f t="shared" si="394"/>
        <v>0</v>
      </c>
    </row>
    <row r="1678" spans="2:21" ht="20.100000000000001" customHeight="1">
      <c r="B1678" s="88">
        <v>13</v>
      </c>
      <c r="C1678" s="89" t="s">
        <v>3581</v>
      </c>
      <c r="D1678" s="189" t="s">
        <v>3653</v>
      </c>
      <c r="E1678" s="190" t="s">
        <v>3654</v>
      </c>
      <c r="F1678" s="315">
        <v>9.3800000000000008</v>
      </c>
      <c r="G1678" s="260"/>
      <c r="H1678" s="260"/>
      <c r="I1678" s="309"/>
      <c r="J1678" s="199"/>
      <c r="K1678" s="269"/>
      <c r="L1678" s="93">
        <f t="shared" si="400"/>
        <v>0</v>
      </c>
      <c r="M1678" s="183"/>
      <c r="N1678" s="95">
        <f t="shared" si="395"/>
        <v>0</v>
      </c>
      <c r="O1678" s="95">
        <f t="shared" si="396"/>
        <v>0</v>
      </c>
      <c r="P1678" s="94">
        <f t="shared" si="397"/>
        <v>0</v>
      </c>
      <c r="Q1678" s="95">
        <f t="shared" si="398"/>
        <v>0</v>
      </c>
      <c r="R1678" s="96"/>
      <c r="S1678" s="97">
        <f t="shared" si="399"/>
        <v>98</v>
      </c>
      <c r="T1678" s="98">
        <f t="shared" si="394"/>
        <v>-98</v>
      </c>
      <c r="U1678">
        <f>17+14+2+17+48</f>
        <v>98</v>
      </c>
    </row>
    <row r="1679" spans="2:21" ht="20.100000000000001" customHeight="1">
      <c r="B1679" s="88">
        <v>13</v>
      </c>
      <c r="C1679" s="89" t="s">
        <v>3581</v>
      </c>
      <c r="D1679" s="90" t="s">
        <v>3655</v>
      </c>
      <c r="E1679" s="91" t="s">
        <v>3656</v>
      </c>
      <c r="F1679" s="315">
        <v>78.33</v>
      </c>
      <c r="G1679" s="260"/>
      <c r="H1679" s="260"/>
      <c r="I1679" s="309"/>
      <c r="J1679" s="199"/>
      <c r="K1679" s="269"/>
      <c r="L1679" s="93">
        <f t="shared" si="400"/>
        <v>0</v>
      </c>
      <c r="M1679" s="183"/>
      <c r="N1679" s="95">
        <f t="shared" si="395"/>
        <v>0</v>
      </c>
      <c r="O1679" s="95">
        <f t="shared" si="396"/>
        <v>0</v>
      </c>
      <c r="P1679" s="94">
        <f t="shared" si="397"/>
        <v>0</v>
      </c>
      <c r="Q1679" s="95">
        <f t="shared" si="398"/>
        <v>0</v>
      </c>
      <c r="R1679" s="96"/>
      <c r="S1679" s="97">
        <f t="shared" si="399"/>
        <v>0</v>
      </c>
      <c r="T1679" s="98">
        <f t="shared" si="394"/>
        <v>0</v>
      </c>
    </row>
    <row r="1680" spans="2:21" ht="20.100000000000001" customHeight="1">
      <c r="B1680" s="88">
        <v>13</v>
      </c>
      <c r="C1680" s="89" t="s">
        <v>3581</v>
      </c>
      <c r="D1680" s="90" t="s">
        <v>3655</v>
      </c>
      <c r="E1680" s="91" t="s">
        <v>3656</v>
      </c>
      <c r="F1680" s="315">
        <v>78.33</v>
      </c>
      <c r="G1680" s="260"/>
      <c r="H1680" s="260"/>
      <c r="I1680" s="309"/>
      <c r="J1680" s="199"/>
      <c r="K1680" s="269"/>
      <c r="L1680" s="93">
        <f t="shared" si="400"/>
        <v>0</v>
      </c>
      <c r="M1680" s="183"/>
      <c r="N1680" s="95">
        <f t="shared" si="395"/>
        <v>0</v>
      </c>
      <c r="O1680" s="95">
        <f t="shared" si="396"/>
        <v>0</v>
      </c>
      <c r="P1680" s="94">
        <f t="shared" si="397"/>
        <v>0</v>
      </c>
      <c r="Q1680" s="95">
        <f t="shared" si="398"/>
        <v>0</v>
      </c>
      <c r="R1680" s="96"/>
      <c r="S1680" s="97">
        <f t="shared" si="399"/>
        <v>0</v>
      </c>
      <c r="T1680" s="98">
        <f t="shared" si="394"/>
        <v>0</v>
      </c>
    </row>
    <row r="1681" spans="2:31" ht="20.100000000000001" customHeight="1">
      <c r="B1681" s="88">
        <v>13</v>
      </c>
      <c r="C1681" s="89" t="s">
        <v>3581</v>
      </c>
      <c r="D1681" s="90" t="s">
        <v>3657</v>
      </c>
      <c r="E1681" s="91" t="s">
        <v>3658</v>
      </c>
      <c r="F1681" s="315">
        <v>22.73</v>
      </c>
      <c r="G1681" s="260">
        <v>24</v>
      </c>
      <c r="H1681" s="260"/>
      <c r="I1681" s="309"/>
      <c r="J1681" s="199"/>
      <c r="K1681" s="269">
        <v>4</v>
      </c>
      <c r="L1681" s="93">
        <f t="shared" si="400"/>
        <v>20</v>
      </c>
      <c r="M1681" s="183">
        <v>20</v>
      </c>
      <c r="N1681" s="95">
        <f t="shared" si="395"/>
        <v>454.6</v>
      </c>
      <c r="O1681" s="95">
        <f t="shared" si="396"/>
        <v>454.6</v>
      </c>
      <c r="P1681" s="94">
        <f t="shared" si="397"/>
        <v>0</v>
      </c>
      <c r="Q1681" s="95">
        <f t="shared" si="398"/>
        <v>0</v>
      </c>
      <c r="R1681" s="96"/>
      <c r="S1681" s="97">
        <f t="shared" si="399"/>
        <v>28</v>
      </c>
      <c r="T1681" s="98">
        <f t="shared" si="394"/>
        <v>-8</v>
      </c>
      <c r="U1681">
        <v>23</v>
      </c>
      <c r="AA1681">
        <v>5</v>
      </c>
      <c r="AB1681" s="99" t="s">
        <v>525</v>
      </c>
      <c r="AD1681">
        <f>AA1681</f>
        <v>5</v>
      </c>
      <c r="AE1681" s="100">
        <f>AD1681*F1681</f>
        <v>113.65</v>
      </c>
    </row>
    <row r="1682" spans="2:31" ht="20.100000000000001" customHeight="1">
      <c r="B1682" s="88">
        <v>13</v>
      </c>
      <c r="C1682" s="89" t="s">
        <v>3581</v>
      </c>
      <c r="D1682" s="90" t="s">
        <v>3659</v>
      </c>
      <c r="E1682" s="91" t="s">
        <v>3660</v>
      </c>
      <c r="F1682" s="315">
        <v>22.73</v>
      </c>
      <c r="G1682" s="260">
        <v>11</v>
      </c>
      <c r="H1682" s="260"/>
      <c r="I1682" s="309"/>
      <c r="J1682" s="199"/>
      <c r="K1682" s="269">
        <v>9</v>
      </c>
      <c r="L1682" s="93">
        <f t="shared" si="400"/>
        <v>2</v>
      </c>
      <c r="M1682" s="183">
        <v>2</v>
      </c>
      <c r="N1682" s="95">
        <f t="shared" si="395"/>
        <v>45.46</v>
      </c>
      <c r="O1682" s="95">
        <f t="shared" si="396"/>
        <v>45.46</v>
      </c>
      <c r="P1682" s="94">
        <f t="shared" si="397"/>
        <v>0</v>
      </c>
      <c r="Q1682" s="95">
        <f t="shared" si="398"/>
        <v>0</v>
      </c>
      <c r="R1682" s="96"/>
      <c r="S1682" s="97">
        <f t="shared" si="399"/>
        <v>22</v>
      </c>
      <c r="T1682" s="98">
        <f t="shared" si="394"/>
        <v>-20</v>
      </c>
      <c r="U1682">
        <v>21</v>
      </c>
      <c r="AA1682">
        <v>1</v>
      </c>
      <c r="AB1682" s="99" t="s">
        <v>3661</v>
      </c>
      <c r="AD1682">
        <f>AA1682</f>
        <v>1</v>
      </c>
      <c r="AE1682" s="100">
        <f>AD1682*F1682</f>
        <v>22.73</v>
      </c>
    </row>
    <row r="1683" spans="2:31" ht="20.100000000000001" customHeight="1">
      <c r="B1683" s="88">
        <v>13</v>
      </c>
      <c r="C1683" s="89" t="s">
        <v>3581</v>
      </c>
      <c r="D1683" s="90" t="s">
        <v>3662</v>
      </c>
      <c r="E1683" s="91" t="s">
        <v>3663</v>
      </c>
      <c r="F1683" s="315">
        <v>30.14</v>
      </c>
      <c r="G1683" s="260">
        <v>2</v>
      </c>
      <c r="H1683" s="260"/>
      <c r="I1683" s="309"/>
      <c r="J1683" s="199"/>
      <c r="K1683" s="269">
        <v>1</v>
      </c>
      <c r="L1683" s="93">
        <f t="shared" si="400"/>
        <v>1</v>
      </c>
      <c r="M1683" s="183">
        <v>1</v>
      </c>
      <c r="N1683" s="95">
        <f t="shared" si="395"/>
        <v>30.14</v>
      </c>
      <c r="O1683" s="95">
        <f t="shared" si="396"/>
        <v>30.14</v>
      </c>
      <c r="P1683" s="94">
        <f t="shared" si="397"/>
        <v>0</v>
      </c>
      <c r="Q1683" s="95">
        <f t="shared" si="398"/>
        <v>0</v>
      </c>
      <c r="R1683" s="96"/>
      <c r="S1683" s="97">
        <f t="shared" si="399"/>
        <v>2</v>
      </c>
      <c r="T1683" s="98">
        <f t="shared" si="394"/>
        <v>-1</v>
      </c>
      <c r="U1683">
        <v>2</v>
      </c>
    </row>
    <row r="1684" spans="2:31" ht="20.100000000000001" customHeight="1">
      <c r="B1684" s="88">
        <v>13</v>
      </c>
      <c r="C1684" s="89" t="s">
        <v>3581</v>
      </c>
      <c r="D1684" s="90" t="s">
        <v>3664</v>
      </c>
      <c r="E1684" s="91" t="s">
        <v>3665</v>
      </c>
      <c r="F1684" s="315">
        <v>165.95</v>
      </c>
      <c r="G1684" s="260">
        <v>1</v>
      </c>
      <c r="H1684" s="260"/>
      <c r="I1684" s="309"/>
      <c r="J1684" s="199"/>
      <c r="K1684" s="269">
        <v>1</v>
      </c>
      <c r="L1684" s="93">
        <f t="shared" si="400"/>
        <v>0</v>
      </c>
      <c r="M1684" s="183"/>
      <c r="N1684" s="95">
        <f t="shared" si="395"/>
        <v>0</v>
      </c>
      <c r="O1684" s="95">
        <f t="shared" si="396"/>
        <v>0</v>
      </c>
      <c r="P1684" s="94">
        <f t="shared" si="397"/>
        <v>0</v>
      </c>
      <c r="Q1684" s="95">
        <f t="shared" si="398"/>
        <v>0</v>
      </c>
      <c r="R1684" s="96"/>
      <c r="S1684" s="97">
        <f t="shared" si="399"/>
        <v>1</v>
      </c>
      <c r="T1684" s="98">
        <f t="shared" si="394"/>
        <v>-1</v>
      </c>
      <c r="U1684">
        <v>1</v>
      </c>
    </row>
    <row r="1685" spans="2:31" ht="20.100000000000001" customHeight="1">
      <c r="B1685" s="88">
        <v>13</v>
      </c>
      <c r="C1685" s="89" t="s">
        <v>3581</v>
      </c>
      <c r="D1685" s="90" t="s">
        <v>3666</v>
      </c>
      <c r="E1685" s="91" t="s">
        <v>3667</v>
      </c>
      <c r="F1685" s="315">
        <v>28.89</v>
      </c>
      <c r="G1685" s="260"/>
      <c r="H1685" s="260">
        <v>4</v>
      </c>
      <c r="I1685" s="309"/>
      <c r="J1685" s="199"/>
      <c r="K1685" s="269">
        <v>4</v>
      </c>
      <c r="L1685" s="93">
        <f t="shared" si="400"/>
        <v>0</v>
      </c>
      <c r="M1685" s="183"/>
      <c r="N1685" s="95">
        <f t="shared" si="395"/>
        <v>0</v>
      </c>
      <c r="O1685" s="95">
        <f t="shared" si="396"/>
        <v>0</v>
      </c>
      <c r="P1685" s="94">
        <f t="shared" si="397"/>
        <v>0</v>
      </c>
      <c r="Q1685" s="95">
        <f t="shared" si="398"/>
        <v>0</v>
      </c>
      <c r="R1685" s="278"/>
      <c r="S1685" s="97">
        <f t="shared" si="399"/>
        <v>0</v>
      </c>
      <c r="T1685" s="98">
        <f t="shared" si="394"/>
        <v>0</v>
      </c>
    </row>
    <row r="1686" spans="2:31" ht="20.100000000000001" customHeight="1">
      <c r="B1686" s="88">
        <v>13</v>
      </c>
      <c r="C1686" s="89" t="s">
        <v>3581</v>
      </c>
      <c r="D1686" s="90" t="s">
        <v>3668</v>
      </c>
      <c r="E1686" s="91" t="s">
        <v>3669</v>
      </c>
      <c r="F1686" s="315">
        <v>28.25</v>
      </c>
      <c r="G1686" s="260"/>
      <c r="H1686" s="260"/>
      <c r="I1686" s="309"/>
      <c r="J1686" s="199"/>
      <c r="K1686" s="269"/>
      <c r="L1686" s="93">
        <f t="shared" si="400"/>
        <v>0</v>
      </c>
      <c r="M1686" s="183"/>
      <c r="N1686" s="95">
        <f t="shared" si="395"/>
        <v>0</v>
      </c>
      <c r="O1686" s="95">
        <f t="shared" si="396"/>
        <v>0</v>
      </c>
      <c r="P1686" s="94">
        <f t="shared" si="397"/>
        <v>0</v>
      </c>
      <c r="Q1686" s="95">
        <f t="shared" si="398"/>
        <v>0</v>
      </c>
      <c r="R1686" s="96"/>
      <c r="S1686" s="97">
        <f t="shared" si="399"/>
        <v>0</v>
      </c>
      <c r="T1686" s="98">
        <f t="shared" si="394"/>
        <v>0</v>
      </c>
    </row>
    <row r="1687" spans="2:31" ht="20.100000000000001" customHeight="1">
      <c r="B1687" s="88">
        <v>13</v>
      </c>
      <c r="C1687" s="89" t="s">
        <v>3581</v>
      </c>
      <c r="D1687" s="90" t="s">
        <v>3668</v>
      </c>
      <c r="E1687" s="91" t="s">
        <v>3669</v>
      </c>
      <c r="F1687" s="315">
        <v>28.25</v>
      </c>
      <c r="G1687" s="260">
        <v>51</v>
      </c>
      <c r="H1687" s="260"/>
      <c r="I1687" s="309"/>
      <c r="J1687" s="199"/>
      <c r="K1687" s="269"/>
      <c r="L1687" s="93">
        <f t="shared" si="400"/>
        <v>51</v>
      </c>
      <c r="M1687" s="183">
        <v>51</v>
      </c>
      <c r="N1687" s="95">
        <f t="shared" si="395"/>
        <v>1440.75</v>
      </c>
      <c r="O1687" s="95">
        <f t="shared" si="396"/>
        <v>1440.75</v>
      </c>
      <c r="P1687" s="94">
        <f t="shared" si="397"/>
        <v>0</v>
      </c>
      <c r="Q1687" s="95">
        <f t="shared" si="398"/>
        <v>0</v>
      </c>
      <c r="R1687" s="96"/>
      <c r="S1687" s="97">
        <f t="shared" si="399"/>
        <v>36</v>
      </c>
      <c r="T1687" s="98">
        <f t="shared" si="394"/>
        <v>15</v>
      </c>
      <c r="U1687">
        <f>30+6</f>
        <v>36</v>
      </c>
    </row>
    <row r="1688" spans="2:31" ht="20.100000000000001" customHeight="1">
      <c r="B1688" s="88">
        <v>13</v>
      </c>
      <c r="C1688" s="89" t="s">
        <v>3581</v>
      </c>
      <c r="D1688" s="90" t="s">
        <v>3670</v>
      </c>
      <c r="E1688" s="91" t="s">
        <v>3671</v>
      </c>
      <c r="F1688" s="315">
        <v>30.79</v>
      </c>
      <c r="G1688" s="260">
        <v>41</v>
      </c>
      <c r="H1688" s="260"/>
      <c r="I1688" s="309"/>
      <c r="J1688" s="199"/>
      <c r="K1688" s="269">
        <v>8</v>
      </c>
      <c r="L1688" s="93">
        <f t="shared" si="400"/>
        <v>33</v>
      </c>
      <c r="M1688" s="183">
        <v>33</v>
      </c>
      <c r="N1688" s="95">
        <f t="shared" si="395"/>
        <v>1016.0699999999999</v>
      </c>
      <c r="O1688" s="95">
        <f t="shared" si="396"/>
        <v>1016.0699999999999</v>
      </c>
      <c r="P1688" s="94">
        <f t="shared" si="397"/>
        <v>0</v>
      </c>
      <c r="Q1688" s="95">
        <f t="shared" si="398"/>
        <v>0</v>
      </c>
      <c r="R1688" s="96"/>
      <c r="S1688" s="97">
        <f t="shared" si="399"/>
        <v>48</v>
      </c>
      <c r="T1688" s="98">
        <f t="shared" si="394"/>
        <v>-15</v>
      </c>
      <c r="U1688">
        <f>5+7+12+24</f>
        <v>48</v>
      </c>
    </row>
    <row r="1689" spans="2:31" ht="20.100000000000001" customHeight="1">
      <c r="B1689" s="88">
        <v>13</v>
      </c>
      <c r="C1689" s="89" t="s">
        <v>3581</v>
      </c>
      <c r="D1689" s="90" t="s">
        <v>3670</v>
      </c>
      <c r="E1689" s="91" t="s">
        <v>3671</v>
      </c>
      <c r="F1689" s="315">
        <v>30.79</v>
      </c>
      <c r="G1689" s="260"/>
      <c r="H1689" s="260"/>
      <c r="I1689" s="309"/>
      <c r="J1689" s="199"/>
      <c r="K1689" s="269"/>
      <c r="L1689" s="93">
        <f t="shared" si="400"/>
        <v>0</v>
      </c>
      <c r="M1689" s="183"/>
      <c r="N1689" s="95">
        <f t="shared" si="395"/>
        <v>0</v>
      </c>
      <c r="O1689" s="95">
        <f t="shared" si="396"/>
        <v>0</v>
      </c>
      <c r="P1689" s="94">
        <f t="shared" si="397"/>
        <v>0</v>
      </c>
      <c r="Q1689" s="95">
        <f t="shared" si="398"/>
        <v>0</v>
      </c>
      <c r="R1689" s="96"/>
      <c r="S1689" s="97">
        <f t="shared" si="399"/>
        <v>0</v>
      </c>
      <c r="T1689" s="98">
        <f t="shared" si="394"/>
        <v>0</v>
      </c>
    </row>
    <row r="1690" spans="2:31" ht="20.100000000000001" customHeight="1">
      <c r="B1690" s="88">
        <v>13</v>
      </c>
      <c r="C1690" s="89" t="s">
        <v>3581</v>
      </c>
      <c r="D1690" s="90" t="s">
        <v>3672</v>
      </c>
      <c r="E1690" s="91" t="s">
        <v>3673</v>
      </c>
      <c r="F1690" s="315">
        <v>19.11</v>
      </c>
      <c r="G1690" s="260"/>
      <c r="H1690" s="260"/>
      <c r="I1690" s="309"/>
      <c r="J1690" s="199"/>
      <c r="K1690" s="269"/>
      <c r="L1690" s="93">
        <f t="shared" si="400"/>
        <v>0</v>
      </c>
      <c r="M1690" s="183"/>
      <c r="N1690" s="95">
        <f t="shared" si="395"/>
        <v>0</v>
      </c>
      <c r="O1690" s="95">
        <f t="shared" si="396"/>
        <v>0</v>
      </c>
      <c r="P1690" s="94">
        <f t="shared" si="397"/>
        <v>0</v>
      </c>
      <c r="Q1690" s="95">
        <f t="shared" si="398"/>
        <v>0</v>
      </c>
      <c r="R1690" s="96"/>
      <c r="S1690" s="97">
        <f t="shared" si="399"/>
        <v>0</v>
      </c>
      <c r="T1690" s="98">
        <f t="shared" si="394"/>
        <v>0</v>
      </c>
    </row>
    <row r="1691" spans="2:31" ht="20.100000000000001" customHeight="1">
      <c r="B1691" s="88">
        <v>13</v>
      </c>
      <c r="C1691" s="89" t="s">
        <v>3581</v>
      </c>
      <c r="D1691" s="90" t="s">
        <v>3674</v>
      </c>
      <c r="E1691" s="91" t="s">
        <v>3675</v>
      </c>
      <c r="F1691" s="315">
        <v>10.65</v>
      </c>
      <c r="G1691" s="260"/>
      <c r="H1691" s="260"/>
      <c r="I1691" s="309"/>
      <c r="J1691" s="199"/>
      <c r="K1691" s="269"/>
      <c r="L1691" s="93">
        <f t="shared" si="400"/>
        <v>0</v>
      </c>
      <c r="M1691" s="183"/>
      <c r="N1691" s="95">
        <f t="shared" si="395"/>
        <v>0</v>
      </c>
      <c r="O1691" s="95">
        <f t="shared" si="396"/>
        <v>0</v>
      </c>
      <c r="P1691" s="94">
        <f t="shared" si="397"/>
        <v>0</v>
      </c>
      <c r="Q1691" s="95">
        <f t="shared" si="398"/>
        <v>0</v>
      </c>
      <c r="R1691" s="96"/>
      <c r="S1691" s="97">
        <f t="shared" si="399"/>
        <v>0</v>
      </c>
      <c r="T1691" s="98">
        <f t="shared" si="394"/>
        <v>0</v>
      </c>
    </row>
    <row r="1692" spans="2:31" ht="20.100000000000001" customHeight="1">
      <c r="B1692" s="88">
        <v>13</v>
      </c>
      <c r="C1692" s="89" t="s">
        <v>3581</v>
      </c>
      <c r="D1692" s="90" t="s">
        <v>3676</v>
      </c>
      <c r="E1692" s="91" t="s">
        <v>3677</v>
      </c>
      <c r="F1692" s="315">
        <v>11</v>
      </c>
      <c r="G1692" s="260">
        <v>100</v>
      </c>
      <c r="H1692" s="260"/>
      <c r="I1692" s="309"/>
      <c r="J1692" s="199"/>
      <c r="K1692" s="269"/>
      <c r="L1692" s="93">
        <f t="shared" si="400"/>
        <v>100</v>
      </c>
      <c r="M1692" s="183">
        <v>100</v>
      </c>
      <c r="N1692" s="95">
        <f t="shared" si="395"/>
        <v>1100</v>
      </c>
      <c r="O1692" s="95">
        <f t="shared" si="396"/>
        <v>1100</v>
      </c>
      <c r="P1692" s="94">
        <f t="shared" si="397"/>
        <v>0</v>
      </c>
      <c r="Q1692" s="95">
        <f t="shared" si="398"/>
        <v>0</v>
      </c>
      <c r="R1692" s="188" t="s">
        <v>4238</v>
      </c>
      <c r="S1692" s="97">
        <f t="shared" si="399"/>
        <v>0</v>
      </c>
      <c r="T1692" s="98">
        <f t="shared" si="394"/>
        <v>100</v>
      </c>
    </row>
    <row r="1693" spans="2:31" ht="20.100000000000001" customHeight="1">
      <c r="B1693" s="88">
        <v>13</v>
      </c>
      <c r="C1693" s="89" t="s">
        <v>3581</v>
      </c>
      <c r="D1693" s="90" t="s">
        <v>3678</v>
      </c>
      <c r="E1693" s="91" t="s">
        <v>3679</v>
      </c>
      <c r="F1693" s="315">
        <v>45</v>
      </c>
      <c r="G1693" s="260"/>
      <c r="H1693" s="260"/>
      <c r="I1693" s="309"/>
      <c r="J1693" s="199"/>
      <c r="K1693" s="269"/>
      <c r="L1693" s="93">
        <f t="shared" si="400"/>
        <v>0</v>
      </c>
      <c r="M1693" s="183"/>
      <c r="N1693" s="95">
        <f t="shared" si="395"/>
        <v>0</v>
      </c>
      <c r="O1693" s="95">
        <f t="shared" si="396"/>
        <v>0</v>
      </c>
      <c r="P1693" s="94">
        <f t="shared" si="397"/>
        <v>0</v>
      </c>
      <c r="Q1693" s="95">
        <f t="shared" si="398"/>
        <v>0</v>
      </c>
      <c r="R1693" s="96"/>
      <c r="S1693" s="97">
        <f t="shared" si="399"/>
        <v>0</v>
      </c>
      <c r="T1693" s="98">
        <f t="shared" si="394"/>
        <v>0</v>
      </c>
    </row>
    <row r="1694" spans="2:31" ht="20.100000000000001" customHeight="1">
      <c r="B1694" s="88">
        <v>13</v>
      </c>
      <c r="C1694" s="89" t="s">
        <v>3581</v>
      </c>
      <c r="D1694" s="90" t="s">
        <v>3680</v>
      </c>
      <c r="E1694" s="91" t="s">
        <v>3681</v>
      </c>
      <c r="F1694" s="315">
        <v>19.11</v>
      </c>
      <c r="G1694" s="260"/>
      <c r="H1694" s="260"/>
      <c r="I1694" s="309"/>
      <c r="J1694" s="199"/>
      <c r="K1694" s="269"/>
      <c r="L1694" s="93">
        <f t="shared" si="400"/>
        <v>0</v>
      </c>
      <c r="M1694" s="183"/>
      <c r="N1694" s="95">
        <f t="shared" si="395"/>
        <v>0</v>
      </c>
      <c r="O1694" s="95">
        <f t="shared" si="396"/>
        <v>0</v>
      </c>
      <c r="P1694" s="94">
        <f t="shared" si="397"/>
        <v>0</v>
      </c>
      <c r="Q1694" s="95">
        <f t="shared" si="398"/>
        <v>0</v>
      </c>
      <c r="R1694" s="96"/>
      <c r="S1694" s="97">
        <f t="shared" si="399"/>
        <v>0</v>
      </c>
      <c r="T1694" s="98">
        <f t="shared" si="394"/>
        <v>0</v>
      </c>
    </row>
    <row r="1695" spans="2:31" ht="20.100000000000001" customHeight="1">
      <c r="B1695" s="88">
        <v>13</v>
      </c>
      <c r="C1695" s="89" t="s">
        <v>3581</v>
      </c>
      <c r="D1695" s="90" t="s">
        <v>3682</v>
      </c>
      <c r="E1695" s="91" t="s">
        <v>3683</v>
      </c>
      <c r="F1695" s="315">
        <v>10.65</v>
      </c>
      <c r="G1695" s="260"/>
      <c r="H1695" s="260"/>
      <c r="I1695" s="309"/>
      <c r="J1695" s="199"/>
      <c r="K1695" s="269"/>
      <c r="L1695" s="93">
        <f t="shared" si="400"/>
        <v>0</v>
      </c>
      <c r="M1695" s="183"/>
      <c r="N1695" s="95">
        <f t="shared" si="395"/>
        <v>0</v>
      </c>
      <c r="O1695" s="95">
        <f t="shared" si="396"/>
        <v>0</v>
      </c>
      <c r="P1695" s="94">
        <f t="shared" si="397"/>
        <v>0</v>
      </c>
      <c r="Q1695" s="95">
        <f t="shared" si="398"/>
        <v>0</v>
      </c>
      <c r="R1695" s="96"/>
      <c r="S1695" s="97">
        <f t="shared" si="399"/>
        <v>0</v>
      </c>
      <c r="T1695" s="98">
        <f t="shared" si="394"/>
        <v>0</v>
      </c>
    </row>
    <row r="1696" spans="2:31" ht="20.100000000000001" customHeight="1">
      <c r="B1696" s="88">
        <v>13</v>
      </c>
      <c r="C1696" s="89" t="s">
        <v>3581</v>
      </c>
      <c r="D1696" s="90" t="s">
        <v>3684</v>
      </c>
      <c r="E1696" s="91" t="s">
        <v>3685</v>
      </c>
      <c r="F1696" s="315">
        <v>19.11</v>
      </c>
      <c r="G1696" s="260"/>
      <c r="H1696" s="260"/>
      <c r="I1696" s="309"/>
      <c r="J1696" s="199"/>
      <c r="K1696" s="269"/>
      <c r="L1696" s="93">
        <f t="shared" si="400"/>
        <v>0</v>
      </c>
      <c r="M1696" s="183"/>
      <c r="N1696" s="95">
        <f t="shared" si="395"/>
        <v>0</v>
      </c>
      <c r="O1696" s="95">
        <f t="shared" si="396"/>
        <v>0</v>
      </c>
      <c r="P1696" s="94">
        <f t="shared" si="397"/>
        <v>0</v>
      </c>
      <c r="Q1696" s="95">
        <f t="shared" si="398"/>
        <v>0</v>
      </c>
      <c r="R1696" s="96"/>
      <c r="S1696" s="97">
        <f t="shared" si="399"/>
        <v>0</v>
      </c>
      <c r="T1696" s="98">
        <f t="shared" si="394"/>
        <v>0</v>
      </c>
    </row>
    <row r="1697" spans="2:31" ht="20.100000000000001" customHeight="1">
      <c r="B1697" s="88">
        <v>13</v>
      </c>
      <c r="C1697" s="89" t="s">
        <v>3581</v>
      </c>
      <c r="D1697" s="90" t="s">
        <v>3686</v>
      </c>
      <c r="E1697" s="91" t="s">
        <v>3687</v>
      </c>
      <c r="F1697" s="315">
        <v>10.65</v>
      </c>
      <c r="G1697" s="260"/>
      <c r="H1697" s="260"/>
      <c r="I1697" s="309"/>
      <c r="J1697" s="199"/>
      <c r="K1697" s="269"/>
      <c r="L1697" s="93">
        <f t="shared" si="400"/>
        <v>0</v>
      </c>
      <c r="M1697" s="183"/>
      <c r="N1697" s="95">
        <f t="shared" si="395"/>
        <v>0</v>
      </c>
      <c r="O1697" s="95">
        <f t="shared" si="396"/>
        <v>0</v>
      </c>
      <c r="P1697" s="94">
        <f t="shared" si="397"/>
        <v>0</v>
      </c>
      <c r="Q1697" s="95">
        <f t="shared" si="398"/>
        <v>0</v>
      </c>
      <c r="R1697" s="96"/>
      <c r="S1697" s="97">
        <f t="shared" si="399"/>
        <v>0</v>
      </c>
      <c r="T1697" s="98">
        <f t="shared" si="394"/>
        <v>0</v>
      </c>
    </row>
    <row r="1698" spans="2:31" ht="20.100000000000001" customHeight="1">
      <c r="B1698" s="88">
        <v>13</v>
      </c>
      <c r="C1698" s="89" t="s">
        <v>3581</v>
      </c>
      <c r="D1698" s="90" t="s">
        <v>3688</v>
      </c>
      <c r="E1698" s="91" t="s">
        <v>3689</v>
      </c>
      <c r="F1698" s="315">
        <v>19.11</v>
      </c>
      <c r="G1698" s="260"/>
      <c r="H1698" s="260"/>
      <c r="I1698" s="309"/>
      <c r="J1698" s="199"/>
      <c r="K1698" s="269"/>
      <c r="L1698" s="93">
        <f t="shared" si="400"/>
        <v>0</v>
      </c>
      <c r="M1698" s="183"/>
      <c r="N1698" s="95">
        <f t="shared" si="395"/>
        <v>0</v>
      </c>
      <c r="O1698" s="95">
        <f t="shared" si="396"/>
        <v>0</v>
      </c>
      <c r="P1698" s="94">
        <f t="shared" si="397"/>
        <v>0</v>
      </c>
      <c r="Q1698" s="95">
        <f t="shared" si="398"/>
        <v>0</v>
      </c>
      <c r="R1698" s="96"/>
      <c r="S1698" s="97">
        <f t="shared" si="399"/>
        <v>0</v>
      </c>
      <c r="T1698" s="98">
        <f t="shared" si="394"/>
        <v>0</v>
      </c>
    </row>
    <row r="1699" spans="2:31" ht="20.100000000000001" customHeight="1">
      <c r="B1699" s="88">
        <v>13</v>
      </c>
      <c r="C1699" s="89" t="s">
        <v>3581</v>
      </c>
      <c r="D1699" s="90" t="s">
        <v>3690</v>
      </c>
      <c r="E1699" s="91" t="s">
        <v>3691</v>
      </c>
      <c r="F1699" s="315">
        <v>10.65</v>
      </c>
      <c r="G1699" s="260"/>
      <c r="H1699" s="260"/>
      <c r="I1699" s="309"/>
      <c r="J1699" s="199"/>
      <c r="K1699" s="269"/>
      <c r="L1699" s="93">
        <f t="shared" si="400"/>
        <v>0</v>
      </c>
      <c r="M1699" s="183"/>
      <c r="N1699" s="95">
        <f t="shared" si="395"/>
        <v>0</v>
      </c>
      <c r="O1699" s="95">
        <f t="shared" si="396"/>
        <v>0</v>
      </c>
      <c r="P1699" s="94">
        <f t="shared" si="397"/>
        <v>0</v>
      </c>
      <c r="Q1699" s="95">
        <f t="shared" si="398"/>
        <v>0</v>
      </c>
      <c r="R1699" s="96"/>
      <c r="S1699" s="97">
        <f t="shared" si="399"/>
        <v>0</v>
      </c>
      <c r="T1699" s="98">
        <f t="shared" si="394"/>
        <v>0</v>
      </c>
    </row>
    <row r="1700" spans="2:31" ht="20.100000000000001" customHeight="1">
      <c r="B1700" s="88">
        <v>13</v>
      </c>
      <c r="C1700" s="89" t="s">
        <v>3581</v>
      </c>
      <c r="D1700" s="90" t="s">
        <v>3692</v>
      </c>
      <c r="E1700" s="91" t="s">
        <v>3693</v>
      </c>
      <c r="F1700" s="315">
        <v>19.11</v>
      </c>
      <c r="G1700" s="260"/>
      <c r="H1700" s="260"/>
      <c r="I1700" s="309"/>
      <c r="J1700" s="199"/>
      <c r="K1700" s="269"/>
      <c r="L1700" s="93">
        <f t="shared" si="400"/>
        <v>0</v>
      </c>
      <c r="M1700" s="183"/>
      <c r="N1700" s="95">
        <f t="shared" si="395"/>
        <v>0</v>
      </c>
      <c r="O1700" s="95">
        <f t="shared" si="396"/>
        <v>0</v>
      </c>
      <c r="P1700" s="94">
        <f t="shared" si="397"/>
        <v>0</v>
      </c>
      <c r="Q1700" s="95">
        <f t="shared" si="398"/>
        <v>0</v>
      </c>
      <c r="R1700" s="96"/>
      <c r="S1700" s="97">
        <f t="shared" si="399"/>
        <v>0</v>
      </c>
      <c r="T1700" s="98">
        <f t="shared" si="394"/>
        <v>0</v>
      </c>
    </row>
    <row r="1701" spans="2:31" ht="20.100000000000001" customHeight="1">
      <c r="B1701" s="88">
        <v>13</v>
      </c>
      <c r="C1701" s="89" t="s">
        <v>3581</v>
      </c>
      <c r="D1701" s="90" t="s">
        <v>3694</v>
      </c>
      <c r="E1701" s="91" t="s">
        <v>3695</v>
      </c>
      <c r="F1701" s="315">
        <v>10.65</v>
      </c>
      <c r="G1701" s="260"/>
      <c r="H1701" s="260"/>
      <c r="I1701" s="309"/>
      <c r="J1701" s="199"/>
      <c r="K1701" s="269"/>
      <c r="L1701" s="93">
        <f t="shared" si="400"/>
        <v>0</v>
      </c>
      <c r="M1701" s="183"/>
      <c r="N1701" s="95">
        <f t="shared" si="395"/>
        <v>0</v>
      </c>
      <c r="O1701" s="95">
        <f t="shared" si="396"/>
        <v>0</v>
      </c>
      <c r="P1701" s="94">
        <f t="shared" si="397"/>
        <v>0</v>
      </c>
      <c r="Q1701" s="95">
        <f t="shared" si="398"/>
        <v>0</v>
      </c>
      <c r="R1701" s="96"/>
      <c r="S1701" s="97">
        <f t="shared" si="399"/>
        <v>0</v>
      </c>
      <c r="T1701" s="98">
        <f t="shared" si="394"/>
        <v>0</v>
      </c>
    </row>
    <row r="1702" spans="2:31" ht="20.100000000000001" customHeight="1">
      <c r="B1702" s="88">
        <v>13</v>
      </c>
      <c r="C1702" s="89" t="s">
        <v>3581</v>
      </c>
      <c r="D1702" s="90" t="s">
        <v>3696</v>
      </c>
      <c r="E1702" s="91" t="s">
        <v>3697</v>
      </c>
      <c r="F1702" s="315">
        <v>19.11</v>
      </c>
      <c r="G1702" s="260"/>
      <c r="H1702" s="260"/>
      <c r="I1702" s="309"/>
      <c r="J1702" s="199"/>
      <c r="K1702" s="269"/>
      <c r="L1702" s="93">
        <f t="shared" si="400"/>
        <v>0</v>
      </c>
      <c r="M1702" s="183"/>
      <c r="N1702" s="95">
        <f t="shared" si="395"/>
        <v>0</v>
      </c>
      <c r="O1702" s="95">
        <f t="shared" si="396"/>
        <v>0</v>
      </c>
      <c r="P1702" s="94">
        <f t="shared" si="397"/>
        <v>0</v>
      </c>
      <c r="Q1702" s="95">
        <f t="shared" si="398"/>
        <v>0</v>
      </c>
      <c r="R1702" s="96"/>
      <c r="S1702" s="97">
        <f t="shared" si="399"/>
        <v>0</v>
      </c>
      <c r="T1702" s="98">
        <f t="shared" si="394"/>
        <v>0</v>
      </c>
    </row>
    <row r="1703" spans="2:31" ht="20.100000000000001" customHeight="1">
      <c r="B1703" s="88">
        <v>13</v>
      </c>
      <c r="C1703" s="89" t="s">
        <v>3581</v>
      </c>
      <c r="D1703" s="90" t="s">
        <v>3698</v>
      </c>
      <c r="E1703" s="91" t="s">
        <v>3699</v>
      </c>
      <c r="F1703" s="315">
        <v>10.65</v>
      </c>
      <c r="G1703" s="260"/>
      <c r="H1703" s="260"/>
      <c r="I1703" s="309"/>
      <c r="J1703" s="199"/>
      <c r="K1703" s="269"/>
      <c r="L1703" s="93">
        <f t="shared" si="400"/>
        <v>0</v>
      </c>
      <c r="M1703" s="183"/>
      <c r="N1703" s="95">
        <f t="shared" si="395"/>
        <v>0</v>
      </c>
      <c r="O1703" s="95">
        <f t="shared" si="396"/>
        <v>0</v>
      </c>
      <c r="P1703" s="94">
        <f t="shared" si="397"/>
        <v>0</v>
      </c>
      <c r="Q1703" s="95">
        <f t="shared" si="398"/>
        <v>0</v>
      </c>
      <c r="R1703" s="96"/>
      <c r="S1703" s="97">
        <f t="shared" si="399"/>
        <v>0</v>
      </c>
      <c r="T1703" s="98">
        <f t="shared" si="394"/>
        <v>0</v>
      </c>
    </row>
    <row r="1704" spans="2:31" ht="20.100000000000001" customHeight="1">
      <c r="B1704" s="88">
        <v>13</v>
      </c>
      <c r="C1704" s="89" t="s">
        <v>3581</v>
      </c>
      <c r="D1704" s="90" t="s">
        <v>3700</v>
      </c>
      <c r="E1704" s="91" t="s">
        <v>3701</v>
      </c>
      <c r="F1704" s="315">
        <v>78</v>
      </c>
      <c r="G1704" s="260"/>
      <c r="H1704" s="260"/>
      <c r="I1704" s="309"/>
      <c r="J1704" s="199"/>
      <c r="K1704" s="269"/>
      <c r="L1704" s="93">
        <f t="shared" si="400"/>
        <v>0</v>
      </c>
      <c r="M1704" s="183"/>
      <c r="N1704" s="95">
        <f t="shared" si="395"/>
        <v>0</v>
      </c>
      <c r="O1704" s="95">
        <f t="shared" si="396"/>
        <v>0</v>
      </c>
      <c r="P1704" s="94">
        <f t="shared" si="397"/>
        <v>0</v>
      </c>
      <c r="Q1704" s="95">
        <f t="shared" si="398"/>
        <v>0</v>
      </c>
      <c r="R1704" s="96"/>
      <c r="S1704" s="97">
        <f t="shared" si="399"/>
        <v>0</v>
      </c>
      <c r="T1704" s="98">
        <f t="shared" si="394"/>
        <v>0</v>
      </c>
    </row>
    <row r="1705" spans="2:31" ht="20.100000000000001" customHeight="1">
      <c r="B1705" s="88">
        <v>13</v>
      </c>
      <c r="C1705" s="89" t="s">
        <v>3581</v>
      </c>
      <c r="D1705" s="90" t="s">
        <v>3702</v>
      </c>
      <c r="E1705" s="91" t="s">
        <v>3703</v>
      </c>
      <c r="F1705" s="315">
        <v>140</v>
      </c>
      <c r="G1705" s="260">
        <v>1</v>
      </c>
      <c r="H1705" s="260"/>
      <c r="I1705" s="309"/>
      <c r="J1705" s="199"/>
      <c r="K1705" s="269"/>
      <c r="L1705" s="93">
        <f t="shared" si="400"/>
        <v>1</v>
      </c>
      <c r="M1705" s="183">
        <v>1</v>
      </c>
      <c r="N1705" s="95">
        <f t="shared" si="395"/>
        <v>140</v>
      </c>
      <c r="O1705" s="95">
        <f t="shared" si="396"/>
        <v>140</v>
      </c>
      <c r="P1705" s="94">
        <f t="shared" si="397"/>
        <v>0</v>
      </c>
      <c r="Q1705" s="95">
        <f t="shared" si="398"/>
        <v>0</v>
      </c>
      <c r="R1705" s="96"/>
      <c r="S1705" s="97">
        <f t="shared" si="399"/>
        <v>1</v>
      </c>
      <c r="T1705" s="98">
        <f t="shared" ref="T1705:T1777" si="401">M1705-S1705</f>
        <v>0</v>
      </c>
      <c r="U1705">
        <v>1</v>
      </c>
    </row>
    <row r="1706" spans="2:31" ht="20.100000000000001" customHeight="1">
      <c r="B1706" s="88">
        <v>13</v>
      </c>
      <c r="C1706" s="89" t="s">
        <v>3581</v>
      </c>
      <c r="D1706" s="90" t="s">
        <v>3704</v>
      </c>
      <c r="E1706" s="91" t="s">
        <v>5179</v>
      </c>
      <c r="F1706" s="315">
        <v>102.08</v>
      </c>
      <c r="G1706" s="260">
        <v>18</v>
      </c>
      <c r="H1706" s="260"/>
      <c r="I1706" s="309"/>
      <c r="J1706" s="199"/>
      <c r="K1706" s="269"/>
      <c r="L1706" s="93">
        <f t="shared" si="400"/>
        <v>18</v>
      </c>
      <c r="M1706" s="183">
        <f>12+6</f>
        <v>18</v>
      </c>
      <c r="N1706" s="95">
        <f t="shared" ref="N1706:N1777" si="402">F1706*L1706</f>
        <v>1837.44</v>
      </c>
      <c r="O1706" s="95">
        <f t="shared" ref="O1706:O1777" si="403">M1706*F1706</f>
        <v>1837.44</v>
      </c>
      <c r="P1706" s="94">
        <f t="shared" ref="P1706:P1777" si="404">L1706-M1706</f>
        <v>0</v>
      </c>
      <c r="Q1706" s="95">
        <f t="shared" ref="Q1706:Q1777" si="405">N1706-O1706</f>
        <v>0</v>
      </c>
      <c r="R1706" s="96"/>
      <c r="S1706" s="97">
        <f t="shared" ref="S1706:S1778" si="406">U1706+Y1706+W1706+AA1706</f>
        <v>0</v>
      </c>
      <c r="T1706" s="98">
        <f t="shared" si="401"/>
        <v>18</v>
      </c>
    </row>
    <row r="1707" spans="2:31" ht="20.100000000000001" customHeight="1">
      <c r="B1707" s="88">
        <v>13</v>
      </c>
      <c r="C1707" s="89" t="s">
        <v>3581</v>
      </c>
      <c r="D1707" s="90" t="s">
        <v>3705</v>
      </c>
      <c r="E1707" s="91" t="s">
        <v>3706</v>
      </c>
      <c r="F1707" s="315">
        <v>30.79</v>
      </c>
      <c r="G1707" s="260"/>
      <c r="H1707" s="260"/>
      <c r="I1707" s="309"/>
      <c r="J1707" s="199"/>
      <c r="K1707" s="269"/>
      <c r="L1707" s="93">
        <f t="shared" si="400"/>
        <v>0</v>
      </c>
      <c r="M1707" s="183"/>
      <c r="N1707" s="95">
        <f t="shared" si="402"/>
        <v>0</v>
      </c>
      <c r="O1707" s="95">
        <f t="shared" si="403"/>
        <v>0</v>
      </c>
      <c r="P1707" s="94">
        <f t="shared" si="404"/>
        <v>0</v>
      </c>
      <c r="Q1707" s="95">
        <f t="shared" si="405"/>
        <v>0</v>
      </c>
      <c r="R1707" s="96"/>
      <c r="S1707" s="97">
        <f t="shared" si="406"/>
        <v>0</v>
      </c>
      <c r="T1707" s="98">
        <f t="shared" si="401"/>
        <v>0</v>
      </c>
    </row>
    <row r="1708" spans="2:31" ht="20.100000000000001" customHeight="1">
      <c r="B1708" s="88">
        <v>13</v>
      </c>
      <c r="C1708" s="89" t="s">
        <v>3581</v>
      </c>
      <c r="D1708" s="90" t="s">
        <v>3707</v>
      </c>
      <c r="E1708" s="91" t="s">
        <v>3708</v>
      </c>
      <c r="F1708" s="315">
        <v>38.85</v>
      </c>
      <c r="G1708" s="260">
        <v>85</v>
      </c>
      <c r="H1708" s="260"/>
      <c r="I1708" s="309"/>
      <c r="J1708" s="199"/>
      <c r="K1708" s="269"/>
      <c r="L1708" s="93">
        <f t="shared" si="400"/>
        <v>85</v>
      </c>
      <c r="M1708" s="183">
        <f>13+72</f>
        <v>85</v>
      </c>
      <c r="N1708" s="95">
        <f t="shared" si="402"/>
        <v>3302.25</v>
      </c>
      <c r="O1708" s="95">
        <f t="shared" si="403"/>
        <v>3302.25</v>
      </c>
      <c r="P1708" s="94">
        <f t="shared" si="404"/>
        <v>0</v>
      </c>
      <c r="Q1708" s="95">
        <f t="shared" si="405"/>
        <v>0</v>
      </c>
      <c r="R1708" s="96"/>
      <c r="S1708" s="97">
        <f t="shared" si="406"/>
        <v>0</v>
      </c>
      <c r="T1708" s="98">
        <f t="shared" si="401"/>
        <v>85</v>
      </c>
    </row>
    <row r="1709" spans="2:31" ht="20.100000000000001" customHeight="1">
      <c r="B1709" s="88">
        <v>13</v>
      </c>
      <c r="C1709" s="89" t="s">
        <v>3581</v>
      </c>
      <c r="D1709" s="90" t="s">
        <v>3709</v>
      </c>
      <c r="E1709" s="91" t="s">
        <v>3710</v>
      </c>
      <c r="F1709" s="315">
        <v>9.91</v>
      </c>
      <c r="G1709" s="260"/>
      <c r="H1709" s="260"/>
      <c r="I1709" s="309"/>
      <c r="J1709" s="199"/>
      <c r="K1709" s="269"/>
      <c r="L1709" s="93">
        <f t="shared" si="400"/>
        <v>0</v>
      </c>
      <c r="M1709" s="183"/>
      <c r="N1709" s="95">
        <f t="shared" si="402"/>
        <v>0</v>
      </c>
      <c r="O1709" s="95">
        <f t="shared" si="403"/>
        <v>0</v>
      </c>
      <c r="P1709" s="94">
        <f t="shared" si="404"/>
        <v>0</v>
      </c>
      <c r="Q1709" s="95">
        <f t="shared" si="405"/>
        <v>0</v>
      </c>
      <c r="R1709" s="96"/>
      <c r="S1709" s="97">
        <f t="shared" si="406"/>
        <v>0</v>
      </c>
      <c r="T1709" s="98">
        <f t="shared" si="401"/>
        <v>0</v>
      </c>
    </row>
    <row r="1710" spans="2:31" ht="20.100000000000001" customHeight="1">
      <c r="B1710" s="88">
        <v>13</v>
      </c>
      <c r="C1710" s="89" t="s">
        <v>3581</v>
      </c>
      <c r="D1710" s="90" t="s">
        <v>3711</v>
      </c>
      <c r="E1710" s="91" t="s">
        <v>3712</v>
      </c>
      <c r="F1710" s="315">
        <v>385</v>
      </c>
      <c r="G1710" s="260">
        <v>3</v>
      </c>
      <c r="H1710" s="260"/>
      <c r="I1710" s="309"/>
      <c r="J1710" s="199"/>
      <c r="K1710" s="269"/>
      <c r="L1710" s="93">
        <f t="shared" si="400"/>
        <v>3</v>
      </c>
      <c r="M1710" s="183">
        <v>3</v>
      </c>
      <c r="N1710" s="95">
        <f t="shared" si="402"/>
        <v>1155</v>
      </c>
      <c r="O1710" s="95">
        <f t="shared" si="403"/>
        <v>1155</v>
      </c>
      <c r="P1710" s="94">
        <f t="shared" si="404"/>
        <v>0</v>
      </c>
      <c r="Q1710" s="95">
        <f t="shared" si="405"/>
        <v>0</v>
      </c>
      <c r="R1710" s="96"/>
      <c r="S1710" s="97">
        <f t="shared" si="406"/>
        <v>0</v>
      </c>
      <c r="T1710" s="98">
        <f t="shared" si="401"/>
        <v>3</v>
      </c>
    </row>
    <row r="1711" spans="2:31" ht="20.100000000000001" customHeight="1">
      <c r="B1711" s="88">
        <v>13</v>
      </c>
      <c r="C1711" s="89" t="s">
        <v>3581</v>
      </c>
      <c r="D1711" s="90" t="s">
        <v>3713</v>
      </c>
      <c r="E1711" s="91" t="s">
        <v>3714</v>
      </c>
      <c r="F1711" s="315">
        <v>75</v>
      </c>
      <c r="G1711" s="260"/>
      <c r="H1711" s="260">
        <v>1</v>
      </c>
      <c r="I1711" s="309"/>
      <c r="J1711" s="199"/>
      <c r="K1711" s="269"/>
      <c r="L1711" s="93">
        <f t="shared" si="400"/>
        <v>1</v>
      </c>
      <c r="M1711" s="183">
        <v>1</v>
      </c>
      <c r="N1711" s="95">
        <f t="shared" si="402"/>
        <v>75</v>
      </c>
      <c r="O1711" s="95">
        <f t="shared" si="403"/>
        <v>75</v>
      </c>
      <c r="P1711" s="94">
        <f t="shared" si="404"/>
        <v>0</v>
      </c>
      <c r="Q1711" s="95">
        <f t="shared" si="405"/>
        <v>0</v>
      </c>
      <c r="R1711" s="96"/>
      <c r="S1711" s="97">
        <f t="shared" si="406"/>
        <v>0</v>
      </c>
      <c r="T1711" s="98">
        <f t="shared" si="401"/>
        <v>1</v>
      </c>
    </row>
    <row r="1712" spans="2:31" ht="20.100000000000001" customHeight="1">
      <c r="B1712" s="88">
        <v>13</v>
      </c>
      <c r="C1712" s="89" t="s">
        <v>3581</v>
      </c>
      <c r="D1712" s="90" t="s">
        <v>3715</v>
      </c>
      <c r="E1712" s="91" t="s">
        <v>3716</v>
      </c>
      <c r="F1712" s="315">
        <v>7.5</v>
      </c>
      <c r="G1712" s="260">
        <v>10</v>
      </c>
      <c r="H1712" s="260"/>
      <c r="I1712" s="309"/>
      <c r="J1712" s="199"/>
      <c r="K1712" s="269"/>
      <c r="L1712" s="93">
        <f t="shared" si="400"/>
        <v>10</v>
      </c>
      <c r="M1712" s="183">
        <v>10</v>
      </c>
      <c r="N1712" s="95">
        <f t="shared" si="402"/>
        <v>75</v>
      </c>
      <c r="O1712" s="95">
        <f t="shared" si="403"/>
        <v>75</v>
      </c>
      <c r="P1712" s="94">
        <f t="shared" si="404"/>
        <v>0</v>
      </c>
      <c r="Q1712" s="95">
        <f t="shared" si="405"/>
        <v>0</v>
      </c>
      <c r="R1712" s="102">
        <v>45436</v>
      </c>
      <c r="S1712" s="97">
        <f t="shared" si="406"/>
        <v>10</v>
      </c>
      <c r="T1712" s="98">
        <f t="shared" si="401"/>
        <v>0</v>
      </c>
      <c r="W1712">
        <v>10</v>
      </c>
      <c r="X1712" t="s">
        <v>549</v>
      </c>
      <c r="AD1712">
        <f>W1712</f>
        <v>10</v>
      </c>
      <c r="AE1712" s="100">
        <f>AD1712*F1712</f>
        <v>75</v>
      </c>
    </row>
    <row r="1713" spans="2:21" ht="20.100000000000001" customHeight="1">
      <c r="B1713" s="88">
        <v>13</v>
      </c>
      <c r="C1713" s="89" t="s">
        <v>3581</v>
      </c>
      <c r="D1713" s="90" t="s">
        <v>3717</v>
      </c>
      <c r="E1713" s="91" t="s">
        <v>3718</v>
      </c>
      <c r="F1713" s="315">
        <v>75</v>
      </c>
      <c r="G1713" s="260"/>
      <c r="H1713" s="260">
        <v>1</v>
      </c>
      <c r="I1713" s="309"/>
      <c r="J1713" s="199"/>
      <c r="K1713" s="269"/>
      <c r="L1713" s="93">
        <f t="shared" si="400"/>
        <v>1</v>
      </c>
      <c r="M1713" s="183">
        <v>1</v>
      </c>
      <c r="N1713" s="95">
        <f t="shared" si="402"/>
        <v>75</v>
      </c>
      <c r="O1713" s="95">
        <f t="shared" si="403"/>
        <v>75</v>
      </c>
      <c r="P1713" s="94">
        <f t="shared" si="404"/>
        <v>0</v>
      </c>
      <c r="Q1713" s="95">
        <f t="shared" si="405"/>
        <v>0</v>
      </c>
      <c r="R1713" s="96"/>
      <c r="S1713" s="97">
        <f t="shared" si="406"/>
        <v>0</v>
      </c>
      <c r="T1713" s="98">
        <f t="shared" si="401"/>
        <v>1</v>
      </c>
    </row>
    <row r="1714" spans="2:21" ht="20.100000000000001" customHeight="1">
      <c r="B1714" s="88">
        <v>13</v>
      </c>
      <c r="C1714" s="89" t="s">
        <v>3581</v>
      </c>
      <c r="D1714" s="90" t="s">
        <v>3719</v>
      </c>
      <c r="E1714" s="91" t="s">
        <v>3720</v>
      </c>
      <c r="F1714" s="315">
        <v>5.5</v>
      </c>
      <c r="G1714" s="260">
        <v>2</v>
      </c>
      <c r="H1714" s="260"/>
      <c r="I1714" s="309"/>
      <c r="J1714" s="199"/>
      <c r="K1714" s="269"/>
      <c r="L1714" s="93">
        <f t="shared" ref="L1714:L1777" si="407">G1714+I1714-J1714-K1714+H1714</f>
        <v>2</v>
      </c>
      <c r="M1714" s="183">
        <v>2</v>
      </c>
      <c r="N1714" s="95">
        <f t="shared" si="402"/>
        <v>11</v>
      </c>
      <c r="O1714" s="95">
        <f t="shared" si="403"/>
        <v>11</v>
      </c>
      <c r="P1714" s="94">
        <f t="shared" si="404"/>
        <v>0</v>
      </c>
      <c r="Q1714" s="95">
        <f t="shared" si="405"/>
        <v>0</v>
      </c>
      <c r="R1714" s="96"/>
      <c r="S1714" s="97">
        <f t="shared" si="406"/>
        <v>0</v>
      </c>
      <c r="T1714" s="98">
        <f t="shared" si="401"/>
        <v>2</v>
      </c>
    </row>
    <row r="1715" spans="2:21" ht="20.100000000000001" customHeight="1">
      <c r="B1715" s="88">
        <v>13</v>
      </c>
      <c r="C1715" s="89" t="s">
        <v>3581</v>
      </c>
      <c r="D1715" s="90" t="s">
        <v>3721</v>
      </c>
      <c r="E1715" s="91" t="s">
        <v>3722</v>
      </c>
      <c r="F1715" s="315">
        <v>23.13</v>
      </c>
      <c r="G1715" s="260">
        <v>10</v>
      </c>
      <c r="H1715" s="260"/>
      <c r="I1715" s="309"/>
      <c r="J1715" s="199"/>
      <c r="K1715" s="269">
        <v>3</v>
      </c>
      <c r="L1715" s="93">
        <f t="shared" si="407"/>
        <v>7</v>
      </c>
      <c r="M1715" s="183">
        <v>7</v>
      </c>
      <c r="N1715" s="95">
        <f t="shared" si="402"/>
        <v>161.91</v>
      </c>
      <c r="O1715" s="95">
        <f t="shared" si="403"/>
        <v>161.91</v>
      </c>
      <c r="P1715" s="94">
        <f t="shared" si="404"/>
        <v>0</v>
      </c>
      <c r="Q1715" s="95">
        <f t="shared" si="405"/>
        <v>0</v>
      </c>
      <c r="R1715" s="278"/>
      <c r="S1715" s="97">
        <f t="shared" si="406"/>
        <v>14</v>
      </c>
      <c r="T1715" s="98">
        <f t="shared" si="401"/>
        <v>-7</v>
      </c>
      <c r="U1715">
        <v>14</v>
      </c>
    </row>
    <row r="1716" spans="2:21" ht="20.100000000000001" customHeight="1">
      <c r="B1716" s="88">
        <v>13</v>
      </c>
      <c r="C1716" s="89" t="s">
        <v>3581</v>
      </c>
      <c r="D1716" s="90" t="s">
        <v>3723</v>
      </c>
      <c r="E1716" s="91" t="s">
        <v>3724</v>
      </c>
      <c r="F1716" s="315">
        <v>19.47</v>
      </c>
      <c r="G1716" s="260">
        <v>42</v>
      </c>
      <c r="H1716" s="260"/>
      <c r="I1716" s="309"/>
      <c r="J1716" s="199"/>
      <c r="K1716" s="269">
        <v>25</v>
      </c>
      <c r="L1716" s="93">
        <f t="shared" si="407"/>
        <v>17</v>
      </c>
      <c r="M1716" s="183">
        <v>16</v>
      </c>
      <c r="N1716" s="95">
        <f t="shared" si="402"/>
        <v>330.99</v>
      </c>
      <c r="O1716" s="95">
        <f t="shared" si="403"/>
        <v>311.52</v>
      </c>
      <c r="P1716" s="94">
        <f t="shared" si="404"/>
        <v>1</v>
      </c>
      <c r="Q1716" s="95">
        <f t="shared" si="405"/>
        <v>19.470000000000027</v>
      </c>
      <c r="R1716" s="96"/>
      <c r="S1716" s="97">
        <f t="shared" si="406"/>
        <v>57</v>
      </c>
      <c r="T1716" s="98">
        <f t="shared" si="401"/>
        <v>-41</v>
      </c>
      <c r="U1716">
        <f>33+24</f>
        <v>57</v>
      </c>
    </row>
    <row r="1717" spans="2:21" ht="20.100000000000001" customHeight="1">
      <c r="B1717" s="88">
        <v>13</v>
      </c>
      <c r="C1717" s="89" t="s">
        <v>3581</v>
      </c>
      <c r="D1717" s="90" t="s">
        <v>3725</v>
      </c>
      <c r="E1717" s="91" t="s">
        <v>3726</v>
      </c>
      <c r="F1717" s="315">
        <v>11.5</v>
      </c>
      <c r="G1717" s="260">
        <v>43</v>
      </c>
      <c r="H1717" s="260"/>
      <c r="I1717" s="309"/>
      <c r="J1717" s="199"/>
      <c r="K1717" s="269">
        <v>14</v>
      </c>
      <c r="L1717" s="93">
        <f t="shared" si="407"/>
        <v>29</v>
      </c>
      <c r="M1717" s="183">
        <v>28</v>
      </c>
      <c r="N1717" s="95">
        <f t="shared" si="402"/>
        <v>333.5</v>
      </c>
      <c r="O1717" s="95">
        <f t="shared" si="403"/>
        <v>322</v>
      </c>
      <c r="P1717" s="94">
        <f t="shared" si="404"/>
        <v>1</v>
      </c>
      <c r="Q1717" s="95">
        <f t="shared" si="405"/>
        <v>11.5</v>
      </c>
      <c r="R1717" s="96"/>
      <c r="S1717" s="97">
        <f t="shared" si="406"/>
        <v>56</v>
      </c>
      <c r="T1717" s="98">
        <f t="shared" si="401"/>
        <v>-28</v>
      </c>
      <c r="U1717">
        <v>56</v>
      </c>
    </row>
    <row r="1718" spans="2:21" ht="20.100000000000001" customHeight="1">
      <c r="B1718" s="88">
        <v>13</v>
      </c>
      <c r="C1718" s="89" t="s">
        <v>3581</v>
      </c>
      <c r="D1718" s="90" t="s">
        <v>3727</v>
      </c>
      <c r="E1718" s="91" t="s">
        <v>3728</v>
      </c>
      <c r="F1718" s="315">
        <v>57.97</v>
      </c>
      <c r="G1718" s="260"/>
      <c r="H1718" s="260"/>
      <c r="I1718" s="309"/>
      <c r="J1718" s="199"/>
      <c r="K1718" s="269"/>
      <c r="L1718" s="93">
        <f t="shared" si="407"/>
        <v>0</v>
      </c>
      <c r="M1718" s="183"/>
      <c r="N1718" s="95">
        <f t="shared" si="402"/>
        <v>0</v>
      </c>
      <c r="O1718" s="95">
        <f t="shared" si="403"/>
        <v>0</v>
      </c>
      <c r="P1718" s="94">
        <f t="shared" si="404"/>
        <v>0</v>
      </c>
      <c r="Q1718" s="95">
        <f t="shared" si="405"/>
        <v>0</v>
      </c>
      <c r="R1718" s="96"/>
      <c r="S1718" s="97">
        <f t="shared" si="406"/>
        <v>0</v>
      </c>
      <c r="T1718" s="98">
        <f t="shared" si="401"/>
        <v>0</v>
      </c>
    </row>
    <row r="1719" spans="2:21" ht="20.100000000000001" customHeight="1">
      <c r="B1719" s="88">
        <v>13</v>
      </c>
      <c r="C1719" s="89" t="s">
        <v>3581</v>
      </c>
      <c r="D1719" s="90" t="s">
        <v>3729</v>
      </c>
      <c r="E1719" s="91" t="s">
        <v>3730</v>
      </c>
      <c r="F1719" s="315">
        <v>58</v>
      </c>
      <c r="G1719" s="260"/>
      <c r="H1719" s="260"/>
      <c r="I1719" s="309"/>
      <c r="J1719" s="199"/>
      <c r="K1719" s="269"/>
      <c r="L1719" s="93">
        <f t="shared" si="407"/>
        <v>0</v>
      </c>
      <c r="M1719" s="183"/>
      <c r="N1719" s="95">
        <f t="shared" si="402"/>
        <v>0</v>
      </c>
      <c r="O1719" s="95">
        <f t="shared" si="403"/>
        <v>0</v>
      </c>
      <c r="P1719" s="94">
        <f t="shared" si="404"/>
        <v>0</v>
      </c>
      <c r="Q1719" s="95">
        <f t="shared" si="405"/>
        <v>0</v>
      </c>
      <c r="R1719" s="96"/>
      <c r="S1719" s="97">
        <f t="shared" si="406"/>
        <v>0</v>
      </c>
      <c r="T1719" s="98">
        <f t="shared" si="401"/>
        <v>0</v>
      </c>
    </row>
    <row r="1720" spans="2:21" ht="20.100000000000001" customHeight="1">
      <c r="B1720" s="88">
        <v>13</v>
      </c>
      <c r="C1720" s="89" t="s">
        <v>3581</v>
      </c>
      <c r="D1720" s="90" t="s">
        <v>3731</v>
      </c>
      <c r="E1720" s="91" t="s">
        <v>3732</v>
      </c>
      <c r="F1720" s="315">
        <v>525</v>
      </c>
      <c r="G1720" s="260"/>
      <c r="H1720" s="260"/>
      <c r="I1720" s="309"/>
      <c r="J1720" s="199"/>
      <c r="K1720" s="269"/>
      <c r="L1720" s="93">
        <f t="shared" si="407"/>
        <v>0</v>
      </c>
      <c r="M1720" s="183"/>
      <c r="N1720" s="95">
        <f t="shared" si="402"/>
        <v>0</v>
      </c>
      <c r="O1720" s="95">
        <f t="shared" si="403"/>
        <v>0</v>
      </c>
      <c r="P1720" s="94">
        <f t="shared" si="404"/>
        <v>0</v>
      </c>
      <c r="Q1720" s="95">
        <f t="shared" si="405"/>
        <v>0</v>
      </c>
      <c r="R1720" s="96"/>
      <c r="S1720" s="97">
        <f t="shared" si="406"/>
        <v>0</v>
      </c>
      <c r="T1720" s="98">
        <f t="shared" si="401"/>
        <v>0</v>
      </c>
    </row>
    <row r="1721" spans="2:21" ht="20.100000000000001" customHeight="1">
      <c r="B1721" s="88">
        <v>13</v>
      </c>
      <c r="C1721" s="89" t="s">
        <v>3581</v>
      </c>
      <c r="D1721" s="90" t="s">
        <v>3733</v>
      </c>
      <c r="E1721" s="91" t="s">
        <v>3734</v>
      </c>
      <c r="F1721" s="315">
        <v>11.9</v>
      </c>
      <c r="G1721" s="260"/>
      <c r="H1721" s="260"/>
      <c r="I1721" s="309"/>
      <c r="J1721" s="199"/>
      <c r="K1721" s="269"/>
      <c r="L1721" s="93">
        <f t="shared" si="407"/>
        <v>0</v>
      </c>
      <c r="M1721" s="183"/>
      <c r="N1721" s="95">
        <f t="shared" si="402"/>
        <v>0</v>
      </c>
      <c r="O1721" s="95">
        <f t="shared" si="403"/>
        <v>0</v>
      </c>
      <c r="P1721" s="94">
        <f t="shared" si="404"/>
        <v>0</v>
      </c>
      <c r="Q1721" s="95">
        <f t="shared" si="405"/>
        <v>0</v>
      </c>
      <c r="R1721" s="96"/>
      <c r="S1721" s="97">
        <f t="shared" si="406"/>
        <v>0</v>
      </c>
      <c r="T1721" s="98">
        <f t="shared" si="401"/>
        <v>0</v>
      </c>
    </row>
    <row r="1722" spans="2:21" ht="20.100000000000001" customHeight="1">
      <c r="B1722" s="88">
        <v>13</v>
      </c>
      <c r="C1722" s="89" t="s">
        <v>3581</v>
      </c>
      <c r="D1722" s="90" t="s">
        <v>3735</v>
      </c>
      <c r="E1722" s="91" t="s">
        <v>3736</v>
      </c>
      <c r="F1722" s="315">
        <v>104.33</v>
      </c>
      <c r="G1722" s="260"/>
      <c r="H1722" s="260"/>
      <c r="I1722" s="309"/>
      <c r="J1722" s="199"/>
      <c r="K1722" s="269"/>
      <c r="L1722" s="93">
        <f t="shared" si="407"/>
        <v>0</v>
      </c>
      <c r="M1722" s="183"/>
      <c r="N1722" s="95">
        <f t="shared" si="402"/>
        <v>0</v>
      </c>
      <c r="O1722" s="95">
        <f t="shared" si="403"/>
        <v>0</v>
      </c>
      <c r="P1722" s="94">
        <f t="shared" si="404"/>
        <v>0</v>
      </c>
      <c r="Q1722" s="95">
        <f t="shared" si="405"/>
        <v>0</v>
      </c>
      <c r="R1722" s="96"/>
      <c r="S1722" s="97">
        <f t="shared" si="406"/>
        <v>0</v>
      </c>
      <c r="T1722" s="98">
        <f t="shared" si="401"/>
        <v>0</v>
      </c>
    </row>
    <row r="1723" spans="2:21" ht="20.100000000000001" customHeight="1">
      <c r="B1723" s="88">
        <v>13</v>
      </c>
      <c r="C1723" s="89" t="s">
        <v>3581</v>
      </c>
      <c r="D1723" s="90" t="s">
        <v>3737</v>
      </c>
      <c r="E1723" s="91" t="s">
        <v>3738</v>
      </c>
      <c r="F1723" s="315">
        <v>51.17</v>
      </c>
      <c r="G1723" s="260"/>
      <c r="H1723" s="260"/>
      <c r="I1723" s="309"/>
      <c r="J1723" s="199"/>
      <c r="K1723" s="269"/>
      <c r="L1723" s="93">
        <f t="shared" si="407"/>
        <v>0</v>
      </c>
      <c r="M1723" s="183"/>
      <c r="N1723" s="95">
        <f t="shared" si="402"/>
        <v>0</v>
      </c>
      <c r="O1723" s="95">
        <f t="shared" si="403"/>
        <v>0</v>
      </c>
      <c r="P1723" s="94">
        <f t="shared" si="404"/>
        <v>0</v>
      </c>
      <c r="Q1723" s="95">
        <f t="shared" si="405"/>
        <v>0</v>
      </c>
      <c r="R1723" s="96"/>
      <c r="S1723" s="97">
        <f t="shared" si="406"/>
        <v>0</v>
      </c>
      <c r="T1723" s="98">
        <f t="shared" si="401"/>
        <v>0</v>
      </c>
    </row>
    <row r="1724" spans="2:21" ht="20.100000000000001" customHeight="1">
      <c r="B1724" s="88">
        <v>13</v>
      </c>
      <c r="C1724" s="89" t="s">
        <v>3581</v>
      </c>
      <c r="D1724" s="90" t="s">
        <v>3739</v>
      </c>
      <c r="E1724" s="91" t="s">
        <v>3740</v>
      </c>
      <c r="F1724" s="315">
        <v>41.88</v>
      </c>
      <c r="G1724" s="260"/>
      <c r="H1724" s="260"/>
      <c r="I1724" s="309"/>
      <c r="J1724" s="199"/>
      <c r="K1724" s="269"/>
      <c r="L1724" s="93">
        <f t="shared" si="407"/>
        <v>0</v>
      </c>
      <c r="M1724" s="183"/>
      <c r="N1724" s="95">
        <f t="shared" si="402"/>
        <v>0</v>
      </c>
      <c r="O1724" s="95">
        <f t="shared" si="403"/>
        <v>0</v>
      </c>
      <c r="P1724" s="94">
        <f t="shared" si="404"/>
        <v>0</v>
      </c>
      <c r="Q1724" s="95">
        <f t="shared" si="405"/>
        <v>0</v>
      </c>
      <c r="R1724" s="96"/>
      <c r="S1724" s="97">
        <f t="shared" si="406"/>
        <v>0</v>
      </c>
      <c r="T1724" s="98">
        <f t="shared" si="401"/>
        <v>0</v>
      </c>
    </row>
    <row r="1725" spans="2:21" ht="20.100000000000001" customHeight="1">
      <c r="B1725" s="88">
        <v>13</v>
      </c>
      <c r="C1725" s="89" t="s">
        <v>3581</v>
      </c>
      <c r="D1725" s="90" t="s">
        <v>3741</v>
      </c>
      <c r="E1725" s="91" t="s">
        <v>3742</v>
      </c>
      <c r="F1725" s="315">
        <v>39.67</v>
      </c>
      <c r="G1725" s="260">
        <v>96</v>
      </c>
      <c r="H1725" s="260"/>
      <c r="I1725" s="309"/>
      <c r="J1725" s="199"/>
      <c r="K1725" s="269"/>
      <c r="L1725" s="93">
        <f t="shared" si="407"/>
        <v>96</v>
      </c>
      <c r="M1725" s="183">
        <v>96</v>
      </c>
      <c r="N1725" s="95">
        <f t="shared" si="402"/>
        <v>3808.32</v>
      </c>
      <c r="O1725" s="95">
        <f t="shared" si="403"/>
        <v>3808.32</v>
      </c>
      <c r="P1725" s="94">
        <f t="shared" si="404"/>
        <v>0</v>
      </c>
      <c r="Q1725" s="95">
        <f t="shared" si="405"/>
        <v>0</v>
      </c>
      <c r="R1725" s="96"/>
      <c r="S1725" s="97">
        <f t="shared" si="406"/>
        <v>0</v>
      </c>
      <c r="T1725" s="98">
        <f t="shared" si="401"/>
        <v>96</v>
      </c>
    </row>
    <row r="1726" spans="2:21" ht="20.100000000000001" customHeight="1">
      <c r="B1726" s="88">
        <v>13</v>
      </c>
      <c r="C1726" s="89" t="s">
        <v>3581</v>
      </c>
      <c r="D1726" s="90" t="s">
        <v>3743</v>
      </c>
      <c r="E1726" s="91" t="s">
        <v>3744</v>
      </c>
      <c r="F1726" s="315">
        <v>40.5</v>
      </c>
      <c r="G1726" s="260"/>
      <c r="H1726" s="260"/>
      <c r="I1726" s="309"/>
      <c r="J1726" s="199"/>
      <c r="K1726" s="269"/>
      <c r="L1726" s="93">
        <f t="shared" si="407"/>
        <v>0</v>
      </c>
      <c r="M1726" s="183"/>
      <c r="N1726" s="95">
        <f t="shared" si="402"/>
        <v>0</v>
      </c>
      <c r="O1726" s="95">
        <f t="shared" si="403"/>
        <v>0</v>
      </c>
      <c r="P1726" s="94">
        <f t="shared" si="404"/>
        <v>0</v>
      </c>
      <c r="Q1726" s="95">
        <f t="shared" si="405"/>
        <v>0</v>
      </c>
      <c r="R1726" s="96"/>
      <c r="S1726" s="97">
        <f t="shared" si="406"/>
        <v>0</v>
      </c>
      <c r="T1726" s="98">
        <f t="shared" si="401"/>
        <v>0</v>
      </c>
    </row>
    <row r="1727" spans="2:21" ht="20.100000000000001" customHeight="1">
      <c r="B1727" s="88">
        <v>13</v>
      </c>
      <c r="C1727" s="89" t="s">
        <v>3581</v>
      </c>
      <c r="D1727" s="90" t="s">
        <v>3745</v>
      </c>
      <c r="E1727" s="91" t="s">
        <v>3746</v>
      </c>
      <c r="F1727" s="315">
        <v>24.38</v>
      </c>
      <c r="G1727" s="260"/>
      <c r="H1727" s="260">
        <v>32</v>
      </c>
      <c r="I1727" s="309"/>
      <c r="J1727" s="199"/>
      <c r="K1727" s="269"/>
      <c r="L1727" s="93">
        <f t="shared" si="407"/>
        <v>32</v>
      </c>
      <c r="M1727" s="183">
        <v>32</v>
      </c>
      <c r="N1727" s="95">
        <f t="shared" si="402"/>
        <v>780.16</v>
      </c>
      <c r="O1727" s="95">
        <f t="shared" si="403"/>
        <v>780.16</v>
      </c>
      <c r="P1727" s="94">
        <f t="shared" si="404"/>
        <v>0</v>
      </c>
      <c r="Q1727" s="95">
        <f t="shared" si="405"/>
        <v>0</v>
      </c>
      <c r="R1727" s="96"/>
      <c r="S1727" s="97">
        <f t="shared" si="406"/>
        <v>0</v>
      </c>
      <c r="T1727" s="98">
        <f t="shared" si="401"/>
        <v>32</v>
      </c>
    </row>
    <row r="1728" spans="2:21" ht="20.100000000000001" customHeight="1">
      <c r="B1728" s="88">
        <v>13</v>
      </c>
      <c r="C1728" s="89" t="s">
        <v>3581</v>
      </c>
      <c r="D1728" s="90" t="s">
        <v>3747</v>
      </c>
      <c r="E1728" s="91" t="s">
        <v>3748</v>
      </c>
      <c r="F1728" s="315">
        <v>13.07</v>
      </c>
      <c r="G1728" s="260"/>
      <c r="H1728" s="260"/>
      <c r="I1728" s="309"/>
      <c r="J1728" s="199"/>
      <c r="K1728" s="269"/>
      <c r="L1728" s="93">
        <f t="shared" si="407"/>
        <v>0</v>
      </c>
      <c r="M1728" s="183"/>
      <c r="N1728" s="95">
        <f t="shared" si="402"/>
        <v>0</v>
      </c>
      <c r="O1728" s="95">
        <f t="shared" si="403"/>
        <v>0</v>
      </c>
      <c r="P1728" s="94">
        <f t="shared" si="404"/>
        <v>0</v>
      </c>
      <c r="Q1728" s="95">
        <f t="shared" si="405"/>
        <v>0</v>
      </c>
      <c r="R1728" s="96"/>
      <c r="S1728" s="97">
        <f t="shared" si="406"/>
        <v>0</v>
      </c>
      <c r="T1728" s="98">
        <f t="shared" si="401"/>
        <v>0</v>
      </c>
    </row>
    <row r="1729" spans="2:31" ht="20.100000000000001" customHeight="1">
      <c r="B1729" s="88">
        <v>13</v>
      </c>
      <c r="C1729" s="89" t="s">
        <v>3581</v>
      </c>
      <c r="D1729" s="90" t="s">
        <v>3749</v>
      </c>
      <c r="E1729" s="91" t="s">
        <v>3750</v>
      </c>
      <c r="F1729" s="315">
        <v>90</v>
      </c>
      <c r="G1729" s="260">
        <v>3</v>
      </c>
      <c r="H1729" s="260"/>
      <c r="I1729" s="309"/>
      <c r="J1729" s="199"/>
      <c r="K1729" s="269"/>
      <c r="L1729" s="93">
        <f t="shared" si="407"/>
        <v>3</v>
      </c>
      <c r="M1729" s="183">
        <v>3</v>
      </c>
      <c r="N1729" s="95">
        <f t="shared" si="402"/>
        <v>270</v>
      </c>
      <c r="O1729" s="95">
        <f t="shared" si="403"/>
        <v>270</v>
      </c>
      <c r="P1729" s="94">
        <f t="shared" si="404"/>
        <v>0</v>
      </c>
      <c r="Q1729" s="95">
        <f t="shared" si="405"/>
        <v>0</v>
      </c>
      <c r="R1729" s="96" t="s">
        <v>3751</v>
      </c>
      <c r="S1729" s="97">
        <f t="shared" si="406"/>
        <v>30</v>
      </c>
      <c r="T1729" s="98">
        <f t="shared" si="401"/>
        <v>-27</v>
      </c>
      <c r="W1729">
        <f>10*3</f>
        <v>30</v>
      </c>
      <c r="X1729" t="s">
        <v>549</v>
      </c>
      <c r="AD1729">
        <f>W1729</f>
        <v>30</v>
      </c>
      <c r="AE1729" s="100">
        <f>AD1729*F1729</f>
        <v>2700</v>
      </c>
    </row>
    <row r="1730" spans="2:31" ht="20.100000000000001" customHeight="1">
      <c r="B1730" s="88">
        <v>14</v>
      </c>
      <c r="C1730" s="89" t="s">
        <v>3752</v>
      </c>
      <c r="D1730" s="90" t="s">
        <v>3753</v>
      </c>
      <c r="E1730" s="91" t="s">
        <v>3754</v>
      </c>
      <c r="F1730" s="315">
        <v>21</v>
      </c>
      <c r="G1730" s="260"/>
      <c r="H1730" s="260"/>
      <c r="I1730" s="309"/>
      <c r="J1730" s="199"/>
      <c r="K1730" s="269"/>
      <c r="L1730" s="93">
        <f t="shared" si="407"/>
        <v>0</v>
      </c>
      <c r="M1730" s="183"/>
      <c r="N1730" s="95">
        <f t="shared" si="402"/>
        <v>0</v>
      </c>
      <c r="O1730" s="95">
        <f t="shared" si="403"/>
        <v>0</v>
      </c>
      <c r="P1730" s="94">
        <f t="shared" si="404"/>
        <v>0</v>
      </c>
      <c r="Q1730" s="95">
        <f t="shared" si="405"/>
        <v>0</v>
      </c>
      <c r="R1730" s="96"/>
      <c r="S1730" s="97">
        <f t="shared" si="406"/>
        <v>0</v>
      </c>
      <c r="T1730" s="98">
        <f t="shared" si="401"/>
        <v>0</v>
      </c>
    </row>
    <row r="1731" spans="2:31" ht="20.100000000000001" customHeight="1">
      <c r="B1731" s="88">
        <v>14</v>
      </c>
      <c r="C1731" s="89" t="s">
        <v>3752</v>
      </c>
      <c r="D1731" s="90" t="s">
        <v>3755</v>
      </c>
      <c r="E1731" s="91" t="s">
        <v>3756</v>
      </c>
      <c r="F1731" s="315">
        <v>30.25</v>
      </c>
      <c r="G1731" s="260"/>
      <c r="H1731" s="260"/>
      <c r="I1731" s="309"/>
      <c r="J1731" s="199"/>
      <c r="K1731" s="269"/>
      <c r="L1731" s="93">
        <f t="shared" si="407"/>
        <v>0</v>
      </c>
      <c r="M1731" s="183"/>
      <c r="N1731" s="95">
        <f t="shared" si="402"/>
        <v>0</v>
      </c>
      <c r="O1731" s="95">
        <f t="shared" si="403"/>
        <v>0</v>
      </c>
      <c r="P1731" s="94">
        <f t="shared" si="404"/>
        <v>0</v>
      </c>
      <c r="Q1731" s="95">
        <f t="shared" si="405"/>
        <v>0</v>
      </c>
      <c r="R1731" s="96"/>
      <c r="S1731" s="97">
        <f t="shared" si="406"/>
        <v>0</v>
      </c>
      <c r="T1731" s="98">
        <f t="shared" si="401"/>
        <v>0</v>
      </c>
    </row>
    <row r="1732" spans="2:31" ht="20.100000000000001" customHeight="1">
      <c r="B1732" s="88">
        <v>14</v>
      </c>
      <c r="C1732" s="89" t="s">
        <v>3752</v>
      </c>
      <c r="D1732" s="90" t="s">
        <v>3755</v>
      </c>
      <c r="E1732" s="91" t="s">
        <v>3756</v>
      </c>
      <c r="F1732" s="315">
        <v>30.25</v>
      </c>
      <c r="G1732" s="260">
        <v>11</v>
      </c>
      <c r="H1732" s="260"/>
      <c r="I1732" s="309"/>
      <c r="J1732" s="199"/>
      <c r="K1732" s="269">
        <v>1</v>
      </c>
      <c r="L1732" s="93">
        <f t="shared" si="407"/>
        <v>10</v>
      </c>
      <c r="M1732" s="183">
        <v>10</v>
      </c>
      <c r="N1732" s="95">
        <f t="shared" si="402"/>
        <v>302.5</v>
      </c>
      <c r="O1732" s="95">
        <f t="shared" si="403"/>
        <v>302.5</v>
      </c>
      <c r="P1732" s="94">
        <f t="shared" si="404"/>
        <v>0</v>
      </c>
      <c r="Q1732" s="95">
        <f t="shared" si="405"/>
        <v>0</v>
      </c>
      <c r="R1732" s="96"/>
      <c r="S1732" s="97">
        <f t="shared" si="406"/>
        <v>11</v>
      </c>
      <c r="T1732" s="98">
        <f t="shared" si="401"/>
        <v>-1</v>
      </c>
      <c r="U1732">
        <v>11</v>
      </c>
    </row>
    <row r="1733" spans="2:31" ht="20.100000000000001" customHeight="1">
      <c r="B1733" s="88">
        <v>14</v>
      </c>
      <c r="C1733" s="89" t="s">
        <v>3752</v>
      </c>
      <c r="D1733" s="90" t="s">
        <v>3757</v>
      </c>
      <c r="E1733" s="91" t="s">
        <v>3758</v>
      </c>
      <c r="F1733" s="315">
        <v>154.30000000000001</v>
      </c>
      <c r="G1733" s="260">
        <v>220</v>
      </c>
      <c r="H1733" s="260"/>
      <c r="I1733" s="309"/>
      <c r="J1733" s="199"/>
      <c r="K1733" s="269"/>
      <c r="L1733" s="93">
        <f t="shared" si="407"/>
        <v>220</v>
      </c>
      <c r="M1733" s="183">
        <v>220</v>
      </c>
      <c r="N1733" s="95">
        <f t="shared" si="402"/>
        <v>33946</v>
      </c>
      <c r="O1733" s="95">
        <f t="shared" si="403"/>
        <v>33946</v>
      </c>
      <c r="P1733" s="94">
        <f t="shared" si="404"/>
        <v>0</v>
      </c>
      <c r="Q1733" s="95">
        <f t="shared" si="405"/>
        <v>0</v>
      </c>
      <c r="R1733" s="96"/>
      <c r="S1733" s="97">
        <f t="shared" si="406"/>
        <v>220</v>
      </c>
      <c r="T1733" s="98">
        <f t="shared" si="401"/>
        <v>0</v>
      </c>
      <c r="W1733">
        <v>220</v>
      </c>
    </row>
    <row r="1734" spans="2:31" ht="20.100000000000001" customHeight="1">
      <c r="B1734" s="88">
        <v>14</v>
      </c>
      <c r="C1734" s="89" t="s">
        <v>3752</v>
      </c>
      <c r="D1734" s="90" t="s">
        <v>3759</v>
      </c>
      <c r="E1734" s="91" t="s">
        <v>3760</v>
      </c>
      <c r="F1734" s="315">
        <v>125.7</v>
      </c>
      <c r="G1734" s="260">
        <v>326</v>
      </c>
      <c r="H1734" s="260"/>
      <c r="I1734" s="309"/>
      <c r="J1734" s="199"/>
      <c r="K1734" s="269">
        <v>1</v>
      </c>
      <c r="L1734" s="93">
        <f t="shared" si="407"/>
        <v>325</v>
      </c>
      <c r="M1734" s="183">
        <f>25+300</f>
        <v>325</v>
      </c>
      <c r="N1734" s="95">
        <f t="shared" si="402"/>
        <v>40852.5</v>
      </c>
      <c r="O1734" s="95">
        <f t="shared" si="403"/>
        <v>40852.5</v>
      </c>
      <c r="P1734" s="94">
        <f t="shared" si="404"/>
        <v>0</v>
      </c>
      <c r="Q1734" s="95">
        <f t="shared" si="405"/>
        <v>0</v>
      </c>
      <c r="R1734" s="96"/>
      <c r="S1734" s="97">
        <f t="shared" si="406"/>
        <v>326</v>
      </c>
      <c r="T1734" s="98">
        <f t="shared" si="401"/>
        <v>-1</v>
      </c>
      <c r="U1734">
        <v>26</v>
      </c>
      <c r="W1734">
        <v>300</v>
      </c>
    </row>
    <row r="1735" spans="2:31" ht="20.100000000000001" customHeight="1">
      <c r="B1735" s="88">
        <v>14</v>
      </c>
      <c r="C1735" s="89" t="s">
        <v>3752</v>
      </c>
      <c r="D1735" s="90" t="s">
        <v>3761</v>
      </c>
      <c r="E1735" s="91" t="s">
        <v>3762</v>
      </c>
      <c r="F1735" s="315">
        <v>7</v>
      </c>
      <c r="G1735" s="260">
        <v>94</v>
      </c>
      <c r="H1735" s="260"/>
      <c r="I1735" s="309"/>
      <c r="J1735" s="199"/>
      <c r="K1735" s="269"/>
      <c r="L1735" s="93">
        <f t="shared" si="407"/>
        <v>94</v>
      </c>
      <c r="M1735" s="183">
        <v>94</v>
      </c>
      <c r="N1735" s="95">
        <f t="shared" si="402"/>
        <v>658</v>
      </c>
      <c r="O1735" s="95">
        <f t="shared" si="403"/>
        <v>658</v>
      </c>
      <c r="P1735" s="94">
        <f t="shared" si="404"/>
        <v>0</v>
      </c>
      <c r="Q1735" s="95">
        <f t="shared" si="405"/>
        <v>0</v>
      </c>
      <c r="R1735" s="96"/>
      <c r="S1735" s="97">
        <f t="shared" si="406"/>
        <v>94</v>
      </c>
      <c r="T1735" s="98">
        <f t="shared" si="401"/>
        <v>0</v>
      </c>
      <c r="U1735">
        <v>94</v>
      </c>
    </row>
    <row r="1736" spans="2:31" ht="20.100000000000001" customHeight="1">
      <c r="B1736" s="88">
        <v>14</v>
      </c>
      <c r="C1736" s="89" t="s">
        <v>3752</v>
      </c>
      <c r="D1736" s="90" t="s">
        <v>3763</v>
      </c>
      <c r="E1736" s="91" t="s">
        <v>3764</v>
      </c>
      <c r="F1736" s="315">
        <v>66.89</v>
      </c>
      <c r="G1736" s="260">
        <v>1</v>
      </c>
      <c r="H1736" s="260"/>
      <c r="I1736" s="309"/>
      <c r="J1736" s="199"/>
      <c r="K1736" s="269"/>
      <c r="L1736" s="93">
        <f t="shared" si="407"/>
        <v>1</v>
      </c>
      <c r="M1736" s="183">
        <v>1</v>
      </c>
      <c r="N1736" s="95">
        <f t="shared" si="402"/>
        <v>66.89</v>
      </c>
      <c r="O1736" s="95">
        <f t="shared" si="403"/>
        <v>66.89</v>
      </c>
      <c r="P1736" s="94">
        <f t="shared" si="404"/>
        <v>0</v>
      </c>
      <c r="Q1736" s="95">
        <f t="shared" si="405"/>
        <v>0</v>
      </c>
      <c r="R1736" s="96"/>
      <c r="S1736" s="97">
        <f t="shared" si="406"/>
        <v>1</v>
      </c>
      <c r="T1736" s="98">
        <f t="shared" si="401"/>
        <v>0</v>
      </c>
      <c r="U1736">
        <v>1</v>
      </c>
    </row>
    <row r="1737" spans="2:31" ht="20.100000000000001" customHeight="1">
      <c r="B1737" s="88">
        <v>14</v>
      </c>
      <c r="C1737" s="89" t="s">
        <v>3752</v>
      </c>
      <c r="D1737" s="90" t="s">
        <v>3765</v>
      </c>
      <c r="E1737" s="91" t="s">
        <v>3766</v>
      </c>
      <c r="F1737" s="315">
        <v>6</v>
      </c>
      <c r="G1737" s="260">
        <v>53</v>
      </c>
      <c r="H1737" s="260"/>
      <c r="I1737" s="309"/>
      <c r="J1737" s="199"/>
      <c r="K1737" s="269"/>
      <c r="L1737" s="93">
        <f t="shared" si="407"/>
        <v>53</v>
      </c>
      <c r="M1737" s="183">
        <v>53</v>
      </c>
      <c r="N1737" s="95">
        <f t="shared" si="402"/>
        <v>318</v>
      </c>
      <c r="O1737" s="95">
        <f t="shared" si="403"/>
        <v>318</v>
      </c>
      <c r="P1737" s="94">
        <f t="shared" si="404"/>
        <v>0</v>
      </c>
      <c r="Q1737" s="95">
        <f t="shared" si="405"/>
        <v>0</v>
      </c>
      <c r="R1737" s="96" t="s">
        <v>2133</v>
      </c>
      <c r="S1737" s="97">
        <f t="shared" si="406"/>
        <v>53</v>
      </c>
      <c r="T1737" s="98">
        <f t="shared" si="401"/>
        <v>0</v>
      </c>
      <c r="U1737">
        <v>53</v>
      </c>
      <c r="V1737" s="99" t="s">
        <v>479</v>
      </c>
      <c r="AD1737" s="18">
        <f>M1737</f>
        <v>53</v>
      </c>
      <c r="AE1737" s="100">
        <f>AD1737*F1737</f>
        <v>318</v>
      </c>
    </row>
    <row r="1738" spans="2:31" ht="20.100000000000001" customHeight="1">
      <c r="B1738" s="88">
        <v>14</v>
      </c>
      <c r="C1738" s="89" t="s">
        <v>3752</v>
      </c>
      <c r="D1738" s="90" t="s">
        <v>3767</v>
      </c>
      <c r="E1738" s="91" t="s">
        <v>3768</v>
      </c>
      <c r="F1738" s="315">
        <v>4.4800000000000004</v>
      </c>
      <c r="G1738" s="260">
        <v>1</v>
      </c>
      <c r="H1738" s="260"/>
      <c r="I1738" s="309"/>
      <c r="J1738" s="199"/>
      <c r="K1738" s="269"/>
      <c r="L1738" s="93">
        <f t="shared" si="407"/>
        <v>1</v>
      </c>
      <c r="M1738" s="183"/>
      <c r="N1738" s="95">
        <f t="shared" si="402"/>
        <v>4.4800000000000004</v>
      </c>
      <c r="O1738" s="95">
        <f t="shared" si="403"/>
        <v>0</v>
      </c>
      <c r="P1738" s="94">
        <f t="shared" si="404"/>
        <v>1</v>
      </c>
      <c r="Q1738" s="95">
        <f t="shared" si="405"/>
        <v>4.4800000000000004</v>
      </c>
      <c r="R1738" s="96"/>
      <c r="S1738" s="97">
        <f t="shared" si="406"/>
        <v>0</v>
      </c>
      <c r="T1738" s="98">
        <f t="shared" si="401"/>
        <v>0</v>
      </c>
    </row>
    <row r="1739" spans="2:31" ht="20.100000000000001" customHeight="1">
      <c r="B1739" s="88">
        <v>14</v>
      </c>
      <c r="C1739" s="89" t="s">
        <v>3752</v>
      </c>
      <c r="D1739" s="90" t="s">
        <v>3769</v>
      </c>
      <c r="E1739" s="91" t="s">
        <v>3770</v>
      </c>
      <c r="F1739" s="315">
        <v>4.4800000000000004</v>
      </c>
      <c r="G1739" s="260"/>
      <c r="H1739" s="260">
        <v>1</v>
      </c>
      <c r="I1739" s="309"/>
      <c r="J1739" s="199"/>
      <c r="K1739" s="269">
        <v>1</v>
      </c>
      <c r="L1739" s="93">
        <f t="shared" si="407"/>
        <v>0</v>
      </c>
      <c r="M1739" s="183"/>
      <c r="N1739" s="95">
        <f t="shared" si="402"/>
        <v>0</v>
      </c>
      <c r="O1739" s="95">
        <f t="shared" si="403"/>
        <v>0</v>
      </c>
      <c r="P1739" s="94">
        <f t="shared" si="404"/>
        <v>0</v>
      </c>
      <c r="Q1739" s="95">
        <f t="shared" si="405"/>
        <v>0</v>
      </c>
      <c r="R1739" s="278"/>
      <c r="S1739" s="97">
        <f t="shared" si="406"/>
        <v>0</v>
      </c>
      <c r="T1739" s="98">
        <f t="shared" si="401"/>
        <v>0</v>
      </c>
    </row>
    <row r="1740" spans="2:31" ht="20.100000000000001" customHeight="1">
      <c r="B1740" s="88">
        <v>14</v>
      </c>
      <c r="C1740" s="89" t="s">
        <v>3752</v>
      </c>
      <c r="D1740" s="90" t="s">
        <v>3771</v>
      </c>
      <c r="E1740" s="91" t="s">
        <v>3772</v>
      </c>
      <c r="F1740" s="315">
        <v>3.6</v>
      </c>
      <c r="G1740" s="260">
        <v>10</v>
      </c>
      <c r="H1740" s="260"/>
      <c r="I1740" s="309"/>
      <c r="J1740" s="199"/>
      <c r="K1740" s="269">
        <v>9</v>
      </c>
      <c r="L1740" s="93">
        <f t="shared" si="407"/>
        <v>1</v>
      </c>
      <c r="M1740" s="183"/>
      <c r="N1740" s="95">
        <f t="shared" si="402"/>
        <v>3.6</v>
      </c>
      <c r="O1740" s="95">
        <f t="shared" si="403"/>
        <v>0</v>
      </c>
      <c r="P1740" s="94">
        <f t="shared" si="404"/>
        <v>1</v>
      </c>
      <c r="Q1740" s="95">
        <f t="shared" si="405"/>
        <v>3.6</v>
      </c>
      <c r="R1740" s="96"/>
      <c r="S1740" s="97">
        <f t="shared" si="406"/>
        <v>0</v>
      </c>
      <c r="T1740" s="98">
        <f t="shared" si="401"/>
        <v>0</v>
      </c>
    </row>
    <row r="1741" spans="2:31" ht="20.100000000000001" customHeight="1">
      <c r="B1741" s="88">
        <v>14</v>
      </c>
      <c r="C1741" s="89" t="s">
        <v>3752</v>
      </c>
      <c r="D1741" s="90" t="s">
        <v>3773</v>
      </c>
      <c r="E1741" s="91" t="s">
        <v>3774</v>
      </c>
      <c r="F1741" s="315">
        <v>3.6</v>
      </c>
      <c r="G1741" s="260">
        <v>4</v>
      </c>
      <c r="H1741" s="260"/>
      <c r="I1741" s="309"/>
      <c r="J1741" s="199"/>
      <c r="K1741" s="269">
        <v>2</v>
      </c>
      <c r="L1741" s="93">
        <f t="shared" si="407"/>
        <v>2</v>
      </c>
      <c r="M1741" s="183"/>
      <c r="N1741" s="95">
        <f t="shared" si="402"/>
        <v>7.2</v>
      </c>
      <c r="O1741" s="95">
        <f t="shared" si="403"/>
        <v>0</v>
      </c>
      <c r="P1741" s="94">
        <f t="shared" si="404"/>
        <v>2</v>
      </c>
      <c r="Q1741" s="95">
        <f t="shared" si="405"/>
        <v>7.2</v>
      </c>
      <c r="R1741" s="96"/>
      <c r="S1741" s="97">
        <f t="shared" si="406"/>
        <v>0</v>
      </c>
      <c r="T1741" s="98">
        <f t="shared" si="401"/>
        <v>0</v>
      </c>
    </row>
    <row r="1742" spans="2:31" ht="20.100000000000001" customHeight="1">
      <c r="B1742" s="88">
        <v>14</v>
      </c>
      <c r="C1742" s="89" t="s">
        <v>3752</v>
      </c>
      <c r="D1742" s="90" t="s">
        <v>3775</v>
      </c>
      <c r="E1742" s="91" t="s">
        <v>3776</v>
      </c>
      <c r="F1742" s="315">
        <v>7</v>
      </c>
      <c r="G1742" s="260">
        <v>6</v>
      </c>
      <c r="H1742" s="260"/>
      <c r="I1742" s="309"/>
      <c r="J1742" s="199"/>
      <c r="K1742" s="269">
        <v>2</v>
      </c>
      <c r="L1742" s="93">
        <f t="shared" si="407"/>
        <v>4</v>
      </c>
      <c r="M1742" s="183">
        <v>4</v>
      </c>
      <c r="N1742" s="95">
        <f t="shared" si="402"/>
        <v>28</v>
      </c>
      <c r="O1742" s="95">
        <f t="shared" si="403"/>
        <v>28</v>
      </c>
      <c r="P1742" s="94">
        <f t="shared" si="404"/>
        <v>0</v>
      </c>
      <c r="Q1742" s="95">
        <f t="shared" si="405"/>
        <v>0</v>
      </c>
      <c r="R1742" s="96"/>
      <c r="S1742" s="97">
        <f t="shared" si="406"/>
        <v>6</v>
      </c>
      <c r="T1742" s="98">
        <f t="shared" si="401"/>
        <v>-2</v>
      </c>
      <c r="U1742">
        <v>6</v>
      </c>
    </row>
    <row r="1743" spans="2:31" ht="20.100000000000001" customHeight="1">
      <c r="B1743" s="88">
        <v>14</v>
      </c>
      <c r="C1743" s="89" t="s">
        <v>3752</v>
      </c>
      <c r="D1743" s="90" t="s">
        <v>3777</v>
      </c>
      <c r="E1743" s="91" t="s">
        <v>3778</v>
      </c>
      <c r="F1743" s="315">
        <v>20</v>
      </c>
      <c r="G1743" s="260"/>
      <c r="H1743" s="260">
        <v>1</v>
      </c>
      <c r="I1743" s="309"/>
      <c r="J1743" s="199"/>
      <c r="K1743" s="269">
        <v>1</v>
      </c>
      <c r="L1743" s="93">
        <f t="shared" si="407"/>
        <v>0</v>
      </c>
      <c r="M1743" s="183"/>
      <c r="N1743" s="95">
        <f t="shared" si="402"/>
        <v>0</v>
      </c>
      <c r="O1743" s="95">
        <f t="shared" si="403"/>
        <v>0</v>
      </c>
      <c r="P1743" s="94">
        <f t="shared" si="404"/>
        <v>0</v>
      </c>
      <c r="Q1743" s="95">
        <f t="shared" si="405"/>
        <v>0</v>
      </c>
      <c r="R1743" s="96"/>
      <c r="S1743" s="97">
        <f t="shared" si="406"/>
        <v>2</v>
      </c>
      <c r="T1743" s="98">
        <f t="shared" si="401"/>
        <v>-2</v>
      </c>
      <c r="U1743">
        <v>2</v>
      </c>
    </row>
    <row r="1744" spans="2:31" ht="20.100000000000001" customHeight="1">
      <c r="B1744" s="88">
        <v>14</v>
      </c>
      <c r="C1744" s="89" t="s">
        <v>3752</v>
      </c>
      <c r="D1744" s="90" t="s">
        <v>3779</v>
      </c>
      <c r="E1744" s="91" t="s">
        <v>3780</v>
      </c>
      <c r="F1744" s="315">
        <v>0.76</v>
      </c>
      <c r="G1744" s="260">
        <v>11</v>
      </c>
      <c r="H1744" s="260"/>
      <c r="I1744" s="309">
        <v>50</v>
      </c>
      <c r="J1744" s="199"/>
      <c r="K1744" s="269">
        <v>8</v>
      </c>
      <c r="L1744" s="93">
        <f t="shared" si="407"/>
        <v>53</v>
      </c>
      <c r="M1744" s="183">
        <v>50</v>
      </c>
      <c r="N1744" s="95">
        <f t="shared" si="402"/>
        <v>40.28</v>
      </c>
      <c r="O1744" s="95">
        <f t="shared" si="403"/>
        <v>38</v>
      </c>
      <c r="P1744" s="94">
        <f t="shared" si="404"/>
        <v>3</v>
      </c>
      <c r="Q1744" s="95">
        <f t="shared" si="405"/>
        <v>2.2800000000000011</v>
      </c>
      <c r="R1744" s="96"/>
      <c r="S1744" s="97">
        <f t="shared" si="406"/>
        <v>10</v>
      </c>
      <c r="T1744" s="98">
        <f t="shared" si="401"/>
        <v>40</v>
      </c>
      <c r="U1744">
        <v>10</v>
      </c>
    </row>
    <row r="1745" spans="2:31" ht="20.100000000000001" customHeight="1">
      <c r="B1745" s="88">
        <v>14</v>
      </c>
      <c r="C1745" s="89" t="s">
        <v>3752</v>
      </c>
      <c r="D1745" s="90" t="s">
        <v>3781</v>
      </c>
      <c r="E1745" s="91" t="s">
        <v>3782</v>
      </c>
      <c r="F1745" s="315">
        <v>35.5</v>
      </c>
      <c r="G1745" s="260"/>
      <c r="H1745" s="260"/>
      <c r="I1745" s="309"/>
      <c r="J1745" s="199"/>
      <c r="K1745" s="269"/>
      <c r="L1745" s="93">
        <f t="shared" si="407"/>
        <v>0</v>
      </c>
      <c r="M1745" s="183"/>
      <c r="N1745" s="95">
        <f t="shared" si="402"/>
        <v>0</v>
      </c>
      <c r="O1745" s="95">
        <f t="shared" si="403"/>
        <v>0</v>
      </c>
      <c r="P1745" s="94">
        <f t="shared" si="404"/>
        <v>0</v>
      </c>
      <c r="Q1745" s="95">
        <f t="shared" si="405"/>
        <v>0</v>
      </c>
      <c r="R1745" s="96"/>
      <c r="S1745" s="97">
        <f t="shared" si="406"/>
        <v>0</v>
      </c>
      <c r="T1745" s="98">
        <f t="shared" si="401"/>
        <v>0</v>
      </c>
    </row>
    <row r="1746" spans="2:31" ht="20.100000000000001" customHeight="1">
      <c r="B1746" s="88">
        <v>14</v>
      </c>
      <c r="C1746" s="89" t="s">
        <v>3752</v>
      </c>
      <c r="D1746" s="90" t="s">
        <v>3783</v>
      </c>
      <c r="E1746" s="91" t="s">
        <v>3784</v>
      </c>
      <c r="F1746" s="315">
        <v>52.75</v>
      </c>
      <c r="G1746" s="260"/>
      <c r="H1746" s="260"/>
      <c r="I1746" s="309"/>
      <c r="J1746" s="199"/>
      <c r="K1746" s="269"/>
      <c r="L1746" s="93">
        <f t="shared" si="407"/>
        <v>0</v>
      </c>
      <c r="M1746" s="183"/>
      <c r="N1746" s="95">
        <f t="shared" si="402"/>
        <v>0</v>
      </c>
      <c r="O1746" s="95">
        <f t="shared" si="403"/>
        <v>0</v>
      </c>
      <c r="P1746" s="94">
        <f t="shared" si="404"/>
        <v>0</v>
      </c>
      <c r="Q1746" s="95">
        <f t="shared" si="405"/>
        <v>0</v>
      </c>
      <c r="R1746" s="96"/>
      <c r="S1746" s="97">
        <f t="shared" si="406"/>
        <v>0</v>
      </c>
      <c r="T1746" s="98">
        <f t="shared" si="401"/>
        <v>0</v>
      </c>
    </row>
    <row r="1747" spans="2:31" ht="20.100000000000001" customHeight="1">
      <c r="B1747" s="88">
        <v>14</v>
      </c>
      <c r="C1747" s="89" t="s">
        <v>3752</v>
      </c>
      <c r="D1747" s="90" t="s">
        <v>3785</v>
      </c>
      <c r="E1747" s="91" t="s">
        <v>3786</v>
      </c>
      <c r="F1747" s="315">
        <v>5.74</v>
      </c>
      <c r="G1747" s="260"/>
      <c r="H1747" s="260"/>
      <c r="I1747" s="309"/>
      <c r="J1747" s="199"/>
      <c r="K1747" s="269"/>
      <c r="L1747" s="93">
        <f t="shared" si="407"/>
        <v>0</v>
      </c>
      <c r="M1747" s="183"/>
      <c r="N1747" s="95">
        <f t="shared" si="402"/>
        <v>0</v>
      </c>
      <c r="O1747" s="95">
        <f t="shared" si="403"/>
        <v>0</v>
      </c>
      <c r="P1747" s="94">
        <f t="shared" si="404"/>
        <v>0</v>
      </c>
      <c r="Q1747" s="95">
        <f t="shared" si="405"/>
        <v>0</v>
      </c>
      <c r="R1747" s="96"/>
      <c r="S1747" s="97">
        <f t="shared" si="406"/>
        <v>0</v>
      </c>
      <c r="T1747" s="98">
        <f t="shared" si="401"/>
        <v>0</v>
      </c>
    </row>
    <row r="1748" spans="2:31" ht="20.100000000000001" customHeight="1">
      <c r="B1748" s="88">
        <v>14</v>
      </c>
      <c r="C1748" s="89" t="s">
        <v>3752</v>
      </c>
      <c r="D1748" s="90" t="s">
        <v>3787</v>
      </c>
      <c r="E1748" s="91" t="s">
        <v>3788</v>
      </c>
      <c r="F1748" s="315">
        <v>3.88</v>
      </c>
      <c r="G1748" s="260"/>
      <c r="H1748" s="260"/>
      <c r="I1748" s="309"/>
      <c r="J1748" s="199"/>
      <c r="K1748" s="269"/>
      <c r="L1748" s="93">
        <f t="shared" si="407"/>
        <v>0</v>
      </c>
      <c r="M1748" s="183"/>
      <c r="N1748" s="95">
        <f t="shared" si="402"/>
        <v>0</v>
      </c>
      <c r="O1748" s="95">
        <f t="shared" si="403"/>
        <v>0</v>
      </c>
      <c r="P1748" s="94">
        <f t="shared" si="404"/>
        <v>0</v>
      </c>
      <c r="Q1748" s="95">
        <f t="shared" si="405"/>
        <v>0</v>
      </c>
      <c r="R1748" s="96"/>
      <c r="S1748" s="97">
        <f t="shared" si="406"/>
        <v>0</v>
      </c>
      <c r="T1748" s="98">
        <f t="shared" si="401"/>
        <v>0</v>
      </c>
    </row>
    <row r="1749" spans="2:31" ht="20.100000000000001" customHeight="1">
      <c r="B1749" s="88">
        <v>14</v>
      </c>
      <c r="C1749" s="89" t="s">
        <v>3752</v>
      </c>
      <c r="D1749" s="90" t="s">
        <v>3789</v>
      </c>
      <c r="E1749" s="91" t="s">
        <v>3790</v>
      </c>
      <c r="F1749" s="315">
        <v>0.76</v>
      </c>
      <c r="G1749" s="260">
        <v>32</v>
      </c>
      <c r="H1749" s="260"/>
      <c r="I1749" s="309">
        <v>50</v>
      </c>
      <c r="J1749" s="199"/>
      <c r="K1749" s="269">
        <v>25</v>
      </c>
      <c r="L1749" s="93">
        <f t="shared" si="407"/>
        <v>57</v>
      </c>
      <c r="M1749" s="183"/>
      <c r="N1749" s="95">
        <f t="shared" si="402"/>
        <v>43.32</v>
      </c>
      <c r="O1749" s="95">
        <f t="shared" si="403"/>
        <v>0</v>
      </c>
      <c r="P1749" s="94">
        <f t="shared" si="404"/>
        <v>57</v>
      </c>
      <c r="Q1749" s="95">
        <f t="shared" si="405"/>
        <v>43.32</v>
      </c>
      <c r="R1749" s="96"/>
      <c r="S1749" s="97">
        <f t="shared" si="406"/>
        <v>28</v>
      </c>
      <c r="T1749" s="98">
        <f t="shared" si="401"/>
        <v>-28</v>
      </c>
      <c r="U1749">
        <v>28</v>
      </c>
    </row>
    <row r="1750" spans="2:31" ht="20.100000000000001" customHeight="1">
      <c r="B1750" s="88">
        <v>14</v>
      </c>
      <c r="C1750" s="89" t="s">
        <v>3752</v>
      </c>
      <c r="D1750" s="90" t="s">
        <v>3791</v>
      </c>
      <c r="E1750" s="91" t="s">
        <v>3792</v>
      </c>
      <c r="F1750" s="315">
        <v>0.76</v>
      </c>
      <c r="G1750" s="260"/>
      <c r="H1750" s="260"/>
      <c r="I1750" s="309"/>
      <c r="J1750" s="199"/>
      <c r="K1750" s="269"/>
      <c r="L1750" s="93">
        <f t="shared" si="407"/>
        <v>0</v>
      </c>
      <c r="M1750" s="183"/>
      <c r="N1750" s="95">
        <f t="shared" si="402"/>
        <v>0</v>
      </c>
      <c r="O1750" s="95">
        <f t="shared" si="403"/>
        <v>0</v>
      </c>
      <c r="P1750" s="94">
        <f t="shared" si="404"/>
        <v>0</v>
      </c>
      <c r="Q1750" s="95">
        <f t="shared" si="405"/>
        <v>0</v>
      </c>
      <c r="R1750" s="96"/>
      <c r="S1750" s="97">
        <f t="shared" si="406"/>
        <v>2</v>
      </c>
      <c r="T1750" s="98">
        <f t="shared" si="401"/>
        <v>-2</v>
      </c>
      <c r="U1750">
        <v>2</v>
      </c>
    </row>
    <row r="1751" spans="2:31" ht="20.100000000000001" customHeight="1">
      <c r="B1751" s="88">
        <v>14</v>
      </c>
      <c r="C1751" s="89" t="s">
        <v>3752</v>
      </c>
      <c r="D1751" s="90" t="s">
        <v>3793</v>
      </c>
      <c r="E1751" s="91" t="s">
        <v>3794</v>
      </c>
      <c r="F1751" s="315">
        <v>9</v>
      </c>
      <c r="G1751" s="260">
        <v>18</v>
      </c>
      <c r="H1751" s="260"/>
      <c r="I1751" s="309"/>
      <c r="J1751" s="199"/>
      <c r="K1751" s="269"/>
      <c r="L1751" s="93">
        <f t="shared" si="407"/>
        <v>18</v>
      </c>
      <c r="M1751" s="183">
        <v>18</v>
      </c>
      <c r="N1751" s="95">
        <f t="shared" si="402"/>
        <v>162</v>
      </c>
      <c r="O1751" s="95">
        <f t="shared" si="403"/>
        <v>162</v>
      </c>
      <c r="P1751" s="94">
        <f t="shared" si="404"/>
        <v>0</v>
      </c>
      <c r="Q1751" s="95">
        <f t="shared" si="405"/>
        <v>0</v>
      </c>
      <c r="R1751" s="96" t="s">
        <v>2133</v>
      </c>
      <c r="S1751" s="97">
        <f t="shared" si="406"/>
        <v>18</v>
      </c>
      <c r="T1751" s="98">
        <f t="shared" si="401"/>
        <v>0</v>
      </c>
      <c r="U1751">
        <v>18</v>
      </c>
      <c r="V1751" s="99" t="s">
        <v>479</v>
      </c>
      <c r="AD1751" s="18">
        <f>M1751</f>
        <v>18</v>
      </c>
      <c r="AE1751" s="100">
        <f>AD1751*F1751</f>
        <v>162</v>
      </c>
    </row>
    <row r="1752" spans="2:31" ht="20.100000000000001" customHeight="1">
      <c r="B1752" s="88">
        <v>14</v>
      </c>
      <c r="C1752" s="89" t="s">
        <v>3752</v>
      </c>
      <c r="D1752" s="90" t="s">
        <v>3795</v>
      </c>
      <c r="E1752" s="91" t="s">
        <v>3796</v>
      </c>
      <c r="F1752" s="315">
        <v>5</v>
      </c>
      <c r="G1752" s="260">
        <v>14</v>
      </c>
      <c r="H1752" s="260"/>
      <c r="I1752" s="309"/>
      <c r="J1752" s="199"/>
      <c r="K1752" s="269"/>
      <c r="L1752" s="93">
        <f t="shared" si="407"/>
        <v>14</v>
      </c>
      <c r="M1752" s="183">
        <v>14</v>
      </c>
      <c r="N1752" s="95">
        <f t="shared" si="402"/>
        <v>70</v>
      </c>
      <c r="O1752" s="95">
        <f t="shared" si="403"/>
        <v>70</v>
      </c>
      <c r="P1752" s="94">
        <f t="shared" si="404"/>
        <v>0</v>
      </c>
      <c r="Q1752" s="95">
        <f t="shared" si="405"/>
        <v>0</v>
      </c>
      <c r="R1752" s="96" t="s">
        <v>2133</v>
      </c>
      <c r="S1752" s="97">
        <f t="shared" si="406"/>
        <v>14</v>
      </c>
      <c r="T1752" s="98">
        <f t="shared" si="401"/>
        <v>0</v>
      </c>
      <c r="U1752">
        <v>14</v>
      </c>
      <c r="V1752" s="99" t="s">
        <v>479</v>
      </c>
      <c r="AD1752" s="18">
        <f>M1752</f>
        <v>14</v>
      </c>
      <c r="AE1752" s="100">
        <f>AD1752*F1752</f>
        <v>70</v>
      </c>
    </row>
    <row r="1753" spans="2:31" ht="20.100000000000001" customHeight="1">
      <c r="B1753" s="88">
        <v>14</v>
      </c>
      <c r="C1753" s="89" t="s">
        <v>3752</v>
      </c>
      <c r="D1753" s="90" t="s">
        <v>3797</v>
      </c>
      <c r="E1753" s="91" t="s">
        <v>3798</v>
      </c>
      <c r="F1753" s="315">
        <v>0</v>
      </c>
      <c r="G1753" s="260">
        <v>45</v>
      </c>
      <c r="H1753" s="260"/>
      <c r="I1753" s="309"/>
      <c r="J1753" s="199"/>
      <c r="K1753" s="269"/>
      <c r="L1753" s="93">
        <f t="shared" si="407"/>
        <v>45</v>
      </c>
      <c r="M1753" s="183">
        <v>45</v>
      </c>
      <c r="N1753" s="95">
        <f t="shared" si="402"/>
        <v>0</v>
      </c>
      <c r="O1753" s="95">
        <f t="shared" si="403"/>
        <v>0</v>
      </c>
      <c r="P1753" s="94">
        <f t="shared" si="404"/>
        <v>0</v>
      </c>
      <c r="Q1753" s="95">
        <f t="shared" si="405"/>
        <v>0</v>
      </c>
      <c r="R1753" s="96"/>
      <c r="S1753" s="97">
        <f t="shared" si="406"/>
        <v>0</v>
      </c>
      <c r="T1753" s="98">
        <f t="shared" si="401"/>
        <v>45</v>
      </c>
    </row>
    <row r="1754" spans="2:31" ht="20.100000000000001" customHeight="1">
      <c r="B1754" s="88">
        <v>14</v>
      </c>
      <c r="C1754" s="89" t="s">
        <v>3752</v>
      </c>
      <c r="D1754" s="90" t="s">
        <v>3799</v>
      </c>
      <c r="E1754" s="91" t="s">
        <v>3800</v>
      </c>
      <c r="F1754" s="315">
        <v>0</v>
      </c>
      <c r="G1754" s="260">
        <v>19</v>
      </c>
      <c r="H1754" s="260"/>
      <c r="I1754" s="309"/>
      <c r="J1754" s="199"/>
      <c r="K1754" s="269"/>
      <c r="L1754" s="93">
        <f t="shared" si="407"/>
        <v>19</v>
      </c>
      <c r="M1754" s="183">
        <v>19</v>
      </c>
      <c r="N1754" s="95">
        <f t="shared" si="402"/>
        <v>0</v>
      </c>
      <c r="O1754" s="95">
        <f t="shared" si="403"/>
        <v>0</v>
      </c>
      <c r="P1754" s="94">
        <f t="shared" si="404"/>
        <v>0</v>
      </c>
      <c r="Q1754" s="95">
        <f t="shared" si="405"/>
        <v>0</v>
      </c>
      <c r="R1754" s="96"/>
      <c r="S1754" s="97">
        <f t="shared" si="406"/>
        <v>0</v>
      </c>
      <c r="T1754" s="98">
        <f t="shared" si="401"/>
        <v>19</v>
      </c>
    </row>
    <row r="1755" spans="2:31" ht="20.100000000000001" customHeight="1">
      <c r="B1755" s="88">
        <v>14</v>
      </c>
      <c r="C1755" s="89" t="s">
        <v>3752</v>
      </c>
      <c r="D1755" s="90" t="s">
        <v>3801</v>
      </c>
      <c r="E1755" s="91" t="s">
        <v>3802</v>
      </c>
      <c r="F1755" s="315">
        <v>9</v>
      </c>
      <c r="G1755" s="260">
        <v>1</v>
      </c>
      <c r="H1755" s="260"/>
      <c r="I1755" s="309"/>
      <c r="J1755" s="199"/>
      <c r="K1755" s="269"/>
      <c r="L1755" s="93">
        <f t="shared" si="407"/>
        <v>1</v>
      </c>
      <c r="M1755" s="183">
        <v>1</v>
      </c>
      <c r="N1755" s="95">
        <f t="shared" si="402"/>
        <v>9</v>
      </c>
      <c r="O1755" s="95">
        <f t="shared" si="403"/>
        <v>9</v>
      </c>
      <c r="P1755" s="94">
        <f t="shared" si="404"/>
        <v>0</v>
      </c>
      <c r="Q1755" s="95">
        <f t="shared" si="405"/>
        <v>0</v>
      </c>
      <c r="R1755" s="96"/>
      <c r="S1755" s="97">
        <f t="shared" si="406"/>
        <v>1</v>
      </c>
      <c r="T1755" s="98">
        <f t="shared" si="401"/>
        <v>0</v>
      </c>
      <c r="U1755">
        <v>1</v>
      </c>
    </row>
    <row r="1756" spans="2:31" ht="20.100000000000001" customHeight="1">
      <c r="B1756" s="88">
        <v>14</v>
      </c>
      <c r="C1756" s="89" t="s">
        <v>3752</v>
      </c>
      <c r="D1756" s="90" t="s">
        <v>3803</v>
      </c>
      <c r="E1756" s="91" t="s">
        <v>3804</v>
      </c>
      <c r="F1756" s="315">
        <v>0.74</v>
      </c>
      <c r="G1756" s="260"/>
      <c r="H1756" s="260"/>
      <c r="I1756" s="309"/>
      <c r="J1756" s="199"/>
      <c r="K1756" s="269"/>
      <c r="L1756" s="93">
        <f t="shared" si="407"/>
        <v>0</v>
      </c>
      <c r="M1756" s="183"/>
      <c r="N1756" s="95">
        <f t="shared" si="402"/>
        <v>0</v>
      </c>
      <c r="O1756" s="95">
        <f t="shared" si="403"/>
        <v>0</v>
      </c>
      <c r="P1756" s="94">
        <f t="shared" si="404"/>
        <v>0</v>
      </c>
      <c r="Q1756" s="95">
        <f t="shared" si="405"/>
        <v>0</v>
      </c>
      <c r="R1756" s="96"/>
      <c r="S1756" s="97">
        <f t="shared" si="406"/>
        <v>1</v>
      </c>
      <c r="T1756" s="98">
        <f t="shared" si="401"/>
        <v>-1</v>
      </c>
      <c r="U1756">
        <v>1</v>
      </c>
    </row>
    <row r="1757" spans="2:31" ht="20.100000000000001" customHeight="1">
      <c r="B1757" s="88">
        <v>14</v>
      </c>
      <c r="C1757" s="89" t="s">
        <v>3752</v>
      </c>
      <c r="D1757" s="90" t="s">
        <v>4363</v>
      </c>
      <c r="E1757" s="91" t="s">
        <v>4364</v>
      </c>
      <c r="F1757" s="315">
        <v>6.0250000000000004</v>
      </c>
      <c r="G1757" s="260"/>
      <c r="H1757" s="260"/>
      <c r="I1757" s="309">
        <v>20</v>
      </c>
      <c r="J1757" s="199"/>
      <c r="K1757" s="269">
        <v>9</v>
      </c>
      <c r="L1757" s="93">
        <f t="shared" si="407"/>
        <v>11</v>
      </c>
      <c r="M1757" s="183">
        <v>3</v>
      </c>
      <c r="N1757" s="95">
        <f t="shared" ref="N1757:N1767" si="408">F1757*L1757</f>
        <v>66.275000000000006</v>
      </c>
      <c r="O1757" s="95">
        <f t="shared" ref="O1757:O1767" si="409">M1757*F1757</f>
        <v>18.075000000000003</v>
      </c>
      <c r="P1757" s="94">
        <f t="shared" ref="P1757:P1767" si="410">L1757-M1757</f>
        <v>8</v>
      </c>
      <c r="Q1757" s="95">
        <f t="shared" ref="Q1757:Q1767" si="411">N1757-O1757</f>
        <v>48.2</v>
      </c>
      <c r="R1757" s="96"/>
      <c r="S1757" s="97"/>
      <c r="T1757" s="98"/>
    </row>
    <row r="1758" spans="2:31" ht="20.100000000000001" customHeight="1">
      <c r="B1758" s="88">
        <v>14</v>
      </c>
      <c r="C1758" s="89" t="s">
        <v>3752</v>
      </c>
      <c r="D1758" s="90" t="s">
        <v>4357</v>
      </c>
      <c r="E1758" s="91" t="s">
        <v>4359</v>
      </c>
      <c r="F1758" s="315">
        <v>14.8158333333333</v>
      </c>
      <c r="G1758" s="260"/>
      <c r="H1758" s="260"/>
      <c r="I1758" s="309">
        <v>12</v>
      </c>
      <c r="J1758" s="199"/>
      <c r="K1758" s="269">
        <v>7</v>
      </c>
      <c r="L1758" s="93">
        <f t="shared" si="407"/>
        <v>5</v>
      </c>
      <c r="M1758" s="183">
        <v>5</v>
      </c>
      <c r="N1758" s="95">
        <f t="shared" si="408"/>
        <v>74.079166666666495</v>
      </c>
      <c r="O1758" s="95">
        <f t="shared" si="409"/>
        <v>74.079166666666495</v>
      </c>
      <c r="P1758" s="94">
        <f t="shared" si="410"/>
        <v>0</v>
      </c>
      <c r="Q1758" s="95">
        <f t="shared" si="411"/>
        <v>0</v>
      </c>
      <c r="R1758" s="96"/>
      <c r="S1758" s="97"/>
      <c r="T1758" s="98"/>
    </row>
    <row r="1759" spans="2:31" ht="20.100000000000001" customHeight="1">
      <c r="B1759" s="88">
        <v>14</v>
      </c>
      <c r="C1759" s="89" t="s">
        <v>3752</v>
      </c>
      <c r="D1759" s="90" t="s">
        <v>1041</v>
      </c>
      <c r="E1759" s="91" t="s">
        <v>1042</v>
      </c>
      <c r="F1759" s="315">
        <v>6.4</v>
      </c>
      <c r="G1759" s="260"/>
      <c r="H1759" s="260"/>
      <c r="I1759" s="309">
        <v>10</v>
      </c>
      <c r="J1759" s="199"/>
      <c r="K1759" s="269">
        <v>10</v>
      </c>
      <c r="L1759" s="93">
        <f t="shared" si="407"/>
        <v>0</v>
      </c>
      <c r="M1759" s="183"/>
      <c r="N1759" s="95">
        <f t="shared" si="408"/>
        <v>0</v>
      </c>
      <c r="O1759" s="95">
        <f t="shared" si="409"/>
        <v>0</v>
      </c>
      <c r="P1759" s="94">
        <f t="shared" si="410"/>
        <v>0</v>
      </c>
      <c r="Q1759" s="95">
        <f t="shared" si="411"/>
        <v>0</v>
      </c>
      <c r="R1759" s="96"/>
      <c r="S1759" s="97"/>
      <c r="T1759" s="98"/>
    </row>
    <row r="1760" spans="2:31" ht="20.100000000000001" customHeight="1">
      <c r="B1760" s="88">
        <v>14</v>
      </c>
      <c r="C1760" s="89" t="s">
        <v>3752</v>
      </c>
      <c r="D1760" s="90" t="s">
        <v>4423</v>
      </c>
      <c r="E1760" s="91" t="s">
        <v>4425</v>
      </c>
      <c r="F1760" s="315">
        <v>6.4</v>
      </c>
      <c r="G1760" s="260"/>
      <c r="H1760" s="260"/>
      <c r="I1760" s="309">
        <v>10</v>
      </c>
      <c r="J1760" s="199"/>
      <c r="K1760" s="269">
        <v>10</v>
      </c>
      <c r="L1760" s="93">
        <f t="shared" si="407"/>
        <v>0</v>
      </c>
      <c r="M1760" s="183"/>
      <c r="N1760" s="95">
        <f t="shared" ref="N1760:N1762" si="412">F1760*L1760</f>
        <v>0</v>
      </c>
      <c r="O1760" s="95">
        <f t="shared" ref="O1760:O1762" si="413">M1760*F1760</f>
        <v>0</v>
      </c>
      <c r="P1760" s="94">
        <f t="shared" ref="P1760:P1762" si="414">L1760-M1760</f>
        <v>0</v>
      </c>
      <c r="Q1760" s="95">
        <f t="shared" ref="Q1760:Q1762" si="415">N1760-O1760</f>
        <v>0</v>
      </c>
      <c r="R1760" s="96"/>
      <c r="S1760" s="97"/>
      <c r="T1760" s="98"/>
    </row>
    <row r="1761" spans="2:21" ht="20.100000000000001" customHeight="1">
      <c r="B1761" s="88">
        <v>14</v>
      </c>
      <c r="C1761" s="89" t="s">
        <v>3752</v>
      </c>
      <c r="D1761" s="90" t="s">
        <v>4645</v>
      </c>
      <c r="E1761" s="91" t="s">
        <v>4647</v>
      </c>
      <c r="F1761" s="315">
        <v>6.15</v>
      </c>
      <c r="G1761" s="260"/>
      <c r="H1761" s="260"/>
      <c r="I1761" s="309">
        <v>10</v>
      </c>
      <c r="J1761" s="199"/>
      <c r="K1761" s="269">
        <v>9</v>
      </c>
      <c r="L1761" s="93">
        <f t="shared" si="407"/>
        <v>1</v>
      </c>
      <c r="M1761" s="183"/>
      <c r="N1761" s="95">
        <f t="shared" si="412"/>
        <v>6.15</v>
      </c>
      <c r="O1761" s="95">
        <f t="shared" si="413"/>
        <v>0</v>
      </c>
      <c r="P1761" s="94">
        <f t="shared" si="414"/>
        <v>1</v>
      </c>
      <c r="Q1761" s="95">
        <f t="shared" si="415"/>
        <v>6.15</v>
      </c>
      <c r="R1761" s="96"/>
      <c r="S1761" s="97"/>
      <c r="T1761" s="98"/>
    </row>
    <row r="1762" spans="2:21" ht="20.100000000000001" customHeight="1">
      <c r="B1762" s="88">
        <v>14</v>
      </c>
      <c r="C1762" s="89" t="s">
        <v>3752</v>
      </c>
      <c r="D1762" s="90" t="s">
        <v>4633</v>
      </c>
      <c r="E1762" s="91" t="s">
        <v>4635</v>
      </c>
      <c r="F1762" s="315">
        <v>6.15</v>
      </c>
      <c r="G1762" s="260"/>
      <c r="H1762" s="260"/>
      <c r="I1762" s="309">
        <v>10</v>
      </c>
      <c r="J1762" s="199"/>
      <c r="K1762" s="269">
        <v>9</v>
      </c>
      <c r="L1762" s="93">
        <f t="shared" si="407"/>
        <v>1</v>
      </c>
      <c r="M1762" s="183">
        <v>1</v>
      </c>
      <c r="N1762" s="95">
        <f t="shared" si="412"/>
        <v>6.15</v>
      </c>
      <c r="O1762" s="95">
        <f t="shared" si="413"/>
        <v>6.15</v>
      </c>
      <c r="P1762" s="94">
        <f t="shared" si="414"/>
        <v>0</v>
      </c>
      <c r="Q1762" s="95">
        <f t="shared" si="415"/>
        <v>0</v>
      </c>
      <c r="R1762" s="96"/>
      <c r="S1762" s="97"/>
      <c r="T1762" s="98"/>
    </row>
    <row r="1763" spans="2:21" ht="20.100000000000001" customHeight="1">
      <c r="B1763" s="88">
        <v>14</v>
      </c>
      <c r="C1763" s="89" t="s">
        <v>3752</v>
      </c>
      <c r="D1763" s="90" t="s">
        <v>4649</v>
      </c>
      <c r="E1763" s="91" t="s">
        <v>4651</v>
      </c>
      <c r="F1763" s="315">
        <v>0.76</v>
      </c>
      <c r="G1763" s="260"/>
      <c r="H1763" s="260"/>
      <c r="I1763" s="309">
        <v>50</v>
      </c>
      <c r="J1763" s="199"/>
      <c r="K1763" s="269">
        <v>28</v>
      </c>
      <c r="L1763" s="93">
        <f t="shared" si="407"/>
        <v>22</v>
      </c>
      <c r="M1763" s="183">
        <v>8</v>
      </c>
      <c r="N1763" s="95">
        <f t="shared" si="408"/>
        <v>16.72</v>
      </c>
      <c r="O1763" s="95">
        <f t="shared" si="409"/>
        <v>6.08</v>
      </c>
      <c r="P1763" s="94">
        <f t="shared" si="410"/>
        <v>14</v>
      </c>
      <c r="Q1763" s="95">
        <f t="shared" si="411"/>
        <v>10.639999999999999</v>
      </c>
      <c r="R1763" s="96"/>
      <c r="S1763" s="97"/>
      <c r="T1763" s="98"/>
    </row>
    <row r="1764" spans="2:21" ht="20.100000000000001" customHeight="1">
      <c r="B1764" s="88">
        <v>14</v>
      </c>
      <c r="C1764" s="89" t="s">
        <v>3752</v>
      </c>
      <c r="D1764" s="90" t="s">
        <v>3803</v>
      </c>
      <c r="E1764" s="91" t="s">
        <v>3804</v>
      </c>
      <c r="F1764" s="315">
        <v>0.76</v>
      </c>
      <c r="G1764" s="260"/>
      <c r="H1764" s="260"/>
      <c r="I1764" s="309">
        <v>50</v>
      </c>
      <c r="J1764" s="199"/>
      <c r="K1764" s="269">
        <v>29</v>
      </c>
      <c r="L1764" s="93">
        <f t="shared" si="407"/>
        <v>21</v>
      </c>
      <c r="M1764" s="183">
        <v>21</v>
      </c>
      <c r="N1764" s="95">
        <f t="shared" si="408"/>
        <v>15.96</v>
      </c>
      <c r="O1764" s="95">
        <f t="shared" si="409"/>
        <v>15.96</v>
      </c>
      <c r="P1764" s="94">
        <f t="shared" si="410"/>
        <v>0</v>
      </c>
      <c r="Q1764" s="95">
        <f t="shared" si="411"/>
        <v>0</v>
      </c>
      <c r="R1764" s="96"/>
      <c r="S1764" s="97"/>
      <c r="T1764" s="98"/>
    </row>
    <row r="1765" spans="2:21" ht="20.100000000000001" customHeight="1">
      <c r="B1765" s="88">
        <v>14</v>
      </c>
      <c r="C1765" s="89" t="s">
        <v>3752</v>
      </c>
      <c r="D1765" s="90" t="s">
        <v>4861</v>
      </c>
      <c r="E1765" s="91" t="s">
        <v>4863</v>
      </c>
      <c r="F1765" s="315">
        <v>3.21875</v>
      </c>
      <c r="G1765" s="260"/>
      <c r="H1765" s="260"/>
      <c r="I1765" s="309">
        <v>16</v>
      </c>
      <c r="J1765" s="199"/>
      <c r="K1765" s="269">
        <v>4</v>
      </c>
      <c r="L1765" s="93">
        <f t="shared" si="407"/>
        <v>12</v>
      </c>
      <c r="M1765" s="183">
        <v>12</v>
      </c>
      <c r="N1765" s="95">
        <f t="shared" si="408"/>
        <v>38.625</v>
      </c>
      <c r="O1765" s="95">
        <f t="shared" si="409"/>
        <v>38.625</v>
      </c>
      <c r="P1765" s="94">
        <f t="shared" si="410"/>
        <v>0</v>
      </c>
      <c r="Q1765" s="95">
        <f t="shared" si="411"/>
        <v>0</v>
      </c>
      <c r="R1765" s="96"/>
      <c r="S1765" s="97"/>
      <c r="T1765" s="98"/>
    </row>
    <row r="1766" spans="2:21" ht="20.100000000000001" customHeight="1">
      <c r="B1766" s="88">
        <v>14</v>
      </c>
      <c r="C1766" s="89" t="s">
        <v>3752</v>
      </c>
      <c r="D1766" s="90" t="s">
        <v>4071</v>
      </c>
      <c r="E1766" s="91" t="s">
        <v>4072</v>
      </c>
      <c r="F1766" s="315">
        <v>6.0250000000000004</v>
      </c>
      <c r="G1766" s="260"/>
      <c r="H1766" s="260"/>
      <c r="I1766" s="309"/>
      <c r="J1766" s="199"/>
      <c r="K1766" s="269"/>
      <c r="L1766" s="93">
        <f t="shared" si="407"/>
        <v>0</v>
      </c>
      <c r="M1766" s="183"/>
      <c r="N1766" s="95">
        <f t="shared" si="408"/>
        <v>0</v>
      </c>
      <c r="O1766" s="95">
        <f t="shared" si="409"/>
        <v>0</v>
      </c>
      <c r="P1766" s="94">
        <f t="shared" si="410"/>
        <v>0</v>
      </c>
      <c r="Q1766" s="95">
        <f t="shared" si="411"/>
        <v>0</v>
      </c>
      <c r="R1766" s="96"/>
      <c r="S1766" s="97"/>
      <c r="T1766" s="98"/>
    </row>
    <row r="1767" spans="2:21" ht="20.100000000000001" customHeight="1">
      <c r="B1767" s="88">
        <v>14</v>
      </c>
      <c r="C1767" s="89" t="s">
        <v>3752</v>
      </c>
      <c r="D1767" s="90" t="s">
        <v>4822</v>
      </c>
      <c r="E1767" s="91" t="s">
        <v>4824</v>
      </c>
      <c r="F1767" s="315">
        <v>6.0250000000000004</v>
      </c>
      <c r="G1767" s="260"/>
      <c r="H1767" s="260"/>
      <c r="I1767" s="309">
        <v>10</v>
      </c>
      <c r="J1767" s="199"/>
      <c r="K1767" s="269">
        <v>3</v>
      </c>
      <c r="L1767" s="93">
        <f t="shared" si="407"/>
        <v>7</v>
      </c>
      <c r="M1767" s="183">
        <v>6</v>
      </c>
      <c r="N1767" s="95">
        <f t="shared" si="408"/>
        <v>42.175000000000004</v>
      </c>
      <c r="O1767" s="95">
        <f t="shared" si="409"/>
        <v>36.150000000000006</v>
      </c>
      <c r="P1767" s="94">
        <f t="shared" si="410"/>
        <v>1</v>
      </c>
      <c r="Q1767" s="95">
        <f t="shared" si="411"/>
        <v>6.0249999999999986</v>
      </c>
      <c r="R1767" s="96"/>
      <c r="S1767" s="97"/>
      <c r="T1767" s="98"/>
    </row>
    <row r="1768" spans="2:21" ht="20.100000000000001" customHeight="1">
      <c r="B1768" s="88">
        <v>14</v>
      </c>
      <c r="C1768" s="89" t="s">
        <v>3752</v>
      </c>
      <c r="D1768" s="90" t="s">
        <v>3805</v>
      </c>
      <c r="E1768" s="91" t="s">
        <v>3806</v>
      </c>
      <c r="F1768" s="315">
        <v>10.7</v>
      </c>
      <c r="G1768" s="260">
        <v>1</v>
      </c>
      <c r="H1768" s="260"/>
      <c r="I1768" s="309"/>
      <c r="J1768" s="199"/>
      <c r="K1768" s="269"/>
      <c r="L1768" s="93">
        <f t="shared" si="407"/>
        <v>1</v>
      </c>
      <c r="M1768" s="183">
        <v>1</v>
      </c>
      <c r="N1768" s="95">
        <f t="shared" si="402"/>
        <v>10.7</v>
      </c>
      <c r="O1768" s="95">
        <f t="shared" si="403"/>
        <v>10.7</v>
      </c>
      <c r="P1768" s="94">
        <f t="shared" si="404"/>
        <v>0</v>
      </c>
      <c r="Q1768" s="95">
        <f t="shared" si="405"/>
        <v>0</v>
      </c>
      <c r="R1768" s="96"/>
      <c r="S1768" s="97">
        <f t="shared" si="406"/>
        <v>1</v>
      </c>
      <c r="T1768" s="98">
        <f t="shared" si="401"/>
        <v>0</v>
      </c>
      <c r="U1768">
        <v>1</v>
      </c>
    </row>
    <row r="1769" spans="2:21" ht="20.100000000000001" customHeight="1">
      <c r="B1769" s="88">
        <v>14</v>
      </c>
      <c r="C1769" s="89" t="s">
        <v>3752</v>
      </c>
      <c r="D1769" s="90" t="s">
        <v>3807</v>
      </c>
      <c r="E1769" s="91" t="s">
        <v>3808</v>
      </c>
      <c r="F1769" s="315">
        <v>8.84</v>
      </c>
      <c r="G1769" s="260"/>
      <c r="H1769" s="260"/>
      <c r="I1769" s="309"/>
      <c r="J1769" s="199"/>
      <c r="K1769" s="269"/>
      <c r="L1769" s="93">
        <f t="shared" si="407"/>
        <v>0</v>
      </c>
      <c r="M1769" s="183"/>
      <c r="N1769" s="95">
        <f t="shared" si="402"/>
        <v>0</v>
      </c>
      <c r="O1769" s="95">
        <f t="shared" si="403"/>
        <v>0</v>
      </c>
      <c r="P1769" s="94">
        <f t="shared" si="404"/>
        <v>0</v>
      </c>
      <c r="Q1769" s="95">
        <f t="shared" si="405"/>
        <v>0</v>
      </c>
      <c r="R1769" s="96"/>
      <c r="S1769" s="97">
        <f t="shared" si="406"/>
        <v>0</v>
      </c>
      <c r="T1769" s="98">
        <f t="shared" si="401"/>
        <v>0</v>
      </c>
    </row>
    <row r="1770" spans="2:21" ht="20.100000000000001" customHeight="1">
      <c r="B1770" s="88">
        <v>14</v>
      </c>
      <c r="C1770" s="89" t="s">
        <v>3752</v>
      </c>
      <c r="D1770" s="90" t="s">
        <v>3809</v>
      </c>
      <c r="E1770" s="91" t="s">
        <v>3810</v>
      </c>
      <c r="F1770" s="315">
        <v>9.17</v>
      </c>
      <c r="G1770" s="260"/>
      <c r="H1770" s="260"/>
      <c r="I1770" s="309"/>
      <c r="J1770" s="199"/>
      <c r="K1770" s="269"/>
      <c r="L1770" s="93">
        <f t="shared" si="407"/>
        <v>0</v>
      </c>
      <c r="M1770" s="183"/>
      <c r="N1770" s="95">
        <f t="shared" si="402"/>
        <v>0</v>
      </c>
      <c r="O1770" s="95">
        <f t="shared" si="403"/>
        <v>0</v>
      </c>
      <c r="P1770" s="94">
        <f t="shared" si="404"/>
        <v>0</v>
      </c>
      <c r="Q1770" s="95">
        <f t="shared" si="405"/>
        <v>0</v>
      </c>
      <c r="R1770" s="96"/>
      <c r="S1770" s="97">
        <f t="shared" si="406"/>
        <v>0</v>
      </c>
      <c r="T1770" s="98">
        <f t="shared" si="401"/>
        <v>0</v>
      </c>
    </row>
    <row r="1771" spans="2:21" ht="20.100000000000001" customHeight="1">
      <c r="B1771" s="88">
        <v>14</v>
      </c>
      <c r="C1771" s="89" t="s">
        <v>3752</v>
      </c>
      <c r="D1771" s="90" t="s">
        <v>3811</v>
      </c>
      <c r="E1771" s="91" t="s">
        <v>3812</v>
      </c>
      <c r="F1771" s="315">
        <v>11.12</v>
      </c>
      <c r="G1771" s="260">
        <v>8</v>
      </c>
      <c r="H1771" s="260"/>
      <c r="I1771" s="309"/>
      <c r="J1771" s="199"/>
      <c r="K1771" s="269"/>
      <c r="L1771" s="93">
        <f t="shared" si="407"/>
        <v>8</v>
      </c>
      <c r="M1771" s="183">
        <v>8</v>
      </c>
      <c r="N1771" s="95">
        <f t="shared" si="402"/>
        <v>88.96</v>
      </c>
      <c r="O1771" s="95">
        <f t="shared" si="403"/>
        <v>88.96</v>
      </c>
      <c r="P1771" s="94">
        <f t="shared" si="404"/>
        <v>0</v>
      </c>
      <c r="Q1771" s="95">
        <f t="shared" si="405"/>
        <v>0</v>
      </c>
      <c r="R1771" s="96"/>
      <c r="S1771" s="97">
        <f t="shared" si="406"/>
        <v>8</v>
      </c>
      <c r="T1771" s="98">
        <f t="shared" si="401"/>
        <v>0</v>
      </c>
      <c r="U1771">
        <v>8</v>
      </c>
    </row>
    <row r="1772" spans="2:21" ht="20.100000000000001" customHeight="1">
      <c r="B1772" s="88">
        <v>14</v>
      </c>
      <c r="C1772" s="89" t="s">
        <v>3752</v>
      </c>
      <c r="D1772" s="90" t="s">
        <v>3813</v>
      </c>
      <c r="E1772" s="91" t="s">
        <v>3814</v>
      </c>
      <c r="F1772" s="315">
        <v>25</v>
      </c>
      <c r="G1772" s="260">
        <v>201</v>
      </c>
      <c r="H1772" s="260"/>
      <c r="I1772" s="309"/>
      <c r="J1772" s="199"/>
      <c r="K1772" s="269"/>
      <c r="L1772" s="93">
        <f t="shared" si="407"/>
        <v>201</v>
      </c>
      <c r="M1772" s="183">
        <v>201</v>
      </c>
      <c r="N1772" s="95">
        <f t="shared" si="402"/>
        <v>5025</v>
      </c>
      <c r="O1772" s="95">
        <f t="shared" si="403"/>
        <v>5025</v>
      </c>
      <c r="P1772" s="94">
        <f t="shared" si="404"/>
        <v>0</v>
      </c>
      <c r="Q1772" s="95">
        <f t="shared" si="405"/>
        <v>0</v>
      </c>
      <c r="R1772" s="96"/>
      <c r="S1772" s="97">
        <f t="shared" si="406"/>
        <v>201</v>
      </c>
      <c r="T1772" s="98">
        <f t="shared" si="401"/>
        <v>0</v>
      </c>
      <c r="U1772">
        <v>201</v>
      </c>
    </row>
    <row r="1773" spans="2:21" ht="20.100000000000001" customHeight="1">
      <c r="B1773" s="88">
        <v>14</v>
      </c>
      <c r="C1773" s="89" t="s">
        <v>3752</v>
      </c>
      <c r="D1773" s="90" t="s">
        <v>3815</v>
      </c>
      <c r="E1773" s="91" t="s">
        <v>3816</v>
      </c>
      <c r="F1773" s="315">
        <v>144</v>
      </c>
      <c r="G1773" s="260">
        <v>2</v>
      </c>
      <c r="H1773" s="260"/>
      <c r="I1773" s="309"/>
      <c r="J1773" s="199"/>
      <c r="K1773" s="269"/>
      <c r="L1773" s="93">
        <f t="shared" si="407"/>
        <v>2</v>
      </c>
      <c r="M1773" s="183">
        <v>2</v>
      </c>
      <c r="N1773" s="95">
        <f t="shared" si="402"/>
        <v>288</v>
      </c>
      <c r="O1773" s="95">
        <f t="shared" si="403"/>
        <v>288</v>
      </c>
      <c r="P1773" s="94">
        <f t="shared" si="404"/>
        <v>0</v>
      </c>
      <c r="Q1773" s="95">
        <f t="shared" si="405"/>
        <v>0</v>
      </c>
      <c r="R1773" s="96"/>
      <c r="S1773" s="97">
        <f t="shared" si="406"/>
        <v>2</v>
      </c>
      <c r="T1773" s="98">
        <f t="shared" si="401"/>
        <v>0</v>
      </c>
      <c r="U1773">
        <v>2</v>
      </c>
    </row>
    <row r="1774" spans="2:21" ht="20.100000000000001" customHeight="1">
      <c r="B1774" s="88">
        <v>15</v>
      </c>
      <c r="C1774" s="89" t="s">
        <v>3817</v>
      </c>
      <c r="D1774" s="90" t="s">
        <v>3818</v>
      </c>
      <c r="E1774" s="91" t="s">
        <v>3819</v>
      </c>
      <c r="F1774" s="315">
        <v>44.54</v>
      </c>
      <c r="G1774" s="260"/>
      <c r="H1774" s="260"/>
      <c r="I1774" s="309"/>
      <c r="J1774" s="199"/>
      <c r="K1774" s="269"/>
      <c r="L1774" s="93">
        <f t="shared" si="407"/>
        <v>0</v>
      </c>
      <c r="M1774" s="183"/>
      <c r="N1774" s="95">
        <f t="shared" si="402"/>
        <v>0</v>
      </c>
      <c r="O1774" s="95">
        <f t="shared" si="403"/>
        <v>0</v>
      </c>
      <c r="P1774" s="94">
        <f t="shared" si="404"/>
        <v>0</v>
      </c>
      <c r="Q1774" s="95">
        <f t="shared" si="405"/>
        <v>0</v>
      </c>
      <c r="R1774" s="96"/>
      <c r="S1774" s="97">
        <f t="shared" si="406"/>
        <v>0</v>
      </c>
      <c r="T1774" s="98">
        <f t="shared" si="401"/>
        <v>0</v>
      </c>
    </row>
    <row r="1775" spans="2:21" ht="20.100000000000001" customHeight="1">
      <c r="B1775" s="88">
        <v>15</v>
      </c>
      <c r="C1775" s="89" t="s">
        <v>3817</v>
      </c>
      <c r="D1775" s="90" t="s">
        <v>3820</v>
      </c>
      <c r="E1775" s="91" t="s">
        <v>3821</v>
      </c>
      <c r="F1775" s="315">
        <v>45.71</v>
      </c>
      <c r="G1775" s="260"/>
      <c r="H1775" s="260"/>
      <c r="I1775" s="309"/>
      <c r="J1775" s="199"/>
      <c r="K1775" s="269"/>
      <c r="L1775" s="93">
        <f t="shared" si="407"/>
        <v>0</v>
      </c>
      <c r="M1775" s="183"/>
      <c r="N1775" s="95">
        <f t="shared" si="402"/>
        <v>0</v>
      </c>
      <c r="O1775" s="95">
        <f t="shared" si="403"/>
        <v>0</v>
      </c>
      <c r="P1775" s="94">
        <f t="shared" si="404"/>
        <v>0</v>
      </c>
      <c r="Q1775" s="95">
        <f t="shared" si="405"/>
        <v>0</v>
      </c>
      <c r="R1775" s="96"/>
      <c r="S1775" s="97">
        <f t="shared" si="406"/>
        <v>0</v>
      </c>
      <c r="T1775" s="98">
        <f t="shared" si="401"/>
        <v>0</v>
      </c>
    </row>
    <row r="1776" spans="2:21" ht="20.100000000000001" customHeight="1">
      <c r="B1776" s="88">
        <v>15</v>
      </c>
      <c r="C1776" s="89" t="s">
        <v>3817</v>
      </c>
      <c r="D1776" s="90" t="s">
        <v>3822</v>
      </c>
      <c r="E1776" s="91" t="s">
        <v>3823</v>
      </c>
      <c r="F1776" s="315">
        <v>89.75</v>
      </c>
      <c r="G1776" s="260"/>
      <c r="H1776" s="260"/>
      <c r="I1776" s="309"/>
      <c r="J1776" s="199"/>
      <c r="K1776" s="269"/>
      <c r="L1776" s="93">
        <f t="shared" si="407"/>
        <v>0</v>
      </c>
      <c r="M1776" s="183"/>
      <c r="N1776" s="95">
        <f t="shared" si="402"/>
        <v>0</v>
      </c>
      <c r="O1776" s="95">
        <f t="shared" si="403"/>
        <v>0</v>
      </c>
      <c r="P1776" s="94">
        <f t="shared" si="404"/>
        <v>0</v>
      </c>
      <c r="Q1776" s="95">
        <f t="shared" si="405"/>
        <v>0</v>
      </c>
      <c r="R1776" s="96"/>
      <c r="S1776" s="97">
        <f t="shared" si="406"/>
        <v>1</v>
      </c>
      <c r="T1776" s="98">
        <f t="shared" si="401"/>
        <v>-1</v>
      </c>
      <c r="U1776">
        <v>1</v>
      </c>
    </row>
    <row r="1777" spans="2:25" ht="20.100000000000001" customHeight="1">
      <c r="B1777" s="88">
        <v>15</v>
      </c>
      <c r="C1777" s="89" t="s">
        <v>3817</v>
      </c>
      <c r="D1777" s="90" t="s">
        <v>3824</v>
      </c>
      <c r="E1777" s="91" t="s">
        <v>3825</v>
      </c>
      <c r="F1777" s="315">
        <v>130.75</v>
      </c>
      <c r="G1777" s="260">
        <v>6</v>
      </c>
      <c r="H1777" s="260"/>
      <c r="I1777" s="309"/>
      <c r="J1777" s="199"/>
      <c r="K1777" s="269"/>
      <c r="L1777" s="93">
        <f t="shared" si="407"/>
        <v>6</v>
      </c>
      <c r="M1777" s="183">
        <v>6</v>
      </c>
      <c r="N1777" s="95">
        <f t="shared" si="402"/>
        <v>784.5</v>
      </c>
      <c r="O1777" s="95">
        <f t="shared" si="403"/>
        <v>784.5</v>
      </c>
      <c r="P1777" s="94">
        <f t="shared" si="404"/>
        <v>0</v>
      </c>
      <c r="Q1777" s="95">
        <f t="shared" si="405"/>
        <v>0</v>
      </c>
      <c r="R1777" s="96"/>
      <c r="S1777" s="97">
        <f t="shared" si="406"/>
        <v>6</v>
      </c>
      <c r="T1777" s="98">
        <f t="shared" si="401"/>
        <v>0</v>
      </c>
      <c r="U1777">
        <v>6</v>
      </c>
    </row>
    <row r="1778" spans="2:25" ht="20.100000000000001" customHeight="1">
      <c r="B1778" s="88">
        <v>15</v>
      </c>
      <c r="C1778" s="89" t="s">
        <v>3817</v>
      </c>
      <c r="D1778" s="90" t="s">
        <v>3826</v>
      </c>
      <c r="E1778" s="91" t="s">
        <v>3827</v>
      </c>
      <c r="F1778" s="315">
        <v>38.33</v>
      </c>
      <c r="G1778" s="260"/>
      <c r="H1778" s="260"/>
      <c r="I1778" s="309"/>
      <c r="J1778" s="199"/>
      <c r="K1778" s="269"/>
      <c r="L1778" s="93">
        <f t="shared" ref="L1778:L1841" si="416">G1778+I1778-J1778-K1778+H1778</f>
        <v>0</v>
      </c>
      <c r="M1778" s="183"/>
      <c r="N1778" s="95">
        <f t="shared" ref="N1778:N1840" si="417">F1778*L1778</f>
        <v>0</v>
      </c>
      <c r="O1778" s="95">
        <f t="shared" ref="O1778:O1840" si="418">M1778*F1778</f>
        <v>0</v>
      </c>
      <c r="P1778" s="94">
        <f t="shared" ref="P1778:P1840" si="419">L1778-M1778</f>
        <v>0</v>
      </c>
      <c r="Q1778" s="95">
        <f t="shared" ref="Q1778:Q1840" si="420">N1778-O1778</f>
        <v>0</v>
      </c>
      <c r="R1778" s="96"/>
      <c r="S1778" s="97">
        <f t="shared" si="406"/>
        <v>0</v>
      </c>
      <c r="T1778" s="98">
        <f t="shared" ref="T1778:T1840" si="421">M1778-S1778</f>
        <v>0</v>
      </c>
    </row>
    <row r="1779" spans="2:25" ht="20.100000000000001" customHeight="1">
      <c r="B1779" s="88">
        <v>15</v>
      </c>
      <c r="C1779" s="89" t="s">
        <v>3817</v>
      </c>
      <c r="D1779" s="90" t="s">
        <v>3828</v>
      </c>
      <c r="E1779" s="91" t="s">
        <v>3829</v>
      </c>
      <c r="F1779" s="315">
        <v>16.95</v>
      </c>
      <c r="G1779" s="260">
        <v>7</v>
      </c>
      <c r="H1779" s="260"/>
      <c r="I1779" s="309"/>
      <c r="J1779" s="199"/>
      <c r="K1779" s="269"/>
      <c r="L1779" s="93">
        <f t="shared" si="416"/>
        <v>7</v>
      </c>
      <c r="M1779" s="183">
        <v>7</v>
      </c>
      <c r="N1779" s="95">
        <f t="shared" si="417"/>
        <v>118.64999999999999</v>
      </c>
      <c r="O1779" s="95">
        <f t="shared" si="418"/>
        <v>118.64999999999999</v>
      </c>
      <c r="P1779" s="94">
        <f t="shared" si="419"/>
        <v>0</v>
      </c>
      <c r="Q1779" s="95">
        <f t="shared" si="420"/>
        <v>0</v>
      </c>
      <c r="R1779" s="96"/>
      <c r="S1779" s="97">
        <f t="shared" ref="S1779:S1841" si="422">U1779+Y1779+W1779+AA1779</f>
        <v>7</v>
      </c>
      <c r="T1779" s="98">
        <f t="shared" si="421"/>
        <v>0</v>
      </c>
      <c r="U1779">
        <v>7</v>
      </c>
    </row>
    <row r="1780" spans="2:25" ht="20.100000000000001" customHeight="1">
      <c r="B1780" s="88">
        <v>15</v>
      </c>
      <c r="C1780" s="89" t="s">
        <v>3817</v>
      </c>
      <c r="D1780" s="90" t="s">
        <v>3830</v>
      </c>
      <c r="E1780" s="91" t="s">
        <v>3831</v>
      </c>
      <c r="F1780" s="315">
        <v>16.95</v>
      </c>
      <c r="G1780" s="260">
        <v>28</v>
      </c>
      <c r="H1780" s="260"/>
      <c r="I1780" s="309"/>
      <c r="J1780" s="199"/>
      <c r="K1780" s="269"/>
      <c r="L1780" s="93">
        <f t="shared" si="416"/>
        <v>28</v>
      </c>
      <c r="M1780" s="183">
        <v>28</v>
      </c>
      <c r="N1780" s="95">
        <f t="shared" si="417"/>
        <v>474.59999999999997</v>
      </c>
      <c r="O1780" s="95">
        <f t="shared" si="418"/>
        <v>474.59999999999997</v>
      </c>
      <c r="P1780" s="94">
        <f t="shared" si="419"/>
        <v>0</v>
      </c>
      <c r="Q1780" s="95">
        <f t="shared" si="420"/>
        <v>0</v>
      </c>
      <c r="R1780" s="96"/>
      <c r="S1780" s="97">
        <f t="shared" si="422"/>
        <v>28</v>
      </c>
      <c r="T1780" s="98">
        <f t="shared" si="421"/>
        <v>0</v>
      </c>
      <c r="U1780">
        <v>28</v>
      </c>
    </row>
    <row r="1781" spans="2:25" ht="20.100000000000001" customHeight="1">
      <c r="B1781" s="88">
        <v>15</v>
      </c>
      <c r="C1781" s="89" t="s">
        <v>3817</v>
      </c>
      <c r="D1781" s="90" t="s">
        <v>3832</v>
      </c>
      <c r="E1781" s="91" t="s">
        <v>3833</v>
      </c>
      <c r="F1781" s="315">
        <v>16.95</v>
      </c>
      <c r="G1781" s="260">
        <v>18</v>
      </c>
      <c r="H1781" s="260"/>
      <c r="I1781" s="309"/>
      <c r="J1781" s="199"/>
      <c r="K1781" s="269"/>
      <c r="L1781" s="93">
        <f t="shared" si="416"/>
        <v>18</v>
      </c>
      <c r="M1781" s="183">
        <v>18</v>
      </c>
      <c r="N1781" s="95">
        <f t="shared" si="417"/>
        <v>305.09999999999997</v>
      </c>
      <c r="O1781" s="95">
        <f t="shared" si="418"/>
        <v>305.09999999999997</v>
      </c>
      <c r="P1781" s="94">
        <f t="shared" si="419"/>
        <v>0</v>
      </c>
      <c r="Q1781" s="95">
        <f t="shared" si="420"/>
        <v>0</v>
      </c>
      <c r="R1781" s="96"/>
      <c r="S1781" s="97">
        <f t="shared" si="422"/>
        <v>18</v>
      </c>
      <c r="T1781" s="98">
        <f t="shared" si="421"/>
        <v>0</v>
      </c>
      <c r="U1781">
        <v>18</v>
      </c>
    </row>
    <row r="1782" spans="2:25" ht="20.100000000000001" customHeight="1">
      <c r="B1782" s="88">
        <v>15</v>
      </c>
      <c r="C1782" s="89" t="s">
        <v>3817</v>
      </c>
      <c r="D1782" s="90" t="s">
        <v>3834</v>
      </c>
      <c r="E1782" s="91" t="s">
        <v>3835</v>
      </c>
      <c r="F1782" s="315">
        <v>53.64</v>
      </c>
      <c r="G1782" s="260">
        <v>35</v>
      </c>
      <c r="H1782" s="260"/>
      <c r="I1782" s="309"/>
      <c r="J1782" s="199"/>
      <c r="K1782" s="269">
        <v>1</v>
      </c>
      <c r="L1782" s="93">
        <f t="shared" si="416"/>
        <v>34</v>
      </c>
      <c r="M1782" s="183">
        <v>34</v>
      </c>
      <c r="N1782" s="95">
        <f t="shared" si="417"/>
        <v>1823.76</v>
      </c>
      <c r="O1782" s="95">
        <f t="shared" si="418"/>
        <v>1823.76</v>
      </c>
      <c r="P1782" s="94">
        <f t="shared" si="419"/>
        <v>0</v>
      </c>
      <c r="Q1782" s="95">
        <f t="shared" si="420"/>
        <v>0</v>
      </c>
      <c r="R1782" s="96"/>
      <c r="S1782" s="97">
        <f t="shared" si="422"/>
        <v>45</v>
      </c>
      <c r="T1782" s="98">
        <f t="shared" si="421"/>
        <v>-11</v>
      </c>
      <c r="U1782">
        <v>45</v>
      </c>
    </row>
    <row r="1783" spans="2:25" ht="20.100000000000001" customHeight="1">
      <c r="B1783" s="88">
        <v>15</v>
      </c>
      <c r="C1783" s="89" t="s">
        <v>3817</v>
      </c>
      <c r="D1783" s="90" t="s">
        <v>3836</v>
      </c>
      <c r="E1783" s="91" t="s">
        <v>3837</v>
      </c>
      <c r="F1783" s="315">
        <v>80.900000000000006</v>
      </c>
      <c r="G1783" s="260"/>
      <c r="H1783" s="260"/>
      <c r="I1783" s="309"/>
      <c r="J1783" s="199"/>
      <c r="K1783" s="269"/>
      <c r="L1783" s="93">
        <f t="shared" si="416"/>
        <v>0</v>
      </c>
      <c r="M1783" s="183"/>
      <c r="N1783" s="95">
        <f t="shared" si="417"/>
        <v>0</v>
      </c>
      <c r="O1783" s="95">
        <f t="shared" si="418"/>
        <v>0</v>
      </c>
      <c r="P1783" s="94">
        <f t="shared" si="419"/>
        <v>0</v>
      </c>
      <c r="Q1783" s="95">
        <f t="shared" si="420"/>
        <v>0</v>
      </c>
      <c r="R1783" s="96"/>
      <c r="S1783" s="97">
        <f t="shared" si="422"/>
        <v>0</v>
      </c>
      <c r="T1783" s="98">
        <f t="shared" si="421"/>
        <v>0</v>
      </c>
    </row>
    <row r="1784" spans="2:25" ht="20.100000000000001" customHeight="1">
      <c r="B1784" s="88">
        <v>15</v>
      </c>
      <c r="C1784" s="89" t="s">
        <v>3817</v>
      </c>
      <c r="D1784" s="90" t="s">
        <v>3838</v>
      </c>
      <c r="E1784" s="91" t="s">
        <v>3839</v>
      </c>
      <c r="F1784" s="315">
        <v>100</v>
      </c>
      <c r="G1784" s="260"/>
      <c r="H1784" s="260"/>
      <c r="I1784" s="309"/>
      <c r="J1784" s="199"/>
      <c r="K1784" s="269"/>
      <c r="L1784" s="93">
        <f t="shared" si="416"/>
        <v>0</v>
      </c>
      <c r="M1784" s="183"/>
      <c r="N1784" s="95">
        <f t="shared" si="417"/>
        <v>0</v>
      </c>
      <c r="O1784" s="95">
        <f t="shared" si="418"/>
        <v>0</v>
      </c>
      <c r="P1784" s="94">
        <f t="shared" si="419"/>
        <v>0</v>
      </c>
      <c r="Q1784" s="95">
        <f t="shared" si="420"/>
        <v>0</v>
      </c>
      <c r="R1784" s="96"/>
      <c r="S1784" s="97">
        <f t="shared" si="422"/>
        <v>0</v>
      </c>
      <c r="T1784" s="98">
        <f t="shared" si="421"/>
        <v>0</v>
      </c>
    </row>
    <row r="1785" spans="2:25" ht="20.100000000000001" customHeight="1">
      <c r="B1785" s="88">
        <v>15</v>
      </c>
      <c r="C1785" s="89" t="s">
        <v>3817</v>
      </c>
      <c r="D1785" s="90" t="s">
        <v>3840</v>
      </c>
      <c r="E1785" s="91" t="s">
        <v>3841</v>
      </c>
      <c r="F1785" s="315">
        <v>19.350000000000001</v>
      </c>
      <c r="G1785" s="260">
        <v>104</v>
      </c>
      <c r="H1785" s="260"/>
      <c r="I1785" s="309"/>
      <c r="J1785" s="199"/>
      <c r="K1785" s="269"/>
      <c r="L1785" s="93">
        <f t="shared" si="416"/>
        <v>104</v>
      </c>
      <c r="M1785" s="183">
        <v>104</v>
      </c>
      <c r="N1785" s="95">
        <f t="shared" si="417"/>
        <v>2012.4</v>
      </c>
      <c r="O1785" s="95">
        <f t="shared" si="418"/>
        <v>2012.4</v>
      </c>
      <c r="P1785" s="94">
        <f t="shared" si="419"/>
        <v>0</v>
      </c>
      <c r="Q1785" s="95">
        <f t="shared" si="420"/>
        <v>0</v>
      </c>
      <c r="R1785" s="96"/>
      <c r="S1785" s="97">
        <f t="shared" si="422"/>
        <v>104</v>
      </c>
      <c r="T1785" s="98">
        <f t="shared" si="421"/>
        <v>0</v>
      </c>
      <c r="U1785">
        <f>9+9+10</f>
        <v>28</v>
      </c>
      <c r="Y1785">
        <v>76</v>
      </c>
    </row>
    <row r="1786" spans="2:25" ht="20.100000000000001" customHeight="1">
      <c r="B1786" s="88">
        <v>15</v>
      </c>
      <c r="C1786" s="89" t="s">
        <v>3817</v>
      </c>
      <c r="D1786" s="90" t="s">
        <v>3842</v>
      </c>
      <c r="E1786" s="91" t="s">
        <v>3843</v>
      </c>
      <c r="F1786" s="315">
        <v>85</v>
      </c>
      <c r="G1786" s="260">
        <v>14</v>
      </c>
      <c r="H1786" s="260"/>
      <c r="I1786" s="309"/>
      <c r="J1786" s="199"/>
      <c r="K1786" s="269"/>
      <c r="L1786" s="93">
        <f t="shared" si="416"/>
        <v>14</v>
      </c>
      <c r="M1786" s="183">
        <v>14</v>
      </c>
      <c r="N1786" s="95">
        <f t="shared" si="417"/>
        <v>1190</v>
      </c>
      <c r="O1786" s="95">
        <f t="shared" si="418"/>
        <v>1190</v>
      </c>
      <c r="P1786" s="94">
        <f t="shared" si="419"/>
        <v>0</v>
      </c>
      <c r="Q1786" s="95">
        <f t="shared" si="420"/>
        <v>0</v>
      </c>
      <c r="R1786" s="96"/>
      <c r="S1786" s="97">
        <f t="shared" si="422"/>
        <v>14</v>
      </c>
      <c r="T1786" s="98">
        <f t="shared" si="421"/>
        <v>0</v>
      </c>
      <c r="U1786">
        <v>14</v>
      </c>
    </row>
    <row r="1787" spans="2:25" ht="20.100000000000001" customHeight="1">
      <c r="B1787" s="88">
        <v>15</v>
      </c>
      <c r="C1787" s="89" t="s">
        <v>3817</v>
      </c>
      <c r="D1787" s="90" t="s">
        <v>3844</v>
      </c>
      <c r="E1787" s="91" t="s">
        <v>3845</v>
      </c>
      <c r="F1787" s="315">
        <v>5</v>
      </c>
      <c r="G1787" s="260"/>
      <c r="H1787" s="260"/>
      <c r="I1787" s="309"/>
      <c r="J1787" s="199"/>
      <c r="K1787" s="269"/>
      <c r="L1787" s="93">
        <f t="shared" si="416"/>
        <v>0</v>
      </c>
      <c r="M1787" s="183"/>
      <c r="N1787" s="95">
        <f t="shared" si="417"/>
        <v>0</v>
      </c>
      <c r="O1787" s="95">
        <f t="shared" si="418"/>
        <v>0</v>
      </c>
      <c r="P1787" s="94">
        <f t="shared" si="419"/>
        <v>0</v>
      </c>
      <c r="Q1787" s="95">
        <f t="shared" si="420"/>
        <v>0</v>
      </c>
      <c r="R1787" s="96"/>
      <c r="S1787" s="97">
        <f t="shared" si="422"/>
        <v>0</v>
      </c>
      <c r="T1787" s="98">
        <f t="shared" si="421"/>
        <v>0</v>
      </c>
    </row>
    <row r="1788" spans="2:25" ht="20.100000000000001" customHeight="1">
      <c r="B1788" s="88">
        <v>15</v>
      </c>
      <c r="C1788" s="89" t="s">
        <v>3817</v>
      </c>
      <c r="D1788" s="90" t="s">
        <v>3846</v>
      </c>
      <c r="E1788" s="91" t="s">
        <v>3847</v>
      </c>
      <c r="F1788" s="315">
        <v>7</v>
      </c>
      <c r="G1788" s="260"/>
      <c r="H1788" s="260"/>
      <c r="I1788" s="309"/>
      <c r="J1788" s="199"/>
      <c r="K1788" s="269"/>
      <c r="L1788" s="93">
        <f t="shared" si="416"/>
        <v>0</v>
      </c>
      <c r="M1788" s="183"/>
      <c r="N1788" s="95">
        <f t="shared" si="417"/>
        <v>0</v>
      </c>
      <c r="O1788" s="95">
        <f t="shared" si="418"/>
        <v>0</v>
      </c>
      <c r="P1788" s="94">
        <f t="shared" si="419"/>
        <v>0</v>
      </c>
      <c r="Q1788" s="95">
        <f t="shared" si="420"/>
        <v>0</v>
      </c>
      <c r="R1788" s="96"/>
      <c r="S1788" s="97">
        <f t="shared" si="422"/>
        <v>0</v>
      </c>
      <c r="T1788" s="98">
        <f t="shared" si="421"/>
        <v>0</v>
      </c>
    </row>
    <row r="1789" spans="2:25" ht="20.100000000000001" customHeight="1">
      <c r="B1789" s="88">
        <v>15</v>
      </c>
      <c r="C1789" s="89" t="s">
        <v>3817</v>
      </c>
      <c r="D1789" s="90" t="s">
        <v>3848</v>
      </c>
      <c r="E1789" s="91" t="s">
        <v>3849</v>
      </c>
      <c r="F1789" s="315">
        <v>6</v>
      </c>
      <c r="G1789" s="260">
        <v>14</v>
      </c>
      <c r="H1789" s="260"/>
      <c r="I1789" s="309"/>
      <c r="J1789" s="199"/>
      <c r="K1789" s="269"/>
      <c r="L1789" s="93">
        <f t="shared" si="416"/>
        <v>14</v>
      </c>
      <c r="M1789" s="183">
        <v>14</v>
      </c>
      <c r="N1789" s="95">
        <f t="shared" si="417"/>
        <v>84</v>
      </c>
      <c r="O1789" s="95">
        <f t="shared" si="418"/>
        <v>84</v>
      </c>
      <c r="P1789" s="94">
        <f t="shared" si="419"/>
        <v>0</v>
      </c>
      <c r="Q1789" s="95">
        <f t="shared" si="420"/>
        <v>0</v>
      </c>
      <c r="R1789" s="96"/>
      <c r="S1789" s="97">
        <f t="shared" si="422"/>
        <v>0</v>
      </c>
      <c r="T1789" s="98">
        <f t="shared" si="421"/>
        <v>14</v>
      </c>
    </row>
    <row r="1790" spans="2:25" ht="20.100000000000001" customHeight="1">
      <c r="B1790" s="88">
        <v>15</v>
      </c>
      <c r="C1790" s="89" t="s">
        <v>3817</v>
      </c>
      <c r="D1790" s="90" t="s">
        <v>3850</v>
      </c>
      <c r="E1790" s="91" t="s">
        <v>3851</v>
      </c>
      <c r="F1790" s="315">
        <v>6</v>
      </c>
      <c r="G1790" s="260">
        <v>1</v>
      </c>
      <c r="H1790" s="260"/>
      <c r="I1790" s="309"/>
      <c r="J1790" s="199"/>
      <c r="K1790" s="269"/>
      <c r="L1790" s="93">
        <f t="shared" si="416"/>
        <v>1</v>
      </c>
      <c r="M1790" s="183">
        <v>1</v>
      </c>
      <c r="N1790" s="95">
        <f t="shared" si="417"/>
        <v>6</v>
      </c>
      <c r="O1790" s="95">
        <f t="shared" si="418"/>
        <v>6</v>
      </c>
      <c r="P1790" s="94">
        <f t="shared" si="419"/>
        <v>0</v>
      </c>
      <c r="Q1790" s="95">
        <f t="shared" si="420"/>
        <v>0</v>
      </c>
      <c r="R1790" s="96"/>
      <c r="S1790" s="97">
        <f t="shared" si="422"/>
        <v>0</v>
      </c>
      <c r="T1790" s="98">
        <f t="shared" si="421"/>
        <v>1</v>
      </c>
    </row>
    <row r="1791" spans="2:25" ht="20.100000000000001" customHeight="1">
      <c r="B1791" s="88">
        <v>15</v>
      </c>
      <c r="C1791" s="89" t="s">
        <v>3817</v>
      </c>
      <c r="D1791" s="90" t="s">
        <v>3852</v>
      </c>
      <c r="E1791" s="91" t="s">
        <v>3853</v>
      </c>
      <c r="F1791" s="315">
        <v>8</v>
      </c>
      <c r="G1791" s="260"/>
      <c r="H1791" s="260"/>
      <c r="I1791" s="309"/>
      <c r="J1791" s="199"/>
      <c r="K1791" s="269"/>
      <c r="L1791" s="93">
        <f t="shared" si="416"/>
        <v>0</v>
      </c>
      <c r="M1791" s="183"/>
      <c r="N1791" s="95">
        <f t="shared" si="417"/>
        <v>0</v>
      </c>
      <c r="O1791" s="95">
        <f t="shared" si="418"/>
        <v>0</v>
      </c>
      <c r="P1791" s="94">
        <f t="shared" si="419"/>
        <v>0</v>
      </c>
      <c r="Q1791" s="95">
        <f t="shared" si="420"/>
        <v>0</v>
      </c>
      <c r="R1791" s="96"/>
      <c r="S1791" s="97">
        <f t="shared" si="422"/>
        <v>0</v>
      </c>
      <c r="T1791" s="98">
        <f t="shared" si="421"/>
        <v>0</v>
      </c>
    </row>
    <row r="1792" spans="2:25" ht="20.100000000000001" customHeight="1">
      <c r="B1792" s="88">
        <v>15</v>
      </c>
      <c r="C1792" s="89" t="s">
        <v>3817</v>
      </c>
      <c r="D1792" s="90" t="s">
        <v>3854</v>
      </c>
      <c r="E1792" s="91" t="s">
        <v>3855</v>
      </c>
      <c r="F1792" s="315">
        <v>1900</v>
      </c>
      <c r="G1792" s="260"/>
      <c r="H1792" s="260"/>
      <c r="I1792" s="309"/>
      <c r="J1792" s="199"/>
      <c r="K1792" s="269"/>
      <c r="L1792" s="93">
        <f t="shared" si="416"/>
        <v>0</v>
      </c>
      <c r="M1792" s="183"/>
      <c r="N1792" s="95">
        <f t="shared" si="417"/>
        <v>0</v>
      </c>
      <c r="O1792" s="95">
        <f t="shared" si="418"/>
        <v>0</v>
      </c>
      <c r="P1792" s="94">
        <f t="shared" si="419"/>
        <v>0</v>
      </c>
      <c r="Q1792" s="95">
        <f t="shared" si="420"/>
        <v>0</v>
      </c>
      <c r="R1792" s="96"/>
      <c r="S1792" s="97">
        <f t="shared" si="422"/>
        <v>0</v>
      </c>
      <c r="T1792" s="98">
        <f t="shared" si="421"/>
        <v>0</v>
      </c>
    </row>
    <row r="1793" spans="2:21" ht="20.100000000000001" customHeight="1">
      <c r="B1793" s="88">
        <v>15</v>
      </c>
      <c r="C1793" s="89" t="s">
        <v>3817</v>
      </c>
      <c r="D1793" s="90" t="s">
        <v>3856</v>
      </c>
      <c r="E1793" s="91" t="s">
        <v>3857</v>
      </c>
      <c r="F1793" s="315">
        <v>1098</v>
      </c>
      <c r="G1793" s="260">
        <v>9</v>
      </c>
      <c r="H1793" s="260"/>
      <c r="I1793" s="309"/>
      <c r="J1793" s="199"/>
      <c r="K1793" s="269"/>
      <c r="L1793" s="93">
        <f t="shared" si="416"/>
        <v>9</v>
      </c>
      <c r="M1793" s="183">
        <v>9</v>
      </c>
      <c r="N1793" s="95">
        <f t="shared" si="417"/>
        <v>9882</v>
      </c>
      <c r="O1793" s="95">
        <f t="shared" si="418"/>
        <v>9882</v>
      </c>
      <c r="P1793" s="94">
        <f t="shared" si="419"/>
        <v>0</v>
      </c>
      <c r="Q1793" s="95">
        <f t="shared" si="420"/>
        <v>0</v>
      </c>
      <c r="R1793" s="96"/>
      <c r="S1793" s="97">
        <f t="shared" si="422"/>
        <v>0</v>
      </c>
      <c r="T1793" s="98">
        <f t="shared" si="421"/>
        <v>9</v>
      </c>
    </row>
    <row r="1794" spans="2:21" ht="20.100000000000001" customHeight="1">
      <c r="B1794" s="88">
        <v>15</v>
      </c>
      <c r="C1794" s="89" t="s">
        <v>3817</v>
      </c>
      <c r="D1794" s="90" t="s">
        <v>3858</v>
      </c>
      <c r="E1794" s="91" t="s">
        <v>3859</v>
      </c>
      <c r="F1794" s="315">
        <v>35</v>
      </c>
      <c r="G1794" s="260"/>
      <c r="H1794" s="260"/>
      <c r="I1794" s="309"/>
      <c r="J1794" s="199"/>
      <c r="K1794" s="269"/>
      <c r="L1794" s="93">
        <f t="shared" si="416"/>
        <v>0</v>
      </c>
      <c r="M1794" s="183"/>
      <c r="N1794" s="95">
        <f t="shared" si="417"/>
        <v>0</v>
      </c>
      <c r="O1794" s="95">
        <f t="shared" si="418"/>
        <v>0</v>
      </c>
      <c r="P1794" s="94">
        <f t="shared" si="419"/>
        <v>0</v>
      </c>
      <c r="Q1794" s="95">
        <f t="shared" si="420"/>
        <v>0</v>
      </c>
      <c r="R1794" s="96"/>
      <c r="S1794" s="97">
        <f t="shared" si="422"/>
        <v>0</v>
      </c>
      <c r="T1794" s="98">
        <f t="shared" si="421"/>
        <v>0</v>
      </c>
    </row>
    <row r="1795" spans="2:21" ht="20.100000000000001" customHeight="1">
      <c r="B1795" s="88">
        <v>15</v>
      </c>
      <c r="C1795" s="89" t="s">
        <v>3817</v>
      </c>
      <c r="D1795" s="90" t="s">
        <v>3860</v>
      </c>
      <c r="E1795" s="91" t="s">
        <v>3861</v>
      </c>
      <c r="F1795" s="315">
        <v>8</v>
      </c>
      <c r="G1795" s="260"/>
      <c r="H1795" s="260"/>
      <c r="I1795" s="309"/>
      <c r="J1795" s="199"/>
      <c r="K1795" s="269"/>
      <c r="L1795" s="93">
        <f t="shared" si="416"/>
        <v>0</v>
      </c>
      <c r="M1795" s="183"/>
      <c r="N1795" s="95">
        <f t="shared" si="417"/>
        <v>0</v>
      </c>
      <c r="O1795" s="95">
        <f t="shared" si="418"/>
        <v>0</v>
      </c>
      <c r="P1795" s="94">
        <f t="shared" si="419"/>
        <v>0</v>
      </c>
      <c r="Q1795" s="95">
        <f t="shared" si="420"/>
        <v>0</v>
      </c>
      <c r="R1795" s="96"/>
      <c r="S1795" s="97">
        <f t="shared" si="422"/>
        <v>0</v>
      </c>
      <c r="T1795" s="98">
        <f t="shared" si="421"/>
        <v>0</v>
      </c>
    </row>
    <row r="1796" spans="2:21" ht="20.100000000000001" customHeight="1">
      <c r="B1796" s="88">
        <v>15</v>
      </c>
      <c r="C1796" s="89" t="s">
        <v>3817</v>
      </c>
      <c r="D1796" s="90" t="s">
        <v>3862</v>
      </c>
      <c r="E1796" s="91" t="s">
        <v>3863</v>
      </c>
      <c r="F1796" s="315">
        <v>11</v>
      </c>
      <c r="G1796" s="260"/>
      <c r="H1796" s="260"/>
      <c r="I1796" s="309"/>
      <c r="J1796" s="199"/>
      <c r="K1796" s="269"/>
      <c r="L1796" s="93">
        <f t="shared" si="416"/>
        <v>0</v>
      </c>
      <c r="M1796" s="183"/>
      <c r="N1796" s="95">
        <f t="shared" si="417"/>
        <v>0</v>
      </c>
      <c r="O1796" s="95">
        <f t="shared" si="418"/>
        <v>0</v>
      </c>
      <c r="P1796" s="94">
        <f t="shared" si="419"/>
        <v>0</v>
      </c>
      <c r="Q1796" s="95">
        <f t="shared" si="420"/>
        <v>0</v>
      </c>
      <c r="R1796" s="96"/>
      <c r="S1796" s="97">
        <f t="shared" si="422"/>
        <v>0</v>
      </c>
      <c r="T1796" s="98">
        <f t="shared" si="421"/>
        <v>0</v>
      </c>
    </row>
    <row r="1797" spans="2:21" ht="20.100000000000001" customHeight="1">
      <c r="B1797" s="88">
        <v>15</v>
      </c>
      <c r="C1797" s="89" t="s">
        <v>3817</v>
      </c>
      <c r="D1797" s="90" t="s">
        <v>3864</v>
      </c>
      <c r="E1797" s="91" t="s">
        <v>3865</v>
      </c>
      <c r="F1797" s="315">
        <v>30</v>
      </c>
      <c r="G1797" s="260">
        <v>1</v>
      </c>
      <c r="H1797" s="260"/>
      <c r="I1797" s="309"/>
      <c r="J1797" s="199"/>
      <c r="K1797" s="269"/>
      <c r="L1797" s="93">
        <f t="shared" si="416"/>
        <v>1</v>
      </c>
      <c r="M1797" s="183">
        <v>1</v>
      </c>
      <c r="N1797" s="95">
        <f t="shared" si="417"/>
        <v>30</v>
      </c>
      <c r="O1797" s="95">
        <f t="shared" si="418"/>
        <v>30</v>
      </c>
      <c r="P1797" s="94">
        <f t="shared" si="419"/>
        <v>0</v>
      </c>
      <c r="Q1797" s="95">
        <f t="shared" si="420"/>
        <v>0</v>
      </c>
      <c r="R1797" s="96"/>
      <c r="S1797" s="97">
        <f t="shared" si="422"/>
        <v>0</v>
      </c>
      <c r="T1797" s="98">
        <f t="shared" si="421"/>
        <v>1</v>
      </c>
    </row>
    <row r="1798" spans="2:21" ht="20.100000000000001" customHeight="1">
      <c r="B1798" s="88">
        <v>15</v>
      </c>
      <c r="C1798" s="89" t="s">
        <v>3817</v>
      </c>
      <c r="D1798" s="90" t="s">
        <v>3866</v>
      </c>
      <c r="E1798" s="91" t="s">
        <v>3867</v>
      </c>
      <c r="F1798" s="315">
        <v>130</v>
      </c>
      <c r="G1798" s="260"/>
      <c r="H1798" s="260"/>
      <c r="I1798" s="309"/>
      <c r="J1798" s="199"/>
      <c r="K1798" s="269"/>
      <c r="L1798" s="93">
        <f t="shared" si="416"/>
        <v>0</v>
      </c>
      <c r="M1798" s="183"/>
      <c r="N1798" s="95">
        <f t="shared" si="417"/>
        <v>0</v>
      </c>
      <c r="O1798" s="95">
        <f t="shared" si="418"/>
        <v>0</v>
      </c>
      <c r="P1798" s="94">
        <f t="shared" si="419"/>
        <v>0</v>
      </c>
      <c r="Q1798" s="95">
        <f t="shared" si="420"/>
        <v>0</v>
      </c>
      <c r="R1798" s="96"/>
      <c r="S1798" s="97">
        <f t="shared" si="422"/>
        <v>0</v>
      </c>
      <c r="T1798" s="98">
        <f t="shared" si="421"/>
        <v>0</v>
      </c>
    </row>
    <row r="1799" spans="2:21" ht="20.100000000000001" customHeight="1">
      <c r="B1799" s="88">
        <v>15</v>
      </c>
      <c r="C1799" s="89" t="s">
        <v>3817</v>
      </c>
      <c r="D1799" s="90" t="s">
        <v>3868</v>
      </c>
      <c r="E1799" s="91" t="s">
        <v>3869</v>
      </c>
      <c r="F1799" s="315">
        <v>320</v>
      </c>
      <c r="G1799" s="260"/>
      <c r="H1799" s="260"/>
      <c r="I1799" s="309"/>
      <c r="J1799" s="199"/>
      <c r="K1799" s="269"/>
      <c r="L1799" s="93">
        <f t="shared" si="416"/>
        <v>0</v>
      </c>
      <c r="M1799" s="183"/>
      <c r="N1799" s="95">
        <f t="shared" si="417"/>
        <v>0</v>
      </c>
      <c r="O1799" s="95">
        <f t="shared" si="418"/>
        <v>0</v>
      </c>
      <c r="P1799" s="94">
        <f t="shared" si="419"/>
        <v>0</v>
      </c>
      <c r="Q1799" s="95">
        <f t="shared" si="420"/>
        <v>0</v>
      </c>
      <c r="R1799" s="96"/>
      <c r="S1799" s="97">
        <f t="shared" si="422"/>
        <v>0</v>
      </c>
      <c r="T1799" s="98">
        <f t="shared" si="421"/>
        <v>0</v>
      </c>
    </row>
    <row r="1800" spans="2:21" ht="20.100000000000001" customHeight="1">
      <c r="B1800" s="88">
        <v>15</v>
      </c>
      <c r="C1800" s="89" t="s">
        <v>3817</v>
      </c>
      <c r="D1800" s="90" t="s">
        <v>3870</v>
      </c>
      <c r="E1800" s="91" t="s">
        <v>3871</v>
      </c>
      <c r="F1800" s="315">
        <v>140</v>
      </c>
      <c r="G1800" s="260">
        <v>5</v>
      </c>
      <c r="H1800" s="260"/>
      <c r="I1800" s="309"/>
      <c r="J1800" s="199"/>
      <c r="K1800" s="269"/>
      <c r="L1800" s="93">
        <f t="shared" si="416"/>
        <v>5</v>
      </c>
      <c r="M1800" s="183">
        <v>8</v>
      </c>
      <c r="N1800" s="95">
        <f t="shared" si="417"/>
        <v>700</v>
      </c>
      <c r="O1800" s="95">
        <f t="shared" si="418"/>
        <v>1120</v>
      </c>
      <c r="P1800" s="94">
        <f t="shared" si="419"/>
        <v>-3</v>
      </c>
      <c r="Q1800" s="95">
        <f t="shared" si="420"/>
        <v>-420</v>
      </c>
      <c r="R1800" s="96" t="s">
        <v>3872</v>
      </c>
      <c r="S1800" s="97">
        <f t="shared" si="422"/>
        <v>0</v>
      </c>
      <c r="T1800" s="98">
        <f t="shared" si="421"/>
        <v>8</v>
      </c>
    </row>
    <row r="1801" spans="2:21" ht="20.100000000000001" customHeight="1">
      <c r="B1801" s="88">
        <v>15</v>
      </c>
      <c r="C1801" s="89" t="s">
        <v>3817</v>
      </c>
      <c r="D1801" s="90" t="s">
        <v>3873</v>
      </c>
      <c r="E1801" s="91" t="s">
        <v>3874</v>
      </c>
      <c r="F1801" s="315">
        <v>300</v>
      </c>
      <c r="G1801" s="260">
        <v>1</v>
      </c>
      <c r="H1801" s="260"/>
      <c r="I1801" s="309"/>
      <c r="J1801" s="199"/>
      <c r="K1801" s="269"/>
      <c r="L1801" s="93">
        <f t="shared" si="416"/>
        <v>1</v>
      </c>
      <c r="M1801" s="183">
        <v>1</v>
      </c>
      <c r="N1801" s="95">
        <f t="shared" si="417"/>
        <v>300</v>
      </c>
      <c r="O1801" s="95">
        <f t="shared" si="418"/>
        <v>300</v>
      </c>
      <c r="P1801" s="94">
        <f t="shared" si="419"/>
        <v>0</v>
      </c>
      <c r="Q1801" s="95">
        <f t="shared" si="420"/>
        <v>0</v>
      </c>
      <c r="R1801" s="96"/>
      <c r="S1801" s="97">
        <f t="shared" si="422"/>
        <v>0</v>
      </c>
      <c r="T1801" s="98">
        <f t="shared" si="421"/>
        <v>1</v>
      </c>
    </row>
    <row r="1802" spans="2:21" ht="20.100000000000001" customHeight="1">
      <c r="B1802" s="88">
        <v>15</v>
      </c>
      <c r="C1802" s="89" t="s">
        <v>3817</v>
      </c>
      <c r="D1802" s="90" t="s">
        <v>3875</v>
      </c>
      <c r="E1802" s="91" t="s">
        <v>3876</v>
      </c>
      <c r="F1802" s="315">
        <v>140</v>
      </c>
      <c r="G1802" s="260">
        <v>2</v>
      </c>
      <c r="H1802" s="260"/>
      <c r="I1802" s="309"/>
      <c r="J1802" s="199"/>
      <c r="K1802" s="269"/>
      <c r="L1802" s="93">
        <f t="shared" si="416"/>
        <v>2</v>
      </c>
      <c r="M1802" s="183">
        <v>2</v>
      </c>
      <c r="N1802" s="95">
        <f t="shared" si="417"/>
        <v>280</v>
      </c>
      <c r="O1802" s="95">
        <f t="shared" si="418"/>
        <v>280</v>
      </c>
      <c r="P1802" s="94">
        <f t="shared" si="419"/>
        <v>0</v>
      </c>
      <c r="Q1802" s="95">
        <f t="shared" si="420"/>
        <v>0</v>
      </c>
      <c r="R1802" s="96" t="s">
        <v>3877</v>
      </c>
      <c r="S1802" s="97">
        <f t="shared" si="422"/>
        <v>0</v>
      </c>
      <c r="T1802" s="98">
        <f t="shared" si="421"/>
        <v>2</v>
      </c>
    </row>
    <row r="1803" spans="2:21" ht="20.100000000000001" customHeight="1">
      <c r="B1803" s="88">
        <v>15</v>
      </c>
      <c r="C1803" s="89" t="s">
        <v>3817</v>
      </c>
      <c r="D1803" s="90" t="s">
        <v>3878</v>
      </c>
      <c r="E1803" s="91" t="s">
        <v>3879</v>
      </c>
      <c r="F1803" s="315">
        <v>85</v>
      </c>
      <c r="G1803" s="260">
        <v>13</v>
      </c>
      <c r="H1803" s="260"/>
      <c r="I1803" s="309"/>
      <c r="J1803" s="199"/>
      <c r="K1803" s="269"/>
      <c r="L1803" s="93">
        <f t="shared" si="416"/>
        <v>13</v>
      </c>
      <c r="M1803" s="183">
        <v>13</v>
      </c>
      <c r="N1803" s="95">
        <f t="shared" si="417"/>
        <v>1105</v>
      </c>
      <c r="O1803" s="95">
        <f t="shared" si="418"/>
        <v>1105</v>
      </c>
      <c r="P1803" s="94">
        <f t="shared" si="419"/>
        <v>0</v>
      </c>
      <c r="Q1803" s="95">
        <f t="shared" si="420"/>
        <v>0</v>
      </c>
      <c r="R1803" s="96"/>
      <c r="S1803" s="97">
        <f t="shared" si="422"/>
        <v>13</v>
      </c>
      <c r="T1803" s="98">
        <f t="shared" si="421"/>
        <v>0</v>
      </c>
      <c r="U1803">
        <v>13</v>
      </c>
    </row>
    <row r="1804" spans="2:21" ht="20.100000000000001" customHeight="1">
      <c r="B1804" s="88">
        <v>15</v>
      </c>
      <c r="C1804" s="89" t="s">
        <v>3817</v>
      </c>
      <c r="D1804" s="90" t="s">
        <v>3880</v>
      </c>
      <c r="E1804" s="91" t="s">
        <v>3881</v>
      </c>
      <c r="F1804" s="315">
        <v>332.33</v>
      </c>
      <c r="G1804" s="260"/>
      <c r="H1804" s="260"/>
      <c r="I1804" s="309"/>
      <c r="J1804" s="199"/>
      <c r="K1804" s="269"/>
      <c r="L1804" s="93">
        <f t="shared" si="416"/>
        <v>0</v>
      </c>
      <c r="M1804" s="183"/>
      <c r="N1804" s="95">
        <f t="shared" si="417"/>
        <v>0</v>
      </c>
      <c r="O1804" s="95">
        <f t="shared" si="418"/>
        <v>0</v>
      </c>
      <c r="P1804" s="94">
        <f t="shared" si="419"/>
        <v>0</v>
      </c>
      <c r="Q1804" s="95">
        <f t="shared" si="420"/>
        <v>0</v>
      </c>
      <c r="R1804" s="96"/>
      <c r="S1804" s="97">
        <f t="shared" si="422"/>
        <v>0</v>
      </c>
      <c r="T1804" s="98">
        <f t="shared" si="421"/>
        <v>0</v>
      </c>
    </row>
    <row r="1805" spans="2:21" ht="20.100000000000001" customHeight="1">
      <c r="B1805" s="88">
        <v>15</v>
      </c>
      <c r="C1805" s="89" t="s">
        <v>3817</v>
      </c>
      <c r="D1805" s="90" t="s">
        <v>3882</v>
      </c>
      <c r="E1805" s="91" t="s">
        <v>3883</v>
      </c>
      <c r="F1805" s="315">
        <v>33</v>
      </c>
      <c r="G1805" s="260"/>
      <c r="H1805" s="260"/>
      <c r="I1805" s="309"/>
      <c r="J1805" s="199"/>
      <c r="K1805" s="269"/>
      <c r="L1805" s="93">
        <f t="shared" si="416"/>
        <v>0</v>
      </c>
      <c r="M1805" s="183"/>
      <c r="N1805" s="95">
        <f t="shared" si="417"/>
        <v>0</v>
      </c>
      <c r="O1805" s="95">
        <f t="shared" si="418"/>
        <v>0</v>
      </c>
      <c r="P1805" s="94">
        <f t="shared" si="419"/>
        <v>0</v>
      </c>
      <c r="Q1805" s="95">
        <f t="shared" si="420"/>
        <v>0</v>
      </c>
      <c r="R1805" s="96"/>
      <c r="S1805" s="97">
        <f t="shared" si="422"/>
        <v>0</v>
      </c>
      <c r="T1805" s="98">
        <f t="shared" si="421"/>
        <v>0</v>
      </c>
    </row>
    <row r="1806" spans="2:21" ht="20.100000000000001" customHeight="1">
      <c r="B1806" s="88">
        <v>15</v>
      </c>
      <c r="C1806" s="89" t="s">
        <v>3817</v>
      </c>
      <c r="D1806" s="90" t="s">
        <v>3884</v>
      </c>
      <c r="E1806" s="91" t="s">
        <v>3885</v>
      </c>
      <c r="F1806" s="315">
        <v>15</v>
      </c>
      <c r="G1806" s="260"/>
      <c r="H1806" s="260"/>
      <c r="I1806" s="309"/>
      <c r="J1806" s="199"/>
      <c r="K1806" s="269"/>
      <c r="L1806" s="93">
        <f t="shared" si="416"/>
        <v>0</v>
      </c>
      <c r="M1806" s="183"/>
      <c r="N1806" s="95">
        <f t="shared" si="417"/>
        <v>0</v>
      </c>
      <c r="O1806" s="95">
        <f t="shared" si="418"/>
        <v>0</v>
      </c>
      <c r="P1806" s="94">
        <f t="shared" si="419"/>
        <v>0</v>
      </c>
      <c r="Q1806" s="95">
        <f t="shared" si="420"/>
        <v>0</v>
      </c>
      <c r="R1806" s="96"/>
      <c r="S1806" s="97">
        <f t="shared" si="422"/>
        <v>0</v>
      </c>
      <c r="T1806" s="98">
        <f t="shared" si="421"/>
        <v>0</v>
      </c>
    </row>
    <row r="1807" spans="2:21" ht="20.100000000000001" customHeight="1">
      <c r="B1807" s="88">
        <v>15</v>
      </c>
      <c r="C1807" s="89" t="s">
        <v>3817</v>
      </c>
      <c r="D1807" s="90" t="s">
        <v>3886</v>
      </c>
      <c r="E1807" s="91" t="s">
        <v>3887</v>
      </c>
      <c r="F1807" s="315">
        <v>21</v>
      </c>
      <c r="G1807" s="260"/>
      <c r="H1807" s="260"/>
      <c r="I1807" s="309"/>
      <c r="J1807" s="199"/>
      <c r="K1807" s="269"/>
      <c r="L1807" s="93">
        <f t="shared" si="416"/>
        <v>0</v>
      </c>
      <c r="M1807" s="183"/>
      <c r="N1807" s="95">
        <f t="shared" si="417"/>
        <v>0</v>
      </c>
      <c r="O1807" s="95">
        <f t="shared" si="418"/>
        <v>0</v>
      </c>
      <c r="P1807" s="94">
        <f t="shared" si="419"/>
        <v>0</v>
      </c>
      <c r="Q1807" s="95">
        <f t="shared" si="420"/>
        <v>0</v>
      </c>
      <c r="R1807" s="96"/>
      <c r="S1807" s="97">
        <f t="shared" si="422"/>
        <v>0</v>
      </c>
      <c r="T1807" s="98">
        <f t="shared" si="421"/>
        <v>0</v>
      </c>
    </row>
    <row r="1808" spans="2:21" ht="20.100000000000001" customHeight="1">
      <c r="B1808" s="88">
        <v>15</v>
      </c>
      <c r="C1808" s="89" t="s">
        <v>3817</v>
      </c>
      <c r="D1808" s="90" t="s">
        <v>3888</v>
      </c>
      <c r="E1808" s="91" t="s">
        <v>3889</v>
      </c>
      <c r="F1808" s="315">
        <v>32</v>
      </c>
      <c r="G1808" s="260"/>
      <c r="H1808" s="260"/>
      <c r="I1808" s="309"/>
      <c r="J1808" s="199"/>
      <c r="K1808" s="269"/>
      <c r="L1808" s="93">
        <f t="shared" si="416"/>
        <v>0</v>
      </c>
      <c r="M1808" s="183"/>
      <c r="N1808" s="95">
        <f t="shared" si="417"/>
        <v>0</v>
      </c>
      <c r="O1808" s="95">
        <f t="shared" si="418"/>
        <v>0</v>
      </c>
      <c r="P1808" s="94">
        <f t="shared" si="419"/>
        <v>0</v>
      </c>
      <c r="Q1808" s="95">
        <f t="shared" si="420"/>
        <v>0</v>
      </c>
      <c r="R1808" s="96"/>
      <c r="S1808" s="97">
        <f t="shared" si="422"/>
        <v>0</v>
      </c>
      <c r="T1808" s="98">
        <f t="shared" si="421"/>
        <v>0</v>
      </c>
    </row>
    <row r="1809" spans="2:21" ht="20.100000000000001" customHeight="1">
      <c r="B1809" s="88">
        <v>15</v>
      </c>
      <c r="C1809" s="89" t="s">
        <v>3817</v>
      </c>
      <c r="D1809" s="90" t="s">
        <v>3890</v>
      </c>
      <c r="E1809" s="91" t="s">
        <v>3891</v>
      </c>
      <c r="F1809" s="315">
        <v>18.75</v>
      </c>
      <c r="G1809" s="260"/>
      <c r="H1809" s="260"/>
      <c r="I1809" s="309"/>
      <c r="J1809" s="199"/>
      <c r="K1809" s="269"/>
      <c r="L1809" s="93">
        <f t="shared" si="416"/>
        <v>0</v>
      </c>
      <c r="M1809" s="183"/>
      <c r="N1809" s="95">
        <f t="shared" si="417"/>
        <v>0</v>
      </c>
      <c r="O1809" s="95">
        <f t="shared" si="418"/>
        <v>0</v>
      </c>
      <c r="P1809" s="94">
        <f t="shared" si="419"/>
        <v>0</v>
      </c>
      <c r="Q1809" s="95">
        <f t="shared" si="420"/>
        <v>0</v>
      </c>
      <c r="R1809" s="96"/>
      <c r="S1809" s="97">
        <f t="shared" si="422"/>
        <v>0</v>
      </c>
      <c r="T1809" s="98">
        <f t="shared" si="421"/>
        <v>0</v>
      </c>
    </row>
    <row r="1810" spans="2:21" ht="20.100000000000001" customHeight="1">
      <c r="B1810" s="88">
        <v>15</v>
      </c>
      <c r="C1810" s="89" t="s">
        <v>3817</v>
      </c>
      <c r="D1810" s="90" t="s">
        <v>3892</v>
      </c>
      <c r="E1810" s="91" t="s">
        <v>3893</v>
      </c>
      <c r="F1810" s="315">
        <v>125</v>
      </c>
      <c r="G1810" s="260">
        <v>19</v>
      </c>
      <c r="H1810" s="260"/>
      <c r="I1810" s="309"/>
      <c r="J1810" s="199"/>
      <c r="K1810" s="269"/>
      <c r="L1810" s="93">
        <f t="shared" si="416"/>
        <v>19</v>
      </c>
      <c r="M1810" s="183">
        <v>19</v>
      </c>
      <c r="N1810" s="95">
        <f t="shared" si="417"/>
        <v>2375</v>
      </c>
      <c r="O1810" s="95">
        <f t="shared" si="418"/>
        <v>2375</v>
      </c>
      <c r="P1810" s="94">
        <f t="shared" si="419"/>
        <v>0</v>
      </c>
      <c r="Q1810" s="95">
        <f t="shared" si="420"/>
        <v>0</v>
      </c>
      <c r="R1810" s="96"/>
      <c r="S1810" s="97">
        <f t="shared" si="422"/>
        <v>0</v>
      </c>
      <c r="T1810" s="98">
        <f t="shared" si="421"/>
        <v>19</v>
      </c>
    </row>
    <row r="1811" spans="2:21" ht="20.100000000000001" customHeight="1">
      <c r="B1811" s="88">
        <v>15</v>
      </c>
      <c r="C1811" s="89" t="s">
        <v>3817</v>
      </c>
      <c r="D1811" s="90" t="s">
        <v>3894</v>
      </c>
      <c r="E1811" s="91" t="s">
        <v>3895</v>
      </c>
      <c r="F1811" s="315">
        <v>290</v>
      </c>
      <c r="G1811" s="260"/>
      <c r="H1811" s="260"/>
      <c r="I1811" s="309"/>
      <c r="J1811" s="199"/>
      <c r="K1811" s="269"/>
      <c r="L1811" s="93">
        <f t="shared" si="416"/>
        <v>0</v>
      </c>
      <c r="M1811" s="183"/>
      <c r="N1811" s="95">
        <f t="shared" si="417"/>
        <v>0</v>
      </c>
      <c r="O1811" s="95">
        <f t="shared" si="418"/>
        <v>0</v>
      </c>
      <c r="P1811" s="94">
        <f t="shared" si="419"/>
        <v>0</v>
      </c>
      <c r="Q1811" s="95">
        <f t="shared" si="420"/>
        <v>0</v>
      </c>
      <c r="R1811" s="96"/>
      <c r="S1811" s="97">
        <f t="shared" si="422"/>
        <v>0</v>
      </c>
      <c r="T1811" s="98">
        <f t="shared" si="421"/>
        <v>0</v>
      </c>
    </row>
    <row r="1812" spans="2:21" ht="20.100000000000001" customHeight="1">
      <c r="B1812" s="88">
        <v>15</v>
      </c>
      <c r="C1812" s="89" t="s">
        <v>3817</v>
      </c>
      <c r="D1812" s="90" t="s">
        <v>3896</v>
      </c>
      <c r="E1812" s="91" t="s">
        <v>3897</v>
      </c>
      <c r="F1812" s="315">
        <v>38.33</v>
      </c>
      <c r="G1812" s="260"/>
      <c r="H1812" s="260"/>
      <c r="I1812" s="309"/>
      <c r="J1812" s="199"/>
      <c r="K1812" s="269"/>
      <c r="L1812" s="93">
        <f t="shared" si="416"/>
        <v>0</v>
      </c>
      <c r="M1812" s="183"/>
      <c r="N1812" s="95">
        <f t="shared" si="417"/>
        <v>0</v>
      </c>
      <c r="O1812" s="95">
        <f t="shared" si="418"/>
        <v>0</v>
      </c>
      <c r="P1812" s="94">
        <f t="shared" si="419"/>
        <v>0</v>
      </c>
      <c r="Q1812" s="95">
        <f t="shared" si="420"/>
        <v>0</v>
      </c>
      <c r="R1812" s="96"/>
      <c r="S1812" s="97">
        <f t="shared" si="422"/>
        <v>0</v>
      </c>
      <c r="T1812" s="98">
        <f t="shared" si="421"/>
        <v>0</v>
      </c>
    </row>
    <row r="1813" spans="2:21" ht="20.100000000000001" customHeight="1">
      <c r="B1813" s="88">
        <v>15</v>
      </c>
      <c r="C1813" s="89" t="s">
        <v>3817</v>
      </c>
      <c r="D1813" s="90" t="s">
        <v>3898</v>
      </c>
      <c r="E1813" s="91" t="s">
        <v>3899</v>
      </c>
      <c r="F1813" s="315">
        <v>22</v>
      </c>
      <c r="G1813" s="260"/>
      <c r="H1813" s="260"/>
      <c r="I1813" s="309"/>
      <c r="J1813" s="199"/>
      <c r="K1813" s="269"/>
      <c r="L1813" s="93">
        <f t="shared" si="416"/>
        <v>0</v>
      </c>
      <c r="M1813" s="183"/>
      <c r="N1813" s="95">
        <f t="shared" si="417"/>
        <v>0</v>
      </c>
      <c r="O1813" s="95">
        <f t="shared" si="418"/>
        <v>0</v>
      </c>
      <c r="P1813" s="94">
        <f t="shared" si="419"/>
        <v>0</v>
      </c>
      <c r="Q1813" s="95">
        <f t="shared" si="420"/>
        <v>0</v>
      </c>
      <c r="R1813" s="96"/>
      <c r="S1813" s="97">
        <f t="shared" si="422"/>
        <v>0</v>
      </c>
      <c r="T1813" s="98">
        <f t="shared" si="421"/>
        <v>0</v>
      </c>
    </row>
    <row r="1814" spans="2:21" ht="20.100000000000001" customHeight="1">
      <c r="B1814" s="88">
        <v>15</v>
      </c>
      <c r="C1814" s="89" t="s">
        <v>3817</v>
      </c>
      <c r="D1814" s="90" t="s">
        <v>3900</v>
      </c>
      <c r="E1814" s="91" t="s">
        <v>3901</v>
      </c>
      <c r="F1814" s="315">
        <v>41.67</v>
      </c>
      <c r="G1814" s="260"/>
      <c r="H1814" s="260"/>
      <c r="I1814" s="309"/>
      <c r="J1814" s="199"/>
      <c r="K1814" s="269"/>
      <c r="L1814" s="93">
        <f t="shared" si="416"/>
        <v>0</v>
      </c>
      <c r="M1814" s="183"/>
      <c r="N1814" s="95">
        <f t="shared" si="417"/>
        <v>0</v>
      </c>
      <c r="O1814" s="95">
        <f t="shared" si="418"/>
        <v>0</v>
      </c>
      <c r="P1814" s="94">
        <f t="shared" si="419"/>
        <v>0</v>
      </c>
      <c r="Q1814" s="95">
        <f t="shared" si="420"/>
        <v>0</v>
      </c>
      <c r="R1814" s="96"/>
      <c r="S1814" s="97">
        <f t="shared" si="422"/>
        <v>0</v>
      </c>
      <c r="T1814" s="98">
        <f t="shared" si="421"/>
        <v>0</v>
      </c>
    </row>
    <row r="1815" spans="2:21" ht="20.100000000000001" customHeight="1">
      <c r="B1815" s="88">
        <v>15</v>
      </c>
      <c r="C1815" s="89" t="s">
        <v>3817</v>
      </c>
      <c r="D1815" s="90" t="s">
        <v>3902</v>
      </c>
      <c r="E1815" s="91" t="s">
        <v>3903</v>
      </c>
      <c r="F1815" s="315">
        <v>45</v>
      </c>
      <c r="G1815" s="260"/>
      <c r="H1815" s="260"/>
      <c r="I1815" s="309"/>
      <c r="J1815" s="199"/>
      <c r="K1815" s="269"/>
      <c r="L1815" s="93">
        <f t="shared" si="416"/>
        <v>0</v>
      </c>
      <c r="M1815" s="183"/>
      <c r="N1815" s="95">
        <f t="shared" si="417"/>
        <v>0</v>
      </c>
      <c r="O1815" s="95">
        <f t="shared" si="418"/>
        <v>0</v>
      </c>
      <c r="P1815" s="94">
        <f t="shared" si="419"/>
        <v>0</v>
      </c>
      <c r="Q1815" s="95">
        <f t="shared" si="420"/>
        <v>0</v>
      </c>
      <c r="R1815" s="96"/>
      <c r="S1815" s="97">
        <f t="shared" si="422"/>
        <v>0</v>
      </c>
      <c r="T1815" s="98">
        <f t="shared" si="421"/>
        <v>0</v>
      </c>
    </row>
    <row r="1816" spans="2:21" ht="20.100000000000001" customHeight="1">
      <c r="B1816" s="88">
        <v>15</v>
      </c>
      <c r="C1816" s="89" t="s">
        <v>3817</v>
      </c>
      <c r="D1816" s="90" t="s">
        <v>3904</v>
      </c>
      <c r="E1816" s="91" t="s">
        <v>3905</v>
      </c>
      <c r="F1816" s="315">
        <v>390</v>
      </c>
      <c r="G1816" s="260"/>
      <c r="H1816" s="260"/>
      <c r="I1816" s="309"/>
      <c r="J1816" s="199"/>
      <c r="K1816" s="269"/>
      <c r="L1816" s="93">
        <f t="shared" si="416"/>
        <v>0</v>
      </c>
      <c r="M1816" s="183"/>
      <c r="N1816" s="95">
        <f t="shared" si="417"/>
        <v>0</v>
      </c>
      <c r="O1816" s="95">
        <f t="shared" si="418"/>
        <v>0</v>
      </c>
      <c r="P1816" s="94">
        <f t="shared" si="419"/>
        <v>0</v>
      </c>
      <c r="Q1816" s="95">
        <f t="shared" si="420"/>
        <v>0</v>
      </c>
      <c r="R1816" s="96"/>
      <c r="S1816" s="97">
        <f t="shared" si="422"/>
        <v>0</v>
      </c>
      <c r="T1816" s="98">
        <f t="shared" si="421"/>
        <v>0</v>
      </c>
    </row>
    <row r="1817" spans="2:21" ht="20.100000000000001" customHeight="1">
      <c r="B1817" s="88">
        <v>18</v>
      </c>
      <c r="C1817" s="89" t="s">
        <v>3906</v>
      </c>
      <c r="D1817" s="90" t="s">
        <v>3907</v>
      </c>
      <c r="E1817" s="91" t="s">
        <v>3908</v>
      </c>
      <c r="F1817" s="315">
        <v>84</v>
      </c>
      <c r="G1817" s="260">
        <v>3</v>
      </c>
      <c r="H1817" s="260"/>
      <c r="I1817" s="309"/>
      <c r="J1817" s="199"/>
      <c r="K1817" s="269">
        <v>1</v>
      </c>
      <c r="L1817" s="93">
        <f t="shared" si="416"/>
        <v>2</v>
      </c>
      <c r="M1817" s="183">
        <v>2</v>
      </c>
      <c r="N1817" s="95">
        <f t="shared" si="417"/>
        <v>168</v>
      </c>
      <c r="O1817" s="95">
        <f t="shared" si="418"/>
        <v>168</v>
      </c>
      <c r="P1817" s="94">
        <f t="shared" si="419"/>
        <v>0</v>
      </c>
      <c r="Q1817" s="95">
        <f t="shared" si="420"/>
        <v>0</v>
      </c>
      <c r="R1817" s="96"/>
      <c r="S1817" s="97">
        <f t="shared" si="422"/>
        <v>3</v>
      </c>
      <c r="T1817" s="98">
        <f t="shared" si="421"/>
        <v>-1</v>
      </c>
      <c r="U1817">
        <v>3</v>
      </c>
    </row>
    <row r="1818" spans="2:21" ht="20.100000000000001" customHeight="1">
      <c r="B1818" s="88">
        <v>18</v>
      </c>
      <c r="C1818" s="89" t="s">
        <v>3906</v>
      </c>
      <c r="D1818" s="90" t="s">
        <v>3909</v>
      </c>
      <c r="E1818" s="91" t="s">
        <v>3910</v>
      </c>
      <c r="F1818" s="315">
        <v>83</v>
      </c>
      <c r="G1818" s="260">
        <v>1</v>
      </c>
      <c r="H1818" s="260"/>
      <c r="I1818" s="309"/>
      <c r="J1818" s="199"/>
      <c r="K1818" s="269"/>
      <c r="L1818" s="93">
        <f t="shared" si="416"/>
        <v>1</v>
      </c>
      <c r="M1818" s="183">
        <v>1</v>
      </c>
      <c r="N1818" s="95">
        <f t="shared" si="417"/>
        <v>83</v>
      </c>
      <c r="O1818" s="95">
        <f t="shared" si="418"/>
        <v>83</v>
      </c>
      <c r="P1818" s="94">
        <f t="shared" si="419"/>
        <v>0</v>
      </c>
      <c r="Q1818" s="95">
        <f t="shared" si="420"/>
        <v>0</v>
      </c>
      <c r="R1818" s="96"/>
      <c r="S1818" s="97">
        <f t="shared" si="422"/>
        <v>1</v>
      </c>
      <c r="T1818" s="98">
        <f t="shared" si="421"/>
        <v>0</v>
      </c>
      <c r="U1818">
        <v>1</v>
      </c>
    </row>
    <row r="1819" spans="2:21" ht="20.100000000000001" customHeight="1">
      <c r="B1819" s="88">
        <v>18</v>
      </c>
      <c r="C1819" s="89" t="s">
        <v>3906</v>
      </c>
      <c r="D1819" s="90" t="s">
        <v>3909</v>
      </c>
      <c r="E1819" s="91" t="s">
        <v>3910</v>
      </c>
      <c r="F1819" s="315">
        <v>105</v>
      </c>
      <c r="G1819" s="260">
        <v>32</v>
      </c>
      <c r="H1819" s="260"/>
      <c r="I1819" s="309"/>
      <c r="J1819" s="199"/>
      <c r="K1819" s="269"/>
      <c r="L1819" s="93">
        <f t="shared" si="416"/>
        <v>32</v>
      </c>
      <c r="M1819" s="183">
        <f>15+17</f>
        <v>32</v>
      </c>
      <c r="N1819" s="95">
        <f t="shared" si="417"/>
        <v>3360</v>
      </c>
      <c r="O1819" s="95">
        <f t="shared" si="418"/>
        <v>3360</v>
      </c>
      <c r="P1819" s="94">
        <f t="shared" si="419"/>
        <v>0</v>
      </c>
      <c r="Q1819" s="95">
        <f t="shared" si="420"/>
        <v>0</v>
      </c>
      <c r="R1819" s="96"/>
      <c r="S1819" s="97">
        <f t="shared" si="422"/>
        <v>32</v>
      </c>
      <c r="T1819" s="98">
        <f t="shared" si="421"/>
        <v>0</v>
      </c>
      <c r="U1819">
        <v>32</v>
      </c>
    </row>
    <row r="1820" spans="2:21" ht="20.100000000000001" customHeight="1">
      <c r="B1820" s="88">
        <v>18</v>
      </c>
      <c r="C1820" s="89" t="s">
        <v>3906</v>
      </c>
      <c r="D1820" s="90" t="s">
        <v>3911</v>
      </c>
      <c r="E1820" s="91" t="s">
        <v>3912</v>
      </c>
      <c r="F1820" s="315">
        <v>89.4</v>
      </c>
      <c r="G1820" s="260">
        <v>15</v>
      </c>
      <c r="H1820" s="260"/>
      <c r="I1820" s="309"/>
      <c r="J1820" s="199"/>
      <c r="K1820" s="269"/>
      <c r="L1820" s="93">
        <f t="shared" si="416"/>
        <v>15</v>
      </c>
      <c r="M1820" s="183">
        <v>15</v>
      </c>
      <c r="N1820" s="95">
        <f t="shared" si="417"/>
        <v>1341</v>
      </c>
      <c r="O1820" s="95">
        <f t="shared" si="418"/>
        <v>1341</v>
      </c>
      <c r="P1820" s="94">
        <f t="shared" si="419"/>
        <v>0</v>
      </c>
      <c r="Q1820" s="95">
        <f t="shared" si="420"/>
        <v>0</v>
      </c>
      <c r="R1820" s="96"/>
      <c r="S1820" s="97">
        <f t="shared" si="422"/>
        <v>15</v>
      </c>
      <c r="T1820" s="98">
        <f t="shared" si="421"/>
        <v>0</v>
      </c>
      <c r="U1820">
        <v>15</v>
      </c>
    </row>
    <row r="1821" spans="2:21" ht="20.100000000000001" customHeight="1">
      <c r="B1821" s="88">
        <v>18</v>
      </c>
      <c r="C1821" s="89" t="s">
        <v>3906</v>
      </c>
      <c r="D1821" s="90" t="s">
        <v>3913</v>
      </c>
      <c r="E1821" s="91" t="s">
        <v>3914</v>
      </c>
      <c r="F1821" s="315">
        <v>168</v>
      </c>
      <c r="G1821" s="260">
        <v>5</v>
      </c>
      <c r="H1821" s="260"/>
      <c r="I1821" s="309"/>
      <c r="J1821" s="199"/>
      <c r="K1821" s="269"/>
      <c r="L1821" s="93">
        <f t="shared" si="416"/>
        <v>5</v>
      </c>
      <c r="M1821" s="183">
        <v>5</v>
      </c>
      <c r="N1821" s="95">
        <f t="shared" si="417"/>
        <v>840</v>
      </c>
      <c r="O1821" s="95">
        <f t="shared" si="418"/>
        <v>840</v>
      </c>
      <c r="P1821" s="94">
        <f t="shared" si="419"/>
        <v>0</v>
      </c>
      <c r="Q1821" s="95">
        <f t="shared" si="420"/>
        <v>0</v>
      </c>
      <c r="R1821" s="96"/>
      <c r="S1821" s="97">
        <f t="shared" si="422"/>
        <v>5</v>
      </c>
      <c r="T1821" s="98">
        <f t="shared" si="421"/>
        <v>0</v>
      </c>
      <c r="U1821">
        <v>5</v>
      </c>
    </row>
    <row r="1822" spans="2:21" ht="20.100000000000001" customHeight="1">
      <c r="B1822" s="88">
        <v>18</v>
      </c>
      <c r="C1822" s="89" t="s">
        <v>3906</v>
      </c>
      <c r="D1822" s="90" t="s">
        <v>3915</v>
      </c>
      <c r="E1822" s="91" t="s">
        <v>3916</v>
      </c>
      <c r="F1822" s="315">
        <v>89.4</v>
      </c>
      <c r="G1822" s="260">
        <v>15</v>
      </c>
      <c r="H1822" s="260"/>
      <c r="I1822" s="309"/>
      <c r="J1822" s="199"/>
      <c r="K1822" s="269"/>
      <c r="L1822" s="93">
        <f t="shared" si="416"/>
        <v>15</v>
      </c>
      <c r="M1822" s="183">
        <v>15</v>
      </c>
      <c r="N1822" s="95">
        <f t="shared" si="417"/>
        <v>1341</v>
      </c>
      <c r="O1822" s="95">
        <f t="shared" si="418"/>
        <v>1341</v>
      </c>
      <c r="P1822" s="94">
        <f t="shared" si="419"/>
        <v>0</v>
      </c>
      <c r="Q1822" s="95">
        <f t="shared" si="420"/>
        <v>0</v>
      </c>
      <c r="R1822" s="96"/>
      <c r="S1822" s="97">
        <f t="shared" si="422"/>
        <v>15</v>
      </c>
      <c r="T1822" s="98">
        <f t="shared" si="421"/>
        <v>0</v>
      </c>
      <c r="U1822">
        <v>15</v>
      </c>
    </row>
    <row r="1823" spans="2:21" ht="20.100000000000001" customHeight="1">
      <c r="B1823" s="88">
        <v>18</v>
      </c>
      <c r="C1823" s="89" t="s">
        <v>3906</v>
      </c>
      <c r="D1823" s="90" t="s">
        <v>3917</v>
      </c>
      <c r="E1823" s="91" t="s">
        <v>3918</v>
      </c>
      <c r="F1823" s="315">
        <v>168</v>
      </c>
      <c r="G1823" s="260"/>
      <c r="H1823" s="260"/>
      <c r="I1823" s="309"/>
      <c r="J1823" s="199"/>
      <c r="K1823" s="269"/>
      <c r="L1823" s="93">
        <f t="shared" si="416"/>
        <v>0</v>
      </c>
      <c r="M1823" s="183"/>
      <c r="N1823" s="95">
        <f t="shared" si="417"/>
        <v>0</v>
      </c>
      <c r="O1823" s="95">
        <f t="shared" si="418"/>
        <v>0</v>
      </c>
      <c r="P1823" s="94">
        <f t="shared" si="419"/>
        <v>0</v>
      </c>
      <c r="Q1823" s="95">
        <f t="shared" si="420"/>
        <v>0</v>
      </c>
      <c r="R1823" s="96"/>
      <c r="S1823" s="97">
        <f t="shared" si="422"/>
        <v>0</v>
      </c>
      <c r="T1823" s="98">
        <f t="shared" si="421"/>
        <v>0</v>
      </c>
    </row>
    <row r="1824" spans="2:21" ht="20.100000000000001" customHeight="1">
      <c r="B1824" s="88">
        <v>18</v>
      </c>
      <c r="C1824" s="89" t="s">
        <v>3906</v>
      </c>
      <c r="D1824" s="90" t="s">
        <v>3917</v>
      </c>
      <c r="E1824" s="91" t="s">
        <v>3918</v>
      </c>
      <c r="F1824" s="315">
        <v>168</v>
      </c>
      <c r="G1824" s="260">
        <v>6</v>
      </c>
      <c r="H1824" s="260"/>
      <c r="I1824" s="309"/>
      <c r="J1824" s="199"/>
      <c r="K1824" s="269"/>
      <c r="L1824" s="93">
        <f t="shared" si="416"/>
        <v>6</v>
      </c>
      <c r="M1824" s="183">
        <v>6</v>
      </c>
      <c r="N1824" s="95">
        <f t="shared" si="417"/>
        <v>1008</v>
      </c>
      <c r="O1824" s="95">
        <f t="shared" si="418"/>
        <v>1008</v>
      </c>
      <c r="P1824" s="94">
        <f t="shared" si="419"/>
        <v>0</v>
      </c>
      <c r="Q1824" s="95">
        <f t="shared" si="420"/>
        <v>0</v>
      </c>
      <c r="R1824" s="96"/>
      <c r="S1824" s="97">
        <f t="shared" si="422"/>
        <v>6</v>
      </c>
      <c r="T1824" s="98">
        <f t="shared" si="421"/>
        <v>0</v>
      </c>
      <c r="U1824">
        <v>6</v>
      </c>
    </row>
    <row r="1825" spans="2:21" ht="20.100000000000001" customHeight="1">
      <c r="B1825" s="88">
        <v>18</v>
      </c>
      <c r="C1825" s="89" t="s">
        <v>3906</v>
      </c>
      <c r="D1825" s="90" t="s">
        <v>3919</v>
      </c>
      <c r="E1825" s="91" t="s">
        <v>3920</v>
      </c>
      <c r="F1825" s="315">
        <v>105</v>
      </c>
      <c r="G1825" s="260">
        <v>14</v>
      </c>
      <c r="H1825" s="260"/>
      <c r="I1825" s="309"/>
      <c r="J1825" s="199"/>
      <c r="K1825" s="269"/>
      <c r="L1825" s="93">
        <f t="shared" si="416"/>
        <v>14</v>
      </c>
      <c r="M1825" s="183">
        <v>14</v>
      </c>
      <c r="N1825" s="95">
        <f t="shared" si="417"/>
        <v>1470</v>
      </c>
      <c r="O1825" s="95">
        <f t="shared" si="418"/>
        <v>1470</v>
      </c>
      <c r="P1825" s="94">
        <f t="shared" si="419"/>
        <v>0</v>
      </c>
      <c r="Q1825" s="95">
        <f t="shared" si="420"/>
        <v>0</v>
      </c>
      <c r="R1825" s="96"/>
      <c r="S1825" s="97">
        <f t="shared" si="422"/>
        <v>14</v>
      </c>
      <c r="T1825" s="98">
        <f t="shared" si="421"/>
        <v>0</v>
      </c>
      <c r="U1825">
        <v>14</v>
      </c>
    </row>
    <row r="1826" spans="2:21" ht="20.100000000000001" customHeight="1">
      <c r="B1826" s="88">
        <v>18</v>
      </c>
      <c r="C1826" s="89" t="s">
        <v>3906</v>
      </c>
      <c r="D1826" s="90" t="s">
        <v>3921</v>
      </c>
      <c r="E1826" s="91" t="s">
        <v>3922</v>
      </c>
      <c r="F1826" s="315">
        <v>36</v>
      </c>
      <c r="G1826" s="260"/>
      <c r="H1826" s="260"/>
      <c r="I1826" s="309"/>
      <c r="J1826" s="199"/>
      <c r="K1826" s="269"/>
      <c r="L1826" s="93">
        <f t="shared" si="416"/>
        <v>0</v>
      </c>
      <c r="M1826" s="183"/>
      <c r="N1826" s="95">
        <f t="shared" si="417"/>
        <v>0</v>
      </c>
      <c r="O1826" s="95">
        <f t="shared" si="418"/>
        <v>0</v>
      </c>
      <c r="P1826" s="94">
        <f t="shared" si="419"/>
        <v>0</v>
      </c>
      <c r="Q1826" s="95">
        <f t="shared" si="420"/>
        <v>0</v>
      </c>
      <c r="R1826" s="96"/>
      <c r="S1826" s="97">
        <f t="shared" si="422"/>
        <v>0</v>
      </c>
      <c r="T1826" s="98">
        <f t="shared" si="421"/>
        <v>0</v>
      </c>
    </row>
    <row r="1827" spans="2:21" ht="20.100000000000001" customHeight="1">
      <c r="B1827" s="88">
        <v>18</v>
      </c>
      <c r="C1827" s="89" t="s">
        <v>3906</v>
      </c>
      <c r="D1827" s="90" t="s">
        <v>3923</v>
      </c>
      <c r="E1827" s="91" t="s">
        <v>3924</v>
      </c>
      <c r="F1827" s="315">
        <v>84</v>
      </c>
      <c r="G1827" s="260">
        <v>15</v>
      </c>
      <c r="H1827" s="260"/>
      <c r="I1827" s="309"/>
      <c r="J1827" s="199"/>
      <c r="K1827" s="269"/>
      <c r="L1827" s="93">
        <f t="shared" si="416"/>
        <v>15</v>
      </c>
      <c r="M1827" s="183">
        <v>15</v>
      </c>
      <c r="N1827" s="95">
        <f t="shared" si="417"/>
        <v>1260</v>
      </c>
      <c r="O1827" s="95">
        <f t="shared" si="418"/>
        <v>1260</v>
      </c>
      <c r="P1827" s="94">
        <f t="shared" si="419"/>
        <v>0</v>
      </c>
      <c r="Q1827" s="95">
        <f t="shared" si="420"/>
        <v>0</v>
      </c>
      <c r="R1827" s="96"/>
      <c r="S1827" s="97">
        <f t="shared" si="422"/>
        <v>15</v>
      </c>
      <c r="T1827" s="98">
        <f t="shared" si="421"/>
        <v>0</v>
      </c>
      <c r="U1827">
        <v>15</v>
      </c>
    </row>
    <row r="1828" spans="2:21" ht="20.100000000000001" customHeight="1">
      <c r="B1828" s="88">
        <v>18</v>
      </c>
      <c r="C1828" s="89" t="s">
        <v>3906</v>
      </c>
      <c r="D1828" s="90" t="s">
        <v>3925</v>
      </c>
      <c r="E1828" s="91" t="s">
        <v>3926</v>
      </c>
      <c r="F1828" s="315">
        <v>105</v>
      </c>
      <c r="G1828" s="260">
        <v>16</v>
      </c>
      <c r="H1828" s="260"/>
      <c r="I1828" s="309"/>
      <c r="J1828" s="199"/>
      <c r="K1828" s="269"/>
      <c r="L1828" s="93">
        <f t="shared" si="416"/>
        <v>16</v>
      </c>
      <c r="M1828" s="183">
        <v>16</v>
      </c>
      <c r="N1828" s="95">
        <f t="shared" si="417"/>
        <v>1680</v>
      </c>
      <c r="O1828" s="95">
        <f t="shared" si="418"/>
        <v>1680</v>
      </c>
      <c r="P1828" s="94">
        <f t="shared" si="419"/>
        <v>0</v>
      </c>
      <c r="Q1828" s="95">
        <f t="shared" si="420"/>
        <v>0</v>
      </c>
      <c r="R1828" s="96"/>
      <c r="S1828" s="97">
        <f t="shared" si="422"/>
        <v>16</v>
      </c>
      <c r="T1828" s="98">
        <f t="shared" si="421"/>
        <v>0</v>
      </c>
      <c r="U1828">
        <v>16</v>
      </c>
    </row>
    <row r="1829" spans="2:21" ht="20.100000000000001" customHeight="1">
      <c r="B1829" s="88">
        <v>23</v>
      </c>
      <c r="C1829" s="89" t="s">
        <v>3927</v>
      </c>
      <c r="D1829" s="90" t="s">
        <v>3928</v>
      </c>
      <c r="E1829" s="91" t="s">
        <v>3929</v>
      </c>
      <c r="F1829" s="315">
        <v>178</v>
      </c>
      <c r="G1829" s="260">
        <v>2</v>
      </c>
      <c r="H1829" s="260"/>
      <c r="I1829" s="309"/>
      <c r="J1829" s="199"/>
      <c r="K1829" s="269"/>
      <c r="L1829" s="93">
        <f t="shared" si="416"/>
        <v>2</v>
      </c>
      <c r="M1829" s="183">
        <v>2</v>
      </c>
      <c r="N1829" s="95">
        <f t="shared" si="417"/>
        <v>356</v>
      </c>
      <c r="O1829" s="95">
        <f t="shared" si="418"/>
        <v>356</v>
      </c>
      <c r="P1829" s="94">
        <f t="shared" si="419"/>
        <v>0</v>
      </c>
      <c r="Q1829" s="95">
        <f t="shared" si="420"/>
        <v>0</v>
      </c>
      <c r="R1829" s="96"/>
      <c r="S1829" s="97">
        <f t="shared" si="422"/>
        <v>2</v>
      </c>
      <c r="T1829" s="98">
        <f t="shared" si="421"/>
        <v>0</v>
      </c>
      <c r="U1829">
        <v>2</v>
      </c>
    </row>
    <row r="1830" spans="2:21" ht="20.100000000000001" customHeight="1">
      <c r="B1830" s="88">
        <v>23</v>
      </c>
      <c r="C1830" s="89" t="s">
        <v>3927</v>
      </c>
      <c r="D1830" s="90" t="s">
        <v>3930</v>
      </c>
      <c r="E1830" s="91" t="s">
        <v>3931</v>
      </c>
      <c r="F1830" s="315">
        <v>7</v>
      </c>
      <c r="G1830" s="260">
        <v>7</v>
      </c>
      <c r="H1830" s="260"/>
      <c r="I1830" s="309"/>
      <c r="J1830" s="199"/>
      <c r="K1830" s="269"/>
      <c r="L1830" s="93">
        <f t="shared" si="416"/>
        <v>7</v>
      </c>
      <c r="M1830" s="183">
        <v>7</v>
      </c>
      <c r="N1830" s="95">
        <f t="shared" si="417"/>
        <v>49</v>
      </c>
      <c r="O1830" s="95">
        <f t="shared" si="418"/>
        <v>49</v>
      </c>
      <c r="P1830" s="94">
        <f t="shared" si="419"/>
        <v>0</v>
      </c>
      <c r="Q1830" s="95">
        <f t="shared" si="420"/>
        <v>0</v>
      </c>
      <c r="R1830" s="96"/>
      <c r="S1830" s="97">
        <f t="shared" si="422"/>
        <v>0</v>
      </c>
      <c r="T1830" s="98">
        <f t="shared" si="421"/>
        <v>7</v>
      </c>
    </row>
    <row r="1831" spans="2:21" ht="20.100000000000001" customHeight="1">
      <c r="B1831" s="88">
        <v>23</v>
      </c>
      <c r="C1831" s="89" t="s">
        <v>3927</v>
      </c>
      <c r="D1831" s="90" t="s">
        <v>3932</v>
      </c>
      <c r="E1831" s="91" t="s">
        <v>3933</v>
      </c>
      <c r="F1831" s="315">
        <v>3</v>
      </c>
      <c r="G1831" s="260">
        <v>12</v>
      </c>
      <c r="H1831" s="260"/>
      <c r="I1831" s="309"/>
      <c r="J1831" s="199"/>
      <c r="K1831" s="269"/>
      <c r="L1831" s="93">
        <f t="shared" si="416"/>
        <v>12</v>
      </c>
      <c r="M1831" s="183">
        <v>15</v>
      </c>
      <c r="N1831" s="95">
        <f t="shared" si="417"/>
        <v>36</v>
      </c>
      <c r="O1831" s="95">
        <f t="shared" si="418"/>
        <v>45</v>
      </c>
      <c r="P1831" s="94">
        <f t="shared" si="419"/>
        <v>-3</v>
      </c>
      <c r="Q1831" s="95">
        <f t="shared" si="420"/>
        <v>-9</v>
      </c>
      <c r="R1831" s="96"/>
      <c r="S1831" s="97">
        <f t="shared" si="422"/>
        <v>12</v>
      </c>
      <c r="T1831" s="98">
        <f t="shared" si="421"/>
        <v>3</v>
      </c>
      <c r="U1831">
        <v>12</v>
      </c>
    </row>
    <row r="1832" spans="2:21" ht="20.100000000000001" customHeight="1">
      <c r="B1832" s="88">
        <v>23</v>
      </c>
      <c r="C1832" s="89" t="s">
        <v>3927</v>
      </c>
      <c r="D1832" s="90" t="s">
        <v>3934</v>
      </c>
      <c r="E1832" s="91" t="s">
        <v>3935</v>
      </c>
      <c r="F1832" s="315">
        <v>118</v>
      </c>
      <c r="G1832" s="260">
        <v>1</v>
      </c>
      <c r="H1832" s="260"/>
      <c r="I1832" s="309"/>
      <c r="J1832" s="199"/>
      <c r="K1832" s="269"/>
      <c r="L1832" s="93">
        <f t="shared" si="416"/>
        <v>1</v>
      </c>
      <c r="M1832" s="183">
        <v>1</v>
      </c>
      <c r="N1832" s="95">
        <f t="shared" si="417"/>
        <v>118</v>
      </c>
      <c r="O1832" s="95">
        <f t="shared" si="418"/>
        <v>118</v>
      </c>
      <c r="P1832" s="94">
        <f t="shared" si="419"/>
        <v>0</v>
      </c>
      <c r="Q1832" s="95">
        <f t="shared" si="420"/>
        <v>0</v>
      </c>
      <c r="R1832" s="96"/>
      <c r="S1832" s="97">
        <f t="shared" si="422"/>
        <v>1</v>
      </c>
      <c r="T1832" s="98">
        <f t="shared" si="421"/>
        <v>0</v>
      </c>
      <c r="U1832">
        <v>1</v>
      </c>
    </row>
    <row r="1833" spans="2:21" ht="20.100000000000001" customHeight="1">
      <c r="B1833" s="88">
        <v>23</v>
      </c>
      <c r="C1833" s="89" t="s">
        <v>3927</v>
      </c>
      <c r="D1833" s="90" t="s">
        <v>3936</v>
      </c>
      <c r="E1833" s="91" t="s">
        <v>3937</v>
      </c>
      <c r="F1833" s="315">
        <v>4</v>
      </c>
      <c r="G1833" s="260"/>
      <c r="H1833" s="260"/>
      <c r="I1833" s="309"/>
      <c r="J1833" s="199"/>
      <c r="K1833" s="269"/>
      <c r="L1833" s="93">
        <f t="shared" si="416"/>
        <v>0</v>
      </c>
      <c r="M1833" s="183"/>
      <c r="N1833" s="95">
        <f t="shared" si="417"/>
        <v>0</v>
      </c>
      <c r="O1833" s="95">
        <f t="shared" si="418"/>
        <v>0</v>
      </c>
      <c r="P1833" s="94">
        <f t="shared" si="419"/>
        <v>0</v>
      </c>
      <c r="Q1833" s="95">
        <f t="shared" si="420"/>
        <v>0</v>
      </c>
      <c r="R1833" s="96"/>
      <c r="S1833" s="97">
        <f t="shared" si="422"/>
        <v>0</v>
      </c>
      <c r="T1833" s="98">
        <f t="shared" si="421"/>
        <v>0</v>
      </c>
    </row>
    <row r="1834" spans="2:21" ht="20.100000000000001" customHeight="1">
      <c r="B1834" s="88">
        <v>23</v>
      </c>
      <c r="C1834" s="89" t="s">
        <v>3927</v>
      </c>
      <c r="D1834" s="90" t="s">
        <v>3938</v>
      </c>
      <c r="E1834" s="91" t="s">
        <v>3939</v>
      </c>
      <c r="F1834" s="315">
        <v>2</v>
      </c>
      <c r="G1834" s="260"/>
      <c r="H1834" s="260"/>
      <c r="I1834" s="309"/>
      <c r="J1834" s="199"/>
      <c r="K1834" s="269"/>
      <c r="L1834" s="93">
        <f t="shared" si="416"/>
        <v>0</v>
      </c>
      <c r="M1834" s="183"/>
      <c r="N1834" s="95">
        <f t="shared" si="417"/>
        <v>0</v>
      </c>
      <c r="O1834" s="95">
        <f t="shared" si="418"/>
        <v>0</v>
      </c>
      <c r="P1834" s="94">
        <f t="shared" si="419"/>
        <v>0</v>
      </c>
      <c r="Q1834" s="95">
        <f t="shared" si="420"/>
        <v>0</v>
      </c>
      <c r="R1834" s="96"/>
      <c r="S1834" s="97">
        <f t="shared" si="422"/>
        <v>0</v>
      </c>
      <c r="T1834" s="98">
        <f t="shared" si="421"/>
        <v>0</v>
      </c>
    </row>
    <row r="1835" spans="2:21" ht="20.100000000000001" customHeight="1">
      <c r="B1835" s="88">
        <v>23</v>
      </c>
      <c r="C1835" s="89" t="s">
        <v>3927</v>
      </c>
      <c r="D1835" s="90" t="s">
        <v>3940</v>
      </c>
      <c r="E1835" s="91" t="s">
        <v>3941</v>
      </c>
      <c r="F1835" s="315">
        <v>8</v>
      </c>
      <c r="G1835" s="260"/>
      <c r="H1835" s="260"/>
      <c r="I1835" s="309"/>
      <c r="J1835" s="199"/>
      <c r="K1835" s="269"/>
      <c r="L1835" s="93">
        <f t="shared" si="416"/>
        <v>0</v>
      </c>
      <c r="M1835" s="183"/>
      <c r="N1835" s="95">
        <f t="shared" si="417"/>
        <v>0</v>
      </c>
      <c r="O1835" s="95">
        <f t="shared" si="418"/>
        <v>0</v>
      </c>
      <c r="P1835" s="94">
        <f t="shared" si="419"/>
        <v>0</v>
      </c>
      <c r="Q1835" s="95">
        <f t="shared" si="420"/>
        <v>0</v>
      </c>
      <c r="R1835" s="96"/>
      <c r="S1835" s="97">
        <f t="shared" si="422"/>
        <v>0</v>
      </c>
      <c r="T1835" s="98">
        <f t="shared" si="421"/>
        <v>0</v>
      </c>
    </row>
    <row r="1836" spans="2:21" ht="20.100000000000001" customHeight="1">
      <c r="B1836" s="88">
        <v>23</v>
      </c>
      <c r="C1836" s="89" t="s">
        <v>3927</v>
      </c>
      <c r="D1836" s="90" t="s">
        <v>3942</v>
      </c>
      <c r="E1836" s="91" t="s">
        <v>3943</v>
      </c>
      <c r="F1836" s="315">
        <v>8</v>
      </c>
      <c r="G1836" s="260"/>
      <c r="H1836" s="260"/>
      <c r="I1836" s="309"/>
      <c r="J1836" s="199"/>
      <c r="K1836" s="269"/>
      <c r="L1836" s="93">
        <f t="shared" si="416"/>
        <v>0</v>
      </c>
      <c r="M1836" s="183"/>
      <c r="N1836" s="95">
        <f t="shared" si="417"/>
        <v>0</v>
      </c>
      <c r="O1836" s="95">
        <f t="shared" si="418"/>
        <v>0</v>
      </c>
      <c r="P1836" s="94">
        <f t="shared" si="419"/>
        <v>0</v>
      </c>
      <c r="Q1836" s="95">
        <f t="shared" si="420"/>
        <v>0</v>
      </c>
      <c r="R1836" s="96"/>
      <c r="S1836" s="97">
        <f t="shared" si="422"/>
        <v>0</v>
      </c>
      <c r="T1836" s="98">
        <f t="shared" si="421"/>
        <v>0</v>
      </c>
    </row>
    <row r="1837" spans="2:21" ht="20.100000000000001" customHeight="1">
      <c r="B1837" s="88">
        <v>23</v>
      </c>
      <c r="C1837" s="89" t="s">
        <v>3927</v>
      </c>
      <c r="D1837" s="90" t="s">
        <v>3944</v>
      </c>
      <c r="E1837" s="91" t="s">
        <v>3945</v>
      </c>
      <c r="F1837" s="315">
        <v>7</v>
      </c>
      <c r="G1837" s="260">
        <v>24</v>
      </c>
      <c r="H1837" s="260"/>
      <c r="I1837" s="309"/>
      <c r="J1837" s="199"/>
      <c r="K1837" s="269"/>
      <c r="L1837" s="93">
        <f t="shared" si="416"/>
        <v>24</v>
      </c>
      <c r="M1837" s="183">
        <v>25</v>
      </c>
      <c r="N1837" s="95">
        <f t="shared" si="417"/>
        <v>168</v>
      </c>
      <c r="O1837" s="95">
        <f t="shared" si="418"/>
        <v>175</v>
      </c>
      <c r="P1837" s="94">
        <f t="shared" si="419"/>
        <v>-1</v>
      </c>
      <c r="Q1837" s="95">
        <f t="shared" si="420"/>
        <v>-7</v>
      </c>
      <c r="R1837" s="96"/>
      <c r="S1837" s="97">
        <f t="shared" si="422"/>
        <v>25</v>
      </c>
      <c r="T1837" s="98">
        <f t="shared" si="421"/>
        <v>0</v>
      </c>
      <c r="U1837">
        <v>25</v>
      </c>
    </row>
    <row r="1838" spans="2:21" ht="20.100000000000001" customHeight="1">
      <c r="B1838" s="88">
        <v>23</v>
      </c>
      <c r="C1838" s="89" t="s">
        <v>3927</v>
      </c>
      <c r="D1838" s="90" t="s">
        <v>3946</v>
      </c>
      <c r="E1838" s="91" t="s">
        <v>3947</v>
      </c>
      <c r="F1838" s="315">
        <v>7</v>
      </c>
      <c r="G1838" s="260">
        <v>37</v>
      </c>
      <c r="H1838" s="260"/>
      <c r="I1838" s="309"/>
      <c r="J1838" s="199"/>
      <c r="K1838" s="269"/>
      <c r="L1838" s="93">
        <f t="shared" si="416"/>
        <v>37</v>
      </c>
      <c r="M1838" s="183">
        <v>37</v>
      </c>
      <c r="N1838" s="95">
        <f t="shared" si="417"/>
        <v>259</v>
      </c>
      <c r="O1838" s="95">
        <f t="shared" si="418"/>
        <v>259</v>
      </c>
      <c r="P1838" s="94">
        <f t="shared" si="419"/>
        <v>0</v>
      </c>
      <c r="Q1838" s="95">
        <f t="shared" si="420"/>
        <v>0</v>
      </c>
      <c r="R1838" s="96"/>
      <c r="S1838" s="97">
        <f t="shared" si="422"/>
        <v>37</v>
      </c>
      <c r="T1838" s="98">
        <f t="shared" si="421"/>
        <v>0</v>
      </c>
      <c r="U1838">
        <v>37</v>
      </c>
    </row>
    <row r="1839" spans="2:21" ht="20.100000000000001" customHeight="1">
      <c r="B1839" s="88">
        <v>23</v>
      </c>
      <c r="C1839" s="89" t="s">
        <v>3927</v>
      </c>
      <c r="D1839" s="90" t="s">
        <v>3948</v>
      </c>
      <c r="E1839" s="91" t="s">
        <v>3949</v>
      </c>
      <c r="F1839" s="315">
        <v>22</v>
      </c>
      <c r="G1839" s="260"/>
      <c r="H1839" s="260"/>
      <c r="I1839" s="309"/>
      <c r="J1839" s="199"/>
      <c r="K1839" s="269"/>
      <c r="L1839" s="93">
        <f t="shared" si="416"/>
        <v>0</v>
      </c>
      <c r="M1839" s="183"/>
      <c r="N1839" s="95">
        <f t="shared" si="417"/>
        <v>0</v>
      </c>
      <c r="O1839" s="95">
        <f t="shared" si="418"/>
        <v>0</v>
      </c>
      <c r="P1839" s="94">
        <f t="shared" si="419"/>
        <v>0</v>
      </c>
      <c r="Q1839" s="95">
        <f t="shared" si="420"/>
        <v>0</v>
      </c>
      <c r="R1839" s="96"/>
      <c r="S1839" s="97">
        <f t="shared" si="422"/>
        <v>0</v>
      </c>
      <c r="T1839" s="98">
        <f t="shared" si="421"/>
        <v>0</v>
      </c>
    </row>
    <row r="1840" spans="2:21" ht="20.100000000000001" customHeight="1">
      <c r="B1840" s="88">
        <v>23</v>
      </c>
      <c r="C1840" s="89" t="s">
        <v>3927</v>
      </c>
      <c r="D1840" s="90" t="s">
        <v>3950</v>
      </c>
      <c r="E1840" s="91" t="s">
        <v>3951</v>
      </c>
      <c r="F1840" s="315">
        <v>18</v>
      </c>
      <c r="G1840" s="260">
        <v>7</v>
      </c>
      <c r="H1840" s="260"/>
      <c r="I1840" s="309"/>
      <c r="J1840" s="199"/>
      <c r="K1840" s="269"/>
      <c r="L1840" s="93">
        <f t="shared" si="416"/>
        <v>7</v>
      </c>
      <c r="M1840" s="183">
        <v>7</v>
      </c>
      <c r="N1840" s="95">
        <f t="shared" si="417"/>
        <v>126</v>
      </c>
      <c r="O1840" s="95">
        <f t="shared" si="418"/>
        <v>126</v>
      </c>
      <c r="P1840" s="94">
        <f t="shared" si="419"/>
        <v>0</v>
      </c>
      <c r="Q1840" s="95">
        <f t="shared" si="420"/>
        <v>0</v>
      </c>
      <c r="R1840" s="96"/>
      <c r="S1840" s="97">
        <f t="shared" si="422"/>
        <v>7</v>
      </c>
      <c r="T1840" s="98">
        <f t="shared" si="421"/>
        <v>0</v>
      </c>
      <c r="U1840">
        <v>7</v>
      </c>
    </row>
    <row r="1841" spans="2:21" ht="20.100000000000001" customHeight="1">
      <c r="B1841" s="88">
        <v>23</v>
      </c>
      <c r="C1841" s="89" t="s">
        <v>3927</v>
      </c>
      <c r="D1841" s="90" t="s">
        <v>3952</v>
      </c>
      <c r="E1841" s="91" t="s">
        <v>3953</v>
      </c>
      <c r="F1841" s="315">
        <v>13</v>
      </c>
      <c r="G1841" s="260">
        <v>6</v>
      </c>
      <c r="H1841" s="260"/>
      <c r="I1841" s="309"/>
      <c r="J1841" s="199"/>
      <c r="K1841" s="269"/>
      <c r="L1841" s="93">
        <f t="shared" si="416"/>
        <v>6</v>
      </c>
      <c r="M1841" s="183">
        <v>8</v>
      </c>
      <c r="N1841" s="95">
        <f t="shared" ref="N1841:N1903" si="423">F1841*L1841</f>
        <v>78</v>
      </c>
      <c r="O1841" s="95">
        <f t="shared" ref="O1841:O1903" si="424">M1841*F1841</f>
        <v>104</v>
      </c>
      <c r="P1841" s="94">
        <f t="shared" ref="P1841:P1901" si="425">L1841-M1841</f>
        <v>-2</v>
      </c>
      <c r="Q1841" s="95">
        <f t="shared" ref="Q1841:Q1901" si="426">N1841-O1841</f>
        <v>-26</v>
      </c>
      <c r="R1841" s="96"/>
      <c r="S1841" s="97">
        <f t="shared" si="422"/>
        <v>6</v>
      </c>
      <c r="T1841" s="98">
        <f t="shared" ref="T1841:T1938" si="427">M1841-S1841</f>
        <v>2</v>
      </c>
      <c r="U1841">
        <v>6</v>
      </c>
    </row>
    <row r="1842" spans="2:21" ht="20.100000000000001" customHeight="1">
      <c r="B1842" s="88">
        <v>23</v>
      </c>
      <c r="C1842" s="89" t="s">
        <v>3927</v>
      </c>
      <c r="D1842" s="90" t="s">
        <v>3954</v>
      </c>
      <c r="E1842" s="91" t="s">
        <v>3955</v>
      </c>
      <c r="F1842" s="315">
        <v>13</v>
      </c>
      <c r="G1842" s="260">
        <v>1</v>
      </c>
      <c r="H1842" s="260"/>
      <c r="I1842" s="309"/>
      <c r="J1842" s="199"/>
      <c r="K1842" s="269"/>
      <c r="L1842" s="93">
        <f t="shared" ref="L1842:L1905" si="428">G1842+I1842-J1842-K1842+H1842</f>
        <v>1</v>
      </c>
      <c r="M1842" s="183">
        <v>1</v>
      </c>
      <c r="N1842" s="95">
        <f t="shared" si="423"/>
        <v>13</v>
      </c>
      <c r="O1842" s="95">
        <f t="shared" si="424"/>
        <v>13</v>
      </c>
      <c r="P1842" s="94">
        <f t="shared" si="425"/>
        <v>0</v>
      </c>
      <c r="Q1842" s="95">
        <f t="shared" si="426"/>
        <v>0</v>
      </c>
      <c r="R1842" s="96"/>
      <c r="S1842" s="97">
        <f t="shared" ref="S1842:S1899" si="429">U1842+Y1842+W1842+AA1842</f>
        <v>1</v>
      </c>
      <c r="T1842" s="98">
        <f t="shared" si="427"/>
        <v>0</v>
      </c>
      <c r="U1842">
        <v>1</v>
      </c>
    </row>
    <row r="1843" spans="2:21" ht="20.100000000000001" customHeight="1">
      <c r="B1843" s="88">
        <v>23</v>
      </c>
      <c r="C1843" s="89" t="s">
        <v>3927</v>
      </c>
      <c r="D1843" s="90" t="s">
        <v>3956</v>
      </c>
      <c r="E1843" s="91" t="s">
        <v>3957</v>
      </c>
      <c r="F1843" s="315">
        <v>7</v>
      </c>
      <c r="G1843" s="260"/>
      <c r="H1843" s="260"/>
      <c r="I1843" s="309"/>
      <c r="J1843" s="199"/>
      <c r="K1843" s="269"/>
      <c r="L1843" s="93">
        <f t="shared" si="428"/>
        <v>0</v>
      </c>
      <c r="M1843" s="183"/>
      <c r="N1843" s="95">
        <f t="shared" si="423"/>
        <v>0</v>
      </c>
      <c r="O1843" s="95">
        <f t="shared" si="424"/>
        <v>0</v>
      </c>
      <c r="P1843" s="94">
        <f t="shared" si="425"/>
        <v>0</v>
      </c>
      <c r="Q1843" s="95">
        <f t="shared" si="426"/>
        <v>0</v>
      </c>
      <c r="R1843" s="96"/>
      <c r="S1843" s="97">
        <f t="shared" si="429"/>
        <v>0</v>
      </c>
      <c r="T1843" s="98">
        <f t="shared" si="427"/>
        <v>0</v>
      </c>
    </row>
    <row r="1844" spans="2:21" ht="20.100000000000001" customHeight="1">
      <c r="B1844" s="88">
        <v>23</v>
      </c>
      <c r="C1844" s="89" t="s">
        <v>3927</v>
      </c>
      <c r="D1844" s="90" t="s">
        <v>3958</v>
      </c>
      <c r="E1844" s="91" t="s">
        <v>3959</v>
      </c>
      <c r="F1844" s="315">
        <v>5</v>
      </c>
      <c r="G1844" s="260">
        <v>20</v>
      </c>
      <c r="H1844" s="260"/>
      <c r="I1844" s="309"/>
      <c r="J1844" s="199"/>
      <c r="K1844" s="269">
        <v>1</v>
      </c>
      <c r="L1844" s="93">
        <f t="shared" si="428"/>
        <v>19</v>
      </c>
      <c r="M1844" s="183">
        <v>20</v>
      </c>
      <c r="N1844" s="95">
        <f t="shared" si="423"/>
        <v>95</v>
      </c>
      <c r="O1844" s="95">
        <f t="shared" si="424"/>
        <v>100</v>
      </c>
      <c r="P1844" s="94">
        <f t="shared" si="425"/>
        <v>-1</v>
      </c>
      <c r="Q1844" s="95">
        <f t="shared" si="426"/>
        <v>-5</v>
      </c>
      <c r="R1844" s="96"/>
      <c r="S1844" s="97">
        <f t="shared" si="429"/>
        <v>20</v>
      </c>
      <c r="T1844" s="98">
        <f t="shared" si="427"/>
        <v>0</v>
      </c>
      <c r="U1844">
        <v>20</v>
      </c>
    </row>
    <row r="1845" spans="2:21" ht="20.100000000000001" customHeight="1">
      <c r="B1845" s="88">
        <v>23</v>
      </c>
      <c r="C1845" s="89" t="s">
        <v>3927</v>
      </c>
      <c r="D1845" s="90" t="s">
        <v>3960</v>
      </c>
      <c r="E1845" s="91" t="s">
        <v>3961</v>
      </c>
      <c r="F1845" s="315">
        <v>57</v>
      </c>
      <c r="G1845" s="260">
        <v>3</v>
      </c>
      <c r="H1845" s="260"/>
      <c r="I1845" s="309"/>
      <c r="J1845" s="199"/>
      <c r="K1845" s="269"/>
      <c r="L1845" s="93">
        <f t="shared" si="428"/>
        <v>3</v>
      </c>
      <c r="M1845" s="183">
        <v>3</v>
      </c>
      <c r="N1845" s="95">
        <f t="shared" si="423"/>
        <v>171</v>
      </c>
      <c r="O1845" s="95">
        <f t="shared" si="424"/>
        <v>171</v>
      </c>
      <c r="P1845" s="94">
        <f t="shared" si="425"/>
        <v>0</v>
      </c>
      <c r="Q1845" s="95">
        <f t="shared" si="426"/>
        <v>0</v>
      </c>
      <c r="R1845" s="96"/>
      <c r="S1845" s="97">
        <f t="shared" si="429"/>
        <v>3</v>
      </c>
      <c r="T1845" s="98">
        <f t="shared" si="427"/>
        <v>0</v>
      </c>
      <c r="U1845">
        <v>3</v>
      </c>
    </row>
    <row r="1846" spans="2:21" ht="20.100000000000001" customHeight="1">
      <c r="B1846" s="88">
        <v>23</v>
      </c>
      <c r="C1846" s="89" t="s">
        <v>3927</v>
      </c>
      <c r="D1846" s="90" t="s">
        <v>3962</v>
      </c>
      <c r="E1846" s="91" t="s">
        <v>3963</v>
      </c>
      <c r="F1846" s="315">
        <v>387</v>
      </c>
      <c r="G1846" s="260">
        <v>8</v>
      </c>
      <c r="H1846" s="260"/>
      <c r="I1846" s="309"/>
      <c r="J1846" s="199"/>
      <c r="K1846" s="269"/>
      <c r="L1846" s="93">
        <f t="shared" si="428"/>
        <v>8</v>
      </c>
      <c r="M1846" s="183">
        <v>8</v>
      </c>
      <c r="N1846" s="95">
        <f t="shared" si="423"/>
        <v>3096</v>
      </c>
      <c r="O1846" s="95">
        <f t="shared" si="424"/>
        <v>3096</v>
      </c>
      <c r="P1846" s="94">
        <f t="shared" si="425"/>
        <v>0</v>
      </c>
      <c r="Q1846" s="95">
        <f t="shared" si="426"/>
        <v>0</v>
      </c>
      <c r="R1846" s="96"/>
      <c r="S1846" s="97">
        <f t="shared" si="429"/>
        <v>8</v>
      </c>
      <c r="T1846" s="98">
        <f t="shared" si="427"/>
        <v>0</v>
      </c>
      <c r="U1846">
        <v>8</v>
      </c>
    </row>
    <row r="1847" spans="2:21" ht="20.100000000000001" customHeight="1">
      <c r="B1847" s="88">
        <v>23</v>
      </c>
      <c r="C1847" s="89" t="s">
        <v>3927</v>
      </c>
      <c r="D1847" s="90" t="s">
        <v>3964</v>
      </c>
      <c r="E1847" s="91" t="s">
        <v>3965</v>
      </c>
      <c r="F1847" s="315">
        <v>166</v>
      </c>
      <c r="G1847" s="260">
        <v>1</v>
      </c>
      <c r="H1847" s="260"/>
      <c r="I1847" s="309"/>
      <c r="J1847" s="199"/>
      <c r="K1847" s="269"/>
      <c r="L1847" s="93">
        <f t="shared" si="428"/>
        <v>1</v>
      </c>
      <c r="M1847" s="183">
        <v>1</v>
      </c>
      <c r="N1847" s="95">
        <f t="shared" si="423"/>
        <v>166</v>
      </c>
      <c r="O1847" s="95">
        <f t="shared" si="424"/>
        <v>166</v>
      </c>
      <c r="P1847" s="94">
        <f t="shared" si="425"/>
        <v>0</v>
      </c>
      <c r="Q1847" s="95">
        <f t="shared" si="426"/>
        <v>0</v>
      </c>
      <c r="R1847" s="96"/>
      <c r="S1847" s="97">
        <f t="shared" si="429"/>
        <v>1</v>
      </c>
      <c r="T1847" s="98">
        <f t="shared" si="427"/>
        <v>0</v>
      </c>
      <c r="U1847">
        <v>1</v>
      </c>
    </row>
    <row r="1848" spans="2:21" ht="20.100000000000001" customHeight="1">
      <c r="B1848" s="88">
        <v>23</v>
      </c>
      <c r="C1848" s="89" t="s">
        <v>3927</v>
      </c>
      <c r="D1848" s="90" t="s">
        <v>3966</v>
      </c>
      <c r="E1848" s="91" t="s">
        <v>3967</v>
      </c>
      <c r="F1848" s="315">
        <v>30</v>
      </c>
      <c r="G1848" s="260">
        <v>3</v>
      </c>
      <c r="H1848" s="260"/>
      <c r="I1848" s="309"/>
      <c r="J1848" s="199"/>
      <c r="K1848" s="269"/>
      <c r="L1848" s="93">
        <f t="shared" si="428"/>
        <v>3</v>
      </c>
      <c r="M1848" s="183">
        <v>3</v>
      </c>
      <c r="N1848" s="95">
        <f t="shared" si="423"/>
        <v>90</v>
      </c>
      <c r="O1848" s="95">
        <f t="shared" si="424"/>
        <v>90</v>
      </c>
      <c r="P1848" s="94">
        <f t="shared" si="425"/>
        <v>0</v>
      </c>
      <c r="Q1848" s="95">
        <f t="shared" si="426"/>
        <v>0</v>
      </c>
      <c r="R1848" s="96"/>
      <c r="S1848" s="97">
        <f t="shared" si="429"/>
        <v>0</v>
      </c>
      <c r="T1848" s="98">
        <f t="shared" si="427"/>
        <v>3</v>
      </c>
    </row>
    <row r="1849" spans="2:21" ht="20.100000000000001" customHeight="1">
      <c r="B1849" s="88">
        <v>23</v>
      </c>
      <c r="C1849" s="89" t="s">
        <v>3927</v>
      </c>
      <c r="D1849" s="90" t="s">
        <v>3968</v>
      </c>
      <c r="E1849" s="91" t="s">
        <v>3969</v>
      </c>
      <c r="F1849" s="315">
        <v>20</v>
      </c>
      <c r="G1849" s="260">
        <v>2</v>
      </c>
      <c r="H1849" s="260"/>
      <c r="I1849" s="309"/>
      <c r="J1849" s="199"/>
      <c r="K1849" s="269"/>
      <c r="L1849" s="93">
        <f t="shared" si="428"/>
        <v>2</v>
      </c>
      <c r="M1849" s="183">
        <v>2</v>
      </c>
      <c r="N1849" s="95">
        <f t="shared" si="423"/>
        <v>40</v>
      </c>
      <c r="O1849" s="95">
        <f t="shared" si="424"/>
        <v>40</v>
      </c>
      <c r="P1849" s="94">
        <f t="shared" si="425"/>
        <v>0</v>
      </c>
      <c r="Q1849" s="95">
        <f t="shared" si="426"/>
        <v>0</v>
      </c>
      <c r="R1849" s="96"/>
      <c r="S1849" s="97">
        <f t="shared" si="429"/>
        <v>2</v>
      </c>
      <c r="T1849" s="98">
        <f t="shared" si="427"/>
        <v>0</v>
      </c>
      <c r="U1849">
        <v>2</v>
      </c>
    </row>
    <row r="1850" spans="2:21" ht="20.100000000000001" customHeight="1">
      <c r="B1850" s="88">
        <v>23</v>
      </c>
      <c r="C1850" s="89" t="s">
        <v>3927</v>
      </c>
      <c r="D1850" s="90" t="s">
        <v>3970</v>
      </c>
      <c r="E1850" s="91" t="s">
        <v>3971</v>
      </c>
      <c r="F1850" s="315">
        <v>171</v>
      </c>
      <c r="G1850" s="260">
        <v>1</v>
      </c>
      <c r="H1850" s="260"/>
      <c r="I1850" s="309"/>
      <c r="J1850" s="199"/>
      <c r="K1850" s="269"/>
      <c r="L1850" s="93">
        <f t="shared" si="428"/>
        <v>1</v>
      </c>
      <c r="M1850" s="183">
        <v>1</v>
      </c>
      <c r="N1850" s="95">
        <f t="shared" si="423"/>
        <v>171</v>
      </c>
      <c r="O1850" s="95">
        <f t="shared" si="424"/>
        <v>171</v>
      </c>
      <c r="P1850" s="94">
        <f t="shared" si="425"/>
        <v>0</v>
      </c>
      <c r="Q1850" s="95">
        <f t="shared" si="426"/>
        <v>0</v>
      </c>
      <c r="R1850" s="96"/>
      <c r="S1850" s="97">
        <f t="shared" si="429"/>
        <v>1</v>
      </c>
      <c r="T1850" s="98">
        <f t="shared" si="427"/>
        <v>0</v>
      </c>
      <c r="U1850">
        <v>1</v>
      </c>
    </row>
    <row r="1851" spans="2:21" ht="20.100000000000001" customHeight="1">
      <c r="B1851" s="88">
        <v>23</v>
      </c>
      <c r="C1851" s="89" t="s">
        <v>3927</v>
      </c>
      <c r="D1851" s="90" t="s">
        <v>3972</v>
      </c>
      <c r="E1851" s="91" t="s">
        <v>3973</v>
      </c>
      <c r="F1851" s="315">
        <v>56</v>
      </c>
      <c r="G1851" s="260">
        <v>1</v>
      </c>
      <c r="H1851" s="260"/>
      <c r="I1851" s="309"/>
      <c r="J1851" s="199"/>
      <c r="K1851" s="269"/>
      <c r="L1851" s="93">
        <f t="shared" si="428"/>
        <v>1</v>
      </c>
      <c r="M1851" s="183">
        <v>1</v>
      </c>
      <c r="N1851" s="95">
        <f t="shared" si="423"/>
        <v>56</v>
      </c>
      <c r="O1851" s="95">
        <f t="shared" si="424"/>
        <v>56</v>
      </c>
      <c r="P1851" s="94">
        <f t="shared" si="425"/>
        <v>0</v>
      </c>
      <c r="Q1851" s="95">
        <f t="shared" si="426"/>
        <v>0</v>
      </c>
      <c r="R1851" s="96"/>
      <c r="S1851" s="97">
        <f t="shared" si="429"/>
        <v>0</v>
      </c>
      <c r="T1851" s="98">
        <f t="shared" si="427"/>
        <v>1</v>
      </c>
    </row>
    <row r="1852" spans="2:21" ht="20.100000000000001" customHeight="1">
      <c r="B1852" s="88">
        <v>23</v>
      </c>
      <c r="C1852" s="89" t="s">
        <v>3927</v>
      </c>
      <c r="D1852" s="90" t="s">
        <v>3974</v>
      </c>
      <c r="E1852" s="91" t="s">
        <v>3975</v>
      </c>
      <c r="F1852" s="315">
        <v>14</v>
      </c>
      <c r="G1852" s="260">
        <v>1</v>
      </c>
      <c r="H1852" s="260"/>
      <c r="I1852" s="309"/>
      <c r="J1852" s="199"/>
      <c r="K1852" s="269"/>
      <c r="L1852" s="93">
        <f t="shared" si="428"/>
        <v>1</v>
      </c>
      <c r="M1852" s="183">
        <v>1</v>
      </c>
      <c r="N1852" s="95">
        <f t="shared" si="423"/>
        <v>14</v>
      </c>
      <c r="O1852" s="95">
        <f t="shared" si="424"/>
        <v>14</v>
      </c>
      <c r="P1852" s="94">
        <f t="shared" si="425"/>
        <v>0</v>
      </c>
      <c r="Q1852" s="95">
        <f t="shared" si="426"/>
        <v>0</v>
      </c>
      <c r="R1852" s="96"/>
      <c r="S1852" s="97">
        <f t="shared" si="429"/>
        <v>1</v>
      </c>
      <c r="T1852" s="98">
        <f t="shared" si="427"/>
        <v>0</v>
      </c>
      <c r="U1852">
        <v>1</v>
      </c>
    </row>
    <row r="1853" spans="2:21" ht="20.100000000000001" customHeight="1">
      <c r="B1853" s="88">
        <v>23</v>
      </c>
      <c r="C1853" s="89" t="s">
        <v>3927</v>
      </c>
      <c r="D1853" s="90" t="s">
        <v>3976</v>
      </c>
      <c r="E1853" s="91" t="s">
        <v>3977</v>
      </c>
      <c r="F1853" s="315">
        <v>14</v>
      </c>
      <c r="G1853" s="260">
        <v>11</v>
      </c>
      <c r="H1853" s="260"/>
      <c r="I1853" s="309"/>
      <c r="J1853" s="199"/>
      <c r="K1853" s="269"/>
      <c r="L1853" s="93">
        <f t="shared" si="428"/>
        <v>11</v>
      </c>
      <c r="M1853" s="183">
        <v>11</v>
      </c>
      <c r="N1853" s="95">
        <f t="shared" si="423"/>
        <v>154</v>
      </c>
      <c r="O1853" s="95">
        <f t="shared" si="424"/>
        <v>154</v>
      </c>
      <c r="P1853" s="94">
        <f t="shared" si="425"/>
        <v>0</v>
      </c>
      <c r="Q1853" s="95">
        <f t="shared" si="426"/>
        <v>0</v>
      </c>
      <c r="R1853" s="96"/>
      <c r="S1853" s="97">
        <f t="shared" si="429"/>
        <v>11</v>
      </c>
      <c r="T1853" s="98">
        <f t="shared" si="427"/>
        <v>0</v>
      </c>
      <c r="U1853">
        <v>11</v>
      </c>
    </row>
    <row r="1854" spans="2:21" ht="20.100000000000001" customHeight="1">
      <c r="B1854" s="88">
        <v>23</v>
      </c>
      <c r="C1854" s="89" t="s">
        <v>3927</v>
      </c>
      <c r="D1854" s="90" t="s">
        <v>3978</v>
      </c>
      <c r="E1854" s="91" t="s">
        <v>3979</v>
      </c>
      <c r="F1854" s="315">
        <v>14</v>
      </c>
      <c r="G1854" s="260">
        <v>6</v>
      </c>
      <c r="H1854" s="260"/>
      <c r="I1854" s="309"/>
      <c r="J1854" s="199"/>
      <c r="K1854" s="269"/>
      <c r="L1854" s="93">
        <f t="shared" si="428"/>
        <v>6</v>
      </c>
      <c r="M1854" s="183">
        <v>6</v>
      </c>
      <c r="N1854" s="95">
        <f t="shared" si="423"/>
        <v>84</v>
      </c>
      <c r="O1854" s="95">
        <f t="shared" si="424"/>
        <v>84</v>
      </c>
      <c r="P1854" s="94">
        <f t="shared" si="425"/>
        <v>0</v>
      </c>
      <c r="Q1854" s="95">
        <f t="shared" si="426"/>
        <v>0</v>
      </c>
      <c r="R1854" s="96"/>
      <c r="S1854" s="97">
        <f t="shared" si="429"/>
        <v>6</v>
      </c>
      <c r="T1854" s="98">
        <f t="shared" si="427"/>
        <v>0</v>
      </c>
      <c r="U1854">
        <v>6</v>
      </c>
    </row>
    <row r="1855" spans="2:21" ht="20.100000000000001" customHeight="1">
      <c r="B1855" s="88">
        <v>23</v>
      </c>
      <c r="C1855" s="89" t="s">
        <v>3927</v>
      </c>
      <c r="D1855" s="90" t="s">
        <v>3980</v>
      </c>
      <c r="E1855" s="91" t="s">
        <v>3981</v>
      </c>
      <c r="F1855" s="315">
        <v>14</v>
      </c>
      <c r="G1855" s="260">
        <v>6</v>
      </c>
      <c r="H1855" s="260"/>
      <c r="I1855" s="309"/>
      <c r="J1855" s="199"/>
      <c r="K1855" s="269"/>
      <c r="L1855" s="93">
        <f t="shared" si="428"/>
        <v>6</v>
      </c>
      <c r="M1855" s="183">
        <v>6</v>
      </c>
      <c r="N1855" s="95">
        <f t="shared" si="423"/>
        <v>84</v>
      </c>
      <c r="O1855" s="95">
        <f t="shared" si="424"/>
        <v>84</v>
      </c>
      <c r="P1855" s="94">
        <f t="shared" si="425"/>
        <v>0</v>
      </c>
      <c r="Q1855" s="95">
        <f t="shared" si="426"/>
        <v>0</v>
      </c>
      <c r="R1855" s="96"/>
      <c r="S1855" s="97">
        <f t="shared" si="429"/>
        <v>6</v>
      </c>
      <c r="T1855" s="98">
        <f t="shared" si="427"/>
        <v>0</v>
      </c>
      <c r="U1855">
        <v>6</v>
      </c>
    </row>
    <row r="1856" spans="2:21" ht="20.100000000000001" customHeight="1">
      <c r="B1856" s="88">
        <v>23</v>
      </c>
      <c r="C1856" s="89" t="s">
        <v>3927</v>
      </c>
      <c r="D1856" s="90" t="s">
        <v>3982</v>
      </c>
      <c r="E1856" s="91" t="s">
        <v>3983</v>
      </c>
      <c r="F1856" s="315">
        <v>30</v>
      </c>
      <c r="G1856" s="260">
        <v>4</v>
      </c>
      <c r="H1856" s="260"/>
      <c r="I1856" s="309"/>
      <c r="J1856" s="199"/>
      <c r="K1856" s="269"/>
      <c r="L1856" s="93">
        <f t="shared" si="428"/>
        <v>4</v>
      </c>
      <c r="M1856" s="183">
        <v>4</v>
      </c>
      <c r="N1856" s="95">
        <f t="shared" si="423"/>
        <v>120</v>
      </c>
      <c r="O1856" s="95">
        <f t="shared" si="424"/>
        <v>120</v>
      </c>
      <c r="P1856" s="94">
        <f t="shared" si="425"/>
        <v>0</v>
      </c>
      <c r="Q1856" s="95">
        <f t="shared" si="426"/>
        <v>0</v>
      </c>
      <c r="R1856" s="96"/>
      <c r="S1856" s="97">
        <f t="shared" si="429"/>
        <v>7</v>
      </c>
      <c r="T1856" s="98">
        <f t="shared" si="427"/>
        <v>-3</v>
      </c>
      <c r="U1856">
        <v>7</v>
      </c>
    </row>
    <row r="1857" spans="1:27" ht="20.100000000000001" customHeight="1">
      <c r="A1857" s="82" t="s">
        <v>3984</v>
      </c>
      <c r="B1857" s="108">
        <v>23</v>
      </c>
      <c r="C1857" s="109" t="s">
        <v>3927</v>
      </c>
      <c r="D1857" s="110" t="s">
        <v>3985</v>
      </c>
      <c r="E1857" s="111" t="s">
        <v>3986</v>
      </c>
      <c r="F1857" s="317">
        <v>3</v>
      </c>
      <c r="G1857" s="260">
        <v>9</v>
      </c>
      <c r="H1857" s="260"/>
      <c r="I1857" s="309"/>
      <c r="J1857" s="199"/>
      <c r="K1857" s="269"/>
      <c r="L1857" s="93">
        <f t="shared" si="428"/>
        <v>9</v>
      </c>
      <c r="M1857" s="183">
        <v>9</v>
      </c>
      <c r="N1857" s="95">
        <f t="shared" si="423"/>
        <v>27</v>
      </c>
      <c r="O1857" s="95">
        <f t="shared" si="424"/>
        <v>27</v>
      </c>
      <c r="P1857" s="94">
        <f t="shared" si="425"/>
        <v>0</v>
      </c>
      <c r="Q1857" s="95">
        <f t="shared" si="426"/>
        <v>0</v>
      </c>
      <c r="R1857" s="96"/>
      <c r="S1857" s="97">
        <f t="shared" si="429"/>
        <v>9</v>
      </c>
      <c r="T1857" s="98">
        <f t="shared" si="427"/>
        <v>0</v>
      </c>
      <c r="U1857">
        <v>9</v>
      </c>
    </row>
    <row r="1858" spans="1:27" ht="20.100000000000001" customHeight="1">
      <c r="B1858" s="88"/>
      <c r="C1858" s="89" t="s">
        <v>3987</v>
      </c>
      <c r="D1858" s="106" t="s">
        <v>3988</v>
      </c>
      <c r="E1858" s="91" t="s">
        <v>3989</v>
      </c>
      <c r="F1858" s="315">
        <v>81.5</v>
      </c>
      <c r="G1858" s="260">
        <v>3</v>
      </c>
      <c r="H1858" s="260"/>
      <c r="I1858" s="309">
        <v>3</v>
      </c>
      <c r="J1858" s="199">
        <v>1</v>
      </c>
      <c r="K1858" s="269"/>
      <c r="L1858" s="93">
        <f t="shared" si="428"/>
        <v>5</v>
      </c>
      <c r="M1858" s="183">
        <v>5</v>
      </c>
      <c r="N1858" s="95">
        <f t="shared" si="423"/>
        <v>407.5</v>
      </c>
      <c r="O1858" s="95">
        <f t="shared" si="424"/>
        <v>407.5</v>
      </c>
      <c r="P1858" s="94">
        <f t="shared" si="425"/>
        <v>0</v>
      </c>
      <c r="Q1858" s="95">
        <f t="shared" si="426"/>
        <v>0</v>
      </c>
      <c r="R1858" s="96"/>
      <c r="S1858" s="97">
        <f t="shared" si="429"/>
        <v>3</v>
      </c>
      <c r="T1858" s="98">
        <f t="shared" si="427"/>
        <v>2</v>
      </c>
      <c r="U1858">
        <v>3</v>
      </c>
    </row>
    <row r="1859" spans="1:27" ht="20.100000000000001" customHeight="1">
      <c r="B1859" s="88"/>
      <c r="C1859" s="89" t="s">
        <v>3987</v>
      </c>
      <c r="D1859" s="106" t="s">
        <v>3990</v>
      </c>
      <c r="E1859" s="91" t="s">
        <v>3991</v>
      </c>
      <c r="F1859" s="315">
        <v>6.27</v>
      </c>
      <c r="G1859" s="260">
        <v>2</v>
      </c>
      <c r="H1859" s="260"/>
      <c r="I1859" s="309"/>
      <c r="J1859" s="199"/>
      <c r="K1859" s="269"/>
      <c r="L1859" s="93">
        <f t="shared" si="428"/>
        <v>2</v>
      </c>
      <c r="M1859" s="183">
        <v>2</v>
      </c>
      <c r="N1859" s="95">
        <f t="shared" si="423"/>
        <v>12.54</v>
      </c>
      <c r="O1859" s="95">
        <f t="shared" si="424"/>
        <v>12.54</v>
      </c>
      <c r="P1859" s="94">
        <f t="shared" si="425"/>
        <v>0</v>
      </c>
      <c r="Q1859" s="95">
        <f t="shared" si="426"/>
        <v>0</v>
      </c>
      <c r="R1859" s="96"/>
      <c r="S1859" s="97">
        <f t="shared" si="429"/>
        <v>2</v>
      </c>
      <c r="T1859" s="98">
        <f t="shared" si="427"/>
        <v>0</v>
      </c>
      <c r="U1859">
        <v>2</v>
      </c>
    </row>
    <row r="1860" spans="1:27" ht="20.100000000000001" customHeight="1">
      <c r="B1860" s="88"/>
      <c r="C1860" s="89" t="s">
        <v>3987</v>
      </c>
      <c r="D1860" s="106" t="s">
        <v>3992</v>
      </c>
      <c r="E1860" s="91" t="s">
        <v>3993</v>
      </c>
      <c r="F1860" s="315">
        <v>58.45</v>
      </c>
      <c r="G1860" s="260">
        <v>10</v>
      </c>
      <c r="H1860" s="260"/>
      <c r="I1860" s="309"/>
      <c r="J1860" s="199"/>
      <c r="K1860" s="269">
        <v>2</v>
      </c>
      <c r="L1860" s="93">
        <f t="shared" si="428"/>
        <v>8</v>
      </c>
      <c r="M1860" s="183">
        <v>8</v>
      </c>
      <c r="N1860" s="95">
        <f t="shared" si="423"/>
        <v>467.6</v>
      </c>
      <c r="O1860" s="95">
        <f t="shared" si="424"/>
        <v>467.6</v>
      </c>
      <c r="P1860" s="94">
        <f t="shared" si="425"/>
        <v>0</v>
      </c>
      <c r="Q1860" s="95">
        <f t="shared" si="426"/>
        <v>0</v>
      </c>
      <c r="R1860" s="96"/>
      <c r="S1860" s="97">
        <f t="shared" si="429"/>
        <v>1</v>
      </c>
      <c r="T1860" s="98">
        <f t="shared" si="427"/>
        <v>7</v>
      </c>
      <c r="U1860">
        <v>1</v>
      </c>
    </row>
    <row r="1861" spans="1:27" ht="20.100000000000001" customHeight="1">
      <c r="B1861" s="88"/>
      <c r="C1861" s="89" t="s">
        <v>3987</v>
      </c>
      <c r="D1861" s="106" t="s">
        <v>3994</v>
      </c>
      <c r="E1861" s="91" t="s">
        <v>3995</v>
      </c>
      <c r="F1861" s="315">
        <v>10</v>
      </c>
      <c r="G1861" s="260">
        <v>2</v>
      </c>
      <c r="H1861" s="260"/>
      <c r="I1861" s="309"/>
      <c r="J1861" s="199"/>
      <c r="K1861" s="269"/>
      <c r="L1861" s="93">
        <f t="shared" si="428"/>
        <v>2</v>
      </c>
      <c r="M1861" s="183"/>
      <c r="N1861" s="95">
        <f t="shared" si="423"/>
        <v>20</v>
      </c>
      <c r="O1861" s="95">
        <f t="shared" si="424"/>
        <v>0</v>
      </c>
      <c r="P1861" s="94">
        <f t="shared" si="425"/>
        <v>2</v>
      </c>
      <c r="Q1861" s="95">
        <f t="shared" si="426"/>
        <v>20</v>
      </c>
      <c r="R1861" s="96"/>
      <c r="S1861" s="97">
        <f t="shared" si="429"/>
        <v>2</v>
      </c>
      <c r="T1861" s="98">
        <f t="shared" si="427"/>
        <v>-2</v>
      </c>
      <c r="U1861">
        <v>1</v>
      </c>
      <c r="AA1861">
        <v>1</v>
      </c>
    </row>
    <row r="1862" spans="1:27" ht="20.100000000000001" customHeight="1">
      <c r="B1862" s="88"/>
      <c r="C1862" s="89" t="s">
        <v>3987</v>
      </c>
      <c r="D1862" s="90">
        <v>150043</v>
      </c>
      <c r="E1862" s="91" t="s">
        <v>3996</v>
      </c>
      <c r="F1862" s="315">
        <v>29</v>
      </c>
      <c r="G1862" s="260">
        <v>4</v>
      </c>
      <c r="H1862" s="260"/>
      <c r="I1862" s="309"/>
      <c r="J1862" s="199"/>
      <c r="K1862" s="269"/>
      <c r="L1862" s="93">
        <f t="shared" si="428"/>
        <v>4</v>
      </c>
      <c r="M1862" s="183">
        <v>4</v>
      </c>
      <c r="N1862" s="95">
        <f t="shared" si="423"/>
        <v>116</v>
      </c>
      <c r="O1862" s="95">
        <f t="shared" si="424"/>
        <v>116</v>
      </c>
      <c r="P1862" s="94">
        <f t="shared" si="425"/>
        <v>0</v>
      </c>
      <c r="Q1862" s="95">
        <f t="shared" si="426"/>
        <v>0</v>
      </c>
      <c r="R1862" s="96"/>
      <c r="S1862" s="97">
        <f t="shared" si="429"/>
        <v>4</v>
      </c>
      <c r="T1862" s="98">
        <f t="shared" si="427"/>
        <v>0</v>
      </c>
      <c r="U1862">
        <v>4</v>
      </c>
    </row>
    <row r="1863" spans="1:27" ht="20.100000000000001" customHeight="1">
      <c r="B1863" s="88"/>
      <c r="C1863" s="89" t="s">
        <v>3987</v>
      </c>
      <c r="D1863" s="106" t="s">
        <v>3997</v>
      </c>
      <c r="E1863" s="91" t="s">
        <v>3998</v>
      </c>
      <c r="F1863" s="315">
        <v>7.64</v>
      </c>
      <c r="G1863" s="260">
        <v>119</v>
      </c>
      <c r="H1863" s="260"/>
      <c r="I1863" s="309"/>
      <c r="J1863" s="199"/>
      <c r="K1863" s="269"/>
      <c r="L1863" s="93">
        <f t="shared" si="428"/>
        <v>119</v>
      </c>
      <c r="M1863" s="183">
        <v>119</v>
      </c>
      <c r="N1863" s="95">
        <f t="shared" si="423"/>
        <v>909.16</v>
      </c>
      <c r="O1863" s="95">
        <f t="shared" si="424"/>
        <v>909.16</v>
      </c>
      <c r="P1863" s="94">
        <f t="shared" si="425"/>
        <v>0</v>
      </c>
      <c r="Q1863" s="95">
        <f t="shared" si="426"/>
        <v>0</v>
      </c>
      <c r="R1863" s="96"/>
      <c r="S1863" s="97">
        <f t="shared" si="429"/>
        <v>119</v>
      </c>
      <c r="T1863" s="98">
        <f t="shared" si="427"/>
        <v>0</v>
      </c>
      <c r="U1863">
        <v>119</v>
      </c>
    </row>
    <row r="1864" spans="1:27" ht="20.100000000000001" customHeight="1">
      <c r="B1864" s="88"/>
      <c r="C1864" s="89" t="s">
        <v>3987</v>
      </c>
      <c r="D1864" s="106" t="s">
        <v>3999</v>
      </c>
      <c r="E1864" s="91" t="s">
        <v>4000</v>
      </c>
      <c r="F1864" s="315">
        <v>125</v>
      </c>
      <c r="G1864" s="260">
        <v>1</v>
      </c>
      <c r="H1864" s="260"/>
      <c r="I1864" s="309"/>
      <c r="J1864" s="199"/>
      <c r="K1864" s="269"/>
      <c r="L1864" s="93">
        <f t="shared" si="428"/>
        <v>1</v>
      </c>
      <c r="M1864" s="183">
        <v>1</v>
      </c>
      <c r="N1864" s="95">
        <f t="shared" si="423"/>
        <v>125</v>
      </c>
      <c r="O1864" s="95">
        <f t="shared" si="424"/>
        <v>125</v>
      </c>
      <c r="P1864" s="94">
        <f t="shared" si="425"/>
        <v>0</v>
      </c>
      <c r="Q1864" s="95">
        <f t="shared" si="426"/>
        <v>0</v>
      </c>
      <c r="R1864" s="96"/>
      <c r="S1864" s="97">
        <f t="shared" si="429"/>
        <v>1</v>
      </c>
      <c r="T1864" s="98">
        <f t="shared" si="427"/>
        <v>0</v>
      </c>
      <c r="U1864">
        <v>1</v>
      </c>
    </row>
    <row r="1865" spans="1:27" ht="20.100000000000001" customHeight="1">
      <c r="B1865" s="112"/>
      <c r="C1865" s="113" t="s">
        <v>3987</v>
      </c>
      <c r="D1865" s="114" t="s">
        <v>4943</v>
      </c>
      <c r="E1865" s="115" t="s">
        <v>4001</v>
      </c>
      <c r="F1865" s="315">
        <v>20.56</v>
      </c>
      <c r="G1865" s="260">
        <v>2</v>
      </c>
      <c r="H1865" s="260"/>
      <c r="I1865" s="309">
        <v>1</v>
      </c>
      <c r="J1865" s="199"/>
      <c r="K1865" s="269">
        <v>1</v>
      </c>
      <c r="L1865" s="93">
        <f t="shared" si="428"/>
        <v>2</v>
      </c>
      <c r="M1865" s="183">
        <v>2</v>
      </c>
      <c r="N1865" s="95">
        <f t="shared" si="423"/>
        <v>41.12</v>
      </c>
      <c r="O1865" s="95">
        <f t="shared" si="424"/>
        <v>41.12</v>
      </c>
      <c r="P1865" s="94">
        <f t="shared" si="425"/>
        <v>0</v>
      </c>
      <c r="Q1865" s="95">
        <f t="shared" si="426"/>
        <v>0</v>
      </c>
      <c r="R1865" s="96"/>
      <c r="S1865" s="97">
        <f t="shared" si="429"/>
        <v>3</v>
      </c>
      <c r="T1865" s="98">
        <f t="shared" si="427"/>
        <v>-1</v>
      </c>
      <c r="U1865">
        <v>3</v>
      </c>
    </row>
    <row r="1866" spans="1:27" ht="20.100000000000001" customHeight="1">
      <c r="B1866" s="112"/>
      <c r="C1866" s="113" t="s">
        <v>3987</v>
      </c>
      <c r="D1866" s="114">
        <v>7359</v>
      </c>
      <c r="E1866" s="115" t="s">
        <v>5178</v>
      </c>
      <c r="F1866" s="315">
        <v>20.56</v>
      </c>
      <c r="G1866" s="260">
        <v>17</v>
      </c>
      <c r="H1866" s="260"/>
      <c r="I1866" s="309"/>
      <c r="J1866" s="199"/>
      <c r="K1866" s="269"/>
      <c r="L1866" s="93">
        <f t="shared" si="428"/>
        <v>17</v>
      </c>
      <c r="M1866" s="183">
        <v>16</v>
      </c>
      <c r="N1866" s="95">
        <f t="shared" si="423"/>
        <v>349.52</v>
      </c>
      <c r="O1866" s="95">
        <f t="shared" si="424"/>
        <v>328.96</v>
      </c>
      <c r="P1866" s="94">
        <f t="shared" si="425"/>
        <v>1</v>
      </c>
      <c r="Q1866" s="95">
        <f t="shared" si="426"/>
        <v>20.560000000000002</v>
      </c>
      <c r="R1866" s="96"/>
      <c r="S1866" s="97">
        <f t="shared" si="429"/>
        <v>17</v>
      </c>
      <c r="T1866" s="98">
        <f t="shared" si="427"/>
        <v>-1</v>
      </c>
      <c r="U1866">
        <v>17</v>
      </c>
    </row>
    <row r="1867" spans="1:27" ht="20.100000000000001" customHeight="1">
      <c r="B1867" s="112"/>
      <c r="C1867" s="113" t="s">
        <v>3987</v>
      </c>
      <c r="D1867" s="116" t="s">
        <v>4945</v>
      </c>
      <c r="E1867" s="115" t="s">
        <v>4946</v>
      </c>
      <c r="F1867" s="315">
        <v>64.98</v>
      </c>
      <c r="G1867" s="260"/>
      <c r="H1867" s="260"/>
      <c r="I1867" s="309">
        <v>1</v>
      </c>
      <c r="J1867" s="199"/>
      <c r="K1867" s="269">
        <v>1</v>
      </c>
      <c r="L1867" s="93">
        <f t="shared" si="428"/>
        <v>0</v>
      </c>
      <c r="M1867" s="183"/>
      <c r="N1867" s="95">
        <f t="shared" si="423"/>
        <v>0</v>
      </c>
      <c r="O1867" s="95">
        <f t="shared" si="424"/>
        <v>0</v>
      </c>
      <c r="P1867" s="94">
        <f t="shared" si="425"/>
        <v>0</v>
      </c>
      <c r="Q1867" s="95">
        <f t="shared" si="426"/>
        <v>0</v>
      </c>
      <c r="R1867" s="278" t="s">
        <v>5218</v>
      </c>
      <c r="S1867" s="97">
        <f t="shared" si="429"/>
        <v>26</v>
      </c>
      <c r="T1867" s="98">
        <f t="shared" si="427"/>
        <v>-26</v>
      </c>
      <c r="U1867">
        <v>26</v>
      </c>
    </row>
    <row r="1868" spans="1:27" ht="20.100000000000001" customHeight="1">
      <c r="B1868" s="182"/>
      <c r="C1868" s="198" t="s">
        <v>3987</v>
      </c>
      <c r="D1868" s="280" t="s">
        <v>4002</v>
      </c>
      <c r="E1868" s="194" t="s">
        <v>4003</v>
      </c>
      <c r="F1868" s="315">
        <v>41.5</v>
      </c>
      <c r="G1868" s="260"/>
      <c r="H1868" s="260"/>
      <c r="I1868" s="309">
        <v>1</v>
      </c>
      <c r="J1868" s="199"/>
      <c r="K1868" s="269">
        <v>1</v>
      </c>
      <c r="L1868" s="93">
        <f t="shared" si="428"/>
        <v>0</v>
      </c>
      <c r="M1868" s="183"/>
      <c r="N1868" s="95">
        <f t="shared" si="423"/>
        <v>0</v>
      </c>
      <c r="O1868" s="95">
        <f t="shared" si="424"/>
        <v>0</v>
      </c>
      <c r="P1868" s="94">
        <f t="shared" si="425"/>
        <v>0</v>
      </c>
      <c r="Q1868" s="95">
        <f t="shared" si="426"/>
        <v>0</v>
      </c>
      <c r="R1868" s="96"/>
      <c r="S1868" s="97">
        <f t="shared" si="429"/>
        <v>1</v>
      </c>
      <c r="T1868" s="98">
        <f t="shared" si="427"/>
        <v>-1</v>
      </c>
      <c r="U1868">
        <v>1</v>
      </c>
    </row>
    <row r="1869" spans="1:27" ht="20.100000000000001" customHeight="1">
      <c r="B1869" s="112"/>
      <c r="C1869" s="113" t="s">
        <v>3987</v>
      </c>
      <c r="D1869" s="114">
        <v>80088240040</v>
      </c>
      <c r="E1869" s="115" t="s">
        <v>5226</v>
      </c>
      <c r="F1869" s="315">
        <v>0</v>
      </c>
      <c r="G1869" s="260">
        <v>5</v>
      </c>
      <c r="H1869" s="260"/>
      <c r="I1869" s="309"/>
      <c r="J1869" s="199"/>
      <c r="K1869" s="269"/>
      <c r="L1869" s="93">
        <f t="shared" si="428"/>
        <v>5</v>
      </c>
      <c r="M1869" s="183">
        <v>3</v>
      </c>
      <c r="N1869" s="95">
        <f t="shared" si="423"/>
        <v>0</v>
      </c>
      <c r="O1869" s="95">
        <f t="shared" si="424"/>
        <v>0</v>
      </c>
      <c r="P1869" s="94">
        <f t="shared" si="425"/>
        <v>2</v>
      </c>
      <c r="Q1869" s="95">
        <f t="shared" si="426"/>
        <v>0</v>
      </c>
      <c r="R1869" s="96"/>
      <c r="S1869" s="97">
        <f t="shared" si="429"/>
        <v>5</v>
      </c>
      <c r="T1869" s="98">
        <f t="shared" si="427"/>
        <v>-2</v>
      </c>
      <c r="U1869">
        <v>5</v>
      </c>
    </row>
    <row r="1870" spans="1:27" ht="20.100000000000001" customHeight="1">
      <c r="B1870" s="88"/>
      <c r="C1870" s="89" t="s">
        <v>3987</v>
      </c>
      <c r="D1870" s="90"/>
      <c r="E1870" s="91" t="s">
        <v>4004</v>
      </c>
      <c r="F1870" s="315"/>
      <c r="G1870" s="260">
        <v>5</v>
      </c>
      <c r="H1870" s="260"/>
      <c r="I1870" s="309"/>
      <c r="J1870" s="199"/>
      <c r="K1870" s="269"/>
      <c r="L1870" s="93">
        <f t="shared" si="428"/>
        <v>5</v>
      </c>
      <c r="M1870" s="183">
        <v>5</v>
      </c>
      <c r="N1870" s="95">
        <f t="shared" si="423"/>
        <v>0</v>
      </c>
      <c r="O1870" s="95">
        <f t="shared" si="424"/>
        <v>0</v>
      </c>
      <c r="P1870" s="94">
        <f t="shared" si="425"/>
        <v>0</v>
      </c>
      <c r="Q1870" s="95">
        <f t="shared" si="426"/>
        <v>0</v>
      </c>
      <c r="R1870" s="96"/>
      <c r="S1870" s="97">
        <f t="shared" si="429"/>
        <v>5</v>
      </c>
      <c r="T1870" s="98">
        <f t="shared" si="427"/>
        <v>0</v>
      </c>
      <c r="U1870">
        <v>5</v>
      </c>
    </row>
    <row r="1871" spans="1:27" ht="20.100000000000001" customHeight="1">
      <c r="B1871" s="117"/>
      <c r="C1871" s="118" t="s">
        <v>3987</v>
      </c>
      <c r="D1871" s="119" t="s">
        <v>4005</v>
      </c>
      <c r="E1871" s="120" t="s">
        <v>5180</v>
      </c>
      <c r="F1871" s="318">
        <v>5.64</v>
      </c>
      <c r="G1871" s="260"/>
      <c r="H1871" s="260"/>
      <c r="I1871" s="309"/>
      <c r="J1871" s="199"/>
      <c r="K1871" s="269"/>
      <c r="L1871" s="93">
        <f t="shared" si="428"/>
        <v>0</v>
      </c>
      <c r="M1871" s="183"/>
      <c r="N1871" s="95">
        <f t="shared" si="423"/>
        <v>0</v>
      </c>
      <c r="O1871" s="95">
        <f t="shared" si="424"/>
        <v>0</v>
      </c>
      <c r="P1871" s="94">
        <f t="shared" si="425"/>
        <v>0</v>
      </c>
      <c r="Q1871" s="95">
        <f t="shared" si="426"/>
        <v>0</v>
      </c>
      <c r="R1871" s="122"/>
      <c r="S1871" s="97">
        <f t="shared" si="429"/>
        <v>3</v>
      </c>
      <c r="T1871" s="98">
        <f t="shared" si="427"/>
        <v>-3</v>
      </c>
      <c r="U1871">
        <v>3</v>
      </c>
    </row>
    <row r="1872" spans="1:27" ht="20.100000000000001" customHeight="1">
      <c r="B1872" s="117"/>
      <c r="C1872" s="118" t="s">
        <v>3987</v>
      </c>
      <c r="D1872" s="119" t="s">
        <v>4006</v>
      </c>
      <c r="E1872" s="120" t="s">
        <v>4007</v>
      </c>
      <c r="F1872" s="318">
        <v>209.3</v>
      </c>
      <c r="G1872" s="260">
        <v>11</v>
      </c>
      <c r="H1872" s="260"/>
      <c r="I1872" s="309"/>
      <c r="J1872" s="199"/>
      <c r="K1872" s="269"/>
      <c r="L1872" s="93">
        <f t="shared" si="428"/>
        <v>11</v>
      </c>
      <c r="M1872" s="183">
        <v>11</v>
      </c>
      <c r="N1872" s="95">
        <f t="shared" si="423"/>
        <v>2302.3000000000002</v>
      </c>
      <c r="O1872" s="95">
        <f t="shared" si="424"/>
        <v>2302.3000000000002</v>
      </c>
      <c r="P1872" s="94">
        <f t="shared" si="425"/>
        <v>0</v>
      </c>
      <c r="Q1872" s="95">
        <f t="shared" si="426"/>
        <v>0</v>
      </c>
      <c r="R1872" s="122"/>
      <c r="S1872" s="97">
        <f t="shared" si="429"/>
        <v>11</v>
      </c>
      <c r="T1872" s="98">
        <f t="shared" si="427"/>
        <v>0</v>
      </c>
      <c r="U1872">
        <v>11</v>
      </c>
    </row>
    <row r="1873" spans="2:31" ht="20.100000000000001" customHeight="1">
      <c r="B1873" s="117"/>
      <c r="C1873" s="118" t="s">
        <v>3987</v>
      </c>
      <c r="D1873" s="119" t="s">
        <v>4008</v>
      </c>
      <c r="E1873" s="120" t="s">
        <v>4009</v>
      </c>
      <c r="F1873" s="318">
        <v>0</v>
      </c>
      <c r="G1873" s="260">
        <v>2</v>
      </c>
      <c r="H1873" s="260"/>
      <c r="I1873" s="309"/>
      <c r="J1873" s="199"/>
      <c r="K1873" s="269"/>
      <c r="L1873" s="93">
        <f>G1873+I1873-J1873-K1873+H1873</f>
        <v>2</v>
      </c>
      <c r="M1873" s="183">
        <v>2</v>
      </c>
      <c r="N1873" s="95">
        <f t="shared" si="423"/>
        <v>0</v>
      </c>
      <c r="O1873" s="95">
        <f t="shared" si="424"/>
        <v>0</v>
      </c>
      <c r="P1873" s="94">
        <f t="shared" si="425"/>
        <v>0</v>
      </c>
      <c r="Q1873" s="95">
        <f t="shared" si="426"/>
        <v>0</v>
      </c>
      <c r="R1873" s="122"/>
      <c r="S1873" s="97">
        <f t="shared" si="429"/>
        <v>2</v>
      </c>
      <c r="T1873" s="98">
        <f t="shared" si="427"/>
        <v>0</v>
      </c>
      <c r="U1873">
        <v>2</v>
      </c>
    </row>
    <row r="1874" spans="2:31" ht="20.100000000000001" customHeight="1">
      <c r="B1874" s="117"/>
      <c r="C1874" s="118" t="s">
        <v>3987</v>
      </c>
      <c r="D1874" s="123" t="s">
        <v>2940</v>
      </c>
      <c r="E1874" s="124" t="s">
        <v>4010</v>
      </c>
      <c r="F1874" s="319">
        <v>9.4700000000000006</v>
      </c>
      <c r="G1874" s="260">
        <v>3</v>
      </c>
      <c r="H1874" s="260"/>
      <c r="I1874" s="309"/>
      <c r="J1874" s="199"/>
      <c r="K1874" s="269"/>
      <c r="L1874" s="93">
        <f t="shared" si="428"/>
        <v>3</v>
      </c>
      <c r="M1874" s="183">
        <v>3</v>
      </c>
      <c r="N1874" s="95">
        <f t="shared" si="423"/>
        <v>28.410000000000004</v>
      </c>
      <c r="O1874" s="95">
        <f t="shared" si="424"/>
        <v>28.410000000000004</v>
      </c>
      <c r="P1874" s="94">
        <f t="shared" si="425"/>
        <v>0</v>
      </c>
      <c r="Q1874" s="95">
        <f t="shared" si="426"/>
        <v>0</v>
      </c>
      <c r="R1874" s="122"/>
      <c r="S1874" s="97">
        <f t="shared" si="429"/>
        <v>3</v>
      </c>
      <c r="T1874" s="98">
        <f t="shared" si="427"/>
        <v>0</v>
      </c>
      <c r="U1874">
        <v>3</v>
      </c>
    </row>
    <row r="1875" spans="2:31" ht="20.100000000000001" customHeight="1">
      <c r="B1875" s="117"/>
      <c r="C1875" s="118" t="s">
        <v>3987</v>
      </c>
      <c r="D1875" s="191"/>
      <c r="E1875" s="192" t="s">
        <v>4011</v>
      </c>
      <c r="F1875" s="319">
        <v>8.8000000000000007</v>
      </c>
      <c r="G1875" s="261"/>
      <c r="H1875" s="261"/>
      <c r="I1875" s="311"/>
      <c r="J1875" s="271"/>
      <c r="K1875" s="270"/>
      <c r="L1875" s="93">
        <f t="shared" si="428"/>
        <v>0</v>
      </c>
      <c r="M1875" s="183"/>
      <c r="N1875" s="95">
        <f t="shared" si="423"/>
        <v>0</v>
      </c>
      <c r="O1875" s="95">
        <f t="shared" si="424"/>
        <v>0</v>
      </c>
      <c r="P1875" s="94">
        <f t="shared" si="425"/>
        <v>0</v>
      </c>
      <c r="Q1875" s="95">
        <f t="shared" si="426"/>
        <v>0</v>
      </c>
      <c r="R1875" s="122"/>
      <c r="S1875" s="97">
        <f t="shared" si="429"/>
        <v>26</v>
      </c>
      <c r="T1875" s="98">
        <f t="shared" si="427"/>
        <v>-26</v>
      </c>
      <c r="U1875">
        <f>6+20</f>
        <v>26</v>
      </c>
    </row>
    <row r="1876" spans="2:31" ht="20.100000000000001" customHeight="1">
      <c r="B1876" s="117"/>
      <c r="C1876" s="118" t="s">
        <v>3987</v>
      </c>
      <c r="D1876" s="123">
        <v>665985</v>
      </c>
      <c r="E1876" s="124" t="s">
        <v>4012</v>
      </c>
      <c r="F1876" s="319">
        <v>0</v>
      </c>
      <c r="G1876" s="261">
        <v>13</v>
      </c>
      <c r="H1876" s="261"/>
      <c r="I1876" s="311"/>
      <c r="J1876" s="271"/>
      <c r="K1876" s="270"/>
      <c r="L1876" s="93">
        <f t="shared" si="428"/>
        <v>13</v>
      </c>
      <c r="M1876" s="183">
        <v>13</v>
      </c>
      <c r="N1876" s="95">
        <f t="shared" si="423"/>
        <v>0</v>
      </c>
      <c r="O1876" s="95">
        <f t="shared" si="424"/>
        <v>0</v>
      </c>
      <c r="P1876" s="94">
        <f t="shared" si="425"/>
        <v>0</v>
      </c>
      <c r="Q1876" s="95">
        <f t="shared" si="426"/>
        <v>0</v>
      </c>
      <c r="R1876" s="122"/>
      <c r="S1876" s="97">
        <f t="shared" si="429"/>
        <v>13</v>
      </c>
      <c r="T1876" s="98">
        <f t="shared" si="427"/>
        <v>0</v>
      </c>
      <c r="U1876">
        <f>11+2</f>
        <v>13</v>
      </c>
    </row>
    <row r="1877" spans="2:31" ht="20.100000000000001" customHeight="1">
      <c r="B1877" s="117"/>
      <c r="C1877" s="118" t="s">
        <v>3987</v>
      </c>
      <c r="D1877" s="123">
        <v>158925</v>
      </c>
      <c r="E1877" s="124" t="s">
        <v>4013</v>
      </c>
      <c r="F1877" s="319">
        <v>64.97</v>
      </c>
      <c r="G1877" s="261">
        <v>1</v>
      </c>
      <c r="H1877" s="261"/>
      <c r="I1877" s="311"/>
      <c r="J1877" s="271"/>
      <c r="K1877" s="270"/>
      <c r="L1877" s="93">
        <f t="shared" si="428"/>
        <v>1</v>
      </c>
      <c r="M1877" s="183">
        <v>1</v>
      </c>
      <c r="N1877" s="95">
        <f t="shared" si="423"/>
        <v>64.97</v>
      </c>
      <c r="O1877" s="95">
        <f t="shared" si="424"/>
        <v>64.97</v>
      </c>
      <c r="P1877" s="94">
        <f t="shared" si="425"/>
        <v>0</v>
      </c>
      <c r="Q1877" s="95">
        <f t="shared" si="426"/>
        <v>0</v>
      </c>
      <c r="R1877" s="122"/>
      <c r="S1877" s="97">
        <f t="shared" si="429"/>
        <v>2</v>
      </c>
      <c r="T1877" s="98">
        <f t="shared" si="427"/>
        <v>-1</v>
      </c>
      <c r="U1877">
        <v>2</v>
      </c>
    </row>
    <row r="1878" spans="2:31" ht="20.100000000000001" customHeight="1">
      <c r="B1878" s="117"/>
      <c r="C1878" s="118" t="s">
        <v>3987</v>
      </c>
      <c r="D1878" s="123" t="s">
        <v>4014</v>
      </c>
      <c r="E1878" s="124" t="s">
        <v>4015</v>
      </c>
      <c r="F1878" s="319">
        <v>49</v>
      </c>
      <c r="G1878" s="261">
        <v>1</v>
      </c>
      <c r="H1878" s="261"/>
      <c r="I1878" s="311"/>
      <c r="J1878" s="271"/>
      <c r="K1878" s="270"/>
      <c r="L1878" s="93">
        <f t="shared" si="428"/>
        <v>1</v>
      </c>
      <c r="M1878" s="183">
        <v>1</v>
      </c>
      <c r="N1878" s="95">
        <f t="shared" si="423"/>
        <v>49</v>
      </c>
      <c r="O1878" s="95">
        <f t="shared" si="424"/>
        <v>49</v>
      </c>
      <c r="P1878" s="94">
        <f t="shared" si="425"/>
        <v>0</v>
      </c>
      <c r="Q1878" s="95">
        <f t="shared" si="426"/>
        <v>0</v>
      </c>
      <c r="R1878" s="122"/>
      <c r="S1878" s="97">
        <f t="shared" si="429"/>
        <v>1</v>
      </c>
      <c r="T1878" s="98">
        <f t="shared" si="427"/>
        <v>0</v>
      </c>
      <c r="U1878">
        <v>1</v>
      </c>
    </row>
    <row r="1879" spans="2:31" ht="20.100000000000001" customHeight="1">
      <c r="B1879" s="117"/>
      <c r="C1879" s="118" t="s">
        <v>3987</v>
      </c>
      <c r="D1879" s="123"/>
      <c r="E1879" s="124" t="s">
        <v>4016</v>
      </c>
      <c r="F1879" s="319">
        <v>0</v>
      </c>
      <c r="G1879" s="261">
        <v>5</v>
      </c>
      <c r="H1879" s="261"/>
      <c r="I1879" s="311"/>
      <c r="J1879" s="271"/>
      <c r="K1879" s="270"/>
      <c r="L1879" s="93">
        <f t="shared" si="428"/>
        <v>5</v>
      </c>
      <c r="M1879" s="183">
        <v>5</v>
      </c>
      <c r="N1879" s="95">
        <f t="shared" si="423"/>
        <v>0</v>
      </c>
      <c r="O1879" s="95">
        <f t="shared" si="424"/>
        <v>0</v>
      </c>
      <c r="P1879" s="94">
        <f t="shared" si="425"/>
        <v>0</v>
      </c>
      <c r="Q1879" s="95">
        <f t="shared" si="426"/>
        <v>0</v>
      </c>
      <c r="R1879" s="122"/>
      <c r="S1879" s="97">
        <f t="shared" si="429"/>
        <v>5</v>
      </c>
      <c r="T1879" s="98">
        <f t="shared" si="427"/>
        <v>0</v>
      </c>
      <c r="U1879">
        <v>5</v>
      </c>
    </row>
    <row r="1880" spans="2:31" ht="20.100000000000001" customHeight="1">
      <c r="B1880" s="117"/>
      <c r="C1880" s="118" t="s">
        <v>3987</v>
      </c>
      <c r="D1880" s="123" t="s">
        <v>4017</v>
      </c>
      <c r="E1880" s="124" t="s">
        <v>4018</v>
      </c>
      <c r="F1880" s="319">
        <v>0</v>
      </c>
      <c r="G1880" s="261">
        <v>1</v>
      </c>
      <c r="H1880" s="261"/>
      <c r="I1880" s="311"/>
      <c r="J1880" s="271"/>
      <c r="K1880" s="270"/>
      <c r="L1880" s="93">
        <f t="shared" si="428"/>
        <v>1</v>
      </c>
      <c r="M1880" s="183">
        <v>1</v>
      </c>
      <c r="N1880" s="95">
        <f t="shared" si="423"/>
        <v>0</v>
      </c>
      <c r="O1880" s="95">
        <f t="shared" si="424"/>
        <v>0</v>
      </c>
      <c r="P1880" s="94">
        <f t="shared" si="425"/>
        <v>0</v>
      </c>
      <c r="Q1880" s="95">
        <f t="shared" si="426"/>
        <v>0</v>
      </c>
      <c r="R1880" s="122"/>
      <c r="S1880" s="97">
        <f t="shared" si="429"/>
        <v>1</v>
      </c>
      <c r="T1880" s="98">
        <f t="shared" si="427"/>
        <v>0</v>
      </c>
      <c r="AA1880">
        <v>1</v>
      </c>
      <c r="AB1880" s="103" t="s">
        <v>4019</v>
      </c>
      <c r="AD1880">
        <f>AA1880</f>
        <v>1</v>
      </c>
      <c r="AE1880" s="100">
        <f>AD1880*F1880</f>
        <v>0</v>
      </c>
    </row>
    <row r="1881" spans="2:31" ht="20.100000000000001" customHeight="1">
      <c r="B1881" s="117"/>
      <c r="C1881" s="118" t="s">
        <v>3987</v>
      </c>
      <c r="D1881" s="123" t="s">
        <v>4020</v>
      </c>
      <c r="E1881" s="124" t="s">
        <v>4021</v>
      </c>
      <c r="F1881" s="319">
        <v>0</v>
      </c>
      <c r="G1881" s="261">
        <v>1</v>
      </c>
      <c r="H1881" s="261"/>
      <c r="I1881" s="311"/>
      <c r="J1881" s="271"/>
      <c r="K1881" s="270"/>
      <c r="L1881" s="93">
        <f t="shared" si="428"/>
        <v>1</v>
      </c>
      <c r="M1881" s="183">
        <v>1</v>
      </c>
      <c r="N1881" s="95">
        <f t="shared" si="423"/>
        <v>0</v>
      </c>
      <c r="O1881" s="95">
        <f t="shared" si="424"/>
        <v>0</v>
      </c>
      <c r="P1881" s="94">
        <f t="shared" si="425"/>
        <v>0</v>
      </c>
      <c r="Q1881" s="95">
        <f t="shared" si="426"/>
        <v>0</v>
      </c>
      <c r="R1881" s="122"/>
      <c r="S1881" s="97">
        <f t="shared" si="429"/>
        <v>1</v>
      </c>
      <c r="T1881" s="98">
        <f t="shared" si="427"/>
        <v>0</v>
      </c>
      <c r="AA1881">
        <v>1</v>
      </c>
      <c r="AB1881" s="126" t="s">
        <v>4022</v>
      </c>
      <c r="AD1881">
        <f>AA1881</f>
        <v>1</v>
      </c>
      <c r="AE1881" s="100">
        <f>AD1881*F1881</f>
        <v>0</v>
      </c>
    </row>
    <row r="1882" spans="2:31" ht="20.100000000000001" customHeight="1">
      <c r="B1882" s="117"/>
      <c r="C1882" s="118" t="s">
        <v>3987</v>
      </c>
      <c r="D1882" t="s">
        <v>4948</v>
      </c>
      <c r="E1882" s="124" t="s">
        <v>4023</v>
      </c>
      <c r="F1882" s="319">
        <v>31.92</v>
      </c>
      <c r="G1882" s="261"/>
      <c r="H1882" s="261"/>
      <c r="I1882" s="311">
        <v>1</v>
      </c>
      <c r="J1882" s="271"/>
      <c r="K1882" s="270">
        <v>1</v>
      </c>
      <c r="L1882" s="93">
        <f t="shared" si="428"/>
        <v>0</v>
      </c>
      <c r="M1882" s="183"/>
      <c r="N1882" s="95">
        <f t="shared" si="423"/>
        <v>0</v>
      </c>
      <c r="O1882" s="95">
        <f t="shared" si="424"/>
        <v>0</v>
      </c>
      <c r="P1882" s="94">
        <f t="shared" si="425"/>
        <v>0</v>
      </c>
      <c r="Q1882" s="95">
        <f t="shared" si="426"/>
        <v>0</v>
      </c>
      <c r="R1882" s="122"/>
      <c r="S1882" s="97">
        <f t="shared" si="429"/>
        <v>1</v>
      </c>
      <c r="T1882" s="98">
        <f t="shared" si="427"/>
        <v>-1</v>
      </c>
      <c r="AA1882">
        <v>1</v>
      </c>
      <c r="AB1882" s="126"/>
    </row>
    <row r="1883" spans="2:31" ht="20.100000000000001" customHeight="1">
      <c r="B1883" s="117"/>
      <c r="C1883" s="118" t="s">
        <v>3987</v>
      </c>
      <c r="D1883" s="123">
        <v>359785</v>
      </c>
      <c r="E1883" s="124" t="s">
        <v>4024</v>
      </c>
      <c r="F1883" s="319">
        <v>91.88</v>
      </c>
      <c r="G1883" s="261">
        <v>1</v>
      </c>
      <c r="H1883" s="261"/>
      <c r="I1883" s="311"/>
      <c r="J1883" s="271"/>
      <c r="K1883" s="270"/>
      <c r="L1883" s="93">
        <f t="shared" si="428"/>
        <v>1</v>
      </c>
      <c r="M1883" s="183">
        <v>1</v>
      </c>
      <c r="N1883" s="95">
        <f t="shared" si="423"/>
        <v>91.88</v>
      </c>
      <c r="O1883" s="95">
        <f t="shared" si="424"/>
        <v>91.88</v>
      </c>
      <c r="P1883" s="94">
        <f t="shared" si="425"/>
        <v>0</v>
      </c>
      <c r="Q1883" s="95">
        <f t="shared" si="426"/>
        <v>0</v>
      </c>
      <c r="R1883" s="122"/>
      <c r="S1883" s="97">
        <f t="shared" si="429"/>
        <v>1</v>
      </c>
      <c r="T1883" s="98">
        <f t="shared" si="427"/>
        <v>0</v>
      </c>
      <c r="Y1883">
        <v>1</v>
      </c>
      <c r="Z1883" s="99" t="s">
        <v>4025</v>
      </c>
      <c r="AB1883" s="126"/>
      <c r="AD1883">
        <f>Y1883</f>
        <v>1</v>
      </c>
      <c r="AE1883" s="100">
        <f>AD1883*F1883</f>
        <v>91.88</v>
      </c>
    </row>
    <row r="1884" spans="2:31" ht="20.100000000000001" customHeight="1">
      <c r="B1884" s="117"/>
      <c r="C1884" s="118" t="s">
        <v>3987</v>
      </c>
      <c r="D1884" s="123">
        <v>840289</v>
      </c>
      <c r="E1884" s="124" t="s">
        <v>4026</v>
      </c>
      <c r="F1884" s="319">
        <v>13.51</v>
      </c>
      <c r="G1884" s="261">
        <v>3</v>
      </c>
      <c r="H1884" s="261"/>
      <c r="I1884" s="311"/>
      <c r="J1884" s="271"/>
      <c r="K1884" s="270"/>
      <c r="L1884" s="93">
        <f t="shared" si="428"/>
        <v>3</v>
      </c>
      <c r="M1884" s="183">
        <v>3</v>
      </c>
      <c r="N1884" s="95">
        <f t="shared" si="423"/>
        <v>40.53</v>
      </c>
      <c r="O1884" s="95">
        <f t="shared" si="424"/>
        <v>40.53</v>
      </c>
      <c r="P1884" s="94">
        <f t="shared" si="425"/>
        <v>0</v>
      </c>
      <c r="Q1884" s="95">
        <f t="shared" si="426"/>
        <v>0</v>
      </c>
      <c r="R1884" s="122"/>
      <c r="S1884" s="97">
        <f t="shared" si="429"/>
        <v>3</v>
      </c>
      <c r="T1884" s="98">
        <f t="shared" si="427"/>
        <v>0</v>
      </c>
      <c r="Y1884">
        <v>3</v>
      </c>
      <c r="AB1884" s="126"/>
    </row>
    <row r="1885" spans="2:31" ht="20.100000000000001" customHeight="1">
      <c r="B1885" s="117"/>
      <c r="C1885" s="118" t="s">
        <v>3987</v>
      </c>
      <c r="D1885" s="123">
        <v>166058</v>
      </c>
      <c r="E1885" s="124" t="s">
        <v>4027</v>
      </c>
      <c r="F1885" s="319">
        <v>4.54</v>
      </c>
      <c r="G1885" s="261">
        <v>18</v>
      </c>
      <c r="H1885" s="261"/>
      <c r="I1885" s="311"/>
      <c r="J1885" s="271"/>
      <c r="K1885" s="270"/>
      <c r="L1885" s="93">
        <f t="shared" si="428"/>
        <v>18</v>
      </c>
      <c r="M1885" s="183">
        <v>18</v>
      </c>
      <c r="N1885" s="95">
        <f t="shared" si="423"/>
        <v>81.72</v>
      </c>
      <c r="O1885" s="95">
        <f t="shared" si="424"/>
        <v>81.72</v>
      </c>
      <c r="P1885" s="94">
        <f t="shared" si="425"/>
        <v>0</v>
      </c>
      <c r="Q1885" s="95">
        <f t="shared" si="426"/>
        <v>0</v>
      </c>
      <c r="R1885" s="122"/>
      <c r="S1885" s="97">
        <f t="shared" si="429"/>
        <v>18</v>
      </c>
      <c r="T1885" s="98">
        <f t="shared" si="427"/>
        <v>0</v>
      </c>
      <c r="Y1885">
        <v>18</v>
      </c>
      <c r="AB1885" s="126"/>
    </row>
    <row r="1886" spans="2:31" ht="20.100000000000001" customHeight="1">
      <c r="B1886" s="117"/>
      <c r="C1886" s="89" t="s">
        <v>3987</v>
      </c>
      <c r="D1886" s="128" t="s">
        <v>4028</v>
      </c>
      <c r="E1886" s="129" t="s">
        <v>4029</v>
      </c>
      <c r="F1886" s="320">
        <v>0</v>
      </c>
      <c r="G1886" s="261">
        <v>10</v>
      </c>
      <c r="H1886" s="261"/>
      <c r="I1886" s="311"/>
      <c r="J1886" s="271"/>
      <c r="K1886" s="270"/>
      <c r="L1886" s="93">
        <f t="shared" si="428"/>
        <v>10</v>
      </c>
      <c r="M1886" s="183">
        <v>10</v>
      </c>
      <c r="N1886" s="95">
        <f t="shared" si="423"/>
        <v>0</v>
      </c>
      <c r="O1886" s="95">
        <f t="shared" si="424"/>
        <v>0</v>
      </c>
      <c r="P1886" s="94">
        <f t="shared" si="425"/>
        <v>0</v>
      </c>
      <c r="Q1886" s="95">
        <f t="shared" si="426"/>
        <v>0</v>
      </c>
      <c r="R1886" s="131"/>
      <c r="S1886" s="97">
        <f t="shared" si="429"/>
        <v>10</v>
      </c>
      <c r="T1886" s="98">
        <f t="shared" si="427"/>
        <v>0</v>
      </c>
      <c r="W1886">
        <v>10</v>
      </c>
      <c r="X1886" t="s">
        <v>549</v>
      </c>
      <c r="AB1886" s="126"/>
      <c r="AD1886">
        <f>W1886</f>
        <v>10</v>
      </c>
      <c r="AE1886" s="100">
        <f>AD1886*F1886</f>
        <v>0</v>
      </c>
    </row>
    <row r="1887" spans="2:31" ht="20.100000000000001" customHeight="1">
      <c r="B1887" s="117"/>
      <c r="C1887" s="89" t="s">
        <v>3987</v>
      </c>
      <c r="D1887" s="128" t="s">
        <v>4030</v>
      </c>
      <c r="E1887" s="129" t="s">
        <v>4031</v>
      </c>
      <c r="F1887" s="320">
        <v>189.12</v>
      </c>
      <c r="G1887" s="261">
        <v>8</v>
      </c>
      <c r="H1887" s="261"/>
      <c r="I1887" s="311"/>
      <c r="J1887" s="271"/>
      <c r="K1887" s="270"/>
      <c r="L1887" s="93">
        <f t="shared" si="428"/>
        <v>8</v>
      </c>
      <c r="M1887" s="183">
        <v>8</v>
      </c>
      <c r="N1887" s="95">
        <f t="shared" si="423"/>
        <v>1512.96</v>
      </c>
      <c r="O1887" s="95">
        <f t="shared" si="424"/>
        <v>1512.96</v>
      </c>
      <c r="P1887" s="94">
        <f t="shared" si="425"/>
        <v>0</v>
      </c>
      <c r="Q1887" s="95">
        <f t="shared" si="426"/>
        <v>0</v>
      </c>
      <c r="R1887" s="131"/>
      <c r="S1887" s="97">
        <f t="shared" si="429"/>
        <v>8</v>
      </c>
      <c r="T1887" s="98">
        <f t="shared" si="427"/>
        <v>0</v>
      </c>
      <c r="W1887">
        <v>8</v>
      </c>
      <c r="X1887" t="s">
        <v>555</v>
      </c>
      <c r="AB1887" s="126"/>
      <c r="AD1887">
        <f>W1887</f>
        <v>8</v>
      </c>
      <c r="AE1887" s="100">
        <f>AD1887*F1887</f>
        <v>1512.96</v>
      </c>
    </row>
    <row r="1888" spans="2:31" ht="20.100000000000001" customHeight="1">
      <c r="B1888" s="117"/>
      <c r="C1888" s="89" t="s">
        <v>3987</v>
      </c>
      <c r="D1888" s="128" t="s">
        <v>4032</v>
      </c>
      <c r="E1888" s="129" t="s">
        <v>4033</v>
      </c>
      <c r="F1888" s="320">
        <v>6.18</v>
      </c>
      <c r="G1888" s="261">
        <v>60</v>
      </c>
      <c r="H1888" s="261"/>
      <c r="I1888" s="311"/>
      <c r="J1888" s="271"/>
      <c r="K1888" s="270"/>
      <c r="L1888" s="93">
        <f t="shared" si="428"/>
        <v>60</v>
      </c>
      <c r="M1888" s="183">
        <v>60</v>
      </c>
      <c r="N1888" s="95">
        <f t="shared" si="423"/>
        <v>370.79999999999995</v>
      </c>
      <c r="O1888" s="95">
        <f t="shared" si="424"/>
        <v>370.79999999999995</v>
      </c>
      <c r="P1888" s="94">
        <f t="shared" si="425"/>
        <v>0</v>
      </c>
      <c r="Q1888" s="95">
        <f t="shared" si="426"/>
        <v>0</v>
      </c>
      <c r="R1888" s="131"/>
      <c r="S1888" s="97">
        <f t="shared" si="429"/>
        <v>50</v>
      </c>
      <c r="T1888" s="98">
        <f t="shared" si="427"/>
        <v>10</v>
      </c>
      <c r="W1888">
        <v>50</v>
      </c>
      <c r="AB1888" s="126"/>
    </row>
    <row r="1889" spans="2:31" ht="20.100000000000001" customHeight="1">
      <c r="B1889" s="117"/>
      <c r="C1889" s="89" t="s">
        <v>3987</v>
      </c>
      <c r="D1889" s="128" t="s">
        <v>4034</v>
      </c>
      <c r="E1889" s="129" t="s">
        <v>4035</v>
      </c>
      <c r="F1889" s="320">
        <v>15.14</v>
      </c>
      <c r="G1889" s="261">
        <v>28</v>
      </c>
      <c r="H1889" s="261"/>
      <c r="I1889" s="311"/>
      <c r="J1889" s="271"/>
      <c r="K1889" s="270"/>
      <c r="L1889" s="93">
        <f t="shared" si="428"/>
        <v>28</v>
      </c>
      <c r="M1889" s="183">
        <v>28</v>
      </c>
      <c r="N1889" s="95">
        <f t="shared" si="423"/>
        <v>423.92</v>
      </c>
      <c r="O1889" s="95">
        <f t="shared" si="424"/>
        <v>423.92</v>
      </c>
      <c r="P1889" s="94">
        <f t="shared" si="425"/>
        <v>0</v>
      </c>
      <c r="Q1889" s="95">
        <f t="shared" si="426"/>
        <v>0</v>
      </c>
      <c r="R1889" s="131"/>
      <c r="S1889" s="97">
        <f t="shared" si="429"/>
        <v>28</v>
      </c>
      <c r="T1889" s="98">
        <f t="shared" si="427"/>
        <v>0</v>
      </c>
      <c r="W1889">
        <v>28</v>
      </c>
      <c r="X1889" t="s">
        <v>549</v>
      </c>
      <c r="AB1889" s="126"/>
      <c r="AD1889">
        <f>W1889</f>
        <v>28</v>
      </c>
      <c r="AE1889" s="100">
        <f>AD1889*F1889</f>
        <v>423.92</v>
      </c>
    </row>
    <row r="1890" spans="2:31" ht="20.100000000000001" customHeight="1">
      <c r="B1890" s="117"/>
      <c r="C1890" s="89" t="s">
        <v>3987</v>
      </c>
      <c r="D1890" s="128" t="s">
        <v>4036</v>
      </c>
      <c r="E1890" s="129" t="s">
        <v>4037</v>
      </c>
      <c r="F1890" s="320">
        <v>0</v>
      </c>
      <c r="G1890" s="261">
        <v>1</v>
      </c>
      <c r="H1890" s="261"/>
      <c r="I1890" s="311"/>
      <c r="J1890" s="271"/>
      <c r="K1890" s="270"/>
      <c r="L1890" s="93">
        <f t="shared" si="428"/>
        <v>1</v>
      </c>
      <c r="M1890" s="183">
        <v>1</v>
      </c>
      <c r="N1890" s="95">
        <f t="shared" si="423"/>
        <v>0</v>
      </c>
      <c r="O1890" s="95">
        <f t="shared" si="424"/>
        <v>0</v>
      </c>
      <c r="P1890" s="94">
        <f t="shared" si="425"/>
        <v>0</v>
      </c>
      <c r="Q1890" s="95">
        <f t="shared" si="426"/>
        <v>0</v>
      </c>
      <c r="R1890" s="131"/>
      <c r="S1890" s="97">
        <f t="shared" si="429"/>
        <v>1</v>
      </c>
      <c r="T1890" s="98">
        <f t="shared" si="427"/>
        <v>0</v>
      </c>
      <c r="W1890">
        <v>1</v>
      </c>
      <c r="X1890" t="s">
        <v>957</v>
      </c>
      <c r="AB1890" s="126"/>
      <c r="AD1890">
        <f>W1890</f>
        <v>1</v>
      </c>
      <c r="AE1890" s="100">
        <f>AD1890*F1890</f>
        <v>0</v>
      </c>
    </row>
    <row r="1891" spans="2:31" ht="20.100000000000001" customHeight="1">
      <c r="B1891" s="117"/>
      <c r="C1891" s="89" t="s">
        <v>3987</v>
      </c>
      <c r="D1891" s="128" t="s">
        <v>4038</v>
      </c>
      <c r="E1891" s="129" t="s">
        <v>5181</v>
      </c>
      <c r="F1891" s="320">
        <v>0</v>
      </c>
      <c r="G1891" s="261">
        <v>7</v>
      </c>
      <c r="H1891" s="261"/>
      <c r="I1891" s="311"/>
      <c r="J1891" s="271"/>
      <c r="K1891" s="270"/>
      <c r="L1891" s="93">
        <f t="shared" si="428"/>
        <v>7</v>
      </c>
      <c r="M1891" s="183">
        <v>7</v>
      </c>
      <c r="N1891" s="95">
        <f t="shared" si="423"/>
        <v>0</v>
      </c>
      <c r="O1891" s="95">
        <f t="shared" si="424"/>
        <v>0</v>
      </c>
      <c r="P1891" s="94">
        <f t="shared" si="425"/>
        <v>0</v>
      </c>
      <c r="Q1891" s="95">
        <f t="shared" si="426"/>
        <v>0</v>
      </c>
      <c r="R1891" s="131"/>
      <c r="S1891" s="97">
        <f t="shared" si="429"/>
        <v>7</v>
      </c>
      <c r="T1891" s="98">
        <f t="shared" si="427"/>
        <v>0</v>
      </c>
      <c r="W1891">
        <v>7</v>
      </c>
      <c r="X1891" t="s">
        <v>555</v>
      </c>
      <c r="AB1891" s="126"/>
      <c r="AD1891">
        <f>W1891</f>
        <v>7</v>
      </c>
      <c r="AE1891" s="100">
        <f>AD1891*F1891</f>
        <v>0</v>
      </c>
    </row>
    <row r="1892" spans="2:31" ht="20.100000000000001" customHeight="1">
      <c r="B1892" s="117"/>
      <c r="C1892" s="89" t="s">
        <v>3987</v>
      </c>
      <c r="D1892" s="128" t="s">
        <v>4039</v>
      </c>
      <c r="E1892" s="129" t="s">
        <v>4023</v>
      </c>
      <c r="F1892" s="320">
        <v>32</v>
      </c>
      <c r="G1892" s="261">
        <v>6</v>
      </c>
      <c r="H1892" s="261"/>
      <c r="I1892" s="311"/>
      <c r="J1892" s="271"/>
      <c r="K1892" s="270"/>
      <c r="L1892" s="93">
        <f t="shared" si="428"/>
        <v>6</v>
      </c>
      <c r="M1892" s="183">
        <v>6</v>
      </c>
      <c r="N1892" s="95">
        <f t="shared" si="423"/>
        <v>192</v>
      </c>
      <c r="O1892" s="95">
        <f t="shared" si="424"/>
        <v>192</v>
      </c>
      <c r="P1892" s="94">
        <f t="shared" si="425"/>
        <v>0</v>
      </c>
      <c r="Q1892" s="95">
        <f t="shared" si="426"/>
        <v>0</v>
      </c>
      <c r="R1892" s="131"/>
      <c r="S1892" s="97">
        <f t="shared" si="429"/>
        <v>6</v>
      </c>
      <c r="T1892" s="98">
        <f t="shared" si="427"/>
        <v>0</v>
      </c>
      <c r="W1892">
        <v>6</v>
      </c>
      <c r="X1892" t="s">
        <v>555</v>
      </c>
      <c r="AB1892" s="126"/>
      <c r="AD1892">
        <f>W1892</f>
        <v>6</v>
      </c>
      <c r="AE1892" s="100">
        <f>AD1892*F1892</f>
        <v>192</v>
      </c>
    </row>
    <row r="1893" spans="2:31" ht="20.100000000000001" customHeight="1">
      <c r="B1893" s="117"/>
      <c r="C1893" s="89" t="s">
        <v>3987</v>
      </c>
      <c r="D1893" s="191" t="s">
        <v>4040</v>
      </c>
      <c r="E1893" s="192" t="s">
        <v>4041</v>
      </c>
      <c r="F1893" s="320">
        <v>0</v>
      </c>
      <c r="G1893" s="261"/>
      <c r="H1893" s="261"/>
      <c r="I1893" s="311"/>
      <c r="J1893" s="271"/>
      <c r="K1893" s="270"/>
      <c r="L1893" s="93">
        <f t="shared" si="428"/>
        <v>0</v>
      </c>
      <c r="M1893" s="183"/>
      <c r="N1893" s="95">
        <f t="shared" si="423"/>
        <v>0</v>
      </c>
      <c r="O1893" s="95">
        <f t="shared" si="424"/>
        <v>0</v>
      </c>
      <c r="P1893" s="94">
        <f t="shared" si="425"/>
        <v>0</v>
      </c>
      <c r="Q1893" s="95">
        <f t="shared" si="426"/>
        <v>0</v>
      </c>
      <c r="R1893" s="131"/>
      <c r="S1893" s="97">
        <f t="shared" si="429"/>
        <v>2</v>
      </c>
      <c r="T1893" s="98">
        <f t="shared" si="427"/>
        <v>-2</v>
      </c>
      <c r="W1893">
        <v>2</v>
      </c>
      <c r="X1893" t="s">
        <v>549</v>
      </c>
      <c r="AB1893" s="126"/>
      <c r="AD1893">
        <f>W1893</f>
        <v>2</v>
      </c>
      <c r="AE1893" s="100">
        <f>AD1893*F1893</f>
        <v>0</v>
      </c>
    </row>
    <row r="1894" spans="2:31" ht="20.100000000000001" customHeight="1">
      <c r="B1894" s="88"/>
      <c r="C1894" s="127" t="s">
        <v>3987</v>
      </c>
      <c r="D1894" s="106" t="s">
        <v>4042</v>
      </c>
      <c r="E1894" s="91" t="s">
        <v>4043</v>
      </c>
      <c r="F1894" s="315">
        <v>10.199999999999999</v>
      </c>
      <c r="G1894" s="260">
        <v>14</v>
      </c>
      <c r="H1894" s="260"/>
      <c r="I1894" s="309">
        <v>4</v>
      </c>
      <c r="J1894" s="199"/>
      <c r="K1894" s="269">
        <v>4</v>
      </c>
      <c r="L1894" s="93">
        <f t="shared" si="428"/>
        <v>14</v>
      </c>
      <c r="M1894" s="183">
        <v>14</v>
      </c>
      <c r="N1894" s="95">
        <f t="shared" si="423"/>
        <v>142.79999999999998</v>
      </c>
      <c r="O1894" s="95">
        <f t="shared" si="424"/>
        <v>142.79999999999998</v>
      </c>
      <c r="P1894" s="94">
        <f t="shared" si="425"/>
        <v>0</v>
      </c>
      <c r="Q1894" s="95">
        <f t="shared" si="426"/>
        <v>0</v>
      </c>
      <c r="R1894" s="96"/>
      <c r="S1894" s="97">
        <f t="shared" si="429"/>
        <v>18</v>
      </c>
      <c r="T1894" s="98">
        <f t="shared" si="427"/>
        <v>-4</v>
      </c>
      <c r="U1894">
        <v>18</v>
      </c>
    </row>
    <row r="1895" spans="2:31" ht="20.100000000000001" customHeight="1">
      <c r="B1895" s="88"/>
      <c r="C1895" s="127" t="s">
        <v>3987</v>
      </c>
      <c r="D1895" s="106" t="s">
        <v>4044</v>
      </c>
      <c r="E1895" s="91" t="s">
        <v>4045</v>
      </c>
      <c r="F1895" s="315">
        <v>61.75</v>
      </c>
      <c r="G1895" s="260">
        <v>4</v>
      </c>
      <c r="H1895" s="260"/>
      <c r="I1895" s="309"/>
      <c r="J1895" s="199"/>
      <c r="K1895" s="269"/>
      <c r="L1895" s="93">
        <f t="shared" si="428"/>
        <v>4</v>
      </c>
      <c r="M1895" s="183">
        <f>3+1</f>
        <v>4</v>
      </c>
      <c r="N1895" s="95">
        <f t="shared" si="423"/>
        <v>247</v>
      </c>
      <c r="O1895" s="95">
        <f t="shared" si="424"/>
        <v>247</v>
      </c>
      <c r="P1895" s="94">
        <f t="shared" si="425"/>
        <v>0</v>
      </c>
      <c r="Q1895" s="95">
        <f t="shared" si="426"/>
        <v>0</v>
      </c>
      <c r="R1895" s="96"/>
      <c r="S1895" s="97">
        <f t="shared" si="429"/>
        <v>37</v>
      </c>
      <c r="T1895" s="98">
        <f t="shared" si="427"/>
        <v>-33</v>
      </c>
      <c r="U1895">
        <v>37</v>
      </c>
    </row>
    <row r="1896" spans="2:31" ht="20.100000000000001" customHeight="1">
      <c r="B1896" s="88"/>
      <c r="C1896" s="127" t="s">
        <v>3987</v>
      </c>
      <c r="D1896" s="90"/>
      <c r="E1896" s="91" t="s">
        <v>4046</v>
      </c>
      <c r="F1896" s="315">
        <v>50.8</v>
      </c>
      <c r="G1896" s="260">
        <v>20</v>
      </c>
      <c r="H1896" s="260"/>
      <c r="I1896" s="309"/>
      <c r="J1896" s="199"/>
      <c r="K1896" s="269"/>
      <c r="L1896" s="93">
        <f t="shared" si="428"/>
        <v>20</v>
      </c>
      <c r="M1896" s="183">
        <v>20</v>
      </c>
      <c r="N1896" s="95">
        <f t="shared" si="423"/>
        <v>1016</v>
      </c>
      <c r="O1896" s="95">
        <f t="shared" si="424"/>
        <v>1016</v>
      </c>
      <c r="P1896" s="94">
        <f t="shared" si="425"/>
        <v>0</v>
      </c>
      <c r="Q1896" s="95">
        <f t="shared" si="426"/>
        <v>0</v>
      </c>
      <c r="R1896" s="96"/>
      <c r="S1896" s="97">
        <f t="shared" si="429"/>
        <v>20</v>
      </c>
      <c r="T1896" s="98">
        <f t="shared" si="427"/>
        <v>0</v>
      </c>
      <c r="U1896">
        <v>20</v>
      </c>
    </row>
    <row r="1897" spans="2:31" ht="20.100000000000001" customHeight="1">
      <c r="B1897" s="88"/>
      <c r="C1897" s="127" t="s">
        <v>3987</v>
      </c>
      <c r="D1897" s="80" t="s">
        <v>4047</v>
      </c>
      <c r="E1897" s="91" t="s">
        <v>4048</v>
      </c>
      <c r="F1897" s="315">
        <v>50.8</v>
      </c>
      <c r="G1897" s="260">
        <v>2</v>
      </c>
      <c r="H1897" s="260">
        <v>16</v>
      </c>
      <c r="I1897" s="309"/>
      <c r="J1897" s="199"/>
      <c r="K1897" s="269">
        <v>7</v>
      </c>
      <c r="L1897" s="93">
        <f t="shared" si="428"/>
        <v>11</v>
      </c>
      <c r="M1897" s="183">
        <v>11</v>
      </c>
      <c r="N1897" s="95">
        <f t="shared" si="423"/>
        <v>558.79999999999995</v>
      </c>
      <c r="O1897" s="95">
        <f t="shared" si="424"/>
        <v>558.79999999999995</v>
      </c>
      <c r="P1897" s="94">
        <f t="shared" si="425"/>
        <v>0</v>
      </c>
      <c r="Q1897" s="95">
        <f t="shared" si="426"/>
        <v>0</v>
      </c>
      <c r="R1897" s="96"/>
      <c r="S1897" s="97">
        <f t="shared" si="429"/>
        <v>1</v>
      </c>
      <c r="T1897" s="98">
        <f t="shared" si="427"/>
        <v>10</v>
      </c>
      <c r="U1897">
        <v>1</v>
      </c>
    </row>
    <row r="1898" spans="2:31" ht="20.100000000000001" customHeight="1">
      <c r="B1898" s="88"/>
      <c r="C1898" s="127" t="s">
        <v>3987</v>
      </c>
      <c r="D1898" s="90">
        <v>605078</v>
      </c>
      <c r="E1898" s="91" t="s">
        <v>4049</v>
      </c>
      <c r="F1898" s="315">
        <v>6.8849999999999998</v>
      </c>
      <c r="G1898" s="260">
        <v>107</v>
      </c>
      <c r="H1898" s="260"/>
      <c r="I1898" s="309"/>
      <c r="J1898" s="199"/>
      <c r="K1898" s="269"/>
      <c r="L1898" s="93">
        <f t="shared" si="428"/>
        <v>107</v>
      </c>
      <c r="M1898" s="183">
        <v>107</v>
      </c>
      <c r="N1898" s="95">
        <f t="shared" si="423"/>
        <v>736.69499999999994</v>
      </c>
      <c r="O1898" s="95">
        <f t="shared" si="424"/>
        <v>736.69499999999994</v>
      </c>
      <c r="P1898" s="94">
        <f t="shared" si="425"/>
        <v>0</v>
      </c>
      <c r="Q1898" s="95">
        <f t="shared" si="426"/>
        <v>0</v>
      </c>
      <c r="R1898" s="96"/>
      <c r="S1898" s="97">
        <f t="shared" si="429"/>
        <v>107</v>
      </c>
      <c r="T1898" s="98">
        <f t="shared" si="427"/>
        <v>0</v>
      </c>
      <c r="U1898">
        <v>107</v>
      </c>
    </row>
    <row r="1899" spans="2:31" ht="20.100000000000001" customHeight="1">
      <c r="B1899" s="88"/>
      <c r="C1899" s="127" t="s">
        <v>3987</v>
      </c>
      <c r="D1899" s="90">
        <v>601115</v>
      </c>
      <c r="E1899" s="91" t="s">
        <v>4050</v>
      </c>
      <c r="F1899" s="315">
        <v>10</v>
      </c>
      <c r="G1899" s="260">
        <v>4</v>
      </c>
      <c r="H1899" s="260"/>
      <c r="I1899" s="309"/>
      <c r="J1899" s="199"/>
      <c r="K1899" s="269"/>
      <c r="L1899" s="93">
        <f t="shared" si="428"/>
        <v>4</v>
      </c>
      <c r="M1899" s="183">
        <v>4</v>
      </c>
      <c r="N1899" s="95">
        <f t="shared" si="423"/>
        <v>40</v>
      </c>
      <c r="O1899" s="95">
        <f t="shared" si="424"/>
        <v>40</v>
      </c>
      <c r="P1899" s="94">
        <f t="shared" si="425"/>
        <v>0</v>
      </c>
      <c r="Q1899" s="95">
        <f t="shared" si="426"/>
        <v>0</v>
      </c>
      <c r="R1899" s="96"/>
      <c r="S1899" s="97">
        <f t="shared" si="429"/>
        <v>4</v>
      </c>
      <c r="T1899" s="98">
        <f t="shared" si="427"/>
        <v>0</v>
      </c>
      <c r="U1899">
        <v>2</v>
      </c>
      <c r="V1899" s="99" t="s">
        <v>479</v>
      </c>
      <c r="AA1899">
        <v>2</v>
      </c>
      <c r="AB1899" s="99" t="s">
        <v>525</v>
      </c>
      <c r="AD1899" s="18">
        <f>M1899</f>
        <v>4</v>
      </c>
      <c r="AE1899" s="100">
        <f>AD1899*F1899</f>
        <v>40</v>
      </c>
    </row>
    <row r="1900" spans="2:31" ht="20.100000000000001" customHeight="1">
      <c r="B1900" s="88"/>
      <c r="C1900" s="127" t="s">
        <v>3987</v>
      </c>
      <c r="D1900" s="80" t="s">
        <v>4051</v>
      </c>
      <c r="E1900" s="107" t="s">
        <v>4052</v>
      </c>
      <c r="F1900" s="321">
        <v>97.36</v>
      </c>
      <c r="G1900" s="260">
        <v>1</v>
      </c>
      <c r="H1900" s="260"/>
      <c r="I1900" s="309"/>
      <c r="J1900" s="199"/>
      <c r="K1900" s="269">
        <v>1</v>
      </c>
      <c r="L1900" s="93">
        <f t="shared" si="428"/>
        <v>0</v>
      </c>
      <c r="M1900" s="183"/>
      <c r="N1900" s="95">
        <f t="shared" si="423"/>
        <v>0</v>
      </c>
      <c r="O1900" s="95">
        <f t="shared" si="424"/>
        <v>0</v>
      </c>
      <c r="P1900" s="94">
        <f t="shared" si="425"/>
        <v>0</v>
      </c>
      <c r="Q1900" s="95">
        <f t="shared" si="426"/>
        <v>0</v>
      </c>
      <c r="R1900" s="96"/>
      <c r="S1900" s="97"/>
      <c r="T1900" s="98"/>
      <c r="V1900" s="99"/>
      <c r="AB1900" s="99"/>
      <c r="AD1900" s="18"/>
      <c r="AE1900" s="100"/>
    </row>
    <row r="1901" spans="2:31" ht="20.100000000000001" customHeight="1">
      <c r="B1901" s="88"/>
      <c r="C1901" s="127" t="s">
        <v>3987</v>
      </c>
      <c r="D1901" s="80" t="s">
        <v>4053</v>
      </c>
      <c r="E1901" s="107" t="s">
        <v>4054</v>
      </c>
      <c r="F1901" s="322">
        <v>5.85</v>
      </c>
      <c r="G1901" s="260"/>
      <c r="H1901" s="260"/>
      <c r="I1901" s="309"/>
      <c r="J1901" s="199"/>
      <c r="K1901" s="269"/>
      <c r="L1901" s="93">
        <f t="shared" si="428"/>
        <v>0</v>
      </c>
      <c r="M1901" s="183"/>
      <c r="N1901" s="95">
        <f t="shared" si="423"/>
        <v>0</v>
      </c>
      <c r="O1901" s="95">
        <f t="shared" si="424"/>
        <v>0</v>
      </c>
      <c r="P1901" s="94">
        <f t="shared" si="425"/>
        <v>0</v>
      </c>
      <c r="Q1901" s="95">
        <f t="shared" si="426"/>
        <v>0</v>
      </c>
      <c r="R1901" s="96"/>
      <c r="S1901" s="97"/>
      <c r="T1901" s="98"/>
      <c r="V1901" s="99"/>
      <c r="AB1901" s="99"/>
      <c r="AD1901" s="18"/>
      <c r="AE1901" s="100"/>
    </row>
    <row r="1902" spans="2:31" ht="20.100000000000001" customHeight="1">
      <c r="B1902" s="88"/>
      <c r="C1902" s="127" t="s">
        <v>3987</v>
      </c>
      <c r="D1902" s="80" t="s">
        <v>4055</v>
      </c>
      <c r="E1902" s="107" t="s">
        <v>4056</v>
      </c>
      <c r="F1902" s="322">
        <v>1160.3499999999999</v>
      </c>
      <c r="G1902" s="260">
        <v>1</v>
      </c>
      <c r="H1902" s="260"/>
      <c r="I1902" s="309">
        <v>8</v>
      </c>
      <c r="J1902" s="199"/>
      <c r="K1902" s="269">
        <v>2</v>
      </c>
      <c r="L1902" s="93">
        <f t="shared" si="428"/>
        <v>7</v>
      </c>
      <c r="M1902" s="183">
        <v>7</v>
      </c>
      <c r="N1902" s="95">
        <f t="shared" si="423"/>
        <v>8122.4499999999989</v>
      </c>
      <c r="O1902" s="95">
        <f t="shared" si="424"/>
        <v>8122.4499999999989</v>
      </c>
      <c r="P1902" s="94">
        <f t="shared" ref="P1902:P1938" si="430">L1902-M1902</f>
        <v>0</v>
      </c>
      <c r="Q1902" s="95">
        <f t="shared" ref="Q1902:Q1938" si="431">N1902-O1902</f>
        <v>0</v>
      </c>
      <c r="R1902" s="96"/>
      <c r="S1902" s="97"/>
      <c r="T1902" s="98"/>
      <c r="V1902" s="99"/>
      <c r="AB1902" s="99"/>
      <c r="AD1902" s="18"/>
      <c r="AE1902" s="100"/>
    </row>
    <row r="1903" spans="2:31" ht="20.100000000000001" customHeight="1">
      <c r="B1903" s="88"/>
      <c r="C1903" s="127" t="s">
        <v>3987</v>
      </c>
      <c r="D1903" s="80" t="s">
        <v>4057</v>
      </c>
      <c r="E1903" s="107" t="s">
        <v>4058</v>
      </c>
      <c r="F1903" s="321">
        <v>25.75</v>
      </c>
      <c r="G1903" s="260">
        <v>15</v>
      </c>
      <c r="H1903" s="260"/>
      <c r="I1903" s="309"/>
      <c r="J1903" s="199">
        <v>2</v>
      </c>
      <c r="K1903" s="269">
        <v>1</v>
      </c>
      <c r="L1903" s="93">
        <f t="shared" si="428"/>
        <v>12</v>
      </c>
      <c r="M1903" s="183">
        <v>12</v>
      </c>
      <c r="N1903" s="95">
        <f t="shared" si="423"/>
        <v>309</v>
      </c>
      <c r="O1903" s="95">
        <f t="shared" si="424"/>
        <v>309</v>
      </c>
      <c r="P1903" s="94">
        <f t="shared" si="430"/>
        <v>0</v>
      </c>
      <c r="Q1903" s="95">
        <f t="shared" si="431"/>
        <v>0</v>
      </c>
      <c r="R1903" s="96"/>
      <c r="S1903" s="97"/>
      <c r="T1903" s="98"/>
      <c r="V1903" s="99"/>
      <c r="AB1903" s="99"/>
      <c r="AD1903" s="18"/>
      <c r="AE1903" s="100"/>
    </row>
    <row r="1904" spans="2:31" ht="20.100000000000001" customHeight="1">
      <c r="B1904" s="88"/>
      <c r="C1904" s="127" t="s">
        <v>3987</v>
      </c>
      <c r="D1904" s="80" t="s">
        <v>4059</v>
      </c>
      <c r="E1904" s="107" t="s">
        <v>4060</v>
      </c>
      <c r="F1904" s="322">
        <v>120.95</v>
      </c>
      <c r="G1904" s="260">
        <v>14</v>
      </c>
      <c r="H1904" s="260"/>
      <c r="I1904" s="309"/>
      <c r="J1904" s="199"/>
      <c r="K1904" s="269">
        <v>2</v>
      </c>
      <c r="L1904" s="93">
        <f t="shared" si="428"/>
        <v>12</v>
      </c>
      <c r="M1904" s="183">
        <v>12</v>
      </c>
      <c r="N1904" s="95">
        <f t="shared" ref="N1904:N1938" si="432">F1904*L1904</f>
        <v>1451.4</v>
      </c>
      <c r="O1904" s="95">
        <f t="shared" ref="O1904:O1938" si="433">M1904*F1904</f>
        <v>1451.4</v>
      </c>
      <c r="P1904" s="94">
        <f t="shared" si="430"/>
        <v>0</v>
      </c>
      <c r="Q1904" s="95">
        <f t="shared" si="431"/>
        <v>0</v>
      </c>
      <c r="R1904" s="96"/>
      <c r="S1904" s="97"/>
      <c r="T1904" s="98"/>
      <c r="V1904" s="99"/>
      <c r="AB1904" s="99"/>
      <c r="AD1904" s="18"/>
      <c r="AE1904" s="100"/>
    </row>
    <row r="1905" spans="2:31" ht="20.100000000000001" customHeight="1">
      <c r="B1905" s="88"/>
      <c r="C1905" s="127" t="s">
        <v>3987</v>
      </c>
      <c r="D1905" s="80" t="s">
        <v>4061</v>
      </c>
      <c r="E1905" s="107" t="s">
        <v>4062</v>
      </c>
      <c r="F1905" s="321">
        <v>89.91</v>
      </c>
      <c r="G1905" s="260">
        <v>2</v>
      </c>
      <c r="H1905" s="260">
        <v>2</v>
      </c>
      <c r="I1905" s="309">
        <v>6</v>
      </c>
      <c r="J1905" s="199"/>
      <c r="K1905" s="269">
        <v>4</v>
      </c>
      <c r="L1905" s="93">
        <f t="shared" si="428"/>
        <v>6</v>
      </c>
      <c r="M1905" s="183">
        <f>5+1</f>
        <v>6</v>
      </c>
      <c r="N1905" s="95">
        <f t="shared" si="432"/>
        <v>539.46</v>
      </c>
      <c r="O1905" s="95">
        <f t="shared" si="433"/>
        <v>539.46</v>
      </c>
      <c r="P1905" s="94">
        <f t="shared" si="430"/>
        <v>0</v>
      </c>
      <c r="Q1905" s="95">
        <f t="shared" si="431"/>
        <v>0</v>
      </c>
      <c r="R1905" s="278"/>
      <c r="S1905" s="97"/>
      <c r="T1905" s="98"/>
      <c r="V1905" s="99"/>
      <c r="AB1905" s="99"/>
      <c r="AD1905" s="18"/>
      <c r="AE1905" s="100"/>
    </row>
    <row r="1906" spans="2:31" ht="20.100000000000001" customHeight="1">
      <c r="B1906" s="88"/>
      <c r="C1906" s="127" t="s">
        <v>3987</v>
      </c>
      <c r="D1906" s="80" t="s">
        <v>4063</v>
      </c>
      <c r="E1906" s="107" t="s">
        <v>4064</v>
      </c>
      <c r="F1906" s="321">
        <v>723.8</v>
      </c>
      <c r="G1906" s="260">
        <v>1</v>
      </c>
      <c r="H1906" s="260"/>
      <c r="I1906" s="309">
        <v>1</v>
      </c>
      <c r="J1906" s="199"/>
      <c r="K1906" s="269">
        <v>2</v>
      </c>
      <c r="L1906" s="93">
        <f t="shared" ref="L1906:L1938" si="434">G1906+I1906-J1906-K1906+H1906</f>
        <v>0</v>
      </c>
      <c r="M1906" s="183"/>
      <c r="N1906" s="95">
        <f t="shared" si="432"/>
        <v>0</v>
      </c>
      <c r="O1906" s="95">
        <f t="shared" si="433"/>
        <v>0</v>
      </c>
      <c r="P1906" s="94">
        <f t="shared" si="430"/>
        <v>0</v>
      </c>
      <c r="Q1906" s="95">
        <f t="shared" si="431"/>
        <v>0</v>
      </c>
      <c r="R1906" s="96"/>
      <c r="S1906" s="97"/>
      <c r="T1906" s="98"/>
      <c r="V1906" s="99"/>
      <c r="AB1906" s="99"/>
      <c r="AD1906" s="18"/>
      <c r="AE1906" s="100"/>
    </row>
    <row r="1907" spans="2:31" ht="20.100000000000001" customHeight="1">
      <c r="B1907" s="88"/>
      <c r="C1907" s="127" t="s">
        <v>3987</v>
      </c>
      <c r="D1907" s="80" t="s">
        <v>4065</v>
      </c>
      <c r="E1907" s="107" t="s">
        <v>4066</v>
      </c>
      <c r="F1907" s="322">
        <v>16.91</v>
      </c>
      <c r="G1907" s="260">
        <v>6</v>
      </c>
      <c r="H1907" s="260"/>
      <c r="I1907" s="309">
        <v>30</v>
      </c>
      <c r="J1907" s="199"/>
      <c r="K1907" s="269">
        <v>26</v>
      </c>
      <c r="L1907" s="93">
        <f t="shared" si="434"/>
        <v>10</v>
      </c>
      <c r="M1907" s="183">
        <v>10</v>
      </c>
      <c r="N1907" s="95">
        <f t="shared" si="432"/>
        <v>169.1</v>
      </c>
      <c r="O1907" s="95">
        <f t="shared" si="433"/>
        <v>169.1</v>
      </c>
      <c r="P1907" s="94">
        <f t="shared" si="430"/>
        <v>0</v>
      </c>
      <c r="Q1907" s="95">
        <f t="shared" si="431"/>
        <v>0</v>
      </c>
      <c r="R1907" s="96"/>
      <c r="S1907" s="97"/>
      <c r="T1907" s="98"/>
      <c r="V1907" s="99"/>
      <c r="AB1907" s="99"/>
      <c r="AD1907" s="18"/>
      <c r="AE1907" s="100"/>
    </row>
    <row r="1908" spans="2:31" ht="20.100000000000001" customHeight="1">
      <c r="B1908" s="88"/>
      <c r="C1908" s="127" t="s">
        <v>3987</v>
      </c>
      <c r="D1908" s="80" t="s">
        <v>4067</v>
      </c>
      <c r="E1908" s="107" t="s">
        <v>4068</v>
      </c>
      <c r="F1908" s="321">
        <v>8.15</v>
      </c>
      <c r="G1908" s="260"/>
      <c r="H1908" s="260">
        <v>3</v>
      </c>
      <c r="I1908" s="309"/>
      <c r="J1908" s="199"/>
      <c r="K1908" s="269">
        <v>3</v>
      </c>
      <c r="L1908" s="93">
        <f t="shared" si="434"/>
        <v>0</v>
      </c>
      <c r="M1908" s="183"/>
      <c r="N1908" s="95">
        <f t="shared" si="432"/>
        <v>0</v>
      </c>
      <c r="O1908" s="95">
        <f t="shared" si="433"/>
        <v>0</v>
      </c>
      <c r="P1908" s="94">
        <f t="shared" si="430"/>
        <v>0</v>
      </c>
      <c r="Q1908" s="95">
        <f t="shared" si="431"/>
        <v>0</v>
      </c>
      <c r="R1908" s="96"/>
      <c r="S1908" s="97"/>
      <c r="T1908" s="98"/>
      <c r="V1908" s="99"/>
      <c r="AB1908" s="99"/>
      <c r="AD1908" s="18"/>
      <c r="AE1908" s="100"/>
    </row>
    <row r="1909" spans="2:31" ht="20.100000000000001" customHeight="1">
      <c r="B1909" s="88"/>
      <c r="C1909" s="127" t="s">
        <v>3987</v>
      </c>
      <c r="D1909" s="80" t="s">
        <v>4069</v>
      </c>
      <c r="E1909" s="107" t="s">
        <v>4070</v>
      </c>
      <c r="F1909" s="321">
        <v>42.87</v>
      </c>
      <c r="G1909" s="260">
        <v>23</v>
      </c>
      <c r="H1909" s="260"/>
      <c r="I1909" s="309"/>
      <c r="J1909" s="199"/>
      <c r="K1909" s="269">
        <v>1</v>
      </c>
      <c r="L1909" s="93">
        <f t="shared" si="434"/>
        <v>22</v>
      </c>
      <c r="M1909" s="183">
        <v>22</v>
      </c>
      <c r="N1909" s="95">
        <f t="shared" si="432"/>
        <v>943.14</v>
      </c>
      <c r="O1909" s="95">
        <f t="shared" si="433"/>
        <v>943.14</v>
      </c>
      <c r="P1909" s="94">
        <f t="shared" si="430"/>
        <v>0</v>
      </c>
      <c r="Q1909" s="95">
        <f t="shared" si="431"/>
        <v>0</v>
      </c>
      <c r="R1909" s="96"/>
      <c r="S1909" s="97"/>
      <c r="T1909" s="98"/>
      <c r="V1909" s="99"/>
      <c r="AB1909" s="99"/>
      <c r="AD1909" s="18"/>
      <c r="AE1909" s="100"/>
    </row>
    <row r="1910" spans="2:31" ht="20.100000000000001" customHeight="1">
      <c r="B1910" s="88"/>
      <c r="C1910" s="127" t="s">
        <v>3987</v>
      </c>
      <c r="D1910" s="80" t="s">
        <v>4071</v>
      </c>
      <c r="E1910" s="107" t="s">
        <v>4072</v>
      </c>
      <c r="F1910" s="322">
        <v>6.03</v>
      </c>
      <c r="G1910" s="260">
        <v>1</v>
      </c>
      <c r="H1910" s="260"/>
      <c r="I1910" s="309">
        <v>20</v>
      </c>
      <c r="J1910" s="199"/>
      <c r="K1910" s="269">
        <v>17</v>
      </c>
      <c r="L1910" s="93">
        <f t="shared" si="434"/>
        <v>4</v>
      </c>
      <c r="M1910" s="183">
        <v>4</v>
      </c>
      <c r="N1910" s="95">
        <f t="shared" si="432"/>
        <v>24.12</v>
      </c>
      <c r="O1910" s="95">
        <f t="shared" si="433"/>
        <v>24.12</v>
      </c>
      <c r="P1910" s="94">
        <f t="shared" si="430"/>
        <v>0</v>
      </c>
      <c r="Q1910" s="95">
        <f t="shared" si="431"/>
        <v>0</v>
      </c>
      <c r="R1910" s="96"/>
      <c r="S1910" s="97"/>
      <c r="T1910" s="98"/>
      <c r="V1910" s="99"/>
      <c r="AB1910" s="99"/>
      <c r="AD1910" s="18"/>
      <c r="AE1910" s="100"/>
    </row>
    <row r="1911" spans="2:31" ht="20.100000000000001" customHeight="1">
      <c r="B1911" s="88"/>
      <c r="C1911" s="127" t="s">
        <v>3987</v>
      </c>
      <c r="D1911" s="134" t="s">
        <v>4071</v>
      </c>
      <c r="E1911" s="107" t="s">
        <v>4073</v>
      </c>
      <c r="F1911" s="321">
        <v>6.03</v>
      </c>
      <c r="G1911" s="260"/>
      <c r="H1911" s="260">
        <v>5</v>
      </c>
      <c r="I1911" s="309"/>
      <c r="J1911" s="199"/>
      <c r="K1911" s="269">
        <v>5</v>
      </c>
      <c r="L1911" s="93">
        <f t="shared" si="434"/>
        <v>0</v>
      </c>
      <c r="M1911" s="183"/>
      <c r="N1911" s="95">
        <f t="shared" si="432"/>
        <v>0</v>
      </c>
      <c r="O1911" s="95">
        <f t="shared" si="433"/>
        <v>0</v>
      </c>
      <c r="P1911" s="94">
        <f t="shared" si="430"/>
        <v>0</v>
      </c>
      <c r="Q1911" s="95">
        <f t="shared" si="431"/>
        <v>0</v>
      </c>
      <c r="R1911" s="96"/>
      <c r="S1911" s="97"/>
      <c r="T1911" s="98"/>
      <c r="V1911" s="99"/>
      <c r="AB1911" s="99"/>
      <c r="AD1911" s="18"/>
      <c r="AE1911" s="100"/>
    </row>
    <row r="1912" spans="2:31" ht="20.100000000000001" customHeight="1">
      <c r="B1912" s="88"/>
      <c r="C1912" s="127" t="s">
        <v>3987</v>
      </c>
      <c r="D1912" s="80" t="s">
        <v>4074</v>
      </c>
      <c r="E1912" s="107" t="s">
        <v>4075</v>
      </c>
      <c r="F1912" s="322">
        <v>0.76</v>
      </c>
      <c r="G1912" s="260"/>
      <c r="H1912" s="260">
        <v>61</v>
      </c>
      <c r="I1912" s="309">
        <v>11</v>
      </c>
      <c r="J1912" s="199"/>
      <c r="K1912" s="269">
        <v>72</v>
      </c>
      <c r="L1912" s="93">
        <f t="shared" si="434"/>
        <v>0</v>
      </c>
      <c r="M1912" s="183"/>
      <c r="N1912" s="95">
        <f t="shared" si="432"/>
        <v>0</v>
      </c>
      <c r="O1912" s="95">
        <f t="shared" si="433"/>
        <v>0</v>
      </c>
      <c r="P1912" s="94">
        <f t="shared" si="430"/>
        <v>0</v>
      </c>
      <c r="Q1912" s="95">
        <f t="shared" si="431"/>
        <v>0</v>
      </c>
      <c r="R1912" s="96"/>
      <c r="S1912" s="97"/>
      <c r="T1912" s="98"/>
      <c r="V1912" s="99"/>
      <c r="AB1912" s="99"/>
      <c r="AD1912" s="18"/>
      <c r="AE1912" s="100"/>
    </row>
    <row r="1913" spans="2:31" ht="20.100000000000001" customHeight="1">
      <c r="B1913" s="88"/>
      <c r="C1913" s="127" t="s">
        <v>3987</v>
      </c>
      <c r="D1913" s="80" t="s">
        <v>4076</v>
      </c>
      <c r="E1913" s="107" t="s">
        <v>4077</v>
      </c>
      <c r="F1913" s="322">
        <v>3500</v>
      </c>
      <c r="G1913" s="260"/>
      <c r="H1913" s="260"/>
      <c r="I1913" s="309">
        <v>4</v>
      </c>
      <c r="J1913" s="199"/>
      <c r="K1913" s="269">
        <v>4</v>
      </c>
      <c r="L1913" s="93">
        <f t="shared" si="434"/>
        <v>0</v>
      </c>
      <c r="M1913" s="183"/>
      <c r="N1913" s="95">
        <f t="shared" si="432"/>
        <v>0</v>
      </c>
      <c r="O1913" s="95">
        <f t="shared" si="433"/>
        <v>0</v>
      </c>
      <c r="P1913" s="94">
        <f t="shared" si="430"/>
        <v>0</v>
      </c>
      <c r="Q1913" s="95">
        <f t="shared" si="431"/>
        <v>0</v>
      </c>
      <c r="R1913" s="96"/>
      <c r="S1913" s="97"/>
      <c r="T1913" s="98"/>
      <c r="V1913" s="99"/>
      <c r="AB1913" s="99"/>
      <c r="AD1913" s="18"/>
      <c r="AE1913" s="100"/>
    </row>
    <row r="1914" spans="2:31" ht="20.100000000000001" customHeight="1">
      <c r="B1914" s="88"/>
      <c r="C1914" s="127" t="s">
        <v>3987</v>
      </c>
      <c r="D1914" s="80" t="s">
        <v>4078</v>
      </c>
      <c r="E1914" s="107" t="s">
        <v>4079</v>
      </c>
      <c r="F1914" s="322">
        <v>42000</v>
      </c>
      <c r="G1914" s="260"/>
      <c r="H1914" s="260"/>
      <c r="I1914" s="309"/>
      <c r="J1914" s="199"/>
      <c r="K1914" s="269"/>
      <c r="L1914" s="93">
        <f t="shared" si="434"/>
        <v>0</v>
      </c>
      <c r="M1914" s="183"/>
      <c r="N1914" s="95">
        <f t="shared" si="432"/>
        <v>0</v>
      </c>
      <c r="O1914" s="95">
        <f t="shared" si="433"/>
        <v>0</v>
      </c>
      <c r="P1914" s="94">
        <f t="shared" si="430"/>
        <v>0</v>
      </c>
      <c r="Q1914" s="95">
        <f t="shared" si="431"/>
        <v>0</v>
      </c>
      <c r="R1914" s="96"/>
      <c r="S1914" s="97"/>
      <c r="T1914" s="98"/>
      <c r="V1914" s="99"/>
      <c r="AB1914" s="99"/>
      <c r="AD1914" s="18"/>
      <c r="AE1914" s="100"/>
    </row>
    <row r="1915" spans="2:31" ht="20.100000000000001" customHeight="1">
      <c r="B1915" s="88"/>
      <c r="C1915" s="127" t="s">
        <v>3987</v>
      </c>
      <c r="D1915" s="80" t="s">
        <v>4080</v>
      </c>
      <c r="E1915" s="107" t="s">
        <v>4081</v>
      </c>
      <c r="F1915" s="322">
        <v>450</v>
      </c>
      <c r="G1915" s="260"/>
      <c r="H1915" s="260"/>
      <c r="I1915" s="309"/>
      <c r="J1915" s="199"/>
      <c r="K1915" s="269"/>
      <c r="L1915" s="93">
        <f t="shared" si="434"/>
        <v>0</v>
      </c>
      <c r="M1915" s="183"/>
      <c r="N1915" s="95">
        <f t="shared" si="432"/>
        <v>0</v>
      </c>
      <c r="O1915" s="95">
        <f t="shared" si="433"/>
        <v>0</v>
      </c>
      <c r="P1915" s="94">
        <f t="shared" si="430"/>
        <v>0</v>
      </c>
      <c r="Q1915" s="95">
        <f t="shared" si="431"/>
        <v>0</v>
      </c>
      <c r="R1915" s="96"/>
      <c r="S1915" s="97"/>
      <c r="T1915" s="98"/>
      <c r="V1915" s="99"/>
      <c r="AB1915" s="99"/>
      <c r="AD1915" s="18"/>
      <c r="AE1915" s="100"/>
    </row>
    <row r="1916" spans="2:31" ht="20.100000000000001" customHeight="1">
      <c r="B1916" s="88"/>
      <c r="C1916" s="127" t="s">
        <v>3987</v>
      </c>
      <c r="D1916" s="80" t="s">
        <v>4082</v>
      </c>
      <c r="E1916" s="107" t="s">
        <v>4083</v>
      </c>
      <c r="F1916" s="322">
        <v>6000</v>
      </c>
      <c r="G1916" s="260"/>
      <c r="H1916" s="260"/>
      <c r="I1916" s="309"/>
      <c r="J1916" s="199"/>
      <c r="K1916" s="269"/>
      <c r="L1916" s="93">
        <f t="shared" si="434"/>
        <v>0</v>
      </c>
      <c r="M1916" s="183"/>
      <c r="N1916" s="95">
        <f t="shared" si="432"/>
        <v>0</v>
      </c>
      <c r="O1916" s="95">
        <f t="shared" si="433"/>
        <v>0</v>
      </c>
      <c r="P1916" s="94">
        <f t="shared" si="430"/>
        <v>0</v>
      </c>
      <c r="Q1916" s="95">
        <f t="shared" si="431"/>
        <v>0</v>
      </c>
      <c r="R1916" s="96"/>
      <c r="S1916" s="97"/>
      <c r="T1916" s="98"/>
      <c r="V1916" s="99"/>
      <c r="AB1916" s="99"/>
      <c r="AD1916" s="18"/>
      <c r="AE1916" s="100"/>
    </row>
    <row r="1917" spans="2:31" ht="20.100000000000001" customHeight="1">
      <c r="B1917" s="88"/>
      <c r="C1917" s="127" t="s">
        <v>3987</v>
      </c>
      <c r="D1917" s="80" t="s">
        <v>4084</v>
      </c>
      <c r="E1917" s="107" t="s">
        <v>4085</v>
      </c>
      <c r="F1917" s="322">
        <v>32.76</v>
      </c>
      <c r="G1917" s="260">
        <v>12</v>
      </c>
      <c r="H1917" s="260"/>
      <c r="I1917" s="309"/>
      <c r="J1917" s="199"/>
      <c r="K1917" s="269"/>
      <c r="L1917" s="93">
        <f t="shared" si="434"/>
        <v>12</v>
      </c>
      <c r="M1917" s="183">
        <v>12</v>
      </c>
      <c r="N1917" s="95">
        <f t="shared" si="432"/>
        <v>393.12</v>
      </c>
      <c r="O1917" s="95">
        <f t="shared" si="433"/>
        <v>393.12</v>
      </c>
      <c r="P1917" s="94">
        <f t="shared" si="430"/>
        <v>0</v>
      </c>
      <c r="Q1917" s="95">
        <f t="shared" si="431"/>
        <v>0</v>
      </c>
      <c r="R1917" s="96"/>
      <c r="S1917" s="97"/>
      <c r="T1917" s="98"/>
      <c r="V1917" s="99"/>
      <c r="AB1917" s="99"/>
      <c r="AD1917" s="18"/>
      <c r="AE1917" s="100"/>
    </row>
    <row r="1918" spans="2:31" ht="20.100000000000001" customHeight="1">
      <c r="B1918" s="88"/>
      <c r="C1918" s="127" t="s">
        <v>3987</v>
      </c>
      <c r="D1918" s="80" t="s">
        <v>4087</v>
      </c>
      <c r="E1918" s="107" t="s">
        <v>4088</v>
      </c>
      <c r="F1918" s="322">
        <v>46</v>
      </c>
      <c r="G1918" s="260">
        <v>6</v>
      </c>
      <c r="H1918" s="260"/>
      <c r="I1918" s="309"/>
      <c r="J1918" s="199"/>
      <c r="K1918" s="269"/>
      <c r="L1918" s="93">
        <f t="shared" si="434"/>
        <v>6</v>
      </c>
      <c r="M1918" s="183">
        <v>6</v>
      </c>
      <c r="N1918" s="95">
        <f t="shared" si="432"/>
        <v>276</v>
      </c>
      <c r="O1918" s="95">
        <f t="shared" si="433"/>
        <v>276</v>
      </c>
      <c r="P1918" s="94">
        <f t="shared" si="430"/>
        <v>0</v>
      </c>
      <c r="Q1918" s="95">
        <f t="shared" si="431"/>
        <v>0</v>
      </c>
      <c r="R1918" s="96"/>
      <c r="S1918" s="97"/>
      <c r="T1918" s="98"/>
      <c r="V1918" s="99"/>
      <c r="AB1918" s="99"/>
      <c r="AD1918" s="18"/>
      <c r="AE1918" s="100"/>
    </row>
    <row r="1919" spans="2:31" ht="20.100000000000001" customHeight="1">
      <c r="B1919" s="88"/>
      <c r="C1919" s="127" t="s">
        <v>3987</v>
      </c>
      <c r="D1919" s="80" t="s">
        <v>4090</v>
      </c>
      <c r="E1919" s="107" t="s">
        <v>4091</v>
      </c>
      <c r="F1919" s="322">
        <v>127.18</v>
      </c>
      <c r="G1919" s="260">
        <v>5</v>
      </c>
      <c r="H1919" s="260"/>
      <c r="I1919" s="309"/>
      <c r="J1919" s="199"/>
      <c r="K1919" s="269">
        <v>1</v>
      </c>
      <c r="L1919" s="93">
        <f t="shared" si="434"/>
        <v>4</v>
      </c>
      <c r="M1919" s="183">
        <v>4</v>
      </c>
      <c r="N1919" s="95">
        <f t="shared" si="432"/>
        <v>508.72</v>
      </c>
      <c r="O1919" s="95">
        <f t="shared" si="433"/>
        <v>508.72</v>
      </c>
      <c r="P1919" s="94">
        <f t="shared" si="430"/>
        <v>0</v>
      </c>
      <c r="Q1919" s="95">
        <f t="shared" si="431"/>
        <v>0</v>
      </c>
      <c r="R1919" s="96"/>
      <c r="S1919" s="97"/>
      <c r="T1919" s="98"/>
      <c r="V1919" s="99"/>
      <c r="AB1919" s="99"/>
      <c r="AD1919" s="18"/>
      <c r="AE1919" s="100"/>
    </row>
    <row r="1920" spans="2:31" ht="20.100000000000001" customHeight="1">
      <c r="B1920" s="88"/>
      <c r="C1920" s="127" t="s">
        <v>3987</v>
      </c>
      <c r="D1920" s="80" t="s">
        <v>4093</v>
      </c>
      <c r="E1920" s="107" t="s">
        <v>4094</v>
      </c>
      <c r="F1920" s="322">
        <v>15</v>
      </c>
      <c r="G1920" s="260">
        <v>24</v>
      </c>
      <c r="H1920" s="260"/>
      <c r="I1920" s="309"/>
      <c r="J1920" s="199"/>
      <c r="K1920" s="269"/>
      <c r="L1920" s="93">
        <f t="shared" si="434"/>
        <v>24</v>
      </c>
      <c r="M1920" s="183">
        <v>24</v>
      </c>
      <c r="N1920" s="95">
        <f t="shared" si="432"/>
        <v>360</v>
      </c>
      <c r="O1920" s="95">
        <f t="shared" si="433"/>
        <v>360</v>
      </c>
      <c r="P1920" s="94">
        <f t="shared" si="430"/>
        <v>0</v>
      </c>
      <c r="Q1920" s="95">
        <f t="shared" si="431"/>
        <v>0</v>
      </c>
      <c r="R1920" s="96"/>
      <c r="S1920" s="97"/>
      <c r="T1920" s="98"/>
      <c r="V1920" s="99"/>
      <c r="AB1920" s="99"/>
      <c r="AD1920" s="18"/>
      <c r="AE1920" s="100"/>
    </row>
    <row r="1921" spans="2:31" ht="20.100000000000001" customHeight="1">
      <c r="B1921" s="88"/>
      <c r="C1921" s="127" t="s">
        <v>3987</v>
      </c>
      <c r="D1921" s="80" t="s">
        <v>4095</v>
      </c>
      <c r="E1921" s="107" t="s">
        <v>4096</v>
      </c>
      <c r="F1921" s="322">
        <v>13.15</v>
      </c>
      <c r="G1921" s="260">
        <v>24</v>
      </c>
      <c r="H1921" s="260"/>
      <c r="I1921" s="309"/>
      <c r="J1921" s="199"/>
      <c r="K1921" s="269"/>
      <c r="L1921" s="93">
        <f t="shared" si="434"/>
        <v>24</v>
      </c>
      <c r="M1921" s="183">
        <v>24</v>
      </c>
      <c r="N1921" s="95">
        <f t="shared" si="432"/>
        <v>315.60000000000002</v>
      </c>
      <c r="O1921" s="95">
        <f t="shared" si="433"/>
        <v>315.60000000000002</v>
      </c>
      <c r="P1921" s="94">
        <f t="shared" si="430"/>
        <v>0</v>
      </c>
      <c r="Q1921" s="95">
        <f t="shared" si="431"/>
        <v>0</v>
      </c>
      <c r="R1921" s="96"/>
      <c r="S1921" s="97"/>
      <c r="T1921" s="98"/>
      <c r="V1921" s="99"/>
      <c r="AB1921" s="99"/>
      <c r="AD1921" s="18"/>
      <c r="AE1921" s="100"/>
    </row>
    <row r="1922" spans="2:31" ht="20.100000000000001" customHeight="1">
      <c r="B1922" s="88"/>
      <c r="C1922" s="127" t="s">
        <v>3987</v>
      </c>
      <c r="D1922" s="80" t="s">
        <v>4097</v>
      </c>
      <c r="E1922" s="107" t="s">
        <v>4098</v>
      </c>
      <c r="F1922" s="322">
        <v>13.4</v>
      </c>
      <c r="G1922" s="260">
        <v>24</v>
      </c>
      <c r="H1922" s="260"/>
      <c r="I1922" s="309"/>
      <c r="J1922" s="199"/>
      <c r="K1922" s="269"/>
      <c r="L1922" s="93">
        <f t="shared" si="434"/>
        <v>24</v>
      </c>
      <c r="M1922" s="183">
        <v>24</v>
      </c>
      <c r="N1922" s="95">
        <f t="shared" si="432"/>
        <v>321.60000000000002</v>
      </c>
      <c r="O1922" s="95">
        <f t="shared" si="433"/>
        <v>321.60000000000002</v>
      </c>
      <c r="P1922" s="94">
        <f t="shared" si="430"/>
        <v>0</v>
      </c>
      <c r="Q1922" s="95">
        <f t="shared" si="431"/>
        <v>0</v>
      </c>
      <c r="R1922" s="96"/>
      <c r="S1922" s="97"/>
      <c r="T1922" s="98"/>
      <c r="V1922" s="99"/>
      <c r="AB1922" s="99"/>
      <c r="AD1922" s="18"/>
      <c r="AE1922" s="100"/>
    </row>
    <row r="1923" spans="2:31" ht="20.100000000000001" customHeight="1">
      <c r="B1923" s="88"/>
      <c r="C1923" s="127" t="s">
        <v>3987</v>
      </c>
      <c r="D1923" s="80" t="s">
        <v>4099</v>
      </c>
      <c r="E1923" s="107" t="s">
        <v>4100</v>
      </c>
      <c r="F1923" s="322">
        <v>13.122</v>
      </c>
      <c r="G1923" s="260">
        <v>90</v>
      </c>
      <c r="H1923" s="260"/>
      <c r="I1923" s="309"/>
      <c r="J1923" s="199"/>
      <c r="K1923" s="269">
        <v>7</v>
      </c>
      <c r="L1923" s="93">
        <f t="shared" si="434"/>
        <v>83</v>
      </c>
      <c r="M1923" s="183">
        <v>83</v>
      </c>
      <c r="N1923" s="95">
        <f t="shared" si="432"/>
        <v>1089.126</v>
      </c>
      <c r="O1923" s="95">
        <f t="shared" si="433"/>
        <v>1089.126</v>
      </c>
      <c r="P1923" s="94">
        <f t="shared" si="430"/>
        <v>0</v>
      </c>
      <c r="Q1923" s="95">
        <f t="shared" si="431"/>
        <v>0</v>
      </c>
      <c r="R1923" s="96"/>
      <c r="S1923" s="97"/>
      <c r="T1923" s="98"/>
      <c r="V1923" s="99"/>
      <c r="AB1923" s="99"/>
      <c r="AD1923" s="18"/>
      <c r="AE1923" s="100"/>
    </row>
    <row r="1924" spans="2:31" ht="20.100000000000001" customHeight="1">
      <c r="B1924" s="88"/>
      <c r="C1924" s="127" t="s">
        <v>3987</v>
      </c>
      <c r="D1924" s="80" t="s">
        <v>4101</v>
      </c>
      <c r="E1924" s="107" t="s">
        <v>4102</v>
      </c>
      <c r="F1924" s="322">
        <v>14.9184</v>
      </c>
      <c r="G1924" s="260">
        <v>12</v>
      </c>
      <c r="H1924" s="260"/>
      <c r="I1924" s="309"/>
      <c r="J1924" s="199"/>
      <c r="K1924" s="269"/>
      <c r="L1924" s="93">
        <f t="shared" si="434"/>
        <v>12</v>
      </c>
      <c r="M1924" s="183">
        <v>12</v>
      </c>
      <c r="N1924" s="95">
        <f t="shared" si="432"/>
        <v>179.02080000000001</v>
      </c>
      <c r="O1924" s="95">
        <f t="shared" si="433"/>
        <v>179.02080000000001</v>
      </c>
      <c r="P1924" s="94">
        <f t="shared" si="430"/>
        <v>0</v>
      </c>
      <c r="Q1924" s="95">
        <f t="shared" si="431"/>
        <v>0</v>
      </c>
      <c r="R1924" s="96"/>
      <c r="S1924" s="97"/>
      <c r="T1924" s="98"/>
      <c r="V1924" s="99"/>
      <c r="AB1924" s="99"/>
      <c r="AD1924" s="18"/>
      <c r="AE1924" s="100"/>
    </row>
    <row r="1925" spans="2:31" ht="20.100000000000001" customHeight="1">
      <c r="B1925" s="88"/>
      <c r="C1925" s="127" t="s">
        <v>3987</v>
      </c>
      <c r="D1925" s="80" t="s">
        <v>4103</v>
      </c>
      <c r="E1925" s="107" t="s">
        <v>4104</v>
      </c>
      <c r="F1925" s="322">
        <v>118.1579</v>
      </c>
      <c r="G1925" s="260">
        <v>16</v>
      </c>
      <c r="H1925" s="260"/>
      <c r="I1925" s="309"/>
      <c r="J1925" s="199"/>
      <c r="K1925" s="269">
        <v>12</v>
      </c>
      <c r="L1925" s="93">
        <f t="shared" si="434"/>
        <v>4</v>
      </c>
      <c r="M1925" s="183">
        <v>4</v>
      </c>
      <c r="N1925" s="95">
        <f t="shared" si="432"/>
        <v>472.63159999999999</v>
      </c>
      <c r="O1925" s="95">
        <f t="shared" si="433"/>
        <v>472.63159999999999</v>
      </c>
      <c r="P1925" s="94">
        <f t="shared" si="430"/>
        <v>0</v>
      </c>
      <c r="Q1925" s="95">
        <f t="shared" si="431"/>
        <v>0</v>
      </c>
      <c r="R1925" s="96"/>
      <c r="S1925" s="97"/>
      <c r="T1925" s="98"/>
      <c r="V1925" s="99"/>
      <c r="AB1925" s="99"/>
      <c r="AD1925" s="18"/>
      <c r="AE1925" s="100"/>
    </row>
    <row r="1926" spans="2:31" ht="20.100000000000001" customHeight="1">
      <c r="B1926" s="88"/>
      <c r="C1926" s="127" t="s">
        <v>3987</v>
      </c>
      <c r="D1926" s="80" t="s">
        <v>4106</v>
      </c>
      <c r="E1926" s="107" t="s">
        <v>4107</v>
      </c>
      <c r="F1926" s="322">
        <v>118.1579</v>
      </c>
      <c r="G1926" s="260">
        <v>16</v>
      </c>
      <c r="H1926" s="260"/>
      <c r="I1926" s="309"/>
      <c r="J1926" s="199"/>
      <c r="K1926" s="269">
        <v>12</v>
      </c>
      <c r="L1926" s="93">
        <f t="shared" si="434"/>
        <v>4</v>
      </c>
      <c r="M1926" s="183">
        <v>4</v>
      </c>
      <c r="N1926" s="95">
        <f t="shared" si="432"/>
        <v>472.63159999999999</v>
      </c>
      <c r="O1926" s="95">
        <f t="shared" si="433"/>
        <v>472.63159999999999</v>
      </c>
      <c r="P1926" s="94">
        <f t="shared" si="430"/>
        <v>0</v>
      </c>
      <c r="Q1926" s="95">
        <f t="shared" si="431"/>
        <v>0</v>
      </c>
      <c r="R1926" s="96"/>
      <c r="S1926" s="97"/>
      <c r="T1926" s="98"/>
      <c r="V1926" s="99"/>
      <c r="AB1926" s="99"/>
      <c r="AD1926" s="18"/>
      <c r="AE1926" s="100"/>
    </row>
    <row r="1927" spans="2:31" ht="20.100000000000001" customHeight="1">
      <c r="B1927" s="88"/>
      <c r="C1927" s="127" t="s">
        <v>3987</v>
      </c>
      <c r="D1927" s="80" t="s">
        <v>4108</v>
      </c>
      <c r="E1927" s="107" t="s">
        <v>4109</v>
      </c>
      <c r="F1927" s="322">
        <v>109.83</v>
      </c>
      <c r="G1927" s="260">
        <v>12</v>
      </c>
      <c r="H1927" s="260"/>
      <c r="I1927" s="309"/>
      <c r="J1927" s="199"/>
      <c r="K1927" s="269"/>
      <c r="L1927" s="93">
        <f t="shared" si="434"/>
        <v>12</v>
      </c>
      <c r="M1927" s="183">
        <v>12</v>
      </c>
      <c r="N1927" s="95">
        <f t="shared" si="432"/>
        <v>1317.96</v>
      </c>
      <c r="O1927" s="95">
        <f t="shared" si="433"/>
        <v>1317.96</v>
      </c>
      <c r="P1927" s="94">
        <f t="shared" si="430"/>
        <v>0</v>
      </c>
      <c r="Q1927" s="95">
        <f t="shared" si="431"/>
        <v>0</v>
      </c>
      <c r="R1927" s="96"/>
      <c r="S1927" s="97"/>
      <c r="T1927" s="98"/>
      <c r="V1927" s="99"/>
      <c r="AB1927" s="99"/>
      <c r="AD1927" s="18"/>
      <c r="AE1927" s="100"/>
    </row>
    <row r="1928" spans="2:31" ht="20.100000000000001" customHeight="1">
      <c r="B1928" s="88"/>
      <c r="C1928" s="127" t="s">
        <v>3987</v>
      </c>
      <c r="D1928" s="80" t="s">
        <v>4110</v>
      </c>
      <c r="E1928" s="107" t="s">
        <v>4111</v>
      </c>
      <c r="F1928" s="322">
        <v>109.83</v>
      </c>
      <c r="G1928" s="260">
        <v>12</v>
      </c>
      <c r="H1928" s="260"/>
      <c r="I1928" s="309"/>
      <c r="J1928" s="199"/>
      <c r="K1928" s="269"/>
      <c r="L1928" s="93">
        <f t="shared" si="434"/>
        <v>12</v>
      </c>
      <c r="M1928" s="183">
        <v>12</v>
      </c>
      <c r="N1928" s="95">
        <f t="shared" si="432"/>
        <v>1317.96</v>
      </c>
      <c r="O1928" s="95">
        <f t="shared" si="433"/>
        <v>1317.96</v>
      </c>
      <c r="P1928" s="94">
        <f t="shared" si="430"/>
        <v>0</v>
      </c>
      <c r="Q1928" s="95">
        <f t="shared" si="431"/>
        <v>0</v>
      </c>
      <c r="R1928" s="96"/>
      <c r="S1928" s="97"/>
      <c r="T1928" s="98"/>
      <c r="V1928" s="99"/>
      <c r="AB1928" s="99"/>
      <c r="AD1928" s="18"/>
      <c r="AE1928" s="100"/>
    </row>
    <row r="1929" spans="2:31" ht="20.100000000000001" customHeight="1">
      <c r="B1929" s="88"/>
      <c r="C1929" s="127" t="s">
        <v>3987</v>
      </c>
      <c r="D1929" s="80" t="s">
        <v>4112</v>
      </c>
      <c r="E1929" s="107" t="s">
        <v>4113</v>
      </c>
      <c r="F1929" s="322">
        <v>6.1180000000000003</v>
      </c>
      <c r="G1929" s="260">
        <v>12</v>
      </c>
      <c r="H1929" s="260"/>
      <c r="I1929" s="309"/>
      <c r="J1929" s="199"/>
      <c r="K1929" s="269"/>
      <c r="L1929" s="93">
        <f t="shared" si="434"/>
        <v>12</v>
      </c>
      <c r="M1929" s="183">
        <v>12</v>
      </c>
      <c r="N1929" s="95">
        <f t="shared" si="432"/>
        <v>73.415999999999997</v>
      </c>
      <c r="O1929" s="95">
        <f t="shared" si="433"/>
        <v>73.415999999999997</v>
      </c>
      <c r="P1929" s="94">
        <f t="shared" si="430"/>
        <v>0</v>
      </c>
      <c r="Q1929" s="95">
        <f t="shared" si="431"/>
        <v>0</v>
      </c>
      <c r="R1929" s="96"/>
      <c r="S1929" s="97"/>
      <c r="T1929" s="98"/>
      <c r="V1929" s="99"/>
      <c r="AB1929" s="99"/>
      <c r="AD1929" s="18"/>
      <c r="AE1929" s="100"/>
    </row>
    <row r="1930" spans="2:31" ht="20.100000000000001" customHeight="1">
      <c r="B1930" s="88"/>
      <c r="C1930" s="127" t="s">
        <v>3987</v>
      </c>
      <c r="D1930" s="80" t="s">
        <v>2393</v>
      </c>
      <c r="E1930" s="107" t="s">
        <v>2394</v>
      </c>
      <c r="F1930" s="322">
        <v>7.2995222222222198</v>
      </c>
      <c r="G1930" s="260">
        <v>144</v>
      </c>
      <c r="H1930" s="260"/>
      <c r="I1930" s="309"/>
      <c r="J1930" s="199"/>
      <c r="K1930" s="269"/>
      <c r="L1930" s="93">
        <f t="shared" si="434"/>
        <v>144</v>
      </c>
      <c r="M1930" s="183">
        <v>144</v>
      </c>
      <c r="N1930" s="95">
        <f t="shared" si="432"/>
        <v>1051.1311999999996</v>
      </c>
      <c r="O1930" s="95">
        <f t="shared" si="433"/>
        <v>1051.1311999999996</v>
      </c>
      <c r="P1930" s="94">
        <f t="shared" si="430"/>
        <v>0</v>
      </c>
      <c r="Q1930" s="95">
        <f t="shared" si="431"/>
        <v>0</v>
      </c>
      <c r="R1930" s="96"/>
      <c r="S1930" s="97"/>
      <c r="T1930" s="98"/>
      <c r="V1930" s="99"/>
      <c r="AB1930" s="99"/>
      <c r="AD1930" s="18"/>
      <c r="AE1930" s="100"/>
    </row>
    <row r="1931" spans="2:31" ht="20.100000000000001" customHeight="1">
      <c r="B1931" s="88"/>
      <c r="C1931" s="127" t="s">
        <v>3987</v>
      </c>
      <c r="D1931" s="80" t="s">
        <v>4114</v>
      </c>
      <c r="E1931" s="107" t="s">
        <v>4115</v>
      </c>
      <c r="F1931" s="322">
        <v>28.85</v>
      </c>
      <c r="G1931" s="260">
        <v>5</v>
      </c>
      <c r="H1931" s="260"/>
      <c r="I1931" s="309"/>
      <c r="J1931" s="199"/>
      <c r="K1931" s="269"/>
      <c r="L1931" s="93">
        <f t="shared" si="434"/>
        <v>5</v>
      </c>
      <c r="M1931" s="183">
        <v>5</v>
      </c>
      <c r="N1931" s="95">
        <f t="shared" si="432"/>
        <v>144.25</v>
      </c>
      <c r="O1931" s="95">
        <f t="shared" si="433"/>
        <v>144.25</v>
      </c>
      <c r="P1931" s="94">
        <f t="shared" si="430"/>
        <v>0</v>
      </c>
      <c r="Q1931" s="95">
        <f t="shared" si="431"/>
        <v>0</v>
      </c>
      <c r="R1931" s="96"/>
      <c r="S1931" s="97"/>
      <c r="T1931" s="98"/>
      <c r="V1931" s="99"/>
      <c r="AB1931" s="99"/>
      <c r="AD1931" s="18"/>
      <c r="AE1931" s="100"/>
    </row>
    <row r="1932" spans="2:31" ht="20.100000000000001" customHeight="1">
      <c r="B1932" s="88"/>
      <c r="C1932" s="127" t="s">
        <v>3987</v>
      </c>
      <c r="D1932" s="80" t="s">
        <v>4116</v>
      </c>
      <c r="E1932" s="107" t="s">
        <v>4117</v>
      </c>
      <c r="F1932" s="322">
        <v>28.85</v>
      </c>
      <c r="G1932" s="260">
        <v>5</v>
      </c>
      <c r="H1932" s="260"/>
      <c r="I1932" s="309"/>
      <c r="J1932" s="199"/>
      <c r="K1932" s="269"/>
      <c r="L1932" s="93">
        <f t="shared" si="434"/>
        <v>5</v>
      </c>
      <c r="M1932" s="183">
        <v>5</v>
      </c>
      <c r="N1932" s="95">
        <f t="shared" si="432"/>
        <v>144.25</v>
      </c>
      <c r="O1932" s="95">
        <f t="shared" si="433"/>
        <v>144.25</v>
      </c>
      <c r="P1932" s="94">
        <f t="shared" si="430"/>
        <v>0</v>
      </c>
      <c r="Q1932" s="95">
        <f t="shared" si="431"/>
        <v>0</v>
      </c>
      <c r="R1932" s="96"/>
      <c r="S1932" s="97"/>
      <c r="T1932" s="98"/>
      <c r="V1932" s="99"/>
      <c r="AB1932" s="99"/>
      <c r="AD1932" s="18"/>
      <c r="AE1932" s="100"/>
    </row>
    <row r="1933" spans="2:31" ht="20.100000000000001" customHeight="1">
      <c r="B1933" s="88"/>
      <c r="C1933" s="127" t="s">
        <v>3987</v>
      </c>
      <c r="D1933" s="80" t="s">
        <v>4118</v>
      </c>
      <c r="E1933" s="107" t="s">
        <v>4119</v>
      </c>
      <c r="F1933" s="322">
        <v>55.95</v>
      </c>
      <c r="G1933" s="260">
        <v>1</v>
      </c>
      <c r="H1933" s="260"/>
      <c r="I1933" s="309">
        <v>1</v>
      </c>
      <c r="J1933" s="199">
        <f>1+1</f>
        <v>2</v>
      </c>
      <c r="K1933" s="269"/>
      <c r="L1933" s="93">
        <f t="shared" si="434"/>
        <v>0</v>
      </c>
      <c r="M1933" s="183"/>
      <c r="N1933" s="95">
        <f t="shared" si="432"/>
        <v>0</v>
      </c>
      <c r="O1933" s="95">
        <f t="shared" si="433"/>
        <v>0</v>
      </c>
      <c r="P1933" s="94">
        <f t="shared" si="430"/>
        <v>0</v>
      </c>
      <c r="Q1933" s="95">
        <f t="shared" si="431"/>
        <v>0</v>
      </c>
      <c r="R1933" s="96"/>
      <c r="S1933" s="97"/>
      <c r="T1933" s="98"/>
      <c r="V1933" s="99"/>
      <c r="AB1933" s="99"/>
      <c r="AD1933" s="18"/>
      <c r="AE1933" s="100"/>
    </row>
    <row r="1934" spans="2:31" ht="20.100000000000001" customHeight="1">
      <c r="B1934" s="88"/>
      <c r="C1934" s="127" t="s">
        <v>3987</v>
      </c>
      <c r="D1934" s="80" t="s">
        <v>4121</v>
      </c>
      <c r="E1934" s="107" t="s">
        <v>4122</v>
      </c>
      <c r="F1934" s="322">
        <v>72.45</v>
      </c>
      <c r="G1934" s="260">
        <v>3</v>
      </c>
      <c r="H1934" s="260"/>
      <c r="I1934" s="309"/>
      <c r="J1934" s="199"/>
      <c r="K1934" s="269">
        <v>1</v>
      </c>
      <c r="L1934" s="93">
        <f t="shared" si="434"/>
        <v>2</v>
      </c>
      <c r="M1934" s="183">
        <v>2</v>
      </c>
      <c r="N1934" s="95">
        <f t="shared" si="432"/>
        <v>144.9</v>
      </c>
      <c r="O1934" s="95">
        <f t="shared" si="433"/>
        <v>144.9</v>
      </c>
      <c r="P1934" s="94">
        <f t="shared" si="430"/>
        <v>0</v>
      </c>
      <c r="Q1934" s="95">
        <f t="shared" si="431"/>
        <v>0</v>
      </c>
      <c r="R1934" s="96"/>
      <c r="S1934" s="97"/>
      <c r="T1934" s="98"/>
      <c r="V1934" s="99"/>
      <c r="AB1934" s="99"/>
      <c r="AD1934" s="18"/>
      <c r="AE1934" s="100"/>
    </row>
    <row r="1935" spans="2:31" ht="20.100000000000001" customHeight="1">
      <c r="B1935" s="88"/>
      <c r="C1935" s="127" t="s">
        <v>3987</v>
      </c>
      <c r="D1935" s="80" t="s">
        <v>4124</v>
      </c>
      <c r="E1935" s="107" t="s">
        <v>4125</v>
      </c>
      <c r="F1935" s="322">
        <v>140.66999999999999</v>
      </c>
      <c r="G1935" s="260">
        <v>2</v>
      </c>
      <c r="H1935" s="260"/>
      <c r="I1935" s="309"/>
      <c r="J1935" s="199"/>
      <c r="K1935" s="269"/>
      <c r="L1935" s="93">
        <f t="shared" si="434"/>
        <v>2</v>
      </c>
      <c r="M1935" s="183">
        <v>2</v>
      </c>
      <c r="N1935" s="95">
        <f t="shared" si="432"/>
        <v>281.33999999999997</v>
      </c>
      <c r="O1935" s="95">
        <f t="shared" si="433"/>
        <v>281.33999999999997</v>
      </c>
      <c r="P1935" s="94">
        <f>L1935-M1935</f>
        <v>0</v>
      </c>
      <c r="Q1935" s="95">
        <f t="shared" si="431"/>
        <v>0</v>
      </c>
      <c r="R1935" s="96"/>
      <c r="S1935" s="97"/>
      <c r="T1935" s="98"/>
      <c r="V1935" s="99"/>
      <c r="AB1935" s="99"/>
      <c r="AD1935" s="18"/>
      <c r="AE1935" s="100"/>
    </row>
    <row r="1936" spans="2:31" ht="20.100000000000001" customHeight="1">
      <c r="B1936" s="88"/>
      <c r="C1936" s="127" t="s">
        <v>3987</v>
      </c>
      <c r="D1936" s="80" t="s">
        <v>4126</v>
      </c>
      <c r="E1936" s="107" t="s">
        <v>4127</v>
      </c>
      <c r="F1936" s="322">
        <v>140.66999999999999</v>
      </c>
      <c r="G1936" s="260">
        <v>2</v>
      </c>
      <c r="H1936" s="260"/>
      <c r="I1936" s="309"/>
      <c r="J1936" s="199"/>
      <c r="K1936" s="269"/>
      <c r="L1936" s="93">
        <f t="shared" si="434"/>
        <v>2</v>
      </c>
      <c r="M1936" s="183">
        <v>2</v>
      </c>
      <c r="N1936" s="95">
        <f t="shared" si="432"/>
        <v>281.33999999999997</v>
      </c>
      <c r="O1936" s="95">
        <f t="shared" si="433"/>
        <v>281.33999999999997</v>
      </c>
      <c r="P1936" s="94">
        <f t="shared" si="430"/>
        <v>0</v>
      </c>
      <c r="Q1936" s="95">
        <f t="shared" si="431"/>
        <v>0</v>
      </c>
      <c r="R1936" s="96"/>
      <c r="S1936" s="97"/>
      <c r="T1936" s="98"/>
      <c r="V1936" s="99"/>
      <c r="AB1936" s="99"/>
      <c r="AD1936" s="18"/>
      <c r="AE1936" s="100"/>
    </row>
    <row r="1937" spans="1:31" ht="20.100000000000001" customHeight="1">
      <c r="B1937" s="88"/>
      <c r="C1937" s="89" t="s">
        <v>4128</v>
      </c>
      <c r="D1937" s="90" t="s">
        <v>4129</v>
      </c>
      <c r="E1937" s="91" t="s">
        <v>4130</v>
      </c>
      <c r="F1937" s="315">
        <v>3.6</v>
      </c>
      <c r="G1937" s="260">
        <v>24</v>
      </c>
      <c r="H1937" s="260"/>
      <c r="I1937" s="309"/>
      <c r="J1937" s="199"/>
      <c r="K1937" s="269">
        <v>1</v>
      </c>
      <c r="L1937" s="93">
        <f t="shared" si="434"/>
        <v>23</v>
      </c>
      <c r="M1937" s="183">
        <v>23</v>
      </c>
      <c r="N1937" s="95">
        <f t="shared" si="432"/>
        <v>82.8</v>
      </c>
      <c r="O1937" s="95">
        <f t="shared" si="433"/>
        <v>82.8</v>
      </c>
      <c r="P1937" s="94">
        <f t="shared" si="430"/>
        <v>0</v>
      </c>
      <c r="Q1937" s="95">
        <f t="shared" si="431"/>
        <v>0</v>
      </c>
      <c r="R1937" s="96"/>
      <c r="S1937" s="97">
        <f t="shared" ref="S1937:S1938" si="435">U1937+Y1937+W1937+AA1937</f>
        <v>22</v>
      </c>
      <c r="T1937" s="98">
        <f t="shared" si="427"/>
        <v>1</v>
      </c>
      <c r="U1937">
        <v>22</v>
      </c>
    </row>
    <row r="1938" spans="1:31" ht="20.100000000000001" customHeight="1">
      <c r="B1938" s="88"/>
      <c r="C1938" s="89" t="s">
        <v>4128</v>
      </c>
      <c r="D1938" s="90">
        <v>721567</v>
      </c>
      <c r="E1938" s="91" t="s">
        <v>1132</v>
      </c>
      <c r="F1938" s="315">
        <v>3.6</v>
      </c>
      <c r="G1938" s="260">
        <v>12</v>
      </c>
      <c r="H1938" s="260"/>
      <c r="I1938" s="309"/>
      <c r="J1938" s="199"/>
      <c r="K1938" s="269"/>
      <c r="L1938" s="93">
        <f t="shared" si="434"/>
        <v>12</v>
      </c>
      <c r="M1938" s="183">
        <v>12</v>
      </c>
      <c r="N1938" s="95">
        <f t="shared" si="432"/>
        <v>43.2</v>
      </c>
      <c r="O1938" s="95">
        <f t="shared" si="433"/>
        <v>43.2</v>
      </c>
      <c r="P1938" s="94">
        <f t="shared" si="430"/>
        <v>0</v>
      </c>
      <c r="Q1938" s="95">
        <f t="shared" si="431"/>
        <v>0</v>
      </c>
      <c r="R1938" s="96"/>
      <c r="S1938" s="97">
        <f t="shared" si="435"/>
        <v>12</v>
      </c>
      <c r="T1938" s="98">
        <f t="shared" si="427"/>
        <v>0</v>
      </c>
      <c r="U1938">
        <v>12</v>
      </c>
    </row>
    <row r="1939" spans="1:31" s="99" customFormat="1">
      <c r="B1939" s="20" t="s">
        <v>12</v>
      </c>
      <c r="C1939" s="21"/>
      <c r="D1939" s="135"/>
      <c r="E1939" s="136"/>
      <c r="F1939" s="323"/>
      <c r="G1939" s="275">
        <f t="shared" ref="G1939:Q1939" si="436">SUM(G6:G1938)</f>
        <v>43548</v>
      </c>
      <c r="H1939" s="275"/>
      <c r="I1939" s="275">
        <f t="shared" si="436"/>
        <v>4362</v>
      </c>
      <c r="J1939" s="275">
        <f t="shared" si="436"/>
        <v>1096</v>
      </c>
      <c r="K1939" s="137">
        <f t="shared" si="436"/>
        <v>5232</v>
      </c>
      <c r="L1939" s="137">
        <f t="shared" si="436"/>
        <v>44122</v>
      </c>
      <c r="M1939" s="184">
        <f t="shared" si="436"/>
        <v>44542</v>
      </c>
      <c r="N1939" s="137">
        <f t="shared" si="436"/>
        <v>988174.41953333234</v>
      </c>
      <c r="O1939" s="137">
        <f t="shared" si="436"/>
        <v>998209.33013333182</v>
      </c>
      <c r="P1939" s="137">
        <f t="shared" si="436"/>
        <v>-420</v>
      </c>
      <c r="Q1939" s="137">
        <f t="shared" si="436"/>
        <v>-10034.910599999997</v>
      </c>
      <c r="R1939" s="135"/>
      <c r="S1939" s="87"/>
      <c r="T1939" s="87"/>
    </row>
    <row r="1940" spans="1:31">
      <c r="AD1940" s="138">
        <f>SUBTOTAL(9,AD16:AD1899)</f>
        <v>6056</v>
      </c>
      <c r="AE1940" s="139">
        <f>SUBTOTAL(9,AE16:AE1899)</f>
        <v>107820.39999999998</v>
      </c>
    </row>
    <row r="1941" spans="1:31" s="78" customFormat="1">
      <c r="A1941"/>
      <c r="B1941" s="22" t="s">
        <v>13</v>
      </c>
      <c r="C1941" s="22"/>
      <c r="D1941" s="140" t="s">
        <v>14</v>
      </c>
      <c r="E1941" s="141" t="s">
        <v>15</v>
      </c>
      <c r="F1941" s="324" t="s">
        <v>16</v>
      </c>
      <c r="G1941" s="196"/>
      <c r="H1941" s="196"/>
      <c r="I1941" s="196"/>
      <c r="J1941" s="196"/>
      <c r="K1941" s="196"/>
      <c r="L1941" s="196"/>
      <c r="M1941" s="196"/>
      <c r="N1941" s="197"/>
      <c r="P1941" s="77"/>
      <c r="R1941"/>
      <c r="S1941" s="79"/>
      <c r="T1941" s="79"/>
      <c r="U1941"/>
      <c r="V1941"/>
      <c r="W1941"/>
      <c r="X1941"/>
      <c r="Y1941"/>
      <c r="Z1941"/>
      <c r="AA1941"/>
      <c r="AB1941"/>
    </row>
    <row r="1942" spans="1:31" s="78" customFormat="1" ht="15.75" customHeight="1">
      <c r="A1942"/>
      <c r="B1942" s="142" t="s">
        <v>17</v>
      </c>
      <c r="C1942" s="143"/>
      <c r="D1942" s="144">
        <f>N1939</f>
        <v>988174.41953333234</v>
      </c>
      <c r="E1942" s="145">
        <f>G1939</f>
        <v>43548</v>
      </c>
      <c r="F1942" s="357" t="s">
        <v>4132</v>
      </c>
      <c r="G1942" s="356"/>
      <c r="H1942" s="356"/>
      <c r="I1942" s="356"/>
      <c r="J1942" s="356"/>
      <c r="K1942" s="356"/>
      <c r="L1942" s="356"/>
      <c r="M1942" s="356"/>
      <c r="N1942" s="358"/>
      <c r="P1942" s="77"/>
      <c r="R1942"/>
      <c r="S1942" s="79"/>
      <c r="T1942" s="79"/>
      <c r="U1942"/>
      <c r="V1942"/>
      <c r="W1942"/>
      <c r="X1942"/>
      <c r="Y1942"/>
      <c r="Z1942"/>
      <c r="AA1942"/>
      <c r="AB1942"/>
    </row>
    <row r="1943" spans="1:31" s="78" customFormat="1">
      <c r="A1943"/>
      <c r="B1943" s="146" t="s">
        <v>6</v>
      </c>
      <c r="C1943" s="147"/>
      <c r="D1943" s="144">
        <f>O1939</f>
        <v>998209.33013333182</v>
      </c>
      <c r="E1943" s="145">
        <f>M1939</f>
        <v>44542</v>
      </c>
      <c r="F1943" s="359"/>
      <c r="G1943" s="360"/>
      <c r="H1943" s="360"/>
      <c r="I1943" s="360"/>
      <c r="J1943" s="360"/>
      <c r="K1943" s="360"/>
      <c r="L1943" s="360"/>
      <c r="M1943" s="360"/>
      <c r="N1943" s="361"/>
      <c r="P1943" s="77"/>
      <c r="R1943"/>
      <c r="S1943" s="79"/>
      <c r="T1943" s="79"/>
      <c r="U1943"/>
      <c r="V1943"/>
      <c r="W1943"/>
      <c r="X1943"/>
      <c r="Y1943"/>
      <c r="Z1943"/>
      <c r="AA1943"/>
      <c r="AB1943"/>
    </row>
    <row r="1944" spans="1:31" s="78" customFormat="1">
      <c r="A1944"/>
      <c r="B1944" s="148" t="s">
        <v>18</v>
      </c>
      <c r="C1944" s="149"/>
      <c r="D1944" s="150">
        <f>D1942-D1943</f>
        <v>-10034.910599999479</v>
      </c>
      <c r="E1944" s="151">
        <f>E1942-E1943</f>
        <v>-994</v>
      </c>
      <c r="F1944" s="362"/>
      <c r="G1944" s="363"/>
      <c r="H1944" s="363"/>
      <c r="I1944" s="363"/>
      <c r="J1944" s="363"/>
      <c r="K1944" s="363"/>
      <c r="L1944" s="363"/>
      <c r="M1944" s="363"/>
      <c r="N1944" s="364"/>
      <c r="P1944" s="77"/>
      <c r="R1944"/>
      <c r="S1944" s="79"/>
      <c r="T1944" s="79"/>
      <c r="U1944"/>
      <c r="V1944"/>
      <c r="W1944"/>
      <c r="X1944"/>
      <c r="Y1944"/>
      <c r="Z1944"/>
      <c r="AA1944"/>
      <c r="AB1944"/>
    </row>
    <row r="1946" spans="1:31" s="78" customFormat="1">
      <c r="A1946"/>
      <c r="B1946" s="2" t="s">
        <v>19</v>
      </c>
      <c r="C1946" s="2"/>
      <c r="D1946" s="2"/>
      <c r="E1946" s="152" t="s">
        <v>20</v>
      </c>
      <c r="F1946" s="325"/>
      <c r="G1946" s="153" t="s">
        <v>21</v>
      </c>
      <c r="H1946" s="153"/>
      <c r="I1946" s="153"/>
      <c r="J1946" s="153"/>
      <c r="K1946" s="153"/>
      <c r="L1946" s="153"/>
      <c r="M1946" s="19"/>
      <c r="P1946" s="77"/>
      <c r="Q1946" s="78" t="s">
        <v>5246</v>
      </c>
      <c r="R1946"/>
      <c r="S1946" s="79"/>
      <c r="T1946" s="79"/>
      <c r="U1946"/>
      <c r="V1946"/>
      <c r="W1946"/>
      <c r="X1946"/>
      <c r="Y1946"/>
      <c r="Z1946"/>
      <c r="AA1946"/>
      <c r="AB1946"/>
    </row>
    <row r="1947" spans="1:31" s="78" customFormat="1">
      <c r="A1947"/>
      <c r="B1947" s="2"/>
      <c r="C1947" s="2"/>
      <c r="D1947" s="2"/>
      <c r="E1947" s="152"/>
      <c r="F1947" s="325"/>
      <c r="G1947" s="153"/>
      <c r="H1947" s="153"/>
      <c r="I1947" s="153"/>
      <c r="J1947" s="153"/>
      <c r="K1947" s="153"/>
      <c r="L1947" s="153"/>
      <c r="M1947" s="19"/>
      <c r="P1947" s="77"/>
      <c r="R1947"/>
      <c r="S1947" s="79"/>
      <c r="T1947" s="79"/>
      <c r="U1947"/>
      <c r="V1947"/>
      <c r="W1947"/>
      <c r="X1947"/>
      <c r="Y1947"/>
      <c r="Z1947"/>
      <c r="AA1947"/>
      <c r="AB1947"/>
    </row>
    <row r="1948" spans="1:31" s="78" customFormat="1">
      <c r="A1948"/>
      <c r="B1948" s="334" t="s">
        <v>5253</v>
      </c>
      <c r="C1948" s="334"/>
      <c r="D1948"/>
      <c r="E1948" s="154" t="s">
        <v>4133</v>
      </c>
      <c r="F1948" s="326"/>
      <c r="G1948" s="3" t="s">
        <v>4134</v>
      </c>
      <c r="H1948" s="3"/>
      <c r="I1948" s="3"/>
      <c r="J1948" s="3"/>
      <c r="K1948" s="3"/>
      <c r="L1948" s="3"/>
      <c r="M1948" s="3"/>
      <c r="N1948" s="3"/>
      <c r="P1948" s="77"/>
      <c r="R1948"/>
      <c r="S1948" s="79"/>
      <c r="T1948" s="79"/>
      <c r="U1948"/>
      <c r="V1948"/>
      <c r="W1948"/>
      <c r="X1948"/>
      <c r="Y1948"/>
      <c r="Z1948"/>
      <c r="AA1948"/>
      <c r="AB1948"/>
    </row>
    <row r="1949" spans="1:31" s="78" customFormat="1">
      <c r="A1949"/>
      <c r="B1949" s="333" t="s">
        <v>4135</v>
      </c>
      <c r="C1949" s="333"/>
      <c r="D1949"/>
      <c r="E1949" s="155" t="s">
        <v>4136</v>
      </c>
      <c r="F1949" s="327"/>
      <c r="G1949" s="195" t="s">
        <v>23</v>
      </c>
      <c r="H1949" s="195"/>
      <c r="I1949" s="195"/>
      <c r="J1949" s="195"/>
      <c r="K1949" s="195"/>
      <c r="L1949" s="195"/>
      <c r="M1949" s="195"/>
      <c r="N1949" s="195"/>
      <c r="P1949" s="77"/>
      <c r="R1949"/>
      <c r="S1949" s="79"/>
      <c r="T1949" s="79"/>
      <c r="U1949"/>
      <c r="V1949"/>
      <c r="W1949"/>
      <c r="X1949"/>
      <c r="Y1949"/>
      <c r="Z1949"/>
      <c r="AA1949"/>
      <c r="AB1949"/>
    </row>
    <row r="1950" spans="1:31" s="78" customFormat="1">
      <c r="A1950"/>
      <c r="B1950"/>
      <c r="C1950"/>
      <c r="D1950"/>
      <c r="E1950" s="11"/>
      <c r="F1950" s="327"/>
      <c r="G1950" s="19"/>
      <c r="H1950" s="19"/>
      <c r="I1950" s="19"/>
      <c r="J1950" s="19"/>
      <c r="K1950" s="19"/>
      <c r="L1950" s="19"/>
      <c r="M1950" s="19"/>
      <c r="P1950" s="77"/>
      <c r="R1950"/>
      <c r="S1950" s="79"/>
      <c r="T1950" s="79"/>
      <c r="U1950"/>
      <c r="V1950"/>
      <c r="W1950"/>
      <c r="X1950"/>
      <c r="Y1950"/>
      <c r="Z1950"/>
      <c r="AA1950"/>
      <c r="AB1950"/>
    </row>
    <row r="1951" spans="1:31" s="78" customFormat="1">
      <c r="A1951"/>
      <c r="B1951"/>
      <c r="C1951"/>
      <c r="D1951"/>
      <c r="E1951" s="11"/>
      <c r="F1951" s="327"/>
      <c r="G1951" s="19"/>
      <c r="H1951" s="19"/>
      <c r="I1951" s="19"/>
      <c r="J1951" s="19"/>
      <c r="K1951" s="19"/>
      <c r="L1951" s="19"/>
      <c r="M1951" s="19"/>
      <c r="P1951" s="77"/>
      <c r="R1951"/>
      <c r="S1951" s="79"/>
      <c r="T1951" s="79"/>
      <c r="U1951"/>
      <c r="V1951"/>
      <c r="W1951"/>
      <c r="X1951"/>
      <c r="Y1951"/>
      <c r="Z1951"/>
      <c r="AA1951"/>
      <c r="AB1951"/>
    </row>
    <row r="1952" spans="1:31" s="78" customFormat="1">
      <c r="A1952"/>
      <c r="B1952" s="2" t="s">
        <v>24</v>
      </c>
      <c r="C1952" s="5"/>
      <c r="D1952"/>
      <c r="E1952" s="11"/>
      <c r="F1952" s="327"/>
      <c r="G1952" s="153" t="s">
        <v>25</v>
      </c>
      <c r="H1952" s="153"/>
      <c r="I1952" s="153"/>
      <c r="J1952" s="153"/>
      <c r="K1952" s="153"/>
      <c r="L1952" s="153"/>
      <c r="M1952" s="19"/>
      <c r="P1952" s="77"/>
      <c r="R1952"/>
      <c r="S1952" s="79"/>
      <c r="T1952" s="79"/>
      <c r="U1952"/>
      <c r="V1952"/>
      <c r="W1952"/>
      <c r="X1952"/>
      <c r="Y1952"/>
      <c r="Z1952"/>
      <c r="AA1952"/>
      <c r="AB1952"/>
    </row>
    <row r="1953" spans="1:28" s="78" customFormat="1">
      <c r="A1953"/>
      <c r="B1953" s="2"/>
      <c r="C1953" s="5"/>
      <c r="D1953"/>
      <c r="E1953" s="11"/>
      <c r="F1953" s="327"/>
      <c r="G1953" s="153"/>
      <c r="H1953" s="153"/>
      <c r="I1953" s="153"/>
      <c r="J1953" s="153"/>
      <c r="K1953" s="153"/>
      <c r="L1953" s="153"/>
      <c r="M1953" s="19"/>
      <c r="P1953" s="77"/>
      <c r="R1953"/>
      <c r="S1953" s="79"/>
      <c r="T1953" s="79"/>
      <c r="U1953"/>
      <c r="V1953"/>
      <c r="W1953"/>
      <c r="X1953"/>
      <c r="Y1953"/>
      <c r="Z1953"/>
      <c r="AA1953"/>
      <c r="AB1953"/>
    </row>
    <row r="1954" spans="1:28" s="78" customFormat="1">
      <c r="A1954"/>
      <c r="B1954" s="334" t="s">
        <v>5265</v>
      </c>
      <c r="C1954" s="334"/>
      <c r="D1954" s="334"/>
      <c r="E1954" s="156"/>
      <c r="F1954" s="327"/>
      <c r="G1954" s="3" t="s">
        <v>26</v>
      </c>
      <c r="H1954" s="3"/>
      <c r="I1954" s="3"/>
      <c r="J1954" s="3"/>
      <c r="K1954" s="3"/>
      <c r="L1954" s="3"/>
      <c r="M1954" s="3"/>
      <c r="N1954" s="3"/>
      <c r="P1954" s="77"/>
      <c r="R1954"/>
      <c r="S1954" s="79"/>
      <c r="T1954" s="79"/>
      <c r="U1954"/>
      <c r="V1954"/>
      <c r="W1954"/>
      <c r="X1954"/>
      <c r="Y1954"/>
      <c r="Z1954"/>
      <c r="AA1954"/>
      <c r="AB1954"/>
    </row>
    <row r="1955" spans="1:28" s="78" customFormat="1">
      <c r="A1955"/>
      <c r="B1955" s="333" t="s">
        <v>4137</v>
      </c>
      <c r="C1955" s="333"/>
      <c r="D1955" s="333"/>
      <c r="E1955" s="11"/>
      <c r="F1955" s="327"/>
      <c r="G1955" s="195" t="s">
        <v>27</v>
      </c>
      <c r="H1955" s="195"/>
      <c r="I1955" s="195"/>
      <c r="J1955" s="195"/>
      <c r="K1955" s="195"/>
      <c r="L1955" s="195"/>
      <c r="M1955" s="195"/>
      <c r="N1955" s="195"/>
      <c r="P1955" s="77"/>
      <c r="R1955"/>
      <c r="S1955" s="79"/>
      <c r="T1955" s="79"/>
      <c r="U1955"/>
      <c r="V1955"/>
      <c r="W1955"/>
      <c r="X1955"/>
      <c r="Y1955"/>
      <c r="Z1955"/>
      <c r="AA1955"/>
      <c r="AB1955"/>
    </row>
  </sheetData>
  <autoFilter ref="A5:AE1939" xr:uid="{FF53589D-7AB8-46BD-8DD3-0091F11C2218}"/>
  <mergeCells count="10">
    <mergeCell ref="W4:X4"/>
    <mergeCell ref="Y4:Z4"/>
    <mergeCell ref="AA4:AB4"/>
    <mergeCell ref="R1144:R1145"/>
    <mergeCell ref="B1955:D1955"/>
    <mergeCell ref="B1948:C1948"/>
    <mergeCell ref="B1949:C1949"/>
    <mergeCell ref="B1954:D1954"/>
    <mergeCell ref="U4:V4"/>
    <mergeCell ref="F1942:N1944"/>
  </mergeCells>
  <pageMargins left="0.7" right="0.7" top="0.5" bottom="0.5" header="0.3" footer="0.3"/>
  <pageSetup paperSize="14" scale="51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A39-DED6-4975-8251-2FBAE85EC7A3}">
  <sheetPr>
    <tabColor rgb="FFFFFF00"/>
    <pageSetUpPr fitToPage="1"/>
  </sheetPr>
  <dimension ref="A1:H121"/>
  <sheetViews>
    <sheetView view="pageBreakPreview" topLeftCell="A101" zoomScaleNormal="100" zoomScaleSheetLayoutView="100" workbookViewId="0">
      <selection activeCell="E113" sqref="E113"/>
    </sheetView>
  </sheetViews>
  <sheetFormatPr defaultColWidth="9" defaultRowHeight="15"/>
  <cols>
    <col min="1" max="1" width="18.42578125" customWidth="1"/>
    <col min="2" max="2" width="49.140625" customWidth="1"/>
    <col min="3" max="3" width="9.5703125" customWidth="1"/>
    <col min="4" max="4" width="10.5703125" customWidth="1"/>
    <col min="5" max="5" width="11.140625" customWidth="1"/>
    <col min="6" max="6" width="12.42578125" customWidth="1"/>
    <col min="7" max="7" width="12.85546875" customWidth="1"/>
    <col min="8" max="8" width="16.28515625" customWidth="1"/>
  </cols>
  <sheetData>
    <row r="1" spans="1:8">
      <c r="A1" s="2" t="s">
        <v>4138</v>
      </c>
    </row>
    <row r="2" spans="1:8">
      <c r="A2" s="193" t="str">
        <f>PRINTING!B2</f>
        <v>AS OF JUNE 2026</v>
      </c>
    </row>
    <row r="3" spans="1:8">
      <c r="A3" s="7" t="s">
        <v>28</v>
      </c>
    </row>
    <row r="4" spans="1:8" s="158" customFormat="1" ht="24">
      <c r="A4" s="85" t="s">
        <v>3</v>
      </c>
      <c r="B4" s="84" t="s">
        <v>4</v>
      </c>
      <c r="C4" s="157" t="s">
        <v>5</v>
      </c>
      <c r="D4" s="157" t="s">
        <v>12</v>
      </c>
      <c r="E4" s="157" t="s">
        <v>4139</v>
      </c>
      <c r="F4" s="84" t="s">
        <v>9</v>
      </c>
      <c r="G4" s="84" t="s">
        <v>10</v>
      </c>
      <c r="H4" s="84" t="s">
        <v>11</v>
      </c>
    </row>
    <row r="5" spans="1:8" s="159" customFormat="1">
      <c r="A5" s="90" t="s">
        <v>2294</v>
      </c>
      <c r="B5" s="91" t="s">
        <v>2295</v>
      </c>
      <c r="C5" s="92">
        <v>6.17</v>
      </c>
      <c r="D5" s="93">
        <v>1</v>
      </c>
      <c r="E5" s="183">
        <v>2</v>
      </c>
      <c r="F5" s="94">
        <v>-1</v>
      </c>
      <c r="G5" s="95">
        <v>-6.17</v>
      </c>
      <c r="H5" s="96"/>
    </row>
    <row r="6" spans="1:8" s="159" customFormat="1">
      <c r="A6" s="90" t="s">
        <v>2312</v>
      </c>
      <c r="B6" s="91" t="s">
        <v>2313</v>
      </c>
      <c r="C6" s="92">
        <v>6.48</v>
      </c>
      <c r="D6" s="93">
        <v>306</v>
      </c>
      <c r="E6" s="183">
        <v>311</v>
      </c>
      <c r="F6" s="94">
        <v>-5</v>
      </c>
      <c r="G6" s="95">
        <v>-32.400000000000091</v>
      </c>
      <c r="H6" s="96"/>
    </row>
    <row r="7" spans="1:8" s="159" customFormat="1">
      <c r="A7" s="90" t="s">
        <v>2360</v>
      </c>
      <c r="B7" s="91" t="s">
        <v>2361</v>
      </c>
      <c r="C7" s="92">
        <v>267</v>
      </c>
      <c r="D7" s="93">
        <v>5</v>
      </c>
      <c r="E7" s="183">
        <v>6</v>
      </c>
      <c r="F7" s="94">
        <v>-1</v>
      </c>
      <c r="G7" s="95">
        <v>-267</v>
      </c>
      <c r="H7" s="96"/>
    </row>
    <row r="8" spans="1:8" s="159" customFormat="1" ht="30">
      <c r="A8" s="90" t="s">
        <v>2385</v>
      </c>
      <c r="B8" s="91" t="s">
        <v>2386</v>
      </c>
      <c r="C8" s="92">
        <v>6.82</v>
      </c>
      <c r="D8" s="93">
        <v>4</v>
      </c>
      <c r="E8" s="183">
        <v>5</v>
      </c>
      <c r="F8" s="94">
        <v>-1</v>
      </c>
      <c r="G8" s="95">
        <v>-6.82</v>
      </c>
      <c r="H8" s="96"/>
    </row>
    <row r="9" spans="1:8" s="159" customFormat="1">
      <c r="A9" s="90" t="s">
        <v>2507</v>
      </c>
      <c r="B9" s="91" t="s">
        <v>2508</v>
      </c>
      <c r="C9" s="92">
        <v>37.25</v>
      </c>
      <c r="D9" s="93">
        <v>13</v>
      </c>
      <c r="E9" s="183">
        <v>14</v>
      </c>
      <c r="F9" s="94">
        <v>-1</v>
      </c>
      <c r="G9" s="95">
        <v>-37.25</v>
      </c>
      <c r="H9" s="96"/>
    </row>
    <row r="10" spans="1:8" s="159" customFormat="1">
      <c r="A10" s="90" t="s">
        <v>2544</v>
      </c>
      <c r="B10" s="91" t="s">
        <v>2545</v>
      </c>
      <c r="C10" s="92">
        <v>57.77</v>
      </c>
      <c r="D10" s="93">
        <v>114</v>
      </c>
      <c r="E10" s="183">
        <v>115</v>
      </c>
      <c r="F10" s="94">
        <v>-1</v>
      </c>
      <c r="G10" s="95">
        <v>-57.769999999999527</v>
      </c>
      <c r="H10" s="96"/>
    </row>
    <row r="11" spans="1:8" s="159" customFormat="1" ht="30">
      <c r="A11" s="90" t="s">
        <v>2548</v>
      </c>
      <c r="B11" s="91" t="s">
        <v>2549</v>
      </c>
      <c r="C11" s="92">
        <v>7.33</v>
      </c>
      <c r="D11" s="93">
        <v>140</v>
      </c>
      <c r="E11" s="183">
        <v>141</v>
      </c>
      <c r="F11" s="94">
        <v>-1</v>
      </c>
      <c r="G11" s="95">
        <v>-7.3299999999999272</v>
      </c>
      <c r="H11" s="96"/>
    </row>
    <row r="12" spans="1:8" s="159" customFormat="1">
      <c r="A12" s="90" t="s">
        <v>2589</v>
      </c>
      <c r="B12" s="91" t="s">
        <v>2590</v>
      </c>
      <c r="C12" s="92">
        <v>6.6</v>
      </c>
      <c r="D12" s="93">
        <v>9</v>
      </c>
      <c r="E12" s="183">
        <v>10</v>
      </c>
      <c r="F12" s="94">
        <v>-1</v>
      </c>
      <c r="G12" s="95">
        <v>-6.6000000000000014</v>
      </c>
      <c r="H12" s="96"/>
    </row>
    <row r="13" spans="1:8" s="159" customFormat="1">
      <c r="A13" s="90" t="s">
        <v>2607</v>
      </c>
      <c r="B13" s="91" t="s">
        <v>2608</v>
      </c>
      <c r="C13" s="92">
        <v>47.2</v>
      </c>
      <c r="D13" s="93">
        <v>38</v>
      </c>
      <c r="E13" s="183">
        <v>39</v>
      </c>
      <c r="F13" s="94">
        <v>-1</v>
      </c>
      <c r="G13" s="95">
        <v>-47.200000000000045</v>
      </c>
      <c r="H13" s="96"/>
    </row>
    <row r="14" spans="1:8" s="159" customFormat="1">
      <c r="A14" s="90" t="s">
        <v>2618</v>
      </c>
      <c r="B14" s="91" t="s">
        <v>2619</v>
      </c>
      <c r="C14" s="92">
        <v>18.64</v>
      </c>
      <c r="D14" s="93">
        <v>133</v>
      </c>
      <c r="E14" s="183">
        <v>136</v>
      </c>
      <c r="F14" s="94">
        <v>-3</v>
      </c>
      <c r="G14" s="95">
        <v>-55.920000000000073</v>
      </c>
      <c r="H14" s="96"/>
    </row>
    <row r="15" spans="1:8" s="159" customFormat="1">
      <c r="A15" s="90" t="s">
        <v>2626</v>
      </c>
      <c r="B15" s="91" t="s">
        <v>2627</v>
      </c>
      <c r="C15" s="92">
        <v>47.2</v>
      </c>
      <c r="D15" s="93">
        <v>40</v>
      </c>
      <c r="E15" s="183">
        <v>47</v>
      </c>
      <c r="F15" s="94">
        <v>-7</v>
      </c>
      <c r="G15" s="95">
        <v>-330.40000000000009</v>
      </c>
      <c r="H15" s="96"/>
    </row>
    <row r="16" spans="1:8" s="159" customFormat="1">
      <c r="A16" s="90" t="s">
        <v>2628</v>
      </c>
      <c r="B16" s="91" t="s">
        <v>2629</v>
      </c>
      <c r="C16" s="92">
        <v>55.86</v>
      </c>
      <c r="D16" s="93">
        <v>21</v>
      </c>
      <c r="E16" s="183">
        <v>31</v>
      </c>
      <c r="F16" s="94">
        <v>-10</v>
      </c>
      <c r="G16" s="95">
        <v>-558.60000000000014</v>
      </c>
      <c r="H16" s="96"/>
    </row>
    <row r="17" spans="1:8" s="159" customFormat="1">
      <c r="A17" s="90" t="s">
        <v>2630</v>
      </c>
      <c r="B17" s="91" t="s">
        <v>2631</v>
      </c>
      <c r="C17" s="92">
        <v>18.64</v>
      </c>
      <c r="D17" s="93">
        <v>55</v>
      </c>
      <c r="E17" s="183">
        <v>62</v>
      </c>
      <c r="F17" s="94">
        <v>-7</v>
      </c>
      <c r="G17" s="95">
        <v>-130.48000000000002</v>
      </c>
      <c r="H17" s="96"/>
    </row>
    <row r="18" spans="1:8" s="159" customFormat="1">
      <c r="A18" s="90" t="s">
        <v>2634</v>
      </c>
      <c r="B18" s="91" t="s">
        <v>2635</v>
      </c>
      <c r="C18" s="92">
        <v>36.840000000000003</v>
      </c>
      <c r="D18" s="93">
        <v>33</v>
      </c>
      <c r="E18" s="183">
        <v>35</v>
      </c>
      <c r="F18" s="94">
        <v>-2</v>
      </c>
      <c r="G18" s="95">
        <v>-73.680000000000064</v>
      </c>
      <c r="H18" s="96"/>
    </row>
    <row r="19" spans="1:8" s="159" customFormat="1">
      <c r="A19" s="90" t="s">
        <v>2638</v>
      </c>
      <c r="B19" s="91" t="s">
        <v>2639</v>
      </c>
      <c r="C19" s="92">
        <v>19.600000000000001</v>
      </c>
      <c r="D19" s="93">
        <v>5</v>
      </c>
      <c r="E19" s="183">
        <v>30</v>
      </c>
      <c r="F19" s="94">
        <v>-25</v>
      </c>
      <c r="G19" s="95">
        <v>-490</v>
      </c>
      <c r="H19" s="102"/>
    </row>
    <row r="20" spans="1:8" s="159" customFormat="1">
      <c r="A20" s="90" t="s">
        <v>2654</v>
      </c>
      <c r="B20" s="91" t="s">
        <v>2655</v>
      </c>
      <c r="C20" s="92">
        <v>23</v>
      </c>
      <c r="D20" s="93">
        <v>1</v>
      </c>
      <c r="E20" s="183">
        <v>3</v>
      </c>
      <c r="F20" s="94">
        <v>-2</v>
      </c>
      <c r="G20" s="95">
        <v>-46</v>
      </c>
      <c r="H20" s="96"/>
    </row>
    <row r="21" spans="1:8" s="159" customFormat="1">
      <c r="A21" s="90" t="s">
        <v>2656</v>
      </c>
      <c r="B21" s="91" t="s">
        <v>2657</v>
      </c>
      <c r="C21" s="92">
        <v>30</v>
      </c>
      <c r="D21" s="93">
        <v>5</v>
      </c>
      <c r="E21" s="183">
        <v>6</v>
      </c>
      <c r="F21" s="94">
        <v>-1</v>
      </c>
      <c r="G21" s="95">
        <v>-30</v>
      </c>
      <c r="H21" s="96"/>
    </row>
    <row r="22" spans="1:8" s="159" customFormat="1">
      <c r="A22" s="90" t="s">
        <v>2686</v>
      </c>
      <c r="B22" s="91" t="s">
        <v>2687</v>
      </c>
      <c r="C22" s="92">
        <v>63.95</v>
      </c>
      <c r="D22" s="93">
        <v>77</v>
      </c>
      <c r="E22" s="183">
        <v>147</v>
      </c>
      <c r="F22" s="94">
        <v>-70</v>
      </c>
      <c r="G22" s="95">
        <v>-4476.4999999999991</v>
      </c>
      <c r="H22" s="96"/>
    </row>
    <row r="23" spans="1:8" s="159" customFormat="1" ht="30">
      <c r="A23" s="90" t="s">
        <v>2692</v>
      </c>
      <c r="B23" s="91" t="s">
        <v>2693</v>
      </c>
      <c r="C23" s="92">
        <v>4.8</v>
      </c>
      <c r="D23" s="93">
        <v>6</v>
      </c>
      <c r="E23" s="183">
        <v>13</v>
      </c>
      <c r="F23" s="94">
        <v>-7</v>
      </c>
      <c r="G23" s="95">
        <v>-33.6</v>
      </c>
      <c r="H23" s="96"/>
    </row>
    <row r="24" spans="1:8" s="159" customFormat="1">
      <c r="A24" s="90" t="s">
        <v>2734</v>
      </c>
      <c r="B24" s="91" t="s">
        <v>2735</v>
      </c>
      <c r="C24" s="92">
        <v>4.3499999999999996</v>
      </c>
      <c r="D24" s="93">
        <v>0</v>
      </c>
      <c r="E24" s="183">
        <v>1</v>
      </c>
      <c r="F24" s="94">
        <v>-1</v>
      </c>
      <c r="G24" s="95">
        <v>-4.3499999999999996</v>
      </c>
      <c r="H24" s="96"/>
    </row>
    <row r="25" spans="1:8" s="159" customFormat="1">
      <c r="A25" s="90" t="s">
        <v>2742</v>
      </c>
      <c r="B25" s="91" t="s">
        <v>2743</v>
      </c>
      <c r="C25" s="92">
        <v>5.15</v>
      </c>
      <c r="D25" s="93">
        <v>109</v>
      </c>
      <c r="E25" s="183">
        <v>114</v>
      </c>
      <c r="F25" s="94">
        <v>-5</v>
      </c>
      <c r="G25" s="95">
        <v>-25.75</v>
      </c>
      <c r="H25" s="96"/>
    </row>
    <row r="26" spans="1:8" s="159" customFormat="1">
      <c r="A26" s="90" t="s">
        <v>2878</v>
      </c>
      <c r="B26" s="91" t="s">
        <v>2879</v>
      </c>
      <c r="C26" s="92">
        <v>4.7</v>
      </c>
      <c r="D26" s="93">
        <v>16</v>
      </c>
      <c r="E26" s="183">
        <v>396</v>
      </c>
      <c r="F26" s="94">
        <v>-380</v>
      </c>
      <c r="G26" s="95">
        <v>-1786</v>
      </c>
      <c r="H26" s="96"/>
    </row>
    <row r="27" spans="1:8" s="159" customFormat="1">
      <c r="A27" s="90" t="s">
        <v>2888</v>
      </c>
      <c r="B27" s="91" t="s">
        <v>2889</v>
      </c>
      <c r="C27" s="92">
        <v>13.87</v>
      </c>
      <c r="D27" s="93">
        <v>293</v>
      </c>
      <c r="E27" s="183">
        <v>294</v>
      </c>
      <c r="F27" s="94">
        <v>-1</v>
      </c>
      <c r="G27" s="95">
        <v>-13.869999999999891</v>
      </c>
      <c r="H27" s="96"/>
    </row>
    <row r="28" spans="1:8" s="159" customFormat="1">
      <c r="A28" s="90" t="s">
        <v>2898</v>
      </c>
      <c r="B28" s="91" t="s">
        <v>2899</v>
      </c>
      <c r="C28" s="92">
        <v>6.12</v>
      </c>
      <c r="D28" s="93">
        <v>228</v>
      </c>
      <c r="E28" s="183">
        <v>255</v>
      </c>
      <c r="F28" s="94">
        <v>-27</v>
      </c>
      <c r="G28" s="95">
        <v>-165.24</v>
      </c>
      <c r="H28" s="96"/>
    </row>
    <row r="29" spans="1:8" s="159" customFormat="1">
      <c r="A29" s="90" t="s">
        <v>2906</v>
      </c>
      <c r="B29" s="91" t="s">
        <v>2907</v>
      </c>
      <c r="C29" s="92">
        <v>155.6</v>
      </c>
      <c r="D29" s="93">
        <v>14</v>
      </c>
      <c r="E29" s="183">
        <v>18</v>
      </c>
      <c r="F29" s="94">
        <v>-4</v>
      </c>
      <c r="G29" s="95">
        <v>-622.39999999999964</v>
      </c>
      <c r="H29" s="96"/>
    </row>
    <row r="30" spans="1:8" s="159" customFormat="1">
      <c r="A30" s="90" t="s">
        <v>2944</v>
      </c>
      <c r="B30" s="91" t="s">
        <v>2945</v>
      </c>
      <c r="C30" s="92">
        <v>11.1</v>
      </c>
      <c r="D30" s="93">
        <v>155</v>
      </c>
      <c r="E30" s="183">
        <v>157</v>
      </c>
      <c r="F30" s="94">
        <v>-2</v>
      </c>
      <c r="G30" s="95">
        <v>-22.200000000000045</v>
      </c>
      <c r="H30" s="102"/>
    </row>
    <row r="31" spans="1:8" s="159" customFormat="1">
      <c r="A31" s="90" t="s">
        <v>2946</v>
      </c>
      <c r="B31" s="91" t="s">
        <v>2947</v>
      </c>
      <c r="C31" s="92">
        <v>5.77</v>
      </c>
      <c r="D31" s="93">
        <v>59</v>
      </c>
      <c r="E31" s="183">
        <v>60</v>
      </c>
      <c r="F31" s="94">
        <v>-1</v>
      </c>
      <c r="G31" s="95">
        <v>-5.7700000000000387</v>
      </c>
      <c r="H31" s="96"/>
    </row>
    <row r="32" spans="1:8" s="159" customFormat="1">
      <c r="A32" s="90" t="s">
        <v>2952</v>
      </c>
      <c r="B32" s="91" t="s">
        <v>2953</v>
      </c>
      <c r="C32" s="92">
        <v>11.1</v>
      </c>
      <c r="D32" s="93">
        <v>94</v>
      </c>
      <c r="E32" s="183">
        <v>98</v>
      </c>
      <c r="F32" s="94">
        <v>-4</v>
      </c>
      <c r="G32" s="95">
        <v>-44.400000000000091</v>
      </c>
      <c r="H32" s="96"/>
    </row>
    <row r="33" spans="1:8" s="159" customFormat="1">
      <c r="A33" s="90" t="s">
        <v>2958</v>
      </c>
      <c r="B33" s="91" t="s">
        <v>2959</v>
      </c>
      <c r="C33" s="92">
        <v>7.2</v>
      </c>
      <c r="D33" s="93">
        <v>-3</v>
      </c>
      <c r="E33" s="183">
        <v>3</v>
      </c>
      <c r="F33" s="94">
        <v>-6</v>
      </c>
      <c r="G33" s="95">
        <v>-43.2</v>
      </c>
      <c r="H33" s="96"/>
    </row>
    <row r="34" spans="1:8" s="159" customFormat="1">
      <c r="A34" s="90" t="s">
        <v>2960</v>
      </c>
      <c r="B34" s="91" t="s">
        <v>2961</v>
      </c>
      <c r="C34" s="92">
        <v>75.45</v>
      </c>
      <c r="D34" s="93">
        <v>0</v>
      </c>
      <c r="E34" s="183">
        <v>1</v>
      </c>
      <c r="F34" s="94">
        <v>-1</v>
      </c>
      <c r="G34" s="95">
        <v>-75.45</v>
      </c>
      <c r="H34" s="96"/>
    </row>
    <row r="35" spans="1:8" s="159" customFormat="1">
      <c r="A35" s="90" t="s">
        <v>2975</v>
      </c>
      <c r="B35" s="91" t="s">
        <v>2976</v>
      </c>
      <c r="C35" s="92">
        <v>28</v>
      </c>
      <c r="D35" s="93">
        <v>0</v>
      </c>
      <c r="E35" s="183">
        <v>5</v>
      </c>
      <c r="F35" s="94">
        <v>-5</v>
      </c>
      <c r="G35" s="95">
        <v>-140</v>
      </c>
      <c r="H35" s="96"/>
    </row>
    <row r="36" spans="1:8" s="159" customFormat="1">
      <c r="A36" s="90" t="s">
        <v>2977</v>
      </c>
      <c r="B36" s="91" t="s">
        <v>2978</v>
      </c>
      <c r="C36" s="92">
        <v>252</v>
      </c>
      <c r="D36" s="93">
        <v>0</v>
      </c>
      <c r="E36" s="183">
        <v>2</v>
      </c>
      <c r="F36" s="94">
        <v>-2</v>
      </c>
      <c r="G36" s="95">
        <v>-504</v>
      </c>
      <c r="H36" s="96"/>
    </row>
    <row r="37" spans="1:8" s="159" customFormat="1">
      <c r="A37" s="90" t="s">
        <v>3014</v>
      </c>
      <c r="B37" s="91" t="s">
        <v>3015</v>
      </c>
      <c r="C37" s="92">
        <v>25.45</v>
      </c>
      <c r="D37" s="93">
        <v>21</v>
      </c>
      <c r="E37" s="183">
        <v>23</v>
      </c>
      <c r="F37" s="94">
        <v>-2</v>
      </c>
      <c r="G37" s="95">
        <v>-50.900000000000091</v>
      </c>
      <c r="H37" s="96"/>
    </row>
    <row r="38" spans="1:8" s="159" customFormat="1">
      <c r="A38" s="90" t="s">
        <v>3020</v>
      </c>
      <c r="B38" s="91" t="s">
        <v>3021</v>
      </c>
      <c r="C38" s="92">
        <v>5.41</v>
      </c>
      <c r="D38" s="93">
        <v>0</v>
      </c>
      <c r="E38" s="183">
        <v>2</v>
      </c>
      <c r="F38" s="94">
        <v>-2</v>
      </c>
      <c r="G38" s="95">
        <v>-10.82</v>
      </c>
      <c r="H38" s="96"/>
    </row>
    <row r="39" spans="1:8" s="159" customFormat="1">
      <c r="A39" s="90" t="s">
        <v>3030</v>
      </c>
      <c r="B39" s="91" t="s">
        <v>3031</v>
      </c>
      <c r="C39" s="92">
        <v>5.41</v>
      </c>
      <c r="D39" s="93">
        <v>108</v>
      </c>
      <c r="E39" s="183">
        <v>109</v>
      </c>
      <c r="F39" s="94">
        <v>-1</v>
      </c>
      <c r="G39" s="95">
        <v>-5.4100000000000819</v>
      </c>
      <c r="H39" s="96"/>
    </row>
    <row r="40" spans="1:8" s="159" customFormat="1">
      <c r="A40" s="90" t="s">
        <v>3034</v>
      </c>
      <c r="B40" s="91" t="s">
        <v>3035</v>
      </c>
      <c r="C40" s="92">
        <v>5.41</v>
      </c>
      <c r="D40" s="93">
        <v>196</v>
      </c>
      <c r="E40" s="183">
        <v>199</v>
      </c>
      <c r="F40" s="94">
        <v>-3</v>
      </c>
      <c r="G40" s="95">
        <v>-16.229999999999791</v>
      </c>
      <c r="H40" s="96"/>
    </row>
    <row r="41" spans="1:8" s="159" customFormat="1">
      <c r="A41" s="90" t="s">
        <v>3089</v>
      </c>
      <c r="B41" s="91" t="s">
        <v>3090</v>
      </c>
      <c r="C41" s="92">
        <v>5.67</v>
      </c>
      <c r="D41" s="93">
        <v>371</v>
      </c>
      <c r="E41" s="183">
        <v>372</v>
      </c>
      <c r="F41" s="94">
        <v>-1</v>
      </c>
      <c r="G41" s="95">
        <v>-5.669999999999618</v>
      </c>
      <c r="H41" s="96"/>
    </row>
    <row r="42" spans="1:8" s="159" customFormat="1">
      <c r="A42" s="90" t="s">
        <v>3093</v>
      </c>
      <c r="B42" s="91" t="s">
        <v>3094</v>
      </c>
      <c r="C42" s="92">
        <v>5</v>
      </c>
      <c r="D42" s="93">
        <v>122</v>
      </c>
      <c r="E42" s="183">
        <v>130</v>
      </c>
      <c r="F42" s="94">
        <v>-8</v>
      </c>
      <c r="G42" s="95">
        <v>-40</v>
      </c>
      <c r="H42" s="96"/>
    </row>
    <row r="43" spans="1:8" s="159" customFormat="1">
      <c r="A43" s="90" t="s">
        <v>3105</v>
      </c>
      <c r="B43" s="91" t="s">
        <v>3106</v>
      </c>
      <c r="C43" s="92">
        <v>39.880000000000003</v>
      </c>
      <c r="D43" s="93">
        <v>5</v>
      </c>
      <c r="E43" s="187">
        <v>10</v>
      </c>
      <c r="F43" s="94">
        <v>-5</v>
      </c>
      <c r="G43" s="95">
        <v>-199.4</v>
      </c>
      <c r="H43" s="96"/>
    </row>
    <row r="44" spans="1:8" s="159" customFormat="1">
      <c r="A44" s="90" t="s">
        <v>3107</v>
      </c>
      <c r="B44" s="91" t="s">
        <v>3108</v>
      </c>
      <c r="C44" s="92">
        <v>15.15</v>
      </c>
      <c r="D44" s="93">
        <v>50</v>
      </c>
      <c r="E44" s="183">
        <v>54</v>
      </c>
      <c r="F44" s="94">
        <v>-4</v>
      </c>
      <c r="G44" s="95">
        <v>-60.600000000000023</v>
      </c>
      <c r="H44" s="96"/>
    </row>
    <row r="45" spans="1:8" s="159" customFormat="1">
      <c r="A45" s="90" t="s">
        <v>3109</v>
      </c>
      <c r="B45" s="91" t="s">
        <v>3110</v>
      </c>
      <c r="C45" s="92">
        <v>23.38</v>
      </c>
      <c r="D45" s="93">
        <v>84</v>
      </c>
      <c r="E45" s="183">
        <v>92</v>
      </c>
      <c r="F45" s="94">
        <v>-8</v>
      </c>
      <c r="G45" s="95">
        <v>-187.04000000000019</v>
      </c>
      <c r="H45" s="96"/>
    </row>
    <row r="46" spans="1:8" s="159" customFormat="1">
      <c r="A46" s="90" t="s">
        <v>3117</v>
      </c>
      <c r="B46" s="91" t="s">
        <v>3118</v>
      </c>
      <c r="C46" s="92">
        <v>38.01</v>
      </c>
      <c r="D46" s="93">
        <v>128</v>
      </c>
      <c r="E46" s="183">
        <v>147</v>
      </c>
      <c r="F46" s="94">
        <v>-19</v>
      </c>
      <c r="G46" s="95">
        <v>-722.1899999999996</v>
      </c>
      <c r="H46" s="96"/>
    </row>
    <row r="47" spans="1:8" s="159" customFormat="1">
      <c r="A47" s="90" t="s">
        <v>3119</v>
      </c>
      <c r="B47" s="91" t="s">
        <v>3120</v>
      </c>
      <c r="C47" s="92">
        <v>65.989999999999995</v>
      </c>
      <c r="D47" s="93">
        <v>5</v>
      </c>
      <c r="E47" s="183">
        <v>6</v>
      </c>
      <c r="F47" s="94">
        <v>-1</v>
      </c>
      <c r="G47" s="95">
        <v>-65.989999999999952</v>
      </c>
      <c r="H47" s="96"/>
    </row>
    <row r="48" spans="1:8" s="159" customFormat="1">
      <c r="A48" s="90" t="s">
        <v>3870</v>
      </c>
      <c r="B48" s="91" t="s">
        <v>3871</v>
      </c>
      <c r="C48" s="92">
        <v>140</v>
      </c>
      <c r="D48" s="93">
        <v>5</v>
      </c>
      <c r="E48" s="183">
        <v>8</v>
      </c>
      <c r="F48" s="94">
        <v>-3</v>
      </c>
      <c r="G48" s="95">
        <v>-420</v>
      </c>
      <c r="H48" s="96"/>
    </row>
    <row r="49" spans="1:8" s="159" customFormat="1">
      <c r="A49" s="90" t="s">
        <v>3932</v>
      </c>
      <c r="B49" s="91" t="s">
        <v>3933</v>
      </c>
      <c r="C49" s="92">
        <v>3</v>
      </c>
      <c r="D49" s="93">
        <v>12</v>
      </c>
      <c r="E49" s="183">
        <v>15</v>
      </c>
      <c r="F49" s="94">
        <v>-3</v>
      </c>
      <c r="G49" s="95">
        <v>-9</v>
      </c>
      <c r="H49" s="96"/>
    </row>
    <row r="50" spans="1:8" s="159" customFormat="1">
      <c r="A50" s="90" t="s">
        <v>3944</v>
      </c>
      <c r="B50" s="91" t="s">
        <v>3945</v>
      </c>
      <c r="C50" s="92">
        <v>7</v>
      </c>
      <c r="D50" s="93">
        <v>24</v>
      </c>
      <c r="E50" s="183">
        <v>25</v>
      </c>
      <c r="F50" s="94">
        <v>-1</v>
      </c>
      <c r="G50" s="95">
        <v>-7</v>
      </c>
      <c r="H50" s="96"/>
    </row>
    <row r="51" spans="1:8" s="159" customFormat="1">
      <c r="A51" s="90" t="s">
        <v>3952</v>
      </c>
      <c r="B51" s="91" t="s">
        <v>3953</v>
      </c>
      <c r="C51" s="92">
        <v>13</v>
      </c>
      <c r="D51" s="93">
        <v>6</v>
      </c>
      <c r="E51" s="183">
        <v>8</v>
      </c>
      <c r="F51" s="94">
        <v>-2</v>
      </c>
      <c r="G51" s="95">
        <v>-26</v>
      </c>
      <c r="H51" s="96"/>
    </row>
    <row r="52" spans="1:8" s="159" customFormat="1">
      <c r="A52" s="90" t="s">
        <v>3958</v>
      </c>
      <c r="B52" s="91" t="s">
        <v>3959</v>
      </c>
      <c r="C52" s="92">
        <v>5</v>
      </c>
      <c r="D52" s="93">
        <v>19</v>
      </c>
      <c r="E52" s="183">
        <v>20</v>
      </c>
      <c r="F52" s="94">
        <v>-1</v>
      </c>
      <c r="G52" s="95">
        <v>-5</v>
      </c>
      <c r="H52" s="96"/>
    </row>
    <row r="53" spans="1:8">
      <c r="A53" s="165"/>
      <c r="B53" s="166"/>
      <c r="C53" s="167"/>
      <c r="D53" s="186">
        <f>SUM(D5:D52)</f>
        <v>3127</v>
      </c>
      <c r="E53" s="186">
        <f>SUM(E5:E52)</f>
        <v>3777</v>
      </c>
      <c r="F53" s="186">
        <f>SUM(F5:F52)</f>
        <v>-650</v>
      </c>
      <c r="G53" s="186">
        <f>SUM(G5:G52)</f>
        <v>-11977.6</v>
      </c>
      <c r="H53" s="170"/>
    </row>
    <row r="54" spans="1:8" hidden="1">
      <c r="A54" s="7" t="s">
        <v>29</v>
      </c>
    </row>
    <row r="55" spans="1:8" s="160" customFormat="1" ht="24" hidden="1">
      <c r="A55" s="85" t="s">
        <v>3</v>
      </c>
      <c r="B55" s="84" t="s">
        <v>4</v>
      </c>
      <c r="C55" s="157" t="s">
        <v>5</v>
      </c>
      <c r="D55" s="157"/>
      <c r="E55" s="157"/>
      <c r="F55" s="84" t="s">
        <v>9</v>
      </c>
      <c r="G55" s="84" t="s">
        <v>10</v>
      </c>
      <c r="H55" s="84" t="s">
        <v>11</v>
      </c>
    </row>
    <row r="56" spans="1:8" hidden="1">
      <c r="A56" s="161"/>
      <c r="B56" s="162"/>
      <c r="C56" s="163"/>
      <c r="D56" s="163"/>
      <c r="E56" s="163"/>
      <c r="F56" s="94"/>
      <c r="G56" s="95"/>
      <c r="H56" s="164"/>
    </row>
    <row r="57" spans="1:8" hidden="1">
      <c r="A57" s="165"/>
      <c r="B57" s="166"/>
      <c r="C57" s="167"/>
      <c r="D57" s="167"/>
      <c r="E57" s="167"/>
      <c r="F57" s="168">
        <f>SUM(F56:F56)</f>
        <v>0</v>
      </c>
      <c r="G57" s="169">
        <f>SUM(G56:G56)</f>
        <v>0</v>
      </c>
      <c r="H57" s="170"/>
    </row>
    <row r="59" spans="1:8">
      <c r="A59" s="30" t="s">
        <v>30</v>
      </c>
    </row>
    <row r="60" spans="1:8" s="160" customFormat="1" ht="24">
      <c r="A60" s="85" t="s">
        <v>3</v>
      </c>
      <c r="B60" s="84" t="s">
        <v>4</v>
      </c>
      <c r="C60" s="157" t="s">
        <v>5</v>
      </c>
      <c r="D60" s="157" t="s">
        <v>12</v>
      </c>
      <c r="E60" s="157" t="s">
        <v>4139</v>
      </c>
      <c r="F60" s="84" t="s">
        <v>9</v>
      </c>
      <c r="G60" s="84" t="s">
        <v>10</v>
      </c>
      <c r="H60" s="84" t="s">
        <v>11</v>
      </c>
    </row>
    <row r="61" spans="1:8" ht="15" customHeight="1">
      <c r="A61" s="90" t="s">
        <v>487</v>
      </c>
      <c r="B61" s="91" t="s">
        <v>488</v>
      </c>
      <c r="C61" s="92">
        <v>16.03</v>
      </c>
      <c r="D61" s="93">
        <v>13</v>
      </c>
      <c r="E61" s="183">
        <v>12</v>
      </c>
      <c r="F61" s="94">
        <v>1</v>
      </c>
      <c r="G61" s="95">
        <v>16.03</v>
      </c>
      <c r="H61" s="96"/>
    </row>
    <row r="62" spans="1:8" ht="15" customHeight="1">
      <c r="A62" s="90" t="s">
        <v>489</v>
      </c>
      <c r="B62" s="91" t="s">
        <v>490</v>
      </c>
      <c r="C62" s="92">
        <v>16.03</v>
      </c>
      <c r="D62" s="93">
        <v>66</v>
      </c>
      <c r="E62" s="183">
        <v>65</v>
      </c>
      <c r="F62" s="94">
        <v>1</v>
      </c>
      <c r="G62" s="95">
        <v>16.029999999999973</v>
      </c>
      <c r="H62" s="96"/>
    </row>
    <row r="63" spans="1:8" ht="15" customHeight="1">
      <c r="A63" s="90" t="s">
        <v>519</v>
      </c>
      <c r="B63" s="91" t="s">
        <v>520</v>
      </c>
      <c r="C63" s="92">
        <v>6.83</v>
      </c>
      <c r="D63" s="93">
        <v>29</v>
      </c>
      <c r="E63" s="183">
        <v>28</v>
      </c>
      <c r="F63" s="94">
        <v>1</v>
      </c>
      <c r="G63" s="95">
        <v>6.8299999999999841</v>
      </c>
      <c r="H63" s="96"/>
    </row>
    <row r="64" spans="1:8" ht="15" customHeight="1">
      <c r="A64" s="90" t="s">
        <v>523</v>
      </c>
      <c r="B64" s="91" t="s">
        <v>524</v>
      </c>
      <c r="C64" s="92">
        <v>6.83</v>
      </c>
      <c r="D64" s="93">
        <v>30</v>
      </c>
      <c r="E64" s="183">
        <v>29</v>
      </c>
      <c r="F64" s="94">
        <v>1</v>
      </c>
      <c r="G64" s="95">
        <v>6.8300000000000125</v>
      </c>
      <c r="H64" s="96"/>
    </row>
    <row r="65" spans="1:8" ht="15" customHeight="1">
      <c r="A65" s="90" t="s">
        <v>550</v>
      </c>
      <c r="B65" s="91" t="s">
        <v>551</v>
      </c>
      <c r="C65" s="92">
        <v>7.51</v>
      </c>
      <c r="D65" s="93">
        <v>86</v>
      </c>
      <c r="E65" s="183">
        <v>84</v>
      </c>
      <c r="F65" s="94">
        <v>2</v>
      </c>
      <c r="G65" s="95">
        <v>15.019999999999982</v>
      </c>
      <c r="H65" s="96"/>
    </row>
    <row r="66" spans="1:8" ht="15" customHeight="1">
      <c r="A66" s="90" t="s">
        <v>553</v>
      </c>
      <c r="B66" s="91" t="s">
        <v>554</v>
      </c>
      <c r="C66" s="92">
        <v>22.19</v>
      </c>
      <c r="D66" s="93">
        <v>3</v>
      </c>
      <c r="E66" s="183"/>
      <c r="F66" s="94">
        <v>3</v>
      </c>
      <c r="G66" s="95">
        <v>66.570000000000007</v>
      </c>
      <c r="H66" s="96"/>
    </row>
    <row r="67" spans="1:8" ht="15" customHeight="1">
      <c r="A67" s="90" t="s">
        <v>561</v>
      </c>
      <c r="B67" s="91" t="s">
        <v>562</v>
      </c>
      <c r="C67" s="92">
        <v>6.18</v>
      </c>
      <c r="D67" s="93">
        <v>77</v>
      </c>
      <c r="E67" s="183">
        <v>73</v>
      </c>
      <c r="F67" s="94">
        <v>4</v>
      </c>
      <c r="G67" s="95">
        <v>24.71999999999997</v>
      </c>
      <c r="H67" s="102"/>
    </row>
    <row r="68" spans="1:8" ht="15" customHeight="1">
      <c r="A68" s="90" t="s">
        <v>614</v>
      </c>
      <c r="B68" s="91" t="s">
        <v>615</v>
      </c>
      <c r="C68" s="92">
        <v>16.579999999999998</v>
      </c>
      <c r="D68" s="93">
        <v>95</v>
      </c>
      <c r="E68" s="183">
        <v>94</v>
      </c>
      <c r="F68" s="94">
        <v>1</v>
      </c>
      <c r="G68" s="95">
        <v>16.580000000000155</v>
      </c>
      <c r="H68" s="96"/>
    </row>
    <row r="69" spans="1:8" ht="15" customHeight="1">
      <c r="A69" s="90" t="s">
        <v>634</v>
      </c>
      <c r="B69" s="91" t="s">
        <v>635</v>
      </c>
      <c r="C69" s="92">
        <v>11.78</v>
      </c>
      <c r="D69" s="93">
        <v>1</v>
      </c>
      <c r="E69" s="183"/>
      <c r="F69" s="94">
        <v>1</v>
      </c>
      <c r="G69" s="95">
        <v>11.78</v>
      </c>
      <c r="H69" s="96"/>
    </row>
    <row r="70" spans="1:8" ht="15" customHeight="1">
      <c r="A70" s="90" t="s">
        <v>691</v>
      </c>
      <c r="B70" s="91" t="s">
        <v>692</v>
      </c>
      <c r="C70" s="92">
        <v>21.97</v>
      </c>
      <c r="D70" s="93">
        <v>17</v>
      </c>
      <c r="E70" s="183">
        <v>16</v>
      </c>
      <c r="F70" s="94">
        <v>1</v>
      </c>
      <c r="G70" s="95">
        <v>21.970000000000027</v>
      </c>
      <c r="H70" s="96"/>
    </row>
    <row r="71" spans="1:8" ht="15" customHeight="1">
      <c r="A71" s="90" t="s">
        <v>815</v>
      </c>
      <c r="B71" s="91" t="s">
        <v>816</v>
      </c>
      <c r="C71" s="92">
        <v>58.45</v>
      </c>
      <c r="D71" s="93">
        <v>9</v>
      </c>
      <c r="E71" s="183">
        <v>8</v>
      </c>
      <c r="F71" s="94">
        <v>1</v>
      </c>
      <c r="G71" s="95">
        <v>58.450000000000045</v>
      </c>
      <c r="H71" s="96"/>
    </row>
    <row r="72" spans="1:8" ht="15" customHeight="1">
      <c r="A72" s="90" t="s">
        <v>824</v>
      </c>
      <c r="B72" s="91" t="s">
        <v>825</v>
      </c>
      <c r="C72" s="92">
        <v>30.04</v>
      </c>
      <c r="D72" s="93">
        <v>9</v>
      </c>
      <c r="E72" s="183">
        <v>8</v>
      </c>
      <c r="F72" s="94">
        <v>1</v>
      </c>
      <c r="G72" s="95">
        <v>30.04000000000002</v>
      </c>
      <c r="H72" s="96"/>
    </row>
    <row r="73" spans="1:8" ht="15" customHeight="1">
      <c r="A73" s="90" t="s">
        <v>828</v>
      </c>
      <c r="B73" s="91" t="s">
        <v>829</v>
      </c>
      <c r="C73" s="92">
        <v>7.48</v>
      </c>
      <c r="D73" s="93">
        <v>24</v>
      </c>
      <c r="E73" s="183">
        <v>22</v>
      </c>
      <c r="F73" s="94">
        <v>2</v>
      </c>
      <c r="G73" s="95">
        <v>14.960000000000008</v>
      </c>
      <c r="H73" s="96"/>
    </row>
    <row r="74" spans="1:8" ht="15" customHeight="1">
      <c r="A74" s="90" t="s">
        <v>906</v>
      </c>
      <c r="B74" s="91" t="s">
        <v>907</v>
      </c>
      <c r="C74" s="92">
        <v>53.9</v>
      </c>
      <c r="D74" s="93">
        <v>2</v>
      </c>
      <c r="E74" s="183">
        <v>1</v>
      </c>
      <c r="F74" s="94">
        <v>1</v>
      </c>
      <c r="G74" s="95">
        <v>53.9</v>
      </c>
      <c r="H74" s="96"/>
    </row>
    <row r="75" spans="1:8" ht="15" customHeight="1">
      <c r="A75" s="90" t="s">
        <v>945</v>
      </c>
      <c r="B75" s="91" t="s">
        <v>946</v>
      </c>
      <c r="C75" s="92">
        <v>12.77</v>
      </c>
      <c r="D75" s="93">
        <v>1</v>
      </c>
      <c r="E75" s="183"/>
      <c r="F75" s="94">
        <v>1</v>
      </c>
      <c r="G75" s="95">
        <v>12.77</v>
      </c>
      <c r="H75" s="96"/>
    </row>
    <row r="76" spans="1:8" ht="15" customHeight="1">
      <c r="A76" s="90" t="s">
        <v>972</v>
      </c>
      <c r="B76" s="91" t="s">
        <v>973</v>
      </c>
      <c r="C76" s="92">
        <v>6.8</v>
      </c>
      <c r="D76" s="93">
        <v>3</v>
      </c>
      <c r="E76" s="183"/>
      <c r="F76" s="94">
        <v>3</v>
      </c>
      <c r="G76" s="95">
        <v>20.399999999999999</v>
      </c>
      <c r="H76" s="96"/>
    </row>
    <row r="77" spans="1:8" ht="15" customHeight="1">
      <c r="A77" s="90" t="s">
        <v>1002</v>
      </c>
      <c r="B77" s="91" t="s">
        <v>1003</v>
      </c>
      <c r="C77" s="92">
        <v>5.68</v>
      </c>
      <c r="D77" s="93">
        <v>1</v>
      </c>
      <c r="E77" s="183"/>
      <c r="F77" s="94">
        <v>1</v>
      </c>
      <c r="G77" s="95">
        <v>5.68</v>
      </c>
      <c r="H77" s="96"/>
    </row>
    <row r="78" spans="1:8" ht="15" customHeight="1">
      <c r="A78" s="90" t="s">
        <v>1122</v>
      </c>
      <c r="B78" s="91" t="s">
        <v>1123</v>
      </c>
      <c r="C78" s="92">
        <v>7.5</v>
      </c>
      <c r="D78" s="93">
        <v>165</v>
      </c>
      <c r="E78" s="183">
        <v>161</v>
      </c>
      <c r="F78" s="94">
        <v>4</v>
      </c>
      <c r="G78" s="95">
        <v>30</v>
      </c>
      <c r="H78" s="96"/>
    </row>
    <row r="79" spans="1:8" ht="15" customHeight="1">
      <c r="A79" s="90" t="s">
        <v>1164</v>
      </c>
      <c r="B79" s="91" t="s">
        <v>1165</v>
      </c>
      <c r="C79" s="92">
        <v>1.77</v>
      </c>
      <c r="D79" s="93">
        <v>2</v>
      </c>
      <c r="E79" s="183"/>
      <c r="F79" s="94">
        <v>2</v>
      </c>
      <c r="G79" s="95">
        <v>3.54</v>
      </c>
      <c r="H79" s="96"/>
    </row>
    <row r="80" spans="1:8" ht="15" customHeight="1">
      <c r="A80" s="90" t="s">
        <v>1186</v>
      </c>
      <c r="B80" s="91" t="s">
        <v>1187</v>
      </c>
      <c r="C80" s="92">
        <v>33.76</v>
      </c>
      <c r="D80" s="93">
        <v>11</v>
      </c>
      <c r="E80" s="183">
        <v>9</v>
      </c>
      <c r="F80" s="94">
        <v>2</v>
      </c>
      <c r="G80" s="95">
        <v>67.519999999999982</v>
      </c>
      <c r="H80" s="96"/>
    </row>
    <row r="81" spans="1:8" ht="15" customHeight="1">
      <c r="A81" s="90" t="s">
        <v>1229</v>
      </c>
      <c r="B81" s="91" t="s">
        <v>1230</v>
      </c>
      <c r="C81" s="92">
        <v>38</v>
      </c>
      <c r="D81" s="93">
        <v>5</v>
      </c>
      <c r="E81" s="183">
        <v>4</v>
      </c>
      <c r="F81" s="94">
        <v>1</v>
      </c>
      <c r="G81" s="95">
        <v>38</v>
      </c>
      <c r="H81" s="96"/>
    </row>
    <row r="82" spans="1:8" ht="15" customHeight="1">
      <c r="A82" s="90" t="s">
        <v>1261</v>
      </c>
      <c r="B82" s="91" t="s">
        <v>1262</v>
      </c>
      <c r="C82" s="92">
        <v>13.77</v>
      </c>
      <c r="D82" s="93">
        <v>18</v>
      </c>
      <c r="E82" s="277">
        <v>12</v>
      </c>
      <c r="F82" s="94">
        <v>6</v>
      </c>
      <c r="G82" s="95">
        <v>82.619999999999976</v>
      </c>
      <c r="H82" s="96"/>
    </row>
    <row r="83" spans="1:8" ht="15" customHeight="1">
      <c r="A83" s="90" t="s">
        <v>1320</v>
      </c>
      <c r="B83" s="91" t="s">
        <v>1321</v>
      </c>
      <c r="C83" s="92">
        <v>11.76</v>
      </c>
      <c r="D83" s="93">
        <v>99</v>
      </c>
      <c r="E83" s="183">
        <v>98</v>
      </c>
      <c r="F83" s="94">
        <v>1</v>
      </c>
      <c r="G83" s="95">
        <v>11.759999999999991</v>
      </c>
      <c r="H83" s="96"/>
    </row>
    <row r="84" spans="1:8" ht="15" customHeight="1">
      <c r="A84" s="90" t="s">
        <v>1340</v>
      </c>
      <c r="B84" s="91" t="s">
        <v>1341</v>
      </c>
      <c r="C84" s="92">
        <v>11.39</v>
      </c>
      <c r="D84" s="93">
        <v>2</v>
      </c>
      <c r="E84" s="183"/>
      <c r="F84" s="94">
        <v>2</v>
      </c>
      <c r="G84" s="95">
        <v>22.78</v>
      </c>
      <c r="H84" s="96"/>
    </row>
    <row r="85" spans="1:8" ht="15" customHeight="1">
      <c r="A85" s="90" t="s">
        <v>4848</v>
      </c>
      <c r="B85" s="91" t="s">
        <v>4849</v>
      </c>
      <c r="C85" s="92">
        <v>9.26</v>
      </c>
      <c r="D85" s="93">
        <v>122</v>
      </c>
      <c r="E85" s="183">
        <v>117</v>
      </c>
      <c r="F85" s="94">
        <v>5</v>
      </c>
      <c r="G85" s="95">
        <v>46.299999999999955</v>
      </c>
      <c r="H85" s="96"/>
    </row>
    <row r="86" spans="1:8" ht="15" customHeight="1">
      <c r="A86" s="90" t="s">
        <v>1417</v>
      </c>
      <c r="B86" s="91" t="s">
        <v>1418</v>
      </c>
      <c r="C86" s="92">
        <v>13.21</v>
      </c>
      <c r="D86" s="93">
        <v>32</v>
      </c>
      <c r="E86" s="183">
        <v>23</v>
      </c>
      <c r="F86" s="94">
        <v>9</v>
      </c>
      <c r="G86" s="95">
        <v>118.88999999999999</v>
      </c>
      <c r="H86" s="96"/>
    </row>
    <row r="87" spans="1:8" ht="15" customHeight="1">
      <c r="A87" s="90" t="s">
        <v>1456</v>
      </c>
      <c r="B87" s="91" t="s">
        <v>1457</v>
      </c>
      <c r="C87" s="92">
        <v>202</v>
      </c>
      <c r="D87" s="93">
        <v>1</v>
      </c>
      <c r="E87" s="183"/>
      <c r="F87" s="94">
        <v>1</v>
      </c>
      <c r="G87" s="95">
        <v>202</v>
      </c>
      <c r="H87" s="96"/>
    </row>
    <row r="88" spans="1:8" ht="15" customHeight="1">
      <c r="A88" s="90" t="s">
        <v>1556</v>
      </c>
      <c r="B88" s="91" t="s">
        <v>1557</v>
      </c>
      <c r="C88" s="92">
        <v>15</v>
      </c>
      <c r="D88" s="93">
        <v>10</v>
      </c>
      <c r="E88" s="183">
        <v>9</v>
      </c>
      <c r="F88" s="94">
        <v>1</v>
      </c>
      <c r="G88" s="95">
        <v>15</v>
      </c>
      <c r="H88" s="96"/>
    </row>
    <row r="89" spans="1:8" ht="15" customHeight="1">
      <c r="A89" s="90" t="s">
        <v>1646</v>
      </c>
      <c r="B89" s="91" t="s">
        <v>1647</v>
      </c>
      <c r="C89" s="92">
        <v>35.15</v>
      </c>
      <c r="D89" s="93">
        <v>18</v>
      </c>
      <c r="E89" s="183">
        <v>17</v>
      </c>
      <c r="F89" s="94">
        <v>1</v>
      </c>
      <c r="G89" s="95">
        <v>35.149999999999977</v>
      </c>
      <c r="H89" s="96"/>
    </row>
    <row r="90" spans="1:8" ht="15" customHeight="1">
      <c r="A90" s="90" t="s">
        <v>1677</v>
      </c>
      <c r="B90" s="91" t="s">
        <v>1678</v>
      </c>
      <c r="C90" s="92">
        <v>32.799999999999997</v>
      </c>
      <c r="D90" s="93">
        <v>2</v>
      </c>
      <c r="E90" s="183">
        <v>1</v>
      </c>
      <c r="F90" s="94">
        <v>1</v>
      </c>
      <c r="G90" s="95">
        <v>32.799999999999997</v>
      </c>
      <c r="H90" s="96"/>
    </row>
    <row r="91" spans="1:8" ht="15" customHeight="1">
      <c r="A91" s="90" t="s">
        <v>1805</v>
      </c>
      <c r="B91" s="91" t="s">
        <v>1806</v>
      </c>
      <c r="C91" s="92">
        <v>22.45</v>
      </c>
      <c r="D91" s="93">
        <v>17</v>
      </c>
      <c r="E91" s="183">
        <v>16</v>
      </c>
      <c r="F91" s="94">
        <v>1</v>
      </c>
      <c r="G91" s="95">
        <v>22.449999999999989</v>
      </c>
      <c r="H91" s="96"/>
    </row>
    <row r="92" spans="1:8" ht="15" customHeight="1">
      <c r="A92" s="90" t="s">
        <v>1888</v>
      </c>
      <c r="B92" s="91" t="s">
        <v>1889</v>
      </c>
      <c r="C92" s="92">
        <v>22.59</v>
      </c>
      <c r="D92" s="93">
        <v>1</v>
      </c>
      <c r="E92" s="183"/>
      <c r="F92" s="94">
        <v>1</v>
      </c>
      <c r="G92" s="95">
        <v>22.59</v>
      </c>
      <c r="H92" s="96"/>
    </row>
    <row r="93" spans="1:8" ht="15" customHeight="1">
      <c r="A93" s="90" t="s">
        <v>1922</v>
      </c>
      <c r="B93" s="91" t="s">
        <v>1923</v>
      </c>
      <c r="C93" s="92">
        <v>13.85</v>
      </c>
      <c r="D93" s="93">
        <v>47</v>
      </c>
      <c r="E93" s="183">
        <v>42</v>
      </c>
      <c r="F93" s="94">
        <v>5</v>
      </c>
      <c r="G93" s="95">
        <v>69.25</v>
      </c>
      <c r="H93" s="96"/>
    </row>
    <row r="94" spans="1:8" ht="15" customHeight="1">
      <c r="A94" s="90" t="s">
        <v>2019</v>
      </c>
      <c r="B94" s="91" t="s">
        <v>2020</v>
      </c>
      <c r="C94" s="92">
        <v>6.02</v>
      </c>
      <c r="D94" s="93">
        <v>91</v>
      </c>
      <c r="E94" s="183">
        <v>65</v>
      </c>
      <c r="F94" s="94">
        <v>26</v>
      </c>
      <c r="G94" s="95">
        <v>156.51999999999998</v>
      </c>
      <c r="H94" s="96"/>
    </row>
    <row r="95" spans="1:8" ht="15" customHeight="1">
      <c r="A95" s="90" t="s">
        <v>2041</v>
      </c>
      <c r="B95" s="91" t="s">
        <v>2042</v>
      </c>
      <c r="C95" s="92">
        <v>20.8</v>
      </c>
      <c r="D95" s="93">
        <v>19</v>
      </c>
      <c r="E95" s="183">
        <v>18</v>
      </c>
      <c r="F95" s="94">
        <v>1</v>
      </c>
      <c r="G95" s="95">
        <v>20.799999999999955</v>
      </c>
      <c r="H95" s="96"/>
    </row>
    <row r="96" spans="1:8" ht="15" customHeight="1">
      <c r="A96" s="90" t="s">
        <v>2108</v>
      </c>
      <c r="B96" s="91" t="s">
        <v>2109</v>
      </c>
      <c r="C96" s="92">
        <v>26</v>
      </c>
      <c r="D96" s="93">
        <v>1</v>
      </c>
      <c r="E96" s="183"/>
      <c r="F96" s="94">
        <v>1</v>
      </c>
      <c r="G96" s="95">
        <v>26</v>
      </c>
      <c r="H96" s="96"/>
    </row>
    <row r="97" spans="1:8" ht="15" customHeight="1">
      <c r="A97" s="171" t="s">
        <v>2368</v>
      </c>
      <c r="B97" s="91" t="s">
        <v>2369</v>
      </c>
      <c r="C97" s="92">
        <v>10.95</v>
      </c>
      <c r="D97" s="93">
        <v>71</v>
      </c>
      <c r="E97" s="183">
        <v>52</v>
      </c>
      <c r="F97" s="94">
        <v>19</v>
      </c>
      <c r="G97" s="95">
        <v>208.04999999999995</v>
      </c>
      <c r="H97" s="96"/>
    </row>
    <row r="98" spans="1:8" ht="15" customHeight="1">
      <c r="A98" s="90" t="s">
        <v>2581</v>
      </c>
      <c r="B98" s="91" t="s">
        <v>2582</v>
      </c>
      <c r="C98" s="92">
        <v>6.73</v>
      </c>
      <c r="D98" s="93">
        <v>31</v>
      </c>
      <c r="E98" s="183">
        <v>30</v>
      </c>
      <c r="F98" s="94">
        <v>1</v>
      </c>
      <c r="G98" s="95">
        <v>6.7300000000000182</v>
      </c>
      <c r="H98" s="96"/>
    </row>
    <row r="99" spans="1:8" ht="15" customHeight="1">
      <c r="A99" s="90" t="s">
        <v>2724</v>
      </c>
      <c r="B99" s="91" t="s">
        <v>2725</v>
      </c>
      <c r="C99" s="92">
        <v>6</v>
      </c>
      <c r="D99" s="93">
        <v>125</v>
      </c>
      <c r="E99" s="183">
        <v>124</v>
      </c>
      <c r="F99" s="94">
        <v>1</v>
      </c>
      <c r="G99" s="95">
        <v>6</v>
      </c>
      <c r="H99" s="96"/>
    </row>
    <row r="100" spans="1:8" ht="15" customHeight="1">
      <c r="A100" s="90" t="s">
        <v>2858</v>
      </c>
      <c r="B100" s="91" t="s">
        <v>2859</v>
      </c>
      <c r="C100" s="92">
        <v>5.0199999999999996</v>
      </c>
      <c r="D100" s="93">
        <v>84</v>
      </c>
      <c r="E100" s="183">
        <v>82</v>
      </c>
      <c r="F100" s="94">
        <v>2</v>
      </c>
      <c r="G100" s="95">
        <v>10.039999999999964</v>
      </c>
      <c r="H100" s="96"/>
    </row>
    <row r="101" spans="1:8" ht="15" customHeight="1">
      <c r="A101" s="90" t="s">
        <v>2890</v>
      </c>
      <c r="B101" s="91" t="s">
        <v>2891</v>
      </c>
      <c r="C101" s="92">
        <v>6.12</v>
      </c>
      <c r="D101" s="93">
        <v>345</v>
      </c>
      <c r="E101" s="183">
        <v>343</v>
      </c>
      <c r="F101" s="94">
        <v>2</v>
      </c>
      <c r="G101" s="95">
        <v>12.240000000000236</v>
      </c>
      <c r="H101" s="96"/>
    </row>
    <row r="102" spans="1:8" ht="15" customHeight="1">
      <c r="A102" s="90" t="s">
        <v>2956</v>
      </c>
      <c r="B102" s="91" t="s">
        <v>2957</v>
      </c>
      <c r="C102" s="92">
        <v>5.78</v>
      </c>
      <c r="D102" s="93">
        <v>95</v>
      </c>
      <c r="E102" s="183">
        <v>94</v>
      </c>
      <c r="F102" s="94">
        <v>1</v>
      </c>
      <c r="G102" s="95">
        <v>5.7799999999999727</v>
      </c>
      <c r="H102" s="96"/>
    </row>
    <row r="103" spans="1:8" ht="15" customHeight="1">
      <c r="A103" s="90" t="s">
        <v>3022</v>
      </c>
      <c r="B103" s="91" t="s">
        <v>3023</v>
      </c>
      <c r="C103" s="92">
        <v>5.41</v>
      </c>
      <c r="D103" s="93">
        <v>109</v>
      </c>
      <c r="E103" s="183">
        <v>108</v>
      </c>
      <c r="F103" s="94">
        <v>1</v>
      </c>
      <c r="G103" s="95">
        <v>5.4100000000000819</v>
      </c>
      <c r="H103" s="96"/>
    </row>
    <row r="104" spans="1:8" ht="15" customHeight="1">
      <c r="A104" s="90" t="s">
        <v>3024</v>
      </c>
      <c r="B104" s="91" t="s">
        <v>3025</v>
      </c>
      <c r="C104" s="92">
        <v>5.41</v>
      </c>
      <c r="D104" s="93">
        <v>207</v>
      </c>
      <c r="E104" s="183">
        <v>204</v>
      </c>
      <c r="F104" s="94">
        <v>3</v>
      </c>
      <c r="G104" s="95">
        <v>16.230000000000018</v>
      </c>
      <c r="H104" s="96"/>
    </row>
    <row r="105" spans="1:8" ht="15" customHeight="1">
      <c r="A105" s="90" t="s">
        <v>3032</v>
      </c>
      <c r="B105" s="91" t="s">
        <v>3033</v>
      </c>
      <c r="C105" s="92">
        <v>6.37</v>
      </c>
      <c r="D105" s="93">
        <v>64</v>
      </c>
      <c r="E105" s="183">
        <v>54</v>
      </c>
      <c r="F105" s="94">
        <v>10</v>
      </c>
      <c r="G105" s="95">
        <v>63.699999999999989</v>
      </c>
      <c r="H105" s="96"/>
    </row>
    <row r="106" spans="1:8" ht="15" customHeight="1">
      <c r="A106" s="90" t="s">
        <v>3097</v>
      </c>
      <c r="B106" s="91" t="s">
        <v>3098</v>
      </c>
      <c r="C106" s="92">
        <v>5</v>
      </c>
      <c r="D106" s="93">
        <v>9</v>
      </c>
      <c r="E106" s="183">
        <v>8</v>
      </c>
      <c r="F106" s="94">
        <v>1</v>
      </c>
      <c r="G106" s="95">
        <v>5</v>
      </c>
      <c r="H106" s="96"/>
    </row>
    <row r="107" spans="1:8" ht="15" customHeight="1">
      <c r="A107" s="90" t="s">
        <v>3723</v>
      </c>
      <c r="B107" s="91" t="s">
        <v>3724</v>
      </c>
      <c r="C107" s="92">
        <v>19.47</v>
      </c>
      <c r="D107" s="93">
        <v>17</v>
      </c>
      <c r="E107" s="183">
        <v>16</v>
      </c>
      <c r="F107" s="94">
        <v>1</v>
      </c>
      <c r="G107" s="95">
        <v>19.470000000000027</v>
      </c>
      <c r="H107" s="96"/>
    </row>
    <row r="108" spans="1:8" ht="15" customHeight="1">
      <c r="A108" s="90" t="s">
        <v>3725</v>
      </c>
      <c r="B108" s="91" t="s">
        <v>3726</v>
      </c>
      <c r="C108" s="92">
        <v>11.5</v>
      </c>
      <c r="D108" s="93">
        <v>29</v>
      </c>
      <c r="E108" s="183">
        <v>28</v>
      </c>
      <c r="F108" s="94">
        <v>1</v>
      </c>
      <c r="G108" s="95">
        <v>11.5</v>
      </c>
      <c r="H108" s="96"/>
    </row>
    <row r="109" spans="1:8" ht="15" customHeight="1">
      <c r="A109" s="90" t="s">
        <v>3767</v>
      </c>
      <c r="B109" s="91" t="s">
        <v>3768</v>
      </c>
      <c r="C109" s="92">
        <v>4.4800000000000004</v>
      </c>
      <c r="D109" s="93">
        <v>1</v>
      </c>
      <c r="E109" s="183"/>
      <c r="F109" s="94">
        <v>1</v>
      </c>
      <c r="G109" s="95">
        <v>4.4800000000000004</v>
      </c>
      <c r="H109" s="96"/>
    </row>
    <row r="110" spans="1:8" ht="15" customHeight="1">
      <c r="A110" s="90" t="s">
        <v>3771</v>
      </c>
      <c r="B110" s="91" t="s">
        <v>3772</v>
      </c>
      <c r="C110" s="92">
        <v>3.6</v>
      </c>
      <c r="D110" s="93">
        <v>1</v>
      </c>
      <c r="E110" s="183"/>
      <c r="F110" s="94">
        <v>1</v>
      </c>
      <c r="G110" s="95">
        <v>3.6</v>
      </c>
      <c r="H110" s="96"/>
    </row>
    <row r="111" spans="1:8" ht="15" customHeight="1">
      <c r="A111" s="90" t="s">
        <v>3773</v>
      </c>
      <c r="B111" s="91" t="s">
        <v>3774</v>
      </c>
      <c r="C111" s="92">
        <v>3.6</v>
      </c>
      <c r="D111" s="93">
        <v>2</v>
      </c>
      <c r="E111" s="183"/>
      <c r="F111" s="94">
        <v>2</v>
      </c>
      <c r="G111" s="95">
        <v>7.2</v>
      </c>
      <c r="H111" s="96"/>
    </row>
    <row r="112" spans="1:8" ht="15" customHeight="1">
      <c r="A112" s="90" t="s">
        <v>3779</v>
      </c>
      <c r="B112" s="91" t="s">
        <v>3780</v>
      </c>
      <c r="C112" s="92">
        <v>0.76</v>
      </c>
      <c r="D112" s="93">
        <v>53</v>
      </c>
      <c r="E112" s="183">
        <v>50</v>
      </c>
      <c r="F112" s="94">
        <v>3</v>
      </c>
      <c r="G112" s="95">
        <v>2.2800000000000011</v>
      </c>
      <c r="H112" s="96"/>
    </row>
    <row r="113" spans="1:8" ht="15" customHeight="1">
      <c r="A113" s="90" t="s">
        <v>3789</v>
      </c>
      <c r="B113" s="91" t="s">
        <v>3790</v>
      </c>
      <c r="C113" s="92">
        <v>0.76</v>
      </c>
      <c r="D113" s="93">
        <v>57</v>
      </c>
      <c r="E113" s="183"/>
      <c r="F113" s="94">
        <v>57</v>
      </c>
      <c r="G113" s="95">
        <v>43.32</v>
      </c>
      <c r="H113" s="96"/>
    </row>
    <row r="114" spans="1:8" ht="15" customHeight="1">
      <c r="A114" s="90" t="s">
        <v>4363</v>
      </c>
      <c r="B114" s="91" t="s">
        <v>4364</v>
      </c>
      <c r="C114" s="92">
        <v>6.0250000000000004</v>
      </c>
      <c r="D114" s="93">
        <v>11</v>
      </c>
      <c r="E114" s="183">
        <v>3</v>
      </c>
      <c r="F114" s="94">
        <v>8</v>
      </c>
      <c r="G114" s="95">
        <v>48.2</v>
      </c>
      <c r="H114" s="96"/>
    </row>
    <row r="115" spans="1:8" ht="15" customHeight="1">
      <c r="A115" s="90" t="s">
        <v>4645</v>
      </c>
      <c r="B115" s="91" t="s">
        <v>4647</v>
      </c>
      <c r="C115" s="92">
        <v>6.15</v>
      </c>
      <c r="D115" s="93">
        <v>1</v>
      </c>
      <c r="E115" s="183"/>
      <c r="F115" s="94">
        <v>1</v>
      </c>
      <c r="G115" s="95">
        <v>6.15</v>
      </c>
      <c r="H115" s="96"/>
    </row>
    <row r="116" spans="1:8" ht="15" customHeight="1">
      <c r="A116" s="90" t="s">
        <v>4649</v>
      </c>
      <c r="B116" s="91" t="s">
        <v>4651</v>
      </c>
      <c r="C116" s="92">
        <v>0.76</v>
      </c>
      <c r="D116" s="93">
        <v>22</v>
      </c>
      <c r="E116" s="183">
        <v>8</v>
      </c>
      <c r="F116" s="94">
        <v>14</v>
      </c>
      <c r="G116" s="95">
        <v>10.639999999999999</v>
      </c>
      <c r="H116" s="96"/>
    </row>
    <row r="117" spans="1:8" ht="15" customHeight="1">
      <c r="A117" s="90" t="s">
        <v>4822</v>
      </c>
      <c r="B117" s="91" t="s">
        <v>4824</v>
      </c>
      <c r="C117" s="92">
        <v>6.0250000000000004</v>
      </c>
      <c r="D117" s="93">
        <v>7</v>
      </c>
      <c r="E117" s="183">
        <v>6</v>
      </c>
      <c r="F117" s="94">
        <v>1</v>
      </c>
      <c r="G117" s="95">
        <v>6.0249999999999986</v>
      </c>
      <c r="H117" s="96"/>
    </row>
    <row r="118" spans="1:8" ht="15" customHeight="1">
      <c r="A118" s="106" t="s">
        <v>3994</v>
      </c>
      <c r="B118" s="91" t="s">
        <v>3995</v>
      </c>
      <c r="C118" s="92">
        <v>10</v>
      </c>
      <c r="D118" s="93">
        <v>2</v>
      </c>
      <c r="E118" s="183"/>
      <c r="F118" s="94">
        <v>2</v>
      </c>
      <c r="G118" s="95">
        <v>20</v>
      </c>
      <c r="H118" s="96"/>
    </row>
    <row r="119" spans="1:8" ht="15" customHeight="1">
      <c r="A119" s="90">
        <v>7359</v>
      </c>
      <c r="B119" s="91" t="s">
        <v>5178</v>
      </c>
      <c r="C119" s="92">
        <v>20.56</v>
      </c>
      <c r="D119" s="93">
        <v>17</v>
      </c>
      <c r="E119" s="183">
        <v>16</v>
      </c>
      <c r="F119" s="94">
        <v>1</v>
      </c>
      <c r="G119" s="95">
        <v>20.560000000000002</v>
      </c>
      <c r="H119" s="96"/>
    </row>
    <row r="120" spans="1:8" ht="15" customHeight="1">
      <c r="A120" s="90">
        <v>80088240040</v>
      </c>
      <c r="B120" s="91" t="s">
        <v>5226</v>
      </c>
      <c r="C120" s="92">
        <v>0</v>
      </c>
      <c r="D120" s="93">
        <v>5</v>
      </c>
      <c r="E120" s="183">
        <v>3</v>
      </c>
      <c r="F120" s="94">
        <v>2</v>
      </c>
      <c r="G120" s="95">
        <v>0</v>
      </c>
      <c r="H120" s="96"/>
    </row>
    <row r="121" spans="1:8">
      <c r="A121" s="165"/>
      <c r="B121" s="166"/>
      <c r="C121" s="167"/>
      <c r="D121" s="186">
        <f>SUM(D76:D120)</f>
        <v>2032</v>
      </c>
      <c r="E121" s="186">
        <f>SUM(E61:E120)</f>
        <v>2261</v>
      </c>
      <c r="F121" s="186">
        <f>SUM(F61:F120)</f>
        <v>233</v>
      </c>
      <c r="G121" s="186">
        <f>SUM(G61:G120)</f>
        <v>1965.1350000000002</v>
      </c>
      <c r="H121" s="170"/>
    </row>
  </sheetData>
  <pageMargins left="0.7" right="0.7" top="0.75" bottom="0.75" header="0.3" footer="0.3"/>
  <pageSetup paperSize="14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AB1F-79BE-41D4-B598-CE1C715FCADA}">
  <sheetPr>
    <tabColor rgb="FFFF0000"/>
  </sheetPr>
  <dimension ref="A1:L1495"/>
  <sheetViews>
    <sheetView topLeftCell="A13" workbookViewId="0">
      <selection activeCell="A14" sqref="A14:XFD14"/>
    </sheetView>
  </sheetViews>
  <sheetFormatPr defaultRowHeight="15"/>
  <cols>
    <col min="1" max="1" width="13.140625" style="175" customWidth="1"/>
    <col min="2" max="2" width="22" customWidth="1"/>
    <col min="3" max="3" width="17.5703125" customWidth="1"/>
    <col min="4" max="4" width="43.28515625" customWidth="1"/>
    <col min="5" max="5" width="10.7109375" style="4" customWidth="1"/>
    <col min="6" max="8" width="10.7109375" customWidth="1"/>
    <col min="9" max="9" width="9.85546875" customWidth="1"/>
    <col min="11" max="11" width="11.5703125" customWidth="1"/>
    <col min="12" max="12" width="10.7109375" customWidth="1"/>
  </cols>
  <sheetData>
    <row r="1" spans="1:12">
      <c r="A1" s="352" t="s">
        <v>480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</row>
    <row r="2" spans="1:12" ht="15.75" thickBot="1">
      <c r="A2" s="353" t="str">
        <f>PRINTING!B2</f>
        <v>AS OF JUNE 2026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</row>
    <row r="3" spans="1:12" s="4" customFormat="1" ht="26.25" customHeight="1" thickBot="1">
      <c r="A3" s="216" t="s">
        <v>4140</v>
      </c>
      <c r="B3" s="217" t="s">
        <v>4142</v>
      </c>
      <c r="C3" s="217" t="s">
        <v>4240</v>
      </c>
      <c r="D3" s="217" t="s">
        <v>4241</v>
      </c>
      <c r="E3" s="217" t="s">
        <v>4242</v>
      </c>
      <c r="F3" s="217" t="s">
        <v>4243</v>
      </c>
      <c r="G3" s="218" t="s">
        <v>4244</v>
      </c>
      <c r="H3" s="218" t="s">
        <v>4245</v>
      </c>
      <c r="I3" s="240" t="s">
        <v>4950</v>
      </c>
      <c r="J3" s="234" t="s">
        <v>4951</v>
      </c>
      <c r="K3" s="235" t="s">
        <v>4952</v>
      </c>
      <c r="L3" s="235" t="s">
        <v>4953</v>
      </c>
    </row>
    <row r="4" spans="1:12">
      <c r="A4" s="219" t="s">
        <v>4246</v>
      </c>
      <c r="B4" s="220" t="s">
        <v>484</v>
      </c>
      <c r="C4" s="220" t="s">
        <v>4247</v>
      </c>
      <c r="D4" s="221" t="s">
        <v>485</v>
      </c>
      <c r="E4" s="220">
        <v>2</v>
      </c>
      <c r="F4" s="133">
        <v>19.100000000000001</v>
      </c>
      <c r="G4" s="133">
        <v>22</v>
      </c>
      <c r="H4" s="222">
        <f t="shared" ref="H4:H67" si="0">E4*G4</f>
        <v>44</v>
      </c>
      <c r="I4" s="236"/>
      <c r="J4" s="236">
        <v>0</v>
      </c>
      <c r="K4" s="236">
        <f>H4+I4-J4</f>
        <v>44</v>
      </c>
      <c r="L4" s="237">
        <f>E4*F4</f>
        <v>38.200000000000003</v>
      </c>
    </row>
    <row r="5" spans="1:12">
      <c r="A5" s="223" t="s">
        <v>4246</v>
      </c>
      <c r="B5" s="80" t="s">
        <v>3097</v>
      </c>
      <c r="C5" s="220" t="s">
        <v>4248</v>
      </c>
      <c r="D5" s="107" t="s">
        <v>3098</v>
      </c>
      <c r="E5" s="80">
        <v>2</v>
      </c>
      <c r="F5" s="133">
        <v>5</v>
      </c>
      <c r="G5" s="133">
        <v>5.75</v>
      </c>
      <c r="H5" s="222">
        <f t="shared" si="0"/>
        <v>11.5</v>
      </c>
      <c r="I5" s="236"/>
      <c r="J5" s="236">
        <v>0</v>
      </c>
      <c r="K5" s="236">
        <f t="shared" ref="K5:K68" si="1">H5+I5-J5</f>
        <v>11.5</v>
      </c>
      <c r="L5" s="237">
        <f t="shared" ref="L5:L68" si="2">E5*F5</f>
        <v>10</v>
      </c>
    </row>
    <row r="6" spans="1:12">
      <c r="A6" s="223" t="s">
        <v>4246</v>
      </c>
      <c r="B6" s="80" t="s">
        <v>2874</v>
      </c>
      <c r="C6" s="220" t="s">
        <v>4248</v>
      </c>
      <c r="D6" s="107" t="s">
        <v>2875</v>
      </c>
      <c r="E6" s="80">
        <v>6</v>
      </c>
      <c r="F6" s="133">
        <v>3.72</v>
      </c>
      <c r="G6" s="133">
        <v>4.5</v>
      </c>
      <c r="H6" s="222">
        <f t="shared" si="0"/>
        <v>27</v>
      </c>
      <c r="I6" s="236"/>
      <c r="J6" s="236">
        <v>0</v>
      </c>
      <c r="K6" s="236">
        <f t="shared" si="1"/>
        <v>27</v>
      </c>
      <c r="L6" s="237">
        <f t="shared" si="2"/>
        <v>22.32</v>
      </c>
    </row>
    <row r="7" spans="1:12">
      <c r="A7" s="223" t="s">
        <v>4246</v>
      </c>
      <c r="B7" s="80" t="s">
        <v>1049</v>
      </c>
      <c r="C7" s="220" t="s">
        <v>4248</v>
      </c>
      <c r="D7" s="107" t="s">
        <v>1050</v>
      </c>
      <c r="E7" s="80">
        <v>1</v>
      </c>
      <c r="F7" s="133">
        <v>59.51</v>
      </c>
      <c r="G7" s="133">
        <v>68.5</v>
      </c>
      <c r="H7" s="222">
        <f t="shared" si="0"/>
        <v>68.5</v>
      </c>
      <c r="I7" s="236"/>
      <c r="J7" s="236">
        <v>0</v>
      </c>
      <c r="K7" s="236">
        <f t="shared" si="1"/>
        <v>68.5</v>
      </c>
      <c r="L7" s="237">
        <f t="shared" si="2"/>
        <v>59.51</v>
      </c>
    </row>
    <row r="8" spans="1:12">
      <c r="A8" s="223" t="s">
        <v>4246</v>
      </c>
      <c r="B8" s="80" t="s">
        <v>3046</v>
      </c>
      <c r="C8" s="220" t="s">
        <v>4248</v>
      </c>
      <c r="D8" s="107" t="s">
        <v>3047</v>
      </c>
      <c r="E8" s="80">
        <v>1</v>
      </c>
      <c r="F8" s="133">
        <v>38.25</v>
      </c>
      <c r="G8" s="133">
        <v>44</v>
      </c>
      <c r="H8" s="222">
        <f t="shared" si="0"/>
        <v>44</v>
      </c>
      <c r="I8" s="236"/>
      <c r="J8" s="236">
        <v>0</v>
      </c>
      <c r="K8" s="236">
        <f t="shared" si="1"/>
        <v>44</v>
      </c>
      <c r="L8" s="237">
        <f t="shared" si="2"/>
        <v>38.25</v>
      </c>
    </row>
    <row r="9" spans="1:12">
      <c r="A9" s="223" t="s">
        <v>4246</v>
      </c>
      <c r="B9" s="80" t="s">
        <v>3769</v>
      </c>
      <c r="C9" s="80" t="s">
        <v>4249</v>
      </c>
      <c r="D9" s="107" t="s">
        <v>3770</v>
      </c>
      <c r="E9" s="80">
        <v>1</v>
      </c>
      <c r="F9" s="133">
        <v>4.12</v>
      </c>
      <c r="G9" s="133">
        <v>5.25</v>
      </c>
      <c r="H9" s="222">
        <f t="shared" si="0"/>
        <v>5.25</v>
      </c>
      <c r="I9" s="236"/>
      <c r="J9" s="236">
        <v>0</v>
      </c>
      <c r="K9" s="236">
        <f t="shared" si="1"/>
        <v>5.25</v>
      </c>
      <c r="L9" s="237">
        <f t="shared" si="2"/>
        <v>4.12</v>
      </c>
    </row>
    <row r="10" spans="1:12">
      <c r="A10" s="223" t="s">
        <v>4246</v>
      </c>
      <c r="B10" s="80" t="s">
        <v>4067</v>
      </c>
      <c r="C10" s="80" t="s">
        <v>4249</v>
      </c>
      <c r="D10" s="107" t="s">
        <v>4068</v>
      </c>
      <c r="E10" s="80">
        <v>1</v>
      </c>
      <c r="F10" s="133">
        <v>8.15</v>
      </c>
      <c r="G10" s="133">
        <v>9.5</v>
      </c>
      <c r="H10" s="222">
        <f t="shared" si="0"/>
        <v>9.5</v>
      </c>
      <c r="I10" s="236"/>
      <c r="J10" s="236">
        <v>0</v>
      </c>
      <c r="K10" s="236">
        <f t="shared" si="1"/>
        <v>9.5</v>
      </c>
      <c r="L10" s="237">
        <f t="shared" si="2"/>
        <v>8.15</v>
      </c>
    </row>
    <row r="11" spans="1:12">
      <c r="A11" s="223" t="s">
        <v>4246</v>
      </c>
      <c r="B11" s="80" t="s">
        <v>945</v>
      </c>
      <c r="C11" s="80" t="s">
        <v>4250</v>
      </c>
      <c r="D11" s="107" t="s">
        <v>946</v>
      </c>
      <c r="E11" s="80">
        <v>1</v>
      </c>
      <c r="F11" s="133">
        <v>12.77</v>
      </c>
      <c r="G11" s="133">
        <v>14.75</v>
      </c>
      <c r="H11" s="222">
        <f t="shared" si="0"/>
        <v>14.75</v>
      </c>
      <c r="I11" s="236"/>
      <c r="J11" s="236">
        <v>0</v>
      </c>
      <c r="K11" s="236">
        <f t="shared" si="1"/>
        <v>14.75</v>
      </c>
      <c r="L11" s="237">
        <f t="shared" si="2"/>
        <v>12.77</v>
      </c>
    </row>
    <row r="12" spans="1:12">
      <c r="A12" s="223" t="s">
        <v>4246</v>
      </c>
      <c r="B12" s="80" t="s">
        <v>3398</v>
      </c>
      <c r="C12" s="80" t="s">
        <v>4250</v>
      </c>
      <c r="D12" s="107" t="s">
        <v>3399</v>
      </c>
      <c r="E12" s="80">
        <v>1</v>
      </c>
      <c r="F12" s="133">
        <v>90</v>
      </c>
      <c r="G12" s="133">
        <v>120</v>
      </c>
      <c r="H12" s="222">
        <f t="shared" si="0"/>
        <v>120</v>
      </c>
      <c r="I12" s="236"/>
      <c r="J12" s="236">
        <v>0</v>
      </c>
      <c r="K12" s="236">
        <f t="shared" si="1"/>
        <v>120</v>
      </c>
      <c r="L12" s="237">
        <f t="shared" si="2"/>
        <v>90</v>
      </c>
    </row>
    <row r="13" spans="1:12">
      <c r="A13" s="223" t="s">
        <v>4246</v>
      </c>
      <c r="B13" s="80" t="s">
        <v>511</v>
      </c>
      <c r="C13" s="80" t="s">
        <v>4251</v>
      </c>
      <c r="D13" s="107" t="s">
        <v>512</v>
      </c>
      <c r="E13" s="80">
        <v>1</v>
      </c>
      <c r="F13" s="133">
        <v>27.5</v>
      </c>
      <c r="G13" s="133">
        <v>30</v>
      </c>
      <c r="H13" s="222">
        <f t="shared" si="0"/>
        <v>30</v>
      </c>
      <c r="I13" s="236"/>
      <c r="J13" s="236">
        <v>0</v>
      </c>
      <c r="K13" s="236">
        <f t="shared" si="1"/>
        <v>30</v>
      </c>
      <c r="L13" s="237">
        <f t="shared" si="2"/>
        <v>27.5</v>
      </c>
    </row>
    <row r="14" spans="1:12">
      <c r="A14" s="223" t="s">
        <v>4246</v>
      </c>
      <c r="B14" s="80" t="s">
        <v>2589</v>
      </c>
      <c r="C14" s="80" t="s">
        <v>4251</v>
      </c>
      <c r="D14" s="107" t="s">
        <v>2590</v>
      </c>
      <c r="E14" s="80">
        <v>2</v>
      </c>
      <c r="F14" s="133">
        <v>6.6</v>
      </c>
      <c r="G14" s="133">
        <v>7.75</v>
      </c>
      <c r="H14" s="222">
        <f t="shared" si="0"/>
        <v>15.5</v>
      </c>
      <c r="I14" s="236"/>
      <c r="J14" s="236">
        <v>0</v>
      </c>
      <c r="K14" s="236">
        <f t="shared" si="1"/>
        <v>15.5</v>
      </c>
      <c r="L14" s="237">
        <f t="shared" si="2"/>
        <v>13.2</v>
      </c>
    </row>
    <row r="15" spans="1:12">
      <c r="A15" s="223" t="s">
        <v>4246</v>
      </c>
      <c r="B15" s="80" t="s">
        <v>2215</v>
      </c>
      <c r="C15" s="80" t="s">
        <v>4251</v>
      </c>
      <c r="D15" s="107" t="s">
        <v>2216</v>
      </c>
      <c r="E15" s="80">
        <v>1</v>
      </c>
      <c r="F15" s="133">
        <v>7.75</v>
      </c>
      <c r="G15" s="133">
        <v>9</v>
      </c>
      <c r="H15" s="222">
        <f t="shared" si="0"/>
        <v>9</v>
      </c>
      <c r="I15" s="236"/>
      <c r="J15" s="236">
        <v>0</v>
      </c>
      <c r="K15" s="236">
        <f t="shared" si="1"/>
        <v>9</v>
      </c>
      <c r="L15" s="237">
        <f t="shared" si="2"/>
        <v>7.75</v>
      </c>
    </row>
    <row r="16" spans="1:12">
      <c r="A16" s="223" t="s">
        <v>4246</v>
      </c>
      <c r="B16" s="80" t="s">
        <v>2896</v>
      </c>
      <c r="C16" s="80" t="s">
        <v>4251</v>
      </c>
      <c r="D16" s="107" t="s">
        <v>2897</v>
      </c>
      <c r="E16" s="80">
        <v>4</v>
      </c>
      <c r="F16" s="133">
        <v>13.87</v>
      </c>
      <c r="G16" s="133">
        <v>17.75</v>
      </c>
      <c r="H16" s="222">
        <f t="shared" si="0"/>
        <v>71</v>
      </c>
      <c r="I16" s="236"/>
      <c r="J16" s="236">
        <v>0</v>
      </c>
      <c r="K16" s="236">
        <f t="shared" si="1"/>
        <v>71</v>
      </c>
      <c r="L16" s="237">
        <f t="shared" si="2"/>
        <v>55.48</v>
      </c>
    </row>
    <row r="17" spans="1:12">
      <c r="A17" s="223" t="s">
        <v>4246</v>
      </c>
      <c r="B17" s="80" t="s">
        <v>3659</v>
      </c>
      <c r="C17" s="80" t="s">
        <v>4252</v>
      </c>
      <c r="D17" s="107" t="s">
        <v>3660</v>
      </c>
      <c r="E17" s="80">
        <v>1</v>
      </c>
      <c r="F17" s="133">
        <v>22.73</v>
      </c>
      <c r="G17" s="133">
        <v>26.25</v>
      </c>
      <c r="H17" s="222">
        <f t="shared" si="0"/>
        <v>26.25</v>
      </c>
      <c r="I17" s="236"/>
      <c r="J17" s="236">
        <v>0</v>
      </c>
      <c r="K17" s="236">
        <f t="shared" si="1"/>
        <v>26.25</v>
      </c>
      <c r="L17" s="237">
        <f t="shared" si="2"/>
        <v>22.73</v>
      </c>
    </row>
    <row r="18" spans="1:12">
      <c r="A18" s="223" t="s">
        <v>4246</v>
      </c>
      <c r="B18" s="80" t="s">
        <v>1196</v>
      </c>
      <c r="C18" s="80" t="s">
        <v>4253</v>
      </c>
      <c r="D18" s="107" t="s">
        <v>1197</v>
      </c>
      <c r="E18" s="80">
        <v>1</v>
      </c>
      <c r="F18" s="133">
        <v>31.04</v>
      </c>
      <c r="G18" s="133">
        <v>37</v>
      </c>
      <c r="H18" s="222">
        <f t="shared" si="0"/>
        <v>37</v>
      </c>
      <c r="I18" s="236"/>
      <c r="J18" s="236">
        <v>0</v>
      </c>
      <c r="K18" s="236">
        <f t="shared" si="1"/>
        <v>37</v>
      </c>
      <c r="L18" s="237">
        <f t="shared" si="2"/>
        <v>31.04</v>
      </c>
    </row>
    <row r="19" spans="1:12">
      <c r="A19" s="223" t="s">
        <v>4246</v>
      </c>
      <c r="B19" s="80" t="s">
        <v>2632</v>
      </c>
      <c r="C19" s="80" t="s">
        <v>4254</v>
      </c>
      <c r="D19" s="107" t="s">
        <v>2633</v>
      </c>
      <c r="E19" s="80">
        <v>2</v>
      </c>
      <c r="F19" s="133">
        <v>19.61</v>
      </c>
      <c r="G19" s="133">
        <v>22.75</v>
      </c>
      <c r="H19" s="222">
        <f t="shared" si="0"/>
        <v>45.5</v>
      </c>
      <c r="I19" s="236"/>
      <c r="J19" s="236">
        <v>0</v>
      </c>
      <c r="K19" s="236">
        <f t="shared" si="1"/>
        <v>45.5</v>
      </c>
      <c r="L19" s="237">
        <f t="shared" si="2"/>
        <v>39.22</v>
      </c>
    </row>
    <row r="20" spans="1:12">
      <c r="A20" s="223" t="s">
        <v>4246</v>
      </c>
      <c r="B20" s="80" t="s">
        <v>3398</v>
      </c>
      <c r="C20" s="80" t="s">
        <v>4255</v>
      </c>
      <c r="D20" s="107" t="s">
        <v>3399</v>
      </c>
      <c r="E20" s="80">
        <v>3</v>
      </c>
      <c r="F20" s="133">
        <v>90</v>
      </c>
      <c r="G20" s="133">
        <v>120</v>
      </c>
      <c r="H20" s="222">
        <f t="shared" si="0"/>
        <v>360</v>
      </c>
      <c r="I20" s="236"/>
      <c r="J20" s="236">
        <v>0</v>
      </c>
      <c r="K20" s="236">
        <f t="shared" si="1"/>
        <v>360</v>
      </c>
      <c r="L20" s="237">
        <f t="shared" si="2"/>
        <v>270</v>
      </c>
    </row>
    <row r="21" spans="1:12">
      <c r="A21" s="223" t="s">
        <v>4246</v>
      </c>
      <c r="B21" s="80" t="s">
        <v>4065</v>
      </c>
      <c r="C21" s="80" t="s">
        <v>4256</v>
      </c>
      <c r="D21" s="107" t="s">
        <v>4066</v>
      </c>
      <c r="E21" s="80">
        <v>1</v>
      </c>
      <c r="F21" s="133">
        <v>16.91</v>
      </c>
      <c r="G21" s="133">
        <v>18.600000000000001</v>
      </c>
      <c r="H21" s="222">
        <f t="shared" si="0"/>
        <v>18.600000000000001</v>
      </c>
      <c r="I21" s="236"/>
      <c r="J21" s="236">
        <v>0</v>
      </c>
      <c r="K21" s="236">
        <f t="shared" si="1"/>
        <v>18.600000000000001</v>
      </c>
      <c r="L21" s="237">
        <f t="shared" si="2"/>
        <v>16.91</v>
      </c>
    </row>
    <row r="22" spans="1:12">
      <c r="A22" s="223" t="s">
        <v>4246</v>
      </c>
      <c r="B22" s="80" t="s">
        <v>951</v>
      </c>
      <c r="C22" s="80" t="s">
        <v>4257</v>
      </c>
      <c r="D22" s="107" t="s">
        <v>952</v>
      </c>
      <c r="E22" s="80">
        <v>2</v>
      </c>
      <c r="F22" s="133">
        <v>12.77</v>
      </c>
      <c r="G22" s="133">
        <v>14.75</v>
      </c>
      <c r="H22" s="222">
        <f t="shared" si="0"/>
        <v>29.5</v>
      </c>
      <c r="I22" s="236"/>
      <c r="J22" s="236">
        <v>0</v>
      </c>
      <c r="K22" s="236">
        <f t="shared" si="1"/>
        <v>29.5</v>
      </c>
      <c r="L22" s="237">
        <f t="shared" si="2"/>
        <v>25.54</v>
      </c>
    </row>
    <row r="23" spans="1:12">
      <c r="A23" s="223" t="s">
        <v>4246</v>
      </c>
      <c r="B23" s="80" t="s">
        <v>945</v>
      </c>
      <c r="C23" s="80" t="s">
        <v>4257</v>
      </c>
      <c r="D23" s="107" t="s">
        <v>946</v>
      </c>
      <c r="E23" s="80">
        <v>1</v>
      </c>
      <c r="F23" s="133">
        <v>12.77</v>
      </c>
      <c r="G23" s="133">
        <v>14.75</v>
      </c>
      <c r="H23" s="222">
        <f t="shared" si="0"/>
        <v>14.75</v>
      </c>
      <c r="I23" s="236"/>
      <c r="J23" s="236">
        <v>0</v>
      </c>
      <c r="K23" s="236">
        <f t="shared" si="1"/>
        <v>14.75</v>
      </c>
      <c r="L23" s="237">
        <f t="shared" si="2"/>
        <v>12.77</v>
      </c>
    </row>
    <row r="24" spans="1:12">
      <c r="A24" s="223" t="s">
        <v>4246</v>
      </c>
      <c r="B24" s="80" t="s">
        <v>534</v>
      </c>
      <c r="C24" s="80" t="s">
        <v>4258</v>
      </c>
      <c r="D24" s="107" t="s">
        <v>535</v>
      </c>
      <c r="E24" s="80">
        <v>1</v>
      </c>
      <c r="F24" s="133">
        <v>17.649999999999999</v>
      </c>
      <c r="G24" s="133">
        <v>18.75</v>
      </c>
      <c r="H24" s="222">
        <f t="shared" si="0"/>
        <v>18.75</v>
      </c>
      <c r="I24" s="236"/>
      <c r="J24" s="236">
        <v>0</v>
      </c>
      <c r="K24" s="236">
        <f t="shared" si="1"/>
        <v>18.75</v>
      </c>
      <c r="L24" s="237">
        <f t="shared" si="2"/>
        <v>17.649999999999999</v>
      </c>
    </row>
    <row r="25" spans="1:12">
      <c r="A25" s="223" t="s">
        <v>4246</v>
      </c>
      <c r="B25" s="80" t="s">
        <v>532</v>
      </c>
      <c r="C25" s="80" t="s">
        <v>4258</v>
      </c>
      <c r="D25" s="107" t="s">
        <v>533</v>
      </c>
      <c r="E25" s="80">
        <v>1</v>
      </c>
      <c r="F25" s="133">
        <v>18.649999999999999</v>
      </c>
      <c r="G25" s="133">
        <v>21.5</v>
      </c>
      <c r="H25" s="222">
        <f t="shared" si="0"/>
        <v>21.5</v>
      </c>
      <c r="I25" s="236"/>
      <c r="J25" s="236">
        <v>0</v>
      </c>
      <c r="K25" s="236">
        <f t="shared" si="1"/>
        <v>21.5</v>
      </c>
      <c r="L25" s="237">
        <f t="shared" si="2"/>
        <v>18.649999999999999</v>
      </c>
    </row>
    <row r="26" spans="1:12">
      <c r="A26" s="223" t="s">
        <v>4246</v>
      </c>
      <c r="B26" s="80" t="s">
        <v>3773</v>
      </c>
      <c r="C26" s="80" t="s">
        <v>4258</v>
      </c>
      <c r="D26" s="107" t="s">
        <v>3774</v>
      </c>
      <c r="E26" s="80">
        <v>1</v>
      </c>
      <c r="F26" s="133">
        <v>3.6</v>
      </c>
      <c r="G26" s="133">
        <v>4.25</v>
      </c>
      <c r="H26" s="222">
        <f t="shared" si="0"/>
        <v>4.25</v>
      </c>
      <c r="I26" s="236"/>
      <c r="J26" s="236">
        <v>0</v>
      </c>
      <c r="K26" s="236">
        <f t="shared" si="1"/>
        <v>4.25</v>
      </c>
      <c r="L26" s="237">
        <f t="shared" si="2"/>
        <v>3.6</v>
      </c>
    </row>
    <row r="27" spans="1:12">
      <c r="A27" s="223" t="s">
        <v>4246</v>
      </c>
      <c r="B27" s="80" t="s">
        <v>2644</v>
      </c>
      <c r="C27" s="80" t="s">
        <v>4258</v>
      </c>
      <c r="D27" s="107" t="s">
        <v>2645</v>
      </c>
      <c r="E27" s="80">
        <v>1</v>
      </c>
      <c r="F27" s="133">
        <v>30.9</v>
      </c>
      <c r="G27" s="133">
        <v>35.75</v>
      </c>
      <c r="H27" s="222">
        <f t="shared" si="0"/>
        <v>35.75</v>
      </c>
      <c r="I27" s="236"/>
      <c r="J27" s="236">
        <v>0</v>
      </c>
      <c r="K27" s="236">
        <f t="shared" si="1"/>
        <v>35.75</v>
      </c>
      <c r="L27" s="237">
        <f t="shared" si="2"/>
        <v>30.9</v>
      </c>
    </row>
    <row r="28" spans="1:12">
      <c r="A28" s="223" t="s">
        <v>4246</v>
      </c>
      <c r="B28" s="80" t="s">
        <v>542</v>
      </c>
      <c r="C28" s="80" t="s">
        <v>4259</v>
      </c>
      <c r="D28" s="107" t="s">
        <v>543</v>
      </c>
      <c r="E28" s="80">
        <v>1</v>
      </c>
      <c r="F28" s="133">
        <v>6.83</v>
      </c>
      <c r="G28" s="133">
        <v>9.75</v>
      </c>
      <c r="H28" s="222">
        <f t="shared" si="0"/>
        <v>9.75</v>
      </c>
      <c r="I28" s="236"/>
      <c r="J28" s="236">
        <v>0</v>
      </c>
      <c r="K28" s="236">
        <f t="shared" si="1"/>
        <v>9.75</v>
      </c>
      <c r="L28" s="237">
        <f t="shared" si="2"/>
        <v>6.83</v>
      </c>
    </row>
    <row r="29" spans="1:12">
      <c r="A29" s="223" t="s">
        <v>4246</v>
      </c>
      <c r="B29" s="80" t="s">
        <v>2241</v>
      </c>
      <c r="C29" s="80" t="s">
        <v>4260</v>
      </c>
      <c r="D29" s="107" t="s">
        <v>2242</v>
      </c>
      <c r="E29" s="80">
        <v>1</v>
      </c>
      <c r="F29" s="133">
        <v>152</v>
      </c>
      <c r="G29" s="133">
        <v>175</v>
      </c>
      <c r="H29" s="222">
        <f t="shared" si="0"/>
        <v>175</v>
      </c>
      <c r="I29" s="236"/>
      <c r="J29" s="236">
        <v>0</v>
      </c>
      <c r="K29" s="236">
        <f t="shared" si="1"/>
        <v>175</v>
      </c>
      <c r="L29" s="237">
        <f t="shared" si="2"/>
        <v>152</v>
      </c>
    </row>
    <row r="30" spans="1:12">
      <c r="A30" s="223" t="s">
        <v>4261</v>
      </c>
      <c r="B30" s="80" t="s">
        <v>3666</v>
      </c>
      <c r="C30" s="80" t="s">
        <v>4262</v>
      </c>
      <c r="D30" s="107" t="s">
        <v>3667</v>
      </c>
      <c r="E30" s="80">
        <v>1</v>
      </c>
      <c r="F30" s="133">
        <v>28.89</v>
      </c>
      <c r="G30" s="133">
        <v>33.25</v>
      </c>
      <c r="H30" s="222">
        <f t="shared" si="0"/>
        <v>33.25</v>
      </c>
      <c r="I30" s="236"/>
      <c r="J30" s="236">
        <v>0</v>
      </c>
      <c r="K30" s="236">
        <f t="shared" si="1"/>
        <v>33.25</v>
      </c>
      <c r="L30" s="237">
        <f t="shared" si="2"/>
        <v>28.89</v>
      </c>
    </row>
    <row r="31" spans="1:12">
      <c r="A31" s="223" t="s">
        <v>4261</v>
      </c>
      <c r="B31" s="80" t="s">
        <v>3521</v>
      </c>
      <c r="C31" s="80" t="s">
        <v>4263</v>
      </c>
      <c r="D31" s="107" t="s">
        <v>3522</v>
      </c>
      <c r="E31" s="80">
        <v>1</v>
      </c>
      <c r="F31" s="133">
        <v>27.85</v>
      </c>
      <c r="G31" s="133">
        <v>32.25</v>
      </c>
      <c r="H31" s="222">
        <f t="shared" si="0"/>
        <v>32.25</v>
      </c>
      <c r="I31" s="236"/>
      <c r="J31" s="236">
        <v>0</v>
      </c>
      <c r="K31" s="236">
        <f t="shared" si="1"/>
        <v>32.25</v>
      </c>
      <c r="L31" s="237">
        <f t="shared" si="2"/>
        <v>27.85</v>
      </c>
    </row>
    <row r="32" spans="1:12">
      <c r="A32" s="223" t="s">
        <v>4261</v>
      </c>
      <c r="B32" s="80" t="s">
        <v>2275</v>
      </c>
      <c r="C32" s="80" t="s">
        <v>4264</v>
      </c>
      <c r="D32" s="107" t="s">
        <v>2276</v>
      </c>
      <c r="E32" s="80">
        <v>2</v>
      </c>
      <c r="F32" s="133">
        <v>8.77</v>
      </c>
      <c r="G32" s="133">
        <v>10.25</v>
      </c>
      <c r="H32" s="222">
        <f t="shared" si="0"/>
        <v>20.5</v>
      </c>
      <c r="I32" s="236"/>
      <c r="J32" s="236">
        <v>0</v>
      </c>
      <c r="K32" s="236">
        <f t="shared" si="1"/>
        <v>20.5</v>
      </c>
      <c r="L32" s="237">
        <f t="shared" si="2"/>
        <v>17.54</v>
      </c>
    </row>
    <row r="33" spans="1:12">
      <c r="A33" s="223" t="s">
        <v>4261</v>
      </c>
      <c r="B33" s="80" t="s">
        <v>2632</v>
      </c>
      <c r="C33" s="80" t="s">
        <v>4264</v>
      </c>
      <c r="D33" s="107" t="s">
        <v>2633</v>
      </c>
      <c r="E33" s="80">
        <v>1</v>
      </c>
      <c r="F33" s="133">
        <v>19.61</v>
      </c>
      <c r="G33" s="133">
        <v>22.75</v>
      </c>
      <c r="H33" s="222">
        <f t="shared" si="0"/>
        <v>22.75</v>
      </c>
      <c r="I33" s="236"/>
      <c r="J33" s="236">
        <v>0</v>
      </c>
      <c r="K33" s="236">
        <f t="shared" si="1"/>
        <v>22.75</v>
      </c>
      <c r="L33" s="237">
        <f t="shared" si="2"/>
        <v>19.61</v>
      </c>
    </row>
    <row r="34" spans="1:12">
      <c r="A34" s="223" t="s">
        <v>4261</v>
      </c>
      <c r="B34" s="80" t="s">
        <v>2630</v>
      </c>
      <c r="C34" s="80" t="s">
        <v>4264</v>
      </c>
      <c r="D34" s="107" t="s">
        <v>2631</v>
      </c>
      <c r="E34" s="80">
        <v>1</v>
      </c>
      <c r="F34" s="133">
        <v>18.64</v>
      </c>
      <c r="G34" s="133">
        <v>21.5</v>
      </c>
      <c r="H34" s="222">
        <f t="shared" si="0"/>
        <v>21.5</v>
      </c>
      <c r="I34" s="236"/>
      <c r="J34" s="236">
        <v>0</v>
      </c>
      <c r="K34" s="236">
        <f t="shared" si="1"/>
        <v>21.5</v>
      </c>
      <c r="L34" s="237">
        <f t="shared" si="2"/>
        <v>18.64</v>
      </c>
    </row>
    <row r="35" spans="1:12">
      <c r="A35" s="223" t="s">
        <v>4261</v>
      </c>
      <c r="B35" s="80" t="s">
        <v>2546</v>
      </c>
      <c r="C35" s="80" t="s">
        <v>4264</v>
      </c>
      <c r="D35" s="107" t="s">
        <v>2547</v>
      </c>
      <c r="E35" s="80">
        <v>3</v>
      </c>
      <c r="F35" s="133">
        <v>6.97</v>
      </c>
      <c r="G35" s="133">
        <v>8</v>
      </c>
      <c r="H35" s="222">
        <f t="shared" si="0"/>
        <v>24</v>
      </c>
      <c r="I35" s="236"/>
      <c r="J35" s="236">
        <v>0</v>
      </c>
      <c r="K35" s="236">
        <f t="shared" si="1"/>
        <v>24</v>
      </c>
      <c r="L35" s="237">
        <f t="shared" si="2"/>
        <v>20.91</v>
      </c>
    </row>
    <row r="36" spans="1:12">
      <c r="A36" s="223" t="s">
        <v>4261</v>
      </c>
      <c r="B36" s="80" t="s">
        <v>2368</v>
      </c>
      <c r="C36" s="80" t="s">
        <v>4264</v>
      </c>
      <c r="D36" s="107" t="s">
        <v>2369</v>
      </c>
      <c r="E36" s="80">
        <v>1</v>
      </c>
      <c r="F36" s="133">
        <v>10.199999999999999</v>
      </c>
      <c r="G36" s="133">
        <v>12.25</v>
      </c>
      <c r="H36" s="222">
        <f t="shared" si="0"/>
        <v>12.25</v>
      </c>
      <c r="I36" s="236"/>
      <c r="J36" s="236">
        <v>0</v>
      </c>
      <c r="K36" s="236">
        <f t="shared" si="1"/>
        <v>12.25</v>
      </c>
      <c r="L36" s="237">
        <f t="shared" si="2"/>
        <v>10.199999999999999</v>
      </c>
    </row>
    <row r="37" spans="1:12">
      <c r="A37" s="223" t="s">
        <v>4261</v>
      </c>
      <c r="B37" s="80" t="s">
        <v>2017</v>
      </c>
      <c r="C37" s="80" t="s">
        <v>4264</v>
      </c>
      <c r="D37" s="107" t="s">
        <v>2018</v>
      </c>
      <c r="E37" s="80">
        <v>2</v>
      </c>
      <c r="F37" s="133">
        <v>6.02</v>
      </c>
      <c r="G37" s="133">
        <v>7.25</v>
      </c>
      <c r="H37" s="222">
        <f t="shared" si="0"/>
        <v>14.5</v>
      </c>
      <c r="I37" s="236"/>
      <c r="J37" s="236">
        <v>0</v>
      </c>
      <c r="K37" s="236">
        <f t="shared" si="1"/>
        <v>14.5</v>
      </c>
      <c r="L37" s="237">
        <f t="shared" si="2"/>
        <v>12.04</v>
      </c>
    </row>
    <row r="38" spans="1:12">
      <c r="A38" s="224" t="s">
        <v>4261</v>
      </c>
      <c r="B38" s="225" t="s">
        <v>1411</v>
      </c>
      <c r="C38" s="225" t="s">
        <v>4265</v>
      </c>
      <c r="D38" s="226" t="s">
        <v>1412</v>
      </c>
      <c r="E38" s="225">
        <v>1</v>
      </c>
      <c r="F38" s="227"/>
      <c r="G38" s="227">
        <v>58</v>
      </c>
      <c r="H38" s="228">
        <f t="shared" si="0"/>
        <v>58</v>
      </c>
      <c r="I38" s="238"/>
      <c r="J38" s="238">
        <v>0</v>
      </c>
      <c r="K38" s="238">
        <f t="shared" si="1"/>
        <v>58</v>
      </c>
      <c r="L38" s="239">
        <f t="shared" si="2"/>
        <v>0</v>
      </c>
    </row>
    <row r="39" spans="1:12">
      <c r="A39" s="223" t="s">
        <v>4261</v>
      </c>
      <c r="B39" s="80" t="s">
        <v>484</v>
      </c>
      <c r="C39" s="80" t="s">
        <v>4266</v>
      </c>
      <c r="D39" s="107" t="s">
        <v>485</v>
      </c>
      <c r="E39" s="80">
        <v>2</v>
      </c>
      <c r="F39" s="133">
        <v>19.100000000000001</v>
      </c>
      <c r="G39" s="133">
        <v>22</v>
      </c>
      <c r="H39" s="222">
        <f t="shared" si="0"/>
        <v>44</v>
      </c>
      <c r="I39" s="236"/>
      <c r="J39" s="236">
        <v>0</v>
      </c>
      <c r="K39" s="236">
        <f t="shared" si="1"/>
        <v>44</v>
      </c>
      <c r="L39" s="237">
        <f t="shared" si="2"/>
        <v>38.200000000000003</v>
      </c>
    </row>
    <row r="40" spans="1:12">
      <c r="A40" s="223" t="s">
        <v>4261</v>
      </c>
      <c r="B40" s="80" t="s">
        <v>1427</v>
      </c>
      <c r="C40" s="80" t="s">
        <v>4267</v>
      </c>
      <c r="D40" s="107" t="s">
        <v>1428</v>
      </c>
      <c r="E40" s="80">
        <v>1</v>
      </c>
      <c r="F40" s="133">
        <v>13.32</v>
      </c>
      <c r="G40" s="133">
        <v>15.5</v>
      </c>
      <c r="H40" s="222">
        <f t="shared" si="0"/>
        <v>15.5</v>
      </c>
      <c r="I40" s="236"/>
      <c r="J40" s="236">
        <v>0</v>
      </c>
      <c r="K40" s="236">
        <f t="shared" si="1"/>
        <v>15.5</v>
      </c>
      <c r="L40" s="237">
        <f t="shared" si="2"/>
        <v>13.32</v>
      </c>
    </row>
    <row r="41" spans="1:12">
      <c r="A41" s="223" t="s">
        <v>4261</v>
      </c>
      <c r="B41" s="80" t="s">
        <v>4074</v>
      </c>
      <c r="C41" s="80" t="s">
        <v>4268</v>
      </c>
      <c r="D41" s="107" t="s">
        <v>4075</v>
      </c>
      <c r="E41" s="80">
        <v>5</v>
      </c>
      <c r="F41" s="133">
        <v>0.76</v>
      </c>
      <c r="G41" s="133">
        <v>1</v>
      </c>
      <c r="H41" s="222">
        <f t="shared" si="0"/>
        <v>5</v>
      </c>
      <c r="I41" s="236"/>
      <c r="J41" s="236">
        <v>0</v>
      </c>
      <c r="K41" s="236">
        <f t="shared" si="1"/>
        <v>5</v>
      </c>
      <c r="L41" s="237">
        <f t="shared" si="2"/>
        <v>3.8</v>
      </c>
    </row>
    <row r="42" spans="1:12">
      <c r="A42" s="223" t="s">
        <v>4261</v>
      </c>
      <c r="B42" s="80" t="s">
        <v>1351</v>
      </c>
      <c r="C42" s="80" t="s">
        <v>4269</v>
      </c>
      <c r="D42" s="107" t="s">
        <v>1352</v>
      </c>
      <c r="E42" s="80">
        <v>1</v>
      </c>
      <c r="F42" s="133">
        <v>12.56</v>
      </c>
      <c r="G42" s="133">
        <v>14.25</v>
      </c>
      <c r="H42" s="222">
        <f t="shared" si="0"/>
        <v>14.25</v>
      </c>
      <c r="I42" s="236"/>
      <c r="J42" s="236">
        <v>0</v>
      </c>
      <c r="K42" s="236">
        <f t="shared" si="1"/>
        <v>14.25</v>
      </c>
      <c r="L42" s="237">
        <f t="shared" si="2"/>
        <v>12.56</v>
      </c>
    </row>
    <row r="43" spans="1:12">
      <c r="A43" s="223" t="s">
        <v>4261</v>
      </c>
      <c r="B43" s="80" t="s">
        <v>2007</v>
      </c>
      <c r="C43" s="80" t="s">
        <v>4270</v>
      </c>
      <c r="D43" s="107" t="s">
        <v>2008</v>
      </c>
      <c r="E43" s="80">
        <v>1</v>
      </c>
      <c r="F43" s="133">
        <v>51.97</v>
      </c>
      <c r="G43" s="133">
        <v>60</v>
      </c>
      <c r="H43" s="222">
        <f t="shared" si="0"/>
        <v>60</v>
      </c>
      <c r="I43" s="236"/>
      <c r="J43" s="236">
        <v>0</v>
      </c>
      <c r="K43" s="236">
        <f t="shared" si="1"/>
        <v>60</v>
      </c>
      <c r="L43" s="237">
        <f t="shared" si="2"/>
        <v>51.97</v>
      </c>
    </row>
    <row r="44" spans="1:12">
      <c r="A44" s="223" t="s">
        <v>4261</v>
      </c>
      <c r="B44" s="80" t="s">
        <v>3036</v>
      </c>
      <c r="C44" s="80" t="s">
        <v>4270</v>
      </c>
      <c r="D44" s="107" t="s">
        <v>3037</v>
      </c>
      <c r="E44" s="80">
        <v>2</v>
      </c>
      <c r="F44" s="133">
        <v>6.37</v>
      </c>
      <c r="G44" s="133">
        <v>7.5</v>
      </c>
      <c r="H44" s="222">
        <f t="shared" si="0"/>
        <v>15</v>
      </c>
      <c r="I44" s="236"/>
      <c r="J44" s="236">
        <v>0</v>
      </c>
      <c r="K44" s="236">
        <f t="shared" si="1"/>
        <v>15</v>
      </c>
      <c r="L44" s="237">
        <f t="shared" si="2"/>
        <v>12.74</v>
      </c>
    </row>
    <row r="45" spans="1:12">
      <c r="A45" s="223" t="s">
        <v>4261</v>
      </c>
      <c r="B45" s="80" t="s">
        <v>1908</v>
      </c>
      <c r="C45" s="80" t="s">
        <v>4270</v>
      </c>
      <c r="D45" s="107" t="s">
        <v>1909</v>
      </c>
      <c r="E45" s="80">
        <v>3</v>
      </c>
      <c r="F45" s="133">
        <v>60.4</v>
      </c>
      <c r="G45" s="133">
        <v>70</v>
      </c>
      <c r="H45" s="222">
        <f t="shared" si="0"/>
        <v>210</v>
      </c>
      <c r="I45" s="236"/>
      <c r="J45" s="236">
        <v>0</v>
      </c>
      <c r="K45" s="236">
        <f t="shared" si="1"/>
        <v>210</v>
      </c>
      <c r="L45" s="237">
        <f t="shared" si="2"/>
        <v>181.2</v>
      </c>
    </row>
    <row r="46" spans="1:12">
      <c r="A46" s="223" t="s">
        <v>4261</v>
      </c>
      <c r="B46" s="80" t="s">
        <v>1726</v>
      </c>
      <c r="C46" s="80" t="s">
        <v>4270</v>
      </c>
      <c r="D46" s="107" t="s">
        <v>1727</v>
      </c>
      <c r="E46" s="80">
        <v>3</v>
      </c>
      <c r="F46" s="133">
        <v>15.91</v>
      </c>
      <c r="G46" s="133">
        <v>18.5</v>
      </c>
      <c r="H46" s="222">
        <f t="shared" si="0"/>
        <v>55.5</v>
      </c>
      <c r="I46" s="236"/>
      <c r="J46" s="236">
        <v>0</v>
      </c>
      <c r="K46" s="236">
        <f t="shared" si="1"/>
        <v>55.5</v>
      </c>
      <c r="L46" s="237">
        <f t="shared" si="2"/>
        <v>47.730000000000004</v>
      </c>
    </row>
    <row r="47" spans="1:12">
      <c r="A47" s="223" t="s">
        <v>4261</v>
      </c>
      <c r="B47" s="80" t="s">
        <v>1940</v>
      </c>
      <c r="C47" s="80" t="s">
        <v>4270</v>
      </c>
      <c r="D47" s="107" t="s">
        <v>1941</v>
      </c>
      <c r="E47" s="80">
        <v>3</v>
      </c>
      <c r="F47" s="133">
        <v>51</v>
      </c>
      <c r="G47" s="133">
        <v>60.25</v>
      </c>
      <c r="H47" s="222">
        <f t="shared" si="0"/>
        <v>180.75</v>
      </c>
      <c r="I47" s="236"/>
      <c r="J47" s="236">
        <v>0</v>
      </c>
      <c r="K47" s="236">
        <f t="shared" si="1"/>
        <v>180.75</v>
      </c>
      <c r="L47" s="237">
        <f t="shared" si="2"/>
        <v>153</v>
      </c>
    </row>
    <row r="48" spans="1:12">
      <c r="A48" s="223" t="s">
        <v>4261</v>
      </c>
      <c r="B48" s="80" t="s">
        <v>1732</v>
      </c>
      <c r="C48" s="80" t="s">
        <v>4270</v>
      </c>
      <c r="D48" s="107" t="s">
        <v>1733</v>
      </c>
      <c r="E48" s="80">
        <v>1</v>
      </c>
      <c r="F48" s="133">
        <v>53.81</v>
      </c>
      <c r="G48" s="133">
        <v>62</v>
      </c>
      <c r="H48" s="222">
        <f t="shared" si="0"/>
        <v>62</v>
      </c>
      <c r="I48" s="236"/>
      <c r="J48" s="236">
        <v>0</v>
      </c>
      <c r="K48" s="236">
        <f t="shared" si="1"/>
        <v>62</v>
      </c>
      <c r="L48" s="237">
        <f t="shared" si="2"/>
        <v>53.81</v>
      </c>
    </row>
    <row r="49" spans="1:12">
      <c r="A49" s="223" t="s">
        <v>4261</v>
      </c>
      <c r="B49" s="80" t="s">
        <v>2073</v>
      </c>
      <c r="C49" s="80" t="s">
        <v>4270</v>
      </c>
      <c r="D49" s="107" t="s">
        <v>2074</v>
      </c>
      <c r="E49" s="80">
        <v>1</v>
      </c>
      <c r="F49" s="133">
        <v>67.290000000000006</v>
      </c>
      <c r="G49" s="133">
        <v>77.5</v>
      </c>
      <c r="H49" s="222">
        <f t="shared" si="0"/>
        <v>77.5</v>
      </c>
      <c r="I49" s="236"/>
      <c r="J49" s="236">
        <v>0</v>
      </c>
      <c r="K49" s="236">
        <f t="shared" si="1"/>
        <v>77.5</v>
      </c>
      <c r="L49" s="237">
        <f t="shared" si="2"/>
        <v>67.290000000000006</v>
      </c>
    </row>
    <row r="50" spans="1:12">
      <c r="A50" s="223" t="s">
        <v>4261</v>
      </c>
      <c r="B50" s="80" t="s">
        <v>2075</v>
      </c>
      <c r="C50" s="80" t="s">
        <v>4270</v>
      </c>
      <c r="D50" s="107" t="s">
        <v>2076</v>
      </c>
      <c r="E50" s="80">
        <v>1</v>
      </c>
      <c r="F50" s="133">
        <v>64.489999999999995</v>
      </c>
      <c r="G50" s="133">
        <v>74.25</v>
      </c>
      <c r="H50" s="222">
        <f t="shared" si="0"/>
        <v>74.25</v>
      </c>
      <c r="I50" s="236"/>
      <c r="J50" s="236">
        <v>0</v>
      </c>
      <c r="K50" s="236">
        <f t="shared" si="1"/>
        <v>74.25</v>
      </c>
      <c r="L50" s="237">
        <f t="shared" si="2"/>
        <v>64.489999999999995</v>
      </c>
    </row>
    <row r="51" spans="1:12">
      <c r="A51" s="223" t="s">
        <v>4261</v>
      </c>
      <c r="B51" s="80" t="s">
        <v>1639</v>
      </c>
      <c r="C51" s="80" t="s">
        <v>4270</v>
      </c>
      <c r="D51" s="107" t="s">
        <v>1640</v>
      </c>
      <c r="E51" s="80">
        <v>1</v>
      </c>
      <c r="F51" s="133">
        <v>58.56</v>
      </c>
      <c r="G51" s="133">
        <v>67.5</v>
      </c>
      <c r="H51" s="222">
        <f t="shared" si="0"/>
        <v>67.5</v>
      </c>
      <c r="I51" s="236"/>
      <c r="J51" s="236">
        <v>0</v>
      </c>
      <c r="K51" s="236">
        <f t="shared" si="1"/>
        <v>67.5</v>
      </c>
      <c r="L51" s="237">
        <f t="shared" si="2"/>
        <v>58.56</v>
      </c>
    </row>
    <row r="52" spans="1:12">
      <c r="A52" s="223" t="s">
        <v>4261</v>
      </c>
      <c r="B52" s="80" t="s">
        <v>4047</v>
      </c>
      <c r="C52" s="80" t="s">
        <v>4270</v>
      </c>
      <c r="D52" s="107" t="s">
        <v>4195</v>
      </c>
      <c r="E52" s="80">
        <v>1</v>
      </c>
      <c r="F52" s="133">
        <v>50.8</v>
      </c>
      <c r="G52" s="133">
        <v>58.5</v>
      </c>
      <c r="H52" s="222">
        <f t="shared" si="0"/>
        <v>58.5</v>
      </c>
      <c r="I52" s="236"/>
      <c r="J52" s="236">
        <v>0</v>
      </c>
      <c r="K52" s="236">
        <f t="shared" si="1"/>
        <v>58.5</v>
      </c>
      <c r="L52" s="237">
        <f t="shared" si="2"/>
        <v>50.8</v>
      </c>
    </row>
    <row r="53" spans="1:12">
      <c r="A53" s="223" t="s">
        <v>4261</v>
      </c>
      <c r="B53" s="80" t="s">
        <v>2051</v>
      </c>
      <c r="C53" s="80" t="s">
        <v>4270</v>
      </c>
      <c r="D53" s="107" t="s">
        <v>2052</v>
      </c>
      <c r="E53" s="80">
        <v>5</v>
      </c>
      <c r="F53" s="133">
        <v>13.39</v>
      </c>
      <c r="G53" s="133">
        <v>15.5</v>
      </c>
      <c r="H53" s="222">
        <f t="shared" si="0"/>
        <v>77.5</v>
      </c>
      <c r="I53" s="236"/>
      <c r="J53" s="236">
        <v>0</v>
      </c>
      <c r="K53" s="236">
        <f t="shared" si="1"/>
        <v>77.5</v>
      </c>
      <c r="L53" s="237">
        <f t="shared" si="2"/>
        <v>66.95</v>
      </c>
    </row>
    <row r="54" spans="1:12">
      <c r="A54" s="223" t="s">
        <v>4261</v>
      </c>
      <c r="B54" s="80" t="s">
        <v>2027</v>
      </c>
      <c r="C54" s="80" t="s">
        <v>4270</v>
      </c>
      <c r="D54" s="107" t="s">
        <v>2028</v>
      </c>
      <c r="E54" s="80">
        <v>5</v>
      </c>
      <c r="F54" s="133">
        <v>14.38</v>
      </c>
      <c r="G54" s="133">
        <v>16.75</v>
      </c>
      <c r="H54" s="222">
        <f t="shared" si="0"/>
        <v>83.75</v>
      </c>
      <c r="I54" s="236"/>
      <c r="J54" s="236">
        <v>0</v>
      </c>
      <c r="K54" s="236">
        <f t="shared" si="1"/>
        <v>83.75</v>
      </c>
      <c r="L54" s="237">
        <f t="shared" si="2"/>
        <v>71.900000000000006</v>
      </c>
    </row>
    <row r="55" spans="1:12">
      <c r="A55" s="223" t="s">
        <v>4261</v>
      </c>
      <c r="B55" s="80" t="s">
        <v>2037</v>
      </c>
      <c r="C55" s="80" t="s">
        <v>4270</v>
      </c>
      <c r="D55" s="107" t="s">
        <v>2038</v>
      </c>
      <c r="E55" s="80">
        <v>32</v>
      </c>
      <c r="F55" s="133">
        <v>4.74</v>
      </c>
      <c r="G55" s="133">
        <v>5.5</v>
      </c>
      <c r="H55" s="222">
        <f t="shared" si="0"/>
        <v>176</v>
      </c>
      <c r="I55" s="236"/>
      <c r="J55" s="236">
        <v>0</v>
      </c>
      <c r="K55" s="236">
        <f t="shared" si="1"/>
        <v>176</v>
      </c>
      <c r="L55" s="237">
        <f t="shared" si="2"/>
        <v>151.68</v>
      </c>
    </row>
    <row r="56" spans="1:12">
      <c r="A56" s="223" t="s">
        <v>4261</v>
      </c>
      <c r="B56" s="80" t="s">
        <v>1932</v>
      </c>
      <c r="C56" s="80" t="s">
        <v>4270</v>
      </c>
      <c r="D56" s="107" t="s">
        <v>1933</v>
      </c>
      <c r="E56" s="80">
        <v>5</v>
      </c>
      <c r="F56" s="133">
        <v>65.95</v>
      </c>
      <c r="G56" s="133">
        <v>76</v>
      </c>
      <c r="H56" s="222">
        <f t="shared" si="0"/>
        <v>380</v>
      </c>
      <c r="I56" s="236"/>
      <c r="J56" s="236">
        <v>0</v>
      </c>
      <c r="K56" s="236">
        <f t="shared" si="1"/>
        <v>380</v>
      </c>
      <c r="L56" s="237">
        <f t="shared" si="2"/>
        <v>329.75</v>
      </c>
    </row>
    <row r="57" spans="1:12">
      <c r="A57" s="223" t="s">
        <v>4261</v>
      </c>
      <c r="B57" s="80" t="s">
        <v>2015</v>
      </c>
      <c r="C57" s="80" t="s">
        <v>4270</v>
      </c>
      <c r="D57" s="107" t="s">
        <v>2016</v>
      </c>
      <c r="E57" s="80">
        <v>1</v>
      </c>
      <c r="F57" s="133">
        <v>301.87</v>
      </c>
      <c r="G57" s="133">
        <v>347.25</v>
      </c>
      <c r="H57" s="222">
        <f t="shared" si="0"/>
        <v>347.25</v>
      </c>
      <c r="I57" s="236"/>
      <c r="J57" s="236">
        <v>0</v>
      </c>
      <c r="K57" s="236">
        <f t="shared" si="1"/>
        <v>347.25</v>
      </c>
      <c r="L57" s="237">
        <f t="shared" si="2"/>
        <v>301.87</v>
      </c>
    </row>
    <row r="58" spans="1:12">
      <c r="A58" s="223" t="s">
        <v>4261</v>
      </c>
      <c r="B58" s="80" t="s">
        <v>4063</v>
      </c>
      <c r="C58" s="80" t="s">
        <v>4270</v>
      </c>
      <c r="D58" s="107" t="s">
        <v>4064</v>
      </c>
      <c r="E58" s="80">
        <v>1</v>
      </c>
      <c r="F58" s="133">
        <v>723.8</v>
      </c>
      <c r="G58" s="133">
        <v>832.5</v>
      </c>
      <c r="H58" s="222">
        <f t="shared" si="0"/>
        <v>832.5</v>
      </c>
      <c r="I58" s="236"/>
      <c r="J58" s="236">
        <v>0</v>
      </c>
      <c r="K58" s="236">
        <f t="shared" si="1"/>
        <v>832.5</v>
      </c>
      <c r="L58" s="237">
        <f t="shared" si="2"/>
        <v>723.8</v>
      </c>
    </row>
    <row r="59" spans="1:12">
      <c r="A59" s="223" t="s">
        <v>4261</v>
      </c>
      <c r="B59" s="80" t="s">
        <v>4055</v>
      </c>
      <c r="C59" s="80" t="s">
        <v>4270</v>
      </c>
      <c r="D59" s="107" t="s">
        <v>4056</v>
      </c>
      <c r="E59" s="80">
        <v>1</v>
      </c>
      <c r="F59" s="133">
        <v>1160.3499999999999</v>
      </c>
      <c r="G59" s="133">
        <v>1334.5</v>
      </c>
      <c r="H59" s="222">
        <f t="shared" si="0"/>
        <v>1334.5</v>
      </c>
      <c r="I59" s="236"/>
      <c r="J59" s="236">
        <v>0</v>
      </c>
      <c r="K59" s="236">
        <f t="shared" si="1"/>
        <v>1334.5</v>
      </c>
      <c r="L59" s="237">
        <f t="shared" si="2"/>
        <v>1160.3499999999999</v>
      </c>
    </row>
    <row r="60" spans="1:12">
      <c r="A60" s="223" t="s">
        <v>4261</v>
      </c>
      <c r="B60" s="80" t="s">
        <v>1524</v>
      </c>
      <c r="C60" s="80" t="s">
        <v>4270</v>
      </c>
      <c r="D60" s="107" t="s">
        <v>1525</v>
      </c>
      <c r="E60" s="80">
        <v>12</v>
      </c>
      <c r="F60" s="133">
        <v>30.83</v>
      </c>
      <c r="G60" s="133">
        <v>35.5</v>
      </c>
      <c r="H60" s="222">
        <f t="shared" si="0"/>
        <v>426</v>
      </c>
      <c r="I60" s="236"/>
      <c r="J60" s="236">
        <v>0</v>
      </c>
      <c r="K60" s="236">
        <f t="shared" si="1"/>
        <v>426</v>
      </c>
      <c r="L60" s="237">
        <f t="shared" si="2"/>
        <v>369.96</v>
      </c>
    </row>
    <row r="61" spans="1:12">
      <c r="A61" s="223" t="s">
        <v>4261</v>
      </c>
      <c r="B61" s="80" t="s">
        <v>1497</v>
      </c>
      <c r="C61" s="80" t="s">
        <v>4270</v>
      </c>
      <c r="D61" s="107" t="s">
        <v>1498</v>
      </c>
      <c r="E61" s="80">
        <v>5</v>
      </c>
      <c r="F61" s="133">
        <v>48.6</v>
      </c>
      <c r="G61" s="133">
        <v>56</v>
      </c>
      <c r="H61" s="222">
        <f t="shared" si="0"/>
        <v>280</v>
      </c>
      <c r="I61" s="236"/>
      <c r="J61" s="236">
        <v>0</v>
      </c>
      <c r="K61" s="236">
        <f t="shared" si="1"/>
        <v>280</v>
      </c>
      <c r="L61" s="237">
        <f t="shared" si="2"/>
        <v>243</v>
      </c>
    </row>
    <row r="62" spans="1:12">
      <c r="A62" s="223" t="s">
        <v>4261</v>
      </c>
      <c r="B62" s="80" t="s">
        <v>1997</v>
      </c>
      <c r="C62" s="80" t="s">
        <v>4270</v>
      </c>
      <c r="D62" s="107" t="s">
        <v>1998</v>
      </c>
      <c r="E62" s="80">
        <v>11</v>
      </c>
      <c r="F62" s="133">
        <v>6.02</v>
      </c>
      <c r="G62" s="133">
        <v>7.25</v>
      </c>
      <c r="H62" s="222">
        <f t="shared" si="0"/>
        <v>79.75</v>
      </c>
      <c r="I62" s="236"/>
      <c r="J62" s="236">
        <v>0</v>
      </c>
      <c r="K62" s="236">
        <f t="shared" si="1"/>
        <v>79.75</v>
      </c>
      <c r="L62" s="237">
        <f t="shared" si="2"/>
        <v>66.22</v>
      </c>
    </row>
    <row r="63" spans="1:12">
      <c r="A63" s="223" t="s">
        <v>4261</v>
      </c>
      <c r="B63" s="80" t="s">
        <v>2017</v>
      </c>
      <c r="C63" s="80" t="s">
        <v>4270</v>
      </c>
      <c r="D63" s="107" t="s">
        <v>2018</v>
      </c>
      <c r="E63" s="80">
        <v>11</v>
      </c>
      <c r="F63" s="133">
        <v>6.02</v>
      </c>
      <c r="G63" s="133">
        <v>7.25</v>
      </c>
      <c r="H63" s="222">
        <f t="shared" si="0"/>
        <v>79.75</v>
      </c>
      <c r="I63" s="236"/>
      <c r="J63" s="236">
        <v>0</v>
      </c>
      <c r="K63" s="236">
        <f t="shared" si="1"/>
        <v>79.75</v>
      </c>
      <c r="L63" s="237">
        <f t="shared" si="2"/>
        <v>66.22</v>
      </c>
    </row>
    <row r="64" spans="1:12">
      <c r="A64" s="223" t="s">
        <v>4261</v>
      </c>
      <c r="B64" s="80" t="s">
        <v>2124</v>
      </c>
      <c r="C64" s="80" t="s">
        <v>4270</v>
      </c>
      <c r="D64" s="107" t="s">
        <v>2125</v>
      </c>
      <c r="E64" s="80">
        <v>4</v>
      </c>
      <c r="F64" s="133">
        <v>20.88</v>
      </c>
      <c r="G64" s="133">
        <v>24</v>
      </c>
      <c r="H64" s="222">
        <f t="shared" si="0"/>
        <v>96</v>
      </c>
      <c r="I64" s="236"/>
      <c r="J64" s="236">
        <v>0</v>
      </c>
      <c r="K64" s="236">
        <f t="shared" si="1"/>
        <v>96</v>
      </c>
      <c r="L64" s="237">
        <f t="shared" si="2"/>
        <v>83.52</v>
      </c>
    </row>
    <row r="65" spans="1:12">
      <c r="A65" s="223" t="s">
        <v>4261</v>
      </c>
      <c r="B65" s="80" t="s">
        <v>4065</v>
      </c>
      <c r="C65" s="80" t="s">
        <v>4271</v>
      </c>
      <c r="D65" s="107" t="s">
        <v>4066</v>
      </c>
      <c r="E65" s="80">
        <v>1</v>
      </c>
      <c r="F65" s="133">
        <v>16.91</v>
      </c>
      <c r="G65" s="133">
        <v>18.600000000000001</v>
      </c>
      <c r="H65" s="222">
        <f t="shared" si="0"/>
        <v>18.600000000000001</v>
      </c>
      <c r="I65" s="236"/>
      <c r="J65" s="236">
        <v>0</v>
      </c>
      <c r="K65" s="236">
        <f t="shared" si="1"/>
        <v>18.600000000000001</v>
      </c>
      <c r="L65" s="237">
        <f t="shared" si="2"/>
        <v>16.91</v>
      </c>
    </row>
    <row r="66" spans="1:12">
      <c r="A66" s="223" t="s">
        <v>4261</v>
      </c>
      <c r="B66" s="80" t="s">
        <v>3670</v>
      </c>
      <c r="C66" s="80" t="s">
        <v>4271</v>
      </c>
      <c r="D66" s="107" t="s">
        <v>3671</v>
      </c>
      <c r="E66" s="80">
        <v>1</v>
      </c>
      <c r="F66" s="133">
        <v>30.79</v>
      </c>
      <c r="G66" s="133">
        <v>36.75</v>
      </c>
      <c r="H66" s="222">
        <f t="shared" si="0"/>
        <v>36.75</v>
      </c>
      <c r="I66" s="236"/>
      <c r="J66" s="236">
        <v>0</v>
      </c>
      <c r="K66" s="236">
        <f t="shared" si="1"/>
        <v>36.75</v>
      </c>
      <c r="L66" s="237">
        <f t="shared" si="2"/>
        <v>30.79</v>
      </c>
    </row>
    <row r="67" spans="1:12">
      <c r="A67" s="223" t="s">
        <v>4261</v>
      </c>
      <c r="B67" s="80" t="s">
        <v>2805</v>
      </c>
      <c r="C67" s="80" t="s">
        <v>4272</v>
      </c>
      <c r="D67" s="107" t="s">
        <v>2806</v>
      </c>
      <c r="E67" s="80">
        <v>12</v>
      </c>
      <c r="F67" s="133">
        <v>14.91</v>
      </c>
      <c r="G67" s="133">
        <v>17.25</v>
      </c>
      <c r="H67" s="222">
        <f t="shared" si="0"/>
        <v>207</v>
      </c>
      <c r="I67" s="236"/>
      <c r="J67" s="236">
        <v>0</v>
      </c>
      <c r="K67" s="236">
        <f t="shared" si="1"/>
        <v>207</v>
      </c>
      <c r="L67" s="237">
        <f t="shared" si="2"/>
        <v>178.92000000000002</v>
      </c>
    </row>
    <row r="68" spans="1:12">
      <c r="A68" s="223" t="s">
        <v>4261</v>
      </c>
      <c r="B68" s="80" t="s">
        <v>2898</v>
      </c>
      <c r="C68" s="80" t="s">
        <v>4272</v>
      </c>
      <c r="D68" s="107" t="s">
        <v>2899</v>
      </c>
      <c r="E68" s="80">
        <v>3</v>
      </c>
      <c r="F68" s="133">
        <v>6.12</v>
      </c>
      <c r="G68" s="133">
        <v>7.5</v>
      </c>
      <c r="H68" s="222">
        <f t="shared" ref="H68:H131" si="3">E68*G68</f>
        <v>22.5</v>
      </c>
      <c r="I68" s="236"/>
      <c r="J68" s="236">
        <v>0</v>
      </c>
      <c r="K68" s="236">
        <f t="shared" si="1"/>
        <v>22.5</v>
      </c>
      <c r="L68" s="237">
        <f t="shared" si="2"/>
        <v>18.36</v>
      </c>
    </row>
    <row r="69" spans="1:12">
      <c r="A69" s="223" t="s">
        <v>4261</v>
      </c>
      <c r="B69" s="80" t="s">
        <v>3779</v>
      </c>
      <c r="C69" s="80" t="s">
        <v>4273</v>
      </c>
      <c r="D69" s="107" t="s">
        <v>3780</v>
      </c>
      <c r="E69" s="80">
        <v>5</v>
      </c>
      <c r="F69" s="133">
        <v>0.76</v>
      </c>
      <c r="G69" s="133">
        <v>1</v>
      </c>
      <c r="H69" s="222">
        <f t="shared" si="3"/>
        <v>5</v>
      </c>
      <c r="I69" s="236"/>
      <c r="J69" s="236">
        <v>0</v>
      </c>
      <c r="K69" s="236">
        <f t="shared" ref="K69:K132" si="4">H69+I69-J69</f>
        <v>5</v>
      </c>
      <c r="L69" s="237">
        <f t="shared" ref="L69:L132" si="5">E69*F69</f>
        <v>3.8</v>
      </c>
    </row>
    <row r="70" spans="1:12">
      <c r="A70" s="223" t="s">
        <v>4261</v>
      </c>
      <c r="B70" s="80" t="s">
        <v>2162</v>
      </c>
      <c r="C70" s="80" t="s">
        <v>4274</v>
      </c>
      <c r="D70" s="107" t="s">
        <v>2163</v>
      </c>
      <c r="E70" s="80">
        <v>1</v>
      </c>
      <c r="F70" s="133">
        <v>88</v>
      </c>
      <c r="G70" s="133">
        <v>101.25</v>
      </c>
      <c r="H70" s="222">
        <f t="shared" si="3"/>
        <v>101.25</v>
      </c>
      <c r="I70" s="236"/>
      <c r="J70" s="236">
        <v>0</v>
      </c>
      <c r="K70" s="236">
        <f t="shared" si="4"/>
        <v>101.25</v>
      </c>
      <c r="L70" s="237">
        <f t="shared" si="5"/>
        <v>88</v>
      </c>
    </row>
    <row r="71" spans="1:12">
      <c r="A71" s="223" t="s">
        <v>4261</v>
      </c>
      <c r="B71" s="80" t="s">
        <v>3582</v>
      </c>
      <c r="C71" s="80" t="s">
        <v>4275</v>
      </c>
      <c r="D71" s="107" t="s">
        <v>3583</v>
      </c>
      <c r="E71" s="80">
        <v>1</v>
      </c>
      <c r="F71" s="133">
        <v>49.75</v>
      </c>
      <c r="G71" s="133">
        <v>57.25</v>
      </c>
      <c r="H71" s="222">
        <f t="shared" si="3"/>
        <v>57.25</v>
      </c>
      <c r="I71" s="236"/>
      <c r="J71" s="236">
        <v>0</v>
      </c>
      <c r="K71" s="236">
        <f t="shared" si="4"/>
        <v>57.25</v>
      </c>
      <c r="L71" s="237">
        <f t="shared" si="5"/>
        <v>49.75</v>
      </c>
    </row>
    <row r="72" spans="1:12">
      <c r="A72" s="223" t="s">
        <v>4261</v>
      </c>
      <c r="B72" s="80" t="s">
        <v>3582</v>
      </c>
      <c r="C72" s="80" t="s">
        <v>4276</v>
      </c>
      <c r="D72" s="107" t="s">
        <v>3583</v>
      </c>
      <c r="E72" s="80">
        <v>1</v>
      </c>
      <c r="F72" s="133">
        <v>49.75</v>
      </c>
      <c r="G72" s="133">
        <v>57.25</v>
      </c>
      <c r="H72" s="222">
        <f t="shared" si="3"/>
        <v>57.25</v>
      </c>
      <c r="I72" s="236"/>
      <c r="J72" s="236">
        <v>0</v>
      </c>
      <c r="K72" s="236">
        <f t="shared" si="4"/>
        <v>57.25</v>
      </c>
      <c r="L72" s="237">
        <f t="shared" si="5"/>
        <v>49.75</v>
      </c>
    </row>
    <row r="73" spans="1:12">
      <c r="A73" s="223" t="s">
        <v>4261</v>
      </c>
      <c r="B73" s="80" t="s">
        <v>1561</v>
      </c>
      <c r="C73" s="80" t="s">
        <v>4277</v>
      </c>
      <c r="D73" s="107" t="s">
        <v>1562</v>
      </c>
      <c r="E73" s="80">
        <v>1</v>
      </c>
      <c r="F73" s="133">
        <v>18.5</v>
      </c>
      <c r="G73" s="133">
        <v>21.5</v>
      </c>
      <c r="H73" s="222">
        <f t="shared" si="3"/>
        <v>21.5</v>
      </c>
      <c r="I73" s="236"/>
      <c r="J73" s="236">
        <v>0</v>
      </c>
      <c r="K73" s="236">
        <f t="shared" si="4"/>
        <v>21.5</v>
      </c>
      <c r="L73" s="237">
        <f t="shared" si="5"/>
        <v>18.5</v>
      </c>
    </row>
    <row r="74" spans="1:12">
      <c r="A74" s="223" t="s">
        <v>4261</v>
      </c>
      <c r="B74" s="80" t="s">
        <v>3517</v>
      </c>
      <c r="C74" s="80" t="s">
        <v>4277</v>
      </c>
      <c r="D74" s="107" t="s">
        <v>3518</v>
      </c>
      <c r="E74" s="80">
        <v>1</v>
      </c>
      <c r="F74" s="133">
        <v>18.2</v>
      </c>
      <c r="G74" s="133">
        <v>21</v>
      </c>
      <c r="H74" s="222">
        <f t="shared" si="3"/>
        <v>21</v>
      </c>
      <c r="I74" s="236"/>
      <c r="J74" s="236">
        <v>0</v>
      </c>
      <c r="K74" s="236">
        <f t="shared" si="4"/>
        <v>21</v>
      </c>
      <c r="L74" s="237">
        <f t="shared" si="5"/>
        <v>18.2</v>
      </c>
    </row>
    <row r="75" spans="1:12">
      <c r="A75" s="223" t="s">
        <v>4278</v>
      </c>
      <c r="B75" s="80" t="s">
        <v>2548</v>
      </c>
      <c r="C75" s="80" t="s">
        <v>4279</v>
      </c>
      <c r="D75" s="107" t="s">
        <v>2549</v>
      </c>
      <c r="E75" s="80">
        <v>5</v>
      </c>
      <c r="F75" s="133">
        <v>7.71</v>
      </c>
      <c r="G75" s="133">
        <v>9</v>
      </c>
      <c r="H75" s="222">
        <f t="shared" si="3"/>
        <v>45</v>
      </c>
      <c r="I75" s="236"/>
      <c r="J75" s="236">
        <v>0</v>
      </c>
      <c r="K75" s="236">
        <f t="shared" si="4"/>
        <v>45</v>
      </c>
      <c r="L75" s="237">
        <f t="shared" si="5"/>
        <v>38.549999999999997</v>
      </c>
    </row>
    <row r="76" spans="1:12">
      <c r="A76" s="223" t="s">
        <v>4280</v>
      </c>
      <c r="B76" s="80" t="s">
        <v>2207</v>
      </c>
      <c r="C76" s="80" t="s">
        <v>4279</v>
      </c>
      <c r="D76" s="107" t="s">
        <v>2208</v>
      </c>
      <c r="E76" s="80">
        <v>12</v>
      </c>
      <c r="F76" s="133">
        <v>5.46</v>
      </c>
      <c r="G76" s="133">
        <v>6.5</v>
      </c>
      <c r="H76" s="222">
        <f t="shared" si="3"/>
        <v>78</v>
      </c>
      <c r="I76" s="236"/>
      <c r="J76" s="236">
        <v>0</v>
      </c>
      <c r="K76" s="236">
        <f t="shared" si="4"/>
        <v>78</v>
      </c>
      <c r="L76" s="237">
        <f t="shared" si="5"/>
        <v>65.52</v>
      </c>
    </row>
    <row r="77" spans="1:12">
      <c r="A77" s="223" t="s">
        <v>4281</v>
      </c>
      <c r="B77" s="80" t="s">
        <v>2233</v>
      </c>
      <c r="C77" s="80" t="s">
        <v>4282</v>
      </c>
      <c r="D77" s="107" t="s">
        <v>2234</v>
      </c>
      <c r="E77" s="80">
        <v>1</v>
      </c>
      <c r="F77" s="133">
        <v>30.2</v>
      </c>
      <c r="G77" s="133">
        <v>34.75</v>
      </c>
      <c r="H77" s="222">
        <f t="shared" si="3"/>
        <v>34.75</v>
      </c>
      <c r="I77" s="236"/>
      <c r="J77" s="236">
        <v>0</v>
      </c>
      <c r="K77" s="236">
        <f t="shared" si="4"/>
        <v>34.75</v>
      </c>
      <c r="L77" s="237">
        <f t="shared" si="5"/>
        <v>30.2</v>
      </c>
    </row>
    <row r="78" spans="1:12">
      <c r="A78" s="223" t="s">
        <v>4281</v>
      </c>
      <c r="B78" s="80" t="s">
        <v>3653</v>
      </c>
      <c r="C78" s="80" t="s">
        <v>4283</v>
      </c>
      <c r="D78" s="107" t="s">
        <v>3654</v>
      </c>
      <c r="E78" s="80">
        <v>1</v>
      </c>
      <c r="F78" s="133">
        <v>9.3800000000000008</v>
      </c>
      <c r="G78" s="133">
        <v>11</v>
      </c>
      <c r="H78" s="222">
        <f t="shared" si="3"/>
        <v>11</v>
      </c>
      <c r="I78" s="236"/>
      <c r="J78" s="236">
        <v>0</v>
      </c>
      <c r="K78" s="236">
        <f t="shared" si="4"/>
        <v>11</v>
      </c>
      <c r="L78" s="237">
        <f t="shared" si="5"/>
        <v>9.3800000000000008</v>
      </c>
    </row>
    <row r="79" spans="1:12">
      <c r="A79" s="223" t="s">
        <v>4281</v>
      </c>
      <c r="B79" s="80" t="s">
        <v>4071</v>
      </c>
      <c r="C79" s="80" t="s">
        <v>4284</v>
      </c>
      <c r="D79" s="107" t="s">
        <v>4072</v>
      </c>
      <c r="E79" s="80">
        <v>1</v>
      </c>
      <c r="F79" s="133">
        <v>6.03</v>
      </c>
      <c r="G79" s="133">
        <v>7</v>
      </c>
      <c r="H79" s="222">
        <f t="shared" si="3"/>
        <v>7</v>
      </c>
      <c r="I79" s="236"/>
      <c r="J79" s="236">
        <v>0</v>
      </c>
      <c r="K79" s="236">
        <f t="shared" si="4"/>
        <v>7</v>
      </c>
      <c r="L79" s="237">
        <f t="shared" si="5"/>
        <v>6.03</v>
      </c>
    </row>
    <row r="80" spans="1:12">
      <c r="A80" s="223" t="s">
        <v>4281</v>
      </c>
      <c r="B80" s="80" t="s">
        <v>2041</v>
      </c>
      <c r="C80" s="80" t="s">
        <v>4285</v>
      </c>
      <c r="D80" s="107" t="s">
        <v>2042</v>
      </c>
      <c r="E80" s="80">
        <v>5</v>
      </c>
      <c r="F80" s="133">
        <v>20.8</v>
      </c>
      <c r="G80" s="133">
        <v>24</v>
      </c>
      <c r="H80" s="222">
        <f t="shared" si="3"/>
        <v>120</v>
      </c>
      <c r="I80" s="236"/>
      <c r="J80" s="236">
        <v>0</v>
      </c>
      <c r="K80" s="236">
        <f t="shared" si="4"/>
        <v>120</v>
      </c>
      <c r="L80" s="237">
        <f t="shared" si="5"/>
        <v>104</v>
      </c>
    </row>
    <row r="81" spans="1:12">
      <c r="A81" s="223" t="s">
        <v>4281</v>
      </c>
      <c r="B81" s="80" t="s">
        <v>2047</v>
      </c>
      <c r="C81" s="80" t="s">
        <v>4285</v>
      </c>
      <c r="D81" s="107" t="s">
        <v>2048</v>
      </c>
      <c r="E81" s="80">
        <v>3</v>
      </c>
      <c r="F81" s="133">
        <v>35.68</v>
      </c>
      <c r="G81" s="133">
        <v>41.25</v>
      </c>
      <c r="H81" s="222">
        <f t="shared" si="3"/>
        <v>123.75</v>
      </c>
      <c r="I81" s="236"/>
      <c r="J81" s="236">
        <v>0</v>
      </c>
      <c r="K81" s="236">
        <f t="shared" si="4"/>
        <v>123.75</v>
      </c>
      <c r="L81" s="237">
        <f t="shared" si="5"/>
        <v>107.03999999999999</v>
      </c>
    </row>
    <row r="82" spans="1:12">
      <c r="A82" s="223" t="s">
        <v>4281</v>
      </c>
      <c r="B82" s="80" t="s">
        <v>2027</v>
      </c>
      <c r="C82" s="80" t="s">
        <v>4285</v>
      </c>
      <c r="D82" s="107" t="s">
        <v>2028</v>
      </c>
      <c r="E82" s="80">
        <v>12</v>
      </c>
      <c r="F82" s="133">
        <v>14.38</v>
      </c>
      <c r="G82" s="133">
        <v>16.75</v>
      </c>
      <c r="H82" s="222">
        <f t="shared" si="3"/>
        <v>201</v>
      </c>
      <c r="I82" s="236"/>
      <c r="J82" s="236">
        <v>0</v>
      </c>
      <c r="K82" s="236">
        <f t="shared" si="4"/>
        <v>201</v>
      </c>
      <c r="L82" s="237">
        <f t="shared" si="5"/>
        <v>172.56</v>
      </c>
    </row>
    <row r="83" spans="1:12">
      <c r="A83" s="223" t="s">
        <v>4281</v>
      </c>
      <c r="B83" s="80" t="s">
        <v>1750</v>
      </c>
      <c r="C83" s="80" t="s">
        <v>4285</v>
      </c>
      <c r="D83" s="107" t="s">
        <v>1751</v>
      </c>
      <c r="E83" s="80">
        <v>3</v>
      </c>
      <c r="F83" s="133">
        <v>62.8</v>
      </c>
      <c r="G83" s="133">
        <v>72.25</v>
      </c>
      <c r="H83" s="222">
        <f t="shared" si="3"/>
        <v>216.75</v>
      </c>
      <c r="I83" s="236"/>
      <c r="J83" s="236">
        <v>0</v>
      </c>
      <c r="K83" s="236">
        <f t="shared" si="4"/>
        <v>216.75</v>
      </c>
      <c r="L83" s="237">
        <f t="shared" si="5"/>
        <v>188.39999999999998</v>
      </c>
    </row>
    <row r="84" spans="1:12">
      <c r="A84" s="223" t="s">
        <v>4281</v>
      </c>
      <c r="B84" s="80" t="s">
        <v>1952</v>
      </c>
      <c r="C84" s="80" t="s">
        <v>4286</v>
      </c>
      <c r="D84" s="107" t="s">
        <v>1953</v>
      </c>
      <c r="E84" s="80">
        <v>1</v>
      </c>
      <c r="F84" s="133">
        <v>148.25</v>
      </c>
      <c r="G84" s="133">
        <v>170.5</v>
      </c>
      <c r="H84" s="222">
        <f t="shared" si="3"/>
        <v>170.5</v>
      </c>
      <c r="I84" s="236"/>
      <c r="J84" s="236">
        <v>0</v>
      </c>
      <c r="K84" s="236">
        <f t="shared" si="4"/>
        <v>170.5</v>
      </c>
      <c r="L84" s="237">
        <f t="shared" si="5"/>
        <v>148.25</v>
      </c>
    </row>
    <row r="85" spans="1:12">
      <c r="A85" s="223" t="s">
        <v>4281</v>
      </c>
      <c r="B85" s="80" t="s">
        <v>1646</v>
      </c>
      <c r="C85" s="80" t="s">
        <v>4286</v>
      </c>
      <c r="D85" s="107" t="s">
        <v>1647</v>
      </c>
      <c r="E85" s="80">
        <v>2</v>
      </c>
      <c r="F85" s="133">
        <v>35.15</v>
      </c>
      <c r="G85" s="133">
        <v>41</v>
      </c>
      <c r="H85" s="222">
        <f t="shared" si="3"/>
        <v>82</v>
      </c>
      <c r="I85" s="236"/>
      <c r="J85" s="236">
        <v>0</v>
      </c>
      <c r="K85" s="236">
        <f t="shared" si="4"/>
        <v>82</v>
      </c>
      <c r="L85" s="237">
        <f t="shared" si="5"/>
        <v>70.3</v>
      </c>
    </row>
    <row r="86" spans="1:12">
      <c r="A86" s="223" t="s">
        <v>4281</v>
      </c>
      <c r="B86" s="80" t="s">
        <v>1964</v>
      </c>
      <c r="C86" s="80" t="s">
        <v>4286</v>
      </c>
      <c r="D86" s="107" t="s">
        <v>1965</v>
      </c>
      <c r="E86" s="80">
        <v>1</v>
      </c>
      <c r="F86" s="133">
        <v>31.19</v>
      </c>
      <c r="G86" s="133">
        <v>36</v>
      </c>
      <c r="H86" s="222">
        <f t="shared" si="3"/>
        <v>36</v>
      </c>
      <c r="I86" s="236"/>
      <c r="J86" s="236">
        <v>0</v>
      </c>
      <c r="K86" s="236">
        <f t="shared" si="4"/>
        <v>36</v>
      </c>
      <c r="L86" s="237">
        <f t="shared" si="5"/>
        <v>31.19</v>
      </c>
    </row>
    <row r="87" spans="1:12">
      <c r="A87" s="223" t="s">
        <v>4281</v>
      </c>
      <c r="B87" s="80" t="s">
        <v>1870</v>
      </c>
      <c r="C87" s="80" t="s">
        <v>4287</v>
      </c>
      <c r="D87" s="107" t="s">
        <v>1871</v>
      </c>
      <c r="E87" s="80">
        <v>1</v>
      </c>
      <c r="F87" s="133">
        <v>35.75</v>
      </c>
      <c r="G87" s="133">
        <v>41.25</v>
      </c>
      <c r="H87" s="222">
        <f t="shared" si="3"/>
        <v>41.25</v>
      </c>
      <c r="I87" s="236"/>
      <c r="J87" s="236">
        <v>0</v>
      </c>
      <c r="K87" s="236">
        <f t="shared" si="4"/>
        <v>41.25</v>
      </c>
      <c r="L87" s="237">
        <f t="shared" si="5"/>
        <v>35.75</v>
      </c>
    </row>
    <row r="88" spans="1:12">
      <c r="A88" s="223" t="s">
        <v>4281</v>
      </c>
      <c r="B88" s="80" t="s">
        <v>3840</v>
      </c>
      <c r="C88" s="80" t="s">
        <v>4288</v>
      </c>
      <c r="D88" s="107" t="s">
        <v>3841</v>
      </c>
      <c r="E88" s="80">
        <v>1</v>
      </c>
      <c r="F88" s="133">
        <v>19.350000000000001</v>
      </c>
      <c r="G88" s="133">
        <v>22.25</v>
      </c>
      <c r="H88" s="222">
        <f t="shared" si="3"/>
        <v>22.25</v>
      </c>
      <c r="I88" s="236"/>
      <c r="J88" s="236">
        <v>0</v>
      </c>
      <c r="K88" s="236">
        <f t="shared" si="4"/>
        <v>22.25</v>
      </c>
      <c r="L88" s="237">
        <f t="shared" si="5"/>
        <v>19.350000000000001</v>
      </c>
    </row>
    <row r="89" spans="1:12">
      <c r="A89" s="223" t="s">
        <v>4281</v>
      </c>
      <c r="B89" s="80" t="s">
        <v>3789</v>
      </c>
      <c r="C89" s="80" t="s">
        <v>4289</v>
      </c>
      <c r="D89" s="107" t="s">
        <v>3790</v>
      </c>
      <c r="E89" s="80">
        <v>5</v>
      </c>
      <c r="F89" s="133">
        <v>0.76</v>
      </c>
      <c r="G89" s="133">
        <v>1</v>
      </c>
      <c r="H89" s="222">
        <f t="shared" si="3"/>
        <v>5</v>
      </c>
      <c r="I89" s="236"/>
      <c r="J89" s="236">
        <v>0</v>
      </c>
      <c r="K89" s="236">
        <f t="shared" si="4"/>
        <v>5</v>
      </c>
      <c r="L89" s="237">
        <f t="shared" si="5"/>
        <v>3.8</v>
      </c>
    </row>
    <row r="90" spans="1:12">
      <c r="A90" s="223" t="s">
        <v>4281</v>
      </c>
      <c r="B90" s="80" t="s">
        <v>1263</v>
      </c>
      <c r="C90" s="80" t="s">
        <v>4290</v>
      </c>
      <c r="D90" s="107" t="s">
        <v>1264</v>
      </c>
      <c r="E90" s="80">
        <v>1</v>
      </c>
      <c r="F90" s="133">
        <v>40.74</v>
      </c>
      <c r="G90" s="133">
        <v>48.5</v>
      </c>
      <c r="H90" s="222">
        <f t="shared" si="3"/>
        <v>48.5</v>
      </c>
      <c r="I90" s="236"/>
      <c r="J90" s="236">
        <v>0</v>
      </c>
      <c r="K90" s="236">
        <f t="shared" si="4"/>
        <v>48.5</v>
      </c>
      <c r="L90" s="237">
        <f t="shared" si="5"/>
        <v>40.74</v>
      </c>
    </row>
    <row r="91" spans="1:12">
      <c r="A91" s="223" t="s">
        <v>4281</v>
      </c>
      <c r="B91" s="80" t="s">
        <v>880</v>
      </c>
      <c r="C91" s="80" t="s">
        <v>4291</v>
      </c>
      <c r="D91" s="107" t="s">
        <v>881</v>
      </c>
      <c r="E91" s="80">
        <v>1</v>
      </c>
      <c r="F91" s="133">
        <v>65</v>
      </c>
      <c r="G91" s="133">
        <v>71.5</v>
      </c>
      <c r="H91" s="222">
        <f t="shared" si="3"/>
        <v>71.5</v>
      </c>
      <c r="I91" s="236"/>
      <c r="J91" s="236">
        <v>0</v>
      </c>
      <c r="K91" s="236">
        <f t="shared" si="4"/>
        <v>71.5</v>
      </c>
      <c r="L91" s="237">
        <f t="shared" si="5"/>
        <v>65</v>
      </c>
    </row>
    <row r="92" spans="1:12">
      <c r="A92" s="223" t="s">
        <v>4281</v>
      </c>
      <c r="B92" s="80" t="s">
        <v>3789</v>
      </c>
      <c r="C92" s="80" t="s">
        <v>4291</v>
      </c>
      <c r="D92" s="107" t="s">
        <v>3790</v>
      </c>
      <c r="E92" s="80">
        <v>3</v>
      </c>
      <c r="F92" s="133">
        <v>0.76</v>
      </c>
      <c r="G92" s="133">
        <v>1</v>
      </c>
      <c r="H92" s="222">
        <f t="shared" si="3"/>
        <v>3</v>
      </c>
      <c r="I92" s="236"/>
      <c r="J92" s="236">
        <v>0</v>
      </c>
      <c r="K92" s="236">
        <f t="shared" si="4"/>
        <v>3</v>
      </c>
      <c r="L92" s="237">
        <f t="shared" si="5"/>
        <v>2.2800000000000002</v>
      </c>
    </row>
    <row r="93" spans="1:12">
      <c r="A93" s="223" t="s">
        <v>4281</v>
      </c>
      <c r="B93" s="80" t="s">
        <v>4067</v>
      </c>
      <c r="C93" s="80" t="s">
        <v>4292</v>
      </c>
      <c r="D93" s="107" t="s">
        <v>4068</v>
      </c>
      <c r="E93" s="80">
        <v>1</v>
      </c>
      <c r="F93" s="133">
        <v>8.15</v>
      </c>
      <c r="G93" s="133">
        <v>9.5</v>
      </c>
      <c r="H93" s="222">
        <f t="shared" si="3"/>
        <v>9.5</v>
      </c>
      <c r="I93" s="236"/>
      <c r="J93" s="236">
        <v>0</v>
      </c>
      <c r="K93" s="236">
        <f t="shared" si="4"/>
        <v>9.5</v>
      </c>
      <c r="L93" s="237">
        <f t="shared" si="5"/>
        <v>8.15</v>
      </c>
    </row>
    <row r="94" spans="1:12">
      <c r="A94" s="223" t="s">
        <v>4281</v>
      </c>
      <c r="B94" s="80" t="s">
        <v>1311</v>
      </c>
      <c r="C94" s="80" t="s">
        <v>4292</v>
      </c>
      <c r="D94" s="107" t="s">
        <v>1312</v>
      </c>
      <c r="E94" s="80">
        <v>1</v>
      </c>
      <c r="F94" s="133">
        <v>8.1999999999999993</v>
      </c>
      <c r="G94" s="133">
        <v>9.5</v>
      </c>
      <c r="H94" s="222">
        <f t="shared" si="3"/>
        <v>9.5</v>
      </c>
      <c r="I94" s="236"/>
      <c r="J94" s="236">
        <v>0</v>
      </c>
      <c r="K94" s="236">
        <f t="shared" si="4"/>
        <v>9.5</v>
      </c>
      <c r="L94" s="237">
        <f t="shared" si="5"/>
        <v>8.1999999999999993</v>
      </c>
    </row>
    <row r="95" spans="1:12">
      <c r="A95" s="223" t="s">
        <v>4281</v>
      </c>
      <c r="B95" s="80" t="s">
        <v>1441</v>
      </c>
      <c r="C95" s="80" t="s">
        <v>4292</v>
      </c>
      <c r="D95" s="107" t="s">
        <v>1442</v>
      </c>
      <c r="E95" s="80">
        <v>1</v>
      </c>
      <c r="F95" s="133">
        <v>16.25</v>
      </c>
      <c r="G95" s="133">
        <v>19</v>
      </c>
      <c r="H95" s="222">
        <f t="shared" si="3"/>
        <v>19</v>
      </c>
      <c r="I95" s="236"/>
      <c r="J95" s="236">
        <v>0</v>
      </c>
      <c r="K95" s="236">
        <f t="shared" si="4"/>
        <v>19</v>
      </c>
      <c r="L95" s="237">
        <f t="shared" si="5"/>
        <v>16.25</v>
      </c>
    </row>
    <row r="96" spans="1:12">
      <c r="A96" s="223" t="s">
        <v>4281</v>
      </c>
      <c r="B96" s="80" t="s">
        <v>3517</v>
      </c>
      <c r="C96" s="80" t="s">
        <v>4293</v>
      </c>
      <c r="D96" s="107" t="s">
        <v>3518</v>
      </c>
      <c r="E96" s="80">
        <v>1</v>
      </c>
      <c r="F96" s="133">
        <v>18.2</v>
      </c>
      <c r="G96" s="133">
        <v>21</v>
      </c>
      <c r="H96" s="222">
        <f t="shared" si="3"/>
        <v>21</v>
      </c>
      <c r="I96" s="236"/>
      <c r="J96" s="236">
        <v>0</v>
      </c>
      <c r="K96" s="236">
        <f t="shared" si="4"/>
        <v>21</v>
      </c>
      <c r="L96" s="237">
        <f t="shared" si="5"/>
        <v>18.2</v>
      </c>
    </row>
    <row r="97" spans="1:12">
      <c r="A97" s="223" t="s">
        <v>4281</v>
      </c>
      <c r="B97" s="80" t="s">
        <v>3527</v>
      </c>
      <c r="C97" s="80" t="s">
        <v>4293</v>
      </c>
      <c r="D97" s="107" t="s">
        <v>3528</v>
      </c>
      <c r="E97" s="80">
        <v>1</v>
      </c>
      <c r="F97" s="133">
        <v>18.2</v>
      </c>
      <c r="G97" s="133">
        <v>21</v>
      </c>
      <c r="H97" s="222">
        <f t="shared" si="3"/>
        <v>21</v>
      </c>
      <c r="I97" s="236"/>
      <c r="J97" s="236">
        <v>0</v>
      </c>
      <c r="K97" s="236">
        <f t="shared" si="4"/>
        <v>21</v>
      </c>
      <c r="L97" s="237">
        <f t="shared" si="5"/>
        <v>18.2</v>
      </c>
    </row>
    <row r="98" spans="1:12">
      <c r="A98" s="223" t="s">
        <v>4281</v>
      </c>
      <c r="B98" s="80" t="s">
        <v>3659</v>
      </c>
      <c r="C98" s="80" t="s">
        <v>4294</v>
      </c>
      <c r="D98" s="107" t="s">
        <v>3660</v>
      </c>
      <c r="E98" s="80">
        <v>1</v>
      </c>
      <c r="F98" s="133">
        <v>22.73</v>
      </c>
      <c r="G98" s="133">
        <v>26.25</v>
      </c>
      <c r="H98" s="222">
        <f t="shared" si="3"/>
        <v>26.25</v>
      </c>
      <c r="I98" s="236"/>
      <c r="J98" s="236">
        <v>0</v>
      </c>
      <c r="K98" s="236">
        <f t="shared" si="4"/>
        <v>26.25</v>
      </c>
      <c r="L98" s="237">
        <f t="shared" si="5"/>
        <v>22.73</v>
      </c>
    </row>
    <row r="99" spans="1:12">
      <c r="A99" s="223" t="s">
        <v>4281</v>
      </c>
      <c r="B99" s="80" t="s">
        <v>484</v>
      </c>
      <c r="C99" s="80" t="s">
        <v>4295</v>
      </c>
      <c r="D99" s="107" t="s">
        <v>485</v>
      </c>
      <c r="E99" s="80">
        <v>1</v>
      </c>
      <c r="F99" s="133">
        <v>19.100000000000001</v>
      </c>
      <c r="G99" s="133">
        <v>22</v>
      </c>
      <c r="H99" s="222">
        <f t="shared" si="3"/>
        <v>22</v>
      </c>
      <c r="I99" s="236"/>
      <c r="J99" s="236">
        <v>0</v>
      </c>
      <c r="K99" s="236">
        <f t="shared" si="4"/>
        <v>22</v>
      </c>
      <c r="L99" s="237">
        <f t="shared" si="5"/>
        <v>19.100000000000001</v>
      </c>
    </row>
    <row r="100" spans="1:12">
      <c r="A100" s="223" t="s">
        <v>4281</v>
      </c>
      <c r="B100" s="80" t="s">
        <v>4051</v>
      </c>
      <c r="C100" s="80" t="s">
        <v>4295</v>
      </c>
      <c r="D100" s="107" t="s">
        <v>4052</v>
      </c>
      <c r="E100" s="80">
        <v>1</v>
      </c>
      <c r="F100" s="133">
        <v>97.36</v>
      </c>
      <c r="G100" s="133">
        <v>112</v>
      </c>
      <c r="H100" s="222">
        <f t="shared" si="3"/>
        <v>112</v>
      </c>
      <c r="I100" s="236"/>
      <c r="J100" s="236">
        <v>0</v>
      </c>
      <c r="K100" s="236">
        <f t="shared" si="4"/>
        <v>112</v>
      </c>
      <c r="L100" s="237">
        <f t="shared" si="5"/>
        <v>97.36</v>
      </c>
    </row>
    <row r="101" spans="1:12">
      <c r="A101" s="223" t="s">
        <v>4281</v>
      </c>
      <c r="B101" s="80" t="s">
        <v>1499</v>
      </c>
      <c r="C101" s="80" t="s">
        <v>4296</v>
      </c>
      <c r="D101" s="107" t="s">
        <v>1500</v>
      </c>
      <c r="E101" s="80">
        <v>1</v>
      </c>
      <c r="F101" s="133">
        <v>25.8</v>
      </c>
      <c r="G101" s="133">
        <v>29.75</v>
      </c>
      <c r="H101" s="222">
        <f t="shared" si="3"/>
        <v>29.75</v>
      </c>
      <c r="I101" s="236"/>
      <c r="J101" s="236">
        <v>0</v>
      </c>
      <c r="K101" s="236">
        <f t="shared" si="4"/>
        <v>29.75</v>
      </c>
      <c r="L101" s="237">
        <f t="shared" si="5"/>
        <v>25.8</v>
      </c>
    </row>
    <row r="102" spans="1:12">
      <c r="A102" s="223" t="s">
        <v>4281</v>
      </c>
      <c r="B102" s="80" t="s">
        <v>1646</v>
      </c>
      <c r="C102" s="80" t="s">
        <v>4296</v>
      </c>
      <c r="D102" s="107" t="s">
        <v>1647</v>
      </c>
      <c r="E102" s="80">
        <v>1</v>
      </c>
      <c r="F102" s="133">
        <v>35.15</v>
      </c>
      <c r="G102" s="133">
        <v>41</v>
      </c>
      <c r="H102" s="222">
        <f t="shared" si="3"/>
        <v>41</v>
      </c>
      <c r="I102" s="236"/>
      <c r="J102" s="236">
        <v>0</v>
      </c>
      <c r="K102" s="236">
        <f t="shared" si="4"/>
        <v>41</v>
      </c>
      <c r="L102" s="237">
        <f t="shared" si="5"/>
        <v>35.15</v>
      </c>
    </row>
    <row r="103" spans="1:12">
      <c r="A103" s="224" t="s">
        <v>4281</v>
      </c>
      <c r="B103" s="225" t="s">
        <v>1665</v>
      </c>
      <c r="C103" s="225" t="s">
        <v>4296</v>
      </c>
      <c r="D103" s="226" t="s">
        <v>1666</v>
      </c>
      <c r="E103" s="225">
        <v>1</v>
      </c>
      <c r="F103" s="227"/>
      <c r="G103" s="227">
        <v>47.5</v>
      </c>
      <c r="H103" s="228">
        <f t="shared" si="3"/>
        <v>47.5</v>
      </c>
      <c r="I103" s="238"/>
      <c r="J103" s="238">
        <v>0</v>
      </c>
      <c r="K103" s="238">
        <f t="shared" si="4"/>
        <v>47.5</v>
      </c>
      <c r="L103" s="239">
        <f t="shared" si="5"/>
        <v>0</v>
      </c>
    </row>
    <row r="104" spans="1:12">
      <c r="A104" s="223" t="s">
        <v>4281</v>
      </c>
      <c r="B104" s="80" t="s">
        <v>1997</v>
      </c>
      <c r="C104" s="80" t="s">
        <v>4296</v>
      </c>
      <c r="D104" s="107" t="s">
        <v>1998</v>
      </c>
      <c r="E104" s="80">
        <v>1</v>
      </c>
      <c r="F104" s="133">
        <v>6.02</v>
      </c>
      <c r="G104" s="133">
        <v>7.25</v>
      </c>
      <c r="H104" s="222">
        <f t="shared" si="3"/>
        <v>7.25</v>
      </c>
      <c r="I104" s="236"/>
      <c r="J104" s="236">
        <v>0</v>
      </c>
      <c r="K104" s="236">
        <f t="shared" si="4"/>
        <v>7.25</v>
      </c>
      <c r="L104" s="237">
        <f t="shared" si="5"/>
        <v>6.02</v>
      </c>
    </row>
    <row r="105" spans="1:12">
      <c r="A105" s="223" t="s">
        <v>4281</v>
      </c>
      <c r="B105" s="80" t="s">
        <v>581</v>
      </c>
      <c r="C105" s="80" t="s">
        <v>4297</v>
      </c>
      <c r="D105" s="107" t="s">
        <v>582</v>
      </c>
      <c r="E105" s="80">
        <v>1</v>
      </c>
      <c r="F105" s="133">
        <v>12.69</v>
      </c>
      <c r="G105" s="133">
        <v>14.75</v>
      </c>
      <c r="H105" s="222">
        <f t="shared" si="3"/>
        <v>14.75</v>
      </c>
      <c r="I105" s="236"/>
      <c r="J105" s="236">
        <v>0</v>
      </c>
      <c r="K105" s="236">
        <f t="shared" si="4"/>
        <v>14.75</v>
      </c>
      <c r="L105" s="237">
        <f t="shared" si="5"/>
        <v>12.69</v>
      </c>
    </row>
    <row r="106" spans="1:12">
      <c r="A106" s="223" t="s">
        <v>4281</v>
      </c>
      <c r="B106" s="80" t="s">
        <v>3789</v>
      </c>
      <c r="C106" s="80" t="s">
        <v>4298</v>
      </c>
      <c r="D106" s="107" t="s">
        <v>3790</v>
      </c>
      <c r="E106" s="80">
        <v>6</v>
      </c>
      <c r="F106" s="133">
        <v>0.76</v>
      </c>
      <c r="G106" s="133">
        <v>1</v>
      </c>
      <c r="H106" s="222">
        <f t="shared" si="3"/>
        <v>6</v>
      </c>
      <c r="I106" s="236"/>
      <c r="J106" s="236">
        <v>0</v>
      </c>
      <c r="K106" s="236">
        <f t="shared" si="4"/>
        <v>6</v>
      </c>
      <c r="L106" s="237">
        <f t="shared" si="5"/>
        <v>4.5600000000000005</v>
      </c>
    </row>
    <row r="107" spans="1:12">
      <c r="A107" s="223" t="s">
        <v>4281</v>
      </c>
      <c r="B107" s="80" t="s">
        <v>3779</v>
      </c>
      <c r="C107" s="80" t="s">
        <v>4299</v>
      </c>
      <c r="D107" s="107" t="s">
        <v>3780</v>
      </c>
      <c r="E107" s="80">
        <v>1</v>
      </c>
      <c r="F107" s="133">
        <v>0.76</v>
      </c>
      <c r="G107" s="133">
        <v>1</v>
      </c>
      <c r="H107" s="222">
        <f t="shared" si="3"/>
        <v>1</v>
      </c>
      <c r="I107" s="236"/>
      <c r="J107" s="236">
        <v>0</v>
      </c>
      <c r="K107" s="236">
        <f t="shared" si="4"/>
        <v>1</v>
      </c>
      <c r="L107" s="237">
        <f t="shared" si="5"/>
        <v>0.76</v>
      </c>
    </row>
    <row r="108" spans="1:12">
      <c r="A108" s="223" t="s">
        <v>4281</v>
      </c>
      <c r="B108" s="80" t="s">
        <v>4074</v>
      </c>
      <c r="C108" s="80" t="s">
        <v>4299</v>
      </c>
      <c r="D108" s="107" t="s">
        <v>4075</v>
      </c>
      <c r="E108" s="80">
        <v>4</v>
      </c>
      <c r="F108" s="133">
        <v>0.76</v>
      </c>
      <c r="G108" s="133">
        <v>1</v>
      </c>
      <c r="H108" s="222">
        <f t="shared" si="3"/>
        <v>4</v>
      </c>
      <c r="I108" s="236"/>
      <c r="J108" s="236">
        <v>0</v>
      </c>
      <c r="K108" s="236">
        <f t="shared" si="4"/>
        <v>4</v>
      </c>
      <c r="L108" s="237">
        <f t="shared" si="5"/>
        <v>3.04</v>
      </c>
    </row>
    <row r="109" spans="1:12">
      <c r="A109" s="223" t="s">
        <v>4281</v>
      </c>
      <c r="B109" s="80" t="s">
        <v>1497</v>
      </c>
      <c r="C109" s="80" t="s">
        <v>4300</v>
      </c>
      <c r="D109" s="107" t="s">
        <v>1498</v>
      </c>
      <c r="E109" s="80">
        <v>2</v>
      </c>
      <c r="F109" s="133">
        <v>48.6</v>
      </c>
      <c r="G109" s="133">
        <v>56</v>
      </c>
      <c r="H109" s="222">
        <f t="shared" si="3"/>
        <v>112</v>
      </c>
      <c r="I109" s="236"/>
      <c r="J109" s="236">
        <v>0</v>
      </c>
      <c r="K109" s="236">
        <f t="shared" si="4"/>
        <v>112</v>
      </c>
      <c r="L109" s="237">
        <f t="shared" si="5"/>
        <v>97.2</v>
      </c>
    </row>
    <row r="110" spans="1:12">
      <c r="A110" s="223" t="s">
        <v>4281</v>
      </c>
      <c r="B110" s="80" t="s">
        <v>1443</v>
      </c>
      <c r="C110" s="80" t="s">
        <v>4301</v>
      </c>
      <c r="D110" s="107" t="s">
        <v>1444</v>
      </c>
      <c r="E110" s="80">
        <v>2</v>
      </c>
      <c r="F110" s="133">
        <v>10.64</v>
      </c>
      <c r="G110" s="133">
        <v>12.25</v>
      </c>
      <c r="H110" s="222">
        <f t="shared" si="3"/>
        <v>24.5</v>
      </c>
      <c r="I110" s="236"/>
      <c r="J110" s="236">
        <v>0</v>
      </c>
      <c r="K110" s="236">
        <f t="shared" si="4"/>
        <v>24.5</v>
      </c>
      <c r="L110" s="237">
        <f t="shared" si="5"/>
        <v>21.28</v>
      </c>
    </row>
    <row r="111" spans="1:12">
      <c r="A111" s="223" t="s">
        <v>4281</v>
      </c>
      <c r="B111" s="80" t="s">
        <v>4074</v>
      </c>
      <c r="C111" s="80" t="s">
        <v>4302</v>
      </c>
      <c r="D111" s="107" t="s">
        <v>4075</v>
      </c>
      <c r="E111" s="80">
        <v>2</v>
      </c>
      <c r="F111" s="133">
        <v>0.76</v>
      </c>
      <c r="G111" s="133">
        <v>1</v>
      </c>
      <c r="H111" s="222">
        <f t="shared" si="3"/>
        <v>2</v>
      </c>
      <c r="I111" s="236"/>
      <c r="J111" s="236">
        <v>0</v>
      </c>
      <c r="K111" s="236">
        <f t="shared" si="4"/>
        <v>2</v>
      </c>
      <c r="L111" s="237">
        <f t="shared" si="5"/>
        <v>1.52</v>
      </c>
    </row>
    <row r="112" spans="1:12">
      <c r="A112" s="223" t="s">
        <v>4281</v>
      </c>
      <c r="B112" s="80" t="s">
        <v>1292</v>
      </c>
      <c r="C112" s="80" t="s">
        <v>4303</v>
      </c>
      <c r="D112" s="107" t="s">
        <v>1293</v>
      </c>
      <c r="E112" s="80">
        <v>1</v>
      </c>
      <c r="F112" s="133">
        <v>7.85</v>
      </c>
      <c r="G112" s="133">
        <v>12</v>
      </c>
      <c r="H112" s="222">
        <f t="shared" si="3"/>
        <v>12</v>
      </c>
      <c r="I112" s="236"/>
      <c r="J112" s="236">
        <v>0</v>
      </c>
      <c r="K112" s="236">
        <f t="shared" si="4"/>
        <v>12</v>
      </c>
      <c r="L112" s="237">
        <f t="shared" si="5"/>
        <v>7.85</v>
      </c>
    </row>
    <row r="113" spans="1:12">
      <c r="A113" s="223" t="s">
        <v>4281</v>
      </c>
      <c r="B113" s="80" t="s">
        <v>4065</v>
      </c>
      <c r="C113" s="80" t="s">
        <v>4303</v>
      </c>
      <c r="D113" s="107" t="s">
        <v>4066</v>
      </c>
      <c r="E113" s="80">
        <v>1</v>
      </c>
      <c r="F113" s="133">
        <v>16.91</v>
      </c>
      <c r="G113" s="133">
        <v>18.600000000000001</v>
      </c>
      <c r="H113" s="222">
        <f t="shared" si="3"/>
        <v>18.600000000000001</v>
      </c>
      <c r="I113" s="236"/>
      <c r="J113" s="236">
        <v>0</v>
      </c>
      <c r="K113" s="236">
        <f t="shared" si="4"/>
        <v>18.600000000000001</v>
      </c>
      <c r="L113" s="237">
        <f t="shared" si="5"/>
        <v>16.91</v>
      </c>
    </row>
    <row r="114" spans="1:12">
      <c r="A114" s="223" t="s">
        <v>4281</v>
      </c>
      <c r="B114" s="80" t="s">
        <v>1443</v>
      </c>
      <c r="C114" s="80" t="s">
        <v>4303</v>
      </c>
      <c r="D114" s="107" t="s">
        <v>1444</v>
      </c>
      <c r="E114" s="80">
        <v>1</v>
      </c>
      <c r="F114" s="133">
        <v>10.64</v>
      </c>
      <c r="G114" s="133">
        <v>12.25</v>
      </c>
      <c r="H114" s="222">
        <f t="shared" si="3"/>
        <v>12.25</v>
      </c>
      <c r="I114" s="236"/>
      <c r="J114" s="236">
        <v>0</v>
      </c>
      <c r="K114" s="236">
        <f t="shared" si="4"/>
        <v>12.25</v>
      </c>
      <c r="L114" s="237">
        <f t="shared" si="5"/>
        <v>10.64</v>
      </c>
    </row>
    <row r="115" spans="1:12">
      <c r="A115" s="223" t="s">
        <v>4281</v>
      </c>
      <c r="B115" s="80" t="s">
        <v>1353</v>
      </c>
      <c r="C115" s="80" t="s">
        <v>4303</v>
      </c>
      <c r="D115" s="107" t="s">
        <v>1354</v>
      </c>
      <c r="E115" s="80">
        <v>1</v>
      </c>
      <c r="F115" s="133">
        <v>12.66</v>
      </c>
      <c r="G115" s="133">
        <v>14.25</v>
      </c>
      <c r="H115" s="222">
        <f t="shared" si="3"/>
        <v>14.25</v>
      </c>
      <c r="I115" s="236"/>
      <c r="J115" s="236">
        <v>0</v>
      </c>
      <c r="K115" s="236">
        <f t="shared" si="4"/>
        <v>14.25</v>
      </c>
      <c r="L115" s="237">
        <f t="shared" si="5"/>
        <v>12.66</v>
      </c>
    </row>
    <row r="116" spans="1:12">
      <c r="A116" s="223" t="s">
        <v>4281</v>
      </c>
      <c r="B116" s="80" t="s">
        <v>630</v>
      </c>
      <c r="C116" s="80" t="s">
        <v>4303</v>
      </c>
      <c r="D116" s="107" t="s">
        <v>631</v>
      </c>
      <c r="E116" s="80">
        <v>1</v>
      </c>
      <c r="F116" s="133">
        <v>7.62</v>
      </c>
      <c r="G116" s="133">
        <v>8.75</v>
      </c>
      <c r="H116" s="222">
        <f t="shared" si="3"/>
        <v>8.75</v>
      </c>
      <c r="I116" s="236"/>
      <c r="J116" s="236">
        <v>0</v>
      </c>
      <c r="K116" s="236">
        <f t="shared" si="4"/>
        <v>8.75</v>
      </c>
      <c r="L116" s="237">
        <f t="shared" si="5"/>
        <v>7.62</v>
      </c>
    </row>
    <row r="117" spans="1:12">
      <c r="A117" s="223" t="s">
        <v>4281</v>
      </c>
      <c r="B117" s="80" t="s">
        <v>1768</v>
      </c>
      <c r="C117" s="80" t="s">
        <v>4304</v>
      </c>
      <c r="D117" s="107" t="s">
        <v>1769</v>
      </c>
      <c r="E117" s="80">
        <v>1</v>
      </c>
      <c r="F117" s="133">
        <v>12.39</v>
      </c>
      <c r="G117" s="133">
        <v>14.5</v>
      </c>
      <c r="H117" s="222">
        <f t="shared" si="3"/>
        <v>14.5</v>
      </c>
      <c r="I117" s="236"/>
      <c r="J117" s="236">
        <v>0</v>
      </c>
      <c r="K117" s="236">
        <f t="shared" si="4"/>
        <v>14.5</v>
      </c>
      <c r="L117" s="237">
        <f t="shared" si="5"/>
        <v>12.39</v>
      </c>
    </row>
    <row r="118" spans="1:12">
      <c r="A118" s="223" t="s">
        <v>4281</v>
      </c>
      <c r="B118" s="80" t="s">
        <v>4065</v>
      </c>
      <c r="C118" s="80" t="s">
        <v>4305</v>
      </c>
      <c r="D118" s="107" t="s">
        <v>4066</v>
      </c>
      <c r="E118" s="80">
        <v>2</v>
      </c>
      <c r="F118" s="133">
        <v>16.91</v>
      </c>
      <c r="G118" s="133">
        <v>18.600000000000001</v>
      </c>
      <c r="H118" s="222">
        <f t="shared" si="3"/>
        <v>37.200000000000003</v>
      </c>
      <c r="I118" s="236"/>
      <c r="J118" s="236">
        <v>0</v>
      </c>
      <c r="K118" s="236">
        <f t="shared" si="4"/>
        <v>37.200000000000003</v>
      </c>
      <c r="L118" s="237">
        <f t="shared" si="5"/>
        <v>33.82</v>
      </c>
    </row>
    <row r="119" spans="1:12">
      <c r="A119" s="223" t="s">
        <v>4281</v>
      </c>
      <c r="B119" s="80" t="s">
        <v>3723</v>
      </c>
      <c r="C119" s="80" t="s">
        <v>4305</v>
      </c>
      <c r="D119" s="107" t="s">
        <v>3724</v>
      </c>
      <c r="E119" s="80">
        <v>2</v>
      </c>
      <c r="F119" s="133">
        <v>19.47</v>
      </c>
      <c r="G119" s="133">
        <v>23</v>
      </c>
      <c r="H119" s="222">
        <f t="shared" si="3"/>
        <v>46</v>
      </c>
      <c r="I119" s="236"/>
      <c r="J119" s="236">
        <v>0</v>
      </c>
      <c r="K119" s="236">
        <f t="shared" si="4"/>
        <v>46</v>
      </c>
      <c r="L119" s="237">
        <f t="shared" si="5"/>
        <v>38.94</v>
      </c>
    </row>
    <row r="120" spans="1:12">
      <c r="A120" s="223" t="s">
        <v>4281</v>
      </c>
      <c r="B120" s="80" t="s">
        <v>1292</v>
      </c>
      <c r="C120" s="80" t="s">
        <v>4305</v>
      </c>
      <c r="D120" s="107" t="s">
        <v>1293</v>
      </c>
      <c r="E120" s="80">
        <v>1</v>
      </c>
      <c r="F120" s="133">
        <v>7.85</v>
      </c>
      <c r="G120" s="133">
        <v>12</v>
      </c>
      <c r="H120" s="222">
        <f t="shared" si="3"/>
        <v>12</v>
      </c>
      <c r="I120" s="236"/>
      <c r="J120" s="236">
        <v>0</v>
      </c>
      <c r="K120" s="236">
        <f t="shared" si="4"/>
        <v>12</v>
      </c>
      <c r="L120" s="237">
        <f t="shared" si="5"/>
        <v>7.85</v>
      </c>
    </row>
    <row r="121" spans="1:12">
      <c r="A121" s="223" t="s">
        <v>4281</v>
      </c>
      <c r="B121" s="80" t="s">
        <v>4074</v>
      </c>
      <c r="C121" s="80" t="s">
        <v>4305</v>
      </c>
      <c r="D121" s="107" t="s">
        <v>4075</v>
      </c>
      <c r="E121" s="80">
        <v>4</v>
      </c>
      <c r="F121" s="133">
        <v>0.76</v>
      </c>
      <c r="G121" s="133">
        <v>1</v>
      </c>
      <c r="H121" s="222">
        <f t="shared" si="3"/>
        <v>4</v>
      </c>
      <c r="I121" s="236"/>
      <c r="J121" s="236">
        <v>0</v>
      </c>
      <c r="K121" s="236">
        <f t="shared" si="4"/>
        <v>4</v>
      </c>
      <c r="L121" s="237">
        <f t="shared" si="5"/>
        <v>3.04</v>
      </c>
    </row>
    <row r="122" spans="1:12">
      <c r="A122" s="223" t="s">
        <v>4281</v>
      </c>
      <c r="B122" s="80" t="s">
        <v>3789</v>
      </c>
      <c r="C122" s="80" t="s">
        <v>4306</v>
      </c>
      <c r="D122" s="107" t="s">
        <v>3790</v>
      </c>
      <c r="E122" s="80">
        <v>4</v>
      </c>
      <c r="F122" s="133">
        <v>0.76</v>
      </c>
      <c r="G122" s="133">
        <v>1</v>
      </c>
      <c r="H122" s="222">
        <f t="shared" si="3"/>
        <v>4</v>
      </c>
      <c r="I122" s="236"/>
      <c r="J122" s="236">
        <v>0</v>
      </c>
      <c r="K122" s="236">
        <f t="shared" si="4"/>
        <v>4</v>
      </c>
      <c r="L122" s="237">
        <f t="shared" si="5"/>
        <v>3.04</v>
      </c>
    </row>
    <row r="123" spans="1:12">
      <c r="A123" s="223" t="s">
        <v>4307</v>
      </c>
      <c r="B123" s="80" t="s">
        <v>719</v>
      </c>
      <c r="C123" s="80" t="s">
        <v>4308</v>
      </c>
      <c r="D123" s="107" t="s">
        <v>720</v>
      </c>
      <c r="E123" s="80">
        <v>2</v>
      </c>
      <c r="F123" s="133">
        <v>15.65</v>
      </c>
      <c r="G123" s="133">
        <v>18</v>
      </c>
      <c r="H123" s="222">
        <f t="shared" si="3"/>
        <v>36</v>
      </c>
      <c r="I123" s="236"/>
      <c r="J123" s="236">
        <v>0</v>
      </c>
      <c r="K123" s="236">
        <f t="shared" si="4"/>
        <v>36</v>
      </c>
      <c r="L123" s="237">
        <f t="shared" si="5"/>
        <v>31.3</v>
      </c>
    </row>
    <row r="124" spans="1:12">
      <c r="A124" s="223" t="s">
        <v>4307</v>
      </c>
      <c r="B124" s="80" t="s">
        <v>2023</v>
      </c>
      <c r="C124" s="80" t="s">
        <v>4308</v>
      </c>
      <c r="D124" s="107" t="s">
        <v>2024</v>
      </c>
      <c r="E124" s="80">
        <v>24</v>
      </c>
      <c r="F124" s="133">
        <v>7.14</v>
      </c>
      <c r="G124" s="133">
        <v>8.25</v>
      </c>
      <c r="H124" s="222">
        <f t="shared" si="3"/>
        <v>198</v>
      </c>
      <c r="I124" s="236"/>
      <c r="J124" s="236">
        <v>0</v>
      </c>
      <c r="K124" s="236">
        <f t="shared" si="4"/>
        <v>198</v>
      </c>
      <c r="L124" s="237">
        <f t="shared" si="5"/>
        <v>171.35999999999999</v>
      </c>
    </row>
    <row r="125" spans="1:12">
      <c r="A125" s="223" t="s">
        <v>4307</v>
      </c>
      <c r="B125" s="80" t="s">
        <v>4074</v>
      </c>
      <c r="C125" s="80" t="s">
        <v>4308</v>
      </c>
      <c r="D125" s="107" t="s">
        <v>4075</v>
      </c>
      <c r="E125" s="80">
        <v>1</v>
      </c>
      <c r="F125" s="133">
        <v>0.76</v>
      </c>
      <c r="G125" s="133">
        <v>1</v>
      </c>
      <c r="H125" s="222">
        <f t="shared" si="3"/>
        <v>1</v>
      </c>
      <c r="I125" s="236"/>
      <c r="J125" s="236">
        <v>0</v>
      </c>
      <c r="K125" s="236">
        <f t="shared" si="4"/>
        <v>1</v>
      </c>
      <c r="L125" s="237">
        <f t="shared" si="5"/>
        <v>0.76</v>
      </c>
    </row>
    <row r="126" spans="1:12">
      <c r="A126" s="223" t="s">
        <v>4307</v>
      </c>
      <c r="B126" s="80" t="s">
        <v>2620</v>
      </c>
      <c r="C126" s="80" t="s">
        <v>4309</v>
      </c>
      <c r="D126" s="107" t="s">
        <v>2621</v>
      </c>
      <c r="E126" s="80">
        <v>1</v>
      </c>
      <c r="F126" s="133">
        <v>20.57</v>
      </c>
      <c r="G126" s="133">
        <v>23.75</v>
      </c>
      <c r="H126" s="222">
        <f t="shared" si="3"/>
        <v>23.75</v>
      </c>
      <c r="I126" s="236"/>
      <c r="J126" s="236">
        <v>0</v>
      </c>
      <c r="K126" s="236">
        <f t="shared" si="4"/>
        <v>23.75</v>
      </c>
      <c r="L126" s="237">
        <f t="shared" si="5"/>
        <v>20.57</v>
      </c>
    </row>
    <row r="127" spans="1:12">
      <c r="A127" s="223" t="s">
        <v>4307</v>
      </c>
      <c r="B127" s="80" t="s">
        <v>4074</v>
      </c>
      <c r="C127" s="80" t="s">
        <v>4309</v>
      </c>
      <c r="D127" s="107" t="s">
        <v>4075</v>
      </c>
      <c r="E127" s="80">
        <v>1</v>
      </c>
      <c r="F127" s="133">
        <v>0.76</v>
      </c>
      <c r="G127" s="133">
        <v>1</v>
      </c>
      <c r="H127" s="222">
        <f t="shared" si="3"/>
        <v>1</v>
      </c>
      <c r="I127" s="236"/>
      <c r="J127" s="236">
        <v>0</v>
      </c>
      <c r="K127" s="236">
        <f t="shared" si="4"/>
        <v>1</v>
      </c>
      <c r="L127" s="237">
        <f t="shared" si="5"/>
        <v>0.76</v>
      </c>
    </row>
    <row r="128" spans="1:12">
      <c r="A128" s="223" t="s">
        <v>4307</v>
      </c>
      <c r="B128" s="80" t="s">
        <v>906</v>
      </c>
      <c r="C128" s="80" t="s">
        <v>4310</v>
      </c>
      <c r="D128" s="107" t="s">
        <v>907</v>
      </c>
      <c r="E128" s="80">
        <v>1</v>
      </c>
      <c r="F128" s="133">
        <v>53.9</v>
      </c>
      <c r="G128" s="133">
        <v>59.25</v>
      </c>
      <c r="H128" s="222">
        <f t="shared" si="3"/>
        <v>59.25</v>
      </c>
      <c r="I128" s="236"/>
      <c r="J128" s="236">
        <v>0</v>
      </c>
      <c r="K128" s="236">
        <f t="shared" si="4"/>
        <v>59.25</v>
      </c>
      <c r="L128" s="237">
        <f t="shared" si="5"/>
        <v>53.9</v>
      </c>
    </row>
    <row r="129" spans="1:12">
      <c r="A129" s="223" t="s">
        <v>4307</v>
      </c>
      <c r="B129" s="80" t="s">
        <v>1026</v>
      </c>
      <c r="C129" s="80" t="s">
        <v>4311</v>
      </c>
      <c r="D129" s="107" t="s">
        <v>1027</v>
      </c>
      <c r="E129" s="80">
        <v>1</v>
      </c>
      <c r="F129" s="133">
        <v>57.25</v>
      </c>
      <c r="G129" s="133">
        <v>66</v>
      </c>
      <c r="H129" s="222">
        <f t="shared" si="3"/>
        <v>66</v>
      </c>
      <c r="I129" s="236"/>
      <c r="J129" s="236">
        <v>0</v>
      </c>
      <c r="K129" s="236">
        <f t="shared" si="4"/>
        <v>66</v>
      </c>
      <c r="L129" s="237">
        <f t="shared" si="5"/>
        <v>57.25</v>
      </c>
    </row>
    <row r="130" spans="1:12">
      <c r="A130" s="223" t="s">
        <v>4307</v>
      </c>
      <c r="B130" s="80" t="s">
        <v>906</v>
      </c>
      <c r="C130" s="80" t="s">
        <v>4312</v>
      </c>
      <c r="D130" s="107" t="s">
        <v>907</v>
      </c>
      <c r="E130" s="80">
        <v>1</v>
      </c>
      <c r="F130" s="133">
        <v>53.9</v>
      </c>
      <c r="G130" s="133">
        <v>59.25</v>
      </c>
      <c r="H130" s="222">
        <f t="shared" si="3"/>
        <v>59.25</v>
      </c>
      <c r="I130" s="236"/>
      <c r="J130" s="236">
        <v>0</v>
      </c>
      <c r="K130" s="236">
        <f t="shared" si="4"/>
        <v>59.25</v>
      </c>
      <c r="L130" s="237">
        <f t="shared" si="5"/>
        <v>53.9</v>
      </c>
    </row>
    <row r="131" spans="1:12">
      <c r="A131" s="223" t="s">
        <v>4307</v>
      </c>
      <c r="B131" s="80" t="s">
        <v>1529</v>
      </c>
      <c r="C131" s="80" t="s">
        <v>4313</v>
      </c>
      <c r="D131" s="107" t="s">
        <v>1530</v>
      </c>
      <c r="E131" s="80">
        <v>2</v>
      </c>
      <c r="F131" s="133">
        <v>8.75</v>
      </c>
      <c r="G131" s="133">
        <v>10.25</v>
      </c>
      <c r="H131" s="222">
        <f t="shared" si="3"/>
        <v>20.5</v>
      </c>
      <c r="I131" s="236"/>
      <c r="J131" s="236">
        <v>0</v>
      </c>
      <c r="K131" s="236">
        <f t="shared" si="4"/>
        <v>20.5</v>
      </c>
      <c r="L131" s="237">
        <f t="shared" si="5"/>
        <v>17.5</v>
      </c>
    </row>
    <row r="132" spans="1:12">
      <c r="A132" s="223" t="s">
        <v>4307</v>
      </c>
      <c r="B132" s="80" t="s">
        <v>1643</v>
      </c>
      <c r="C132" s="80" t="s">
        <v>4313</v>
      </c>
      <c r="D132" s="107" t="s">
        <v>1644</v>
      </c>
      <c r="E132" s="80">
        <v>1</v>
      </c>
      <c r="F132" s="133">
        <v>19.059999999999999</v>
      </c>
      <c r="G132" s="133">
        <v>22</v>
      </c>
      <c r="H132" s="222">
        <f t="shared" ref="H132:H195" si="6">E132*G132</f>
        <v>22</v>
      </c>
      <c r="I132" s="236"/>
      <c r="J132" s="236">
        <v>0</v>
      </c>
      <c r="K132" s="236">
        <f t="shared" si="4"/>
        <v>22</v>
      </c>
      <c r="L132" s="237">
        <f t="shared" si="5"/>
        <v>19.059999999999999</v>
      </c>
    </row>
    <row r="133" spans="1:12">
      <c r="A133" s="223" t="s">
        <v>4307</v>
      </c>
      <c r="B133" s="80" t="s">
        <v>2124</v>
      </c>
      <c r="C133" s="80" t="s">
        <v>4313</v>
      </c>
      <c r="D133" s="107" t="s">
        <v>2125</v>
      </c>
      <c r="E133" s="80">
        <v>1</v>
      </c>
      <c r="F133" s="133">
        <v>20.88</v>
      </c>
      <c r="G133" s="133">
        <v>24</v>
      </c>
      <c r="H133" s="222">
        <f t="shared" si="6"/>
        <v>24</v>
      </c>
      <c r="I133" s="236"/>
      <c r="J133" s="236">
        <v>0</v>
      </c>
      <c r="K133" s="236">
        <f t="shared" ref="K133:K196" si="7">H133+I133-J133</f>
        <v>24</v>
      </c>
      <c r="L133" s="237">
        <f t="shared" ref="L133:L196" si="8">E133*F133</f>
        <v>20.88</v>
      </c>
    </row>
    <row r="134" spans="1:12">
      <c r="A134" s="223" t="s">
        <v>4307</v>
      </c>
      <c r="B134" s="80" t="s">
        <v>484</v>
      </c>
      <c r="C134" s="80" t="s">
        <v>4314</v>
      </c>
      <c r="D134" s="107" t="s">
        <v>485</v>
      </c>
      <c r="E134" s="80">
        <v>1</v>
      </c>
      <c r="F134" s="133">
        <v>19.100000000000001</v>
      </c>
      <c r="G134" s="133">
        <v>22</v>
      </c>
      <c r="H134" s="222">
        <f t="shared" si="6"/>
        <v>22</v>
      </c>
      <c r="I134" s="236"/>
      <c r="J134" s="236">
        <v>0</v>
      </c>
      <c r="K134" s="236">
        <f t="shared" si="7"/>
        <v>22</v>
      </c>
      <c r="L134" s="237">
        <f t="shared" si="8"/>
        <v>19.100000000000001</v>
      </c>
    </row>
    <row r="135" spans="1:12">
      <c r="A135" s="223" t="s">
        <v>4307</v>
      </c>
      <c r="B135" s="80" t="s">
        <v>2449</v>
      </c>
      <c r="C135" s="80" t="s">
        <v>4315</v>
      </c>
      <c r="D135" s="107" t="s">
        <v>2450</v>
      </c>
      <c r="E135" s="80">
        <v>1</v>
      </c>
      <c r="F135" s="133">
        <v>62.45</v>
      </c>
      <c r="G135" s="133">
        <v>72</v>
      </c>
      <c r="H135" s="222">
        <f t="shared" si="6"/>
        <v>72</v>
      </c>
      <c r="I135" s="236"/>
      <c r="J135" s="236">
        <v>0</v>
      </c>
      <c r="K135" s="236">
        <f t="shared" si="7"/>
        <v>72</v>
      </c>
      <c r="L135" s="237">
        <f t="shared" si="8"/>
        <v>62.45</v>
      </c>
    </row>
    <row r="136" spans="1:12">
      <c r="A136" s="223" t="s">
        <v>4307</v>
      </c>
      <c r="B136" s="80" t="s">
        <v>703</v>
      </c>
      <c r="C136" s="80" t="s">
        <v>4315</v>
      </c>
      <c r="D136" s="107" t="s">
        <v>704</v>
      </c>
      <c r="E136" s="80">
        <v>1</v>
      </c>
      <c r="F136" s="133">
        <v>15.12</v>
      </c>
      <c r="G136" s="133">
        <v>17.5</v>
      </c>
      <c r="H136" s="222">
        <f t="shared" si="6"/>
        <v>17.5</v>
      </c>
      <c r="I136" s="236"/>
      <c r="J136" s="236">
        <v>0</v>
      </c>
      <c r="K136" s="236">
        <f t="shared" si="7"/>
        <v>17.5</v>
      </c>
      <c r="L136" s="237">
        <f t="shared" si="8"/>
        <v>15.12</v>
      </c>
    </row>
    <row r="137" spans="1:12">
      <c r="A137" s="223" t="s">
        <v>4307</v>
      </c>
      <c r="B137" s="80" t="s">
        <v>499</v>
      </c>
      <c r="C137" s="80" t="s">
        <v>4315</v>
      </c>
      <c r="D137" s="107" t="s">
        <v>500</v>
      </c>
      <c r="E137" s="80">
        <v>1</v>
      </c>
      <c r="F137" s="133">
        <v>33.75</v>
      </c>
      <c r="G137" s="133">
        <v>39</v>
      </c>
      <c r="H137" s="222">
        <f t="shared" si="6"/>
        <v>39</v>
      </c>
      <c r="I137" s="236"/>
      <c r="J137" s="236">
        <v>0</v>
      </c>
      <c r="K137" s="236">
        <f t="shared" si="7"/>
        <v>39</v>
      </c>
      <c r="L137" s="237">
        <f t="shared" si="8"/>
        <v>33.75</v>
      </c>
    </row>
    <row r="138" spans="1:12">
      <c r="A138" s="223" t="s">
        <v>4307</v>
      </c>
      <c r="B138" s="80" t="s">
        <v>3789</v>
      </c>
      <c r="C138" s="80" t="s">
        <v>4315</v>
      </c>
      <c r="D138" s="107" t="s">
        <v>3790</v>
      </c>
      <c r="E138" s="80">
        <v>5</v>
      </c>
      <c r="F138" s="133">
        <v>0.76</v>
      </c>
      <c r="G138" s="133">
        <v>1</v>
      </c>
      <c r="H138" s="222">
        <f t="shared" si="6"/>
        <v>5</v>
      </c>
      <c r="I138" s="236"/>
      <c r="J138" s="236">
        <v>0</v>
      </c>
      <c r="K138" s="236">
        <f t="shared" si="7"/>
        <v>5</v>
      </c>
      <c r="L138" s="237">
        <f t="shared" si="8"/>
        <v>3.8</v>
      </c>
    </row>
    <row r="139" spans="1:12">
      <c r="A139" s="223" t="s">
        <v>4307</v>
      </c>
      <c r="B139" s="80" t="s">
        <v>824</v>
      </c>
      <c r="C139" s="80" t="s">
        <v>4315</v>
      </c>
      <c r="D139" s="107" t="s">
        <v>825</v>
      </c>
      <c r="E139" s="80">
        <v>1</v>
      </c>
      <c r="F139" s="133">
        <v>30.04</v>
      </c>
      <c r="G139" s="133">
        <v>34.75</v>
      </c>
      <c r="H139" s="222">
        <f t="shared" si="6"/>
        <v>34.75</v>
      </c>
      <c r="I139" s="236"/>
      <c r="J139" s="236">
        <v>0</v>
      </c>
      <c r="K139" s="236">
        <f t="shared" si="7"/>
        <v>34.75</v>
      </c>
      <c r="L139" s="237">
        <f t="shared" si="8"/>
        <v>30.04</v>
      </c>
    </row>
    <row r="140" spans="1:12">
      <c r="A140" s="223" t="s">
        <v>4307</v>
      </c>
      <c r="B140" s="80" t="s">
        <v>1122</v>
      </c>
      <c r="C140" s="80" t="s">
        <v>4315</v>
      </c>
      <c r="D140" s="107" t="s">
        <v>1123</v>
      </c>
      <c r="E140" s="80">
        <v>1</v>
      </c>
      <c r="F140" s="133">
        <v>6.67</v>
      </c>
      <c r="G140" s="133">
        <v>9.5</v>
      </c>
      <c r="H140" s="222">
        <f t="shared" si="6"/>
        <v>9.5</v>
      </c>
      <c r="I140" s="236"/>
      <c r="J140" s="236">
        <v>0</v>
      </c>
      <c r="K140" s="236">
        <f t="shared" si="7"/>
        <v>9.5</v>
      </c>
      <c r="L140" s="237">
        <f t="shared" si="8"/>
        <v>6.67</v>
      </c>
    </row>
    <row r="141" spans="1:12">
      <c r="A141" s="223" t="s">
        <v>4307</v>
      </c>
      <c r="B141" s="80" t="s">
        <v>3533</v>
      </c>
      <c r="C141" s="80" t="s">
        <v>4315</v>
      </c>
      <c r="D141" s="107" t="s">
        <v>3534</v>
      </c>
      <c r="E141" s="80">
        <v>2</v>
      </c>
      <c r="F141" s="133">
        <v>18.2</v>
      </c>
      <c r="G141" s="133">
        <v>21</v>
      </c>
      <c r="H141" s="222">
        <f t="shared" si="6"/>
        <v>42</v>
      </c>
      <c r="I141" s="236"/>
      <c r="J141" s="236">
        <v>0</v>
      </c>
      <c r="K141" s="236">
        <f t="shared" si="7"/>
        <v>42</v>
      </c>
      <c r="L141" s="237">
        <f t="shared" si="8"/>
        <v>36.4</v>
      </c>
    </row>
    <row r="142" spans="1:12">
      <c r="A142" s="223" t="s">
        <v>4307</v>
      </c>
      <c r="B142" s="80" t="s">
        <v>3537</v>
      </c>
      <c r="C142" s="80" t="s">
        <v>4315</v>
      </c>
      <c r="D142" s="107" t="s">
        <v>3538</v>
      </c>
      <c r="E142" s="80">
        <v>1</v>
      </c>
      <c r="F142" s="133">
        <v>22.7</v>
      </c>
      <c r="G142" s="133">
        <v>26.25</v>
      </c>
      <c r="H142" s="222">
        <f t="shared" si="6"/>
        <v>26.25</v>
      </c>
      <c r="I142" s="236"/>
      <c r="J142" s="236">
        <v>0</v>
      </c>
      <c r="K142" s="236">
        <f t="shared" si="7"/>
        <v>26.25</v>
      </c>
      <c r="L142" s="237">
        <f t="shared" si="8"/>
        <v>22.7</v>
      </c>
    </row>
    <row r="143" spans="1:12">
      <c r="A143" s="223" t="s">
        <v>4307</v>
      </c>
      <c r="B143" s="80" t="s">
        <v>4106</v>
      </c>
      <c r="C143" s="80" t="s">
        <v>4315</v>
      </c>
      <c r="D143" s="107" t="s">
        <v>4107</v>
      </c>
      <c r="E143" s="80">
        <v>1</v>
      </c>
      <c r="F143" s="133">
        <v>118.16</v>
      </c>
      <c r="G143" s="133">
        <v>136</v>
      </c>
      <c r="H143" s="222">
        <f t="shared" si="6"/>
        <v>136</v>
      </c>
      <c r="I143" s="236"/>
      <c r="J143" s="236">
        <v>0</v>
      </c>
      <c r="K143" s="236">
        <f t="shared" si="7"/>
        <v>136</v>
      </c>
      <c r="L143" s="237">
        <f t="shared" si="8"/>
        <v>118.16</v>
      </c>
    </row>
    <row r="144" spans="1:12">
      <c r="A144" s="223" t="s">
        <v>4307</v>
      </c>
      <c r="B144" s="80" t="s">
        <v>1399</v>
      </c>
      <c r="C144" s="80" t="s">
        <v>4315</v>
      </c>
      <c r="D144" s="107" t="s">
        <v>1400</v>
      </c>
      <c r="E144" s="80">
        <v>1</v>
      </c>
      <c r="F144" s="133">
        <v>200.03</v>
      </c>
      <c r="G144" s="133">
        <v>230</v>
      </c>
      <c r="H144" s="222">
        <f t="shared" si="6"/>
        <v>230</v>
      </c>
      <c r="I144" s="236"/>
      <c r="J144" s="236">
        <v>0</v>
      </c>
      <c r="K144" s="236">
        <f t="shared" si="7"/>
        <v>230</v>
      </c>
      <c r="L144" s="237">
        <f t="shared" si="8"/>
        <v>200.03</v>
      </c>
    </row>
    <row r="145" spans="1:12">
      <c r="A145" s="224" t="s">
        <v>4307</v>
      </c>
      <c r="B145" s="225" t="s">
        <v>2118</v>
      </c>
      <c r="C145" s="225" t="s">
        <v>4315</v>
      </c>
      <c r="D145" s="226" t="s">
        <v>2119</v>
      </c>
      <c r="E145" s="225">
        <v>2</v>
      </c>
      <c r="F145" s="227"/>
      <c r="G145" s="227">
        <v>37</v>
      </c>
      <c r="H145" s="228">
        <f t="shared" si="6"/>
        <v>74</v>
      </c>
      <c r="I145" s="238"/>
      <c r="J145" s="238">
        <v>0</v>
      </c>
      <c r="K145" s="238">
        <f t="shared" si="7"/>
        <v>74</v>
      </c>
      <c r="L145" s="239">
        <f t="shared" si="8"/>
        <v>0</v>
      </c>
    </row>
    <row r="146" spans="1:12">
      <c r="A146" s="223" t="s">
        <v>4307</v>
      </c>
      <c r="B146" s="80" t="s">
        <v>3639</v>
      </c>
      <c r="C146" s="80" t="s">
        <v>4316</v>
      </c>
      <c r="D146" s="107" t="s">
        <v>3640</v>
      </c>
      <c r="E146" s="80">
        <v>6</v>
      </c>
      <c r="F146" s="133">
        <v>59.58</v>
      </c>
      <c r="G146" s="133">
        <v>67.5</v>
      </c>
      <c r="H146" s="222">
        <f t="shared" si="6"/>
        <v>405</v>
      </c>
      <c r="I146" s="236"/>
      <c r="J146" s="236">
        <v>0</v>
      </c>
      <c r="K146" s="236">
        <f t="shared" si="7"/>
        <v>405</v>
      </c>
      <c r="L146" s="237">
        <f t="shared" si="8"/>
        <v>357.48</v>
      </c>
    </row>
    <row r="147" spans="1:12">
      <c r="A147" s="223" t="s">
        <v>4307</v>
      </c>
      <c r="B147" s="80" t="s">
        <v>1090</v>
      </c>
      <c r="C147" s="80" t="s">
        <v>4316</v>
      </c>
      <c r="D147" s="107" t="s">
        <v>1091</v>
      </c>
      <c r="E147" s="80">
        <v>1</v>
      </c>
      <c r="F147" s="133">
        <v>60.25</v>
      </c>
      <c r="G147" s="133">
        <v>69.5</v>
      </c>
      <c r="H147" s="222">
        <f t="shared" si="6"/>
        <v>69.5</v>
      </c>
      <c r="I147" s="236"/>
      <c r="J147" s="236">
        <v>0</v>
      </c>
      <c r="K147" s="236">
        <f t="shared" si="7"/>
        <v>69.5</v>
      </c>
      <c r="L147" s="237">
        <f t="shared" si="8"/>
        <v>60.25</v>
      </c>
    </row>
    <row r="148" spans="1:12">
      <c r="A148" s="223" t="s">
        <v>4307</v>
      </c>
      <c r="B148" s="80" t="s">
        <v>795</v>
      </c>
      <c r="C148" s="80" t="s">
        <v>4316</v>
      </c>
      <c r="D148" s="107" t="s">
        <v>796</v>
      </c>
      <c r="E148" s="80">
        <v>1</v>
      </c>
      <c r="F148" s="133">
        <v>59.5</v>
      </c>
      <c r="G148" s="133">
        <v>68.5</v>
      </c>
      <c r="H148" s="222">
        <f t="shared" si="6"/>
        <v>68.5</v>
      </c>
      <c r="I148" s="236"/>
      <c r="J148" s="236">
        <v>0</v>
      </c>
      <c r="K148" s="236">
        <f t="shared" si="7"/>
        <v>68.5</v>
      </c>
      <c r="L148" s="237">
        <f t="shared" si="8"/>
        <v>59.5</v>
      </c>
    </row>
    <row r="149" spans="1:12">
      <c r="A149" s="223" t="s">
        <v>4307</v>
      </c>
      <c r="B149" s="80" t="s">
        <v>791</v>
      </c>
      <c r="C149" s="80" t="s">
        <v>4316</v>
      </c>
      <c r="D149" s="107" t="s">
        <v>792</v>
      </c>
      <c r="E149" s="80">
        <v>1</v>
      </c>
      <c r="F149" s="133">
        <v>59.5</v>
      </c>
      <c r="G149" s="133">
        <v>68.5</v>
      </c>
      <c r="H149" s="222">
        <f t="shared" si="6"/>
        <v>68.5</v>
      </c>
      <c r="I149" s="236"/>
      <c r="J149" s="236">
        <v>0</v>
      </c>
      <c r="K149" s="236">
        <f t="shared" si="7"/>
        <v>68.5</v>
      </c>
      <c r="L149" s="237">
        <f t="shared" si="8"/>
        <v>59.5</v>
      </c>
    </row>
    <row r="150" spans="1:12">
      <c r="A150" s="223" t="s">
        <v>4307</v>
      </c>
      <c r="B150" s="80" t="s">
        <v>1709</v>
      </c>
      <c r="C150" s="80" t="s">
        <v>4316</v>
      </c>
      <c r="D150" s="107" t="s">
        <v>1710</v>
      </c>
      <c r="E150" s="80">
        <v>1</v>
      </c>
      <c r="F150" s="133">
        <v>178.1</v>
      </c>
      <c r="G150" s="133">
        <v>205</v>
      </c>
      <c r="H150" s="222">
        <f t="shared" si="6"/>
        <v>205</v>
      </c>
      <c r="I150" s="236"/>
      <c r="J150" s="236">
        <v>0</v>
      </c>
      <c r="K150" s="236">
        <f t="shared" si="7"/>
        <v>205</v>
      </c>
      <c r="L150" s="237">
        <f t="shared" si="8"/>
        <v>178.1</v>
      </c>
    </row>
    <row r="151" spans="1:12">
      <c r="A151" s="223" t="s">
        <v>4307</v>
      </c>
      <c r="B151" s="80" t="s">
        <v>4061</v>
      </c>
      <c r="C151" s="80" t="s">
        <v>4316</v>
      </c>
      <c r="D151" s="107" t="s">
        <v>4062</v>
      </c>
      <c r="E151" s="80">
        <v>1</v>
      </c>
      <c r="F151" s="133">
        <v>89.91</v>
      </c>
      <c r="G151" s="133">
        <v>103.5</v>
      </c>
      <c r="H151" s="222">
        <f t="shared" si="6"/>
        <v>103.5</v>
      </c>
      <c r="I151" s="236"/>
      <c r="J151" s="236">
        <v>0</v>
      </c>
      <c r="K151" s="236">
        <f t="shared" si="7"/>
        <v>103.5</v>
      </c>
      <c r="L151" s="237">
        <f t="shared" si="8"/>
        <v>89.91</v>
      </c>
    </row>
    <row r="152" spans="1:12">
      <c r="A152" s="223" t="s">
        <v>4307</v>
      </c>
      <c r="B152" s="80" t="s">
        <v>3992</v>
      </c>
      <c r="C152" s="80" t="s">
        <v>4316</v>
      </c>
      <c r="D152" s="107" t="s">
        <v>4162</v>
      </c>
      <c r="E152" s="80">
        <v>1</v>
      </c>
      <c r="F152" s="133">
        <v>60.75</v>
      </c>
      <c r="G152" s="133">
        <v>67.25</v>
      </c>
      <c r="H152" s="222">
        <f t="shared" si="6"/>
        <v>67.25</v>
      </c>
      <c r="I152" s="236"/>
      <c r="J152" s="236">
        <v>0</v>
      </c>
      <c r="K152" s="236">
        <f t="shared" si="7"/>
        <v>67.25</v>
      </c>
      <c r="L152" s="237">
        <f t="shared" si="8"/>
        <v>60.75</v>
      </c>
    </row>
    <row r="153" spans="1:12">
      <c r="A153" s="223" t="s">
        <v>4307</v>
      </c>
      <c r="B153" s="80" t="s">
        <v>945</v>
      </c>
      <c r="C153" s="80" t="s">
        <v>4316</v>
      </c>
      <c r="D153" s="107" t="s">
        <v>946</v>
      </c>
      <c r="E153" s="80">
        <v>1</v>
      </c>
      <c r="F153" s="133">
        <v>12.77</v>
      </c>
      <c r="G153" s="133">
        <v>14.75</v>
      </c>
      <c r="H153" s="222">
        <f t="shared" si="6"/>
        <v>14.75</v>
      </c>
      <c r="I153" s="236"/>
      <c r="J153" s="236">
        <v>0</v>
      </c>
      <c r="K153" s="236">
        <f t="shared" si="7"/>
        <v>14.75</v>
      </c>
      <c r="L153" s="237">
        <f t="shared" si="8"/>
        <v>12.77</v>
      </c>
    </row>
    <row r="154" spans="1:12">
      <c r="A154" s="223" t="s">
        <v>4307</v>
      </c>
      <c r="B154" s="80" t="s">
        <v>542</v>
      </c>
      <c r="C154" s="80" t="s">
        <v>4317</v>
      </c>
      <c r="D154" s="107" t="s">
        <v>543</v>
      </c>
      <c r="E154" s="80">
        <v>1</v>
      </c>
      <c r="F154" s="133">
        <v>6.83</v>
      </c>
      <c r="G154" s="133">
        <v>9.75</v>
      </c>
      <c r="H154" s="222">
        <f t="shared" si="6"/>
        <v>9.75</v>
      </c>
      <c r="I154" s="236"/>
      <c r="J154" s="236">
        <v>0</v>
      </c>
      <c r="K154" s="236">
        <f t="shared" si="7"/>
        <v>9.75</v>
      </c>
      <c r="L154" s="237">
        <f t="shared" si="8"/>
        <v>6.83</v>
      </c>
    </row>
    <row r="155" spans="1:12">
      <c r="A155" s="223" t="s">
        <v>4307</v>
      </c>
      <c r="B155" s="80" t="s">
        <v>988</v>
      </c>
      <c r="C155" s="80" t="s">
        <v>4318</v>
      </c>
      <c r="D155" s="107" t="s">
        <v>989</v>
      </c>
      <c r="E155" s="80">
        <v>1</v>
      </c>
      <c r="F155" s="133">
        <v>85.25</v>
      </c>
      <c r="G155" s="133">
        <v>98.25</v>
      </c>
      <c r="H155" s="222">
        <f t="shared" si="6"/>
        <v>98.25</v>
      </c>
      <c r="I155" s="236"/>
      <c r="J155" s="236">
        <v>0</v>
      </c>
      <c r="K155" s="236">
        <f t="shared" si="7"/>
        <v>98.25</v>
      </c>
      <c r="L155" s="237">
        <f t="shared" si="8"/>
        <v>85.25</v>
      </c>
    </row>
    <row r="156" spans="1:12">
      <c r="A156" s="223" t="s">
        <v>4307</v>
      </c>
      <c r="B156" s="80" t="s">
        <v>826</v>
      </c>
      <c r="C156" s="80" t="s">
        <v>4319</v>
      </c>
      <c r="D156" s="107" t="s">
        <v>827</v>
      </c>
      <c r="E156" s="80">
        <v>1</v>
      </c>
      <c r="F156" s="133">
        <v>54.05</v>
      </c>
      <c r="G156" s="133">
        <v>63</v>
      </c>
      <c r="H156" s="222">
        <f t="shared" si="6"/>
        <v>63</v>
      </c>
      <c r="I156" s="236"/>
      <c r="J156" s="236">
        <v>0</v>
      </c>
      <c r="K156" s="236">
        <f t="shared" si="7"/>
        <v>63</v>
      </c>
      <c r="L156" s="237">
        <f t="shared" si="8"/>
        <v>54.05</v>
      </c>
    </row>
    <row r="157" spans="1:12">
      <c r="A157" s="223" t="s">
        <v>4307</v>
      </c>
      <c r="B157" s="80" t="s">
        <v>3721</v>
      </c>
      <c r="C157" s="80" t="s">
        <v>4320</v>
      </c>
      <c r="D157" s="107" t="s">
        <v>3722</v>
      </c>
      <c r="E157" s="80">
        <v>1</v>
      </c>
      <c r="F157" s="133">
        <v>23.13</v>
      </c>
      <c r="G157" s="133">
        <v>30.25</v>
      </c>
      <c r="H157" s="222">
        <f t="shared" si="6"/>
        <v>30.25</v>
      </c>
      <c r="I157" s="236"/>
      <c r="J157" s="236">
        <v>0</v>
      </c>
      <c r="K157" s="236">
        <f t="shared" si="7"/>
        <v>30.25</v>
      </c>
      <c r="L157" s="237">
        <f t="shared" si="8"/>
        <v>23.13</v>
      </c>
    </row>
    <row r="158" spans="1:12">
      <c r="A158" s="223" t="s">
        <v>4307</v>
      </c>
      <c r="B158" s="80" t="s">
        <v>2665</v>
      </c>
      <c r="C158" s="80" t="s">
        <v>4321</v>
      </c>
      <c r="D158" s="107" t="s">
        <v>2666</v>
      </c>
      <c r="E158" s="80">
        <v>1</v>
      </c>
      <c r="F158" s="133">
        <v>18.25</v>
      </c>
      <c r="G158" s="133">
        <v>21</v>
      </c>
      <c r="H158" s="222">
        <f t="shared" si="6"/>
        <v>21</v>
      </c>
      <c r="I158" s="236"/>
      <c r="J158" s="236">
        <v>0</v>
      </c>
      <c r="K158" s="236">
        <f t="shared" si="7"/>
        <v>21</v>
      </c>
      <c r="L158" s="237">
        <f t="shared" si="8"/>
        <v>18.25</v>
      </c>
    </row>
    <row r="159" spans="1:12">
      <c r="A159" s="223" t="s">
        <v>4307</v>
      </c>
      <c r="B159" s="80" t="s">
        <v>1574</v>
      </c>
      <c r="C159" s="80" t="s">
        <v>4321</v>
      </c>
      <c r="D159" s="107" t="s">
        <v>1575</v>
      </c>
      <c r="E159" s="80">
        <v>1</v>
      </c>
      <c r="F159" s="133">
        <v>14</v>
      </c>
      <c r="G159" s="133">
        <v>16</v>
      </c>
      <c r="H159" s="222">
        <f t="shared" si="6"/>
        <v>16</v>
      </c>
      <c r="I159" s="236"/>
      <c r="J159" s="236">
        <v>0</v>
      </c>
      <c r="K159" s="236">
        <f t="shared" si="7"/>
        <v>16</v>
      </c>
      <c r="L159" s="237">
        <f t="shared" si="8"/>
        <v>14</v>
      </c>
    </row>
    <row r="160" spans="1:12">
      <c r="A160" s="223" t="s">
        <v>4307</v>
      </c>
      <c r="B160" s="80" t="s">
        <v>4074</v>
      </c>
      <c r="C160" s="80" t="s">
        <v>4321</v>
      </c>
      <c r="D160" s="107" t="s">
        <v>4075</v>
      </c>
      <c r="E160" s="80">
        <v>3</v>
      </c>
      <c r="F160" s="133">
        <v>0.76</v>
      </c>
      <c r="G160" s="133">
        <v>1</v>
      </c>
      <c r="H160" s="222">
        <f t="shared" si="6"/>
        <v>3</v>
      </c>
      <c r="I160" s="236"/>
      <c r="J160" s="236">
        <v>0</v>
      </c>
      <c r="K160" s="236">
        <f t="shared" si="7"/>
        <v>3</v>
      </c>
      <c r="L160" s="237">
        <f t="shared" si="8"/>
        <v>2.2800000000000002</v>
      </c>
    </row>
    <row r="161" spans="1:12">
      <c r="A161" s="223" t="s">
        <v>4307</v>
      </c>
      <c r="B161" s="80" t="s">
        <v>2642</v>
      </c>
      <c r="C161" s="80" t="s">
        <v>4322</v>
      </c>
      <c r="D161" s="107" t="s">
        <v>2643</v>
      </c>
      <c r="E161" s="80">
        <v>2</v>
      </c>
      <c r="F161" s="133">
        <v>302.13</v>
      </c>
      <c r="G161" s="133">
        <v>362.75</v>
      </c>
      <c r="H161" s="222">
        <f t="shared" si="6"/>
        <v>725.5</v>
      </c>
      <c r="I161" s="236"/>
      <c r="J161" s="236">
        <v>0</v>
      </c>
      <c r="K161" s="236">
        <f t="shared" si="7"/>
        <v>725.5</v>
      </c>
      <c r="L161" s="237">
        <f t="shared" si="8"/>
        <v>604.26</v>
      </c>
    </row>
    <row r="162" spans="1:12">
      <c r="A162" s="223" t="s">
        <v>4307</v>
      </c>
      <c r="B162" s="80" t="s">
        <v>532</v>
      </c>
      <c r="C162" s="80" t="s">
        <v>4323</v>
      </c>
      <c r="D162" s="107" t="s">
        <v>533</v>
      </c>
      <c r="E162" s="80">
        <v>1</v>
      </c>
      <c r="F162" s="133">
        <v>18.649999999999999</v>
      </c>
      <c r="G162" s="133">
        <v>21.5</v>
      </c>
      <c r="H162" s="222">
        <f t="shared" si="6"/>
        <v>21.5</v>
      </c>
      <c r="I162" s="236"/>
      <c r="J162" s="236">
        <v>0</v>
      </c>
      <c r="K162" s="236">
        <f t="shared" si="7"/>
        <v>21.5</v>
      </c>
      <c r="L162" s="237">
        <f t="shared" si="8"/>
        <v>18.649999999999999</v>
      </c>
    </row>
    <row r="163" spans="1:12">
      <c r="A163" s="223" t="s">
        <v>4307</v>
      </c>
      <c r="B163" s="80" t="s">
        <v>772</v>
      </c>
      <c r="C163" s="80" t="s">
        <v>4324</v>
      </c>
      <c r="D163" s="107" t="s">
        <v>773</v>
      </c>
      <c r="E163" s="80">
        <v>1</v>
      </c>
      <c r="F163" s="133">
        <v>68</v>
      </c>
      <c r="G163" s="133">
        <v>78.25</v>
      </c>
      <c r="H163" s="222">
        <f t="shared" si="6"/>
        <v>78.25</v>
      </c>
      <c r="I163" s="236"/>
      <c r="J163" s="236">
        <v>0</v>
      </c>
      <c r="K163" s="236">
        <f t="shared" si="7"/>
        <v>78.25</v>
      </c>
      <c r="L163" s="237">
        <f t="shared" si="8"/>
        <v>68</v>
      </c>
    </row>
    <row r="164" spans="1:12">
      <c r="A164" s="223" t="s">
        <v>4307</v>
      </c>
      <c r="B164" s="80" t="s">
        <v>4074</v>
      </c>
      <c r="C164" s="80" t="s">
        <v>4325</v>
      </c>
      <c r="D164" s="107" t="s">
        <v>4075</v>
      </c>
      <c r="E164" s="80">
        <v>1</v>
      </c>
      <c r="F164" s="133">
        <v>0.76</v>
      </c>
      <c r="G164" s="133">
        <v>1</v>
      </c>
      <c r="H164" s="222">
        <f t="shared" si="6"/>
        <v>1</v>
      </c>
      <c r="I164" s="236"/>
      <c r="J164" s="236">
        <v>0</v>
      </c>
      <c r="K164" s="236">
        <f t="shared" si="7"/>
        <v>1</v>
      </c>
      <c r="L164" s="237">
        <f t="shared" si="8"/>
        <v>0.76</v>
      </c>
    </row>
    <row r="165" spans="1:12">
      <c r="A165" s="223" t="s">
        <v>4307</v>
      </c>
      <c r="B165" s="80" t="s">
        <v>1353</v>
      </c>
      <c r="C165" s="80" t="s">
        <v>4326</v>
      </c>
      <c r="D165" s="107" t="s">
        <v>1354</v>
      </c>
      <c r="E165" s="80">
        <v>1</v>
      </c>
      <c r="F165" s="133">
        <v>12.66</v>
      </c>
      <c r="G165" s="133">
        <v>14.25</v>
      </c>
      <c r="H165" s="222">
        <f t="shared" si="6"/>
        <v>14.25</v>
      </c>
      <c r="I165" s="236"/>
      <c r="J165" s="236">
        <v>0</v>
      </c>
      <c r="K165" s="236">
        <f t="shared" si="7"/>
        <v>14.25</v>
      </c>
      <c r="L165" s="237">
        <f t="shared" si="8"/>
        <v>12.66</v>
      </c>
    </row>
    <row r="166" spans="1:12">
      <c r="A166" s="223" t="s">
        <v>4307</v>
      </c>
      <c r="B166" s="80" t="s">
        <v>1419</v>
      </c>
      <c r="C166" s="80" t="s">
        <v>4327</v>
      </c>
      <c r="D166" s="107" t="s">
        <v>1420</v>
      </c>
      <c r="E166" s="80">
        <v>1</v>
      </c>
      <c r="F166" s="133">
        <v>13.32</v>
      </c>
      <c r="G166" s="133">
        <v>15.5</v>
      </c>
      <c r="H166" s="222">
        <f t="shared" si="6"/>
        <v>15.5</v>
      </c>
      <c r="I166" s="236"/>
      <c r="J166" s="236">
        <v>0</v>
      </c>
      <c r="K166" s="236">
        <f t="shared" si="7"/>
        <v>15.5</v>
      </c>
      <c r="L166" s="237">
        <f t="shared" si="8"/>
        <v>13.32</v>
      </c>
    </row>
    <row r="167" spans="1:12">
      <c r="A167" s="223" t="s">
        <v>4328</v>
      </c>
      <c r="B167" s="80" t="s">
        <v>2642</v>
      </c>
      <c r="C167" s="80" t="s">
        <v>4329</v>
      </c>
      <c r="D167" s="107" t="s">
        <v>2643</v>
      </c>
      <c r="E167" s="80">
        <v>4</v>
      </c>
      <c r="F167" s="133">
        <v>302.13</v>
      </c>
      <c r="G167" s="133">
        <v>362.75</v>
      </c>
      <c r="H167" s="222">
        <f t="shared" si="6"/>
        <v>1451</v>
      </c>
      <c r="I167" s="236"/>
      <c r="J167" s="236">
        <v>0</v>
      </c>
      <c r="K167" s="236">
        <f t="shared" si="7"/>
        <v>1451</v>
      </c>
      <c r="L167" s="237">
        <f t="shared" si="8"/>
        <v>1208.52</v>
      </c>
    </row>
    <row r="168" spans="1:12">
      <c r="A168" s="223" t="s">
        <v>4328</v>
      </c>
      <c r="B168" s="80" t="s">
        <v>2642</v>
      </c>
      <c r="C168" s="80" t="s">
        <v>4330</v>
      </c>
      <c r="D168" s="107" t="s">
        <v>2643</v>
      </c>
      <c r="E168" s="80">
        <v>4</v>
      </c>
      <c r="F168" s="133">
        <v>302.13</v>
      </c>
      <c r="G168" s="133">
        <v>362.75</v>
      </c>
      <c r="H168" s="222">
        <f t="shared" si="6"/>
        <v>1451</v>
      </c>
      <c r="I168" s="236"/>
      <c r="J168" s="236">
        <v>0</v>
      </c>
      <c r="K168" s="236">
        <f t="shared" si="7"/>
        <v>1451</v>
      </c>
      <c r="L168" s="237">
        <f t="shared" si="8"/>
        <v>1208.52</v>
      </c>
    </row>
    <row r="169" spans="1:12">
      <c r="A169" s="223" t="s">
        <v>4328</v>
      </c>
      <c r="B169" s="80" t="s">
        <v>540</v>
      </c>
      <c r="C169" s="80" t="s">
        <v>4331</v>
      </c>
      <c r="D169" s="107" t="s">
        <v>541</v>
      </c>
      <c r="E169" s="80">
        <v>1</v>
      </c>
      <c r="F169" s="133">
        <v>23.07</v>
      </c>
      <c r="G169" s="133">
        <v>26.75</v>
      </c>
      <c r="H169" s="222">
        <f t="shared" si="6"/>
        <v>26.75</v>
      </c>
      <c r="I169" s="236"/>
      <c r="J169" s="236">
        <v>0</v>
      </c>
      <c r="K169" s="236">
        <f t="shared" si="7"/>
        <v>26.75</v>
      </c>
      <c r="L169" s="237">
        <f t="shared" si="8"/>
        <v>23.07</v>
      </c>
    </row>
    <row r="170" spans="1:12">
      <c r="A170" s="223" t="s">
        <v>4328</v>
      </c>
      <c r="B170" s="80" t="s">
        <v>705</v>
      </c>
      <c r="C170" s="80" t="s">
        <v>4331</v>
      </c>
      <c r="D170" s="107" t="s">
        <v>706</v>
      </c>
      <c r="E170" s="80">
        <v>2</v>
      </c>
      <c r="F170" s="133">
        <v>31.6</v>
      </c>
      <c r="G170" s="133">
        <v>36.33</v>
      </c>
      <c r="H170" s="222">
        <f t="shared" si="6"/>
        <v>72.66</v>
      </c>
      <c r="I170" s="236"/>
      <c r="J170" s="236">
        <v>0</v>
      </c>
      <c r="K170" s="236">
        <f t="shared" si="7"/>
        <v>72.66</v>
      </c>
      <c r="L170" s="237">
        <f t="shared" si="8"/>
        <v>63.2</v>
      </c>
    </row>
    <row r="171" spans="1:12">
      <c r="A171" s="223" t="s">
        <v>4328</v>
      </c>
      <c r="B171" s="80" t="s">
        <v>639</v>
      </c>
      <c r="C171" s="80" t="s">
        <v>4331</v>
      </c>
      <c r="D171" s="107" t="s">
        <v>640</v>
      </c>
      <c r="E171" s="80">
        <v>1</v>
      </c>
      <c r="F171" s="133">
        <v>33.1</v>
      </c>
      <c r="G171" s="133">
        <v>38.25</v>
      </c>
      <c r="H171" s="222">
        <f t="shared" si="6"/>
        <v>38.25</v>
      </c>
      <c r="I171" s="236"/>
      <c r="J171" s="236">
        <v>0</v>
      </c>
      <c r="K171" s="236">
        <f t="shared" si="7"/>
        <v>38.25</v>
      </c>
      <c r="L171" s="237">
        <f t="shared" si="8"/>
        <v>33.1</v>
      </c>
    </row>
    <row r="172" spans="1:12">
      <c r="A172" s="223" t="s">
        <v>4328</v>
      </c>
      <c r="B172" s="80" t="s">
        <v>3639</v>
      </c>
      <c r="C172" s="80" t="s">
        <v>4331</v>
      </c>
      <c r="D172" s="107" t="s">
        <v>3640</v>
      </c>
      <c r="E172" s="80">
        <v>2</v>
      </c>
      <c r="F172" s="133">
        <v>59.58</v>
      </c>
      <c r="G172" s="133">
        <v>67.5</v>
      </c>
      <c r="H172" s="222">
        <f t="shared" si="6"/>
        <v>135</v>
      </c>
      <c r="I172" s="236"/>
      <c r="J172" s="236">
        <v>0</v>
      </c>
      <c r="K172" s="236">
        <f t="shared" si="7"/>
        <v>135</v>
      </c>
      <c r="L172" s="237">
        <f t="shared" si="8"/>
        <v>119.16</v>
      </c>
    </row>
    <row r="173" spans="1:12">
      <c r="A173" s="223" t="s">
        <v>4328</v>
      </c>
      <c r="B173" s="80" t="s">
        <v>3834</v>
      </c>
      <c r="C173" s="80" t="s">
        <v>4332</v>
      </c>
      <c r="D173" s="107" t="s">
        <v>3835</v>
      </c>
      <c r="E173" s="80">
        <v>1</v>
      </c>
      <c r="F173" s="133">
        <v>53.64</v>
      </c>
      <c r="G173" s="133">
        <v>61.75</v>
      </c>
      <c r="H173" s="222">
        <f t="shared" si="6"/>
        <v>61.75</v>
      </c>
      <c r="I173" s="236"/>
      <c r="J173" s="236">
        <v>0</v>
      </c>
      <c r="K173" s="236">
        <f t="shared" si="7"/>
        <v>61.75</v>
      </c>
      <c r="L173" s="237">
        <f t="shared" si="8"/>
        <v>53.64</v>
      </c>
    </row>
    <row r="174" spans="1:12">
      <c r="A174" s="223" t="s">
        <v>4328</v>
      </c>
      <c r="B174" s="80" t="s">
        <v>2868</v>
      </c>
      <c r="C174" s="80" t="s">
        <v>4332</v>
      </c>
      <c r="D174" s="107" t="s">
        <v>2869</v>
      </c>
      <c r="E174" s="80">
        <v>1</v>
      </c>
      <c r="F174" s="133">
        <v>19.66</v>
      </c>
      <c r="G174" s="133">
        <v>23</v>
      </c>
      <c r="H174" s="222">
        <f t="shared" si="6"/>
        <v>23</v>
      </c>
      <c r="I174" s="236"/>
      <c r="J174" s="236">
        <v>0</v>
      </c>
      <c r="K174" s="236">
        <f t="shared" si="7"/>
        <v>23</v>
      </c>
      <c r="L174" s="237">
        <f t="shared" si="8"/>
        <v>19.66</v>
      </c>
    </row>
    <row r="175" spans="1:12">
      <c r="A175" s="223" t="s">
        <v>4328</v>
      </c>
      <c r="B175" s="80" t="s">
        <v>550</v>
      </c>
      <c r="C175" s="80" t="s">
        <v>4333</v>
      </c>
      <c r="D175" s="107" t="s">
        <v>551</v>
      </c>
      <c r="E175" s="80">
        <v>1</v>
      </c>
      <c r="F175" s="133">
        <v>7.51</v>
      </c>
      <c r="G175" s="133">
        <v>8.75</v>
      </c>
      <c r="H175" s="222">
        <f t="shared" si="6"/>
        <v>8.75</v>
      </c>
      <c r="I175" s="236"/>
      <c r="J175" s="236">
        <v>0</v>
      </c>
      <c r="K175" s="236">
        <f t="shared" si="7"/>
        <v>8.75</v>
      </c>
      <c r="L175" s="237">
        <f t="shared" si="8"/>
        <v>7.51</v>
      </c>
    </row>
    <row r="176" spans="1:12">
      <c r="A176" s="223" t="s">
        <v>4328</v>
      </c>
      <c r="B176" s="80" t="s">
        <v>3657</v>
      </c>
      <c r="C176" s="80" t="s">
        <v>4333</v>
      </c>
      <c r="D176" s="107" t="s">
        <v>3658</v>
      </c>
      <c r="E176" s="80">
        <v>1</v>
      </c>
      <c r="F176" s="133">
        <v>22.73</v>
      </c>
      <c r="G176" s="133">
        <v>26.25</v>
      </c>
      <c r="H176" s="222">
        <f t="shared" si="6"/>
        <v>26.25</v>
      </c>
      <c r="I176" s="236"/>
      <c r="J176" s="236">
        <v>0</v>
      </c>
      <c r="K176" s="236">
        <f t="shared" si="7"/>
        <v>26.25</v>
      </c>
      <c r="L176" s="237">
        <f t="shared" si="8"/>
        <v>22.73</v>
      </c>
    </row>
    <row r="177" spans="1:12">
      <c r="A177" s="223" t="s">
        <v>4328</v>
      </c>
      <c r="B177" s="80" t="s">
        <v>3723</v>
      </c>
      <c r="C177" s="80" t="s">
        <v>4334</v>
      </c>
      <c r="D177" s="107" t="s">
        <v>3724</v>
      </c>
      <c r="E177" s="80">
        <v>1</v>
      </c>
      <c r="F177" s="133">
        <v>19.47</v>
      </c>
      <c r="G177" s="133">
        <v>23</v>
      </c>
      <c r="H177" s="222">
        <f t="shared" si="6"/>
        <v>23</v>
      </c>
      <c r="I177" s="236"/>
      <c r="J177" s="236">
        <v>0</v>
      </c>
      <c r="K177" s="236">
        <f t="shared" si="7"/>
        <v>23</v>
      </c>
      <c r="L177" s="237">
        <f t="shared" si="8"/>
        <v>19.47</v>
      </c>
    </row>
    <row r="178" spans="1:12">
      <c r="A178" s="223" t="s">
        <v>4328</v>
      </c>
      <c r="B178" s="80" t="s">
        <v>1427</v>
      </c>
      <c r="C178" s="80" t="s">
        <v>4335</v>
      </c>
      <c r="D178" s="107" t="s">
        <v>1428</v>
      </c>
      <c r="E178" s="80">
        <v>1</v>
      </c>
      <c r="F178" s="133">
        <v>13.32</v>
      </c>
      <c r="G178" s="133">
        <v>15.5</v>
      </c>
      <c r="H178" s="222">
        <f t="shared" si="6"/>
        <v>15.5</v>
      </c>
      <c r="I178" s="236"/>
      <c r="J178" s="236">
        <v>0</v>
      </c>
      <c r="K178" s="236">
        <f t="shared" si="7"/>
        <v>15.5</v>
      </c>
      <c r="L178" s="237">
        <f t="shared" si="8"/>
        <v>13.32</v>
      </c>
    </row>
    <row r="179" spans="1:12">
      <c r="A179" s="223" t="s">
        <v>4328</v>
      </c>
      <c r="B179" s="80" t="s">
        <v>1639</v>
      </c>
      <c r="C179" s="80" t="s">
        <v>4336</v>
      </c>
      <c r="D179" s="107" t="s">
        <v>1640</v>
      </c>
      <c r="E179" s="80">
        <v>2</v>
      </c>
      <c r="F179" s="133">
        <v>58.56</v>
      </c>
      <c r="G179" s="133">
        <v>67.5</v>
      </c>
      <c r="H179" s="222">
        <f t="shared" si="6"/>
        <v>135</v>
      </c>
      <c r="I179" s="236"/>
      <c r="J179" s="236">
        <v>0</v>
      </c>
      <c r="K179" s="236">
        <f t="shared" si="7"/>
        <v>135</v>
      </c>
      <c r="L179" s="237">
        <f t="shared" si="8"/>
        <v>117.12</v>
      </c>
    </row>
    <row r="180" spans="1:12">
      <c r="A180" s="223" t="s">
        <v>4328</v>
      </c>
      <c r="B180" s="80" t="s">
        <v>1499</v>
      </c>
      <c r="C180" s="80" t="s">
        <v>4336</v>
      </c>
      <c r="D180" s="107" t="s">
        <v>1500</v>
      </c>
      <c r="E180" s="80">
        <v>1</v>
      </c>
      <c r="F180" s="133">
        <v>25.8</v>
      </c>
      <c r="G180" s="133">
        <v>29.75</v>
      </c>
      <c r="H180" s="222">
        <f t="shared" si="6"/>
        <v>29.75</v>
      </c>
      <c r="I180" s="236"/>
      <c r="J180" s="236">
        <v>0</v>
      </c>
      <c r="K180" s="236">
        <f t="shared" si="7"/>
        <v>29.75</v>
      </c>
      <c r="L180" s="237">
        <f t="shared" si="8"/>
        <v>25.8</v>
      </c>
    </row>
    <row r="181" spans="1:12">
      <c r="A181" s="223" t="s">
        <v>4328</v>
      </c>
      <c r="B181" s="80" t="s">
        <v>2667</v>
      </c>
      <c r="C181" s="80" t="s">
        <v>4337</v>
      </c>
      <c r="D181" s="107" t="s">
        <v>2668</v>
      </c>
      <c r="E181" s="80">
        <v>1</v>
      </c>
      <c r="F181" s="133">
        <v>9.5</v>
      </c>
      <c r="G181" s="133">
        <v>11</v>
      </c>
      <c r="H181" s="222">
        <f t="shared" si="6"/>
        <v>11</v>
      </c>
      <c r="I181" s="236"/>
      <c r="J181" s="236">
        <v>0</v>
      </c>
      <c r="K181" s="236">
        <f t="shared" si="7"/>
        <v>11</v>
      </c>
      <c r="L181" s="237">
        <f t="shared" si="8"/>
        <v>9.5</v>
      </c>
    </row>
    <row r="182" spans="1:12">
      <c r="A182" s="223" t="s">
        <v>4328</v>
      </c>
      <c r="B182" s="80" t="s">
        <v>550</v>
      </c>
      <c r="C182" s="80" t="s">
        <v>4338</v>
      </c>
      <c r="D182" s="107" t="s">
        <v>551</v>
      </c>
      <c r="E182" s="80">
        <v>1</v>
      </c>
      <c r="F182" s="133">
        <v>7.51</v>
      </c>
      <c r="G182" s="133">
        <v>8.75</v>
      </c>
      <c r="H182" s="222">
        <f t="shared" si="6"/>
        <v>8.75</v>
      </c>
      <c r="I182" s="236"/>
      <c r="J182" s="236">
        <v>0</v>
      </c>
      <c r="K182" s="236">
        <f t="shared" si="7"/>
        <v>8.75</v>
      </c>
      <c r="L182" s="237">
        <f t="shared" si="8"/>
        <v>7.51</v>
      </c>
    </row>
    <row r="183" spans="1:12">
      <c r="A183" s="223" t="s">
        <v>4328</v>
      </c>
      <c r="B183" s="80" t="s">
        <v>719</v>
      </c>
      <c r="C183" s="80" t="s">
        <v>4338</v>
      </c>
      <c r="D183" s="107" t="s">
        <v>720</v>
      </c>
      <c r="E183" s="80">
        <v>1</v>
      </c>
      <c r="F183" s="133">
        <v>15.65</v>
      </c>
      <c r="G183" s="133">
        <v>18</v>
      </c>
      <c r="H183" s="222">
        <f t="shared" si="6"/>
        <v>18</v>
      </c>
      <c r="I183" s="236"/>
      <c r="J183" s="236">
        <v>0</v>
      </c>
      <c r="K183" s="236">
        <f t="shared" si="7"/>
        <v>18</v>
      </c>
      <c r="L183" s="237">
        <f t="shared" si="8"/>
        <v>15.65</v>
      </c>
    </row>
    <row r="184" spans="1:12">
      <c r="A184" s="223" t="s">
        <v>4328</v>
      </c>
      <c r="B184" s="80" t="s">
        <v>1259</v>
      </c>
      <c r="C184" s="80" t="s">
        <v>4339</v>
      </c>
      <c r="D184" s="107" t="s">
        <v>1260</v>
      </c>
      <c r="E184" s="80">
        <v>1</v>
      </c>
      <c r="F184" s="133">
        <v>58.84</v>
      </c>
      <c r="G184" s="133">
        <v>67.75</v>
      </c>
      <c r="H184" s="222">
        <f t="shared" si="6"/>
        <v>67.75</v>
      </c>
      <c r="I184" s="236"/>
      <c r="J184" s="236">
        <v>0</v>
      </c>
      <c r="K184" s="236">
        <f t="shared" si="7"/>
        <v>67.75</v>
      </c>
      <c r="L184" s="237">
        <f t="shared" si="8"/>
        <v>58.84</v>
      </c>
    </row>
    <row r="185" spans="1:12">
      <c r="A185" s="223" t="s">
        <v>4328</v>
      </c>
      <c r="B185" s="80" t="s">
        <v>719</v>
      </c>
      <c r="C185" s="80" t="s">
        <v>4339</v>
      </c>
      <c r="D185" s="107" t="s">
        <v>720</v>
      </c>
      <c r="E185" s="80">
        <v>1</v>
      </c>
      <c r="F185" s="133">
        <v>15.65</v>
      </c>
      <c r="G185" s="133">
        <v>18</v>
      </c>
      <c r="H185" s="222">
        <f t="shared" si="6"/>
        <v>18</v>
      </c>
      <c r="I185" s="236"/>
      <c r="J185" s="236">
        <v>0</v>
      </c>
      <c r="K185" s="236">
        <f t="shared" si="7"/>
        <v>18</v>
      </c>
      <c r="L185" s="237">
        <f t="shared" si="8"/>
        <v>15.65</v>
      </c>
    </row>
    <row r="186" spans="1:12">
      <c r="A186" s="223" t="s">
        <v>4328</v>
      </c>
      <c r="B186" s="80" t="s">
        <v>3723</v>
      </c>
      <c r="C186" s="80" t="s">
        <v>4339</v>
      </c>
      <c r="D186" s="107" t="s">
        <v>3724</v>
      </c>
      <c r="E186" s="80">
        <v>1</v>
      </c>
      <c r="F186" s="133">
        <v>19.47</v>
      </c>
      <c r="G186" s="133">
        <v>23</v>
      </c>
      <c r="H186" s="222">
        <f t="shared" si="6"/>
        <v>23</v>
      </c>
      <c r="I186" s="236"/>
      <c r="J186" s="236">
        <v>0</v>
      </c>
      <c r="K186" s="236">
        <f t="shared" si="7"/>
        <v>23</v>
      </c>
      <c r="L186" s="237">
        <f t="shared" si="8"/>
        <v>19.47</v>
      </c>
    </row>
    <row r="187" spans="1:12">
      <c r="A187" s="223" t="s">
        <v>4328</v>
      </c>
      <c r="B187" s="80" t="s">
        <v>3659</v>
      </c>
      <c r="C187" s="80" t="s">
        <v>4340</v>
      </c>
      <c r="D187" s="107" t="s">
        <v>3660</v>
      </c>
      <c r="E187" s="80">
        <v>2</v>
      </c>
      <c r="F187" s="133">
        <v>22.73</v>
      </c>
      <c r="G187" s="133">
        <v>26.25</v>
      </c>
      <c r="H187" s="222">
        <f t="shared" si="6"/>
        <v>52.5</v>
      </c>
      <c r="I187" s="236"/>
      <c r="J187" s="236">
        <v>0</v>
      </c>
      <c r="K187" s="236">
        <f t="shared" si="7"/>
        <v>52.5</v>
      </c>
      <c r="L187" s="237">
        <f t="shared" si="8"/>
        <v>45.46</v>
      </c>
    </row>
    <row r="188" spans="1:12">
      <c r="A188" s="223" t="s">
        <v>4328</v>
      </c>
      <c r="B188" s="80" t="s">
        <v>705</v>
      </c>
      <c r="C188" s="80" t="s">
        <v>4341</v>
      </c>
      <c r="D188" s="107" t="s">
        <v>706</v>
      </c>
      <c r="E188" s="80">
        <v>1</v>
      </c>
      <c r="F188" s="133">
        <v>31.6</v>
      </c>
      <c r="G188" s="133">
        <v>36.33</v>
      </c>
      <c r="H188" s="222">
        <f t="shared" si="6"/>
        <v>36.33</v>
      </c>
      <c r="I188" s="236"/>
      <c r="J188" s="236">
        <v>0</v>
      </c>
      <c r="K188" s="236">
        <f t="shared" si="7"/>
        <v>36.33</v>
      </c>
      <c r="L188" s="237">
        <f t="shared" si="8"/>
        <v>31.6</v>
      </c>
    </row>
    <row r="189" spans="1:12">
      <c r="A189" s="223" t="s">
        <v>4328</v>
      </c>
      <c r="B189" s="80" t="s">
        <v>550</v>
      </c>
      <c r="C189" s="80" t="s">
        <v>4342</v>
      </c>
      <c r="D189" s="107" t="s">
        <v>551</v>
      </c>
      <c r="E189" s="80">
        <v>2</v>
      </c>
      <c r="F189" s="133">
        <v>7.51</v>
      </c>
      <c r="G189" s="133">
        <v>8.75</v>
      </c>
      <c r="H189" s="222">
        <f t="shared" si="6"/>
        <v>17.5</v>
      </c>
      <c r="I189" s="236"/>
      <c r="J189" s="236">
        <v>0</v>
      </c>
      <c r="K189" s="236">
        <f t="shared" si="7"/>
        <v>17.5</v>
      </c>
      <c r="L189" s="237">
        <f t="shared" si="8"/>
        <v>15.02</v>
      </c>
    </row>
    <row r="190" spans="1:12">
      <c r="A190" s="223" t="s">
        <v>4328</v>
      </c>
      <c r="B190" s="80" t="s">
        <v>1983</v>
      </c>
      <c r="C190" s="80" t="s">
        <v>4343</v>
      </c>
      <c r="D190" s="107" t="s">
        <v>1984</v>
      </c>
      <c r="E190" s="80">
        <v>1</v>
      </c>
      <c r="F190" s="133">
        <v>49.2</v>
      </c>
      <c r="G190" s="133">
        <v>60</v>
      </c>
      <c r="H190" s="222">
        <f t="shared" si="6"/>
        <v>60</v>
      </c>
      <c r="I190" s="236"/>
      <c r="J190" s="236">
        <v>0</v>
      </c>
      <c r="K190" s="236">
        <f t="shared" si="7"/>
        <v>60</v>
      </c>
      <c r="L190" s="237">
        <f t="shared" si="8"/>
        <v>49.2</v>
      </c>
    </row>
    <row r="191" spans="1:12">
      <c r="A191" s="223" t="s">
        <v>4328</v>
      </c>
      <c r="B191" s="80" t="s">
        <v>1643</v>
      </c>
      <c r="C191" s="80" t="s">
        <v>4343</v>
      </c>
      <c r="D191" s="107" t="s">
        <v>1644</v>
      </c>
      <c r="E191" s="80">
        <v>1</v>
      </c>
      <c r="F191" s="133">
        <v>19.059999999999999</v>
      </c>
      <c r="G191" s="133">
        <v>22</v>
      </c>
      <c r="H191" s="222">
        <f t="shared" si="6"/>
        <v>22</v>
      </c>
      <c r="I191" s="236"/>
      <c r="J191" s="236">
        <v>0</v>
      </c>
      <c r="K191" s="236">
        <f t="shared" si="7"/>
        <v>22</v>
      </c>
      <c r="L191" s="237">
        <f t="shared" si="8"/>
        <v>19.059999999999999</v>
      </c>
    </row>
    <row r="192" spans="1:12">
      <c r="A192" s="223" t="s">
        <v>4344</v>
      </c>
      <c r="B192" s="80" t="s">
        <v>4074</v>
      </c>
      <c r="C192" s="80" t="s">
        <v>4345</v>
      </c>
      <c r="D192" s="107" t="s">
        <v>4075</v>
      </c>
      <c r="E192" s="80">
        <v>2</v>
      </c>
      <c r="F192" s="133">
        <v>0.76</v>
      </c>
      <c r="G192" s="133">
        <v>1</v>
      </c>
      <c r="H192" s="222">
        <f t="shared" si="6"/>
        <v>2</v>
      </c>
      <c r="I192" s="236"/>
      <c r="J192" s="236">
        <v>0</v>
      </c>
      <c r="K192" s="236">
        <f t="shared" si="7"/>
        <v>2</v>
      </c>
      <c r="L192" s="237">
        <f t="shared" si="8"/>
        <v>1.52</v>
      </c>
    </row>
    <row r="193" spans="1:12">
      <c r="A193" s="223" t="s">
        <v>4344</v>
      </c>
      <c r="B193" s="80" t="s">
        <v>1415</v>
      </c>
      <c r="C193" s="80" t="s">
        <v>4346</v>
      </c>
      <c r="D193" s="107" t="s">
        <v>1416</v>
      </c>
      <c r="E193" s="80">
        <v>5</v>
      </c>
      <c r="F193" s="133">
        <v>13.32</v>
      </c>
      <c r="G193" s="133">
        <v>15.5</v>
      </c>
      <c r="H193" s="222">
        <f t="shared" si="6"/>
        <v>77.5</v>
      </c>
      <c r="I193" s="236"/>
      <c r="J193" s="236">
        <v>0</v>
      </c>
      <c r="K193" s="236">
        <f t="shared" si="7"/>
        <v>77.5</v>
      </c>
      <c r="L193" s="237">
        <f t="shared" si="8"/>
        <v>66.599999999999994</v>
      </c>
    </row>
    <row r="194" spans="1:12">
      <c r="A194" s="223" t="s">
        <v>4344</v>
      </c>
      <c r="B194" s="80" t="s">
        <v>2698</v>
      </c>
      <c r="C194" s="80" t="s">
        <v>4347</v>
      </c>
      <c r="D194" s="107" t="s">
        <v>2699</v>
      </c>
      <c r="E194" s="80">
        <v>1</v>
      </c>
      <c r="F194" s="133">
        <v>46.5</v>
      </c>
      <c r="G194" s="133">
        <v>53.5</v>
      </c>
      <c r="H194" s="222">
        <f t="shared" si="6"/>
        <v>53.5</v>
      </c>
      <c r="I194" s="236"/>
      <c r="J194" s="236">
        <v>0</v>
      </c>
      <c r="K194" s="236">
        <f t="shared" si="7"/>
        <v>53.5</v>
      </c>
      <c r="L194" s="237">
        <f t="shared" si="8"/>
        <v>46.5</v>
      </c>
    </row>
    <row r="195" spans="1:12">
      <c r="A195" s="223" t="s">
        <v>4344</v>
      </c>
      <c r="B195" s="80" t="s">
        <v>2634</v>
      </c>
      <c r="C195" s="80" t="s">
        <v>4347</v>
      </c>
      <c r="D195" s="107" t="s">
        <v>2635</v>
      </c>
      <c r="E195" s="80">
        <v>1</v>
      </c>
      <c r="F195" s="133">
        <v>36.840000000000003</v>
      </c>
      <c r="G195" s="133">
        <v>42.5</v>
      </c>
      <c r="H195" s="222">
        <f t="shared" si="6"/>
        <v>42.5</v>
      </c>
      <c r="I195" s="236"/>
      <c r="J195" s="236">
        <v>0</v>
      </c>
      <c r="K195" s="236">
        <f t="shared" si="7"/>
        <v>42.5</v>
      </c>
      <c r="L195" s="237">
        <f t="shared" si="8"/>
        <v>36.840000000000003</v>
      </c>
    </row>
    <row r="196" spans="1:12">
      <c r="A196" s="223" t="s">
        <v>4344</v>
      </c>
      <c r="B196" s="80" t="s">
        <v>2542</v>
      </c>
      <c r="C196" s="80" t="s">
        <v>4347</v>
      </c>
      <c r="D196" s="107" t="s">
        <v>2543</v>
      </c>
      <c r="E196" s="80">
        <v>12</v>
      </c>
      <c r="F196" s="133">
        <v>5.25</v>
      </c>
      <c r="G196" s="133">
        <v>6</v>
      </c>
      <c r="H196" s="222">
        <f t="shared" ref="H196:H259" si="9">E196*G196</f>
        <v>72</v>
      </c>
      <c r="I196" s="236"/>
      <c r="J196" s="236">
        <v>0</v>
      </c>
      <c r="K196" s="236">
        <f t="shared" si="7"/>
        <v>72</v>
      </c>
      <c r="L196" s="237">
        <f t="shared" si="8"/>
        <v>63</v>
      </c>
    </row>
    <row r="197" spans="1:12">
      <c r="A197" s="223" t="s">
        <v>4344</v>
      </c>
      <c r="B197" s="80" t="s">
        <v>639</v>
      </c>
      <c r="C197" s="80" t="s">
        <v>4348</v>
      </c>
      <c r="D197" s="107" t="s">
        <v>640</v>
      </c>
      <c r="E197" s="80">
        <v>1</v>
      </c>
      <c r="F197" s="133">
        <v>33.1</v>
      </c>
      <c r="G197" s="133">
        <v>38.25</v>
      </c>
      <c r="H197" s="222">
        <f t="shared" si="9"/>
        <v>38.25</v>
      </c>
      <c r="I197" s="236"/>
      <c r="J197" s="236">
        <v>0</v>
      </c>
      <c r="K197" s="236">
        <f t="shared" ref="K197:K260" si="10">H197+I197-J197</f>
        <v>38.25</v>
      </c>
      <c r="L197" s="237">
        <f t="shared" ref="L197:L260" si="11">E197*F197</f>
        <v>33.1</v>
      </c>
    </row>
    <row r="198" spans="1:12">
      <c r="A198" s="223" t="s">
        <v>4344</v>
      </c>
      <c r="B198" s="80" t="s">
        <v>713</v>
      </c>
      <c r="C198" s="80" t="s">
        <v>4348</v>
      </c>
      <c r="D198" s="107" t="s">
        <v>714</v>
      </c>
      <c r="E198" s="80">
        <v>1</v>
      </c>
      <c r="F198" s="133">
        <v>31.6</v>
      </c>
      <c r="G198" s="133">
        <v>36.5</v>
      </c>
      <c r="H198" s="222">
        <f t="shared" si="9"/>
        <v>36.5</v>
      </c>
      <c r="I198" s="236"/>
      <c r="J198" s="236">
        <v>0</v>
      </c>
      <c r="K198" s="236">
        <f t="shared" si="10"/>
        <v>36.5</v>
      </c>
      <c r="L198" s="237">
        <f t="shared" si="11"/>
        <v>31.6</v>
      </c>
    </row>
    <row r="199" spans="1:12">
      <c r="A199" s="223" t="s">
        <v>4344</v>
      </c>
      <c r="B199" s="80" t="s">
        <v>705</v>
      </c>
      <c r="C199" s="80" t="s">
        <v>4348</v>
      </c>
      <c r="D199" s="107" t="s">
        <v>706</v>
      </c>
      <c r="E199" s="80">
        <v>1</v>
      </c>
      <c r="F199" s="133">
        <v>31.6</v>
      </c>
      <c r="G199" s="133">
        <v>36.33</v>
      </c>
      <c r="H199" s="222">
        <f t="shared" si="9"/>
        <v>36.33</v>
      </c>
      <c r="I199" s="236"/>
      <c r="J199" s="236">
        <v>0</v>
      </c>
      <c r="K199" s="236">
        <f t="shared" si="10"/>
        <v>36.33</v>
      </c>
      <c r="L199" s="237">
        <f t="shared" si="11"/>
        <v>31.6</v>
      </c>
    </row>
    <row r="200" spans="1:12">
      <c r="A200" s="223" t="s">
        <v>4344</v>
      </c>
      <c r="B200" s="80" t="s">
        <v>3639</v>
      </c>
      <c r="C200" s="80" t="s">
        <v>4348</v>
      </c>
      <c r="D200" s="107" t="s">
        <v>3640</v>
      </c>
      <c r="E200" s="80">
        <v>1</v>
      </c>
      <c r="F200" s="133">
        <v>59.58</v>
      </c>
      <c r="G200" s="133">
        <v>67.5</v>
      </c>
      <c r="H200" s="222">
        <f t="shared" si="9"/>
        <v>67.5</v>
      </c>
      <c r="I200" s="236"/>
      <c r="J200" s="236">
        <v>0</v>
      </c>
      <c r="K200" s="236">
        <f t="shared" si="10"/>
        <v>67.5</v>
      </c>
      <c r="L200" s="237">
        <f t="shared" si="11"/>
        <v>59.58</v>
      </c>
    </row>
    <row r="201" spans="1:12">
      <c r="A201" s="223" t="s">
        <v>4344</v>
      </c>
      <c r="B201" s="80" t="s">
        <v>1196</v>
      </c>
      <c r="C201" s="80" t="s">
        <v>4349</v>
      </c>
      <c r="D201" s="107" t="s">
        <v>1197</v>
      </c>
      <c r="E201" s="80">
        <v>1</v>
      </c>
      <c r="F201" s="133">
        <v>31.04</v>
      </c>
      <c r="G201" s="133">
        <v>37</v>
      </c>
      <c r="H201" s="222">
        <f t="shared" si="9"/>
        <v>37</v>
      </c>
      <c r="I201" s="236"/>
      <c r="J201" s="236">
        <v>0</v>
      </c>
      <c r="K201" s="236">
        <f t="shared" si="10"/>
        <v>37</v>
      </c>
      <c r="L201" s="237">
        <f t="shared" si="11"/>
        <v>31.04</v>
      </c>
    </row>
    <row r="202" spans="1:12">
      <c r="A202" s="223" t="s">
        <v>4344</v>
      </c>
      <c r="B202" s="80" t="s">
        <v>1750</v>
      </c>
      <c r="C202" s="80" t="s">
        <v>4350</v>
      </c>
      <c r="D202" s="107" t="s">
        <v>1751</v>
      </c>
      <c r="E202" s="80">
        <v>2</v>
      </c>
      <c r="F202" s="133">
        <v>62.8</v>
      </c>
      <c r="G202" s="133">
        <v>72.25</v>
      </c>
      <c r="H202" s="222">
        <f t="shared" si="9"/>
        <v>144.5</v>
      </c>
      <c r="I202" s="236"/>
      <c r="J202" s="236">
        <v>0</v>
      </c>
      <c r="K202" s="236">
        <f t="shared" si="10"/>
        <v>144.5</v>
      </c>
      <c r="L202" s="237">
        <f t="shared" si="11"/>
        <v>125.6</v>
      </c>
    </row>
    <row r="203" spans="1:12">
      <c r="A203" s="223" t="s">
        <v>4344</v>
      </c>
      <c r="B203" s="80" t="s">
        <v>2041</v>
      </c>
      <c r="C203" s="80" t="s">
        <v>4350</v>
      </c>
      <c r="D203" s="107" t="s">
        <v>2042</v>
      </c>
      <c r="E203" s="80">
        <v>2</v>
      </c>
      <c r="F203" s="133">
        <v>20.8</v>
      </c>
      <c r="G203" s="133">
        <v>24</v>
      </c>
      <c r="H203" s="222">
        <f t="shared" si="9"/>
        <v>48</v>
      </c>
      <c r="I203" s="236"/>
      <c r="J203" s="236">
        <v>0</v>
      </c>
      <c r="K203" s="236">
        <f t="shared" si="10"/>
        <v>48</v>
      </c>
      <c r="L203" s="237">
        <f t="shared" si="11"/>
        <v>41.6</v>
      </c>
    </row>
    <row r="204" spans="1:12">
      <c r="A204" s="223" t="s">
        <v>4344</v>
      </c>
      <c r="B204" s="80" t="s">
        <v>1870</v>
      </c>
      <c r="C204" s="80" t="s">
        <v>4350</v>
      </c>
      <c r="D204" s="107" t="s">
        <v>1871</v>
      </c>
      <c r="E204" s="80">
        <v>2</v>
      </c>
      <c r="F204" s="133">
        <v>35.75</v>
      </c>
      <c r="G204" s="133">
        <v>41.25</v>
      </c>
      <c r="H204" s="222">
        <f t="shared" si="9"/>
        <v>82.5</v>
      </c>
      <c r="I204" s="236"/>
      <c r="J204" s="236">
        <v>0</v>
      </c>
      <c r="K204" s="236">
        <f t="shared" si="10"/>
        <v>82.5</v>
      </c>
      <c r="L204" s="237">
        <f t="shared" si="11"/>
        <v>71.5</v>
      </c>
    </row>
    <row r="205" spans="1:12">
      <c r="A205" s="223" t="s">
        <v>4344</v>
      </c>
      <c r="B205" s="80" t="s">
        <v>1732</v>
      </c>
      <c r="C205" s="80" t="s">
        <v>4350</v>
      </c>
      <c r="D205" s="107" t="s">
        <v>1733</v>
      </c>
      <c r="E205" s="80">
        <v>3</v>
      </c>
      <c r="F205" s="133">
        <v>53.81</v>
      </c>
      <c r="G205" s="133">
        <v>62</v>
      </c>
      <c r="H205" s="222">
        <f t="shared" si="9"/>
        <v>186</v>
      </c>
      <c r="I205" s="236"/>
      <c r="J205" s="236">
        <v>0</v>
      </c>
      <c r="K205" s="236">
        <f t="shared" si="10"/>
        <v>186</v>
      </c>
      <c r="L205" s="237">
        <f t="shared" si="11"/>
        <v>161.43</v>
      </c>
    </row>
    <row r="206" spans="1:12">
      <c r="A206" s="223" t="s">
        <v>4344</v>
      </c>
      <c r="B206" s="80" t="s">
        <v>1932</v>
      </c>
      <c r="C206" s="80" t="s">
        <v>4350</v>
      </c>
      <c r="D206" s="107" t="s">
        <v>1933</v>
      </c>
      <c r="E206" s="80">
        <v>5</v>
      </c>
      <c r="F206" s="133">
        <v>65.95</v>
      </c>
      <c r="G206" s="133">
        <v>76</v>
      </c>
      <c r="H206" s="222">
        <f t="shared" si="9"/>
        <v>380</v>
      </c>
      <c r="I206" s="236"/>
      <c r="J206" s="236">
        <v>0</v>
      </c>
      <c r="K206" s="236">
        <f t="shared" si="10"/>
        <v>380</v>
      </c>
      <c r="L206" s="237">
        <f t="shared" si="11"/>
        <v>329.75</v>
      </c>
    </row>
    <row r="207" spans="1:12">
      <c r="A207" s="223" t="s">
        <v>4344</v>
      </c>
      <c r="B207" s="80" t="s">
        <v>1958</v>
      </c>
      <c r="C207" s="80" t="s">
        <v>4350</v>
      </c>
      <c r="D207" s="107" t="s">
        <v>1959</v>
      </c>
      <c r="E207" s="80">
        <v>1</v>
      </c>
      <c r="F207" s="133">
        <v>90.24</v>
      </c>
      <c r="G207" s="133">
        <v>103.75</v>
      </c>
      <c r="H207" s="222">
        <f t="shared" si="9"/>
        <v>103.75</v>
      </c>
      <c r="I207" s="236"/>
      <c r="J207" s="236">
        <v>0</v>
      </c>
      <c r="K207" s="236">
        <f t="shared" si="10"/>
        <v>103.75</v>
      </c>
      <c r="L207" s="237">
        <f t="shared" si="11"/>
        <v>90.24</v>
      </c>
    </row>
    <row r="208" spans="1:12">
      <c r="A208" s="223" t="s">
        <v>4344</v>
      </c>
      <c r="B208" s="80" t="s">
        <v>1840</v>
      </c>
      <c r="C208" s="80" t="s">
        <v>4350</v>
      </c>
      <c r="D208" s="107" t="s">
        <v>1841</v>
      </c>
      <c r="E208" s="80">
        <v>4</v>
      </c>
      <c r="F208" s="133">
        <v>29.95</v>
      </c>
      <c r="G208" s="133">
        <v>34.5</v>
      </c>
      <c r="H208" s="222">
        <f t="shared" si="9"/>
        <v>138</v>
      </c>
      <c r="I208" s="236"/>
      <c r="J208" s="236">
        <v>0</v>
      </c>
      <c r="K208" s="236">
        <f t="shared" si="10"/>
        <v>138</v>
      </c>
      <c r="L208" s="237">
        <f t="shared" si="11"/>
        <v>119.8</v>
      </c>
    </row>
    <row r="209" spans="1:12">
      <c r="A209" s="223" t="s">
        <v>4344</v>
      </c>
      <c r="B209" s="80" t="s">
        <v>2037</v>
      </c>
      <c r="C209" s="80" t="s">
        <v>4350</v>
      </c>
      <c r="D209" s="107" t="s">
        <v>2038</v>
      </c>
      <c r="E209" s="80">
        <v>16</v>
      </c>
      <c r="F209" s="133">
        <v>4.74</v>
      </c>
      <c r="G209" s="133">
        <v>5.5</v>
      </c>
      <c r="H209" s="222">
        <f t="shared" si="9"/>
        <v>88</v>
      </c>
      <c r="I209" s="236"/>
      <c r="J209" s="236">
        <v>0</v>
      </c>
      <c r="K209" s="236">
        <f t="shared" si="10"/>
        <v>88</v>
      </c>
      <c r="L209" s="237">
        <f t="shared" si="11"/>
        <v>75.84</v>
      </c>
    </row>
    <row r="210" spans="1:12">
      <c r="A210" s="223" t="s">
        <v>4344</v>
      </c>
      <c r="B210" s="80" t="s">
        <v>2126</v>
      </c>
      <c r="C210" s="80" t="s">
        <v>4350</v>
      </c>
      <c r="D210" s="107" t="s">
        <v>2127</v>
      </c>
      <c r="E210" s="80">
        <v>2</v>
      </c>
      <c r="F210" s="133">
        <v>17.899999999999999</v>
      </c>
      <c r="G210" s="133">
        <v>20.75</v>
      </c>
      <c r="H210" s="222">
        <f t="shared" si="9"/>
        <v>41.5</v>
      </c>
      <c r="I210" s="236"/>
      <c r="J210" s="236">
        <v>0</v>
      </c>
      <c r="K210" s="236">
        <f t="shared" si="10"/>
        <v>41.5</v>
      </c>
      <c r="L210" s="237">
        <f t="shared" si="11"/>
        <v>35.799999999999997</v>
      </c>
    </row>
    <row r="211" spans="1:12">
      <c r="A211" s="223" t="s">
        <v>4344</v>
      </c>
      <c r="B211" s="80" t="s">
        <v>1511</v>
      </c>
      <c r="C211" s="80" t="s">
        <v>4351</v>
      </c>
      <c r="D211" s="107" t="s">
        <v>1512</v>
      </c>
      <c r="E211" s="80">
        <v>6</v>
      </c>
      <c r="F211" s="133">
        <v>29.17</v>
      </c>
      <c r="G211" s="133">
        <v>33.75</v>
      </c>
      <c r="H211" s="222">
        <f t="shared" si="9"/>
        <v>202.5</v>
      </c>
      <c r="I211" s="236"/>
      <c r="J211" s="236">
        <v>0</v>
      </c>
      <c r="K211" s="236">
        <f t="shared" si="10"/>
        <v>202.5</v>
      </c>
      <c r="L211" s="237">
        <f t="shared" si="11"/>
        <v>175.02</v>
      </c>
    </row>
    <row r="212" spans="1:12">
      <c r="A212" s="223" t="s">
        <v>4344</v>
      </c>
      <c r="B212" s="80" t="s">
        <v>1497</v>
      </c>
      <c r="C212" s="80" t="s">
        <v>4351</v>
      </c>
      <c r="D212" s="107" t="s">
        <v>1498</v>
      </c>
      <c r="E212" s="80">
        <v>2</v>
      </c>
      <c r="F212" s="133">
        <v>48.6</v>
      </c>
      <c r="G212" s="133">
        <v>56</v>
      </c>
      <c r="H212" s="222">
        <f t="shared" si="9"/>
        <v>112</v>
      </c>
      <c r="I212" s="236"/>
      <c r="J212" s="236">
        <v>0</v>
      </c>
      <c r="K212" s="236">
        <f t="shared" si="10"/>
        <v>112</v>
      </c>
      <c r="L212" s="237">
        <f t="shared" si="11"/>
        <v>97.2</v>
      </c>
    </row>
    <row r="213" spans="1:12">
      <c r="A213" s="223" t="s">
        <v>4344</v>
      </c>
      <c r="B213" s="80" t="s">
        <v>1732</v>
      </c>
      <c r="C213" s="80" t="s">
        <v>4351</v>
      </c>
      <c r="D213" s="107" t="s">
        <v>1733</v>
      </c>
      <c r="E213" s="80">
        <v>2</v>
      </c>
      <c r="F213" s="133">
        <v>53.81</v>
      </c>
      <c r="G213" s="133">
        <v>62</v>
      </c>
      <c r="H213" s="222">
        <f t="shared" si="9"/>
        <v>124</v>
      </c>
      <c r="I213" s="236"/>
      <c r="J213" s="236">
        <v>0</v>
      </c>
      <c r="K213" s="236">
        <f t="shared" si="10"/>
        <v>124</v>
      </c>
      <c r="L213" s="237">
        <f t="shared" si="11"/>
        <v>107.62</v>
      </c>
    </row>
    <row r="214" spans="1:12">
      <c r="A214" s="223" t="s">
        <v>4344</v>
      </c>
      <c r="B214" s="80" t="s">
        <v>1932</v>
      </c>
      <c r="C214" s="80" t="s">
        <v>4351</v>
      </c>
      <c r="D214" s="107" t="s">
        <v>1933</v>
      </c>
      <c r="E214" s="80">
        <v>2</v>
      </c>
      <c r="F214" s="133">
        <v>65.95</v>
      </c>
      <c r="G214" s="133">
        <v>76</v>
      </c>
      <c r="H214" s="222">
        <f t="shared" si="9"/>
        <v>152</v>
      </c>
      <c r="I214" s="236"/>
      <c r="J214" s="236">
        <v>0</v>
      </c>
      <c r="K214" s="236">
        <f t="shared" si="10"/>
        <v>152</v>
      </c>
      <c r="L214" s="237">
        <f t="shared" si="11"/>
        <v>131.9</v>
      </c>
    </row>
    <row r="215" spans="1:12">
      <c r="A215" s="223" t="s">
        <v>4344</v>
      </c>
      <c r="B215" s="80" t="s">
        <v>2489</v>
      </c>
      <c r="C215" s="80" t="s">
        <v>4352</v>
      </c>
      <c r="D215" s="107" t="s">
        <v>2490</v>
      </c>
      <c r="E215" s="80">
        <v>1</v>
      </c>
      <c r="F215" s="133">
        <v>78.400000000000006</v>
      </c>
      <c r="G215" s="133">
        <v>90.25</v>
      </c>
      <c r="H215" s="222">
        <f t="shared" si="9"/>
        <v>90.25</v>
      </c>
      <c r="I215" s="236"/>
      <c r="J215" s="236">
        <v>0</v>
      </c>
      <c r="K215" s="236">
        <f t="shared" si="10"/>
        <v>90.25</v>
      </c>
      <c r="L215" s="237">
        <f t="shared" si="11"/>
        <v>78.400000000000006</v>
      </c>
    </row>
    <row r="216" spans="1:12">
      <c r="A216" s="223" t="s">
        <v>4344</v>
      </c>
      <c r="B216" s="80" t="s">
        <v>608</v>
      </c>
      <c r="C216" s="80" t="s">
        <v>4353</v>
      </c>
      <c r="D216" s="107" t="s">
        <v>609</v>
      </c>
      <c r="E216" s="80">
        <v>1</v>
      </c>
      <c r="F216" s="133">
        <v>36.58</v>
      </c>
      <c r="G216" s="133">
        <v>42.25</v>
      </c>
      <c r="H216" s="222">
        <f t="shared" si="9"/>
        <v>42.25</v>
      </c>
      <c r="I216" s="236"/>
      <c r="J216" s="236">
        <v>0</v>
      </c>
      <c r="K216" s="236">
        <f t="shared" si="10"/>
        <v>42.25</v>
      </c>
      <c r="L216" s="237">
        <f t="shared" si="11"/>
        <v>36.58</v>
      </c>
    </row>
    <row r="217" spans="1:12">
      <c r="A217" s="223" t="s">
        <v>4344</v>
      </c>
      <c r="B217" s="80" t="s">
        <v>3627</v>
      </c>
      <c r="C217" s="80" t="s">
        <v>4354</v>
      </c>
      <c r="D217" s="107" t="s">
        <v>3628</v>
      </c>
      <c r="E217" s="80">
        <v>1</v>
      </c>
      <c r="F217" s="133">
        <v>59.58</v>
      </c>
      <c r="G217" s="133">
        <v>67.5</v>
      </c>
      <c r="H217" s="222">
        <f t="shared" si="9"/>
        <v>67.5</v>
      </c>
      <c r="I217" s="236"/>
      <c r="J217" s="236">
        <v>0</v>
      </c>
      <c r="K217" s="236">
        <f t="shared" si="10"/>
        <v>67.5</v>
      </c>
      <c r="L217" s="237">
        <f t="shared" si="11"/>
        <v>59.58</v>
      </c>
    </row>
    <row r="218" spans="1:12">
      <c r="A218" s="223" t="s">
        <v>4344</v>
      </c>
      <c r="B218" s="80" t="s">
        <v>2449</v>
      </c>
      <c r="C218" s="80" t="s">
        <v>4355</v>
      </c>
      <c r="D218" s="107" t="s">
        <v>2450</v>
      </c>
      <c r="E218" s="80">
        <v>1</v>
      </c>
      <c r="F218" s="133">
        <v>62.45</v>
      </c>
      <c r="G218" s="133">
        <v>72</v>
      </c>
      <c r="H218" s="222">
        <f t="shared" si="9"/>
        <v>72</v>
      </c>
      <c r="I218" s="236"/>
      <c r="J218" s="236">
        <v>0</v>
      </c>
      <c r="K218" s="236">
        <f t="shared" si="10"/>
        <v>72</v>
      </c>
      <c r="L218" s="237">
        <f t="shared" si="11"/>
        <v>62.45</v>
      </c>
    </row>
    <row r="219" spans="1:12">
      <c r="A219" s="223" t="s">
        <v>4344</v>
      </c>
      <c r="B219" s="80" t="s">
        <v>4047</v>
      </c>
      <c r="C219" s="80" t="s">
        <v>4356</v>
      </c>
      <c r="D219" s="107" t="s">
        <v>4195</v>
      </c>
      <c r="E219" s="80">
        <v>6</v>
      </c>
      <c r="F219" s="133">
        <v>50.8</v>
      </c>
      <c r="G219" s="133">
        <v>58.5</v>
      </c>
      <c r="H219" s="222">
        <f t="shared" si="9"/>
        <v>351</v>
      </c>
      <c r="I219" s="236"/>
      <c r="J219" s="236">
        <v>0</v>
      </c>
      <c r="K219" s="236">
        <f t="shared" si="10"/>
        <v>351</v>
      </c>
      <c r="L219" s="237">
        <f t="shared" si="11"/>
        <v>304.79999999999995</v>
      </c>
    </row>
    <row r="220" spans="1:12">
      <c r="A220" s="223" t="s">
        <v>4344</v>
      </c>
      <c r="B220" s="80" t="s">
        <v>1732</v>
      </c>
      <c r="C220" s="80" t="s">
        <v>4356</v>
      </c>
      <c r="D220" s="107" t="s">
        <v>1733</v>
      </c>
      <c r="E220" s="80">
        <v>1</v>
      </c>
      <c r="F220" s="133">
        <v>53.81</v>
      </c>
      <c r="G220" s="133">
        <v>62</v>
      </c>
      <c r="H220" s="222">
        <f t="shared" si="9"/>
        <v>62</v>
      </c>
      <c r="I220" s="236"/>
      <c r="J220" s="236">
        <v>0</v>
      </c>
      <c r="K220" s="236">
        <f t="shared" si="10"/>
        <v>62</v>
      </c>
      <c r="L220" s="237">
        <f t="shared" si="11"/>
        <v>53.81</v>
      </c>
    </row>
    <row r="221" spans="1:12">
      <c r="A221" s="223" t="s">
        <v>4344</v>
      </c>
      <c r="B221" s="80" t="s">
        <v>2007</v>
      </c>
      <c r="C221" s="80" t="s">
        <v>4356</v>
      </c>
      <c r="D221" s="107" t="s">
        <v>2008</v>
      </c>
      <c r="E221" s="80">
        <v>2</v>
      </c>
      <c r="F221" s="133">
        <v>51.97</v>
      </c>
      <c r="G221" s="133">
        <v>60</v>
      </c>
      <c r="H221" s="222">
        <f t="shared" si="9"/>
        <v>120</v>
      </c>
      <c r="I221" s="236"/>
      <c r="J221" s="236">
        <v>0</v>
      </c>
      <c r="K221" s="236">
        <f t="shared" si="10"/>
        <v>120</v>
      </c>
      <c r="L221" s="237">
        <f t="shared" si="11"/>
        <v>103.94</v>
      </c>
    </row>
    <row r="222" spans="1:12">
      <c r="A222" s="223" t="s">
        <v>4344</v>
      </c>
      <c r="B222" s="80" t="s">
        <v>2075</v>
      </c>
      <c r="C222" s="80" t="s">
        <v>4356</v>
      </c>
      <c r="D222" s="107" t="s">
        <v>2076</v>
      </c>
      <c r="E222" s="80">
        <v>1</v>
      </c>
      <c r="F222" s="133">
        <v>64.489999999999995</v>
      </c>
      <c r="G222" s="133">
        <v>74.25</v>
      </c>
      <c r="H222" s="222">
        <f t="shared" si="9"/>
        <v>74.25</v>
      </c>
      <c r="I222" s="236"/>
      <c r="J222" s="236">
        <v>0</v>
      </c>
      <c r="K222" s="236">
        <f t="shared" si="10"/>
        <v>74.25</v>
      </c>
      <c r="L222" s="237">
        <f t="shared" si="11"/>
        <v>64.489999999999995</v>
      </c>
    </row>
    <row r="223" spans="1:12">
      <c r="A223" s="223" t="s">
        <v>4344</v>
      </c>
      <c r="B223" s="80" t="s">
        <v>1681</v>
      </c>
      <c r="C223" s="80" t="s">
        <v>4356</v>
      </c>
      <c r="D223" s="107" t="s">
        <v>1682</v>
      </c>
      <c r="E223" s="80">
        <v>1</v>
      </c>
      <c r="F223" s="133">
        <v>28.5</v>
      </c>
      <c r="G223" s="133">
        <v>33.75</v>
      </c>
      <c r="H223" s="222">
        <f t="shared" si="9"/>
        <v>33.75</v>
      </c>
      <c r="I223" s="236"/>
      <c r="J223" s="236">
        <v>0</v>
      </c>
      <c r="K223" s="236">
        <f t="shared" si="10"/>
        <v>33.75</v>
      </c>
      <c r="L223" s="237">
        <f t="shared" si="11"/>
        <v>28.5</v>
      </c>
    </row>
    <row r="224" spans="1:12">
      <c r="A224" s="223" t="s">
        <v>4344</v>
      </c>
      <c r="B224" s="80" t="s">
        <v>2041</v>
      </c>
      <c r="C224" s="80" t="s">
        <v>4356</v>
      </c>
      <c r="D224" s="107" t="s">
        <v>2042</v>
      </c>
      <c r="E224" s="80">
        <v>2</v>
      </c>
      <c r="F224" s="133">
        <v>20.8</v>
      </c>
      <c r="G224" s="133">
        <v>24</v>
      </c>
      <c r="H224" s="222">
        <f t="shared" si="9"/>
        <v>48</v>
      </c>
      <c r="I224" s="236"/>
      <c r="J224" s="236">
        <v>0</v>
      </c>
      <c r="K224" s="236">
        <f t="shared" si="10"/>
        <v>48</v>
      </c>
      <c r="L224" s="237">
        <f t="shared" si="11"/>
        <v>41.6</v>
      </c>
    </row>
    <row r="225" spans="1:12">
      <c r="A225" s="223" t="s">
        <v>4344</v>
      </c>
      <c r="B225" s="80" t="s">
        <v>2047</v>
      </c>
      <c r="C225" s="80" t="s">
        <v>4356</v>
      </c>
      <c r="D225" s="107" t="s">
        <v>2048</v>
      </c>
      <c r="E225" s="80">
        <v>2</v>
      </c>
      <c r="F225" s="133">
        <v>35.68</v>
      </c>
      <c r="G225" s="133">
        <v>41.25</v>
      </c>
      <c r="H225" s="222">
        <f t="shared" si="9"/>
        <v>82.5</v>
      </c>
      <c r="I225" s="236"/>
      <c r="J225" s="236">
        <v>0</v>
      </c>
      <c r="K225" s="236">
        <f t="shared" si="10"/>
        <v>82.5</v>
      </c>
      <c r="L225" s="237">
        <f t="shared" si="11"/>
        <v>71.36</v>
      </c>
    </row>
    <row r="226" spans="1:12">
      <c r="A226" s="223" t="s">
        <v>4344</v>
      </c>
      <c r="B226" s="80" t="s">
        <v>1511</v>
      </c>
      <c r="C226" s="80" t="s">
        <v>4356</v>
      </c>
      <c r="D226" s="107" t="s">
        <v>1512</v>
      </c>
      <c r="E226" s="80">
        <v>6</v>
      </c>
      <c r="F226" s="133">
        <v>29.17</v>
      </c>
      <c r="G226" s="133">
        <v>33.75</v>
      </c>
      <c r="H226" s="222">
        <f t="shared" si="9"/>
        <v>202.5</v>
      </c>
      <c r="I226" s="236"/>
      <c r="J226" s="236">
        <v>0</v>
      </c>
      <c r="K226" s="236">
        <f t="shared" si="10"/>
        <v>202.5</v>
      </c>
      <c r="L226" s="237">
        <f t="shared" si="11"/>
        <v>175.02</v>
      </c>
    </row>
    <row r="227" spans="1:12">
      <c r="A227" s="223" t="s">
        <v>4344</v>
      </c>
      <c r="B227" s="80" t="s">
        <v>1838</v>
      </c>
      <c r="C227" s="80" t="s">
        <v>4356</v>
      </c>
      <c r="D227" s="107" t="s">
        <v>1839</v>
      </c>
      <c r="E227" s="80">
        <v>2</v>
      </c>
      <c r="F227" s="133">
        <v>61.5</v>
      </c>
      <c r="G227" s="133">
        <v>66.5</v>
      </c>
      <c r="H227" s="222">
        <f t="shared" si="9"/>
        <v>133</v>
      </c>
      <c r="I227" s="236"/>
      <c r="J227" s="236">
        <v>0</v>
      </c>
      <c r="K227" s="236">
        <f t="shared" si="10"/>
        <v>133</v>
      </c>
      <c r="L227" s="237">
        <f t="shared" si="11"/>
        <v>123</v>
      </c>
    </row>
    <row r="228" spans="1:12">
      <c r="A228" s="223" t="s">
        <v>4344</v>
      </c>
      <c r="B228" s="80" t="s">
        <v>1639</v>
      </c>
      <c r="C228" s="80" t="s">
        <v>4356</v>
      </c>
      <c r="D228" s="107" t="s">
        <v>1640</v>
      </c>
      <c r="E228" s="80">
        <v>2</v>
      </c>
      <c r="F228" s="133">
        <v>58.56</v>
      </c>
      <c r="G228" s="133">
        <v>67.5</v>
      </c>
      <c r="H228" s="222">
        <f t="shared" si="9"/>
        <v>135</v>
      </c>
      <c r="I228" s="236"/>
      <c r="J228" s="236">
        <v>0</v>
      </c>
      <c r="K228" s="236">
        <f t="shared" si="10"/>
        <v>135</v>
      </c>
      <c r="L228" s="237">
        <f t="shared" si="11"/>
        <v>117.12</v>
      </c>
    </row>
    <row r="229" spans="1:12">
      <c r="A229" s="223" t="s">
        <v>4344</v>
      </c>
      <c r="B229" s="80" t="s">
        <v>1499</v>
      </c>
      <c r="C229" s="80" t="s">
        <v>4356</v>
      </c>
      <c r="D229" s="107" t="s">
        <v>1500</v>
      </c>
      <c r="E229" s="80">
        <v>2</v>
      </c>
      <c r="F229" s="133">
        <v>25.8</v>
      </c>
      <c r="G229" s="133">
        <v>29.75</v>
      </c>
      <c r="H229" s="222">
        <f t="shared" si="9"/>
        <v>59.5</v>
      </c>
      <c r="I229" s="236"/>
      <c r="J229" s="236">
        <v>0</v>
      </c>
      <c r="K229" s="236">
        <f t="shared" si="10"/>
        <v>59.5</v>
      </c>
      <c r="L229" s="237">
        <f t="shared" si="11"/>
        <v>51.6</v>
      </c>
    </row>
    <row r="230" spans="1:12">
      <c r="A230" s="223" t="s">
        <v>4344</v>
      </c>
      <c r="B230" s="80" t="s">
        <v>3050</v>
      </c>
      <c r="C230" s="80" t="s">
        <v>4356</v>
      </c>
      <c r="D230" s="107" t="s">
        <v>3051</v>
      </c>
      <c r="E230" s="80">
        <v>6</v>
      </c>
      <c r="F230" s="133">
        <v>6.38</v>
      </c>
      <c r="G230" s="133">
        <v>7.5</v>
      </c>
      <c r="H230" s="222">
        <f t="shared" si="9"/>
        <v>45</v>
      </c>
      <c r="I230" s="236"/>
      <c r="J230" s="236">
        <v>0</v>
      </c>
      <c r="K230" s="236">
        <f t="shared" si="10"/>
        <v>45</v>
      </c>
      <c r="L230" s="237">
        <f t="shared" si="11"/>
        <v>38.28</v>
      </c>
    </row>
    <row r="231" spans="1:12">
      <c r="A231" s="223" t="s">
        <v>4344</v>
      </c>
      <c r="B231" s="80" t="s">
        <v>3105</v>
      </c>
      <c r="C231" s="80" t="s">
        <v>4356</v>
      </c>
      <c r="D231" s="107" t="s">
        <v>3106</v>
      </c>
      <c r="E231" s="80">
        <v>1</v>
      </c>
      <c r="F231" s="133">
        <v>39.880000000000003</v>
      </c>
      <c r="G231" s="133">
        <v>46</v>
      </c>
      <c r="H231" s="222">
        <f t="shared" si="9"/>
        <v>46</v>
      </c>
      <c r="I231" s="236"/>
      <c r="J231" s="236">
        <v>0</v>
      </c>
      <c r="K231" s="236">
        <f t="shared" si="10"/>
        <v>46</v>
      </c>
      <c r="L231" s="237">
        <f t="shared" si="11"/>
        <v>39.880000000000003</v>
      </c>
    </row>
    <row r="232" spans="1:12">
      <c r="A232" s="223" t="s">
        <v>4344</v>
      </c>
      <c r="B232" s="80" t="s">
        <v>3026</v>
      </c>
      <c r="C232" s="80" t="s">
        <v>4356</v>
      </c>
      <c r="D232" s="107" t="s">
        <v>3027</v>
      </c>
      <c r="E232" s="80">
        <v>6</v>
      </c>
      <c r="F232" s="133">
        <v>5.41</v>
      </c>
      <c r="G232" s="133">
        <v>6.25</v>
      </c>
      <c r="H232" s="222">
        <f t="shared" si="9"/>
        <v>37.5</v>
      </c>
      <c r="I232" s="236"/>
      <c r="J232" s="236">
        <v>0</v>
      </c>
      <c r="K232" s="236">
        <f t="shared" si="10"/>
        <v>37.5</v>
      </c>
      <c r="L232" s="237">
        <f t="shared" si="11"/>
        <v>32.46</v>
      </c>
    </row>
    <row r="233" spans="1:12">
      <c r="A233" s="223" t="s">
        <v>4344</v>
      </c>
      <c r="B233" s="80" t="s">
        <v>1431</v>
      </c>
      <c r="C233" s="80" t="s">
        <v>4356</v>
      </c>
      <c r="D233" s="107" t="s">
        <v>1432</v>
      </c>
      <c r="E233" s="80">
        <v>3</v>
      </c>
      <c r="F233" s="133">
        <v>18.57</v>
      </c>
      <c r="G233" s="133">
        <v>21.75</v>
      </c>
      <c r="H233" s="222">
        <f t="shared" si="9"/>
        <v>65.25</v>
      </c>
      <c r="I233" s="236"/>
      <c r="J233" s="236">
        <v>0</v>
      </c>
      <c r="K233" s="236">
        <f t="shared" si="10"/>
        <v>65.25</v>
      </c>
      <c r="L233" s="237">
        <f t="shared" si="11"/>
        <v>55.71</v>
      </c>
    </row>
    <row r="234" spans="1:12">
      <c r="A234" s="223" t="s">
        <v>4344</v>
      </c>
      <c r="B234" s="80" t="s">
        <v>2069</v>
      </c>
      <c r="C234" s="80" t="s">
        <v>4356</v>
      </c>
      <c r="D234" s="107" t="s">
        <v>2070</v>
      </c>
      <c r="E234" s="80">
        <v>1</v>
      </c>
      <c r="F234" s="133">
        <v>13.1</v>
      </c>
      <c r="G234" s="133">
        <v>15.25</v>
      </c>
      <c r="H234" s="222">
        <f t="shared" si="9"/>
        <v>15.25</v>
      </c>
      <c r="I234" s="236"/>
      <c r="J234" s="236">
        <v>0</v>
      </c>
      <c r="K234" s="236">
        <f t="shared" si="10"/>
        <v>15.25</v>
      </c>
      <c r="L234" s="237">
        <f t="shared" si="11"/>
        <v>13.1</v>
      </c>
    </row>
    <row r="235" spans="1:12">
      <c r="A235" s="223" t="s">
        <v>4344</v>
      </c>
      <c r="B235" s="80" t="s">
        <v>1380</v>
      </c>
      <c r="C235" s="80" t="s">
        <v>4356</v>
      </c>
      <c r="D235" s="107" t="s">
        <v>1381</v>
      </c>
      <c r="E235" s="80">
        <v>1</v>
      </c>
      <c r="F235" s="133">
        <v>13.1</v>
      </c>
      <c r="G235" s="133">
        <v>15.25</v>
      </c>
      <c r="H235" s="222">
        <f t="shared" si="9"/>
        <v>15.25</v>
      </c>
      <c r="I235" s="236"/>
      <c r="J235" s="236">
        <v>0</v>
      </c>
      <c r="K235" s="236">
        <f t="shared" si="10"/>
        <v>15.25</v>
      </c>
      <c r="L235" s="237">
        <f t="shared" si="11"/>
        <v>13.1</v>
      </c>
    </row>
    <row r="236" spans="1:12">
      <c r="A236" s="223" t="s">
        <v>4344</v>
      </c>
      <c r="B236" s="80" t="s">
        <v>4357</v>
      </c>
      <c r="C236" s="80" t="s">
        <v>4358</v>
      </c>
      <c r="D236" s="107" t="s">
        <v>4359</v>
      </c>
      <c r="E236" s="80">
        <v>1</v>
      </c>
      <c r="F236" s="133">
        <v>14.82</v>
      </c>
      <c r="G236" s="133">
        <v>17.25</v>
      </c>
      <c r="H236" s="222">
        <f t="shared" si="9"/>
        <v>17.25</v>
      </c>
      <c r="I236" s="236"/>
      <c r="J236" s="236">
        <v>0</v>
      </c>
      <c r="K236" s="236">
        <f t="shared" si="10"/>
        <v>17.25</v>
      </c>
      <c r="L236" s="237">
        <f t="shared" si="11"/>
        <v>14.82</v>
      </c>
    </row>
    <row r="237" spans="1:12">
      <c r="A237" s="223" t="s">
        <v>4344</v>
      </c>
      <c r="B237" s="80" t="s">
        <v>1292</v>
      </c>
      <c r="C237" s="80" t="s">
        <v>4358</v>
      </c>
      <c r="D237" s="107" t="s">
        <v>1293</v>
      </c>
      <c r="E237" s="80">
        <v>1</v>
      </c>
      <c r="F237" s="133">
        <v>7.85</v>
      </c>
      <c r="G237" s="133">
        <v>12</v>
      </c>
      <c r="H237" s="222">
        <f t="shared" si="9"/>
        <v>12</v>
      </c>
      <c r="I237" s="236"/>
      <c r="J237" s="236">
        <v>0</v>
      </c>
      <c r="K237" s="236">
        <f t="shared" si="10"/>
        <v>12</v>
      </c>
      <c r="L237" s="237">
        <f t="shared" si="11"/>
        <v>7.85</v>
      </c>
    </row>
    <row r="238" spans="1:12">
      <c r="A238" s="223" t="s">
        <v>4344</v>
      </c>
      <c r="B238" s="80" t="s">
        <v>3721</v>
      </c>
      <c r="C238" s="80" t="s">
        <v>4360</v>
      </c>
      <c r="D238" s="107" t="s">
        <v>3722</v>
      </c>
      <c r="E238" s="80">
        <v>1</v>
      </c>
      <c r="F238" s="133">
        <v>23.13</v>
      </c>
      <c r="G238" s="133">
        <v>30.25</v>
      </c>
      <c r="H238" s="222">
        <f t="shared" si="9"/>
        <v>30.25</v>
      </c>
      <c r="I238" s="236"/>
      <c r="J238" s="236">
        <v>0</v>
      </c>
      <c r="K238" s="236">
        <f t="shared" si="10"/>
        <v>30.25</v>
      </c>
      <c r="L238" s="237">
        <f t="shared" si="11"/>
        <v>23.13</v>
      </c>
    </row>
    <row r="239" spans="1:12">
      <c r="A239" s="223" t="s">
        <v>4344</v>
      </c>
      <c r="B239" s="80" t="s">
        <v>1141</v>
      </c>
      <c r="C239" s="80" t="s">
        <v>4361</v>
      </c>
      <c r="D239" s="107" t="s">
        <v>1142</v>
      </c>
      <c r="E239" s="80">
        <v>1</v>
      </c>
      <c r="F239" s="133">
        <v>14.65</v>
      </c>
      <c r="G239" s="133">
        <v>17</v>
      </c>
      <c r="H239" s="222">
        <f t="shared" si="9"/>
        <v>17</v>
      </c>
      <c r="I239" s="236"/>
      <c r="J239" s="236">
        <v>0</v>
      </c>
      <c r="K239" s="236">
        <f t="shared" si="10"/>
        <v>17</v>
      </c>
      <c r="L239" s="237">
        <f t="shared" si="11"/>
        <v>14.65</v>
      </c>
    </row>
    <row r="240" spans="1:12">
      <c r="A240" s="223" t="s">
        <v>4344</v>
      </c>
      <c r="B240" s="80" t="s">
        <v>1353</v>
      </c>
      <c r="C240" s="80" t="s">
        <v>4362</v>
      </c>
      <c r="D240" s="107" t="s">
        <v>1354</v>
      </c>
      <c r="E240" s="80">
        <v>1</v>
      </c>
      <c r="F240" s="133">
        <v>12.66</v>
      </c>
      <c r="G240" s="133">
        <v>14.25</v>
      </c>
      <c r="H240" s="222">
        <f t="shared" si="9"/>
        <v>14.25</v>
      </c>
      <c r="I240" s="236"/>
      <c r="J240" s="236">
        <v>0</v>
      </c>
      <c r="K240" s="236">
        <f t="shared" si="10"/>
        <v>14.25</v>
      </c>
      <c r="L240" s="237">
        <f t="shared" si="11"/>
        <v>12.66</v>
      </c>
    </row>
    <row r="241" spans="1:12">
      <c r="A241" s="223" t="s">
        <v>4344</v>
      </c>
      <c r="B241" s="80" t="s">
        <v>4363</v>
      </c>
      <c r="C241" s="80" t="s">
        <v>4362</v>
      </c>
      <c r="D241" s="107" t="s">
        <v>4364</v>
      </c>
      <c r="E241" s="80">
        <v>1</v>
      </c>
      <c r="F241" s="133">
        <v>6.03</v>
      </c>
      <c r="G241" s="133">
        <v>7</v>
      </c>
      <c r="H241" s="222">
        <f t="shared" si="9"/>
        <v>7</v>
      </c>
      <c r="I241" s="236"/>
      <c r="J241" s="236">
        <v>0</v>
      </c>
      <c r="K241" s="236">
        <f t="shared" si="10"/>
        <v>7</v>
      </c>
      <c r="L241" s="237">
        <f t="shared" si="11"/>
        <v>6.03</v>
      </c>
    </row>
    <row r="242" spans="1:12">
      <c r="A242" s="223" t="s">
        <v>4344</v>
      </c>
      <c r="B242" s="80" t="s">
        <v>4357</v>
      </c>
      <c r="C242" s="80" t="s">
        <v>4365</v>
      </c>
      <c r="D242" s="107" t="s">
        <v>4359</v>
      </c>
      <c r="E242" s="80">
        <v>1</v>
      </c>
      <c r="F242" s="133">
        <v>14.82</v>
      </c>
      <c r="G242" s="133">
        <v>17.25</v>
      </c>
      <c r="H242" s="222">
        <f t="shared" si="9"/>
        <v>17.25</v>
      </c>
      <c r="I242" s="236"/>
      <c r="J242" s="236">
        <v>0</v>
      </c>
      <c r="K242" s="236">
        <f t="shared" si="10"/>
        <v>17.25</v>
      </c>
      <c r="L242" s="237">
        <f t="shared" si="11"/>
        <v>14.82</v>
      </c>
    </row>
    <row r="243" spans="1:12">
      <c r="A243" s="223" t="s">
        <v>4344</v>
      </c>
      <c r="B243" s="80" t="s">
        <v>2898</v>
      </c>
      <c r="C243" s="80" t="s">
        <v>4366</v>
      </c>
      <c r="D243" s="107" t="s">
        <v>2899</v>
      </c>
      <c r="E243" s="80">
        <v>12</v>
      </c>
      <c r="F243" s="133">
        <v>6.12</v>
      </c>
      <c r="G243" s="133">
        <v>7.5</v>
      </c>
      <c r="H243" s="222">
        <f t="shared" si="9"/>
        <v>90</v>
      </c>
      <c r="I243" s="236"/>
      <c r="J243" s="236">
        <v>0</v>
      </c>
      <c r="K243" s="236">
        <f t="shared" si="10"/>
        <v>90</v>
      </c>
      <c r="L243" s="237">
        <f t="shared" si="11"/>
        <v>73.44</v>
      </c>
    </row>
    <row r="244" spans="1:12">
      <c r="A244" s="223" t="s">
        <v>4344</v>
      </c>
      <c r="B244" s="80" t="s">
        <v>4363</v>
      </c>
      <c r="C244" s="80" t="s">
        <v>4367</v>
      </c>
      <c r="D244" s="107" t="s">
        <v>4364</v>
      </c>
      <c r="E244" s="80">
        <v>1</v>
      </c>
      <c r="F244" s="133">
        <v>6.03</v>
      </c>
      <c r="G244" s="133">
        <v>7</v>
      </c>
      <c r="H244" s="222">
        <f t="shared" si="9"/>
        <v>7</v>
      </c>
      <c r="I244" s="236"/>
      <c r="J244" s="236">
        <v>0</v>
      </c>
      <c r="K244" s="236">
        <f t="shared" si="10"/>
        <v>7</v>
      </c>
      <c r="L244" s="237">
        <f t="shared" si="11"/>
        <v>6.03</v>
      </c>
    </row>
    <row r="245" spans="1:12">
      <c r="A245" s="223" t="s">
        <v>4344</v>
      </c>
      <c r="B245" s="80" t="s">
        <v>1443</v>
      </c>
      <c r="C245" s="80" t="s">
        <v>4368</v>
      </c>
      <c r="D245" s="107" t="s">
        <v>1444</v>
      </c>
      <c r="E245" s="80">
        <v>3</v>
      </c>
      <c r="F245" s="133">
        <v>10.64</v>
      </c>
      <c r="G245" s="133">
        <v>12.25</v>
      </c>
      <c r="H245" s="222">
        <f t="shared" si="9"/>
        <v>36.75</v>
      </c>
      <c r="I245" s="236"/>
      <c r="J245" s="236">
        <v>0</v>
      </c>
      <c r="K245" s="236">
        <f t="shared" si="10"/>
        <v>36.75</v>
      </c>
      <c r="L245" s="237">
        <f t="shared" si="11"/>
        <v>31.92</v>
      </c>
    </row>
    <row r="246" spans="1:12">
      <c r="A246" s="223" t="s">
        <v>4344</v>
      </c>
      <c r="B246" s="80" t="s">
        <v>730</v>
      </c>
      <c r="C246" s="80" t="s">
        <v>4369</v>
      </c>
      <c r="D246" s="107" t="s">
        <v>731</v>
      </c>
      <c r="E246" s="80">
        <v>1</v>
      </c>
      <c r="F246" s="133">
        <v>7.06</v>
      </c>
      <c r="G246" s="133">
        <v>8.25</v>
      </c>
      <c r="H246" s="222">
        <f t="shared" si="9"/>
        <v>8.25</v>
      </c>
      <c r="I246" s="236"/>
      <c r="J246" s="236">
        <v>0</v>
      </c>
      <c r="K246" s="236">
        <f t="shared" si="10"/>
        <v>8.25</v>
      </c>
      <c r="L246" s="237">
        <f t="shared" si="11"/>
        <v>7.06</v>
      </c>
    </row>
    <row r="247" spans="1:12">
      <c r="A247" s="223" t="s">
        <v>4344</v>
      </c>
      <c r="B247" s="80" t="s">
        <v>4370</v>
      </c>
      <c r="C247" s="80" t="s">
        <v>4371</v>
      </c>
      <c r="D247" s="107" t="s">
        <v>4372</v>
      </c>
      <c r="E247" s="80">
        <v>1</v>
      </c>
      <c r="F247" s="133">
        <v>9.2799999999999994</v>
      </c>
      <c r="G247" s="133">
        <v>10.75</v>
      </c>
      <c r="H247" s="222">
        <f t="shared" si="9"/>
        <v>10.75</v>
      </c>
      <c r="I247" s="236"/>
      <c r="J247" s="236">
        <v>0</v>
      </c>
      <c r="K247" s="236">
        <f t="shared" si="10"/>
        <v>10.75</v>
      </c>
      <c r="L247" s="237">
        <f t="shared" si="11"/>
        <v>9.2799999999999994</v>
      </c>
    </row>
    <row r="248" spans="1:12">
      <c r="A248" s="223" t="s">
        <v>4344</v>
      </c>
      <c r="B248" s="80" t="s">
        <v>730</v>
      </c>
      <c r="C248" s="80" t="s">
        <v>4373</v>
      </c>
      <c r="D248" s="107" t="s">
        <v>731</v>
      </c>
      <c r="E248" s="80">
        <v>1</v>
      </c>
      <c r="F248" s="133">
        <v>7.06</v>
      </c>
      <c r="G248" s="133">
        <v>8.25</v>
      </c>
      <c r="H248" s="222">
        <f t="shared" si="9"/>
        <v>8.25</v>
      </c>
      <c r="I248" s="236"/>
      <c r="J248" s="236">
        <v>0</v>
      </c>
      <c r="K248" s="236">
        <f t="shared" si="10"/>
        <v>8.25</v>
      </c>
      <c r="L248" s="237">
        <f t="shared" si="11"/>
        <v>7.06</v>
      </c>
    </row>
    <row r="249" spans="1:12">
      <c r="A249" s="223" t="s">
        <v>4344</v>
      </c>
      <c r="B249" s="80" t="s">
        <v>1850</v>
      </c>
      <c r="C249" s="80" t="s">
        <v>4374</v>
      </c>
      <c r="D249" s="107" t="s">
        <v>1851</v>
      </c>
      <c r="E249" s="80">
        <v>1</v>
      </c>
      <c r="F249" s="133">
        <v>29</v>
      </c>
      <c r="G249" s="133">
        <v>33.75</v>
      </c>
      <c r="H249" s="222">
        <f t="shared" si="9"/>
        <v>33.75</v>
      </c>
      <c r="I249" s="236"/>
      <c r="J249" s="236">
        <v>0</v>
      </c>
      <c r="K249" s="236">
        <f t="shared" si="10"/>
        <v>33.75</v>
      </c>
      <c r="L249" s="237">
        <f t="shared" si="11"/>
        <v>29</v>
      </c>
    </row>
    <row r="250" spans="1:12">
      <c r="A250" s="223" t="s">
        <v>4344</v>
      </c>
      <c r="B250" s="80" t="s">
        <v>840</v>
      </c>
      <c r="C250" s="80" t="s">
        <v>4375</v>
      </c>
      <c r="D250" s="107" t="s">
        <v>841</v>
      </c>
      <c r="E250" s="80">
        <v>1</v>
      </c>
      <c r="F250" s="133">
        <v>20.68</v>
      </c>
      <c r="G250" s="133">
        <v>24</v>
      </c>
      <c r="H250" s="222">
        <f t="shared" si="9"/>
        <v>24</v>
      </c>
      <c r="I250" s="236"/>
      <c r="J250" s="236">
        <v>0</v>
      </c>
      <c r="K250" s="236">
        <f t="shared" si="10"/>
        <v>24</v>
      </c>
      <c r="L250" s="237">
        <f t="shared" si="11"/>
        <v>20.68</v>
      </c>
    </row>
    <row r="251" spans="1:12">
      <c r="A251" s="223" t="s">
        <v>4344</v>
      </c>
      <c r="B251" s="80" t="s">
        <v>945</v>
      </c>
      <c r="C251" s="80" t="s">
        <v>4376</v>
      </c>
      <c r="D251" s="107" t="s">
        <v>946</v>
      </c>
      <c r="E251" s="80">
        <v>2</v>
      </c>
      <c r="F251" s="133">
        <v>12.77</v>
      </c>
      <c r="G251" s="133">
        <v>14.75</v>
      </c>
      <c r="H251" s="222">
        <f t="shared" si="9"/>
        <v>29.5</v>
      </c>
      <c r="I251" s="236"/>
      <c r="J251" s="236">
        <v>0</v>
      </c>
      <c r="K251" s="236">
        <f t="shared" si="10"/>
        <v>29.5</v>
      </c>
      <c r="L251" s="237">
        <f t="shared" si="11"/>
        <v>25.54</v>
      </c>
    </row>
    <row r="252" spans="1:12">
      <c r="A252" s="223" t="s">
        <v>4344</v>
      </c>
      <c r="B252" s="80" t="s">
        <v>1311</v>
      </c>
      <c r="C252" s="80" t="s">
        <v>4376</v>
      </c>
      <c r="D252" s="107" t="s">
        <v>1312</v>
      </c>
      <c r="E252" s="80">
        <v>1</v>
      </c>
      <c r="F252" s="133">
        <v>8.1999999999999993</v>
      </c>
      <c r="G252" s="133">
        <v>9.5</v>
      </c>
      <c r="H252" s="222">
        <f t="shared" si="9"/>
        <v>9.5</v>
      </c>
      <c r="I252" s="236"/>
      <c r="J252" s="236">
        <v>0</v>
      </c>
      <c r="K252" s="236">
        <f t="shared" si="10"/>
        <v>9.5</v>
      </c>
      <c r="L252" s="237">
        <f t="shared" si="11"/>
        <v>8.1999999999999993</v>
      </c>
    </row>
    <row r="253" spans="1:12">
      <c r="A253" s="223" t="s">
        <v>4344</v>
      </c>
      <c r="B253" s="80" t="s">
        <v>1308</v>
      </c>
      <c r="C253" s="80" t="s">
        <v>4376</v>
      </c>
      <c r="D253" s="107" t="s">
        <v>1309</v>
      </c>
      <c r="E253" s="80">
        <v>1</v>
      </c>
      <c r="F253" s="133">
        <v>8.1999999999999993</v>
      </c>
      <c r="G253" s="133">
        <v>9.5</v>
      </c>
      <c r="H253" s="222">
        <f t="shared" si="9"/>
        <v>9.5</v>
      </c>
      <c r="I253" s="236"/>
      <c r="J253" s="236">
        <v>0</v>
      </c>
      <c r="K253" s="236">
        <f t="shared" si="10"/>
        <v>9.5</v>
      </c>
      <c r="L253" s="237">
        <f t="shared" si="11"/>
        <v>8.1999999999999993</v>
      </c>
    </row>
    <row r="254" spans="1:12">
      <c r="A254" s="223" t="s">
        <v>4344</v>
      </c>
      <c r="B254" s="80" t="s">
        <v>945</v>
      </c>
      <c r="C254" s="80" t="s">
        <v>4377</v>
      </c>
      <c r="D254" s="107" t="s">
        <v>946</v>
      </c>
      <c r="E254" s="80">
        <v>1</v>
      </c>
      <c r="F254" s="133">
        <v>12.77</v>
      </c>
      <c r="G254" s="133">
        <v>14.75</v>
      </c>
      <c r="H254" s="222">
        <f t="shared" si="9"/>
        <v>14.75</v>
      </c>
      <c r="I254" s="236"/>
      <c r="J254" s="236">
        <v>0</v>
      </c>
      <c r="K254" s="236">
        <f t="shared" si="10"/>
        <v>14.75</v>
      </c>
      <c r="L254" s="237">
        <f t="shared" si="11"/>
        <v>12.77</v>
      </c>
    </row>
    <row r="255" spans="1:12">
      <c r="A255" s="223" t="s">
        <v>4344</v>
      </c>
      <c r="B255" s="80" t="s">
        <v>3519</v>
      </c>
      <c r="C255" s="80" t="s">
        <v>4378</v>
      </c>
      <c r="D255" s="107" t="s">
        <v>3520</v>
      </c>
      <c r="E255" s="80">
        <v>2</v>
      </c>
      <c r="F255" s="133">
        <v>20.399999999999999</v>
      </c>
      <c r="G255" s="133">
        <v>24</v>
      </c>
      <c r="H255" s="222">
        <f t="shared" si="9"/>
        <v>48</v>
      </c>
      <c r="I255" s="236"/>
      <c r="J255" s="236">
        <v>0</v>
      </c>
      <c r="K255" s="236">
        <f t="shared" si="10"/>
        <v>48</v>
      </c>
      <c r="L255" s="237">
        <f t="shared" si="11"/>
        <v>40.799999999999997</v>
      </c>
    </row>
    <row r="256" spans="1:12">
      <c r="A256" s="223" t="s">
        <v>4344</v>
      </c>
      <c r="B256" s="80" t="s">
        <v>3537</v>
      </c>
      <c r="C256" s="80" t="s">
        <v>4378</v>
      </c>
      <c r="D256" s="107" t="s">
        <v>3538</v>
      </c>
      <c r="E256" s="80">
        <v>1</v>
      </c>
      <c r="F256" s="133">
        <v>23.15</v>
      </c>
      <c r="G256" s="133">
        <v>26.75</v>
      </c>
      <c r="H256" s="222">
        <f t="shared" si="9"/>
        <v>26.75</v>
      </c>
      <c r="I256" s="236"/>
      <c r="J256" s="236">
        <v>0</v>
      </c>
      <c r="K256" s="236">
        <f t="shared" si="10"/>
        <v>26.75</v>
      </c>
      <c r="L256" s="237">
        <f t="shared" si="11"/>
        <v>23.15</v>
      </c>
    </row>
    <row r="257" spans="1:12">
      <c r="A257" s="223" t="s">
        <v>4344</v>
      </c>
      <c r="B257" s="80" t="s">
        <v>1141</v>
      </c>
      <c r="C257" s="80" t="s">
        <v>4379</v>
      </c>
      <c r="D257" s="107" t="s">
        <v>1142</v>
      </c>
      <c r="E257" s="80">
        <v>1</v>
      </c>
      <c r="F257" s="133">
        <v>14.65</v>
      </c>
      <c r="G257" s="133">
        <v>17</v>
      </c>
      <c r="H257" s="222">
        <f t="shared" si="9"/>
        <v>17</v>
      </c>
      <c r="I257" s="236"/>
      <c r="J257" s="236">
        <v>0</v>
      </c>
      <c r="K257" s="236">
        <f t="shared" si="10"/>
        <v>17</v>
      </c>
      <c r="L257" s="237">
        <f t="shared" si="11"/>
        <v>14.65</v>
      </c>
    </row>
    <row r="258" spans="1:12">
      <c r="A258" s="223" t="s">
        <v>4344</v>
      </c>
      <c r="B258" s="80" t="s">
        <v>986</v>
      </c>
      <c r="C258" s="80" t="s">
        <v>4379</v>
      </c>
      <c r="D258" s="107" t="s">
        <v>987</v>
      </c>
      <c r="E258" s="80">
        <v>2</v>
      </c>
      <c r="F258" s="133">
        <v>7.06</v>
      </c>
      <c r="G258" s="133">
        <v>8.25</v>
      </c>
      <c r="H258" s="222">
        <f t="shared" si="9"/>
        <v>16.5</v>
      </c>
      <c r="I258" s="236"/>
      <c r="J258" s="236">
        <v>0</v>
      </c>
      <c r="K258" s="236">
        <f t="shared" si="10"/>
        <v>16.5</v>
      </c>
      <c r="L258" s="237">
        <f t="shared" si="11"/>
        <v>14.12</v>
      </c>
    </row>
    <row r="259" spans="1:12">
      <c r="A259" s="223" t="s">
        <v>4344</v>
      </c>
      <c r="B259" s="80" t="s">
        <v>844</v>
      </c>
      <c r="C259" s="80" t="s">
        <v>4379</v>
      </c>
      <c r="D259" s="107" t="s">
        <v>845</v>
      </c>
      <c r="E259" s="80">
        <v>2</v>
      </c>
      <c r="F259" s="133">
        <v>8.5299999999999994</v>
      </c>
      <c r="G259" s="133">
        <v>10</v>
      </c>
      <c r="H259" s="222">
        <f t="shared" si="9"/>
        <v>20</v>
      </c>
      <c r="I259" s="236"/>
      <c r="J259" s="236">
        <v>0</v>
      </c>
      <c r="K259" s="236">
        <f t="shared" si="10"/>
        <v>20</v>
      </c>
      <c r="L259" s="237">
        <f t="shared" si="11"/>
        <v>17.059999999999999</v>
      </c>
    </row>
    <row r="260" spans="1:12">
      <c r="A260" s="223" t="s">
        <v>4380</v>
      </c>
      <c r="B260" s="80" t="s">
        <v>3582</v>
      </c>
      <c r="C260" s="80" t="s">
        <v>4381</v>
      </c>
      <c r="D260" s="107" t="s">
        <v>3583</v>
      </c>
      <c r="E260" s="80">
        <v>1</v>
      </c>
      <c r="F260" s="133">
        <v>49.75</v>
      </c>
      <c r="G260" s="133">
        <v>57.25</v>
      </c>
      <c r="H260" s="222">
        <f t="shared" ref="H260:H323" si="12">E260*G260</f>
        <v>57.25</v>
      </c>
      <c r="I260" s="236"/>
      <c r="J260" s="236">
        <v>0</v>
      </c>
      <c r="K260" s="236">
        <f t="shared" si="10"/>
        <v>57.25</v>
      </c>
      <c r="L260" s="237">
        <f t="shared" si="11"/>
        <v>49.75</v>
      </c>
    </row>
    <row r="261" spans="1:12">
      <c r="A261" s="223" t="s">
        <v>4380</v>
      </c>
      <c r="B261" s="80" t="s">
        <v>489</v>
      </c>
      <c r="C261" s="80" t="s">
        <v>4381</v>
      </c>
      <c r="D261" s="107" t="s">
        <v>490</v>
      </c>
      <c r="E261" s="80">
        <v>2</v>
      </c>
      <c r="F261" s="133">
        <v>16.84</v>
      </c>
      <c r="G261" s="133">
        <v>19.5</v>
      </c>
      <c r="H261" s="222">
        <f t="shared" si="12"/>
        <v>39</v>
      </c>
      <c r="I261" s="236"/>
      <c r="J261" s="236">
        <v>0</v>
      </c>
      <c r="K261" s="236">
        <f t="shared" ref="K261:K324" si="13">H261+I261-J261</f>
        <v>39</v>
      </c>
      <c r="L261" s="237">
        <f t="shared" ref="L261:L324" si="14">E261*F261</f>
        <v>33.68</v>
      </c>
    </row>
    <row r="262" spans="1:12">
      <c r="A262" s="223" t="s">
        <v>4380</v>
      </c>
      <c r="B262" s="80" t="s">
        <v>515</v>
      </c>
      <c r="C262" s="80" t="s">
        <v>4381</v>
      </c>
      <c r="D262" s="107" t="s">
        <v>516</v>
      </c>
      <c r="E262" s="80">
        <v>1</v>
      </c>
      <c r="F262" s="133">
        <v>26.09</v>
      </c>
      <c r="G262" s="133">
        <v>30</v>
      </c>
      <c r="H262" s="222">
        <f t="shared" si="12"/>
        <v>30</v>
      </c>
      <c r="I262" s="236"/>
      <c r="J262" s="236">
        <v>0</v>
      </c>
      <c r="K262" s="236">
        <f t="shared" si="13"/>
        <v>30</v>
      </c>
      <c r="L262" s="237">
        <f t="shared" si="14"/>
        <v>26.09</v>
      </c>
    </row>
    <row r="263" spans="1:12">
      <c r="A263" s="223" t="s">
        <v>4380</v>
      </c>
      <c r="B263" s="80" t="s">
        <v>4074</v>
      </c>
      <c r="C263" s="80" t="s">
        <v>4382</v>
      </c>
      <c r="D263" s="107" t="s">
        <v>4075</v>
      </c>
      <c r="E263" s="80">
        <v>8</v>
      </c>
      <c r="F263" s="133">
        <v>0.76</v>
      </c>
      <c r="G263" s="133">
        <v>1</v>
      </c>
      <c r="H263" s="222">
        <f t="shared" si="12"/>
        <v>8</v>
      </c>
      <c r="I263" s="236"/>
      <c r="J263" s="236">
        <v>0</v>
      </c>
      <c r="K263" s="236">
        <f t="shared" si="13"/>
        <v>8</v>
      </c>
      <c r="L263" s="237">
        <f t="shared" si="14"/>
        <v>6.08</v>
      </c>
    </row>
    <row r="264" spans="1:12">
      <c r="A264" s="223" t="s">
        <v>4380</v>
      </c>
      <c r="B264" s="80" t="s">
        <v>774</v>
      </c>
      <c r="C264" s="80" t="s">
        <v>4383</v>
      </c>
      <c r="D264" s="107" t="s">
        <v>775</v>
      </c>
      <c r="E264" s="80">
        <v>1</v>
      </c>
      <c r="F264" s="133">
        <v>129</v>
      </c>
      <c r="G264" s="133">
        <v>148.5</v>
      </c>
      <c r="H264" s="222">
        <f t="shared" si="12"/>
        <v>148.5</v>
      </c>
      <c r="I264" s="236"/>
      <c r="J264" s="236">
        <v>0</v>
      </c>
      <c r="K264" s="236">
        <f t="shared" si="13"/>
        <v>148.5</v>
      </c>
      <c r="L264" s="237">
        <f t="shared" si="14"/>
        <v>129</v>
      </c>
    </row>
    <row r="265" spans="1:12">
      <c r="A265" s="223" t="s">
        <v>4380</v>
      </c>
      <c r="B265" s="80" t="s">
        <v>709</v>
      </c>
      <c r="C265" s="80" t="s">
        <v>4384</v>
      </c>
      <c r="D265" s="107" t="s">
        <v>710</v>
      </c>
      <c r="E265" s="80">
        <v>1</v>
      </c>
      <c r="F265" s="133">
        <v>31.6</v>
      </c>
      <c r="G265" s="133">
        <v>36.5</v>
      </c>
      <c r="H265" s="222">
        <f t="shared" si="12"/>
        <v>36.5</v>
      </c>
      <c r="I265" s="236"/>
      <c r="J265" s="236">
        <v>0</v>
      </c>
      <c r="K265" s="236">
        <f t="shared" si="13"/>
        <v>36.5</v>
      </c>
      <c r="L265" s="237">
        <f t="shared" si="14"/>
        <v>31.6</v>
      </c>
    </row>
    <row r="266" spans="1:12">
      <c r="A266" s="223" t="s">
        <v>4380</v>
      </c>
      <c r="B266" s="80" t="s">
        <v>3659</v>
      </c>
      <c r="C266" s="80" t="s">
        <v>4385</v>
      </c>
      <c r="D266" s="107" t="s">
        <v>3660</v>
      </c>
      <c r="E266" s="80">
        <v>1</v>
      </c>
      <c r="F266" s="133">
        <v>22.73</v>
      </c>
      <c r="G266" s="133">
        <v>26.25</v>
      </c>
      <c r="H266" s="222">
        <f t="shared" si="12"/>
        <v>26.25</v>
      </c>
      <c r="I266" s="236"/>
      <c r="J266" s="236">
        <v>0</v>
      </c>
      <c r="K266" s="236">
        <f t="shared" si="13"/>
        <v>26.25</v>
      </c>
      <c r="L266" s="237">
        <f t="shared" si="14"/>
        <v>22.73</v>
      </c>
    </row>
    <row r="267" spans="1:12">
      <c r="A267" s="223" t="s">
        <v>4380</v>
      </c>
      <c r="B267" s="80" t="s">
        <v>1607</v>
      </c>
      <c r="C267" s="80" t="s">
        <v>4386</v>
      </c>
      <c r="D267" s="107" t="s">
        <v>1608</v>
      </c>
      <c r="E267" s="80">
        <v>3</v>
      </c>
      <c r="F267" s="133">
        <v>13.1</v>
      </c>
      <c r="G267" s="133">
        <v>15</v>
      </c>
      <c r="H267" s="222">
        <f t="shared" si="12"/>
        <v>45</v>
      </c>
      <c r="I267" s="236"/>
      <c r="J267" s="236">
        <v>0</v>
      </c>
      <c r="K267" s="236">
        <f t="shared" si="13"/>
        <v>45</v>
      </c>
      <c r="L267" s="237">
        <f t="shared" si="14"/>
        <v>39.299999999999997</v>
      </c>
    </row>
    <row r="268" spans="1:12">
      <c r="A268" s="223" t="s">
        <v>4380</v>
      </c>
      <c r="B268" s="80" t="s">
        <v>1726</v>
      </c>
      <c r="C268" s="80" t="s">
        <v>4386</v>
      </c>
      <c r="D268" s="107" t="s">
        <v>1727</v>
      </c>
      <c r="E268" s="80">
        <v>3</v>
      </c>
      <c r="F268" s="133">
        <v>15.91</v>
      </c>
      <c r="G268" s="133">
        <v>18.5</v>
      </c>
      <c r="H268" s="222">
        <f t="shared" si="12"/>
        <v>55.5</v>
      </c>
      <c r="I268" s="236"/>
      <c r="J268" s="236">
        <v>0</v>
      </c>
      <c r="K268" s="236">
        <f t="shared" si="13"/>
        <v>55.5</v>
      </c>
      <c r="L268" s="237">
        <f t="shared" si="14"/>
        <v>47.730000000000004</v>
      </c>
    </row>
    <row r="269" spans="1:12">
      <c r="A269" s="223" t="s">
        <v>4380</v>
      </c>
      <c r="B269" s="80" t="s">
        <v>933</v>
      </c>
      <c r="C269" s="80" t="s">
        <v>4386</v>
      </c>
      <c r="D269" s="107" t="s">
        <v>934</v>
      </c>
      <c r="E269" s="80">
        <v>1</v>
      </c>
      <c r="F269" s="133">
        <v>57.4</v>
      </c>
      <c r="G269" s="133">
        <v>66</v>
      </c>
      <c r="H269" s="222">
        <f t="shared" si="12"/>
        <v>66</v>
      </c>
      <c r="I269" s="236"/>
      <c r="J269" s="236">
        <v>0</v>
      </c>
      <c r="K269" s="236">
        <f t="shared" si="13"/>
        <v>66</v>
      </c>
      <c r="L269" s="237">
        <f t="shared" si="14"/>
        <v>57.4</v>
      </c>
    </row>
    <row r="270" spans="1:12">
      <c r="A270" s="224" t="s">
        <v>4380</v>
      </c>
      <c r="B270" s="225" t="s">
        <v>1086</v>
      </c>
      <c r="C270" s="225" t="s">
        <v>4386</v>
      </c>
      <c r="D270" s="226" t="s">
        <v>1087</v>
      </c>
      <c r="E270" s="225">
        <v>1</v>
      </c>
      <c r="F270" s="227"/>
      <c r="G270" s="227">
        <v>73.25</v>
      </c>
      <c r="H270" s="228">
        <f t="shared" si="12"/>
        <v>73.25</v>
      </c>
      <c r="I270" s="238"/>
      <c r="J270" s="238">
        <v>0</v>
      </c>
      <c r="K270" s="238">
        <f t="shared" si="13"/>
        <v>73.25</v>
      </c>
      <c r="L270" s="239">
        <f t="shared" si="14"/>
        <v>0</v>
      </c>
    </row>
    <row r="271" spans="1:12">
      <c r="A271" s="223" t="s">
        <v>4380</v>
      </c>
      <c r="B271" s="80" t="s">
        <v>4370</v>
      </c>
      <c r="C271" s="80" t="s">
        <v>4386</v>
      </c>
      <c r="D271" s="107" t="s">
        <v>4372</v>
      </c>
      <c r="E271" s="80">
        <v>1</v>
      </c>
      <c r="F271" s="133">
        <v>9.2799999999999994</v>
      </c>
      <c r="G271" s="133">
        <v>10.75</v>
      </c>
      <c r="H271" s="222">
        <f t="shared" si="12"/>
        <v>10.75</v>
      </c>
      <c r="I271" s="236"/>
      <c r="J271" s="236">
        <v>0</v>
      </c>
      <c r="K271" s="236">
        <f t="shared" si="13"/>
        <v>10.75</v>
      </c>
      <c r="L271" s="237">
        <f t="shared" si="14"/>
        <v>9.2799999999999994</v>
      </c>
    </row>
    <row r="272" spans="1:12">
      <c r="A272" s="223" t="s">
        <v>4380</v>
      </c>
      <c r="B272" s="80" t="s">
        <v>730</v>
      </c>
      <c r="C272" s="80" t="s">
        <v>4386</v>
      </c>
      <c r="D272" s="107" t="s">
        <v>731</v>
      </c>
      <c r="E272" s="80">
        <v>2</v>
      </c>
      <c r="F272" s="133">
        <v>7.06</v>
      </c>
      <c r="G272" s="133">
        <v>8.25</v>
      </c>
      <c r="H272" s="222">
        <f t="shared" si="12"/>
        <v>16.5</v>
      </c>
      <c r="I272" s="236"/>
      <c r="J272" s="236">
        <v>0</v>
      </c>
      <c r="K272" s="236">
        <f t="shared" si="13"/>
        <v>16.5</v>
      </c>
      <c r="L272" s="237">
        <f t="shared" si="14"/>
        <v>14.12</v>
      </c>
    </row>
    <row r="273" spans="1:12">
      <c r="A273" s="223" t="s">
        <v>4380</v>
      </c>
      <c r="B273" s="80" t="s">
        <v>3519</v>
      </c>
      <c r="C273" s="80" t="s">
        <v>4386</v>
      </c>
      <c r="D273" s="107" t="s">
        <v>3520</v>
      </c>
      <c r="E273" s="80">
        <v>1</v>
      </c>
      <c r="F273" s="133">
        <v>20.399999999999999</v>
      </c>
      <c r="G273" s="133">
        <v>24</v>
      </c>
      <c r="H273" s="222">
        <f t="shared" si="12"/>
        <v>24</v>
      </c>
      <c r="I273" s="236"/>
      <c r="J273" s="236">
        <v>0</v>
      </c>
      <c r="K273" s="236">
        <f t="shared" si="13"/>
        <v>24</v>
      </c>
      <c r="L273" s="237">
        <f t="shared" si="14"/>
        <v>20.399999999999999</v>
      </c>
    </row>
    <row r="274" spans="1:12">
      <c r="A274" s="223" t="s">
        <v>4380</v>
      </c>
      <c r="B274" s="80" t="s">
        <v>3531</v>
      </c>
      <c r="C274" s="80" t="s">
        <v>4386</v>
      </c>
      <c r="D274" s="107" t="s">
        <v>3532</v>
      </c>
      <c r="E274" s="80">
        <v>1</v>
      </c>
      <c r="F274" s="133">
        <v>18.559999999999999</v>
      </c>
      <c r="G274" s="133">
        <v>21.5</v>
      </c>
      <c r="H274" s="222">
        <f t="shared" si="12"/>
        <v>21.5</v>
      </c>
      <c r="I274" s="236"/>
      <c r="J274" s="236">
        <v>0</v>
      </c>
      <c r="K274" s="236">
        <f t="shared" si="13"/>
        <v>21.5</v>
      </c>
      <c r="L274" s="237">
        <f t="shared" si="14"/>
        <v>18.559999999999999</v>
      </c>
    </row>
    <row r="275" spans="1:12">
      <c r="A275" s="223" t="s">
        <v>4380</v>
      </c>
      <c r="B275" s="80" t="s">
        <v>4179</v>
      </c>
      <c r="C275" s="80" t="s">
        <v>4386</v>
      </c>
      <c r="D275" s="107" t="s">
        <v>486</v>
      </c>
      <c r="E275" s="80">
        <v>1</v>
      </c>
      <c r="F275" s="133">
        <v>16.03</v>
      </c>
      <c r="G275" s="133">
        <v>18.5</v>
      </c>
      <c r="H275" s="222">
        <f t="shared" si="12"/>
        <v>18.5</v>
      </c>
      <c r="I275" s="236"/>
      <c r="J275" s="236">
        <v>0</v>
      </c>
      <c r="K275" s="236">
        <f t="shared" si="13"/>
        <v>18.5</v>
      </c>
      <c r="L275" s="237">
        <f t="shared" si="14"/>
        <v>16.03</v>
      </c>
    </row>
    <row r="276" spans="1:12">
      <c r="A276" s="223" t="s">
        <v>4380</v>
      </c>
      <c r="B276" s="80" t="s">
        <v>530</v>
      </c>
      <c r="C276" s="80" t="s">
        <v>4386</v>
      </c>
      <c r="D276" s="107" t="s">
        <v>531</v>
      </c>
      <c r="E276" s="80">
        <v>1</v>
      </c>
      <c r="F276" s="133">
        <v>17.649999999999999</v>
      </c>
      <c r="G276" s="133">
        <v>20.5</v>
      </c>
      <c r="H276" s="222">
        <f t="shared" si="12"/>
        <v>20.5</v>
      </c>
      <c r="I276" s="236"/>
      <c r="J276" s="236">
        <v>0</v>
      </c>
      <c r="K276" s="236">
        <f t="shared" si="13"/>
        <v>20.5</v>
      </c>
      <c r="L276" s="237">
        <f t="shared" si="14"/>
        <v>17.649999999999999</v>
      </c>
    </row>
    <row r="277" spans="1:12">
      <c r="A277" s="223" t="s">
        <v>4380</v>
      </c>
      <c r="B277" s="80" t="s">
        <v>2063</v>
      </c>
      <c r="C277" s="80" t="s">
        <v>4386</v>
      </c>
      <c r="D277" s="107" t="s">
        <v>2064</v>
      </c>
      <c r="E277" s="80">
        <v>1</v>
      </c>
      <c r="F277" s="133">
        <v>35</v>
      </c>
      <c r="G277" s="133">
        <v>41.25</v>
      </c>
      <c r="H277" s="222">
        <f t="shared" si="12"/>
        <v>41.25</v>
      </c>
      <c r="I277" s="236"/>
      <c r="J277" s="236">
        <v>0</v>
      </c>
      <c r="K277" s="236">
        <f t="shared" si="13"/>
        <v>41.25</v>
      </c>
      <c r="L277" s="237">
        <f t="shared" si="14"/>
        <v>35</v>
      </c>
    </row>
    <row r="278" spans="1:12">
      <c r="A278" s="223" t="s">
        <v>4380</v>
      </c>
      <c r="B278" s="80" t="s">
        <v>3664</v>
      </c>
      <c r="C278" s="80" t="s">
        <v>4386</v>
      </c>
      <c r="D278" s="107" t="s">
        <v>3665</v>
      </c>
      <c r="E278" s="80">
        <v>1</v>
      </c>
      <c r="F278" s="133">
        <v>27.66</v>
      </c>
      <c r="G278" s="133">
        <v>32</v>
      </c>
      <c r="H278" s="222">
        <f t="shared" si="12"/>
        <v>32</v>
      </c>
      <c r="I278" s="236"/>
      <c r="J278" s="236">
        <v>0</v>
      </c>
      <c r="K278" s="236">
        <f t="shared" si="13"/>
        <v>32</v>
      </c>
      <c r="L278" s="237">
        <f t="shared" si="14"/>
        <v>27.66</v>
      </c>
    </row>
    <row r="279" spans="1:12">
      <c r="A279" s="223" t="s">
        <v>4380</v>
      </c>
      <c r="B279" s="80" t="s">
        <v>1467</v>
      </c>
      <c r="C279" s="80" t="s">
        <v>4387</v>
      </c>
      <c r="D279" s="107" t="s">
        <v>1468</v>
      </c>
      <c r="E279" s="80">
        <v>2</v>
      </c>
      <c r="F279" s="133">
        <v>18.2</v>
      </c>
      <c r="G279" s="133">
        <v>21</v>
      </c>
      <c r="H279" s="222">
        <f t="shared" si="12"/>
        <v>42</v>
      </c>
      <c r="I279" s="236"/>
      <c r="J279" s="236">
        <v>0</v>
      </c>
      <c r="K279" s="236">
        <f t="shared" si="13"/>
        <v>42</v>
      </c>
      <c r="L279" s="237">
        <f t="shared" si="14"/>
        <v>36.4</v>
      </c>
    </row>
    <row r="280" spans="1:12">
      <c r="A280" s="223" t="s">
        <v>4380</v>
      </c>
      <c r="B280" s="80" t="s">
        <v>2680</v>
      </c>
      <c r="C280" s="80" t="s">
        <v>4388</v>
      </c>
      <c r="D280" s="107" t="s">
        <v>2681</v>
      </c>
      <c r="E280" s="80">
        <v>1</v>
      </c>
      <c r="F280" s="133">
        <v>71.3</v>
      </c>
      <c r="G280" s="133">
        <v>82</v>
      </c>
      <c r="H280" s="222">
        <f t="shared" si="12"/>
        <v>82</v>
      </c>
      <c r="I280" s="236"/>
      <c r="J280" s="236">
        <v>0</v>
      </c>
      <c r="K280" s="236">
        <f t="shared" si="13"/>
        <v>82</v>
      </c>
      <c r="L280" s="237">
        <f t="shared" si="14"/>
        <v>71.3</v>
      </c>
    </row>
    <row r="281" spans="1:12">
      <c r="A281" s="223" t="s">
        <v>4380</v>
      </c>
      <c r="B281" s="80" t="s">
        <v>2449</v>
      </c>
      <c r="C281" s="80" t="s">
        <v>4388</v>
      </c>
      <c r="D281" s="107" t="s">
        <v>2450</v>
      </c>
      <c r="E281" s="80">
        <v>1</v>
      </c>
      <c r="F281" s="133">
        <v>62.45</v>
      </c>
      <c r="G281" s="133">
        <v>72</v>
      </c>
      <c r="H281" s="222">
        <f t="shared" si="12"/>
        <v>72</v>
      </c>
      <c r="I281" s="236"/>
      <c r="J281" s="236">
        <v>0</v>
      </c>
      <c r="K281" s="236">
        <f t="shared" si="13"/>
        <v>72</v>
      </c>
      <c r="L281" s="237">
        <f t="shared" si="14"/>
        <v>62.45</v>
      </c>
    </row>
    <row r="282" spans="1:12">
      <c r="A282" s="223" t="s">
        <v>4380</v>
      </c>
      <c r="B282" s="80" t="s">
        <v>4074</v>
      </c>
      <c r="C282" s="80" t="s">
        <v>4388</v>
      </c>
      <c r="D282" s="107" t="s">
        <v>4075</v>
      </c>
      <c r="E282" s="80">
        <v>1</v>
      </c>
      <c r="F282" s="133">
        <v>0.76</v>
      </c>
      <c r="G282" s="133">
        <v>1</v>
      </c>
      <c r="H282" s="222">
        <f t="shared" si="12"/>
        <v>1</v>
      </c>
      <c r="I282" s="236"/>
      <c r="J282" s="236">
        <v>0</v>
      </c>
      <c r="K282" s="236">
        <f t="shared" si="13"/>
        <v>1</v>
      </c>
      <c r="L282" s="237">
        <f t="shared" si="14"/>
        <v>0.76</v>
      </c>
    </row>
    <row r="283" spans="1:12">
      <c r="A283" s="223" t="s">
        <v>4380</v>
      </c>
      <c r="B283" s="80" t="s">
        <v>1646</v>
      </c>
      <c r="C283" s="80" t="s">
        <v>4389</v>
      </c>
      <c r="D283" s="107" t="s">
        <v>1647</v>
      </c>
      <c r="E283" s="80">
        <v>1</v>
      </c>
      <c r="F283" s="133">
        <v>35.15</v>
      </c>
      <c r="G283" s="133">
        <v>41</v>
      </c>
      <c r="H283" s="222">
        <f t="shared" si="12"/>
        <v>41</v>
      </c>
      <c r="I283" s="236"/>
      <c r="J283" s="236">
        <v>0</v>
      </c>
      <c r="K283" s="236">
        <f t="shared" si="13"/>
        <v>41</v>
      </c>
      <c r="L283" s="237">
        <f t="shared" si="14"/>
        <v>35.15</v>
      </c>
    </row>
    <row r="284" spans="1:12">
      <c r="A284" s="223" t="s">
        <v>4380</v>
      </c>
      <c r="B284" s="80" t="s">
        <v>489</v>
      </c>
      <c r="C284" s="80" t="s">
        <v>4390</v>
      </c>
      <c r="D284" s="107" t="s">
        <v>490</v>
      </c>
      <c r="E284" s="80">
        <v>1</v>
      </c>
      <c r="F284" s="133">
        <v>16.84</v>
      </c>
      <c r="G284" s="133">
        <v>19.5</v>
      </c>
      <c r="H284" s="222">
        <f t="shared" si="12"/>
        <v>19.5</v>
      </c>
      <c r="I284" s="236"/>
      <c r="J284" s="236">
        <v>0</v>
      </c>
      <c r="K284" s="236">
        <f t="shared" si="13"/>
        <v>19.5</v>
      </c>
      <c r="L284" s="237">
        <f t="shared" si="14"/>
        <v>16.84</v>
      </c>
    </row>
    <row r="285" spans="1:12">
      <c r="A285" s="223" t="s">
        <v>4380</v>
      </c>
      <c r="B285" s="80" t="s">
        <v>703</v>
      </c>
      <c r="C285" s="80" t="s">
        <v>4391</v>
      </c>
      <c r="D285" s="107" t="s">
        <v>704</v>
      </c>
      <c r="E285" s="80">
        <v>2</v>
      </c>
      <c r="F285" s="133">
        <v>15.12</v>
      </c>
      <c r="G285" s="133">
        <v>17.5</v>
      </c>
      <c r="H285" s="222">
        <f t="shared" si="12"/>
        <v>35</v>
      </c>
      <c r="I285" s="236"/>
      <c r="J285" s="236">
        <v>0</v>
      </c>
      <c r="K285" s="236">
        <f t="shared" si="13"/>
        <v>35</v>
      </c>
      <c r="L285" s="237">
        <f t="shared" si="14"/>
        <v>30.24</v>
      </c>
    </row>
    <row r="286" spans="1:12">
      <c r="A286" s="223" t="s">
        <v>4380</v>
      </c>
      <c r="B286" s="80" t="s">
        <v>1609</v>
      </c>
      <c r="C286" s="80" t="s">
        <v>4391</v>
      </c>
      <c r="D286" s="107" t="s">
        <v>1610</v>
      </c>
      <c r="E286" s="80">
        <v>2</v>
      </c>
      <c r="F286" s="133">
        <v>13.1</v>
      </c>
      <c r="G286" s="133">
        <v>15</v>
      </c>
      <c r="H286" s="222">
        <f t="shared" si="12"/>
        <v>30</v>
      </c>
      <c r="I286" s="236"/>
      <c r="J286" s="236">
        <v>0</v>
      </c>
      <c r="K286" s="236">
        <f t="shared" si="13"/>
        <v>30</v>
      </c>
      <c r="L286" s="237">
        <f t="shared" si="14"/>
        <v>26.2</v>
      </c>
    </row>
    <row r="287" spans="1:12">
      <c r="A287" s="223" t="s">
        <v>4380</v>
      </c>
      <c r="B287" s="80" t="s">
        <v>1558</v>
      </c>
      <c r="C287" s="80" t="s">
        <v>4391</v>
      </c>
      <c r="D287" s="107" t="s">
        <v>1559</v>
      </c>
      <c r="E287" s="80">
        <v>2</v>
      </c>
      <c r="F287" s="133">
        <v>14</v>
      </c>
      <c r="G287" s="133">
        <v>16.25</v>
      </c>
      <c r="H287" s="222">
        <f t="shared" si="12"/>
        <v>32.5</v>
      </c>
      <c r="I287" s="236"/>
      <c r="J287" s="236">
        <v>0</v>
      </c>
      <c r="K287" s="236">
        <f t="shared" si="13"/>
        <v>32.5</v>
      </c>
      <c r="L287" s="237">
        <f t="shared" si="14"/>
        <v>28</v>
      </c>
    </row>
    <row r="288" spans="1:12">
      <c r="A288" s="223" t="s">
        <v>4380</v>
      </c>
      <c r="B288" s="80" t="s">
        <v>3725</v>
      </c>
      <c r="C288" s="80" t="s">
        <v>4391</v>
      </c>
      <c r="D288" s="107" t="s">
        <v>3726</v>
      </c>
      <c r="E288" s="80">
        <v>2</v>
      </c>
      <c r="F288" s="133">
        <v>11.5</v>
      </c>
      <c r="G288" s="133">
        <v>13.5</v>
      </c>
      <c r="H288" s="222">
        <f t="shared" si="12"/>
        <v>27</v>
      </c>
      <c r="I288" s="236"/>
      <c r="J288" s="236">
        <v>0</v>
      </c>
      <c r="K288" s="236">
        <f t="shared" si="13"/>
        <v>27</v>
      </c>
      <c r="L288" s="237">
        <f t="shared" si="14"/>
        <v>23</v>
      </c>
    </row>
    <row r="289" spans="1:12">
      <c r="A289" s="223" t="s">
        <v>4380</v>
      </c>
      <c r="B289" s="80" t="s">
        <v>791</v>
      </c>
      <c r="C289" s="80" t="s">
        <v>4391</v>
      </c>
      <c r="D289" s="107" t="s">
        <v>792</v>
      </c>
      <c r="E289" s="80">
        <v>1</v>
      </c>
      <c r="F289" s="133">
        <v>59.5</v>
      </c>
      <c r="G289" s="133">
        <v>68.5</v>
      </c>
      <c r="H289" s="222">
        <f t="shared" si="12"/>
        <v>68.5</v>
      </c>
      <c r="I289" s="236"/>
      <c r="J289" s="236">
        <v>0</v>
      </c>
      <c r="K289" s="236">
        <f t="shared" si="13"/>
        <v>68.5</v>
      </c>
      <c r="L289" s="237">
        <f t="shared" si="14"/>
        <v>59.5</v>
      </c>
    </row>
    <row r="290" spans="1:12">
      <c r="A290" s="223" t="s">
        <v>4380</v>
      </c>
      <c r="B290" s="80" t="s">
        <v>1811</v>
      </c>
      <c r="C290" s="80" t="s">
        <v>4391</v>
      </c>
      <c r="D290" s="107" t="s">
        <v>1812</v>
      </c>
      <c r="E290" s="80">
        <v>2</v>
      </c>
      <c r="F290" s="133">
        <v>24.24</v>
      </c>
      <c r="G290" s="133">
        <v>29.25</v>
      </c>
      <c r="H290" s="222">
        <f t="shared" si="12"/>
        <v>58.5</v>
      </c>
      <c r="I290" s="236"/>
      <c r="J290" s="236">
        <v>0</v>
      </c>
      <c r="K290" s="236">
        <f t="shared" si="13"/>
        <v>58.5</v>
      </c>
      <c r="L290" s="237">
        <f t="shared" si="14"/>
        <v>48.48</v>
      </c>
    </row>
    <row r="291" spans="1:12">
      <c r="A291" s="223" t="s">
        <v>4380</v>
      </c>
      <c r="B291" s="80" t="s">
        <v>2124</v>
      </c>
      <c r="C291" s="80" t="s">
        <v>4391</v>
      </c>
      <c r="D291" s="107" t="s">
        <v>2125</v>
      </c>
      <c r="E291" s="80">
        <v>2</v>
      </c>
      <c r="F291" s="133">
        <v>20.88</v>
      </c>
      <c r="G291" s="133">
        <v>24</v>
      </c>
      <c r="H291" s="222">
        <f t="shared" si="12"/>
        <v>48</v>
      </c>
      <c r="I291" s="236"/>
      <c r="J291" s="236">
        <v>0</v>
      </c>
      <c r="K291" s="236">
        <f t="shared" si="13"/>
        <v>48</v>
      </c>
      <c r="L291" s="237">
        <f t="shared" si="14"/>
        <v>41.76</v>
      </c>
    </row>
    <row r="292" spans="1:12">
      <c r="A292" s="223" t="s">
        <v>4380</v>
      </c>
      <c r="B292" s="80" t="s">
        <v>1705</v>
      </c>
      <c r="C292" s="80" t="s">
        <v>4391</v>
      </c>
      <c r="D292" s="107" t="s">
        <v>1706</v>
      </c>
      <c r="E292" s="80">
        <v>1</v>
      </c>
      <c r="F292" s="133">
        <v>43.34</v>
      </c>
      <c r="G292" s="133">
        <v>50</v>
      </c>
      <c r="H292" s="222">
        <f t="shared" si="12"/>
        <v>50</v>
      </c>
      <c r="I292" s="236"/>
      <c r="J292" s="236">
        <v>0</v>
      </c>
      <c r="K292" s="236">
        <f t="shared" si="13"/>
        <v>50</v>
      </c>
      <c r="L292" s="237">
        <f t="shared" si="14"/>
        <v>43.34</v>
      </c>
    </row>
    <row r="293" spans="1:12">
      <c r="A293" s="223" t="s">
        <v>4380</v>
      </c>
      <c r="B293" s="80" t="s">
        <v>1434</v>
      </c>
      <c r="C293" s="80" t="s">
        <v>4391</v>
      </c>
      <c r="D293" s="107" t="s">
        <v>1435</v>
      </c>
      <c r="E293" s="80">
        <v>1</v>
      </c>
      <c r="F293" s="133">
        <v>104.76</v>
      </c>
      <c r="G293" s="133">
        <v>132</v>
      </c>
      <c r="H293" s="222">
        <f t="shared" si="12"/>
        <v>132</v>
      </c>
      <c r="I293" s="236"/>
      <c r="J293" s="236">
        <v>0</v>
      </c>
      <c r="K293" s="236">
        <f t="shared" si="13"/>
        <v>132</v>
      </c>
      <c r="L293" s="237">
        <f t="shared" si="14"/>
        <v>104.76</v>
      </c>
    </row>
    <row r="294" spans="1:12">
      <c r="A294" s="223" t="s">
        <v>4380</v>
      </c>
      <c r="B294" s="80" t="s">
        <v>1336</v>
      </c>
      <c r="C294" s="80" t="s">
        <v>4391</v>
      </c>
      <c r="D294" s="107" t="s">
        <v>1337</v>
      </c>
      <c r="E294" s="80">
        <v>1</v>
      </c>
      <c r="F294" s="133">
        <v>24.35</v>
      </c>
      <c r="G294" s="133">
        <v>28</v>
      </c>
      <c r="H294" s="222">
        <f t="shared" si="12"/>
        <v>28</v>
      </c>
      <c r="I294" s="236"/>
      <c r="J294" s="236">
        <v>0</v>
      </c>
      <c r="K294" s="236">
        <f t="shared" si="13"/>
        <v>28</v>
      </c>
      <c r="L294" s="237">
        <f t="shared" si="14"/>
        <v>24.35</v>
      </c>
    </row>
    <row r="295" spans="1:12">
      <c r="A295" s="223" t="s">
        <v>4380</v>
      </c>
      <c r="B295" s="80" t="s">
        <v>1780</v>
      </c>
      <c r="C295" s="80" t="s">
        <v>4391</v>
      </c>
      <c r="D295" s="107" t="s">
        <v>1781</v>
      </c>
      <c r="E295" s="80">
        <v>1</v>
      </c>
      <c r="F295" s="133">
        <v>35.549999999999997</v>
      </c>
      <c r="G295" s="133">
        <v>41</v>
      </c>
      <c r="H295" s="222">
        <f t="shared" si="12"/>
        <v>41</v>
      </c>
      <c r="I295" s="236"/>
      <c r="J295" s="236">
        <v>0</v>
      </c>
      <c r="K295" s="236">
        <f t="shared" si="13"/>
        <v>41</v>
      </c>
      <c r="L295" s="237">
        <f t="shared" si="14"/>
        <v>35.549999999999997</v>
      </c>
    </row>
    <row r="296" spans="1:12">
      <c r="A296" s="223" t="s">
        <v>4380</v>
      </c>
      <c r="B296" s="80" t="s">
        <v>1125</v>
      </c>
      <c r="C296" s="80" t="s">
        <v>4391</v>
      </c>
      <c r="D296" s="107" t="s">
        <v>1126</v>
      </c>
      <c r="E296" s="80">
        <v>1</v>
      </c>
      <c r="F296" s="133">
        <v>36.11</v>
      </c>
      <c r="G296" s="133">
        <v>41.75</v>
      </c>
      <c r="H296" s="222">
        <f t="shared" si="12"/>
        <v>41.75</v>
      </c>
      <c r="I296" s="236"/>
      <c r="J296" s="236">
        <v>0</v>
      </c>
      <c r="K296" s="236">
        <f t="shared" si="13"/>
        <v>41.75</v>
      </c>
      <c r="L296" s="237">
        <f t="shared" si="14"/>
        <v>36.11</v>
      </c>
    </row>
    <row r="297" spans="1:12">
      <c r="A297" s="223" t="s">
        <v>4380</v>
      </c>
      <c r="B297" s="80" t="s">
        <v>3050</v>
      </c>
      <c r="C297" s="80" t="s">
        <v>4391</v>
      </c>
      <c r="D297" s="107" t="s">
        <v>3051</v>
      </c>
      <c r="E297" s="80">
        <v>6</v>
      </c>
      <c r="F297" s="133">
        <v>6.38</v>
      </c>
      <c r="G297" s="133">
        <v>7.5</v>
      </c>
      <c r="H297" s="222">
        <f t="shared" si="12"/>
        <v>45</v>
      </c>
      <c r="I297" s="236"/>
      <c r="J297" s="236">
        <v>0</v>
      </c>
      <c r="K297" s="236">
        <f t="shared" si="13"/>
        <v>45</v>
      </c>
      <c r="L297" s="237">
        <f t="shared" si="14"/>
        <v>38.28</v>
      </c>
    </row>
    <row r="298" spans="1:12">
      <c r="A298" s="223" t="s">
        <v>4380</v>
      </c>
      <c r="B298" s="80" t="s">
        <v>2249</v>
      </c>
      <c r="C298" s="80" t="s">
        <v>4391</v>
      </c>
      <c r="D298" s="107" t="s">
        <v>2250</v>
      </c>
      <c r="E298" s="80">
        <v>4</v>
      </c>
      <c r="F298" s="133">
        <v>8.3000000000000007</v>
      </c>
      <c r="G298" s="133">
        <v>9.75</v>
      </c>
      <c r="H298" s="222">
        <f t="shared" si="12"/>
        <v>39</v>
      </c>
      <c r="I298" s="236"/>
      <c r="J298" s="236">
        <v>0</v>
      </c>
      <c r="K298" s="236">
        <f t="shared" si="13"/>
        <v>39</v>
      </c>
      <c r="L298" s="237">
        <f t="shared" si="14"/>
        <v>33.200000000000003</v>
      </c>
    </row>
    <row r="299" spans="1:12">
      <c r="A299" s="223" t="s">
        <v>4380</v>
      </c>
      <c r="B299" s="80" t="s">
        <v>2287</v>
      </c>
      <c r="C299" s="80" t="s">
        <v>4391</v>
      </c>
      <c r="D299" s="107" t="s">
        <v>2288</v>
      </c>
      <c r="E299" s="80">
        <v>1</v>
      </c>
      <c r="F299" s="133">
        <v>67.88</v>
      </c>
      <c r="G299" s="133">
        <v>78.25</v>
      </c>
      <c r="H299" s="222">
        <f t="shared" si="12"/>
        <v>78.25</v>
      </c>
      <c r="I299" s="236"/>
      <c r="J299" s="236">
        <v>0</v>
      </c>
      <c r="K299" s="236">
        <f t="shared" si="13"/>
        <v>78.25</v>
      </c>
      <c r="L299" s="237">
        <f t="shared" si="14"/>
        <v>67.88</v>
      </c>
    </row>
    <row r="300" spans="1:12">
      <c r="A300" s="223" t="s">
        <v>4380</v>
      </c>
      <c r="B300" s="80" t="s">
        <v>1229</v>
      </c>
      <c r="C300" s="80" t="s">
        <v>4392</v>
      </c>
      <c r="D300" s="107" t="s">
        <v>1230</v>
      </c>
      <c r="E300" s="80">
        <v>1</v>
      </c>
      <c r="F300" s="133">
        <v>38</v>
      </c>
      <c r="G300" s="133">
        <v>43.75</v>
      </c>
      <c r="H300" s="222">
        <f t="shared" si="12"/>
        <v>43.75</v>
      </c>
      <c r="I300" s="236"/>
      <c r="J300" s="236">
        <v>0</v>
      </c>
      <c r="K300" s="236">
        <f t="shared" si="13"/>
        <v>43.75</v>
      </c>
      <c r="L300" s="237">
        <f t="shared" si="14"/>
        <v>38</v>
      </c>
    </row>
    <row r="301" spans="1:12">
      <c r="A301" s="223" t="s">
        <v>4380</v>
      </c>
      <c r="B301" s="80" t="s">
        <v>1026</v>
      </c>
      <c r="C301" s="80" t="s">
        <v>4392</v>
      </c>
      <c r="D301" s="107" t="s">
        <v>1027</v>
      </c>
      <c r="E301" s="80">
        <v>1</v>
      </c>
      <c r="F301" s="133">
        <v>57.25</v>
      </c>
      <c r="G301" s="133">
        <v>66</v>
      </c>
      <c r="H301" s="222">
        <f t="shared" si="12"/>
        <v>66</v>
      </c>
      <c r="I301" s="236"/>
      <c r="J301" s="236">
        <v>0</v>
      </c>
      <c r="K301" s="236">
        <f t="shared" si="13"/>
        <v>66</v>
      </c>
      <c r="L301" s="237">
        <f t="shared" si="14"/>
        <v>57.25</v>
      </c>
    </row>
    <row r="302" spans="1:12">
      <c r="A302" s="223" t="s">
        <v>4380</v>
      </c>
      <c r="B302" s="80" t="s">
        <v>4074</v>
      </c>
      <c r="C302" s="80" t="s">
        <v>4393</v>
      </c>
      <c r="D302" s="107" t="s">
        <v>4075</v>
      </c>
      <c r="E302" s="80">
        <v>4</v>
      </c>
      <c r="F302" s="133">
        <v>0.76</v>
      </c>
      <c r="G302" s="133">
        <v>1</v>
      </c>
      <c r="H302" s="222">
        <f t="shared" si="12"/>
        <v>4</v>
      </c>
      <c r="I302" s="236"/>
      <c r="J302" s="236">
        <v>0</v>
      </c>
      <c r="K302" s="236">
        <f t="shared" si="13"/>
        <v>4</v>
      </c>
      <c r="L302" s="237">
        <f t="shared" si="14"/>
        <v>3.04</v>
      </c>
    </row>
    <row r="303" spans="1:12">
      <c r="A303" s="223" t="s">
        <v>4380</v>
      </c>
      <c r="B303" s="80" t="s">
        <v>4179</v>
      </c>
      <c r="C303" s="80" t="s">
        <v>4394</v>
      </c>
      <c r="D303" s="107" t="s">
        <v>486</v>
      </c>
      <c r="E303" s="80">
        <v>3</v>
      </c>
      <c r="F303" s="133">
        <v>16.03</v>
      </c>
      <c r="G303" s="133">
        <v>18.5</v>
      </c>
      <c r="H303" s="222">
        <f t="shared" si="12"/>
        <v>55.5</v>
      </c>
      <c r="I303" s="236"/>
      <c r="J303" s="236">
        <v>0</v>
      </c>
      <c r="K303" s="236">
        <f t="shared" si="13"/>
        <v>55.5</v>
      </c>
      <c r="L303" s="237">
        <f t="shared" si="14"/>
        <v>48.09</v>
      </c>
    </row>
    <row r="304" spans="1:12">
      <c r="A304" s="223" t="s">
        <v>4380</v>
      </c>
      <c r="B304" s="80" t="s">
        <v>809</v>
      </c>
      <c r="C304" s="80" t="s">
        <v>4395</v>
      </c>
      <c r="D304" s="107" t="s">
        <v>810</v>
      </c>
      <c r="E304" s="80">
        <v>1</v>
      </c>
      <c r="F304" s="133">
        <v>44.8</v>
      </c>
      <c r="G304" s="133">
        <v>51.75</v>
      </c>
      <c r="H304" s="222">
        <f t="shared" si="12"/>
        <v>51.75</v>
      </c>
      <c r="I304" s="236"/>
      <c r="J304" s="236">
        <v>0</v>
      </c>
      <c r="K304" s="236">
        <f t="shared" si="13"/>
        <v>51.75</v>
      </c>
      <c r="L304" s="237">
        <f t="shared" si="14"/>
        <v>44.8</v>
      </c>
    </row>
    <row r="305" spans="1:12">
      <c r="A305" s="223" t="s">
        <v>4380</v>
      </c>
      <c r="B305" s="80" t="s">
        <v>803</v>
      </c>
      <c r="C305" s="80" t="s">
        <v>4395</v>
      </c>
      <c r="D305" s="107" t="s">
        <v>804</v>
      </c>
      <c r="E305" s="80">
        <v>1</v>
      </c>
      <c r="F305" s="133">
        <v>37.799999999999997</v>
      </c>
      <c r="G305" s="133">
        <v>43.5</v>
      </c>
      <c r="H305" s="222">
        <f t="shared" si="12"/>
        <v>43.5</v>
      </c>
      <c r="I305" s="236"/>
      <c r="J305" s="236">
        <v>0</v>
      </c>
      <c r="K305" s="236">
        <f t="shared" si="13"/>
        <v>43.5</v>
      </c>
      <c r="L305" s="237">
        <f t="shared" si="14"/>
        <v>37.799999999999997</v>
      </c>
    </row>
    <row r="306" spans="1:12">
      <c r="A306" s="223" t="s">
        <v>4396</v>
      </c>
      <c r="B306" s="80" t="s">
        <v>4179</v>
      </c>
      <c r="C306" s="80" t="s">
        <v>4397</v>
      </c>
      <c r="D306" s="107" t="s">
        <v>486</v>
      </c>
      <c r="E306" s="80">
        <v>1</v>
      </c>
      <c r="F306" s="133">
        <v>16.03</v>
      </c>
      <c r="G306" s="133">
        <v>18.5</v>
      </c>
      <c r="H306" s="222">
        <f t="shared" si="12"/>
        <v>18.5</v>
      </c>
      <c r="I306" s="236"/>
      <c r="J306" s="236">
        <v>0</v>
      </c>
      <c r="K306" s="236">
        <f t="shared" si="13"/>
        <v>18.5</v>
      </c>
      <c r="L306" s="237">
        <f t="shared" si="14"/>
        <v>16.03</v>
      </c>
    </row>
    <row r="307" spans="1:12">
      <c r="A307" s="223" t="s">
        <v>4396</v>
      </c>
      <c r="B307" s="80" t="s">
        <v>1732</v>
      </c>
      <c r="C307" s="80" t="s">
        <v>4398</v>
      </c>
      <c r="D307" s="107" t="s">
        <v>1733</v>
      </c>
      <c r="E307" s="80">
        <v>1</v>
      </c>
      <c r="F307" s="133">
        <v>53.81</v>
      </c>
      <c r="G307" s="133">
        <v>62</v>
      </c>
      <c r="H307" s="222">
        <f t="shared" si="12"/>
        <v>62</v>
      </c>
      <c r="I307" s="236"/>
      <c r="J307" s="236">
        <v>0</v>
      </c>
      <c r="K307" s="236">
        <f t="shared" si="13"/>
        <v>62</v>
      </c>
      <c r="L307" s="237">
        <f t="shared" si="14"/>
        <v>53.81</v>
      </c>
    </row>
    <row r="308" spans="1:12">
      <c r="A308" s="223" t="s">
        <v>4396</v>
      </c>
      <c r="B308" s="80" t="s">
        <v>4074</v>
      </c>
      <c r="C308" s="80" t="s">
        <v>4399</v>
      </c>
      <c r="D308" s="107" t="s">
        <v>4075</v>
      </c>
      <c r="E308" s="80">
        <v>6</v>
      </c>
      <c r="F308" s="133">
        <v>0.76</v>
      </c>
      <c r="G308" s="133">
        <v>1</v>
      </c>
      <c r="H308" s="222">
        <f t="shared" si="12"/>
        <v>6</v>
      </c>
      <c r="I308" s="236"/>
      <c r="J308" s="236">
        <v>0</v>
      </c>
      <c r="K308" s="236">
        <f t="shared" si="13"/>
        <v>6</v>
      </c>
      <c r="L308" s="237">
        <f t="shared" si="14"/>
        <v>4.5600000000000005</v>
      </c>
    </row>
    <row r="309" spans="1:12">
      <c r="A309" s="223" t="s">
        <v>4396</v>
      </c>
      <c r="B309" s="80" t="s">
        <v>484</v>
      </c>
      <c r="C309" s="80" t="s">
        <v>4399</v>
      </c>
      <c r="D309" s="107" t="s">
        <v>485</v>
      </c>
      <c r="E309" s="80">
        <v>1</v>
      </c>
      <c r="F309" s="133">
        <v>19.100000000000001</v>
      </c>
      <c r="G309" s="133">
        <v>22</v>
      </c>
      <c r="H309" s="222">
        <f t="shared" si="12"/>
        <v>22</v>
      </c>
      <c r="I309" s="236"/>
      <c r="J309" s="236">
        <v>0</v>
      </c>
      <c r="K309" s="236">
        <f t="shared" si="13"/>
        <v>22</v>
      </c>
      <c r="L309" s="237">
        <f t="shared" si="14"/>
        <v>19.100000000000001</v>
      </c>
    </row>
    <row r="310" spans="1:12">
      <c r="A310" s="223" t="s">
        <v>4396</v>
      </c>
      <c r="B310" s="80" t="s">
        <v>3775</v>
      </c>
      <c r="C310" s="80" t="s">
        <v>4399</v>
      </c>
      <c r="D310" s="107" t="s">
        <v>3776</v>
      </c>
      <c r="E310" s="80">
        <v>2</v>
      </c>
      <c r="F310" s="133">
        <v>7</v>
      </c>
      <c r="G310" s="133">
        <v>9.5</v>
      </c>
      <c r="H310" s="222">
        <f t="shared" si="12"/>
        <v>19</v>
      </c>
      <c r="I310" s="236"/>
      <c r="J310" s="236">
        <v>0</v>
      </c>
      <c r="K310" s="236">
        <f t="shared" si="13"/>
        <v>19</v>
      </c>
      <c r="L310" s="237">
        <f t="shared" si="14"/>
        <v>14</v>
      </c>
    </row>
    <row r="311" spans="1:12">
      <c r="A311" s="223" t="s">
        <v>4396</v>
      </c>
      <c r="B311" s="80" t="s">
        <v>4363</v>
      </c>
      <c r="C311" s="80" t="s">
        <v>4399</v>
      </c>
      <c r="D311" s="107" t="s">
        <v>4364</v>
      </c>
      <c r="E311" s="80">
        <v>2</v>
      </c>
      <c r="F311" s="133">
        <v>6.03</v>
      </c>
      <c r="G311" s="133">
        <v>7</v>
      </c>
      <c r="H311" s="222">
        <f t="shared" si="12"/>
        <v>14</v>
      </c>
      <c r="I311" s="236"/>
      <c r="J311" s="236">
        <v>0</v>
      </c>
      <c r="K311" s="236">
        <f t="shared" si="13"/>
        <v>14</v>
      </c>
      <c r="L311" s="237">
        <f t="shared" si="14"/>
        <v>12.06</v>
      </c>
    </row>
    <row r="312" spans="1:12">
      <c r="A312" s="223" t="s">
        <v>4396</v>
      </c>
      <c r="B312" s="80" t="s">
        <v>842</v>
      </c>
      <c r="C312" s="80" t="s">
        <v>4399</v>
      </c>
      <c r="D312" s="107" t="s">
        <v>843</v>
      </c>
      <c r="E312" s="80">
        <v>1</v>
      </c>
      <c r="F312" s="133">
        <v>20.68</v>
      </c>
      <c r="G312" s="133">
        <v>24</v>
      </c>
      <c r="H312" s="222">
        <f t="shared" si="12"/>
        <v>24</v>
      </c>
      <c r="I312" s="236"/>
      <c r="J312" s="236">
        <v>0</v>
      </c>
      <c r="K312" s="236">
        <f t="shared" si="13"/>
        <v>24</v>
      </c>
      <c r="L312" s="237">
        <f t="shared" si="14"/>
        <v>20.68</v>
      </c>
    </row>
    <row r="313" spans="1:12">
      <c r="A313" s="223" t="s">
        <v>4396</v>
      </c>
      <c r="B313" s="80" t="s">
        <v>844</v>
      </c>
      <c r="C313" s="80" t="s">
        <v>4400</v>
      </c>
      <c r="D313" s="107" t="s">
        <v>845</v>
      </c>
      <c r="E313" s="80">
        <v>1</v>
      </c>
      <c r="F313" s="133">
        <v>8.5299999999999994</v>
      </c>
      <c r="G313" s="133">
        <v>10</v>
      </c>
      <c r="H313" s="222">
        <f t="shared" si="12"/>
        <v>10</v>
      </c>
      <c r="I313" s="236"/>
      <c r="J313" s="236">
        <v>0</v>
      </c>
      <c r="K313" s="236">
        <f t="shared" si="13"/>
        <v>10</v>
      </c>
      <c r="L313" s="237">
        <f t="shared" si="14"/>
        <v>8.5299999999999994</v>
      </c>
    </row>
    <row r="314" spans="1:12">
      <c r="A314" s="223" t="s">
        <v>4396</v>
      </c>
      <c r="B314" s="80" t="s">
        <v>1259</v>
      </c>
      <c r="C314" s="80" t="s">
        <v>4401</v>
      </c>
      <c r="D314" s="107" t="s">
        <v>1260</v>
      </c>
      <c r="E314" s="80">
        <v>1</v>
      </c>
      <c r="F314" s="133">
        <v>58.84</v>
      </c>
      <c r="G314" s="133">
        <v>67.75</v>
      </c>
      <c r="H314" s="222">
        <f t="shared" si="12"/>
        <v>67.75</v>
      </c>
      <c r="I314" s="236"/>
      <c r="J314" s="236">
        <v>0</v>
      </c>
      <c r="K314" s="236">
        <f t="shared" si="13"/>
        <v>67.75</v>
      </c>
      <c r="L314" s="237">
        <f t="shared" si="14"/>
        <v>58.84</v>
      </c>
    </row>
    <row r="315" spans="1:12">
      <c r="A315" s="223" t="s">
        <v>4396</v>
      </c>
      <c r="B315" s="80" t="s">
        <v>842</v>
      </c>
      <c r="C315" s="80" t="s">
        <v>4402</v>
      </c>
      <c r="D315" s="107" t="s">
        <v>843</v>
      </c>
      <c r="E315" s="80">
        <v>1</v>
      </c>
      <c r="F315" s="133">
        <v>20.68</v>
      </c>
      <c r="G315" s="133">
        <v>24</v>
      </c>
      <c r="H315" s="222">
        <f t="shared" si="12"/>
        <v>24</v>
      </c>
      <c r="I315" s="236"/>
      <c r="J315" s="236">
        <v>0</v>
      </c>
      <c r="K315" s="236">
        <f t="shared" si="13"/>
        <v>24</v>
      </c>
      <c r="L315" s="237">
        <f t="shared" si="14"/>
        <v>20.68</v>
      </c>
    </row>
    <row r="316" spans="1:12">
      <c r="A316" s="223" t="s">
        <v>4396</v>
      </c>
      <c r="B316" s="80" t="s">
        <v>1259</v>
      </c>
      <c r="C316" s="80" t="s">
        <v>4403</v>
      </c>
      <c r="D316" s="107" t="s">
        <v>1260</v>
      </c>
      <c r="E316" s="80">
        <v>1</v>
      </c>
      <c r="F316" s="133">
        <v>58.84</v>
      </c>
      <c r="G316" s="133">
        <v>67.75</v>
      </c>
      <c r="H316" s="222">
        <f t="shared" si="12"/>
        <v>67.75</v>
      </c>
      <c r="I316" s="236"/>
      <c r="J316" s="236">
        <v>0</v>
      </c>
      <c r="K316" s="236">
        <f t="shared" si="13"/>
        <v>67.75</v>
      </c>
      <c r="L316" s="237">
        <f t="shared" si="14"/>
        <v>58.84</v>
      </c>
    </row>
    <row r="317" spans="1:12">
      <c r="A317" s="223" t="s">
        <v>4396</v>
      </c>
      <c r="B317" s="80" t="s">
        <v>1255</v>
      </c>
      <c r="C317" s="80" t="s">
        <v>4404</v>
      </c>
      <c r="D317" s="107" t="s">
        <v>1256</v>
      </c>
      <c r="E317" s="80">
        <v>1</v>
      </c>
      <c r="F317" s="133">
        <v>29.9</v>
      </c>
      <c r="G317" s="133">
        <v>34.5</v>
      </c>
      <c r="H317" s="222">
        <f t="shared" si="12"/>
        <v>34.5</v>
      </c>
      <c r="I317" s="236"/>
      <c r="J317" s="236">
        <v>0</v>
      </c>
      <c r="K317" s="236">
        <f t="shared" si="13"/>
        <v>34.5</v>
      </c>
      <c r="L317" s="237">
        <f t="shared" si="14"/>
        <v>29.9</v>
      </c>
    </row>
    <row r="318" spans="1:12">
      <c r="A318" s="223" t="s">
        <v>4396</v>
      </c>
      <c r="B318" s="80" t="s">
        <v>484</v>
      </c>
      <c r="C318" s="80" t="s">
        <v>4405</v>
      </c>
      <c r="D318" s="107" t="s">
        <v>485</v>
      </c>
      <c r="E318" s="80">
        <v>1</v>
      </c>
      <c r="F318" s="133">
        <v>19.100000000000001</v>
      </c>
      <c r="G318" s="133">
        <v>22</v>
      </c>
      <c r="H318" s="222">
        <f t="shared" si="12"/>
        <v>22</v>
      </c>
      <c r="I318" s="236"/>
      <c r="J318" s="236">
        <v>0</v>
      </c>
      <c r="K318" s="236">
        <f t="shared" si="13"/>
        <v>22</v>
      </c>
      <c r="L318" s="237">
        <f t="shared" si="14"/>
        <v>19.100000000000001</v>
      </c>
    </row>
    <row r="319" spans="1:12">
      <c r="A319" s="223" t="s">
        <v>4396</v>
      </c>
      <c r="B319" s="80" t="s">
        <v>3527</v>
      </c>
      <c r="C319" s="80" t="s">
        <v>4406</v>
      </c>
      <c r="D319" s="107" t="s">
        <v>3528</v>
      </c>
      <c r="E319" s="80">
        <v>1</v>
      </c>
      <c r="F319" s="133">
        <v>20.399999999999999</v>
      </c>
      <c r="G319" s="133">
        <v>23.5</v>
      </c>
      <c r="H319" s="222">
        <f t="shared" si="12"/>
        <v>23.5</v>
      </c>
      <c r="I319" s="236"/>
      <c r="J319" s="236">
        <v>0</v>
      </c>
      <c r="K319" s="236">
        <f t="shared" si="13"/>
        <v>23.5</v>
      </c>
      <c r="L319" s="237">
        <f t="shared" si="14"/>
        <v>20.399999999999999</v>
      </c>
    </row>
    <row r="320" spans="1:12">
      <c r="A320" s="223" t="s">
        <v>4396</v>
      </c>
      <c r="B320" s="80" t="s">
        <v>1292</v>
      </c>
      <c r="C320" s="80" t="s">
        <v>4407</v>
      </c>
      <c r="D320" s="107" t="s">
        <v>1293</v>
      </c>
      <c r="E320" s="80">
        <v>1</v>
      </c>
      <c r="F320" s="133">
        <v>7.85</v>
      </c>
      <c r="G320" s="133">
        <v>12</v>
      </c>
      <c r="H320" s="222">
        <f t="shared" si="12"/>
        <v>12</v>
      </c>
      <c r="I320" s="236"/>
      <c r="J320" s="236">
        <v>0</v>
      </c>
      <c r="K320" s="236">
        <f t="shared" si="13"/>
        <v>12</v>
      </c>
      <c r="L320" s="237">
        <f t="shared" si="14"/>
        <v>7.85</v>
      </c>
    </row>
    <row r="321" spans="1:12">
      <c r="A321" s="223" t="s">
        <v>4396</v>
      </c>
      <c r="B321" s="80" t="s">
        <v>614</v>
      </c>
      <c r="C321" s="80" t="s">
        <v>4408</v>
      </c>
      <c r="D321" s="107" t="s">
        <v>615</v>
      </c>
      <c r="E321" s="80">
        <v>1</v>
      </c>
      <c r="F321" s="133">
        <v>15.68</v>
      </c>
      <c r="G321" s="133">
        <v>18</v>
      </c>
      <c r="H321" s="222">
        <f t="shared" si="12"/>
        <v>18</v>
      </c>
      <c r="I321" s="236"/>
      <c r="J321" s="236">
        <v>0</v>
      </c>
      <c r="K321" s="236">
        <f t="shared" si="13"/>
        <v>18</v>
      </c>
      <c r="L321" s="237">
        <f t="shared" si="14"/>
        <v>15.68</v>
      </c>
    </row>
    <row r="322" spans="1:12">
      <c r="A322" s="223" t="s">
        <v>4396</v>
      </c>
      <c r="B322" s="80" t="s">
        <v>4074</v>
      </c>
      <c r="C322" s="80" t="s">
        <v>4409</v>
      </c>
      <c r="D322" s="107" t="s">
        <v>4075</v>
      </c>
      <c r="E322" s="80">
        <v>5</v>
      </c>
      <c r="F322" s="133">
        <v>0.76</v>
      </c>
      <c r="G322" s="133">
        <v>1</v>
      </c>
      <c r="H322" s="222">
        <f t="shared" si="12"/>
        <v>5</v>
      </c>
      <c r="I322" s="236"/>
      <c r="J322" s="236">
        <v>0</v>
      </c>
      <c r="K322" s="236">
        <f t="shared" si="13"/>
        <v>5</v>
      </c>
      <c r="L322" s="237">
        <f t="shared" si="14"/>
        <v>3.8</v>
      </c>
    </row>
    <row r="323" spans="1:12">
      <c r="A323" s="223" t="s">
        <v>4396</v>
      </c>
      <c r="B323" s="80" t="s">
        <v>4363</v>
      </c>
      <c r="C323" s="80" t="s">
        <v>4410</v>
      </c>
      <c r="D323" s="107" t="s">
        <v>4364</v>
      </c>
      <c r="E323" s="80">
        <v>1</v>
      </c>
      <c r="F323" s="133">
        <v>6.03</v>
      </c>
      <c r="G323" s="133">
        <v>7</v>
      </c>
      <c r="H323" s="222">
        <f t="shared" si="12"/>
        <v>7</v>
      </c>
      <c r="I323" s="236"/>
      <c r="J323" s="236">
        <v>0</v>
      </c>
      <c r="K323" s="236">
        <f t="shared" si="13"/>
        <v>7</v>
      </c>
      <c r="L323" s="237">
        <f t="shared" si="14"/>
        <v>6.03</v>
      </c>
    </row>
    <row r="324" spans="1:12">
      <c r="A324" s="223" t="s">
        <v>4411</v>
      </c>
      <c r="B324" s="80" t="s">
        <v>719</v>
      </c>
      <c r="C324" s="80" t="s">
        <v>4412</v>
      </c>
      <c r="D324" s="107" t="s">
        <v>720</v>
      </c>
      <c r="E324" s="80">
        <v>2</v>
      </c>
      <c r="F324" s="133">
        <v>15.65</v>
      </c>
      <c r="G324" s="133">
        <v>18</v>
      </c>
      <c r="H324" s="222">
        <f t="shared" ref="H324:H387" si="15">E324*G324</f>
        <v>36</v>
      </c>
      <c r="I324" s="236"/>
      <c r="J324" s="236">
        <v>0</v>
      </c>
      <c r="K324" s="236">
        <f t="shared" si="13"/>
        <v>36</v>
      </c>
      <c r="L324" s="237">
        <f t="shared" si="14"/>
        <v>31.3</v>
      </c>
    </row>
    <row r="325" spans="1:12">
      <c r="A325" s="223" t="s">
        <v>4411</v>
      </c>
      <c r="B325" s="80" t="s">
        <v>639</v>
      </c>
      <c r="C325" s="80" t="s">
        <v>4412</v>
      </c>
      <c r="D325" s="107" t="s">
        <v>640</v>
      </c>
      <c r="E325" s="80">
        <v>1</v>
      </c>
      <c r="F325" s="133">
        <v>33.1</v>
      </c>
      <c r="G325" s="133">
        <v>38.25</v>
      </c>
      <c r="H325" s="222">
        <f t="shared" si="15"/>
        <v>38.25</v>
      </c>
      <c r="I325" s="236"/>
      <c r="J325" s="236">
        <v>0</v>
      </c>
      <c r="K325" s="236">
        <f t="shared" ref="K325:K388" si="16">H325+I325-J325</f>
        <v>38.25</v>
      </c>
      <c r="L325" s="237">
        <f t="shared" ref="L325:L388" si="17">E325*F325</f>
        <v>33.1</v>
      </c>
    </row>
    <row r="326" spans="1:12">
      <c r="A326" s="223" t="s">
        <v>4411</v>
      </c>
      <c r="B326" s="80" t="s">
        <v>550</v>
      </c>
      <c r="C326" s="80" t="s">
        <v>4412</v>
      </c>
      <c r="D326" s="107" t="s">
        <v>551</v>
      </c>
      <c r="E326" s="80">
        <v>2</v>
      </c>
      <c r="F326" s="133">
        <v>7.51</v>
      </c>
      <c r="G326" s="133">
        <v>8.75</v>
      </c>
      <c r="H326" s="222">
        <f t="shared" si="15"/>
        <v>17.5</v>
      </c>
      <c r="I326" s="236"/>
      <c r="J326" s="236">
        <v>0</v>
      </c>
      <c r="K326" s="236">
        <f t="shared" si="16"/>
        <v>17.5</v>
      </c>
      <c r="L326" s="237">
        <f t="shared" si="17"/>
        <v>15.02</v>
      </c>
    </row>
    <row r="327" spans="1:12">
      <c r="A327" s="223" t="s">
        <v>4411</v>
      </c>
      <c r="B327" s="80" t="s">
        <v>2620</v>
      </c>
      <c r="C327" s="80" t="s">
        <v>4413</v>
      </c>
      <c r="D327" s="107" t="s">
        <v>2621</v>
      </c>
      <c r="E327" s="80">
        <v>1</v>
      </c>
      <c r="F327" s="133">
        <v>20.57</v>
      </c>
      <c r="G327" s="133">
        <v>23.75</v>
      </c>
      <c r="H327" s="222">
        <f t="shared" si="15"/>
        <v>23.75</v>
      </c>
      <c r="I327" s="236"/>
      <c r="J327" s="236">
        <v>0</v>
      </c>
      <c r="K327" s="236">
        <f t="shared" si="16"/>
        <v>23.75</v>
      </c>
      <c r="L327" s="237">
        <f t="shared" si="17"/>
        <v>20.57</v>
      </c>
    </row>
    <row r="328" spans="1:12">
      <c r="A328" s="223" t="s">
        <v>4411</v>
      </c>
      <c r="B328" s="80" t="s">
        <v>3085</v>
      </c>
      <c r="C328" s="80" t="s">
        <v>4413</v>
      </c>
      <c r="D328" s="107" t="s">
        <v>3086</v>
      </c>
      <c r="E328" s="80">
        <v>3</v>
      </c>
      <c r="F328" s="133">
        <v>18.98</v>
      </c>
      <c r="G328" s="133">
        <v>22</v>
      </c>
      <c r="H328" s="222">
        <f t="shared" si="15"/>
        <v>66</v>
      </c>
      <c r="I328" s="236"/>
      <c r="J328" s="236">
        <v>0</v>
      </c>
      <c r="K328" s="236">
        <f t="shared" si="16"/>
        <v>66</v>
      </c>
      <c r="L328" s="237">
        <f t="shared" si="17"/>
        <v>56.94</v>
      </c>
    </row>
    <row r="329" spans="1:12">
      <c r="A329" s="223" t="s">
        <v>4411</v>
      </c>
      <c r="B329" s="80" t="s">
        <v>2690</v>
      </c>
      <c r="C329" s="80" t="s">
        <v>4413</v>
      </c>
      <c r="D329" s="107" t="s">
        <v>2691</v>
      </c>
      <c r="E329" s="80">
        <v>2</v>
      </c>
      <c r="F329" s="133">
        <v>4.8</v>
      </c>
      <c r="G329" s="133">
        <v>5.75</v>
      </c>
      <c r="H329" s="222">
        <f t="shared" si="15"/>
        <v>11.5</v>
      </c>
      <c r="I329" s="236"/>
      <c r="J329" s="236">
        <v>0</v>
      </c>
      <c r="K329" s="236">
        <f t="shared" si="16"/>
        <v>11.5</v>
      </c>
      <c r="L329" s="237">
        <f t="shared" si="17"/>
        <v>9.6</v>
      </c>
    </row>
    <row r="330" spans="1:12">
      <c r="A330" s="223" t="s">
        <v>4411</v>
      </c>
      <c r="B330" s="80" t="s">
        <v>3032</v>
      </c>
      <c r="C330" s="80" t="s">
        <v>4413</v>
      </c>
      <c r="D330" s="107" t="s">
        <v>3033</v>
      </c>
      <c r="E330" s="80">
        <v>6</v>
      </c>
      <c r="F330" s="133">
        <v>6.38</v>
      </c>
      <c r="G330" s="133">
        <v>7.5</v>
      </c>
      <c r="H330" s="222">
        <f t="shared" si="15"/>
        <v>45</v>
      </c>
      <c r="I330" s="236"/>
      <c r="J330" s="236">
        <v>0</v>
      </c>
      <c r="K330" s="236">
        <f t="shared" si="16"/>
        <v>45</v>
      </c>
      <c r="L330" s="237">
        <f t="shared" si="17"/>
        <v>38.28</v>
      </c>
    </row>
    <row r="331" spans="1:12">
      <c r="A331" s="223" t="s">
        <v>4411</v>
      </c>
      <c r="B331" s="80" t="s">
        <v>4357</v>
      </c>
      <c r="C331" s="80" t="s">
        <v>4414</v>
      </c>
      <c r="D331" s="107" t="s">
        <v>4359</v>
      </c>
      <c r="E331" s="80">
        <v>1</v>
      </c>
      <c r="F331" s="133">
        <v>14.82</v>
      </c>
      <c r="G331" s="133">
        <v>17.25</v>
      </c>
      <c r="H331" s="222">
        <f t="shared" si="15"/>
        <v>17.25</v>
      </c>
      <c r="I331" s="236"/>
      <c r="J331" s="236">
        <v>0</v>
      </c>
      <c r="K331" s="236">
        <f t="shared" si="16"/>
        <v>17.25</v>
      </c>
      <c r="L331" s="237">
        <f t="shared" si="17"/>
        <v>14.82</v>
      </c>
    </row>
    <row r="332" spans="1:12">
      <c r="A332" s="223" t="s">
        <v>4411</v>
      </c>
      <c r="B332" s="80" t="s">
        <v>888</v>
      </c>
      <c r="C332" s="80" t="s">
        <v>4415</v>
      </c>
      <c r="D332" s="107" t="s">
        <v>889</v>
      </c>
      <c r="E332" s="80">
        <v>1</v>
      </c>
      <c r="F332" s="133">
        <v>84.85</v>
      </c>
      <c r="G332" s="133">
        <v>94</v>
      </c>
      <c r="H332" s="222">
        <f t="shared" si="15"/>
        <v>94</v>
      </c>
      <c r="I332" s="236"/>
      <c r="J332" s="236">
        <v>0</v>
      </c>
      <c r="K332" s="236">
        <f t="shared" si="16"/>
        <v>94</v>
      </c>
      <c r="L332" s="237">
        <f t="shared" si="17"/>
        <v>84.85</v>
      </c>
    </row>
    <row r="333" spans="1:12">
      <c r="A333" s="223" t="s">
        <v>4411</v>
      </c>
      <c r="B333" s="80" t="s">
        <v>1570</v>
      </c>
      <c r="C333" s="80" t="s">
        <v>4415</v>
      </c>
      <c r="D333" s="107" t="s">
        <v>1571</v>
      </c>
      <c r="E333" s="80">
        <v>2</v>
      </c>
      <c r="F333" s="133">
        <v>18.5</v>
      </c>
      <c r="G333" s="133">
        <v>21.5</v>
      </c>
      <c r="H333" s="222">
        <f t="shared" si="15"/>
        <v>43</v>
      </c>
      <c r="I333" s="236"/>
      <c r="J333" s="236">
        <v>0</v>
      </c>
      <c r="K333" s="236">
        <f t="shared" si="16"/>
        <v>43</v>
      </c>
      <c r="L333" s="237">
        <f t="shared" si="17"/>
        <v>37</v>
      </c>
    </row>
    <row r="334" spans="1:12">
      <c r="A334" s="223" t="s">
        <v>4411</v>
      </c>
      <c r="B334" s="80" t="s">
        <v>1427</v>
      </c>
      <c r="C334" s="80" t="s">
        <v>4416</v>
      </c>
      <c r="D334" s="107" t="s">
        <v>1428</v>
      </c>
      <c r="E334" s="80">
        <v>1</v>
      </c>
      <c r="F334" s="133">
        <v>13.32</v>
      </c>
      <c r="G334" s="133">
        <v>15.5</v>
      </c>
      <c r="H334" s="222">
        <f t="shared" si="15"/>
        <v>15.5</v>
      </c>
      <c r="I334" s="236"/>
      <c r="J334" s="236">
        <v>0</v>
      </c>
      <c r="K334" s="236">
        <f t="shared" si="16"/>
        <v>15.5</v>
      </c>
      <c r="L334" s="237">
        <f t="shared" si="17"/>
        <v>13.32</v>
      </c>
    </row>
    <row r="335" spans="1:12">
      <c r="A335" s="223" t="s">
        <v>4411</v>
      </c>
      <c r="B335" s="80" t="s">
        <v>2041</v>
      </c>
      <c r="C335" s="80" t="s">
        <v>4417</v>
      </c>
      <c r="D335" s="107" t="s">
        <v>2042</v>
      </c>
      <c r="E335" s="80">
        <v>2</v>
      </c>
      <c r="F335" s="133">
        <v>20.8</v>
      </c>
      <c r="G335" s="133">
        <v>24</v>
      </c>
      <c r="H335" s="222">
        <f t="shared" si="15"/>
        <v>48</v>
      </c>
      <c r="I335" s="236"/>
      <c r="J335" s="236">
        <v>0</v>
      </c>
      <c r="K335" s="236">
        <f t="shared" si="16"/>
        <v>48</v>
      </c>
      <c r="L335" s="237">
        <f t="shared" si="17"/>
        <v>41.6</v>
      </c>
    </row>
    <row r="336" spans="1:12">
      <c r="A336" s="223" t="s">
        <v>4411</v>
      </c>
      <c r="B336" s="80" t="s">
        <v>1200</v>
      </c>
      <c r="C336" s="80" t="s">
        <v>4418</v>
      </c>
      <c r="D336" s="107" t="s">
        <v>1201</v>
      </c>
      <c r="E336" s="80">
        <v>1</v>
      </c>
      <c r="F336" s="133">
        <v>15.5</v>
      </c>
      <c r="G336" s="133">
        <v>18</v>
      </c>
      <c r="H336" s="222">
        <f t="shared" si="15"/>
        <v>18</v>
      </c>
      <c r="I336" s="236"/>
      <c r="J336" s="236">
        <v>0</v>
      </c>
      <c r="K336" s="236">
        <f t="shared" si="16"/>
        <v>18</v>
      </c>
      <c r="L336" s="237">
        <f t="shared" si="17"/>
        <v>15.5</v>
      </c>
    </row>
    <row r="337" spans="1:12">
      <c r="A337" s="223" t="s">
        <v>4411</v>
      </c>
      <c r="B337" s="80" t="s">
        <v>1353</v>
      </c>
      <c r="C337" s="80" t="s">
        <v>4419</v>
      </c>
      <c r="D337" s="107" t="s">
        <v>1354</v>
      </c>
      <c r="E337" s="80">
        <v>1</v>
      </c>
      <c r="F337" s="133">
        <v>12.66</v>
      </c>
      <c r="G337" s="133">
        <v>14.25</v>
      </c>
      <c r="H337" s="222">
        <f t="shared" si="15"/>
        <v>14.25</v>
      </c>
      <c r="I337" s="236"/>
      <c r="J337" s="236">
        <v>0</v>
      </c>
      <c r="K337" s="236">
        <f t="shared" si="16"/>
        <v>14.25</v>
      </c>
      <c r="L337" s="237">
        <f t="shared" si="17"/>
        <v>12.66</v>
      </c>
    </row>
    <row r="338" spans="1:12">
      <c r="A338" s="223" t="s">
        <v>4411</v>
      </c>
      <c r="B338" s="80" t="s">
        <v>1311</v>
      </c>
      <c r="C338" s="80" t="s">
        <v>4420</v>
      </c>
      <c r="D338" s="107" t="s">
        <v>1312</v>
      </c>
      <c r="E338" s="80">
        <v>1</v>
      </c>
      <c r="F338" s="133">
        <v>8.1999999999999993</v>
      </c>
      <c r="G338" s="133">
        <v>9.5</v>
      </c>
      <c r="H338" s="222">
        <f t="shared" si="15"/>
        <v>9.5</v>
      </c>
      <c r="I338" s="236"/>
      <c r="J338" s="236">
        <v>0</v>
      </c>
      <c r="K338" s="236">
        <f t="shared" si="16"/>
        <v>9.5</v>
      </c>
      <c r="L338" s="237">
        <f t="shared" si="17"/>
        <v>8.1999999999999993</v>
      </c>
    </row>
    <row r="339" spans="1:12">
      <c r="A339" s="223" t="s">
        <v>4411</v>
      </c>
      <c r="B339" s="80" t="s">
        <v>3050</v>
      </c>
      <c r="C339" s="80" t="s">
        <v>4421</v>
      </c>
      <c r="D339" s="107" t="s">
        <v>3051</v>
      </c>
      <c r="E339" s="80">
        <v>6</v>
      </c>
      <c r="F339" s="133">
        <v>6.38</v>
      </c>
      <c r="G339" s="133">
        <v>7.5</v>
      </c>
      <c r="H339" s="222">
        <f t="shared" si="15"/>
        <v>45</v>
      </c>
      <c r="I339" s="236"/>
      <c r="J339" s="236">
        <v>0</v>
      </c>
      <c r="K339" s="236">
        <f t="shared" si="16"/>
        <v>45</v>
      </c>
      <c r="L339" s="237">
        <f t="shared" si="17"/>
        <v>38.28</v>
      </c>
    </row>
    <row r="340" spans="1:12">
      <c r="A340" s="223" t="s">
        <v>4411</v>
      </c>
      <c r="B340" s="80" t="s">
        <v>3109</v>
      </c>
      <c r="C340" s="80" t="s">
        <v>4421</v>
      </c>
      <c r="D340" s="107" t="s">
        <v>3110</v>
      </c>
      <c r="E340" s="80">
        <v>1</v>
      </c>
      <c r="F340" s="133">
        <v>23.15</v>
      </c>
      <c r="G340" s="133">
        <v>27</v>
      </c>
      <c r="H340" s="222">
        <f t="shared" si="15"/>
        <v>27</v>
      </c>
      <c r="I340" s="236"/>
      <c r="J340" s="236">
        <v>0</v>
      </c>
      <c r="K340" s="236">
        <f t="shared" si="16"/>
        <v>27</v>
      </c>
      <c r="L340" s="237">
        <f t="shared" si="17"/>
        <v>23.15</v>
      </c>
    </row>
    <row r="341" spans="1:12">
      <c r="A341" s="223" t="s">
        <v>4411</v>
      </c>
      <c r="B341" s="80" t="s">
        <v>1261</v>
      </c>
      <c r="C341" s="80" t="s">
        <v>4421</v>
      </c>
      <c r="D341" s="107" t="s">
        <v>1262</v>
      </c>
      <c r="E341" s="80">
        <v>3</v>
      </c>
      <c r="F341" s="133">
        <v>13.77</v>
      </c>
      <c r="G341" s="133">
        <v>16</v>
      </c>
      <c r="H341" s="222">
        <f t="shared" si="15"/>
        <v>48</v>
      </c>
      <c r="I341" s="236"/>
      <c r="J341" s="236">
        <v>0</v>
      </c>
      <c r="K341" s="236">
        <f t="shared" si="16"/>
        <v>48</v>
      </c>
      <c r="L341" s="237">
        <f t="shared" si="17"/>
        <v>41.31</v>
      </c>
    </row>
    <row r="342" spans="1:12">
      <c r="A342" s="223" t="s">
        <v>4411</v>
      </c>
      <c r="B342" s="80" t="s">
        <v>1141</v>
      </c>
      <c r="C342" s="80" t="s">
        <v>4422</v>
      </c>
      <c r="D342" s="107" t="s">
        <v>1142</v>
      </c>
      <c r="E342" s="80">
        <v>2</v>
      </c>
      <c r="F342" s="133">
        <v>14.65</v>
      </c>
      <c r="G342" s="133">
        <v>17</v>
      </c>
      <c r="H342" s="222">
        <f t="shared" si="15"/>
        <v>34</v>
      </c>
      <c r="I342" s="236"/>
      <c r="J342" s="236">
        <v>0</v>
      </c>
      <c r="K342" s="236">
        <f t="shared" si="16"/>
        <v>34</v>
      </c>
      <c r="L342" s="237">
        <f t="shared" si="17"/>
        <v>29.3</v>
      </c>
    </row>
    <row r="343" spans="1:12">
      <c r="A343" s="223" t="s">
        <v>4411</v>
      </c>
      <c r="B343" s="80" t="s">
        <v>4423</v>
      </c>
      <c r="C343" s="80" t="s">
        <v>4424</v>
      </c>
      <c r="D343" s="107" t="s">
        <v>4425</v>
      </c>
      <c r="E343" s="80">
        <v>2</v>
      </c>
      <c r="F343" s="133">
        <v>6.4</v>
      </c>
      <c r="G343" s="133">
        <v>7.5</v>
      </c>
      <c r="H343" s="222">
        <f t="shared" si="15"/>
        <v>15</v>
      </c>
      <c r="I343" s="236"/>
      <c r="J343" s="236">
        <v>0</v>
      </c>
      <c r="K343" s="236">
        <f t="shared" si="16"/>
        <v>15</v>
      </c>
      <c r="L343" s="237">
        <f t="shared" si="17"/>
        <v>12.8</v>
      </c>
    </row>
    <row r="344" spans="1:12">
      <c r="A344" s="223" t="s">
        <v>4411</v>
      </c>
      <c r="B344" s="80" t="s">
        <v>1041</v>
      </c>
      <c r="C344" s="80" t="s">
        <v>4424</v>
      </c>
      <c r="D344" s="107" t="s">
        <v>1042</v>
      </c>
      <c r="E344" s="80">
        <v>2</v>
      </c>
      <c r="F344" s="133">
        <v>6.4</v>
      </c>
      <c r="G344" s="133">
        <v>7.5</v>
      </c>
      <c r="H344" s="222">
        <f t="shared" si="15"/>
        <v>15</v>
      </c>
      <c r="I344" s="236"/>
      <c r="J344" s="236">
        <v>0</v>
      </c>
      <c r="K344" s="236">
        <f t="shared" si="16"/>
        <v>15</v>
      </c>
      <c r="L344" s="237">
        <f t="shared" si="17"/>
        <v>12.8</v>
      </c>
    </row>
    <row r="345" spans="1:12">
      <c r="A345" s="223" t="s">
        <v>4411</v>
      </c>
      <c r="B345" s="80" t="s">
        <v>1936</v>
      </c>
      <c r="C345" s="80" t="s">
        <v>4426</v>
      </c>
      <c r="D345" s="107" t="s">
        <v>1937</v>
      </c>
      <c r="E345" s="80">
        <v>1</v>
      </c>
      <c r="F345" s="133">
        <v>71.75</v>
      </c>
      <c r="G345" s="133">
        <v>84.5</v>
      </c>
      <c r="H345" s="222">
        <f t="shared" si="15"/>
        <v>84.5</v>
      </c>
      <c r="I345" s="236"/>
      <c r="J345" s="236">
        <v>0</v>
      </c>
      <c r="K345" s="236">
        <f t="shared" si="16"/>
        <v>84.5</v>
      </c>
      <c r="L345" s="237">
        <f t="shared" si="17"/>
        <v>71.75</v>
      </c>
    </row>
    <row r="346" spans="1:12">
      <c r="A346" s="223" t="s">
        <v>4411</v>
      </c>
      <c r="B346" s="80" t="s">
        <v>2075</v>
      </c>
      <c r="C346" s="80" t="s">
        <v>4427</v>
      </c>
      <c r="D346" s="107" t="s">
        <v>2076</v>
      </c>
      <c r="E346" s="80">
        <v>2</v>
      </c>
      <c r="F346" s="133">
        <v>64.489999999999995</v>
      </c>
      <c r="G346" s="133">
        <v>74.25</v>
      </c>
      <c r="H346" s="222">
        <f t="shared" si="15"/>
        <v>148.5</v>
      </c>
      <c r="I346" s="236"/>
      <c r="J346" s="236">
        <v>0</v>
      </c>
      <c r="K346" s="236">
        <f t="shared" si="16"/>
        <v>148.5</v>
      </c>
      <c r="L346" s="237">
        <f t="shared" si="17"/>
        <v>128.97999999999999</v>
      </c>
    </row>
    <row r="347" spans="1:12">
      <c r="A347" s="223" t="s">
        <v>4411</v>
      </c>
      <c r="B347" s="80" t="s">
        <v>1732</v>
      </c>
      <c r="C347" s="80" t="s">
        <v>4427</v>
      </c>
      <c r="D347" s="107" t="s">
        <v>1733</v>
      </c>
      <c r="E347" s="80">
        <v>1</v>
      </c>
      <c r="F347" s="133">
        <v>53.81</v>
      </c>
      <c r="G347" s="133">
        <v>62</v>
      </c>
      <c r="H347" s="222">
        <f t="shared" si="15"/>
        <v>62</v>
      </c>
      <c r="I347" s="236"/>
      <c r="J347" s="236">
        <v>0</v>
      </c>
      <c r="K347" s="236">
        <f t="shared" si="16"/>
        <v>62</v>
      </c>
      <c r="L347" s="237">
        <f t="shared" si="17"/>
        <v>53.81</v>
      </c>
    </row>
    <row r="348" spans="1:12">
      <c r="A348" s="223" t="s">
        <v>4411</v>
      </c>
      <c r="B348" s="80" t="s">
        <v>2073</v>
      </c>
      <c r="C348" s="80" t="s">
        <v>4427</v>
      </c>
      <c r="D348" s="107" t="s">
        <v>2074</v>
      </c>
      <c r="E348" s="80">
        <v>1</v>
      </c>
      <c r="F348" s="133">
        <v>67.290000000000006</v>
      </c>
      <c r="G348" s="133">
        <v>77.5</v>
      </c>
      <c r="H348" s="222">
        <f t="shared" si="15"/>
        <v>77.5</v>
      </c>
      <c r="I348" s="236"/>
      <c r="J348" s="236">
        <v>0</v>
      </c>
      <c r="K348" s="236">
        <f t="shared" si="16"/>
        <v>77.5</v>
      </c>
      <c r="L348" s="237">
        <f t="shared" si="17"/>
        <v>67.290000000000006</v>
      </c>
    </row>
    <row r="349" spans="1:12">
      <c r="A349" s="223" t="s">
        <v>4411</v>
      </c>
      <c r="B349" s="80" t="s">
        <v>1683</v>
      </c>
      <c r="C349" s="80" t="s">
        <v>4427</v>
      </c>
      <c r="D349" s="107" t="s">
        <v>1684</v>
      </c>
      <c r="E349" s="80">
        <v>2</v>
      </c>
      <c r="F349" s="133">
        <v>32.75</v>
      </c>
      <c r="G349" s="133">
        <v>38.75</v>
      </c>
      <c r="H349" s="222">
        <f t="shared" si="15"/>
        <v>77.5</v>
      </c>
      <c r="I349" s="236"/>
      <c r="J349" s="236">
        <v>0</v>
      </c>
      <c r="K349" s="236">
        <f t="shared" si="16"/>
        <v>77.5</v>
      </c>
      <c r="L349" s="237">
        <f t="shared" si="17"/>
        <v>65.5</v>
      </c>
    </row>
    <row r="350" spans="1:12">
      <c r="A350" s="223" t="s">
        <v>4411</v>
      </c>
      <c r="B350" s="80" t="s">
        <v>1491</v>
      </c>
      <c r="C350" s="80" t="s">
        <v>4427</v>
      </c>
      <c r="D350" s="107" t="s">
        <v>1492</v>
      </c>
      <c r="E350" s="80">
        <v>3</v>
      </c>
      <c r="F350" s="133">
        <v>140</v>
      </c>
      <c r="G350" s="133">
        <v>161</v>
      </c>
      <c r="H350" s="222">
        <f t="shared" si="15"/>
        <v>483</v>
      </c>
      <c r="I350" s="236"/>
      <c r="J350" s="236">
        <v>0</v>
      </c>
      <c r="K350" s="236">
        <f t="shared" si="16"/>
        <v>483</v>
      </c>
      <c r="L350" s="237">
        <f t="shared" si="17"/>
        <v>420</v>
      </c>
    </row>
    <row r="351" spans="1:12">
      <c r="A351" s="223" t="s">
        <v>4411</v>
      </c>
      <c r="B351" s="80" t="s">
        <v>2126</v>
      </c>
      <c r="C351" s="80" t="s">
        <v>4427</v>
      </c>
      <c r="D351" s="107" t="s">
        <v>2127</v>
      </c>
      <c r="E351" s="80">
        <v>1</v>
      </c>
      <c r="F351" s="133">
        <v>17.899999999999999</v>
      </c>
      <c r="G351" s="133">
        <v>20.75</v>
      </c>
      <c r="H351" s="222">
        <f t="shared" si="15"/>
        <v>20.75</v>
      </c>
      <c r="I351" s="236"/>
      <c r="J351" s="236">
        <v>0</v>
      </c>
      <c r="K351" s="236">
        <f t="shared" si="16"/>
        <v>20.75</v>
      </c>
      <c r="L351" s="237">
        <f t="shared" si="17"/>
        <v>17.899999999999999</v>
      </c>
    </row>
    <row r="352" spans="1:12">
      <c r="A352" s="223" t="s">
        <v>4411</v>
      </c>
      <c r="B352" s="80" t="s">
        <v>550</v>
      </c>
      <c r="C352" s="80" t="s">
        <v>4428</v>
      </c>
      <c r="D352" s="107" t="s">
        <v>551</v>
      </c>
      <c r="E352" s="80">
        <v>1</v>
      </c>
      <c r="F352" s="133">
        <v>7.51</v>
      </c>
      <c r="G352" s="133">
        <v>8.75</v>
      </c>
      <c r="H352" s="222">
        <f t="shared" si="15"/>
        <v>8.75</v>
      </c>
      <c r="I352" s="236"/>
      <c r="J352" s="236">
        <v>0</v>
      </c>
      <c r="K352" s="236">
        <f t="shared" si="16"/>
        <v>8.75</v>
      </c>
      <c r="L352" s="237">
        <f t="shared" si="17"/>
        <v>7.51</v>
      </c>
    </row>
    <row r="353" spans="1:12">
      <c r="A353" s="223" t="s">
        <v>4411</v>
      </c>
      <c r="B353" s="80" t="s">
        <v>595</v>
      </c>
      <c r="C353" s="80" t="s">
        <v>4429</v>
      </c>
      <c r="D353" s="107" t="s">
        <v>596</v>
      </c>
      <c r="E353" s="80">
        <v>1</v>
      </c>
      <c r="F353" s="133">
        <v>36.58</v>
      </c>
      <c r="G353" s="133">
        <v>42.25</v>
      </c>
      <c r="H353" s="222">
        <f t="shared" si="15"/>
        <v>42.25</v>
      </c>
      <c r="I353" s="236"/>
      <c r="J353" s="236">
        <v>0</v>
      </c>
      <c r="K353" s="236">
        <f t="shared" si="16"/>
        <v>42.25</v>
      </c>
      <c r="L353" s="237">
        <f t="shared" si="17"/>
        <v>36.58</v>
      </c>
    </row>
    <row r="354" spans="1:12">
      <c r="A354" s="223" t="s">
        <v>4411</v>
      </c>
      <c r="B354" s="80" t="s">
        <v>532</v>
      </c>
      <c r="C354" s="80" t="s">
        <v>4429</v>
      </c>
      <c r="D354" s="107" t="s">
        <v>533</v>
      </c>
      <c r="E354" s="80">
        <v>1</v>
      </c>
      <c r="F354" s="133">
        <v>18.649999999999999</v>
      </c>
      <c r="G354" s="133">
        <v>21.5</v>
      </c>
      <c r="H354" s="222">
        <f t="shared" si="15"/>
        <v>21.5</v>
      </c>
      <c r="I354" s="236"/>
      <c r="J354" s="236">
        <v>0</v>
      </c>
      <c r="K354" s="236">
        <f t="shared" si="16"/>
        <v>21.5</v>
      </c>
      <c r="L354" s="237">
        <f t="shared" si="17"/>
        <v>18.649999999999999</v>
      </c>
    </row>
    <row r="355" spans="1:12">
      <c r="A355" s="223" t="s">
        <v>4411</v>
      </c>
      <c r="B355" s="80" t="s">
        <v>2620</v>
      </c>
      <c r="C355" s="80" t="s">
        <v>4430</v>
      </c>
      <c r="D355" s="107" t="s">
        <v>2621</v>
      </c>
      <c r="E355" s="80">
        <v>1</v>
      </c>
      <c r="F355" s="133">
        <v>20.57</v>
      </c>
      <c r="G355" s="133">
        <v>23.75</v>
      </c>
      <c r="H355" s="222">
        <f t="shared" si="15"/>
        <v>23.75</v>
      </c>
      <c r="I355" s="236"/>
      <c r="J355" s="236">
        <v>0</v>
      </c>
      <c r="K355" s="236">
        <f t="shared" si="16"/>
        <v>23.75</v>
      </c>
      <c r="L355" s="237">
        <f t="shared" si="17"/>
        <v>20.57</v>
      </c>
    </row>
    <row r="356" spans="1:12">
      <c r="A356" s="223" t="s">
        <v>4411</v>
      </c>
      <c r="B356" s="80" t="s">
        <v>4423</v>
      </c>
      <c r="C356" s="80" t="s">
        <v>4431</v>
      </c>
      <c r="D356" s="107" t="s">
        <v>4425</v>
      </c>
      <c r="E356" s="80">
        <v>2</v>
      </c>
      <c r="F356" s="133">
        <v>6.4</v>
      </c>
      <c r="G356" s="133">
        <v>7.5</v>
      </c>
      <c r="H356" s="222">
        <f t="shared" si="15"/>
        <v>15</v>
      </c>
      <c r="I356" s="236"/>
      <c r="J356" s="236">
        <v>0</v>
      </c>
      <c r="K356" s="236">
        <f t="shared" si="16"/>
        <v>15</v>
      </c>
      <c r="L356" s="237">
        <f t="shared" si="17"/>
        <v>12.8</v>
      </c>
    </row>
    <row r="357" spans="1:12">
      <c r="A357" s="223" t="s">
        <v>4411</v>
      </c>
      <c r="B357" s="80" t="s">
        <v>4129</v>
      </c>
      <c r="C357" s="80" t="s">
        <v>4432</v>
      </c>
      <c r="D357" s="107" t="s">
        <v>4130</v>
      </c>
      <c r="E357" s="80">
        <v>1</v>
      </c>
      <c r="F357" s="133">
        <v>140.66999999999999</v>
      </c>
      <c r="G357" s="133">
        <v>162</v>
      </c>
      <c r="H357" s="222">
        <f t="shared" si="15"/>
        <v>162</v>
      </c>
      <c r="I357" s="236"/>
      <c r="J357" s="236">
        <v>0</v>
      </c>
      <c r="K357" s="236">
        <f t="shared" si="16"/>
        <v>162</v>
      </c>
      <c r="L357" s="237">
        <f t="shared" si="17"/>
        <v>140.66999999999999</v>
      </c>
    </row>
    <row r="358" spans="1:12">
      <c r="A358" s="223" t="s">
        <v>4411</v>
      </c>
      <c r="B358" s="80" t="s">
        <v>1585</v>
      </c>
      <c r="C358" s="80" t="s">
        <v>4433</v>
      </c>
      <c r="D358" s="107" t="s">
        <v>1586</v>
      </c>
      <c r="E358" s="80">
        <v>1</v>
      </c>
      <c r="F358" s="133">
        <v>23.32</v>
      </c>
      <c r="G358" s="133">
        <v>27</v>
      </c>
      <c r="H358" s="222">
        <f t="shared" si="15"/>
        <v>27</v>
      </c>
      <c r="I358" s="236"/>
      <c r="J358" s="236">
        <v>0</v>
      </c>
      <c r="K358" s="236">
        <f t="shared" si="16"/>
        <v>27</v>
      </c>
      <c r="L358" s="237">
        <f t="shared" si="17"/>
        <v>23.32</v>
      </c>
    </row>
    <row r="359" spans="1:12">
      <c r="A359" s="223" t="s">
        <v>4411</v>
      </c>
      <c r="B359" s="80" t="s">
        <v>1597</v>
      </c>
      <c r="C359" s="80" t="s">
        <v>4433</v>
      </c>
      <c r="D359" s="107" t="s">
        <v>1598</v>
      </c>
      <c r="E359" s="80">
        <v>1</v>
      </c>
      <c r="F359" s="133">
        <v>21.17</v>
      </c>
      <c r="G359" s="133">
        <v>24.5</v>
      </c>
      <c r="H359" s="222">
        <f t="shared" si="15"/>
        <v>24.5</v>
      </c>
      <c r="I359" s="236"/>
      <c r="J359" s="236">
        <v>0</v>
      </c>
      <c r="K359" s="236">
        <f t="shared" si="16"/>
        <v>24.5</v>
      </c>
      <c r="L359" s="237">
        <f t="shared" si="17"/>
        <v>21.17</v>
      </c>
    </row>
    <row r="360" spans="1:12">
      <c r="A360" s="223" t="s">
        <v>4411</v>
      </c>
      <c r="B360" s="80" t="s">
        <v>1443</v>
      </c>
      <c r="C360" s="80" t="s">
        <v>4433</v>
      </c>
      <c r="D360" s="107" t="s">
        <v>1444</v>
      </c>
      <c r="E360" s="80">
        <v>1</v>
      </c>
      <c r="F360" s="133">
        <v>10.64</v>
      </c>
      <c r="G360" s="133">
        <v>12.25</v>
      </c>
      <c r="H360" s="222">
        <f t="shared" si="15"/>
        <v>12.25</v>
      </c>
      <c r="I360" s="236"/>
      <c r="J360" s="236">
        <v>0</v>
      </c>
      <c r="K360" s="236">
        <f t="shared" si="16"/>
        <v>12.25</v>
      </c>
      <c r="L360" s="237">
        <f t="shared" si="17"/>
        <v>10.64</v>
      </c>
    </row>
    <row r="361" spans="1:12">
      <c r="A361" s="223" t="s">
        <v>4411</v>
      </c>
      <c r="B361" s="80" t="s">
        <v>1122</v>
      </c>
      <c r="C361" s="80" t="s">
        <v>4433</v>
      </c>
      <c r="D361" s="107" t="s">
        <v>1123</v>
      </c>
      <c r="E361" s="80">
        <v>1</v>
      </c>
      <c r="F361" s="133">
        <v>6.67</v>
      </c>
      <c r="G361" s="133">
        <v>9.5</v>
      </c>
      <c r="H361" s="222">
        <f t="shared" si="15"/>
        <v>9.5</v>
      </c>
      <c r="I361" s="236"/>
      <c r="J361" s="236">
        <v>0</v>
      </c>
      <c r="K361" s="236">
        <f t="shared" si="16"/>
        <v>9.5</v>
      </c>
      <c r="L361" s="237">
        <f t="shared" si="17"/>
        <v>6.67</v>
      </c>
    </row>
    <row r="362" spans="1:12">
      <c r="A362" s="223">
        <v>46183</v>
      </c>
      <c r="B362" s="80" t="s">
        <v>742</v>
      </c>
      <c r="C362" s="80" t="s">
        <v>4434</v>
      </c>
      <c r="D362" s="107" t="s">
        <v>743</v>
      </c>
      <c r="E362" s="80">
        <v>5</v>
      </c>
      <c r="F362" s="133">
        <v>137.75</v>
      </c>
      <c r="G362" s="133">
        <v>158.5</v>
      </c>
      <c r="H362" s="222">
        <f t="shared" si="15"/>
        <v>792.5</v>
      </c>
      <c r="I362" s="236"/>
      <c r="J362" s="236">
        <v>0</v>
      </c>
      <c r="K362" s="236">
        <f t="shared" si="16"/>
        <v>792.5</v>
      </c>
      <c r="L362" s="237">
        <f t="shared" si="17"/>
        <v>688.75</v>
      </c>
    </row>
    <row r="363" spans="1:12">
      <c r="A363" s="223">
        <v>46183</v>
      </c>
      <c r="B363" s="80" t="s">
        <v>762</v>
      </c>
      <c r="C363" s="80" t="s">
        <v>4434</v>
      </c>
      <c r="D363" s="107" t="s">
        <v>763</v>
      </c>
      <c r="E363" s="80">
        <v>1</v>
      </c>
      <c r="F363" s="133">
        <v>355</v>
      </c>
      <c r="G363" s="133">
        <v>408.25</v>
      </c>
      <c r="H363" s="222">
        <f t="shared" si="15"/>
        <v>408.25</v>
      </c>
      <c r="I363" s="236"/>
      <c r="J363" s="236">
        <v>0</v>
      </c>
      <c r="K363" s="236">
        <f t="shared" si="16"/>
        <v>408.25</v>
      </c>
      <c r="L363" s="237">
        <f t="shared" si="17"/>
        <v>355</v>
      </c>
    </row>
    <row r="364" spans="1:12">
      <c r="A364" s="223">
        <v>46183</v>
      </c>
      <c r="B364" s="80" t="s">
        <v>740</v>
      </c>
      <c r="C364" s="80" t="s">
        <v>4434</v>
      </c>
      <c r="D364" s="107" t="s">
        <v>741</v>
      </c>
      <c r="E364" s="80">
        <v>1</v>
      </c>
      <c r="F364" s="133">
        <v>273</v>
      </c>
      <c r="G364" s="133">
        <v>314</v>
      </c>
      <c r="H364" s="222">
        <f t="shared" si="15"/>
        <v>314</v>
      </c>
      <c r="I364" s="236"/>
      <c r="J364" s="236">
        <v>0</v>
      </c>
      <c r="K364" s="236">
        <f t="shared" si="16"/>
        <v>314</v>
      </c>
      <c r="L364" s="237">
        <f t="shared" si="17"/>
        <v>273</v>
      </c>
    </row>
    <row r="365" spans="1:12">
      <c r="A365" s="223">
        <v>46183</v>
      </c>
      <c r="B365" s="80" t="s">
        <v>892</v>
      </c>
      <c r="C365" s="80" t="s">
        <v>4435</v>
      </c>
      <c r="D365" s="107" t="s">
        <v>893</v>
      </c>
      <c r="E365" s="80">
        <v>1</v>
      </c>
      <c r="F365" s="133">
        <v>72.95</v>
      </c>
      <c r="G365" s="133">
        <v>80.25</v>
      </c>
      <c r="H365" s="222">
        <f t="shared" si="15"/>
        <v>80.25</v>
      </c>
      <c r="I365" s="236"/>
      <c r="J365" s="236">
        <v>0</v>
      </c>
      <c r="K365" s="236">
        <f t="shared" si="16"/>
        <v>80.25</v>
      </c>
      <c r="L365" s="237">
        <f t="shared" si="17"/>
        <v>72.95</v>
      </c>
    </row>
    <row r="366" spans="1:12">
      <c r="A366" s="223">
        <v>46183</v>
      </c>
      <c r="B366" s="80" t="s">
        <v>1958</v>
      </c>
      <c r="C366" s="80" t="s">
        <v>4436</v>
      </c>
      <c r="D366" s="107" t="s">
        <v>1959</v>
      </c>
      <c r="E366" s="80">
        <v>1</v>
      </c>
      <c r="F366" s="133">
        <v>90.24</v>
      </c>
      <c r="G366" s="133">
        <v>103.75</v>
      </c>
      <c r="H366" s="222">
        <f t="shared" si="15"/>
        <v>103.75</v>
      </c>
      <c r="I366" s="236"/>
      <c r="J366" s="236">
        <v>0</v>
      </c>
      <c r="K366" s="236">
        <f t="shared" si="16"/>
        <v>103.75</v>
      </c>
      <c r="L366" s="237">
        <f t="shared" si="17"/>
        <v>90.24</v>
      </c>
    </row>
    <row r="367" spans="1:12">
      <c r="A367" s="223">
        <v>46183</v>
      </c>
      <c r="B367" s="80" t="s">
        <v>842</v>
      </c>
      <c r="C367" s="80" t="s">
        <v>4437</v>
      </c>
      <c r="D367" s="107" t="s">
        <v>843</v>
      </c>
      <c r="E367" s="80">
        <v>1</v>
      </c>
      <c r="F367" s="133">
        <v>20.68</v>
      </c>
      <c r="G367" s="133">
        <v>24</v>
      </c>
      <c r="H367" s="222">
        <f t="shared" si="15"/>
        <v>24</v>
      </c>
      <c r="I367" s="236"/>
      <c r="J367" s="236">
        <v>0</v>
      </c>
      <c r="K367" s="236">
        <f t="shared" si="16"/>
        <v>24</v>
      </c>
      <c r="L367" s="237">
        <f t="shared" si="17"/>
        <v>20.68</v>
      </c>
    </row>
    <row r="368" spans="1:12">
      <c r="A368" s="223">
        <v>46183</v>
      </c>
      <c r="B368" s="80" t="s">
        <v>4074</v>
      </c>
      <c r="C368" s="80" t="s">
        <v>4438</v>
      </c>
      <c r="D368" s="107" t="s">
        <v>4075</v>
      </c>
      <c r="E368" s="80">
        <v>5</v>
      </c>
      <c r="F368" s="133">
        <v>0.76</v>
      </c>
      <c r="G368" s="133">
        <v>1</v>
      </c>
      <c r="H368" s="222">
        <f t="shared" si="15"/>
        <v>5</v>
      </c>
      <c r="I368" s="236"/>
      <c r="J368" s="236">
        <v>0</v>
      </c>
      <c r="K368" s="236">
        <f t="shared" si="16"/>
        <v>5</v>
      </c>
      <c r="L368" s="237">
        <f t="shared" si="17"/>
        <v>3.8</v>
      </c>
    </row>
    <row r="369" spans="1:12">
      <c r="A369" s="223">
        <v>46183</v>
      </c>
      <c r="B369" s="80" t="s">
        <v>774</v>
      </c>
      <c r="C369" s="80" t="s">
        <v>4439</v>
      </c>
      <c r="D369" s="107" t="s">
        <v>775</v>
      </c>
      <c r="E369" s="80">
        <v>1</v>
      </c>
      <c r="F369" s="133">
        <v>129</v>
      </c>
      <c r="G369" s="133">
        <v>148.5</v>
      </c>
      <c r="H369" s="222">
        <f t="shared" si="15"/>
        <v>148.5</v>
      </c>
      <c r="I369" s="236"/>
      <c r="J369" s="236">
        <v>0</v>
      </c>
      <c r="K369" s="236">
        <f t="shared" si="16"/>
        <v>148.5</v>
      </c>
      <c r="L369" s="237">
        <f t="shared" si="17"/>
        <v>129</v>
      </c>
    </row>
    <row r="370" spans="1:12">
      <c r="A370" s="223">
        <v>46183</v>
      </c>
      <c r="B370" s="80" t="s">
        <v>1041</v>
      </c>
      <c r="C370" s="80" t="s">
        <v>4440</v>
      </c>
      <c r="D370" s="107" t="s">
        <v>1042</v>
      </c>
      <c r="E370" s="80">
        <v>2</v>
      </c>
      <c r="F370" s="133">
        <v>6.4</v>
      </c>
      <c r="G370" s="133">
        <v>7.5</v>
      </c>
      <c r="H370" s="222">
        <f t="shared" si="15"/>
        <v>15</v>
      </c>
      <c r="I370" s="236"/>
      <c r="J370" s="236">
        <v>0</v>
      </c>
      <c r="K370" s="236">
        <f t="shared" si="16"/>
        <v>15</v>
      </c>
      <c r="L370" s="237">
        <f t="shared" si="17"/>
        <v>12.8</v>
      </c>
    </row>
    <row r="371" spans="1:12">
      <c r="A371" s="223">
        <v>46183</v>
      </c>
      <c r="B371" s="80" t="s">
        <v>1427</v>
      </c>
      <c r="C371" s="80" t="s">
        <v>4440</v>
      </c>
      <c r="D371" s="107" t="s">
        <v>1428</v>
      </c>
      <c r="E371" s="80">
        <v>1</v>
      </c>
      <c r="F371" s="133">
        <v>13.32</v>
      </c>
      <c r="G371" s="133">
        <v>15.5</v>
      </c>
      <c r="H371" s="222">
        <f t="shared" si="15"/>
        <v>15.5</v>
      </c>
      <c r="I371" s="236"/>
      <c r="J371" s="236">
        <v>0</v>
      </c>
      <c r="K371" s="236">
        <f t="shared" si="16"/>
        <v>15.5</v>
      </c>
      <c r="L371" s="237">
        <f t="shared" si="17"/>
        <v>13.32</v>
      </c>
    </row>
    <row r="372" spans="1:12">
      <c r="A372" s="223">
        <v>46183</v>
      </c>
      <c r="B372" s="80" t="s">
        <v>1049</v>
      </c>
      <c r="C372" s="80" t="s">
        <v>4441</v>
      </c>
      <c r="D372" s="107" t="s">
        <v>1050</v>
      </c>
      <c r="E372" s="80">
        <v>1</v>
      </c>
      <c r="F372" s="133">
        <v>59.51</v>
      </c>
      <c r="G372" s="133">
        <v>68.5</v>
      </c>
      <c r="H372" s="222">
        <f t="shared" si="15"/>
        <v>68.5</v>
      </c>
      <c r="I372" s="236"/>
      <c r="J372" s="236">
        <v>0</v>
      </c>
      <c r="K372" s="236">
        <f t="shared" si="16"/>
        <v>68.5</v>
      </c>
      <c r="L372" s="237">
        <f t="shared" si="17"/>
        <v>59.51</v>
      </c>
    </row>
    <row r="373" spans="1:12">
      <c r="A373" s="223">
        <v>46183</v>
      </c>
      <c r="B373" s="80" t="s">
        <v>2674</v>
      </c>
      <c r="C373" s="80" t="s">
        <v>4442</v>
      </c>
      <c r="D373" s="107" t="s">
        <v>2675</v>
      </c>
      <c r="E373" s="80">
        <v>1</v>
      </c>
      <c r="F373" s="133">
        <v>47.5</v>
      </c>
      <c r="G373" s="133">
        <v>54.75</v>
      </c>
      <c r="H373" s="222">
        <f t="shared" si="15"/>
        <v>54.75</v>
      </c>
      <c r="I373" s="236"/>
      <c r="J373" s="236">
        <v>0</v>
      </c>
      <c r="K373" s="236">
        <f t="shared" si="16"/>
        <v>54.75</v>
      </c>
      <c r="L373" s="237">
        <f t="shared" si="17"/>
        <v>47.5</v>
      </c>
    </row>
    <row r="374" spans="1:12">
      <c r="A374" s="223">
        <v>46183</v>
      </c>
      <c r="B374" s="80" t="s">
        <v>1726</v>
      </c>
      <c r="C374" s="80" t="s">
        <v>4443</v>
      </c>
      <c r="D374" s="107" t="s">
        <v>1727</v>
      </c>
      <c r="E374" s="80">
        <v>3</v>
      </c>
      <c r="F374" s="133">
        <v>15.91</v>
      </c>
      <c r="G374" s="133">
        <v>18.5</v>
      </c>
      <c r="H374" s="222">
        <f t="shared" si="15"/>
        <v>55.5</v>
      </c>
      <c r="I374" s="236"/>
      <c r="J374" s="236">
        <v>0</v>
      </c>
      <c r="K374" s="236">
        <f t="shared" si="16"/>
        <v>55.5</v>
      </c>
      <c r="L374" s="237">
        <f t="shared" si="17"/>
        <v>47.730000000000004</v>
      </c>
    </row>
    <row r="375" spans="1:12">
      <c r="A375" s="223">
        <v>46183</v>
      </c>
      <c r="B375" s="80" t="s">
        <v>4071</v>
      </c>
      <c r="C375" s="80" t="s">
        <v>4444</v>
      </c>
      <c r="D375" s="107" t="s">
        <v>4072</v>
      </c>
      <c r="E375" s="80">
        <v>1</v>
      </c>
      <c r="F375" s="133">
        <v>6.03</v>
      </c>
      <c r="G375" s="133">
        <v>7</v>
      </c>
      <c r="H375" s="222">
        <f t="shared" si="15"/>
        <v>7</v>
      </c>
      <c r="I375" s="236"/>
      <c r="J375" s="236">
        <v>0</v>
      </c>
      <c r="K375" s="236">
        <f t="shared" si="16"/>
        <v>7</v>
      </c>
      <c r="L375" s="237">
        <f t="shared" si="17"/>
        <v>6.03</v>
      </c>
    </row>
    <row r="376" spans="1:12">
      <c r="A376" s="223">
        <v>46183</v>
      </c>
      <c r="B376" s="80" t="s">
        <v>2093</v>
      </c>
      <c r="C376" s="80" t="s">
        <v>4445</v>
      </c>
      <c r="D376" s="107" t="s">
        <v>2094</v>
      </c>
      <c r="E376" s="80">
        <v>1</v>
      </c>
      <c r="F376" s="133">
        <v>53.2</v>
      </c>
      <c r="G376" s="133">
        <v>61.25</v>
      </c>
      <c r="H376" s="222">
        <f t="shared" si="15"/>
        <v>61.25</v>
      </c>
      <c r="I376" s="236"/>
      <c r="J376" s="236">
        <v>0</v>
      </c>
      <c r="K376" s="236">
        <f t="shared" si="16"/>
        <v>61.25</v>
      </c>
      <c r="L376" s="237">
        <f t="shared" si="17"/>
        <v>53.2</v>
      </c>
    </row>
    <row r="377" spans="1:12">
      <c r="A377" s="223">
        <v>46183</v>
      </c>
      <c r="B377" s="80" t="s">
        <v>1838</v>
      </c>
      <c r="C377" s="80" t="s">
        <v>4446</v>
      </c>
      <c r="D377" s="107" t="s">
        <v>1839</v>
      </c>
      <c r="E377" s="80">
        <v>1</v>
      </c>
      <c r="F377" s="133">
        <v>61.5</v>
      </c>
      <c r="G377" s="133">
        <v>66.5</v>
      </c>
      <c r="H377" s="222">
        <f t="shared" si="15"/>
        <v>66.5</v>
      </c>
      <c r="I377" s="236"/>
      <c r="J377" s="236">
        <v>0</v>
      </c>
      <c r="K377" s="236">
        <f t="shared" si="16"/>
        <v>66.5</v>
      </c>
      <c r="L377" s="237">
        <f t="shared" si="17"/>
        <v>61.5</v>
      </c>
    </row>
    <row r="378" spans="1:12">
      <c r="A378" s="223">
        <v>46183</v>
      </c>
      <c r="B378" s="80" t="s">
        <v>2031</v>
      </c>
      <c r="C378" s="80" t="s">
        <v>4447</v>
      </c>
      <c r="D378" s="107" t="s">
        <v>2032</v>
      </c>
      <c r="E378" s="80">
        <v>1</v>
      </c>
      <c r="F378" s="133">
        <v>27.84</v>
      </c>
      <c r="G378" s="133">
        <v>45</v>
      </c>
      <c r="H378" s="222">
        <f t="shared" si="15"/>
        <v>45</v>
      </c>
      <c r="I378" s="236"/>
      <c r="J378" s="236">
        <v>0</v>
      </c>
      <c r="K378" s="236">
        <f t="shared" si="16"/>
        <v>45</v>
      </c>
      <c r="L378" s="237">
        <f t="shared" si="17"/>
        <v>27.84</v>
      </c>
    </row>
    <row r="379" spans="1:12">
      <c r="A379" s="223">
        <v>46183</v>
      </c>
      <c r="B379" s="80" t="s">
        <v>1122</v>
      </c>
      <c r="C379" s="80" t="s">
        <v>4448</v>
      </c>
      <c r="D379" s="107" t="s">
        <v>1123</v>
      </c>
      <c r="E379" s="80">
        <v>1</v>
      </c>
      <c r="F379" s="133">
        <v>6.67</v>
      </c>
      <c r="G379" s="133">
        <v>9.5</v>
      </c>
      <c r="H379" s="222">
        <f t="shared" si="15"/>
        <v>9.5</v>
      </c>
      <c r="I379" s="236"/>
      <c r="J379" s="236">
        <v>0</v>
      </c>
      <c r="K379" s="236">
        <f t="shared" si="16"/>
        <v>9.5</v>
      </c>
      <c r="L379" s="237">
        <f t="shared" si="17"/>
        <v>6.67</v>
      </c>
    </row>
    <row r="380" spans="1:12">
      <c r="A380" s="223">
        <v>46183</v>
      </c>
      <c r="B380" s="80" t="s">
        <v>1597</v>
      </c>
      <c r="C380" s="80" t="s">
        <v>4448</v>
      </c>
      <c r="D380" s="107" t="s">
        <v>1598</v>
      </c>
      <c r="E380" s="80">
        <v>1</v>
      </c>
      <c r="F380" s="133">
        <v>21.17</v>
      </c>
      <c r="G380" s="133">
        <v>24.5</v>
      </c>
      <c r="H380" s="222">
        <f t="shared" si="15"/>
        <v>24.5</v>
      </c>
      <c r="I380" s="236"/>
      <c r="J380" s="236">
        <v>0</v>
      </c>
      <c r="K380" s="236">
        <f t="shared" si="16"/>
        <v>24.5</v>
      </c>
      <c r="L380" s="237">
        <f t="shared" si="17"/>
        <v>21.17</v>
      </c>
    </row>
    <row r="381" spans="1:12">
      <c r="A381" s="223">
        <v>46183</v>
      </c>
      <c r="B381" s="80" t="s">
        <v>1585</v>
      </c>
      <c r="C381" s="80" t="s">
        <v>4448</v>
      </c>
      <c r="D381" s="107" t="s">
        <v>1586</v>
      </c>
      <c r="E381" s="80">
        <v>1</v>
      </c>
      <c r="F381" s="133">
        <v>23.32</v>
      </c>
      <c r="G381" s="133">
        <v>27</v>
      </c>
      <c r="H381" s="222">
        <f t="shared" si="15"/>
        <v>27</v>
      </c>
      <c r="I381" s="236"/>
      <c r="J381" s="236">
        <v>0</v>
      </c>
      <c r="K381" s="236">
        <f t="shared" si="16"/>
        <v>27</v>
      </c>
      <c r="L381" s="237">
        <f t="shared" si="17"/>
        <v>23.32</v>
      </c>
    </row>
    <row r="382" spans="1:12">
      <c r="A382" s="223">
        <v>46183</v>
      </c>
      <c r="B382" s="80" t="s">
        <v>4074</v>
      </c>
      <c r="C382" s="80" t="s">
        <v>4448</v>
      </c>
      <c r="D382" s="107" t="s">
        <v>4075</v>
      </c>
      <c r="E382" s="80">
        <v>1</v>
      </c>
      <c r="F382" s="133">
        <v>0.76</v>
      </c>
      <c r="G382" s="133">
        <v>1</v>
      </c>
      <c r="H382" s="222">
        <f t="shared" si="15"/>
        <v>1</v>
      </c>
      <c r="I382" s="236"/>
      <c r="J382" s="236">
        <v>0.5</v>
      </c>
      <c r="K382" s="236">
        <f t="shared" si="16"/>
        <v>0.5</v>
      </c>
      <c r="L382" s="237">
        <f t="shared" si="17"/>
        <v>0.76</v>
      </c>
    </row>
    <row r="383" spans="1:12">
      <c r="A383" s="223">
        <v>46183</v>
      </c>
      <c r="B383" s="80" t="s">
        <v>807</v>
      </c>
      <c r="C383" s="80" t="s">
        <v>4449</v>
      </c>
      <c r="D383" s="107" t="s">
        <v>808</v>
      </c>
      <c r="E383" s="80">
        <v>1</v>
      </c>
      <c r="F383" s="133">
        <v>61.5</v>
      </c>
      <c r="G383" s="133">
        <v>70.75</v>
      </c>
      <c r="H383" s="222">
        <f t="shared" si="15"/>
        <v>70.75</v>
      </c>
      <c r="I383" s="236"/>
      <c r="J383" s="236">
        <v>0</v>
      </c>
      <c r="K383" s="236">
        <f t="shared" si="16"/>
        <v>70.75</v>
      </c>
      <c r="L383" s="237">
        <f t="shared" si="17"/>
        <v>61.5</v>
      </c>
    </row>
    <row r="384" spans="1:12">
      <c r="A384" s="223">
        <v>46183</v>
      </c>
      <c r="B384" s="80" t="s">
        <v>4423</v>
      </c>
      <c r="C384" s="80" t="s">
        <v>4450</v>
      </c>
      <c r="D384" s="107" t="s">
        <v>4425</v>
      </c>
      <c r="E384" s="80">
        <v>1</v>
      </c>
      <c r="F384" s="133">
        <v>6.4</v>
      </c>
      <c r="G384" s="133">
        <v>7.5</v>
      </c>
      <c r="H384" s="222">
        <f t="shared" si="15"/>
        <v>7.5</v>
      </c>
      <c r="I384" s="236"/>
      <c r="J384" s="236">
        <v>0</v>
      </c>
      <c r="K384" s="236">
        <f t="shared" si="16"/>
        <v>7.5</v>
      </c>
      <c r="L384" s="237">
        <f t="shared" si="17"/>
        <v>6.4</v>
      </c>
    </row>
    <row r="385" spans="1:12">
      <c r="A385" s="223">
        <v>46183</v>
      </c>
      <c r="B385" s="80" t="s">
        <v>523</v>
      </c>
      <c r="C385" s="80" t="s">
        <v>4451</v>
      </c>
      <c r="D385" s="107" t="s">
        <v>524</v>
      </c>
      <c r="E385" s="80">
        <v>1</v>
      </c>
      <c r="F385" s="133">
        <v>6.83</v>
      </c>
      <c r="G385" s="133">
        <v>7.75</v>
      </c>
      <c r="H385" s="222">
        <f t="shared" si="15"/>
        <v>7.75</v>
      </c>
      <c r="I385" s="236"/>
      <c r="J385" s="236">
        <v>0</v>
      </c>
      <c r="K385" s="236">
        <f t="shared" si="16"/>
        <v>7.75</v>
      </c>
      <c r="L385" s="237">
        <f t="shared" si="17"/>
        <v>6.83</v>
      </c>
    </row>
    <row r="386" spans="1:12">
      <c r="A386" s="223">
        <v>46183</v>
      </c>
      <c r="B386" s="80" t="s">
        <v>519</v>
      </c>
      <c r="C386" s="80" t="s">
        <v>4452</v>
      </c>
      <c r="D386" s="107" t="s">
        <v>520</v>
      </c>
      <c r="E386" s="80">
        <v>1</v>
      </c>
      <c r="F386" s="133">
        <v>6.83</v>
      </c>
      <c r="G386" s="133">
        <v>7.75</v>
      </c>
      <c r="H386" s="222">
        <f t="shared" si="15"/>
        <v>7.75</v>
      </c>
      <c r="I386" s="236"/>
      <c r="J386" s="236">
        <v>0</v>
      </c>
      <c r="K386" s="236">
        <f t="shared" si="16"/>
        <v>7.75</v>
      </c>
      <c r="L386" s="237">
        <f t="shared" si="17"/>
        <v>6.83</v>
      </c>
    </row>
    <row r="387" spans="1:12">
      <c r="A387" s="223">
        <v>46183</v>
      </c>
      <c r="B387" s="80" t="s">
        <v>4099</v>
      </c>
      <c r="C387" s="80" t="s">
        <v>4453</v>
      </c>
      <c r="D387" s="107" t="s">
        <v>4100</v>
      </c>
      <c r="E387" s="80">
        <v>1</v>
      </c>
      <c r="F387" s="133">
        <v>13.12</v>
      </c>
      <c r="G387" s="133">
        <v>15.25</v>
      </c>
      <c r="H387" s="222">
        <f t="shared" si="15"/>
        <v>15.25</v>
      </c>
      <c r="I387" s="236"/>
      <c r="J387" s="236">
        <v>0</v>
      </c>
      <c r="K387" s="236">
        <f t="shared" si="16"/>
        <v>15.25</v>
      </c>
      <c r="L387" s="237">
        <f t="shared" si="17"/>
        <v>13.12</v>
      </c>
    </row>
    <row r="388" spans="1:12">
      <c r="A388" s="223">
        <v>46183</v>
      </c>
      <c r="B388" s="80" t="s">
        <v>2803</v>
      </c>
      <c r="C388" s="80" t="s">
        <v>4454</v>
      </c>
      <c r="D388" s="107" t="s">
        <v>2804</v>
      </c>
      <c r="E388" s="80">
        <v>6</v>
      </c>
      <c r="F388" s="133">
        <v>14.42</v>
      </c>
      <c r="G388" s="133">
        <v>16.75</v>
      </c>
      <c r="H388" s="222">
        <f t="shared" ref="H388:H451" si="18">E388*G388</f>
        <v>100.5</v>
      </c>
      <c r="I388" s="236"/>
      <c r="J388" s="236">
        <v>0</v>
      </c>
      <c r="K388" s="236">
        <f t="shared" si="16"/>
        <v>100.5</v>
      </c>
      <c r="L388" s="237">
        <f t="shared" si="17"/>
        <v>86.52</v>
      </c>
    </row>
    <row r="389" spans="1:12">
      <c r="A389" s="223">
        <v>46183</v>
      </c>
      <c r="B389" s="80" t="s">
        <v>3398</v>
      </c>
      <c r="C389" s="80" t="s">
        <v>4455</v>
      </c>
      <c r="D389" s="107" t="s">
        <v>3399</v>
      </c>
      <c r="E389" s="80">
        <v>13</v>
      </c>
      <c r="F389" s="133">
        <v>90</v>
      </c>
      <c r="G389" s="133">
        <v>120</v>
      </c>
      <c r="H389" s="222">
        <f t="shared" si="18"/>
        <v>1560</v>
      </c>
      <c r="I389" s="236"/>
      <c r="J389" s="236">
        <v>0</v>
      </c>
      <c r="K389" s="236">
        <f t="shared" ref="K389:K452" si="19">H389+I389-J389</f>
        <v>1560</v>
      </c>
      <c r="L389" s="237">
        <f t="shared" ref="L389:L452" si="20">E389*F389</f>
        <v>1170</v>
      </c>
    </row>
    <row r="390" spans="1:12">
      <c r="A390" s="223">
        <v>46183</v>
      </c>
      <c r="B390" s="80" t="s">
        <v>1930</v>
      </c>
      <c r="C390" s="80" t="s">
        <v>4456</v>
      </c>
      <c r="D390" s="107" t="s">
        <v>1931</v>
      </c>
      <c r="E390" s="80">
        <v>3</v>
      </c>
      <c r="F390" s="133">
        <v>32.86</v>
      </c>
      <c r="G390" s="133">
        <v>38</v>
      </c>
      <c r="H390" s="222">
        <f t="shared" si="18"/>
        <v>114</v>
      </c>
      <c r="I390" s="236"/>
      <c r="J390" s="236">
        <v>0</v>
      </c>
      <c r="K390" s="236">
        <f t="shared" si="19"/>
        <v>114</v>
      </c>
      <c r="L390" s="237">
        <f t="shared" si="20"/>
        <v>98.58</v>
      </c>
    </row>
    <row r="391" spans="1:12">
      <c r="A391" s="223">
        <v>46183</v>
      </c>
      <c r="B391" s="80" t="s">
        <v>1997</v>
      </c>
      <c r="C391" s="80" t="s">
        <v>4456</v>
      </c>
      <c r="D391" s="107" t="s">
        <v>1998</v>
      </c>
      <c r="E391" s="80">
        <v>12</v>
      </c>
      <c r="F391" s="133">
        <v>6.02</v>
      </c>
      <c r="G391" s="133">
        <v>7.25</v>
      </c>
      <c r="H391" s="222">
        <f t="shared" si="18"/>
        <v>87</v>
      </c>
      <c r="I391" s="236"/>
      <c r="J391" s="236">
        <v>0</v>
      </c>
      <c r="K391" s="236">
        <f t="shared" si="19"/>
        <v>87</v>
      </c>
      <c r="L391" s="237">
        <f t="shared" si="20"/>
        <v>72.239999999999995</v>
      </c>
    </row>
    <row r="392" spans="1:12">
      <c r="A392" s="223">
        <v>46183</v>
      </c>
      <c r="B392" s="80" t="s">
        <v>3119</v>
      </c>
      <c r="C392" s="80" t="s">
        <v>4456</v>
      </c>
      <c r="D392" s="107" t="s">
        <v>3120</v>
      </c>
      <c r="E392" s="80">
        <v>1</v>
      </c>
      <c r="F392" s="133">
        <v>65.989999999999995</v>
      </c>
      <c r="G392" s="133">
        <v>76.75</v>
      </c>
      <c r="H392" s="222">
        <f t="shared" si="18"/>
        <v>76.75</v>
      </c>
      <c r="I392" s="236"/>
      <c r="J392" s="236">
        <v>0</v>
      </c>
      <c r="K392" s="236">
        <f t="shared" si="19"/>
        <v>76.75</v>
      </c>
      <c r="L392" s="237">
        <f t="shared" si="20"/>
        <v>65.989999999999995</v>
      </c>
    </row>
    <row r="393" spans="1:12">
      <c r="A393" s="223">
        <v>46183</v>
      </c>
      <c r="B393" s="80" t="s">
        <v>1452</v>
      </c>
      <c r="C393" s="80" t="s">
        <v>4456</v>
      </c>
      <c r="D393" s="107" t="s">
        <v>1453</v>
      </c>
      <c r="E393" s="80">
        <v>2</v>
      </c>
      <c r="F393" s="133">
        <v>109.57</v>
      </c>
      <c r="G393" s="133">
        <v>136.5</v>
      </c>
      <c r="H393" s="222">
        <f t="shared" si="18"/>
        <v>273</v>
      </c>
      <c r="I393" s="236"/>
      <c r="J393" s="236">
        <v>0</v>
      </c>
      <c r="K393" s="236">
        <f t="shared" si="19"/>
        <v>273</v>
      </c>
      <c r="L393" s="237">
        <f t="shared" si="20"/>
        <v>219.14</v>
      </c>
    </row>
    <row r="394" spans="1:12">
      <c r="A394" s="223">
        <v>46183</v>
      </c>
      <c r="B394" s="80" t="s">
        <v>2027</v>
      </c>
      <c r="C394" s="80" t="s">
        <v>4456</v>
      </c>
      <c r="D394" s="107" t="s">
        <v>2028</v>
      </c>
      <c r="E394" s="80">
        <v>6</v>
      </c>
      <c r="F394" s="133">
        <v>14.38</v>
      </c>
      <c r="G394" s="133">
        <v>16.75</v>
      </c>
      <c r="H394" s="222">
        <f t="shared" si="18"/>
        <v>100.5</v>
      </c>
      <c r="I394" s="236"/>
      <c r="J394" s="236">
        <v>0</v>
      </c>
      <c r="K394" s="236">
        <f t="shared" si="19"/>
        <v>100.5</v>
      </c>
      <c r="L394" s="237">
        <f t="shared" si="20"/>
        <v>86.28</v>
      </c>
    </row>
    <row r="395" spans="1:12">
      <c r="A395" s="223">
        <v>46183</v>
      </c>
      <c r="B395" s="80" t="s">
        <v>1327</v>
      </c>
      <c r="C395" s="80" t="s">
        <v>4456</v>
      </c>
      <c r="D395" s="107" t="s">
        <v>1328</v>
      </c>
      <c r="E395" s="80">
        <v>4</v>
      </c>
      <c r="F395" s="133">
        <v>96.67</v>
      </c>
      <c r="G395" s="133">
        <v>111.25</v>
      </c>
      <c r="H395" s="222">
        <f t="shared" si="18"/>
        <v>445</v>
      </c>
      <c r="I395" s="236"/>
      <c r="J395" s="236">
        <v>0</v>
      </c>
      <c r="K395" s="236">
        <f t="shared" si="19"/>
        <v>445</v>
      </c>
      <c r="L395" s="237">
        <f t="shared" si="20"/>
        <v>386.68</v>
      </c>
    </row>
    <row r="396" spans="1:12">
      <c r="A396" s="223">
        <v>46183</v>
      </c>
      <c r="B396" s="80" t="s">
        <v>2031</v>
      </c>
      <c r="C396" s="80" t="s">
        <v>4456</v>
      </c>
      <c r="D396" s="107" t="s">
        <v>2032</v>
      </c>
      <c r="E396" s="80">
        <v>4</v>
      </c>
      <c r="F396" s="133">
        <v>27.84</v>
      </c>
      <c r="G396" s="133">
        <v>45</v>
      </c>
      <c r="H396" s="222">
        <f t="shared" si="18"/>
        <v>180</v>
      </c>
      <c r="I396" s="236"/>
      <c r="J396" s="236">
        <v>0</v>
      </c>
      <c r="K396" s="236">
        <f t="shared" si="19"/>
        <v>180</v>
      </c>
      <c r="L396" s="237">
        <f t="shared" si="20"/>
        <v>111.36</v>
      </c>
    </row>
    <row r="397" spans="1:12">
      <c r="A397" s="223">
        <v>46183</v>
      </c>
      <c r="B397" s="80" t="s">
        <v>2819</v>
      </c>
      <c r="C397" s="80" t="s">
        <v>4456</v>
      </c>
      <c r="D397" s="107" t="s">
        <v>2820</v>
      </c>
      <c r="E397" s="80">
        <v>1</v>
      </c>
      <c r="F397" s="133">
        <v>360.65</v>
      </c>
      <c r="G397" s="133">
        <v>414.75</v>
      </c>
      <c r="H397" s="222">
        <f t="shared" si="18"/>
        <v>414.75</v>
      </c>
      <c r="I397" s="236"/>
      <c r="J397" s="236">
        <v>0</v>
      </c>
      <c r="K397" s="236">
        <f t="shared" si="19"/>
        <v>414.75</v>
      </c>
      <c r="L397" s="237">
        <f t="shared" si="20"/>
        <v>360.65</v>
      </c>
    </row>
    <row r="398" spans="1:12">
      <c r="A398" s="223">
        <v>46183</v>
      </c>
      <c r="B398" s="80" t="s">
        <v>2227</v>
      </c>
      <c r="C398" s="80" t="s">
        <v>4457</v>
      </c>
      <c r="D398" s="107" t="s">
        <v>2228</v>
      </c>
      <c r="E398" s="80">
        <v>1</v>
      </c>
      <c r="F398" s="133">
        <v>9.17</v>
      </c>
      <c r="G398" s="133">
        <v>10.75</v>
      </c>
      <c r="H398" s="222">
        <f t="shared" si="18"/>
        <v>10.75</v>
      </c>
      <c r="I398" s="236"/>
      <c r="J398" s="236">
        <v>0</v>
      </c>
      <c r="K398" s="236">
        <f t="shared" si="19"/>
        <v>10.75</v>
      </c>
      <c r="L398" s="237">
        <f t="shared" si="20"/>
        <v>9.17</v>
      </c>
    </row>
    <row r="399" spans="1:12">
      <c r="A399" s="223">
        <v>46183</v>
      </c>
      <c r="B399" s="80" t="s">
        <v>2007</v>
      </c>
      <c r="C399" s="80" t="s">
        <v>4458</v>
      </c>
      <c r="D399" s="107" t="s">
        <v>2008</v>
      </c>
      <c r="E399" s="80">
        <v>1</v>
      </c>
      <c r="F399" s="133">
        <v>51.97</v>
      </c>
      <c r="G399" s="133">
        <v>60</v>
      </c>
      <c r="H399" s="222">
        <f t="shared" si="18"/>
        <v>60</v>
      </c>
      <c r="I399" s="236"/>
      <c r="J399" s="236">
        <v>0</v>
      </c>
      <c r="K399" s="236">
        <f t="shared" si="19"/>
        <v>60</v>
      </c>
      <c r="L399" s="237">
        <f t="shared" si="20"/>
        <v>51.97</v>
      </c>
    </row>
    <row r="400" spans="1:12">
      <c r="A400" s="223">
        <v>46183</v>
      </c>
      <c r="B400" s="80" t="s">
        <v>1302</v>
      </c>
      <c r="C400" s="80" t="s">
        <v>4459</v>
      </c>
      <c r="D400" s="107" t="s">
        <v>1303</v>
      </c>
      <c r="E400" s="80">
        <v>2</v>
      </c>
      <c r="F400" s="133">
        <v>30.45</v>
      </c>
      <c r="G400" s="133">
        <v>35.25</v>
      </c>
      <c r="H400" s="222">
        <f t="shared" si="18"/>
        <v>70.5</v>
      </c>
      <c r="I400" s="236"/>
      <c r="J400" s="236">
        <v>0</v>
      </c>
      <c r="K400" s="236">
        <f t="shared" si="19"/>
        <v>70.5</v>
      </c>
      <c r="L400" s="237">
        <f t="shared" si="20"/>
        <v>60.9</v>
      </c>
    </row>
    <row r="401" spans="1:12">
      <c r="A401" s="223">
        <v>46183</v>
      </c>
      <c r="B401" s="80" t="s">
        <v>1639</v>
      </c>
      <c r="C401" s="80" t="s">
        <v>4459</v>
      </c>
      <c r="D401" s="107" t="s">
        <v>1640</v>
      </c>
      <c r="E401" s="80">
        <v>3</v>
      </c>
      <c r="F401" s="133">
        <v>58.56</v>
      </c>
      <c r="G401" s="133">
        <v>67.5</v>
      </c>
      <c r="H401" s="222">
        <f t="shared" si="18"/>
        <v>202.5</v>
      </c>
      <c r="I401" s="236"/>
      <c r="J401" s="236">
        <v>0</v>
      </c>
      <c r="K401" s="236">
        <f t="shared" si="19"/>
        <v>202.5</v>
      </c>
      <c r="L401" s="237">
        <f t="shared" si="20"/>
        <v>175.68</v>
      </c>
    </row>
    <row r="402" spans="1:12">
      <c r="A402" s="223">
        <v>46183</v>
      </c>
      <c r="B402" s="80" t="s">
        <v>1868</v>
      </c>
      <c r="C402" s="80" t="s">
        <v>4459</v>
      </c>
      <c r="D402" s="107" t="s">
        <v>1869</v>
      </c>
      <c r="E402" s="80">
        <v>1</v>
      </c>
      <c r="F402" s="133">
        <v>38.75</v>
      </c>
      <c r="G402" s="133">
        <v>44.75</v>
      </c>
      <c r="H402" s="222">
        <f t="shared" si="18"/>
        <v>44.75</v>
      </c>
      <c r="I402" s="236"/>
      <c r="J402" s="236">
        <v>0</v>
      </c>
      <c r="K402" s="236">
        <f t="shared" si="19"/>
        <v>44.75</v>
      </c>
      <c r="L402" s="237">
        <f t="shared" si="20"/>
        <v>38.75</v>
      </c>
    </row>
    <row r="403" spans="1:12">
      <c r="A403" s="223">
        <v>46183</v>
      </c>
      <c r="B403" s="80" t="s">
        <v>2073</v>
      </c>
      <c r="C403" s="80" t="s">
        <v>4459</v>
      </c>
      <c r="D403" s="107" t="s">
        <v>2074</v>
      </c>
      <c r="E403" s="80">
        <v>2</v>
      </c>
      <c r="F403" s="133">
        <v>67.290000000000006</v>
      </c>
      <c r="G403" s="133">
        <v>77.5</v>
      </c>
      <c r="H403" s="222">
        <f t="shared" si="18"/>
        <v>155</v>
      </c>
      <c r="I403" s="236"/>
      <c r="J403" s="236">
        <v>0</v>
      </c>
      <c r="K403" s="236">
        <f t="shared" si="19"/>
        <v>155</v>
      </c>
      <c r="L403" s="237">
        <f t="shared" si="20"/>
        <v>134.58000000000001</v>
      </c>
    </row>
    <row r="404" spans="1:12">
      <c r="A404" s="223">
        <v>46183</v>
      </c>
      <c r="B404" s="80" t="s">
        <v>1997</v>
      </c>
      <c r="C404" s="80" t="s">
        <v>4459</v>
      </c>
      <c r="D404" s="107" t="s">
        <v>1998</v>
      </c>
      <c r="E404" s="80">
        <v>12</v>
      </c>
      <c r="F404" s="133">
        <v>6.02</v>
      </c>
      <c r="G404" s="133">
        <v>7.25</v>
      </c>
      <c r="H404" s="222">
        <f t="shared" si="18"/>
        <v>87</v>
      </c>
      <c r="I404" s="236"/>
      <c r="J404" s="236">
        <v>0</v>
      </c>
      <c r="K404" s="236">
        <f t="shared" si="19"/>
        <v>87</v>
      </c>
      <c r="L404" s="237">
        <f t="shared" si="20"/>
        <v>72.239999999999995</v>
      </c>
    </row>
    <row r="405" spans="1:12">
      <c r="A405" s="223">
        <v>46183</v>
      </c>
      <c r="B405" s="80" t="s">
        <v>540</v>
      </c>
      <c r="C405" s="80" t="s">
        <v>4460</v>
      </c>
      <c r="D405" s="107" t="s">
        <v>541</v>
      </c>
      <c r="E405" s="80">
        <v>1</v>
      </c>
      <c r="F405" s="133">
        <v>23.07</v>
      </c>
      <c r="G405" s="133">
        <v>26.75</v>
      </c>
      <c r="H405" s="222">
        <f t="shared" si="18"/>
        <v>26.75</v>
      </c>
      <c r="I405" s="236"/>
      <c r="J405" s="236">
        <v>0</v>
      </c>
      <c r="K405" s="236">
        <f t="shared" si="19"/>
        <v>26.75</v>
      </c>
      <c r="L405" s="237">
        <f t="shared" si="20"/>
        <v>23.07</v>
      </c>
    </row>
    <row r="406" spans="1:12">
      <c r="A406" s="223">
        <v>46183</v>
      </c>
      <c r="B406" s="80" t="s">
        <v>4074</v>
      </c>
      <c r="C406" s="80" t="s">
        <v>4461</v>
      </c>
      <c r="D406" s="107" t="s">
        <v>4075</v>
      </c>
      <c r="E406" s="80">
        <v>8</v>
      </c>
      <c r="F406" s="133">
        <v>0.76</v>
      </c>
      <c r="G406" s="133">
        <v>1</v>
      </c>
      <c r="H406" s="222">
        <f t="shared" si="18"/>
        <v>8</v>
      </c>
      <c r="I406" s="236"/>
      <c r="J406" s="236">
        <v>0</v>
      </c>
      <c r="K406" s="236">
        <f t="shared" si="19"/>
        <v>8</v>
      </c>
      <c r="L406" s="237">
        <f t="shared" si="20"/>
        <v>6.08</v>
      </c>
    </row>
    <row r="407" spans="1:12">
      <c r="A407" s="223">
        <v>46183</v>
      </c>
      <c r="B407" s="80" t="s">
        <v>3779</v>
      </c>
      <c r="C407" s="80" t="s">
        <v>4461</v>
      </c>
      <c r="D407" s="107" t="s">
        <v>3780</v>
      </c>
      <c r="E407" s="80">
        <v>1</v>
      </c>
      <c r="F407" s="133">
        <v>0.76</v>
      </c>
      <c r="G407" s="133">
        <v>1</v>
      </c>
      <c r="H407" s="222">
        <f t="shared" si="18"/>
        <v>1</v>
      </c>
      <c r="I407" s="236"/>
      <c r="J407" s="236">
        <v>0</v>
      </c>
      <c r="K407" s="236">
        <f t="shared" si="19"/>
        <v>1</v>
      </c>
      <c r="L407" s="237">
        <f t="shared" si="20"/>
        <v>0.76</v>
      </c>
    </row>
    <row r="408" spans="1:12">
      <c r="A408" s="223">
        <v>46183</v>
      </c>
      <c r="B408" s="80" t="s">
        <v>1450</v>
      </c>
      <c r="C408" s="80" t="s">
        <v>4462</v>
      </c>
      <c r="D408" s="107" t="s">
        <v>1451</v>
      </c>
      <c r="E408" s="80">
        <v>1</v>
      </c>
      <c r="F408" s="133">
        <v>61.93</v>
      </c>
      <c r="G408" s="133">
        <v>71.25</v>
      </c>
      <c r="H408" s="222">
        <f t="shared" si="18"/>
        <v>71.25</v>
      </c>
      <c r="I408" s="236"/>
      <c r="J408" s="236">
        <v>0</v>
      </c>
      <c r="K408" s="236">
        <f t="shared" si="19"/>
        <v>71.25</v>
      </c>
      <c r="L408" s="237">
        <f t="shared" si="20"/>
        <v>61.93</v>
      </c>
    </row>
    <row r="409" spans="1:12">
      <c r="A409" s="223">
        <v>46183</v>
      </c>
      <c r="B409" s="80" t="s">
        <v>2033</v>
      </c>
      <c r="C409" s="80" t="s">
        <v>4462</v>
      </c>
      <c r="D409" s="107" t="s">
        <v>2034</v>
      </c>
      <c r="E409" s="80">
        <v>4</v>
      </c>
      <c r="F409" s="133">
        <v>13.92</v>
      </c>
      <c r="G409" s="133">
        <v>22</v>
      </c>
      <c r="H409" s="222">
        <f t="shared" si="18"/>
        <v>88</v>
      </c>
      <c r="I409" s="236"/>
      <c r="J409" s="236">
        <v>0</v>
      </c>
      <c r="K409" s="236">
        <f t="shared" si="19"/>
        <v>88</v>
      </c>
      <c r="L409" s="237">
        <f t="shared" si="20"/>
        <v>55.68</v>
      </c>
    </row>
    <row r="410" spans="1:12">
      <c r="A410" s="223">
        <v>46183</v>
      </c>
      <c r="B410" s="80" t="s">
        <v>1399</v>
      </c>
      <c r="C410" s="80" t="s">
        <v>4462</v>
      </c>
      <c r="D410" s="107" t="s">
        <v>1400</v>
      </c>
      <c r="E410" s="80">
        <v>1</v>
      </c>
      <c r="F410" s="133">
        <v>200.03</v>
      </c>
      <c r="G410" s="133">
        <v>230</v>
      </c>
      <c r="H410" s="222">
        <f t="shared" si="18"/>
        <v>230</v>
      </c>
      <c r="I410" s="236"/>
      <c r="J410" s="236">
        <v>0</v>
      </c>
      <c r="K410" s="236">
        <f t="shared" si="19"/>
        <v>230</v>
      </c>
      <c r="L410" s="237">
        <f t="shared" si="20"/>
        <v>200.03</v>
      </c>
    </row>
    <row r="411" spans="1:12">
      <c r="A411" s="223">
        <v>46183</v>
      </c>
      <c r="B411" s="80" t="s">
        <v>2249</v>
      </c>
      <c r="C411" s="80" t="s">
        <v>4463</v>
      </c>
      <c r="D411" s="107" t="s">
        <v>2250</v>
      </c>
      <c r="E411" s="80">
        <v>2</v>
      </c>
      <c r="F411" s="133">
        <v>8.3000000000000007</v>
      </c>
      <c r="G411" s="133">
        <v>9.75</v>
      </c>
      <c r="H411" s="222">
        <f t="shared" si="18"/>
        <v>19.5</v>
      </c>
      <c r="I411" s="236"/>
      <c r="J411" s="236">
        <v>0</v>
      </c>
      <c r="K411" s="236">
        <f t="shared" si="19"/>
        <v>19.5</v>
      </c>
      <c r="L411" s="237">
        <f t="shared" si="20"/>
        <v>16.600000000000001</v>
      </c>
    </row>
    <row r="412" spans="1:12">
      <c r="A412" s="223" t="s">
        <v>4464</v>
      </c>
      <c r="B412" s="80" t="s">
        <v>3533</v>
      </c>
      <c r="C412" s="80" t="s">
        <v>4465</v>
      </c>
      <c r="D412" s="107" t="s">
        <v>3534</v>
      </c>
      <c r="E412" s="80">
        <v>1</v>
      </c>
      <c r="F412" s="133">
        <v>18.2</v>
      </c>
      <c r="G412" s="133">
        <v>21</v>
      </c>
      <c r="H412" s="222">
        <f t="shared" si="18"/>
        <v>21</v>
      </c>
      <c r="I412" s="236"/>
      <c r="J412" s="236">
        <v>0</v>
      </c>
      <c r="K412" s="236">
        <f t="shared" si="19"/>
        <v>21</v>
      </c>
      <c r="L412" s="237">
        <f t="shared" si="20"/>
        <v>18.2</v>
      </c>
    </row>
    <row r="413" spans="1:12">
      <c r="A413" s="223" t="s">
        <v>4464</v>
      </c>
      <c r="B413" s="80" t="s">
        <v>3519</v>
      </c>
      <c r="C413" s="80" t="s">
        <v>4465</v>
      </c>
      <c r="D413" s="107" t="s">
        <v>3520</v>
      </c>
      <c r="E413" s="80">
        <v>1</v>
      </c>
      <c r="F413" s="133">
        <v>20.399999999999999</v>
      </c>
      <c r="G413" s="133">
        <v>24</v>
      </c>
      <c r="H413" s="222">
        <f t="shared" si="18"/>
        <v>24</v>
      </c>
      <c r="I413" s="236"/>
      <c r="J413" s="236">
        <v>0</v>
      </c>
      <c r="K413" s="236">
        <f t="shared" si="19"/>
        <v>24</v>
      </c>
      <c r="L413" s="237">
        <f t="shared" si="20"/>
        <v>20.399999999999999</v>
      </c>
    </row>
    <row r="414" spans="1:12">
      <c r="A414" s="223" t="s">
        <v>4464</v>
      </c>
      <c r="B414" s="80" t="s">
        <v>3119</v>
      </c>
      <c r="C414" s="80" t="s">
        <v>4465</v>
      </c>
      <c r="D414" s="107" t="s">
        <v>3120</v>
      </c>
      <c r="E414" s="80">
        <v>1</v>
      </c>
      <c r="F414" s="133">
        <v>65.989999999999995</v>
      </c>
      <c r="G414" s="133">
        <v>76.75</v>
      </c>
      <c r="H414" s="222">
        <f t="shared" si="18"/>
        <v>76.75</v>
      </c>
      <c r="I414" s="236"/>
      <c r="J414" s="236">
        <v>0</v>
      </c>
      <c r="K414" s="236">
        <f t="shared" si="19"/>
        <v>76.75</v>
      </c>
      <c r="L414" s="237">
        <f t="shared" si="20"/>
        <v>65.989999999999995</v>
      </c>
    </row>
    <row r="415" spans="1:12">
      <c r="A415" s="223" t="s">
        <v>4464</v>
      </c>
      <c r="B415" s="80" t="s">
        <v>1840</v>
      </c>
      <c r="C415" s="80" t="s">
        <v>4466</v>
      </c>
      <c r="D415" s="107" t="s">
        <v>1841</v>
      </c>
      <c r="E415" s="80">
        <v>1</v>
      </c>
      <c r="F415" s="133">
        <v>29.95</v>
      </c>
      <c r="G415" s="133">
        <v>34.5</v>
      </c>
      <c r="H415" s="222">
        <f t="shared" si="18"/>
        <v>34.5</v>
      </c>
      <c r="I415" s="236"/>
      <c r="J415" s="236">
        <v>0</v>
      </c>
      <c r="K415" s="236">
        <f t="shared" si="19"/>
        <v>34.5</v>
      </c>
      <c r="L415" s="237">
        <f t="shared" si="20"/>
        <v>29.95</v>
      </c>
    </row>
    <row r="416" spans="1:12">
      <c r="A416" s="223" t="s">
        <v>4464</v>
      </c>
      <c r="B416" s="80" t="s">
        <v>2674</v>
      </c>
      <c r="C416" s="80" t="s">
        <v>4467</v>
      </c>
      <c r="D416" s="107" t="s">
        <v>2675</v>
      </c>
      <c r="E416" s="80">
        <v>2</v>
      </c>
      <c r="F416" s="133">
        <v>47.5</v>
      </c>
      <c r="G416" s="133">
        <v>54.75</v>
      </c>
      <c r="H416" s="222">
        <f t="shared" si="18"/>
        <v>109.5</v>
      </c>
      <c r="I416" s="236"/>
      <c r="J416" s="236">
        <v>0</v>
      </c>
      <c r="K416" s="236">
        <f t="shared" si="19"/>
        <v>109.5</v>
      </c>
      <c r="L416" s="237">
        <f t="shared" si="20"/>
        <v>95</v>
      </c>
    </row>
    <row r="417" spans="1:12">
      <c r="A417" s="223" t="s">
        <v>4464</v>
      </c>
      <c r="B417" s="80" t="s">
        <v>888</v>
      </c>
      <c r="C417" s="80" t="s">
        <v>4467</v>
      </c>
      <c r="D417" s="107" t="s">
        <v>889</v>
      </c>
      <c r="E417" s="80">
        <v>1</v>
      </c>
      <c r="F417" s="133">
        <v>84.8</v>
      </c>
      <c r="G417" s="133">
        <v>94</v>
      </c>
      <c r="H417" s="222">
        <f t="shared" si="18"/>
        <v>94</v>
      </c>
      <c r="I417" s="236"/>
      <c r="J417" s="236">
        <v>0</v>
      </c>
      <c r="K417" s="236">
        <f t="shared" si="19"/>
        <v>94</v>
      </c>
      <c r="L417" s="237">
        <f t="shared" si="20"/>
        <v>84.8</v>
      </c>
    </row>
    <row r="418" spans="1:12">
      <c r="A418" s="223" t="s">
        <v>4464</v>
      </c>
      <c r="B418" s="80" t="s">
        <v>1396</v>
      </c>
      <c r="C418" s="80" t="s">
        <v>4467</v>
      </c>
      <c r="D418" s="107" t="s">
        <v>1397</v>
      </c>
      <c r="E418" s="80">
        <v>1</v>
      </c>
      <c r="F418" s="133">
        <v>145.18</v>
      </c>
      <c r="G418" s="133">
        <v>167</v>
      </c>
      <c r="H418" s="222">
        <f t="shared" si="18"/>
        <v>167</v>
      </c>
      <c r="I418" s="236"/>
      <c r="J418" s="236">
        <v>0</v>
      </c>
      <c r="K418" s="236">
        <f t="shared" si="19"/>
        <v>167</v>
      </c>
      <c r="L418" s="237">
        <f t="shared" si="20"/>
        <v>145.18</v>
      </c>
    </row>
    <row r="419" spans="1:12">
      <c r="A419" s="223" t="s">
        <v>4464</v>
      </c>
      <c r="B419" s="80" t="s">
        <v>772</v>
      </c>
      <c r="C419" s="80" t="s">
        <v>4468</v>
      </c>
      <c r="D419" s="107" t="s">
        <v>773</v>
      </c>
      <c r="E419" s="80">
        <v>1</v>
      </c>
      <c r="F419" s="133">
        <v>68</v>
      </c>
      <c r="G419" s="133">
        <v>78.25</v>
      </c>
      <c r="H419" s="222">
        <f t="shared" si="18"/>
        <v>78.25</v>
      </c>
      <c r="I419" s="236"/>
      <c r="J419" s="236">
        <v>0</v>
      </c>
      <c r="K419" s="236">
        <f t="shared" si="19"/>
        <v>78.25</v>
      </c>
      <c r="L419" s="237">
        <f t="shared" si="20"/>
        <v>68</v>
      </c>
    </row>
    <row r="420" spans="1:12">
      <c r="A420" s="223" t="s">
        <v>4464</v>
      </c>
      <c r="B420" s="80" t="s">
        <v>774</v>
      </c>
      <c r="C420" s="80" t="s">
        <v>4469</v>
      </c>
      <c r="D420" s="107" t="s">
        <v>775</v>
      </c>
      <c r="E420" s="80">
        <v>1</v>
      </c>
      <c r="F420" s="133">
        <v>129</v>
      </c>
      <c r="G420" s="133">
        <v>148.5</v>
      </c>
      <c r="H420" s="222">
        <f t="shared" si="18"/>
        <v>148.5</v>
      </c>
      <c r="I420" s="236"/>
      <c r="J420" s="236">
        <v>0</v>
      </c>
      <c r="K420" s="236">
        <f t="shared" si="19"/>
        <v>148.5</v>
      </c>
      <c r="L420" s="237">
        <f t="shared" si="20"/>
        <v>129</v>
      </c>
    </row>
    <row r="421" spans="1:12">
      <c r="A421" s="223" t="s">
        <v>4464</v>
      </c>
      <c r="B421" s="80" t="s">
        <v>2037</v>
      </c>
      <c r="C421" s="80" t="s">
        <v>4470</v>
      </c>
      <c r="D421" s="107" t="s">
        <v>2038</v>
      </c>
      <c r="E421" s="80">
        <v>16</v>
      </c>
      <c r="F421" s="133">
        <v>4.74</v>
      </c>
      <c r="G421" s="133">
        <v>5.5</v>
      </c>
      <c r="H421" s="222">
        <f t="shared" si="18"/>
        <v>88</v>
      </c>
      <c r="I421" s="236"/>
      <c r="J421" s="236">
        <v>0</v>
      </c>
      <c r="K421" s="236">
        <f t="shared" si="19"/>
        <v>88</v>
      </c>
      <c r="L421" s="237">
        <f t="shared" si="20"/>
        <v>75.84</v>
      </c>
    </row>
    <row r="422" spans="1:12">
      <c r="A422" s="223" t="s">
        <v>4464</v>
      </c>
      <c r="B422" s="80" t="s">
        <v>1174</v>
      </c>
      <c r="C422" s="80" t="s">
        <v>4471</v>
      </c>
      <c r="D422" s="107" t="s">
        <v>1175</v>
      </c>
      <c r="E422" s="80">
        <v>2</v>
      </c>
      <c r="F422" s="133">
        <v>23.63</v>
      </c>
      <c r="G422" s="133">
        <v>27.25</v>
      </c>
      <c r="H422" s="222">
        <f t="shared" si="18"/>
        <v>54.5</v>
      </c>
      <c r="I422" s="236"/>
      <c r="J422" s="236">
        <v>0</v>
      </c>
      <c r="K422" s="236">
        <f t="shared" si="19"/>
        <v>54.5</v>
      </c>
      <c r="L422" s="237">
        <f t="shared" si="20"/>
        <v>47.26</v>
      </c>
    </row>
    <row r="423" spans="1:12">
      <c r="A423" s="223" t="s">
        <v>4464</v>
      </c>
      <c r="B423" s="80" t="s">
        <v>1041</v>
      </c>
      <c r="C423" s="80" t="s">
        <v>4472</v>
      </c>
      <c r="D423" s="107" t="s">
        <v>1042</v>
      </c>
      <c r="E423" s="80">
        <v>1</v>
      </c>
      <c r="F423" s="133">
        <v>6.4</v>
      </c>
      <c r="G423" s="133">
        <v>7.5</v>
      </c>
      <c r="H423" s="222">
        <f t="shared" si="18"/>
        <v>7.5</v>
      </c>
      <c r="I423" s="236"/>
      <c r="J423" s="236">
        <v>0</v>
      </c>
      <c r="K423" s="236">
        <f t="shared" si="19"/>
        <v>7.5</v>
      </c>
      <c r="L423" s="237">
        <f t="shared" si="20"/>
        <v>6.4</v>
      </c>
    </row>
    <row r="424" spans="1:12">
      <c r="A424" s="223" t="s">
        <v>4464</v>
      </c>
      <c r="B424" s="80" t="s">
        <v>2033</v>
      </c>
      <c r="C424" s="80" t="s">
        <v>4473</v>
      </c>
      <c r="D424" s="107" t="s">
        <v>2034</v>
      </c>
      <c r="E424" s="80">
        <v>1</v>
      </c>
      <c r="F424" s="133">
        <v>13.92</v>
      </c>
      <c r="G424" s="133">
        <v>22</v>
      </c>
      <c r="H424" s="222">
        <f t="shared" si="18"/>
        <v>22</v>
      </c>
      <c r="I424" s="236"/>
      <c r="J424" s="236">
        <v>0</v>
      </c>
      <c r="K424" s="236">
        <f t="shared" si="19"/>
        <v>22</v>
      </c>
      <c r="L424" s="237">
        <f t="shared" si="20"/>
        <v>13.92</v>
      </c>
    </row>
    <row r="425" spans="1:12">
      <c r="A425" s="223" t="s">
        <v>4464</v>
      </c>
      <c r="B425" s="80" t="s">
        <v>1599</v>
      </c>
      <c r="C425" s="80" t="s">
        <v>4474</v>
      </c>
      <c r="D425" s="107" t="s">
        <v>1600</v>
      </c>
      <c r="E425" s="80">
        <v>1</v>
      </c>
      <c r="F425" s="133">
        <v>21.17</v>
      </c>
      <c r="G425" s="133">
        <v>24.5</v>
      </c>
      <c r="H425" s="222">
        <f t="shared" si="18"/>
        <v>24.5</v>
      </c>
      <c r="I425" s="236"/>
      <c r="J425" s="236">
        <v>0</v>
      </c>
      <c r="K425" s="236">
        <f t="shared" si="19"/>
        <v>24.5</v>
      </c>
      <c r="L425" s="237">
        <f t="shared" si="20"/>
        <v>21.17</v>
      </c>
    </row>
    <row r="426" spans="1:12">
      <c r="A426" s="223" t="s">
        <v>4464</v>
      </c>
      <c r="B426" s="80" t="s">
        <v>2075</v>
      </c>
      <c r="C426" s="80" t="s">
        <v>4475</v>
      </c>
      <c r="D426" s="107" t="s">
        <v>2076</v>
      </c>
      <c r="E426" s="80">
        <v>1</v>
      </c>
      <c r="F426" s="133">
        <v>64.489999999999995</v>
      </c>
      <c r="G426" s="133">
        <v>74.25</v>
      </c>
      <c r="H426" s="222">
        <f t="shared" si="18"/>
        <v>74.25</v>
      </c>
      <c r="I426" s="236"/>
      <c r="J426" s="236">
        <v>0</v>
      </c>
      <c r="K426" s="236">
        <f t="shared" si="19"/>
        <v>74.25</v>
      </c>
      <c r="L426" s="237">
        <f t="shared" si="20"/>
        <v>64.489999999999995</v>
      </c>
    </row>
    <row r="427" spans="1:12">
      <c r="A427" s="223" t="s">
        <v>4464</v>
      </c>
      <c r="B427" s="80" t="s">
        <v>2073</v>
      </c>
      <c r="C427" s="80" t="s">
        <v>4475</v>
      </c>
      <c r="D427" s="107" t="s">
        <v>2074</v>
      </c>
      <c r="E427" s="80">
        <v>2</v>
      </c>
      <c r="F427" s="133">
        <v>67.290000000000006</v>
      </c>
      <c r="G427" s="133">
        <v>77.5</v>
      </c>
      <c r="H427" s="222">
        <f t="shared" si="18"/>
        <v>155</v>
      </c>
      <c r="I427" s="236"/>
      <c r="J427" s="236">
        <v>0</v>
      </c>
      <c r="K427" s="236">
        <f t="shared" si="19"/>
        <v>155</v>
      </c>
      <c r="L427" s="237">
        <f t="shared" si="20"/>
        <v>134.58000000000001</v>
      </c>
    </row>
    <row r="428" spans="1:12">
      <c r="A428" s="223" t="s">
        <v>4464</v>
      </c>
      <c r="B428" s="80" t="s">
        <v>2041</v>
      </c>
      <c r="C428" s="80" t="s">
        <v>4476</v>
      </c>
      <c r="D428" s="107" t="s">
        <v>2042</v>
      </c>
      <c r="E428" s="80">
        <v>2</v>
      </c>
      <c r="F428" s="133">
        <v>20.8</v>
      </c>
      <c r="G428" s="133">
        <v>24</v>
      </c>
      <c r="H428" s="222">
        <f t="shared" si="18"/>
        <v>48</v>
      </c>
      <c r="I428" s="236"/>
      <c r="J428" s="236">
        <v>0</v>
      </c>
      <c r="K428" s="236">
        <f t="shared" si="19"/>
        <v>48</v>
      </c>
      <c r="L428" s="237">
        <f t="shared" si="20"/>
        <v>41.6</v>
      </c>
    </row>
    <row r="429" spans="1:12">
      <c r="A429" s="223" t="s">
        <v>4464</v>
      </c>
      <c r="B429" s="80" t="s">
        <v>2007</v>
      </c>
      <c r="C429" s="80" t="s">
        <v>4476</v>
      </c>
      <c r="D429" s="107" t="s">
        <v>2008</v>
      </c>
      <c r="E429" s="80">
        <v>2</v>
      </c>
      <c r="F429" s="133">
        <v>51.97</v>
      </c>
      <c r="G429" s="133">
        <v>60</v>
      </c>
      <c r="H429" s="222">
        <f t="shared" si="18"/>
        <v>120</v>
      </c>
      <c r="I429" s="236"/>
      <c r="J429" s="236">
        <v>0</v>
      </c>
      <c r="K429" s="236">
        <f t="shared" si="19"/>
        <v>120</v>
      </c>
      <c r="L429" s="237">
        <f t="shared" si="20"/>
        <v>103.94</v>
      </c>
    </row>
    <row r="430" spans="1:12">
      <c r="A430" s="223" t="s">
        <v>4464</v>
      </c>
      <c r="B430" s="80" t="s">
        <v>1429</v>
      </c>
      <c r="C430" s="80" t="s">
        <v>4477</v>
      </c>
      <c r="D430" s="107" t="s">
        <v>1430</v>
      </c>
      <c r="E430" s="80">
        <v>4</v>
      </c>
      <c r="F430" s="133">
        <v>18.57</v>
      </c>
      <c r="G430" s="133">
        <v>21.5</v>
      </c>
      <c r="H430" s="222">
        <f t="shared" si="18"/>
        <v>86</v>
      </c>
      <c r="I430" s="236"/>
      <c r="J430" s="236">
        <v>0</v>
      </c>
      <c r="K430" s="236">
        <f t="shared" si="19"/>
        <v>86</v>
      </c>
      <c r="L430" s="237">
        <f t="shared" si="20"/>
        <v>74.28</v>
      </c>
    </row>
    <row r="431" spans="1:12">
      <c r="A431" s="223" t="s">
        <v>4464</v>
      </c>
      <c r="B431" s="80" t="s">
        <v>2027</v>
      </c>
      <c r="C431" s="80" t="s">
        <v>4478</v>
      </c>
      <c r="D431" s="107" t="s">
        <v>2028</v>
      </c>
      <c r="E431" s="80">
        <v>1</v>
      </c>
      <c r="F431" s="133">
        <v>14.38</v>
      </c>
      <c r="G431" s="133">
        <v>16.75</v>
      </c>
      <c r="H431" s="222">
        <f t="shared" si="18"/>
        <v>16.75</v>
      </c>
      <c r="I431" s="236"/>
      <c r="J431" s="236">
        <v>0</v>
      </c>
      <c r="K431" s="236">
        <f t="shared" si="19"/>
        <v>16.75</v>
      </c>
      <c r="L431" s="237">
        <f t="shared" si="20"/>
        <v>14.38</v>
      </c>
    </row>
    <row r="432" spans="1:12">
      <c r="A432" s="223" t="s">
        <v>4464</v>
      </c>
      <c r="B432" s="80" t="s">
        <v>4363</v>
      </c>
      <c r="C432" s="80" t="s">
        <v>4476</v>
      </c>
      <c r="D432" s="107" t="s">
        <v>4364</v>
      </c>
      <c r="E432" s="80">
        <v>1</v>
      </c>
      <c r="F432" s="133">
        <v>6.03</v>
      </c>
      <c r="G432" s="133">
        <v>7</v>
      </c>
      <c r="H432" s="222">
        <f t="shared" si="18"/>
        <v>7</v>
      </c>
      <c r="I432" s="236"/>
      <c r="J432" s="236">
        <v>0</v>
      </c>
      <c r="K432" s="236">
        <f t="shared" si="19"/>
        <v>7</v>
      </c>
      <c r="L432" s="237">
        <f t="shared" si="20"/>
        <v>6.03</v>
      </c>
    </row>
    <row r="433" spans="1:12">
      <c r="A433" s="223" t="s">
        <v>4464</v>
      </c>
      <c r="B433" s="80" t="s">
        <v>1122</v>
      </c>
      <c r="C433" s="80" t="s">
        <v>4476</v>
      </c>
      <c r="D433" s="107" t="s">
        <v>1123</v>
      </c>
      <c r="E433" s="80">
        <v>1</v>
      </c>
      <c r="F433" s="133">
        <v>6.67</v>
      </c>
      <c r="G433" s="133">
        <v>9.5</v>
      </c>
      <c r="H433" s="222">
        <f t="shared" si="18"/>
        <v>9.5</v>
      </c>
      <c r="I433" s="236"/>
      <c r="J433" s="236">
        <v>0</v>
      </c>
      <c r="K433" s="236">
        <f t="shared" si="19"/>
        <v>9.5</v>
      </c>
      <c r="L433" s="237">
        <f t="shared" si="20"/>
        <v>6.67</v>
      </c>
    </row>
    <row r="434" spans="1:12">
      <c r="A434" s="223" t="s">
        <v>4464</v>
      </c>
      <c r="B434" s="80" t="s">
        <v>3533</v>
      </c>
      <c r="C434" s="80" t="s">
        <v>4479</v>
      </c>
      <c r="D434" s="107" t="s">
        <v>3534</v>
      </c>
      <c r="E434" s="80">
        <v>1</v>
      </c>
      <c r="F434" s="133">
        <v>18.2</v>
      </c>
      <c r="G434" s="133">
        <v>21</v>
      </c>
      <c r="H434" s="222">
        <f t="shared" si="18"/>
        <v>21</v>
      </c>
      <c r="I434" s="236"/>
      <c r="J434" s="236">
        <v>0</v>
      </c>
      <c r="K434" s="236">
        <f t="shared" si="19"/>
        <v>21</v>
      </c>
      <c r="L434" s="237">
        <f t="shared" si="20"/>
        <v>18.2</v>
      </c>
    </row>
    <row r="435" spans="1:12">
      <c r="A435" s="223" t="s">
        <v>4464</v>
      </c>
      <c r="B435" s="80" t="s">
        <v>3527</v>
      </c>
      <c r="C435" s="80" t="s">
        <v>4479</v>
      </c>
      <c r="D435" s="107" t="s">
        <v>3528</v>
      </c>
      <c r="E435" s="80">
        <v>1</v>
      </c>
      <c r="F435" s="133">
        <v>20.399999999999999</v>
      </c>
      <c r="G435" s="133">
        <v>23.5</v>
      </c>
      <c r="H435" s="222">
        <f t="shared" si="18"/>
        <v>23.5</v>
      </c>
      <c r="I435" s="236"/>
      <c r="J435" s="236">
        <v>0</v>
      </c>
      <c r="K435" s="236">
        <f t="shared" si="19"/>
        <v>23.5</v>
      </c>
      <c r="L435" s="237">
        <f t="shared" si="20"/>
        <v>20.399999999999999</v>
      </c>
    </row>
    <row r="436" spans="1:12">
      <c r="A436" s="223" t="s">
        <v>4464</v>
      </c>
      <c r="B436" s="80" t="s">
        <v>3653</v>
      </c>
      <c r="C436" s="80" t="s">
        <v>4479</v>
      </c>
      <c r="D436" s="107" t="s">
        <v>3654</v>
      </c>
      <c r="E436" s="80">
        <v>1</v>
      </c>
      <c r="F436" s="133">
        <v>9.3800000000000008</v>
      </c>
      <c r="G436" s="133">
        <v>11</v>
      </c>
      <c r="H436" s="222">
        <f t="shared" si="18"/>
        <v>11</v>
      </c>
      <c r="I436" s="236"/>
      <c r="J436" s="236">
        <v>0</v>
      </c>
      <c r="K436" s="236">
        <f t="shared" si="19"/>
        <v>11</v>
      </c>
      <c r="L436" s="237">
        <f t="shared" si="20"/>
        <v>9.3800000000000008</v>
      </c>
    </row>
    <row r="437" spans="1:12">
      <c r="A437" s="223" t="s">
        <v>4464</v>
      </c>
      <c r="B437" s="80" t="s">
        <v>2644</v>
      </c>
      <c r="C437" s="80" t="s">
        <v>4480</v>
      </c>
      <c r="D437" s="107" t="s">
        <v>2645</v>
      </c>
      <c r="E437" s="80">
        <v>1</v>
      </c>
      <c r="F437" s="133">
        <v>30.9</v>
      </c>
      <c r="G437" s="133">
        <v>35.75</v>
      </c>
      <c r="H437" s="222">
        <f t="shared" si="18"/>
        <v>35.75</v>
      </c>
      <c r="I437" s="236"/>
      <c r="J437" s="236">
        <v>0</v>
      </c>
      <c r="K437" s="236">
        <f t="shared" si="19"/>
        <v>35.75</v>
      </c>
      <c r="L437" s="237">
        <f t="shared" si="20"/>
        <v>30.9</v>
      </c>
    </row>
    <row r="438" spans="1:12">
      <c r="A438" s="223" t="s">
        <v>4464</v>
      </c>
      <c r="B438" s="80" t="s">
        <v>912</v>
      </c>
      <c r="C438" s="80" t="s">
        <v>4481</v>
      </c>
      <c r="D438" s="107" t="s">
        <v>913</v>
      </c>
      <c r="E438" s="80">
        <v>1</v>
      </c>
      <c r="F438" s="133">
        <v>75</v>
      </c>
      <c r="G438" s="133">
        <v>83</v>
      </c>
      <c r="H438" s="222">
        <f t="shared" si="18"/>
        <v>83</v>
      </c>
      <c r="I438" s="236"/>
      <c r="J438" s="236">
        <v>0</v>
      </c>
      <c r="K438" s="236">
        <f t="shared" si="19"/>
        <v>83</v>
      </c>
      <c r="L438" s="237">
        <f t="shared" si="20"/>
        <v>75</v>
      </c>
    </row>
    <row r="439" spans="1:12">
      <c r="A439" s="223" t="s">
        <v>4464</v>
      </c>
      <c r="B439" s="80" t="s">
        <v>1888</v>
      </c>
      <c r="C439" s="80" t="s">
        <v>4482</v>
      </c>
      <c r="D439" s="107" t="s">
        <v>1889</v>
      </c>
      <c r="E439" s="80">
        <v>1</v>
      </c>
      <c r="F439" s="133">
        <v>22.59</v>
      </c>
      <c r="G439" s="133">
        <v>26</v>
      </c>
      <c r="H439" s="222">
        <f t="shared" si="18"/>
        <v>26</v>
      </c>
      <c r="I439" s="236"/>
      <c r="J439" s="236">
        <v>0</v>
      </c>
      <c r="K439" s="236">
        <f t="shared" si="19"/>
        <v>26</v>
      </c>
      <c r="L439" s="237">
        <f t="shared" si="20"/>
        <v>22.59</v>
      </c>
    </row>
    <row r="440" spans="1:12">
      <c r="A440" s="223" t="s">
        <v>4464</v>
      </c>
      <c r="B440" s="80" t="s">
        <v>3723</v>
      </c>
      <c r="C440" s="80" t="s">
        <v>4483</v>
      </c>
      <c r="D440" s="107" t="s">
        <v>3724</v>
      </c>
      <c r="E440" s="80">
        <v>1</v>
      </c>
      <c r="F440" s="133">
        <v>19.47</v>
      </c>
      <c r="G440" s="133">
        <v>23</v>
      </c>
      <c r="H440" s="222">
        <f t="shared" si="18"/>
        <v>23</v>
      </c>
      <c r="I440" s="236"/>
      <c r="J440" s="236">
        <v>0</v>
      </c>
      <c r="K440" s="236">
        <f t="shared" si="19"/>
        <v>23</v>
      </c>
      <c r="L440" s="237">
        <f t="shared" si="20"/>
        <v>19.47</v>
      </c>
    </row>
    <row r="441" spans="1:12">
      <c r="A441" s="223" t="s">
        <v>4464</v>
      </c>
      <c r="B441" s="80" t="s">
        <v>996</v>
      </c>
      <c r="C441" s="80" t="s">
        <v>4484</v>
      </c>
      <c r="D441" s="107" t="s">
        <v>997</v>
      </c>
      <c r="E441" s="80">
        <v>1</v>
      </c>
      <c r="F441" s="133">
        <v>177.9</v>
      </c>
      <c r="G441" s="133">
        <v>204.75</v>
      </c>
      <c r="H441" s="222">
        <f t="shared" si="18"/>
        <v>204.75</v>
      </c>
      <c r="I441" s="236"/>
      <c r="J441" s="236">
        <v>0</v>
      </c>
      <c r="K441" s="236">
        <f t="shared" si="19"/>
        <v>204.75</v>
      </c>
      <c r="L441" s="237">
        <f t="shared" si="20"/>
        <v>177.9</v>
      </c>
    </row>
    <row r="442" spans="1:12">
      <c r="A442" s="223" t="s">
        <v>4464</v>
      </c>
      <c r="B442" s="80" t="s">
        <v>1353</v>
      </c>
      <c r="C442" s="80" t="s">
        <v>4484</v>
      </c>
      <c r="D442" s="107" t="s">
        <v>1354</v>
      </c>
      <c r="E442" s="80">
        <v>3</v>
      </c>
      <c r="F442" s="133">
        <v>12.66</v>
      </c>
      <c r="G442" s="133">
        <v>14.25</v>
      </c>
      <c r="H442" s="222">
        <f t="shared" si="18"/>
        <v>42.75</v>
      </c>
      <c r="I442" s="236"/>
      <c r="J442" s="236">
        <v>0</v>
      </c>
      <c r="K442" s="236">
        <f t="shared" si="19"/>
        <v>42.75</v>
      </c>
      <c r="L442" s="237">
        <f t="shared" si="20"/>
        <v>37.980000000000004</v>
      </c>
    </row>
    <row r="443" spans="1:12">
      <c r="A443" s="223" t="s">
        <v>4464</v>
      </c>
      <c r="B443" s="80" t="s">
        <v>1417</v>
      </c>
      <c r="C443" s="80" t="s">
        <v>4484</v>
      </c>
      <c r="D443" s="107" t="s">
        <v>1418</v>
      </c>
      <c r="E443" s="80">
        <v>1</v>
      </c>
      <c r="F443" s="133">
        <v>13.21</v>
      </c>
      <c r="G443" s="133">
        <v>15.25</v>
      </c>
      <c r="H443" s="222">
        <f t="shared" si="18"/>
        <v>15.25</v>
      </c>
      <c r="I443" s="236"/>
      <c r="J443" s="236">
        <v>0</v>
      </c>
      <c r="K443" s="236">
        <f t="shared" si="19"/>
        <v>15.25</v>
      </c>
      <c r="L443" s="237">
        <f t="shared" si="20"/>
        <v>13.21</v>
      </c>
    </row>
    <row r="444" spans="1:12">
      <c r="A444" s="223" t="s">
        <v>4464</v>
      </c>
      <c r="B444" s="80" t="s">
        <v>945</v>
      </c>
      <c r="C444" s="80" t="s">
        <v>4484</v>
      </c>
      <c r="D444" s="107" t="s">
        <v>946</v>
      </c>
      <c r="E444" s="80">
        <v>1</v>
      </c>
      <c r="F444" s="133">
        <v>12.77</v>
      </c>
      <c r="G444" s="133">
        <v>14.75</v>
      </c>
      <c r="H444" s="222">
        <f t="shared" si="18"/>
        <v>14.75</v>
      </c>
      <c r="I444" s="236"/>
      <c r="J444" s="236">
        <v>0</v>
      </c>
      <c r="K444" s="236">
        <f t="shared" si="19"/>
        <v>14.75</v>
      </c>
      <c r="L444" s="237">
        <f t="shared" si="20"/>
        <v>12.77</v>
      </c>
    </row>
    <row r="445" spans="1:12">
      <c r="A445" s="223" t="s">
        <v>4464</v>
      </c>
      <c r="B445" s="80" t="s">
        <v>994</v>
      </c>
      <c r="C445" s="80" t="s">
        <v>4484</v>
      </c>
      <c r="D445" s="107" t="s">
        <v>995</v>
      </c>
      <c r="E445" s="80">
        <v>1</v>
      </c>
      <c r="F445" s="133">
        <v>92.8</v>
      </c>
      <c r="G445" s="133">
        <v>106.75</v>
      </c>
      <c r="H445" s="222">
        <f t="shared" si="18"/>
        <v>106.75</v>
      </c>
      <c r="I445" s="236"/>
      <c r="J445" s="236">
        <v>0</v>
      </c>
      <c r="K445" s="236">
        <f t="shared" si="19"/>
        <v>106.75</v>
      </c>
      <c r="L445" s="237">
        <f t="shared" si="20"/>
        <v>92.8</v>
      </c>
    </row>
    <row r="446" spans="1:12">
      <c r="A446" s="223" t="s">
        <v>4464</v>
      </c>
      <c r="B446" s="80" t="s">
        <v>590</v>
      </c>
      <c r="C446" s="80" t="s">
        <v>4484</v>
      </c>
      <c r="D446" s="107" t="s">
        <v>591</v>
      </c>
      <c r="E446" s="80">
        <v>1</v>
      </c>
      <c r="F446" s="133">
        <v>61.5</v>
      </c>
      <c r="G446" s="133">
        <v>70.75</v>
      </c>
      <c r="H446" s="222">
        <f t="shared" si="18"/>
        <v>70.75</v>
      </c>
      <c r="I446" s="236"/>
      <c r="J446" s="236">
        <v>0</v>
      </c>
      <c r="K446" s="236">
        <f t="shared" si="19"/>
        <v>70.75</v>
      </c>
      <c r="L446" s="237">
        <f t="shared" si="20"/>
        <v>61.5</v>
      </c>
    </row>
    <row r="447" spans="1:12">
      <c r="A447" s="223" t="s">
        <v>4464</v>
      </c>
      <c r="B447" s="80" t="s">
        <v>3026</v>
      </c>
      <c r="C447" s="80" t="s">
        <v>4485</v>
      </c>
      <c r="D447" s="107" t="s">
        <v>3027</v>
      </c>
      <c r="E447" s="80">
        <v>6</v>
      </c>
      <c r="F447" s="133">
        <v>5.41</v>
      </c>
      <c r="G447" s="133">
        <v>6.25</v>
      </c>
      <c r="H447" s="222">
        <f t="shared" si="18"/>
        <v>37.5</v>
      </c>
      <c r="I447" s="236"/>
      <c r="J447" s="236">
        <v>0</v>
      </c>
      <c r="K447" s="236">
        <f t="shared" si="19"/>
        <v>37.5</v>
      </c>
      <c r="L447" s="237">
        <f t="shared" si="20"/>
        <v>32.46</v>
      </c>
    </row>
    <row r="448" spans="1:12">
      <c r="A448" s="223" t="s">
        <v>4464</v>
      </c>
      <c r="B448" s="80" t="s">
        <v>3044</v>
      </c>
      <c r="C448" s="80" t="s">
        <v>4485</v>
      </c>
      <c r="D448" s="107" t="s">
        <v>3045</v>
      </c>
      <c r="E448" s="80">
        <v>4</v>
      </c>
      <c r="F448" s="133">
        <v>6.37</v>
      </c>
      <c r="G448" s="133">
        <v>7.5</v>
      </c>
      <c r="H448" s="222">
        <f t="shared" si="18"/>
        <v>30</v>
      </c>
      <c r="I448" s="236"/>
      <c r="J448" s="236">
        <v>0</v>
      </c>
      <c r="K448" s="236">
        <f t="shared" si="19"/>
        <v>30</v>
      </c>
      <c r="L448" s="237">
        <f t="shared" si="20"/>
        <v>25.48</v>
      </c>
    </row>
    <row r="449" spans="1:12">
      <c r="A449" s="223" t="s">
        <v>4464</v>
      </c>
      <c r="B449" s="80" t="s">
        <v>815</v>
      </c>
      <c r="C449" s="80" t="s">
        <v>4486</v>
      </c>
      <c r="D449" s="107" t="s">
        <v>816</v>
      </c>
      <c r="E449" s="80">
        <v>1</v>
      </c>
      <c r="F449" s="133">
        <v>61.5</v>
      </c>
      <c r="G449" s="133">
        <v>70.75</v>
      </c>
      <c r="H449" s="222">
        <f t="shared" si="18"/>
        <v>70.75</v>
      </c>
      <c r="I449" s="236"/>
      <c r="J449" s="236">
        <v>0</v>
      </c>
      <c r="K449" s="236">
        <f t="shared" si="19"/>
        <v>70.75</v>
      </c>
      <c r="L449" s="237">
        <f t="shared" si="20"/>
        <v>61.5</v>
      </c>
    </row>
    <row r="450" spans="1:12">
      <c r="A450" s="223" t="s">
        <v>4464</v>
      </c>
      <c r="B450" s="80" t="s">
        <v>3779</v>
      </c>
      <c r="C450" s="80" t="s">
        <v>4487</v>
      </c>
      <c r="D450" s="107" t="s">
        <v>3780</v>
      </c>
      <c r="E450" s="80">
        <v>1</v>
      </c>
      <c r="F450" s="133">
        <v>0.76</v>
      </c>
      <c r="G450" s="133">
        <v>1</v>
      </c>
      <c r="H450" s="222">
        <f t="shared" si="18"/>
        <v>1</v>
      </c>
      <c r="I450" s="236"/>
      <c r="J450" s="236">
        <v>0</v>
      </c>
      <c r="K450" s="236">
        <f t="shared" si="19"/>
        <v>1</v>
      </c>
      <c r="L450" s="237">
        <f t="shared" si="20"/>
        <v>0.76</v>
      </c>
    </row>
    <row r="451" spans="1:12">
      <c r="A451" s="223" t="s">
        <v>4464</v>
      </c>
      <c r="B451" s="80" t="s">
        <v>3789</v>
      </c>
      <c r="C451" s="80" t="s">
        <v>4487</v>
      </c>
      <c r="D451" s="107" t="s">
        <v>3790</v>
      </c>
      <c r="E451" s="80">
        <v>2</v>
      </c>
      <c r="F451" s="133">
        <v>0.76</v>
      </c>
      <c r="G451" s="133">
        <v>1</v>
      </c>
      <c r="H451" s="222">
        <f t="shared" si="18"/>
        <v>2</v>
      </c>
      <c r="I451" s="236"/>
      <c r="J451" s="236">
        <v>0</v>
      </c>
      <c r="K451" s="236">
        <f t="shared" si="19"/>
        <v>2</v>
      </c>
      <c r="L451" s="237">
        <f t="shared" si="20"/>
        <v>1.52</v>
      </c>
    </row>
    <row r="452" spans="1:12">
      <c r="A452" s="223" t="s">
        <v>4464</v>
      </c>
      <c r="B452" s="80" t="s">
        <v>1697</v>
      </c>
      <c r="C452" s="80" t="s">
        <v>4488</v>
      </c>
      <c r="D452" s="107" t="s">
        <v>1698</v>
      </c>
      <c r="E452" s="80">
        <v>6</v>
      </c>
      <c r="F452" s="133">
        <v>44.5</v>
      </c>
      <c r="G452" s="133">
        <v>51.25</v>
      </c>
      <c r="H452" s="222">
        <f t="shared" ref="H452:H515" si="21">E452*G452</f>
        <v>307.5</v>
      </c>
      <c r="I452" s="236"/>
      <c r="J452" s="236">
        <v>0</v>
      </c>
      <c r="K452" s="236">
        <f t="shared" si="19"/>
        <v>307.5</v>
      </c>
      <c r="L452" s="237">
        <f t="shared" si="20"/>
        <v>267</v>
      </c>
    </row>
    <row r="453" spans="1:12">
      <c r="A453" s="223" t="s">
        <v>4464</v>
      </c>
      <c r="B453" s="80" t="s">
        <v>3493</v>
      </c>
      <c r="C453" s="80" t="s">
        <v>4489</v>
      </c>
      <c r="D453" s="107" t="s">
        <v>3494</v>
      </c>
      <c r="E453" s="80">
        <v>1</v>
      </c>
      <c r="F453" s="133">
        <v>69.510000000000005</v>
      </c>
      <c r="G453" s="133">
        <v>80</v>
      </c>
      <c r="H453" s="222">
        <f t="shared" si="21"/>
        <v>80</v>
      </c>
      <c r="I453" s="236"/>
      <c r="J453" s="236">
        <v>0</v>
      </c>
      <c r="K453" s="236">
        <f t="shared" ref="K453:K516" si="22">H453+I453-J453</f>
        <v>80</v>
      </c>
      <c r="L453" s="237">
        <f t="shared" ref="L453:L516" si="23">E453*F453</f>
        <v>69.510000000000005</v>
      </c>
    </row>
    <row r="454" spans="1:12">
      <c r="A454" s="223" t="s">
        <v>4464</v>
      </c>
      <c r="B454" s="80" t="s">
        <v>2644</v>
      </c>
      <c r="C454" s="80" t="s">
        <v>4489</v>
      </c>
      <c r="D454" s="107" t="s">
        <v>2645</v>
      </c>
      <c r="E454" s="80">
        <v>1</v>
      </c>
      <c r="F454" s="133">
        <v>30.9</v>
      </c>
      <c r="G454" s="133">
        <v>35.75</v>
      </c>
      <c r="H454" s="222">
        <f t="shared" si="21"/>
        <v>35.75</v>
      </c>
      <c r="I454" s="236"/>
      <c r="J454" s="236">
        <v>0</v>
      </c>
      <c r="K454" s="236">
        <f t="shared" si="22"/>
        <v>35.75</v>
      </c>
      <c r="L454" s="237">
        <f t="shared" si="23"/>
        <v>30.9</v>
      </c>
    </row>
    <row r="455" spans="1:12">
      <c r="A455" s="223" t="s">
        <v>4464</v>
      </c>
      <c r="B455" s="80" t="s">
        <v>3653</v>
      </c>
      <c r="C455" s="80" t="s">
        <v>4489</v>
      </c>
      <c r="D455" s="107" t="s">
        <v>3654</v>
      </c>
      <c r="E455" s="80">
        <v>2</v>
      </c>
      <c r="F455" s="133">
        <v>9.3800000000000008</v>
      </c>
      <c r="G455" s="133">
        <v>11</v>
      </c>
      <c r="H455" s="222">
        <f t="shared" si="21"/>
        <v>22</v>
      </c>
      <c r="I455" s="236"/>
      <c r="J455" s="236">
        <v>0</v>
      </c>
      <c r="K455" s="236">
        <f t="shared" si="22"/>
        <v>22</v>
      </c>
      <c r="L455" s="237">
        <f t="shared" si="23"/>
        <v>18.760000000000002</v>
      </c>
    </row>
    <row r="456" spans="1:12">
      <c r="A456" s="223" t="s">
        <v>4464</v>
      </c>
      <c r="B456" s="80" t="s">
        <v>945</v>
      </c>
      <c r="C456" s="80" t="s">
        <v>4490</v>
      </c>
      <c r="D456" s="107" t="s">
        <v>946</v>
      </c>
      <c r="E456" s="80">
        <v>1</v>
      </c>
      <c r="F456" s="133">
        <v>12.77</v>
      </c>
      <c r="G456" s="133">
        <v>14.75</v>
      </c>
      <c r="H456" s="222">
        <f t="shared" si="21"/>
        <v>14.75</v>
      </c>
      <c r="I456" s="236"/>
      <c r="J456" s="236">
        <v>0</v>
      </c>
      <c r="K456" s="236">
        <f t="shared" si="22"/>
        <v>14.75</v>
      </c>
      <c r="L456" s="237">
        <f t="shared" si="23"/>
        <v>12.77</v>
      </c>
    </row>
    <row r="457" spans="1:12">
      <c r="A457" s="223" t="s">
        <v>4491</v>
      </c>
      <c r="B457" s="80" t="s">
        <v>3659</v>
      </c>
      <c r="C457" s="80" t="s">
        <v>4492</v>
      </c>
      <c r="D457" s="107" t="s">
        <v>3660</v>
      </c>
      <c r="E457" s="80">
        <v>1</v>
      </c>
      <c r="F457" s="133">
        <v>22.73</v>
      </c>
      <c r="G457" s="133">
        <v>26.25</v>
      </c>
      <c r="H457" s="222">
        <f t="shared" si="21"/>
        <v>26.25</v>
      </c>
      <c r="I457" s="236"/>
      <c r="J457" s="236">
        <v>0</v>
      </c>
      <c r="K457" s="236">
        <f t="shared" si="22"/>
        <v>26.25</v>
      </c>
      <c r="L457" s="237">
        <f t="shared" si="23"/>
        <v>22.73</v>
      </c>
    </row>
    <row r="458" spans="1:12">
      <c r="A458" s="223" t="s">
        <v>4491</v>
      </c>
      <c r="B458" s="80" t="s">
        <v>4121</v>
      </c>
      <c r="C458" s="80" t="s">
        <v>4492</v>
      </c>
      <c r="D458" s="107" t="s">
        <v>4122</v>
      </c>
      <c r="E458" s="80">
        <v>1</v>
      </c>
      <c r="F458" s="133">
        <v>72.45</v>
      </c>
      <c r="G458" s="133">
        <v>83.5</v>
      </c>
      <c r="H458" s="222">
        <f t="shared" si="21"/>
        <v>83.5</v>
      </c>
      <c r="I458" s="236"/>
      <c r="J458" s="236">
        <v>0</v>
      </c>
      <c r="K458" s="236">
        <f t="shared" si="22"/>
        <v>83.5</v>
      </c>
      <c r="L458" s="237">
        <f t="shared" si="23"/>
        <v>72.45</v>
      </c>
    </row>
    <row r="459" spans="1:12">
      <c r="A459" s="223" t="s">
        <v>4491</v>
      </c>
      <c r="B459" s="80" t="s">
        <v>1170</v>
      </c>
      <c r="C459" s="80" t="s">
        <v>4492</v>
      </c>
      <c r="D459" s="107" t="s">
        <v>1171</v>
      </c>
      <c r="E459" s="80">
        <v>1</v>
      </c>
      <c r="F459" s="133">
        <v>22.19</v>
      </c>
      <c r="G459" s="133">
        <v>25.5</v>
      </c>
      <c r="H459" s="222">
        <f t="shared" si="21"/>
        <v>25.5</v>
      </c>
      <c r="I459" s="236"/>
      <c r="J459" s="236">
        <v>0</v>
      </c>
      <c r="K459" s="236">
        <f t="shared" si="22"/>
        <v>25.5</v>
      </c>
      <c r="L459" s="237">
        <f t="shared" si="23"/>
        <v>22.19</v>
      </c>
    </row>
    <row r="460" spans="1:12">
      <c r="A460" s="223" t="s">
        <v>4491</v>
      </c>
      <c r="B460" s="80" t="s">
        <v>4423</v>
      </c>
      <c r="C460" s="80" t="s">
        <v>4493</v>
      </c>
      <c r="D460" s="107" t="s">
        <v>4425</v>
      </c>
      <c r="E460" s="80">
        <v>2</v>
      </c>
      <c r="F460" s="133">
        <v>6.4</v>
      </c>
      <c r="G460" s="133">
        <v>7.5</v>
      </c>
      <c r="H460" s="222">
        <f t="shared" si="21"/>
        <v>15</v>
      </c>
      <c r="I460" s="236"/>
      <c r="J460" s="236">
        <v>0</v>
      </c>
      <c r="K460" s="236">
        <f t="shared" si="22"/>
        <v>15</v>
      </c>
      <c r="L460" s="237">
        <f t="shared" si="23"/>
        <v>12.8</v>
      </c>
    </row>
    <row r="461" spans="1:12">
      <c r="A461" s="223" t="s">
        <v>4491</v>
      </c>
      <c r="B461" s="80" t="s">
        <v>3085</v>
      </c>
      <c r="C461" s="80" t="s">
        <v>4494</v>
      </c>
      <c r="D461" s="107" t="s">
        <v>3086</v>
      </c>
      <c r="E461" s="80">
        <v>2</v>
      </c>
      <c r="F461" s="133">
        <v>18.98</v>
      </c>
      <c r="G461" s="133">
        <v>22</v>
      </c>
      <c r="H461" s="222">
        <f t="shared" si="21"/>
        <v>44</v>
      </c>
      <c r="I461" s="236"/>
      <c r="J461" s="236">
        <v>0</v>
      </c>
      <c r="K461" s="236">
        <f t="shared" si="22"/>
        <v>44</v>
      </c>
      <c r="L461" s="237">
        <f t="shared" si="23"/>
        <v>37.96</v>
      </c>
    </row>
    <row r="462" spans="1:12">
      <c r="A462" s="223" t="s">
        <v>4491</v>
      </c>
      <c r="B462" s="80" t="s">
        <v>1041</v>
      </c>
      <c r="C462" s="80" t="s">
        <v>4495</v>
      </c>
      <c r="D462" s="107" t="s">
        <v>1042</v>
      </c>
      <c r="E462" s="80">
        <v>1</v>
      </c>
      <c r="F462" s="133">
        <v>6.4</v>
      </c>
      <c r="G462" s="133">
        <v>7.5</v>
      </c>
      <c r="H462" s="222">
        <f t="shared" si="21"/>
        <v>7.5</v>
      </c>
      <c r="I462" s="236"/>
      <c r="J462" s="236">
        <v>0</v>
      </c>
      <c r="K462" s="236">
        <f t="shared" si="22"/>
        <v>7.5</v>
      </c>
      <c r="L462" s="237">
        <f t="shared" si="23"/>
        <v>6.4</v>
      </c>
    </row>
    <row r="463" spans="1:12">
      <c r="A463" s="223" t="s">
        <v>4491</v>
      </c>
      <c r="B463" s="80" t="s">
        <v>2033</v>
      </c>
      <c r="C463" s="80" t="s">
        <v>4496</v>
      </c>
      <c r="D463" s="107" t="s">
        <v>2034</v>
      </c>
      <c r="E463" s="80">
        <v>1</v>
      </c>
      <c r="F463" s="133">
        <v>13.92</v>
      </c>
      <c r="G463" s="133">
        <v>22</v>
      </c>
      <c r="H463" s="222">
        <f t="shared" si="21"/>
        <v>22</v>
      </c>
      <c r="I463" s="236"/>
      <c r="J463" s="236">
        <v>0</v>
      </c>
      <c r="K463" s="236">
        <f t="shared" si="22"/>
        <v>22</v>
      </c>
      <c r="L463" s="237">
        <f t="shared" si="23"/>
        <v>13.92</v>
      </c>
    </row>
    <row r="464" spans="1:12">
      <c r="A464" s="223" t="s">
        <v>4491</v>
      </c>
      <c r="B464" s="80" t="s">
        <v>1646</v>
      </c>
      <c r="C464" s="80" t="s">
        <v>4496</v>
      </c>
      <c r="D464" s="107" t="s">
        <v>1647</v>
      </c>
      <c r="E464" s="80">
        <v>1</v>
      </c>
      <c r="F464" s="133">
        <v>35.15</v>
      </c>
      <c r="G464" s="133">
        <v>41</v>
      </c>
      <c r="H464" s="222">
        <f t="shared" si="21"/>
        <v>41</v>
      </c>
      <c r="I464" s="236"/>
      <c r="J464" s="236">
        <v>0</v>
      </c>
      <c r="K464" s="236">
        <f t="shared" si="22"/>
        <v>41</v>
      </c>
      <c r="L464" s="237">
        <f t="shared" si="23"/>
        <v>35.15</v>
      </c>
    </row>
    <row r="465" spans="1:12">
      <c r="A465" s="223" t="s">
        <v>4491</v>
      </c>
      <c r="B465" s="80" t="s">
        <v>1646</v>
      </c>
      <c r="C465" s="80" t="s">
        <v>4497</v>
      </c>
      <c r="D465" s="107" t="s">
        <v>1647</v>
      </c>
      <c r="E465" s="80">
        <v>1</v>
      </c>
      <c r="F465" s="133">
        <v>35.15</v>
      </c>
      <c r="G465" s="133">
        <v>41</v>
      </c>
      <c r="H465" s="222">
        <f t="shared" si="21"/>
        <v>41</v>
      </c>
      <c r="I465" s="236"/>
      <c r="J465" s="236">
        <v>0</v>
      </c>
      <c r="K465" s="236">
        <f t="shared" si="22"/>
        <v>41</v>
      </c>
      <c r="L465" s="237">
        <f t="shared" si="23"/>
        <v>35.15</v>
      </c>
    </row>
    <row r="466" spans="1:12">
      <c r="A466" s="223" t="s">
        <v>4491</v>
      </c>
      <c r="B466" s="80" t="s">
        <v>2007</v>
      </c>
      <c r="C466" s="80" t="s">
        <v>4498</v>
      </c>
      <c r="D466" s="107" t="s">
        <v>2008</v>
      </c>
      <c r="E466" s="80">
        <v>5</v>
      </c>
      <c r="F466" s="133">
        <v>51.97</v>
      </c>
      <c r="G466" s="133">
        <v>60</v>
      </c>
      <c r="H466" s="222">
        <f t="shared" si="21"/>
        <v>300</v>
      </c>
      <c r="I466" s="236"/>
      <c r="J466" s="236">
        <v>0</v>
      </c>
      <c r="K466" s="236">
        <f t="shared" si="22"/>
        <v>300</v>
      </c>
      <c r="L466" s="237">
        <f t="shared" si="23"/>
        <v>259.85000000000002</v>
      </c>
    </row>
    <row r="467" spans="1:12">
      <c r="A467" s="223" t="s">
        <v>4491</v>
      </c>
      <c r="B467" s="80" t="s">
        <v>2126</v>
      </c>
      <c r="C467" s="80" t="s">
        <v>4498</v>
      </c>
      <c r="D467" s="107" t="s">
        <v>2127</v>
      </c>
      <c r="E467" s="80">
        <v>2</v>
      </c>
      <c r="F467" s="133">
        <v>17.899999999999999</v>
      </c>
      <c r="G467" s="133">
        <v>20.75</v>
      </c>
      <c r="H467" s="222">
        <f t="shared" si="21"/>
        <v>41.5</v>
      </c>
      <c r="I467" s="236"/>
      <c r="J467" s="236">
        <v>0</v>
      </c>
      <c r="K467" s="236">
        <f t="shared" si="22"/>
        <v>41.5</v>
      </c>
      <c r="L467" s="237">
        <f t="shared" si="23"/>
        <v>35.799999999999997</v>
      </c>
    </row>
    <row r="468" spans="1:12">
      <c r="A468" s="223" t="s">
        <v>4491</v>
      </c>
      <c r="B468" s="80" t="s">
        <v>1351</v>
      </c>
      <c r="C468" s="80" t="s">
        <v>4499</v>
      </c>
      <c r="D468" s="107" t="s">
        <v>1352</v>
      </c>
      <c r="E468" s="80">
        <v>1</v>
      </c>
      <c r="F468" s="133">
        <v>12.56</v>
      </c>
      <c r="G468" s="133">
        <v>14.25</v>
      </c>
      <c r="H468" s="222">
        <f t="shared" si="21"/>
        <v>14.25</v>
      </c>
      <c r="I468" s="236"/>
      <c r="J468" s="236">
        <v>0</v>
      </c>
      <c r="K468" s="236">
        <f t="shared" si="22"/>
        <v>14.25</v>
      </c>
      <c r="L468" s="237">
        <f t="shared" si="23"/>
        <v>12.56</v>
      </c>
    </row>
    <row r="469" spans="1:12">
      <c r="A469" s="223" t="s">
        <v>4491</v>
      </c>
      <c r="B469" s="80" t="s">
        <v>888</v>
      </c>
      <c r="C469" s="80" t="s">
        <v>4500</v>
      </c>
      <c r="D469" s="107" t="s">
        <v>889</v>
      </c>
      <c r="E469" s="80">
        <v>1</v>
      </c>
      <c r="F469" s="133">
        <v>84.8</v>
      </c>
      <c r="G469" s="133">
        <v>94</v>
      </c>
      <c r="H469" s="222">
        <f t="shared" si="21"/>
        <v>94</v>
      </c>
      <c r="I469" s="236"/>
      <c r="J469" s="236">
        <v>0</v>
      </c>
      <c r="K469" s="236">
        <f t="shared" si="22"/>
        <v>94</v>
      </c>
      <c r="L469" s="237">
        <f t="shared" si="23"/>
        <v>84.8</v>
      </c>
    </row>
    <row r="470" spans="1:12">
      <c r="A470" s="223" t="s">
        <v>4491</v>
      </c>
      <c r="B470" s="80" t="s">
        <v>2862</v>
      </c>
      <c r="C470" s="80" t="s">
        <v>4500</v>
      </c>
      <c r="D470" s="107" t="s">
        <v>2863</v>
      </c>
      <c r="E470" s="80">
        <v>1</v>
      </c>
      <c r="F470" s="133">
        <v>12.69</v>
      </c>
      <c r="G470" s="133">
        <v>14.75</v>
      </c>
      <c r="H470" s="222">
        <f t="shared" si="21"/>
        <v>14.75</v>
      </c>
      <c r="I470" s="236"/>
      <c r="J470" s="236">
        <v>0</v>
      </c>
      <c r="K470" s="236">
        <f t="shared" si="22"/>
        <v>14.75</v>
      </c>
      <c r="L470" s="237">
        <f t="shared" si="23"/>
        <v>12.69</v>
      </c>
    </row>
    <row r="471" spans="1:12">
      <c r="A471" s="223" t="s">
        <v>4491</v>
      </c>
      <c r="B471" s="80" t="s">
        <v>4501</v>
      </c>
      <c r="C471" s="80" t="s">
        <v>4502</v>
      </c>
      <c r="D471" s="107" t="s">
        <v>4073</v>
      </c>
      <c r="E471" s="80">
        <v>1</v>
      </c>
      <c r="F471" s="133">
        <v>6.03</v>
      </c>
      <c r="G471" s="133">
        <v>7</v>
      </c>
      <c r="H471" s="222">
        <f t="shared" si="21"/>
        <v>7</v>
      </c>
      <c r="I471" s="236"/>
      <c r="J471" s="236">
        <v>0</v>
      </c>
      <c r="K471" s="236">
        <f t="shared" si="22"/>
        <v>7</v>
      </c>
      <c r="L471" s="237">
        <f t="shared" si="23"/>
        <v>6.03</v>
      </c>
    </row>
    <row r="472" spans="1:12">
      <c r="A472" s="223" t="s">
        <v>4491</v>
      </c>
      <c r="B472" s="80" t="s">
        <v>4065</v>
      </c>
      <c r="C472" s="80" t="s">
        <v>4503</v>
      </c>
      <c r="D472" s="107" t="s">
        <v>4066</v>
      </c>
      <c r="E472" s="80">
        <v>1</v>
      </c>
      <c r="F472" s="133">
        <v>16.91</v>
      </c>
      <c r="G472" s="133">
        <v>18.600000000000001</v>
      </c>
      <c r="H472" s="222">
        <f t="shared" si="21"/>
        <v>18.600000000000001</v>
      </c>
      <c r="I472" s="236"/>
      <c r="J472" s="236">
        <v>0</v>
      </c>
      <c r="K472" s="236">
        <f t="shared" si="22"/>
        <v>18.600000000000001</v>
      </c>
      <c r="L472" s="237">
        <f t="shared" si="23"/>
        <v>16.91</v>
      </c>
    </row>
    <row r="473" spans="1:12">
      <c r="A473" s="223" t="s">
        <v>4491</v>
      </c>
      <c r="B473" s="80" t="s">
        <v>848</v>
      </c>
      <c r="C473" s="80" t="s">
        <v>4503</v>
      </c>
      <c r="D473" s="107" t="s">
        <v>849</v>
      </c>
      <c r="E473" s="80">
        <v>1</v>
      </c>
      <c r="F473" s="133">
        <v>8.1999999999999993</v>
      </c>
      <c r="G473" s="133">
        <v>10</v>
      </c>
      <c r="H473" s="222">
        <f t="shared" si="21"/>
        <v>10</v>
      </c>
      <c r="I473" s="236"/>
      <c r="J473" s="236">
        <v>0</v>
      </c>
      <c r="K473" s="236">
        <f t="shared" si="22"/>
        <v>10</v>
      </c>
      <c r="L473" s="237">
        <f t="shared" si="23"/>
        <v>8.1999999999999993</v>
      </c>
    </row>
    <row r="474" spans="1:12">
      <c r="A474" s="223" t="s">
        <v>4491</v>
      </c>
      <c r="B474" s="80" t="s">
        <v>1292</v>
      </c>
      <c r="C474" s="80" t="s">
        <v>4503</v>
      </c>
      <c r="D474" s="107" t="s">
        <v>1293</v>
      </c>
      <c r="E474" s="80">
        <v>1</v>
      </c>
      <c r="F474" s="133">
        <v>7.85</v>
      </c>
      <c r="G474" s="133">
        <v>12</v>
      </c>
      <c r="H474" s="222">
        <f t="shared" si="21"/>
        <v>12</v>
      </c>
      <c r="I474" s="236"/>
      <c r="J474" s="236">
        <v>0</v>
      </c>
      <c r="K474" s="236">
        <f t="shared" si="22"/>
        <v>12</v>
      </c>
      <c r="L474" s="237">
        <f t="shared" si="23"/>
        <v>7.85</v>
      </c>
    </row>
    <row r="475" spans="1:12">
      <c r="A475" s="223" t="s">
        <v>4491</v>
      </c>
      <c r="B475" s="80" t="s">
        <v>3109</v>
      </c>
      <c r="C475" s="80" t="s">
        <v>4504</v>
      </c>
      <c r="D475" s="107" t="s">
        <v>3110</v>
      </c>
      <c r="E475" s="80">
        <v>1</v>
      </c>
      <c r="F475" s="133">
        <v>23.15</v>
      </c>
      <c r="G475" s="133">
        <v>27</v>
      </c>
      <c r="H475" s="222">
        <f t="shared" si="21"/>
        <v>27</v>
      </c>
      <c r="I475" s="236"/>
      <c r="J475" s="236">
        <v>0</v>
      </c>
      <c r="K475" s="236">
        <f t="shared" si="22"/>
        <v>27</v>
      </c>
      <c r="L475" s="237">
        <f t="shared" si="23"/>
        <v>23.15</v>
      </c>
    </row>
    <row r="476" spans="1:12">
      <c r="A476" s="223" t="s">
        <v>4491</v>
      </c>
      <c r="B476" s="80" t="s">
        <v>2368</v>
      </c>
      <c r="C476" s="80" t="s">
        <v>4505</v>
      </c>
      <c r="D476" s="107" t="s">
        <v>2369</v>
      </c>
      <c r="E476" s="80">
        <v>1</v>
      </c>
      <c r="F476" s="133">
        <v>10.95</v>
      </c>
      <c r="G476" s="133">
        <v>12.75</v>
      </c>
      <c r="H476" s="222">
        <f t="shared" si="21"/>
        <v>12.75</v>
      </c>
      <c r="I476" s="236"/>
      <c r="J476" s="236">
        <v>0</v>
      </c>
      <c r="K476" s="236">
        <f t="shared" si="22"/>
        <v>12.75</v>
      </c>
      <c r="L476" s="237">
        <f t="shared" si="23"/>
        <v>10.95</v>
      </c>
    </row>
    <row r="477" spans="1:12">
      <c r="A477" s="223" t="s">
        <v>4491</v>
      </c>
      <c r="B477" s="80" t="s">
        <v>1261</v>
      </c>
      <c r="C477" s="80" t="s">
        <v>4505</v>
      </c>
      <c r="D477" s="107" t="s">
        <v>1262</v>
      </c>
      <c r="E477" s="80">
        <v>1</v>
      </c>
      <c r="F477" s="133">
        <v>14.31</v>
      </c>
      <c r="G477" s="133">
        <v>16.5</v>
      </c>
      <c r="H477" s="222">
        <f t="shared" si="21"/>
        <v>16.5</v>
      </c>
      <c r="I477" s="236"/>
      <c r="J477" s="236">
        <v>0</v>
      </c>
      <c r="K477" s="236">
        <f t="shared" si="22"/>
        <v>16.5</v>
      </c>
      <c r="L477" s="237">
        <f t="shared" si="23"/>
        <v>14.31</v>
      </c>
    </row>
    <row r="478" spans="1:12">
      <c r="A478" s="223" t="s">
        <v>4491</v>
      </c>
      <c r="B478" s="80" t="s">
        <v>3653</v>
      </c>
      <c r="C478" s="80" t="s">
        <v>4506</v>
      </c>
      <c r="D478" s="107" t="s">
        <v>3654</v>
      </c>
      <c r="E478" s="80">
        <v>1</v>
      </c>
      <c r="F478" s="133">
        <v>9.3800000000000008</v>
      </c>
      <c r="G478" s="133">
        <v>11</v>
      </c>
      <c r="H478" s="222">
        <f t="shared" si="21"/>
        <v>11</v>
      </c>
      <c r="I478" s="236"/>
      <c r="J478" s="236">
        <v>0</v>
      </c>
      <c r="K478" s="236">
        <f t="shared" si="22"/>
        <v>11</v>
      </c>
      <c r="L478" s="237">
        <f t="shared" si="23"/>
        <v>9.3800000000000008</v>
      </c>
    </row>
    <row r="479" spans="1:12">
      <c r="A479" s="223" t="s">
        <v>4491</v>
      </c>
      <c r="B479" s="80" t="s">
        <v>1599</v>
      </c>
      <c r="C479" s="80" t="s">
        <v>4507</v>
      </c>
      <c r="D479" s="107" t="s">
        <v>1600</v>
      </c>
      <c r="E479" s="80">
        <v>1</v>
      </c>
      <c r="F479" s="133">
        <v>21.17</v>
      </c>
      <c r="G479" s="133">
        <v>24.5</v>
      </c>
      <c r="H479" s="222">
        <f t="shared" si="21"/>
        <v>24.5</v>
      </c>
      <c r="I479" s="236"/>
      <c r="J479" s="236">
        <v>0</v>
      </c>
      <c r="K479" s="236">
        <f t="shared" si="22"/>
        <v>24.5</v>
      </c>
      <c r="L479" s="237">
        <f t="shared" si="23"/>
        <v>21.17</v>
      </c>
    </row>
    <row r="480" spans="1:12">
      <c r="A480" s="223" t="s">
        <v>4491</v>
      </c>
      <c r="B480" s="80" t="s">
        <v>1570</v>
      </c>
      <c r="C480" s="80" t="s">
        <v>4508</v>
      </c>
      <c r="D480" s="107" t="s">
        <v>1571</v>
      </c>
      <c r="E480" s="80">
        <v>1</v>
      </c>
      <c r="F480" s="133">
        <v>18.5</v>
      </c>
      <c r="G480" s="133">
        <v>21.5</v>
      </c>
      <c r="H480" s="222">
        <f t="shared" si="21"/>
        <v>21.5</v>
      </c>
      <c r="I480" s="236"/>
      <c r="J480" s="236">
        <v>0</v>
      </c>
      <c r="K480" s="236">
        <f t="shared" si="22"/>
        <v>21.5</v>
      </c>
      <c r="L480" s="237">
        <f t="shared" si="23"/>
        <v>18.5</v>
      </c>
    </row>
    <row r="481" spans="1:12">
      <c r="A481" s="223" t="s">
        <v>4491</v>
      </c>
      <c r="B481" s="80" t="s">
        <v>1752</v>
      </c>
      <c r="C481" s="80" t="s">
        <v>4509</v>
      </c>
      <c r="D481" s="107" t="s">
        <v>1753</v>
      </c>
      <c r="E481" s="80">
        <v>2</v>
      </c>
      <c r="F481" s="133">
        <v>132.80000000000001</v>
      </c>
      <c r="G481" s="133">
        <v>152.75</v>
      </c>
      <c r="H481" s="222">
        <f t="shared" si="21"/>
        <v>305.5</v>
      </c>
      <c r="I481" s="236"/>
      <c r="J481" s="236">
        <v>0</v>
      </c>
      <c r="K481" s="236">
        <f t="shared" si="22"/>
        <v>305.5</v>
      </c>
      <c r="L481" s="237">
        <f t="shared" si="23"/>
        <v>265.60000000000002</v>
      </c>
    </row>
    <row r="482" spans="1:12">
      <c r="A482" s="223" t="s">
        <v>4491</v>
      </c>
      <c r="B482" s="80" t="s">
        <v>1932</v>
      </c>
      <c r="C482" s="80" t="s">
        <v>4509</v>
      </c>
      <c r="D482" s="107" t="s">
        <v>1933</v>
      </c>
      <c r="E482" s="80">
        <v>3</v>
      </c>
      <c r="F482" s="133">
        <v>65.95</v>
      </c>
      <c r="G482" s="133">
        <v>76</v>
      </c>
      <c r="H482" s="222">
        <f t="shared" si="21"/>
        <v>228</v>
      </c>
      <c r="I482" s="236"/>
      <c r="J482" s="236">
        <v>0</v>
      </c>
      <c r="K482" s="236">
        <f t="shared" si="22"/>
        <v>228</v>
      </c>
      <c r="L482" s="237">
        <f t="shared" si="23"/>
        <v>197.85000000000002</v>
      </c>
    </row>
    <row r="483" spans="1:12">
      <c r="A483" s="223" t="s">
        <v>4491</v>
      </c>
      <c r="B483" s="80" t="s">
        <v>2047</v>
      </c>
      <c r="C483" s="80" t="s">
        <v>4509</v>
      </c>
      <c r="D483" s="107" t="s">
        <v>2048</v>
      </c>
      <c r="E483" s="80">
        <v>2</v>
      </c>
      <c r="F483" s="133">
        <v>35.68</v>
      </c>
      <c r="G483" s="133">
        <v>41.25</v>
      </c>
      <c r="H483" s="222">
        <f t="shared" si="21"/>
        <v>82.5</v>
      </c>
      <c r="I483" s="236"/>
      <c r="J483" s="236">
        <v>0</v>
      </c>
      <c r="K483" s="236">
        <f t="shared" si="22"/>
        <v>82.5</v>
      </c>
      <c r="L483" s="237">
        <f t="shared" si="23"/>
        <v>71.36</v>
      </c>
    </row>
    <row r="484" spans="1:12">
      <c r="A484" s="223" t="s">
        <v>4491</v>
      </c>
      <c r="B484" s="80" t="s">
        <v>2041</v>
      </c>
      <c r="C484" s="80" t="s">
        <v>4509</v>
      </c>
      <c r="D484" s="107" t="s">
        <v>2042</v>
      </c>
      <c r="E484" s="80">
        <v>3</v>
      </c>
      <c r="F484" s="133">
        <v>20.8</v>
      </c>
      <c r="G484" s="133">
        <v>24</v>
      </c>
      <c r="H484" s="222">
        <f t="shared" si="21"/>
        <v>72</v>
      </c>
      <c r="I484" s="236"/>
      <c r="J484" s="236">
        <v>0</v>
      </c>
      <c r="K484" s="236">
        <f t="shared" si="22"/>
        <v>72</v>
      </c>
      <c r="L484" s="237">
        <f t="shared" si="23"/>
        <v>62.400000000000006</v>
      </c>
    </row>
    <row r="485" spans="1:12">
      <c r="A485" s="223" t="s">
        <v>4491</v>
      </c>
      <c r="B485" s="80" t="s">
        <v>630</v>
      </c>
      <c r="C485" s="80" t="s">
        <v>4510</v>
      </c>
      <c r="D485" s="107" t="s">
        <v>631</v>
      </c>
      <c r="E485" s="80">
        <v>1</v>
      </c>
      <c r="F485" s="133">
        <v>7.62</v>
      </c>
      <c r="G485" s="133">
        <v>8.75</v>
      </c>
      <c r="H485" s="222">
        <f t="shared" si="21"/>
        <v>8.75</v>
      </c>
      <c r="I485" s="236"/>
      <c r="J485" s="236">
        <v>0</v>
      </c>
      <c r="K485" s="236">
        <f t="shared" si="22"/>
        <v>8.75</v>
      </c>
      <c r="L485" s="237">
        <f t="shared" si="23"/>
        <v>7.62</v>
      </c>
    </row>
    <row r="486" spans="1:12">
      <c r="A486" s="223" t="s">
        <v>4491</v>
      </c>
      <c r="B486" s="80" t="s">
        <v>2368</v>
      </c>
      <c r="C486" s="80" t="s">
        <v>4511</v>
      </c>
      <c r="D486" s="107" t="s">
        <v>2369</v>
      </c>
      <c r="E486" s="80">
        <v>1</v>
      </c>
      <c r="F486" s="133">
        <v>10.95</v>
      </c>
      <c r="G486" s="133">
        <v>12.75</v>
      </c>
      <c r="H486" s="222">
        <f t="shared" si="21"/>
        <v>12.75</v>
      </c>
      <c r="I486" s="236"/>
      <c r="J486" s="236">
        <v>0</v>
      </c>
      <c r="K486" s="236">
        <f t="shared" si="22"/>
        <v>12.75</v>
      </c>
      <c r="L486" s="237">
        <f t="shared" si="23"/>
        <v>10.95</v>
      </c>
    </row>
    <row r="487" spans="1:12">
      <c r="A487" s="223" t="s">
        <v>4491</v>
      </c>
      <c r="B487" s="80" t="s">
        <v>2352</v>
      </c>
      <c r="C487" s="80" t="s">
        <v>4511</v>
      </c>
      <c r="D487" s="107" t="s">
        <v>2353</v>
      </c>
      <c r="E487" s="80">
        <v>1</v>
      </c>
      <c r="F487" s="133">
        <v>31.05</v>
      </c>
      <c r="G487" s="133">
        <v>36</v>
      </c>
      <c r="H487" s="222">
        <f t="shared" si="21"/>
        <v>36</v>
      </c>
      <c r="I487" s="236"/>
      <c r="J487" s="236">
        <v>0</v>
      </c>
      <c r="K487" s="236">
        <f t="shared" si="22"/>
        <v>36</v>
      </c>
      <c r="L487" s="237">
        <f t="shared" si="23"/>
        <v>31.05</v>
      </c>
    </row>
    <row r="488" spans="1:12">
      <c r="A488" s="223" t="s">
        <v>4491</v>
      </c>
      <c r="B488" s="80" t="s">
        <v>2229</v>
      </c>
      <c r="C488" s="80" t="s">
        <v>4511</v>
      </c>
      <c r="D488" s="107" t="s">
        <v>2230</v>
      </c>
      <c r="E488" s="80">
        <v>1</v>
      </c>
      <c r="F488" s="133">
        <v>15.5</v>
      </c>
      <c r="G488" s="133">
        <v>18</v>
      </c>
      <c r="H488" s="222">
        <f t="shared" si="21"/>
        <v>18</v>
      </c>
      <c r="I488" s="236"/>
      <c r="J488" s="236">
        <v>0</v>
      </c>
      <c r="K488" s="236">
        <f t="shared" si="22"/>
        <v>18</v>
      </c>
      <c r="L488" s="237">
        <f t="shared" si="23"/>
        <v>15.5</v>
      </c>
    </row>
    <row r="489" spans="1:12">
      <c r="A489" s="223" t="s">
        <v>4491</v>
      </c>
      <c r="B489" s="80" t="s">
        <v>1261</v>
      </c>
      <c r="C489" s="80" t="s">
        <v>4511</v>
      </c>
      <c r="D489" s="107" t="s">
        <v>1262</v>
      </c>
      <c r="E489" s="80">
        <v>1</v>
      </c>
      <c r="F489" s="133">
        <v>14.31</v>
      </c>
      <c r="G489" s="133">
        <v>16.5</v>
      </c>
      <c r="H489" s="222">
        <f t="shared" si="21"/>
        <v>16.5</v>
      </c>
      <c r="I489" s="236"/>
      <c r="J489" s="236">
        <v>0</v>
      </c>
      <c r="K489" s="236">
        <f t="shared" si="22"/>
        <v>16.5</v>
      </c>
      <c r="L489" s="237">
        <f t="shared" si="23"/>
        <v>14.31</v>
      </c>
    </row>
    <row r="490" spans="1:12">
      <c r="A490" s="223" t="s">
        <v>4512</v>
      </c>
      <c r="B490" s="80" t="s">
        <v>3398</v>
      </c>
      <c r="C490" s="80" t="s">
        <v>4513</v>
      </c>
      <c r="D490" s="107" t="s">
        <v>3399</v>
      </c>
      <c r="E490" s="80">
        <v>1</v>
      </c>
      <c r="F490" s="133">
        <v>90</v>
      </c>
      <c r="G490" s="133">
        <v>120</v>
      </c>
      <c r="H490" s="222">
        <f t="shared" si="21"/>
        <v>120</v>
      </c>
      <c r="I490" s="236"/>
      <c r="J490" s="236">
        <v>20</v>
      </c>
      <c r="K490" s="236">
        <f t="shared" si="22"/>
        <v>100</v>
      </c>
      <c r="L490" s="237">
        <f t="shared" si="23"/>
        <v>90</v>
      </c>
    </row>
    <row r="491" spans="1:12">
      <c r="A491" s="223" t="s">
        <v>4512</v>
      </c>
      <c r="B491" s="80" t="s">
        <v>3085</v>
      </c>
      <c r="C491" s="80" t="s">
        <v>4514</v>
      </c>
      <c r="D491" s="107" t="s">
        <v>3086</v>
      </c>
      <c r="E491" s="80">
        <v>1</v>
      </c>
      <c r="F491" s="133">
        <v>18.98</v>
      </c>
      <c r="G491" s="133">
        <v>22</v>
      </c>
      <c r="H491" s="222">
        <f t="shared" si="21"/>
        <v>22</v>
      </c>
      <c r="I491" s="236"/>
      <c r="J491" s="236">
        <v>0</v>
      </c>
      <c r="K491" s="236">
        <f t="shared" si="22"/>
        <v>22</v>
      </c>
      <c r="L491" s="237">
        <f t="shared" si="23"/>
        <v>18.98</v>
      </c>
    </row>
    <row r="492" spans="1:12">
      <c r="A492" s="223" t="s">
        <v>4512</v>
      </c>
      <c r="B492" s="80" t="s">
        <v>2805</v>
      </c>
      <c r="C492" s="80" t="s">
        <v>4515</v>
      </c>
      <c r="D492" s="107" t="s">
        <v>2806</v>
      </c>
      <c r="E492" s="80">
        <v>5</v>
      </c>
      <c r="F492" s="133">
        <v>14.91</v>
      </c>
      <c r="G492" s="133">
        <v>17.25</v>
      </c>
      <c r="H492" s="222">
        <f t="shared" si="21"/>
        <v>86.25</v>
      </c>
      <c r="I492" s="236"/>
      <c r="J492" s="236">
        <v>0</v>
      </c>
      <c r="K492" s="236">
        <f t="shared" si="22"/>
        <v>86.25</v>
      </c>
      <c r="L492" s="237">
        <f t="shared" si="23"/>
        <v>74.55</v>
      </c>
    </row>
    <row r="493" spans="1:12">
      <c r="A493" s="223" t="s">
        <v>4512</v>
      </c>
      <c r="B493" s="80" t="s">
        <v>3517</v>
      </c>
      <c r="C493" s="80" t="s">
        <v>4516</v>
      </c>
      <c r="D493" s="107" t="s">
        <v>3518</v>
      </c>
      <c r="E493" s="80">
        <v>1</v>
      </c>
      <c r="F493" s="133">
        <v>20.399999999999999</v>
      </c>
      <c r="G493" s="133">
        <v>23.5</v>
      </c>
      <c r="H493" s="222">
        <f t="shared" si="21"/>
        <v>23.5</v>
      </c>
      <c r="I493" s="236"/>
      <c r="J493" s="236">
        <v>0</v>
      </c>
      <c r="K493" s="236">
        <f t="shared" si="22"/>
        <v>23.5</v>
      </c>
      <c r="L493" s="237">
        <f t="shared" si="23"/>
        <v>20.399999999999999</v>
      </c>
    </row>
    <row r="494" spans="1:12">
      <c r="A494" s="223" t="s">
        <v>4512</v>
      </c>
      <c r="B494" s="80" t="s">
        <v>2031</v>
      </c>
      <c r="C494" s="80" t="s">
        <v>4517</v>
      </c>
      <c r="D494" s="107" t="s">
        <v>2032</v>
      </c>
      <c r="E494" s="80">
        <v>2</v>
      </c>
      <c r="F494" s="133">
        <v>27.84</v>
      </c>
      <c r="G494" s="133">
        <v>45</v>
      </c>
      <c r="H494" s="222">
        <f t="shared" si="21"/>
        <v>90</v>
      </c>
      <c r="I494" s="236"/>
      <c r="J494" s="236">
        <v>0</v>
      </c>
      <c r="K494" s="236">
        <f t="shared" si="22"/>
        <v>90</v>
      </c>
      <c r="L494" s="237">
        <f t="shared" si="23"/>
        <v>55.68</v>
      </c>
    </row>
    <row r="495" spans="1:12">
      <c r="A495" s="223" t="s">
        <v>4512</v>
      </c>
      <c r="B495" s="80" t="s">
        <v>1394</v>
      </c>
      <c r="C495" s="80" t="s">
        <v>4517</v>
      </c>
      <c r="D495" s="107" t="s">
        <v>1395</v>
      </c>
      <c r="E495" s="80">
        <v>2</v>
      </c>
      <c r="F495" s="133">
        <v>300</v>
      </c>
      <c r="G495" s="133">
        <v>450</v>
      </c>
      <c r="H495" s="222">
        <f t="shared" si="21"/>
        <v>900</v>
      </c>
      <c r="I495" s="236"/>
      <c r="J495" s="236">
        <v>0</v>
      </c>
      <c r="K495" s="236">
        <f t="shared" si="22"/>
        <v>900</v>
      </c>
      <c r="L495" s="237">
        <f t="shared" si="23"/>
        <v>600</v>
      </c>
    </row>
    <row r="496" spans="1:12">
      <c r="A496" s="223" t="s">
        <v>4512</v>
      </c>
      <c r="B496" s="80" t="s">
        <v>2509</v>
      </c>
      <c r="C496" s="80" t="s">
        <v>4517</v>
      </c>
      <c r="D496" s="107" t="s">
        <v>2510</v>
      </c>
      <c r="E496" s="80">
        <v>1</v>
      </c>
      <c r="F496" s="133">
        <v>64.58</v>
      </c>
      <c r="G496" s="133">
        <v>74.5</v>
      </c>
      <c r="H496" s="222">
        <f t="shared" si="21"/>
        <v>74.5</v>
      </c>
      <c r="I496" s="236"/>
      <c r="J496" s="236">
        <v>0</v>
      </c>
      <c r="K496" s="236">
        <f t="shared" si="22"/>
        <v>74.5</v>
      </c>
      <c r="L496" s="237">
        <f t="shared" si="23"/>
        <v>64.58</v>
      </c>
    </row>
    <row r="497" spans="1:12">
      <c r="A497" s="223" t="s">
        <v>4512</v>
      </c>
      <c r="B497" s="80" t="s">
        <v>1997</v>
      </c>
      <c r="C497" s="80" t="s">
        <v>4517</v>
      </c>
      <c r="D497" s="107" t="s">
        <v>1998</v>
      </c>
      <c r="E497" s="80">
        <v>12</v>
      </c>
      <c r="F497" s="133">
        <v>6.02</v>
      </c>
      <c r="G497" s="133">
        <v>7.25</v>
      </c>
      <c r="H497" s="222">
        <f t="shared" si="21"/>
        <v>87</v>
      </c>
      <c r="I497" s="236"/>
      <c r="J497" s="236">
        <v>0</v>
      </c>
      <c r="K497" s="236">
        <f t="shared" si="22"/>
        <v>87</v>
      </c>
      <c r="L497" s="237">
        <f t="shared" si="23"/>
        <v>72.239999999999995</v>
      </c>
    </row>
    <row r="498" spans="1:12">
      <c r="A498" s="223" t="s">
        <v>4512</v>
      </c>
      <c r="B498" s="80" t="s">
        <v>2073</v>
      </c>
      <c r="C498" s="80" t="s">
        <v>4517</v>
      </c>
      <c r="D498" s="107" t="s">
        <v>2074</v>
      </c>
      <c r="E498" s="80">
        <v>1</v>
      </c>
      <c r="F498" s="133">
        <v>67.290000000000006</v>
      </c>
      <c r="G498" s="133">
        <v>77.5</v>
      </c>
      <c r="H498" s="222">
        <f t="shared" si="21"/>
        <v>77.5</v>
      </c>
      <c r="I498" s="236"/>
      <c r="J498" s="236">
        <v>0</v>
      </c>
      <c r="K498" s="236">
        <f t="shared" si="22"/>
        <v>77.5</v>
      </c>
      <c r="L498" s="237">
        <f t="shared" si="23"/>
        <v>67.290000000000006</v>
      </c>
    </row>
    <row r="499" spans="1:12">
      <c r="A499" s="223" t="s">
        <v>4512</v>
      </c>
      <c r="B499" s="80" t="s">
        <v>2037</v>
      </c>
      <c r="C499" s="80" t="s">
        <v>4517</v>
      </c>
      <c r="D499" s="107" t="s">
        <v>2038</v>
      </c>
      <c r="E499" s="80">
        <v>16</v>
      </c>
      <c r="F499" s="133">
        <v>4.74</v>
      </c>
      <c r="G499" s="133">
        <v>5.5</v>
      </c>
      <c r="H499" s="222">
        <f t="shared" si="21"/>
        <v>88</v>
      </c>
      <c r="I499" s="236"/>
      <c r="J499" s="236">
        <v>0</v>
      </c>
      <c r="K499" s="236">
        <f t="shared" si="22"/>
        <v>88</v>
      </c>
      <c r="L499" s="237">
        <f t="shared" si="23"/>
        <v>75.84</v>
      </c>
    </row>
    <row r="500" spans="1:12">
      <c r="A500" s="223" t="s">
        <v>4512</v>
      </c>
      <c r="B500" s="80" t="s">
        <v>1659</v>
      </c>
      <c r="C500" s="80" t="s">
        <v>4517</v>
      </c>
      <c r="D500" s="107" t="s">
        <v>1660</v>
      </c>
      <c r="E500" s="80">
        <v>2</v>
      </c>
      <c r="F500" s="133">
        <v>57.1</v>
      </c>
      <c r="G500" s="133">
        <v>69</v>
      </c>
      <c r="H500" s="222">
        <f t="shared" si="21"/>
        <v>138</v>
      </c>
      <c r="I500" s="236"/>
      <c r="J500" s="236">
        <v>0</v>
      </c>
      <c r="K500" s="236">
        <f t="shared" si="22"/>
        <v>138</v>
      </c>
      <c r="L500" s="237">
        <f t="shared" si="23"/>
        <v>114.2</v>
      </c>
    </row>
    <row r="501" spans="1:12">
      <c r="A501" s="223" t="s">
        <v>4512</v>
      </c>
      <c r="B501" s="80" t="s">
        <v>2112</v>
      </c>
      <c r="C501" s="80" t="s">
        <v>4517</v>
      </c>
      <c r="D501" s="107" t="s">
        <v>2113</v>
      </c>
      <c r="E501" s="80">
        <v>2</v>
      </c>
      <c r="F501" s="133">
        <v>135.25</v>
      </c>
      <c r="G501" s="133">
        <v>156</v>
      </c>
      <c r="H501" s="222">
        <f t="shared" si="21"/>
        <v>312</v>
      </c>
      <c r="I501" s="236"/>
      <c r="J501" s="236">
        <v>0</v>
      </c>
      <c r="K501" s="236">
        <f t="shared" si="22"/>
        <v>312</v>
      </c>
      <c r="L501" s="237">
        <f t="shared" si="23"/>
        <v>270.5</v>
      </c>
    </row>
    <row r="502" spans="1:12">
      <c r="A502" s="223" t="s">
        <v>4512</v>
      </c>
      <c r="B502" s="80" t="s">
        <v>1864</v>
      </c>
      <c r="C502" s="80" t="s">
        <v>4517</v>
      </c>
      <c r="D502" s="107" t="s">
        <v>1865</v>
      </c>
      <c r="E502" s="80">
        <v>2</v>
      </c>
      <c r="F502" s="133">
        <v>86.58</v>
      </c>
      <c r="G502" s="133">
        <v>99.5</v>
      </c>
      <c r="H502" s="222">
        <f t="shared" si="21"/>
        <v>199</v>
      </c>
      <c r="I502" s="236"/>
      <c r="J502" s="236">
        <v>0</v>
      </c>
      <c r="K502" s="236">
        <f t="shared" si="22"/>
        <v>199</v>
      </c>
      <c r="L502" s="237">
        <f t="shared" si="23"/>
        <v>173.16</v>
      </c>
    </row>
    <row r="503" spans="1:12">
      <c r="A503" s="223" t="s">
        <v>4512</v>
      </c>
      <c r="B503" s="80" t="s">
        <v>1452</v>
      </c>
      <c r="C503" s="80" t="s">
        <v>4517</v>
      </c>
      <c r="D503" s="107" t="s">
        <v>1453</v>
      </c>
      <c r="E503" s="80">
        <v>1</v>
      </c>
      <c r="F503" s="133">
        <v>109.57</v>
      </c>
      <c r="G503" s="133">
        <v>136.5</v>
      </c>
      <c r="H503" s="222">
        <f t="shared" si="21"/>
        <v>136.5</v>
      </c>
      <c r="I503" s="236"/>
      <c r="J503" s="236">
        <v>0</v>
      </c>
      <c r="K503" s="236">
        <f t="shared" si="22"/>
        <v>136.5</v>
      </c>
      <c r="L503" s="237">
        <f t="shared" si="23"/>
        <v>109.57</v>
      </c>
    </row>
    <row r="504" spans="1:12">
      <c r="A504" s="223" t="s">
        <v>4512</v>
      </c>
      <c r="B504" s="80" t="s">
        <v>772</v>
      </c>
      <c r="C504" s="80" t="s">
        <v>4518</v>
      </c>
      <c r="D504" s="107" t="s">
        <v>773</v>
      </c>
      <c r="E504" s="80">
        <v>1</v>
      </c>
      <c r="F504" s="133">
        <v>68</v>
      </c>
      <c r="G504" s="133">
        <v>78.25</v>
      </c>
      <c r="H504" s="222">
        <f t="shared" si="21"/>
        <v>78.25</v>
      </c>
      <c r="I504" s="236"/>
      <c r="J504" s="236">
        <v>0</v>
      </c>
      <c r="K504" s="236">
        <f t="shared" si="22"/>
        <v>78.25</v>
      </c>
      <c r="L504" s="237">
        <f t="shared" si="23"/>
        <v>68</v>
      </c>
    </row>
    <row r="505" spans="1:12">
      <c r="A505" s="223" t="s">
        <v>4512</v>
      </c>
      <c r="B505" s="80" t="s">
        <v>3653</v>
      </c>
      <c r="C505" s="80" t="s">
        <v>4519</v>
      </c>
      <c r="D505" s="107" t="s">
        <v>3654</v>
      </c>
      <c r="E505" s="80">
        <v>1</v>
      </c>
      <c r="F505" s="133">
        <v>9.3800000000000008</v>
      </c>
      <c r="G505" s="133">
        <v>11</v>
      </c>
      <c r="H505" s="222">
        <f t="shared" si="21"/>
        <v>11</v>
      </c>
      <c r="I505" s="236"/>
      <c r="J505" s="236">
        <v>0</v>
      </c>
      <c r="K505" s="236">
        <f t="shared" si="22"/>
        <v>11</v>
      </c>
      <c r="L505" s="237">
        <f t="shared" si="23"/>
        <v>9.3800000000000008</v>
      </c>
    </row>
    <row r="506" spans="1:12">
      <c r="A506" s="223" t="s">
        <v>4512</v>
      </c>
      <c r="B506" s="80" t="s">
        <v>1443</v>
      </c>
      <c r="C506" s="80" t="s">
        <v>4520</v>
      </c>
      <c r="D506" s="107" t="s">
        <v>1444</v>
      </c>
      <c r="E506" s="80">
        <v>2</v>
      </c>
      <c r="F506" s="133">
        <v>10.64</v>
      </c>
      <c r="G506" s="133">
        <v>12.25</v>
      </c>
      <c r="H506" s="222">
        <f t="shared" si="21"/>
        <v>24.5</v>
      </c>
      <c r="I506" s="236"/>
      <c r="J506" s="236">
        <v>0</v>
      </c>
      <c r="K506" s="236">
        <f t="shared" si="22"/>
        <v>24.5</v>
      </c>
      <c r="L506" s="237">
        <f t="shared" si="23"/>
        <v>21.28</v>
      </c>
    </row>
    <row r="507" spans="1:12">
      <c r="A507" s="223" t="s">
        <v>4512</v>
      </c>
      <c r="B507" s="80" t="s">
        <v>1041</v>
      </c>
      <c r="C507" s="80" t="s">
        <v>4520</v>
      </c>
      <c r="D507" s="107" t="s">
        <v>1042</v>
      </c>
      <c r="E507" s="80">
        <v>1</v>
      </c>
      <c r="F507" s="133">
        <v>6.4</v>
      </c>
      <c r="G507" s="133">
        <v>7.5</v>
      </c>
      <c r="H507" s="222">
        <f t="shared" si="21"/>
        <v>7.5</v>
      </c>
      <c r="I507" s="236"/>
      <c r="J507" s="236">
        <v>0</v>
      </c>
      <c r="K507" s="236">
        <f t="shared" si="22"/>
        <v>7.5</v>
      </c>
      <c r="L507" s="237">
        <f t="shared" si="23"/>
        <v>6.4</v>
      </c>
    </row>
    <row r="508" spans="1:12">
      <c r="A508" s="223" t="s">
        <v>4512</v>
      </c>
      <c r="B508" s="80" t="s">
        <v>1415</v>
      </c>
      <c r="C508" s="80" t="s">
        <v>4521</v>
      </c>
      <c r="D508" s="107" t="s">
        <v>1416</v>
      </c>
      <c r="E508" s="80">
        <v>1</v>
      </c>
      <c r="F508" s="133">
        <v>13.32</v>
      </c>
      <c r="G508" s="133">
        <v>15.5</v>
      </c>
      <c r="H508" s="222">
        <f t="shared" si="21"/>
        <v>15.5</v>
      </c>
      <c r="I508" s="236"/>
      <c r="J508" s="236">
        <v>0</v>
      </c>
      <c r="K508" s="236">
        <f t="shared" si="22"/>
        <v>15.5</v>
      </c>
      <c r="L508" s="237">
        <f t="shared" si="23"/>
        <v>13.32</v>
      </c>
    </row>
    <row r="509" spans="1:12">
      <c r="A509" s="223" t="s">
        <v>4512</v>
      </c>
      <c r="B509" s="80" t="s">
        <v>4357</v>
      </c>
      <c r="C509" s="80" t="s">
        <v>4521</v>
      </c>
      <c r="D509" s="107" t="s">
        <v>4359</v>
      </c>
      <c r="E509" s="80">
        <v>1</v>
      </c>
      <c r="F509" s="133">
        <v>14.82</v>
      </c>
      <c r="G509" s="133">
        <v>17.25</v>
      </c>
      <c r="H509" s="222">
        <f t="shared" si="21"/>
        <v>17.25</v>
      </c>
      <c r="I509" s="236"/>
      <c r="J509" s="236">
        <v>0</v>
      </c>
      <c r="K509" s="236">
        <f t="shared" si="22"/>
        <v>17.25</v>
      </c>
      <c r="L509" s="237">
        <f t="shared" si="23"/>
        <v>14.82</v>
      </c>
    </row>
    <row r="510" spans="1:12">
      <c r="A510" s="223" t="s">
        <v>4512</v>
      </c>
      <c r="B510" s="80" t="s">
        <v>888</v>
      </c>
      <c r="C510" s="80" t="s">
        <v>4522</v>
      </c>
      <c r="D510" s="107" t="s">
        <v>889</v>
      </c>
      <c r="E510" s="80">
        <v>1</v>
      </c>
      <c r="F510" s="133">
        <v>84.8</v>
      </c>
      <c r="G510" s="133">
        <v>94</v>
      </c>
      <c r="H510" s="222">
        <f t="shared" si="21"/>
        <v>94</v>
      </c>
      <c r="I510" s="236"/>
      <c r="J510" s="236">
        <v>0</v>
      </c>
      <c r="K510" s="236">
        <f t="shared" si="22"/>
        <v>94</v>
      </c>
      <c r="L510" s="237">
        <f t="shared" si="23"/>
        <v>84.8</v>
      </c>
    </row>
    <row r="511" spans="1:12">
      <c r="A511" s="223" t="s">
        <v>4512</v>
      </c>
      <c r="B511" s="80" t="s">
        <v>1752</v>
      </c>
      <c r="C511" s="80" t="s">
        <v>4522</v>
      </c>
      <c r="D511" s="107" t="s">
        <v>1753</v>
      </c>
      <c r="E511" s="80">
        <v>1</v>
      </c>
      <c r="F511" s="133">
        <v>132.80000000000001</v>
      </c>
      <c r="G511" s="133">
        <v>152.75</v>
      </c>
      <c r="H511" s="222">
        <f t="shared" si="21"/>
        <v>152.75</v>
      </c>
      <c r="I511" s="236"/>
      <c r="J511" s="236">
        <v>0</v>
      </c>
      <c r="K511" s="236">
        <f t="shared" si="22"/>
        <v>152.75</v>
      </c>
      <c r="L511" s="237">
        <f t="shared" si="23"/>
        <v>132.80000000000001</v>
      </c>
    </row>
    <row r="512" spans="1:12">
      <c r="A512" s="223" t="s">
        <v>4512</v>
      </c>
      <c r="B512" s="80" t="s">
        <v>2620</v>
      </c>
      <c r="C512" s="80" t="s">
        <v>4523</v>
      </c>
      <c r="D512" s="107" t="s">
        <v>2621</v>
      </c>
      <c r="E512" s="80">
        <v>4</v>
      </c>
      <c r="F512" s="133">
        <v>20.57</v>
      </c>
      <c r="G512" s="133">
        <v>23.75</v>
      </c>
      <c r="H512" s="222">
        <f t="shared" si="21"/>
        <v>95</v>
      </c>
      <c r="I512" s="236"/>
      <c r="J512" s="236">
        <v>0</v>
      </c>
      <c r="K512" s="236">
        <f t="shared" si="22"/>
        <v>95</v>
      </c>
      <c r="L512" s="237">
        <f t="shared" si="23"/>
        <v>82.28</v>
      </c>
    </row>
    <row r="513" spans="1:12">
      <c r="A513" s="223" t="s">
        <v>4512</v>
      </c>
      <c r="B513" s="80" t="s">
        <v>2542</v>
      </c>
      <c r="C513" s="80" t="s">
        <v>4523</v>
      </c>
      <c r="D513" s="107" t="s">
        <v>2543</v>
      </c>
      <c r="E513" s="80">
        <v>24</v>
      </c>
      <c r="F513" s="133">
        <v>5.25</v>
      </c>
      <c r="G513" s="133">
        <v>6</v>
      </c>
      <c r="H513" s="222">
        <f t="shared" si="21"/>
        <v>144</v>
      </c>
      <c r="I513" s="236"/>
      <c r="J513" s="236">
        <v>0</v>
      </c>
      <c r="K513" s="236">
        <f t="shared" si="22"/>
        <v>144</v>
      </c>
      <c r="L513" s="237">
        <f t="shared" si="23"/>
        <v>126</v>
      </c>
    </row>
    <row r="514" spans="1:12">
      <c r="A514" s="223" t="s">
        <v>4512</v>
      </c>
      <c r="B514" s="80" t="s">
        <v>3032</v>
      </c>
      <c r="C514" s="80" t="s">
        <v>4524</v>
      </c>
      <c r="D514" s="107" t="s">
        <v>3033</v>
      </c>
      <c r="E514" s="80">
        <v>12</v>
      </c>
      <c r="F514" s="133">
        <v>6.38</v>
      </c>
      <c r="G514" s="133">
        <v>7.5</v>
      </c>
      <c r="H514" s="222">
        <f t="shared" si="21"/>
        <v>90</v>
      </c>
      <c r="I514" s="236"/>
      <c r="J514" s="236">
        <v>0</v>
      </c>
      <c r="K514" s="236">
        <f t="shared" si="22"/>
        <v>90</v>
      </c>
      <c r="L514" s="237">
        <f t="shared" si="23"/>
        <v>76.56</v>
      </c>
    </row>
    <row r="515" spans="1:12">
      <c r="A515" s="223" t="s">
        <v>4512</v>
      </c>
      <c r="B515" s="80" t="s">
        <v>4525</v>
      </c>
      <c r="C515" s="80" t="s">
        <v>4526</v>
      </c>
      <c r="D515" s="107" t="s">
        <v>4527</v>
      </c>
      <c r="E515" s="80">
        <v>2</v>
      </c>
      <c r="F515" s="133">
        <v>20.399999999999999</v>
      </c>
      <c r="G515" s="133">
        <v>23.46</v>
      </c>
      <c r="H515" s="222">
        <f t="shared" si="21"/>
        <v>46.92</v>
      </c>
      <c r="I515" s="236"/>
      <c r="J515" s="236">
        <v>0</v>
      </c>
      <c r="K515" s="236">
        <f t="shared" si="22"/>
        <v>46.92</v>
      </c>
      <c r="L515" s="237">
        <f t="shared" si="23"/>
        <v>40.799999999999997</v>
      </c>
    </row>
    <row r="516" spans="1:12">
      <c r="A516" s="223" t="s">
        <v>4512</v>
      </c>
      <c r="B516" s="80" t="s">
        <v>894</v>
      </c>
      <c r="C516" s="80" t="s">
        <v>4528</v>
      </c>
      <c r="D516" s="107" t="s">
        <v>895</v>
      </c>
      <c r="E516" s="80">
        <v>1</v>
      </c>
      <c r="F516" s="133">
        <v>100</v>
      </c>
      <c r="G516" s="133">
        <v>110</v>
      </c>
      <c r="H516" s="222">
        <f t="shared" ref="H516:H579" si="24">E516*G516</f>
        <v>110</v>
      </c>
      <c r="I516" s="236"/>
      <c r="J516" s="236">
        <v>0</v>
      </c>
      <c r="K516" s="236">
        <f t="shared" si="22"/>
        <v>110</v>
      </c>
      <c r="L516" s="237">
        <f t="shared" si="23"/>
        <v>100</v>
      </c>
    </row>
    <row r="517" spans="1:12">
      <c r="A517" s="223" t="s">
        <v>4512</v>
      </c>
      <c r="B517" s="80" t="s">
        <v>2001</v>
      </c>
      <c r="C517" s="80" t="s">
        <v>4529</v>
      </c>
      <c r="D517" s="107" t="s">
        <v>2002</v>
      </c>
      <c r="E517" s="80">
        <v>1</v>
      </c>
      <c r="F517" s="133">
        <v>51.97</v>
      </c>
      <c r="G517" s="133">
        <v>60</v>
      </c>
      <c r="H517" s="222">
        <f t="shared" si="24"/>
        <v>60</v>
      </c>
      <c r="I517" s="236"/>
      <c r="J517" s="236">
        <v>0</v>
      </c>
      <c r="K517" s="236">
        <f t="shared" ref="K517:K580" si="25">H517+I517-J517</f>
        <v>60</v>
      </c>
      <c r="L517" s="237">
        <f t="shared" ref="L517:L580" si="26">E517*F517</f>
        <v>51.97</v>
      </c>
    </row>
    <row r="518" spans="1:12">
      <c r="A518" s="223" t="s">
        <v>4512</v>
      </c>
      <c r="B518" s="80" t="s">
        <v>1930</v>
      </c>
      <c r="C518" s="80" t="s">
        <v>4530</v>
      </c>
      <c r="D518" s="107" t="s">
        <v>1931</v>
      </c>
      <c r="E518" s="80">
        <v>1</v>
      </c>
      <c r="F518" s="133">
        <v>32.86</v>
      </c>
      <c r="G518" s="133">
        <v>38</v>
      </c>
      <c r="H518" s="222">
        <f t="shared" si="24"/>
        <v>38</v>
      </c>
      <c r="I518" s="236"/>
      <c r="J518" s="236">
        <v>0</v>
      </c>
      <c r="K518" s="236">
        <f t="shared" si="25"/>
        <v>38</v>
      </c>
      <c r="L518" s="237">
        <f t="shared" si="26"/>
        <v>32.86</v>
      </c>
    </row>
    <row r="519" spans="1:12">
      <c r="A519" s="223" t="s">
        <v>4512</v>
      </c>
      <c r="B519" s="80" t="s">
        <v>4171</v>
      </c>
      <c r="C519" s="80" t="s">
        <v>4531</v>
      </c>
      <c r="D519" s="107" t="s">
        <v>4172</v>
      </c>
      <c r="E519" s="80">
        <v>1</v>
      </c>
      <c r="F519" s="133">
        <v>9.27</v>
      </c>
      <c r="G519" s="133">
        <v>10.75</v>
      </c>
      <c r="H519" s="222">
        <f t="shared" si="24"/>
        <v>10.75</v>
      </c>
      <c r="I519" s="236"/>
      <c r="J519" s="236">
        <v>0</v>
      </c>
      <c r="K519" s="236">
        <f t="shared" si="25"/>
        <v>10.75</v>
      </c>
      <c r="L519" s="237">
        <f t="shared" si="26"/>
        <v>9.27</v>
      </c>
    </row>
    <row r="520" spans="1:12">
      <c r="A520" s="223" t="s">
        <v>4512</v>
      </c>
      <c r="B520" s="80" t="s">
        <v>3511</v>
      </c>
      <c r="C520" s="80" t="s">
        <v>4531</v>
      </c>
      <c r="D520" s="107" t="s">
        <v>3512</v>
      </c>
      <c r="E520" s="80">
        <v>1</v>
      </c>
      <c r="F520" s="133">
        <v>9.2799999999999994</v>
      </c>
      <c r="G520" s="133">
        <v>10.75</v>
      </c>
      <c r="H520" s="222">
        <f t="shared" si="24"/>
        <v>10.75</v>
      </c>
      <c r="I520" s="236"/>
      <c r="J520" s="236">
        <v>0</v>
      </c>
      <c r="K520" s="236">
        <f t="shared" si="25"/>
        <v>10.75</v>
      </c>
      <c r="L520" s="237">
        <f t="shared" si="26"/>
        <v>9.2799999999999994</v>
      </c>
    </row>
    <row r="521" spans="1:12">
      <c r="A521" s="223" t="s">
        <v>4512</v>
      </c>
      <c r="B521" s="80" t="s">
        <v>4501</v>
      </c>
      <c r="C521" s="80" t="s">
        <v>4532</v>
      </c>
      <c r="D521" s="107" t="s">
        <v>4073</v>
      </c>
      <c r="E521" s="80">
        <v>1</v>
      </c>
      <c r="F521" s="133">
        <v>6.03</v>
      </c>
      <c r="G521" s="133">
        <v>7</v>
      </c>
      <c r="H521" s="222">
        <f t="shared" si="24"/>
        <v>7</v>
      </c>
      <c r="I521" s="236"/>
      <c r="J521" s="236">
        <v>0</v>
      </c>
      <c r="K521" s="236">
        <f t="shared" si="25"/>
        <v>7</v>
      </c>
      <c r="L521" s="237">
        <f t="shared" si="26"/>
        <v>6.03</v>
      </c>
    </row>
    <row r="522" spans="1:12">
      <c r="A522" s="223" t="s">
        <v>4512</v>
      </c>
      <c r="B522" s="80" t="s">
        <v>2542</v>
      </c>
      <c r="C522" s="80" t="s">
        <v>4533</v>
      </c>
      <c r="D522" s="107" t="s">
        <v>2543</v>
      </c>
      <c r="E522" s="80">
        <v>6</v>
      </c>
      <c r="F522" s="133">
        <v>5.25</v>
      </c>
      <c r="G522" s="133">
        <v>6</v>
      </c>
      <c r="H522" s="222">
        <f t="shared" si="24"/>
        <v>36</v>
      </c>
      <c r="I522" s="236"/>
      <c r="J522" s="236">
        <v>0</v>
      </c>
      <c r="K522" s="236">
        <f t="shared" si="25"/>
        <v>36</v>
      </c>
      <c r="L522" s="237">
        <f t="shared" si="26"/>
        <v>31.5</v>
      </c>
    </row>
    <row r="523" spans="1:12">
      <c r="A523" s="223" t="s">
        <v>4512</v>
      </c>
      <c r="B523" s="80" t="s">
        <v>2724</v>
      </c>
      <c r="C523" s="80" t="s">
        <v>4533</v>
      </c>
      <c r="D523" s="107" t="s">
        <v>2725</v>
      </c>
      <c r="E523" s="80">
        <v>6</v>
      </c>
      <c r="F523" s="133">
        <v>6</v>
      </c>
      <c r="G523" s="133">
        <v>7</v>
      </c>
      <c r="H523" s="222">
        <f t="shared" si="24"/>
        <v>42</v>
      </c>
      <c r="I523" s="236"/>
      <c r="J523" s="236">
        <v>0</v>
      </c>
      <c r="K523" s="236">
        <f t="shared" si="25"/>
        <v>42</v>
      </c>
      <c r="L523" s="237">
        <f t="shared" si="26"/>
        <v>36</v>
      </c>
    </row>
    <row r="524" spans="1:12">
      <c r="A524" s="223" t="s">
        <v>4512</v>
      </c>
      <c r="B524" s="80" t="s">
        <v>1987</v>
      </c>
      <c r="C524" s="80" t="s">
        <v>4534</v>
      </c>
      <c r="D524" s="107" t="s">
        <v>1988</v>
      </c>
      <c r="E524" s="80">
        <v>1</v>
      </c>
      <c r="F524" s="133">
        <v>17.5</v>
      </c>
      <c r="G524" s="133">
        <v>20.25</v>
      </c>
      <c r="H524" s="222">
        <f t="shared" si="24"/>
        <v>20.25</v>
      </c>
      <c r="I524" s="236"/>
      <c r="J524" s="236">
        <v>0</v>
      </c>
      <c r="K524" s="236">
        <f t="shared" si="25"/>
        <v>20.25</v>
      </c>
      <c r="L524" s="237">
        <f t="shared" si="26"/>
        <v>17.5</v>
      </c>
    </row>
    <row r="525" spans="1:12">
      <c r="A525" s="223" t="s">
        <v>4512</v>
      </c>
      <c r="B525" s="80" t="s">
        <v>630</v>
      </c>
      <c r="C525" s="80" t="s">
        <v>4535</v>
      </c>
      <c r="D525" s="107" t="s">
        <v>631</v>
      </c>
      <c r="E525" s="80">
        <v>1</v>
      </c>
      <c r="F525" s="133">
        <v>7.62</v>
      </c>
      <c r="G525" s="133">
        <v>8.75</v>
      </c>
      <c r="H525" s="222">
        <f t="shared" si="24"/>
        <v>8.75</v>
      </c>
      <c r="I525" s="236"/>
      <c r="J525" s="236">
        <v>0</v>
      </c>
      <c r="K525" s="236">
        <f t="shared" si="25"/>
        <v>8.75</v>
      </c>
      <c r="L525" s="237">
        <f t="shared" si="26"/>
        <v>7.62</v>
      </c>
    </row>
    <row r="526" spans="1:12">
      <c r="A526" s="223" t="s">
        <v>4512</v>
      </c>
      <c r="B526" s="80" t="s">
        <v>590</v>
      </c>
      <c r="C526" s="80" t="s">
        <v>4535</v>
      </c>
      <c r="D526" s="107" t="s">
        <v>591</v>
      </c>
      <c r="E526" s="80">
        <v>1</v>
      </c>
      <c r="F526" s="133">
        <v>61.5</v>
      </c>
      <c r="G526" s="133">
        <v>70.75</v>
      </c>
      <c r="H526" s="222">
        <f t="shared" si="24"/>
        <v>70.75</v>
      </c>
      <c r="I526" s="236"/>
      <c r="J526" s="236">
        <v>0</v>
      </c>
      <c r="K526" s="236">
        <f t="shared" si="25"/>
        <v>70.75</v>
      </c>
      <c r="L526" s="237">
        <f t="shared" si="26"/>
        <v>61.5</v>
      </c>
    </row>
    <row r="527" spans="1:12">
      <c r="A527" s="223" t="s">
        <v>4512</v>
      </c>
      <c r="B527" s="80" t="s">
        <v>532</v>
      </c>
      <c r="C527" s="80" t="s">
        <v>4535</v>
      </c>
      <c r="D527" s="107" t="s">
        <v>533</v>
      </c>
      <c r="E527" s="80">
        <v>1</v>
      </c>
      <c r="F527" s="133">
        <v>18.649999999999999</v>
      </c>
      <c r="G527" s="133">
        <v>21.5</v>
      </c>
      <c r="H527" s="222">
        <f t="shared" si="24"/>
        <v>21.5</v>
      </c>
      <c r="I527" s="236"/>
      <c r="J527" s="236">
        <v>0</v>
      </c>
      <c r="K527" s="236">
        <f t="shared" si="25"/>
        <v>21.5</v>
      </c>
      <c r="L527" s="237">
        <f t="shared" si="26"/>
        <v>18.649999999999999</v>
      </c>
    </row>
    <row r="528" spans="1:12">
      <c r="A528" s="223" t="s">
        <v>4512</v>
      </c>
      <c r="B528" s="80" t="s">
        <v>630</v>
      </c>
      <c r="C528" s="80" t="s">
        <v>4536</v>
      </c>
      <c r="D528" s="107" t="s">
        <v>631</v>
      </c>
      <c r="E528" s="80">
        <v>1</v>
      </c>
      <c r="F528" s="133">
        <v>7.62</v>
      </c>
      <c r="G528" s="133">
        <v>8.75</v>
      </c>
      <c r="H528" s="222">
        <f t="shared" si="24"/>
        <v>8.75</v>
      </c>
      <c r="I528" s="236"/>
      <c r="J528" s="236">
        <v>0</v>
      </c>
      <c r="K528" s="236">
        <f t="shared" si="25"/>
        <v>8.75</v>
      </c>
      <c r="L528" s="237">
        <f t="shared" si="26"/>
        <v>7.62</v>
      </c>
    </row>
    <row r="529" spans="1:12">
      <c r="A529" s="223" t="s">
        <v>4512</v>
      </c>
      <c r="B529" s="80" t="s">
        <v>3511</v>
      </c>
      <c r="C529" s="80" t="s">
        <v>4537</v>
      </c>
      <c r="D529" s="107" t="s">
        <v>3512</v>
      </c>
      <c r="E529" s="80">
        <v>1</v>
      </c>
      <c r="F529" s="133">
        <v>9.2799999999999994</v>
      </c>
      <c r="G529" s="133">
        <v>10.75</v>
      </c>
      <c r="H529" s="222">
        <f t="shared" si="24"/>
        <v>10.75</v>
      </c>
      <c r="I529" s="236"/>
      <c r="J529" s="236">
        <v>0</v>
      </c>
      <c r="K529" s="236">
        <f t="shared" si="25"/>
        <v>10.75</v>
      </c>
      <c r="L529" s="237">
        <f t="shared" si="26"/>
        <v>9.2799999999999994</v>
      </c>
    </row>
    <row r="530" spans="1:12">
      <c r="A530" s="223" t="s">
        <v>4512</v>
      </c>
      <c r="B530" s="80" t="s">
        <v>630</v>
      </c>
      <c r="C530" s="80" t="s">
        <v>4537</v>
      </c>
      <c r="D530" s="107" t="s">
        <v>631</v>
      </c>
      <c r="E530" s="80">
        <v>1</v>
      </c>
      <c r="F530" s="133">
        <v>7.62</v>
      </c>
      <c r="G530" s="133">
        <v>8.75</v>
      </c>
      <c r="H530" s="222">
        <f t="shared" si="24"/>
        <v>8.75</v>
      </c>
      <c r="I530" s="236"/>
      <c r="J530" s="236">
        <v>0</v>
      </c>
      <c r="K530" s="236">
        <f t="shared" si="25"/>
        <v>8.75</v>
      </c>
      <c r="L530" s="237">
        <f t="shared" si="26"/>
        <v>7.62</v>
      </c>
    </row>
    <row r="531" spans="1:12">
      <c r="A531" s="223" t="s">
        <v>4512</v>
      </c>
      <c r="B531" s="80" t="s">
        <v>1122</v>
      </c>
      <c r="C531" s="80" t="s">
        <v>4538</v>
      </c>
      <c r="D531" s="107" t="s">
        <v>1123</v>
      </c>
      <c r="E531" s="80">
        <v>1</v>
      </c>
      <c r="F531" s="133">
        <v>6.67</v>
      </c>
      <c r="G531" s="133">
        <v>9.5</v>
      </c>
      <c r="H531" s="222">
        <f t="shared" si="24"/>
        <v>9.5</v>
      </c>
      <c r="I531" s="236"/>
      <c r="J531" s="236">
        <v>0</v>
      </c>
      <c r="K531" s="236">
        <f t="shared" si="25"/>
        <v>9.5</v>
      </c>
      <c r="L531" s="237">
        <f t="shared" si="26"/>
        <v>6.67</v>
      </c>
    </row>
    <row r="532" spans="1:12">
      <c r="A532" s="223" t="s">
        <v>4512</v>
      </c>
      <c r="B532" s="80" t="s">
        <v>1524</v>
      </c>
      <c r="C532" s="80" t="s">
        <v>4539</v>
      </c>
      <c r="D532" s="107" t="s">
        <v>1525</v>
      </c>
      <c r="E532" s="80">
        <v>4</v>
      </c>
      <c r="F532" s="133">
        <v>30.83</v>
      </c>
      <c r="G532" s="133">
        <v>35.5</v>
      </c>
      <c r="H532" s="222">
        <f t="shared" si="24"/>
        <v>142</v>
      </c>
      <c r="I532" s="236"/>
      <c r="J532" s="236">
        <v>0</v>
      </c>
      <c r="K532" s="236">
        <f t="shared" si="25"/>
        <v>142</v>
      </c>
      <c r="L532" s="237">
        <f t="shared" si="26"/>
        <v>123.32</v>
      </c>
    </row>
    <row r="533" spans="1:12">
      <c r="A533" s="223" t="s">
        <v>4540</v>
      </c>
      <c r="B533" s="80" t="s">
        <v>616</v>
      </c>
      <c r="C533" s="80" t="s">
        <v>4541</v>
      </c>
      <c r="D533" s="107" t="s">
        <v>617</v>
      </c>
      <c r="E533" s="80">
        <v>1</v>
      </c>
      <c r="F533" s="133">
        <v>41.83</v>
      </c>
      <c r="G533" s="133">
        <v>48.25</v>
      </c>
      <c r="H533" s="222">
        <f t="shared" si="24"/>
        <v>48.25</v>
      </c>
      <c r="I533" s="236"/>
      <c r="J533" s="236">
        <v>0</v>
      </c>
      <c r="K533" s="236">
        <f t="shared" si="25"/>
        <v>48.25</v>
      </c>
      <c r="L533" s="237">
        <f t="shared" si="26"/>
        <v>41.83</v>
      </c>
    </row>
    <row r="534" spans="1:12">
      <c r="A534" s="223" t="s">
        <v>4540</v>
      </c>
      <c r="B534" s="80" t="s">
        <v>1102</v>
      </c>
      <c r="C534" s="80" t="s">
        <v>4541</v>
      </c>
      <c r="D534" s="107" t="s">
        <v>1103</v>
      </c>
      <c r="E534" s="80">
        <v>1</v>
      </c>
      <c r="F534" s="133">
        <v>58.95</v>
      </c>
      <c r="G534" s="133">
        <v>68</v>
      </c>
      <c r="H534" s="222">
        <f t="shared" si="24"/>
        <v>68</v>
      </c>
      <c r="I534" s="236"/>
      <c r="J534" s="236">
        <v>0</v>
      </c>
      <c r="K534" s="236">
        <f t="shared" si="25"/>
        <v>68</v>
      </c>
      <c r="L534" s="237">
        <f t="shared" si="26"/>
        <v>58.95</v>
      </c>
    </row>
    <row r="535" spans="1:12">
      <c r="A535" s="223" t="s">
        <v>4540</v>
      </c>
      <c r="B535" s="80" t="s">
        <v>2654</v>
      </c>
      <c r="C535" s="80" t="s">
        <v>4541</v>
      </c>
      <c r="D535" s="107" t="s">
        <v>2655</v>
      </c>
      <c r="E535" s="80">
        <v>1</v>
      </c>
      <c r="F535" s="133">
        <v>23</v>
      </c>
      <c r="G535" s="133">
        <v>26.5</v>
      </c>
      <c r="H535" s="222">
        <f t="shared" si="24"/>
        <v>26.5</v>
      </c>
      <c r="I535" s="236"/>
      <c r="J535" s="236">
        <v>0</v>
      </c>
      <c r="K535" s="236">
        <f t="shared" si="25"/>
        <v>26.5</v>
      </c>
      <c r="L535" s="237">
        <f t="shared" si="26"/>
        <v>23</v>
      </c>
    </row>
    <row r="536" spans="1:12">
      <c r="A536" s="223" t="s">
        <v>4540</v>
      </c>
      <c r="B536" s="80" t="s">
        <v>4057</v>
      </c>
      <c r="C536" s="80" t="s">
        <v>4542</v>
      </c>
      <c r="D536" s="107" t="s">
        <v>4058</v>
      </c>
      <c r="E536" s="80">
        <v>1</v>
      </c>
      <c r="F536" s="133">
        <v>25.75</v>
      </c>
      <c r="G536" s="133">
        <v>30</v>
      </c>
      <c r="H536" s="222">
        <f t="shared" si="24"/>
        <v>30</v>
      </c>
      <c r="I536" s="236"/>
      <c r="J536" s="236">
        <v>0</v>
      </c>
      <c r="K536" s="236">
        <f t="shared" si="25"/>
        <v>30</v>
      </c>
      <c r="L536" s="237">
        <f t="shared" si="26"/>
        <v>25.75</v>
      </c>
    </row>
    <row r="537" spans="1:12">
      <c r="A537" s="223" t="s">
        <v>4540</v>
      </c>
      <c r="B537" s="80" t="s">
        <v>4525</v>
      </c>
      <c r="C537" s="80" t="s">
        <v>4543</v>
      </c>
      <c r="D537" s="107" t="s">
        <v>4527</v>
      </c>
      <c r="E537" s="80">
        <v>1</v>
      </c>
      <c r="F537" s="133">
        <v>20.399999999999999</v>
      </c>
      <c r="G537" s="133">
        <v>23.46</v>
      </c>
      <c r="H537" s="222">
        <f t="shared" si="24"/>
        <v>23.46</v>
      </c>
      <c r="I537" s="236"/>
      <c r="J537" s="236">
        <v>0</v>
      </c>
      <c r="K537" s="236">
        <f t="shared" si="25"/>
        <v>23.46</v>
      </c>
      <c r="L537" s="237">
        <f t="shared" si="26"/>
        <v>20.399999999999999</v>
      </c>
    </row>
    <row r="538" spans="1:12">
      <c r="A538" s="223" t="s">
        <v>4540</v>
      </c>
      <c r="B538" s="80" t="s">
        <v>2051</v>
      </c>
      <c r="C538" s="80" t="s">
        <v>4544</v>
      </c>
      <c r="D538" s="107" t="s">
        <v>2052</v>
      </c>
      <c r="E538" s="80">
        <v>1</v>
      </c>
      <c r="F538" s="133">
        <v>13.39</v>
      </c>
      <c r="G538" s="133">
        <v>15.5</v>
      </c>
      <c r="H538" s="222">
        <f t="shared" si="24"/>
        <v>15.5</v>
      </c>
      <c r="I538" s="236"/>
      <c r="J538" s="236">
        <v>0</v>
      </c>
      <c r="K538" s="236">
        <f t="shared" si="25"/>
        <v>15.5</v>
      </c>
      <c r="L538" s="237">
        <f t="shared" si="26"/>
        <v>13.39</v>
      </c>
    </row>
    <row r="539" spans="1:12">
      <c r="A539" s="223" t="s">
        <v>4540</v>
      </c>
      <c r="B539" s="80" t="s">
        <v>1732</v>
      </c>
      <c r="C539" s="80" t="s">
        <v>4545</v>
      </c>
      <c r="D539" s="107" t="s">
        <v>1733</v>
      </c>
      <c r="E539" s="80">
        <v>1</v>
      </c>
      <c r="F539" s="133">
        <v>53.81</v>
      </c>
      <c r="G539" s="133">
        <v>62</v>
      </c>
      <c r="H539" s="222">
        <f t="shared" si="24"/>
        <v>62</v>
      </c>
      <c r="I539" s="236"/>
      <c r="J539" s="236">
        <v>0</v>
      </c>
      <c r="K539" s="236">
        <f t="shared" si="25"/>
        <v>62</v>
      </c>
      <c r="L539" s="237">
        <f t="shared" si="26"/>
        <v>53.81</v>
      </c>
    </row>
    <row r="540" spans="1:12">
      <c r="A540" s="223" t="s">
        <v>4540</v>
      </c>
      <c r="B540" s="80" t="s">
        <v>532</v>
      </c>
      <c r="C540" s="80" t="s">
        <v>4546</v>
      </c>
      <c r="D540" s="107" t="s">
        <v>533</v>
      </c>
      <c r="E540" s="80">
        <v>1</v>
      </c>
      <c r="F540" s="133">
        <v>18.649999999999999</v>
      </c>
      <c r="G540" s="133">
        <v>21.5</v>
      </c>
      <c r="H540" s="222">
        <f t="shared" si="24"/>
        <v>21.5</v>
      </c>
      <c r="I540" s="236"/>
      <c r="J540" s="236">
        <v>0</v>
      </c>
      <c r="K540" s="236">
        <f t="shared" si="25"/>
        <v>21.5</v>
      </c>
      <c r="L540" s="237">
        <f t="shared" si="26"/>
        <v>18.649999999999999</v>
      </c>
    </row>
    <row r="541" spans="1:12">
      <c r="A541" s="223" t="s">
        <v>4540</v>
      </c>
      <c r="B541" s="80" t="s">
        <v>4071</v>
      </c>
      <c r="C541" s="80" t="s">
        <v>4547</v>
      </c>
      <c r="D541" s="107" t="s">
        <v>4072</v>
      </c>
      <c r="E541" s="80">
        <v>1</v>
      </c>
      <c r="F541" s="133">
        <v>6.03</v>
      </c>
      <c r="G541" s="133">
        <v>7</v>
      </c>
      <c r="H541" s="222">
        <f t="shared" si="24"/>
        <v>7</v>
      </c>
      <c r="I541" s="236"/>
      <c r="J541" s="236">
        <v>0</v>
      </c>
      <c r="K541" s="236">
        <f t="shared" si="25"/>
        <v>7</v>
      </c>
      <c r="L541" s="237">
        <f t="shared" si="26"/>
        <v>6.03</v>
      </c>
    </row>
    <row r="542" spans="1:12">
      <c r="A542" s="223" t="s">
        <v>4540</v>
      </c>
      <c r="B542" s="80" t="s">
        <v>4423</v>
      </c>
      <c r="C542" s="80" t="s">
        <v>4547</v>
      </c>
      <c r="D542" s="107" t="s">
        <v>4425</v>
      </c>
      <c r="E542" s="80">
        <v>1</v>
      </c>
      <c r="F542" s="133">
        <v>6.4</v>
      </c>
      <c r="G542" s="133">
        <v>7.5</v>
      </c>
      <c r="H542" s="222">
        <f t="shared" si="24"/>
        <v>7.5</v>
      </c>
      <c r="I542" s="236"/>
      <c r="J542" s="236">
        <v>0</v>
      </c>
      <c r="K542" s="236">
        <f t="shared" si="25"/>
        <v>7.5</v>
      </c>
      <c r="L542" s="237">
        <f t="shared" si="26"/>
        <v>6.4</v>
      </c>
    </row>
    <row r="543" spans="1:12">
      <c r="A543" s="223" t="s">
        <v>4540</v>
      </c>
      <c r="B543" s="80" t="s">
        <v>3032</v>
      </c>
      <c r="C543" s="80" t="s">
        <v>4548</v>
      </c>
      <c r="D543" s="107" t="s">
        <v>3033</v>
      </c>
      <c r="E543" s="80">
        <v>6</v>
      </c>
      <c r="F543" s="133">
        <v>6.38</v>
      </c>
      <c r="G543" s="133">
        <v>7.5</v>
      </c>
      <c r="H543" s="222">
        <f t="shared" si="24"/>
        <v>45</v>
      </c>
      <c r="I543" s="236"/>
      <c r="J543" s="236">
        <v>0</v>
      </c>
      <c r="K543" s="236">
        <f t="shared" si="25"/>
        <v>45</v>
      </c>
      <c r="L543" s="237">
        <f t="shared" si="26"/>
        <v>38.28</v>
      </c>
    </row>
    <row r="544" spans="1:12">
      <c r="A544" s="223" t="s">
        <v>4540</v>
      </c>
      <c r="B544" s="80" t="s">
        <v>844</v>
      </c>
      <c r="C544" s="80" t="s">
        <v>4549</v>
      </c>
      <c r="D544" s="107" t="s">
        <v>845</v>
      </c>
      <c r="E544" s="80">
        <v>3</v>
      </c>
      <c r="F544" s="133">
        <v>8.5299999999999994</v>
      </c>
      <c r="G544" s="133">
        <v>10</v>
      </c>
      <c r="H544" s="222">
        <f t="shared" si="24"/>
        <v>30</v>
      </c>
      <c r="I544" s="236"/>
      <c r="J544" s="236">
        <v>0</v>
      </c>
      <c r="K544" s="236">
        <f t="shared" si="25"/>
        <v>30</v>
      </c>
      <c r="L544" s="237">
        <f t="shared" si="26"/>
        <v>25.589999999999996</v>
      </c>
    </row>
    <row r="545" spans="1:12">
      <c r="A545" s="223" t="s">
        <v>4540</v>
      </c>
      <c r="B545" s="80" t="s">
        <v>3725</v>
      </c>
      <c r="C545" s="80" t="s">
        <v>4549</v>
      </c>
      <c r="D545" s="107" t="s">
        <v>3726</v>
      </c>
      <c r="E545" s="80">
        <v>6</v>
      </c>
      <c r="F545" s="133">
        <v>11.5</v>
      </c>
      <c r="G545" s="133">
        <v>13.5</v>
      </c>
      <c r="H545" s="222">
        <f t="shared" si="24"/>
        <v>81</v>
      </c>
      <c r="I545" s="236"/>
      <c r="J545" s="236">
        <v>0</v>
      </c>
      <c r="K545" s="236">
        <f t="shared" si="25"/>
        <v>81</v>
      </c>
      <c r="L545" s="237">
        <f t="shared" si="26"/>
        <v>69</v>
      </c>
    </row>
    <row r="546" spans="1:12">
      <c r="A546" s="223" t="s">
        <v>4540</v>
      </c>
      <c r="B546" s="80" t="s">
        <v>848</v>
      </c>
      <c r="C546" s="80" t="s">
        <v>4549</v>
      </c>
      <c r="D546" s="107" t="s">
        <v>849</v>
      </c>
      <c r="E546" s="80">
        <v>3</v>
      </c>
      <c r="F546" s="133">
        <v>8.1999999999999993</v>
      </c>
      <c r="G546" s="133">
        <v>10</v>
      </c>
      <c r="H546" s="222">
        <f t="shared" si="24"/>
        <v>30</v>
      </c>
      <c r="I546" s="236"/>
      <c r="J546" s="236">
        <v>0</v>
      </c>
      <c r="K546" s="236">
        <f t="shared" si="25"/>
        <v>30</v>
      </c>
      <c r="L546" s="237">
        <f t="shared" si="26"/>
        <v>24.599999999999998</v>
      </c>
    </row>
    <row r="547" spans="1:12">
      <c r="A547" s="223" t="s">
        <v>4540</v>
      </c>
      <c r="B547" s="80" t="s">
        <v>1188</v>
      </c>
      <c r="C547" s="80" t="s">
        <v>4549</v>
      </c>
      <c r="D547" s="107" t="s">
        <v>1189</v>
      </c>
      <c r="E547" s="80">
        <v>1</v>
      </c>
      <c r="F547" s="133">
        <v>29.9</v>
      </c>
      <c r="G547" s="133">
        <v>34.5</v>
      </c>
      <c r="H547" s="222">
        <f t="shared" si="24"/>
        <v>34.5</v>
      </c>
      <c r="I547" s="236"/>
      <c r="J547" s="236">
        <v>0</v>
      </c>
      <c r="K547" s="236">
        <f t="shared" si="25"/>
        <v>34.5</v>
      </c>
      <c r="L547" s="237">
        <f t="shared" si="26"/>
        <v>29.9</v>
      </c>
    </row>
    <row r="548" spans="1:12">
      <c r="A548" s="223" t="s">
        <v>4540</v>
      </c>
      <c r="B548" s="80" t="s">
        <v>1041</v>
      </c>
      <c r="C548" s="80" t="s">
        <v>4550</v>
      </c>
      <c r="D548" s="107" t="s">
        <v>1042</v>
      </c>
      <c r="E548" s="80">
        <v>1</v>
      </c>
      <c r="F548" s="133">
        <v>6.4</v>
      </c>
      <c r="G548" s="133">
        <v>7.5</v>
      </c>
      <c r="H548" s="222">
        <f t="shared" si="24"/>
        <v>7.5</v>
      </c>
      <c r="I548" s="236"/>
      <c r="J548" s="236">
        <v>0</v>
      </c>
      <c r="K548" s="236">
        <f t="shared" si="25"/>
        <v>7.5</v>
      </c>
      <c r="L548" s="237">
        <f t="shared" si="26"/>
        <v>6.4</v>
      </c>
    </row>
    <row r="549" spans="1:12">
      <c r="A549" s="223" t="s">
        <v>4540</v>
      </c>
      <c r="B549" s="80" t="s">
        <v>2237</v>
      </c>
      <c r="C549" s="80" t="s">
        <v>4551</v>
      </c>
      <c r="D549" s="107" t="s">
        <v>2238</v>
      </c>
      <c r="E549" s="80">
        <v>1</v>
      </c>
      <c r="F549" s="133">
        <v>152</v>
      </c>
      <c r="G549" s="133">
        <v>175</v>
      </c>
      <c r="H549" s="222">
        <f t="shared" si="24"/>
        <v>175</v>
      </c>
      <c r="I549" s="236"/>
      <c r="J549" s="236">
        <v>0</v>
      </c>
      <c r="K549" s="236">
        <f t="shared" si="25"/>
        <v>175</v>
      </c>
      <c r="L549" s="237">
        <f t="shared" si="26"/>
        <v>152</v>
      </c>
    </row>
    <row r="550" spans="1:12">
      <c r="A550" s="223" t="s">
        <v>4540</v>
      </c>
      <c r="B550" s="80" t="s">
        <v>2393</v>
      </c>
      <c r="C550" s="80" t="s">
        <v>4551</v>
      </c>
      <c r="D550" s="107" t="s">
        <v>2394</v>
      </c>
      <c r="E550" s="80">
        <v>6</v>
      </c>
      <c r="F550" s="133">
        <v>7.3</v>
      </c>
      <c r="G550" s="133">
        <v>8.5</v>
      </c>
      <c r="H550" s="222">
        <f t="shared" si="24"/>
        <v>51</v>
      </c>
      <c r="I550" s="236"/>
      <c r="J550" s="236">
        <v>0</v>
      </c>
      <c r="K550" s="236">
        <f t="shared" si="25"/>
        <v>51</v>
      </c>
      <c r="L550" s="237">
        <f t="shared" si="26"/>
        <v>43.8</v>
      </c>
    </row>
    <row r="551" spans="1:12">
      <c r="A551" s="223" t="s">
        <v>4540</v>
      </c>
      <c r="B551" s="80" t="s">
        <v>2724</v>
      </c>
      <c r="C551" s="80" t="s">
        <v>4551</v>
      </c>
      <c r="D551" s="107" t="s">
        <v>2725</v>
      </c>
      <c r="E551" s="80">
        <v>6</v>
      </c>
      <c r="F551" s="133">
        <v>6</v>
      </c>
      <c r="G551" s="133">
        <v>7</v>
      </c>
      <c r="H551" s="222">
        <f t="shared" si="24"/>
        <v>42</v>
      </c>
      <c r="I551" s="236"/>
      <c r="J551" s="236">
        <v>0</v>
      </c>
      <c r="K551" s="236">
        <f t="shared" si="25"/>
        <v>42</v>
      </c>
      <c r="L551" s="237">
        <f t="shared" si="26"/>
        <v>36</v>
      </c>
    </row>
    <row r="552" spans="1:12">
      <c r="A552" s="223" t="s">
        <v>4540</v>
      </c>
      <c r="B552" s="80" t="s">
        <v>1041</v>
      </c>
      <c r="C552" s="80" t="s">
        <v>4552</v>
      </c>
      <c r="D552" s="107" t="s">
        <v>1042</v>
      </c>
      <c r="E552" s="80">
        <v>1</v>
      </c>
      <c r="F552" s="133">
        <v>6.4</v>
      </c>
      <c r="G552" s="133">
        <v>7.5</v>
      </c>
      <c r="H552" s="222">
        <f t="shared" si="24"/>
        <v>7.5</v>
      </c>
      <c r="I552" s="236"/>
      <c r="J552" s="236">
        <v>0</v>
      </c>
      <c r="K552" s="236">
        <f t="shared" si="25"/>
        <v>7.5</v>
      </c>
      <c r="L552" s="237">
        <f t="shared" si="26"/>
        <v>6.4</v>
      </c>
    </row>
    <row r="553" spans="1:12">
      <c r="A553" s="223" t="s">
        <v>4540</v>
      </c>
      <c r="B553" s="80" t="s">
        <v>3653</v>
      </c>
      <c r="C553" s="80" t="s">
        <v>4553</v>
      </c>
      <c r="D553" s="107" t="s">
        <v>3654</v>
      </c>
      <c r="E553" s="80">
        <v>1</v>
      </c>
      <c r="F553" s="133">
        <v>9.3800000000000008</v>
      </c>
      <c r="G553" s="133">
        <v>11</v>
      </c>
      <c r="H553" s="222">
        <f t="shared" si="24"/>
        <v>11</v>
      </c>
      <c r="I553" s="236"/>
      <c r="J553" s="236">
        <v>0</v>
      </c>
      <c r="K553" s="236">
        <f t="shared" si="25"/>
        <v>11</v>
      </c>
      <c r="L553" s="237">
        <f t="shared" si="26"/>
        <v>9.3800000000000008</v>
      </c>
    </row>
    <row r="554" spans="1:12">
      <c r="A554" s="223" t="s">
        <v>4554</v>
      </c>
      <c r="B554" s="80" t="s">
        <v>2051</v>
      </c>
      <c r="C554" s="80" t="s">
        <v>4555</v>
      </c>
      <c r="D554" s="107" t="s">
        <v>2052</v>
      </c>
      <c r="E554" s="80">
        <v>4</v>
      </c>
      <c r="F554" s="133">
        <v>13.39</v>
      </c>
      <c r="G554" s="133">
        <v>15.5</v>
      </c>
      <c r="H554" s="222">
        <f t="shared" si="24"/>
        <v>62</v>
      </c>
      <c r="I554" s="236"/>
      <c r="J554" s="236">
        <v>0</v>
      </c>
      <c r="K554" s="236">
        <f t="shared" si="25"/>
        <v>62</v>
      </c>
      <c r="L554" s="237">
        <f t="shared" si="26"/>
        <v>53.56</v>
      </c>
    </row>
    <row r="555" spans="1:12">
      <c r="A555" s="223" t="s">
        <v>4554</v>
      </c>
      <c r="B555" s="80" t="s">
        <v>2626</v>
      </c>
      <c r="C555" s="80" t="s">
        <v>4555</v>
      </c>
      <c r="D555" s="107" t="s">
        <v>2627</v>
      </c>
      <c r="E555" s="80">
        <v>4</v>
      </c>
      <c r="F555" s="133">
        <v>45.03</v>
      </c>
      <c r="G555" s="133">
        <v>54.5</v>
      </c>
      <c r="H555" s="222">
        <f t="shared" si="24"/>
        <v>218</v>
      </c>
      <c r="I555" s="236"/>
      <c r="J555" s="236">
        <v>0</v>
      </c>
      <c r="K555" s="236">
        <f t="shared" si="25"/>
        <v>218</v>
      </c>
      <c r="L555" s="237">
        <f t="shared" si="26"/>
        <v>180.12</v>
      </c>
    </row>
    <row r="556" spans="1:12">
      <c r="A556" s="223" t="s">
        <v>4554</v>
      </c>
      <c r="B556" s="80" t="s">
        <v>1405</v>
      </c>
      <c r="C556" s="80" t="s">
        <v>4555</v>
      </c>
      <c r="D556" s="107" t="s">
        <v>1406</v>
      </c>
      <c r="E556" s="80">
        <v>2</v>
      </c>
      <c r="F556" s="133">
        <v>238.1</v>
      </c>
      <c r="G556" s="133">
        <v>274</v>
      </c>
      <c r="H556" s="222">
        <f t="shared" si="24"/>
        <v>548</v>
      </c>
      <c r="I556" s="236"/>
      <c r="J556" s="236">
        <v>0</v>
      </c>
      <c r="K556" s="236">
        <f t="shared" si="25"/>
        <v>548</v>
      </c>
      <c r="L556" s="237">
        <f t="shared" si="26"/>
        <v>476.2</v>
      </c>
    </row>
    <row r="557" spans="1:12">
      <c r="A557" s="223" t="s">
        <v>4554</v>
      </c>
      <c r="B557" s="80" t="s">
        <v>1452</v>
      </c>
      <c r="C557" s="80" t="s">
        <v>4555</v>
      </c>
      <c r="D557" s="107" t="s">
        <v>1453</v>
      </c>
      <c r="E557" s="80">
        <v>2</v>
      </c>
      <c r="F557" s="133">
        <v>109.57</v>
      </c>
      <c r="G557" s="133">
        <v>136.5</v>
      </c>
      <c r="H557" s="222">
        <f t="shared" si="24"/>
        <v>273</v>
      </c>
      <c r="I557" s="236"/>
      <c r="J557" s="236">
        <v>0</v>
      </c>
      <c r="K557" s="236">
        <f t="shared" si="25"/>
        <v>273</v>
      </c>
      <c r="L557" s="237">
        <f t="shared" si="26"/>
        <v>219.14</v>
      </c>
    </row>
    <row r="558" spans="1:12">
      <c r="A558" s="223" t="s">
        <v>4554</v>
      </c>
      <c r="B558" s="80" t="s">
        <v>1703</v>
      </c>
      <c r="C558" s="80" t="s">
        <v>4555</v>
      </c>
      <c r="D558" s="107" t="s">
        <v>1704</v>
      </c>
      <c r="E558" s="80">
        <v>6</v>
      </c>
      <c r="F558" s="133">
        <v>45.88</v>
      </c>
      <c r="G558" s="133">
        <v>52.75</v>
      </c>
      <c r="H558" s="222">
        <f t="shared" si="24"/>
        <v>316.5</v>
      </c>
      <c r="I558" s="236"/>
      <c r="J558" s="236">
        <v>0</v>
      </c>
      <c r="K558" s="236">
        <f t="shared" si="25"/>
        <v>316.5</v>
      </c>
      <c r="L558" s="237">
        <f t="shared" si="26"/>
        <v>275.28000000000003</v>
      </c>
    </row>
    <row r="559" spans="1:12">
      <c r="A559" s="223" t="s">
        <v>4554</v>
      </c>
      <c r="B559" s="80" t="s">
        <v>4071</v>
      </c>
      <c r="C559" s="80" t="s">
        <v>4555</v>
      </c>
      <c r="D559" s="107" t="s">
        <v>4072</v>
      </c>
      <c r="E559" s="80">
        <v>1</v>
      </c>
      <c r="F559" s="133">
        <v>6.03</v>
      </c>
      <c r="G559" s="133">
        <v>7</v>
      </c>
      <c r="H559" s="222">
        <f t="shared" si="24"/>
        <v>7</v>
      </c>
      <c r="I559" s="236"/>
      <c r="J559" s="236">
        <v>0.5</v>
      </c>
      <c r="K559" s="236">
        <f t="shared" si="25"/>
        <v>6.5</v>
      </c>
      <c r="L559" s="237">
        <f t="shared" si="26"/>
        <v>6.03</v>
      </c>
    </row>
    <row r="560" spans="1:12">
      <c r="A560" s="223" t="s">
        <v>4554</v>
      </c>
      <c r="B560" s="80" t="s">
        <v>4065</v>
      </c>
      <c r="C560" s="80" t="s">
        <v>4556</v>
      </c>
      <c r="D560" s="107" t="s">
        <v>4066</v>
      </c>
      <c r="E560" s="80">
        <v>1</v>
      </c>
      <c r="F560" s="133">
        <v>16.91</v>
      </c>
      <c r="G560" s="133">
        <v>18.600000000000001</v>
      </c>
      <c r="H560" s="222">
        <f t="shared" si="24"/>
        <v>18.600000000000001</v>
      </c>
      <c r="I560" s="236"/>
      <c r="J560" s="236">
        <v>0</v>
      </c>
      <c r="K560" s="236">
        <f t="shared" si="25"/>
        <v>18.600000000000001</v>
      </c>
      <c r="L560" s="237">
        <f t="shared" si="26"/>
        <v>16.91</v>
      </c>
    </row>
    <row r="561" spans="1:12">
      <c r="A561" s="223" t="s">
        <v>4554</v>
      </c>
      <c r="B561" s="80" t="s">
        <v>774</v>
      </c>
      <c r="C561" s="80" t="s">
        <v>4557</v>
      </c>
      <c r="D561" s="107" t="s">
        <v>775</v>
      </c>
      <c r="E561" s="80">
        <v>1</v>
      </c>
      <c r="F561" s="133">
        <v>129</v>
      </c>
      <c r="G561" s="133">
        <v>148.5</v>
      </c>
      <c r="H561" s="222">
        <f t="shared" si="24"/>
        <v>148.5</v>
      </c>
      <c r="I561" s="236"/>
      <c r="J561" s="236">
        <v>0</v>
      </c>
      <c r="K561" s="236">
        <f t="shared" si="25"/>
        <v>148.5</v>
      </c>
      <c r="L561" s="237">
        <f t="shared" si="26"/>
        <v>129</v>
      </c>
    </row>
    <row r="562" spans="1:12">
      <c r="A562" s="223" t="s">
        <v>4554</v>
      </c>
      <c r="B562" s="80" t="s">
        <v>774</v>
      </c>
      <c r="C562" s="80" t="s">
        <v>4558</v>
      </c>
      <c r="D562" s="107" t="s">
        <v>775</v>
      </c>
      <c r="E562" s="80">
        <v>1</v>
      </c>
      <c r="F562" s="133">
        <v>129</v>
      </c>
      <c r="G562" s="133">
        <v>148.5</v>
      </c>
      <c r="H562" s="222">
        <f t="shared" si="24"/>
        <v>148.5</v>
      </c>
      <c r="I562" s="236"/>
      <c r="J562" s="236">
        <v>0</v>
      </c>
      <c r="K562" s="236">
        <f t="shared" si="25"/>
        <v>148.5</v>
      </c>
      <c r="L562" s="237">
        <f t="shared" si="26"/>
        <v>129</v>
      </c>
    </row>
    <row r="563" spans="1:12">
      <c r="A563" s="223" t="s">
        <v>4554</v>
      </c>
      <c r="B563" s="80" t="s">
        <v>1570</v>
      </c>
      <c r="C563" s="80" t="s">
        <v>4559</v>
      </c>
      <c r="D563" s="107" t="s">
        <v>1571</v>
      </c>
      <c r="E563" s="80">
        <v>1</v>
      </c>
      <c r="F563" s="133">
        <v>18.5</v>
      </c>
      <c r="G563" s="133">
        <v>21.5</v>
      </c>
      <c r="H563" s="222">
        <f t="shared" si="24"/>
        <v>21.5</v>
      </c>
      <c r="I563" s="236"/>
      <c r="J563" s="236">
        <v>0</v>
      </c>
      <c r="K563" s="236">
        <f t="shared" si="25"/>
        <v>21.5</v>
      </c>
      <c r="L563" s="237">
        <f t="shared" si="26"/>
        <v>18.5</v>
      </c>
    </row>
    <row r="564" spans="1:12">
      <c r="A564" s="223" t="s">
        <v>4554</v>
      </c>
      <c r="B564" s="80" t="s">
        <v>1526</v>
      </c>
      <c r="C564" s="80" t="s">
        <v>4559</v>
      </c>
      <c r="D564" s="107" t="s">
        <v>1527</v>
      </c>
      <c r="E564" s="80">
        <v>1</v>
      </c>
      <c r="F564" s="133">
        <v>8.75</v>
      </c>
      <c r="G564" s="133">
        <v>10.25</v>
      </c>
      <c r="H564" s="222">
        <f t="shared" si="24"/>
        <v>10.25</v>
      </c>
      <c r="I564" s="236"/>
      <c r="J564" s="236">
        <v>0</v>
      </c>
      <c r="K564" s="236">
        <f t="shared" si="25"/>
        <v>10.25</v>
      </c>
      <c r="L564" s="237">
        <f t="shared" si="26"/>
        <v>8.75</v>
      </c>
    </row>
    <row r="565" spans="1:12">
      <c r="A565" s="223" t="s">
        <v>4554</v>
      </c>
      <c r="B565" s="80" t="s">
        <v>1587</v>
      </c>
      <c r="C565" s="80" t="s">
        <v>4559</v>
      </c>
      <c r="D565" s="107" t="s">
        <v>1588</v>
      </c>
      <c r="E565" s="80">
        <v>1</v>
      </c>
      <c r="F565" s="133">
        <v>20.55</v>
      </c>
      <c r="G565" s="133">
        <v>23.75</v>
      </c>
      <c r="H565" s="222">
        <f t="shared" si="24"/>
        <v>23.75</v>
      </c>
      <c r="I565" s="236"/>
      <c r="J565" s="236">
        <v>0</v>
      </c>
      <c r="K565" s="236">
        <f t="shared" si="25"/>
        <v>23.75</v>
      </c>
      <c r="L565" s="237">
        <f t="shared" si="26"/>
        <v>20.55</v>
      </c>
    </row>
    <row r="566" spans="1:12">
      <c r="A566" s="223" t="s">
        <v>4554</v>
      </c>
      <c r="B566" s="80" t="s">
        <v>3653</v>
      </c>
      <c r="C566" s="80" t="s">
        <v>4560</v>
      </c>
      <c r="D566" s="107" t="s">
        <v>3654</v>
      </c>
      <c r="E566" s="80">
        <v>1</v>
      </c>
      <c r="F566" s="133">
        <v>9.3800000000000008</v>
      </c>
      <c r="G566" s="133">
        <v>11</v>
      </c>
      <c r="H566" s="222">
        <f t="shared" si="24"/>
        <v>11</v>
      </c>
      <c r="I566" s="236"/>
      <c r="J566" s="236">
        <v>0</v>
      </c>
      <c r="K566" s="236">
        <f t="shared" si="25"/>
        <v>11</v>
      </c>
      <c r="L566" s="237">
        <f t="shared" si="26"/>
        <v>9.3800000000000008</v>
      </c>
    </row>
    <row r="567" spans="1:12">
      <c r="A567" s="223" t="s">
        <v>4554</v>
      </c>
      <c r="B567" s="80" t="s">
        <v>2017</v>
      </c>
      <c r="C567" s="80" t="s">
        <v>4561</v>
      </c>
      <c r="D567" s="107" t="s">
        <v>2018</v>
      </c>
      <c r="E567" s="80">
        <v>2</v>
      </c>
      <c r="F567" s="133">
        <v>6.02</v>
      </c>
      <c r="G567" s="133">
        <v>7.25</v>
      </c>
      <c r="H567" s="222">
        <f t="shared" si="24"/>
        <v>14.5</v>
      </c>
      <c r="I567" s="236"/>
      <c r="J567" s="236">
        <v>0</v>
      </c>
      <c r="K567" s="236">
        <f t="shared" si="25"/>
        <v>14.5</v>
      </c>
      <c r="L567" s="237">
        <f t="shared" si="26"/>
        <v>12.04</v>
      </c>
    </row>
    <row r="568" spans="1:12">
      <c r="A568" s="223" t="s">
        <v>4554</v>
      </c>
      <c r="B568" s="80" t="s">
        <v>2037</v>
      </c>
      <c r="C568" s="80" t="s">
        <v>4561</v>
      </c>
      <c r="D568" s="107" t="s">
        <v>2038</v>
      </c>
      <c r="E568" s="80">
        <v>6</v>
      </c>
      <c r="F568" s="133">
        <v>4.74</v>
      </c>
      <c r="G568" s="133">
        <v>5.5</v>
      </c>
      <c r="H568" s="222">
        <f t="shared" si="24"/>
        <v>33</v>
      </c>
      <c r="I568" s="236"/>
      <c r="J568" s="236">
        <v>0</v>
      </c>
      <c r="K568" s="236">
        <f t="shared" si="25"/>
        <v>33</v>
      </c>
      <c r="L568" s="237">
        <f t="shared" si="26"/>
        <v>28.44</v>
      </c>
    </row>
    <row r="569" spans="1:12">
      <c r="A569" s="223" t="s">
        <v>4554</v>
      </c>
      <c r="B569" s="80" t="s">
        <v>4065</v>
      </c>
      <c r="C569" s="80" t="s">
        <v>4562</v>
      </c>
      <c r="D569" s="107" t="s">
        <v>4066</v>
      </c>
      <c r="E569" s="80">
        <v>1</v>
      </c>
      <c r="F569" s="133">
        <v>16.91</v>
      </c>
      <c r="G569" s="133">
        <v>18.600000000000001</v>
      </c>
      <c r="H569" s="222">
        <f t="shared" si="24"/>
        <v>18.600000000000001</v>
      </c>
      <c r="I569" s="236"/>
      <c r="J569" s="236">
        <v>0</v>
      </c>
      <c r="K569" s="236">
        <f t="shared" si="25"/>
        <v>18.600000000000001</v>
      </c>
      <c r="L569" s="237">
        <f t="shared" si="26"/>
        <v>16.91</v>
      </c>
    </row>
    <row r="570" spans="1:12">
      <c r="A570" s="223" t="s">
        <v>4554</v>
      </c>
      <c r="B570" s="80" t="s">
        <v>1292</v>
      </c>
      <c r="C570" s="80" t="s">
        <v>4562</v>
      </c>
      <c r="D570" s="107" t="s">
        <v>1293</v>
      </c>
      <c r="E570" s="80">
        <v>2</v>
      </c>
      <c r="F570" s="133">
        <v>7.85</v>
      </c>
      <c r="G570" s="133">
        <v>12</v>
      </c>
      <c r="H570" s="222">
        <f t="shared" si="24"/>
        <v>24</v>
      </c>
      <c r="I570" s="236"/>
      <c r="J570" s="236">
        <v>0</v>
      </c>
      <c r="K570" s="236">
        <f t="shared" si="25"/>
        <v>24</v>
      </c>
      <c r="L570" s="237">
        <f t="shared" si="26"/>
        <v>15.7</v>
      </c>
    </row>
    <row r="571" spans="1:12">
      <c r="A571" s="223" t="s">
        <v>4554</v>
      </c>
      <c r="B571" s="80" t="s">
        <v>4065</v>
      </c>
      <c r="C571" s="80" t="s">
        <v>4563</v>
      </c>
      <c r="D571" s="107" t="s">
        <v>4066</v>
      </c>
      <c r="E571" s="80">
        <v>1</v>
      </c>
      <c r="F571" s="133">
        <v>16.91</v>
      </c>
      <c r="G571" s="133">
        <v>18.600000000000001</v>
      </c>
      <c r="H571" s="222">
        <f t="shared" si="24"/>
        <v>18.600000000000001</v>
      </c>
      <c r="I571" s="236"/>
      <c r="J571" s="236">
        <v>0</v>
      </c>
      <c r="K571" s="236">
        <f t="shared" si="25"/>
        <v>18.600000000000001</v>
      </c>
      <c r="L571" s="237">
        <f t="shared" si="26"/>
        <v>16.91</v>
      </c>
    </row>
    <row r="572" spans="1:12">
      <c r="A572" s="223" t="s">
        <v>4554</v>
      </c>
      <c r="B572" s="80" t="s">
        <v>1098</v>
      </c>
      <c r="C572" s="80" t="s">
        <v>4564</v>
      </c>
      <c r="D572" s="107" t="s">
        <v>1099</v>
      </c>
      <c r="E572" s="80">
        <v>1</v>
      </c>
      <c r="F572" s="133">
        <v>64</v>
      </c>
      <c r="G572" s="133">
        <v>73.5</v>
      </c>
      <c r="H572" s="222">
        <f t="shared" si="24"/>
        <v>73.5</v>
      </c>
      <c r="I572" s="236"/>
      <c r="J572" s="236">
        <v>0</v>
      </c>
      <c r="K572" s="236">
        <f t="shared" si="25"/>
        <v>73.5</v>
      </c>
      <c r="L572" s="237">
        <f t="shared" si="26"/>
        <v>64</v>
      </c>
    </row>
    <row r="573" spans="1:12">
      <c r="A573" s="223" t="s">
        <v>4554</v>
      </c>
      <c r="B573" s="80" t="s">
        <v>1311</v>
      </c>
      <c r="C573" s="80" t="s">
        <v>4564</v>
      </c>
      <c r="D573" s="107" t="s">
        <v>1312</v>
      </c>
      <c r="E573" s="80">
        <v>1</v>
      </c>
      <c r="F573" s="133">
        <v>8.1999999999999993</v>
      </c>
      <c r="G573" s="133">
        <v>9.5</v>
      </c>
      <c r="H573" s="222">
        <f t="shared" si="24"/>
        <v>9.5</v>
      </c>
      <c r="I573" s="236"/>
      <c r="J573" s="236">
        <v>0</v>
      </c>
      <c r="K573" s="236">
        <f t="shared" si="25"/>
        <v>9.5</v>
      </c>
      <c r="L573" s="237">
        <f t="shared" si="26"/>
        <v>8.1999999999999993</v>
      </c>
    </row>
    <row r="574" spans="1:12">
      <c r="A574" s="223" t="s">
        <v>4554</v>
      </c>
      <c r="B574" s="80" t="s">
        <v>3026</v>
      </c>
      <c r="C574" s="80" t="s">
        <v>4565</v>
      </c>
      <c r="D574" s="107" t="s">
        <v>3027</v>
      </c>
      <c r="E574" s="80">
        <v>3</v>
      </c>
      <c r="F574" s="133">
        <v>5.41</v>
      </c>
      <c r="G574" s="133">
        <v>6.25</v>
      </c>
      <c r="H574" s="222">
        <f t="shared" si="24"/>
        <v>18.75</v>
      </c>
      <c r="I574" s="236"/>
      <c r="J574" s="236">
        <v>0</v>
      </c>
      <c r="K574" s="236">
        <f t="shared" si="25"/>
        <v>18.75</v>
      </c>
      <c r="L574" s="237">
        <f t="shared" si="26"/>
        <v>16.23</v>
      </c>
    </row>
    <row r="575" spans="1:12">
      <c r="A575" s="223" t="s">
        <v>4554</v>
      </c>
      <c r="B575" s="80" t="s">
        <v>872</v>
      </c>
      <c r="C575" s="80" t="s">
        <v>4566</v>
      </c>
      <c r="D575" s="107" t="s">
        <v>873</v>
      </c>
      <c r="E575" s="80">
        <v>1</v>
      </c>
      <c r="F575" s="133">
        <v>23.9</v>
      </c>
      <c r="G575" s="133">
        <v>26.25</v>
      </c>
      <c r="H575" s="222">
        <f t="shared" si="24"/>
        <v>26.25</v>
      </c>
      <c r="I575" s="236"/>
      <c r="J575" s="236">
        <v>0</v>
      </c>
      <c r="K575" s="236">
        <f t="shared" si="25"/>
        <v>26.25</v>
      </c>
      <c r="L575" s="237">
        <f t="shared" si="26"/>
        <v>23.9</v>
      </c>
    </row>
    <row r="576" spans="1:12">
      <c r="A576" s="223" t="s">
        <v>4554</v>
      </c>
      <c r="B576" s="80" t="s">
        <v>3527</v>
      </c>
      <c r="C576" s="80" t="s">
        <v>4567</v>
      </c>
      <c r="D576" s="107" t="s">
        <v>3528</v>
      </c>
      <c r="E576" s="80">
        <v>1</v>
      </c>
      <c r="F576" s="133">
        <v>20.399999999999999</v>
      </c>
      <c r="G576" s="133">
        <v>23.5</v>
      </c>
      <c r="H576" s="222">
        <f t="shared" si="24"/>
        <v>23.5</v>
      </c>
      <c r="I576" s="236"/>
      <c r="J576" s="236">
        <v>0</v>
      </c>
      <c r="K576" s="236">
        <f t="shared" si="25"/>
        <v>23.5</v>
      </c>
      <c r="L576" s="237">
        <f t="shared" si="26"/>
        <v>20.399999999999999</v>
      </c>
    </row>
    <row r="577" spans="1:12">
      <c r="A577" s="223" t="s">
        <v>4554</v>
      </c>
      <c r="B577" s="80" t="s">
        <v>3511</v>
      </c>
      <c r="C577" s="80" t="s">
        <v>4567</v>
      </c>
      <c r="D577" s="107" t="s">
        <v>3512</v>
      </c>
      <c r="E577" s="80">
        <v>1</v>
      </c>
      <c r="F577" s="133">
        <v>9.2799999999999994</v>
      </c>
      <c r="G577" s="133">
        <v>10.75</v>
      </c>
      <c r="H577" s="222">
        <f t="shared" si="24"/>
        <v>10.75</v>
      </c>
      <c r="I577" s="236"/>
      <c r="J577" s="236">
        <v>0</v>
      </c>
      <c r="K577" s="236">
        <f t="shared" si="25"/>
        <v>10.75</v>
      </c>
      <c r="L577" s="237">
        <f t="shared" si="26"/>
        <v>9.2799999999999994</v>
      </c>
    </row>
    <row r="578" spans="1:12">
      <c r="A578" s="223" t="s">
        <v>4554</v>
      </c>
      <c r="B578" s="80" t="s">
        <v>809</v>
      </c>
      <c r="C578" s="80" t="s">
        <v>4567</v>
      </c>
      <c r="D578" s="107" t="s">
        <v>810</v>
      </c>
      <c r="E578" s="80">
        <v>1</v>
      </c>
      <c r="F578" s="133">
        <v>44.8</v>
      </c>
      <c r="G578" s="133">
        <v>51.75</v>
      </c>
      <c r="H578" s="222">
        <f t="shared" si="24"/>
        <v>51.75</v>
      </c>
      <c r="I578" s="236"/>
      <c r="J578" s="236">
        <v>0</v>
      </c>
      <c r="K578" s="236">
        <f t="shared" si="25"/>
        <v>51.75</v>
      </c>
      <c r="L578" s="237">
        <f t="shared" si="26"/>
        <v>44.8</v>
      </c>
    </row>
    <row r="579" spans="1:12">
      <c r="A579" s="223" t="s">
        <v>4554</v>
      </c>
      <c r="B579" s="80" t="s">
        <v>4423</v>
      </c>
      <c r="C579" s="80" t="s">
        <v>4567</v>
      </c>
      <c r="D579" s="107" t="s">
        <v>4425</v>
      </c>
      <c r="E579" s="80">
        <v>1</v>
      </c>
      <c r="F579" s="133">
        <v>6.4</v>
      </c>
      <c r="G579" s="133">
        <v>7.5</v>
      </c>
      <c r="H579" s="222">
        <f t="shared" si="24"/>
        <v>7.5</v>
      </c>
      <c r="I579" s="236"/>
      <c r="J579" s="236">
        <v>0</v>
      </c>
      <c r="K579" s="236">
        <f t="shared" si="25"/>
        <v>7.5</v>
      </c>
      <c r="L579" s="237">
        <f t="shared" si="26"/>
        <v>6.4</v>
      </c>
    </row>
    <row r="580" spans="1:12">
      <c r="A580" s="223" t="s">
        <v>4554</v>
      </c>
      <c r="B580" s="80" t="s">
        <v>1041</v>
      </c>
      <c r="C580" s="80" t="s">
        <v>4567</v>
      </c>
      <c r="D580" s="107" t="s">
        <v>1042</v>
      </c>
      <c r="E580" s="80">
        <v>1</v>
      </c>
      <c r="F580" s="133">
        <v>6.4</v>
      </c>
      <c r="G580" s="133">
        <v>7.5</v>
      </c>
      <c r="H580" s="222">
        <f t="shared" ref="H580:H643" si="27">E580*G580</f>
        <v>7.5</v>
      </c>
      <c r="I580" s="236"/>
      <c r="J580" s="236">
        <v>0</v>
      </c>
      <c r="K580" s="236">
        <f t="shared" si="25"/>
        <v>7.5</v>
      </c>
      <c r="L580" s="237">
        <f t="shared" si="26"/>
        <v>6.4</v>
      </c>
    </row>
    <row r="581" spans="1:12">
      <c r="A581" s="223" t="s">
        <v>4554</v>
      </c>
      <c r="B581" s="80" t="s">
        <v>2708</v>
      </c>
      <c r="C581" s="80" t="s">
        <v>4568</v>
      </c>
      <c r="D581" s="107" t="s">
        <v>2709</v>
      </c>
      <c r="E581" s="80">
        <v>1</v>
      </c>
      <c r="F581" s="133">
        <v>58</v>
      </c>
      <c r="G581" s="133">
        <v>67</v>
      </c>
      <c r="H581" s="222">
        <f t="shared" si="27"/>
        <v>67</v>
      </c>
      <c r="I581" s="236"/>
      <c r="J581" s="236">
        <v>0</v>
      </c>
      <c r="K581" s="236">
        <f t="shared" ref="K581:K644" si="28">H581+I581-J581</f>
        <v>67</v>
      </c>
      <c r="L581" s="237">
        <f t="shared" ref="L581:L644" si="29">E581*F581</f>
        <v>58</v>
      </c>
    </row>
    <row r="582" spans="1:12">
      <c r="A582" s="223" t="s">
        <v>4554</v>
      </c>
      <c r="B582" s="80" t="s">
        <v>3653</v>
      </c>
      <c r="C582" s="80" t="s">
        <v>4568</v>
      </c>
      <c r="D582" s="107" t="s">
        <v>3654</v>
      </c>
      <c r="E582" s="80">
        <v>1</v>
      </c>
      <c r="F582" s="133">
        <v>9.3800000000000008</v>
      </c>
      <c r="G582" s="133">
        <v>11</v>
      </c>
      <c r="H582" s="222">
        <f t="shared" si="27"/>
        <v>11</v>
      </c>
      <c r="I582" s="236"/>
      <c r="J582" s="236">
        <v>0</v>
      </c>
      <c r="K582" s="236">
        <f t="shared" si="28"/>
        <v>11</v>
      </c>
      <c r="L582" s="237">
        <f t="shared" si="29"/>
        <v>9.3800000000000008</v>
      </c>
    </row>
    <row r="583" spans="1:12">
      <c r="A583" s="223" t="s">
        <v>4554</v>
      </c>
      <c r="B583" s="80" t="s">
        <v>1122</v>
      </c>
      <c r="C583" s="80" t="s">
        <v>4569</v>
      </c>
      <c r="D583" s="107" t="s">
        <v>1123</v>
      </c>
      <c r="E583" s="80">
        <v>1</v>
      </c>
      <c r="F583" s="133">
        <v>6.67</v>
      </c>
      <c r="G583" s="133">
        <v>9.5</v>
      </c>
      <c r="H583" s="222">
        <f t="shared" si="27"/>
        <v>9.5</v>
      </c>
      <c r="I583" s="236"/>
      <c r="J583" s="236">
        <v>0</v>
      </c>
      <c r="K583" s="236">
        <f t="shared" si="28"/>
        <v>9.5</v>
      </c>
      <c r="L583" s="237">
        <f t="shared" si="29"/>
        <v>6.67</v>
      </c>
    </row>
    <row r="584" spans="1:12">
      <c r="A584" s="223" t="s">
        <v>4554</v>
      </c>
      <c r="B584" s="80" t="s">
        <v>4363</v>
      </c>
      <c r="C584" s="80" t="s">
        <v>4569</v>
      </c>
      <c r="D584" s="107" t="s">
        <v>4364</v>
      </c>
      <c r="E584" s="80">
        <v>1</v>
      </c>
      <c r="F584" s="133">
        <v>6.03</v>
      </c>
      <c r="G584" s="133">
        <v>7</v>
      </c>
      <c r="H584" s="222">
        <f t="shared" si="27"/>
        <v>7</v>
      </c>
      <c r="I584" s="236"/>
      <c r="J584" s="236">
        <v>0</v>
      </c>
      <c r="K584" s="236">
        <f t="shared" si="28"/>
        <v>7</v>
      </c>
      <c r="L584" s="237">
        <f t="shared" si="29"/>
        <v>6.03</v>
      </c>
    </row>
    <row r="585" spans="1:12">
      <c r="A585" s="223" t="s">
        <v>4554</v>
      </c>
      <c r="B585" s="80" t="s">
        <v>4501</v>
      </c>
      <c r="C585" s="80" t="s">
        <v>4570</v>
      </c>
      <c r="D585" s="107" t="s">
        <v>4073</v>
      </c>
      <c r="E585" s="80">
        <v>1</v>
      </c>
      <c r="F585" s="133">
        <v>6.03</v>
      </c>
      <c r="G585" s="133">
        <v>7</v>
      </c>
      <c r="H585" s="222">
        <f t="shared" si="27"/>
        <v>7</v>
      </c>
      <c r="I585" s="236"/>
      <c r="J585" s="236">
        <v>0</v>
      </c>
      <c r="K585" s="236">
        <f t="shared" si="28"/>
        <v>7</v>
      </c>
      <c r="L585" s="237">
        <f t="shared" si="29"/>
        <v>6.03</v>
      </c>
    </row>
    <row r="586" spans="1:12">
      <c r="A586" s="223" t="s">
        <v>4554</v>
      </c>
      <c r="B586" s="80" t="s">
        <v>1842</v>
      </c>
      <c r="C586" s="80" t="s">
        <v>4571</v>
      </c>
      <c r="D586" s="107" t="s">
        <v>1843</v>
      </c>
      <c r="E586" s="80">
        <v>1</v>
      </c>
      <c r="F586" s="133">
        <v>37.409999999999997</v>
      </c>
      <c r="G586" s="133">
        <v>43.25</v>
      </c>
      <c r="H586" s="222">
        <f t="shared" si="27"/>
        <v>43.25</v>
      </c>
      <c r="I586" s="236"/>
      <c r="J586" s="236">
        <v>0</v>
      </c>
      <c r="K586" s="236">
        <f t="shared" si="28"/>
        <v>43.25</v>
      </c>
      <c r="L586" s="237">
        <f t="shared" si="29"/>
        <v>37.409999999999997</v>
      </c>
    </row>
    <row r="587" spans="1:12">
      <c r="A587" s="223" t="s">
        <v>4554</v>
      </c>
      <c r="B587" s="80" t="s">
        <v>713</v>
      </c>
      <c r="C587" s="80" t="s">
        <v>4572</v>
      </c>
      <c r="D587" s="107" t="s">
        <v>714</v>
      </c>
      <c r="E587" s="80">
        <v>1</v>
      </c>
      <c r="F587" s="133">
        <v>31.6</v>
      </c>
      <c r="G587" s="133">
        <v>36.5</v>
      </c>
      <c r="H587" s="222">
        <f t="shared" si="27"/>
        <v>36.5</v>
      </c>
      <c r="I587" s="236"/>
      <c r="J587" s="236">
        <v>0</v>
      </c>
      <c r="K587" s="236">
        <f t="shared" si="28"/>
        <v>36.5</v>
      </c>
      <c r="L587" s="237">
        <f t="shared" si="29"/>
        <v>31.6</v>
      </c>
    </row>
    <row r="588" spans="1:12">
      <c r="A588" s="223" t="s">
        <v>4554</v>
      </c>
      <c r="B588" s="80" t="s">
        <v>2093</v>
      </c>
      <c r="C588" s="80" t="s">
        <v>4573</v>
      </c>
      <c r="D588" s="107" t="s">
        <v>2094</v>
      </c>
      <c r="E588" s="80">
        <v>1</v>
      </c>
      <c r="F588" s="133">
        <v>53.2</v>
      </c>
      <c r="G588" s="133">
        <v>61.25</v>
      </c>
      <c r="H588" s="222">
        <f t="shared" si="27"/>
        <v>61.25</v>
      </c>
      <c r="I588" s="236"/>
      <c r="J588" s="236">
        <v>0</v>
      </c>
      <c r="K588" s="236">
        <f t="shared" si="28"/>
        <v>61.25</v>
      </c>
      <c r="L588" s="237">
        <f t="shared" si="29"/>
        <v>53.2</v>
      </c>
    </row>
    <row r="589" spans="1:12">
      <c r="A589" s="223" t="s">
        <v>4554</v>
      </c>
      <c r="B589" s="80" t="s">
        <v>2017</v>
      </c>
      <c r="C589" s="80" t="s">
        <v>4573</v>
      </c>
      <c r="D589" s="107" t="s">
        <v>2018</v>
      </c>
      <c r="E589" s="80">
        <v>1</v>
      </c>
      <c r="F589" s="133">
        <v>6.02</v>
      </c>
      <c r="G589" s="133">
        <v>7.25</v>
      </c>
      <c r="H589" s="222">
        <f t="shared" si="27"/>
        <v>7.25</v>
      </c>
      <c r="I589" s="236"/>
      <c r="J589" s="236">
        <v>0</v>
      </c>
      <c r="K589" s="236">
        <f t="shared" si="28"/>
        <v>7.25</v>
      </c>
      <c r="L589" s="237">
        <f t="shared" si="29"/>
        <v>6.02</v>
      </c>
    </row>
    <row r="590" spans="1:12">
      <c r="A590" s="223" t="s">
        <v>4554</v>
      </c>
      <c r="B590" s="80" t="s">
        <v>2051</v>
      </c>
      <c r="C590" s="80" t="s">
        <v>4573</v>
      </c>
      <c r="D590" s="107" t="s">
        <v>2052</v>
      </c>
      <c r="E590" s="80">
        <v>1</v>
      </c>
      <c r="F590" s="133">
        <v>13.39</v>
      </c>
      <c r="G590" s="133">
        <v>15.5</v>
      </c>
      <c r="H590" s="222">
        <f t="shared" si="27"/>
        <v>15.5</v>
      </c>
      <c r="I590" s="236"/>
      <c r="J590" s="236">
        <v>0</v>
      </c>
      <c r="K590" s="236">
        <f t="shared" si="28"/>
        <v>15.5</v>
      </c>
      <c r="L590" s="237">
        <f t="shared" si="29"/>
        <v>13.39</v>
      </c>
    </row>
    <row r="591" spans="1:12">
      <c r="A591" s="223" t="s">
        <v>4554</v>
      </c>
      <c r="B591" s="80" t="s">
        <v>4363</v>
      </c>
      <c r="C591" s="80" t="s">
        <v>4574</v>
      </c>
      <c r="D591" s="107" t="s">
        <v>4364</v>
      </c>
      <c r="E591" s="80">
        <v>1</v>
      </c>
      <c r="F591" s="133">
        <v>6.03</v>
      </c>
      <c r="G591" s="133">
        <v>7</v>
      </c>
      <c r="H591" s="222">
        <f t="shared" si="27"/>
        <v>7</v>
      </c>
      <c r="I591" s="236"/>
      <c r="J591" s="236">
        <v>0</v>
      </c>
      <c r="K591" s="236">
        <f t="shared" si="28"/>
        <v>7</v>
      </c>
      <c r="L591" s="237">
        <f t="shared" si="29"/>
        <v>6.03</v>
      </c>
    </row>
    <row r="592" spans="1:12">
      <c r="A592" s="223" t="s">
        <v>4554</v>
      </c>
      <c r="B592" s="80" t="s">
        <v>2348</v>
      </c>
      <c r="C592" s="80" t="s">
        <v>4575</v>
      </c>
      <c r="D592" s="107" t="s">
        <v>2349</v>
      </c>
      <c r="E592" s="80">
        <v>1</v>
      </c>
      <c r="F592" s="133">
        <v>529.58000000000004</v>
      </c>
      <c r="G592" s="133">
        <v>615</v>
      </c>
      <c r="H592" s="222">
        <f t="shared" si="27"/>
        <v>615</v>
      </c>
      <c r="I592" s="236"/>
      <c r="J592" s="236">
        <v>0</v>
      </c>
      <c r="K592" s="236">
        <f t="shared" si="28"/>
        <v>615</v>
      </c>
      <c r="L592" s="237">
        <f t="shared" si="29"/>
        <v>529.58000000000004</v>
      </c>
    </row>
    <row r="593" spans="1:12">
      <c r="A593" s="223" t="s">
        <v>4554</v>
      </c>
      <c r="B593" s="80" t="s">
        <v>2642</v>
      </c>
      <c r="C593" s="80" t="s">
        <v>4575</v>
      </c>
      <c r="D593" s="107" t="s">
        <v>2643</v>
      </c>
      <c r="E593" s="80">
        <v>1</v>
      </c>
      <c r="F593" s="133">
        <v>302.13</v>
      </c>
      <c r="G593" s="133">
        <v>362.75</v>
      </c>
      <c r="H593" s="222">
        <f t="shared" si="27"/>
        <v>362.75</v>
      </c>
      <c r="I593" s="236"/>
      <c r="J593" s="236">
        <v>0</v>
      </c>
      <c r="K593" s="236">
        <f t="shared" si="28"/>
        <v>362.75</v>
      </c>
      <c r="L593" s="237">
        <f t="shared" si="29"/>
        <v>302.13</v>
      </c>
    </row>
    <row r="594" spans="1:12">
      <c r="A594" s="223" t="s">
        <v>4554</v>
      </c>
      <c r="B594" s="80" t="s">
        <v>3050</v>
      </c>
      <c r="C594" s="80" t="s">
        <v>4575</v>
      </c>
      <c r="D594" s="107" t="s">
        <v>3051</v>
      </c>
      <c r="E594" s="80">
        <v>24</v>
      </c>
      <c r="F594" s="133">
        <v>6.38</v>
      </c>
      <c r="G594" s="133">
        <v>7.5</v>
      </c>
      <c r="H594" s="222">
        <f t="shared" si="27"/>
        <v>180</v>
      </c>
      <c r="I594" s="236"/>
      <c r="J594" s="236">
        <v>0</v>
      </c>
      <c r="K594" s="236">
        <f t="shared" si="28"/>
        <v>180</v>
      </c>
      <c r="L594" s="237">
        <f t="shared" si="29"/>
        <v>153.12</v>
      </c>
    </row>
    <row r="595" spans="1:12">
      <c r="A595" s="223" t="s">
        <v>4554</v>
      </c>
      <c r="B595" s="80" t="s">
        <v>2898</v>
      </c>
      <c r="C595" s="80" t="s">
        <v>4575</v>
      </c>
      <c r="D595" s="107" t="s">
        <v>2899</v>
      </c>
      <c r="E595" s="80">
        <v>12</v>
      </c>
      <c r="F595" s="133">
        <v>6.12</v>
      </c>
      <c r="G595" s="133">
        <v>7.5</v>
      </c>
      <c r="H595" s="222">
        <f t="shared" si="27"/>
        <v>90</v>
      </c>
      <c r="I595" s="236"/>
      <c r="J595" s="236">
        <v>0</v>
      </c>
      <c r="K595" s="236">
        <f t="shared" si="28"/>
        <v>90</v>
      </c>
      <c r="L595" s="237">
        <f t="shared" si="29"/>
        <v>73.44</v>
      </c>
    </row>
    <row r="596" spans="1:12">
      <c r="A596" s="223" t="s">
        <v>4554</v>
      </c>
      <c r="B596" s="80" t="s">
        <v>2784</v>
      </c>
      <c r="C596" s="80" t="s">
        <v>4575</v>
      </c>
      <c r="D596" s="107" t="s">
        <v>2785</v>
      </c>
      <c r="E596" s="80">
        <v>5</v>
      </c>
      <c r="F596" s="133">
        <v>65</v>
      </c>
      <c r="G596" s="133">
        <v>75</v>
      </c>
      <c r="H596" s="222">
        <f t="shared" si="27"/>
        <v>375</v>
      </c>
      <c r="I596" s="236"/>
      <c r="J596" s="236">
        <v>0</v>
      </c>
      <c r="K596" s="236">
        <f t="shared" si="28"/>
        <v>375</v>
      </c>
      <c r="L596" s="237">
        <f t="shared" si="29"/>
        <v>325</v>
      </c>
    </row>
    <row r="597" spans="1:12">
      <c r="A597" s="223" t="s">
        <v>4554</v>
      </c>
      <c r="B597" s="80" t="s">
        <v>1357</v>
      </c>
      <c r="C597" s="80" t="s">
        <v>4575</v>
      </c>
      <c r="D597" s="107" t="s">
        <v>1358</v>
      </c>
      <c r="E597" s="80">
        <v>12</v>
      </c>
      <c r="F597" s="133">
        <v>12.56</v>
      </c>
      <c r="G597" s="133">
        <v>14.5</v>
      </c>
      <c r="H597" s="222">
        <f t="shared" si="27"/>
        <v>174</v>
      </c>
      <c r="I597" s="236"/>
      <c r="J597" s="236">
        <v>0</v>
      </c>
      <c r="K597" s="236">
        <f t="shared" si="28"/>
        <v>174</v>
      </c>
      <c r="L597" s="237">
        <f t="shared" si="29"/>
        <v>150.72</v>
      </c>
    </row>
    <row r="598" spans="1:12">
      <c r="A598" s="223" t="s">
        <v>4554</v>
      </c>
      <c r="B598" s="80" t="s">
        <v>1452</v>
      </c>
      <c r="C598" s="80" t="s">
        <v>4575</v>
      </c>
      <c r="D598" s="107" t="s">
        <v>1453</v>
      </c>
      <c r="E598" s="80">
        <v>1</v>
      </c>
      <c r="F598" s="133">
        <v>109.57</v>
      </c>
      <c r="G598" s="133">
        <v>136.5</v>
      </c>
      <c r="H598" s="222">
        <f t="shared" si="27"/>
        <v>136.5</v>
      </c>
      <c r="I598" s="236"/>
      <c r="J598" s="236">
        <v>0</v>
      </c>
      <c r="K598" s="236">
        <f t="shared" si="28"/>
        <v>136.5</v>
      </c>
      <c r="L598" s="237">
        <f t="shared" si="29"/>
        <v>109.57</v>
      </c>
    </row>
    <row r="599" spans="1:12">
      <c r="A599" s="223" t="s">
        <v>4554</v>
      </c>
      <c r="B599" s="80" t="s">
        <v>4103</v>
      </c>
      <c r="C599" s="80" t="s">
        <v>4575</v>
      </c>
      <c r="D599" s="107" t="s">
        <v>4104</v>
      </c>
      <c r="E599" s="80">
        <v>2</v>
      </c>
      <c r="F599" s="133">
        <v>118.16</v>
      </c>
      <c r="G599" s="133">
        <v>136</v>
      </c>
      <c r="H599" s="222">
        <f t="shared" si="27"/>
        <v>272</v>
      </c>
      <c r="I599" s="236"/>
      <c r="J599" s="236">
        <v>0</v>
      </c>
      <c r="K599" s="236">
        <f t="shared" si="28"/>
        <v>272</v>
      </c>
      <c r="L599" s="237">
        <f t="shared" si="29"/>
        <v>236.32</v>
      </c>
    </row>
    <row r="600" spans="1:12">
      <c r="A600" s="223" t="s">
        <v>4554</v>
      </c>
      <c r="B600" s="80" t="s">
        <v>1415</v>
      </c>
      <c r="C600" s="80" t="s">
        <v>4576</v>
      </c>
      <c r="D600" s="107" t="s">
        <v>1416</v>
      </c>
      <c r="E600" s="80">
        <v>1</v>
      </c>
      <c r="F600" s="133">
        <v>13.32</v>
      </c>
      <c r="G600" s="133">
        <v>15.5</v>
      </c>
      <c r="H600" s="222">
        <f t="shared" si="27"/>
        <v>15.5</v>
      </c>
      <c r="I600" s="236"/>
      <c r="J600" s="236">
        <v>0</v>
      </c>
      <c r="K600" s="236">
        <f t="shared" si="28"/>
        <v>15.5</v>
      </c>
      <c r="L600" s="237">
        <f t="shared" si="29"/>
        <v>13.32</v>
      </c>
    </row>
    <row r="601" spans="1:12">
      <c r="A601" s="223" t="s">
        <v>4554</v>
      </c>
      <c r="B601" s="80" t="s">
        <v>2015</v>
      </c>
      <c r="C601" s="80" t="s">
        <v>4577</v>
      </c>
      <c r="D601" s="107" t="s">
        <v>2016</v>
      </c>
      <c r="E601" s="80">
        <v>1</v>
      </c>
      <c r="F601" s="133">
        <v>301.87</v>
      </c>
      <c r="G601" s="133">
        <v>347.25</v>
      </c>
      <c r="H601" s="222">
        <f t="shared" si="27"/>
        <v>347.25</v>
      </c>
      <c r="I601" s="236"/>
      <c r="J601" s="236">
        <v>0</v>
      </c>
      <c r="K601" s="236">
        <f t="shared" si="28"/>
        <v>347.25</v>
      </c>
      <c r="L601" s="237">
        <f t="shared" si="29"/>
        <v>301.87</v>
      </c>
    </row>
    <row r="602" spans="1:12">
      <c r="A602" s="223" t="s">
        <v>4554</v>
      </c>
      <c r="B602" s="80" t="s">
        <v>2037</v>
      </c>
      <c r="C602" s="80" t="s">
        <v>4577</v>
      </c>
      <c r="D602" s="107" t="s">
        <v>2038</v>
      </c>
      <c r="E602" s="80">
        <v>16</v>
      </c>
      <c r="F602" s="133">
        <v>4.74</v>
      </c>
      <c r="G602" s="133">
        <v>5.5</v>
      </c>
      <c r="H602" s="222">
        <f t="shared" si="27"/>
        <v>88</v>
      </c>
      <c r="I602" s="236"/>
      <c r="J602" s="236">
        <v>0</v>
      </c>
      <c r="K602" s="236">
        <f t="shared" si="28"/>
        <v>88</v>
      </c>
      <c r="L602" s="237">
        <f t="shared" si="29"/>
        <v>75.84</v>
      </c>
    </row>
    <row r="603" spans="1:12">
      <c r="A603" s="223" t="s">
        <v>4554</v>
      </c>
      <c r="B603" s="80" t="s">
        <v>1752</v>
      </c>
      <c r="C603" s="80" t="s">
        <v>4577</v>
      </c>
      <c r="D603" s="107" t="s">
        <v>1753</v>
      </c>
      <c r="E603" s="80">
        <v>1</v>
      </c>
      <c r="F603" s="133">
        <v>132.80000000000001</v>
      </c>
      <c r="G603" s="133">
        <v>152.75</v>
      </c>
      <c r="H603" s="222">
        <f t="shared" si="27"/>
        <v>152.75</v>
      </c>
      <c r="I603" s="236"/>
      <c r="J603" s="236">
        <v>0</v>
      </c>
      <c r="K603" s="236">
        <f t="shared" si="28"/>
        <v>152.75</v>
      </c>
      <c r="L603" s="237">
        <f t="shared" si="29"/>
        <v>132.80000000000001</v>
      </c>
    </row>
    <row r="604" spans="1:12">
      <c r="A604" s="223" t="s">
        <v>4554</v>
      </c>
      <c r="B604" s="80" t="s">
        <v>1908</v>
      </c>
      <c r="C604" s="80" t="s">
        <v>4577</v>
      </c>
      <c r="D604" s="107" t="s">
        <v>1909</v>
      </c>
      <c r="E604" s="80">
        <v>1</v>
      </c>
      <c r="F604" s="133">
        <v>60.4</v>
      </c>
      <c r="G604" s="133">
        <v>70</v>
      </c>
      <c r="H604" s="222">
        <f t="shared" si="27"/>
        <v>70</v>
      </c>
      <c r="I604" s="236"/>
      <c r="J604" s="236">
        <v>0</v>
      </c>
      <c r="K604" s="236">
        <f t="shared" si="28"/>
        <v>70</v>
      </c>
      <c r="L604" s="237">
        <f t="shared" si="29"/>
        <v>60.4</v>
      </c>
    </row>
    <row r="605" spans="1:12">
      <c r="A605" s="223" t="s">
        <v>4554</v>
      </c>
      <c r="B605" s="80" t="s">
        <v>2073</v>
      </c>
      <c r="C605" s="80" t="s">
        <v>4577</v>
      </c>
      <c r="D605" s="107" t="s">
        <v>2074</v>
      </c>
      <c r="E605" s="80">
        <v>1</v>
      </c>
      <c r="F605" s="133">
        <v>67.290000000000006</v>
      </c>
      <c r="G605" s="133">
        <v>77.5</v>
      </c>
      <c r="H605" s="222">
        <f t="shared" si="27"/>
        <v>77.5</v>
      </c>
      <c r="I605" s="236"/>
      <c r="J605" s="236">
        <v>0</v>
      </c>
      <c r="K605" s="236">
        <f t="shared" si="28"/>
        <v>77.5</v>
      </c>
      <c r="L605" s="237">
        <f t="shared" si="29"/>
        <v>67.290000000000006</v>
      </c>
    </row>
    <row r="606" spans="1:12">
      <c r="A606" s="223" t="s">
        <v>4554</v>
      </c>
      <c r="B606" s="80" t="s">
        <v>2075</v>
      </c>
      <c r="C606" s="80" t="s">
        <v>4577</v>
      </c>
      <c r="D606" s="107" t="s">
        <v>2076</v>
      </c>
      <c r="E606" s="80">
        <v>1</v>
      </c>
      <c r="F606" s="133">
        <v>64.489999999999995</v>
      </c>
      <c r="G606" s="133">
        <v>74.25</v>
      </c>
      <c r="H606" s="222">
        <f t="shared" si="27"/>
        <v>74.25</v>
      </c>
      <c r="I606" s="236"/>
      <c r="J606" s="236">
        <v>0</v>
      </c>
      <c r="K606" s="236">
        <f t="shared" si="28"/>
        <v>74.25</v>
      </c>
      <c r="L606" s="237">
        <f t="shared" si="29"/>
        <v>64.489999999999995</v>
      </c>
    </row>
    <row r="607" spans="1:12">
      <c r="A607" s="223" t="s">
        <v>4554</v>
      </c>
      <c r="B607" s="80" t="s">
        <v>1491</v>
      </c>
      <c r="C607" s="80" t="s">
        <v>4577</v>
      </c>
      <c r="D607" s="107" t="s">
        <v>1492</v>
      </c>
      <c r="E607" s="80">
        <v>1</v>
      </c>
      <c r="F607" s="133">
        <v>140</v>
      </c>
      <c r="G607" s="133">
        <v>161</v>
      </c>
      <c r="H607" s="222">
        <f t="shared" si="27"/>
        <v>161</v>
      </c>
      <c r="I607" s="236"/>
      <c r="J607" s="236">
        <v>0</v>
      </c>
      <c r="K607" s="236">
        <f t="shared" si="28"/>
        <v>161</v>
      </c>
      <c r="L607" s="237">
        <f t="shared" si="29"/>
        <v>140</v>
      </c>
    </row>
    <row r="608" spans="1:12">
      <c r="A608" s="223" t="s">
        <v>4554</v>
      </c>
      <c r="B608" s="80" t="s">
        <v>2007</v>
      </c>
      <c r="C608" s="80" t="s">
        <v>4577</v>
      </c>
      <c r="D608" s="107" t="s">
        <v>2008</v>
      </c>
      <c r="E608" s="80">
        <v>3</v>
      </c>
      <c r="F608" s="133">
        <v>51.97</v>
      </c>
      <c r="G608" s="133">
        <v>60</v>
      </c>
      <c r="H608" s="222">
        <f t="shared" si="27"/>
        <v>180</v>
      </c>
      <c r="I608" s="236"/>
      <c r="J608" s="236">
        <v>0</v>
      </c>
      <c r="K608" s="236">
        <f t="shared" si="28"/>
        <v>180</v>
      </c>
      <c r="L608" s="237">
        <f t="shared" si="29"/>
        <v>155.91</v>
      </c>
    </row>
    <row r="609" spans="1:12">
      <c r="A609" s="223" t="s">
        <v>4554</v>
      </c>
      <c r="B609" s="80" t="s">
        <v>2126</v>
      </c>
      <c r="C609" s="80" t="s">
        <v>4577</v>
      </c>
      <c r="D609" s="107" t="s">
        <v>2127</v>
      </c>
      <c r="E609" s="80">
        <v>1</v>
      </c>
      <c r="F609" s="133">
        <v>17.899999999999999</v>
      </c>
      <c r="G609" s="133">
        <v>20.75</v>
      </c>
      <c r="H609" s="222">
        <f t="shared" si="27"/>
        <v>20.75</v>
      </c>
      <c r="I609" s="236"/>
      <c r="J609" s="236">
        <v>0</v>
      </c>
      <c r="K609" s="236">
        <f t="shared" si="28"/>
        <v>20.75</v>
      </c>
      <c r="L609" s="237">
        <f t="shared" si="29"/>
        <v>17.899999999999999</v>
      </c>
    </row>
    <row r="610" spans="1:12">
      <c r="A610" s="223" t="s">
        <v>4554</v>
      </c>
      <c r="B610" s="80" t="s">
        <v>1732</v>
      </c>
      <c r="C610" s="80" t="s">
        <v>4577</v>
      </c>
      <c r="D610" s="107" t="s">
        <v>1733</v>
      </c>
      <c r="E610" s="80">
        <v>1</v>
      </c>
      <c r="F610" s="133">
        <v>53.81</v>
      </c>
      <c r="G610" s="133">
        <v>62</v>
      </c>
      <c r="H610" s="222">
        <f t="shared" si="27"/>
        <v>62</v>
      </c>
      <c r="I610" s="236"/>
      <c r="J610" s="236">
        <v>0</v>
      </c>
      <c r="K610" s="236">
        <f t="shared" si="28"/>
        <v>62</v>
      </c>
      <c r="L610" s="237">
        <f t="shared" si="29"/>
        <v>53.81</v>
      </c>
    </row>
    <row r="611" spans="1:12">
      <c r="A611" s="223" t="s">
        <v>4554</v>
      </c>
      <c r="B611" s="80" t="s">
        <v>2019</v>
      </c>
      <c r="C611" s="80" t="s">
        <v>4577</v>
      </c>
      <c r="D611" s="107" t="s">
        <v>2020</v>
      </c>
      <c r="E611" s="80">
        <v>24</v>
      </c>
      <c r="F611" s="133">
        <v>6.02</v>
      </c>
      <c r="G611" s="133">
        <v>7.25</v>
      </c>
      <c r="H611" s="222">
        <f t="shared" si="27"/>
        <v>174</v>
      </c>
      <c r="I611" s="236"/>
      <c r="J611" s="236">
        <v>0</v>
      </c>
      <c r="K611" s="236">
        <f t="shared" si="28"/>
        <v>174</v>
      </c>
      <c r="L611" s="237">
        <f t="shared" si="29"/>
        <v>144.47999999999999</v>
      </c>
    </row>
    <row r="612" spans="1:12">
      <c r="A612" s="223" t="s">
        <v>4554</v>
      </c>
      <c r="B612" s="80" t="s">
        <v>1997</v>
      </c>
      <c r="C612" s="80" t="s">
        <v>4577</v>
      </c>
      <c r="D612" s="107" t="s">
        <v>1998</v>
      </c>
      <c r="E612" s="80">
        <v>24</v>
      </c>
      <c r="F612" s="133">
        <v>6.02</v>
      </c>
      <c r="G612" s="133">
        <v>7.25</v>
      </c>
      <c r="H612" s="222">
        <f t="shared" si="27"/>
        <v>174</v>
      </c>
      <c r="I612" s="236"/>
      <c r="J612" s="236">
        <v>0</v>
      </c>
      <c r="K612" s="236">
        <f t="shared" si="28"/>
        <v>174</v>
      </c>
      <c r="L612" s="237">
        <f t="shared" si="29"/>
        <v>144.47999999999999</v>
      </c>
    </row>
    <row r="613" spans="1:12">
      <c r="A613" s="223" t="s">
        <v>4554</v>
      </c>
      <c r="B613" s="80" t="s">
        <v>2017</v>
      </c>
      <c r="C613" s="80" t="s">
        <v>4577</v>
      </c>
      <c r="D613" s="107" t="s">
        <v>2018</v>
      </c>
      <c r="E613" s="80">
        <v>24</v>
      </c>
      <c r="F613" s="133">
        <v>6.02</v>
      </c>
      <c r="G613" s="133">
        <v>7.25</v>
      </c>
      <c r="H613" s="222">
        <f t="shared" si="27"/>
        <v>174</v>
      </c>
      <c r="I613" s="236"/>
      <c r="J613" s="236">
        <v>0</v>
      </c>
      <c r="K613" s="236">
        <f t="shared" si="28"/>
        <v>174</v>
      </c>
      <c r="L613" s="237">
        <f t="shared" si="29"/>
        <v>144.47999999999999</v>
      </c>
    </row>
    <row r="614" spans="1:12">
      <c r="A614" s="223">
        <v>46189</v>
      </c>
      <c r="B614" s="80" t="s">
        <v>1353</v>
      </c>
      <c r="C614" s="80" t="s">
        <v>4578</v>
      </c>
      <c r="D614" s="107" t="s">
        <v>1354</v>
      </c>
      <c r="E614" s="80">
        <v>5</v>
      </c>
      <c r="F614" s="133">
        <v>12.66</v>
      </c>
      <c r="G614" s="133">
        <v>14.25</v>
      </c>
      <c r="H614" s="222">
        <f t="shared" si="27"/>
        <v>71.25</v>
      </c>
      <c r="I614" s="236"/>
      <c r="J614" s="236">
        <v>0</v>
      </c>
      <c r="K614" s="236">
        <f t="shared" si="28"/>
        <v>71.25</v>
      </c>
      <c r="L614" s="237">
        <f t="shared" si="29"/>
        <v>63.3</v>
      </c>
    </row>
    <row r="615" spans="1:12">
      <c r="A615" s="223">
        <v>46189</v>
      </c>
      <c r="B615" s="80" t="s">
        <v>1429</v>
      </c>
      <c r="C615" s="80" t="s">
        <v>4578</v>
      </c>
      <c r="D615" s="107" t="s">
        <v>1430</v>
      </c>
      <c r="E615" s="80">
        <v>2</v>
      </c>
      <c r="F615" s="133">
        <v>18.57</v>
      </c>
      <c r="G615" s="133">
        <v>21.5</v>
      </c>
      <c r="H615" s="222">
        <f t="shared" si="27"/>
        <v>43</v>
      </c>
      <c r="I615" s="236"/>
      <c r="J615" s="236">
        <v>0</v>
      </c>
      <c r="K615" s="236">
        <f t="shared" si="28"/>
        <v>43</v>
      </c>
      <c r="L615" s="237">
        <f t="shared" si="29"/>
        <v>37.14</v>
      </c>
    </row>
    <row r="616" spans="1:12">
      <c r="A616" s="223">
        <v>46189</v>
      </c>
      <c r="B616" s="80" t="s">
        <v>1329</v>
      </c>
      <c r="C616" s="80" t="s">
        <v>4578</v>
      </c>
      <c r="D616" s="107" t="s">
        <v>1330</v>
      </c>
      <c r="E616" s="80">
        <v>2</v>
      </c>
      <c r="F616" s="133">
        <v>24.86</v>
      </c>
      <c r="G616" s="133">
        <v>28.75</v>
      </c>
      <c r="H616" s="222">
        <f t="shared" si="27"/>
        <v>57.5</v>
      </c>
      <c r="I616" s="236"/>
      <c r="J616" s="236">
        <v>0</v>
      </c>
      <c r="K616" s="236">
        <f t="shared" si="28"/>
        <v>57.5</v>
      </c>
      <c r="L616" s="237">
        <f t="shared" si="29"/>
        <v>49.72</v>
      </c>
    </row>
    <row r="617" spans="1:12">
      <c r="A617" s="223">
        <v>46189</v>
      </c>
      <c r="B617" s="80" t="s">
        <v>1563</v>
      </c>
      <c r="C617" s="80" t="s">
        <v>4578</v>
      </c>
      <c r="D617" s="107" t="s">
        <v>1564</v>
      </c>
      <c r="E617" s="80">
        <v>2</v>
      </c>
      <c r="F617" s="133">
        <v>14.25</v>
      </c>
      <c r="G617" s="133">
        <v>16.5</v>
      </c>
      <c r="H617" s="222">
        <f t="shared" si="27"/>
        <v>33</v>
      </c>
      <c r="I617" s="236"/>
      <c r="J617" s="236">
        <v>0</v>
      </c>
      <c r="K617" s="236">
        <f t="shared" si="28"/>
        <v>33</v>
      </c>
      <c r="L617" s="237">
        <f t="shared" si="29"/>
        <v>28.5</v>
      </c>
    </row>
    <row r="618" spans="1:12">
      <c r="A618" s="223">
        <v>46189</v>
      </c>
      <c r="B618" s="80" t="s">
        <v>3398</v>
      </c>
      <c r="C618" s="80" t="s">
        <v>4579</v>
      </c>
      <c r="D618" s="107" t="s">
        <v>3399</v>
      </c>
      <c r="E618" s="80">
        <v>1</v>
      </c>
      <c r="F618" s="133">
        <v>90</v>
      </c>
      <c r="G618" s="133">
        <v>120</v>
      </c>
      <c r="H618" s="222">
        <f t="shared" si="27"/>
        <v>120</v>
      </c>
      <c r="I618" s="236"/>
      <c r="J618" s="236">
        <v>20</v>
      </c>
      <c r="K618" s="236">
        <f t="shared" si="28"/>
        <v>100</v>
      </c>
      <c r="L618" s="237">
        <f t="shared" si="29"/>
        <v>90</v>
      </c>
    </row>
    <row r="619" spans="1:12">
      <c r="A619" s="223">
        <v>46189</v>
      </c>
      <c r="B619" s="80" t="s">
        <v>4071</v>
      </c>
      <c r="C619" s="80" t="s">
        <v>4580</v>
      </c>
      <c r="D619" s="107" t="s">
        <v>4072</v>
      </c>
      <c r="E619" s="80">
        <v>1</v>
      </c>
      <c r="F619" s="133">
        <v>6.03</v>
      </c>
      <c r="G619" s="133">
        <v>7</v>
      </c>
      <c r="H619" s="222">
        <f t="shared" si="27"/>
        <v>7</v>
      </c>
      <c r="I619" s="236"/>
      <c r="J619" s="236">
        <v>0</v>
      </c>
      <c r="K619" s="236">
        <f t="shared" si="28"/>
        <v>7</v>
      </c>
      <c r="L619" s="237">
        <f t="shared" si="29"/>
        <v>6.03</v>
      </c>
    </row>
    <row r="620" spans="1:12">
      <c r="A620" s="223">
        <v>46189</v>
      </c>
      <c r="B620" s="80" t="s">
        <v>2805</v>
      </c>
      <c r="C620" s="80" t="s">
        <v>4581</v>
      </c>
      <c r="D620" s="107" t="s">
        <v>2806</v>
      </c>
      <c r="E620" s="80">
        <v>6</v>
      </c>
      <c r="F620" s="133">
        <v>14.91</v>
      </c>
      <c r="G620" s="133">
        <v>17.25</v>
      </c>
      <c r="H620" s="222">
        <f t="shared" si="27"/>
        <v>103.5</v>
      </c>
      <c r="I620" s="236"/>
      <c r="J620" s="236">
        <v>0</v>
      </c>
      <c r="K620" s="236">
        <f t="shared" si="28"/>
        <v>103.5</v>
      </c>
      <c r="L620" s="237">
        <f t="shared" si="29"/>
        <v>89.460000000000008</v>
      </c>
    </row>
    <row r="621" spans="1:12">
      <c r="A621" s="223">
        <v>46189</v>
      </c>
      <c r="B621" s="80" t="s">
        <v>2684</v>
      </c>
      <c r="C621" s="80" t="s">
        <v>4581</v>
      </c>
      <c r="D621" s="107" t="s">
        <v>2685</v>
      </c>
      <c r="E621" s="80">
        <v>6</v>
      </c>
      <c r="F621" s="133">
        <v>5.92</v>
      </c>
      <c r="G621" s="133">
        <v>6.75</v>
      </c>
      <c r="H621" s="222">
        <f t="shared" si="27"/>
        <v>40.5</v>
      </c>
      <c r="I621" s="236"/>
      <c r="J621" s="236">
        <v>0</v>
      </c>
      <c r="K621" s="236">
        <f t="shared" si="28"/>
        <v>40.5</v>
      </c>
      <c r="L621" s="237">
        <f t="shared" si="29"/>
        <v>35.519999999999996</v>
      </c>
    </row>
    <row r="622" spans="1:12">
      <c r="A622" s="223">
        <v>46189</v>
      </c>
      <c r="B622" s="80" t="s">
        <v>1524</v>
      </c>
      <c r="C622" s="80" t="s">
        <v>4582</v>
      </c>
      <c r="D622" s="107" t="s">
        <v>1525</v>
      </c>
      <c r="E622" s="80">
        <v>8</v>
      </c>
      <c r="F622" s="133">
        <v>30.83</v>
      </c>
      <c r="G622" s="133">
        <v>35.5</v>
      </c>
      <c r="H622" s="222">
        <f t="shared" si="27"/>
        <v>284</v>
      </c>
      <c r="I622" s="236"/>
      <c r="J622" s="236">
        <v>0</v>
      </c>
      <c r="K622" s="236">
        <f t="shared" si="28"/>
        <v>284</v>
      </c>
      <c r="L622" s="237">
        <f t="shared" si="29"/>
        <v>246.64</v>
      </c>
    </row>
    <row r="623" spans="1:12">
      <c r="A623" s="223">
        <v>46189</v>
      </c>
      <c r="B623" s="80" t="s">
        <v>1732</v>
      </c>
      <c r="C623" s="80" t="s">
        <v>4582</v>
      </c>
      <c r="D623" s="107" t="s">
        <v>1733</v>
      </c>
      <c r="E623" s="80">
        <v>2</v>
      </c>
      <c r="F623" s="133">
        <v>53.81</v>
      </c>
      <c r="G623" s="133">
        <v>62</v>
      </c>
      <c r="H623" s="222">
        <f t="shared" si="27"/>
        <v>124</v>
      </c>
      <c r="I623" s="236"/>
      <c r="J623" s="236">
        <v>0</v>
      </c>
      <c r="K623" s="236">
        <f t="shared" si="28"/>
        <v>124</v>
      </c>
      <c r="L623" s="237">
        <f t="shared" si="29"/>
        <v>107.62</v>
      </c>
    </row>
    <row r="624" spans="1:12">
      <c r="A624" s="223">
        <v>46189</v>
      </c>
      <c r="B624" s="80" t="s">
        <v>1497</v>
      </c>
      <c r="C624" s="80" t="s">
        <v>4582</v>
      </c>
      <c r="D624" s="107" t="s">
        <v>1498</v>
      </c>
      <c r="E624" s="80">
        <v>5</v>
      </c>
      <c r="F624" s="133">
        <v>48.6</v>
      </c>
      <c r="G624" s="133">
        <v>56</v>
      </c>
      <c r="H624" s="222">
        <f t="shared" si="27"/>
        <v>280</v>
      </c>
      <c r="I624" s="236"/>
      <c r="J624" s="236">
        <v>0</v>
      </c>
      <c r="K624" s="236">
        <f t="shared" si="28"/>
        <v>280</v>
      </c>
      <c r="L624" s="237">
        <f t="shared" si="29"/>
        <v>243</v>
      </c>
    </row>
    <row r="625" spans="1:12">
      <c r="A625" s="223">
        <v>46189</v>
      </c>
      <c r="B625" s="80" t="s">
        <v>2051</v>
      </c>
      <c r="C625" s="80" t="s">
        <v>4582</v>
      </c>
      <c r="D625" s="107" t="s">
        <v>2052</v>
      </c>
      <c r="E625" s="80">
        <v>12</v>
      </c>
      <c r="F625" s="133">
        <v>13.39</v>
      </c>
      <c r="G625" s="133">
        <v>15.5</v>
      </c>
      <c r="H625" s="222">
        <f t="shared" si="27"/>
        <v>186</v>
      </c>
      <c r="I625" s="236"/>
      <c r="J625" s="236">
        <v>0</v>
      </c>
      <c r="K625" s="236">
        <f t="shared" si="28"/>
        <v>186</v>
      </c>
      <c r="L625" s="237">
        <f t="shared" si="29"/>
        <v>160.68</v>
      </c>
    </row>
    <row r="626" spans="1:12">
      <c r="A626" s="223">
        <v>46189</v>
      </c>
      <c r="B626" s="80" t="s">
        <v>2041</v>
      </c>
      <c r="C626" s="80" t="s">
        <v>4582</v>
      </c>
      <c r="D626" s="107" t="s">
        <v>2042</v>
      </c>
      <c r="E626" s="80">
        <v>2</v>
      </c>
      <c r="F626" s="133">
        <v>20.8</v>
      </c>
      <c r="G626" s="133">
        <v>24</v>
      </c>
      <c r="H626" s="222">
        <f t="shared" si="27"/>
        <v>48</v>
      </c>
      <c r="I626" s="236"/>
      <c r="J626" s="236">
        <v>0</v>
      </c>
      <c r="K626" s="236">
        <f t="shared" si="28"/>
        <v>48</v>
      </c>
      <c r="L626" s="237">
        <f t="shared" si="29"/>
        <v>41.6</v>
      </c>
    </row>
    <row r="627" spans="1:12">
      <c r="A627" s="223">
        <v>46189</v>
      </c>
      <c r="B627" s="80" t="s">
        <v>1993</v>
      </c>
      <c r="C627" s="80" t="s">
        <v>4582</v>
      </c>
      <c r="D627" s="107" t="s">
        <v>1994</v>
      </c>
      <c r="E627" s="80">
        <v>6</v>
      </c>
      <c r="F627" s="133">
        <v>6.02</v>
      </c>
      <c r="G627" s="133">
        <v>7.25</v>
      </c>
      <c r="H627" s="222">
        <f t="shared" si="27"/>
        <v>43.5</v>
      </c>
      <c r="I627" s="236"/>
      <c r="J627" s="236">
        <v>0</v>
      </c>
      <c r="K627" s="236">
        <f t="shared" si="28"/>
        <v>43.5</v>
      </c>
      <c r="L627" s="237">
        <f t="shared" si="29"/>
        <v>36.119999999999997</v>
      </c>
    </row>
    <row r="628" spans="1:12">
      <c r="A628" s="223">
        <v>46189</v>
      </c>
      <c r="B628" s="80" t="s">
        <v>2093</v>
      </c>
      <c r="C628" s="80" t="s">
        <v>4582</v>
      </c>
      <c r="D628" s="107" t="s">
        <v>2094</v>
      </c>
      <c r="E628" s="80">
        <v>1</v>
      </c>
      <c r="F628" s="133">
        <v>53.2</v>
      </c>
      <c r="G628" s="133">
        <v>61.25</v>
      </c>
      <c r="H628" s="222">
        <f t="shared" si="27"/>
        <v>61.25</v>
      </c>
      <c r="I628" s="236"/>
      <c r="J628" s="236">
        <v>0</v>
      </c>
      <c r="K628" s="236">
        <f t="shared" si="28"/>
        <v>61.25</v>
      </c>
      <c r="L628" s="237">
        <f t="shared" si="29"/>
        <v>53.2</v>
      </c>
    </row>
    <row r="629" spans="1:12">
      <c r="A629" s="223">
        <v>46189</v>
      </c>
      <c r="B629" s="80" t="s">
        <v>4071</v>
      </c>
      <c r="C629" s="80" t="s">
        <v>4583</v>
      </c>
      <c r="D629" s="107" t="s">
        <v>4072</v>
      </c>
      <c r="E629" s="80">
        <v>1</v>
      </c>
      <c r="F629" s="133">
        <v>6.03</v>
      </c>
      <c r="G629" s="133">
        <v>7</v>
      </c>
      <c r="H629" s="222">
        <f t="shared" si="27"/>
        <v>7</v>
      </c>
      <c r="I629" s="236"/>
      <c r="J629" s="236">
        <v>0</v>
      </c>
      <c r="K629" s="236">
        <f t="shared" si="28"/>
        <v>7</v>
      </c>
      <c r="L629" s="237">
        <f t="shared" si="29"/>
        <v>6.03</v>
      </c>
    </row>
    <row r="630" spans="1:12">
      <c r="A630" s="223">
        <v>46189</v>
      </c>
      <c r="B630" s="80" t="s">
        <v>3050</v>
      </c>
      <c r="C630" s="80" t="s">
        <v>4584</v>
      </c>
      <c r="D630" s="107" t="s">
        <v>3051</v>
      </c>
      <c r="E630" s="80">
        <v>6</v>
      </c>
      <c r="F630" s="133">
        <v>6.38</v>
      </c>
      <c r="G630" s="133">
        <v>7.5</v>
      </c>
      <c r="H630" s="222">
        <f t="shared" si="27"/>
        <v>45</v>
      </c>
      <c r="I630" s="236"/>
      <c r="J630" s="236">
        <v>0</v>
      </c>
      <c r="K630" s="236">
        <f t="shared" si="28"/>
        <v>45</v>
      </c>
      <c r="L630" s="237">
        <f t="shared" si="29"/>
        <v>38.28</v>
      </c>
    </row>
    <row r="631" spans="1:12">
      <c r="A631" s="223">
        <v>46189</v>
      </c>
      <c r="B631" s="80" t="s">
        <v>3109</v>
      </c>
      <c r="C631" s="80" t="s">
        <v>4584</v>
      </c>
      <c r="D631" s="107" t="s">
        <v>3110</v>
      </c>
      <c r="E631" s="80">
        <v>1</v>
      </c>
      <c r="F631" s="133">
        <v>23.15</v>
      </c>
      <c r="G631" s="133">
        <v>27</v>
      </c>
      <c r="H631" s="222">
        <f t="shared" si="27"/>
        <v>27</v>
      </c>
      <c r="I631" s="236"/>
      <c r="J631" s="236">
        <v>0</v>
      </c>
      <c r="K631" s="236">
        <f t="shared" si="28"/>
        <v>27</v>
      </c>
      <c r="L631" s="237">
        <f t="shared" si="29"/>
        <v>23.15</v>
      </c>
    </row>
    <row r="632" spans="1:12">
      <c r="A632" s="223">
        <v>46189</v>
      </c>
      <c r="B632" s="80" t="s">
        <v>1443</v>
      </c>
      <c r="C632" s="80" t="s">
        <v>4585</v>
      </c>
      <c r="D632" s="107" t="s">
        <v>1444</v>
      </c>
      <c r="E632" s="80">
        <v>2</v>
      </c>
      <c r="F632" s="133">
        <v>10.64</v>
      </c>
      <c r="G632" s="133">
        <v>12.25</v>
      </c>
      <c r="H632" s="222">
        <f t="shared" si="27"/>
        <v>24.5</v>
      </c>
      <c r="I632" s="236"/>
      <c r="J632" s="236">
        <v>0</v>
      </c>
      <c r="K632" s="236">
        <f t="shared" si="28"/>
        <v>24.5</v>
      </c>
      <c r="L632" s="237">
        <f t="shared" si="29"/>
        <v>21.28</v>
      </c>
    </row>
    <row r="633" spans="1:12">
      <c r="A633" s="223">
        <v>46189</v>
      </c>
      <c r="B633" s="80" t="s">
        <v>4099</v>
      </c>
      <c r="C633" s="80" t="s">
        <v>4586</v>
      </c>
      <c r="D633" s="107" t="s">
        <v>4100</v>
      </c>
      <c r="E633" s="80">
        <v>1</v>
      </c>
      <c r="F633" s="133">
        <v>13.12</v>
      </c>
      <c r="G633" s="133">
        <v>15.25</v>
      </c>
      <c r="H633" s="222">
        <f t="shared" si="27"/>
        <v>15.25</v>
      </c>
      <c r="I633" s="236"/>
      <c r="J633" s="236">
        <v>0</v>
      </c>
      <c r="K633" s="236">
        <f t="shared" si="28"/>
        <v>15.25</v>
      </c>
      <c r="L633" s="237">
        <f t="shared" si="29"/>
        <v>13.12</v>
      </c>
    </row>
    <row r="634" spans="1:12">
      <c r="A634" s="223">
        <v>46189</v>
      </c>
      <c r="B634" s="80" t="s">
        <v>4065</v>
      </c>
      <c r="C634" s="80" t="s">
        <v>4586</v>
      </c>
      <c r="D634" s="107" t="s">
        <v>4066</v>
      </c>
      <c r="E634" s="80">
        <v>1</v>
      </c>
      <c r="F634" s="133">
        <v>16.91</v>
      </c>
      <c r="G634" s="133">
        <v>18.600000000000001</v>
      </c>
      <c r="H634" s="222">
        <f t="shared" si="27"/>
        <v>18.600000000000001</v>
      </c>
      <c r="I634" s="236"/>
      <c r="J634" s="236">
        <v>0</v>
      </c>
      <c r="K634" s="236">
        <f t="shared" si="28"/>
        <v>18.600000000000001</v>
      </c>
      <c r="L634" s="237">
        <f t="shared" si="29"/>
        <v>16.91</v>
      </c>
    </row>
    <row r="635" spans="1:12">
      <c r="A635" s="223">
        <v>46189</v>
      </c>
      <c r="B635" s="80" t="s">
        <v>730</v>
      </c>
      <c r="C635" s="80" t="s">
        <v>4587</v>
      </c>
      <c r="D635" s="107" t="s">
        <v>731</v>
      </c>
      <c r="E635" s="80">
        <v>1</v>
      </c>
      <c r="F635" s="133">
        <v>7.06</v>
      </c>
      <c r="G635" s="133">
        <v>8.25</v>
      </c>
      <c r="H635" s="222">
        <f t="shared" si="27"/>
        <v>8.25</v>
      </c>
      <c r="I635" s="236"/>
      <c r="J635" s="236">
        <v>0</v>
      </c>
      <c r="K635" s="236">
        <f t="shared" si="28"/>
        <v>8.25</v>
      </c>
      <c r="L635" s="237">
        <f t="shared" si="29"/>
        <v>7.06</v>
      </c>
    </row>
    <row r="636" spans="1:12">
      <c r="A636" s="223">
        <v>46189</v>
      </c>
      <c r="B636" s="80" t="s">
        <v>1524</v>
      </c>
      <c r="C636" s="80" t="s">
        <v>4588</v>
      </c>
      <c r="D636" s="107" t="s">
        <v>1525</v>
      </c>
      <c r="E636" s="80">
        <v>2</v>
      </c>
      <c r="F636" s="133">
        <v>30.83</v>
      </c>
      <c r="G636" s="133">
        <v>35.5</v>
      </c>
      <c r="H636" s="222">
        <f t="shared" si="27"/>
        <v>71</v>
      </c>
      <c r="I636" s="236"/>
      <c r="J636" s="236">
        <v>0</v>
      </c>
      <c r="K636" s="236">
        <f t="shared" si="28"/>
        <v>71</v>
      </c>
      <c r="L636" s="237">
        <f t="shared" si="29"/>
        <v>61.66</v>
      </c>
    </row>
    <row r="637" spans="1:12">
      <c r="A637" s="223">
        <v>46189</v>
      </c>
      <c r="B637" s="80" t="s">
        <v>4099</v>
      </c>
      <c r="C637" s="80" t="s">
        <v>4589</v>
      </c>
      <c r="D637" s="107" t="s">
        <v>4100</v>
      </c>
      <c r="E637" s="80">
        <v>1</v>
      </c>
      <c r="F637" s="133">
        <v>13.12</v>
      </c>
      <c r="G637" s="133">
        <v>15.25</v>
      </c>
      <c r="H637" s="222">
        <f t="shared" si="27"/>
        <v>15.25</v>
      </c>
      <c r="I637" s="236"/>
      <c r="J637" s="236">
        <v>0</v>
      </c>
      <c r="K637" s="236">
        <f t="shared" si="28"/>
        <v>15.25</v>
      </c>
      <c r="L637" s="237">
        <f t="shared" si="29"/>
        <v>13.12</v>
      </c>
    </row>
    <row r="638" spans="1:12">
      <c r="A638" s="223">
        <v>46189</v>
      </c>
      <c r="B638" s="80" t="s">
        <v>484</v>
      </c>
      <c r="C638" s="80" t="s">
        <v>4589</v>
      </c>
      <c r="D638" s="107" t="s">
        <v>485</v>
      </c>
      <c r="E638" s="80">
        <v>1</v>
      </c>
      <c r="F638" s="133">
        <v>19.100000000000001</v>
      </c>
      <c r="G638" s="133">
        <v>22</v>
      </c>
      <c r="H638" s="222">
        <f t="shared" si="27"/>
        <v>22</v>
      </c>
      <c r="I638" s="236"/>
      <c r="J638" s="236">
        <v>0</v>
      </c>
      <c r="K638" s="236">
        <f t="shared" si="28"/>
        <v>22</v>
      </c>
      <c r="L638" s="237">
        <f t="shared" si="29"/>
        <v>19.100000000000001</v>
      </c>
    </row>
    <row r="639" spans="1:12">
      <c r="A639" s="223">
        <v>46189</v>
      </c>
      <c r="B639" s="80" t="s">
        <v>894</v>
      </c>
      <c r="C639" s="80" t="s">
        <v>4590</v>
      </c>
      <c r="D639" s="107" t="s">
        <v>895</v>
      </c>
      <c r="E639" s="80">
        <v>1</v>
      </c>
      <c r="F639" s="133">
        <v>100</v>
      </c>
      <c r="G639" s="133">
        <v>110</v>
      </c>
      <c r="H639" s="222">
        <f t="shared" si="27"/>
        <v>110</v>
      </c>
      <c r="I639" s="236"/>
      <c r="J639" s="236">
        <v>0</v>
      </c>
      <c r="K639" s="236">
        <f t="shared" si="28"/>
        <v>110</v>
      </c>
      <c r="L639" s="237">
        <f t="shared" si="29"/>
        <v>100</v>
      </c>
    </row>
    <row r="640" spans="1:12">
      <c r="A640" s="223">
        <v>46189</v>
      </c>
      <c r="B640" s="80" t="s">
        <v>1888</v>
      </c>
      <c r="C640" s="80" t="s">
        <v>4591</v>
      </c>
      <c r="D640" s="107" t="s">
        <v>1889</v>
      </c>
      <c r="E640" s="80">
        <v>2</v>
      </c>
      <c r="F640" s="133">
        <v>22.59</v>
      </c>
      <c r="G640" s="133">
        <v>26</v>
      </c>
      <c r="H640" s="222">
        <f t="shared" si="27"/>
        <v>52</v>
      </c>
      <c r="I640" s="236"/>
      <c r="J640" s="236">
        <v>0</v>
      </c>
      <c r="K640" s="236">
        <f t="shared" si="28"/>
        <v>52</v>
      </c>
      <c r="L640" s="237">
        <f t="shared" si="29"/>
        <v>45.18</v>
      </c>
    </row>
    <row r="641" spans="1:12">
      <c r="A641" s="223">
        <v>46189</v>
      </c>
      <c r="B641" s="80" t="s">
        <v>1174</v>
      </c>
      <c r="C641" s="80" t="s">
        <v>4592</v>
      </c>
      <c r="D641" s="107" t="s">
        <v>1175</v>
      </c>
      <c r="E641" s="80">
        <v>2</v>
      </c>
      <c r="F641" s="133">
        <v>23.63</v>
      </c>
      <c r="G641" s="133">
        <v>27.25</v>
      </c>
      <c r="H641" s="222">
        <f t="shared" si="27"/>
        <v>54.5</v>
      </c>
      <c r="I641" s="236"/>
      <c r="J641" s="236">
        <v>0</v>
      </c>
      <c r="K641" s="236">
        <f t="shared" si="28"/>
        <v>54.5</v>
      </c>
      <c r="L641" s="237">
        <f t="shared" si="29"/>
        <v>47.26</v>
      </c>
    </row>
    <row r="642" spans="1:12">
      <c r="A642" s="223">
        <v>46189</v>
      </c>
      <c r="B642" s="80" t="s">
        <v>3907</v>
      </c>
      <c r="C642" s="80" t="s">
        <v>4593</v>
      </c>
      <c r="D642" s="107" t="s">
        <v>3908</v>
      </c>
      <c r="E642" s="80">
        <v>1</v>
      </c>
      <c r="F642" s="133">
        <v>84</v>
      </c>
      <c r="G642" s="133">
        <v>150</v>
      </c>
      <c r="H642" s="222">
        <f t="shared" si="27"/>
        <v>150</v>
      </c>
      <c r="I642" s="236"/>
      <c r="J642" s="236">
        <v>0</v>
      </c>
      <c r="K642" s="236">
        <f t="shared" si="28"/>
        <v>150</v>
      </c>
      <c r="L642" s="237">
        <f t="shared" si="29"/>
        <v>84</v>
      </c>
    </row>
    <row r="643" spans="1:12">
      <c r="A643" s="223">
        <v>46189</v>
      </c>
      <c r="B643" s="80" t="s">
        <v>1174</v>
      </c>
      <c r="C643" s="80" t="s">
        <v>4594</v>
      </c>
      <c r="D643" s="107" t="s">
        <v>1175</v>
      </c>
      <c r="E643" s="80">
        <v>1</v>
      </c>
      <c r="F643" s="133">
        <v>23.63</v>
      </c>
      <c r="G643" s="133">
        <v>27.25</v>
      </c>
      <c r="H643" s="222">
        <f t="shared" si="27"/>
        <v>27.25</v>
      </c>
      <c r="I643" s="236"/>
      <c r="J643" s="236">
        <v>0</v>
      </c>
      <c r="K643" s="236">
        <f t="shared" si="28"/>
        <v>27.25</v>
      </c>
      <c r="L643" s="237">
        <f t="shared" si="29"/>
        <v>23.63</v>
      </c>
    </row>
    <row r="644" spans="1:12">
      <c r="A644" s="223">
        <v>46189</v>
      </c>
      <c r="B644" s="80" t="s">
        <v>4595</v>
      </c>
      <c r="C644" s="80" t="s">
        <v>4594</v>
      </c>
      <c r="D644" s="107" t="s">
        <v>4596</v>
      </c>
      <c r="E644" s="80">
        <v>1</v>
      </c>
      <c r="F644" s="133">
        <v>22.19</v>
      </c>
      <c r="G644" s="133">
        <v>25.75</v>
      </c>
      <c r="H644" s="222">
        <f t="shared" ref="H644:H705" si="30">E644*G644</f>
        <v>25.75</v>
      </c>
      <c r="I644" s="236"/>
      <c r="J644" s="236">
        <v>0</v>
      </c>
      <c r="K644" s="236">
        <f t="shared" si="28"/>
        <v>25.75</v>
      </c>
      <c r="L644" s="237">
        <f t="shared" si="29"/>
        <v>22.19</v>
      </c>
    </row>
    <row r="645" spans="1:12">
      <c r="A645" s="223">
        <v>46189</v>
      </c>
      <c r="B645" s="80" t="s">
        <v>3519</v>
      </c>
      <c r="C645" s="80" t="s">
        <v>4597</v>
      </c>
      <c r="D645" s="107" t="s">
        <v>3520</v>
      </c>
      <c r="E645" s="80">
        <v>1</v>
      </c>
      <c r="F645" s="133">
        <v>20.399999999999999</v>
      </c>
      <c r="G645" s="133">
        <v>24</v>
      </c>
      <c r="H645" s="222">
        <f t="shared" si="30"/>
        <v>24</v>
      </c>
      <c r="I645" s="236"/>
      <c r="J645" s="236">
        <v>0</v>
      </c>
      <c r="K645" s="236">
        <f t="shared" ref="K645:K708" si="31">H645+I645-J645</f>
        <v>24</v>
      </c>
      <c r="L645" s="237">
        <f t="shared" ref="L645:L708" si="32">E645*F645</f>
        <v>20.399999999999999</v>
      </c>
    </row>
    <row r="646" spans="1:12">
      <c r="A646" s="223">
        <v>46189</v>
      </c>
      <c r="B646" s="80" t="s">
        <v>489</v>
      </c>
      <c r="C646" s="80" t="s">
        <v>4597</v>
      </c>
      <c r="D646" s="107" t="s">
        <v>490</v>
      </c>
      <c r="E646" s="80">
        <v>1</v>
      </c>
      <c r="F646" s="133">
        <v>16.84</v>
      </c>
      <c r="G646" s="133">
        <v>19.5</v>
      </c>
      <c r="H646" s="222">
        <f t="shared" si="30"/>
        <v>19.5</v>
      </c>
      <c r="I646" s="236"/>
      <c r="J646" s="236">
        <v>0</v>
      </c>
      <c r="K646" s="236">
        <f t="shared" si="31"/>
        <v>19.5</v>
      </c>
      <c r="L646" s="237">
        <f t="shared" si="32"/>
        <v>16.84</v>
      </c>
    </row>
    <row r="647" spans="1:12">
      <c r="A647" s="223">
        <v>46189</v>
      </c>
      <c r="B647" s="80" t="s">
        <v>599</v>
      </c>
      <c r="C647" s="80" t="s">
        <v>4598</v>
      </c>
      <c r="D647" s="107" t="s">
        <v>600</v>
      </c>
      <c r="E647" s="80">
        <v>1</v>
      </c>
      <c r="F647" s="133">
        <v>90.42</v>
      </c>
      <c r="G647" s="133">
        <v>104</v>
      </c>
      <c r="H647" s="222">
        <f t="shared" si="30"/>
        <v>104</v>
      </c>
      <c r="I647" s="236"/>
      <c r="J647" s="236">
        <v>0</v>
      </c>
      <c r="K647" s="236">
        <f t="shared" si="31"/>
        <v>104</v>
      </c>
      <c r="L647" s="237">
        <f t="shared" si="32"/>
        <v>90.42</v>
      </c>
    </row>
    <row r="648" spans="1:12">
      <c r="A648" s="223">
        <v>46189</v>
      </c>
      <c r="B648" s="80" t="s">
        <v>3958</v>
      </c>
      <c r="C648" s="80" t="s">
        <v>4599</v>
      </c>
      <c r="D648" s="107" t="s">
        <v>3959</v>
      </c>
      <c r="E648" s="80">
        <v>1</v>
      </c>
      <c r="F648" s="133">
        <v>5</v>
      </c>
      <c r="G648" s="133">
        <v>6</v>
      </c>
      <c r="H648" s="222">
        <f t="shared" si="30"/>
        <v>6</v>
      </c>
      <c r="I648" s="236"/>
      <c r="J648" s="236">
        <v>0</v>
      </c>
      <c r="K648" s="236">
        <f t="shared" si="31"/>
        <v>6</v>
      </c>
      <c r="L648" s="237">
        <f t="shared" si="32"/>
        <v>5</v>
      </c>
    </row>
    <row r="649" spans="1:12">
      <c r="A649" s="223">
        <v>46189</v>
      </c>
      <c r="B649" s="80" t="s">
        <v>2642</v>
      </c>
      <c r="C649" s="80" t="s">
        <v>4600</v>
      </c>
      <c r="D649" s="107" t="s">
        <v>2643</v>
      </c>
      <c r="E649" s="80">
        <v>2</v>
      </c>
      <c r="F649" s="133">
        <v>302.13</v>
      </c>
      <c r="G649" s="133">
        <v>362.75</v>
      </c>
      <c r="H649" s="222">
        <f t="shared" si="30"/>
        <v>725.5</v>
      </c>
      <c r="I649" s="236"/>
      <c r="J649" s="236">
        <v>0</v>
      </c>
      <c r="K649" s="236">
        <f t="shared" si="31"/>
        <v>725.5</v>
      </c>
      <c r="L649" s="237">
        <f t="shared" si="32"/>
        <v>604.26</v>
      </c>
    </row>
    <row r="650" spans="1:12">
      <c r="A650" s="223">
        <v>46189</v>
      </c>
      <c r="B650" s="80" t="s">
        <v>809</v>
      </c>
      <c r="C650" s="80" t="s">
        <v>4601</v>
      </c>
      <c r="D650" s="107" t="s">
        <v>810</v>
      </c>
      <c r="E650" s="80">
        <v>1</v>
      </c>
      <c r="F650" s="133">
        <v>44.8</v>
      </c>
      <c r="G650" s="133">
        <v>51.75</v>
      </c>
      <c r="H650" s="222">
        <f t="shared" si="30"/>
        <v>51.75</v>
      </c>
      <c r="I650" s="236"/>
      <c r="J650" s="236">
        <v>0</v>
      </c>
      <c r="K650" s="236">
        <f t="shared" si="31"/>
        <v>51.75</v>
      </c>
      <c r="L650" s="237">
        <f t="shared" si="32"/>
        <v>44.8</v>
      </c>
    </row>
    <row r="651" spans="1:12">
      <c r="A651" s="223">
        <v>46189</v>
      </c>
      <c r="B651" s="80" t="s">
        <v>616</v>
      </c>
      <c r="C651" s="80" t="s">
        <v>4602</v>
      </c>
      <c r="D651" s="107" t="s">
        <v>617</v>
      </c>
      <c r="E651" s="80">
        <v>2</v>
      </c>
      <c r="F651" s="133">
        <v>41.83</v>
      </c>
      <c r="G651" s="133">
        <v>48.25</v>
      </c>
      <c r="H651" s="222">
        <f t="shared" si="30"/>
        <v>96.5</v>
      </c>
      <c r="I651" s="236"/>
      <c r="J651" s="236">
        <v>0</v>
      </c>
      <c r="K651" s="236">
        <f t="shared" si="31"/>
        <v>96.5</v>
      </c>
      <c r="L651" s="237">
        <f t="shared" si="32"/>
        <v>83.66</v>
      </c>
    </row>
    <row r="652" spans="1:12">
      <c r="A652" s="223">
        <v>46189</v>
      </c>
      <c r="B652" s="80" t="s">
        <v>639</v>
      </c>
      <c r="C652" s="80" t="s">
        <v>4603</v>
      </c>
      <c r="D652" s="107" t="s">
        <v>640</v>
      </c>
      <c r="E652" s="80">
        <v>1</v>
      </c>
      <c r="F652" s="133">
        <v>33.1</v>
      </c>
      <c r="G652" s="133">
        <v>38.25</v>
      </c>
      <c r="H652" s="222">
        <f t="shared" si="30"/>
        <v>38.25</v>
      </c>
      <c r="I652" s="236"/>
      <c r="J652" s="236">
        <v>0</v>
      </c>
      <c r="K652" s="236">
        <f t="shared" si="31"/>
        <v>38.25</v>
      </c>
      <c r="L652" s="237">
        <f t="shared" si="32"/>
        <v>33.1</v>
      </c>
    </row>
    <row r="653" spans="1:12">
      <c r="A653" s="223">
        <v>46189</v>
      </c>
      <c r="B653" s="80" t="s">
        <v>3723</v>
      </c>
      <c r="C653" s="80" t="s">
        <v>4603</v>
      </c>
      <c r="D653" s="107" t="s">
        <v>3724</v>
      </c>
      <c r="E653" s="80">
        <v>1</v>
      </c>
      <c r="F653" s="133">
        <v>19.47</v>
      </c>
      <c r="G653" s="133">
        <v>23</v>
      </c>
      <c r="H653" s="222">
        <f t="shared" si="30"/>
        <v>23</v>
      </c>
      <c r="I653" s="236"/>
      <c r="J653" s="236">
        <v>0</v>
      </c>
      <c r="K653" s="236">
        <f t="shared" si="31"/>
        <v>23</v>
      </c>
      <c r="L653" s="237">
        <f t="shared" si="32"/>
        <v>19.47</v>
      </c>
    </row>
    <row r="654" spans="1:12">
      <c r="A654" s="223">
        <v>46189</v>
      </c>
      <c r="B654" s="80" t="s">
        <v>616</v>
      </c>
      <c r="C654" s="80" t="s">
        <v>4604</v>
      </c>
      <c r="D654" s="107" t="s">
        <v>617</v>
      </c>
      <c r="E654" s="80">
        <v>1</v>
      </c>
      <c r="F654" s="133">
        <v>41.83</v>
      </c>
      <c r="G654" s="133">
        <v>48.25</v>
      </c>
      <c r="H654" s="222">
        <f t="shared" si="30"/>
        <v>48.25</v>
      </c>
      <c r="I654" s="236"/>
      <c r="J654" s="236">
        <v>0</v>
      </c>
      <c r="K654" s="236">
        <f t="shared" si="31"/>
        <v>48.25</v>
      </c>
      <c r="L654" s="237">
        <f t="shared" si="32"/>
        <v>41.83</v>
      </c>
    </row>
    <row r="655" spans="1:12">
      <c r="A655" s="223">
        <v>46189</v>
      </c>
      <c r="B655" s="80" t="s">
        <v>1353</v>
      </c>
      <c r="C655" s="80" t="s">
        <v>4605</v>
      </c>
      <c r="D655" s="107" t="s">
        <v>1354</v>
      </c>
      <c r="E655" s="80">
        <v>1</v>
      </c>
      <c r="F655" s="133">
        <v>12.66</v>
      </c>
      <c r="G655" s="133">
        <v>14.25</v>
      </c>
      <c r="H655" s="222">
        <f t="shared" si="30"/>
        <v>14.25</v>
      </c>
      <c r="I655" s="236"/>
      <c r="J655" s="236">
        <v>0</v>
      </c>
      <c r="K655" s="236">
        <f t="shared" si="31"/>
        <v>14.25</v>
      </c>
      <c r="L655" s="237">
        <f t="shared" si="32"/>
        <v>12.66</v>
      </c>
    </row>
    <row r="656" spans="1:12">
      <c r="A656" s="223">
        <v>46190</v>
      </c>
      <c r="B656" s="80" t="s">
        <v>1311</v>
      </c>
      <c r="C656" s="80" t="s">
        <v>4606</v>
      </c>
      <c r="D656" s="107" t="s">
        <v>1312</v>
      </c>
      <c r="E656" s="80">
        <v>2</v>
      </c>
      <c r="F656" s="133">
        <v>8.1999999999999993</v>
      </c>
      <c r="G656" s="133">
        <v>9.5</v>
      </c>
      <c r="H656" s="222">
        <f t="shared" si="30"/>
        <v>19</v>
      </c>
      <c r="I656" s="236"/>
      <c r="J656" s="236">
        <v>0</v>
      </c>
      <c r="K656" s="236">
        <f t="shared" si="31"/>
        <v>19</v>
      </c>
      <c r="L656" s="237">
        <f t="shared" si="32"/>
        <v>16.399999999999999</v>
      </c>
    </row>
    <row r="657" spans="1:12">
      <c r="A657" s="223">
        <v>46190</v>
      </c>
      <c r="B657" s="80" t="s">
        <v>2017</v>
      </c>
      <c r="C657" s="80" t="s">
        <v>4606</v>
      </c>
      <c r="D657" s="107" t="s">
        <v>2018</v>
      </c>
      <c r="E657" s="80">
        <v>3</v>
      </c>
      <c r="F657" s="133">
        <v>6.02</v>
      </c>
      <c r="G657" s="133">
        <v>7.25</v>
      </c>
      <c r="H657" s="222">
        <f t="shared" si="30"/>
        <v>21.75</v>
      </c>
      <c r="I657" s="236"/>
      <c r="J657" s="236">
        <v>0</v>
      </c>
      <c r="K657" s="236">
        <f t="shared" si="31"/>
        <v>21.75</v>
      </c>
      <c r="L657" s="237">
        <f t="shared" si="32"/>
        <v>18.059999999999999</v>
      </c>
    </row>
    <row r="658" spans="1:12">
      <c r="A658" s="223">
        <v>46190</v>
      </c>
      <c r="B658" s="80" t="s">
        <v>2803</v>
      </c>
      <c r="C658" s="80" t="s">
        <v>4607</v>
      </c>
      <c r="D658" s="107" t="s">
        <v>2804</v>
      </c>
      <c r="E658" s="80">
        <v>2</v>
      </c>
      <c r="F658" s="133">
        <v>14.42</v>
      </c>
      <c r="G658" s="133">
        <v>16.75</v>
      </c>
      <c r="H658" s="222">
        <f t="shared" si="30"/>
        <v>33.5</v>
      </c>
      <c r="I658" s="236"/>
      <c r="J658" s="236">
        <v>0</v>
      </c>
      <c r="K658" s="236">
        <f t="shared" si="31"/>
        <v>33.5</v>
      </c>
      <c r="L658" s="237">
        <f t="shared" si="32"/>
        <v>28.84</v>
      </c>
    </row>
    <row r="659" spans="1:12">
      <c r="A659" s="223">
        <v>46190</v>
      </c>
      <c r="B659" s="80" t="s">
        <v>988</v>
      </c>
      <c r="C659" s="80" t="s">
        <v>4608</v>
      </c>
      <c r="D659" s="107" t="s">
        <v>989</v>
      </c>
      <c r="E659" s="80">
        <v>1</v>
      </c>
      <c r="F659" s="133">
        <v>85.25</v>
      </c>
      <c r="G659" s="133">
        <v>98.25</v>
      </c>
      <c r="H659" s="222">
        <f t="shared" si="30"/>
        <v>98.25</v>
      </c>
      <c r="I659" s="236"/>
      <c r="J659" s="236">
        <v>0</v>
      </c>
      <c r="K659" s="236">
        <f t="shared" si="31"/>
        <v>98.25</v>
      </c>
      <c r="L659" s="237">
        <f t="shared" si="32"/>
        <v>85.25</v>
      </c>
    </row>
    <row r="660" spans="1:12">
      <c r="A660" s="223">
        <v>46190</v>
      </c>
      <c r="B660" s="80" t="s">
        <v>992</v>
      </c>
      <c r="C660" s="80" t="s">
        <v>4608</v>
      </c>
      <c r="D660" s="107" t="s">
        <v>993</v>
      </c>
      <c r="E660" s="80">
        <v>1</v>
      </c>
      <c r="F660" s="133">
        <v>91.4</v>
      </c>
      <c r="G660" s="133">
        <v>105.25</v>
      </c>
      <c r="H660" s="222">
        <f t="shared" si="30"/>
        <v>105.25</v>
      </c>
      <c r="I660" s="236"/>
      <c r="J660" s="236">
        <v>0</v>
      </c>
      <c r="K660" s="236">
        <f t="shared" si="31"/>
        <v>105.25</v>
      </c>
      <c r="L660" s="237">
        <f t="shared" si="32"/>
        <v>91.4</v>
      </c>
    </row>
    <row r="661" spans="1:12">
      <c r="A661" s="223">
        <v>46190</v>
      </c>
      <c r="B661" s="80" t="s">
        <v>902</v>
      </c>
      <c r="C661" s="80" t="s">
        <v>4609</v>
      </c>
      <c r="D661" s="107" t="s">
        <v>903</v>
      </c>
      <c r="E661" s="80">
        <v>1</v>
      </c>
      <c r="F661" s="133">
        <v>81.849999999999994</v>
      </c>
      <c r="G661" s="133">
        <v>90</v>
      </c>
      <c r="H661" s="222">
        <f t="shared" si="30"/>
        <v>90</v>
      </c>
      <c r="I661" s="236"/>
      <c r="J661" s="236">
        <v>0</v>
      </c>
      <c r="K661" s="236">
        <f t="shared" si="31"/>
        <v>90</v>
      </c>
      <c r="L661" s="237">
        <f t="shared" si="32"/>
        <v>81.849999999999994</v>
      </c>
    </row>
    <row r="662" spans="1:12">
      <c r="A662" s="223">
        <v>46190</v>
      </c>
      <c r="B662" s="80" t="s">
        <v>1566</v>
      </c>
      <c r="C662" s="80" t="s">
        <v>4610</v>
      </c>
      <c r="D662" s="107" t="s">
        <v>1567</v>
      </c>
      <c r="E662" s="80">
        <v>3</v>
      </c>
      <c r="F662" s="133">
        <v>18.5</v>
      </c>
      <c r="G662" s="133">
        <v>21.5</v>
      </c>
      <c r="H662" s="222">
        <f t="shared" si="30"/>
        <v>64.5</v>
      </c>
      <c r="I662" s="236"/>
      <c r="J662" s="236">
        <v>0</v>
      </c>
      <c r="K662" s="236">
        <f t="shared" si="31"/>
        <v>64.5</v>
      </c>
      <c r="L662" s="237">
        <f t="shared" si="32"/>
        <v>55.5</v>
      </c>
    </row>
    <row r="663" spans="1:12">
      <c r="A663" s="223">
        <v>46190</v>
      </c>
      <c r="B663" s="80" t="s">
        <v>1336</v>
      </c>
      <c r="C663" s="80" t="s">
        <v>4611</v>
      </c>
      <c r="D663" s="107" t="s">
        <v>1337</v>
      </c>
      <c r="E663" s="80">
        <v>1</v>
      </c>
      <c r="F663" s="133">
        <v>24.35</v>
      </c>
      <c r="G663" s="133">
        <v>28</v>
      </c>
      <c r="H663" s="222">
        <f t="shared" si="30"/>
        <v>28</v>
      </c>
      <c r="I663" s="236"/>
      <c r="J663" s="236">
        <v>0</v>
      </c>
      <c r="K663" s="236">
        <f t="shared" si="31"/>
        <v>28</v>
      </c>
      <c r="L663" s="237">
        <f t="shared" si="32"/>
        <v>24.35</v>
      </c>
    </row>
    <row r="664" spans="1:12">
      <c r="A664" s="223">
        <v>46190</v>
      </c>
      <c r="B664" s="80" t="s">
        <v>1353</v>
      </c>
      <c r="C664" s="80" t="s">
        <v>4611</v>
      </c>
      <c r="D664" s="107" t="s">
        <v>1354</v>
      </c>
      <c r="E664" s="80">
        <v>4</v>
      </c>
      <c r="F664" s="133">
        <v>12.66</v>
      </c>
      <c r="G664" s="133">
        <v>14.25</v>
      </c>
      <c r="H664" s="222">
        <f t="shared" si="30"/>
        <v>57</v>
      </c>
      <c r="I664" s="236"/>
      <c r="J664" s="236">
        <v>0</v>
      </c>
      <c r="K664" s="236">
        <f t="shared" si="31"/>
        <v>57</v>
      </c>
      <c r="L664" s="237">
        <f t="shared" si="32"/>
        <v>50.64</v>
      </c>
    </row>
    <row r="665" spans="1:12">
      <c r="A665" s="223">
        <v>46190</v>
      </c>
      <c r="B665" s="80" t="s">
        <v>4065</v>
      </c>
      <c r="C665" s="80" t="s">
        <v>4612</v>
      </c>
      <c r="D665" s="107" t="s">
        <v>4066</v>
      </c>
      <c r="E665" s="80">
        <v>1</v>
      </c>
      <c r="F665" s="133">
        <v>16.91</v>
      </c>
      <c r="G665" s="133">
        <v>18.600000000000001</v>
      </c>
      <c r="H665" s="222">
        <f t="shared" si="30"/>
        <v>18.600000000000001</v>
      </c>
      <c r="I665" s="236"/>
      <c r="J665" s="236">
        <v>0</v>
      </c>
      <c r="K665" s="236">
        <f t="shared" si="31"/>
        <v>18.600000000000001</v>
      </c>
      <c r="L665" s="237">
        <f t="shared" si="32"/>
        <v>16.91</v>
      </c>
    </row>
    <row r="666" spans="1:12">
      <c r="A666" s="223">
        <v>46190</v>
      </c>
      <c r="B666" s="80" t="s">
        <v>701</v>
      </c>
      <c r="C666" s="80" t="s">
        <v>4613</v>
      </c>
      <c r="D666" s="107" t="s">
        <v>702</v>
      </c>
      <c r="E666" s="80">
        <v>5</v>
      </c>
      <c r="F666" s="133">
        <v>60</v>
      </c>
      <c r="G666" s="133">
        <v>75</v>
      </c>
      <c r="H666" s="222">
        <f t="shared" si="30"/>
        <v>375</v>
      </c>
      <c r="I666" s="236"/>
      <c r="J666" s="236">
        <v>0</v>
      </c>
      <c r="K666" s="236">
        <f t="shared" si="31"/>
        <v>375</v>
      </c>
      <c r="L666" s="237">
        <f t="shared" si="32"/>
        <v>300</v>
      </c>
    </row>
    <row r="667" spans="1:12">
      <c r="A667" s="223">
        <v>46190</v>
      </c>
      <c r="B667" s="80" t="s">
        <v>3398</v>
      </c>
      <c r="C667" s="80" t="s">
        <v>4613</v>
      </c>
      <c r="D667" s="107" t="s">
        <v>3399</v>
      </c>
      <c r="E667" s="80">
        <v>5</v>
      </c>
      <c r="F667" s="133">
        <v>90</v>
      </c>
      <c r="G667" s="133">
        <v>120</v>
      </c>
      <c r="H667" s="222">
        <f t="shared" si="30"/>
        <v>600</v>
      </c>
      <c r="I667" s="236"/>
      <c r="J667" s="236">
        <v>0</v>
      </c>
      <c r="K667" s="236">
        <f t="shared" si="31"/>
        <v>600</v>
      </c>
      <c r="L667" s="237">
        <f t="shared" si="32"/>
        <v>450</v>
      </c>
    </row>
    <row r="668" spans="1:12">
      <c r="A668" s="223">
        <v>46190</v>
      </c>
      <c r="B668" s="80" t="s">
        <v>1394</v>
      </c>
      <c r="C668" s="80" t="s">
        <v>4613</v>
      </c>
      <c r="D668" s="107" t="s">
        <v>1395</v>
      </c>
      <c r="E668" s="80">
        <v>1</v>
      </c>
      <c r="F668" s="133">
        <v>300</v>
      </c>
      <c r="G668" s="133">
        <v>450</v>
      </c>
      <c r="H668" s="222">
        <f t="shared" si="30"/>
        <v>450</v>
      </c>
      <c r="I668" s="236"/>
      <c r="J668" s="236">
        <v>0</v>
      </c>
      <c r="K668" s="236">
        <f t="shared" si="31"/>
        <v>450</v>
      </c>
      <c r="L668" s="237">
        <f t="shared" si="32"/>
        <v>300</v>
      </c>
    </row>
    <row r="669" spans="1:12">
      <c r="A669" s="223">
        <v>46190</v>
      </c>
      <c r="B669" s="80" t="s">
        <v>1390</v>
      </c>
      <c r="C669" s="80" t="s">
        <v>4613</v>
      </c>
      <c r="D669" s="107" t="s">
        <v>1391</v>
      </c>
      <c r="E669" s="80">
        <v>1</v>
      </c>
      <c r="F669" s="133">
        <v>250</v>
      </c>
      <c r="G669" s="133">
        <v>320</v>
      </c>
      <c r="H669" s="222">
        <f t="shared" si="30"/>
        <v>320</v>
      </c>
      <c r="I669" s="236"/>
      <c r="J669" s="236">
        <v>0</v>
      </c>
      <c r="K669" s="236">
        <f t="shared" si="31"/>
        <v>320</v>
      </c>
      <c r="L669" s="237">
        <f t="shared" si="32"/>
        <v>250</v>
      </c>
    </row>
    <row r="670" spans="1:12">
      <c r="A670" s="223">
        <v>46190</v>
      </c>
      <c r="B670" s="80" t="s">
        <v>3026</v>
      </c>
      <c r="C670" s="80" t="s">
        <v>4614</v>
      </c>
      <c r="D670" s="107" t="s">
        <v>3027</v>
      </c>
      <c r="E670" s="80">
        <v>6</v>
      </c>
      <c r="F670" s="133">
        <v>5.41</v>
      </c>
      <c r="G670" s="133">
        <v>6.25</v>
      </c>
      <c r="H670" s="222">
        <f t="shared" si="30"/>
        <v>37.5</v>
      </c>
      <c r="I670" s="236"/>
      <c r="J670" s="236">
        <v>0</v>
      </c>
      <c r="K670" s="236">
        <f t="shared" si="31"/>
        <v>37.5</v>
      </c>
      <c r="L670" s="237">
        <f t="shared" si="32"/>
        <v>32.46</v>
      </c>
    </row>
    <row r="671" spans="1:12">
      <c r="A671" s="223">
        <v>46190</v>
      </c>
      <c r="B671" s="80" t="s">
        <v>2803</v>
      </c>
      <c r="C671" s="80" t="s">
        <v>4614</v>
      </c>
      <c r="D671" s="107" t="s">
        <v>2804</v>
      </c>
      <c r="E671" s="80">
        <v>4</v>
      </c>
      <c r="F671" s="133">
        <v>14.42</v>
      </c>
      <c r="G671" s="133">
        <v>16.75</v>
      </c>
      <c r="H671" s="222">
        <f t="shared" si="30"/>
        <v>67</v>
      </c>
      <c r="I671" s="236"/>
      <c r="J671" s="236">
        <v>0</v>
      </c>
      <c r="K671" s="236">
        <f t="shared" si="31"/>
        <v>67</v>
      </c>
      <c r="L671" s="237">
        <f t="shared" si="32"/>
        <v>57.68</v>
      </c>
    </row>
    <row r="672" spans="1:12">
      <c r="A672" s="223">
        <v>46190</v>
      </c>
      <c r="B672" s="80" t="s">
        <v>3105</v>
      </c>
      <c r="C672" s="80" t="s">
        <v>4614</v>
      </c>
      <c r="D672" s="107" t="s">
        <v>3106</v>
      </c>
      <c r="E672" s="80">
        <v>1</v>
      </c>
      <c r="F672" s="133">
        <v>39.880000000000003</v>
      </c>
      <c r="G672" s="133">
        <v>46</v>
      </c>
      <c r="H672" s="222">
        <f t="shared" si="30"/>
        <v>46</v>
      </c>
      <c r="I672" s="236"/>
      <c r="J672" s="236">
        <v>0</v>
      </c>
      <c r="K672" s="236">
        <f t="shared" si="31"/>
        <v>46</v>
      </c>
      <c r="L672" s="237">
        <f t="shared" si="32"/>
        <v>39.880000000000003</v>
      </c>
    </row>
    <row r="673" spans="1:12">
      <c r="A673" s="223">
        <v>46190</v>
      </c>
      <c r="B673" s="80" t="s">
        <v>848</v>
      </c>
      <c r="C673" s="80" t="s">
        <v>4615</v>
      </c>
      <c r="D673" s="107" t="s">
        <v>849</v>
      </c>
      <c r="E673" s="80">
        <v>1</v>
      </c>
      <c r="F673" s="133">
        <v>8.1999999999999993</v>
      </c>
      <c r="G673" s="133">
        <v>10</v>
      </c>
      <c r="H673" s="222">
        <f t="shared" si="30"/>
        <v>10</v>
      </c>
      <c r="I673" s="236"/>
      <c r="J673" s="236">
        <v>0</v>
      </c>
      <c r="K673" s="236">
        <f t="shared" si="31"/>
        <v>10</v>
      </c>
      <c r="L673" s="237">
        <f t="shared" si="32"/>
        <v>8.1999999999999993</v>
      </c>
    </row>
    <row r="674" spans="1:12">
      <c r="A674" s="223">
        <v>46190</v>
      </c>
      <c r="B674" s="80" t="s">
        <v>3653</v>
      </c>
      <c r="C674" s="80" t="s">
        <v>4615</v>
      </c>
      <c r="D674" s="107" t="s">
        <v>3654</v>
      </c>
      <c r="E674" s="80">
        <v>1</v>
      </c>
      <c r="F674" s="133">
        <v>9.3800000000000008</v>
      </c>
      <c r="G674" s="133">
        <v>11</v>
      </c>
      <c r="H674" s="222">
        <f t="shared" si="30"/>
        <v>11</v>
      </c>
      <c r="I674" s="236"/>
      <c r="J674" s="236">
        <v>0</v>
      </c>
      <c r="K674" s="236">
        <f t="shared" si="31"/>
        <v>11</v>
      </c>
      <c r="L674" s="237">
        <f t="shared" si="32"/>
        <v>9.3800000000000008</v>
      </c>
    </row>
    <row r="675" spans="1:12">
      <c r="A675" s="223">
        <v>46190</v>
      </c>
      <c r="B675" s="80" t="s">
        <v>3119</v>
      </c>
      <c r="C675" s="80" t="s">
        <v>4616</v>
      </c>
      <c r="D675" s="107" t="s">
        <v>3120</v>
      </c>
      <c r="E675" s="80">
        <v>1</v>
      </c>
      <c r="F675" s="133">
        <v>65.989999999999995</v>
      </c>
      <c r="G675" s="133">
        <v>76.75</v>
      </c>
      <c r="H675" s="222">
        <f t="shared" si="30"/>
        <v>76.75</v>
      </c>
      <c r="I675" s="236"/>
      <c r="J675" s="236">
        <v>0</v>
      </c>
      <c r="K675" s="236">
        <f t="shared" si="31"/>
        <v>76.75</v>
      </c>
      <c r="L675" s="237">
        <f t="shared" si="32"/>
        <v>65.989999999999995</v>
      </c>
    </row>
    <row r="676" spans="1:12">
      <c r="A676" s="223">
        <v>46190</v>
      </c>
      <c r="B676" s="80" t="s">
        <v>3105</v>
      </c>
      <c r="C676" s="80" t="s">
        <v>4616</v>
      </c>
      <c r="D676" s="107" t="s">
        <v>3106</v>
      </c>
      <c r="E676" s="80">
        <v>1</v>
      </c>
      <c r="F676" s="133">
        <v>39.880000000000003</v>
      </c>
      <c r="G676" s="133">
        <v>46</v>
      </c>
      <c r="H676" s="222">
        <f t="shared" si="30"/>
        <v>46</v>
      </c>
      <c r="I676" s="236"/>
      <c r="J676" s="236">
        <v>0</v>
      </c>
      <c r="K676" s="236">
        <f t="shared" si="31"/>
        <v>46</v>
      </c>
      <c r="L676" s="237">
        <f t="shared" si="32"/>
        <v>39.880000000000003</v>
      </c>
    </row>
    <row r="677" spans="1:12">
      <c r="A677" s="223">
        <v>46190</v>
      </c>
      <c r="B677" s="80" t="s">
        <v>3083</v>
      </c>
      <c r="C677" s="80" t="s">
        <v>4616</v>
      </c>
      <c r="D677" s="107" t="s">
        <v>3084</v>
      </c>
      <c r="E677" s="80">
        <v>1</v>
      </c>
      <c r="F677" s="133">
        <v>216.58</v>
      </c>
      <c r="G677" s="133">
        <v>249</v>
      </c>
      <c r="H677" s="222">
        <f t="shared" si="30"/>
        <v>249</v>
      </c>
      <c r="I677" s="236"/>
      <c r="J677" s="236">
        <v>0</v>
      </c>
      <c r="K677" s="236">
        <f t="shared" si="31"/>
        <v>249</v>
      </c>
      <c r="L677" s="237">
        <f t="shared" si="32"/>
        <v>216.58</v>
      </c>
    </row>
    <row r="678" spans="1:12">
      <c r="A678" s="223">
        <v>46190</v>
      </c>
      <c r="B678" s="80" t="s">
        <v>2618</v>
      </c>
      <c r="C678" s="80" t="s">
        <v>4617</v>
      </c>
      <c r="D678" s="107" t="s">
        <v>2619</v>
      </c>
      <c r="E678" s="80">
        <v>2</v>
      </c>
      <c r="F678" s="133">
        <v>18.64</v>
      </c>
      <c r="G678" s="133">
        <v>21.5</v>
      </c>
      <c r="H678" s="222">
        <f t="shared" si="30"/>
        <v>43</v>
      </c>
      <c r="I678" s="236"/>
      <c r="J678" s="236">
        <v>0</v>
      </c>
      <c r="K678" s="236">
        <f t="shared" si="31"/>
        <v>43</v>
      </c>
      <c r="L678" s="237">
        <f t="shared" si="32"/>
        <v>37.28</v>
      </c>
    </row>
    <row r="679" spans="1:12">
      <c r="A679" s="223">
        <v>46190</v>
      </c>
      <c r="B679" s="80" t="s">
        <v>2892</v>
      </c>
      <c r="C679" s="80" t="s">
        <v>4617</v>
      </c>
      <c r="D679" s="107" t="s">
        <v>2893</v>
      </c>
      <c r="E679" s="80">
        <v>1</v>
      </c>
      <c r="F679" s="133">
        <v>155.63999999999999</v>
      </c>
      <c r="G679" s="133">
        <v>179</v>
      </c>
      <c r="H679" s="222">
        <f t="shared" si="30"/>
        <v>179</v>
      </c>
      <c r="I679" s="236"/>
      <c r="J679" s="236">
        <v>0</v>
      </c>
      <c r="K679" s="236">
        <f t="shared" si="31"/>
        <v>179</v>
      </c>
      <c r="L679" s="237">
        <f t="shared" si="32"/>
        <v>155.63999999999999</v>
      </c>
    </row>
    <row r="680" spans="1:12">
      <c r="A680" s="223">
        <v>46190</v>
      </c>
      <c r="B680" s="80" t="s">
        <v>2906</v>
      </c>
      <c r="C680" s="80" t="s">
        <v>4617</v>
      </c>
      <c r="D680" s="107" t="s">
        <v>2907</v>
      </c>
      <c r="E680" s="80">
        <v>1</v>
      </c>
      <c r="F680" s="133">
        <v>160.51</v>
      </c>
      <c r="G680" s="133">
        <v>184.75</v>
      </c>
      <c r="H680" s="222">
        <f t="shared" si="30"/>
        <v>184.75</v>
      </c>
      <c r="I680" s="236"/>
      <c r="J680" s="236">
        <v>0</v>
      </c>
      <c r="K680" s="236">
        <f t="shared" si="31"/>
        <v>184.75</v>
      </c>
      <c r="L680" s="237">
        <f t="shared" si="32"/>
        <v>160.51</v>
      </c>
    </row>
    <row r="681" spans="1:12">
      <c r="A681" s="223">
        <v>46190</v>
      </c>
      <c r="B681" s="80" t="s">
        <v>850</v>
      </c>
      <c r="C681" s="80" t="s">
        <v>4618</v>
      </c>
      <c r="D681" s="107" t="s">
        <v>851</v>
      </c>
      <c r="E681" s="80">
        <v>1</v>
      </c>
      <c r="F681" s="133">
        <v>56.5</v>
      </c>
      <c r="G681" s="133">
        <v>63</v>
      </c>
      <c r="H681" s="222">
        <f t="shared" si="30"/>
        <v>63</v>
      </c>
      <c r="I681" s="236"/>
      <c r="J681" s="236">
        <v>0</v>
      </c>
      <c r="K681" s="236">
        <f t="shared" si="31"/>
        <v>63</v>
      </c>
      <c r="L681" s="237">
        <f t="shared" si="32"/>
        <v>56.5</v>
      </c>
    </row>
    <row r="682" spans="1:12">
      <c r="A682" s="224">
        <v>46190</v>
      </c>
      <c r="B682" s="225" t="s">
        <v>1411</v>
      </c>
      <c r="C682" s="225" t="s">
        <v>4618</v>
      </c>
      <c r="D682" s="226" t="s">
        <v>1412</v>
      </c>
      <c r="E682" s="225">
        <v>1</v>
      </c>
      <c r="F682" s="227"/>
      <c r="G682" s="227">
        <v>58</v>
      </c>
      <c r="H682" s="228">
        <f t="shared" si="30"/>
        <v>58</v>
      </c>
      <c r="I682" s="238"/>
      <c r="J682" s="238">
        <v>0</v>
      </c>
      <c r="K682" s="238">
        <f t="shared" si="31"/>
        <v>58</v>
      </c>
      <c r="L682" s="239">
        <f t="shared" si="32"/>
        <v>0</v>
      </c>
    </row>
    <row r="683" spans="1:12">
      <c r="A683" s="223">
        <v>46190</v>
      </c>
      <c r="B683" s="80" t="s">
        <v>2033</v>
      </c>
      <c r="C683" s="80" t="s">
        <v>4618</v>
      </c>
      <c r="D683" s="107" t="s">
        <v>2034</v>
      </c>
      <c r="E683" s="80">
        <v>1</v>
      </c>
      <c r="F683" s="133">
        <v>13.92</v>
      </c>
      <c r="G683" s="133">
        <v>22</v>
      </c>
      <c r="H683" s="222">
        <f t="shared" si="30"/>
        <v>22</v>
      </c>
      <c r="I683" s="236"/>
      <c r="J683" s="236">
        <v>0</v>
      </c>
      <c r="K683" s="236">
        <f t="shared" si="31"/>
        <v>22</v>
      </c>
      <c r="L683" s="237">
        <f t="shared" si="32"/>
        <v>13.92</v>
      </c>
    </row>
    <row r="684" spans="1:12">
      <c r="A684" s="223">
        <v>46190</v>
      </c>
      <c r="B684" s="80" t="s">
        <v>2368</v>
      </c>
      <c r="C684" s="80" t="s">
        <v>4618</v>
      </c>
      <c r="D684" s="107" t="s">
        <v>2369</v>
      </c>
      <c r="E684" s="80">
        <v>1</v>
      </c>
      <c r="F684" s="133">
        <v>10.95</v>
      </c>
      <c r="G684" s="133">
        <v>12.75</v>
      </c>
      <c r="H684" s="222">
        <f t="shared" si="30"/>
        <v>12.75</v>
      </c>
      <c r="I684" s="236"/>
      <c r="J684" s="236">
        <v>0</v>
      </c>
      <c r="K684" s="236">
        <f t="shared" si="31"/>
        <v>12.75</v>
      </c>
      <c r="L684" s="237">
        <f t="shared" si="32"/>
        <v>10.95</v>
      </c>
    </row>
    <row r="685" spans="1:12">
      <c r="A685" s="223">
        <v>46190</v>
      </c>
      <c r="B685" s="80" t="s">
        <v>630</v>
      </c>
      <c r="C685" s="80" t="s">
        <v>4619</v>
      </c>
      <c r="D685" s="107" t="s">
        <v>631</v>
      </c>
      <c r="E685" s="80">
        <v>1</v>
      </c>
      <c r="F685" s="133">
        <v>7.62</v>
      </c>
      <c r="G685" s="133">
        <v>8.75</v>
      </c>
      <c r="H685" s="222">
        <f t="shared" si="30"/>
        <v>8.75</v>
      </c>
      <c r="I685" s="236"/>
      <c r="J685" s="236">
        <v>0</v>
      </c>
      <c r="K685" s="236">
        <f t="shared" si="31"/>
        <v>8.75</v>
      </c>
      <c r="L685" s="237">
        <f t="shared" si="32"/>
        <v>7.62</v>
      </c>
    </row>
    <row r="686" spans="1:12">
      <c r="A686" s="223">
        <v>46190</v>
      </c>
      <c r="B686" s="80" t="s">
        <v>1983</v>
      </c>
      <c r="C686" s="80" t="s">
        <v>4620</v>
      </c>
      <c r="D686" s="107" t="s">
        <v>1984</v>
      </c>
      <c r="E686" s="80">
        <v>2</v>
      </c>
      <c r="F686" s="133">
        <v>49.2</v>
      </c>
      <c r="G686" s="133">
        <v>60</v>
      </c>
      <c r="H686" s="222">
        <f t="shared" si="30"/>
        <v>120</v>
      </c>
      <c r="I686" s="236"/>
      <c r="J686" s="236">
        <v>0</v>
      </c>
      <c r="K686" s="236">
        <f t="shared" si="31"/>
        <v>120</v>
      </c>
      <c r="L686" s="237">
        <f t="shared" si="32"/>
        <v>98.4</v>
      </c>
    </row>
    <row r="687" spans="1:12">
      <c r="A687" s="223">
        <v>46190</v>
      </c>
      <c r="B687" s="80" t="s">
        <v>4501</v>
      </c>
      <c r="C687" s="80" t="s">
        <v>4621</v>
      </c>
      <c r="D687" s="107" t="s">
        <v>4073</v>
      </c>
      <c r="E687" s="80">
        <v>1</v>
      </c>
      <c r="F687" s="133">
        <v>6.03</v>
      </c>
      <c r="G687" s="133">
        <v>7</v>
      </c>
      <c r="H687" s="222">
        <f t="shared" si="30"/>
        <v>7</v>
      </c>
      <c r="I687" s="236"/>
      <c r="J687" s="236">
        <v>0</v>
      </c>
      <c r="K687" s="236">
        <f t="shared" si="31"/>
        <v>7</v>
      </c>
      <c r="L687" s="237">
        <f t="shared" si="32"/>
        <v>6.03</v>
      </c>
    </row>
    <row r="688" spans="1:12">
      <c r="A688" s="223">
        <v>46190</v>
      </c>
      <c r="B688" s="80" t="s">
        <v>4071</v>
      </c>
      <c r="C688" s="80" t="s">
        <v>4622</v>
      </c>
      <c r="D688" s="107" t="s">
        <v>4072</v>
      </c>
      <c r="E688" s="80">
        <v>2</v>
      </c>
      <c r="F688" s="133">
        <v>6.03</v>
      </c>
      <c r="G688" s="133">
        <v>7</v>
      </c>
      <c r="H688" s="222">
        <f t="shared" si="30"/>
        <v>14</v>
      </c>
      <c r="I688" s="236"/>
      <c r="J688" s="236">
        <v>0</v>
      </c>
      <c r="K688" s="236">
        <f t="shared" si="31"/>
        <v>14</v>
      </c>
      <c r="L688" s="237">
        <f t="shared" si="32"/>
        <v>12.06</v>
      </c>
    </row>
    <row r="689" spans="1:12">
      <c r="A689" s="223">
        <v>46190</v>
      </c>
      <c r="B689" s="80" t="s">
        <v>1311</v>
      </c>
      <c r="C689" s="80" t="s">
        <v>4623</v>
      </c>
      <c r="D689" s="107" t="s">
        <v>1312</v>
      </c>
      <c r="E689" s="80">
        <v>1</v>
      </c>
      <c r="F689" s="133">
        <v>8.1999999999999993</v>
      </c>
      <c r="G689" s="133">
        <v>9.5</v>
      </c>
      <c r="H689" s="222">
        <f t="shared" si="30"/>
        <v>9.5</v>
      </c>
      <c r="I689" s="236"/>
      <c r="J689" s="236">
        <v>0</v>
      </c>
      <c r="K689" s="236">
        <f t="shared" si="31"/>
        <v>9.5</v>
      </c>
      <c r="L689" s="237">
        <f t="shared" si="32"/>
        <v>8.1999999999999993</v>
      </c>
    </row>
    <row r="690" spans="1:12">
      <c r="A690" s="223">
        <v>46190</v>
      </c>
      <c r="B690" s="80" t="s">
        <v>2073</v>
      </c>
      <c r="C690" s="80" t="s">
        <v>4624</v>
      </c>
      <c r="D690" s="107" t="s">
        <v>2074</v>
      </c>
      <c r="E690" s="80">
        <v>1</v>
      </c>
      <c r="F690" s="133">
        <v>67.290000000000006</v>
      </c>
      <c r="G690" s="133">
        <v>77.5</v>
      </c>
      <c r="H690" s="222">
        <f t="shared" si="30"/>
        <v>77.5</v>
      </c>
      <c r="I690" s="236"/>
      <c r="J690" s="236">
        <v>0</v>
      </c>
      <c r="K690" s="236">
        <f t="shared" si="31"/>
        <v>77.5</v>
      </c>
      <c r="L690" s="237">
        <f t="shared" si="32"/>
        <v>67.290000000000006</v>
      </c>
    </row>
    <row r="691" spans="1:12">
      <c r="A691" s="223">
        <v>46190</v>
      </c>
      <c r="B691" s="80" t="s">
        <v>3545</v>
      </c>
      <c r="C691" s="80" t="s">
        <v>4625</v>
      </c>
      <c r="D691" s="107" t="s">
        <v>3546</v>
      </c>
      <c r="E691" s="80">
        <v>1</v>
      </c>
      <c r="F691" s="133">
        <v>97.35</v>
      </c>
      <c r="G691" s="133">
        <v>112</v>
      </c>
      <c r="H691" s="222">
        <f t="shared" si="30"/>
        <v>112</v>
      </c>
      <c r="I691" s="236"/>
      <c r="J691" s="236">
        <v>0</v>
      </c>
      <c r="K691" s="236">
        <f t="shared" si="31"/>
        <v>112</v>
      </c>
      <c r="L691" s="237">
        <f t="shared" si="32"/>
        <v>97.35</v>
      </c>
    </row>
    <row r="692" spans="1:12">
      <c r="A692" s="223">
        <v>46190</v>
      </c>
      <c r="B692" s="80" t="s">
        <v>502</v>
      </c>
      <c r="C692" s="80" t="s">
        <v>4626</v>
      </c>
      <c r="D692" s="107" t="s">
        <v>503</v>
      </c>
      <c r="E692" s="80">
        <v>2</v>
      </c>
      <c r="F692" s="133">
        <v>18.53</v>
      </c>
      <c r="G692" s="133">
        <v>21.5</v>
      </c>
      <c r="H692" s="222">
        <f t="shared" si="30"/>
        <v>43</v>
      </c>
      <c r="I692" s="236"/>
      <c r="J692" s="236">
        <v>0</v>
      </c>
      <c r="K692" s="236">
        <f t="shared" si="31"/>
        <v>43</v>
      </c>
      <c r="L692" s="237">
        <f t="shared" si="32"/>
        <v>37.06</v>
      </c>
    </row>
    <row r="693" spans="1:12">
      <c r="A693" s="223">
        <v>46190</v>
      </c>
      <c r="B693" s="80" t="s">
        <v>1141</v>
      </c>
      <c r="C693" s="80" t="s">
        <v>4627</v>
      </c>
      <c r="D693" s="107" t="s">
        <v>1142</v>
      </c>
      <c r="E693" s="80">
        <v>1</v>
      </c>
      <c r="F693" s="133">
        <v>14.65</v>
      </c>
      <c r="G693" s="133">
        <v>17</v>
      </c>
      <c r="H693" s="222">
        <f t="shared" si="30"/>
        <v>17</v>
      </c>
      <c r="I693" s="236"/>
      <c r="J693" s="236">
        <v>0</v>
      </c>
      <c r="K693" s="236">
        <f t="shared" si="31"/>
        <v>17</v>
      </c>
      <c r="L693" s="237">
        <f t="shared" si="32"/>
        <v>14.65</v>
      </c>
    </row>
    <row r="694" spans="1:12">
      <c r="A694" s="223">
        <v>46190</v>
      </c>
      <c r="B694" s="80" t="s">
        <v>493</v>
      </c>
      <c r="C694" s="80" t="s">
        <v>4628</v>
      </c>
      <c r="D694" s="107" t="s">
        <v>494</v>
      </c>
      <c r="E694" s="80">
        <v>1</v>
      </c>
      <c r="F694" s="133">
        <v>17.95</v>
      </c>
      <c r="G694" s="133">
        <v>20.75</v>
      </c>
      <c r="H694" s="222">
        <f t="shared" si="30"/>
        <v>20.75</v>
      </c>
      <c r="I694" s="236"/>
      <c r="J694" s="236">
        <v>0</v>
      </c>
      <c r="K694" s="236">
        <f t="shared" si="31"/>
        <v>20.75</v>
      </c>
      <c r="L694" s="237">
        <f t="shared" si="32"/>
        <v>17.95</v>
      </c>
    </row>
    <row r="695" spans="1:12">
      <c r="A695" s="223">
        <v>46190</v>
      </c>
      <c r="B695" s="80" t="s">
        <v>3653</v>
      </c>
      <c r="C695" s="80" t="s">
        <v>4629</v>
      </c>
      <c r="D695" s="107" t="s">
        <v>3654</v>
      </c>
      <c r="E695" s="80">
        <v>1</v>
      </c>
      <c r="F695" s="133">
        <v>9.3800000000000008</v>
      </c>
      <c r="G695" s="133">
        <v>11</v>
      </c>
      <c r="H695" s="222">
        <f t="shared" si="30"/>
        <v>11</v>
      </c>
      <c r="I695" s="236"/>
      <c r="J695" s="236">
        <v>0</v>
      </c>
      <c r="K695" s="236">
        <f t="shared" si="31"/>
        <v>11</v>
      </c>
      <c r="L695" s="237">
        <f t="shared" si="32"/>
        <v>9.3800000000000008</v>
      </c>
    </row>
    <row r="696" spans="1:12">
      <c r="A696" s="223">
        <v>46190</v>
      </c>
      <c r="B696" s="80" t="s">
        <v>2520</v>
      </c>
      <c r="C696" s="80" t="s">
        <v>4630</v>
      </c>
      <c r="D696" s="107" t="s">
        <v>2521</v>
      </c>
      <c r="E696" s="80">
        <v>1</v>
      </c>
      <c r="F696" s="133">
        <v>8.6</v>
      </c>
      <c r="G696" s="133">
        <v>10</v>
      </c>
      <c r="H696" s="222">
        <f t="shared" si="30"/>
        <v>10</v>
      </c>
      <c r="I696" s="236"/>
      <c r="J696" s="236">
        <v>0</v>
      </c>
      <c r="K696" s="236">
        <f t="shared" si="31"/>
        <v>10</v>
      </c>
      <c r="L696" s="237">
        <f t="shared" si="32"/>
        <v>8.6</v>
      </c>
    </row>
    <row r="697" spans="1:12">
      <c r="A697" s="223">
        <v>46190</v>
      </c>
      <c r="B697" s="80" t="s">
        <v>2348</v>
      </c>
      <c r="C697" s="80" t="s">
        <v>4631</v>
      </c>
      <c r="D697" s="107" t="s">
        <v>2349</v>
      </c>
      <c r="E697" s="80">
        <v>3</v>
      </c>
      <c r="F697" s="133">
        <v>529.58000000000004</v>
      </c>
      <c r="G697" s="133">
        <v>615</v>
      </c>
      <c r="H697" s="222">
        <f t="shared" si="30"/>
        <v>1845</v>
      </c>
      <c r="I697" s="236"/>
      <c r="J697" s="236">
        <v>0</v>
      </c>
      <c r="K697" s="236">
        <f t="shared" si="31"/>
        <v>1845</v>
      </c>
      <c r="L697" s="237">
        <f t="shared" si="32"/>
        <v>1588.7400000000002</v>
      </c>
    </row>
    <row r="698" spans="1:12">
      <c r="A698" s="223">
        <v>46190</v>
      </c>
      <c r="B698" s="80" t="s">
        <v>2031</v>
      </c>
      <c r="C698" s="80" t="s">
        <v>4631</v>
      </c>
      <c r="D698" s="107" t="s">
        <v>2032</v>
      </c>
      <c r="E698" s="80">
        <v>4</v>
      </c>
      <c r="F698" s="133">
        <v>27.84</v>
      </c>
      <c r="G698" s="133">
        <v>45</v>
      </c>
      <c r="H698" s="222">
        <f t="shared" si="30"/>
        <v>180</v>
      </c>
      <c r="I698" s="236"/>
      <c r="J698" s="236">
        <v>0</v>
      </c>
      <c r="K698" s="236">
        <f t="shared" si="31"/>
        <v>180</v>
      </c>
      <c r="L698" s="237">
        <f t="shared" si="32"/>
        <v>111.36</v>
      </c>
    </row>
    <row r="699" spans="1:12">
      <c r="A699" s="223">
        <v>46190</v>
      </c>
      <c r="B699" s="80" t="s">
        <v>1399</v>
      </c>
      <c r="C699" s="80" t="s">
        <v>4631</v>
      </c>
      <c r="D699" s="107" t="s">
        <v>1400</v>
      </c>
      <c r="E699" s="80">
        <v>1</v>
      </c>
      <c r="F699" s="133">
        <v>200.03</v>
      </c>
      <c r="G699" s="133">
        <v>230</v>
      </c>
      <c r="H699" s="222">
        <f t="shared" si="30"/>
        <v>230</v>
      </c>
      <c r="I699" s="236"/>
      <c r="J699" s="236">
        <v>0</v>
      </c>
      <c r="K699" s="236">
        <f t="shared" si="31"/>
        <v>230</v>
      </c>
      <c r="L699" s="237">
        <f t="shared" si="32"/>
        <v>200.03</v>
      </c>
    </row>
    <row r="700" spans="1:12">
      <c r="A700" s="223">
        <v>46190</v>
      </c>
      <c r="B700" s="80" t="s">
        <v>1452</v>
      </c>
      <c r="C700" s="80" t="s">
        <v>4631</v>
      </c>
      <c r="D700" s="107" t="s">
        <v>1453</v>
      </c>
      <c r="E700" s="80">
        <v>1</v>
      </c>
      <c r="F700" s="133">
        <v>109.57</v>
      </c>
      <c r="G700" s="133">
        <v>136.5</v>
      </c>
      <c r="H700" s="222">
        <f t="shared" si="30"/>
        <v>136.5</v>
      </c>
      <c r="I700" s="236"/>
      <c r="J700" s="236">
        <v>0</v>
      </c>
      <c r="K700" s="236">
        <f t="shared" si="31"/>
        <v>136.5</v>
      </c>
      <c r="L700" s="237">
        <f t="shared" si="32"/>
        <v>109.57</v>
      </c>
    </row>
    <row r="701" spans="1:12">
      <c r="A701" s="223">
        <v>46190</v>
      </c>
      <c r="B701" s="80" t="s">
        <v>2642</v>
      </c>
      <c r="C701" s="80" t="s">
        <v>4631</v>
      </c>
      <c r="D701" s="107" t="s">
        <v>2643</v>
      </c>
      <c r="E701" s="80">
        <v>4</v>
      </c>
      <c r="F701" s="133">
        <v>302.13</v>
      </c>
      <c r="G701" s="133">
        <v>362.75</v>
      </c>
      <c r="H701" s="222">
        <f t="shared" si="30"/>
        <v>1451</v>
      </c>
      <c r="I701" s="236"/>
      <c r="J701" s="236">
        <v>0</v>
      </c>
      <c r="K701" s="236">
        <f t="shared" si="31"/>
        <v>1451</v>
      </c>
      <c r="L701" s="237">
        <f t="shared" si="32"/>
        <v>1208.52</v>
      </c>
    </row>
    <row r="702" spans="1:12">
      <c r="A702" s="223">
        <v>46190</v>
      </c>
      <c r="B702" s="80" t="s">
        <v>2674</v>
      </c>
      <c r="C702" s="80" t="s">
        <v>4632</v>
      </c>
      <c r="D702" s="107" t="s">
        <v>2675</v>
      </c>
      <c r="E702" s="80">
        <v>1</v>
      </c>
      <c r="F702" s="133">
        <v>47.5</v>
      </c>
      <c r="G702" s="133">
        <v>54.75</v>
      </c>
      <c r="H702" s="222">
        <f t="shared" si="30"/>
        <v>54.75</v>
      </c>
      <c r="I702" s="236"/>
      <c r="J702" s="236">
        <v>0</v>
      </c>
      <c r="K702" s="236">
        <f t="shared" si="31"/>
        <v>54.75</v>
      </c>
      <c r="L702" s="237">
        <f t="shared" si="32"/>
        <v>47.5</v>
      </c>
    </row>
    <row r="703" spans="1:12">
      <c r="A703" s="223">
        <v>46190</v>
      </c>
      <c r="B703" s="80" t="s">
        <v>4633</v>
      </c>
      <c r="C703" s="80" t="s">
        <v>4634</v>
      </c>
      <c r="D703" s="107" t="s">
        <v>4635</v>
      </c>
      <c r="E703" s="80">
        <v>1</v>
      </c>
      <c r="F703" s="133">
        <v>6.15</v>
      </c>
      <c r="G703" s="133">
        <v>7.25</v>
      </c>
      <c r="H703" s="222">
        <f t="shared" si="30"/>
        <v>7.25</v>
      </c>
      <c r="I703" s="236"/>
      <c r="J703" s="236">
        <v>0</v>
      </c>
      <c r="K703" s="236">
        <f t="shared" si="31"/>
        <v>7.25</v>
      </c>
      <c r="L703" s="237">
        <f t="shared" si="32"/>
        <v>6.15</v>
      </c>
    </row>
    <row r="704" spans="1:12">
      <c r="A704" s="223">
        <v>46190</v>
      </c>
      <c r="B704" s="80" t="s">
        <v>3527</v>
      </c>
      <c r="C704" s="80" t="s">
        <v>4636</v>
      </c>
      <c r="D704" s="107" t="s">
        <v>3528</v>
      </c>
      <c r="E704" s="80">
        <v>1</v>
      </c>
      <c r="F704" s="133">
        <v>20.399999999999999</v>
      </c>
      <c r="G704" s="133">
        <v>23.5</v>
      </c>
      <c r="H704" s="222">
        <f t="shared" si="30"/>
        <v>23.5</v>
      </c>
      <c r="I704" s="236"/>
      <c r="J704" s="236">
        <v>0</v>
      </c>
      <c r="K704" s="236">
        <f t="shared" si="31"/>
        <v>23.5</v>
      </c>
      <c r="L704" s="237">
        <f t="shared" si="32"/>
        <v>20.399999999999999</v>
      </c>
    </row>
    <row r="705" spans="1:12">
      <c r="A705" s="223">
        <v>46190</v>
      </c>
      <c r="B705" s="80" t="s">
        <v>3519</v>
      </c>
      <c r="C705" s="80" t="s">
        <v>4636</v>
      </c>
      <c r="D705" s="107" t="s">
        <v>3520</v>
      </c>
      <c r="E705" s="80">
        <v>1</v>
      </c>
      <c r="F705" s="133">
        <v>20.399999999999999</v>
      </c>
      <c r="G705" s="133">
        <v>24</v>
      </c>
      <c r="H705" s="222">
        <f t="shared" si="30"/>
        <v>24</v>
      </c>
      <c r="I705" s="236"/>
      <c r="J705" s="236">
        <v>0</v>
      </c>
      <c r="K705" s="236">
        <f t="shared" si="31"/>
        <v>24</v>
      </c>
      <c r="L705" s="237">
        <f t="shared" si="32"/>
        <v>20.399999999999999</v>
      </c>
    </row>
    <row r="706" spans="1:12">
      <c r="A706" s="301">
        <v>46190</v>
      </c>
      <c r="B706" s="302" t="s">
        <v>1338</v>
      </c>
      <c r="C706" s="302" t="s">
        <v>4637</v>
      </c>
      <c r="D706" s="303" t="s">
        <v>1339</v>
      </c>
      <c r="E706" s="302">
        <v>10</v>
      </c>
      <c r="F706" s="304">
        <v>47.73</v>
      </c>
      <c r="G706" s="304">
        <v>55</v>
      </c>
      <c r="H706" s="305"/>
      <c r="I706" s="306">
        <v>550</v>
      </c>
      <c r="J706" s="306">
        <v>0</v>
      </c>
      <c r="K706" s="306">
        <f t="shared" si="31"/>
        <v>550</v>
      </c>
      <c r="L706" s="307">
        <f t="shared" si="32"/>
        <v>477.29999999999995</v>
      </c>
    </row>
    <row r="707" spans="1:12">
      <c r="A707" s="301">
        <v>46190</v>
      </c>
      <c r="B707" s="302" t="s">
        <v>1942</v>
      </c>
      <c r="C707" s="302" t="s">
        <v>4637</v>
      </c>
      <c r="D707" s="303" t="s">
        <v>1943</v>
      </c>
      <c r="E707" s="302">
        <v>15</v>
      </c>
      <c r="F707" s="304">
        <v>10</v>
      </c>
      <c r="G707" s="304">
        <v>12.5</v>
      </c>
      <c r="H707" s="305"/>
      <c r="I707" s="306">
        <v>187.5</v>
      </c>
      <c r="J707" s="306">
        <v>0</v>
      </c>
      <c r="K707" s="306">
        <f t="shared" si="31"/>
        <v>187.5</v>
      </c>
      <c r="L707" s="307">
        <f t="shared" si="32"/>
        <v>150</v>
      </c>
    </row>
    <row r="708" spans="1:12">
      <c r="A708" s="301">
        <v>46190</v>
      </c>
      <c r="B708" s="302" t="s">
        <v>1999</v>
      </c>
      <c r="C708" s="302" t="s">
        <v>4637</v>
      </c>
      <c r="D708" s="303" t="s">
        <v>2000</v>
      </c>
      <c r="E708" s="302">
        <v>3</v>
      </c>
      <c r="F708" s="304">
        <v>34.880000000000003</v>
      </c>
      <c r="G708" s="304">
        <v>40.25</v>
      </c>
      <c r="H708" s="305"/>
      <c r="I708" s="306">
        <v>120.75</v>
      </c>
      <c r="J708" s="306">
        <v>0</v>
      </c>
      <c r="K708" s="306">
        <f t="shared" si="31"/>
        <v>120.75</v>
      </c>
      <c r="L708" s="307">
        <f t="shared" si="32"/>
        <v>104.64000000000001</v>
      </c>
    </row>
    <row r="709" spans="1:12">
      <c r="A709" s="301">
        <v>46190</v>
      </c>
      <c r="B709" s="302" t="s">
        <v>2019</v>
      </c>
      <c r="C709" s="302" t="s">
        <v>4637</v>
      </c>
      <c r="D709" s="303" t="s">
        <v>2020</v>
      </c>
      <c r="E709" s="302">
        <v>24</v>
      </c>
      <c r="F709" s="304">
        <v>6.02</v>
      </c>
      <c r="G709" s="304">
        <v>7.25</v>
      </c>
      <c r="H709" s="305"/>
      <c r="I709" s="306">
        <v>174</v>
      </c>
      <c r="J709" s="306">
        <v>0</v>
      </c>
      <c r="K709" s="306">
        <f t="shared" ref="K709:K772" si="33">H709+I709-J709</f>
        <v>174</v>
      </c>
      <c r="L709" s="307">
        <f t="shared" ref="L709:L772" si="34">E709*F709</f>
        <v>144.47999999999999</v>
      </c>
    </row>
    <row r="710" spans="1:12">
      <c r="A710" s="301">
        <v>46190</v>
      </c>
      <c r="B710" s="302" t="s">
        <v>2017</v>
      </c>
      <c r="C710" s="302" t="s">
        <v>4637</v>
      </c>
      <c r="D710" s="303" t="s">
        <v>2018</v>
      </c>
      <c r="E710" s="302">
        <v>24</v>
      </c>
      <c r="F710" s="304">
        <v>6.02</v>
      </c>
      <c r="G710" s="304">
        <v>7.25</v>
      </c>
      <c r="H710" s="305"/>
      <c r="I710" s="306">
        <v>174</v>
      </c>
      <c r="J710" s="306">
        <v>0</v>
      </c>
      <c r="K710" s="306">
        <f t="shared" si="33"/>
        <v>174</v>
      </c>
      <c r="L710" s="307">
        <f t="shared" si="34"/>
        <v>144.47999999999999</v>
      </c>
    </row>
    <row r="711" spans="1:12">
      <c r="A711" s="301">
        <v>46190</v>
      </c>
      <c r="B711" s="302" t="s">
        <v>1993</v>
      </c>
      <c r="C711" s="302" t="s">
        <v>4637</v>
      </c>
      <c r="D711" s="303" t="s">
        <v>1994</v>
      </c>
      <c r="E711" s="302">
        <v>24</v>
      </c>
      <c r="F711" s="304">
        <v>6.02</v>
      </c>
      <c r="G711" s="304">
        <v>7.25</v>
      </c>
      <c r="H711" s="305"/>
      <c r="I711" s="306">
        <v>174</v>
      </c>
      <c r="J711" s="306">
        <v>0</v>
      </c>
      <c r="K711" s="306">
        <f t="shared" si="33"/>
        <v>174</v>
      </c>
      <c r="L711" s="307">
        <f t="shared" si="34"/>
        <v>144.47999999999999</v>
      </c>
    </row>
    <row r="712" spans="1:12">
      <c r="A712" s="301">
        <v>46190</v>
      </c>
      <c r="B712" s="302" t="s">
        <v>1930</v>
      </c>
      <c r="C712" s="302" t="s">
        <v>4637</v>
      </c>
      <c r="D712" s="303" t="s">
        <v>1931</v>
      </c>
      <c r="E712" s="302">
        <v>10</v>
      </c>
      <c r="F712" s="304">
        <v>32.86</v>
      </c>
      <c r="G712" s="304">
        <v>38</v>
      </c>
      <c r="H712" s="305"/>
      <c r="I712" s="306">
        <v>380</v>
      </c>
      <c r="J712" s="306">
        <v>0</v>
      </c>
      <c r="K712" s="306">
        <f t="shared" si="33"/>
        <v>380</v>
      </c>
      <c r="L712" s="307">
        <f t="shared" si="34"/>
        <v>328.6</v>
      </c>
    </row>
    <row r="713" spans="1:12">
      <c r="A713" s="301">
        <v>46190</v>
      </c>
      <c r="B713" s="302" t="s">
        <v>1932</v>
      </c>
      <c r="C713" s="302" t="s">
        <v>4637</v>
      </c>
      <c r="D713" s="303" t="s">
        <v>1933</v>
      </c>
      <c r="E713" s="302">
        <v>6</v>
      </c>
      <c r="F713" s="304">
        <v>65.95</v>
      </c>
      <c r="G713" s="304">
        <v>76</v>
      </c>
      <c r="H713" s="305"/>
      <c r="I713" s="306">
        <v>456</v>
      </c>
      <c r="J713" s="306">
        <v>0</v>
      </c>
      <c r="K713" s="306">
        <f t="shared" si="33"/>
        <v>456</v>
      </c>
      <c r="L713" s="307">
        <f t="shared" si="34"/>
        <v>395.70000000000005</v>
      </c>
    </row>
    <row r="714" spans="1:12">
      <c r="A714" s="301">
        <v>46190</v>
      </c>
      <c r="B714" s="302" t="s">
        <v>1499</v>
      </c>
      <c r="C714" s="302" t="s">
        <v>4637</v>
      </c>
      <c r="D714" s="303" t="s">
        <v>1500</v>
      </c>
      <c r="E714" s="302">
        <v>10</v>
      </c>
      <c r="F714" s="304">
        <v>25.8</v>
      </c>
      <c r="G714" s="304">
        <v>29.75</v>
      </c>
      <c r="H714" s="305"/>
      <c r="I714" s="306">
        <v>297.5</v>
      </c>
      <c r="J714" s="306">
        <v>0</v>
      </c>
      <c r="K714" s="306">
        <f t="shared" si="33"/>
        <v>297.5</v>
      </c>
      <c r="L714" s="307">
        <f t="shared" si="34"/>
        <v>258</v>
      </c>
    </row>
    <row r="715" spans="1:12">
      <c r="A715" s="301">
        <v>46190</v>
      </c>
      <c r="B715" s="302" t="s">
        <v>2686</v>
      </c>
      <c r="C715" s="302" t="s">
        <v>4637</v>
      </c>
      <c r="D715" s="303" t="s">
        <v>2687</v>
      </c>
      <c r="E715" s="302">
        <v>5</v>
      </c>
      <c r="F715" s="304">
        <v>63.95</v>
      </c>
      <c r="G715" s="304">
        <v>73.75</v>
      </c>
      <c r="H715" s="305"/>
      <c r="I715" s="306">
        <v>368.75</v>
      </c>
      <c r="J715" s="306">
        <v>0</v>
      </c>
      <c r="K715" s="306">
        <f t="shared" si="33"/>
        <v>368.75</v>
      </c>
      <c r="L715" s="307">
        <f t="shared" si="34"/>
        <v>319.75</v>
      </c>
    </row>
    <row r="716" spans="1:12">
      <c r="A716" s="301">
        <v>46190</v>
      </c>
      <c r="B716" s="302" t="s">
        <v>2682</v>
      </c>
      <c r="C716" s="302" t="s">
        <v>4637</v>
      </c>
      <c r="D716" s="303" t="s">
        <v>2683</v>
      </c>
      <c r="E716" s="302">
        <v>10</v>
      </c>
      <c r="F716" s="304">
        <v>63.95</v>
      </c>
      <c r="G716" s="304">
        <v>73.75</v>
      </c>
      <c r="H716" s="305"/>
      <c r="I716" s="306">
        <v>737.5</v>
      </c>
      <c r="J716" s="306">
        <v>0</v>
      </c>
      <c r="K716" s="306">
        <f t="shared" si="33"/>
        <v>737.5</v>
      </c>
      <c r="L716" s="307">
        <f t="shared" si="34"/>
        <v>639.5</v>
      </c>
    </row>
    <row r="717" spans="1:12">
      <c r="A717" s="301">
        <v>46190</v>
      </c>
      <c r="B717" s="302" t="s">
        <v>1511</v>
      </c>
      <c r="C717" s="302" t="s">
        <v>4637</v>
      </c>
      <c r="D717" s="303" t="s">
        <v>1512</v>
      </c>
      <c r="E717" s="302">
        <v>12</v>
      </c>
      <c r="F717" s="304">
        <v>29.17</v>
      </c>
      <c r="G717" s="304">
        <v>33.75</v>
      </c>
      <c r="H717" s="305"/>
      <c r="I717" s="306">
        <v>405</v>
      </c>
      <c r="J717" s="306">
        <v>0</v>
      </c>
      <c r="K717" s="306">
        <f t="shared" si="33"/>
        <v>405</v>
      </c>
      <c r="L717" s="307">
        <f t="shared" si="34"/>
        <v>350.04</v>
      </c>
    </row>
    <row r="718" spans="1:12">
      <c r="A718" s="301">
        <v>46190</v>
      </c>
      <c r="B718" s="302" t="s">
        <v>2393</v>
      </c>
      <c r="C718" s="302" t="s">
        <v>4637</v>
      </c>
      <c r="D718" s="303" t="s">
        <v>2394</v>
      </c>
      <c r="E718" s="302">
        <v>6</v>
      </c>
      <c r="F718" s="304">
        <v>7.3</v>
      </c>
      <c r="G718" s="304">
        <v>8.5</v>
      </c>
      <c r="H718" s="305"/>
      <c r="I718" s="306">
        <v>51</v>
      </c>
      <c r="J718" s="306">
        <v>0</v>
      </c>
      <c r="K718" s="306">
        <f t="shared" si="33"/>
        <v>51</v>
      </c>
      <c r="L718" s="307">
        <f t="shared" si="34"/>
        <v>43.8</v>
      </c>
    </row>
    <row r="719" spans="1:12">
      <c r="A719" s="301">
        <v>46190</v>
      </c>
      <c r="B719" s="302" t="s">
        <v>2391</v>
      </c>
      <c r="C719" s="302" t="s">
        <v>4637</v>
      </c>
      <c r="D719" s="303" t="s">
        <v>2392</v>
      </c>
      <c r="E719" s="302">
        <v>4</v>
      </c>
      <c r="F719" s="304">
        <v>6.92</v>
      </c>
      <c r="G719" s="304">
        <v>7.75</v>
      </c>
      <c r="H719" s="305"/>
      <c r="I719" s="306">
        <v>31</v>
      </c>
      <c r="J719" s="306">
        <v>0</v>
      </c>
      <c r="K719" s="306">
        <f t="shared" si="33"/>
        <v>31</v>
      </c>
      <c r="L719" s="307">
        <f t="shared" si="34"/>
        <v>27.68</v>
      </c>
    </row>
    <row r="720" spans="1:12">
      <c r="A720" s="301">
        <v>46190</v>
      </c>
      <c r="B720" s="302" t="s">
        <v>2648</v>
      </c>
      <c r="C720" s="302" t="s">
        <v>4637</v>
      </c>
      <c r="D720" s="303" t="s">
        <v>2649</v>
      </c>
      <c r="E720" s="302">
        <v>17</v>
      </c>
      <c r="F720" s="304">
        <v>17.059999999999999</v>
      </c>
      <c r="G720" s="304">
        <v>19.75</v>
      </c>
      <c r="H720" s="305"/>
      <c r="I720" s="306">
        <v>335.75</v>
      </c>
      <c r="J720" s="306">
        <v>0</v>
      </c>
      <c r="K720" s="306">
        <f t="shared" si="33"/>
        <v>335.75</v>
      </c>
      <c r="L720" s="307">
        <f t="shared" si="34"/>
        <v>290.02</v>
      </c>
    </row>
    <row r="721" spans="1:12">
      <c r="A721" s="301">
        <v>46190</v>
      </c>
      <c r="B721" s="302" t="s">
        <v>3008</v>
      </c>
      <c r="C721" s="302" t="s">
        <v>4637</v>
      </c>
      <c r="D721" s="303" t="s">
        <v>3009</v>
      </c>
      <c r="E721" s="302">
        <v>10</v>
      </c>
      <c r="F721" s="304">
        <v>11.17</v>
      </c>
      <c r="G721" s="304">
        <v>13</v>
      </c>
      <c r="H721" s="305"/>
      <c r="I721" s="306">
        <v>130</v>
      </c>
      <c r="J721" s="306">
        <v>0</v>
      </c>
      <c r="K721" s="306">
        <f t="shared" si="33"/>
        <v>130</v>
      </c>
      <c r="L721" s="307">
        <f t="shared" si="34"/>
        <v>111.7</v>
      </c>
    </row>
    <row r="722" spans="1:12">
      <c r="A722" s="301">
        <v>46190</v>
      </c>
      <c r="B722" s="302" t="s">
        <v>3052</v>
      </c>
      <c r="C722" s="302" t="s">
        <v>4637</v>
      </c>
      <c r="D722" s="303" t="s">
        <v>3053</v>
      </c>
      <c r="E722" s="302">
        <v>3</v>
      </c>
      <c r="F722" s="304">
        <v>37.5</v>
      </c>
      <c r="G722" s="304">
        <v>43.25</v>
      </c>
      <c r="H722" s="305"/>
      <c r="I722" s="306">
        <v>129.75</v>
      </c>
      <c r="J722" s="306">
        <v>0</v>
      </c>
      <c r="K722" s="306">
        <f t="shared" si="33"/>
        <v>129.75</v>
      </c>
      <c r="L722" s="307">
        <f t="shared" si="34"/>
        <v>112.5</v>
      </c>
    </row>
    <row r="723" spans="1:12">
      <c r="A723" s="301">
        <v>46190</v>
      </c>
      <c r="B723" s="302" t="s">
        <v>3038</v>
      </c>
      <c r="C723" s="302" t="s">
        <v>4637</v>
      </c>
      <c r="D723" s="303" t="s">
        <v>3039</v>
      </c>
      <c r="E723" s="302">
        <v>60</v>
      </c>
      <c r="F723" s="304">
        <v>6.37</v>
      </c>
      <c r="G723" s="304">
        <v>7.5</v>
      </c>
      <c r="H723" s="305"/>
      <c r="I723" s="306">
        <v>450</v>
      </c>
      <c r="J723" s="306">
        <v>0</v>
      </c>
      <c r="K723" s="306">
        <f t="shared" si="33"/>
        <v>450</v>
      </c>
      <c r="L723" s="307">
        <f t="shared" si="34"/>
        <v>382.2</v>
      </c>
    </row>
    <row r="724" spans="1:12">
      <c r="A724" s="301">
        <v>46190</v>
      </c>
      <c r="B724" s="302" t="s">
        <v>3048</v>
      </c>
      <c r="C724" s="302" t="s">
        <v>4637</v>
      </c>
      <c r="D724" s="303" t="s">
        <v>3049</v>
      </c>
      <c r="E724" s="302">
        <v>22</v>
      </c>
      <c r="F724" s="304">
        <v>6.37</v>
      </c>
      <c r="G724" s="304">
        <v>7.5</v>
      </c>
      <c r="H724" s="305"/>
      <c r="I724" s="306">
        <v>165</v>
      </c>
      <c r="J724" s="306">
        <v>0</v>
      </c>
      <c r="K724" s="306">
        <f t="shared" si="33"/>
        <v>165</v>
      </c>
      <c r="L724" s="307">
        <f t="shared" si="34"/>
        <v>140.14000000000001</v>
      </c>
    </row>
    <row r="725" spans="1:12">
      <c r="A725" s="301">
        <v>46190</v>
      </c>
      <c r="B725" s="302" t="s">
        <v>630</v>
      </c>
      <c r="C725" s="302" t="s">
        <v>4637</v>
      </c>
      <c r="D725" s="303" t="s">
        <v>631</v>
      </c>
      <c r="E725" s="302">
        <v>15</v>
      </c>
      <c r="F725" s="304">
        <v>7.62</v>
      </c>
      <c r="G725" s="304">
        <v>8.75</v>
      </c>
      <c r="H725" s="305"/>
      <c r="I725" s="306">
        <v>131.25</v>
      </c>
      <c r="J725" s="306">
        <v>0</v>
      </c>
      <c r="K725" s="306">
        <f t="shared" si="33"/>
        <v>131.25</v>
      </c>
      <c r="L725" s="307">
        <f t="shared" si="34"/>
        <v>114.3</v>
      </c>
    </row>
    <row r="726" spans="1:12">
      <c r="A726" s="301">
        <v>46190</v>
      </c>
      <c r="B726" s="302" t="s">
        <v>2479</v>
      </c>
      <c r="C726" s="302" t="s">
        <v>4637</v>
      </c>
      <c r="D726" s="303" t="s">
        <v>2480</v>
      </c>
      <c r="E726" s="302">
        <v>2</v>
      </c>
      <c r="F726" s="304">
        <v>227.85</v>
      </c>
      <c r="G726" s="304">
        <v>262.25</v>
      </c>
      <c r="H726" s="305"/>
      <c r="I726" s="306">
        <v>524.5</v>
      </c>
      <c r="J726" s="306">
        <v>0</v>
      </c>
      <c r="K726" s="306">
        <f t="shared" si="33"/>
        <v>524.5</v>
      </c>
      <c r="L726" s="307">
        <f t="shared" si="34"/>
        <v>455.7</v>
      </c>
    </row>
    <row r="727" spans="1:12">
      <c r="A727" s="301">
        <v>46190</v>
      </c>
      <c r="B727" s="302" t="s">
        <v>2459</v>
      </c>
      <c r="C727" s="302" t="s">
        <v>4637</v>
      </c>
      <c r="D727" s="303" t="s">
        <v>2460</v>
      </c>
      <c r="E727" s="302">
        <v>2</v>
      </c>
      <c r="F727" s="304">
        <v>209.3</v>
      </c>
      <c r="G727" s="304">
        <v>257.25</v>
      </c>
      <c r="H727" s="305"/>
      <c r="I727" s="306">
        <v>514.5</v>
      </c>
      <c r="J727" s="306">
        <v>0</v>
      </c>
      <c r="K727" s="306">
        <f t="shared" si="33"/>
        <v>514.5</v>
      </c>
      <c r="L727" s="307">
        <f t="shared" si="34"/>
        <v>418.6</v>
      </c>
    </row>
    <row r="728" spans="1:12">
      <c r="A728" s="301">
        <v>46190</v>
      </c>
      <c r="B728" s="302" t="s">
        <v>2467</v>
      </c>
      <c r="C728" s="302" t="s">
        <v>4637</v>
      </c>
      <c r="D728" s="303" t="s">
        <v>2468</v>
      </c>
      <c r="E728" s="302">
        <v>2</v>
      </c>
      <c r="F728" s="304">
        <v>190.8</v>
      </c>
      <c r="G728" s="304">
        <v>234.5</v>
      </c>
      <c r="H728" s="305"/>
      <c r="I728" s="306">
        <v>469</v>
      </c>
      <c r="J728" s="306">
        <v>0</v>
      </c>
      <c r="K728" s="306">
        <f t="shared" si="33"/>
        <v>469</v>
      </c>
      <c r="L728" s="307">
        <f t="shared" si="34"/>
        <v>381.6</v>
      </c>
    </row>
    <row r="729" spans="1:12">
      <c r="A729" s="301">
        <v>46190</v>
      </c>
      <c r="B729" s="302" t="s">
        <v>2473</v>
      </c>
      <c r="C729" s="302" t="s">
        <v>4637</v>
      </c>
      <c r="D729" s="303" t="s">
        <v>2474</v>
      </c>
      <c r="E729" s="302">
        <v>3</v>
      </c>
      <c r="F729" s="304">
        <v>246.35</v>
      </c>
      <c r="G729" s="304">
        <v>283</v>
      </c>
      <c r="H729" s="305"/>
      <c r="I729" s="306">
        <v>849</v>
      </c>
      <c r="J729" s="306">
        <v>0</v>
      </c>
      <c r="K729" s="306">
        <f t="shared" si="33"/>
        <v>849</v>
      </c>
      <c r="L729" s="307">
        <f t="shared" si="34"/>
        <v>739.05</v>
      </c>
    </row>
    <row r="730" spans="1:12">
      <c r="A730" s="301">
        <v>46190</v>
      </c>
      <c r="B730" s="302" t="s">
        <v>2471</v>
      </c>
      <c r="C730" s="302" t="s">
        <v>4637</v>
      </c>
      <c r="D730" s="303" t="s">
        <v>2472</v>
      </c>
      <c r="E730" s="302">
        <v>2</v>
      </c>
      <c r="F730" s="304">
        <v>82.1</v>
      </c>
      <c r="G730" s="304">
        <v>94.5</v>
      </c>
      <c r="H730" s="305"/>
      <c r="I730" s="306">
        <v>189</v>
      </c>
      <c r="J730" s="306">
        <v>0</v>
      </c>
      <c r="K730" s="306">
        <f t="shared" si="33"/>
        <v>189</v>
      </c>
      <c r="L730" s="307">
        <f t="shared" si="34"/>
        <v>164.2</v>
      </c>
    </row>
    <row r="731" spans="1:12">
      <c r="A731" s="301">
        <v>46190</v>
      </c>
      <c r="B731" s="302" t="s">
        <v>2696</v>
      </c>
      <c r="C731" s="302" t="s">
        <v>4637</v>
      </c>
      <c r="D731" s="303" t="s">
        <v>2697</v>
      </c>
      <c r="E731" s="302">
        <v>6</v>
      </c>
      <c r="F731" s="304">
        <v>53.55</v>
      </c>
      <c r="G731" s="304">
        <v>61.75</v>
      </c>
      <c r="H731" s="305"/>
      <c r="I731" s="306">
        <v>370.5</v>
      </c>
      <c r="J731" s="306">
        <v>0</v>
      </c>
      <c r="K731" s="306">
        <f t="shared" si="33"/>
        <v>370.5</v>
      </c>
      <c r="L731" s="307">
        <f t="shared" si="34"/>
        <v>321.29999999999995</v>
      </c>
    </row>
    <row r="732" spans="1:12">
      <c r="A732" s="301">
        <v>46190</v>
      </c>
      <c r="B732" s="302" t="s">
        <v>2698</v>
      </c>
      <c r="C732" s="302" t="s">
        <v>4637</v>
      </c>
      <c r="D732" s="303" t="s">
        <v>2699</v>
      </c>
      <c r="E732" s="302">
        <v>6</v>
      </c>
      <c r="F732" s="304">
        <v>46.5</v>
      </c>
      <c r="G732" s="304">
        <v>53.5</v>
      </c>
      <c r="H732" s="305"/>
      <c r="I732" s="306">
        <v>321</v>
      </c>
      <c r="J732" s="306">
        <v>0</v>
      </c>
      <c r="K732" s="306">
        <f t="shared" si="33"/>
        <v>321</v>
      </c>
      <c r="L732" s="307">
        <f t="shared" si="34"/>
        <v>279</v>
      </c>
    </row>
    <row r="733" spans="1:12">
      <c r="A733" s="301">
        <v>46190</v>
      </c>
      <c r="B733" s="302" t="s">
        <v>2413</v>
      </c>
      <c r="C733" s="302" t="s">
        <v>4637</v>
      </c>
      <c r="D733" s="303" t="s">
        <v>2414</v>
      </c>
      <c r="E733" s="302">
        <v>6</v>
      </c>
      <c r="F733" s="304">
        <v>45.36</v>
      </c>
      <c r="G733" s="304">
        <v>53.25</v>
      </c>
      <c r="H733" s="305"/>
      <c r="I733" s="306">
        <v>319.5</v>
      </c>
      <c r="J733" s="306">
        <v>0</v>
      </c>
      <c r="K733" s="306">
        <f t="shared" si="33"/>
        <v>319.5</v>
      </c>
      <c r="L733" s="307">
        <f t="shared" si="34"/>
        <v>272.15999999999997</v>
      </c>
    </row>
    <row r="734" spans="1:12">
      <c r="A734" s="301">
        <v>46190</v>
      </c>
      <c r="B734" s="302" t="s">
        <v>2403</v>
      </c>
      <c r="C734" s="302" t="s">
        <v>4637</v>
      </c>
      <c r="D734" s="303" t="s">
        <v>2404</v>
      </c>
      <c r="E734" s="302">
        <v>6</v>
      </c>
      <c r="F734" s="304">
        <v>31.15</v>
      </c>
      <c r="G734" s="304">
        <v>36</v>
      </c>
      <c r="H734" s="305"/>
      <c r="I734" s="306">
        <v>216</v>
      </c>
      <c r="J734" s="306">
        <v>0</v>
      </c>
      <c r="K734" s="306">
        <f t="shared" si="33"/>
        <v>216</v>
      </c>
      <c r="L734" s="307">
        <f t="shared" si="34"/>
        <v>186.89999999999998</v>
      </c>
    </row>
    <row r="735" spans="1:12">
      <c r="A735" s="301">
        <v>46190</v>
      </c>
      <c r="B735" s="302" t="s">
        <v>2399</v>
      </c>
      <c r="C735" s="302" t="s">
        <v>4637</v>
      </c>
      <c r="D735" s="303" t="s">
        <v>2400</v>
      </c>
      <c r="E735" s="302">
        <v>6</v>
      </c>
      <c r="F735" s="304">
        <v>57.1</v>
      </c>
      <c r="G735" s="304">
        <v>65.75</v>
      </c>
      <c r="H735" s="305"/>
      <c r="I735" s="306">
        <v>394.5</v>
      </c>
      <c r="J735" s="306">
        <v>0</v>
      </c>
      <c r="K735" s="306">
        <f t="shared" si="33"/>
        <v>394.5</v>
      </c>
      <c r="L735" s="307">
        <f t="shared" si="34"/>
        <v>342.6</v>
      </c>
    </row>
    <row r="736" spans="1:12">
      <c r="A736" s="301">
        <v>46190</v>
      </c>
      <c r="B736" s="302" t="s">
        <v>2740</v>
      </c>
      <c r="C736" s="302" t="s">
        <v>4637</v>
      </c>
      <c r="D736" s="303" t="s">
        <v>2741</v>
      </c>
      <c r="E736" s="302">
        <v>7</v>
      </c>
      <c r="F736" s="304">
        <v>56.66</v>
      </c>
      <c r="G736" s="304">
        <v>65.25</v>
      </c>
      <c r="H736" s="305"/>
      <c r="I736" s="306">
        <v>456.75</v>
      </c>
      <c r="J736" s="306">
        <v>0</v>
      </c>
      <c r="K736" s="306">
        <f t="shared" si="33"/>
        <v>456.75</v>
      </c>
      <c r="L736" s="307">
        <f t="shared" si="34"/>
        <v>396.62</v>
      </c>
    </row>
    <row r="737" spans="1:12">
      <c r="A737" s="301">
        <v>46190</v>
      </c>
      <c r="B737" s="302" t="s">
        <v>2283</v>
      </c>
      <c r="C737" s="302" t="s">
        <v>4637</v>
      </c>
      <c r="D737" s="303" t="s">
        <v>2284</v>
      </c>
      <c r="E737" s="302">
        <v>4</v>
      </c>
      <c r="F737" s="304">
        <v>67.88</v>
      </c>
      <c r="G737" s="304">
        <v>78.25</v>
      </c>
      <c r="H737" s="305"/>
      <c r="I737" s="306">
        <v>313</v>
      </c>
      <c r="J737" s="306">
        <v>0</v>
      </c>
      <c r="K737" s="306">
        <f t="shared" si="33"/>
        <v>313</v>
      </c>
      <c r="L737" s="307">
        <f t="shared" si="34"/>
        <v>271.52</v>
      </c>
    </row>
    <row r="738" spans="1:12">
      <c r="A738" s="301">
        <v>46190</v>
      </c>
      <c r="B738" s="302" t="s">
        <v>2287</v>
      </c>
      <c r="C738" s="302" t="s">
        <v>4637</v>
      </c>
      <c r="D738" s="303" t="s">
        <v>2288</v>
      </c>
      <c r="E738" s="302">
        <v>6</v>
      </c>
      <c r="F738" s="304">
        <v>67.88</v>
      </c>
      <c r="G738" s="304">
        <v>78.25</v>
      </c>
      <c r="H738" s="305"/>
      <c r="I738" s="306">
        <v>469.5</v>
      </c>
      <c r="J738" s="306">
        <v>0</v>
      </c>
      <c r="K738" s="306">
        <f t="shared" si="33"/>
        <v>469.5</v>
      </c>
      <c r="L738" s="307">
        <f t="shared" si="34"/>
        <v>407.28</v>
      </c>
    </row>
    <row r="739" spans="1:12">
      <c r="A739" s="301">
        <v>46190</v>
      </c>
      <c r="B739" s="302" t="s">
        <v>2275</v>
      </c>
      <c r="C739" s="302" t="s">
        <v>4637</v>
      </c>
      <c r="D739" s="303" t="s">
        <v>2276</v>
      </c>
      <c r="E739" s="302">
        <v>84</v>
      </c>
      <c r="F739" s="304">
        <v>8.77</v>
      </c>
      <c r="G739" s="304">
        <v>10.25</v>
      </c>
      <c r="H739" s="305"/>
      <c r="I739" s="306">
        <v>861</v>
      </c>
      <c r="J739" s="306">
        <v>0</v>
      </c>
      <c r="K739" s="306">
        <f t="shared" si="33"/>
        <v>861</v>
      </c>
      <c r="L739" s="307">
        <f t="shared" si="34"/>
        <v>736.68</v>
      </c>
    </row>
    <row r="740" spans="1:12">
      <c r="A740" s="301">
        <v>46190</v>
      </c>
      <c r="B740" s="302" t="s">
        <v>2285</v>
      </c>
      <c r="C740" s="302" t="s">
        <v>4637</v>
      </c>
      <c r="D740" s="303" t="s">
        <v>2286</v>
      </c>
      <c r="E740" s="302">
        <v>48</v>
      </c>
      <c r="F740" s="304">
        <v>6.17</v>
      </c>
      <c r="G740" s="304">
        <v>7.25</v>
      </c>
      <c r="H740" s="305"/>
      <c r="I740" s="306">
        <v>348</v>
      </c>
      <c r="J740" s="306">
        <v>0</v>
      </c>
      <c r="K740" s="306">
        <f t="shared" si="33"/>
        <v>348</v>
      </c>
      <c r="L740" s="307">
        <f t="shared" si="34"/>
        <v>296.15999999999997</v>
      </c>
    </row>
    <row r="741" spans="1:12">
      <c r="A741" s="301">
        <v>46190</v>
      </c>
      <c r="B741" s="302" t="s">
        <v>2726</v>
      </c>
      <c r="C741" s="302" t="s">
        <v>4637</v>
      </c>
      <c r="D741" s="303" t="s">
        <v>2727</v>
      </c>
      <c r="E741" s="302">
        <v>64</v>
      </c>
      <c r="F741" s="304">
        <v>4.5</v>
      </c>
      <c r="G741" s="304">
        <v>6</v>
      </c>
      <c r="H741" s="305"/>
      <c r="I741" s="306">
        <v>384</v>
      </c>
      <c r="J741" s="306">
        <v>0</v>
      </c>
      <c r="K741" s="306">
        <f t="shared" si="33"/>
        <v>384</v>
      </c>
      <c r="L741" s="307">
        <f t="shared" si="34"/>
        <v>288</v>
      </c>
    </row>
    <row r="742" spans="1:12">
      <c r="A742" s="301">
        <v>46190</v>
      </c>
      <c r="B742" s="302" t="s">
        <v>2646</v>
      </c>
      <c r="C742" s="302" t="s">
        <v>4637</v>
      </c>
      <c r="D742" s="303" t="s">
        <v>2647</v>
      </c>
      <c r="E742" s="302">
        <v>12</v>
      </c>
      <c r="F742" s="304">
        <v>20.48</v>
      </c>
      <c r="G742" s="304">
        <v>23.75</v>
      </c>
      <c r="H742" s="305"/>
      <c r="I742" s="306">
        <v>285</v>
      </c>
      <c r="J742" s="306">
        <v>0</v>
      </c>
      <c r="K742" s="306">
        <f t="shared" si="33"/>
        <v>285</v>
      </c>
      <c r="L742" s="307">
        <f t="shared" si="34"/>
        <v>245.76</v>
      </c>
    </row>
    <row r="743" spans="1:12">
      <c r="A743" s="301">
        <v>46190</v>
      </c>
      <c r="B743" s="302" t="s">
        <v>2368</v>
      </c>
      <c r="C743" s="302" t="s">
        <v>4637</v>
      </c>
      <c r="D743" s="303" t="s">
        <v>2369</v>
      </c>
      <c r="E743" s="302">
        <v>12</v>
      </c>
      <c r="F743" s="304">
        <v>10.95</v>
      </c>
      <c r="G743" s="304">
        <v>12.75</v>
      </c>
      <c r="H743" s="305"/>
      <c r="I743" s="306">
        <v>153</v>
      </c>
      <c r="J743" s="306">
        <v>0</v>
      </c>
      <c r="K743" s="306">
        <f t="shared" si="33"/>
        <v>153</v>
      </c>
      <c r="L743" s="307">
        <f t="shared" si="34"/>
        <v>131.39999999999998</v>
      </c>
    </row>
    <row r="744" spans="1:12">
      <c r="A744" s="301">
        <v>46190</v>
      </c>
      <c r="B744" s="302" t="s">
        <v>2195</v>
      </c>
      <c r="C744" s="302" t="s">
        <v>4637</v>
      </c>
      <c r="D744" s="303" t="s">
        <v>2196</v>
      </c>
      <c r="E744" s="302">
        <v>12</v>
      </c>
      <c r="F744" s="304">
        <v>16.32</v>
      </c>
      <c r="G744" s="304">
        <v>19</v>
      </c>
      <c r="H744" s="305"/>
      <c r="I744" s="306">
        <v>228</v>
      </c>
      <c r="J744" s="306">
        <v>0</v>
      </c>
      <c r="K744" s="306">
        <f t="shared" si="33"/>
        <v>228</v>
      </c>
      <c r="L744" s="307">
        <f t="shared" si="34"/>
        <v>195.84</v>
      </c>
    </row>
    <row r="745" spans="1:12">
      <c r="A745" s="301">
        <v>46190</v>
      </c>
      <c r="B745" s="302" t="s">
        <v>2249</v>
      </c>
      <c r="C745" s="302" t="s">
        <v>4637</v>
      </c>
      <c r="D745" s="303" t="s">
        <v>2250</v>
      </c>
      <c r="E745" s="302">
        <v>36</v>
      </c>
      <c r="F745" s="304">
        <v>8.3000000000000007</v>
      </c>
      <c r="G745" s="304">
        <v>9.75</v>
      </c>
      <c r="H745" s="305"/>
      <c r="I745" s="306">
        <v>351</v>
      </c>
      <c r="J745" s="306">
        <v>0</v>
      </c>
      <c r="K745" s="306">
        <f t="shared" si="33"/>
        <v>351</v>
      </c>
      <c r="L745" s="307">
        <f t="shared" si="34"/>
        <v>298.8</v>
      </c>
    </row>
    <row r="746" spans="1:12">
      <c r="A746" s="301">
        <v>46190</v>
      </c>
      <c r="B746" s="302" t="s">
        <v>484</v>
      </c>
      <c r="C746" s="302" t="s">
        <v>4637</v>
      </c>
      <c r="D746" s="303" t="s">
        <v>485</v>
      </c>
      <c r="E746" s="302">
        <v>20</v>
      </c>
      <c r="F746" s="304">
        <v>19.100000000000001</v>
      </c>
      <c r="G746" s="304">
        <v>22</v>
      </c>
      <c r="H746" s="305"/>
      <c r="I746" s="306">
        <v>440</v>
      </c>
      <c r="J746" s="306">
        <v>0</v>
      </c>
      <c r="K746" s="306">
        <f t="shared" si="33"/>
        <v>440</v>
      </c>
      <c r="L746" s="307">
        <f t="shared" si="34"/>
        <v>382</v>
      </c>
    </row>
    <row r="747" spans="1:12">
      <c r="A747" s="301">
        <v>46190</v>
      </c>
      <c r="B747" s="302" t="s">
        <v>1612</v>
      </c>
      <c r="C747" s="302" t="s">
        <v>4637</v>
      </c>
      <c r="D747" s="303" t="s">
        <v>1613</v>
      </c>
      <c r="E747" s="302">
        <v>15</v>
      </c>
      <c r="F747" s="304">
        <v>13.1</v>
      </c>
      <c r="G747" s="304">
        <v>15</v>
      </c>
      <c r="H747" s="305"/>
      <c r="I747" s="306">
        <v>225</v>
      </c>
      <c r="J747" s="306">
        <v>0</v>
      </c>
      <c r="K747" s="306">
        <f t="shared" si="33"/>
        <v>225</v>
      </c>
      <c r="L747" s="307">
        <f t="shared" si="34"/>
        <v>196.5</v>
      </c>
    </row>
    <row r="748" spans="1:12">
      <c r="A748" s="301">
        <v>46190</v>
      </c>
      <c r="B748" s="302" t="s">
        <v>1607</v>
      </c>
      <c r="C748" s="302" t="s">
        <v>4637</v>
      </c>
      <c r="D748" s="303" t="s">
        <v>1608</v>
      </c>
      <c r="E748" s="302">
        <v>15</v>
      </c>
      <c r="F748" s="304">
        <v>13.1</v>
      </c>
      <c r="G748" s="304">
        <v>15</v>
      </c>
      <c r="H748" s="305"/>
      <c r="I748" s="306">
        <v>225</v>
      </c>
      <c r="J748" s="306">
        <v>0</v>
      </c>
      <c r="K748" s="306">
        <f t="shared" si="33"/>
        <v>225</v>
      </c>
      <c r="L748" s="307">
        <f t="shared" si="34"/>
        <v>196.5</v>
      </c>
    </row>
    <row r="749" spans="1:12">
      <c r="A749" s="301">
        <v>46190</v>
      </c>
      <c r="B749" s="302" t="s">
        <v>1603</v>
      </c>
      <c r="C749" s="302" t="s">
        <v>4637</v>
      </c>
      <c r="D749" s="303" t="s">
        <v>1604</v>
      </c>
      <c r="E749" s="302">
        <v>15</v>
      </c>
      <c r="F749" s="304">
        <v>10.15</v>
      </c>
      <c r="G749" s="304">
        <v>11.75</v>
      </c>
      <c r="H749" s="305"/>
      <c r="I749" s="306">
        <v>176.25</v>
      </c>
      <c r="J749" s="306">
        <v>0</v>
      </c>
      <c r="K749" s="306">
        <f t="shared" si="33"/>
        <v>176.25</v>
      </c>
      <c r="L749" s="307">
        <f t="shared" si="34"/>
        <v>152.25</v>
      </c>
    </row>
    <row r="750" spans="1:12">
      <c r="A750" s="301">
        <v>46190</v>
      </c>
      <c r="B750" s="302" t="s">
        <v>1570</v>
      </c>
      <c r="C750" s="302" t="s">
        <v>4637</v>
      </c>
      <c r="D750" s="303" t="s">
        <v>1571</v>
      </c>
      <c r="E750" s="302">
        <v>15</v>
      </c>
      <c r="F750" s="304">
        <v>18.5</v>
      </c>
      <c r="G750" s="304">
        <v>21.5</v>
      </c>
      <c r="H750" s="305"/>
      <c r="I750" s="306">
        <v>322.5</v>
      </c>
      <c r="J750" s="306">
        <v>0</v>
      </c>
      <c r="K750" s="306">
        <f t="shared" si="33"/>
        <v>322.5</v>
      </c>
      <c r="L750" s="307">
        <f t="shared" si="34"/>
        <v>277.5</v>
      </c>
    </row>
    <row r="751" spans="1:12">
      <c r="A751" s="301">
        <v>46190</v>
      </c>
      <c r="B751" s="302" t="s">
        <v>830</v>
      </c>
      <c r="C751" s="302" t="s">
        <v>4637</v>
      </c>
      <c r="D751" s="303" t="s">
        <v>831</v>
      </c>
      <c r="E751" s="302">
        <v>3</v>
      </c>
      <c r="F751" s="304">
        <v>85.9</v>
      </c>
      <c r="G751" s="304">
        <v>99</v>
      </c>
      <c r="H751" s="305"/>
      <c r="I751" s="306">
        <v>297</v>
      </c>
      <c r="J751" s="306">
        <v>0</v>
      </c>
      <c r="K751" s="306">
        <f t="shared" si="33"/>
        <v>297</v>
      </c>
      <c r="L751" s="307">
        <f t="shared" si="34"/>
        <v>257.70000000000005</v>
      </c>
    </row>
    <row r="752" spans="1:12">
      <c r="A752" s="301">
        <v>46190</v>
      </c>
      <c r="B752" s="302" t="s">
        <v>941</v>
      </c>
      <c r="C752" s="302" t="s">
        <v>4637</v>
      </c>
      <c r="D752" s="303" t="s">
        <v>942</v>
      </c>
      <c r="E752" s="302">
        <v>3</v>
      </c>
      <c r="F752" s="304">
        <v>56.71</v>
      </c>
      <c r="G752" s="304">
        <v>65.25</v>
      </c>
      <c r="H752" s="305"/>
      <c r="I752" s="306">
        <v>195.75</v>
      </c>
      <c r="J752" s="306">
        <v>0</v>
      </c>
      <c r="K752" s="306">
        <f t="shared" si="33"/>
        <v>195.75</v>
      </c>
      <c r="L752" s="307">
        <f t="shared" si="34"/>
        <v>170.13</v>
      </c>
    </row>
    <row r="753" spans="1:12">
      <c r="A753" s="301">
        <v>46190</v>
      </c>
      <c r="B753" s="302" t="s">
        <v>1049</v>
      </c>
      <c r="C753" s="302" t="s">
        <v>4637</v>
      </c>
      <c r="D753" s="303" t="s">
        <v>1050</v>
      </c>
      <c r="E753" s="302">
        <v>3</v>
      </c>
      <c r="F753" s="304">
        <v>59.51</v>
      </c>
      <c r="G753" s="304">
        <v>68.5</v>
      </c>
      <c r="H753" s="305"/>
      <c r="I753" s="306">
        <v>205.5</v>
      </c>
      <c r="J753" s="306">
        <v>0</v>
      </c>
      <c r="K753" s="306">
        <f t="shared" si="33"/>
        <v>205.5</v>
      </c>
      <c r="L753" s="307">
        <f t="shared" si="34"/>
        <v>178.53</v>
      </c>
    </row>
    <row r="754" spans="1:12">
      <c r="A754" s="301">
        <v>46190</v>
      </c>
      <c r="B754" s="302" t="s">
        <v>1047</v>
      </c>
      <c r="C754" s="302" t="s">
        <v>4637</v>
      </c>
      <c r="D754" s="303" t="s">
        <v>1048</v>
      </c>
      <c r="E754" s="302">
        <v>1</v>
      </c>
      <c r="F754" s="304">
        <v>59.51</v>
      </c>
      <c r="G754" s="304">
        <v>68.5</v>
      </c>
      <c r="H754" s="305"/>
      <c r="I754" s="306">
        <v>68.5</v>
      </c>
      <c r="J754" s="306">
        <v>0</v>
      </c>
      <c r="K754" s="306">
        <f t="shared" si="33"/>
        <v>68.5</v>
      </c>
      <c r="L754" s="307">
        <f t="shared" si="34"/>
        <v>59.51</v>
      </c>
    </row>
    <row r="755" spans="1:12">
      <c r="A755" s="301">
        <v>46190</v>
      </c>
      <c r="B755" s="302" t="s">
        <v>2571</v>
      </c>
      <c r="C755" s="302" t="s">
        <v>4637</v>
      </c>
      <c r="D755" s="303" t="s">
        <v>2572</v>
      </c>
      <c r="E755" s="302">
        <v>1</v>
      </c>
      <c r="F755" s="304">
        <v>80.150000000000006</v>
      </c>
      <c r="G755" s="304">
        <v>92.25</v>
      </c>
      <c r="H755" s="305"/>
      <c r="I755" s="306">
        <v>92.25</v>
      </c>
      <c r="J755" s="306">
        <v>0</v>
      </c>
      <c r="K755" s="306">
        <f t="shared" si="33"/>
        <v>92.25</v>
      </c>
      <c r="L755" s="307">
        <f t="shared" si="34"/>
        <v>80.150000000000006</v>
      </c>
    </row>
    <row r="756" spans="1:12">
      <c r="A756" s="301">
        <v>46190</v>
      </c>
      <c r="B756" s="302" t="s">
        <v>807</v>
      </c>
      <c r="C756" s="302" t="s">
        <v>4637</v>
      </c>
      <c r="D756" s="303" t="s">
        <v>808</v>
      </c>
      <c r="E756" s="302">
        <v>2</v>
      </c>
      <c r="F756" s="304">
        <v>61.5</v>
      </c>
      <c r="G756" s="304">
        <v>70.75</v>
      </c>
      <c r="H756" s="305"/>
      <c r="I756" s="306">
        <v>141.5</v>
      </c>
      <c r="J756" s="306">
        <v>0</v>
      </c>
      <c r="K756" s="306">
        <f t="shared" si="33"/>
        <v>141.5</v>
      </c>
      <c r="L756" s="307">
        <f t="shared" si="34"/>
        <v>123</v>
      </c>
    </row>
    <row r="757" spans="1:12">
      <c r="A757" s="301">
        <v>46190</v>
      </c>
      <c r="B757" s="302" t="s">
        <v>850</v>
      </c>
      <c r="C757" s="302" t="s">
        <v>4637</v>
      </c>
      <c r="D757" s="303" t="s">
        <v>851</v>
      </c>
      <c r="E757" s="302">
        <v>5</v>
      </c>
      <c r="F757" s="304">
        <v>56.5</v>
      </c>
      <c r="G757" s="304">
        <v>63</v>
      </c>
      <c r="H757" s="305"/>
      <c r="I757" s="306">
        <v>315</v>
      </c>
      <c r="J757" s="306">
        <v>0</v>
      </c>
      <c r="K757" s="306">
        <f t="shared" si="33"/>
        <v>315</v>
      </c>
      <c r="L757" s="307">
        <f t="shared" si="34"/>
        <v>282.5</v>
      </c>
    </row>
    <row r="758" spans="1:12">
      <c r="A758" s="301">
        <v>46190</v>
      </c>
      <c r="B758" s="302" t="s">
        <v>1086</v>
      </c>
      <c r="C758" s="302" t="s">
        <v>4637</v>
      </c>
      <c r="D758" s="303" t="s">
        <v>1087</v>
      </c>
      <c r="E758" s="302">
        <v>5</v>
      </c>
      <c r="F758" s="304"/>
      <c r="G758" s="304">
        <v>73.25</v>
      </c>
      <c r="H758" s="305"/>
      <c r="I758" s="306">
        <v>366.25</v>
      </c>
      <c r="J758" s="306">
        <v>0</v>
      </c>
      <c r="K758" s="306">
        <f t="shared" si="33"/>
        <v>366.25</v>
      </c>
      <c r="L758" s="307">
        <f t="shared" si="34"/>
        <v>0</v>
      </c>
    </row>
    <row r="759" spans="1:12">
      <c r="A759" s="301">
        <v>46190</v>
      </c>
      <c r="B759" s="302" t="s">
        <v>1269</v>
      </c>
      <c r="C759" s="302" t="s">
        <v>4637</v>
      </c>
      <c r="D759" s="303" t="s">
        <v>1270</v>
      </c>
      <c r="E759" s="302">
        <v>3</v>
      </c>
      <c r="F759" s="304">
        <v>34.270000000000003</v>
      </c>
      <c r="G759" s="304">
        <v>39.5</v>
      </c>
      <c r="H759" s="305"/>
      <c r="I759" s="306">
        <v>118.5</v>
      </c>
      <c r="J759" s="306">
        <v>0</v>
      </c>
      <c r="K759" s="306">
        <f t="shared" si="33"/>
        <v>118.5</v>
      </c>
      <c r="L759" s="307">
        <f t="shared" si="34"/>
        <v>102.81</v>
      </c>
    </row>
    <row r="760" spans="1:12">
      <c r="A760" s="301">
        <v>46190</v>
      </c>
      <c r="B760" s="302" t="s">
        <v>1160</v>
      </c>
      <c r="C760" s="302" t="s">
        <v>4637</v>
      </c>
      <c r="D760" s="303" t="s">
        <v>1161</v>
      </c>
      <c r="E760" s="302">
        <v>2</v>
      </c>
      <c r="F760" s="304">
        <v>34.270000000000003</v>
      </c>
      <c r="G760" s="304">
        <v>39.5</v>
      </c>
      <c r="H760" s="305"/>
      <c r="I760" s="306">
        <v>79</v>
      </c>
      <c r="J760" s="306">
        <v>0</v>
      </c>
      <c r="K760" s="306">
        <f t="shared" si="33"/>
        <v>79</v>
      </c>
      <c r="L760" s="307">
        <f t="shared" si="34"/>
        <v>68.540000000000006</v>
      </c>
    </row>
    <row r="761" spans="1:12">
      <c r="A761" s="301">
        <v>46190</v>
      </c>
      <c r="B761" s="302" t="s">
        <v>1162</v>
      </c>
      <c r="C761" s="302" t="s">
        <v>4637</v>
      </c>
      <c r="D761" s="303" t="s">
        <v>1163</v>
      </c>
      <c r="E761" s="302">
        <v>1</v>
      </c>
      <c r="F761" s="304">
        <v>34.270000000000003</v>
      </c>
      <c r="G761" s="304">
        <v>39.5</v>
      </c>
      <c r="H761" s="305"/>
      <c r="I761" s="306">
        <v>39.5</v>
      </c>
      <c r="J761" s="306">
        <v>0</v>
      </c>
      <c r="K761" s="306">
        <f t="shared" si="33"/>
        <v>39.5</v>
      </c>
      <c r="L761" s="307">
        <f t="shared" si="34"/>
        <v>34.270000000000003</v>
      </c>
    </row>
    <row r="762" spans="1:12">
      <c r="A762" s="301">
        <v>46190</v>
      </c>
      <c r="B762" s="302" t="s">
        <v>1125</v>
      </c>
      <c r="C762" s="302" t="s">
        <v>4637</v>
      </c>
      <c r="D762" s="303" t="s">
        <v>1126</v>
      </c>
      <c r="E762" s="302">
        <v>3</v>
      </c>
      <c r="F762" s="304">
        <v>36.11</v>
      </c>
      <c r="G762" s="304">
        <v>41.75</v>
      </c>
      <c r="H762" s="305"/>
      <c r="I762" s="306">
        <v>125.25</v>
      </c>
      <c r="J762" s="306">
        <v>0</v>
      </c>
      <c r="K762" s="306">
        <f t="shared" si="33"/>
        <v>125.25</v>
      </c>
      <c r="L762" s="307">
        <f t="shared" si="34"/>
        <v>108.33</v>
      </c>
    </row>
    <row r="763" spans="1:12">
      <c r="A763" s="301">
        <v>46190</v>
      </c>
      <c r="B763" s="302" t="s">
        <v>1232</v>
      </c>
      <c r="C763" s="302" t="s">
        <v>4637</v>
      </c>
      <c r="D763" s="303" t="s">
        <v>1233</v>
      </c>
      <c r="E763" s="302">
        <v>3</v>
      </c>
      <c r="F763" s="304">
        <v>38</v>
      </c>
      <c r="G763" s="304">
        <v>43.75</v>
      </c>
      <c r="H763" s="305"/>
      <c r="I763" s="306">
        <v>131.25</v>
      </c>
      <c r="J763" s="306">
        <v>0</v>
      </c>
      <c r="K763" s="306">
        <f t="shared" si="33"/>
        <v>131.25</v>
      </c>
      <c r="L763" s="307">
        <f t="shared" si="34"/>
        <v>114</v>
      </c>
    </row>
    <row r="764" spans="1:12">
      <c r="A764" s="301">
        <v>46190</v>
      </c>
      <c r="B764" s="302" t="s">
        <v>1216</v>
      </c>
      <c r="C764" s="302" t="s">
        <v>4637</v>
      </c>
      <c r="D764" s="303" t="s">
        <v>1217</v>
      </c>
      <c r="E764" s="302">
        <v>2</v>
      </c>
      <c r="F764" s="304">
        <v>38</v>
      </c>
      <c r="G764" s="304">
        <v>43.75</v>
      </c>
      <c r="H764" s="305"/>
      <c r="I764" s="306">
        <v>87.5</v>
      </c>
      <c r="J764" s="306">
        <v>0</v>
      </c>
      <c r="K764" s="306">
        <f t="shared" si="33"/>
        <v>87.5</v>
      </c>
      <c r="L764" s="307">
        <f t="shared" si="34"/>
        <v>76</v>
      </c>
    </row>
    <row r="765" spans="1:12">
      <c r="A765" s="301">
        <v>46190</v>
      </c>
      <c r="B765" s="302" t="s">
        <v>1219</v>
      </c>
      <c r="C765" s="302" t="s">
        <v>4637</v>
      </c>
      <c r="D765" s="303" t="s">
        <v>1220</v>
      </c>
      <c r="E765" s="302">
        <v>2</v>
      </c>
      <c r="F765" s="304">
        <v>38</v>
      </c>
      <c r="G765" s="304">
        <v>43.75</v>
      </c>
      <c r="H765" s="305"/>
      <c r="I765" s="306">
        <v>87.5</v>
      </c>
      <c r="J765" s="306">
        <v>0</v>
      </c>
      <c r="K765" s="306">
        <f t="shared" si="33"/>
        <v>87.5</v>
      </c>
      <c r="L765" s="307">
        <f t="shared" si="34"/>
        <v>76</v>
      </c>
    </row>
    <row r="766" spans="1:12">
      <c r="A766" s="301">
        <v>46190</v>
      </c>
      <c r="B766" s="302" t="s">
        <v>1206</v>
      </c>
      <c r="C766" s="302" t="s">
        <v>4637</v>
      </c>
      <c r="D766" s="303" t="s">
        <v>1207</v>
      </c>
      <c r="E766" s="302">
        <v>1</v>
      </c>
      <c r="F766" s="304">
        <v>58.14</v>
      </c>
      <c r="G766" s="304">
        <v>67</v>
      </c>
      <c r="H766" s="305"/>
      <c r="I766" s="306">
        <v>67</v>
      </c>
      <c r="J766" s="306">
        <v>0</v>
      </c>
      <c r="K766" s="306">
        <f t="shared" si="33"/>
        <v>67</v>
      </c>
      <c r="L766" s="307">
        <f t="shared" si="34"/>
        <v>58.14</v>
      </c>
    </row>
    <row r="767" spans="1:12">
      <c r="A767" s="301">
        <v>46190</v>
      </c>
      <c r="B767" s="302" t="s">
        <v>1198</v>
      </c>
      <c r="C767" s="302" t="s">
        <v>4637</v>
      </c>
      <c r="D767" s="303" t="s">
        <v>1199</v>
      </c>
      <c r="E767" s="302">
        <v>2</v>
      </c>
      <c r="F767" s="304">
        <v>34.270000000000003</v>
      </c>
      <c r="G767" s="304">
        <v>39.5</v>
      </c>
      <c r="H767" s="305"/>
      <c r="I767" s="306">
        <v>79</v>
      </c>
      <c r="J767" s="306">
        <v>0</v>
      </c>
      <c r="K767" s="306">
        <f t="shared" si="33"/>
        <v>79</v>
      </c>
      <c r="L767" s="307">
        <f t="shared" si="34"/>
        <v>68.540000000000006</v>
      </c>
    </row>
    <row r="768" spans="1:12">
      <c r="A768" s="301">
        <v>46190</v>
      </c>
      <c r="B768" s="302" t="s">
        <v>1353</v>
      </c>
      <c r="C768" s="302" t="s">
        <v>4637</v>
      </c>
      <c r="D768" s="303" t="s">
        <v>1354</v>
      </c>
      <c r="E768" s="302">
        <v>61</v>
      </c>
      <c r="F768" s="304">
        <v>12.66</v>
      </c>
      <c r="G768" s="304">
        <v>14.25</v>
      </c>
      <c r="H768" s="305"/>
      <c r="I768" s="306">
        <v>869.25</v>
      </c>
      <c r="J768" s="306">
        <v>0</v>
      </c>
      <c r="K768" s="306">
        <f t="shared" si="33"/>
        <v>869.25</v>
      </c>
      <c r="L768" s="307">
        <f t="shared" si="34"/>
        <v>772.26</v>
      </c>
    </row>
    <row r="769" spans="1:12">
      <c r="A769" s="301">
        <v>46190</v>
      </c>
      <c r="B769" s="302" t="s">
        <v>1292</v>
      </c>
      <c r="C769" s="302" t="s">
        <v>4637</v>
      </c>
      <c r="D769" s="303" t="s">
        <v>1293</v>
      </c>
      <c r="E769" s="302">
        <v>28</v>
      </c>
      <c r="F769" s="304">
        <v>7.85</v>
      </c>
      <c r="G769" s="304">
        <v>12</v>
      </c>
      <c r="H769" s="305"/>
      <c r="I769" s="306">
        <v>336</v>
      </c>
      <c r="J769" s="306">
        <v>0</v>
      </c>
      <c r="K769" s="306">
        <f t="shared" si="33"/>
        <v>336</v>
      </c>
      <c r="L769" s="307">
        <f t="shared" si="34"/>
        <v>219.79999999999998</v>
      </c>
    </row>
    <row r="770" spans="1:12">
      <c r="A770" s="301">
        <v>46190</v>
      </c>
      <c r="B770" s="302" t="s">
        <v>534</v>
      </c>
      <c r="C770" s="302" t="s">
        <v>4637</v>
      </c>
      <c r="D770" s="303" t="s">
        <v>535</v>
      </c>
      <c r="E770" s="302">
        <v>10</v>
      </c>
      <c r="F770" s="304">
        <v>17.649999999999999</v>
      </c>
      <c r="G770" s="304">
        <v>18.75</v>
      </c>
      <c r="H770" s="305"/>
      <c r="I770" s="306">
        <v>187.5</v>
      </c>
      <c r="J770" s="306">
        <v>0</v>
      </c>
      <c r="K770" s="306">
        <f t="shared" si="33"/>
        <v>187.5</v>
      </c>
      <c r="L770" s="307">
        <f t="shared" si="34"/>
        <v>176.5</v>
      </c>
    </row>
    <row r="771" spans="1:12">
      <c r="A771" s="301">
        <v>46190</v>
      </c>
      <c r="B771" s="302" t="s">
        <v>528</v>
      </c>
      <c r="C771" s="302" t="s">
        <v>4637</v>
      </c>
      <c r="D771" s="303" t="s">
        <v>529</v>
      </c>
      <c r="E771" s="302">
        <v>10</v>
      </c>
      <c r="F771" s="304">
        <v>17.649999999999999</v>
      </c>
      <c r="G771" s="304">
        <v>18.75</v>
      </c>
      <c r="H771" s="305"/>
      <c r="I771" s="306">
        <v>187.5</v>
      </c>
      <c r="J771" s="306">
        <v>0</v>
      </c>
      <c r="K771" s="306">
        <f t="shared" si="33"/>
        <v>187.5</v>
      </c>
      <c r="L771" s="307">
        <f t="shared" si="34"/>
        <v>176.5</v>
      </c>
    </row>
    <row r="772" spans="1:12">
      <c r="A772" s="301">
        <v>46190</v>
      </c>
      <c r="B772" s="302" t="s">
        <v>1529</v>
      </c>
      <c r="C772" s="302" t="s">
        <v>4637</v>
      </c>
      <c r="D772" s="303" t="s">
        <v>1530</v>
      </c>
      <c r="E772" s="302">
        <v>25</v>
      </c>
      <c r="F772" s="304">
        <v>8.75</v>
      </c>
      <c r="G772" s="304">
        <v>10.25</v>
      </c>
      <c r="H772" s="305"/>
      <c r="I772" s="306">
        <v>256.25</v>
      </c>
      <c r="J772" s="306">
        <v>0</v>
      </c>
      <c r="K772" s="306">
        <f t="shared" si="33"/>
        <v>256.25</v>
      </c>
      <c r="L772" s="307">
        <f t="shared" si="34"/>
        <v>218.75</v>
      </c>
    </row>
    <row r="773" spans="1:12">
      <c r="A773" s="301">
        <v>46190</v>
      </c>
      <c r="B773" s="302" t="s">
        <v>728</v>
      </c>
      <c r="C773" s="302" t="s">
        <v>4637</v>
      </c>
      <c r="D773" s="303" t="s">
        <v>729</v>
      </c>
      <c r="E773" s="302">
        <v>10</v>
      </c>
      <c r="F773" s="304">
        <v>22.68</v>
      </c>
      <c r="G773" s="304">
        <v>26.25</v>
      </c>
      <c r="H773" s="305"/>
      <c r="I773" s="306">
        <v>262.5</v>
      </c>
      <c r="J773" s="306">
        <v>0</v>
      </c>
      <c r="K773" s="306">
        <f t="shared" ref="K773:K837" si="35">H773+I773-J773</f>
        <v>262.5</v>
      </c>
      <c r="L773" s="307">
        <f t="shared" ref="L773:L837" si="36">E773*F773</f>
        <v>226.8</v>
      </c>
    </row>
    <row r="774" spans="1:12">
      <c r="A774" s="301">
        <v>46190</v>
      </c>
      <c r="B774" s="302" t="s">
        <v>645</v>
      </c>
      <c r="C774" s="302" t="s">
        <v>4637</v>
      </c>
      <c r="D774" s="303" t="s">
        <v>646</v>
      </c>
      <c r="E774" s="302">
        <v>6</v>
      </c>
      <c r="F774" s="304">
        <v>37.950000000000003</v>
      </c>
      <c r="G774" s="304">
        <v>43.75</v>
      </c>
      <c r="H774" s="305"/>
      <c r="I774" s="306">
        <v>262.5</v>
      </c>
      <c r="J774" s="306">
        <v>0</v>
      </c>
      <c r="K774" s="306">
        <f t="shared" si="35"/>
        <v>262.5</v>
      </c>
      <c r="L774" s="307">
        <f t="shared" si="36"/>
        <v>227.70000000000002</v>
      </c>
    </row>
    <row r="775" spans="1:12">
      <c r="A775" s="301">
        <v>46190</v>
      </c>
      <c r="B775" s="302" t="s">
        <v>674</v>
      </c>
      <c r="C775" s="302" t="s">
        <v>4637</v>
      </c>
      <c r="D775" s="303" t="s">
        <v>675</v>
      </c>
      <c r="E775" s="302">
        <v>6</v>
      </c>
      <c r="F775" s="304">
        <v>37.950000000000003</v>
      </c>
      <c r="G775" s="304">
        <v>43.75</v>
      </c>
      <c r="H775" s="305"/>
      <c r="I775" s="306">
        <v>262.5</v>
      </c>
      <c r="J775" s="306">
        <v>0</v>
      </c>
      <c r="K775" s="306">
        <f t="shared" si="35"/>
        <v>262.5</v>
      </c>
      <c r="L775" s="307">
        <f t="shared" si="36"/>
        <v>227.70000000000002</v>
      </c>
    </row>
    <row r="776" spans="1:12">
      <c r="A776" s="301">
        <v>46190</v>
      </c>
      <c r="B776" s="302" t="s">
        <v>1561</v>
      </c>
      <c r="C776" s="302" t="s">
        <v>4637</v>
      </c>
      <c r="D776" s="303" t="s">
        <v>1562</v>
      </c>
      <c r="E776" s="302">
        <v>15</v>
      </c>
      <c r="F776" s="304">
        <v>18.5</v>
      </c>
      <c r="G776" s="304">
        <v>21.5</v>
      </c>
      <c r="H776" s="305"/>
      <c r="I776" s="306">
        <v>322.5</v>
      </c>
      <c r="J776" s="306">
        <v>0</v>
      </c>
      <c r="K776" s="306">
        <f t="shared" si="35"/>
        <v>322.5</v>
      </c>
      <c r="L776" s="307">
        <f t="shared" si="36"/>
        <v>277.5</v>
      </c>
    </row>
    <row r="777" spans="1:12">
      <c r="A777" s="301">
        <v>46190</v>
      </c>
      <c r="B777" s="302" t="s">
        <v>1770</v>
      </c>
      <c r="C777" s="302" t="s">
        <v>4637</v>
      </c>
      <c r="D777" s="303" t="s">
        <v>1771</v>
      </c>
      <c r="E777" s="302">
        <v>4</v>
      </c>
      <c r="F777" s="304">
        <v>35.549999999999997</v>
      </c>
      <c r="G777" s="304">
        <v>41</v>
      </c>
      <c r="H777" s="305"/>
      <c r="I777" s="306">
        <v>164</v>
      </c>
      <c r="J777" s="306">
        <v>0</v>
      </c>
      <c r="K777" s="306">
        <f t="shared" si="35"/>
        <v>164</v>
      </c>
      <c r="L777" s="307">
        <f t="shared" si="36"/>
        <v>142.19999999999999</v>
      </c>
    </row>
    <row r="778" spans="1:12">
      <c r="A778" s="301">
        <v>46190</v>
      </c>
      <c r="B778" s="302" t="s">
        <v>1795</v>
      </c>
      <c r="C778" s="302" t="s">
        <v>4637</v>
      </c>
      <c r="D778" s="303" t="s">
        <v>1796</v>
      </c>
      <c r="E778" s="302">
        <v>10</v>
      </c>
      <c r="F778" s="304">
        <v>32.840000000000003</v>
      </c>
      <c r="G778" s="304">
        <v>38</v>
      </c>
      <c r="H778" s="305"/>
      <c r="I778" s="306">
        <v>380</v>
      </c>
      <c r="J778" s="306">
        <v>0</v>
      </c>
      <c r="K778" s="306">
        <f t="shared" si="35"/>
        <v>380</v>
      </c>
      <c r="L778" s="307">
        <f t="shared" si="36"/>
        <v>328.40000000000003</v>
      </c>
    </row>
    <row r="779" spans="1:12">
      <c r="A779" s="301">
        <v>46190</v>
      </c>
      <c r="B779" s="302" t="s">
        <v>4061</v>
      </c>
      <c r="C779" s="302" t="s">
        <v>4637</v>
      </c>
      <c r="D779" s="303" t="s">
        <v>4062</v>
      </c>
      <c r="E779" s="302">
        <v>2</v>
      </c>
      <c r="F779" s="304">
        <v>89.91</v>
      </c>
      <c r="G779" s="304">
        <v>103.5</v>
      </c>
      <c r="H779" s="305"/>
      <c r="I779" s="306">
        <v>207</v>
      </c>
      <c r="J779" s="306">
        <v>0</v>
      </c>
      <c r="K779" s="306">
        <f t="shared" si="35"/>
        <v>207</v>
      </c>
      <c r="L779" s="307">
        <f t="shared" si="36"/>
        <v>179.82</v>
      </c>
    </row>
    <row r="780" spans="1:12">
      <c r="A780" s="301">
        <v>46190</v>
      </c>
      <c r="B780" s="302" t="s">
        <v>1791</v>
      </c>
      <c r="C780" s="302" t="s">
        <v>4637</v>
      </c>
      <c r="D780" s="303" t="s">
        <v>1792</v>
      </c>
      <c r="E780" s="302">
        <v>20</v>
      </c>
      <c r="F780" s="304">
        <v>12.39</v>
      </c>
      <c r="G780" s="304">
        <v>14.25</v>
      </c>
      <c r="H780" s="305"/>
      <c r="I780" s="306">
        <v>285</v>
      </c>
      <c r="J780" s="306">
        <v>0</v>
      </c>
      <c r="K780" s="306">
        <f t="shared" si="35"/>
        <v>285</v>
      </c>
      <c r="L780" s="307">
        <f t="shared" si="36"/>
        <v>247.8</v>
      </c>
    </row>
    <row r="781" spans="1:12">
      <c r="A781" s="301">
        <v>46190</v>
      </c>
      <c r="B781" s="302" t="s">
        <v>1768</v>
      </c>
      <c r="C781" s="302" t="s">
        <v>4637</v>
      </c>
      <c r="D781" s="303" t="s">
        <v>1769</v>
      </c>
      <c r="E781" s="302">
        <v>6</v>
      </c>
      <c r="F781" s="304">
        <v>12.39</v>
      </c>
      <c r="G781" s="304">
        <v>14.5</v>
      </c>
      <c r="H781" s="305"/>
      <c r="I781" s="306">
        <v>87</v>
      </c>
      <c r="J781" s="306">
        <v>0</v>
      </c>
      <c r="K781" s="306">
        <f t="shared" si="35"/>
        <v>87</v>
      </c>
      <c r="L781" s="307">
        <f t="shared" si="36"/>
        <v>74.34</v>
      </c>
    </row>
    <row r="782" spans="1:12">
      <c r="A782" s="301">
        <v>46190</v>
      </c>
      <c r="B782" s="302" t="s">
        <v>1776</v>
      </c>
      <c r="C782" s="302" t="s">
        <v>4637</v>
      </c>
      <c r="D782" s="303" t="s">
        <v>1777</v>
      </c>
      <c r="E782" s="302">
        <v>6</v>
      </c>
      <c r="F782" s="304">
        <v>12.39</v>
      </c>
      <c r="G782" s="304">
        <v>14.5</v>
      </c>
      <c r="H782" s="305"/>
      <c r="I782" s="306">
        <v>87</v>
      </c>
      <c r="J782" s="306">
        <v>0</v>
      </c>
      <c r="K782" s="306">
        <f t="shared" si="35"/>
        <v>87</v>
      </c>
      <c r="L782" s="307">
        <f t="shared" si="36"/>
        <v>74.34</v>
      </c>
    </row>
    <row r="783" spans="1:12">
      <c r="A783" s="301">
        <v>46190</v>
      </c>
      <c r="B783" s="302" t="s">
        <v>3085</v>
      </c>
      <c r="C783" s="302" t="s">
        <v>4637</v>
      </c>
      <c r="D783" s="303" t="s">
        <v>3086</v>
      </c>
      <c r="E783" s="302">
        <v>24</v>
      </c>
      <c r="F783" s="304">
        <v>18.98</v>
      </c>
      <c r="G783" s="304">
        <v>22</v>
      </c>
      <c r="H783" s="305"/>
      <c r="I783" s="306">
        <v>528</v>
      </c>
      <c r="J783" s="306">
        <v>0</v>
      </c>
      <c r="K783" s="306">
        <f t="shared" si="35"/>
        <v>528</v>
      </c>
      <c r="L783" s="307">
        <f t="shared" si="36"/>
        <v>455.52</v>
      </c>
    </row>
    <row r="784" spans="1:12">
      <c r="A784" s="301">
        <v>46190</v>
      </c>
      <c r="B784" s="302" t="s">
        <v>2021</v>
      </c>
      <c r="C784" s="302" t="s">
        <v>4637</v>
      </c>
      <c r="D784" s="303" t="s">
        <v>2022</v>
      </c>
      <c r="E784" s="302">
        <v>12</v>
      </c>
      <c r="F784" s="304">
        <v>86.29</v>
      </c>
      <c r="G784" s="304">
        <v>99.25</v>
      </c>
      <c r="H784" s="305"/>
      <c r="I784" s="306">
        <v>1191</v>
      </c>
      <c r="J784" s="306">
        <v>0</v>
      </c>
      <c r="K784" s="306">
        <f t="shared" si="35"/>
        <v>1191</v>
      </c>
      <c r="L784" s="307">
        <f t="shared" si="36"/>
        <v>1035.48</v>
      </c>
    </row>
    <row r="785" spans="1:12">
      <c r="A785" s="301">
        <v>46190</v>
      </c>
      <c r="B785" s="302" t="s">
        <v>3105</v>
      </c>
      <c r="C785" s="302" t="s">
        <v>4637</v>
      </c>
      <c r="D785" s="303" t="s">
        <v>3106</v>
      </c>
      <c r="E785" s="302">
        <v>6</v>
      </c>
      <c r="F785" s="304">
        <v>39.880000000000003</v>
      </c>
      <c r="G785" s="304">
        <v>46</v>
      </c>
      <c r="H785" s="305"/>
      <c r="I785" s="306">
        <v>276</v>
      </c>
      <c r="J785" s="306">
        <v>0</v>
      </c>
      <c r="K785" s="306">
        <f t="shared" si="35"/>
        <v>276</v>
      </c>
      <c r="L785" s="307">
        <f t="shared" si="36"/>
        <v>239.28000000000003</v>
      </c>
    </row>
    <row r="786" spans="1:12">
      <c r="A786" s="301">
        <v>46190</v>
      </c>
      <c r="B786" s="302" t="s">
        <v>3109</v>
      </c>
      <c r="C786" s="302" t="s">
        <v>4637</v>
      </c>
      <c r="D786" s="303" t="s">
        <v>3110</v>
      </c>
      <c r="E786" s="302">
        <v>15</v>
      </c>
      <c r="F786" s="304">
        <v>23.15</v>
      </c>
      <c r="G786" s="304">
        <v>27</v>
      </c>
      <c r="H786" s="305"/>
      <c r="I786" s="306">
        <v>405</v>
      </c>
      <c r="J786" s="306">
        <v>0</v>
      </c>
      <c r="K786" s="306">
        <f t="shared" si="35"/>
        <v>405</v>
      </c>
      <c r="L786" s="307">
        <f t="shared" si="36"/>
        <v>347.25</v>
      </c>
    </row>
    <row r="787" spans="1:12">
      <c r="A787" s="301">
        <v>46190</v>
      </c>
      <c r="B787" s="302" t="s">
        <v>3107</v>
      </c>
      <c r="C787" s="302" t="s">
        <v>4637</v>
      </c>
      <c r="D787" s="303" t="s">
        <v>3108</v>
      </c>
      <c r="E787" s="302">
        <v>20</v>
      </c>
      <c r="F787" s="304">
        <v>15.2</v>
      </c>
      <c r="G787" s="304">
        <v>17.5</v>
      </c>
      <c r="H787" s="305"/>
      <c r="I787" s="306">
        <v>350</v>
      </c>
      <c r="J787" s="306">
        <v>0</v>
      </c>
      <c r="K787" s="306">
        <f t="shared" si="35"/>
        <v>350</v>
      </c>
      <c r="L787" s="307">
        <f t="shared" si="36"/>
        <v>304</v>
      </c>
    </row>
    <row r="788" spans="1:12">
      <c r="A788" s="301">
        <v>46190</v>
      </c>
      <c r="B788" s="302" t="s">
        <v>3119</v>
      </c>
      <c r="C788" s="302" t="s">
        <v>4637</v>
      </c>
      <c r="D788" s="303" t="s">
        <v>3120</v>
      </c>
      <c r="E788" s="302">
        <v>6</v>
      </c>
      <c r="F788" s="304">
        <v>65.989999999999995</v>
      </c>
      <c r="G788" s="304">
        <v>76.75</v>
      </c>
      <c r="H788" s="305"/>
      <c r="I788" s="306">
        <v>460.5</v>
      </c>
      <c r="J788" s="306">
        <v>0</v>
      </c>
      <c r="K788" s="306">
        <f t="shared" si="35"/>
        <v>460.5</v>
      </c>
      <c r="L788" s="307">
        <f t="shared" si="36"/>
        <v>395.93999999999994</v>
      </c>
    </row>
    <row r="789" spans="1:12">
      <c r="A789" s="301">
        <v>46190</v>
      </c>
      <c r="B789" s="302" t="s">
        <v>3117</v>
      </c>
      <c r="C789" s="302" t="s">
        <v>4637</v>
      </c>
      <c r="D789" s="303" t="s">
        <v>3118</v>
      </c>
      <c r="E789" s="302">
        <v>10</v>
      </c>
      <c r="F789" s="304">
        <v>37.64</v>
      </c>
      <c r="G789" s="304">
        <v>43.75</v>
      </c>
      <c r="H789" s="305"/>
      <c r="I789" s="306">
        <v>437.5</v>
      </c>
      <c r="J789" s="306">
        <v>0</v>
      </c>
      <c r="K789" s="306">
        <f t="shared" si="35"/>
        <v>437.5</v>
      </c>
      <c r="L789" s="307">
        <f t="shared" si="36"/>
        <v>376.4</v>
      </c>
    </row>
    <row r="790" spans="1:12">
      <c r="A790" s="301">
        <v>46190</v>
      </c>
      <c r="B790" s="302" t="s">
        <v>3103</v>
      </c>
      <c r="C790" s="302" t="s">
        <v>4637</v>
      </c>
      <c r="D790" s="303" t="s">
        <v>3104</v>
      </c>
      <c r="E790" s="302">
        <v>15</v>
      </c>
      <c r="F790" s="304">
        <v>9.0299999999999994</v>
      </c>
      <c r="G790" s="304">
        <v>10.38</v>
      </c>
      <c r="H790" s="305"/>
      <c r="I790" s="306">
        <v>155.70000000000002</v>
      </c>
      <c r="J790" s="306">
        <v>0</v>
      </c>
      <c r="K790" s="306">
        <f t="shared" si="35"/>
        <v>155.70000000000002</v>
      </c>
      <c r="L790" s="307">
        <f t="shared" si="36"/>
        <v>135.44999999999999</v>
      </c>
    </row>
    <row r="791" spans="1:12">
      <c r="A791" s="301">
        <v>46190</v>
      </c>
      <c r="B791" s="302" t="s">
        <v>3050</v>
      </c>
      <c r="C791" s="302" t="s">
        <v>4637</v>
      </c>
      <c r="D791" s="303" t="s">
        <v>3051</v>
      </c>
      <c r="E791" s="302">
        <v>107</v>
      </c>
      <c r="F791" s="304">
        <v>6.38</v>
      </c>
      <c r="G791" s="304">
        <v>7.5</v>
      </c>
      <c r="H791" s="305"/>
      <c r="I791" s="306">
        <v>802.5</v>
      </c>
      <c r="J791" s="306">
        <v>0</v>
      </c>
      <c r="K791" s="306">
        <f t="shared" si="35"/>
        <v>802.5</v>
      </c>
      <c r="L791" s="307">
        <f t="shared" si="36"/>
        <v>682.66</v>
      </c>
    </row>
    <row r="792" spans="1:12">
      <c r="A792" s="301">
        <v>46190</v>
      </c>
      <c r="B792" s="302" t="s">
        <v>3032</v>
      </c>
      <c r="C792" s="302" t="s">
        <v>4637</v>
      </c>
      <c r="D792" s="303" t="s">
        <v>3033</v>
      </c>
      <c r="E792" s="302">
        <v>30</v>
      </c>
      <c r="F792" s="304">
        <v>6.38</v>
      </c>
      <c r="G792" s="304">
        <v>7.5</v>
      </c>
      <c r="H792" s="305"/>
      <c r="I792" s="306">
        <v>225</v>
      </c>
      <c r="J792" s="306">
        <v>0</v>
      </c>
      <c r="K792" s="306">
        <f t="shared" si="35"/>
        <v>225</v>
      </c>
      <c r="L792" s="307">
        <f t="shared" si="36"/>
        <v>191.4</v>
      </c>
    </row>
    <row r="793" spans="1:12">
      <c r="A793" s="301">
        <v>46190</v>
      </c>
      <c r="B793" s="302" t="s">
        <v>3044</v>
      </c>
      <c r="C793" s="302" t="s">
        <v>4637</v>
      </c>
      <c r="D793" s="303" t="s">
        <v>3045</v>
      </c>
      <c r="E793" s="302">
        <v>102</v>
      </c>
      <c r="F793" s="304">
        <v>6.37</v>
      </c>
      <c r="G793" s="304">
        <v>7.5</v>
      </c>
      <c r="H793" s="305"/>
      <c r="I793" s="306">
        <v>765</v>
      </c>
      <c r="J793" s="306">
        <v>0</v>
      </c>
      <c r="K793" s="306">
        <f t="shared" si="35"/>
        <v>765</v>
      </c>
      <c r="L793" s="307">
        <f t="shared" si="36"/>
        <v>649.74</v>
      </c>
    </row>
    <row r="794" spans="1:12">
      <c r="A794" s="301">
        <v>46190</v>
      </c>
      <c r="B794" s="302" t="s">
        <v>3036</v>
      </c>
      <c r="C794" s="302" t="s">
        <v>4637</v>
      </c>
      <c r="D794" s="303" t="s">
        <v>3037</v>
      </c>
      <c r="E794" s="302">
        <v>30</v>
      </c>
      <c r="F794" s="304">
        <v>6.37</v>
      </c>
      <c r="G794" s="304">
        <v>7.5</v>
      </c>
      <c r="H794" s="305"/>
      <c r="I794" s="306">
        <v>225</v>
      </c>
      <c r="J794" s="306">
        <v>0</v>
      </c>
      <c r="K794" s="306">
        <f t="shared" si="35"/>
        <v>225</v>
      </c>
      <c r="L794" s="307">
        <f t="shared" si="36"/>
        <v>191.1</v>
      </c>
    </row>
    <row r="795" spans="1:12">
      <c r="A795" s="301">
        <v>46190</v>
      </c>
      <c r="B795" s="302" t="s">
        <v>3072</v>
      </c>
      <c r="C795" s="302" t="s">
        <v>4637</v>
      </c>
      <c r="D795" s="303" t="s">
        <v>3073</v>
      </c>
      <c r="E795" s="302">
        <v>30</v>
      </c>
      <c r="F795" s="304">
        <v>14.43</v>
      </c>
      <c r="G795" s="304">
        <v>16.75</v>
      </c>
      <c r="H795" s="305"/>
      <c r="I795" s="306">
        <v>502.5</v>
      </c>
      <c r="J795" s="306">
        <v>0</v>
      </c>
      <c r="K795" s="306">
        <f t="shared" si="35"/>
        <v>502.5</v>
      </c>
      <c r="L795" s="307">
        <f t="shared" si="36"/>
        <v>432.9</v>
      </c>
    </row>
    <row r="796" spans="1:12">
      <c r="A796" s="301">
        <v>46190</v>
      </c>
      <c r="B796" s="302" t="s">
        <v>2809</v>
      </c>
      <c r="C796" s="302" t="s">
        <v>4637</v>
      </c>
      <c r="D796" s="303" t="s">
        <v>2810</v>
      </c>
      <c r="E796" s="302">
        <v>30</v>
      </c>
      <c r="F796" s="304">
        <v>14.42</v>
      </c>
      <c r="G796" s="304">
        <v>16.75</v>
      </c>
      <c r="H796" s="305"/>
      <c r="I796" s="306">
        <v>502.5</v>
      </c>
      <c r="J796" s="306">
        <v>0</v>
      </c>
      <c r="K796" s="306">
        <f t="shared" si="35"/>
        <v>502.5</v>
      </c>
      <c r="L796" s="307">
        <f t="shared" si="36"/>
        <v>432.6</v>
      </c>
    </row>
    <row r="797" spans="1:12">
      <c r="A797" s="301">
        <v>46190</v>
      </c>
      <c r="B797" s="302" t="s">
        <v>3121</v>
      </c>
      <c r="C797" s="302" t="s">
        <v>4637</v>
      </c>
      <c r="D797" s="303" t="s">
        <v>3122</v>
      </c>
      <c r="E797" s="302">
        <v>10</v>
      </c>
      <c r="F797" s="304">
        <v>11.32</v>
      </c>
      <c r="G797" s="304">
        <v>13.25</v>
      </c>
      <c r="H797" s="305"/>
      <c r="I797" s="306">
        <v>132.5</v>
      </c>
      <c r="J797" s="306">
        <v>0</v>
      </c>
      <c r="K797" s="306">
        <f t="shared" si="35"/>
        <v>132.5</v>
      </c>
      <c r="L797" s="307">
        <f t="shared" si="36"/>
        <v>113.2</v>
      </c>
    </row>
    <row r="798" spans="1:12">
      <c r="A798" s="301">
        <v>46190</v>
      </c>
      <c r="B798" s="302" t="s">
        <v>3042</v>
      </c>
      <c r="C798" s="302" t="s">
        <v>4637</v>
      </c>
      <c r="D798" s="303" t="s">
        <v>3043</v>
      </c>
      <c r="E798" s="302">
        <v>60</v>
      </c>
      <c r="F798" s="304">
        <v>6.38</v>
      </c>
      <c r="G798" s="304">
        <v>7.5</v>
      </c>
      <c r="H798" s="305"/>
      <c r="I798" s="306">
        <v>450</v>
      </c>
      <c r="J798" s="306">
        <v>0</v>
      </c>
      <c r="K798" s="306">
        <f t="shared" si="35"/>
        <v>450</v>
      </c>
      <c r="L798" s="307">
        <f t="shared" si="36"/>
        <v>382.8</v>
      </c>
    </row>
    <row r="799" spans="1:12">
      <c r="A799" s="301">
        <v>46190</v>
      </c>
      <c r="B799" s="302" t="s">
        <v>653</v>
      </c>
      <c r="C799" s="302" t="s">
        <v>4637</v>
      </c>
      <c r="D799" s="303" t="s">
        <v>654</v>
      </c>
      <c r="E799" s="302">
        <v>30</v>
      </c>
      <c r="F799" s="304">
        <v>6.18</v>
      </c>
      <c r="G799" s="304">
        <v>7.5</v>
      </c>
      <c r="H799" s="305"/>
      <c r="I799" s="306">
        <v>225</v>
      </c>
      <c r="J799" s="306">
        <v>0</v>
      </c>
      <c r="K799" s="306">
        <f t="shared" si="35"/>
        <v>225</v>
      </c>
      <c r="L799" s="307">
        <f t="shared" si="36"/>
        <v>185.39999999999998</v>
      </c>
    </row>
    <row r="800" spans="1:12">
      <c r="A800" s="301">
        <v>46190</v>
      </c>
      <c r="B800" s="302" t="s">
        <v>797</v>
      </c>
      <c r="C800" s="302" t="s">
        <v>4637</v>
      </c>
      <c r="D800" s="303" t="s">
        <v>798</v>
      </c>
      <c r="E800" s="302">
        <v>16</v>
      </c>
      <c r="F800" s="304">
        <v>6.31</v>
      </c>
      <c r="G800" s="304">
        <v>7.5</v>
      </c>
      <c r="H800" s="305"/>
      <c r="I800" s="306">
        <v>120</v>
      </c>
      <c r="J800" s="306">
        <v>0</v>
      </c>
      <c r="K800" s="306">
        <f t="shared" si="35"/>
        <v>120</v>
      </c>
      <c r="L800" s="307">
        <f t="shared" si="36"/>
        <v>100.96</v>
      </c>
    </row>
    <row r="801" spans="1:12">
      <c r="A801" s="301">
        <v>46190</v>
      </c>
      <c r="B801" s="302" t="s">
        <v>703</v>
      </c>
      <c r="C801" s="302" t="s">
        <v>4637</v>
      </c>
      <c r="D801" s="303" t="s">
        <v>704</v>
      </c>
      <c r="E801" s="302">
        <v>15</v>
      </c>
      <c r="F801" s="304">
        <v>15.12</v>
      </c>
      <c r="G801" s="304">
        <v>17.5</v>
      </c>
      <c r="H801" s="305"/>
      <c r="I801" s="306">
        <v>262.5</v>
      </c>
      <c r="J801" s="306">
        <v>0</v>
      </c>
      <c r="K801" s="306">
        <f t="shared" si="35"/>
        <v>262.5</v>
      </c>
      <c r="L801" s="307">
        <f t="shared" si="36"/>
        <v>226.79999999999998</v>
      </c>
    </row>
    <row r="802" spans="1:12">
      <c r="A802" s="301">
        <v>46190</v>
      </c>
      <c r="B802" s="302" t="s">
        <v>688</v>
      </c>
      <c r="C802" s="302" t="s">
        <v>4637</v>
      </c>
      <c r="D802" s="303" t="s">
        <v>689</v>
      </c>
      <c r="E802" s="302">
        <v>35</v>
      </c>
      <c r="F802" s="304">
        <v>6.18</v>
      </c>
      <c r="G802" s="304">
        <v>7.25</v>
      </c>
      <c r="H802" s="305"/>
      <c r="I802" s="306">
        <v>253.75</v>
      </c>
      <c r="J802" s="306">
        <v>0</v>
      </c>
      <c r="K802" s="306">
        <f t="shared" si="35"/>
        <v>253.75</v>
      </c>
      <c r="L802" s="307">
        <f t="shared" si="36"/>
        <v>216.29999999999998</v>
      </c>
    </row>
    <row r="803" spans="1:12">
      <c r="A803" s="301">
        <v>46190</v>
      </c>
      <c r="B803" s="302" t="s">
        <v>639</v>
      </c>
      <c r="C803" s="302" t="s">
        <v>4637</v>
      </c>
      <c r="D803" s="303" t="s">
        <v>640</v>
      </c>
      <c r="E803" s="302">
        <v>8</v>
      </c>
      <c r="F803" s="304">
        <v>33.1</v>
      </c>
      <c r="G803" s="304">
        <v>38.25</v>
      </c>
      <c r="H803" s="305"/>
      <c r="I803" s="306">
        <v>306</v>
      </c>
      <c r="J803" s="306">
        <v>0</v>
      </c>
      <c r="K803" s="306">
        <f t="shared" si="35"/>
        <v>306</v>
      </c>
      <c r="L803" s="307">
        <f t="shared" si="36"/>
        <v>264.8</v>
      </c>
    </row>
    <row r="804" spans="1:12">
      <c r="A804" s="301">
        <v>46190</v>
      </c>
      <c r="B804" s="302" t="s">
        <v>709</v>
      </c>
      <c r="C804" s="302" t="s">
        <v>4637</v>
      </c>
      <c r="D804" s="303" t="s">
        <v>710</v>
      </c>
      <c r="E804" s="302">
        <v>10</v>
      </c>
      <c r="F804" s="304">
        <v>31.6</v>
      </c>
      <c r="G804" s="304">
        <v>36.5</v>
      </c>
      <c r="H804" s="305"/>
      <c r="I804" s="306">
        <v>365</v>
      </c>
      <c r="J804" s="306">
        <v>0</v>
      </c>
      <c r="K804" s="306">
        <f t="shared" si="35"/>
        <v>365</v>
      </c>
      <c r="L804" s="307">
        <f t="shared" si="36"/>
        <v>316</v>
      </c>
    </row>
    <row r="805" spans="1:12">
      <c r="A805" s="301">
        <v>46190</v>
      </c>
      <c r="B805" s="302" t="s">
        <v>719</v>
      </c>
      <c r="C805" s="302" t="s">
        <v>4637</v>
      </c>
      <c r="D805" s="303" t="s">
        <v>720</v>
      </c>
      <c r="E805" s="302">
        <v>15</v>
      </c>
      <c r="F805" s="304">
        <v>15.65</v>
      </c>
      <c r="G805" s="304">
        <v>18</v>
      </c>
      <c r="H805" s="305"/>
      <c r="I805" s="306">
        <v>270</v>
      </c>
      <c r="J805" s="306">
        <v>0</v>
      </c>
      <c r="K805" s="306">
        <f t="shared" si="35"/>
        <v>270</v>
      </c>
      <c r="L805" s="307">
        <f t="shared" si="36"/>
        <v>234.75</v>
      </c>
    </row>
    <row r="806" spans="1:12">
      <c r="A806" s="301">
        <v>46190</v>
      </c>
      <c r="B806" s="302" t="s">
        <v>637</v>
      </c>
      <c r="C806" s="302" t="s">
        <v>4637</v>
      </c>
      <c r="D806" s="303" t="s">
        <v>638</v>
      </c>
      <c r="E806" s="302">
        <v>15</v>
      </c>
      <c r="F806" s="304">
        <v>15.35</v>
      </c>
      <c r="G806" s="304">
        <v>17.75</v>
      </c>
      <c r="H806" s="305"/>
      <c r="I806" s="306">
        <v>266.25</v>
      </c>
      <c r="J806" s="306">
        <v>0</v>
      </c>
      <c r="K806" s="306">
        <f t="shared" si="35"/>
        <v>266.25</v>
      </c>
      <c r="L806" s="307">
        <f t="shared" si="36"/>
        <v>230.25</v>
      </c>
    </row>
    <row r="807" spans="1:12">
      <c r="A807" s="301">
        <v>46190</v>
      </c>
      <c r="B807" s="302" t="s">
        <v>715</v>
      </c>
      <c r="C807" s="302" t="s">
        <v>4637</v>
      </c>
      <c r="D807" s="303" t="s">
        <v>716</v>
      </c>
      <c r="E807" s="302">
        <v>15</v>
      </c>
      <c r="F807" s="304">
        <v>15.12</v>
      </c>
      <c r="G807" s="304">
        <v>17.5</v>
      </c>
      <c r="H807" s="305"/>
      <c r="I807" s="306">
        <v>262.5</v>
      </c>
      <c r="J807" s="306">
        <v>0</v>
      </c>
      <c r="K807" s="306">
        <f t="shared" si="35"/>
        <v>262.5</v>
      </c>
      <c r="L807" s="307">
        <f t="shared" si="36"/>
        <v>226.79999999999998</v>
      </c>
    </row>
    <row r="808" spans="1:12">
      <c r="A808" s="301">
        <v>46190</v>
      </c>
      <c r="B808" s="302" t="s">
        <v>553</v>
      </c>
      <c r="C808" s="302" t="s">
        <v>4637</v>
      </c>
      <c r="D808" s="303" t="s">
        <v>554</v>
      </c>
      <c r="E808" s="302">
        <v>5</v>
      </c>
      <c r="F808" s="304">
        <v>22.19</v>
      </c>
      <c r="G808" s="304">
        <v>25.75</v>
      </c>
      <c r="H808" s="305"/>
      <c r="I808" s="306">
        <v>128.75</v>
      </c>
      <c r="J808" s="306">
        <v>0</v>
      </c>
      <c r="K808" s="306">
        <f t="shared" si="35"/>
        <v>128.75</v>
      </c>
      <c r="L808" s="307">
        <f t="shared" si="36"/>
        <v>110.95</v>
      </c>
    </row>
    <row r="809" spans="1:12">
      <c r="A809" s="301">
        <v>46190</v>
      </c>
      <c r="B809" s="302" t="s">
        <v>536</v>
      </c>
      <c r="C809" s="302" t="s">
        <v>4637</v>
      </c>
      <c r="D809" s="303" t="s">
        <v>537</v>
      </c>
      <c r="E809" s="302">
        <v>35</v>
      </c>
      <c r="F809" s="304">
        <v>6.71</v>
      </c>
      <c r="G809" s="304">
        <v>7.75</v>
      </c>
      <c r="H809" s="305"/>
      <c r="I809" s="306">
        <v>271.25</v>
      </c>
      <c r="J809" s="306">
        <v>0</v>
      </c>
      <c r="K809" s="306">
        <f t="shared" si="35"/>
        <v>271.25</v>
      </c>
      <c r="L809" s="307">
        <f t="shared" si="36"/>
        <v>234.85</v>
      </c>
    </row>
    <row r="810" spans="1:12">
      <c r="A810" s="301">
        <v>46190</v>
      </c>
      <c r="B810" s="302" t="s">
        <v>721</v>
      </c>
      <c r="C810" s="302" t="s">
        <v>4637</v>
      </c>
      <c r="D810" s="303" t="s">
        <v>722</v>
      </c>
      <c r="E810" s="302">
        <v>10</v>
      </c>
      <c r="F810" s="304">
        <v>34.47</v>
      </c>
      <c r="G810" s="304">
        <v>39.75</v>
      </c>
      <c r="H810" s="305"/>
      <c r="I810" s="306">
        <v>397.5</v>
      </c>
      <c r="J810" s="306">
        <v>0</v>
      </c>
      <c r="K810" s="306">
        <f t="shared" si="35"/>
        <v>397.5</v>
      </c>
      <c r="L810" s="307">
        <f t="shared" si="36"/>
        <v>344.7</v>
      </c>
    </row>
    <row r="811" spans="1:12">
      <c r="A811" s="301">
        <v>46190</v>
      </c>
      <c r="B811" s="302" t="s">
        <v>713</v>
      </c>
      <c r="C811" s="302" t="s">
        <v>4637</v>
      </c>
      <c r="D811" s="303" t="s">
        <v>714</v>
      </c>
      <c r="E811" s="302">
        <v>20</v>
      </c>
      <c r="F811" s="304">
        <v>31.6</v>
      </c>
      <c r="G811" s="304">
        <v>36.5</v>
      </c>
      <c r="H811" s="305"/>
      <c r="I811" s="306">
        <v>730</v>
      </c>
      <c r="J811" s="306">
        <v>0</v>
      </c>
      <c r="K811" s="306">
        <f t="shared" si="35"/>
        <v>730</v>
      </c>
      <c r="L811" s="307">
        <f t="shared" si="36"/>
        <v>632</v>
      </c>
    </row>
    <row r="812" spans="1:12">
      <c r="A812" s="301">
        <v>46190</v>
      </c>
      <c r="B812" s="302" t="s">
        <v>519</v>
      </c>
      <c r="C812" s="302" t="s">
        <v>4637</v>
      </c>
      <c r="D812" s="303" t="s">
        <v>520</v>
      </c>
      <c r="E812" s="302">
        <v>20</v>
      </c>
      <c r="F812" s="304">
        <v>6.83</v>
      </c>
      <c r="G812" s="304">
        <v>7.75</v>
      </c>
      <c r="H812" s="305"/>
      <c r="I812" s="306">
        <v>155</v>
      </c>
      <c r="J812" s="306">
        <v>0</v>
      </c>
      <c r="K812" s="306">
        <f t="shared" si="35"/>
        <v>155</v>
      </c>
      <c r="L812" s="307">
        <f t="shared" si="36"/>
        <v>136.6</v>
      </c>
    </row>
    <row r="813" spans="1:12">
      <c r="A813" s="301">
        <v>46190</v>
      </c>
      <c r="B813" s="302" t="s">
        <v>972</v>
      </c>
      <c r="C813" s="302" t="s">
        <v>4637</v>
      </c>
      <c r="D813" s="303" t="s">
        <v>973</v>
      </c>
      <c r="E813" s="302">
        <v>13</v>
      </c>
      <c r="F813" s="304">
        <v>6.8</v>
      </c>
      <c r="G813" s="304">
        <v>8</v>
      </c>
      <c r="H813" s="305"/>
      <c r="I813" s="306">
        <v>104</v>
      </c>
      <c r="J813" s="306">
        <v>0</v>
      </c>
      <c r="K813" s="306">
        <f t="shared" si="35"/>
        <v>104</v>
      </c>
      <c r="L813" s="307">
        <f t="shared" si="36"/>
        <v>88.399999999999991</v>
      </c>
    </row>
    <row r="814" spans="1:12">
      <c r="A814" s="301">
        <v>46190</v>
      </c>
      <c r="B814" s="302" t="s">
        <v>532</v>
      </c>
      <c r="C814" s="302" t="s">
        <v>4637</v>
      </c>
      <c r="D814" s="303" t="s">
        <v>533</v>
      </c>
      <c r="E814" s="302">
        <v>10</v>
      </c>
      <c r="F814" s="304">
        <v>18.649999999999999</v>
      </c>
      <c r="G814" s="304">
        <v>21.5</v>
      </c>
      <c r="H814" s="305"/>
      <c r="I814" s="306">
        <v>215</v>
      </c>
      <c r="J814" s="306">
        <v>0</v>
      </c>
      <c r="K814" s="306">
        <f t="shared" si="35"/>
        <v>215</v>
      </c>
      <c r="L814" s="307">
        <f t="shared" si="36"/>
        <v>186.5</v>
      </c>
    </row>
    <row r="815" spans="1:12">
      <c r="A815" s="301">
        <v>46190</v>
      </c>
      <c r="B815" s="302" t="s">
        <v>970</v>
      </c>
      <c r="C815" s="302" t="s">
        <v>4637</v>
      </c>
      <c r="D815" s="303" t="s">
        <v>971</v>
      </c>
      <c r="E815" s="302">
        <v>20</v>
      </c>
      <c r="F815" s="304">
        <v>6.8</v>
      </c>
      <c r="G815" s="304">
        <v>8</v>
      </c>
      <c r="H815" s="305"/>
      <c r="I815" s="306">
        <v>160</v>
      </c>
      <c r="J815" s="306">
        <v>0</v>
      </c>
      <c r="K815" s="306">
        <f t="shared" si="35"/>
        <v>160</v>
      </c>
      <c r="L815" s="307">
        <f t="shared" si="36"/>
        <v>136</v>
      </c>
    </row>
    <row r="816" spans="1:12">
      <c r="A816" s="301">
        <v>46190</v>
      </c>
      <c r="B816" s="302" t="s">
        <v>628</v>
      </c>
      <c r="C816" s="302" t="s">
        <v>4637</v>
      </c>
      <c r="D816" s="303" t="s">
        <v>629</v>
      </c>
      <c r="E816" s="302">
        <v>24</v>
      </c>
      <c r="F816" s="304">
        <v>5.47</v>
      </c>
      <c r="G816" s="304">
        <v>6.5</v>
      </c>
      <c r="H816" s="305"/>
      <c r="I816" s="306">
        <v>156</v>
      </c>
      <c r="J816" s="306">
        <v>0</v>
      </c>
      <c r="K816" s="306">
        <f t="shared" si="35"/>
        <v>156</v>
      </c>
      <c r="L816" s="307">
        <f t="shared" si="36"/>
        <v>131.28</v>
      </c>
    </row>
    <row r="817" spans="1:12">
      <c r="A817" s="301">
        <v>46190</v>
      </c>
      <c r="B817" s="302" t="s">
        <v>1336</v>
      </c>
      <c r="C817" s="302" t="s">
        <v>4637</v>
      </c>
      <c r="D817" s="303" t="s">
        <v>1337</v>
      </c>
      <c r="E817" s="302">
        <v>48</v>
      </c>
      <c r="F817" s="304">
        <v>24.35</v>
      </c>
      <c r="G817" s="304">
        <v>28</v>
      </c>
      <c r="H817" s="305"/>
      <c r="I817" s="306">
        <v>1344</v>
      </c>
      <c r="J817" s="306">
        <v>0</v>
      </c>
      <c r="K817" s="306">
        <f t="shared" si="35"/>
        <v>1344</v>
      </c>
      <c r="L817" s="307">
        <f t="shared" si="36"/>
        <v>1168.8000000000002</v>
      </c>
    </row>
    <row r="818" spans="1:12">
      <c r="A818" s="301">
        <v>46190</v>
      </c>
      <c r="B818" s="302" t="s">
        <v>1331</v>
      </c>
      <c r="C818" s="302" t="s">
        <v>4637</v>
      </c>
      <c r="D818" s="303" t="s">
        <v>1332</v>
      </c>
      <c r="E818" s="302">
        <v>2</v>
      </c>
      <c r="F818" s="304"/>
      <c r="G818" s="304">
        <v>56.25</v>
      </c>
      <c r="H818" s="305"/>
      <c r="I818" s="306">
        <f>E818*G818</f>
        <v>112.5</v>
      </c>
      <c r="J818" s="306">
        <v>0</v>
      </c>
      <c r="K818" s="306">
        <f t="shared" si="35"/>
        <v>112.5</v>
      </c>
      <c r="L818" s="307">
        <f>E818*F818</f>
        <v>0</v>
      </c>
    </row>
    <row r="819" spans="1:12">
      <c r="A819" s="301">
        <v>46190</v>
      </c>
      <c r="B819" s="302" t="s">
        <v>1331</v>
      </c>
      <c r="C819" s="302" t="s">
        <v>4637</v>
      </c>
      <c r="D819" s="303" t="s">
        <v>1332</v>
      </c>
      <c r="E819" s="302">
        <v>4</v>
      </c>
      <c r="F819" s="304">
        <v>48.8</v>
      </c>
      <c r="G819" s="304">
        <v>56.25</v>
      </c>
      <c r="H819" s="305"/>
      <c r="I819" s="306">
        <f>E819*G819</f>
        <v>225</v>
      </c>
      <c r="J819" s="306">
        <v>0</v>
      </c>
      <c r="K819" s="306">
        <f t="shared" si="35"/>
        <v>225</v>
      </c>
      <c r="L819" s="307">
        <f t="shared" si="36"/>
        <v>195.2</v>
      </c>
    </row>
    <row r="820" spans="1:12">
      <c r="A820" s="301">
        <v>46190</v>
      </c>
      <c r="B820" s="302" t="s">
        <v>1333</v>
      </c>
      <c r="C820" s="302" t="s">
        <v>4637</v>
      </c>
      <c r="D820" s="303" t="s">
        <v>1334</v>
      </c>
      <c r="E820" s="302">
        <v>10</v>
      </c>
      <c r="F820" s="304">
        <v>94.58</v>
      </c>
      <c r="G820" s="304">
        <v>109</v>
      </c>
      <c r="H820" s="305"/>
      <c r="I820" s="306">
        <v>1090</v>
      </c>
      <c r="J820" s="306">
        <v>0</v>
      </c>
      <c r="K820" s="306">
        <f t="shared" si="35"/>
        <v>1090</v>
      </c>
      <c r="L820" s="307">
        <f t="shared" si="36"/>
        <v>945.8</v>
      </c>
    </row>
    <row r="821" spans="1:12">
      <c r="A821" s="301">
        <v>46190</v>
      </c>
      <c r="B821" s="302" t="s">
        <v>1327</v>
      </c>
      <c r="C821" s="302" t="s">
        <v>4637</v>
      </c>
      <c r="D821" s="303" t="s">
        <v>1328</v>
      </c>
      <c r="E821" s="302">
        <v>6</v>
      </c>
      <c r="F821" s="304">
        <v>96.67</v>
      </c>
      <c r="G821" s="304">
        <v>111.25</v>
      </c>
      <c r="H821" s="305"/>
      <c r="I821" s="306">
        <v>667.5</v>
      </c>
      <c r="J821" s="306">
        <v>0</v>
      </c>
      <c r="K821" s="306">
        <f t="shared" si="35"/>
        <v>667.5</v>
      </c>
      <c r="L821" s="307">
        <f t="shared" si="36"/>
        <v>580.02</v>
      </c>
    </row>
    <row r="822" spans="1:12">
      <c r="A822" s="301">
        <v>46190</v>
      </c>
      <c r="B822" s="302" t="s">
        <v>1538</v>
      </c>
      <c r="C822" s="302" t="s">
        <v>4637</v>
      </c>
      <c r="D822" s="303" t="s">
        <v>1539</v>
      </c>
      <c r="E822" s="302">
        <v>3</v>
      </c>
      <c r="F822" s="304">
        <v>21.5</v>
      </c>
      <c r="G822" s="304">
        <v>24.75</v>
      </c>
      <c r="H822" s="305"/>
      <c r="I822" s="306">
        <v>74.25</v>
      </c>
      <c r="J822" s="306">
        <v>0</v>
      </c>
      <c r="K822" s="306">
        <f t="shared" si="35"/>
        <v>74.25</v>
      </c>
      <c r="L822" s="307">
        <f t="shared" si="36"/>
        <v>64.5</v>
      </c>
    </row>
    <row r="823" spans="1:12">
      <c r="A823" s="301">
        <v>46190</v>
      </c>
      <c r="B823" s="302" t="s">
        <v>1550</v>
      </c>
      <c r="C823" s="302" t="s">
        <v>4637</v>
      </c>
      <c r="D823" s="303" t="s">
        <v>1551</v>
      </c>
      <c r="E823" s="302">
        <v>2</v>
      </c>
      <c r="F823" s="304">
        <v>21.5</v>
      </c>
      <c r="G823" s="304">
        <v>24.75</v>
      </c>
      <c r="H823" s="305"/>
      <c r="I823" s="306">
        <v>49.5</v>
      </c>
      <c r="J823" s="306">
        <v>0</v>
      </c>
      <c r="K823" s="306">
        <f t="shared" si="35"/>
        <v>49.5</v>
      </c>
      <c r="L823" s="307">
        <f t="shared" si="36"/>
        <v>43</v>
      </c>
    </row>
    <row r="824" spans="1:12">
      <c r="A824" s="301">
        <v>46190</v>
      </c>
      <c r="B824" s="302" t="s">
        <v>1534</v>
      </c>
      <c r="C824" s="302" t="s">
        <v>4637</v>
      </c>
      <c r="D824" s="303" t="s">
        <v>1535</v>
      </c>
      <c r="E824" s="302">
        <v>3</v>
      </c>
      <c r="F824" s="304">
        <v>21.5</v>
      </c>
      <c r="G824" s="304">
        <v>24.75</v>
      </c>
      <c r="H824" s="305"/>
      <c r="I824" s="306">
        <v>74.25</v>
      </c>
      <c r="J824" s="306">
        <v>0</v>
      </c>
      <c r="K824" s="306">
        <f t="shared" si="35"/>
        <v>74.25</v>
      </c>
      <c r="L824" s="307">
        <f t="shared" si="36"/>
        <v>64.5</v>
      </c>
    </row>
    <row r="825" spans="1:12">
      <c r="A825" s="301">
        <v>46190</v>
      </c>
      <c r="B825" s="302" t="s">
        <v>1547</v>
      </c>
      <c r="C825" s="302" t="s">
        <v>4637</v>
      </c>
      <c r="D825" s="303" t="s">
        <v>1548</v>
      </c>
      <c r="E825" s="302">
        <v>3</v>
      </c>
      <c r="F825" s="304">
        <v>21.5</v>
      </c>
      <c r="G825" s="304">
        <v>24.75</v>
      </c>
      <c r="H825" s="305"/>
      <c r="I825" s="306">
        <v>74.25</v>
      </c>
      <c r="J825" s="306">
        <v>0</v>
      </c>
      <c r="K825" s="306">
        <f t="shared" si="35"/>
        <v>74.25</v>
      </c>
      <c r="L825" s="307">
        <f t="shared" si="36"/>
        <v>64.5</v>
      </c>
    </row>
    <row r="826" spans="1:12">
      <c r="A826" s="301">
        <v>46190</v>
      </c>
      <c r="B826" s="302" t="s">
        <v>1585</v>
      </c>
      <c r="C826" s="302" t="s">
        <v>4637</v>
      </c>
      <c r="D826" s="303" t="s">
        <v>1586</v>
      </c>
      <c r="E826" s="302">
        <v>6</v>
      </c>
      <c r="F826" s="304">
        <v>23.32</v>
      </c>
      <c r="G826" s="304">
        <v>27</v>
      </c>
      <c r="H826" s="305"/>
      <c r="I826" s="306">
        <v>162</v>
      </c>
      <c r="J826" s="306">
        <v>0</v>
      </c>
      <c r="K826" s="306">
        <f t="shared" si="35"/>
        <v>162</v>
      </c>
      <c r="L826" s="307">
        <f t="shared" si="36"/>
        <v>139.92000000000002</v>
      </c>
    </row>
    <row r="827" spans="1:12">
      <c r="A827" s="301">
        <v>46190</v>
      </c>
      <c r="B827" s="302" t="s">
        <v>1587</v>
      </c>
      <c r="C827" s="302" t="s">
        <v>4637</v>
      </c>
      <c r="D827" s="303" t="s">
        <v>1588</v>
      </c>
      <c r="E827" s="302">
        <v>6</v>
      </c>
      <c r="F827" s="304">
        <v>20.55</v>
      </c>
      <c r="G827" s="304">
        <v>23.75</v>
      </c>
      <c r="H827" s="305"/>
      <c r="I827" s="306">
        <v>142.5</v>
      </c>
      <c r="J827" s="306">
        <v>0</v>
      </c>
      <c r="K827" s="306">
        <f t="shared" si="35"/>
        <v>142.5</v>
      </c>
      <c r="L827" s="307">
        <f t="shared" si="36"/>
        <v>123.30000000000001</v>
      </c>
    </row>
    <row r="828" spans="1:12">
      <c r="A828" s="301">
        <v>46190</v>
      </c>
      <c r="B828" s="302" t="s">
        <v>1599</v>
      </c>
      <c r="C828" s="302" t="s">
        <v>4637</v>
      </c>
      <c r="D828" s="303" t="s">
        <v>1600</v>
      </c>
      <c r="E828" s="302">
        <v>6</v>
      </c>
      <c r="F828" s="304">
        <v>21.17</v>
      </c>
      <c r="G828" s="304">
        <v>24.5</v>
      </c>
      <c r="H828" s="305"/>
      <c r="I828" s="306">
        <v>147</v>
      </c>
      <c r="J828" s="306">
        <v>0</v>
      </c>
      <c r="K828" s="306">
        <f t="shared" si="35"/>
        <v>147</v>
      </c>
      <c r="L828" s="307">
        <f t="shared" si="36"/>
        <v>127.02000000000001</v>
      </c>
    </row>
    <row r="829" spans="1:12">
      <c r="A829" s="301">
        <v>46190</v>
      </c>
      <c r="B829" s="302" t="s">
        <v>1597</v>
      </c>
      <c r="C829" s="302" t="s">
        <v>4637</v>
      </c>
      <c r="D829" s="303" t="s">
        <v>1598</v>
      </c>
      <c r="E829" s="302">
        <v>6</v>
      </c>
      <c r="F829" s="304">
        <v>21.17</v>
      </c>
      <c r="G829" s="304">
        <v>24.5</v>
      </c>
      <c r="H829" s="305"/>
      <c r="I829" s="306">
        <v>147</v>
      </c>
      <c r="J829" s="306">
        <v>0</v>
      </c>
      <c r="K829" s="306">
        <f t="shared" si="35"/>
        <v>147</v>
      </c>
      <c r="L829" s="307">
        <f t="shared" si="36"/>
        <v>127.02000000000001</v>
      </c>
    </row>
    <row r="830" spans="1:12">
      <c r="A830" s="301">
        <v>46190</v>
      </c>
      <c r="B830" s="302" t="s">
        <v>1581</v>
      </c>
      <c r="C830" s="302" t="s">
        <v>4637</v>
      </c>
      <c r="D830" s="303" t="s">
        <v>1582</v>
      </c>
      <c r="E830" s="302">
        <v>6</v>
      </c>
      <c r="F830" s="304">
        <v>20.55</v>
      </c>
      <c r="G830" s="304">
        <v>23.75</v>
      </c>
      <c r="H830" s="305"/>
      <c r="I830" s="306">
        <v>142.5</v>
      </c>
      <c r="J830" s="306">
        <v>0</v>
      </c>
      <c r="K830" s="306">
        <f t="shared" si="35"/>
        <v>142.5</v>
      </c>
      <c r="L830" s="307">
        <f t="shared" si="36"/>
        <v>123.30000000000001</v>
      </c>
    </row>
    <row r="831" spans="1:12">
      <c r="A831" s="301">
        <v>46190</v>
      </c>
      <c r="B831" s="302" t="s">
        <v>1838</v>
      </c>
      <c r="C831" s="302" t="s">
        <v>4637</v>
      </c>
      <c r="D831" s="303" t="s">
        <v>1839</v>
      </c>
      <c r="E831" s="302">
        <v>5</v>
      </c>
      <c r="F831" s="304">
        <v>61.5</v>
      </c>
      <c r="G831" s="304">
        <v>66.5</v>
      </c>
      <c r="H831" s="305"/>
      <c r="I831" s="306">
        <v>332.5</v>
      </c>
      <c r="J831" s="306">
        <v>0</v>
      </c>
      <c r="K831" s="306">
        <f t="shared" si="35"/>
        <v>332.5</v>
      </c>
      <c r="L831" s="307">
        <f t="shared" si="36"/>
        <v>307.5</v>
      </c>
    </row>
    <row r="832" spans="1:12">
      <c r="A832" s="301">
        <v>46190</v>
      </c>
      <c r="B832" s="302" t="s">
        <v>1840</v>
      </c>
      <c r="C832" s="302" t="s">
        <v>4637</v>
      </c>
      <c r="D832" s="303" t="s">
        <v>1841</v>
      </c>
      <c r="E832" s="302">
        <v>10</v>
      </c>
      <c r="F832" s="304">
        <v>29.95</v>
      </c>
      <c r="G832" s="304">
        <v>34.5</v>
      </c>
      <c r="H832" s="305"/>
      <c r="I832" s="306">
        <v>345</v>
      </c>
      <c r="J832" s="306">
        <v>0</v>
      </c>
      <c r="K832" s="306">
        <f t="shared" si="35"/>
        <v>345</v>
      </c>
      <c r="L832" s="307">
        <f t="shared" si="36"/>
        <v>299.5</v>
      </c>
    </row>
    <row r="833" spans="1:12">
      <c r="A833" s="301">
        <v>46190</v>
      </c>
      <c r="B833" s="302" t="s">
        <v>1817</v>
      </c>
      <c r="C833" s="302" t="s">
        <v>4637</v>
      </c>
      <c r="D833" s="303" t="s">
        <v>1818</v>
      </c>
      <c r="E833" s="302">
        <v>6</v>
      </c>
      <c r="F833" s="304">
        <v>60.45</v>
      </c>
      <c r="G833" s="304">
        <v>69.75</v>
      </c>
      <c r="H833" s="305"/>
      <c r="I833" s="306">
        <v>418.5</v>
      </c>
      <c r="J833" s="306">
        <v>0</v>
      </c>
      <c r="K833" s="306">
        <f t="shared" si="35"/>
        <v>418.5</v>
      </c>
      <c r="L833" s="307">
        <f t="shared" si="36"/>
        <v>362.70000000000005</v>
      </c>
    </row>
    <row r="834" spans="1:12">
      <c r="A834" s="301">
        <v>46190</v>
      </c>
      <c r="B834" s="302" t="s">
        <v>1829</v>
      </c>
      <c r="C834" s="302" t="s">
        <v>4637</v>
      </c>
      <c r="D834" s="303" t="s">
        <v>1830</v>
      </c>
      <c r="E834" s="302">
        <v>4</v>
      </c>
      <c r="F834" s="304">
        <v>58.57</v>
      </c>
      <c r="G834" s="304">
        <v>67.5</v>
      </c>
      <c r="H834" s="305"/>
      <c r="I834" s="306">
        <v>270</v>
      </c>
      <c r="J834" s="306">
        <v>0</v>
      </c>
      <c r="K834" s="306">
        <f t="shared" si="35"/>
        <v>270</v>
      </c>
      <c r="L834" s="307">
        <f t="shared" si="36"/>
        <v>234.28</v>
      </c>
    </row>
    <row r="835" spans="1:12">
      <c r="A835" s="301">
        <v>46190</v>
      </c>
      <c r="B835" s="302" t="s">
        <v>2003</v>
      </c>
      <c r="C835" s="302" t="s">
        <v>4637</v>
      </c>
      <c r="D835" s="303" t="s">
        <v>2004</v>
      </c>
      <c r="E835" s="302">
        <v>6</v>
      </c>
      <c r="F835" s="304">
        <v>35.39</v>
      </c>
      <c r="G835" s="304">
        <v>40.75</v>
      </c>
      <c r="H835" s="305"/>
      <c r="I835" s="306">
        <v>244.5</v>
      </c>
      <c r="J835" s="306">
        <v>0</v>
      </c>
      <c r="K835" s="306">
        <f t="shared" si="35"/>
        <v>244.5</v>
      </c>
      <c r="L835" s="307">
        <f t="shared" si="36"/>
        <v>212.34</v>
      </c>
    </row>
    <row r="836" spans="1:12">
      <c r="A836" s="301">
        <v>46190</v>
      </c>
      <c r="B836" s="302" t="s">
        <v>1898</v>
      </c>
      <c r="C836" s="302" t="s">
        <v>4637</v>
      </c>
      <c r="D836" s="303" t="s">
        <v>1899</v>
      </c>
      <c r="E836" s="302">
        <v>4</v>
      </c>
      <c r="F836" s="304">
        <v>23.92</v>
      </c>
      <c r="G836" s="304">
        <v>27.75</v>
      </c>
      <c r="H836" s="305"/>
      <c r="I836" s="306">
        <v>111</v>
      </c>
      <c r="J836" s="306">
        <v>0</v>
      </c>
      <c r="K836" s="306">
        <f t="shared" si="35"/>
        <v>111</v>
      </c>
      <c r="L836" s="307">
        <f t="shared" si="36"/>
        <v>95.68</v>
      </c>
    </row>
    <row r="837" spans="1:12">
      <c r="A837" s="301">
        <v>46190</v>
      </c>
      <c r="B837" s="302" t="s">
        <v>1902</v>
      </c>
      <c r="C837" s="302" t="s">
        <v>4637</v>
      </c>
      <c r="D837" s="303" t="s">
        <v>1903</v>
      </c>
      <c r="E837" s="302">
        <v>5</v>
      </c>
      <c r="F837" s="304">
        <v>60.9</v>
      </c>
      <c r="G837" s="304">
        <v>70.25</v>
      </c>
      <c r="H837" s="305"/>
      <c r="I837" s="306">
        <v>351.25</v>
      </c>
      <c r="J837" s="306">
        <v>0</v>
      </c>
      <c r="K837" s="306">
        <f t="shared" si="35"/>
        <v>351.25</v>
      </c>
      <c r="L837" s="307">
        <f t="shared" si="36"/>
        <v>304.5</v>
      </c>
    </row>
    <row r="838" spans="1:12">
      <c r="A838" s="301">
        <v>46190</v>
      </c>
      <c r="B838" s="302" t="s">
        <v>2055</v>
      </c>
      <c r="C838" s="302" t="s">
        <v>4637</v>
      </c>
      <c r="D838" s="303" t="s">
        <v>2056</v>
      </c>
      <c r="E838" s="302">
        <v>24</v>
      </c>
      <c r="F838" s="304">
        <v>5.61</v>
      </c>
      <c r="G838" s="304">
        <v>6.5</v>
      </c>
      <c r="H838" s="305"/>
      <c r="I838" s="306">
        <v>156</v>
      </c>
      <c r="J838" s="306">
        <v>0</v>
      </c>
      <c r="K838" s="306">
        <f t="shared" ref="K838:K901" si="37">H838+I838-J838</f>
        <v>156</v>
      </c>
      <c r="L838" s="307">
        <f t="shared" ref="L838:L901" si="38">E838*F838</f>
        <v>134.64000000000001</v>
      </c>
    </row>
    <row r="839" spans="1:12">
      <c r="A839" s="301">
        <v>46190</v>
      </c>
      <c r="B839" s="302" t="s">
        <v>1507</v>
      </c>
      <c r="C839" s="302" t="s">
        <v>4637</v>
      </c>
      <c r="D839" s="303" t="s">
        <v>1508</v>
      </c>
      <c r="E839" s="302">
        <v>3</v>
      </c>
      <c r="F839" s="304">
        <v>129.1</v>
      </c>
      <c r="G839" s="304">
        <v>148.5</v>
      </c>
      <c r="H839" s="305"/>
      <c r="I839" s="306">
        <v>445.5</v>
      </c>
      <c r="J839" s="306">
        <v>0</v>
      </c>
      <c r="K839" s="306">
        <f t="shared" si="37"/>
        <v>445.5</v>
      </c>
      <c r="L839" s="307">
        <f t="shared" si="38"/>
        <v>387.29999999999995</v>
      </c>
    </row>
    <row r="840" spans="1:12">
      <c r="A840" s="301">
        <v>46190</v>
      </c>
      <c r="B840" s="302" t="s">
        <v>1999</v>
      </c>
      <c r="C840" s="302" t="s">
        <v>4637</v>
      </c>
      <c r="D840" s="303" t="s">
        <v>2000</v>
      </c>
      <c r="E840" s="302">
        <v>3</v>
      </c>
      <c r="F840" s="304">
        <v>34.880000000000003</v>
      </c>
      <c r="G840" s="304">
        <v>40.25</v>
      </c>
      <c r="H840" s="305"/>
      <c r="I840" s="306">
        <v>120.75</v>
      </c>
      <c r="J840" s="306">
        <v>0</v>
      </c>
      <c r="K840" s="306">
        <f t="shared" si="37"/>
        <v>120.75</v>
      </c>
      <c r="L840" s="307">
        <f t="shared" si="38"/>
        <v>104.64000000000001</v>
      </c>
    </row>
    <row r="841" spans="1:12">
      <c r="A841" s="301">
        <v>46190</v>
      </c>
      <c r="B841" s="302" t="s">
        <v>1930</v>
      </c>
      <c r="C841" s="302" t="s">
        <v>4637</v>
      </c>
      <c r="D841" s="303" t="s">
        <v>1931</v>
      </c>
      <c r="E841" s="302">
        <v>5</v>
      </c>
      <c r="F841" s="304">
        <v>32.86</v>
      </c>
      <c r="G841" s="304">
        <v>38</v>
      </c>
      <c r="H841" s="305"/>
      <c r="I841" s="306">
        <v>190</v>
      </c>
      <c r="J841" s="306">
        <v>0</v>
      </c>
      <c r="K841" s="306">
        <f t="shared" si="37"/>
        <v>190</v>
      </c>
      <c r="L841" s="307">
        <f t="shared" si="38"/>
        <v>164.3</v>
      </c>
    </row>
    <row r="842" spans="1:12">
      <c r="A842" s="301">
        <v>46190</v>
      </c>
      <c r="B842" s="302" t="s">
        <v>1932</v>
      </c>
      <c r="C842" s="302" t="s">
        <v>4637</v>
      </c>
      <c r="D842" s="303" t="s">
        <v>1933</v>
      </c>
      <c r="E842" s="302">
        <v>6</v>
      </c>
      <c r="F842" s="304">
        <v>65.95</v>
      </c>
      <c r="G842" s="304">
        <v>76</v>
      </c>
      <c r="H842" s="305"/>
      <c r="I842" s="306">
        <v>456</v>
      </c>
      <c r="J842" s="306">
        <v>0</v>
      </c>
      <c r="K842" s="306">
        <f t="shared" si="37"/>
        <v>456</v>
      </c>
      <c r="L842" s="307">
        <f t="shared" si="38"/>
        <v>395.70000000000005</v>
      </c>
    </row>
    <row r="843" spans="1:12">
      <c r="A843" s="301">
        <v>46190</v>
      </c>
      <c r="B843" s="302" t="s">
        <v>1689</v>
      </c>
      <c r="C843" s="302" t="s">
        <v>4637</v>
      </c>
      <c r="D843" s="303" t="s">
        <v>1690</v>
      </c>
      <c r="E843" s="302">
        <v>2</v>
      </c>
      <c r="F843" s="304">
        <v>29.25</v>
      </c>
      <c r="G843" s="304">
        <v>33.75</v>
      </c>
      <c r="H843" s="305"/>
      <c r="I843" s="306">
        <v>67.5</v>
      </c>
      <c r="J843" s="306">
        <v>0</v>
      </c>
      <c r="K843" s="306">
        <f t="shared" si="37"/>
        <v>67.5</v>
      </c>
      <c r="L843" s="307">
        <f t="shared" si="38"/>
        <v>58.5</v>
      </c>
    </row>
    <row r="844" spans="1:12">
      <c r="A844" s="301">
        <v>46190</v>
      </c>
      <c r="B844" s="302" t="s">
        <v>2108</v>
      </c>
      <c r="C844" s="302" t="s">
        <v>4637</v>
      </c>
      <c r="D844" s="303" t="s">
        <v>2109</v>
      </c>
      <c r="E844" s="302">
        <v>4</v>
      </c>
      <c r="F844" s="304">
        <v>26</v>
      </c>
      <c r="G844" s="304">
        <v>30.5</v>
      </c>
      <c r="H844" s="305"/>
      <c r="I844" s="306">
        <v>122</v>
      </c>
      <c r="J844" s="306">
        <v>0</v>
      </c>
      <c r="K844" s="306">
        <f t="shared" si="37"/>
        <v>122</v>
      </c>
      <c r="L844" s="307">
        <f t="shared" si="38"/>
        <v>104</v>
      </c>
    </row>
    <row r="845" spans="1:12">
      <c r="A845" s="301">
        <v>46190</v>
      </c>
      <c r="B845" s="302" t="s">
        <v>1691</v>
      </c>
      <c r="C845" s="302" t="s">
        <v>4637</v>
      </c>
      <c r="D845" s="303" t="s">
        <v>1692</v>
      </c>
      <c r="E845" s="302">
        <v>15</v>
      </c>
      <c r="F845" s="304">
        <v>20.75</v>
      </c>
      <c r="G845" s="304">
        <v>24.25</v>
      </c>
      <c r="H845" s="305"/>
      <c r="I845" s="306">
        <v>363.75</v>
      </c>
      <c r="J845" s="306">
        <v>0</v>
      </c>
      <c r="K845" s="306">
        <f t="shared" si="37"/>
        <v>363.75</v>
      </c>
      <c r="L845" s="307">
        <f t="shared" si="38"/>
        <v>311.25</v>
      </c>
    </row>
    <row r="846" spans="1:12">
      <c r="A846" s="301">
        <v>46190</v>
      </c>
      <c r="B846" s="302" t="s">
        <v>1866</v>
      </c>
      <c r="C846" s="302" t="s">
        <v>4637</v>
      </c>
      <c r="D846" s="303" t="s">
        <v>1867</v>
      </c>
      <c r="E846" s="302">
        <v>3</v>
      </c>
      <c r="F846" s="304">
        <v>39.5</v>
      </c>
      <c r="G846" s="304">
        <v>45.5</v>
      </c>
      <c r="H846" s="305"/>
      <c r="I846" s="306">
        <v>136.5</v>
      </c>
      <c r="J846" s="306">
        <v>0</v>
      </c>
      <c r="K846" s="306">
        <f t="shared" si="37"/>
        <v>136.5</v>
      </c>
      <c r="L846" s="307">
        <f t="shared" si="38"/>
        <v>118.5</v>
      </c>
    </row>
    <row r="847" spans="1:12">
      <c r="A847" s="301">
        <v>46190</v>
      </c>
      <c r="B847" s="302" t="s">
        <v>1868</v>
      </c>
      <c r="C847" s="302" t="s">
        <v>4637</v>
      </c>
      <c r="D847" s="303" t="s">
        <v>1869</v>
      </c>
      <c r="E847" s="302">
        <v>4</v>
      </c>
      <c r="F847" s="304">
        <v>38.75</v>
      </c>
      <c r="G847" s="304">
        <v>44.75</v>
      </c>
      <c r="H847" s="305"/>
      <c r="I847" s="306">
        <v>179</v>
      </c>
      <c r="J847" s="306">
        <v>0</v>
      </c>
      <c r="K847" s="306">
        <f t="shared" si="37"/>
        <v>179</v>
      </c>
      <c r="L847" s="307">
        <f t="shared" si="38"/>
        <v>155</v>
      </c>
    </row>
    <row r="848" spans="1:12">
      <c r="A848" s="301">
        <v>46190</v>
      </c>
      <c r="B848" s="302" t="s">
        <v>1872</v>
      </c>
      <c r="C848" s="302" t="s">
        <v>4637</v>
      </c>
      <c r="D848" s="303" t="s">
        <v>1873</v>
      </c>
      <c r="E848" s="302">
        <v>3</v>
      </c>
      <c r="F848" s="304">
        <v>51.5</v>
      </c>
      <c r="G848" s="304">
        <v>59.25</v>
      </c>
      <c r="H848" s="305"/>
      <c r="I848" s="306">
        <v>177.75</v>
      </c>
      <c r="J848" s="306">
        <v>0</v>
      </c>
      <c r="K848" s="306">
        <f t="shared" si="37"/>
        <v>177.75</v>
      </c>
      <c r="L848" s="307">
        <f t="shared" si="38"/>
        <v>154.5</v>
      </c>
    </row>
    <row r="849" spans="1:12">
      <c r="A849" s="301">
        <v>46190</v>
      </c>
      <c r="B849" s="302" t="s">
        <v>1934</v>
      </c>
      <c r="C849" s="302" t="s">
        <v>4637</v>
      </c>
      <c r="D849" s="303" t="s">
        <v>1935</v>
      </c>
      <c r="E849" s="302">
        <v>15</v>
      </c>
      <c r="F849" s="304">
        <v>13.56</v>
      </c>
      <c r="G849" s="304">
        <v>15.75</v>
      </c>
      <c r="H849" s="305"/>
      <c r="I849" s="306">
        <v>236.25</v>
      </c>
      <c r="J849" s="306">
        <v>0</v>
      </c>
      <c r="K849" s="306">
        <f t="shared" si="37"/>
        <v>236.25</v>
      </c>
      <c r="L849" s="307">
        <f t="shared" si="38"/>
        <v>203.4</v>
      </c>
    </row>
    <row r="850" spans="1:12">
      <c r="A850" s="301">
        <v>46190</v>
      </c>
      <c r="B850" s="302" t="s">
        <v>1942</v>
      </c>
      <c r="C850" s="302" t="s">
        <v>4637</v>
      </c>
      <c r="D850" s="303" t="s">
        <v>1943</v>
      </c>
      <c r="E850" s="302">
        <v>5</v>
      </c>
      <c r="F850" s="304">
        <v>10</v>
      </c>
      <c r="G850" s="304">
        <v>12.5</v>
      </c>
      <c r="H850" s="305"/>
      <c r="I850" s="306">
        <v>62.5</v>
      </c>
      <c r="J850" s="306">
        <v>0</v>
      </c>
      <c r="K850" s="306">
        <f t="shared" si="37"/>
        <v>62.5</v>
      </c>
      <c r="L850" s="307">
        <f t="shared" si="38"/>
        <v>50</v>
      </c>
    </row>
    <row r="851" spans="1:12">
      <c r="A851" s="301">
        <v>46190</v>
      </c>
      <c r="B851" s="302" t="s">
        <v>1497</v>
      </c>
      <c r="C851" s="302" t="s">
        <v>4637</v>
      </c>
      <c r="D851" s="303" t="s">
        <v>1498</v>
      </c>
      <c r="E851" s="302">
        <v>4</v>
      </c>
      <c r="F851" s="304">
        <v>48.6</v>
      </c>
      <c r="G851" s="304">
        <v>56</v>
      </c>
      <c r="H851" s="305"/>
      <c r="I851" s="306">
        <v>224</v>
      </c>
      <c r="J851" s="306">
        <v>0</v>
      </c>
      <c r="K851" s="306">
        <f t="shared" si="37"/>
        <v>224</v>
      </c>
      <c r="L851" s="307">
        <f t="shared" si="38"/>
        <v>194.4</v>
      </c>
    </row>
    <row r="852" spans="1:12">
      <c r="A852" s="301">
        <v>46190</v>
      </c>
      <c r="B852" s="302" t="s">
        <v>1811</v>
      </c>
      <c r="C852" s="302" t="s">
        <v>4637</v>
      </c>
      <c r="D852" s="303" t="s">
        <v>1812</v>
      </c>
      <c r="E852" s="302">
        <v>20</v>
      </c>
      <c r="F852" s="304">
        <v>24.24</v>
      </c>
      <c r="G852" s="304">
        <v>29.25</v>
      </c>
      <c r="H852" s="305"/>
      <c r="I852" s="306">
        <v>585</v>
      </c>
      <c r="J852" s="306">
        <v>0</v>
      </c>
      <c r="K852" s="306">
        <f t="shared" si="37"/>
        <v>585</v>
      </c>
      <c r="L852" s="307">
        <f t="shared" si="38"/>
        <v>484.79999999999995</v>
      </c>
    </row>
    <row r="853" spans="1:12">
      <c r="A853" s="301">
        <v>46190</v>
      </c>
      <c r="B853" s="302" t="s">
        <v>2447</v>
      </c>
      <c r="C853" s="302" t="s">
        <v>4637</v>
      </c>
      <c r="D853" s="303" t="s">
        <v>2448</v>
      </c>
      <c r="E853" s="302">
        <v>5</v>
      </c>
      <c r="F853" s="304">
        <v>70.7</v>
      </c>
      <c r="G853" s="304">
        <v>81.5</v>
      </c>
      <c r="H853" s="305"/>
      <c r="I853" s="306">
        <v>407.5</v>
      </c>
      <c r="J853" s="306">
        <v>0</v>
      </c>
      <c r="K853" s="306">
        <f t="shared" si="37"/>
        <v>407.5</v>
      </c>
      <c r="L853" s="307">
        <f t="shared" si="38"/>
        <v>353.5</v>
      </c>
    </row>
    <row r="854" spans="1:12">
      <c r="A854" s="301">
        <v>46190</v>
      </c>
      <c r="B854" s="302" t="s">
        <v>2732</v>
      </c>
      <c r="C854" s="302" t="s">
        <v>4637</v>
      </c>
      <c r="D854" s="303" t="s">
        <v>2733</v>
      </c>
      <c r="E854" s="302">
        <v>6</v>
      </c>
      <c r="F854" s="304">
        <v>45</v>
      </c>
      <c r="G854" s="304">
        <v>51.75</v>
      </c>
      <c r="H854" s="305"/>
      <c r="I854" s="306">
        <v>310.5</v>
      </c>
      <c r="J854" s="306">
        <v>0</v>
      </c>
      <c r="K854" s="306">
        <f t="shared" si="37"/>
        <v>310.5</v>
      </c>
      <c r="L854" s="307">
        <f t="shared" si="38"/>
        <v>270</v>
      </c>
    </row>
    <row r="855" spans="1:12">
      <c r="A855" s="301">
        <v>46190</v>
      </c>
      <c r="B855" s="302" t="s">
        <v>2443</v>
      </c>
      <c r="C855" s="302" t="s">
        <v>4637</v>
      </c>
      <c r="D855" s="303" t="s">
        <v>2444</v>
      </c>
      <c r="E855" s="302">
        <v>5</v>
      </c>
      <c r="F855" s="304">
        <v>27.9</v>
      </c>
      <c r="G855" s="304">
        <v>32.25</v>
      </c>
      <c r="H855" s="305"/>
      <c r="I855" s="306">
        <v>161.25</v>
      </c>
      <c r="J855" s="306">
        <v>0</v>
      </c>
      <c r="K855" s="306">
        <f t="shared" si="37"/>
        <v>161.25</v>
      </c>
      <c r="L855" s="307">
        <f t="shared" si="38"/>
        <v>139.5</v>
      </c>
    </row>
    <row r="856" spans="1:12">
      <c r="A856" s="301">
        <v>46190</v>
      </c>
      <c r="B856" s="302" t="s">
        <v>1701</v>
      </c>
      <c r="C856" s="302" t="s">
        <v>4637</v>
      </c>
      <c r="D856" s="303" t="s">
        <v>1702</v>
      </c>
      <c r="E856" s="302">
        <v>15</v>
      </c>
      <c r="F856" s="304">
        <v>35.43</v>
      </c>
      <c r="G856" s="304">
        <v>42.75</v>
      </c>
      <c r="H856" s="305"/>
      <c r="I856" s="306">
        <v>641.25</v>
      </c>
      <c r="J856" s="306">
        <v>0</v>
      </c>
      <c r="K856" s="306">
        <f t="shared" si="37"/>
        <v>641.25</v>
      </c>
      <c r="L856" s="307">
        <f t="shared" si="38"/>
        <v>531.45000000000005</v>
      </c>
    </row>
    <row r="857" spans="1:12">
      <c r="A857" s="301">
        <v>46190</v>
      </c>
      <c r="B857" s="302" t="s">
        <v>1127</v>
      </c>
      <c r="C857" s="302" t="s">
        <v>4637</v>
      </c>
      <c r="D857" s="303" t="s">
        <v>1128</v>
      </c>
      <c r="E857" s="302">
        <v>20</v>
      </c>
      <c r="F857" s="304">
        <v>7.28</v>
      </c>
      <c r="G857" s="304">
        <v>8.5</v>
      </c>
      <c r="H857" s="305"/>
      <c r="I857" s="306">
        <v>170</v>
      </c>
      <c r="J857" s="306">
        <v>0</v>
      </c>
      <c r="K857" s="306">
        <f t="shared" si="37"/>
        <v>170</v>
      </c>
      <c r="L857" s="307">
        <f t="shared" si="38"/>
        <v>145.6</v>
      </c>
    </row>
    <row r="858" spans="1:12">
      <c r="A858" s="301">
        <v>46190</v>
      </c>
      <c r="B858" s="302" t="s">
        <v>1787</v>
      </c>
      <c r="C858" s="302" t="s">
        <v>4637</v>
      </c>
      <c r="D858" s="303" t="s">
        <v>1788</v>
      </c>
      <c r="E858" s="302">
        <v>5</v>
      </c>
      <c r="F858" s="304">
        <v>35.549999999999997</v>
      </c>
      <c r="G858" s="304">
        <v>41</v>
      </c>
      <c r="H858" s="305"/>
      <c r="I858" s="306">
        <v>205</v>
      </c>
      <c r="J858" s="306">
        <v>0</v>
      </c>
      <c r="K858" s="306">
        <f t="shared" si="37"/>
        <v>205</v>
      </c>
      <c r="L858" s="307">
        <f t="shared" si="38"/>
        <v>177.75</v>
      </c>
    </row>
    <row r="859" spans="1:12">
      <c r="A859" s="301">
        <v>46190</v>
      </c>
      <c r="B859" s="302" t="s">
        <v>1801</v>
      </c>
      <c r="C859" s="302" t="s">
        <v>4637</v>
      </c>
      <c r="D859" s="303" t="s">
        <v>1802</v>
      </c>
      <c r="E859" s="302">
        <v>6</v>
      </c>
      <c r="F859" s="304">
        <v>32.18</v>
      </c>
      <c r="G859" s="304">
        <v>41</v>
      </c>
      <c r="H859" s="305"/>
      <c r="I859" s="306">
        <v>246</v>
      </c>
      <c r="J859" s="306">
        <v>4362.01</v>
      </c>
      <c r="K859" s="306">
        <f t="shared" si="37"/>
        <v>-4116.01</v>
      </c>
      <c r="L859" s="307">
        <f t="shared" si="38"/>
        <v>193.07999999999998</v>
      </c>
    </row>
    <row r="860" spans="1:12">
      <c r="A860" s="223">
        <v>46190</v>
      </c>
      <c r="B860" s="80" t="s">
        <v>4076</v>
      </c>
      <c r="C860" s="80" t="s">
        <v>4638</v>
      </c>
      <c r="D860" s="107" t="s">
        <v>4077</v>
      </c>
      <c r="E860" s="80">
        <v>4</v>
      </c>
      <c r="F860" s="133">
        <v>3500</v>
      </c>
      <c r="G860" s="133">
        <v>4000</v>
      </c>
      <c r="H860" s="222">
        <f t="shared" ref="H860:H923" si="39">E860*G860</f>
        <v>16000</v>
      </c>
      <c r="I860" s="236"/>
      <c r="J860" s="236">
        <v>0</v>
      </c>
      <c r="K860" s="236">
        <f t="shared" si="37"/>
        <v>16000</v>
      </c>
      <c r="L860" s="237">
        <f t="shared" si="38"/>
        <v>14000</v>
      </c>
    </row>
    <row r="861" spans="1:12">
      <c r="A861" s="223">
        <v>46191</v>
      </c>
      <c r="B861" s="80" t="s">
        <v>1524</v>
      </c>
      <c r="C861" s="80" t="s">
        <v>4639</v>
      </c>
      <c r="D861" s="107" t="s">
        <v>1525</v>
      </c>
      <c r="E861" s="80">
        <v>2</v>
      </c>
      <c r="F861" s="133">
        <v>30.83</v>
      </c>
      <c r="G861" s="133">
        <v>35.5</v>
      </c>
      <c r="H861" s="222">
        <f t="shared" si="39"/>
        <v>71</v>
      </c>
      <c r="I861" s="236"/>
      <c r="J861" s="236">
        <v>0</v>
      </c>
      <c r="K861" s="236">
        <f t="shared" si="37"/>
        <v>71</v>
      </c>
      <c r="L861" s="237">
        <f t="shared" si="38"/>
        <v>61.66</v>
      </c>
    </row>
    <row r="862" spans="1:12">
      <c r="A862" s="223">
        <v>46191</v>
      </c>
      <c r="B862" s="80" t="s">
        <v>3519</v>
      </c>
      <c r="C862" s="80" t="s">
        <v>4640</v>
      </c>
      <c r="D862" s="107" t="s">
        <v>3520</v>
      </c>
      <c r="E862" s="80">
        <v>1</v>
      </c>
      <c r="F862" s="133">
        <v>20.399999999999999</v>
      </c>
      <c r="G862" s="133">
        <v>24</v>
      </c>
      <c r="H862" s="222">
        <f t="shared" si="39"/>
        <v>24</v>
      </c>
      <c r="I862" s="236"/>
      <c r="J862" s="236">
        <v>0</v>
      </c>
      <c r="K862" s="236">
        <f t="shared" si="37"/>
        <v>24</v>
      </c>
      <c r="L862" s="237">
        <f t="shared" si="38"/>
        <v>20.399999999999999</v>
      </c>
    </row>
    <row r="863" spans="1:12">
      <c r="A863" s="223">
        <v>46191</v>
      </c>
      <c r="B863" s="80" t="s">
        <v>4641</v>
      </c>
      <c r="C863" s="80" t="s">
        <v>4642</v>
      </c>
      <c r="D863" s="107" t="s">
        <v>4643</v>
      </c>
      <c r="E863" s="80">
        <v>1</v>
      </c>
      <c r="F863" s="133">
        <v>213.74</v>
      </c>
      <c r="G863" s="133">
        <v>246</v>
      </c>
      <c r="H863" s="222">
        <f t="shared" si="39"/>
        <v>246</v>
      </c>
      <c r="I863" s="236"/>
      <c r="J863" s="236">
        <v>0</v>
      </c>
      <c r="K863" s="236">
        <f t="shared" si="37"/>
        <v>246</v>
      </c>
      <c r="L863" s="237">
        <f t="shared" si="38"/>
        <v>213.74</v>
      </c>
    </row>
    <row r="864" spans="1:12">
      <c r="A864" s="223">
        <v>46191</v>
      </c>
      <c r="B864" s="80" t="s">
        <v>707</v>
      </c>
      <c r="C864" s="80" t="s">
        <v>4644</v>
      </c>
      <c r="D864" s="107" t="s">
        <v>708</v>
      </c>
      <c r="E864" s="80">
        <v>1</v>
      </c>
      <c r="F864" s="133">
        <v>15.12</v>
      </c>
      <c r="G864" s="133">
        <v>17.5</v>
      </c>
      <c r="H864" s="222">
        <f t="shared" si="39"/>
        <v>17.5</v>
      </c>
      <c r="I864" s="236"/>
      <c r="J864" s="236">
        <v>0</v>
      </c>
      <c r="K864" s="236">
        <f t="shared" si="37"/>
        <v>17.5</v>
      </c>
      <c r="L864" s="237">
        <f t="shared" si="38"/>
        <v>15.12</v>
      </c>
    </row>
    <row r="865" spans="1:12">
      <c r="A865" s="223">
        <v>46191</v>
      </c>
      <c r="B865" s="80" t="s">
        <v>4645</v>
      </c>
      <c r="C865" s="80" t="s">
        <v>4646</v>
      </c>
      <c r="D865" s="107" t="s">
        <v>4647</v>
      </c>
      <c r="E865" s="80">
        <v>1</v>
      </c>
      <c r="F865" s="133">
        <v>6.15</v>
      </c>
      <c r="G865" s="133">
        <v>7.25</v>
      </c>
      <c r="H865" s="222">
        <f t="shared" si="39"/>
        <v>7.25</v>
      </c>
      <c r="I865" s="236"/>
      <c r="J865" s="236">
        <v>0</v>
      </c>
      <c r="K865" s="236">
        <f t="shared" si="37"/>
        <v>7.25</v>
      </c>
      <c r="L865" s="237">
        <f t="shared" si="38"/>
        <v>6.15</v>
      </c>
    </row>
    <row r="866" spans="1:12">
      <c r="A866" s="223">
        <v>46191</v>
      </c>
      <c r="B866" s="80" t="s">
        <v>2674</v>
      </c>
      <c r="C866" s="80" t="s">
        <v>4648</v>
      </c>
      <c r="D866" s="107" t="s">
        <v>2675</v>
      </c>
      <c r="E866" s="80">
        <v>1</v>
      </c>
      <c r="F866" s="133">
        <v>47.5</v>
      </c>
      <c r="G866" s="133">
        <v>54.75</v>
      </c>
      <c r="H866" s="222">
        <f t="shared" si="39"/>
        <v>54.75</v>
      </c>
      <c r="I866" s="236"/>
      <c r="J866" s="236">
        <v>0</v>
      </c>
      <c r="K866" s="236">
        <f t="shared" si="37"/>
        <v>54.75</v>
      </c>
      <c r="L866" s="237">
        <f t="shared" si="38"/>
        <v>47.5</v>
      </c>
    </row>
    <row r="867" spans="1:12">
      <c r="A867" s="223">
        <v>46191</v>
      </c>
      <c r="B867" s="80" t="s">
        <v>4649</v>
      </c>
      <c r="C867" s="80" t="s">
        <v>4650</v>
      </c>
      <c r="D867" s="107" t="s">
        <v>4651</v>
      </c>
      <c r="E867" s="80">
        <v>5</v>
      </c>
      <c r="F867" s="133">
        <v>0.81</v>
      </c>
      <c r="G867" s="133">
        <v>1</v>
      </c>
      <c r="H867" s="222">
        <f t="shared" si="39"/>
        <v>5</v>
      </c>
      <c r="I867" s="236"/>
      <c r="J867" s="236">
        <v>0</v>
      </c>
      <c r="K867" s="236">
        <f t="shared" si="37"/>
        <v>5</v>
      </c>
      <c r="L867" s="237">
        <f t="shared" si="38"/>
        <v>4.0500000000000007</v>
      </c>
    </row>
    <row r="868" spans="1:12">
      <c r="A868" s="223">
        <v>46191</v>
      </c>
      <c r="B868" s="80" t="s">
        <v>3723</v>
      </c>
      <c r="C868" s="80" t="s">
        <v>4652</v>
      </c>
      <c r="D868" s="107" t="s">
        <v>3724</v>
      </c>
      <c r="E868" s="80">
        <v>6</v>
      </c>
      <c r="F868" s="133">
        <v>19.47</v>
      </c>
      <c r="G868" s="133">
        <v>23</v>
      </c>
      <c r="H868" s="222">
        <f t="shared" si="39"/>
        <v>138</v>
      </c>
      <c r="I868" s="236"/>
      <c r="J868" s="236">
        <v>0</v>
      </c>
      <c r="K868" s="236">
        <f t="shared" si="37"/>
        <v>138</v>
      </c>
      <c r="L868" s="237">
        <f t="shared" si="38"/>
        <v>116.82</v>
      </c>
    </row>
    <row r="869" spans="1:12">
      <c r="A869" s="223">
        <v>46191</v>
      </c>
      <c r="B869" s="80" t="s">
        <v>2350</v>
      </c>
      <c r="C869" s="80" t="s">
        <v>4652</v>
      </c>
      <c r="D869" s="107" t="s">
        <v>2351</v>
      </c>
      <c r="E869" s="80">
        <v>1</v>
      </c>
      <c r="F869" s="133">
        <v>54.38</v>
      </c>
      <c r="G869" s="133">
        <v>62.75</v>
      </c>
      <c r="H869" s="222">
        <f t="shared" si="39"/>
        <v>62.75</v>
      </c>
      <c r="I869" s="236"/>
      <c r="J869" s="236">
        <v>0</v>
      </c>
      <c r="K869" s="236">
        <f t="shared" si="37"/>
        <v>62.75</v>
      </c>
      <c r="L869" s="237">
        <f t="shared" si="38"/>
        <v>54.38</v>
      </c>
    </row>
    <row r="870" spans="1:12">
      <c r="A870" s="223">
        <v>46191</v>
      </c>
      <c r="B870" s="80" t="s">
        <v>2704</v>
      </c>
      <c r="C870" s="80" t="s">
        <v>4652</v>
      </c>
      <c r="D870" s="107" t="s">
        <v>2705</v>
      </c>
      <c r="E870" s="80">
        <v>1</v>
      </c>
      <c r="F870" s="133">
        <v>27</v>
      </c>
      <c r="G870" s="133">
        <v>31.25</v>
      </c>
      <c r="H870" s="222">
        <f t="shared" si="39"/>
        <v>31.25</v>
      </c>
      <c r="I870" s="236"/>
      <c r="J870" s="236">
        <v>0</v>
      </c>
      <c r="K870" s="236">
        <f t="shared" si="37"/>
        <v>31.25</v>
      </c>
      <c r="L870" s="237">
        <f t="shared" si="38"/>
        <v>27</v>
      </c>
    </row>
    <row r="871" spans="1:12">
      <c r="A871" s="223">
        <v>46191</v>
      </c>
      <c r="B871" s="80" t="s">
        <v>4065</v>
      </c>
      <c r="C871" s="80" t="s">
        <v>4653</v>
      </c>
      <c r="D871" s="107" t="s">
        <v>4066</v>
      </c>
      <c r="E871" s="80">
        <v>2</v>
      </c>
      <c r="F871" s="133">
        <v>16.91</v>
      </c>
      <c r="G871" s="133">
        <v>18.600000000000001</v>
      </c>
      <c r="H871" s="222">
        <f t="shared" si="39"/>
        <v>37.200000000000003</v>
      </c>
      <c r="I871" s="236"/>
      <c r="J871" s="236">
        <v>0</v>
      </c>
      <c r="K871" s="236">
        <f t="shared" si="37"/>
        <v>37.200000000000003</v>
      </c>
      <c r="L871" s="237">
        <f t="shared" si="38"/>
        <v>33.82</v>
      </c>
    </row>
    <row r="872" spans="1:12">
      <c r="A872" s="223">
        <v>46191</v>
      </c>
      <c r="B872" s="80" t="s">
        <v>1443</v>
      </c>
      <c r="C872" s="80" t="s">
        <v>4653</v>
      </c>
      <c r="D872" s="107" t="s">
        <v>1444</v>
      </c>
      <c r="E872" s="80">
        <v>1</v>
      </c>
      <c r="F872" s="133">
        <v>10.64</v>
      </c>
      <c r="G872" s="133">
        <v>12.25</v>
      </c>
      <c r="H872" s="222">
        <f t="shared" si="39"/>
        <v>12.25</v>
      </c>
      <c r="I872" s="236"/>
      <c r="J872" s="236">
        <v>0</v>
      </c>
      <c r="K872" s="236">
        <f t="shared" si="37"/>
        <v>12.25</v>
      </c>
      <c r="L872" s="237">
        <f t="shared" si="38"/>
        <v>10.64</v>
      </c>
    </row>
    <row r="873" spans="1:12">
      <c r="A873" s="223">
        <v>46191</v>
      </c>
      <c r="B873" s="80" t="s">
        <v>1844</v>
      </c>
      <c r="C873" s="80" t="s">
        <v>4653</v>
      </c>
      <c r="D873" s="107" t="s">
        <v>1845</v>
      </c>
      <c r="E873" s="80">
        <v>1</v>
      </c>
      <c r="F873" s="133">
        <v>29</v>
      </c>
      <c r="G873" s="133">
        <v>33.75</v>
      </c>
      <c r="H873" s="222">
        <f t="shared" si="39"/>
        <v>33.75</v>
      </c>
      <c r="I873" s="236"/>
      <c r="J873" s="236">
        <v>0</v>
      </c>
      <c r="K873" s="236">
        <f t="shared" si="37"/>
        <v>33.75</v>
      </c>
      <c r="L873" s="237">
        <f t="shared" si="38"/>
        <v>29</v>
      </c>
    </row>
    <row r="874" spans="1:12">
      <c r="A874" s="223">
        <v>46191</v>
      </c>
      <c r="B874" s="80" t="s">
        <v>1443</v>
      </c>
      <c r="C874" s="80" t="s">
        <v>4654</v>
      </c>
      <c r="D874" s="107" t="s">
        <v>1444</v>
      </c>
      <c r="E874" s="80">
        <v>2</v>
      </c>
      <c r="F874" s="133">
        <v>10.64</v>
      </c>
      <c r="G874" s="133">
        <v>12.25</v>
      </c>
      <c r="H874" s="222">
        <f t="shared" si="39"/>
        <v>24.5</v>
      </c>
      <c r="I874" s="236"/>
      <c r="J874" s="236">
        <v>0</v>
      </c>
      <c r="K874" s="236">
        <f t="shared" si="37"/>
        <v>24.5</v>
      </c>
      <c r="L874" s="237">
        <f t="shared" si="38"/>
        <v>21.28</v>
      </c>
    </row>
    <row r="875" spans="1:12">
      <c r="A875" s="223">
        <v>46191</v>
      </c>
      <c r="B875" s="80" t="s">
        <v>1292</v>
      </c>
      <c r="C875" s="80" t="s">
        <v>4654</v>
      </c>
      <c r="D875" s="107" t="s">
        <v>1293</v>
      </c>
      <c r="E875" s="80">
        <v>1</v>
      </c>
      <c r="F875" s="133">
        <v>7.85</v>
      </c>
      <c r="G875" s="133">
        <v>12</v>
      </c>
      <c r="H875" s="222">
        <f t="shared" si="39"/>
        <v>12</v>
      </c>
      <c r="I875" s="236"/>
      <c r="J875" s="236">
        <v>0</v>
      </c>
      <c r="K875" s="236">
        <f t="shared" si="37"/>
        <v>12</v>
      </c>
      <c r="L875" s="237">
        <f t="shared" si="38"/>
        <v>7.85</v>
      </c>
    </row>
    <row r="876" spans="1:12">
      <c r="A876" s="223">
        <v>46191</v>
      </c>
      <c r="B876" s="80" t="s">
        <v>4065</v>
      </c>
      <c r="C876" s="80" t="s">
        <v>4654</v>
      </c>
      <c r="D876" s="107" t="s">
        <v>4066</v>
      </c>
      <c r="E876" s="80">
        <v>1</v>
      </c>
      <c r="F876" s="133">
        <v>16.91</v>
      </c>
      <c r="G876" s="133">
        <v>18.600000000000001</v>
      </c>
      <c r="H876" s="222">
        <f t="shared" si="39"/>
        <v>18.600000000000001</v>
      </c>
      <c r="I876" s="236"/>
      <c r="J876" s="236">
        <v>0</v>
      </c>
      <c r="K876" s="236">
        <f t="shared" si="37"/>
        <v>18.600000000000001</v>
      </c>
      <c r="L876" s="237">
        <f t="shared" si="38"/>
        <v>16.91</v>
      </c>
    </row>
    <row r="877" spans="1:12">
      <c r="A877" s="223">
        <v>46191</v>
      </c>
      <c r="B877" s="80" t="s">
        <v>984</v>
      </c>
      <c r="C877" s="80" t="s">
        <v>4655</v>
      </c>
      <c r="D877" s="107" t="s">
        <v>985</v>
      </c>
      <c r="E877" s="80">
        <v>1</v>
      </c>
      <c r="F877" s="133">
        <v>7.06</v>
      </c>
      <c r="G877" s="133">
        <v>8.25</v>
      </c>
      <c r="H877" s="222">
        <f t="shared" si="39"/>
        <v>8.25</v>
      </c>
      <c r="I877" s="236"/>
      <c r="J877" s="236">
        <v>0</v>
      </c>
      <c r="K877" s="236">
        <f t="shared" si="37"/>
        <v>8.25</v>
      </c>
      <c r="L877" s="237">
        <f t="shared" si="38"/>
        <v>7.06</v>
      </c>
    </row>
    <row r="878" spans="1:12">
      <c r="A878" s="223">
        <v>46191</v>
      </c>
      <c r="B878" s="80" t="s">
        <v>789</v>
      </c>
      <c r="C878" s="80" t="s">
        <v>4655</v>
      </c>
      <c r="D878" s="107" t="s">
        <v>790</v>
      </c>
      <c r="E878" s="80">
        <v>1</v>
      </c>
      <c r="F878" s="133">
        <v>7.06</v>
      </c>
      <c r="G878" s="133">
        <v>8.25</v>
      </c>
      <c r="H878" s="222">
        <f t="shared" si="39"/>
        <v>8.25</v>
      </c>
      <c r="I878" s="236"/>
      <c r="J878" s="236">
        <v>0</v>
      </c>
      <c r="K878" s="236">
        <f t="shared" si="37"/>
        <v>8.25</v>
      </c>
      <c r="L878" s="237">
        <f t="shared" si="38"/>
        <v>7.06</v>
      </c>
    </row>
    <row r="879" spans="1:12">
      <c r="A879" s="223">
        <v>46191</v>
      </c>
      <c r="B879" s="80" t="s">
        <v>3723</v>
      </c>
      <c r="C879" s="80" t="s">
        <v>4655</v>
      </c>
      <c r="D879" s="107" t="s">
        <v>3724</v>
      </c>
      <c r="E879" s="80">
        <v>1</v>
      </c>
      <c r="F879" s="133">
        <v>19.47</v>
      </c>
      <c r="G879" s="133">
        <v>23</v>
      </c>
      <c r="H879" s="222">
        <f t="shared" si="39"/>
        <v>23</v>
      </c>
      <c r="I879" s="236"/>
      <c r="J879" s="236">
        <v>0</v>
      </c>
      <c r="K879" s="236">
        <f t="shared" si="37"/>
        <v>23</v>
      </c>
      <c r="L879" s="237">
        <f t="shared" si="38"/>
        <v>19.47</v>
      </c>
    </row>
    <row r="880" spans="1:12">
      <c r="A880" s="223">
        <v>46191</v>
      </c>
      <c r="B880" s="80" t="s">
        <v>3670</v>
      </c>
      <c r="C880" s="80" t="s">
        <v>4656</v>
      </c>
      <c r="D880" s="107" t="s">
        <v>3671</v>
      </c>
      <c r="E880" s="80">
        <v>1</v>
      </c>
      <c r="F880" s="133">
        <v>30.79</v>
      </c>
      <c r="G880" s="133">
        <v>36.75</v>
      </c>
      <c r="H880" s="222">
        <f t="shared" si="39"/>
        <v>36.75</v>
      </c>
      <c r="I880" s="236"/>
      <c r="J880" s="236">
        <v>0</v>
      </c>
      <c r="K880" s="236">
        <f t="shared" si="37"/>
        <v>36.75</v>
      </c>
      <c r="L880" s="237">
        <f t="shared" si="38"/>
        <v>30.79</v>
      </c>
    </row>
    <row r="881" spans="1:12">
      <c r="A881" s="223">
        <v>46191</v>
      </c>
      <c r="B881" s="80" t="s">
        <v>840</v>
      </c>
      <c r="C881" s="80" t="s">
        <v>4656</v>
      </c>
      <c r="D881" s="107" t="s">
        <v>841</v>
      </c>
      <c r="E881" s="80">
        <v>1</v>
      </c>
      <c r="F881" s="133">
        <v>20.68</v>
      </c>
      <c r="G881" s="133">
        <v>24</v>
      </c>
      <c r="H881" s="222">
        <f t="shared" si="39"/>
        <v>24</v>
      </c>
      <c r="I881" s="236"/>
      <c r="J881" s="236">
        <v>0</v>
      </c>
      <c r="K881" s="236">
        <f t="shared" si="37"/>
        <v>24</v>
      </c>
      <c r="L881" s="237">
        <f t="shared" si="38"/>
        <v>20.68</v>
      </c>
    </row>
    <row r="882" spans="1:12">
      <c r="A882" s="223">
        <v>46191</v>
      </c>
      <c r="B882" s="80" t="s">
        <v>3803</v>
      </c>
      <c r="C882" s="80" t="s">
        <v>4656</v>
      </c>
      <c r="D882" s="107" t="s">
        <v>3804</v>
      </c>
      <c r="E882" s="80">
        <v>5</v>
      </c>
      <c r="F882" s="133">
        <v>0.81</v>
      </c>
      <c r="G882" s="133">
        <v>1</v>
      </c>
      <c r="H882" s="222">
        <f t="shared" si="39"/>
        <v>5</v>
      </c>
      <c r="I882" s="236"/>
      <c r="J882" s="236">
        <v>0</v>
      </c>
      <c r="K882" s="236">
        <f t="shared" si="37"/>
        <v>5</v>
      </c>
      <c r="L882" s="237">
        <f t="shared" si="38"/>
        <v>4.0500000000000007</v>
      </c>
    </row>
    <row r="883" spans="1:12">
      <c r="A883" s="223">
        <v>46191</v>
      </c>
      <c r="B883" s="80" t="s">
        <v>2350</v>
      </c>
      <c r="C883" s="80" t="s">
        <v>4657</v>
      </c>
      <c r="D883" s="107" t="s">
        <v>2351</v>
      </c>
      <c r="E883" s="80">
        <v>1</v>
      </c>
      <c r="F883" s="133">
        <v>54.38</v>
      </c>
      <c r="G883" s="133">
        <v>62.75</v>
      </c>
      <c r="H883" s="222">
        <f t="shared" si="39"/>
        <v>62.75</v>
      </c>
      <c r="I883" s="236"/>
      <c r="J883" s="236">
        <v>0</v>
      </c>
      <c r="K883" s="236">
        <f t="shared" si="37"/>
        <v>62.75</v>
      </c>
      <c r="L883" s="237">
        <f t="shared" si="38"/>
        <v>54.38</v>
      </c>
    </row>
    <row r="884" spans="1:12">
      <c r="A884" s="223">
        <v>46191</v>
      </c>
      <c r="B884" s="80" t="s">
        <v>2037</v>
      </c>
      <c r="C884" s="80" t="s">
        <v>4658</v>
      </c>
      <c r="D884" s="107" t="s">
        <v>2038</v>
      </c>
      <c r="E884" s="80">
        <v>16</v>
      </c>
      <c r="F884" s="133">
        <v>4.74</v>
      </c>
      <c r="G884" s="133">
        <v>5.5</v>
      </c>
      <c r="H884" s="222">
        <f t="shared" si="39"/>
        <v>88</v>
      </c>
      <c r="I884" s="236"/>
      <c r="J884" s="236">
        <v>0</v>
      </c>
      <c r="K884" s="236">
        <f t="shared" si="37"/>
        <v>88</v>
      </c>
      <c r="L884" s="237">
        <f t="shared" si="38"/>
        <v>75.84</v>
      </c>
    </row>
    <row r="885" spans="1:12">
      <c r="A885" s="223">
        <v>46191</v>
      </c>
      <c r="B885" s="80" t="s">
        <v>4099</v>
      </c>
      <c r="C885" s="80" t="s">
        <v>4659</v>
      </c>
      <c r="D885" s="107" t="s">
        <v>4100</v>
      </c>
      <c r="E885" s="80">
        <v>1</v>
      </c>
      <c r="F885" s="133">
        <v>13.12</v>
      </c>
      <c r="G885" s="133">
        <v>15.25</v>
      </c>
      <c r="H885" s="222">
        <f t="shared" si="39"/>
        <v>15.25</v>
      </c>
      <c r="I885" s="236"/>
      <c r="J885" s="236">
        <v>0</v>
      </c>
      <c r="K885" s="236">
        <f t="shared" si="37"/>
        <v>15.25</v>
      </c>
      <c r="L885" s="237">
        <f t="shared" si="38"/>
        <v>13.12</v>
      </c>
    </row>
    <row r="886" spans="1:12">
      <c r="A886" s="223">
        <v>46191</v>
      </c>
      <c r="B886" s="80" t="s">
        <v>4660</v>
      </c>
      <c r="C886" s="80" t="s">
        <v>4659</v>
      </c>
      <c r="D886" s="107" t="s">
        <v>4661</v>
      </c>
      <c r="E886" s="80">
        <v>1</v>
      </c>
      <c r="F886" s="133">
        <v>14.5</v>
      </c>
      <c r="G886" s="133">
        <v>16.75</v>
      </c>
      <c r="H886" s="222">
        <f t="shared" si="39"/>
        <v>16.75</v>
      </c>
      <c r="I886" s="236"/>
      <c r="J886" s="236">
        <v>0</v>
      </c>
      <c r="K886" s="236">
        <f t="shared" si="37"/>
        <v>16.75</v>
      </c>
      <c r="L886" s="237">
        <f t="shared" si="38"/>
        <v>14.5</v>
      </c>
    </row>
    <row r="887" spans="1:12">
      <c r="A887" s="223">
        <v>46191</v>
      </c>
      <c r="B887" s="80" t="s">
        <v>2509</v>
      </c>
      <c r="C887" s="80" t="s">
        <v>4662</v>
      </c>
      <c r="D887" s="107" t="s">
        <v>2510</v>
      </c>
      <c r="E887" s="80">
        <v>1</v>
      </c>
      <c r="F887" s="133">
        <v>64.58</v>
      </c>
      <c r="G887" s="133">
        <v>74.5</v>
      </c>
      <c r="H887" s="222">
        <f t="shared" si="39"/>
        <v>74.5</v>
      </c>
      <c r="I887" s="236"/>
      <c r="J887" s="236">
        <v>0</v>
      </c>
      <c r="K887" s="236">
        <f t="shared" si="37"/>
        <v>74.5</v>
      </c>
      <c r="L887" s="237">
        <f t="shared" si="38"/>
        <v>64.58</v>
      </c>
    </row>
    <row r="888" spans="1:12">
      <c r="A888" s="223">
        <v>46191</v>
      </c>
      <c r="B888" s="80" t="s">
        <v>1419</v>
      </c>
      <c r="C888" s="80" t="s">
        <v>4663</v>
      </c>
      <c r="D888" s="107" t="s">
        <v>1420</v>
      </c>
      <c r="E888" s="80">
        <v>1</v>
      </c>
      <c r="F888" s="133">
        <v>13.32</v>
      </c>
      <c r="G888" s="133">
        <v>15.5</v>
      </c>
      <c r="H888" s="222">
        <f t="shared" si="39"/>
        <v>15.5</v>
      </c>
      <c r="I888" s="236"/>
      <c r="J888" s="236">
        <v>0</v>
      </c>
      <c r="K888" s="236">
        <f t="shared" si="37"/>
        <v>15.5</v>
      </c>
      <c r="L888" s="237">
        <f t="shared" si="38"/>
        <v>13.32</v>
      </c>
    </row>
    <row r="889" spans="1:12">
      <c r="A889" s="223">
        <v>46191</v>
      </c>
      <c r="B889" s="80" t="s">
        <v>1351</v>
      </c>
      <c r="C889" s="80" t="s">
        <v>4663</v>
      </c>
      <c r="D889" s="107" t="s">
        <v>1352</v>
      </c>
      <c r="E889" s="80">
        <v>1</v>
      </c>
      <c r="F889" s="133">
        <v>12.56</v>
      </c>
      <c r="G889" s="133">
        <v>14.25</v>
      </c>
      <c r="H889" s="222">
        <f t="shared" si="39"/>
        <v>14.25</v>
      </c>
      <c r="I889" s="236"/>
      <c r="J889" s="236">
        <v>0</v>
      </c>
      <c r="K889" s="236">
        <f t="shared" si="37"/>
        <v>14.25</v>
      </c>
      <c r="L889" s="237">
        <f t="shared" si="38"/>
        <v>12.56</v>
      </c>
    </row>
    <row r="890" spans="1:12">
      <c r="A890" s="223">
        <v>46191</v>
      </c>
      <c r="B890" s="80" t="s">
        <v>1443</v>
      </c>
      <c r="C890" s="80" t="s">
        <v>4663</v>
      </c>
      <c r="D890" s="107" t="s">
        <v>1444</v>
      </c>
      <c r="E890" s="80">
        <v>1</v>
      </c>
      <c r="F890" s="133">
        <v>10.64</v>
      </c>
      <c r="G890" s="133">
        <v>12.25</v>
      </c>
      <c r="H890" s="222">
        <f t="shared" si="39"/>
        <v>12.25</v>
      </c>
      <c r="I890" s="236"/>
      <c r="J890" s="236">
        <v>0</v>
      </c>
      <c r="K890" s="236">
        <f t="shared" si="37"/>
        <v>12.25</v>
      </c>
      <c r="L890" s="237">
        <f t="shared" si="38"/>
        <v>10.64</v>
      </c>
    </row>
    <row r="891" spans="1:12">
      <c r="A891" s="223">
        <v>46191</v>
      </c>
      <c r="B891" s="80" t="s">
        <v>1311</v>
      </c>
      <c r="C891" s="80" t="s">
        <v>4663</v>
      </c>
      <c r="D891" s="107" t="s">
        <v>1312</v>
      </c>
      <c r="E891" s="80">
        <v>1</v>
      </c>
      <c r="F891" s="133">
        <v>8.1999999999999993</v>
      </c>
      <c r="G891" s="133">
        <v>9.5</v>
      </c>
      <c r="H891" s="222">
        <f t="shared" si="39"/>
        <v>9.5</v>
      </c>
      <c r="I891" s="236"/>
      <c r="J891" s="236">
        <v>0</v>
      </c>
      <c r="K891" s="236">
        <f t="shared" si="37"/>
        <v>9.5</v>
      </c>
      <c r="L891" s="237">
        <f t="shared" si="38"/>
        <v>8.1999999999999993</v>
      </c>
    </row>
    <row r="892" spans="1:12">
      <c r="A892" s="223">
        <v>46191</v>
      </c>
      <c r="B892" s="80" t="s">
        <v>736</v>
      </c>
      <c r="C892" s="80" t="s">
        <v>4664</v>
      </c>
      <c r="D892" s="107" t="s">
        <v>737</v>
      </c>
      <c r="E892" s="80">
        <v>1</v>
      </c>
      <c r="F892" s="133">
        <v>15.65</v>
      </c>
      <c r="G892" s="133">
        <v>18</v>
      </c>
      <c r="H892" s="222">
        <f t="shared" si="39"/>
        <v>18</v>
      </c>
      <c r="I892" s="236"/>
      <c r="J892" s="236">
        <v>0</v>
      </c>
      <c r="K892" s="236">
        <f t="shared" si="37"/>
        <v>18</v>
      </c>
      <c r="L892" s="237">
        <f t="shared" si="38"/>
        <v>15.65</v>
      </c>
    </row>
    <row r="893" spans="1:12">
      <c r="A893" s="223">
        <v>46191</v>
      </c>
      <c r="B893" s="80" t="s">
        <v>614</v>
      </c>
      <c r="C893" s="80" t="s">
        <v>4664</v>
      </c>
      <c r="D893" s="107" t="s">
        <v>615</v>
      </c>
      <c r="E893" s="80">
        <v>1</v>
      </c>
      <c r="F893" s="133">
        <v>15.68</v>
      </c>
      <c r="G893" s="133">
        <v>18</v>
      </c>
      <c r="H893" s="222">
        <f t="shared" si="39"/>
        <v>18</v>
      </c>
      <c r="I893" s="236"/>
      <c r="J893" s="236">
        <v>0</v>
      </c>
      <c r="K893" s="236">
        <f t="shared" si="37"/>
        <v>18</v>
      </c>
      <c r="L893" s="237">
        <f t="shared" si="38"/>
        <v>15.68</v>
      </c>
    </row>
    <row r="894" spans="1:12">
      <c r="A894" s="223">
        <v>46191</v>
      </c>
      <c r="B894" s="80" t="s">
        <v>4633</v>
      </c>
      <c r="C894" s="80" t="s">
        <v>4665</v>
      </c>
      <c r="D894" s="107" t="s">
        <v>4635</v>
      </c>
      <c r="E894" s="80">
        <v>1</v>
      </c>
      <c r="F894" s="133">
        <v>6.15</v>
      </c>
      <c r="G894" s="133">
        <v>7.25</v>
      </c>
      <c r="H894" s="222">
        <f t="shared" si="39"/>
        <v>7.25</v>
      </c>
      <c r="I894" s="236"/>
      <c r="J894" s="236">
        <v>0</v>
      </c>
      <c r="K894" s="236">
        <f t="shared" si="37"/>
        <v>7.25</v>
      </c>
      <c r="L894" s="237">
        <f t="shared" si="38"/>
        <v>6.15</v>
      </c>
    </row>
    <row r="895" spans="1:12">
      <c r="A895" s="223">
        <v>46191</v>
      </c>
      <c r="B895" s="80" t="s">
        <v>2152</v>
      </c>
      <c r="C895" s="80" t="s">
        <v>4666</v>
      </c>
      <c r="D895" s="107" t="s">
        <v>2153</v>
      </c>
      <c r="E895" s="80">
        <v>1</v>
      </c>
      <c r="F895" s="133">
        <v>37</v>
      </c>
      <c r="G895" s="133">
        <v>42.75</v>
      </c>
      <c r="H895" s="222">
        <f t="shared" si="39"/>
        <v>42.75</v>
      </c>
      <c r="I895" s="236"/>
      <c r="J895" s="236">
        <v>0</v>
      </c>
      <c r="K895" s="236">
        <f t="shared" si="37"/>
        <v>42.75</v>
      </c>
      <c r="L895" s="237">
        <f t="shared" si="38"/>
        <v>37</v>
      </c>
    </row>
    <row r="896" spans="1:12">
      <c r="A896" s="223">
        <v>46191</v>
      </c>
      <c r="B896" s="80" t="s">
        <v>4155</v>
      </c>
      <c r="C896" s="80" t="s">
        <v>4666</v>
      </c>
      <c r="D896" s="107" t="s">
        <v>4131</v>
      </c>
      <c r="E896" s="80">
        <v>1</v>
      </c>
      <c r="F896" s="133">
        <v>115.88</v>
      </c>
      <c r="G896" s="133">
        <v>133.5</v>
      </c>
      <c r="H896" s="222">
        <f t="shared" si="39"/>
        <v>133.5</v>
      </c>
      <c r="I896" s="236"/>
      <c r="J896" s="236">
        <v>0</v>
      </c>
      <c r="K896" s="236">
        <f t="shared" si="37"/>
        <v>133.5</v>
      </c>
      <c r="L896" s="237">
        <f t="shared" si="38"/>
        <v>115.88</v>
      </c>
    </row>
    <row r="897" spans="1:12">
      <c r="A897" s="223">
        <v>46191</v>
      </c>
      <c r="B897" s="80" t="s">
        <v>1259</v>
      </c>
      <c r="C897" s="80" t="s">
        <v>4666</v>
      </c>
      <c r="D897" s="107" t="s">
        <v>1260</v>
      </c>
      <c r="E897" s="80">
        <v>2</v>
      </c>
      <c r="F897" s="133">
        <v>58.84</v>
      </c>
      <c r="G897" s="133">
        <v>67.75</v>
      </c>
      <c r="H897" s="222">
        <f t="shared" si="39"/>
        <v>135.5</v>
      </c>
      <c r="I897" s="236"/>
      <c r="J897" s="236">
        <v>0</v>
      </c>
      <c r="K897" s="236">
        <f t="shared" si="37"/>
        <v>135.5</v>
      </c>
      <c r="L897" s="237">
        <f t="shared" si="38"/>
        <v>117.68</v>
      </c>
    </row>
    <row r="898" spans="1:12">
      <c r="A898" s="223">
        <v>46191</v>
      </c>
      <c r="B898" s="80" t="s">
        <v>1311</v>
      </c>
      <c r="C898" s="80" t="s">
        <v>4666</v>
      </c>
      <c r="D898" s="107" t="s">
        <v>1312</v>
      </c>
      <c r="E898" s="80">
        <v>1</v>
      </c>
      <c r="F898" s="133">
        <v>8.1999999999999993</v>
      </c>
      <c r="G898" s="133">
        <v>9.5</v>
      </c>
      <c r="H898" s="222">
        <f t="shared" si="39"/>
        <v>9.5</v>
      </c>
      <c r="I898" s="236"/>
      <c r="J898" s="236">
        <v>0</v>
      </c>
      <c r="K898" s="236">
        <f t="shared" si="37"/>
        <v>9.5</v>
      </c>
      <c r="L898" s="237">
        <f t="shared" si="38"/>
        <v>8.1999999999999993</v>
      </c>
    </row>
    <row r="899" spans="1:12">
      <c r="A899" s="223">
        <v>46191</v>
      </c>
      <c r="B899" s="80" t="s">
        <v>1597</v>
      </c>
      <c r="C899" s="80" t="s">
        <v>4666</v>
      </c>
      <c r="D899" s="107" t="s">
        <v>1598</v>
      </c>
      <c r="E899" s="80">
        <v>1</v>
      </c>
      <c r="F899" s="133">
        <v>21.17</v>
      </c>
      <c r="G899" s="133">
        <v>24.5</v>
      </c>
      <c r="H899" s="222">
        <f t="shared" si="39"/>
        <v>24.5</v>
      </c>
      <c r="I899" s="236"/>
      <c r="J899" s="236">
        <v>0</v>
      </c>
      <c r="K899" s="236">
        <f t="shared" si="37"/>
        <v>24.5</v>
      </c>
      <c r="L899" s="237">
        <f t="shared" si="38"/>
        <v>21.17</v>
      </c>
    </row>
    <row r="900" spans="1:12">
      <c r="A900" s="223">
        <v>46191</v>
      </c>
      <c r="B900" s="80" t="s">
        <v>1831</v>
      </c>
      <c r="C900" s="80" t="s">
        <v>4667</v>
      </c>
      <c r="D900" s="107" t="s">
        <v>1832</v>
      </c>
      <c r="E900" s="80">
        <v>1</v>
      </c>
      <c r="F900" s="133">
        <v>25.03</v>
      </c>
      <c r="G900" s="133">
        <v>29</v>
      </c>
      <c r="H900" s="222">
        <f t="shared" si="39"/>
        <v>29</v>
      </c>
      <c r="I900" s="236"/>
      <c r="J900" s="236">
        <v>0</v>
      </c>
      <c r="K900" s="236">
        <f t="shared" si="37"/>
        <v>29</v>
      </c>
      <c r="L900" s="237">
        <f t="shared" si="38"/>
        <v>25.03</v>
      </c>
    </row>
    <row r="901" spans="1:12">
      <c r="A901" s="223">
        <v>46191</v>
      </c>
      <c r="B901" s="80" t="s">
        <v>986</v>
      </c>
      <c r="C901" s="80" t="s">
        <v>4667</v>
      </c>
      <c r="D901" s="107" t="s">
        <v>987</v>
      </c>
      <c r="E901" s="80">
        <v>2</v>
      </c>
      <c r="F901" s="133">
        <v>7.06</v>
      </c>
      <c r="G901" s="133">
        <v>8.25</v>
      </c>
      <c r="H901" s="222">
        <f t="shared" si="39"/>
        <v>16.5</v>
      </c>
      <c r="I901" s="236"/>
      <c r="J901" s="236">
        <v>1.5</v>
      </c>
      <c r="K901" s="236">
        <f t="shared" si="37"/>
        <v>15</v>
      </c>
      <c r="L901" s="237">
        <f t="shared" si="38"/>
        <v>14.12</v>
      </c>
    </row>
    <row r="902" spans="1:12">
      <c r="A902" s="223">
        <v>46191</v>
      </c>
      <c r="B902" s="80" t="s">
        <v>484</v>
      </c>
      <c r="C902" s="80" t="s">
        <v>4668</v>
      </c>
      <c r="D902" s="107" t="s">
        <v>485</v>
      </c>
      <c r="E902" s="80">
        <v>1</v>
      </c>
      <c r="F902" s="133">
        <v>19.100000000000001</v>
      </c>
      <c r="G902" s="133">
        <v>22</v>
      </c>
      <c r="H902" s="222">
        <f t="shared" si="39"/>
        <v>22</v>
      </c>
      <c r="I902" s="236"/>
      <c r="J902" s="236">
        <v>0</v>
      </c>
      <c r="K902" s="236">
        <f t="shared" ref="K902:K965" si="40">H902+I902-J902</f>
        <v>22</v>
      </c>
      <c r="L902" s="237">
        <f t="shared" ref="L902:L965" si="41">E902*F902</f>
        <v>19.100000000000001</v>
      </c>
    </row>
    <row r="903" spans="1:12">
      <c r="A903" s="223">
        <v>46191</v>
      </c>
      <c r="B903" s="80" t="s">
        <v>1768</v>
      </c>
      <c r="C903" s="80" t="s">
        <v>4669</v>
      </c>
      <c r="D903" s="107" t="s">
        <v>1769</v>
      </c>
      <c r="E903" s="80">
        <v>2</v>
      </c>
      <c r="F903" s="133">
        <v>12.39</v>
      </c>
      <c r="G903" s="133">
        <v>14.5</v>
      </c>
      <c r="H903" s="222">
        <f t="shared" si="39"/>
        <v>29</v>
      </c>
      <c r="I903" s="236"/>
      <c r="J903" s="236">
        <v>0</v>
      </c>
      <c r="K903" s="236">
        <f t="shared" si="40"/>
        <v>29</v>
      </c>
      <c r="L903" s="237">
        <f t="shared" si="41"/>
        <v>24.78</v>
      </c>
    </row>
    <row r="904" spans="1:12">
      <c r="A904" s="223">
        <v>46191</v>
      </c>
      <c r="B904" s="80" t="s">
        <v>1481</v>
      </c>
      <c r="C904" s="80" t="s">
        <v>4669</v>
      </c>
      <c r="D904" s="107" t="s">
        <v>1482</v>
      </c>
      <c r="E904" s="80">
        <v>1</v>
      </c>
      <c r="F904" s="133">
        <v>18.2</v>
      </c>
      <c r="G904" s="133">
        <v>21</v>
      </c>
      <c r="H904" s="222">
        <f t="shared" si="39"/>
        <v>21</v>
      </c>
      <c r="I904" s="236"/>
      <c r="J904" s="236">
        <v>0</v>
      </c>
      <c r="K904" s="236">
        <f t="shared" si="40"/>
        <v>21</v>
      </c>
      <c r="L904" s="237">
        <f t="shared" si="41"/>
        <v>18.2</v>
      </c>
    </row>
    <row r="905" spans="1:12">
      <c r="A905" s="223">
        <v>46191</v>
      </c>
      <c r="B905" s="80" t="s">
        <v>523</v>
      </c>
      <c r="C905" s="80" t="s">
        <v>4670</v>
      </c>
      <c r="D905" s="107" t="s">
        <v>524</v>
      </c>
      <c r="E905" s="80">
        <v>1</v>
      </c>
      <c r="F905" s="133">
        <v>6.83</v>
      </c>
      <c r="G905" s="133">
        <v>7.75</v>
      </c>
      <c r="H905" s="222">
        <f t="shared" si="39"/>
        <v>7.75</v>
      </c>
      <c r="I905" s="236"/>
      <c r="J905" s="236">
        <v>0</v>
      </c>
      <c r="K905" s="236">
        <f t="shared" si="40"/>
        <v>7.75</v>
      </c>
      <c r="L905" s="237">
        <f t="shared" si="41"/>
        <v>6.83</v>
      </c>
    </row>
    <row r="906" spans="1:12">
      <c r="A906" s="223">
        <v>46191</v>
      </c>
      <c r="B906" s="80" t="s">
        <v>616</v>
      </c>
      <c r="C906" s="80" t="s">
        <v>4671</v>
      </c>
      <c r="D906" s="107" t="s">
        <v>617</v>
      </c>
      <c r="E906" s="80">
        <v>1</v>
      </c>
      <c r="F906" s="133">
        <v>41.83</v>
      </c>
      <c r="G906" s="133">
        <v>48.25</v>
      </c>
      <c r="H906" s="222">
        <f t="shared" si="39"/>
        <v>48.25</v>
      </c>
      <c r="I906" s="236"/>
      <c r="J906" s="236">
        <v>0</v>
      </c>
      <c r="K906" s="236">
        <f t="shared" si="40"/>
        <v>48.25</v>
      </c>
      <c r="L906" s="237">
        <f t="shared" si="41"/>
        <v>41.83</v>
      </c>
    </row>
    <row r="907" spans="1:12">
      <c r="A907" s="223">
        <v>46191</v>
      </c>
      <c r="B907" s="80" t="s">
        <v>3020</v>
      </c>
      <c r="C907" s="80" t="s">
        <v>4672</v>
      </c>
      <c r="D907" s="107" t="s">
        <v>3021</v>
      </c>
      <c r="E907" s="80">
        <v>1</v>
      </c>
      <c r="F907" s="133">
        <v>5.41</v>
      </c>
      <c r="G907" s="133">
        <v>6.25</v>
      </c>
      <c r="H907" s="222">
        <f t="shared" si="39"/>
        <v>6.25</v>
      </c>
      <c r="I907" s="236"/>
      <c r="J907" s="236">
        <v>0</v>
      </c>
      <c r="K907" s="236">
        <f t="shared" si="40"/>
        <v>6.25</v>
      </c>
      <c r="L907" s="237">
        <f t="shared" si="41"/>
        <v>5.41</v>
      </c>
    </row>
    <row r="908" spans="1:12">
      <c r="A908" s="223">
        <v>46191</v>
      </c>
      <c r="B908" s="80" t="s">
        <v>1524</v>
      </c>
      <c r="C908" s="80" t="s">
        <v>4673</v>
      </c>
      <c r="D908" s="107" t="s">
        <v>1525</v>
      </c>
      <c r="E908" s="80">
        <v>4</v>
      </c>
      <c r="F908" s="133">
        <v>30.83</v>
      </c>
      <c r="G908" s="133">
        <v>35.5</v>
      </c>
      <c r="H908" s="222">
        <f t="shared" si="39"/>
        <v>142</v>
      </c>
      <c r="I908" s="236"/>
      <c r="J908" s="236">
        <v>0</v>
      </c>
      <c r="K908" s="236">
        <f t="shared" si="40"/>
        <v>142</v>
      </c>
      <c r="L908" s="237">
        <f t="shared" si="41"/>
        <v>123.32</v>
      </c>
    </row>
    <row r="909" spans="1:12">
      <c r="A909" s="223">
        <v>46191</v>
      </c>
      <c r="B909" s="80" t="s">
        <v>1497</v>
      </c>
      <c r="C909" s="80" t="s">
        <v>4673</v>
      </c>
      <c r="D909" s="107" t="s">
        <v>1498</v>
      </c>
      <c r="E909" s="80">
        <v>2</v>
      </c>
      <c r="F909" s="133">
        <v>48.6</v>
      </c>
      <c r="G909" s="133">
        <v>56</v>
      </c>
      <c r="H909" s="222">
        <f t="shared" si="39"/>
        <v>112</v>
      </c>
      <c r="I909" s="236"/>
      <c r="J909" s="236">
        <v>0</v>
      </c>
      <c r="K909" s="236">
        <f t="shared" si="40"/>
        <v>112</v>
      </c>
      <c r="L909" s="237">
        <f t="shared" si="41"/>
        <v>97.2</v>
      </c>
    </row>
    <row r="910" spans="1:12">
      <c r="A910" s="223">
        <v>46191</v>
      </c>
      <c r="B910" s="80" t="s">
        <v>2041</v>
      </c>
      <c r="C910" s="80" t="s">
        <v>4673</v>
      </c>
      <c r="D910" s="107" t="s">
        <v>2042</v>
      </c>
      <c r="E910" s="80">
        <v>2</v>
      </c>
      <c r="F910" s="133">
        <v>20.8</v>
      </c>
      <c r="G910" s="133">
        <v>24</v>
      </c>
      <c r="H910" s="222">
        <f t="shared" si="39"/>
        <v>48</v>
      </c>
      <c r="I910" s="236"/>
      <c r="J910" s="236">
        <v>0</v>
      </c>
      <c r="K910" s="236">
        <f t="shared" si="40"/>
        <v>48</v>
      </c>
      <c r="L910" s="237">
        <f t="shared" si="41"/>
        <v>41.6</v>
      </c>
    </row>
    <row r="911" spans="1:12">
      <c r="A911" s="223">
        <v>46191</v>
      </c>
      <c r="B911" s="80" t="s">
        <v>2051</v>
      </c>
      <c r="C911" s="80" t="s">
        <v>4673</v>
      </c>
      <c r="D911" s="107" t="s">
        <v>2052</v>
      </c>
      <c r="E911" s="80">
        <v>3</v>
      </c>
      <c r="F911" s="133">
        <v>13.39</v>
      </c>
      <c r="G911" s="133">
        <v>15.5</v>
      </c>
      <c r="H911" s="222">
        <f t="shared" si="39"/>
        <v>46.5</v>
      </c>
      <c r="I911" s="236"/>
      <c r="J911" s="236">
        <v>0</v>
      </c>
      <c r="K911" s="236">
        <f t="shared" si="40"/>
        <v>46.5</v>
      </c>
      <c r="L911" s="237">
        <f t="shared" si="41"/>
        <v>40.17</v>
      </c>
    </row>
    <row r="912" spans="1:12">
      <c r="A912" s="223">
        <v>46191</v>
      </c>
      <c r="B912" s="80" t="s">
        <v>1997</v>
      </c>
      <c r="C912" s="80" t="s">
        <v>4673</v>
      </c>
      <c r="D912" s="107" t="s">
        <v>1998</v>
      </c>
      <c r="E912" s="80">
        <v>5</v>
      </c>
      <c r="F912" s="133">
        <v>6.02</v>
      </c>
      <c r="G912" s="133">
        <v>7.25</v>
      </c>
      <c r="H912" s="222">
        <f t="shared" si="39"/>
        <v>36.25</v>
      </c>
      <c r="I912" s="236"/>
      <c r="J912" s="236">
        <v>0</v>
      </c>
      <c r="K912" s="236">
        <f t="shared" si="40"/>
        <v>36.25</v>
      </c>
      <c r="L912" s="237">
        <f t="shared" si="41"/>
        <v>30.099999999999998</v>
      </c>
    </row>
    <row r="913" spans="1:12">
      <c r="A913" s="223">
        <v>46191</v>
      </c>
      <c r="B913" s="80" t="s">
        <v>1049</v>
      </c>
      <c r="C913" s="80" t="s">
        <v>4674</v>
      </c>
      <c r="D913" s="107" t="s">
        <v>1050</v>
      </c>
      <c r="E913" s="80">
        <v>1</v>
      </c>
      <c r="F913" s="133">
        <v>59.51</v>
      </c>
      <c r="G913" s="133">
        <v>68.5</v>
      </c>
      <c r="H913" s="222">
        <f t="shared" si="39"/>
        <v>68.5</v>
      </c>
      <c r="I913" s="236"/>
      <c r="J913" s="236">
        <v>0</v>
      </c>
      <c r="K913" s="236">
        <f t="shared" si="40"/>
        <v>68.5</v>
      </c>
      <c r="L913" s="237">
        <f t="shared" si="41"/>
        <v>59.51</v>
      </c>
    </row>
    <row r="914" spans="1:12">
      <c r="A914" s="223">
        <v>46191</v>
      </c>
      <c r="B914" s="80" t="s">
        <v>3659</v>
      </c>
      <c r="C914" s="80" t="s">
        <v>4674</v>
      </c>
      <c r="D914" s="107" t="s">
        <v>3660</v>
      </c>
      <c r="E914" s="80">
        <v>2</v>
      </c>
      <c r="F914" s="133">
        <v>22.73</v>
      </c>
      <c r="G914" s="133">
        <v>26.25</v>
      </c>
      <c r="H914" s="222">
        <f t="shared" si="39"/>
        <v>52.5</v>
      </c>
      <c r="I914" s="236"/>
      <c r="J914" s="236">
        <v>0</v>
      </c>
      <c r="K914" s="236">
        <f t="shared" si="40"/>
        <v>52.5</v>
      </c>
      <c r="L914" s="237">
        <f t="shared" si="41"/>
        <v>45.46</v>
      </c>
    </row>
    <row r="915" spans="1:12">
      <c r="A915" s="223">
        <v>46191</v>
      </c>
      <c r="B915" s="80" t="s">
        <v>4357</v>
      </c>
      <c r="C915" s="80" t="s">
        <v>4674</v>
      </c>
      <c r="D915" s="107" t="s">
        <v>4359</v>
      </c>
      <c r="E915" s="80">
        <v>2</v>
      </c>
      <c r="F915" s="133">
        <v>14.82</v>
      </c>
      <c r="G915" s="133">
        <v>17.25</v>
      </c>
      <c r="H915" s="222">
        <f t="shared" si="39"/>
        <v>34.5</v>
      </c>
      <c r="I915" s="236"/>
      <c r="J915" s="236">
        <v>0</v>
      </c>
      <c r="K915" s="236">
        <f t="shared" si="40"/>
        <v>34.5</v>
      </c>
      <c r="L915" s="237">
        <f t="shared" si="41"/>
        <v>29.64</v>
      </c>
    </row>
    <row r="916" spans="1:12">
      <c r="A916" s="223">
        <v>46192</v>
      </c>
      <c r="B916" s="80" t="s">
        <v>4423</v>
      </c>
      <c r="C916" s="80" t="s">
        <v>4675</v>
      </c>
      <c r="D916" s="107" t="s">
        <v>4425</v>
      </c>
      <c r="E916" s="80">
        <v>1</v>
      </c>
      <c r="F916" s="133">
        <v>6.4</v>
      </c>
      <c r="G916" s="133">
        <v>7.5</v>
      </c>
      <c r="H916" s="222">
        <f t="shared" si="39"/>
        <v>7.5</v>
      </c>
      <c r="I916" s="236"/>
      <c r="J916" s="236">
        <v>0</v>
      </c>
      <c r="K916" s="236">
        <f t="shared" si="40"/>
        <v>7.5</v>
      </c>
      <c r="L916" s="237">
        <f t="shared" si="41"/>
        <v>6.4</v>
      </c>
    </row>
    <row r="917" spans="1:12">
      <c r="A917" s="223">
        <v>46192</v>
      </c>
      <c r="B917" s="80" t="s">
        <v>4071</v>
      </c>
      <c r="C917" s="80" t="s">
        <v>4675</v>
      </c>
      <c r="D917" s="107" t="s">
        <v>4072</v>
      </c>
      <c r="E917" s="80">
        <v>1</v>
      </c>
      <c r="F917" s="133">
        <v>6.03</v>
      </c>
      <c r="G917" s="133">
        <v>7</v>
      </c>
      <c r="H917" s="222">
        <f t="shared" si="39"/>
        <v>7</v>
      </c>
      <c r="I917" s="236"/>
      <c r="J917" s="236">
        <v>0</v>
      </c>
      <c r="K917" s="236">
        <f t="shared" si="40"/>
        <v>7</v>
      </c>
      <c r="L917" s="237">
        <f t="shared" si="41"/>
        <v>6.03</v>
      </c>
    </row>
    <row r="918" spans="1:12">
      <c r="A918" s="223">
        <v>46192</v>
      </c>
      <c r="B918" s="80" t="s">
        <v>1308</v>
      </c>
      <c r="C918" s="80" t="s">
        <v>4676</v>
      </c>
      <c r="D918" s="107" t="s">
        <v>1309</v>
      </c>
      <c r="E918" s="80">
        <v>2</v>
      </c>
      <c r="F918" s="133">
        <v>8.1999999999999993</v>
      </c>
      <c r="G918" s="133">
        <v>9.5</v>
      </c>
      <c r="H918" s="222">
        <f t="shared" si="39"/>
        <v>19</v>
      </c>
      <c r="I918" s="236"/>
      <c r="J918" s="236">
        <v>0</v>
      </c>
      <c r="K918" s="236">
        <f t="shared" si="40"/>
        <v>19</v>
      </c>
      <c r="L918" s="237">
        <f t="shared" si="41"/>
        <v>16.399999999999999</v>
      </c>
    </row>
    <row r="919" spans="1:12">
      <c r="A919" s="223">
        <v>46192</v>
      </c>
      <c r="B919" s="80" t="s">
        <v>1311</v>
      </c>
      <c r="C919" s="80" t="s">
        <v>4676</v>
      </c>
      <c r="D919" s="107" t="s">
        <v>1312</v>
      </c>
      <c r="E919" s="80">
        <v>1</v>
      </c>
      <c r="F919" s="133">
        <v>8.1999999999999993</v>
      </c>
      <c r="G919" s="133">
        <v>9.5</v>
      </c>
      <c r="H919" s="222">
        <f t="shared" si="39"/>
        <v>9.5</v>
      </c>
      <c r="I919" s="236"/>
      <c r="J919" s="236">
        <v>0</v>
      </c>
      <c r="K919" s="236">
        <f t="shared" si="40"/>
        <v>9.5</v>
      </c>
      <c r="L919" s="237">
        <f t="shared" si="41"/>
        <v>8.1999999999999993</v>
      </c>
    </row>
    <row r="920" spans="1:12">
      <c r="A920" s="223">
        <v>46192</v>
      </c>
      <c r="B920" s="80" t="s">
        <v>4645</v>
      </c>
      <c r="C920" s="80" t="s">
        <v>4677</v>
      </c>
      <c r="D920" s="107" t="s">
        <v>4647</v>
      </c>
      <c r="E920" s="80">
        <v>2</v>
      </c>
      <c r="F920" s="133">
        <v>6.15</v>
      </c>
      <c r="G920" s="133">
        <v>7.25</v>
      </c>
      <c r="H920" s="222">
        <f t="shared" si="39"/>
        <v>14.5</v>
      </c>
      <c r="I920" s="236"/>
      <c r="J920" s="236">
        <v>0</v>
      </c>
      <c r="K920" s="236">
        <f t="shared" si="40"/>
        <v>14.5</v>
      </c>
      <c r="L920" s="237">
        <f t="shared" si="41"/>
        <v>12.3</v>
      </c>
    </row>
    <row r="921" spans="1:12">
      <c r="A921" s="223">
        <v>46192</v>
      </c>
      <c r="B921" s="80" t="s">
        <v>2805</v>
      </c>
      <c r="C921" s="80" t="s">
        <v>4678</v>
      </c>
      <c r="D921" s="107" t="s">
        <v>2806</v>
      </c>
      <c r="E921" s="80">
        <v>3</v>
      </c>
      <c r="F921" s="133">
        <v>14.91</v>
      </c>
      <c r="G921" s="133">
        <v>17.25</v>
      </c>
      <c r="H921" s="222">
        <f t="shared" si="39"/>
        <v>51.75</v>
      </c>
      <c r="I921" s="236"/>
      <c r="J921" s="236">
        <v>0</v>
      </c>
      <c r="K921" s="236">
        <f t="shared" si="40"/>
        <v>51.75</v>
      </c>
      <c r="L921" s="237">
        <f t="shared" si="41"/>
        <v>44.730000000000004</v>
      </c>
    </row>
    <row r="922" spans="1:12">
      <c r="A922" s="223">
        <v>46192</v>
      </c>
      <c r="B922" s="80" t="s">
        <v>2890</v>
      </c>
      <c r="C922" s="80" t="s">
        <v>4678</v>
      </c>
      <c r="D922" s="107" t="s">
        <v>2891</v>
      </c>
      <c r="E922" s="80">
        <v>3</v>
      </c>
      <c r="F922" s="133">
        <v>6.12</v>
      </c>
      <c r="G922" s="133">
        <v>7.25</v>
      </c>
      <c r="H922" s="222">
        <f t="shared" si="39"/>
        <v>21.75</v>
      </c>
      <c r="I922" s="236"/>
      <c r="J922" s="236">
        <v>0</v>
      </c>
      <c r="K922" s="236">
        <f t="shared" si="40"/>
        <v>21.75</v>
      </c>
      <c r="L922" s="237">
        <f t="shared" si="41"/>
        <v>18.36</v>
      </c>
    </row>
    <row r="923" spans="1:12">
      <c r="A923" s="223">
        <v>46192</v>
      </c>
      <c r="B923" s="80" t="s">
        <v>550</v>
      </c>
      <c r="C923" s="80" t="s">
        <v>4679</v>
      </c>
      <c r="D923" s="107" t="s">
        <v>551</v>
      </c>
      <c r="E923" s="80">
        <v>1</v>
      </c>
      <c r="F923" s="133">
        <v>7.51</v>
      </c>
      <c r="G923" s="133">
        <v>8.75</v>
      </c>
      <c r="H923" s="222">
        <f t="shared" si="39"/>
        <v>8.75</v>
      </c>
      <c r="I923" s="236"/>
      <c r="J923" s="236">
        <v>0</v>
      </c>
      <c r="K923" s="236">
        <f t="shared" si="40"/>
        <v>8.75</v>
      </c>
      <c r="L923" s="237">
        <f t="shared" si="41"/>
        <v>7.51</v>
      </c>
    </row>
    <row r="924" spans="1:12">
      <c r="A924" s="223">
        <v>46192</v>
      </c>
      <c r="B924" s="80" t="s">
        <v>2461</v>
      </c>
      <c r="C924" s="80" t="s">
        <v>4680</v>
      </c>
      <c r="D924" s="107" t="s">
        <v>2462</v>
      </c>
      <c r="E924" s="80">
        <v>1</v>
      </c>
      <c r="F924" s="133">
        <v>30.35</v>
      </c>
      <c r="G924" s="133">
        <v>35</v>
      </c>
      <c r="H924" s="222">
        <f t="shared" ref="H924:H987" si="42">E924*G924</f>
        <v>35</v>
      </c>
      <c r="I924" s="236"/>
      <c r="J924" s="236">
        <v>0</v>
      </c>
      <c r="K924" s="236">
        <f t="shared" si="40"/>
        <v>35</v>
      </c>
      <c r="L924" s="237">
        <f t="shared" si="41"/>
        <v>30.35</v>
      </c>
    </row>
    <row r="925" spans="1:12">
      <c r="A925" s="223">
        <v>46192</v>
      </c>
      <c r="B925" s="80" t="s">
        <v>2162</v>
      </c>
      <c r="C925" s="80" t="s">
        <v>4681</v>
      </c>
      <c r="D925" s="107" t="s">
        <v>2163</v>
      </c>
      <c r="E925" s="80">
        <v>1</v>
      </c>
      <c r="F925" s="133">
        <v>88</v>
      </c>
      <c r="G925" s="133">
        <v>101.25</v>
      </c>
      <c r="H925" s="222">
        <f t="shared" si="42"/>
        <v>101.25</v>
      </c>
      <c r="I925" s="236"/>
      <c r="J925" s="236">
        <v>0</v>
      </c>
      <c r="K925" s="236">
        <f t="shared" si="40"/>
        <v>101.25</v>
      </c>
      <c r="L925" s="237">
        <f t="shared" si="41"/>
        <v>88</v>
      </c>
    </row>
    <row r="926" spans="1:12">
      <c r="A926" s="223">
        <v>46192</v>
      </c>
      <c r="B926" s="80" t="s">
        <v>2929</v>
      </c>
      <c r="C926" s="80" t="s">
        <v>4681</v>
      </c>
      <c r="D926" s="107" t="s">
        <v>2930</v>
      </c>
      <c r="E926" s="80">
        <v>1</v>
      </c>
      <c r="F926" s="133">
        <v>88.1</v>
      </c>
      <c r="G926" s="133">
        <v>101.5</v>
      </c>
      <c r="H926" s="222">
        <f t="shared" si="42"/>
        <v>101.5</v>
      </c>
      <c r="I926" s="236"/>
      <c r="J926" s="236">
        <v>0</v>
      </c>
      <c r="K926" s="236">
        <f t="shared" si="40"/>
        <v>101.5</v>
      </c>
      <c r="L926" s="237">
        <f t="shared" si="41"/>
        <v>88.1</v>
      </c>
    </row>
    <row r="927" spans="1:12">
      <c r="A927" s="223">
        <v>46192</v>
      </c>
      <c r="B927" s="80" t="s">
        <v>1129</v>
      </c>
      <c r="C927" s="80" t="s">
        <v>4682</v>
      </c>
      <c r="D927" s="107" t="s">
        <v>1130</v>
      </c>
      <c r="E927" s="80">
        <v>1</v>
      </c>
      <c r="F927" s="133">
        <v>8.3800000000000008</v>
      </c>
      <c r="G927" s="133">
        <v>9.75</v>
      </c>
      <c r="H927" s="222">
        <f t="shared" si="42"/>
        <v>9.75</v>
      </c>
      <c r="I927" s="236"/>
      <c r="J927" s="236">
        <v>0</v>
      </c>
      <c r="K927" s="236">
        <f t="shared" si="40"/>
        <v>9.75</v>
      </c>
      <c r="L927" s="237">
        <f t="shared" si="41"/>
        <v>8.3800000000000008</v>
      </c>
    </row>
    <row r="928" spans="1:12">
      <c r="A928" s="223">
        <v>46192</v>
      </c>
      <c r="B928" s="80" t="s">
        <v>4633</v>
      </c>
      <c r="C928" s="80" t="s">
        <v>4683</v>
      </c>
      <c r="D928" s="107" t="s">
        <v>4635</v>
      </c>
      <c r="E928" s="80">
        <v>1</v>
      </c>
      <c r="F928" s="133">
        <v>6.15</v>
      </c>
      <c r="G928" s="133">
        <v>7.25</v>
      </c>
      <c r="H928" s="222">
        <f t="shared" si="42"/>
        <v>7.25</v>
      </c>
      <c r="I928" s="236"/>
      <c r="J928" s="236">
        <v>0</v>
      </c>
      <c r="K928" s="236">
        <f t="shared" si="40"/>
        <v>7.25</v>
      </c>
      <c r="L928" s="237">
        <f t="shared" si="41"/>
        <v>6.15</v>
      </c>
    </row>
    <row r="929" spans="1:12">
      <c r="A929" s="223">
        <v>46192</v>
      </c>
      <c r="B929" s="80" t="s">
        <v>1958</v>
      </c>
      <c r="C929" s="80" t="s">
        <v>4684</v>
      </c>
      <c r="D929" s="107" t="s">
        <v>1959</v>
      </c>
      <c r="E929" s="80">
        <v>1</v>
      </c>
      <c r="F929" s="133">
        <v>90.24</v>
      </c>
      <c r="G929" s="133">
        <v>103.75</v>
      </c>
      <c r="H929" s="222">
        <f t="shared" si="42"/>
        <v>103.75</v>
      </c>
      <c r="I929" s="236"/>
      <c r="J929" s="236">
        <v>0</v>
      </c>
      <c r="K929" s="236">
        <f t="shared" si="40"/>
        <v>103.75</v>
      </c>
      <c r="L929" s="237">
        <f t="shared" si="41"/>
        <v>90.24</v>
      </c>
    </row>
    <row r="930" spans="1:12">
      <c r="A930" s="223">
        <v>46192</v>
      </c>
      <c r="B930" s="80" t="s">
        <v>1838</v>
      </c>
      <c r="C930" s="80" t="s">
        <v>4684</v>
      </c>
      <c r="D930" s="107" t="s">
        <v>1839</v>
      </c>
      <c r="E930" s="80">
        <v>2</v>
      </c>
      <c r="F930" s="133">
        <v>61.5</v>
      </c>
      <c r="G930" s="133">
        <v>66.5</v>
      </c>
      <c r="H930" s="222">
        <f t="shared" si="42"/>
        <v>133</v>
      </c>
      <c r="I930" s="236"/>
      <c r="J930" s="236">
        <v>0</v>
      </c>
      <c r="K930" s="236">
        <f t="shared" si="40"/>
        <v>133</v>
      </c>
      <c r="L930" s="237">
        <f t="shared" si="41"/>
        <v>123</v>
      </c>
    </row>
    <row r="931" spans="1:12">
      <c r="A931" s="223">
        <v>46192</v>
      </c>
      <c r="B931" s="80" t="s">
        <v>2015</v>
      </c>
      <c r="C931" s="80" t="s">
        <v>4684</v>
      </c>
      <c r="D931" s="107" t="s">
        <v>2016</v>
      </c>
      <c r="E931" s="80">
        <v>1</v>
      </c>
      <c r="F931" s="133">
        <v>301.87</v>
      </c>
      <c r="G931" s="133">
        <v>347.25</v>
      </c>
      <c r="H931" s="222">
        <f t="shared" si="42"/>
        <v>347.25</v>
      </c>
      <c r="I931" s="236"/>
      <c r="J931" s="236">
        <v>0</v>
      </c>
      <c r="K931" s="236">
        <f t="shared" si="40"/>
        <v>347.25</v>
      </c>
      <c r="L931" s="237">
        <f t="shared" si="41"/>
        <v>301.87</v>
      </c>
    </row>
    <row r="932" spans="1:12">
      <c r="A932" s="223">
        <v>46192</v>
      </c>
      <c r="B932" s="80" t="s">
        <v>1964</v>
      </c>
      <c r="C932" s="80" t="s">
        <v>4684</v>
      </c>
      <c r="D932" s="107" t="s">
        <v>1965</v>
      </c>
      <c r="E932" s="80">
        <v>1</v>
      </c>
      <c r="F932" s="133">
        <v>31.19</v>
      </c>
      <c r="G932" s="133">
        <v>36</v>
      </c>
      <c r="H932" s="222">
        <f t="shared" si="42"/>
        <v>36</v>
      </c>
      <c r="I932" s="236"/>
      <c r="J932" s="236">
        <v>0</v>
      </c>
      <c r="K932" s="236">
        <f t="shared" si="40"/>
        <v>36</v>
      </c>
      <c r="L932" s="237">
        <f t="shared" si="41"/>
        <v>31.19</v>
      </c>
    </row>
    <row r="933" spans="1:12">
      <c r="A933" s="223">
        <v>46192</v>
      </c>
      <c r="B933" s="80" t="s">
        <v>2126</v>
      </c>
      <c r="C933" s="80" t="s">
        <v>4684</v>
      </c>
      <c r="D933" s="107" t="s">
        <v>2127</v>
      </c>
      <c r="E933" s="80">
        <v>1</v>
      </c>
      <c r="F933" s="133">
        <v>17.899999999999999</v>
      </c>
      <c r="G933" s="133">
        <v>20.75</v>
      </c>
      <c r="H933" s="222">
        <f t="shared" si="42"/>
        <v>20.75</v>
      </c>
      <c r="I933" s="236"/>
      <c r="J933" s="236">
        <v>0</v>
      </c>
      <c r="K933" s="236">
        <f t="shared" si="40"/>
        <v>20.75</v>
      </c>
      <c r="L933" s="237">
        <f t="shared" si="41"/>
        <v>17.899999999999999</v>
      </c>
    </row>
    <row r="934" spans="1:12">
      <c r="A934" s="223">
        <v>46192</v>
      </c>
      <c r="B934" s="80" t="s">
        <v>2041</v>
      </c>
      <c r="C934" s="80" t="s">
        <v>4684</v>
      </c>
      <c r="D934" s="107" t="s">
        <v>2042</v>
      </c>
      <c r="E934" s="80">
        <v>2</v>
      </c>
      <c r="F934" s="133">
        <v>20.8</v>
      </c>
      <c r="G934" s="133">
        <v>24</v>
      </c>
      <c r="H934" s="222">
        <f t="shared" si="42"/>
        <v>48</v>
      </c>
      <c r="I934" s="236"/>
      <c r="J934" s="236">
        <v>0</v>
      </c>
      <c r="K934" s="236">
        <f t="shared" si="40"/>
        <v>48</v>
      </c>
      <c r="L934" s="237">
        <f t="shared" si="41"/>
        <v>41.6</v>
      </c>
    </row>
    <row r="935" spans="1:12">
      <c r="A935" s="223">
        <v>46192</v>
      </c>
      <c r="B935" s="80" t="s">
        <v>2017</v>
      </c>
      <c r="C935" s="80" t="s">
        <v>4684</v>
      </c>
      <c r="D935" s="107" t="s">
        <v>2018</v>
      </c>
      <c r="E935" s="80">
        <v>10</v>
      </c>
      <c r="F935" s="133">
        <v>6.02</v>
      </c>
      <c r="G935" s="133">
        <v>7.25</v>
      </c>
      <c r="H935" s="222">
        <f t="shared" si="42"/>
        <v>72.5</v>
      </c>
      <c r="I935" s="236"/>
      <c r="J935" s="236">
        <v>0</v>
      </c>
      <c r="K935" s="236">
        <f t="shared" si="40"/>
        <v>72.5</v>
      </c>
      <c r="L935" s="237">
        <f t="shared" si="41"/>
        <v>60.199999999999996</v>
      </c>
    </row>
    <row r="936" spans="1:12">
      <c r="A936" s="223">
        <v>46192</v>
      </c>
      <c r="B936" s="80" t="s">
        <v>1870</v>
      </c>
      <c r="C936" s="80" t="s">
        <v>4684</v>
      </c>
      <c r="D936" s="107" t="s">
        <v>1871</v>
      </c>
      <c r="E936" s="80">
        <v>2</v>
      </c>
      <c r="F936" s="133">
        <v>35.75</v>
      </c>
      <c r="G936" s="133">
        <v>41.25</v>
      </c>
      <c r="H936" s="222">
        <f t="shared" si="42"/>
        <v>82.5</v>
      </c>
      <c r="I936" s="236"/>
      <c r="J936" s="236">
        <v>0</v>
      </c>
      <c r="K936" s="236">
        <f t="shared" si="40"/>
        <v>82.5</v>
      </c>
      <c r="L936" s="237">
        <f t="shared" si="41"/>
        <v>71.5</v>
      </c>
    </row>
    <row r="937" spans="1:12">
      <c r="A937" s="223">
        <v>46192</v>
      </c>
      <c r="B937" s="80" t="s">
        <v>784</v>
      </c>
      <c r="C937" s="80" t="s">
        <v>4685</v>
      </c>
      <c r="D937" s="107" t="s">
        <v>785</v>
      </c>
      <c r="E937" s="80">
        <v>1</v>
      </c>
      <c r="F937" s="133">
        <v>249.83</v>
      </c>
      <c r="G937" s="133">
        <v>287.5</v>
      </c>
      <c r="H937" s="222">
        <f t="shared" si="42"/>
        <v>287.5</v>
      </c>
      <c r="I937" s="236"/>
      <c r="J937" s="236">
        <v>0</v>
      </c>
      <c r="K937" s="236">
        <f t="shared" si="40"/>
        <v>287.5</v>
      </c>
      <c r="L937" s="237">
        <f t="shared" si="41"/>
        <v>249.83</v>
      </c>
    </row>
    <row r="938" spans="1:12">
      <c r="A938" s="223">
        <v>46192</v>
      </c>
      <c r="B938" s="80" t="s">
        <v>1098</v>
      </c>
      <c r="C938" s="80" t="s">
        <v>4686</v>
      </c>
      <c r="D938" s="107" t="s">
        <v>1099</v>
      </c>
      <c r="E938" s="80">
        <v>1</v>
      </c>
      <c r="F938" s="133">
        <v>64</v>
      </c>
      <c r="G938" s="133">
        <v>73.5</v>
      </c>
      <c r="H938" s="222">
        <f t="shared" si="42"/>
        <v>73.5</v>
      </c>
      <c r="I938" s="236"/>
      <c r="J938" s="236">
        <v>0</v>
      </c>
      <c r="K938" s="236">
        <f t="shared" si="40"/>
        <v>73.5</v>
      </c>
      <c r="L938" s="237">
        <f t="shared" si="41"/>
        <v>64</v>
      </c>
    </row>
    <row r="939" spans="1:12">
      <c r="A939" s="223">
        <v>46192</v>
      </c>
      <c r="B939" s="80" t="s">
        <v>1443</v>
      </c>
      <c r="C939" s="80" t="s">
        <v>4687</v>
      </c>
      <c r="D939" s="107" t="s">
        <v>1444</v>
      </c>
      <c r="E939" s="80">
        <v>1</v>
      </c>
      <c r="F939" s="133">
        <v>10.64</v>
      </c>
      <c r="G939" s="133">
        <v>12.25</v>
      </c>
      <c r="H939" s="222">
        <f t="shared" si="42"/>
        <v>12.25</v>
      </c>
      <c r="I939" s="236"/>
      <c r="J939" s="236">
        <v>0</v>
      </c>
      <c r="K939" s="236">
        <f t="shared" si="40"/>
        <v>12.25</v>
      </c>
      <c r="L939" s="237">
        <f t="shared" si="41"/>
        <v>10.64</v>
      </c>
    </row>
    <row r="940" spans="1:12">
      <c r="A940" s="223">
        <v>46192</v>
      </c>
      <c r="B940" s="80" t="s">
        <v>4645</v>
      </c>
      <c r="C940" s="80" t="s">
        <v>4687</v>
      </c>
      <c r="D940" s="107" t="s">
        <v>4647</v>
      </c>
      <c r="E940" s="80">
        <v>1</v>
      </c>
      <c r="F940" s="133">
        <v>6.15</v>
      </c>
      <c r="G940" s="133">
        <v>7.25</v>
      </c>
      <c r="H940" s="222">
        <f t="shared" si="42"/>
        <v>7.25</v>
      </c>
      <c r="I940" s="236"/>
      <c r="J940" s="236">
        <v>0</v>
      </c>
      <c r="K940" s="236">
        <f t="shared" si="40"/>
        <v>7.25</v>
      </c>
      <c r="L940" s="237">
        <f t="shared" si="41"/>
        <v>6.15</v>
      </c>
    </row>
    <row r="941" spans="1:12">
      <c r="A941" s="223">
        <v>46192</v>
      </c>
      <c r="B941" s="80" t="s">
        <v>3666</v>
      </c>
      <c r="C941" s="80" t="s">
        <v>4688</v>
      </c>
      <c r="D941" s="107" t="s">
        <v>3667</v>
      </c>
      <c r="E941" s="80">
        <v>1</v>
      </c>
      <c r="F941" s="133">
        <v>28.89</v>
      </c>
      <c r="G941" s="133">
        <v>33.25</v>
      </c>
      <c r="H941" s="222">
        <f t="shared" si="42"/>
        <v>33.25</v>
      </c>
      <c r="I941" s="236"/>
      <c r="J941" s="236">
        <v>0</v>
      </c>
      <c r="K941" s="236">
        <f t="shared" si="40"/>
        <v>33.25</v>
      </c>
      <c r="L941" s="237">
        <f t="shared" si="41"/>
        <v>28.89</v>
      </c>
    </row>
    <row r="942" spans="1:12">
      <c r="A942" s="223">
        <v>46192</v>
      </c>
      <c r="B942" s="80" t="s">
        <v>2007</v>
      </c>
      <c r="C942" s="80" t="s">
        <v>4689</v>
      </c>
      <c r="D942" s="107" t="s">
        <v>2008</v>
      </c>
      <c r="E942" s="80">
        <v>2</v>
      </c>
      <c r="F942" s="133">
        <v>51.97</v>
      </c>
      <c r="G942" s="133">
        <v>60</v>
      </c>
      <c r="H942" s="222">
        <f t="shared" si="42"/>
        <v>120</v>
      </c>
      <c r="I942" s="236"/>
      <c r="J942" s="236">
        <v>0</v>
      </c>
      <c r="K942" s="236">
        <f t="shared" si="40"/>
        <v>120</v>
      </c>
      <c r="L942" s="237">
        <f t="shared" si="41"/>
        <v>103.94</v>
      </c>
    </row>
    <row r="943" spans="1:12">
      <c r="A943" s="223">
        <v>46192</v>
      </c>
      <c r="B943" s="80" t="s">
        <v>4370</v>
      </c>
      <c r="C943" s="80" t="s">
        <v>4690</v>
      </c>
      <c r="D943" s="107" t="s">
        <v>4372</v>
      </c>
      <c r="E943" s="80">
        <v>3</v>
      </c>
      <c r="F943" s="133">
        <v>9.2799999999999994</v>
      </c>
      <c r="G943" s="133">
        <v>10.75</v>
      </c>
      <c r="H943" s="222">
        <f t="shared" si="42"/>
        <v>32.25</v>
      </c>
      <c r="I943" s="236"/>
      <c r="J943" s="236">
        <v>0</v>
      </c>
      <c r="K943" s="236">
        <f t="shared" si="40"/>
        <v>32.25</v>
      </c>
      <c r="L943" s="237">
        <f t="shared" si="41"/>
        <v>27.839999999999996</v>
      </c>
    </row>
    <row r="944" spans="1:12">
      <c r="A944" s="223">
        <v>46192</v>
      </c>
      <c r="B944" s="80" t="s">
        <v>4645</v>
      </c>
      <c r="C944" s="80" t="s">
        <v>4690</v>
      </c>
      <c r="D944" s="107" t="s">
        <v>4647</v>
      </c>
      <c r="E944" s="80">
        <v>1</v>
      </c>
      <c r="F944" s="133">
        <v>6.15</v>
      </c>
      <c r="G944" s="133">
        <v>7.25</v>
      </c>
      <c r="H944" s="222">
        <f t="shared" si="42"/>
        <v>7.25</v>
      </c>
      <c r="I944" s="236"/>
      <c r="J944" s="236">
        <v>0</v>
      </c>
      <c r="K944" s="236">
        <f t="shared" si="40"/>
        <v>7.25</v>
      </c>
      <c r="L944" s="237">
        <f t="shared" si="41"/>
        <v>6.15</v>
      </c>
    </row>
    <row r="945" spans="1:12">
      <c r="A945" s="223">
        <v>46192</v>
      </c>
      <c r="B945" s="80" t="s">
        <v>3659</v>
      </c>
      <c r="C945" s="80" t="s">
        <v>4691</v>
      </c>
      <c r="D945" s="107" t="s">
        <v>3660</v>
      </c>
      <c r="E945" s="80">
        <v>1</v>
      </c>
      <c r="F945" s="133">
        <v>22.73</v>
      </c>
      <c r="G945" s="133">
        <v>26.25</v>
      </c>
      <c r="H945" s="222">
        <f t="shared" si="42"/>
        <v>26.25</v>
      </c>
      <c r="I945" s="236"/>
      <c r="J945" s="236">
        <v>0</v>
      </c>
      <c r="K945" s="236">
        <f t="shared" si="40"/>
        <v>26.25</v>
      </c>
      <c r="L945" s="237">
        <f t="shared" si="41"/>
        <v>22.73</v>
      </c>
    </row>
    <row r="946" spans="1:12">
      <c r="A946" s="223">
        <v>46192</v>
      </c>
      <c r="B946" s="80" t="s">
        <v>3657</v>
      </c>
      <c r="C946" s="80" t="s">
        <v>4691</v>
      </c>
      <c r="D946" s="107" t="s">
        <v>3658</v>
      </c>
      <c r="E946" s="80">
        <v>1</v>
      </c>
      <c r="F946" s="133">
        <v>22.73</v>
      </c>
      <c r="G946" s="133">
        <v>26.25</v>
      </c>
      <c r="H946" s="222">
        <f t="shared" si="42"/>
        <v>26.25</v>
      </c>
      <c r="I946" s="236"/>
      <c r="J946" s="236">
        <v>0</v>
      </c>
      <c r="K946" s="236">
        <f t="shared" si="40"/>
        <v>26.25</v>
      </c>
      <c r="L946" s="237">
        <f t="shared" si="41"/>
        <v>22.73</v>
      </c>
    </row>
    <row r="947" spans="1:12">
      <c r="A947" s="223">
        <v>46192</v>
      </c>
      <c r="B947" s="80" t="s">
        <v>4065</v>
      </c>
      <c r="C947" s="80" t="s">
        <v>4692</v>
      </c>
      <c r="D947" s="107" t="s">
        <v>4066</v>
      </c>
      <c r="E947" s="80">
        <v>3</v>
      </c>
      <c r="F947" s="133">
        <v>16.91</v>
      </c>
      <c r="G947" s="133">
        <v>18.600000000000001</v>
      </c>
      <c r="H947" s="222">
        <f t="shared" si="42"/>
        <v>55.800000000000004</v>
      </c>
      <c r="I947" s="236"/>
      <c r="J947" s="236">
        <v>0</v>
      </c>
      <c r="K947" s="236">
        <f t="shared" si="40"/>
        <v>55.800000000000004</v>
      </c>
      <c r="L947" s="237">
        <f t="shared" si="41"/>
        <v>50.730000000000004</v>
      </c>
    </row>
    <row r="948" spans="1:12">
      <c r="A948" s="223">
        <v>46192</v>
      </c>
      <c r="B948" s="80" t="s">
        <v>2896</v>
      </c>
      <c r="C948" s="80" t="s">
        <v>4693</v>
      </c>
      <c r="D948" s="107" t="s">
        <v>2897</v>
      </c>
      <c r="E948" s="80">
        <v>3</v>
      </c>
      <c r="F948" s="133">
        <v>13.87</v>
      </c>
      <c r="G948" s="133">
        <v>17.75</v>
      </c>
      <c r="H948" s="222">
        <f t="shared" si="42"/>
        <v>53.25</v>
      </c>
      <c r="I948" s="236"/>
      <c r="J948" s="236">
        <v>0</v>
      </c>
      <c r="K948" s="236">
        <f t="shared" si="40"/>
        <v>53.25</v>
      </c>
      <c r="L948" s="237">
        <f t="shared" si="41"/>
        <v>41.61</v>
      </c>
    </row>
    <row r="949" spans="1:12">
      <c r="A949" s="223">
        <v>46192</v>
      </c>
      <c r="B949" s="80" t="s">
        <v>4645</v>
      </c>
      <c r="C949" s="80" t="s">
        <v>4694</v>
      </c>
      <c r="D949" s="107" t="s">
        <v>4647</v>
      </c>
      <c r="E949" s="80">
        <v>1</v>
      </c>
      <c r="F949" s="133">
        <v>6.15</v>
      </c>
      <c r="G949" s="133">
        <v>7.25</v>
      </c>
      <c r="H949" s="222">
        <f t="shared" si="42"/>
        <v>7.25</v>
      </c>
      <c r="I949" s="236"/>
      <c r="J949" s="236">
        <v>0</v>
      </c>
      <c r="K949" s="236">
        <f t="shared" si="40"/>
        <v>7.25</v>
      </c>
      <c r="L949" s="237">
        <f t="shared" si="41"/>
        <v>6.15</v>
      </c>
    </row>
    <row r="950" spans="1:12">
      <c r="A950" s="223">
        <v>46192</v>
      </c>
      <c r="B950" s="80" t="s">
        <v>532</v>
      </c>
      <c r="C950" s="80" t="s">
        <v>4695</v>
      </c>
      <c r="D950" s="107" t="s">
        <v>533</v>
      </c>
      <c r="E950" s="80">
        <v>1</v>
      </c>
      <c r="F950" s="133">
        <v>18.649999999999999</v>
      </c>
      <c r="G950" s="133">
        <v>21.5</v>
      </c>
      <c r="H950" s="222">
        <f t="shared" si="42"/>
        <v>21.5</v>
      </c>
      <c r="I950" s="236"/>
      <c r="J950" s="236">
        <v>0</v>
      </c>
      <c r="K950" s="236">
        <f t="shared" si="40"/>
        <v>21.5</v>
      </c>
      <c r="L950" s="237">
        <f t="shared" si="41"/>
        <v>18.649999999999999</v>
      </c>
    </row>
    <row r="951" spans="1:12">
      <c r="A951" s="223">
        <v>46192</v>
      </c>
      <c r="B951" s="80" t="s">
        <v>1030</v>
      </c>
      <c r="C951" s="80" t="s">
        <v>4696</v>
      </c>
      <c r="D951" s="107" t="s">
        <v>1031</v>
      </c>
      <c r="E951" s="80">
        <v>1</v>
      </c>
      <c r="F951" s="133">
        <v>50.5</v>
      </c>
      <c r="G951" s="133">
        <v>58.25</v>
      </c>
      <c r="H951" s="222">
        <f t="shared" si="42"/>
        <v>58.25</v>
      </c>
      <c r="I951" s="236"/>
      <c r="J951" s="236">
        <v>0</v>
      </c>
      <c r="K951" s="236">
        <f t="shared" si="40"/>
        <v>58.25</v>
      </c>
      <c r="L951" s="237">
        <f t="shared" si="41"/>
        <v>50.5</v>
      </c>
    </row>
    <row r="952" spans="1:12">
      <c r="A952" s="223">
        <v>46192</v>
      </c>
      <c r="B952" s="80" t="s">
        <v>1032</v>
      </c>
      <c r="C952" s="80" t="s">
        <v>4696</v>
      </c>
      <c r="D952" s="107" t="s">
        <v>1033</v>
      </c>
      <c r="E952" s="80">
        <v>1</v>
      </c>
      <c r="F952" s="133">
        <v>50.5</v>
      </c>
      <c r="G952" s="133">
        <v>58.25</v>
      </c>
      <c r="H952" s="222">
        <f t="shared" si="42"/>
        <v>58.25</v>
      </c>
      <c r="I952" s="236"/>
      <c r="J952" s="236">
        <v>0</v>
      </c>
      <c r="K952" s="236">
        <f t="shared" si="40"/>
        <v>58.25</v>
      </c>
      <c r="L952" s="237">
        <f t="shared" si="41"/>
        <v>50.5</v>
      </c>
    </row>
    <row r="953" spans="1:12">
      <c r="A953" s="223">
        <v>46192</v>
      </c>
      <c r="B953" s="80" t="s">
        <v>3759</v>
      </c>
      <c r="C953" s="80" t="s">
        <v>4696</v>
      </c>
      <c r="D953" s="107" t="s">
        <v>3760</v>
      </c>
      <c r="E953" s="80">
        <v>1</v>
      </c>
      <c r="F953" s="133">
        <v>125.7</v>
      </c>
      <c r="G953" s="133">
        <v>144.75</v>
      </c>
      <c r="H953" s="222">
        <f t="shared" si="42"/>
        <v>144.75</v>
      </c>
      <c r="I953" s="236"/>
      <c r="J953" s="236">
        <v>0</v>
      </c>
      <c r="K953" s="236">
        <f t="shared" si="40"/>
        <v>144.75</v>
      </c>
      <c r="L953" s="237">
        <f t="shared" si="41"/>
        <v>125.7</v>
      </c>
    </row>
    <row r="954" spans="1:12">
      <c r="A954" s="223">
        <v>46192</v>
      </c>
      <c r="B954" s="80" t="s">
        <v>1481</v>
      </c>
      <c r="C954" s="80" t="s">
        <v>4696</v>
      </c>
      <c r="D954" s="107" t="s">
        <v>1482</v>
      </c>
      <c r="E954" s="80">
        <v>2</v>
      </c>
      <c r="F954" s="133">
        <v>18.2</v>
      </c>
      <c r="G954" s="133">
        <v>21</v>
      </c>
      <c r="H954" s="222">
        <f t="shared" si="42"/>
        <v>42</v>
      </c>
      <c r="I954" s="236"/>
      <c r="J954" s="236">
        <v>0</v>
      </c>
      <c r="K954" s="236">
        <f t="shared" si="40"/>
        <v>42</v>
      </c>
      <c r="L954" s="237">
        <f t="shared" si="41"/>
        <v>36.4</v>
      </c>
    </row>
    <row r="955" spans="1:12">
      <c r="A955" s="223">
        <v>46192</v>
      </c>
      <c r="B955" s="80" t="s">
        <v>1429</v>
      </c>
      <c r="C955" s="80" t="s">
        <v>4696</v>
      </c>
      <c r="D955" s="107" t="s">
        <v>1430</v>
      </c>
      <c r="E955" s="80">
        <v>2</v>
      </c>
      <c r="F955" s="133">
        <v>18.57</v>
      </c>
      <c r="G955" s="133">
        <v>21.5</v>
      </c>
      <c r="H955" s="222">
        <f t="shared" si="42"/>
        <v>43</v>
      </c>
      <c r="I955" s="236"/>
      <c r="J955" s="236">
        <v>0</v>
      </c>
      <c r="K955" s="236">
        <f t="shared" si="40"/>
        <v>43</v>
      </c>
      <c r="L955" s="237">
        <f t="shared" si="41"/>
        <v>37.14</v>
      </c>
    </row>
    <row r="956" spans="1:12">
      <c r="A956" s="223" t="s">
        <v>4697</v>
      </c>
      <c r="B956" s="80" t="s">
        <v>1695</v>
      </c>
      <c r="C956" s="80" t="s">
        <v>4698</v>
      </c>
      <c r="D956" s="107" t="s">
        <v>1696</v>
      </c>
      <c r="E956" s="80">
        <v>2</v>
      </c>
      <c r="F956" s="133">
        <v>38.39</v>
      </c>
      <c r="G956" s="133">
        <v>44.25</v>
      </c>
      <c r="H956" s="222">
        <f t="shared" si="42"/>
        <v>88.5</v>
      </c>
      <c r="I956" s="236"/>
      <c r="J956" s="236">
        <v>0</v>
      </c>
      <c r="K956" s="236">
        <f t="shared" si="40"/>
        <v>88.5</v>
      </c>
      <c r="L956" s="237">
        <f t="shared" si="41"/>
        <v>76.78</v>
      </c>
    </row>
    <row r="957" spans="1:12">
      <c r="A957" s="223" t="s">
        <v>4697</v>
      </c>
      <c r="B957" s="80" t="s">
        <v>2648</v>
      </c>
      <c r="C957" s="80" t="s">
        <v>4698</v>
      </c>
      <c r="D957" s="107" t="s">
        <v>2649</v>
      </c>
      <c r="E957" s="80">
        <v>6</v>
      </c>
      <c r="F957" s="133">
        <v>17.059999999999999</v>
      </c>
      <c r="G957" s="133">
        <v>19.75</v>
      </c>
      <c r="H957" s="222">
        <f t="shared" si="42"/>
        <v>118.5</v>
      </c>
      <c r="I957" s="236"/>
      <c r="J957" s="236">
        <v>0</v>
      </c>
      <c r="K957" s="236">
        <f t="shared" si="40"/>
        <v>118.5</v>
      </c>
      <c r="L957" s="237">
        <f t="shared" si="41"/>
        <v>102.35999999999999</v>
      </c>
    </row>
    <row r="958" spans="1:12">
      <c r="A958" s="223" t="s">
        <v>4697</v>
      </c>
      <c r="B958" s="80" t="s">
        <v>2540</v>
      </c>
      <c r="C958" s="80" t="s">
        <v>4698</v>
      </c>
      <c r="D958" s="107" t="s">
        <v>2541</v>
      </c>
      <c r="E958" s="80">
        <v>1</v>
      </c>
      <c r="F958" s="133">
        <v>61.5</v>
      </c>
      <c r="G958" s="133">
        <v>70.75</v>
      </c>
      <c r="H958" s="222">
        <f t="shared" si="42"/>
        <v>70.75</v>
      </c>
      <c r="I958" s="236"/>
      <c r="J958" s="236">
        <v>0</v>
      </c>
      <c r="K958" s="236">
        <f t="shared" si="40"/>
        <v>70.75</v>
      </c>
      <c r="L958" s="237">
        <f t="shared" si="41"/>
        <v>61.5</v>
      </c>
    </row>
    <row r="959" spans="1:12">
      <c r="A959" s="223" t="s">
        <v>4697</v>
      </c>
      <c r="B959" s="80" t="s">
        <v>2283</v>
      </c>
      <c r="C959" s="80" t="s">
        <v>4698</v>
      </c>
      <c r="D959" s="107" t="s">
        <v>2284</v>
      </c>
      <c r="E959" s="80">
        <v>1</v>
      </c>
      <c r="F959" s="133">
        <v>67.88</v>
      </c>
      <c r="G959" s="133">
        <v>78.25</v>
      </c>
      <c r="H959" s="222">
        <f t="shared" si="42"/>
        <v>78.25</v>
      </c>
      <c r="I959" s="236"/>
      <c r="J959" s="236">
        <v>0</v>
      </c>
      <c r="K959" s="236">
        <f t="shared" si="40"/>
        <v>78.25</v>
      </c>
      <c r="L959" s="237">
        <f t="shared" si="41"/>
        <v>67.88</v>
      </c>
    </row>
    <row r="960" spans="1:12">
      <c r="A960" s="223" t="s">
        <v>4697</v>
      </c>
      <c r="B960" s="80" t="s">
        <v>4645</v>
      </c>
      <c r="C960" s="80" t="s">
        <v>4699</v>
      </c>
      <c r="D960" s="107" t="s">
        <v>4647</v>
      </c>
      <c r="E960" s="80">
        <v>1</v>
      </c>
      <c r="F960" s="133">
        <v>6.15</v>
      </c>
      <c r="G960" s="133">
        <v>7.25</v>
      </c>
      <c r="H960" s="222">
        <f t="shared" si="42"/>
        <v>7.25</v>
      </c>
      <c r="I960" s="236"/>
      <c r="J960" s="236">
        <v>0</v>
      </c>
      <c r="K960" s="236">
        <f t="shared" si="40"/>
        <v>7.25</v>
      </c>
      <c r="L960" s="237">
        <f t="shared" si="41"/>
        <v>6.15</v>
      </c>
    </row>
    <row r="961" spans="1:12">
      <c r="A961" s="223" t="s">
        <v>4697</v>
      </c>
      <c r="B961" s="80" t="s">
        <v>2007</v>
      </c>
      <c r="C961" s="80" t="s">
        <v>4700</v>
      </c>
      <c r="D961" s="107" t="s">
        <v>2008</v>
      </c>
      <c r="E961" s="80">
        <v>2</v>
      </c>
      <c r="F961" s="133">
        <v>51.97</v>
      </c>
      <c r="G961" s="133">
        <v>60</v>
      </c>
      <c r="H961" s="222">
        <f t="shared" si="42"/>
        <v>120</v>
      </c>
      <c r="I961" s="236"/>
      <c r="J961" s="236">
        <v>0</v>
      </c>
      <c r="K961" s="236">
        <f t="shared" si="40"/>
        <v>120</v>
      </c>
      <c r="L961" s="237">
        <f t="shared" si="41"/>
        <v>103.94</v>
      </c>
    </row>
    <row r="962" spans="1:12">
      <c r="A962" s="223" t="s">
        <v>4697</v>
      </c>
      <c r="B962" s="80" t="s">
        <v>1456</v>
      </c>
      <c r="C962" s="80" t="s">
        <v>4700</v>
      </c>
      <c r="D962" s="107" t="s">
        <v>1457</v>
      </c>
      <c r="E962" s="80">
        <v>3</v>
      </c>
      <c r="F962" s="133">
        <v>202</v>
      </c>
      <c r="G962" s="133">
        <v>232.5</v>
      </c>
      <c r="H962" s="222">
        <f t="shared" si="42"/>
        <v>697.5</v>
      </c>
      <c r="I962" s="236"/>
      <c r="J962" s="236">
        <v>0</v>
      </c>
      <c r="K962" s="236">
        <f t="shared" si="40"/>
        <v>697.5</v>
      </c>
      <c r="L962" s="237">
        <f t="shared" si="41"/>
        <v>606</v>
      </c>
    </row>
    <row r="963" spans="1:12">
      <c r="A963" s="223" t="s">
        <v>4697</v>
      </c>
      <c r="B963" s="80" t="s">
        <v>2023</v>
      </c>
      <c r="C963" s="80" t="s">
        <v>4700</v>
      </c>
      <c r="D963" s="107" t="s">
        <v>2024</v>
      </c>
      <c r="E963" s="80">
        <v>6</v>
      </c>
      <c r="F963" s="133">
        <v>7.14</v>
      </c>
      <c r="G963" s="133">
        <v>8.25</v>
      </c>
      <c r="H963" s="222">
        <f t="shared" si="42"/>
        <v>49.5</v>
      </c>
      <c r="I963" s="236"/>
      <c r="J963" s="236">
        <v>0</v>
      </c>
      <c r="K963" s="236">
        <f t="shared" si="40"/>
        <v>49.5</v>
      </c>
      <c r="L963" s="237">
        <f t="shared" si="41"/>
        <v>42.839999999999996</v>
      </c>
    </row>
    <row r="964" spans="1:12">
      <c r="A964" s="223" t="s">
        <v>4697</v>
      </c>
      <c r="B964" s="80" t="s">
        <v>1752</v>
      </c>
      <c r="C964" s="80" t="s">
        <v>4700</v>
      </c>
      <c r="D964" s="107" t="s">
        <v>1753</v>
      </c>
      <c r="E964" s="80">
        <v>1</v>
      </c>
      <c r="F964" s="133">
        <v>132.80000000000001</v>
      </c>
      <c r="G964" s="133">
        <v>152.75</v>
      </c>
      <c r="H964" s="222">
        <f t="shared" si="42"/>
        <v>152.75</v>
      </c>
      <c r="I964" s="236"/>
      <c r="J964" s="236">
        <v>0</v>
      </c>
      <c r="K964" s="236">
        <f t="shared" si="40"/>
        <v>152.75</v>
      </c>
      <c r="L964" s="237">
        <f t="shared" si="41"/>
        <v>132.80000000000001</v>
      </c>
    </row>
    <row r="965" spans="1:12">
      <c r="A965" s="223" t="s">
        <v>4697</v>
      </c>
      <c r="B965" s="80" t="s">
        <v>1932</v>
      </c>
      <c r="C965" s="80" t="s">
        <v>4700</v>
      </c>
      <c r="D965" s="107" t="s">
        <v>1933</v>
      </c>
      <c r="E965" s="80">
        <v>1</v>
      </c>
      <c r="F965" s="133">
        <v>65.95</v>
      </c>
      <c r="G965" s="133">
        <v>76</v>
      </c>
      <c r="H965" s="222">
        <f t="shared" si="42"/>
        <v>76</v>
      </c>
      <c r="I965" s="236"/>
      <c r="J965" s="236">
        <v>0</v>
      </c>
      <c r="K965" s="236">
        <f t="shared" si="40"/>
        <v>76</v>
      </c>
      <c r="L965" s="237">
        <f t="shared" si="41"/>
        <v>65.95</v>
      </c>
    </row>
    <row r="966" spans="1:12">
      <c r="A966" s="223" t="s">
        <v>4697</v>
      </c>
      <c r="B966" s="80" t="s">
        <v>1524</v>
      </c>
      <c r="C966" s="80" t="s">
        <v>4700</v>
      </c>
      <c r="D966" s="107" t="s">
        <v>1525</v>
      </c>
      <c r="E966" s="80">
        <v>2</v>
      </c>
      <c r="F966" s="133">
        <v>30.83</v>
      </c>
      <c r="G966" s="133">
        <v>35.5</v>
      </c>
      <c r="H966" s="222">
        <f t="shared" si="42"/>
        <v>71</v>
      </c>
      <c r="I966" s="236"/>
      <c r="J966" s="236">
        <v>0</v>
      </c>
      <c r="K966" s="236">
        <f t="shared" ref="K966:K1029" si="43">H966+I966-J966</f>
        <v>71</v>
      </c>
      <c r="L966" s="237">
        <f t="shared" ref="L966:L1029" si="44">E966*F966</f>
        <v>61.66</v>
      </c>
    </row>
    <row r="967" spans="1:12">
      <c r="A967" s="223" t="s">
        <v>4697</v>
      </c>
      <c r="B967" s="80" t="s">
        <v>1511</v>
      </c>
      <c r="C967" s="80" t="s">
        <v>4700</v>
      </c>
      <c r="D967" s="107" t="s">
        <v>1512</v>
      </c>
      <c r="E967" s="80">
        <v>2</v>
      </c>
      <c r="F967" s="133">
        <v>29.17</v>
      </c>
      <c r="G967" s="133">
        <v>33.75</v>
      </c>
      <c r="H967" s="222">
        <f t="shared" si="42"/>
        <v>67.5</v>
      </c>
      <c r="I967" s="236"/>
      <c r="J967" s="236">
        <v>0</v>
      </c>
      <c r="K967" s="236">
        <f t="shared" si="43"/>
        <v>67.5</v>
      </c>
      <c r="L967" s="237">
        <f t="shared" si="44"/>
        <v>58.34</v>
      </c>
    </row>
    <row r="968" spans="1:12">
      <c r="A968" s="223" t="s">
        <v>4697</v>
      </c>
      <c r="B968" s="80" t="s">
        <v>4063</v>
      </c>
      <c r="C968" s="80" t="s">
        <v>4700</v>
      </c>
      <c r="D968" s="107" t="s">
        <v>4064</v>
      </c>
      <c r="E968" s="80">
        <v>1</v>
      </c>
      <c r="F968" s="133">
        <v>723.8</v>
      </c>
      <c r="G968" s="133">
        <v>832.5</v>
      </c>
      <c r="H968" s="222">
        <f t="shared" si="42"/>
        <v>832.5</v>
      </c>
      <c r="I968" s="236"/>
      <c r="J968" s="236">
        <v>0</v>
      </c>
      <c r="K968" s="236">
        <f t="shared" si="43"/>
        <v>832.5</v>
      </c>
      <c r="L968" s="237">
        <f t="shared" si="44"/>
        <v>723.8</v>
      </c>
    </row>
    <row r="969" spans="1:12">
      <c r="A969" s="223" t="s">
        <v>4697</v>
      </c>
      <c r="B969" s="80" t="s">
        <v>1807</v>
      </c>
      <c r="C969" s="80" t="s">
        <v>4700</v>
      </c>
      <c r="D969" s="107" t="s">
        <v>1808</v>
      </c>
      <c r="E969" s="80">
        <v>1</v>
      </c>
      <c r="F969" s="133">
        <v>116</v>
      </c>
      <c r="G969" s="133">
        <v>133.5</v>
      </c>
      <c r="H969" s="222">
        <f t="shared" si="42"/>
        <v>133.5</v>
      </c>
      <c r="I969" s="236"/>
      <c r="J969" s="236">
        <v>0</v>
      </c>
      <c r="K969" s="236">
        <f t="shared" si="43"/>
        <v>133.5</v>
      </c>
      <c r="L969" s="237">
        <f t="shared" si="44"/>
        <v>116</v>
      </c>
    </row>
    <row r="970" spans="1:12">
      <c r="A970" s="223" t="s">
        <v>4697</v>
      </c>
      <c r="B970" s="80" t="s">
        <v>3105</v>
      </c>
      <c r="C970" s="80" t="s">
        <v>4700</v>
      </c>
      <c r="D970" s="107" t="s">
        <v>3106</v>
      </c>
      <c r="E970" s="80">
        <v>1</v>
      </c>
      <c r="F970" s="133">
        <v>39.880000000000003</v>
      </c>
      <c r="G970" s="133">
        <v>46</v>
      </c>
      <c r="H970" s="222">
        <f t="shared" si="42"/>
        <v>46</v>
      </c>
      <c r="I970" s="236"/>
      <c r="J970" s="236">
        <v>0</v>
      </c>
      <c r="K970" s="236">
        <f t="shared" si="43"/>
        <v>46</v>
      </c>
      <c r="L970" s="237">
        <f t="shared" si="44"/>
        <v>39.880000000000003</v>
      </c>
    </row>
    <row r="971" spans="1:12">
      <c r="A971" s="223" t="s">
        <v>4697</v>
      </c>
      <c r="B971" s="80" t="s">
        <v>2112</v>
      </c>
      <c r="C971" s="80" t="s">
        <v>4700</v>
      </c>
      <c r="D971" s="107" t="s">
        <v>2113</v>
      </c>
      <c r="E971" s="80">
        <v>2</v>
      </c>
      <c r="F971" s="133">
        <v>135.25</v>
      </c>
      <c r="G971" s="133">
        <v>156</v>
      </c>
      <c r="H971" s="222">
        <f t="shared" si="42"/>
        <v>312</v>
      </c>
      <c r="I971" s="236"/>
      <c r="J971" s="236">
        <v>0</v>
      </c>
      <c r="K971" s="236">
        <f t="shared" si="43"/>
        <v>312</v>
      </c>
      <c r="L971" s="237">
        <f t="shared" si="44"/>
        <v>270.5</v>
      </c>
    </row>
    <row r="972" spans="1:12">
      <c r="A972" s="223" t="s">
        <v>4697</v>
      </c>
      <c r="B972" s="80" t="s">
        <v>886</v>
      </c>
      <c r="C972" s="80" t="s">
        <v>4700</v>
      </c>
      <c r="D972" s="107" t="s">
        <v>887</v>
      </c>
      <c r="E972" s="80">
        <v>1</v>
      </c>
      <c r="F972" s="133">
        <v>58.45</v>
      </c>
      <c r="G972" s="133">
        <v>65</v>
      </c>
      <c r="H972" s="222">
        <f t="shared" si="42"/>
        <v>65</v>
      </c>
      <c r="I972" s="236"/>
      <c r="J972" s="236">
        <v>0</v>
      </c>
      <c r="K972" s="236">
        <f t="shared" si="43"/>
        <v>65</v>
      </c>
      <c r="L972" s="237">
        <f t="shared" si="44"/>
        <v>58.45</v>
      </c>
    </row>
    <row r="973" spans="1:12">
      <c r="A973" s="223" t="s">
        <v>4697</v>
      </c>
      <c r="B973" s="80" t="s">
        <v>499</v>
      </c>
      <c r="C973" s="80" t="s">
        <v>4701</v>
      </c>
      <c r="D973" s="107" t="s">
        <v>500</v>
      </c>
      <c r="E973" s="80">
        <v>1</v>
      </c>
      <c r="F973" s="133">
        <v>33.75</v>
      </c>
      <c r="G973" s="133">
        <v>39</v>
      </c>
      <c r="H973" s="222">
        <f t="shared" si="42"/>
        <v>39</v>
      </c>
      <c r="I973" s="236"/>
      <c r="J973" s="236">
        <v>0</v>
      </c>
      <c r="K973" s="236">
        <f t="shared" si="43"/>
        <v>39</v>
      </c>
      <c r="L973" s="237">
        <f t="shared" si="44"/>
        <v>33.75</v>
      </c>
    </row>
    <row r="974" spans="1:12">
      <c r="A974" s="223" t="s">
        <v>4697</v>
      </c>
      <c r="B974" s="80" t="s">
        <v>3105</v>
      </c>
      <c r="C974" s="80" t="s">
        <v>4702</v>
      </c>
      <c r="D974" s="107" t="s">
        <v>3106</v>
      </c>
      <c r="E974" s="80">
        <v>1</v>
      </c>
      <c r="F974" s="133">
        <v>39.880000000000003</v>
      </c>
      <c r="G974" s="133">
        <v>46</v>
      </c>
      <c r="H974" s="222">
        <f t="shared" si="42"/>
        <v>46</v>
      </c>
      <c r="I974" s="236"/>
      <c r="J974" s="236">
        <v>0</v>
      </c>
      <c r="K974" s="236">
        <f t="shared" si="43"/>
        <v>46</v>
      </c>
      <c r="L974" s="237">
        <f t="shared" si="44"/>
        <v>39.880000000000003</v>
      </c>
    </row>
    <row r="975" spans="1:12">
      <c r="A975" s="223" t="s">
        <v>4697</v>
      </c>
      <c r="B975" s="80" t="s">
        <v>3579</v>
      </c>
      <c r="C975" s="80" t="s">
        <v>4703</v>
      </c>
      <c r="D975" s="107" t="s">
        <v>3580</v>
      </c>
      <c r="E975" s="80">
        <v>1</v>
      </c>
      <c r="F975" s="133">
        <v>23.21</v>
      </c>
      <c r="G975" s="133">
        <v>26.75</v>
      </c>
      <c r="H975" s="222">
        <f t="shared" si="42"/>
        <v>26.75</v>
      </c>
      <c r="I975" s="236"/>
      <c r="J975" s="236">
        <v>0</v>
      </c>
      <c r="K975" s="236">
        <f t="shared" si="43"/>
        <v>26.75</v>
      </c>
      <c r="L975" s="237">
        <f t="shared" si="44"/>
        <v>23.21</v>
      </c>
    </row>
    <row r="976" spans="1:12">
      <c r="A976" s="223" t="s">
        <v>4697</v>
      </c>
      <c r="B976" s="80" t="s">
        <v>3519</v>
      </c>
      <c r="C976" s="80" t="s">
        <v>4703</v>
      </c>
      <c r="D976" s="107" t="s">
        <v>3520</v>
      </c>
      <c r="E976" s="80">
        <v>1</v>
      </c>
      <c r="F976" s="133">
        <v>20.399999999999999</v>
      </c>
      <c r="G976" s="133">
        <v>24</v>
      </c>
      <c r="H976" s="222">
        <f t="shared" si="42"/>
        <v>24</v>
      </c>
      <c r="I976" s="236"/>
      <c r="J976" s="236">
        <v>0</v>
      </c>
      <c r="K976" s="236">
        <f t="shared" si="43"/>
        <v>24</v>
      </c>
      <c r="L976" s="237">
        <f t="shared" si="44"/>
        <v>20.399999999999999</v>
      </c>
    </row>
    <row r="977" spans="1:12">
      <c r="A977" s="223" t="s">
        <v>4697</v>
      </c>
      <c r="B977" s="80" t="s">
        <v>3666</v>
      </c>
      <c r="C977" s="80" t="s">
        <v>4704</v>
      </c>
      <c r="D977" s="107" t="s">
        <v>3667</v>
      </c>
      <c r="E977" s="80">
        <v>2</v>
      </c>
      <c r="F977" s="133">
        <v>28.89</v>
      </c>
      <c r="G977" s="133">
        <v>33.25</v>
      </c>
      <c r="H977" s="222">
        <f t="shared" si="42"/>
        <v>66.5</v>
      </c>
      <c r="I977" s="236"/>
      <c r="J977" s="236">
        <v>0</v>
      </c>
      <c r="K977" s="236">
        <f t="shared" si="43"/>
        <v>66.5</v>
      </c>
      <c r="L977" s="237">
        <f t="shared" si="44"/>
        <v>57.78</v>
      </c>
    </row>
    <row r="978" spans="1:12">
      <c r="A978" s="223" t="s">
        <v>4697</v>
      </c>
      <c r="B978" s="80" t="s">
        <v>3723</v>
      </c>
      <c r="C978" s="80" t="s">
        <v>4704</v>
      </c>
      <c r="D978" s="107" t="s">
        <v>3724</v>
      </c>
      <c r="E978" s="80">
        <v>2</v>
      </c>
      <c r="F978" s="133">
        <v>19.47</v>
      </c>
      <c r="G978" s="133">
        <v>23</v>
      </c>
      <c r="H978" s="222">
        <f t="shared" si="42"/>
        <v>46</v>
      </c>
      <c r="I978" s="236"/>
      <c r="J978" s="236">
        <v>0</v>
      </c>
      <c r="K978" s="236">
        <f t="shared" si="43"/>
        <v>46</v>
      </c>
      <c r="L978" s="237">
        <f t="shared" si="44"/>
        <v>38.94</v>
      </c>
    </row>
    <row r="979" spans="1:12">
      <c r="A979" s="223" t="s">
        <v>4697</v>
      </c>
      <c r="B979" s="80" t="s">
        <v>4705</v>
      </c>
      <c r="C979" s="80" t="s">
        <v>4704</v>
      </c>
      <c r="D979" s="107" t="s">
        <v>4706</v>
      </c>
      <c r="E979" s="80">
        <v>1</v>
      </c>
      <c r="F979" s="133">
        <v>50.88</v>
      </c>
      <c r="G979" s="133">
        <v>58.75</v>
      </c>
      <c r="H979" s="222">
        <f t="shared" si="42"/>
        <v>58.75</v>
      </c>
      <c r="I979" s="236"/>
      <c r="J979" s="236">
        <v>0</v>
      </c>
      <c r="K979" s="236">
        <f t="shared" si="43"/>
        <v>58.75</v>
      </c>
      <c r="L979" s="237">
        <f t="shared" si="44"/>
        <v>50.88</v>
      </c>
    </row>
    <row r="980" spans="1:12">
      <c r="A980" s="223" t="s">
        <v>4697</v>
      </c>
      <c r="B980" s="80" t="s">
        <v>824</v>
      </c>
      <c r="C980" s="80" t="s">
        <v>4704</v>
      </c>
      <c r="D980" s="107" t="s">
        <v>825</v>
      </c>
      <c r="E980" s="229">
        <v>1</v>
      </c>
      <c r="F980" s="132">
        <v>30.04</v>
      </c>
      <c r="G980" s="132">
        <v>34.75</v>
      </c>
      <c r="H980" s="222">
        <f t="shared" si="42"/>
        <v>34.75</v>
      </c>
      <c r="I980" s="236"/>
      <c r="J980" s="236">
        <v>0</v>
      </c>
      <c r="K980" s="236">
        <f t="shared" si="43"/>
        <v>34.75</v>
      </c>
      <c r="L980" s="237">
        <f t="shared" si="44"/>
        <v>30.04</v>
      </c>
    </row>
    <row r="981" spans="1:12">
      <c r="A981" s="223" t="s">
        <v>4697</v>
      </c>
      <c r="B981" s="80" t="s">
        <v>4065</v>
      </c>
      <c r="C981" s="80" t="s">
        <v>4704</v>
      </c>
      <c r="D981" s="107" t="s">
        <v>4066</v>
      </c>
      <c r="E981" s="229">
        <v>1</v>
      </c>
      <c r="F981" s="132">
        <v>16.91</v>
      </c>
      <c r="G981" s="132">
        <v>18.600000000000001</v>
      </c>
      <c r="H981" s="222">
        <f t="shared" si="42"/>
        <v>18.600000000000001</v>
      </c>
      <c r="I981" s="236"/>
      <c r="J981" s="236">
        <v>0</v>
      </c>
      <c r="K981" s="236">
        <f t="shared" si="43"/>
        <v>18.600000000000001</v>
      </c>
      <c r="L981" s="237">
        <f t="shared" si="44"/>
        <v>16.91</v>
      </c>
    </row>
    <row r="982" spans="1:12">
      <c r="A982" s="223" t="s">
        <v>4697</v>
      </c>
      <c r="B982" s="80" t="s">
        <v>630</v>
      </c>
      <c r="C982" s="80" t="s">
        <v>4707</v>
      </c>
      <c r="D982" s="107" t="s">
        <v>631</v>
      </c>
      <c r="E982" s="229">
        <v>1</v>
      </c>
      <c r="F982" s="132">
        <v>7.62</v>
      </c>
      <c r="G982" s="132">
        <v>8.75</v>
      </c>
      <c r="H982" s="222">
        <f t="shared" si="42"/>
        <v>8.75</v>
      </c>
      <c r="I982" s="236"/>
      <c r="J982" s="236">
        <v>0</v>
      </c>
      <c r="K982" s="236">
        <f t="shared" si="43"/>
        <v>8.75</v>
      </c>
      <c r="L982" s="237">
        <f t="shared" si="44"/>
        <v>7.62</v>
      </c>
    </row>
    <row r="983" spans="1:12">
      <c r="A983" s="223" t="s">
        <v>4697</v>
      </c>
      <c r="B983" s="80" t="s">
        <v>840</v>
      </c>
      <c r="C983" s="80" t="s">
        <v>4708</v>
      </c>
      <c r="D983" s="107" t="s">
        <v>841</v>
      </c>
      <c r="E983" s="229">
        <v>1</v>
      </c>
      <c r="F983" s="132">
        <v>20.68</v>
      </c>
      <c r="G983" s="132">
        <v>24</v>
      </c>
      <c r="H983" s="222">
        <f t="shared" si="42"/>
        <v>24</v>
      </c>
      <c r="I983" s="236"/>
      <c r="J983" s="236">
        <v>0</v>
      </c>
      <c r="K983" s="236">
        <f t="shared" si="43"/>
        <v>24</v>
      </c>
      <c r="L983" s="237">
        <f t="shared" si="44"/>
        <v>20.68</v>
      </c>
    </row>
    <row r="984" spans="1:12">
      <c r="A984" s="223" t="s">
        <v>4697</v>
      </c>
      <c r="B984" s="80" t="s">
        <v>1308</v>
      </c>
      <c r="C984" s="80" t="s">
        <v>4708</v>
      </c>
      <c r="D984" s="107" t="s">
        <v>1309</v>
      </c>
      <c r="E984" s="229">
        <v>1</v>
      </c>
      <c r="F984" s="132">
        <v>8.1999999999999993</v>
      </c>
      <c r="G984" s="132">
        <v>9.5</v>
      </c>
      <c r="H984" s="222">
        <f t="shared" si="42"/>
        <v>9.5</v>
      </c>
      <c r="I984" s="236"/>
      <c r="J984" s="236">
        <v>0</v>
      </c>
      <c r="K984" s="236">
        <f t="shared" si="43"/>
        <v>9.5</v>
      </c>
      <c r="L984" s="237">
        <f t="shared" si="44"/>
        <v>8.1999999999999993</v>
      </c>
    </row>
    <row r="985" spans="1:12">
      <c r="A985" s="223" t="s">
        <v>4697</v>
      </c>
      <c r="B985" s="80" t="s">
        <v>4649</v>
      </c>
      <c r="C985" s="80" t="s">
        <v>4708</v>
      </c>
      <c r="D985" s="107" t="s">
        <v>4651</v>
      </c>
      <c r="E985" s="229">
        <v>1</v>
      </c>
      <c r="F985" s="132">
        <v>0.81</v>
      </c>
      <c r="G985" s="132">
        <v>1</v>
      </c>
      <c r="H985" s="222">
        <f t="shared" si="42"/>
        <v>1</v>
      </c>
      <c r="I985" s="236"/>
      <c r="J985" s="236">
        <v>0</v>
      </c>
      <c r="K985" s="236">
        <f t="shared" si="43"/>
        <v>1</v>
      </c>
      <c r="L985" s="237">
        <f t="shared" si="44"/>
        <v>0.81</v>
      </c>
    </row>
    <row r="986" spans="1:12">
      <c r="A986" s="223" t="s">
        <v>4697</v>
      </c>
      <c r="B986" s="80" t="s">
        <v>4071</v>
      </c>
      <c r="C986" s="80" t="s">
        <v>4709</v>
      </c>
      <c r="D986" s="107" t="s">
        <v>4072</v>
      </c>
      <c r="E986" s="229">
        <v>1</v>
      </c>
      <c r="F986" s="132">
        <v>6.03</v>
      </c>
      <c r="G986" s="132">
        <v>7</v>
      </c>
      <c r="H986" s="222">
        <f t="shared" si="42"/>
        <v>7</v>
      </c>
      <c r="I986" s="236"/>
      <c r="J986" s="236">
        <v>0</v>
      </c>
      <c r="K986" s="236">
        <f t="shared" si="43"/>
        <v>7</v>
      </c>
      <c r="L986" s="237">
        <f t="shared" si="44"/>
        <v>6.03</v>
      </c>
    </row>
    <row r="987" spans="1:12">
      <c r="A987" s="223" t="s">
        <v>4697</v>
      </c>
      <c r="B987" s="80" t="s">
        <v>630</v>
      </c>
      <c r="C987" s="80" t="s">
        <v>4710</v>
      </c>
      <c r="D987" s="107" t="s">
        <v>631</v>
      </c>
      <c r="E987" s="229">
        <v>1</v>
      </c>
      <c r="F987" s="132">
        <v>7.62</v>
      </c>
      <c r="G987" s="132">
        <v>8.75</v>
      </c>
      <c r="H987" s="222">
        <f t="shared" si="42"/>
        <v>8.75</v>
      </c>
      <c r="I987" s="236"/>
      <c r="J987" s="236">
        <v>0</v>
      </c>
      <c r="K987" s="236">
        <f t="shared" si="43"/>
        <v>8.75</v>
      </c>
      <c r="L987" s="237">
        <f t="shared" si="44"/>
        <v>7.62</v>
      </c>
    </row>
    <row r="988" spans="1:12">
      <c r="A988" s="223" t="s">
        <v>4697</v>
      </c>
      <c r="B988" s="80" t="s">
        <v>4649</v>
      </c>
      <c r="C988" s="80" t="s">
        <v>4711</v>
      </c>
      <c r="D988" s="107" t="s">
        <v>4651</v>
      </c>
      <c r="E988" s="229">
        <v>5</v>
      </c>
      <c r="F988" s="132">
        <v>0.81</v>
      </c>
      <c r="G988" s="132">
        <v>1</v>
      </c>
      <c r="H988" s="222">
        <f t="shared" ref="H988:H1051" si="45">E988*G988</f>
        <v>5</v>
      </c>
      <c r="I988" s="236"/>
      <c r="J988" s="236">
        <v>0</v>
      </c>
      <c r="K988" s="236">
        <f t="shared" si="43"/>
        <v>5</v>
      </c>
      <c r="L988" s="237">
        <f t="shared" si="44"/>
        <v>4.0500000000000007</v>
      </c>
    </row>
    <row r="989" spans="1:12">
      <c r="A989" s="223" t="s">
        <v>4697</v>
      </c>
      <c r="B989" s="80" t="s">
        <v>2126</v>
      </c>
      <c r="C989" s="80" t="s">
        <v>4712</v>
      </c>
      <c r="D989" s="107" t="s">
        <v>2127</v>
      </c>
      <c r="E989" s="229">
        <v>1</v>
      </c>
      <c r="F989" s="132">
        <v>17.899999999999999</v>
      </c>
      <c r="G989" s="132">
        <v>20.75</v>
      </c>
      <c r="H989" s="222">
        <f t="shared" si="45"/>
        <v>20.75</v>
      </c>
      <c r="I989" s="236"/>
      <c r="J989" s="236">
        <v>0</v>
      </c>
      <c r="K989" s="236">
        <f t="shared" si="43"/>
        <v>20.75</v>
      </c>
      <c r="L989" s="237">
        <f t="shared" si="44"/>
        <v>17.899999999999999</v>
      </c>
    </row>
    <row r="990" spans="1:12">
      <c r="A990" s="223" t="s">
        <v>4697</v>
      </c>
      <c r="B990" s="80" t="s">
        <v>2027</v>
      </c>
      <c r="C990" s="80" t="s">
        <v>4712</v>
      </c>
      <c r="D990" s="107" t="s">
        <v>2028</v>
      </c>
      <c r="E990" s="229">
        <v>12</v>
      </c>
      <c r="F990" s="132">
        <v>14.38</v>
      </c>
      <c r="G990" s="132">
        <v>16.75</v>
      </c>
      <c r="H990" s="222">
        <f t="shared" si="45"/>
        <v>201</v>
      </c>
      <c r="I990" s="236"/>
      <c r="J990" s="236">
        <v>0</v>
      </c>
      <c r="K990" s="236">
        <f t="shared" si="43"/>
        <v>201</v>
      </c>
      <c r="L990" s="237">
        <f t="shared" si="44"/>
        <v>172.56</v>
      </c>
    </row>
    <row r="991" spans="1:12">
      <c r="A991" s="223" t="s">
        <v>4697</v>
      </c>
      <c r="B991" s="80" t="s">
        <v>2023</v>
      </c>
      <c r="C991" s="80" t="s">
        <v>4712</v>
      </c>
      <c r="D991" s="107" t="s">
        <v>2024</v>
      </c>
      <c r="E991" s="229">
        <v>12</v>
      </c>
      <c r="F991" s="132">
        <v>7.14</v>
      </c>
      <c r="G991" s="132">
        <v>8.25</v>
      </c>
      <c r="H991" s="222">
        <f t="shared" si="45"/>
        <v>99</v>
      </c>
      <c r="I991" s="236"/>
      <c r="J991" s="236">
        <v>0</v>
      </c>
      <c r="K991" s="236">
        <f t="shared" si="43"/>
        <v>99</v>
      </c>
      <c r="L991" s="237">
        <f t="shared" si="44"/>
        <v>85.679999999999993</v>
      </c>
    </row>
    <row r="992" spans="1:12">
      <c r="A992" s="223" t="s">
        <v>4697</v>
      </c>
      <c r="B992" s="80" t="s">
        <v>1908</v>
      </c>
      <c r="C992" s="80" t="s">
        <v>4712</v>
      </c>
      <c r="D992" s="107" t="s">
        <v>1909</v>
      </c>
      <c r="E992" s="229">
        <v>1</v>
      </c>
      <c r="F992" s="132">
        <v>60.4</v>
      </c>
      <c r="G992" s="132">
        <v>70</v>
      </c>
      <c r="H992" s="222">
        <f t="shared" si="45"/>
        <v>70</v>
      </c>
      <c r="I992" s="236"/>
      <c r="J992" s="236">
        <v>0</v>
      </c>
      <c r="K992" s="236">
        <f t="shared" si="43"/>
        <v>70</v>
      </c>
      <c r="L992" s="237">
        <f t="shared" si="44"/>
        <v>60.4</v>
      </c>
    </row>
    <row r="993" spans="1:12">
      <c r="A993" s="223" t="s">
        <v>4697</v>
      </c>
      <c r="B993" s="80" t="s">
        <v>2017</v>
      </c>
      <c r="C993" s="80" t="s">
        <v>4712</v>
      </c>
      <c r="D993" s="107" t="s">
        <v>2018</v>
      </c>
      <c r="E993" s="229">
        <v>12</v>
      </c>
      <c r="F993" s="132">
        <v>6.02</v>
      </c>
      <c r="G993" s="132">
        <v>7.25</v>
      </c>
      <c r="H993" s="222">
        <f t="shared" si="45"/>
        <v>87</v>
      </c>
      <c r="I993" s="236"/>
      <c r="J993" s="236">
        <v>0</v>
      </c>
      <c r="K993" s="236">
        <f t="shared" si="43"/>
        <v>87</v>
      </c>
      <c r="L993" s="237">
        <f t="shared" si="44"/>
        <v>72.239999999999995</v>
      </c>
    </row>
    <row r="994" spans="1:12">
      <c r="A994" s="223" t="s">
        <v>4697</v>
      </c>
      <c r="B994" s="80" t="s">
        <v>1997</v>
      </c>
      <c r="C994" s="80" t="s">
        <v>4712</v>
      </c>
      <c r="D994" s="107" t="s">
        <v>1998</v>
      </c>
      <c r="E994" s="229">
        <v>12</v>
      </c>
      <c r="F994" s="132">
        <v>6.02</v>
      </c>
      <c r="G994" s="132">
        <v>7.25</v>
      </c>
      <c r="H994" s="222">
        <f t="shared" si="45"/>
        <v>87</v>
      </c>
      <c r="I994" s="236"/>
      <c r="J994" s="236">
        <v>0</v>
      </c>
      <c r="K994" s="236">
        <f t="shared" si="43"/>
        <v>87</v>
      </c>
      <c r="L994" s="237">
        <f t="shared" si="44"/>
        <v>72.239999999999995</v>
      </c>
    </row>
    <row r="995" spans="1:12">
      <c r="A995" s="223" t="s">
        <v>4697</v>
      </c>
      <c r="B995" s="80" t="s">
        <v>1930</v>
      </c>
      <c r="C995" s="80" t="s">
        <v>4712</v>
      </c>
      <c r="D995" s="107" t="s">
        <v>1931</v>
      </c>
      <c r="E995" s="229">
        <v>2</v>
      </c>
      <c r="F995" s="132">
        <v>32.86</v>
      </c>
      <c r="G995" s="132">
        <v>38</v>
      </c>
      <c r="H995" s="222">
        <f t="shared" si="45"/>
        <v>76</v>
      </c>
      <c r="I995" s="236"/>
      <c r="J995" s="236">
        <v>0</v>
      </c>
      <c r="K995" s="236">
        <f t="shared" si="43"/>
        <v>76</v>
      </c>
      <c r="L995" s="237">
        <f t="shared" si="44"/>
        <v>65.72</v>
      </c>
    </row>
    <row r="996" spans="1:12">
      <c r="A996" s="223" t="s">
        <v>4697</v>
      </c>
      <c r="B996" s="80" t="s">
        <v>2007</v>
      </c>
      <c r="C996" s="80" t="s">
        <v>4712</v>
      </c>
      <c r="D996" s="107" t="s">
        <v>2008</v>
      </c>
      <c r="E996" s="229">
        <v>4</v>
      </c>
      <c r="F996" s="132">
        <v>51.97</v>
      </c>
      <c r="G996" s="132">
        <v>60</v>
      </c>
      <c r="H996" s="222">
        <f t="shared" si="45"/>
        <v>240</v>
      </c>
      <c r="I996" s="236"/>
      <c r="J996" s="236">
        <v>0</v>
      </c>
      <c r="K996" s="236">
        <f t="shared" si="43"/>
        <v>240</v>
      </c>
      <c r="L996" s="237">
        <f t="shared" si="44"/>
        <v>207.88</v>
      </c>
    </row>
    <row r="997" spans="1:12">
      <c r="A997" s="223" t="s">
        <v>4697</v>
      </c>
      <c r="B997" s="80" t="s">
        <v>2041</v>
      </c>
      <c r="C997" s="80" t="s">
        <v>4712</v>
      </c>
      <c r="D997" s="107" t="s">
        <v>2042</v>
      </c>
      <c r="E997" s="229">
        <v>4</v>
      </c>
      <c r="F997" s="132">
        <v>20.8</v>
      </c>
      <c r="G997" s="132">
        <v>24</v>
      </c>
      <c r="H997" s="222">
        <f t="shared" si="45"/>
        <v>96</v>
      </c>
      <c r="I997" s="236"/>
      <c r="J997" s="236">
        <v>0</v>
      </c>
      <c r="K997" s="236">
        <f t="shared" si="43"/>
        <v>96</v>
      </c>
      <c r="L997" s="237">
        <f t="shared" si="44"/>
        <v>83.2</v>
      </c>
    </row>
    <row r="998" spans="1:12">
      <c r="A998" s="223" t="s">
        <v>4697</v>
      </c>
      <c r="B998" s="80" t="s">
        <v>2037</v>
      </c>
      <c r="C998" s="80" t="s">
        <v>4712</v>
      </c>
      <c r="D998" s="107" t="s">
        <v>2038</v>
      </c>
      <c r="E998" s="229">
        <v>32</v>
      </c>
      <c r="F998" s="132">
        <v>4.74</v>
      </c>
      <c r="G998" s="132">
        <v>5.5</v>
      </c>
      <c r="H998" s="222">
        <f t="shared" si="45"/>
        <v>176</v>
      </c>
      <c r="I998" s="236"/>
      <c r="J998" s="236">
        <v>0</v>
      </c>
      <c r="K998" s="236">
        <f t="shared" si="43"/>
        <v>176</v>
      </c>
      <c r="L998" s="237">
        <f t="shared" si="44"/>
        <v>151.68</v>
      </c>
    </row>
    <row r="999" spans="1:12">
      <c r="A999" s="223" t="s">
        <v>4697</v>
      </c>
      <c r="B999" s="80" t="s">
        <v>2093</v>
      </c>
      <c r="C999" s="80" t="s">
        <v>4712</v>
      </c>
      <c r="D999" s="107" t="s">
        <v>2094</v>
      </c>
      <c r="E999" s="229">
        <v>1</v>
      </c>
      <c r="F999" s="132">
        <v>53.2</v>
      </c>
      <c r="G999" s="132">
        <v>61.25</v>
      </c>
      <c r="H999" s="222">
        <f t="shared" si="45"/>
        <v>61.25</v>
      </c>
      <c r="I999" s="236"/>
      <c r="J999" s="236">
        <v>0</v>
      </c>
      <c r="K999" s="236">
        <f t="shared" si="43"/>
        <v>61.25</v>
      </c>
      <c r="L999" s="237">
        <f t="shared" si="44"/>
        <v>53.2</v>
      </c>
    </row>
    <row r="1000" spans="1:12">
      <c r="A1000" s="223" t="s">
        <v>4697</v>
      </c>
      <c r="B1000" s="80" t="s">
        <v>2047</v>
      </c>
      <c r="C1000" s="80" t="s">
        <v>4712</v>
      </c>
      <c r="D1000" s="107" t="s">
        <v>2048</v>
      </c>
      <c r="E1000" s="229">
        <v>2</v>
      </c>
      <c r="F1000" s="132">
        <v>35.68</v>
      </c>
      <c r="G1000" s="132">
        <v>41.25</v>
      </c>
      <c r="H1000" s="222">
        <f t="shared" si="45"/>
        <v>82.5</v>
      </c>
      <c r="I1000" s="236"/>
      <c r="J1000" s="236">
        <v>0</v>
      </c>
      <c r="K1000" s="236">
        <f t="shared" si="43"/>
        <v>82.5</v>
      </c>
      <c r="L1000" s="237">
        <f t="shared" si="44"/>
        <v>71.36</v>
      </c>
    </row>
    <row r="1001" spans="1:12">
      <c r="A1001" s="224" t="s">
        <v>4697</v>
      </c>
      <c r="B1001" s="225" t="s">
        <v>1876</v>
      </c>
      <c r="C1001" s="225" t="s">
        <v>4713</v>
      </c>
      <c r="D1001" s="226" t="s">
        <v>1877</v>
      </c>
      <c r="E1001" s="230">
        <v>1</v>
      </c>
      <c r="F1001" s="231"/>
      <c r="G1001" s="231">
        <v>38.25</v>
      </c>
      <c r="H1001" s="228">
        <f t="shared" si="45"/>
        <v>38.25</v>
      </c>
      <c r="I1001" s="238"/>
      <c r="J1001" s="238">
        <v>0</v>
      </c>
      <c r="K1001" s="238">
        <f t="shared" si="43"/>
        <v>38.25</v>
      </c>
      <c r="L1001" s="239">
        <f t="shared" si="44"/>
        <v>0</v>
      </c>
    </row>
    <row r="1002" spans="1:12">
      <c r="A1002" s="223" t="s">
        <v>4697</v>
      </c>
      <c r="B1002" s="80" t="s">
        <v>1599</v>
      </c>
      <c r="C1002" s="80" t="s">
        <v>4714</v>
      </c>
      <c r="D1002" s="107" t="s">
        <v>1600</v>
      </c>
      <c r="E1002" s="229">
        <v>1</v>
      </c>
      <c r="F1002" s="132">
        <v>21.17</v>
      </c>
      <c r="G1002" s="132">
        <v>24.5</v>
      </c>
      <c r="H1002" s="222">
        <f t="shared" si="45"/>
        <v>24.5</v>
      </c>
      <c r="I1002" s="236"/>
      <c r="J1002" s="236">
        <v>0</v>
      </c>
      <c r="K1002" s="236">
        <f t="shared" si="43"/>
        <v>24.5</v>
      </c>
      <c r="L1002" s="237">
        <f t="shared" si="44"/>
        <v>21.17</v>
      </c>
    </row>
    <row r="1003" spans="1:12">
      <c r="A1003" s="223" t="s">
        <v>4697</v>
      </c>
      <c r="B1003" s="80" t="s">
        <v>523</v>
      </c>
      <c r="C1003" s="80" t="s">
        <v>4715</v>
      </c>
      <c r="D1003" s="107" t="s">
        <v>524</v>
      </c>
      <c r="E1003" s="229">
        <v>1</v>
      </c>
      <c r="F1003" s="132">
        <v>6.83</v>
      </c>
      <c r="G1003" s="132">
        <v>7.75</v>
      </c>
      <c r="H1003" s="222">
        <f t="shared" si="45"/>
        <v>7.75</v>
      </c>
      <c r="I1003" s="236"/>
      <c r="J1003" s="236">
        <v>0</v>
      </c>
      <c r="K1003" s="236">
        <f t="shared" si="43"/>
        <v>7.75</v>
      </c>
      <c r="L1003" s="237">
        <f t="shared" si="44"/>
        <v>6.83</v>
      </c>
    </row>
    <row r="1004" spans="1:12">
      <c r="A1004" s="223" t="s">
        <v>4697</v>
      </c>
      <c r="B1004" s="80" t="s">
        <v>4179</v>
      </c>
      <c r="C1004" s="80" t="s">
        <v>4716</v>
      </c>
      <c r="D1004" s="107" t="s">
        <v>486</v>
      </c>
      <c r="E1004" s="229">
        <v>1</v>
      </c>
      <c r="F1004" s="132">
        <v>16.03</v>
      </c>
      <c r="G1004" s="132">
        <v>18.5</v>
      </c>
      <c r="H1004" s="222">
        <f t="shared" si="45"/>
        <v>18.5</v>
      </c>
      <c r="I1004" s="236"/>
      <c r="J1004" s="236">
        <v>0</v>
      </c>
      <c r="K1004" s="236">
        <f t="shared" si="43"/>
        <v>18.5</v>
      </c>
      <c r="L1004" s="237">
        <f t="shared" si="44"/>
        <v>16.03</v>
      </c>
    </row>
    <row r="1005" spans="1:12">
      <c r="A1005" s="223" t="s">
        <v>4697</v>
      </c>
      <c r="B1005" s="80" t="s">
        <v>1724</v>
      </c>
      <c r="C1005" s="80" t="s">
        <v>4717</v>
      </c>
      <c r="D1005" s="107" t="s">
        <v>1725</v>
      </c>
      <c r="E1005" s="229">
        <v>1</v>
      </c>
      <c r="F1005" s="132">
        <v>31.83</v>
      </c>
      <c r="G1005" s="132">
        <v>39.75</v>
      </c>
      <c r="H1005" s="222">
        <f t="shared" si="45"/>
        <v>39.75</v>
      </c>
      <c r="I1005" s="236"/>
      <c r="J1005" s="236">
        <v>0</v>
      </c>
      <c r="K1005" s="236">
        <f t="shared" si="43"/>
        <v>39.75</v>
      </c>
      <c r="L1005" s="237">
        <f t="shared" si="44"/>
        <v>31.83</v>
      </c>
    </row>
    <row r="1006" spans="1:12">
      <c r="A1006" s="223" t="s">
        <v>4697</v>
      </c>
      <c r="B1006" s="80" t="s">
        <v>1141</v>
      </c>
      <c r="C1006" s="80" t="s">
        <v>4718</v>
      </c>
      <c r="D1006" s="107" t="s">
        <v>1142</v>
      </c>
      <c r="E1006" s="229">
        <v>1</v>
      </c>
      <c r="F1006" s="132">
        <v>14.65</v>
      </c>
      <c r="G1006" s="132">
        <v>17</v>
      </c>
      <c r="H1006" s="222">
        <f t="shared" si="45"/>
        <v>17</v>
      </c>
      <c r="I1006" s="236"/>
      <c r="J1006" s="236">
        <v>0</v>
      </c>
      <c r="K1006" s="236">
        <f t="shared" si="43"/>
        <v>17</v>
      </c>
      <c r="L1006" s="237">
        <f t="shared" si="44"/>
        <v>14.65</v>
      </c>
    </row>
    <row r="1007" spans="1:12">
      <c r="A1007" s="223" t="s">
        <v>4697</v>
      </c>
      <c r="B1007" s="80" t="s">
        <v>842</v>
      </c>
      <c r="C1007" s="80" t="s">
        <v>4719</v>
      </c>
      <c r="D1007" s="107" t="s">
        <v>843</v>
      </c>
      <c r="E1007" s="229">
        <v>1</v>
      </c>
      <c r="F1007" s="132">
        <v>20.68</v>
      </c>
      <c r="G1007" s="132">
        <v>24</v>
      </c>
      <c r="H1007" s="222">
        <f t="shared" si="45"/>
        <v>24</v>
      </c>
      <c r="I1007" s="236"/>
      <c r="J1007" s="236">
        <v>0</v>
      </c>
      <c r="K1007" s="236">
        <f t="shared" si="43"/>
        <v>24</v>
      </c>
      <c r="L1007" s="237">
        <f t="shared" si="44"/>
        <v>20.68</v>
      </c>
    </row>
    <row r="1008" spans="1:12">
      <c r="A1008" s="223" t="s">
        <v>4697</v>
      </c>
      <c r="B1008" s="80" t="s">
        <v>4720</v>
      </c>
      <c r="C1008" s="80" t="s">
        <v>4719</v>
      </c>
      <c r="D1008" s="107" t="s">
        <v>4721</v>
      </c>
      <c r="E1008" s="229">
        <v>1</v>
      </c>
      <c r="F1008" s="132">
        <v>50.88</v>
      </c>
      <c r="G1008" s="132">
        <v>58.75</v>
      </c>
      <c r="H1008" s="222">
        <f t="shared" si="45"/>
        <v>58.75</v>
      </c>
      <c r="I1008" s="236"/>
      <c r="J1008" s="236">
        <v>0</v>
      </c>
      <c r="K1008" s="236">
        <f t="shared" si="43"/>
        <v>58.75</v>
      </c>
      <c r="L1008" s="237">
        <f t="shared" si="44"/>
        <v>50.88</v>
      </c>
    </row>
    <row r="1009" spans="1:12">
      <c r="A1009" s="223" t="s">
        <v>4697</v>
      </c>
      <c r="B1009" s="80" t="s">
        <v>945</v>
      </c>
      <c r="C1009" s="80" t="s">
        <v>4722</v>
      </c>
      <c r="D1009" s="107" t="s">
        <v>946</v>
      </c>
      <c r="E1009" s="229">
        <v>1</v>
      </c>
      <c r="F1009" s="132">
        <v>12.77</v>
      </c>
      <c r="G1009" s="132">
        <v>14.75</v>
      </c>
      <c r="H1009" s="222">
        <f t="shared" si="45"/>
        <v>14.75</v>
      </c>
      <c r="I1009" s="236"/>
      <c r="J1009" s="236">
        <v>0</v>
      </c>
      <c r="K1009" s="236">
        <f t="shared" si="43"/>
        <v>14.75</v>
      </c>
      <c r="L1009" s="237">
        <f t="shared" si="44"/>
        <v>12.77</v>
      </c>
    </row>
    <row r="1010" spans="1:12">
      <c r="A1010" s="223" t="s">
        <v>4697</v>
      </c>
      <c r="B1010" s="80" t="s">
        <v>4501</v>
      </c>
      <c r="C1010" s="80" t="s">
        <v>4723</v>
      </c>
      <c r="D1010" s="107" t="s">
        <v>4073</v>
      </c>
      <c r="E1010" s="229">
        <v>1</v>
      </c>
      <c r="F1010" s="132">
        <v>6.03</v>
      </c>
      <c r="G1010" s="132">
        <v>7</v>
      </c>
      <c r="H1010" s="222">
        <f t="shared" si="45"/>
        <v>7</v>
      </c>
      <c r="I1010" s="236"/>
      <c r="J1010" s="236">
        <v>0</v>
      </c>
      <c r="K1010" s="236">
        <f t="shared" si="43"/>
        <v>7</v>
      </c>
      <c r="L1010" s="237">
        <f t="shared" si="44"/>
        <v>6.03</v>
      </c>
    </row>
    <row r="1011" spans="1:12">
      <c r="A1011" s="223" t="s">
        <v>4697</v>
      </c>
      <c r="B1011" s="80" t="s">
        <v>2148</v>
      </c>
      <c r="C1011" s="80" t="s">
        <v>4724</v>
      </c>
      <c r="D1011" s="107" t="s">
        <v>2149</v>
      </c>
      <c r="E1011" s="229">
        <v>1</v>
      </c>
      <c r="F1011" s="132">
        <v>37</v>
      </c>
      <c r="G1011" s="132">
        <v>42.75</v>
      </c>
      <c r="H1011" s="222">
        <f t="shared" si="45"/>
        <v>42.75</v>
      </c>
      <c r="I1011" s="236"/>
      <c r="J1011" s="236">
        <v>0</v>
      </c>
      <c r="K1011" s="236">
        <f t="shared" si="43"/>
        <v>42.75</v>
      </c>
      <c r="L1011" s="237">
        <f t="shared" si="44"/>
        <v>37</v>
      </c>
    </row>
    <row r="1012" spans="1:12">
      <c r="A1012" s="223" t="s">
        <v>4697</v>
      </c>
      <c r="B1012" s="80" t="s">
        <v>844</v>
      </c>
      <c r="C1012" s="80" t="s">
        <v>4725</v>
      </c>
      <c r="D1012" s="107" t="s">
        <v>845</v>
      </c>
      <c r="E1012" s="229">
        <v>2</v>
      </c>
      <c r="F1012" s="132">
        <v>8.5299999999999994</v>
      </c>
      <c r="G1012" s="132">
        <v>10</v>
      </c>
      <c r="H1012" s="222">
        <f t="shared" si="45"/>
        <v>20</v>
      </c>
      <c r="I1012" s="236"/>
      <c r="J1012" s="236">
        <v>0</v>
      </c>
      <c r="K1012" s="236">
        <f t="shared" si="43"/>
        <v>20</v>
      </c>
      <c r="L1012" s="237">
        <f t="shared" si="44"/>
        <v>17.059999999999999</v>
      </c>
    </row>
    <row r="1013" spans="1:12">
      <c r="A1013" s="223" t="s">
        <v>4697</v>
      </c>
      <c r="B1013" s="80" t="s">
        <v>789</v>
      </c>
      <c r="C1013" s="80" t="s">
        <v>4725</v>
      </c>
      <c r="D1013" s="107" t="s">
        <v>790</v>
      </c>
      <c r="E1013" s="229">
        <v>2</v>
      </c>
      <c r="F1013" s="132">
        <v>7.06</v>
      </c>
      <c r="G1013" s="132">
        <v>8.25</v>
      </c>
      <c r="H1013" s="222">
        <f t="shared" si="45"/>
        <v>16.5</v>
      </c>
      <c r="I1013" s="236"/>
      <c r="J1013" s="236">
        <v>0</v>
      </c>
      <c r="K1013" s="236">
        <f t="shared" si="43"/>
        <v>16.5</v>
      </c>
      <c r="L1013" s="237">
        <f t="shared" si="44"/>
        <v>14.12</v>
      </c>
    </row>
    <row r="1014" spans="1:12">
      <c r="A1014" s="223" t="s">
        <v>4697</v>
      </c>
      <c r="B1014" s="80" t="s">
        <v>707</v>
      </c>
      <c r="C1014" s="80" t="s">
        <v>4726</v>
      </c>
      <c r="D1014" s="107" t="s">
        <v>708</v>
      </c>
      <c r="E1014" s="229">
        <v>1</v>
      </c>
      <c r="F1014" s="132">
        <v>15.12</v>
      </c>
      <c r="G1014" s="132">
        <v>17.5</v>
      </c>
      <c r="H1014" s="222">
        <f t="shared" si="45"/>
        <v>17.5</v>
      </c>
      <c r="I1014" s="236"/>
      <c r="J1014" s="236">
        <v>0</v>
      </c>
      <c r="K1014" s="236">
        <f t="shared" si="43"/>
        <v>17.5</v>
      </c>
      <c r="L1014" s="237">
        <f t="shared" si="44"/>
        <v>15.12</v>
      </c>
    </row>
    <row r="1015" spans="1:12">
      <c r="A1015" s="223" t="s">
        <v>4727</v>
      </c>
      <c r="B1015" s="80" t="s">
        <v>1732</v>
      </c>
      <c r="C1015" s="80" t="s">
        <v>4728</v>
      </c>
      <c r="D1015" s="107" t="s">
        <v>1733</v>
      </c>
      <c r="E1015" s="229">
        <v>1</v>
      </c>
      <c r="F1015" s="132">
        <v>53.81</v>
      </c>
      <c r="G1015" s="132">
        <v>62</v>
      </c>
      <c r="H1015" s="222">
        <f t="shared" si="45"/>
        <v>62</v>
      </c>
      <c r="I1015" s="236"/>
      <c r="J1015" s="236">
        <v>0</v>
      </c>
      <c r="K1015" s="236">
        <f t="shared" si="43"/>
        <v>62</v>
      </c>
      <c r="L1015" s="237">
        <f t="shared" si="44"/>
        <v>53.81</v>
      </c>
    </row>
    <row r="1016" spans="1:12">
      <c r="A1016" s="223" t="s">
        <v>4727</v>
      </c>
      <c r="B1016" s="80" t="s">
        <v>3579</v>
      </c>
      <c r="C1016" s="80" t="s">
        <v>4729</v>
      </c>
      <c r="D1016" s="107" t="s">
        <v>3580</v>
      </c>
      <c r="E1016" s="229">
        <v>3</v>
      </c>
      <c r="F1016" s="132">
        <v>23.21</v>
      </c>
      <c r="G1016" s="132">
        <v>26.75</v>
      </c>
      <c r="H1016" s="222">
        <f t="shared" si="45"/>
        <v>80.25</v>
      </c>
      <c r="I1016" s="236"/>
      <c r="J1016" s="236">
        <v>0</v>
      </c>
      <c r="K1016" s="236">
        <f t="shared" si="43"/>
        <v>80.25</v>
      </c>
      <c r="L1016" s="237">
        <f t="shared" si="44"/>
        <v>69.63</v>
      </c>
    </row>
    <row r="1017" spans="1:12">
      <c r="A1017" s="223" t="s">
        <v>4727</v>
      </c>
      <c r="B1017" s="80" t="s">
        <v>4649</v>
      </c>
      <c r="C1017" s="80" t="s">
        <v>4730</v>
      </c>
      <c r="D1017" s="107" t="s">
        <v>4651</v>
      </c>
      <c r="E1017" s="229">
        <v>5</v>
      </c>
      <c r="F1017" s="132">
        <v>0.81</v>
      </c>
      <c r="G1017" s="132">
        <v>1</v>
      </c>
      <c r="H1017" s="222">
        <f t="shared" si="45"/>
        <v>5</v>
      </c>
      <c r="I1017" s="236"/>
      <c r="J1017" s="236">
        <v>0</v>
      </c>
      <c r="K1017" s="236">
        <f t="shared" si="43"/>
        <v>5</v>
      </c>
      <c r="L1017" s="237">
        <f t="shared" si="44"/>
        <v>4.0500000000000007</v>
      </c>
    </row>
    <row r="1018" spans="1:12">
      <c r="A1018" s="223" t="s">
        <v>4727</v>
      </c>
      <c r="B1018" s="80" t="s">
        <v>1785</v>
      </c>
      <c r="C1018" s="80" t="s">
        <v>4731</v>
      </c>
      <c r="D1018" s="107" t="s">
        <v>1786</v>
      </c>
      <c r="E1018" s="229">
        <v>1</v>
      </c>
      <c r="F1018" s="132">
        <v>12.39</v>
      </c>
      <c r="G1018" s="132">
        <v>14.25</v>
      </c>
      <c r="H1018" s="222">
        <f t="shared" si="45"/>
        <v>14.25</v>
      </c>
      <c r="I1018" s="236"/>
      <c r="J1018" s="236">
        <v>0</v>
      </c>
      <c r="K1018" s="236">
        <f t="shared" si="43"/>
        <v>14.25</v>
      </c>
      <c r="L1018" s="237">
        <f t="shared" si="44"/>
        <v>12.39</v>
      </c>
    </row>
    <row r="1019" spans="1:12">
      <c r="A1019" s="223" t="s">
        <v>4727</v>
      </c>
      <c r="B1019" s="80" t="s">
        <v>1353</v>
      </c>
      <c r="C1019" s="80" t="s">
        <v>4731</v>
      </c>
      <c r="D1019" s="107" t="s">
        <v>1354</v>
      </c>
      <c r="E1019" s="229">
        <v>1</v>
      </c>
      <c r="F1019" s="132">
        <v>12.66</v>
      </c>
      <c r="G1019" s="132">
        <v>14.25</v>
      </c>
      <c r="H1019" s="222">
        <f t="shared" si="45"/>
        <v>14.25</v>
      </c>
      <c r="I1019" s="236"/>
      <c r="J1019" s="236">
        <v>0</v>
      </c>
      <c r="K1019" s="236">
        <f t="shared" si="43"/>
        <v>14.25</v>
      </c>
      <c r="L1019" s="237">
        <f t="shared" si="44"/>
        <v>12.66</v>
      </c>
    </row>
    <row r="1020" spans="1:12">
      <c r="A1020" s="223" t="s">
        <v>4727</v>
      </c>
      <c r="B1020" s="80" t="s">
        <v>4645</v>
      </c>
      <c r="C1020" s="80" t="s">
        <v>4732</v>
      </c>
      <c r="D1020" s="107" t="s">
        <v>4647</v>
      </c>
      <c r="E1020" s="229">
        <v>2</v>
      </c>
      <c r="F1020" s="132">
        <v>6.15</v>
      </c>
      <c r="G1020" s="132">
        <v>7.25</v>
      </c>
      <c r="H1020" s="222">
        <f t="shared" si="45"/>
        <v>14.5</v>
      </c>
      <c r="I1020" s="236"/>
      <c r="J1020" s="236">
        <v>0</v>
      </c>
      <c r="K1020" s="236">
        <f t="shared" si="43"/>
        <v>14.5</v>
      </c>
      <c r="L1020" s="237">
        <f t="shared" si="44"/>
        <v>12.3</v>
      </c>
    </row>
    <row r="1021" spans="1:12">
      <c r="A1021" s="223" t="s">
        <v>4727</v>
      </c>
      <c r="B1021" s="80" t="s">
        <v>2001</v>
      </c>
      <c r="C1021" s="80" t="s">
        <v>4733</v>
      </c>
      <c r="D1021" s="107" t="s">
        <v>2002</v>
      </c>
      <c r="E1021" s="229">
        <v>1</v>
      </c>
      <c r="F1021" s="132">
        <v>51.97</v>
      </c>
      <c r="G1021" s="132">
        <v>60</v>
      </c>
      <c r="H1021" s="222">
        <f t="shared" si="45"/>
        <v>60</v>
      </c>
      <c r="I1021" s="236"/>
      <c r="J1021" s="236">
        <v>0</v>
      </c>
      <c r="K1021" s="236">
        <f t="shared" si="43"/>
        <v>60</v>
      </c>
      <c r="L1021" s="237">
        <f t="shared" si="44"/>
        <v>51.97</v>
      </c>
    </row>
    <row r="1022" spans="1:12">
      <c r="A1022" s="223" t="s">
        <v>4727</v>
      </c>
      <c r="B1022" s="80" t="s">
        <v>3517</v>
      </c>
      <c r="C1022" s="80" t="s">
        <v>4734</v>
      </c>
      <c r="D1022" s="107" t="s">
        <v>3518</v>
      </c>
      <c r="E1022" s="229">
        <v>3</v>
      </c>
      <c r="F1022" s="132">
        <v>20.399999999999999</v>
      </c>
      <c r="G1022" s="132">
        <v>23.5</v>
      </c>
      <c r="H1022" s="222">
        <f t="shared" si="45"/>
        <v>70.5</v>
      </c>
      <c r="I1022" s="236"/>
      <c r="J1022" s="236">
        <v>0</v>
      </c>
      <c r="K1022" s="236">
        <f t="shared" si="43"/>
        <v>70.5</v>
      </c>
      <c r="L1022" s="237">
        <f t="shared" si="44"/>
        <v>61.199999999999996</v>
      </c>
    </row>
    <row r="1023" spans="1:12">
      <c r="A1023" s="223" t="s">
        <v>4727</v>
      </c>
      <c r="B1023" s="80" t="s">
        <v>3527</v>
      </c>
      <c r="C1023" s="80" t="s">
        <v>4734</v>
      </c>
      <c r="D1023" s="107" t="s">
        <v>3528</v>
      </c>
      <c r="E1023" s="229">
        <v>2</v>
      </c>
      <c r="F1023" s="132">
        <v>20.399999999999999</v>
      </c>
      <c r="G1023" s="132">
        <v>23.5</v>
      </c>
      <c r="H1023" s="222">
        <f t="shared" si="45"/>
        <v>47</v>
      </c>
      <c r="I1023" s="236"/>
      <c r="J1023" s="236">
        <v>0</v>
      </c>
      <c r="K1023" s="236">
        <f t="shared" si="43"/>
        <v>47</v>
      </c>
      <c r="L1023" s="237">
        <f t="shared" si="44"/>
        <v>40.799999999999997</v>
      </c>
    </row>
    <row r="1024" spans="1:12">
      <c r="A1024" s="223" t="s">
        <v>4727</v>
      </c>
      <c r="B1024" s="80" t="s">
        <v>1952</v>
      </c>
      <c r="C1024" s="80" t="s">
        <v>4735</v>
      </c>
      <c r="D1024" s="107" t="s">
        <v>1953</v>
      </c>
      <c r="E1024" s="229">
        <v>1</v>
      </c>
      <c r="F1024" s="132">
        <v>148.25</v>
      </c>
      <c r="G1024" s="132">
        <v>170.5</v>
      </c>
      <c r="H1024" s="222">
        <f t="shared" si="45"/>
        <v>170.5</v>
      </c>
      <c r="I1024" s="236"/>
      <c r="J1024" s="236">
        <v>0</v>
      </c>
      <c r="K1024" s="236">
        <f t="shared" si="43"/>
        <v>170.5</v>
      </c>
      <c r="L1024" s="237">
        <f t="shared" si="44"/>
        <v>148.25</v>
      </c>
    </row>
    <row r="1025" spans="1:12">
      <c r="A1025" s="223" t="s">
        <v>4727</v>
      </c>
      <c r="B1025" s="80" t="s">
        <v>3026</v>
      </c>
      <c r="C1025" s="80" t="s">
        <v>4735</v>
      </c>
      <c r="D1025" s="107" t="s">
        <v>3027</v>
      </c>
      <c r="E1025" s="229">
        <v>6</v>
      </c>
      <c r="F1025" s="132">
        <v>5.41</v>
      </c>
      <c r="G1025" s="132">
        <v>6.25</v>
      </c>
      <c r="H1025" s="222">
        <f t="shared" si="45"/>
        <v>37.5</v>
      </c>
      <c r="I1025" s="236"/>
      <c r="J1025" s="236">
        <v>0</v>
      </c>
      <c r="K1025" s="236">
        <f t="shared" si="43"/>
        <v>37.5</v>
      </c>
      <c r="L1025" s="237">
        <f t="shared" si="44"/>
        <v>32.46</v>
      </c>
    </row>
    <row r="1026" spans="1:12">
      <c r="A1026" s="223" t="s">
        <v>4727</v>
      </c>
      <c r="B1026" s="80" t="s">
        <v>3032</v>
      </c>
      <c r="C1026" s="80" t="s">
        <v>4735</v>
      </c>
      <c r="D1026" s="107" t="s">
        <v>3033</v>
      </c>
      <c r="E1026" s="229">
        <v>6</v>
      </c>
      <c r="F1026" s="132">
        <v>6.38</v>
      </c>
      <c r="G1026" s="132">
        <v>7.5</v>
      </c>
      <c r="H1026" s="222">
        <f t="shared" si="45"/>
        <v>45</v>
      </c>
      <c r="I1026" s="236"/>
      <c r="J1026" s="236">
        <v>0</v>
      </c>
      <c r="K1026" s="236">
        <f t="shared" si="43"/>
        <v>45</v>
      </c>
      <c r="L1026" s="237">
        <f t="shared" si="44"/>
        <v>38.28</v>
      </c>
    </row>
    <row r="1027" spans="1:12">
      <c r="A1027" s="223" t="s">
        <v>4727</v>
      </c>
      <c r="B1027" s="80" t="s">
        <v>1524</v>
      </c>
      <c r="C1027" s="80" t="s">
        <v>4735</v>
      </c>
      <c r="D1027" s="107" t="s">
        <v>1525</v>
      </c>
      <c r="E1027" s="229">
        <v>12</v>
      </c>
      <c r="F1027" s="132">
        <v>30.83</v>
      </c>
      <c r="G1027" s="132">
        <v>35.5</v>
      </c>
      <c r="H1027" s="222">
        <f t="shared" si="45"/>
        <v>426</v>
      </c>
      <c r="I1027" s="236"/>
      <c r="J1027" s="236">
        <v>0</v>
      </c>
      <c r="K1027" s="236">
        <f t="shared" si="43"/>
        <v>426</v>
      </c>
      <c r="L1027" s="237">
        <f t="shared" si="44"/>
        <v>369.96</v>
      </c>
    </row>
    <row r="1028" spans="1:12">
      <c r="A1028" s="223" t="s">
        <v>4727</v>
      </c>
      <c r="B1028" s="80" t="s">
        <v>1497</v>
      </c>
      <c r="C1028" s="80" t="s">
        <v>4735</v>
      </c>
      <c r="D1028" s="107" t="s">
        <v>1498</v>
      </c>
      <c r="E1028" s="229">
        <v>5</v>
      </c>
      <c r="F1028" s="132">
        <v>48.6</v>
      </c>
      <c r="G1028" s="132">
        <v>56</v>
      </c>
      <c r="H1028" s="222">
        <f t="shared" si="45"/>
        <v>280</v>
      </c>
      <c r="I1028" s="236"/>
      <c r="J1028" s="236">
        <v>0</v>
      </c>
      <c r="K1028" s="236">
        <f t="shared" si="43"/>
        <v>280</v>
      </c>
      <c r="L1028" s="237">
        <f t="shared" si="44"/>
        <v>243</v>
      </c>
    </row>
    <row r="1029" spans="1:12">
      <c r="A1029" s="223" t="s">
        <v>4727</v>
      </c>
      <c r="B1029" s="80" t="s">
        <v>1732</v>
      </c>
      <c r="C1029" s="80" t="s">
        <v>4735</v>
      </c>
      <c r="D1029" s="107" t="s">
        <v>1733</v>
      </c>
      <c r="E1029" s="229">
        <v>1</v>
      </c>
      <c r="F1029" s="132">
        <v>53.81</v>
      </c>
      <c r="G1029" s="132">
        <v>62</v>
      </c>
      <c r="H1029" s="222">
        <f t="shared" si="45"/>
        <v>62</v>
      </c>
      <c r="I1029" s="236"/>
      <c r="J1029" s="236">
        <v>0</v>
      </c>
      <c r="K1029" s="236">
        <f t="shared" si="43"/>
        <v>62</v>
      </c>
      <c r="L1029" s="237">
        <f t="shared" si="44"/>
        <v>53.81</v>
      </c>
    </row>
    <row r="1030" spans="1:12">
      <c r="A1030" s="223" t="s">
        <v>4727</v>
      </c>
      <c r="B1030" s="80" t="s">
        <v>2073</v>
      </c>
      <c r="C1030" s="80" t="s">
        <v>4735</v>
      </c>
      <c r="D1030" s="107" t="s">
        <v>2074</v>
      </c>
      <c r="E1030" s="229">
        <v>1</v>
      </c>
      <c r="F1030" s="132">
        <v>67.290000000000006</v>
      </c>
      <c r="G1030" s="132">
        <v>77.5</v>
      </c>
      <c r="H1030" s="222">
        <f t="shared" si="45"/>
        <v>77.5</v>
      </c>
      <c r="I1030" s="236"/>
      <c r="J1030" s="236">
        <v>0</v>
      </c>
      <c r="K1030" s="236">
        <f t="shared" ref="K1030:K1093" si="46">H1030+I1030-J1030</f>
        <v>77.5</v>
      </c>
      <c r="L1030" s="237">
        <f t="shared" ref="L1030:L1093" si="47">E1030*F1030</f>
        <v>67.290000000000006</v>
      </c>
    </row>
    <row r="1031" spans="1:12">
      <c r="A1031" s="223" t="s">
        <v>4727</v>
      </c>
      <c r="B1031" s="80" t="s">
        <v>1716</v>
      </c>
      <c r="C1031" s="80" t="s">
        <v>4735</v>
      </c>
      <c r="D1031" s="107" t="s">
        <v>1717</v>
      </c>
      <c r="E1031" s="229">
        <v>1</v>
      </c>
      <c r="F1031" s="132">
        <v>41.86</v>
      </c>
      <c r="G1031" s="132">
        <v>48.25</v>
      </c>
      <c r="H1031" s="222">
        <f t="shared" si="45"/>
        <v>48.25</v>
      </c>
      <c r="I1031" s="236"/>
      <c r="J1031" s="236">
        <v>0</v>
      </c>
      <c r="K1031" s="236">
        <f t="shared" si="46"/>
        <v>48.25</v>
      </c>
      <c r="L1031" s="237">
        <f t="shared" si="47"/>
        <v>41.86</v>
      </c>
    </row>
    <row r="1032" spans="1:12">
      <c r="A1032" s="223" t="s">
        <v>4727</v>
      </c>
      <c r="B1032" s="80" t="s">
        <v>1646</v>
      </c>
      <c r="C1032" s="80" t="s">
        <v>4735</v>
      </c>
      <c r="D1032" s="107" t="s">
        <v>1647</v>
      </c>
      <c r="E1032" s="229">
        <v>1</v>
      </c>
      <c r="F1032" s="132">
        <v>35.15</v>
      </c>
      <c r="G1032" s="132">
        <v>41</v>
      </c>
      <c r="H1032" s="222">
        <f t="shared" si="45"/>
        <v>41</v>
      </c>
      <c r="I1032" s="236"/>
      <c r="J1032" s="236">
        <v>0</v>
      </c>
      <c r="K1032" s="236">
        <f t="shared" si="46"/>
        <v>41</v>
      </c>
      <c r="L1032" s="237">
        <f t="shared" si="47"/>
        <v>35.15</v>
      </c>
    </row>
    <row r="1033" spans="1:12">
      <c r="A1033" s="223" t="s">
        <v>4727</v>
      </c>
      <c r="B1033" s="80" t="s">
        <v>1491</v>
      </c>
      <c r="C1033" s="80" t="s">
        <v>4735</v>
      </c>
      <c r="D1033" s="107" t="s">
        <v>1492</v>
      </c>
      <c r="E1033" s="229">
        <v>1</v>
      </c>
      <c r="F1033" s="132">
        <v>140</v>
      </c>
      <c r="G1033" s="132">
        <v>161</v>
      </c>
      <c r="H1033" s="222">
        <f t="shared" si="45"/>
        <v>161</v>
      </c>
      <c r="I1033" s="236"/>
      <c r="J1033" s="236">
        <v>0</v>
      </c>
      <c r="K1033" s="236">
        <f t="shared" si="46"/>
        <v>161</v>
      </c>
      <c r="L1033" s="237">
        <f t="shared" si="47"/>
        <v>140</v>
      </c>
    </row>
    <row r="1034" spans="1:12">
      <c r="A1034" s="223" t="s">
        <v>4727</v>
      </c>
      <c r="B1034" s="80" t="s">
        <v>715</v>
      </c>
      <c r="C1034" s="80" t="s">
        <v>4736</v>
      </c>
      <c r="D1034" s="107" t="s">
        <v>716</v>
      </c>
      <c r="E1034" s="229">
        <v>1</v>
      </c>
      <c r="F1034" s="132">
        <v>15.12</v>
      </c>
      <c r="G1034" s="132">
        <v>17.5</v>
      </c>
      <c r="H1034" s="222">
        <f t="shared" si="45"/>
        <v>17.5</v>
      </c>
      <c r="I1034" s="236"/>
      <c r="J1034" s="236">
        <v>0</v>
      </c>
      <c r="K1034" s="236">
        <f t="shared" si="46"/>
        <v>17.5</v>
      </c>
      <c r="L1034" s="237">
        <f t="shared" si="47"/>
        <v>15.12</v>
      </c>
    </row>
    <row r="1035" spans="1:12">
      <c r="A1035" s="223" t="s">
        <v>4727</v>
      </c>
      <c r="B1035" s="80" t="s">
        <v>4090</v>
      </c>
      <c r="C1035" s="80" t="s">
        <v>4737</v>
      </c>
      <c r="D1035" s="107" t="s">
        <v>4091</v>
      </c>
      <c r="E1035" s="229">
        <v>1</v>
      </c>
      <c r="F1035" s="132">
        <v>127.18</v>
      </c>
      <c r="G1035" s="132">
        <v>146.5</v>
      </c>
      <c r="H1035" s="222">
        <f t="shared" si="45"/>
        <v>146.5</v>
      </c>
      <c r="I1035" s="236"/>
      <c r="J1035" s="236">
        <v>0</v>
      </c>
      <c r="K1035" s="236">
        <f t="shared" si="46"/>
        <v>146.5</v>
      </c>
      <c r="L1035" s="237">
        <f t="shared" si="47"/>
        <v>127.18</v>
      </c>
    </row>
    <row r="1036" spans="1:12">
      <c r="A1036" s="223" t="s">
        <v>4727</v>
      </c>
      <c r="B1036" s="80" t="s">
        <v>840</v>
      </c>
      <c r="C1036" s="80" t="s">
        <v>4738</v>
      </c>
      <c r="D1036" s="107" t="s">
        <v>841</v>
      </c>
      <c r="E1036" s="229">
        <v>2</v>
      </c>
      <c r="F1036" s="132">
        <v>20.68</v>
      </c>
      <c r="G1036" s="132">
        <v>24</v>
      </c>
      <c r="H1036" s="222">
        <f t="shared" si="45"/>
        <v>48</v>
      </c>
      <c r="I1036" s="236"/>
      <c r="J1036" s="236">
        <v>0</v>
      </c>
      <c r="K1036" s="236">
        <f t="shared" si="46"/>
        <v>48</v>
      </c>
      <c r="L1036" s="237">
        <f t="shared" si="47"/>
        <v>41.36</v>
      </c>
    </row>
    <row r="1037" spans="1:12">
      <c r="A1037" s="223" t="s">
        <v>4727</v>
      </c>
      <c r="B1037" s="80" t="s">
        <v>842</v>
      </c>
      <c r="C1037" s="80" t="s">
        <v>4738</v>
      </c>
      <c r="D1037" s="107" t="s">
        <v>843</v>
      </c>
      <c r="E1037" s="229">
        <v>1</v>
      </c>
      <c r="F1037" s="132">
        <v>20.68</v>
      </c>
      <c r="G1037" s="132">
        <v>24</v>
      </c>
      <c r="H1037" s="222">
        <f t="shared" si="45"/>
        <v>24</v>
      </c>
      <c r="I1037" s="236"/>
      <c r="J1037" s="236">
        <v>0</v>
      </c>
      <c r="K1037" s="236">
        <f t="shared" si="46"/>
        <v>24</v>
      </c>
      <c r="L1037" s="237">
        <f t="shared" si="47"/>
        <v>20.68</v>
      </c>
    </row>
    <row r="1038" spans="1:12">
      <c r="A1038" s="223" t="s">
        <v>4727</v>
      </c>
      <c r="B1038" s="80" t="s">
        <v>1090</v>
      </c>
      <c r="C1038" s="80" t="s">
        <v>4739</v>
      </c>
      <c r="D1038" s="107" t="s">
        <v>1091</v>
      </c>
      <c r="E1038" s="229">
        <v>1</v>
      </c>
      <c r="F1038" s="132">
        <v>60.25</v>
      </c>
      <c r="G1038" s="132">
        <v>69.5</v>
      </c>
      <c r="H1038" s="222">
        <f t="shared" si="45"/>
        <v>69.5</v>
      </c>
      <c r="I1038" s="236"/>
      <c r="J1038" s="236">
        <v>0</v>
      </c>
      <c r="K1038" s="236">
        <f t="shared" si="46"/>
        <v>69.5</v>
      </c>
      <c r="L1038" s="237">
        <f t="shared" si="47"/>
        <v>60.25</v>
      </c>
    </row>
    <row r="1039" spans="1:12">
      <c r="A1039" s="223" t="s">
        <v>4727</v>
      </c>
      <c r="B1039" s="80" t="s">
        <v>2548</v>
      </c>
      <c r="C1039" s="80" t="s">
        <v>4740</v>
      </c>
      <c r="D1039" s="107" t="s">
        <v>2549</v>
      </c>
      <c r="E1039" s="229">
        <v>3</v>
      </c>
      <c r="F1039" s="132">
        <v>7.71</v>
      </c>
      <c r="G1039" s="132">
        <v>9</v>
      </c>
      <c r="H1039" s="222">
        <f t="shared" si="45"/>
        <v>27</v>
      </c>
      <c r="I1039" s="236"/>
      <c r="J1039" s="236">
        <v>0</v>
      </c>
      <c r="K1039" s="236">
        <f t="shared" si="46"/>
        <v>27</v>
      </c>
      <c r="L1039" s="237">
        <f t="shared" si="47"/>
        <v>23.13</v>
      </c>
    </row>
    <row r="1040" spans="1:12">
      <c r="A1040" s="223" t="s">
        <v>4727</v>
      </c>
      <c r="B1040" s="80" t="s">
        <v>703</v>
      </c>
      <c r="C1040" s="80" t="s">
        <v>4741</v>
      </c>
      <c r="D1040" s="107" t="s">
        <v>704</v>
      </c>
      <c r="E1040" s="229">
        <v>1</v>
      </c>
      <c r="F1040" s="132">
        <v>15.12</v>
      </c>
      <c r="G1040" s="132">
        <v>17.5</v>
      </c>
      <c r="H1040" s="222">
        <f t="shared" si="45"/>
        <v>17.5</v>
      </c>
      <c r="I1040" s="236"/>
      <c r="J1040" s="236">
        <v>0</v>
      </c>
      <c r="K1040" s="236">
        <f t="shared" si="46"/>
        <v>17.5</v>
      </c>
      <c r="L1040" s="237">
        <f t="shared" si="47"/>
        <v>15.12</v>
      </c>
    </row>
    <row r="1041" spans="1:12">
      <c r="A1041" s="223" t="s">
        <v>4727</v>
      </c>
      <c r="B1041" s="80" t="s">
        <v>2461</v>
      </c>
      <c r="C1041" s="80" t="s">
        <v>4742</v>
      </c>
      <c r="D1041" s="107" t="s">
        <v>2462</v>
      </c>
      <c r="E1041" s="229">
        <v>2</v>
      </c>
      <c r="F1041" s="132">
        <v>30.35</v>
      </c>
      <c r="G1041" s="132">
        <v>35</v>
      </c>
      <c r="H1041" s="222">
        <f t="shared" si="45"/>
        <v>70</v>
      </c>
      <c r="I1041" s="236"/>
      <c r="J1041" s="236">
        <v>0</v>
      </c>
      <c r="K1041" s="236">
        <f t="shared" si="46"/>
        <v>70</v>
      </c>
      <c r="L1041" s="237">
        <f t="shared" si="47"/>
        <v>60.7</v>
      </c>
    </row>
    <row r="1042" spans="1:12">
      <c r="A1042" s="223" t="s">
        <v>4727</v>
      </c>
      <c r="B1042" s="80" t="s">
        <v>2644</v>
      </c>
      <c r="C1042" s="80" t="s">
        <v>4742</v>
      </c>
      <c r="D1042" s="107" t="s">
        <v>2645</v>
      </c>
      <c r="E1042" s="229">
        <v>1</v>
      </c>
      <c r="F1042" s="132">
        <v>30.9</v>
      </c>
      <c r="G1042" s="132">
        <v>35.75</v>
      </c>
      <c r="H1042" s="222">
        <f t="shared" si="45"/>
        <v>35.75</v>
      </c>
      <c r="I1042" s="236"/>
      <c r="J1042" s="236">
        <v>0</v>
      </c>
      <c r="K1042" s="236">
        <f t="shared" si="46"/>
        <v>35.75</v>
      </c>
      <c r="L1042" s="237">
        <f t="shared" si="47"/>
        <v>30.9</v>
      </c>
    </row>
    <row r="1043" spans="1:12">
      <c r="A1043" s="223" t="s">
        <v>4743</v>
      </c>
      <c r="B1043" s="80" t="s">
        <v>1234</v>
      </c>
      <c r="C1043" s="80" t="s">
        <v>4744</v>
      </c>
      <c r="D1043" s="107" t="s">
        <v>1235</v>
      </c>
      <c r="E1043" s="229">
        <v>6</v>
      </c>
      <c r="F1043" s="132">
        <v>3.94</v>
      </c>
      <c r="G1043" s="132">
        <v>5</v>
      </c>
      <c r="H1043" s="222">
        <f t="shared" si="45"/>
        <v>30</v>
      </c>
      <c r="I1043" s="236"/>
      <c r="J1043" s="236">
        <v>0</v>
      </c>
      <c r="K1043" s="236">
        <f t="shared" si="46"/>
        <v>30</v>
      </c>
      <c r="L1043" s="237">
        <f t="shared" si="47"/>
        <v>23.64</v>
      </c>
    </row>
    <row r="1044" spans="1:12">
      <c r="A1044" s="223" t="s">
        <v>4743</v>
      </c>
      <c r="B1044" s="80" t="s">
        <v>3725</v>
      </c>
      <c r="C1044" s="80" t="s">
        <v>4745</v>
      </c>
      <c r="D1044" s="107" t="s">
        <v>3726</v>
      </c>
      <c r="E1044" s="229">
        <v>1</v>
      </c>
      <c r="F1044" s="132">
        <v>11.5</v>
      </c>
      <c r="G1044" s="132">
        <v>13.5</v>
      </c>
      <c r="H1044" s="222">
        <f t="shared" si="45"/>
        <v>13.5</v>
      </c>
      <c r="I1044" s="236"/>
      <c r="J1044" s="236">
        <v>0</v>
      </c>
      <c r="K1044" s="236">
        <f t="shared" si="46"/>
        <v>13.5</v>
      </c>
      <c r="L1044" s="237">
        <f t="shared" si="47"/>
        <v>11.5</v>
      </c>
    </row>
    <row r="1045" spans="1:12">
      <c r="A1045" s="223" t="s">
        <v>4743</v>
      </c>
      <c r="B1045" s="80" t="s">
        <v>4633</v>
      </c>
      <c r="C1045" s="80" t="s">
        <v>4746</v>
      </c>
      <c r="D1045" s="107" t="s">
        <v>4635</v>
      </c>
      <c r="E1045" s="229">
        <v>2</v>
      </c>
      <c r="F1045" s="132">
        <v>6.15</v>
      </c>
      <c r="G1045" s="132">
        <v>7.25</v>
      </c>
      <c r="H1045" s="222">
        <f t="shared" si="45"/>
        <v>14.5</v>
      </c>
      <c r="I1045" s="236"/>
      <c r="J1045" s="236">
        <v>0</v>
      </c>
      <c r="K1045" s="236">
        <f t="shared" si="46"/>
        <v>14.5</v>
      </c>
      <c r="L1045" s="237">
        <f t="shared" si="47"/>
        <v>12.3</v>
      </c>
    </row>
    <row r="1046" spans="1:12">
      <c r="A1046" s="223" t="s">
        <v>4743</v>
      </c>
      <c r="B1046" s="80" t="s">
        <v>4065</v>
      </c>
      <c r="C1046" s="80" t="s">
        <v>4747</v>
      </c>
      <c r="D1046" s="107" t="s">
        <v>4066</v>
      </c>
      <c r="E1046" s="229">
        <v>1</v>
      </c>
      <c r="F1046" s="132">
        <v>16.91</v>
      </c>
      <c r="G1046" s="132">
        <v>18.600000000000001</v>
      </c>
      <c r="H1046" s="222">
        <f t="shared" si="45"/>
        <v>18.600000000000001</v>
      </c>
      <c r="I1046" s="236"/>
      <c r="J1046" s="236">
        <v>0</v>
      </c>
      <c r="K1046" s="236">
        <f t="shared" si="46"/>
        <v>18.600000000000001</v>
      </c>
      <c r="L1046" s="237">
        <f t="shared" si="47"/>
        <v>16.91</v>
      </c>
    </row>
    <row r="1047" spans="1:12">
      <c r="A1047" s="223" t="s">
        <v>4743</v>
      </c>
      <c r="B1047" s="80" t="s">
        <v>1292</v>
      </c>
      <c r="C1047" s="80" t="s">
        <v>4747</v>
      </c>
      <c r="D1047" s="107" t="s">
        <v>1293</v>
      </c>
      <c r="E1047" s="229">
        <v>1</v>
      </c>
      <c r="F1047" s="132">
        <v>7.85</v>
      </c>
      <c r="G1047" s="132">
        <v>12</v>
      </c>
      <c r="H1047" s="222">
        <f t="shared" si="45"/>
        <v>12</v>
      </c>
      <c r="I1047" s="236"/>
      <c r="J1047" s="236">
        <v>0</v>
      </c>
      <c r="K1047" s="236">
        <f t="shared" si="46"/>
        <v>12</v>
      </c>
      <c r="L1047" s="237">
        <f t="shared" si="47"/>
        <v>7.85</v>
      </c>
    </row>
    <row r="1048" spans="1:12">
      <c r="A1048" s="223" t="s">
        <v>4743</v>
      </c>
      <c r="B1048" s="80" t="s">
        <v>1443</v>
      </c>
      <c r="C1048" s="80" t="s">
        <v>4747</v>
      </c>
      <c r="D1048" s="107" t="s">
        <v>1444</v>
      </c>
      <c r="E1048" s="229">
        <v>2</v>
      </c>
      <c r="F1048" s="132">
        <v>10.64</v>
      </c>
      <c r="G1048" s="132">
        <v>12.25</v>
      </c>
      <c r="H1048" s="222">
        <f t="shared" si="45"/>
        <v>24.5</v>
      </c>
      <c r="I1048" s="236"/>
      <c r="J1048" s="236">
        <v>0</v>
      </c>
      <c r="K1048" s="236">
        <f t="shared" si="46"/>
        <v>24.5</v>
      </c>
      <c r="L1048" s="237">
        <f t="shared" si="47"/>
        <v>21.28</v>
      </c>
    </row>
    <row r="1049" spans="1:12">
      <c r="A1049" s="223" t="s">
        <v>4743</v>
      </c>
      <c r="B1049" s="80" t="s">
        <v>828</v>
      </c>
      <c r="C1049" s="80" t="s">
        <v>4748</v>
      </c>
      <c r="D1049" s="107" t="s">
        <v>829</v>
      </c>
      <c r="E1049" s="229">
        <v>2</v>
      </c>
      <c r="F1049" s="132">
        <v>7.06</v>
      </c>
      <c r="G1049" s="132">
        <v>8.25</v>
      </c>
      <c r="H1049" s="222">
        <f t="shared" si="45"/>
        <v>16.5</v>
      </c>
      <c r="I1049" s="236"/>
      <c r="J1049" s="236">
        <v>0</v>
      </c>
      <c r="K1049" s="236">
        <f t="shared" si="46"/>
        <v>16.5</v>
      </c>
      <c r="L1049" s="237">
        <f t="shared" si="47"/>
        <v>14.12</v>
      </c>
    </row>
    <row r="1050" spans="1:12">
      <c r="A1050" s="223" t="s">
        <v>4743</v>
      </c>
      <c r="B1050" s="80" t="s">
        <v>4099</v>
      </c>
      <c r="C1050" s="80" t="s">
        <v>4749</v>
      </c>
      <c r="D1050" s="107" t="s">
        <v>4100</v>
      </c>
      <c r="E1050" s="229">
        <v>1</v>
      </c>
      <c r="F1050" s="132">
        <v>13.12</v>
      </c>
      <c r="G1050" s="132">
        <v>15.25</v>
      </c>
      <c r="H1050" s="222">
        <f t="shared" si="45"/>
        <v>15.25</v>
      </c>
      <c r="I1050" s="236"/>
      <c r="J1050" s="236">
        <v>0</v>
      </c>
      <c r="K1050" s="236">
        <f t="shared" si="46"/>
        <v>15.25</v>
      </c>
      <c r="L1050" s="237">
        <f t="shared" si="47"/>
        <v>13.12</v>
      </c>
    </row>
    <row r="1051" spans="1:12">
      <c r="A1051" s="223" t="s">
        <v>4743</v>
      </c>
      <c r="B1051" s="80" t="s">
        <v>487</v>
      </c>
      <c r="C1051" s="80" t="s">
        <v>4750</v>
      </c>
      <c r="D1051" s="107" t="s">
        <v>488</v>
      </c>
      <c r="E1051" s="229">
        <v>1</v>
      </c>
      <c r="F1051" s="132">
        <v>16.03</v>
      </c>
      <c r="G1051" s="132">
        <v>18.5</v>
      </c>
      <c r="H1051" s="222">
        <f t="shared" si="45"/>
        <v>18.5</v>
      </c>
      <c r="I1051" s="236"/>
      <c r="J1051" s="236">
        <v>0</v>
      </c>
      <c r="K1051" s="236">
        <f t="shared" si="46"/>
        <v>18.5</v>
      </c>
      <c r="L1051" s="237">
        <f t="shared" si="47"/>
        <v>16.03</v>
      </c>
    </row>
    <row r="1052" spans="1:12">
      <c r="A1052" s="223" t="s">
        <v>4743</v>
      </c>
      <c r="B1052" s="80" t="s">
        <v>1429</v>
      </c>
      <c r="C1052" s="80" t="s">
        <v>4751</v>
      </c>
      <c r="D1052" s="107" t="s">
        <v>1430</v>
      </c>
      <c r="E1052" s="229">
        <v>2</v>
      </c>
      <c r="F1052" s="132">
        <v>18.57</v>
      </c>
      <c r="G1052" s="132">
        <v>21.5</v>
      </c>
      <c r="H1052" s="222">
        <f t="shared" ref="H1052:H1115" si="48">E1052*G1052</f>
        <v>43</v>
      </c>
      <c r="I1052" s="236"/>
      <c r="J1052" s="236">
        <v>0</v>
      </c>
      <c r="K1052" s="236">
        <f t="shared" si="46"/>
        <v>43</v>
      </c>
      <c r="L1052" s="237">
        <f t="shared" si="47"/>
        <v>37.14</v>
      </c>
    </row>
    <row r="1053" spans="1:12">
      <c r="A1053" s="223" t="s">
        <v>4743</v>
      </c>
      <c r="B1053" s="80" t="s">
        <v>1840</v>
      </c>
      <c r="C1053" s="80" t="s">
        <v>4751</v>
      </c>
      <c r="D1053" s="107" t="s">
        <v>1841</v>
      </c>
      <c r="E1053" s="229">
        <v>1</v>
      </c>
      <c r="F1053" s="132">
        <v>29.95</v>
      </c>
      <c r="G1053" s="132">
        <v>34.5</v>
      </c>
      <c r="H1053" s="222">
        <f t="shared" si="48"/>
        <v>34.5</v>
      </c>
      <c r="I1053" s="236"/>
      <c r="J1053" s="236">
        <v>0</v>
      </c>
      <c r="K1053" s="236">
        <f t="shared" si="46"/>
        <v>34.5</v>
      </c>
      <c r="L1053" s="237">
        <f t="shared" si="47"/>
        <v>29.95</v>
      </c>
    </row>
    <row r="1054" spans="1:12">
      <c r="A1054" s="223" t="s">
        <v>4743</v>
      </c>
      <c r="B1054" s="80" t="s">
        <v>2509</v>
      </c>
      <c r="C1054" s="80" t="s">
        <v>4751</v>
      </c>
      <c r="D1054" s="107" t="s">
        <v>2510</v>
      </c>
      <c r="E1054" s="229">
        <v>1</v>
      </c>
      <c r="F1054" s="132">
        <v>64.58</v>
      </c>
      <c r="G1054" s="132">
        <v>74.5</v>
      </c>
      <c r="H1054" s="222">
        <f t="shared" si="48"/>
        <v>74.5</v>
      </c>
      <c r="I1054" s="236"/>
      <c r="J1054" s="236">
        <v>0</v>
      </c>
      <c r="K1054" s="236">
        <f t="shared" si="46"/>
        <v>74.5</v>
      </c>
      <c r="L1054" s="237">
        <f t="shared" si="47"/>
        <v>64.58</v>
      </c>
    </row>
    <row r="1055" spans="1:12">
      <c r="A1055" s="223" t="s">
        <v>4743</v>
      </c>
      <c r="B1055" s="80" t="s">
        <v>1499</v>
      </c>
      <c r="C1055" s="80" t="s">
        <v>4752</v>
      </c>
      <c r="D1055" s="107" t="s">
        <v>1500</v>
      </c>
      <c r="E1055" s="229">
        <v>10</v>
      </c>
      <c r="F1055" s="132">
        <v>25.8</v>
      </c>
      <c r="G1055" s="132">
        <v>29.75</v>
      </c>
      <c r="H1055" s="222">
        <f t="shared" si="48"/>
        <v>297.5</v>
      </c>
      <c r="I1055" s="236"/>
      <c r="J1055" s="236">
        <v>0</v>
      </c>
      <c r="K1055" s="236">
        <f t="shared" si="46"/>
        <v>297.5</v>
      </c>
      <c r="L1055" s="237">
        <f t="shared" si="47"/>
        <v>258</v>
      </c>
    </row>
    <row r="1056" spans="1:12">
      <c r="A1056" s="223" t="s">
        <v>4743</v>
      </c>
      <c r="B1056" s="80" t="s">
        <v>1524</v>
      </c>
      <c r="C1056" s="80" t="s">
        <v>4752</v>
      </c>
      <c r="D1056" s="107" t="s">
        <v>1525</v>
      </c>
      <c r="E1056" s="229">
        <v>12</v>
      </c>
      <c r="F1056" s="132">
        <v>30.83</v>
      </c>
      <c r="G1056" s="132">
        <v>35.5</v>
      </c>
      <c r="H1056" s="222">
        <f t="shared" si="48"/>
        <v>426</v>
      </c>
      <c r="I1056" s="236"/>
      <c r="J1056" s="236">
        <v>54.5</v>
      </c>
      <c r="K1056" s="236">
        <f t="shared" si="46"/>
        <v>371.5</v>
      </c>
      <c r="L1056" s="237">
        <f t="shared" si="47"/>
        <v>369.96</v>
      </c>
    </row>
    <row r="1057" spans="1:12">
      <c r="A1057" s="223" t="s">
        <v>4743</v>
      </c>
      <c r="B1057" s="80" t="s">
        <v>4753</v>
      </c>
      <c r="C1057" s="80" t="s">
        <v>4754</v>
      </c>
      <c r="D1057" s="107" t="s">
        <v>4755</v>
      </c>
      <c r="E1057" s="229">
        <v>1</v>
      </c>
      <c r="F1057" s="132">
        <v>71.25</v>
      </c>
      <c r="G1057" s="132">
        <v>82</v>
      </c>
      <c r="H1057" s="222">
        <f t="shared" si="48"/>
        <v>82</v>
      </c>
      <c r="I1057" s="236"/>
      <c r="J1057" s="236">
        <v>0</v>
      </c>
      <c r="K1057" s="236">
        <f t="shared" si="46"/>
        <v>82</v>
      </c>
      <c r="L1057" s="237">
        <f t="shared" si="47"/>
        <v>71.25</v>
      </c>
    </row>
    <row r="1058" spans="1:12">
      <c r="A1058" s="223" t="s">
        <v>4743</v>
      </c>
      <c r="B1058" s="80" t="s">
        <v>1458</v>
      </c>
      <c r="C1058" s="80" t="s">
        <v>4756</v>
      </c>
      <c r="D1058" s="107" t="s">
        <v>1459</v>
      </c>
      <c r="E1058" s="229">
        <v>2</v>
      </c>
      <c r="F1058" s="132">
        <v>8.58</v>
      </c>
      <c r="G1058" s="132">
        <v>10</v>
      </c>
      <c r="H1058" s="222">
        <f t="shared" si="48"/>
        <v>20</v>
      </c>
      <c r="I1058" s="236"/>
      <c r="J1058" s="236">
        <v>0</v>
      </c>
      <c r="K1058" s="236">
        <f t="shared" si="46"/>
        <v>20</v>
      </c>
      <c r="L1058" s="237">
        <f t="shared" si="47"/>
        <v>17.16</v>
      </c>
    </row>
    <row r="1059" spans="1:12">
      <c r="A1059" s="223" t="s">
        <v>4743</v>
      </c>
      <c r="B1059" s="80" t="s">
        <v>3670</v>
      </c>
      <c r="C1059" s="80" t="s">
        <v>4757</v>
      </c>
      <c r="D1059" s="107" t="s">
        <v>3671</v>
      </c>
      <c r="E1059" s="229">
        <v>3</v>
      </c>
      <c r="F1059" s="132">
        <v>30.79</v>
      </c>
      <c r="G1059" s="132">
        <v>36.75</v>
      </c>
      <c r="H1059" s="222">
        <f t="shared" si="48"/>
        <v>110.25</v>
      </c>
      <c r="I1059" s="236"/>
      <c r="J1059" s="236">
        <v>0</v>
      </c>
      <c r="K1059" s="236">
        <f t="shared" si="46"/>
        <v>110.25</v>
      </c>
      <c r="L1059" s="237">
        <f t="shared" si="47"/>
        <v>92.37</v>
      </c>
    </row>
    <row r="1060" spans="1:12">
      <c r="A1060" s="223" t="s">
        <v>4743</v>
      </c>
      <c r="B1060" s="80" t="s">
        <v>4065</v>
      </c>
      <c r="C1060" s="80" t="s">
        <v>4757</v>
      </c>
      <c r="D1060" s="107" t="s">
        <v>4066</v>
      </c>
      <c r="E1060" s="229">
        <v>1</v>
      </c>
      <c r="F1060" s="132">
        <v>16.91</v>
      </c>
      <c r="G1060" s="132">
        <v>18.600000000000001</v>
      </c>
      <c r="H1060" s="222">
        <f t="shared" si="48"/>
        <v>18.600000000000001</v>
      </c>
      <c r="I1060" s="236"/>
      <c r="J1060" s="236">
        <v>0</v>
      </c>
      <c r="K1060" s="236">
        <f t="shared" si="46"/>
        <v>18.600000000000001</v>
      </c>
      <c r="L1060" s="237">
        <f t="shared" si="47"/>
        <v>16.91</v>
      </c>
    </row>
    <row r="1061" spans="1:12">
      <c r="A1061" s="223" t="s">
        <v>4743</v>
      </c>
      <c r="B1061" s="80" t="s">
        <v>3725</v>
      </c>
      <c r="C1061" s="80" t="s">
        <v>4757</v>
      </c>
      <c r="D1061" s="107" t="s">
        <v>3726</v>
      </c>
      <c r="E1061" s="229">
        <v>2</v>
      </c>
      <c r="F1061" s="132">
        <v>11.5</v>
      </c>
      <c r="G1061" s="132">
        <v>13.5</v>
      </c>
      <c r="H1061" s="222">
        <f t="shared" si="48"/>
        <v>27</v>
      </c>
      <c r="I1061" s="236"/>
      <c r="J1061" s="236">
        <v>0</v>
      </c>
      <c r="K1061" s="236">
        <f t="shared" si="46"/>
        <v>27</v>
      </c>
      <c r="L1061" s="237">
        <f t="shared" si="47"/>
        <v>23</v>
      </c>
    </row>
    <row r="1062" spans="1:12">
      <c r="A1062" s="223" t="s">
        <v>4743</v>
      </c>
      <c r="B1062" s="80" t="s">
        <v>630</v>
      </c>
      <c r="C1062" s="80" t="s">
        <v>4758</v>
      </c>
      <c r="D1062" s="107" t="s">
        <v>631</v>
      </c>
      <c r="E1062" s="229">
        <v>1</v>
      </c>
      <c r="F1062" s="132">
        <v>7.62</v>
      </c>
      <c r="G1062" s="132">
        <v>8.75</v>
      </c>
      <c r="H1062" s="222">
        <f t="shared" si="48"/>
        <v>8.75</v>
      </c>
      <c r="I1062" s="236"/>
      <c r="J1062" s="236">
        <v>0</v>
      </c>
      <c r="K1062" s="236">
        <f t="shared" si="46"/>
        <v>8.75</v>
      </c>
      <c r="L1062" s="237">
        <f t="shared" si="47"/>
        <v>7.62</v>
      </c>
    </row>
    <row r="1063" spans="1:12">
      <c r="A1063" s="223" t="s">
        <v>4743</v>
      </c>
      <c r="B1063" s="80" t="s">
        <v>805</v>
      </c>
      <c r="C1063" s="80" t="s">
        <v>4759</v>
      </c>
      <c r="D1063" s="107" t="s">
        <v>806</v>
      </c>
      <c r="E1063" s="229">
        <v>1</v>
      </c>
      <c r="F1063" s="132">
        <v>57.25</v>
      </c>
      <c r="G1063" s="132">
        <v>66</v>
      </c>
      <c r="H1063" s="222">
        <f t="shared" si="48"/>
        <v>66</v>
      </c>
      <c r="I1063" s="236"/>
      <c r="J1063" s="236">
        <v>0</v>
      </c>
      <c r="K1063" s="236">
        <f t="shared" si="46"/>
        <v>66</v>
      </c>
      <c r="L1063" s="237">
        <f t="shared" si="47"/>
        <v>57.25</v>
      </c>
    </row>
    <row r="1064" spans="1:12">
      <c r="A1064" s="223" t="s">
        <v>4743</v>
      </c>
      <c r="B1064" s="80" t="s">
        <v>1049</v>
      </c>
      <c r="C1064" s="80" t="s">
        <v>4759</v>
      </c>
      <c r="D1064" s="107" t="s">
        <v>1050</v>
      </c>
      <c r="E1064" s="229">
        <v>1</v>
      </c>
      <c r="F1064" s="132">
        <v>59.51</v>
      </c>
      <c r="G1064" s="132">
        <v>68.5</v>
      </c>
      <c r="H1064" s="222">
        <f t="shared" si="48"/>
        <v>68.5</v>
      </c>
      <c r="I1064" s="236"/>
      <c r="J1064" s="236">
        <v>0</v>
      </c>
      <c r="K1064" s="236">
        <f t="shared" si="46"/>
        <v>68.5</v>
      </c>
      <c r="L1064" s="237">
        <f t="shared" si="47"/>
        <v>59.51</v>
      </c>
    </row>
    <row r="1065" spans="1:12">
      <c r="A1065" s="223" t="s">
        <v>4743</v>
      </c>
      <c r="B1065" s="80" t="s">
        <v>3771</v>
      </c>
      <c r="C1065" s="80" t="s">
        <v>4760</v>
      </c>
      <c r="D1065" s="107" t="s">
        <v>3772</v>
      </c>
      <c r="E1065" s="229">
        <v>2</v>
      </c>
      <c r="F1065" s="132">
        <v>3.6</v>
      </c>
      <c r="G1065" s="132">
        <v>4.25</v>
      </c>
      <c r="H1065" s="222">
        <f t="shared" si="48"/>
        <v>8.5</v>
      </c>
      <c r="I1065" s="236"/>
      <c r="J1065" s="236">
        <v>0</v>
      </c>
      <c r="K1065" s="236">
        <f t="shared" si="46"/>
        <v>8.5</v>
      </c>
      <c r="L1065" s="237">
        <f t="shared" si="47"/>
        <v>7.2</v>
      </c>
    </row>
    <row r="1066" spans="1:12">
      <c r="A1066" s="223" t="s">
        <v>4743</v>
      </c>
      <c r="B1066" s="80" t="s">
        <v>4633</v>
      </c>
      <c r="C1066" s="80" t="s">
        <v>4760</v>
      </c>
      <c r="D1066" s="107" t="s">
        <v>4635</v>
      </c>
      <c r="E1066" s="229">
        <v>1</v>
      </c>
      <c r="F1066" s="132">
        <v>6.15</v>
      </c>
      <c r="G1066" s="132">
        <v>7.25</v>
      </c>
      <c r="H1066" s="222">
        <f t="shared" si="48"/>
        <v>7.25</v>
      </c>
      <c r="I1066" s="236"/>
      <c r="J1066" s="236">
        <v>0</v>
      </c>
      <c r="K1066" s="236">
        <f t="shared" si="46"/>
        <v>7.25</v>
      </c>
      <c r="L1066" s="237">
        <f t="shared" si="47"/>
        <v>6.15</v>
      </c>
    </row>
    <row r="1067" spans="1:12">
      <c r="A1067" s="223" t="s">
        <v>4743</v>
      </c>
      <c r="B1067" s="80" t="s">
        <v>4065</v>
      </c>
      <c r="C1067" s="80" t="s">
        <v>4761</v>
      </c>
      <c r="D1067" s="107" t="s">
        <v>4066</v>
      </c>
      <c r="E1067" s="229">
        <v>1</v>
      </c>
      <c r="F1067" s="132">
        <v>16.91</v>
      </c>
      <c r="G1067" s="132">
        <v>18.600000000000001</v>
      </c>
      <c r="H1067" s="222">
        <f t="shared" si="48"/>
        <v>18.600000000000001</v>
      </c>
      <c r="I1067" s="236"/>
      <c r="J1067" s="236">
        <v>0</v>
      </c>
      <c r="K1067" s="236">
        <f t="shared" si="46"/>
        <v>18.600000000000001</v>
      </c>
      <c r="L1067" s="237">
        <f t="shared" si="47"/>
        <v>16.91</v>
      </c>
    </row>
    <row r="1068" spans="1:12">
      <c r="A1068" s="223" t="s">
        <v>4743</v>
      </c>
      <c r="B1068" s="80" t="s">
        <v>4363</v>
      </c>
      <c r="C1068" s="80" t="s">
        <v>4762</v>
      </c>
      <c r="D1068" s="107" t="s">
        <v>4364</v>
      </c>
      <c r="E1068" s="229">
        <v>1</v>
      </c>
      <c r="F1068" s="132">
        <v>6.03</v>
      </c>
      <c r="G1068" s="132">
        <v>7</v>
      </c>
      <c r="H1068" s="222">
        <f t="shared" si="48"/>
        <v>7</v>
      </c>
      <c r="I1068" s="236"/>
      <c r="J1068" s="236">
        <v>0</v>
      </c>
      <c r="K1068" s="236">
        <f t="shared" si="46"/>
        <v>7</v>
      </c>
      <c r="L1068" s="237">
        <f t="shared" si="47"/>
        <v>6.03</v>
      </c>
    </row>
    <row r="1069" spans="1:12">
      <c r="A1069" s="223">
        <v>46196</v>
      </c>
      <c r="B1069" s="80" t="s">
        <v>3723</v>
      </c>
      <c r="C1069" s="80" t="s">
        <v>4763</v>
      </c>
      <c r="D1069" s="107" t="s">
        <v>3724</v>
      </c>
      <c r="E1069" s="229">
        <v>6</v>
      </c>
      <c r="F1069" s="132">
        <v>19.47</v>
      </c>
      <c r="G1069" s="132">
        <v>23</v>
      </c>
      <c r="H1069" s="222">
        <f t="shared" si="48"/>
        <v>138</v>
      </c>
      <c r="I1069" s="236"/>
      <c r="J1069" s="236">
        <v>0</v>
      </c>
      <c r="K1069" s="236">
        <f t="shared" si="46"/>
        <v>138</v>
      </c>
      <c r="L1069" s="237">
        <f t="shared" si="47"/>
        <v>116.82</v>
      </c>
    </row>
    <row r="1070" spans="1:12">
      <c r="A1070" s="223">
        <v>46196</v>
      </c>
      <c r="B1070" s="80" t="s">
        <v>4065</v>
      </c>
      <c r="C1070" s="80" t="s">
        <v>4763</v>
      </c>
      <c r="D1070" s="107" t="s">
        <v>4066</v>
      </c>
      <c r="E1070" s="229">
        <v>2</v>
      </c>
      <c r="F1070" s="132">
        <v>16.91</v>
      </c>
      <c r="G1070" s="132">
        <v>18.600000000000001</v>
      </c>
      <c r="H1070" s="222">
        <f t="shared" si="48"/>
        <v>37.200000000000003</v>
      </c>
      <c r="I1070" s="236"/>
      <c r="J1070" s="236">
        <v>0</v>
      </c>
      <c r="K1070" s="236">
        <f t="shared" si="46"/>
        <v>37.200000000000003</v>
      </c>
      <c r="L1070" s="237">
        <f t="shared" si="47"/>
        <v>33.82</v>
      </c>
    </row>
    <row r="1071" spans="1:12">
      <c r="A1071" s="223">
        <v>46196</v>
      </c>
      <c r="B1071" s="80" t="s">
        <v>4633</v>
      </c>
      <c r="C1071" s="80" t="s">
        <v>4764</v>
      </c>
      <c r="D1071" s="107" t="s">
        <v>4635</v>
      </c>
      <c r="E1071" s="229">
        <v>3</v>
      </c>
      <c r="F1071" s="132">
        <v>6.15</v>
      </c>
      <c r="G1071" s="132">
        <v>7.25</v>
      </c>
      <c r="H1071" s="222">
        <f t="shared" si="48"/>
        <v>21.75</v>
      </c>
      <c r="I1071" s="236"/>
      <c r="J1071" s="236">
        <v>0</v>
      </c>
      <c r="K1071" s="236">
        <f t="shared" si="46"/>
        <v>21.75</v>
      </c>
      <c r="L1071" s="237">
        <f t="shared" si="47"/>
        <v>18.450000000000003</v>
      </c>
    </row>
    <row r="1072" spans="1:12">
      <c r="A1072" s="223">
        <v>46196</v>
      </c>
      <c r="B1072" s="80" t="s">
        <v>2298</v>
      </c>
      <c r="C1072" s="80" t="s">
        <v>4765</v>
      </c>
      <c r="D1072" s="107" t="s">
        <v>2299</v>
      </c>
      <c r="E1072" s="229">
        <v>1</v>
      </c>
      <c r="F1072" s="132">
        <v>54</v>
      </c>
      <c r="G1072" s="132">
        <v>62.25</v>
      </c>
      <c r="H1072" s="222">
        <f t="shared" si="48"/>
        <v>62.25</v>
      </c>
      <c r="I1072" s="236"/>
      <c r="J1072" s="236">
        <v>0</v>
      </c>
      <c r="K1072" s="236">
        <f t="shared" si="46"/>
        <v>62.25</v>
      </c>
      <c r="L1072" s="237">
        <f t="shared" si="47"/>
        <v>54</v>
      </c>
    </row>
    <row r="1073" spans="1:12">
      <c r="A1073" s="223">
        <v>46196</v>
      </c>
      <c r="B1073" s="80" t="s">
        <v>4071</v>
      </c>
      <c r="C1073" s="80" t="s">
        <v>4766</v>
      </c>
      <c r="D1073" s="107" t="s">
        <v>4072</v>
      </c>
      <c r="E1073" s="229">
        <v>1</v>
      </c>
      <c r="F1073" s="132">
        <v>6.03</v>
      </c>
      <c r="G1073" s="132">
        <v>7</v>
      </c>
      <c r="H1073" s="222">
        <f t="shared" si="48"/>
        <v>7</v>
      </c>
      <c r="I1073" s="236"/>
      <c r="J1073" s="236">
        <v>0</v>
      </c>
      <c r="K1073" s="236">
        <f t="shared" si="46"/>
        <v>7</v>
      </c>
      <c r="L1073" s="237">
        <f t="shared" si="47"/>
        <v>6.03</v>
      </c>
    </row>
    <row r="1074" spans="1:12">
      <c r="A1074" s="223">
        <v>46196</v>
      </c>
      <c r="B1074" s="80" t="s">
        <v>2620</v>
      </c>
      <c r="C1074" s="80" t="s">
        <v>4767</v>
      </c>
      <c r="D1074" s="107" t="s">
        <v>2621</v>
      </c>
      <c r="E1074" s="229">
        <v>2</v>
      </c>
      <c r="F1074" s="132">
        <v>20.57</v>
      </c>
      <c r="G1074" s="132">
        <v>23.75</v>
      </c>
      <c r="H1074" s="222">
        <f t="shared" si="48"/>
        <v>47.5</v>
      </c>
      <c r="I1074" s="236"/>
      <c r="J1074" s="236">
        <v>0</v>
      </c>
      <c r="K1074" s="236">
        <f t="shared" si="46"/>
        <v>47.5</v>
      </c>
      <c r="L1074" s="237">
        <f t="shared" si="47"/>
        <v>41.14</v>
      </c>
    </row>
    <row r="1075" spans="1:12">
      <c r="A1075" s="223">
        <v>46196</v>
      </c>
      <c r="B1075" s="80" t="s">
        <v>4649</v>
      </c>
      <c r="C1075" s="80" t="s">
        <v>4768</v>
      </c>
      <c r="D1075" s="107" t="s">
        <v>4651</v>
      </c>
      <c r="E1075" s="229">
        <v>3</v>
      </c>
      <c r="F1075" s="132">
        <v>0.81</v>
      </c>
      <c r="G1075" s="132">
        <v>1</v>
      </c>
      <c r="H1075" s="222">
        <f t="shared" si="48"/>
        <v>3</v>
      </c>
      <c r="I1075" s="236"/>
      <c r="J1075" s="236">
        <v>0</v>
      </c>
      <c r="K1075" s="236">
        <f t="shared" si="46"/>
        <v>3</v>
      </c>
      <c r="L1075" s="237">
        <f t="shared" si="47"/>
        <v>2.4300000000000002</v>
      </c>
    </row>
    <row r="1076" spans="1:12">
      <c r="A1076" s="223">
        <v>46196</v>
      </c>
      <c r="B1076" s="80" t="s">
        <v>2385</v>
      </c>
      <c r="C1076" s="80" t="s">
        <v>4769</v>
      </c>
      <c r="D1076" s="107" t="s">
        <v>2386</v>
      </c>
      <c r="E1076" s="229">
        <v>1</v>
      </c>
      <c r="F1076" s="132">
        <v>6.82</v>
      </c>
      <c r="G1076" s="132">
        <v>8</v>
      </c>
      <c r="H1076" s="222">
        <f t="shared" si="48"/>
        <v>8</v>
      </c>
      <c r="I1076" s="236"/>
      <c r="J1076" s="236">
        <v>0</v>
      </c>
      <c r="K1076" s="236">
        <f t="shared" si="46"/>
        <v>8</v>
      </c>
      <c r="L1076" s="237">
        <f t="shared" si="47"/>
        <v>6.82</v>
      </c>
    </row>
    <row r="1077" spans="1:12">
      <c r="A1077" s="223">
        <v>46196</v>
      </c>
      <c r="B1077" s="80" t="s">
        <v>2648</v>
      </c>
      <c r="C1077" s="80" t="s">
        <v>4769</v>
      </c>
      <c r="D1077" s="107" t="s">
        <v>2649</v>
      </c>
      <c r="E1077" s="229">
        <v>1</v>
      </c>
      <c r="F1077" s="132">
        <v>17.059999999999999</v>
      </c>
      <c r="G1077" s="132">
        <v>19.75</v>
      </c>
      <c r="H1077" s="222">
        <f t="shared" si="48"/>
        <v>19.75</v>
      </c>
      <c r="I1077" s="236"/>
      <c r="J1077" s="236">
        <v>0</v>
      </c>
      <c r="K1077" s="236">
        <f t="shared" si="46"/>
        <v>19.75</v>
      </c>
      <c r="L1077" s="237">
        <f t="shared" si="47"/>
        <v>17.059999999999999</v>
      </c>
    </row>
    <row r="1078" spans="1:12">
      <c r="A1078" s="223">
        <v>46196</v>
      </c>
      <c r="B1078" s="80" t="s">
        <v>3662</v>
      </c>
      <c r="C1078" s="80" t="s">
        <v>4770</v>
      </c>
      <c r="D1078" s="107" t="s">
        <v>3663</v>
      </c>
      <c r="E1078" s="229">
        <v>1</v>
      </c>
      <c r="F1078" s="132">
        <v>30.14</v>
      </c>
      <c r="G1078" s="132">
        <v>34.75</v>
      </c>
      <c r="H1078" s="222">
        <f t="shared" si="48"/>
        <v>34.75</v>
      </c>
      <c r="I1078" s="236"/>
      <c r="J1078" s="236">
        <v>0</v>
      </c>
      <c r="K1078" s="236">
        <f t="shared" si="46"/>
        <v>34.75</v>
      </c>
      <c r="L1078" s="237">
        <f t="shared" si="47"/>
        <v>30.14</v>
      </c>
    </row>
    <row r="1079" spans="1:12">
      <c r="A1079" s="223">
        <v>46196</v>
      </c>
      <c r="B1079" s="80" t="s">
        <v>888</v>
      </c>
      <c r="C1079" s="80" t="s">
        <v>4771</v>
      </c>
      <c r="D1079" s="107" t="s">
        <v>889</v>
      </c>
      <c r="E1079" s="229">
        <v>1</v>
      </c>
      <c r="F1079" s="132">
        <v>84.8</v>
      </c>
      <c r="G1079" s="132">
        <v>94</v>
      </c>
      <c r="H1079" s="222">
        <f t="shared" si="48"/>
        <v>94</v>
      </c>
      <c r="I1079" s="236"/>
      <c r="J1079" s="236">
        <v>0</v>
      </c>
      <c r="K1079" s="236">
        <f t="shared" si="46"/>
        <v>94</v>
      </c>
      <c r="L1079" s="237">
        <f t="shared" si="47"/>
        <v>84.8</v>
      </c>
    </row>
    <row r="1080" spans="1:12">
      <c r="A1080" s="223">
        <v>46196</v>
      </c>
      <c r="B1080" s="80" t="s">
        <v>4772</v>
      </c>
      <c r="C1080" s="80" t="s">
        <v>4773</v>
      </c>
      <c r="D1080" s="107" t="s">
        <v>4774</v>
      </c>
      <c r="E1080" s="229">
        <v>1</v>
      </c>
      <c r="F1080" s="132">
        <v>197.3</v>
      </c>
      <c r="G1080" s="132">
        <v>227</v>
      </c>
      <c r="H1080" s="222">
        <f t="shared" si="48"/>
        <v>227</v>
      </c>
      <c r="I1080" s="236"/>
      <c r="J1080" s="236">
        <v>0</v>
      </c>
      <c r="K1080" s="236">
        <f t="shared" si="46"/>
        <v>227</v>
      </c>
      <c r="L1080" s="237">
        <f t="shared" si="47"/>
        <v>197.3</v>
      </c>
    </row>
    <row r="1081" spans="1:12">
      <c r="A1081" s="223">
        <v>46196</v>
      </c>
      <c r="B1081" s="80" t="s">
        <v>4660</v>
      </c>
      <c r="C1081" s="80" t="s">
        <v>4775</v>
      </c>
      <c r="D1081" s="107" t="s">
        <v>4661</v>
      </c>
      <c r="E1081" s="229">
        <v>1</v>
      </c>
      <c r="F1081" s="132">
        <v>14.5</v>
      </c>
      <c r="G1081" s="132">
        <v>16.75</v>
      </c>
      <c r="H1081" s="222">
        <f t="shared" si="48"/>
        <v>16.75</v>
      </c>
      <c r="I1081" s="236"/>
      <c r="J1081" s="236">
        <v>0</v>
      </c>
      <c r="K1081" s="236">
        <f t="shared" si="46"/>
        <v>16.75</v>
      </c>
      <c r="L1081" s="237">
        <f t="shared" si="47"/>
        <v>14.5</v>
      </c>
    </row>
    <row r="1082" spans="1:12">
      <c r="A1082" s="223">
        <v>46196</v>
      </c>
      <c r="B1082" s="80" t="s">
        <v>4099</v>
      </c>
      <c r="C1082" s="80" t="s">
        <v>4776</v>
      </c>
      <c r="D1082" s="107" t="s">
        <v>4100</v>
      </c>
      <c r="E1082" s="229">
        <v>1</v>
      </c>
      <c r="F1082" s="132">
        <v>13.12</v>
      </c>
      <c r="G1082" s="132">
        <v>15.25</v>
      </c>
      <c r="H1082" s="222">
        <f t="shared" si="48"/>
        <v>15.25</v>
      </c>
      <c r="I1082" s="236"/>
      <c r="J1082" s="236">
        <v>0</v>
      </c>
      <c r="K1082" s="236">
        <f t="shared" si="46"/>
        <v>15.25</v>
      </c>
      <c r="L1082" s="237">
        <f t="shared" si="47"/>
        <v>13.12</v>
      </c>
    </row>
    <row r="1083" spans="1:12">
      <c r="A1083" s="223">
        <v>46196</v>
      </c>
      <c r="B1083" s="80" t="s">
        <v>1932</v>
      </c>
      <c r="C1083" s="80" t="s">
        <v>4777</v>
      </c>
      <c r="D1083" s="107" t="s">
        <v>1933</v>
      </c>
      <c r="E1083" s="229">
        <v>2</v>
      </c>
      <c r="F1083" s="132">
        <v>65.95</v>
      </c>
      <c r="G1083" s="132">
        <v>76</v>
      </c>
      <c r="H1083" s="222">
        <f t="shared" si="48"/>
        <v>152</v>
      </c>
      <c r="I1083" s="236"/>
      <c r="J1083" s="236">
        <v>0</v>
      </c>
      <c r="K1083" s="236">
        <f t="shared" si="46"/>
        <v>152</v>
      </c>
      <c r="L1083" s="237">
        <f t="shared" si="47"/>
        <v>131.9</v>
      </c>
    </row>
    <row r="1084" spans="1:12">
      <c r="A1084" s="223">
        <v>46196</v>
      </c>
      <c r="B1084" s="80" t="s">
        <v>1407</v>
      </c>
      <c r="C1084" s="80" t="s">
        <v>4778</v>
      </c>
      <c r="D1084" s="107" t="s">
        <v>1408</v>
      </c>
      <c r="E1084" s="229">
        <v>1</v>
      </c>
      <c r="F1084" s="132">
        <v>30.48</v>
      </c>
      <c r="G1084" s="132">
        <v>35</v>
      </c>
      <c r="H1084" s="222">
        <f t="shared" si="48"/>
        <v>35</v>
      </c>
      <c r="I1084" s="236"/>
      <c r="J1084" s="236">
        <v>0</v>
      </c>
      <c r="K1084" s="236">
        <f t="shared" si="46"/>
        <v>35</v>
      </c>
      <c r="L1084" s="237">
        <f t="shared" si="47"/>
        <v>30.48</v>
      </c>
    </row>
    <row r="1085" spans="1:12">
      <c r="A1085" s="223">
        <v>46196</v>
      </c>
      <c r="B1085" s="80" t="s">
        <v>3803</v>
      </c>
      <c r="C1085" s="80" t="s">
        <v>4779</v>
      </c>
      <c r="D1085" s="107" t="s">
        <v>3804</v>
      </c>
      <c r="E1085" s="229">
        <v>6</v>
      </c>
      <c r="F1085" s="132">
        <v>0.81</v>
      </c>
      <c r="G1085" s="132">
        <v>1</v>
      </c>
      <c r="H1085" s="222">
        <f t="shared" si="48"/>
        <v>6</v>
      </c>
      <c r="I1085" s="236"/>
      <c r="J1085" s="236">
        <v>0</v>
      </c>
      <c r="K1085" s="236">
        <f t="shared" si="46"/>
        <v>6</v>
      </c>
      <c r="L1085" s="237">
        <f t="shared" si="47"/>
        <v>4.8600000000000003</v>
      </c>
    </row>
    <row r="1086" spans="1:12">
      <c r="A1086" s="223">
        <v>46196</v>
      </c>
      <c r="B1086" s="80" t="s">
        <v>888</v>
      </c>
      <c r="C1086" s="80" t="s">
        <v>4780</v>
      </c>
      <c r="D1086" s="107" t="s">
        <v>889</v>
      </c>
      <c r="E1086" s="229">
        <v>1</v>
      </c>
      <c r="F1086" s="132">
        <v>84.8</v>
      </c>
      <c r="G1086" s="132">
        <v>94</v>
      </c>
      <c r="H1086" s="222">
        <f t="shared" si="48"/>
        <v>94</v>
      </c>
      <c r="I1086" s="236"/>
      <c r="J1086" s="236">
        <v>0</v>
      </c>
      <c r="K1086" s="236">
        <f t="shared" si="46"/>
        <v>94</v>
      </c>
      <c r="L1086" s="237">
        <f t="shared" si="47"/>
        <v>84.8</v>
      </c>
    </row>
    <row r="1087" spans="1:12">
      <c r="A1087" s="223">
        <v>46196</v>
      </c>
      <c r="B1087" s="80" t="s">
        <v>630</v>
      </c>
      <c r="C1087" s="80" t="s">
        <v>4781</v>
      </c>
      <c r="D1087" s="107" t="s">
        <v>631</v>
      </c>
      <c r="E1087" s="229">
        <v>1</v>
      </c>
      <c r="F1087" s="132">
        <v>7.62</v>
      </c>
      <c r="G1087" s="132">
        <v>8.75</v>
      </c>
      <c r="H1087" s="222">
        <f t="shared" si="48"/>
        <v>8.75</v>
      </c>
      <c r="I1087" s="236"/>
      <c r="J1087" s="236">
        <v>0</v>
      </c>
      <c r="K1087" s="236">
        <f t="shared" si="46"/>
        <v>8.75</v>
      </c>
      <c r="L1087" s="237">
        <f t="shared" si="47"/>
        <v>7.62</v>
      </c>
    </row>
    <row r="1088" spans="1:12">
      <c r="A1088" s="223">
        <v>46196</v>
      </c>
      <c r="B1088" s="80" t="s">
        <v>3657</v>
      </c>
      <c r="C1088" s="80" t="s">
        <v>4782</v>
      </c>
      <c r="D1088" s="107" t="s">
        <v>3658</v>
      </c>
      <c r="E1088" s="229">
        <v>1</v>
      </c>
      <c r="F1088" s="132">
        <v>22.73</v>
      </c>
      <c r="G1088" s="132">
        <v>26.25</v>
      </c>
      <c r="H1088" s="222">
        <f t="shared" si="48"/>
        <v>26.25</v>
      </c>
      <c r="I1088" s="236"/>
      <c r="J1088" s="236">
        <v>0</v>
      </c>
      <c r="K1088" s="236">
        <f t="shared" si="46"/>
        <v>26.25</v>
      </c>
      <c r="L1088" s="237">
        <f t="shared" si="47"/>
        <v>22.73</v>
      </c>
    </row>
    <row r="1089" spans="1:12">
      <c r="A1089" s="223">
        <v>46196</v>
      </c>
      <c r="B1089" s="80" t="s">
        <v>1908</v>
      </c>
      <c r="C1089" s="80" t="s">
        <v>4783</v>
      </c>
      <c r="D1089" s="107" t="s">
        <v>1909</v>
      </c>
      <c r="E1089" s="229">
        <v>1</v>
      </c>
      <c r="F1089" s="132">
        <v>60.4</v>
      </c>
      <c r="G1089" s="132">
        <v>70</v>
      </c>
      <c r="H1089" s="222">
        <f t="shared" si="48"/>
        <v>70</v>
      </c>
      <c r="I1089" s="236"/>
      <c r="J1089" s="236">
        <v>0</v>
      </c>
      <c r="K1089" s="236">
        <f t="shared" si="46"/>
        <v>70</v>
      </c>
      <c r="L1089" s="237">
        <f t="shared" si="47"/>
        <v>60.4</v>
      </c>
    </row>
    <row r="1090" spans="1:12">
      <c r="A1090" s="223">
        <v>46196</v>
      </c>
      <c r="B1090" s="80" t="s">
        <v>1997</v>
      </c>
      <c r="C1090" s="80" t="s">
        <v>4783</v>
      </c>
      <c r="D1090" s="107" t="s">
        <v>1998</v>
      </c>
      <c r="E1090" s="229">
        <v>12</v>
      </c>
      <c r="F1090" s="132">
        <v>6.12</v>
      </c>
      <c r="G1090" s="132">
        <v>7.25</v>
      </c>
      <c r="H1090" s="222">
        <f t="shared" si="48"/>
        <v>87</v>
      </c>
      <c r="I1090" s="236"/>
      <c r="J1090" s="236">
        <v>0</v>
      </c>
      <c r="K1090" s="236">
        <f t="shared" si="46"/>
        <v>87</v>
      </c>
      <c r="L1090" s="237">
        <f t="shared" si="47"/>
        <v>73.44</v>
      </c>
    </row>
    <row r="1091" spans="1:12">
      <c r="A1091" s="223">
        <v>46196</v>
      </c>
      <c r="B1091" s="80" t="s">
        <v>2019</v>
      </c>
      <c r="C1091" s="80" t="s">
        <v>4783</v>
      </c>
      <c r="D1091" s="107" t="s">
        <v>2020</v>
      </c>
      <c r="E1091" s="229">
        <v>12</v>
      </c>
      <c r="F1091" s="132">
        <v>6.02</v>
      </c>
      <c r="G1091" s="132">
        <v>7.25</v>
      </c>
      <c r="H1091" s="222">
        <f t="shared" si="48"/>
        <v>87</v>
      </c>
      <c r="I1091" s="236"/>
      <c r="J1091" s="236">
        <v>0</v>
      </c>
      <c r="K1091" s="236">
        <f t="shared" si="46"/>
        <v>87</v>
      </c>
      <c r="L1091" s="237">
        <f t="shared" si="47"/>
        <v>72.239999999999995</v>
      </c>
    </row>
    <row r="1092" spans="1:12">
      <c r="A1092" s="223">
        <v>46196</v>
      </c>
      <c r="B1092" s="80" t="s">
        <v>2017</v>
      </c>
      <c r="C1092" s="80" t="s">
        <v>4783</v>
      </c>
      <c r="D1092" s="107" t="s">
        <v>2018</v>
      </c>
      <c r="E1092" s="229">
        <v>12</v>
      </c>
      <c r="F1092" s="132">
        <v>6.02</v>
      </c>
      <c r="G1092" s="132">
        <v>7.25</v>
      </c>
      <c r="H1092" s="222">
        <f t="shared" si="48"/>
        <v>87</v>
      </c>
      <c r="I1092" s="236"/>
      <c r="J1092" s="236">
        <v>0</v>
      </c>
      <c r="K1092" s="236">
        <f t="shared" si="46"/>
        <v>87</v>
      </c>
      <c r="L1092" s="237">
        <f t="shared" si="47"/>
        <v>72.239999999999995</v>
      </c>
    </row>
    <row r="1093" spans="1:12">
      <c r="A1093" s="223">
        <v>46196</v>
      </c>
      <c r="B1093" s="80" t="s">
        <v>2037</v>
      </c>
      <c r="C1093" s="80" t="s">
        <v>4783</v>
      </c>
      <c r="D1093" s="107" t="s">
        <v>2038</v>
      </c>
      <c r="E1093" s="229">
        <v>16</v>
      </c>
      <c r="F1093" s="132">
        <v>4.74</v>
      </c>
      <c r="G1093" s="132">
        <v>5.5</v>
      </c>
      <c r="H1093" s="222">
        <f t="shared" si="48"/>
        <v>88</v>
      </c>
      <c r="I1093" s="236"/>
      <c r="J1093" s="236">
        <v>0</v>
      </c>
      <c r="K1093" s="236">
        <f t="shared" si="46"/>
        <v>88</v>
      </c>
      <c r="L1093" s="237">
        <f t="shared" si="47"/>
        <v>75.84</v>
      </c>
    </row>
    <row r="1094" spans="1:12">
      <c r="A1094" s="223">
        <v>46196</v>
      </c>
      <c r="B1094" s="80" t="s">
        <v>2031</v>
      </c>
      <c r="C1094" s="80" t="s">
        <v>4783</v>
      </c>
      <c r="D1094" s="107" t="s">
        <v>2032</v>
      </c>
      <c r="E1094" s="229">
        <v>1</v>
      </c>
      <c r="F1094" s="132">
        <v>27.84</v>
      </c>
      <c r="G1094" s="132">
        <v>45</v>
      </c>
      <c r="H1094" s="222">
        <f t="shared" si="48"/>
        <v>45</v>
      </c>
      <c r="I1094" s="236"/>
      <c r="J1094" s="236">
        <v>0</v>
      </c>
      <c r="K1094" s="236">
        <f t="shared" ref="K1094:K1157" si="49">H1094+I1094-J1094</f>
        <v>45</v>
      </c>
      <c r="L1094" s="237">
        <f t="shared" ref="L1094:L1157" si="50">E1094*F1094</f>
        <v>27.84</v>
      </c>
    </row>
    <row r="1095" spans="1:12">
      <c r="A1095" s="223">
        <v>46196</v>
      </c>
      <c r="B1095" s="80" t="s">
        <v>1930</v>
      </c>
      <c r="C1095" s="80" t="s">
        <v>4783</v>
      </c>
      <c r="D1095" s="107" t="s">
        <v>1931</v>
      </c>
      <c r="E1095" s="229">
        <v>2</v>
      </c>
      <c r="F1095" s="132">
        <v>32.86</v>
      </c>
      <c r="G1095" s="132">
        <v>38</v>
      </c>
      <c r="H1095" s="222">
        <f t="shared" si="48"/>
        <v>76</v>
      </c>
      <c r="I1095" s="236"/>
      <c r="J1095" s="236">
        <v>0</v>
      </c>
      <c r="K1095" s="236">
        <f t="shared" si="49"/>
        <v>76</v>
      </c>
      <c r="L1095" s="237">
        <f t="shared" si="50"/>
        <v>65.72</v>
      </c>
    </row>
    <row r="1096" spans="1:12">
      <c r="A1096" s="223">
        <v>46196</v>
      </c>
      <c r="B1096" s="80" t="s">
        <v>1497</v>
      </c>
      <c r="C1096" s="80" t="s">
        <v>4783</v>
      </c>
      <c r="D1096" s="107" t="s">
        <v>1498</v>
      </c>
      <c r="E1096" s="229">
        <v>5</v>
      </c>
      <c r="F1096" s="132">
        <v>48.6</v>
      </c>
      <c r="G1096" s="132">
        <v>56</v>
      </c>
      <c r="H1096" s="222">
        <f t="shared" si="48"/>
        <v>280</v>
      </c>
      <c r="I1096" s="236"/>
      <c r="J1096" s="236">
        <v>0</v>
      </c>
      <c r="K1096" s="236">
        <f t="shared" si="49"/>
        <v>280</v>
      </c>
      <c r="L1096" s="237">
        <f t="shared" si="50"/>
        <v>243</v>
      </c>
    </row>
    <row r="1097" spans="1:12">
      <c r="A1097" s="223">
        <v>46196</v>
      </c>
      <c r="B1097" s="80" t="s">
        <v>1524</v>
      </c>
      <c r="C1097" s="80" t="s">
        <v>4783</v>
      </c>
      <c r="D1097" s="107" t="s">
        <v>1525</v>
      </c>
      <c r="E1097" s="229">
        <v>12</v>
      </c>
      <c r="F1097" s="132">
        <v>30.83</v>
      </c>
      <c r="G1097" s="132">
        <v>35.5</v>
      </c>
      <c r="H1097" s="222">
        <f t="shared" si="48"/>
        <v>426</v>
      </c>
      <c r="I1097" s="236"/>
      <c r="J1097" s="236">
        <v>0</v>
      </c>
      <c r="K1097" s="236">
        <f t="shared" si="49"/>
        <v>426</v>
      </c>
      <c r="L1097" s="237">
        <f t="shared" si="50"/>
        <v>369.96</v>
      </c>
    </row>
    <row r="1098" spans="1:12">
      <c r="A1098" s="223">
        <v>46196</v>
      </c>
      <c r="B1098" s="80" t="s">
        <v>1646</v>
      </c>
      <c r="C1098" s="80" t="s">
        <v>4783</v>
      </c>
      <c r="D1098" s="107" t="s">
        <v>1647</v>
      </c>
      <c r="E1098" s="229">
        <v>2</v>
      </c>
      <c r="F1098" s="132">
        <v>35.15</v>
      </c>
      <c r="G1098" s="132">
        <v>41</v>
      </c>
      <c r="H1098" s="222">
        <f t="shared" si="48"/>
        <v>82</v>
      </c>
      <c r="I1098" s="236"/>
      <c r="J1098" s="236">
        <v>0</v>
      </c>
      <c r="K1098" s="236">
        <f t="shared" si="49"/>
        <v>82</v>
      </c>
      <c r="L1098" s="237">
        <f t="shared" si="50"/>
        <v>70.3</v>
      </c>
    </row>
    <row r="1099" spans="1:12">
      <c r="A1099" s="223">
        <v>46196</v>
      </c>
      <c r="B1099" s="80" t="s">
        <v>2051</v>
      </c>
      <c r="C1099" s="80" t="s">
        <v>4783</v>
      </c>
      <c r="D1099" s="107" t="s">
        <v>2052</v>
      </c>
      <c r="E1099" s="229">
        <v>2</v>
      </c>
      <c r="F1099" s="132">
        <v>13.39</v>
      </c>
      <c r="G1099" s="132">
        <v>15.5</v>
      </c>
      <c r="H1099" s="222">
        <f t="shared" si="48"/>
        <v>31</v>
      </c>
      <c r="I1099" s="236"/>
      <c r="J1099" s="236">
        <v>0</v>
      </c>
      <c r="K1099" s="236">
        <f t="shared" si="49"/>
        <v>31</v>
      </c>
      <c r="L1099" s="237">
        <f t="shared" si="50"/>
        <v>26.78</v>
      </c>
    </row>
    <row r="1100" spans="1:12">
      <c r="A1100" s="223">
        <v>46196</v>
      </c>
      <c r="B1100" s="80" t="s">
        <v>886</v>
      </c>
      <c r="C1100" s="80" t="s">
        <v>4784</v>
      </c>
      <c r="D1100" s="107" t="s">
        <v>887</v>
      </c>
      <c r="E1100" s="229">
        <v>1</v>
      </c>
      <c r="F1100" s="132">
        <v>58.45</v>
      </c>
      <c r="G1100" s="132">
        <v>65</v>
      </c>
      <c r="H1100" s="222">
        <f t="shared" si="48"/>
        <v>65</v>
      </c>
      <c r="I1100" s="236"/>
      <c r="J1100" s="236">
        <v>0</v>
      </c>
      <c r="K1100" s="236">
        <f t="shared" si="49"/>
        <v>65</v>
      </c>
      <c r="L1100" s="237">
        <f t="shared" si="50"/>
        <v>58.45</v>
      </c>
    </row>
    <row r="1101" spans="1:12">
      <c r="A1101" s="223">
        <v>46196</v>
      </c>
      <c r="B1101" s="80" t="s">
        <v>495</v>
      </c>
      <c r="C1101" s="80" t="s">
        <v>4785</v>
      </c>
      <c r="D1101" s="107" t="s">
        <v>496</v>
      </c>
      <c r="E1101" s="229">
        <v>1</v>
      </c>
      <c r="F1101" s="132">
        <v>16.55</v>
      </c>
      <c r="G1101" s="132">
        <v>19.25</v>
      </c>
      <c r="H1101" s="222">
        <f t="shared" si="48"/>
        <v>19.25</v>
      </c>
      <c r="I1101" s="236"/>
      <c r="J1101" s="236">
        <v>0</v>
      </c>
      <c r="K1101" s="236">
        <f t="shared" si="49"/>
        <v>19.25</v>
      </c>
      <c r="L1101" s="237">
        <f t="shared" si="50"/>
        <v>16.55</v>
      </c>
    </row>
    <row r="1102" spans="1:12">
      <c r="A1102" s="223">
        <v>46196</v>
      </c>
      <c r="B1102" s="80" t="s">
        <v>1695</v>
      </c>
      <c r="C1102" s="80" t="s">
        <v>4786</v>
      </c>
      <c r="D1102" s="107" t="s">
        <v>1696</v>
      </c>
      <c r="E1102" s="229">
        <v>1</v>
      </c>
      <c r="F1102" s="132">
        <v>38.39</v>
      </c>
      <c r="G1102" s="132">
        <v>44.25</v>
      </c>
      <c r="H1102" s="222">
        <f t="shared" si="48"/>
        <v>44.25</v>
      </c>
      <c r="I1102" s="236"/>
      <c r="J1102" s="236">
        <v>0</v>
      </c>
      <c r="K1102" s="236">
        <f t="shared" si="49"/>
        <v>44.25</v>
      </c>
      <c r="L1102" s="237">
        <f t="shared" si="50"/>
        <v>38.39</v>
      </c>
    </row>
    <row r="1103" spans="1:12">
      <c r="A1103" s="223">
        <v>46196</v>
      </c>
      <c r="B1103" s="80" t="s">
        <v>2896</v>
      </c>
      <c r="C1103" s="80" t="s">
        <v>4787</v>
      </c>
      <c r="D1103" s="107" t="s">
        <v>2897</v>
      </c>
      <c r="E1103" s="229">
        <v>3</v>
      </c>
      <c r="F1103" s="132">
        <v>13.87</v>
      </c>
      <c r="G1103" s="132">
        <v>17.75</v>
      </c>
      <c r="H1103" s="222">
        <f t="shared" si="48"/>
        <v>53.25</v>
      </c>
      <c r="I1103" s="236"/>
      <c r="J1103" s="236">
        <v>0</v>
      </c>
      <c r="K1103" s="236">
        <f t="shared" si="49"/>
        <v>53.25</v>
      </c>
      <c r="L1103" s="237">
        <f t="shared" si="50"/>
        <v>41.61</v>
      </c>
    </row>
    <row r="1104" spans="1:12">
      <c r="A1104" s="223">
        <v>46196</v>
      </c>
      <c r="B1104" s="80" t="s">
        <v>3044</v>
      </c>
      <c r="C1104" s="80" t="s">
        <v>4787</v>
      </c>
      <c r="D1104" s="107" t="s">
        <v>3045</v>
      </c>
      <c r="E1104" s="229">
        <v>6</v>
      </c>
      <c r="F1104" s="132">
        <v>6.37</v>
      </c>
      <c r="G1104" s="132">
        <v>7.5</v>
      </c>
      <c r="H1104" s="222">
        <f t="shared" si="48"/>
        <v>45</v>
      </c>
      <c r="I1104" s="236"/>
      <c r="J1104" s="236">
        <v>0</v>
      </c>
      <c r="K1104" s="236">
        <f t="shared" si="49"/>
        <v>45</v>
      </c>
      <c r="L1104" s="237">
        <f t="shared" si="50"/>
        <v>38.22</v>
      </c>
    </row>
    <row r="1105" spans="1:12">
      <c r="A1105" s="223">
        <v>46196</v>
      </c>
      <c r="B1105" s="80" t="s">
        <v>532</v>
      </c>
      <c r="C1105" s="80" t="s">
        <v>4788</v>
      </c>
      <c r="D1105" s="107" t="s">
        <v>533</v>
      </c>
      <c r="E1105" s="229">
        <v>1</v>
      </c>
      <c r="F1105" s="132">
        <v>18.649999999999999</v>
      </c>
      <c r="G1105" s="132">
        <v>21.5</v>
      </c>
      <c r="H1105" s="222">
        <f t="shared" si="48"/>
        <v>21.5</v>
      </c>
      <c r="I1105" s="236"/>
      <c r="J1105" s="236">
        <v>0</v>
      </c>
      <c r="K1105" s="236">
        <f t="shared" si="49"/>
        <v>21.5</v>
      </c>
      <c r="L1105" s="237">
        <f t="shared" si="50"/>
        <v>18.649999999999999</v>
      </c>
    </row>
    <row r="1106" spans="1:12">
      <c r="A1106" s="223">
        <v>46196</v>
      </c>
      <c r="B1106" s="80" t="s">
        <v>1399</v>
      </c>
      <c r="C1106" s="80" t="s">
        <v>4789</v>
      </c>
      <c r="D1106" s="107" t="s">
        <v>1400</v>
      </c>
      <c r="E1106" s="229">
        <v>1</v>
      </c>
      <c r="F1106" s="132">
        <v>200.03</v>
      </c>
      <c r="G1106" s="132">
        <v>230</v>
      </c>
      <c r="H1106" s="222">
        <f t="shared" si="48"/>
        <v>230</v>
      </c>
      <c r="I1106" s="236"/>
      <c r="J1106" s="236">
        <v>0</v>
      </c>
      <c r="K1106" s="236">
        <f t="shared" si="49"/>
        <v>230</v>
      </c>
      <c r="L1106" s="237">
        <f t="shared" si="50"/>
        <v>200.03</v>
      </c>
    </row>
    <row r="1107" spans="1:12">
      <c r="A1107" s="223">
        <v>46196</v>
      </c>
      <c r="B1107" s="80" t="s">
        <v>2033</v>
      </c>
      <c r="C1107" s="80" t="s">
        <v>4789</v>
      </c>
      <c r="D1107" s="107" t="s">
        <v>2034</v>
      </c>
      <c r="E1107" s="229">
        <v>4</v>
      </c>
      <c r="F1107" s="132">
        <v>13.92</v>
      </c>
      <c r="G1107" s="132">
        <v>22</v>
      </c>
      <c r="H1107" s="222">
        <f t="shared" si="48"/>
        <v>88</v>
      </c>
      <c r="I1107" s="236"/>
      <c r="J1107" s="236">
        <v>0</v>
      </c>
      <c r="K1107" s="236">
        <f t="shared" si="49"/>
        <v>88</v>
      </c>
      <c r="L1107" s="237">
        <f t="shared" si="50"/>
        <v>55.68</v>
      </c>
    </row>
    <row r="1108" spans="1:12">
      <c r="A1108" s="223">
        <v>46196</v>
      </c>
      <c r="B1108" s="80" t="s">
        <v>502</v>
      </c>
      <c r="C1108" s="80" t="s">
        <v>4790</v>
      </c>
      <c r="D1108" s="107" t="s">
        <v>503</v>
      </c>
      <c r="E1108" s="229">
        <v>2</v>
      </c>
      <c r="F1108" s="132">
        <v>18.53</v>
      </c>
      <c r="G1108" s="132">
        <v>21.5</v>
      </c>
      <c r="H1108" s="222">
        <f t="shared" si="48"/>
        <v>43</v>
      </c>
      <c r="I1108" s="236"/>
      <c r="J1108" s="236">
        <v>0</v>
      </c>
      <c r="K1108" s="236">
        <f t="shared" si="49"/>
        <v>43</v>
      </c>
      <c r="L1108" s="237">
        <f t="shared" si="50"/>
        <v>37.06</v>
      </c>
    </row>
    <row r="1109" spans="1:12">
      <c r="A1109" s="223">
        <v>46196</v>
      </c>
      <c r="B1109" s="80" t="s">
        <v>703</v>
      </c>
      <c r="C1109" s="80" t="s">
        <v>4791</v>
      </c>
      <c r="D1109" s="107" t="s">
        <v>704</v>
      </c>
      <c r="E1109" s="229">
        <v>1</v>
      </c>
      <c r="F1109" s="132">
        <v>15.12</v>
      </c>
      <c r="G1109" s="132">
        <v>17.5</v>
      </c>
      <c r="H1109" s="222">
        <f t="shared" si="48"/>
        <v>17.5</v>
      </c>
      <c r="I1109" s="236"/>
      <c r="J1109" s="236">
        <v>0</v>
      </c>
      <c r="K1109" s="236">
        <f t="shared" si="49"/>
        <v>17.5</v>
      </c>
      <c r="L1109" s="237">
        <f t="shared" si="50"/>
        <v>15.12</v>
      </c>
    </row>
    <row r="1110" spans="1:12">
      <c r="A1110" s="223">
        <v>46196</v>
      </c>
      <c r="B1110" s="80" t="s">
        <v>536</v>
      </c>
      <c r="C1110" s="80" t="s">
        <v>4791</v>
      </c>
      <c r="D1110" s="107" t="s">
        <v>537</v>
      </c>
      <c r="E1110" s="229">
        <v>2</v>
      </c>
      <c r="F1110" s="132">
        <v>7.06</v>
      </c>
      <c r="G1110" s="132">
        <v>8.25</v>
      </c>
      <c r="H1110" s="222">
        <f t="shared" si="48"/>
        <v>16.5</v>
      </c>
      <c r="I1110" s="236"/>
      <c r="J1110" s="236">
        <v>0</v>
      </c>
      <c r="K1110" s="236">
        <f t="shared" si="49"/>
        <v>16.5</v>
      </c>
      <c r="L1110" s="237">
        <f t="shared" si="50"/>
        <v>14.12</v>
      </c>
    </row>
    <row r="1111" spans="1:12">
      <c r="A1111" s="223">
        <v>46196</v>
      </c>
      <c r="B1111" s="80" t="s">
        <v>4649</v>
      </c>
      <c r="C1111" s="80" t="s">
        <v>4792</v>
      </c>
      <c r="D1111" s="107" t="s">
        <v>4651</v>
      </c>
      <c r="E1111" s="229">
        <v>5</v>
      </c>
      <c r="F1111" s="132">
        <v>0.81</v>
      </c>
      <c r="G1111" s="132">
        <v>1</v>
      </c>
      <c r="H1111" s="222">
        <f t="shared" si="48"/>
        <v>5</v>
      </c>
      <c r="I1111" s="236"/>
      <c r="J1111" s="236">
        <v>0</v>
      </c>
      <c r="K1111" s="236">
        <f t="shared" si="49"/>
        <v>5</v>
      </c>
      <c r="L1111" s="237">
        <f t="shared" si="50"/>
        <v>4.0500000000000007</v>
      </c>
    </row>
    <row r="1112" spans="1:12">
      <c r="A1112" s="223">
        <v>46196</v>
      </c>
      <c r="B1112" s="80" t="s">
        <v>3519</v>
      </c>
      <c r="C1112" s="80" t="s">
        <v>4793</v>
      </c>
      <c r="D1112" s="107" t="s">
        <v>3520</v>
      </c>
      <c r="E1112" s="229">
        <v>1</v>
      </c>
      <c r="F1112" s="132">
        <v>20.399999999999999</v>
      </c>
      <c r="G1112" s="132">
        <v>24</v>
      </c>
      <c r="H1112" s="222">
        <f t="shared" si="48"/>
        <v>24</v>
      </c>
      <c r="I1112" s="236"/>
      <c r="J1112" s="236">
        <v>0</v>
      </c>
      <c r="K1112" s="236">
        <f t="shared" si="49"/>
        <v>24</v>
      </c>
      <c r="L1112" s="237">
        <f t="shared" si="50"/>
        <v>20.399999999999999</v>
      </c>
    </row>
    <row r="1113" spans="1:12">
      <c r="A1113" s="223">
        <v>46196</v>
      </c>
      <c r="B1113" s="80" t="s">
        <v>4171</v>
      </c>
      <c r="C1113" s="80" t="s">
        <v>4794</v>
      </c>
      <c r="D1113" s="107" t="s">
        <v>4172</v>
      </c>
      <c r="E1113" s="229">
        <v>1</v>
      </c>
      <c r="F1113" s="132">
        <v>9.27</v>
      </c>
      <c r="G1113" s="132">
        <v>10.75</v>
      </c>
      <c r="H1113" s="222">
        <f t="shared" si="48"/>
        <v>10.75</v>
      </c>
      <c r="I1113" s="236"/>
      <c r="J1113" s="236">
        <v>0</v>
      </c>
      <c r="K1113" s="236">
        <f t="shared" si="49"/>
        <v>10.75</v>
      </c>
      <c r="L1113" s="237">
        <f t="shared" si="50"/>
        <v>9.27</v>
      </c>
    </row>
    <row r="1114" spans="1:12">
      <c r="A1114" s="223">
        <v>46196</v>
      </c>
      <c r="B1114" s="80" t="s">
        <v>2233</v>
      </c>
      <c r="C1114" s="80" t="s">
        <v>4795</v>
      </c>
      <c r="D1114" s="107" t="s">
        <v>2234</v>
      </c>
      <c r="E1114" s="229">
        <v>1</v>
      </c>
      <c r="F1114" s="132">
        <v>30.2</v>
      </c>
      <c r="G1114" s="132">
        <v>34.75</v>
      </c>
      <c r="H1114" s="222">
        <f t="shared" si="48"/>
        <v>34.75</v>
      </c>
      <c r="I1114" s="236"/>
      <c r="J1114" s="236">
        <v>0</v>
      </c>
      <c r="K1114" s="236">
        <f t="shared" si="49"/>
        <v>34.75</v>
      </c>
      <c r="L1114" s="237">
        <f t="shared" si="50"/>
        <v>30.2</v>
      </c>
    </row>
    <row r="1115" spans="1:12">
      <c r="A1115" s="223">
        <v>46196</v>
      </c>
      <c r="B1115" s="80" t="s">
        <v>1415</v>
      </c>
      <c r="C1115" s="80" t="s">
        <v>4796</v>
      </c>
      <c r="D1115" s="107" t="s">
        <v>1416</v>
      </c>
      <c r="E1115" s="229">
        <v>1</v>
      </c>
      <c r="F1115" s="132">
        <v>13.32</v>
      </c>
      <c r="G1115" s="132">
        <v>15.5</v>
      </c>
      <c r="H1115" s="222">
        <f t="shared" si="48"/>
        <v>15.5</v>
      </c>
      <c r="I1115" s="236"/>
      <c r="J1115" s="236">
        <v>0</v>
      </c>
      <c r="K1115" s="236">
        <f t="shared" si="49"/>
        <v>15.5</v>
      </c>
      <c r="L1115" s="237">
        <f t="shared" si="50"/>
        <v>13.32</v>
      </c>
    </row>
    <row r="1116" spans="1:12">
      <c r="A1116" s="223">
        <v>46196</v>
      </c>
      <c r="B1116" s="80" t="s">
        <v>4065</v>
      </c>
      <c r="C1116" s="80" t="s">
        <v>4796</v>
      </c>
      <c r="D1116" s="107" t="s">
        <v>4066</v>
      </c>
      <c r="E1116" s="229">
        <v>2</v>
      </c>
      <c r="F1116" s="132">
        <v>16.91</v>
      </c>
      <c r="G1116" s="132">
        <v>18.600000000000001</v>
      </c>
      <c r="H1116" s="222">
        <f t="shared" ref="H1116:H1179" si="51">E1116*G1116</f>
        <v>37.200000000000003</v>
      </c>
      <c r="I1116" s="236"/>
      <c r="J1116" s="236">
        <v>0</v>
      </c>
      <c r="K1116" s="236">
        <f t="shared" si="49"/>
        <v>37.200000000000003</v>
      </c>
      <c r="L1116" s="237">
        <f t="shared" si="50"/>
        <v>33.82</v>
      </c>
    </row>
    <row r="1117" spans="1:12">
      <c r="A1117" s="223">
        <v>46196</v>
      </c>
      <c r="B1117" s="80" t="s">
        <v>630</v>
      </c>
      <c r="C1117" s="80" t="s">
        <v>4796</v>
      </c>
      <c r="D1117" s="107" t="s">
        <v>631</v>
      </c>
      <c r="E1117" s="229">
        <v>1</v>
      </c>
      <c r="F1117" s="132">
        <v>7.62</v>
      </c>
      <c r="G1117" s="132">
        <v>8.75</v>
      </c>
      <c r="H1117" s="222">
        <f t="shared" si="51"/>
        <v>8.75</v>
      </c>
      <c r="I1117" s="236"/>
      <c r="J1117" s="236">
        <v>0</v>
      </c>
      <c r="K1117" s="236">
        <f t="shared" si="49"/>
        <v>8.75</v>
      </c>
      <c r="L1117" s="237">
        <f t="shared" si="50"/>
        <v>7.62</v>
      </c>
    </row>
    <row r="1118" spans="1:12">
      <c r="A1118" s="223" t="s">
        <v>4797</v>
      </c>
      <c r="B1118" s="80" t="s">
        <v>1491</v>
      </c>
      <c r="C1118" s="80" t="s">
        <v>4798</v>
      </c>
      <c r="D1118" s="107" t="s">
        <v>1492</v>
      </c>
      <c r="E1118" s="229">
        <v>1</v>
      </c>
      <c r="F1118" s="132">
        <v>140</v>
      </c>
      <c r="G1118" s="132">
        <v>161</v>
      </c>
      <c r="H1118" s="222">
        <f t="shared" si="51"/>
        <v>161</v>
      </c>
      <c r="I1118" s="236"/>
      <c r="J1118" s="236">
        <v>0</v>
      </c>
      <c r="K1118" s="236">
        <f t="shared" si="49"/>
        <v>161</v>
      </c>
      <c r="L1118" s="237">
        <f t="shared" si="50"/>
        <v>140</v>
      </c>
    </row>
    <row r="1119" spans="1:12">
      <c r="A1119" s="223" t="s">
        <v>4797</v>
      </c>
      <c r="B1119" s="80" t="s">
        <v>2073</v>
      </c>
      <c r="C1119" s="80" t="s">
        <v>4798</v>
      </c>
      <c r="D1119" s="107" t="s">
        <v>2074</v>
      </c>
      <c r="E1119" s="229">
        <v>1</v>
      </c>
      <c r="F1119" s="132">
        <v>67.290000000000006</v>
      </c>
      <c r="G1119" s="132">
        <v>77.5</v>
      </c>
      <c r="H1119" s="222">
        <f t="shared" si="51"/>
        <v>77.5</v>
      </c>
      <c r="I1119" s="236"/>
      <c r="J1119" s="236">
        <v>0</v>
      </c>
      <c r="K1119" s="236">
        <f t="shared" si="49"/>
        <v>77.5</v>
      </c>
      <c r="L1119" s="237">
        <f t="shared" si="50"/>
        <v>67.290000000000006</v>
      </c>
    </row>
    <row r="1120" spans="1:12">
      <c r="A1120" s="224" t="s">
        <v>4797</v>
      </c>
      <c r="B1120" s="225" t="s">
        <v>1665</v>
      </c>
      <c r="C1120" s="225" t="s">
        <v>4798</v>
      </c>
      <c r="D1120" s="226" t="s">
        <v>1666</v>
      </c>
      <c r="E1120" s="230">
        <v>1</v>
      </c>
      <c r="F1120" s="231"/>
      <c r="G1120" s="231">
        <v>47.5</v>
      </c>
      <c r="H1120" s="228">
        <f t="shared" si="51"/>
        <v>47.5</v>
      </c>
      <c r="I1120" s="238"/>
      <c r="J1120" s="238">
        <v>0</v>
      </c>
      <c r="K1120" s="238">
        <f t="shared" si="49"/>
        <v>47.5</v>
      </c>
      <c r="L1120" s="239">
        <f t="shared" si="50"/>
        <v>0</v>
      </c>
    </row>
    <row r="1121" spans="1:12">
      <c r="A1121" s="223" t="s">
        <v>4797</v>
      </c>
      <c r="B1121" s="80" t="s">
        <v>842</v>
      </c>
      <c r="C1121" s="80" t="s">
        <v>4799</v>
      </c>
      <c r="D1121" s="107" t="s">
        <v>843</v>
      </c>
      <c r="E1121" s="229">
        <v>1</v>
      </c>
      <c r="F1121" s="132">
        <v>20.68</v>
      </c>
      <c r="G1121" s="132">
        <v>24</v>
      </c>
      <c r="H1121" s="222">
        <f t="shared" si="51"/>
        <v>24</v>
      </c>
      <c r="I1121" s="236"/>
      <c r="J1121" s="236">
        <v>0</v>
      </c>
      <c r="K1121" s="236">
        <f t="shared" si="49"/>
        <v>24</v>
      </c>
      <c r="L1121" s="237">
        <f t="shared" si="50"/>
        <v>20.68</v>
      </c>
    </row>
    <row r="1122" spans="1:12">
      <c r="A1122" s="223" t="s">
        <v>4797</v>
      </c>
      <c r="B1122" s="80" t="s">
        <v>487</v>
      </c>
      <c r="C1122" s="80" t="s">
        <v>4800</v>
      </c>
      <c r="D1122" s="107" t="s">
        <v>488</v>
      </c>
      <c r="E1122" s="229">
        <v>1</v>
      </c>
      <c r="F1122" s="132">
        <v>16.03</v>
      </c>
      <c r="G1122" s="132">
        <v>18.5</v>
      </c>
      <c r="H1122" s="222">
        <f t="shared" si="51"/>
        <v>18.5</v>
      </c>
      <c r="I1122" s="236"/>
      <c r="J1122" s="236">
        <v>0</v>
      </c>
      <c r="K1122" s="236">
        <f t="shared" si="49"/>
        <v>18.5</v>
      </c>
      <c r="L1122" s="237">
        <f t="shared" si="50"/>
        <v>16.03</v>
      </c>
    </row>
    <row r="1123" spans="1:12">
      <c r="A1123" s="223" t="s">
        <v>4797</v>
      </c>
      <c r="B1123" s="80" t="s">
        <v>3085</v>
      </c>
      <c r="C1123" s="80" t="s">
        <v>4801</v>
      </c>
      <c r="D1123" s="107" t="s">
        <v>3086</v>
      </c>
      <c r="E1123" s="229">
        <v>2</v>
      </c>
      <c r="F1123" s="132">
        <v>18.98</v>
      </c>
      <c r="G1123" s="132">
        <v>22</v>
      </c>
      <c r="H1123" s="222">
        <f t="shared" si="51"/>
        <v>44</v>
      </c>
      <c r="I1123" s="236"/>
      <c r="J1123" s="236">
        <v>0</v>
      </c>
      <c r="K1123" s="236">
        <f t="shared" si="49"/>
        <v>44</v>
      </c>
      <c r="L1123" s="237">
        <f t="shared" si="50"/>
        <v>37.96</v>
      </c>
    </row>
    <row r="1124" spans="1:12">
      <c r="A1124" s="223" t="s">
        <v>4797</v>
      </c>
      <c r="B1124" s="80" t="s">
        <v>2033</v>
      </c>
      <c r="C1124" s="80" t="s">
        <v>4802</v>
      </c>
      <c r="D1124" s="107" t="s">
        <v>2034</v>
      </c>
      <c r="E1124" s="229">
        <v>1</v>
      </c>
      <c r="F1124" s="132">
        <v>13.92</v>
      </c>
      <c r="G1124" s="132">
        <v>22</v>
      </c>
      <c r="H1124" s="222">
        <f t="shared" si="51"/>
        <v>22</v>
      </c>
      <c r="I1124" s="236"/>
      <c r="J1124" s="236">
        <v>0</v>
      </c>
      <c r="K1124" s="236">
        <f t="shared" si="49"/>
        <v>22</v>
      </c>
      <c r="L1124" s="237">
        <f t="shared" si="50"/>
        <v>13.92</v>
      </c>
    </row>
    <row r="1125" spans="1:12">
      <c r="A1125" s="223" t="s">
        <v>4797</v>
      </c>
      <c r="B1125" s="80" t="s">
        <v>1336</v>
      </c>
      <c r="C1125" s="80" t="s">
        <v>4802</v>
      </c>
      <c r="D1125" s="107" t="s">
        <v>1337</v>
      </c>
      <c r="E1125" s="229">
        <v>1</v>
      </c>
      <c r="F1125" s="132">
        <v>24.35</v>
      </c>
      <c r="G1125" s="132">
        <v>28</v>
      </c>
      <c r="H1125" s="222">
        <f t="shared" si="51"/>
        <v>28</v>
      </c>
      <c r="I1125" s="236"/>
      <c r="J1125" s="236">
        <v>0</v>
      </c>
      <c r="K1125" s="236">
        <f t="shared" si="49"/>
        <v>28</v>
      </c>
      <c r="L1125" s="237">
        <f t="shared" si="50"/>
        <v>24.35</v>
      </c>
    </row>
    <row r="1126" spans="1:12">
      <c r="A1126" s="223" t="s">
        <v>4797</v>
      </c>
      <c r="B1126" s="80" t="s">
        <v>3579</v>
      </c>
      <c r="C1126" s="80" t="s">
        <v>4803</v>
      </c>
      <c r="D1126" s="107" t="s">
        <v>3580</v>
      </c>
      <c r="E1126" s="229">
        <v>1</v>
      </c>
      <c r="F1126" s="132">
        <v>23.21</v>
      </c>
      <c r="G1126" s="132">
        <v>26.75</v>
      </c>
      <c r="H1126" s="222">
        <f t="shared" si="51"/>
        <v>26.75</v>
      </c>
      <c r="I1126" s="236"/>
      <c r="J1126" s="236">
        <v>0</v>
      </c>
      <c r="K1126" s="236">
        <f t="shared" si="49"/>
        <v>26.75</v>
      </c>
      <c r="L1126" s="237">
        <f t="shared" si="50"/>
        <v>23.21</v>
      </c>
    </row>
    <row r="1127" spans="1:12">
      <c r="A1127" s="223" t="s">
        <v>4797</v>
      </c>
      <c r="B1127" s="80" t="s">
        <v>888</v>
      </c>
      <c r="C1127" s="80" t="s">
        <v>4804</v>
      </c>
      <c r="D1127" s="107" t="s">
        <v>889</v>
      </c>
      <c r="E1127" s="229">
        <v>1</v>
      </c>
      <c r="F1127" s="132">
        <v>84.8</v>
      </c>
      <c r="G1127" s="132">
        <v>94</v>
      </c>
      <c r="H1127" s="222">
        <f t="shared" si="51"/>
        <v>94</v>
      </c>
      <c r="I1127" s="236"/>
      <c r="J1127" s="236">
        <v>0</v>
      </c>
      <c r="K1127" s="236">
        <f t="shared" si="49"/>
        <v>94</v>
      </c>
      <c r="L1127" s="237">
        <f t="shared" si="50"/>
        <v>84.8</v>
      </c>
    </row>
    <row r="1128" spans="1:12">
      <c r="A1128" s="223" t="s">
        <v>4797</v>
      </c>
      <c r="B1128" s="80" t="s">
        <v>1417</v>
      </c>
      <c r="C1128" s="80" t="s">
        <v>4804</v>
      </c>
      <c r="D1128" s="107" t="s">
        <v>1418</v>
      </c>
      <c r="E1128" s="229">
        <v>1</v>
      </c>
      <c r="F1128" s="132">
        <v>13.21</v>
      </c>
      <c r="G1128" s="132">
        <v>15.25</v>
      </c>
      <c r="H1128" s="222">
        <f t="shared" si="51"/>
        <v>15.25</v>
      </c>
      <c r="I1128" s="236"/>
      <c r="J1128" s="236">
        <v>0</v>
      </c>
      <c r="K1128" s="236">
        <f t="shared" si="49"/>
        <v>15.25</v>
      </c>
      <c r="L1128" s="237">
        <f t="shared" si="50"/>
        <v>13.21</v>
      </c>
    </row>
    <row r="1129" spans="1:12">
      <c r="A1129" s="223" t="s">
        <v>4797</v>
      </c>
      <c r="B1129" s="80" t="s">
        <v>1427</v>
      </c>
      <c r="C1129" s="80" t="s">
        <v>4804</v>
      </c>
      <c r="D1129" s="107" t="s">
        <v>1428</v>
      </c>
      <c r="E1129" s="229">
        <v>1</v>
      </c>
      <c r="F1129" s="132">
        <v>13.32</v>
      </c>
      <c r="G1129" s="132">
        <v>15.5</v>
      </c>
      <c r="H1129" s="222">
        <f t="shared" si="51"/>
        <v>15.5</v>
      </c>
      <c r="I1129" s="236"/>
      <c r="J1129" s="236">
        <v>0</v>
      </c>
      <c r="K1129" s="236">
        <f t="shared" si="49"/>
        <v>15.5</v>
      </c>
      <c r="L1129" s="237">
        <f t="shared" si="50"/>
        <v>13.32</v>
      </c>
    </row>
    <row r="1130" spans="1:12">
      <c r="A1130" s="223" t="s">
        <v>4797</v>
      </c>
      <c r="B1130" s="80" t="s">
        <v>1787</v>
      </c>
      <c r="C1130" s="80" t="s">
        <v>4804</v>
      </c>
      <c r="D1130" s="107" t="s">
        <v>1788</v>
      </c>
      <c r="E1130" s="229">
        <v>1</v>
      </c>
      <c r="F1130" s="132">
        <v>35.549999999999997</v>
      </c>
      <c r="G1130" s="132">
        <v>41</v>
      </c>
      <c r="H1130" s="222">
        <f t="shared" si="51"/>
        <v>41</v>
      </c>
      <c r="I1130" s="236"/>
      <c r="J1130" s="236">
        <v>0</v>
      </c>
      <c r="K1130" s="236">
        <f t="shared" si="49"/>
        <v>41</v>
      </c>
      <c r="L1130" s="237">
        <f t="shared" si="50"/>
        <v>35.549999999999997</v>
      </c>
    </row>
    <row r="1131" spans="1:12">
      <c r="A1131" s="223" t="s">
        <v>4797</v>
      </c>
      <c r="B1131" s="80" t="s">
        <v>1770</v>
      </c>
      <c r="C1131" s="80" t="s">
        <v>4804</v>
      </c>
      <c r="D1131" s="107" t="s">
        <v>1771</v>
      </c>
      <c r="E1131" s="229">
        <v>1</v>
      </c>
      <c r="F1131" s="132">
        <v>35.549999999999997</v>
      </c>
      <c r="G1131" s="132">
        <v>41</v>
      </c>
      <c r="H1131" s="222">
        <f t="shared" si="51"/>
        <v>41</v>
      </c>
      <c r="I1131" s="236"/>
      <c r="J1131" s="236">
        <v>0</v>
      </c>
      <c r="K1131" s="236">
        <f t="shared" si="49"/>
        <v>41</v>
      </c>
      <c r="L1131" s="237">
        <f t="shared" si="50"/>
        <v>35.549999999999997</v>
      </c>
    </row>
    <row r="1132" spans="1:12">
      <c r="A1132" s="223" t="s">
        <v>4797</v>
      </c>
      <c r="B1132" s="80" t="s">
        <v>1257</v>
      </c>
      <c r="C1132" s="80" t="s">
        <v>4804</v>
      </c>
      <c r="D1132" s="107" t="s">
        <v>1258</v>
      </c>
      <c r="E1132" s="229">
        <v>1</v>
      </c>
      <c r="F1132" s="132">
        <v>46.3</v>
      </c>
      <c r="G1132" s="132">
        <v>53.25</v>
      </c>
      <c r="H1132" s="222">
        <f t="shared" si="51"/>
        <v>53.25</v>
      </c>
      <c r="I1132" s="236"/>
      <c r="J1132" s="236">
        <v>0</v>
      </c>
      <c r="K1132" s="236">
        <f t="shared" si="49"/>
        <v>53.25</v>
      </c>
      <c r="L1132" s="237">
        <f t="shared" si="50"/>
        <v>46.3</v>
      </c>
    </row>
    <row r="1133" spans="1:12">
      <c r="A1133" s="223" t="s">
        <v>4797</v>
      </c>
      <c r="B1133" s="80" t="s">
        <v>1589</v>
      </c>
      <c r="C1133" s="80" t="s">
        <v>4805</v>
      </c>
      <c r="D1133" s="107" t="s">
        <v>1590</v>
      </c>
      <c r="E1133" s="229">
        <v>1</v>
      </c>
      <c r="F1133" s="132">
        <v>24.04</v>
      </c>
      <c r="G1133" s="132">
        <v>27.75</v>
      </c>
      <c r="H1133" s="222">
        <f t="shared" si="51"/>
        <v>27.75</v>
      </c>
      <c r="I1133" s="236"/>
      <c r="J1133" s="236">
        <v>0</v>
      </c>
      <c r="K1133" s="236">
        <f t="shared" si="49"/>
        <v>27.75</v>
      </c>
      <c r="L1133" s="237">
        <f t="shared" si="50"/>
        <v>24.04</v>
      </c>
    </row>
    <row r="1134" spans="1:12">
      <c r="A1134" s="223" t="s">
        <v>4797</v>
      </c>
      <c r="B1134" s="80" t="s">
        <v>4357</v>
      </c>
      <c r="C1134" s="80" t="s">
        <v>4805</v>
      </c>
      <c r="D1134" s="107" t="s">
        <v>4359</v>
      </c>
      <c r="E1134" s="229">
        <v>1</v>
      </c>
      <c r="F1134" s="132">
        <v>14.82</v>
      </c>
      <c r="G1134" s="132">
        <v>17.25</v>
      </c>
      <c r="H1134" s="222">
        <f t="shared" si="51"/>
        <v>17.25</v>
      </c>
      <c r="I1134" s="236"/>
      <c r="J1134" s="236">
        <v>0</v>
      </c>
      <c r="K1134" s="236">
        <f t="shared" si="49"/>
        <v>17.25</v>
      </c>
      <c r="L1134" s="237">
        <f t="shared" si="50"/>
        <v>14.82</v>
      </c>
    </row>
    <row r="1135" spans="1:12">
      <c r="A1135" s="223" t="s">
        <v>4797</v>
      </c>
      <c r="B1135" s="80" t="s">
        <v>2688</v>
      </c>
      <c r="C1135" s="80" t="s">
        <v>4806</v>
      </c>
      <c r="D1135" s="107" t="s">
        <v>2689</v>
      </c>
      <c r="E1135" s="229">
        <v>1</v>
      </c>
      <c r="F1135" s="132">
        <v>5.92</v>
      </c>
      <c r="G1135" s="132">
        <v>6.75</v>
      </c>
      <c r="H1135" s="222">
        <f t="shared" si="51"/>
        <v>6.75</v>
      </c>
      <c r="I1135" s="236"/>
      <c r="J1135" s="236">
        <v>0</v>
      </c>
      <c r="K1135" s="236">
        <f t="shared" si="49"/>
        <v>6.75</v>
      </c>
      <c r="L1135" s="237">
        <f t="shared" si="50"/>
        <v>5.92</v>
      </c>
    </row>
    <row r="1136" spans="1:12">
      <c r="A1136" s="223" t="s">
        <v>4797</v>
      </c>
      <c r="B1136" s="80" t="s">
        <v>1443</v>
      </c>
      <c r="C1136" s="80" t="s">
        <v>4806</v>
      </c>
      <c r="D1136" s="107" t="s">
        <v>1444</v>
      </c>
      <c r="E1136" s="229">
        <v>4</v>
      </c>
      <c r="F1136" s="132">
        <v>10.64</v>
      </c>
      <c r="G1136" s="132">
        <v>12.25</v>
      </c>
      <c r="H1136" s="222">
        <f t="shared" si="51"/>
        <v>49</v>
      </c>
      <c r="I1136" s="236"/>
      <c r="J1136" s="236">
        <v>0</v>
      </c>
      <c r="K1136" s="236">
        <f t="shared" si="49"/>
        <v>49</v>
      </c>
      <c r="L1136" s="237">
        <f t="shared" si="50"/>
        <v>42.56</v>
      </c>
    </row>
    <row r="1137" spans="1:12">
      <c r="A1137" s="223" t="s">
        <v>4797</v>
      </c>
      <c r="B1137" s="80" t="s">
        <v>4649</v>
      </c>
      <c r="C1137" s="80" t="s">
        <v>4807</v>
      </c>
      <c r="D1137" s="107" t="s">
        <v>4651</v>
      </c>
      <c r="E1137" s="229">
        <v>2</v>
      </c>
      <c r="F1137" s="132">
        <v>0.81</v>
      </c>
      <c r="G1137" s="132">
        <v>1</v>
      </c>
      <c r="H1137" s="222">
        <f t="shared" si="51"/>
        <v>2</v>
      </c>
      <c r="I1137" s="236"/>
      <c r="J1137" s="236">
        <v>0</v>
      </c>
      <c r="K1137" s="236">
        <f t="shared" si="49"/>
        <v>2</v>
      </c>
      <c r="L1137" s="237">
        <f t="shared" si="50"/>
        <v>1.62</v>
      </c>
    </row>
    <row r="1138" spans="1:12">
      <c r="A1138" s="223" t="s">
        <v>4797</v>
      </c>
      <c r="B1138" s="80" t="s">
        <v>4660</v>
      </c>
      <c r="C1138" s="80" t="s">
        <v>4808</v>
      </c>
      <c r="D1138" s="107" t="s">
        <v>4661</v>
      </c>
      <c r="E1138" s="229">
        <v>1</v>
      </c>
      <c r="F1138" s="132">
        <v>14.5</v>
      </c>
      <c r="G1138" s="132">
        <v>16.75</v>
      </c>
      <c r="H1138" s="222">
        <f t="shared" si="51"/>
        <v>16.75</v>
      </c>
      <c r="I1138" s="236"/>
      <c r="J1138" s="236">
        <v>0</v>
      </c>
      <c r="K1138" s="236">
        <f t="shared" si="49"/>
        <v>16.75</v>
      </c>
      <c r="L1138" s="237">
        <f t="shared" si="50"/>
        <v>14.5</v>
      </c>
    </row>
    <row r="1139" spans="1:12">
      <c r="A1139" s="223" t="s">
        <v>4797</v>
      </c>
      <c r="B1139" s="80" t="s">
        <v>984</v>
      </c>
      <c r="C1139" s="80" t="s">
        <v>4809</v>
      </c>
      <c r="D1139" s="107" t="s">
        <v>985</v>
      </c>
      <c r="E1139" s="229">
        <v>4</v>
      </c>
      <c r="F1139" s="132">
        <v>7.48</v>
      </c>
      <c r="G1139" s="132">
        <v>8.75</v>
      </c>
      <c r="H1139" s="222">
        <f t="shared" si="51"/>
        <v>35</v>
      </c>
      <c r="I1139" s="236"/>
      <c r="J1139" s="236">
        <v>0</v>
      </c>
      <c r="K1139" s="236">
        <f t="shared" si="49"/>
        <v>35</v>
      </c>
      <c r="L1139" s="237">
        <f t="shared" si="50"/>
        <v>29.92</v>
      </c>
    </row>
    <row r="1140" spans="1:12">
      <c r="A1140" s="223" t="s">
        <v>4797</v>
      </c>
      <c r="B1140" s="80" t="s">
        <v>4753</v>
      </c>
      <c r="C1140" s="80" t="s">
        <v>4809</v>
      </c>
      <c r="D1140" s="107" t="s">
        <v>4755</v>
      </c>
      <c r="E1140" s="229">
        <v>1</v>
      </c>
      <c r="F1140" s="132">
        <v>71.25</v>
      </c>
      <c r="G1140" s="132">
        <v>82</v>
      </c>
      <c r="H1140" s="222">
        <f t="shared" si="51"/>
        <v>82</v>
      </c>
      <c r="I1140" s="236"/>
      <c r="J1140" s="236">
        <v>0</v>
      </c>
      <c r="K1140" s="236">
        <f t="shared" si="49"/>
        <v>82</v>
      </c>
      <c r="L1140" s="237">
        <f t="shared" si="50"/>
        <v>71.25</v>
      </c>
    </row>
    <row r="1141" spans="1:12">
      <c r="A1141" s="223" t="s">
        <v>4797</v>
      </c>
      <c r="B1141" s="80" t="s">
        <v>493</v>
      </c>
      <c r="C1141" s="80" t="s">
        <v>4810</v>
      </c>
      <c r="D1141" s="107" t="s">
        <v>494</v>
      </c>
      <c r="E1141" s="80">
        <v>1</v>
      </c>
      <c r="F1141" s="132">
        <v>17.95</v>
      </c>
      <c r="G1141" s="132">
        <v>20.75</v>
      </c>
      <c r="H1141" s="222">
        <f t="shared" si="51"/>
        <v>20.75</v>
      </c>
      <c r="I1141" s="236"/>
      <c r="J1141" s="236">
        <v>0</v>
      </c>
      <c r="K1141" s="236">
        <f t="shared" si="49"/>
        <v>20.75</v>
      </c>
      <c r="L1141" s="237">
        <f t="shared" si="50"/>
        <v>17.95</v>
      </c>
    </row>
    <row r="1142" spans="1:12">
      <c r="A1142" s="223" t="s">
        <v>4797</v>
      </c>
      <c r="B1142" s="80" t="s">
        <v>616</v>
      </c>
      <c r="C1142" s="80" t="s">
        <v>4811</v>
      </c>
      <c r="D1142" s="107" t="s">
        <v>617</v>
      </c>
      <c r="E1142" s="229">
        <v>2</v>
      </c>
      <c r="F1142" s="132">
        <v>41.83</v>
      </c>
      <c r="G1142" s="132">
        <v>48.25</v>
      </c>
      <c r="H1142" s="222">
        <f t="shared" si="51"/>
        <v>96.5</v>
      </c>
      <c r="I1142" s="236"/>
      <c r="J1142" s="236">
        <v>0</v>
      </c>
      <c r="K1142" s="236">
        <f t="shared" si="49"/>
        <v>96.5</v>
      </c>
      <c r="L1142" s="237">
        <f t="shared" si="50"/>
        <v>83.66</v>
      </c>
    </row>
    <row r="1143" spans="1:12">
      <c r="A1143" s="223" t="s">
        <v>4797</v>
      </c>
      <c r="B1143" s="80" t="s">
        <v>1292</v>
      </c>
      <c r="C1143" s="80" t="s">
        <v>4811</v>
      </c>
      <c r="D1143" s="107" t="s">
        <v>1293</v>
      </c>
      <c r="E1143" s="80">
        <v>1</v>
      </c>
      <c r="F1143" s="132">
        <v>7.85</v>
      </c>
      <c r="G1143" s="132">
        <v>12</v>
      </c>
      <c r="H1143" s="222">
        <f t="shared" si="51"/>
        <v>12</v>
      </c>
      <c r="I1143" s="236"/>
      <c r="J1143" s="236">
        <v>0</v>
      </c>
      <c r="K1143" s="236">
        <f t="shared" si="49"/>
        <v>12</v>
      </c>
      <c r="L1143" s="237">
        <f t="shared" si="50"/>
        <v>7.85</v>
      </c>
    </row>
    <row r="1144" spans="1:12">
      <c r="A1144" s="223" t="s">
        <v>4797</v>
      </c>
      <c r="B1144" s="80" t="s">
        <v>3723</v>
      </c>
      <c r="C1144" s="80" t="s">
        <v>4811</v>
      </c>
      <c r="D1144" s="107" t="s">
        <v>3724</v>
      </c>
      <c r="E1144" s="80">
        <v>1</v>
      </c>
      <c r="F1144" s="132">
        <v>19.47</v>
      </c>
      <c r="G1144" s="132">
        <v>23</v>
      </c>
      <c r="H1144" s="222">
        <f t="shared" si="51"/>
        <v>23</v>
      </c>
      <c r="I1144" s="236"/>
      <c r="J1144" s="236">
        <v>0</v>
      </c>
      <c r="K1144" s="236">
        <f t="shared" si="49"/>
        <v>23</v>
      </c>
      <c r="L1144" s="237">
        <f t="shared" si="50"/>
        <v>19.47</v>
      </c>
    </row>
    <row r="1145" spans="1:12">
      <c r="A1145" s="223" t="s">
        <v>4797</v>
      </c>
      <c r="B1145" s="80" t="s">
        <v>534</v>
      </c>
      <c r="C1145" s="80" t="s">
        <v>4812</v>
      </c>
      <c r="D1145" s="107" t="s">
        <v>535</v>
      </c>
      <c r="E1145" s="80">
        <v>1</v>
      </c>
      <c r="F1145" s="132">
        <v>17.649999999999999</v>
      </c>
      <c r="G1145" s="132">
        <v>18.75</v>
      </c>
      <c r="H1145" s="222">
        <f t="shared" si="51"/>
        <v>18.75</v>
      </c>
      <c r="I1145" s="236"/>
      <c r="J1145" s="236">
        <v>0</v>
      </c>
      <c r="K1145" s="236">
        <f t="shared" si="49"/>
        <v>18.75</v>
      </c>
      <c r="L1145" s="237">
        <f t="shared" si="50"/>
        <v>17.649999999999999</v>
      </c>
    </row>
    <row r="1146" spans="1:12">
      <c r="A1146" s="223" t="s">
        <v>4797</v>
      </c>
      <c r="B1146" s="80" t="s">
        <v>1427</v>
      </c>
      <c r="C1146" s="80" t="s">
        <v>4813</v>
      </c>
      <c r="D1146" s="107" t="s">
        <v>1428</v>
      </c>
      <c r="E1146" s="80">
        <v>1</v>
      </c>
      <c r="F1146" s="132">
        <v>13.32</v>
      </c>
      <c r="G1146" s="132">
        <v>15.5</v>
      </c>
      <c r="H1146" s="222">
        <f t="shared" si="51"/>
        <v>15.5</v>
      </c>
      <c r="I1146" s="236"/>
      <c r="J1146" s="236">
        <v>0</v>
      </c>
      <c r="K1146" s="236">
        <f t="shared" si="49"/>
        <v>15.5</v>
      </c>
      <c r="L1146" s="237">
        <f t="shared" si="50"/>
        <v>13.32</v>
      </c>
    </row>
    <row r="1147" spans="1:12">
      <c r="A1147" s="223" t="s">
        <v>4797</v>
      </c>
      <c r="B1147" s="80" t="s">
        <v>4071</v>
      </c>
      <c r="C1147" s="80" t="s">
        <v>4814</v>
      </c>
      <c r="D1147" s="107" t="s">
        <v>4072</v>
      </c>
      <c r="E1147" s="80">
        <v>2</v>
      </c>
      <c r="F1147" s="132">
        <v>6.03</v>
      </c>
      <c r="G1147" s="132">
        <v>7</v>
      </c>
      <c r="H1147" s="222">
        <f t="shared" si="51"/>
        <v>14</v>
      </c>
      <c r="I1147" s="236"/>
      <c r="J1147" s="236">
        <v>0</v>
      </c>
      <c r="K1147" s="236">
        <f t="shared" si="49"/>
        <v>14</v>
      </c>
      <c r="L1147" s="237">
        <f t="shared" si="50"/>
        <v>12.06</v>
      </c>
    </row>
    <row r="1148" spans="1:12">
      <c r="A1148" s="223" t="s">
        <v>4797</v>
      </c>
      <c r="B1148" s="80" t="s">
        <v>1353</v>
      </c>
      <c r="C1148" s="80" t="s">
        <v>4814</v>
      </c>
      <c r="D1148" s="107" t="s">
        <v>1354</v>
      </c>
      <c r="E1148" s="80">
        <v>1</v>
      </c>
      <c r="F1148" s="132">
        <v>12.66</v>
      </c>
      <c r="G1148" s="132">
        <v>14.25</v>
      </c>
      <c r="H1148" s="222">
        <f t="shared" si="51"/>
        <v>14.25</v>
      </c>
      <c r="I1148" s="236"/>
      <c r="J1148" s="236">
        <v>0</v>
      </c>
      <c r="K1148" s="236">
        <f t="shared" si="49"/>
        <v>14.25</v>
      </c>
      <c r="L1148" s="237">
        <f t="shared" si="50"/>
        <v>12.66</v>
      </c>
    </row>
    <row r="1149" spans="1:12">
      <c r="A1149" s="223" t="s">
        <v>4797</v>
      </c>
      <c r="B1149" s="80" t="s">
        <v>3398</v>
      </c>
      <c r="C1149" s="80" t="s">
        <v>4815</v>
      </c>
      <c r="D1149" s="107" t="s">
        <v>3399</v>
      </c>
      <c r="E1149" s="80">
        <v>20</v>
      </c>
      <c r="F1149" s="132">
        <v>90</v>
      </c>
      <c r="G1149" s="132">
        <v>120</v>
      </c>
      <c r="H1149" s="222">
        <f t="shared" si="51"/>
        <v>2400</v>
      </c>
      <c r="I1149" s="236"/>
      <c r="J1149" s="236">
        <v>0</v>
      </c>
      <c r="K1149" s="236">
        <f t="shared" si="49"/>
        <v>2400</v>
      </c>
      <c r="L1149" s="237">
        <f t="shared" si="50"/>
        <v>1800</v>
      </c>
    </row>
    <row r="1150" spans="1:12">
      <c r="A1150" s="223" t="s">
        <v>4797</v>
      </c>
      <c r="B1150" s="80" t="s">
        <v>701</v>
      </c>
      <c r="C1150" s="80" t="s">
        <v>4815</v>
      </c>
      <c r="D1150" s="107" t="s">
        <v>702</v>
      </c>
      <c r="E1150" s="80">
        <v>10</v>
      </c>
      <c r="F1150" s="132">
        <v>60</v>
      </c>
      <c r="G1150" s="132">
        <v>75</v>
      </c>
      <c r="H1150" s="222">
        <f t="shared" si="51"/>
        <v>750</v>
      </c>
      <c r="I1150" s="236"/>
      <c r="J1150" s="236">
        <v>0</v>
      </c>
      <c r="K1150" s="236">
        <f t="shared" si="49"/>
        <v>750</v>
      </c>
      <c r="L1150" s="237">
        <f t="shared" si="50"/>
        <v>600</v>
      </c>
    </row>
    <row r="1151" spans="1:12">
      <c r="A1151" s="223" t="s">
        <v>4797</v>
      </c>
      <c r="B1151" s="80" t="s">
        <v>789</v>
      </c>
      <c r="C1151" s="80" t="s">
        <v>4816</v>
      </c>
      <c r="D1151" s="107" t="s">
        <v>790</v>
      </c>
      <c r="E1151" s="80">
        <v>2</v>
      </c>
      <c r="F1151" s="132">
        <v>7.48</v>
      </c>
      <c r="G1151" s="132">
        <v>8.75</v>
      </c>
      <c r="H1151" s="222">
        <f t="shared" si="51"/>
        <v>17.5</v>
      </c>
      <c r="I1151" s="236"/>
      <c r="J1151" s="236">
        <v>0</v>
      </c>
      <c r="K1151" s="236">
        <f t="shared" si="49"/>
        <v>17.5</v>
      </c>
      <c r="L1151" s="237">
        <f t="shared" si="50"/>
        <v>14.96</v>
      </c>
    </row>
    <row r="1152" spans="1:12">
      <c r="A1152" s="223" t="s">
        <v>4797</v>
      </c>
      <c r="B1152" s="80" t="s">
        <v>828</v>
      </c>
      <c r="C1152" s="80" t="s">
        <v>4816</v>
      </c>
      <c r="D1152" s="107" t="s">
        <v>829</v>
      </c>
      <c r="E1152" s="80">
        <v>1</v>
      </c>
      <c r="F1152" s="132">
        <v>7.48</v>
      </c>
      <c r="G1152" s="132">
        <v>8.75</v>
      </c>
      <c r="H1152" s="222">
        <f t="shared" si="51"/>
        <v>8.75</v>
      </c>
      <c r="I1152" s="236"/>
      <c r="J1152" s="236">
        <v>0</v>
      </c>
      <c r="K1152" s="236">
        <f t="shared" si="49"/>
        <v>8.75</v>
      </c>
      <c r="L1152" s="237">
        <f t="shared" si="50"/>
        <v>7.48</v>
      </c>
    </row>
    <row r="1153" spans="1:12">
      <c r="A1153" s="223" t="s">
        <v>4797</v>
      </c>
      <c r="B1153" s="80" t="s">
        <v>986</v>
      </c>
      <c r="C1153" s="80" t="s">
        <v>4816</v>
      </c>
      <c r="D1153" s="107" t="s">
        <v>987</v>
      </c>
      <c r="E1153" s="80">
        <v>1</v>
      </c>
      <c r="F1153" s="132">
        <v>7.41</v>
      </c>
      <c r="G1153" s="132">
        <v>8.75</v>
      </c>
      <c r="H1153" s="222">
        <f t="shared" si="51"/>
        <v>8.75</v>
      </c>
      <c r="I1153" s="236"/>
      <c r="J1153" s="236">
        <v>0</v>
      </c>
      <c r="K1153" s="236">
        <f t="shared" si="49"/>
        <v>8.75</v>
      </c>
      <c r="L1153" s="237">
        <f t="shared" si="50"/>
        <v>7.41</v>
      </c>
    </row>
    <row r="1154" spans="1:12">
      <c r="A1154" s="223" t="s">
        <v>4797</v>
      </c>
      <c r="B1154" s="80" t="s">
        <v>848</v>
      </c>
      <c r="C1154" s="80" t="s">
        <v>4816</v>
      </c>
      <c r="D1154" s="107" t="s">
        <v>849</v>
      </c>
      <c r="E1154" s="80">
        <v>2</v>
      </c>
      <c r="F1154" s="132">
        <v>8.1999999999999993</v>
      </c>
      <c r="G1154" s="132">
        <v>10</v>
      </c>
      <c r="H1154" s="222">
        <f t="shared" si="51"/>
        <v>20</v>
      </c>
      <c r="I1154" s="236"/>
      <c r="J1154" s="236">
        <v>0</v>
      </c>
      <c r="K1154" s="236">
        <f t="shared" si="49"/>
        <v>20</v>
      </c>
      <c r="L1154" s="237">
        <f t="shared" si="50"/>
        <v>16.399999999999999</v>
      </c>
    </row>
    <row r="1155" spans="1:12">
      <c r="A1155" s="223">
        <v>46198</v>
      </c>
      <c r="B1155" s="80" t="s">
        <v>1752</v>
      </c>
      <c r="C1155" s="80" t="s">
        <v>4817</v>
      </c>
      <c r="D1155" s="107" t="s">
        <v>1753</v>
      </c>
      <c r="E1155" s="80">
        <v>2</v>
      </c>
      <c r="F1155" s="232">
        <v>132.80000000000001</v>
      </c>
      <c r="G1155" s="232">
        <v>152.75</v>
      </c>
      <c r="H1155" s="222">
        <f t="shared" si="51"/>
        <v>305.5</v>
      </c>
      <c r="I1155" s="236"/>
      <c r="J1155" s="236">
        <v>0</v>
      </c>
      <c r="K1155" s="236">
        <f t="shared" si="49"/>
        <v>305.5</v>
      </c>
      <c r="L1155" s="237">
        <f t="shared" si="50"/>
        <v>265.60000000000002</v>
      </c>
    </row>
    <row r="1156" spans="1:12">
      <c r="A1156" s="223">
        <v>46198</v>
      </c>
      <c r="B1156" s="80" t="s">
        <v>2051</v>
      </c>
      <c r="C1156" s="80" t="s">
        <v>4817</v>
      </c>
      <c r="D1156" s="107" t="s">
        <v>2052</v>
      </c>
      <c r="E1156" s="80">
        <v>2</v>
      </c>
      <c r="F1156" s="232">
        <v>13.39</v>
      </c>
      <c r="G1156" s="232">
        <v>15.5</v>
      </c>
      <c r="H1156" s="222">
        <f t="shared" si="51"/>
        <v>31</v>
      </c>
      <c r="I1156" s="236"/>
      <c r="J1156" s="236">
        <v>0</v>
      </c>
      <c r="K1156" s="236">
        <f t="shared" si="49"/>
        <v>31</v>
      </c>
      <c r="L1156" s="237">
        <f t="shared" si="50"/>
        <v>26.78</v>
      </c>
    </row>
    <row r="1157" spans="1:12">
      <c r="A1157" s="223">
        <v>46198</v>
      </c>
      <c r="B1157" s="80" t="s">
        <v>2015</v>
      </c>
      <c r="C1157" s="80" t="s">
        <v>4817</v>
      </c>
      <c r="D1157" s="107" t="s">
        <v>2016</v>
      </c>
      <c r="E1157" s="80">
        <v>1</v>
      </c>
      <c r="F1157" s="232">
        <v>301.87</v>
      </c>
      <c r="G1157" s="232">
        <v>347.25</v>
      </c>
      <c r="H1157" s="222">
        <f t="shared" si="51"/>
        <v>347.25</v>
      </c>
      <c r="I1157" s="236"/>
      <c r="J1157" s="236">
        <v>0</v>
      </c>
      <c r="K1157" s="236">
        <f t="shared" si="49"/>
        <v>347.25</v>
      </c>
      <c r="L1157" s="237">
        <f t="shared" si="50"/>
        <v>301.87</v>
      </c>
    </row>
    <row r="1158" spans="1:12">
      <c r="A1158" s="223">
        <v>46198</v>
      </c>
      <c r="B1158" s="80" t="s">
        <v>2091</v>
      </c>
      <c r="C1158" s="80" t="s">
        <v>4818</v>
      </c>
      <c r="D1158" s="107" t="s">
        <v>2092</v>
      </c>
      <c r="E1158" s="80">
        <v>1</v>
      </c>
      <c r="F1158" s="232">
        <v>63.2</v>
      </c>
      <c r="G1158" s="232">
        <v>72.75</v>
      </c>
      <c r="H1158" s="222">
        <f t="shared" si="51"/>
        <v>72.75</v>
      </c>
      <c r="I1158" s="236"/>
      <c r="J1158" s="236">
        <v>0</v>
      </c>
      <c r="K1158" s="236">
        <f t="shared" ref="K1158:K1221" si="52">H1158+I1158-J1158</f>
        <v>72.75</v>
      </c>
      <c r="L1158" s="237">
        <f t="shared" ref="L1158:L1221" si="53">E1158*F1158</f>
        <v>63.2</v>
      </c>
    </row>
    <row r="1159" spans="1:12">
      <c r="A1159" s="223">
        <v>46198</v>
      </c>
      <c r="B1159" s="80" t="s">
        <v>2093</v>
      </c>
      <c r="C1159" s="80" t="s">
        <v>4818</v>
      </c>
      <c r="D1159" s="107" t="s">
        <v>2094</v>
      </c>
      <c r="E1159" s="80">
        <v>2</v>
      </c>
      <c r="F1159" s="232">
        <v>53.2</v>
      </c>
      <c r="G1159" s="232">
        <v>61.25</v>
      </c>
      <c r="H1159" s="222">
        <f t="shared" si="51"/>
        <v>122.5</v>
      </c>
      <c r="I1159" s="236"/>
      <c r="J1159" s="236">
        <v>0</v>
      </c>
      <c r="K1159" s="236">
        <f t="shared" si="52"/>
        <v>122.5</v>
      </c>
      <c r="L1159" s="237">
        <f t="shared" si="53"/>
        <v>106.4</v>
      </c>
    </row>
    <row r="1160" spans="1:12">
      <c r="A1160" s="223">
        <v>46198</v>
      </c>
      <c r="B1160" s="80" t="s">
        <v>2031</v>
      </c>
      <c r="C1160" s="80" t="s">
        <v>4818</v>
      </c>
      <c r="D1160" s="107" t="s">
        <v>2032</v>
      </c>
      <c r="E1160" s="80">
        <v>1</v>
      </c>
      <c r="F1160" s="132">
        <v>27.84</v>
      </c>
      <c r="G1160" s="132">
        <v>45</v>
      </c>
      <c r="H1160" s="222">
        <f t="shared" si="51"/>
        <v>45</v>
      </c>
      <c r="I1160" s="236"/>
      <c r="J1160" s="236">
        <v>0</v>
      </c>
      <c r="K1160" s="236">
        <f t="shared" si="52"/>
        <v>45</v>
      </c>
      <c r="L1160" s="237">
        <f t="shared" si="53"/>
        <v>27.84</v>
      </c>
    </row>
    <row r="1161" spans="1:12">
      <c r="A1161" s="223">
        <v>46198</v>
      </c>
      <c r="B1161" s="80" t="s">
        <v>1104</v>
      </c>
      <c r="C1161" s="80" t="s">
        <v>4819</v>
      </c>
      <c r="D1161" s="107" t="s">
        <v>1105</v>
      </c>
      <c r="E1161" s="80">
        <v>1</v>
      </c>
      <c r="F1161" s="132">
        <v>61.75</v>
      </c>
      <c r="G1161" s="132">
        <v>71.25</v>
      </c>
      <c r="H1161" s="222">
        <f t="shared" si="51"/>
        <v>71.25</v>
      </c>
      <c r="I1161" s="236"/>
      <c r="J1161" s="236">
        <v>0</v>
      </c>
      <c r="K1161" s="236">
        <f t="shared" si="52"/>
        <v>71.25</v>
      </c>
      <c r="L1161" s="237">
        <f t="shared" si="53"/>
        <v>61.75</v>
      </c>
    </row>
    <row r="1162" spans="1:12">
      <c r="A1162" s="223">
        <v>46198</v>
      </c>
      <c r="B1162" s="80" t="s">
        <v>1049</v>
      </c>
      <c r="C1162" s="80" t="s">
        <v>4819</v>
      </c>
      <c r="D1162" s="107" t="s">
        <v>1050</v>
      </c>
      <c r="E1162" s="80">
        <v>1</v>
      </c>
      <c r="F1162" s="132">
        <v>59.51</v>
      </c>
      <c r="G1162" s="132">
        <v>68.5</v>
      </c>
      <c r="H1162" s="222">
        <f t="shared" si="51"/>
        <v>68.5</v>
      </c>
      <c r="I1162" s="236"/>
      <c r="J1162" s="236">
        <v>0</v>
      </c>
      <c r="K1162" s="236">
        <f t="shared" si="52"/>
        <v>68.5</v>
      </c>
      <c r="L1162" s="237">
        <f t="shared" si="53"/>
        <v>59.51</v>
      </c>
    </row>
    <row r="1163" spans="1:12">
      <c r="A1163" s="223">
        <v>46198</v>
      </c>
      <c r="B1163" s="80" t="s">
        <v>1805</v>
      </c>
      <c r="C1163" s="80" t="s">
        <v>4819</v>
      </c>
      <c r="D1163" s="107" t="s">
        <v>1806</v>
      </c>
      <c r="E1163" s="80">
        <v>1</v>
      </c>
      <c r="F1163" s="132">
        <v>22.45</v>
      </c>
      <c r="G1163" s="132">
        <v>26</v>
      </c>
      <c r="H1163" s="222">
        <f t="shared" si="51"/>
        <v>26</v>
      </c>
      <c r="I1163" s="236"/>
      <c r="J1163" s="236">
        <v>0</v>
      </c>
      <c r="K1163" s="236">
        <f t="shared" si="52"/>
        <v>26</v>
      </c>
      <c r="L1163" s="237">
        <f t="shared" si="53"/>
        <v>22.45</v>
      </c>
    </row>
    <row r="1164" spans="1:12">
      <c r="A1164" s="223">
        <v>46198</v>
      </c>
      <c r="B1164" s="80" t="s">
        <v>3992</v>
      </c>
      <c r="C1164" s="80" t="s">
        <v>4820</v>
      </c>
      <c r="D1164" s="107" t="s">
        <v>4162</v>
      </c>
      <c r="E1164" s="80">
        <v>1</v>
      </c>
      <c r="F1164" s="132">
        <v>60.75</v>
      </c>
      <c r="G1164" s="132">
        <v>67.25</v>
      </c>
      <c r="H1164" s="222">
        <f t="shared" si="51"/>
        <v>67.25</v>
      </c>
      <c r="I1164" s="236"/>
      <c r="J1164" s="236">
        <v>0</v>
      </c>
      <c r="K1164" s="236">
        <f t="shared" si="52"/>
        <v>67.25</v>
      </c>
      <c r="L1164" s="237">
        <f t="shared" si="53"/>
        <v>60.75</v>
      </c>
    </row>
    <row r="1165" spans="1:12">
      <c r="A1165" s="223">
        <v>46198</v>
      </c>
      <c r="B1165" s="80" t="s">
        <v>1597</v>
      </c>
      <c r="C1165" s="80" t="s">
        <v>4821</v>
      </c>
      <c r="D1165" s="107" t="s">
        <v>1598</v>
      </c>
      <c r="E1165" s="80">
        <v>1</v>
      </c>
      <c r="F1165" s="132">
        <v>21.88</v>
      </c>
      <c r="G1165" s="132">
        <v>25.25</v>
      </c>
      <c r="H1165" s="222">
        <f t="shared" si="51"/>
        <v>25.25</v>
      </c>
      <c r="I1165" s="236"/>
      <c r="J1165" s="236">
        <v>0</v>
      </c>
      <c r="K1165" s="236">
        <f t="shared" si="52"/>
        <v>25.25</v>
      </c>
      <c r="L1165" s="237">
        <f t="shared" si="53"/>
        <v>21.88</v>
      </c>
    </row>
    <row r="1166" spans="1:12">
      <c r="A1166" s="223">
        <v>46198</v>
      </c>
      <c r="B1166" s="80" t="s">
        <v>3586</v>
      </c>
      <c r="C1166" s="80" t="s">
        <v>4821</v>
      </c>
      <c r="D1166" s="107" t="s">
        <v>3587</v>
      </c>
      <c r="E1166" s="80">
        <v>1</v>
      </c>
      <c r="F1166" s="132">
        <v>13.2</v>
      </c>
      <c r="G1166" s="132">
        <v>16</v>
      </c>
      <c r="H1166" s="222">
        <f t="shared" si="51"/>
        <v>16</v>
      </c>
      <c r="I1166" s="236"/>
      <c r="J1166" s="236">
        <v>0</v>
      </c>
      <c r="K1166" s="236">
        <f t="shared" si="52"/>
        <v>16</v>
      </c>
      <c r="L1166" s="237">
        <f t="shared" si="53"/>
        <v>13.2</v>
      </c>
    </row>
    <row r="1167" spans="1:12">
      <c r="A1167" s="223">
        <v>46198</v>
      </c>
      <c r="B1167" s="80" t="s">
        <v>4370</v>
      </c>
      <c r="C1167" s="80" t="s">
        <v>4821</v>
      </c>
      <c r="D1167" s="107" t="s">
        <v>4372</v>
      </c>
      <c r="E1167" s="80">
        <v>1</v>
      </c>
      <c r="F1167" s="132">
        <v>9.2799999999999994</v>
      </c>
      <c r="G1167" s="132">
        <v>10.75</v>
      </c>
      <c r="H1167" s="222">
        <f t="shared" si="51"/>
        <v>10.75</v>
      </c>
      <c r="I1167" s="236"/>
      <c r="J1167" s="236">
        <v>0</v>
      </c>
      <c r="K1167" s="236">
        <f t="shared" si="52"/>
        <v>10.75</v>
      </c>
      <c r="L1167" s="237">
        <f t="shared" si="53"/>
        <v>9.2799999999999994</v>
      </c>
    </row>
    <row r="1168" spans="1:12">
      <c r="A1168" s="223">
        <v>46198</v>
      </c>
      <c r="B1168" s="80" t="s">
        <v>4822</v>
      </c>
      <c r="C1168" s="80" t="s">
        <v>4823</v>
      </c>
      <c r="D1168" s="107" t="s">
        <v>4824</v>
      </c>
      <c r="E1168" s="80">
        <v>1</v>
      </c>
      <c r="F1168" s="132">
        <v>6.4</v>
      </c>
      <c r="G1168" s="132">
        <v>7.5</v>
      </c>
      <c r="H1168" s="222">
        <f t="shared" si="51"/>
        <v>7.5</v>
      </c>
      <c r="I1168" s="236"/>
      <c r="J1168" s="236">
        <v>0</v>
      </c>
      <c r="K1168" s="236">
        <f t="shared" si="52"/>
        <v>7.5</v>
      </c>
      <c r="L1168" s="237">
        <f t="shared" si="53"/>
        <v>6.4</v>
      </c>
    </row>
    <row r="1169" spans="1:12">
      <c r="A1169" s="223">
        <v>46198</v>
      </c>
      <c r="B1169" s="80" t="s">
        <v>721</v>
      </c>
      <c r="C1169" s="80" t="s">
        <v>4825</v>
      </c>
      <c r="D1169" s="107" t="s">
        <v>722</v>
      </c>
      <c r="E1169" s="80">
        <v>1</v>
      </c>
      <c r="F1169" s="132">
        <v>34.47</v>
      </c>
      <c r="G1169" s="132">
        <v>39.75</v>
      </c>
      <c r="H1169" s="222">
        <f t="shared" si="51"/>
        <v>39.75</v>
      </c>
      <c r="I1169" s="236"/>
      <c r="J1169" s="236">
        <v>0</v>
      </c>
      <c r="K1169" s="236">
        <f t="shared" si="52"/>
        <v>39.75</v>
      </c>
      <c r="L1169" s="237">
        <f t="shared" si="53"/>
        <v>34.47</v>
      </c>
    </row>
    <row r="1170" spans="1:12">
      <c r="A1170" s="223">
        <v>46198</v>
      </c>
      <c r="B1170" s="80" t="s">
        <v>616</v>
      </c>
      <c r="C1170" s="80" t="s">
        <v>4825</v>
      </c>
      <c r="D1170" s="107" t="s">
        <v>617</v>
      </c>
      <c r="E1170" s="80">
        <v>1</v>
      </c>
      <c r="F1170" s="132">
        <v>41.83</v>
      </c>
      <c r="G1170" s="132">
        <v>48.25</v>
      </c>
      <c r="H1170" s="222">
        <f t="shared" si="51"/>
        <v>48.25</v>
      </c>
      <c r="I1170" s="236"/>
      <c r="J1170" s="236">
        <v>0</v>
      </c>
      <c r="K1170" s="236">
        <f t="shared" si="52"/>
        <v>48.25</v>
      </c>
      <c r="L1170" s="237">
        <f t="shared" si="53"/>
        <v>41.83</v>
      </c>
    </row>
    <row r="1171" spans="1:12">
      <c r="A1171" s="223">
        <v>46198</v>
      </c>
      <c r="B1171" s="80" t="s">
        <v>1427</v>
      </c>
      <c r="C1171" s="80" t="s">
        <v>4825</v>
      </c>
      <c r="D1171" s="107" t="s">
        <v>1428</v>
      </c>
      <c r="E1171" s="80">
        <v>10</v>
      </c>
      <c r="F1171" s="132">
        <v>13.32</v>
      </c>
      <c r="G1171" s="132">
        <v>15.5</v>
      </c>
      <c r="H1171" s="222">
        <f t="shared" si="51"/>
        <v>155</v>
      </c>
      <c r="I1171" s="236"/>
      <c r="J1171" s="236">
        <v>0</v>
      </c>
      <c r="K1171" s="236">
        <f t="shared" si="52"/>
        <v>155</v>
      </c>
      <c r="L1171" s="237">
        <f t="shared" si="53"/>
        <v>133.19999999999999</v>
      </c>
    </row>
    <row r="1172" spans="1:12">
      <c r="A1172" s="223">
        <v>46198</v>
      </c>
      <c r="B1172" s="80" t="s">
        <v>1599</v>
      </c>
      <c r="C1172" s="80" t="s">
        <v>4825</v>
      </c>
      <c r="D1172" s="107" t="s">
        <v>1600</v>
      </c>
      <c r="E1172" s="80">
        <v>3</v>
      </c>
      <c r="F1172" s="132">
        <v>21.88</v>
      </c>
      <c r="G1172" s="132">
        <v>24.5</v>
      </c>
      <c r="H1172" s="222">
        <f t="shared" si="51"/>
        <v>73.5</v>
      </c>
      <c r="I1172" s="236"/>
      <c r="J1172" s="236">
        <v>0</v>
      </c>
      <c r="K1172" s="236">
        <f t="shared" si="52"/>
        <v>73.5</v>
      </c>
      <c r="L1172" s="237">
        <f t="shared" si="53"/>
        <v>65.64</v>
      </c>
    </row>
    <row r="1173" spans="1:12">
      <c r="A1173" s="223">
        <v>46198</v>
      </c>
      <c r="B1173" s="80" t="s">
        <v>1327</v>
      </c>
      <c r="C1173" s="80" t="s">
        <v>4825</v>
      </c>
      <c r="D1173" s="107" t="s">
        <v>1328</v>
      </c>
      <c r="E1173" s="80">
        <v>3</v>
      </c>
      <c r="F1173" s="132">
        <v>96.67</v>
      </c>
      <c r="G1173" s="132">
        <v>111.25</v>
      </c>
      <c r="H1173" s="222">
        <f t="shared" si="51"/>
        <v>333.75</v>
      </c>
      <c r="I1173" s="236"/>
      <c r="J1173" s="236">
        <v>0</v>
      </c>
      <c r="K1173" s="236">
        <f t="shared" si="52"/>
        <v>333.75</v>
      </c>
      <c r="L1173" s="237">
        <f t="shared" si="53"/>
        <v>290.01</v>
      </c>
    </row>
    <row r="1174" spans="1:12">
      <c r="A1174" s="223">
        <v>46198</v>
      </c>
      <c r="B1174" s="80" t="s">
        <v>1452</v>
      </c>
      <c r="C1174" s="80" t="s">
        <v>4825</v>
      </c>
      <c r="D1174" s="107" t="s">
        <v>1453</v>
      </c>
      <c r="E1174" s="80">
        <v>3</v>
      </c>
      <c r="F1174" s="132">
        <v>109.57</v>
      </c>
      <c r="G1174" s="132">
        <v>136.5</v>
      </c>
      <c r="H1174" s="222">
        <f t="shared" si="51"/>
        <v>409.5</v>
      </c>
      <c r="I1174" s="236"/>
      <c r="J1174" s="236">
        <v>0</v>
      </c>
      <c r="K1174" s="236">
        <f t="shared" si="52"/>
        <v>409.5</v>
      </c>
      <c r="L1174" s="237">
        <f t="shared" si="53"/>
        <v>328.71</v>
      </c>
    </row>
    <row r="1175" spans="1:12">
      <c r="A1175" s="223">
        <v>46198</v>
      </c>
      <c r="B1175" s="80" t="s">
        <v>639</v>
      </c>
      <c r="C1175" s="80" t="s">
        <v>4825</v>
      </c>
      <c r="D1175" s="107" t="s">
        <v>640</v>
      </c>
      <c r="E1175" s="80">
        <v>2</v>
      </c>
      <c r="F1175" s="132">
        <v>33.1</v>
      </c>
      <c r="G1175" s="132">
        <v>38.25</v>
      </c>
      <c r="H1175" s="222">
        <f t="shared" si="51"/>
        <v>76.5</v>
      </c>
      <c r="I1175" s="236"/>
      <c r="J1175" s="236">
        <v>0</v>
      </c>
      <c r="K1175" s="236">
        <f t="shared" si="52"/>
        <v>76.5</v>
      </c>
      <c r="L1175" s="237">
        <f t="shared" si="53"/>
        <v>66.2</v>
      </c>
    </row>
    <row r="1176" spans="1:12">
      <c r="A1176" s="223">
        <v>46198</v>
      </c>
      <c r="B1176" s="80" t="s">
        <v>584</v>
      </c>
      <c r="C1176" s="80" t="s">
        <v>4825</v>
      </c>
      <c r="D1176" s="107" t="s">
        <v>585</v>
      </c>
      <c r="E1176" s="80">
        <v>2</v>
      </c>
      <c r="F1176" s="132">
        <v>34.380000000000003</v>
      </c>
      <c r="G1176" s="132">
        <v>39.75</v>
      </c>
      <c r="H1176" s="222">
        <f t="shared" si="51"/>
        <v>79.5</v>
      </c>
      <c r="I1176" s="236"/>
      <c r="J1176" s="236">
        <v>0</v>
      </c>
      <c r="K1176" s="236">
        <f t="shared" si="52"/>
        <v>79.5</v>
      </c>
      <c r="L1176" s="237">
        <f t="shared" si="53"/>
        <v>68.760000000000005</v>
      </c>
    </row>
    <row r="1177" spans="1:12">
      <c r="A1177" s="223">
        <v>46198</v>
      </c>
      <c r="B1177" s="80" t="s">
        <v>1695</v>
      </c>
      <c r="C1177" s="80" t="s">
        <v>4825</v>
      </c>
      <c r="D1177" s="107" t="s">
        <v>1696</v>
      </c>
      <c r="E1177" s="80">
        <v>2</v>
      </c>
      <c r="F1177" s="132">
        <v>38.39</v>
      </c>
      <c r="G1177" s="132">
        <v>44.25</v>
      </c>
      <c r="H1177" s="222">
        <f t="shared" si="51"/>
        <v>88.5</v>
      </c>
      <c r="I1177" s="236"/>
      <c r="J1177" s="236">
        <v>0</v>
      </c>
      <c r="K1177" s="236">
        <f t="shared" si="52"/>
        <v>88.5</v>
      </c>
      <c r="L1177" s="237">
        <f t="shared" si="53"/>
        <v>76.78</v>
      </c>
    </row>
    <row r="1178" spans="1:12">
      <c r="A1178" s="223">
        <v>46198</v>
      </c>
      <c r="B1178" s="80" t="s">
        <v>1703</v>
      </c>
      <c r="C1178" s="80" t="s">
        <v>4825</v>
      </c>
      <c r="D1178" s="107" t="s">
        <v>1704</v>
      </c>
      <c r="E1178" s="80">
        <v>4</v>
      </c>
      <c r="F1178" s="132">
        <v>45.88</v>
      </c>
      <c r="G1178" s="132">
        <v>52.75</v>
      </c>
      <c r="H1178" s="222">
        <f t="shared" si="51"/>
        <v>211</v>
      </c>
      <c r="I1178" s="236"/>
      <c r="J1178" s="236">
        <v>0</v>
      </c>
      <c r="K1178" s="236">
        <f t="shared" si="52"/>
        <v>211</v>
      </c>
      <c r="L1178" s="237">
        <f t="shared" si="53"/>
        <v>183.52</v>
      </c>
    </row>
    <row r="1179" spans="1:12">
      <c r="A1179" s="223">
        <v>46198</v>
      </c>
      <c r="B1179" s="80" t="s">
        <v>892</v>
      </c>
      <c r="C1179" s="80" t="s">
        <v>4826</v>
      </c>
      <c r="D1179" s="107" t="s">
        <v>893</v>
      </c>
      <c r="E1179" s="80">
        <v>1</v>
      </c>
      <c r="F1179" s="132">
        <v>72.95</v>
      </c>
      <c r="G1179" s="132">
        <v>80.25</v>
      </c>
      <c r="H1179" s="222">
        <f t="shared" si="51"/>
        <v>80.25</v>
      </c>
      <c r="I1179" s="236"/>
      <c r="J1179" s="236">
        <v>0</v>
      </c>
      <c r="K1179" s="236">
        <f t="shared" si="52"/>
        <v>80.25</v>
      </c>
      <c r="L1179" s="237">
        <f t="shared" si="53"/>
        <v>72.95</v>
      </c>
    </row>
    <row r="1180" spans="1:12">
      <c r="A1180" s="223">
        <v>46198</v>
      </c>
      <c r="B1180" s="80" t="s">
        <v>4660</v>
      </c>
      <c r="C1180" s="80" t="s">
        <v>4826</v>
      </c>
      <c r="D1180" s="107" t="s">
        <v>4661</v>
      </c>
      <c r="E1180" s="80">
        <v>3</v>
      </c>
      <c r="F1180" s="132">
        <v>14.5</v>
      </c>
      <c r="G1180" s="132">
        <v>16.75</v>
      </c>
      <c r="H1180" s="222">
        <f t="shared" ref="H1180:H1243" si="54">E1180*G1180</f>
        <v>50.25</v>
      </c>
      <c r="I1180" s="236"/>
      <c r="J1180" s="236">
        <v>0</v>
      </c>
      <c r="K1180" s="236">
        <f t="shared" si="52"/>
        <v>50.25</v>
      </c>
      <c r="L1180" s="237">
        <f t="shared" si="53"/>
        <v>43.5</v>
      </c>
    </row>
    <row r="1181" spans="1:12">
      <c r="A1181" s="223">
        <v>46198</v>
      </c>
      <c r="B1181" s="80" t="s">
        <v>2399</v>
      </c>
      <c r="C1181" s="80" t="s">
        <v>4826</v>
      </c>
      <c r="D1181" s="107" t="s">
        <v>2400</v>
      </c>
      <c r="E1181" s="80">
        <v>1</v>
      </c>
      <c r="F1181" s="132">
        <v>57.1</v>
      </c>
      <c r="G1181" s="132">
        <v>65.75</v>
      </c>
      <c r="H1181" s="222">
        <f t="shared" si="54"/>
        <v>65.75</v>
      </c>
      <c r="I1181" s="236"/>
      <c r="J1181" s="236">
        <v>0</v>
      </c>
      <c r="K1181" s="236">
        <f t="shared" si="52"/>
        <v>65.75</v>
      </c>
      <c r="L1181" s="237">
        <f t="shared" si="53"/>
        <v>57.1</v>
      </c>
    </row>
    <row r="1182" spans="1:12">
      <c r="A1182" s="223">
        <v>46198</v>
      </c>
      <c r="B1182" s="80" t="s">
        <v>639</v>
      </c>
      <c r="C1182" s="80" t="s">
        <v>4826</v>
      </c>
      <c r="D1182" s="107" t="s">
        <v>640</v>
      </c>
      <c r="E1182" s="229">
        <v>1</v>
      </c>
      <c r="F1182" s="132">
        <v>33.1</v>
      </c>
      <c r="G1182" s="132">
        <v>38.25</v>
      </c>
      <c r="H1182" s="222">
        <f t="shared" si="54"/>
        <v>38.25</v>
      </c>
      <c r="I1182" s="236"/>
      <c r="J1182" s="236">
        <v>0</v>
      </c>
      <c r="K1182" s="236">
        <f t="shared" si="52"/>
        <v>38.25</v>
      </c>
      <c r="L1182" s="237">
        <f t="shared" si="53"/>
        <v>33.1</v>
      </c>
    </row>
    <row r="1183" spans="1:12">
      <c r="A1183" s="223">
        <v>46198</v>
      </c>
      <c r="B1183" s="80" t="s">
        <v>614</v>
      </c>
      <c r="C1183" s="80" t="s">
        <v>4826</v>
      </c>
      <c r="D1183" s="107" t="s">
        <v>615</v>
      </c>
      <c r="E1183" s="80">
        <v>1</v>
      </c>
      <c r="F1183" s="132">
        <v>16.579999999999998</v>
      </c>
      <c r="G1183" s="132">
        <v>19</v>
      </c>
      <c r="H1183" s="222">
        <f t="shared" si="54"/>
        <v>19</v>
      </c>
      <c r="I1183" s="236"/>
      <c r="J1183" s="236">
        <v>0</v>
      </c>
      <c r="K1183" s="236">
        <f t="shared" si="52"/>
        <v>19</v>
      </c>
      <c r="L1183" s="237">
        <f t="shared" si="53"/>
        <v>16.579999999999998</v>
      </c>
    </row>
    <row r="1184" spans="1:12">
      <c r="A1184" s="223">
        <v>46198</v>
      </c>
      <c r="B1184" s="80" t="s">
        <v>2805</v>
      </c>
      <c r="C1184" s="80" t="s">
        <v>4827</v>
      </c>
      <c r="D1184" s="107" t="s">
        <v>2806</v>
      </c>
      <c r="E1184" s="80">
        <v>4</v>
      </c>
      <c r="F1184" s="132">
        <v>14.91</v>
      </c>
      <c r="G1184" s="132">
        <v>17.25</v>
      </c>
      <c r="H1184" s="222">
        <f t="shared" si="54"/>
        <v>69</v>
      </c>
      <c r="I1184" s="236"/>
      <c r="J1184" s="236">
        <v>0</v>
      </c>
      <c r="K1184" s="236">
        <f t="shared" si="52"/>
        <v>69</v>
      </c>
      <c r="L1184" s="237">
        <f t="shared" si="53"/>
        <v>59.64</v>
      </c>
    </row>
    <row r="1185" spans="1:12">
      <c r="A1185" s="223">
        <v>46198</v>
      </c>
      <c r="B1185" s="80" t="s">
        <v>3723</v>
      </c>
      <c r="C1185" s="80" t="s">
        <v>4828</v>
      </c>
      <c r="D1185" s="107" t="s">
        <v>3724</v>
      </c>
      <c r="E1185" s="80">
        <v>2</v>
      </c>
      <c r="F1185" s="132">
        <v>19.47</v>
      </c>
      <c r="G1185" s="132">
        <v>23</v>
      </c>
      <c r="H1185" s="222">
        <f t="shared" si="54"/>
        <v>46</v>
      </c>
      <c r="I1185" s="236"/>
      <c r="J1185" s="236">
        <v>0</v>
      </c>
      <c r="K1185" s="236">
        <f t="shared" si="52"/>
        <v>46</v>
      </c>
      <c r="L1185" s="237">
        <f t="shared" si="53"/>
        <v>38.94</v>
      </c>
    </row>
    <row r="1186" spans="1:12">
      <c r="A1186" s="223">
        <v>46198</v>
      </c>
      <c r="B1186" s="80" t="s">
        <v>817</v>
      </c>
      <c r="C1186" s="80" t="s">
        <v>4829</v>
      </c>
      <c r="D1186" s="107" t="s">
        <v>818</v>
      </c>
      <c r="E1186" s="80">
        <v>1</v>
      </c>
      <c r="F1186" s="132">
        <v>58.45</v>
      </c>
      <c r="G1186" s="132">
        <v>67.25</v>
      </c>
      <c r="H1186" s="222">
        <f t="shared" si="54"/>
        <v>67.25</v>
      </c>
      <c r="I1186" s="236"/>
      <c r="J1186" s="236">
        <v>0</v>
      </c>
      <c r="K1186" s="236">
        <f t="shared" si="52"/>
        <v>67.25</v>
      </c>
      <c r="L1186" s="237">
        <f t="shared" si="53"/>
        <v>58.45</v>
      </c>
    </row>
    <row r="1187" spans="1:12">
      <c r="A1187" s="224">
        <v>46198</v>
      </c>
      <c r="B1187" s="225" t="s">
        <v>1086</v>
      </c>
      <c r="C1187" s="225" t="s">
        <v>4830</v>
      </c>
      <c r="D1187" s="226" t="s">
        <v>1087</v>
      </c>
      <c r="E1187" s="225">
        <v>1</v>
      </c>
      <c r="F1187" s="231"/>
      <c r="G1187" s="231">
        <v>73.25</v>
      </c>
      <c r="H1187" s="228">
        <f t="shared" si="54"/>
        <v>73.25</v>
      </c>
      <c r="I1187" s="238"/>
      <c r="J1187" s="238">
        <v>0</v>
      </c>
      <c r="K1187" s="238">
        <f t="shared" si="52"/>
        <v>73.25</v>
      </c>
      <c r="L1187" s="239">
        <f t="shared" si="53"/>
        <v>0</v>
      </c>
    </row>
    <row r="1188" spans="1:12">
      <c r="A1188" s="223">
        <v>46198</v>
      </c>
      <c r="B1188" s="80" t="s">
        <v>2481</v>
      </c>
      <c r="C1188" s="80" t="s">
        <v>4831</v>
      </c>
      <c r="D1188" s="107" t="s">
        <v>2482</v>
      </c>
      <c r="E1188" s="80">
        <v>1</v>
      </c>
      <c r="F1188" s="132">
        <v>33</v>
      </c>
      <c r="G1188" s="132">
        <v>38</v>
      </c>
      <c r="H1188" s="222">
        <f t="shared" si="54"/>
        <v>38</v>
      </c>
      <c r="I1188" s="236"/>
      <c r="J1188" s="236">
        <v>0</v>
      </c>
      <c r="K1188" s="236">
        <f t="shared" si="52"/>
        <v>38</v>
      </c>
      <c r="L1188" s="237">
        <f t="shared" si="53"/>
        <v>33</v>
      </c>
    </row>
    <row r="1189" spans="1:12">
      <c r="A1189" s="223">
        <v>46198</v>
      </c>
      <c r="B1189" s="80" t="s">
        <v>1964</v>
      </c>
      <c r="C1189" s="80" t="s">
        <v>4832</v>
      </c>
      <c r="D1189" s="107" t="s">
        <v>1965</v>
      </c>
      <c r="E1189" s="80">
        <v>2</v>
      </c>
      <c r="F1189" s="132">
        <v>31.19</v>
      </c>
      <c r="G1189" s="132">
        <v>36</v>
      </c>
      <c r="H1189" s="222">
        <f t="shared" si="54"/>
        <v>72</v>
      </c>
      <c r="I1189" s="236"/>
      <c r="J1189" s="236">
        <v>0</v>
      </c>
      <c r="K1189" s="236">
        <f t="shared" si="52"/>
        <v>72</v>
      </c>
      <c r="L1189" s="237">
        <f t="shared" si="53"/>
        <v>62.38</v>
      </c>
    </row>
    <row r="1190" spans="1:12">
      <c r="A1190" s="223">
        <v>46198</v>
      </c>
      <c r="B1190" s="80" t="s">
        <v>2007</v>
      </c>
      <c r="C1190" s="80" t="s">
        <v>4832</v>
      </c>
      <c r="D1190" s="107" t="s">
        <v>2008</v>
      </c>
      <c r="E1190" s="80">
        <v>4</v>
      </c>
      <c r="F1190" s="132">
        <v>51.97</v>
      </c>
      <c r="G1190" s="132">
        <v>60</v>
      </c>
      <c r="H1190" s="222">
        <f t="shared" si="54"/>
        <v>240</v>
      </c>
      <c r="I1190" s="236"/>
      <c r="J1190" s="236">
        <v>0</v>
      </c>
      <c r="K1190" s="236">
        <f t="shared" si="52"/>
        <v>240</v>
      </c>
      <c r="L1190" s="237">
        <f t="shared" si="53"/>
        <v>207.88</v>
      </c>
    </row>
    <row r="1191" spans="1:12">
      <c r="A1191" s="223">
        <v>46198</v>
      </c>
      <c r="B1191" s="80" t="s">
        <v>2019</v>
      </c>
      <c r="C1191" s="80" t="s">
        <v>4832</v>
      </c>
      <c r="D1191" s="107" t="s">
        <v>2020</v>
      </c>
      <c r="E1191" s="80">
        <v>6</v>
      </c>
      <c r="F1191" s="132">
        <v>6.02</v>
      </c>
      <c r="G1191" s="132">
        <v>7.25</v>
      </c>
      <c r="H1191" s="222">
        <f t="shared" si="54"/>
        <v>43.5</v>
      </c>
      <c r="I1191" s="236"/>
      <c r="J1191" s="236">
        <v>0</v>
      </c>
      <c r="K1191" s="236">
        <f t="shared" si="52"/>
        <v>43.5</v>
      </c>
      <c r="L1191" s="237">
        <f t="shared" si="53"/>
        <v>36.119999999999997</v>
      </c>
    </row>
    <row r="1192" spans="1:12">
      <c r="A1192" s="223">
        <v>46198</v>
      </c>
      <c r="B1192" s="80" t="s">
        <v>1997</v>
      </c>
      <c r="C1192" s="80" t="s">
        <v>4832</v>
      </c>
      <c r="D1192" s="107" t="s">
        <v>1998</v>
      </c>
      <c r="E1192" s="80">
        <v>6</v>
      </c>
      <c r="F1192" s="132">
        <v>6.12</v>
      </c>
      <c r="G1192" s="132">
        <v>7.25</v>
      </c>
      <c r="H1192" s="222">
        <f t="shared" si="54"/>
        <v>43.5</v>
      </c>
      <c r="I1192" s="236"/>
      <c r="J1192" s="236">
        <v>0</v>
      </c>
      <c r="K1192" s="236">
        <f t="shared" si="52"/>
        <v>43.5</v>
      </c>
      <c r="L1192" s="237">
        <f t="shared" si="53"/>
        <v>36.72</v>
      </c>
    </row>
    <row r="1193" spans="1:12">
      <c r="A1193" s="223">
        <v>46198</v>
      </c>
      <c r="B1193" s="80" t="s">
        <v>2017</v>
      </c>
      <c r="C1193" s="80" t="s">
        <v>4832</v>
      </c>
      <c r="D1193" s="107" t="s">
        <v>2018</v>
      </c>
      <c r="E1193" s="80">
        <v>6</v>
      </c>
      <c r="F1193" s="132">
        <v>6.02</v>
      </c>
      <c r="G1193" s="132">
        <v>7.25</v>
      </c>
      <c r="H1193" s="222">
        <f t="shared" si="54"/>
        <v>43.5</v>
      </c>
      <c r="I1193" s="236"/>
      <c r="J1193" s="236">
        <v>0</v>
      </c>
      <c r="K1193" s="236">
        <f t="shared" si="52"/>
        <v>43.5</v>
      </c>
      <c r="L1193" s="237">
        <f t="shared" si="53"/>
        <v>36.119999999999997</v>
      </c>
    </row>
    <row r="1194" spans="1:12">
      <c r="A1194" s="223">
        <v>46198</v>
      </c>
      <c r="B1194" s="80" t="s">
        <v>1866</v>
      </c>
      <c r="C1194" s="80" t="s">
        <v>4832</v>
      </c>
      <c r="D1194" s="107" t="s">
        <v>1867</v>
      </c>
      <c r="E1194" s="80">
        <v>1</v>
      </c>
      <c r="F1194" s="132">
        <v>39.5</v>
      </c>
      <c r="G1194" s="132">
        <v>45.5</v>
      </c>
      <c r="H1194" s="222">
        <f t="shared" si="54"/>
        <v>45.5</v>
      </c>
      <c r="I1194" s="236"/>
      <c r="J1194" s="236">
        <v>0</v>
      </c>
      <c r="K1194" s="236">
        <f t="shared" si="52"/>
        <v>45.5</v>
      </c>
      <c r="L1194" s="237">
        <f t="shared" si="53"/>
        <v>39.5</v>
      </c>
    </row>
    <row r="1195" spans="1:12">
      <c r="A1195" s="223">
        <v>46198</v>
      </c>
      <c r="B1195" s="80" t="s">
        <v>1691</v>
      </c>
      <c r="C1195" s="80" t="s">
        <v>4832</v>
      </c>
      <c r="D1195" s="107" t="s">
        <v>1692</v>
      </c>
      <c r="E1195" s="80">
        <v>3</v>
      </c>
      <c r="F1195" s="132">
        <v>20.75</v>
      </c>
      <c r="G1195" s="132">
        <v>24.25</v>
      </c>
      <c r="H1195" s="222">
        <f t="shared" si="54"/>
        <v>72.75</v>
      </c>
      <c r="I1195" s="236"/>
      <c r="J1195" s="236">
        <v>0</v>
      </c>
      <c r="K1195" s="236">
        <f t="shared" si="52"/>
        <v>72.75</v>
      </c>
      <c r="L1195" s="237">
        <f t="shared" si="53"/>
        <v>62.25</v>
      </c>
    </row>
    <row r="1196" spans="1:12">
      <c r="A1196" s="223">
        <v>46198</v>
      </c>
      <c r="B1196" s="80" t="s">
        <v>581</v>
      </c>
      <c r="C1196" s="80" t="s">
        <v>4833</v>
      </c>
      <c r="D1196" s="107" t="s">
        <v>582</v>
      </c>
      <c r="E1196" s="80">
        <v>1</v>
      </c>
      <c r="F1196" s="132">
        <v>12.69</v>
      </c>
      <c r="G1196" s="132">
        <v>14.75</v>
      </c>
      <c r="H1196" s="222">
        <f t="shared" si="54"/>
        <v>14.75</v>
      </c>
      <c r="I1196" s="236"/>
      <c r="J1196" s="236">
        <v>0</v>
      </c>
      <c r="K1196" s="236">
        <f t="shared" si="52"/>
        <v>14.75</v>
      </c>
      <c r="L1196" s="237">
        <f t="shared" si="53"/>
        <v>12.69</v>
      </c>
    </row>
    <row r="1197" spans="1:12">
      <c r="A1197" s="223">
        <v>46198</v>
      </c>
      <c r="B1197" s="80" t="s">
        <v>599</v>
      </c>
      <c r="C1197" s="80" t="s">
        <v>4833</v>
      </c>
      <c r="D1197" s="107" t="s">
        <v>600</v>
      </c>
      <c r="E1197" s="80">
        <v>1</v>
      </c>
      <c r="F1197" s="132">
        <v>90.42</v>
      </c>
      <c r="G1197" s="132">
        <v>104</v>
      </c>
      <c r="H1197" s="222">
        <f t="shared" si="54"/>
        <v>104</v>
      </c>
      <c r="I1197" s="236"/>
      <c r="J1197" s="236">
        <v>0</v>
      </c>
      <c r="K1197" s="236">
        <f t="shared" si="52"/>
        <v>104</v>
      </c>
      <c r="L1197" s="237">
        <f t="shared" si="53"/>
        <v>90.42</v>
      </c>
    </row>
    <row r="1198" spans="1:12">
      <c r="A1198" s="223">
        <v>46198</v>
      </c>
      <c r="B1198" s="80" t="s">
        <v>2001</v>
      </c>
      <c r="C1198" s="80" t="s">
        <v>4834</v>
      </c>
      <c r="D1198" s="107" t="s">
        <v>2002</v>
      </c>
      <c r="E1198" s="80">
        <v>1</v>
      </c>
      <c r="F1198" s="132">
        <v>51.97</v>
      </c>
      <c r="G1198" s="132">
        <v>60</v>
      </c>
      <c r="H1198" s="222">
        <f t="shared" si="54"/>
        <v>60</v>
      </c>
      <c r="I1198" s="236"/>
      <c r="J1198" s="236">
        <v>0</v>
      </c>
      <c r="K1198" s="236">
        <f t="shared" si="52"/>
        <v>60</v>
      </c>
      <c r="L1198" s="237">
        <f t="shared" si="53"/>
        <v>51.97</v>
      </c>
    </row>
    <row r="1199" spans="1:12">
      <c r="A1199" s="223">
        <v>46198</v>
      </c>
      <c r="B1199" s="80" t="s">
        <v>3670</v>
      </c>
      <c r="C1199" s="80" t="s">
        <v>4835</v>
      </c>
      <c r="D1199" s="107" t="s">
        <v>3671</v>
      </c>
      <c r="E1199" s="80">
        <v>1</v>
      </c>
      <c r="F1199" s="132">
        <v>30.79</v>
      </c>
      <c r="G1199" s="132">
        <v>36.75</v>
      </c>
      <c r="H1199" s="222">
        <f t="shared" si="54"/>
        <v>36.75</v>
      </c>
      <c r="I1199" s="236"/>
      <c r="J1199" s="236">
        <v>0</v>
      </c>
      <c r="K1199" s="236">
        <f t="shared" si="52"/>
        <v>36.75</v>
      </c>
      <c r="L1199" s="237">
        <f t="shared" si="53"/>
        <v>30.79</v>
      </c>
    </row>
    <row r="1200" spans="1:12">
      <c r="A1200" s="223">
        <v>46198</v>
      </c>
      <c r="B1200" s="80" t="s">
        <v>4649</v>
      </c>
      <c r="C1200" s="80" t="s">
        <v>4836</v>
      </c>
      <c r="D1200" s="107" t="s">
        <v>4651</v>
      </c>
      <c r="E1200" s="80">
        <v>2</v>
      </c>
      <c r="F1200" s="132">
        <v>0.81</v>
      </c>
      <c r="G1200" s="132">
        <v>1</v>
      </c>
      <c r="H1200" s="222">
        <f t="shared" si="54"/>
        <v>2</v>
      </c>
      <c r="I1200" s="236"/>
      <c r="J1200" s="236">
        <v>0</v>
      </c>
      <c r="K1200" s="236">
        <f t="shared" si="52"/>
        <v>2</v>
      </c>
      <c r="L1200" s="237">
        <f t="shared" si="53"/>
        <v>1.62</v>
      </c>
    </row>
    <row r="1201" spans="1:12">
      <c r="A1201" s="223">
        <v>46198</v>
      </c>
      <c r="B1201" s="80" t="s">
        <v>2509</v>
      </c>
      <c r="C1201" s="80" t="s">
        <v>4837</v>
      </c>
      <c r="D1201" s="107" t="s">
        <v>2510</v>
      </c>
      <c r="E1201" s="80">
        <v>1</v>
      </c>
      <c r="F1201" s="132">
        <v>64.58</v>
      </c>
      <c r="G1201" s="132">
        <v>74.5</v>
      </c>
      <c r="H1201" s="222">
        <f t="shared" si="54"/>
        <v>74.5</v>
      </c>
      <c r="I1201" s="236"/>
      <c r="J1201" s="236">
        <v>0</v>
      </c>
      <c r="K1201" s="236">
        <f t="shared" si="52"/>
        <v>74.5</v>
      </c>
      <c r="L1201" s="237">
        <f t="shared" si="53"/>
        <v>64.58</v>
      </c>
    </row>
    <row r="1202" spans="1:12">
      <c r="A1202" s="223">
        <v>46198</v>
      </c>
      <c r="B1202" s="80" t="s">
        <v>3547</v>
      </c>
      <c r="C1202" s="80" t="s">
        <v>4838</v>
      </c>
      <c r="D1202" s="107" t="s">
        <v>3548</v>
      </c>
      <c r="E1202" s="80">
        <v>1</v>
      </c>
      <c r="F1202" s="132">
        <v>97.36</v>
      </c>
      <c r="G1202" s="132">
        <v>112</v>
      </c>
      <c r="H1202" s="222">
        <f t="shared" si="54"/>
        <v>112</v>
      </c>
      <c r="I1202" s="236"/>
      <c r="J1202" s="236">
        <v>0</v>
      </c>
      <c r="K1202" s="236">
        <f t="shared" si="52"/>
        <v>112</v>
      </c>
      <c r="L1202" s="237">
        <f t="shared" si="53"/>
        <v>97.36</v>
      </c>
    </row>
    <row r="1203" spans="1:12">
      <c r="A1203" s="223">
        <v>46198</v>
      </c>
      <c r="B1203" s="80" t="s">
        <v>3537</v>
      </c>
      <c r="C1203" s="80" t="s">
        <v>4838</v>
      </c>
      <c r="D1203" s="107" t="s">
        <v>3538</v>
      </c>
      <c r="E1203" s="80">
        <v>2</v>
      </c>
      <c r="F1203" s="132">
        <v>23.15</v>
      </c>
      <c r="G1203" s="132">
        <v>26.75</v>
      </c>
      <c r="H1203" s="222">
        <f t="shared" si="54"/>
        <v>53.5</v>
      </c>
      <c r="I1203" s="236"/>
      <c r="J1203" s="236">
        <v>0</v>
      </c>
      <c r="K1203" s="236">
        <f t="shared" si="52"/>
        <v>53.5</v>
      </c>
      <c r="L1203" s="237">
        <f t="shared" si="53"/>
        <v>46.3</v>
      </c>
    </row>
    <row r="1204" spans="1:12">
      <c r="A1204" s="223">
        <v>46198</v>
      </c>
      <c r="B1204" s="80" t="s">
        <v>1458</v>
      </c>
      <c r="C1204" s="80" t="s">
        <v>4838</v>
      </c>
      <c r="D1204" s="107" t="s">
        <v>1459</v>
      </c>
      <c r="E1204" s="80">
        <v>12</v>
      </c>
      <c r="F1204" s="132">
        <v>8.58</v>
      </c>
      <c r="G1204" s="132">
        <v>10</v>
      </c>
      <c r="H1204" s="222">
        <f t="shared" si="54"/>
        <v>120</v>
      </c>
      <c r="I1204" s="236"/>
      <c r="J1204" s="236">
        <v>0</v>
      </c>
      <c r="K1204" s="236">
        <f t="shared" si="52"/>
        <v>120</v>
      </c>
      <c r="L1204" s="237">
        <f t="shared" si="53"/>
        <v>102.96000000000001</v>
      </c>
    </row>
    <row r="1205" spans="1:12">
      <c r="A1205" s="223">
        <v>46198</v>
      </c>
      <c r="B1205" s="80" t="s">
        <v>705</v>
      </c>
      <c r="C1205" s="80" t="s">
        <v>4838</v>
      </c>
      <c r="D1205" s="107" t="s">
        <v>706</v>
      </c>
      <c r="E1205" s="80">
        <v>1</v>
      </c>
      <c r="F1205" s="132">
        <v>31.6</v>
      </c>
      <c r="G1205" s="132">
        <v>36.33</v>
      </c>
      <c r="H1205" s="222">
        <f t="shared" si="54"/>
        <v>36.33</v>
      </c>
      <c r="I1205" s="236"/>
      <c r="J1205" s="236">
        <v>0</v>
      </c>
      <c r="K1205" s="236">
        <f t="shared" si="52"/>
        <v>36.33</v>
      </c>
      <c r="L1205" s="237">
        <f t="shared" si="53"/>
        <v>31.6</v>
      </c>
    </row>
    <row r="1206" spans="1:12">
      <c r="A1206" s="223">
        <v>46198</v>
      </c>
      <c r="B1206" s="80" t="s">
        <v>639</v>
      </c>
      <c r="C1206" s="80" t="s">
        <v>4838</v>
      </c>
      <c r="D1206" s="107" t="s">
        <v>640</v>
      </c>
      <c r="E1206" s="80">
        <v>1</v>
      </c>
      <c r="F1206" s="132">
        <v>33.1</v>
      </c>
      <c r="G1206" s="132">
        <v>38.25</v>
      </c>
      <c r="H1206" s="222">
        <f t="shared" si="54"/>
        <v>38.25</v>
      </c>
      <c r="I1206" s="236"/>
      <c r="J1206" s="236">
        <v>0</v>
      </c>
      <c r="K1206" s="236">
        <f t="shared" si="52"/>
        <v>38.25</v>
      </c>
      <c r="L1206" s="237">
        <f t="shared" si="53"/>
        <v>33.1</v>
      </c>
    </row>
    <row r="1207" spans="1:12">
      <c r="A1207" s="223">
        <v>46198</v>
      </c>
      <c r="B1207" s="80" t="s">
        <v>511</v>
      </c>
      <c r="C1207" s="80" t="s">
        <v>4838</v>
      </c>
      <c r="D1207" s="107" t="s">
        <v>512</v>
      </c>
      <c r="E1207" s="80">
        <v>1</v>
      </c>
      <c r="F1207" s="132">
        <v>27.5</v>
      </c>
      <c r="G1207" s="132">
        <v>30</v>
      </c>
      <c r="H1207" s="222">
        <f t="shared" si="54"/>
        <v>30</v>
      </c>
      <c r="I1207" s="236"/>
      <c r="J1207" s="236">
        <v>0</v>
      </c>
      <c r="K1207" s="236">
        <f t="shared" si="52"/>
        <v>30</v>
      </c>
      <c r="L1207" s="237">
        <f t="shared" si="53"/>
        <v>27.5</v>
      </c>
    </row>
    <row r="1208" spans="1:12">
      <c r="A1208" s="223">
        <v>46198</v>
      </c>
      <c r="B1208" s="80" t="s">
        <v>1697</v>
      </c>
      <c r="C1208" s="80" t="s">
        <v>4838</v>
      </c>
      <c r="D1208" s="107" t="s">
        <v>1698</v>
      </c>
      <c r="E1208" s="80">
        <v>2</v>
      </c>
      <c r="F1208" s="132">
        <v>44.86</v>
      </c>
      <c r="G1208" s="132">
        <v>51.25</v>
      </c>
      <c r="H1208" s="222">
        <f t="shared" si="54"/>
        <v>102.5</v>
      </c>
      <c r="I1208" s="236"/>
      <c r="J1208" s="236">
        <v>0</v>
      </c>
      <c r="K1208" s="236">
        <f t="shared" si="52"/>
        <v>102.5</v>
      </c>
      <c r="L1208" s="237">
        <f t="shared" si="53"/>
        <v>89.72</v>
      </c>
    </row>
    <row r="1209" spans="1:12">
      <c r="A1209" s="223">
        <v>46198</v>
      </c>
      <c r="B1209" s="80" t="s">
        <v>1587</v>
      </c>
      <c r="C1209" s="80" t="s">
        <v>4838</v>
      </c>
      <c r="D1209" s="107" t="s">
        <v>1588</v>
      </c>
      <c r="E1209" s="80">
        <v>2</v>
      </c>
      <c r="F1209" s="132">
        <v>20.55</v>
      </c>
      <c r="G1209" s="132">
        <v>23.75</v>
      </c>
      <c r="H1209" s="222">
        <f t="shared" si="54"/>
        <v>47.5</v>
      </c>
      <c r="I1209" s="236"/>
      <c r="J1209" s="236">
        <v>0</v>
      </c>
      <c r="K1209" s="236">
        <f t="shared" si="52"/>
        <v>47.5</v>
      </c>
      <c r="L1209" s="237">
        <f t="shared" si="53"/>
        <v>41.1</v>
      </c>
    </row>
    <row r="1210" spans="1:12">
      <c r="A1210" s="223">
        <v>46198</v>
      </c>
      <c r="B1210" s="80" t="s">
        <v>3755</v>
      </c>
      <c r="C1210" s="80" t="s">
        <v>4838</v>
      </c>
      <c r="D1210" s="107" t="s">
        <v>3756</v>
      </c>
      <c r="E1210" s="80">
        <v>1</v>
      </c>
      <c r="F1210" s="132">
        <v>30.25</v>
      </c>
      <c r="G1210" s="132">
        <v>35</v>
      </c>
      <c r="H1210" s="222">
        <f t="shared" si="54"/>
        <v>35</v>
      </c>
      <c r="I1210" s="236"/>
      <c r="J1210" s="236">
        <v>0</v>
      </c>
      <c r="K1210" s="236">
        <f t="shared" si="52"/>
        <v>35</v>
      </c>
      <c r="L1210" s="237">
        <f t="shared" si="53"/>
        <v>30.25</v>
      </c>
    </row>
    <row r="1211" spans="1:12">
      <c r="A1211" s="223">
        <v>46198</v>
      </c>
      <c r="B1211" s="80" t="s">
        <v>992</v>
      </c>
      <c r="C1211" s="80" t="s">
        <v>4839</v>
      </c>
      <c r="D1211" s="107" t="s">
        <v>993</v>
      </c>
      <c r="E1211" s="80">
        <v>1</v>
      </c>
      <c r="F1211" s="132">
        <v>91.4</v>
      </c>
      <c r="G1211" s="132">
        <v>105.25</v>
      </c>
      <c r="H1211" s="222">
        <f t="shared" si="54"/>
        <v>105.25</v>
      </c>
      <c r="I1211" s="236"/>
      <c r="J1211" s="236">
        <v>0</v>
      </c>
      <c r="K1211" s="236">
        <f t="shared" si="52"/>
        <v>105.25</v>
      </c>
      <c r="L1211" s="237">
        <f t="shared" si="53"/>
        <v>91.4</v>
      </c>
    </row>
    <row r="1212" spans="1:12">
      <c r="A1212" s="223">
        <v>46198</v>
      </c>
      <c r="B1212" s="80" t="s">
        <v>2642</v>
      </c>
      <c r="C1212" s="80" t="s">
        <v>4840</v>
      </c>
      <c r="D1212" s="107" t="s">
        <v>2643</v>
      </c>
      <c r="E1212" s="80">
        <v>5</v>
      </c>
      <c r="F1212" s="132">
        <v>302.13</v>
      </c>
      <c r="G1212" s="132">
        <v>362.75</v>
      </c>
      <c r="H1212" s="222">
        <f t="shared" si="54"/>
        <v>1813.75</v>
      </c>
      <c r="I1212" s="236"/>
      <c r="J1212" s="236">
        <v>0</v>
      </c>
      <c r="K1212" s="236">
        <f t="shared" si="52"/>
        <v>1813.75</v>
      </c>
      <c r="L1212" s="237">
        <f t="shared" si="53"/>
        <v>1510.65</v>
      </c>
    </row>
    <row r="1213" spans="1:12">
      <c r="A1213" s="223">
        <v>46198</v>
      </c>
      <c r="B1213" s="80" t="s">
        <v>2642</v>
      </c>
      <c r="C1213" s="80" t="s">
        <v>4841</v>
      </c>
      <c r="D1213" s="107" t="s">
        <v>2643</v>
      </c>
      <c r="E1213" s="80">
        <v>3</v>
      </c>
      <c r="F1213" s="132">
        <v>302.13</v>
      </c>
      <c r="G1213" s="132">
        <v>362.75</v>
      </c>
      <c r="H1213" s="222">
        <f t="shared" si="54"/>
        <v>1088.25</v>
      </c>
      <c r="I1213" s="236"/>
      <c r="J1213" s="236">
        <v>0</v>
      </c>
      <c r="K1213" s="236">
        <f t="shared" si="52"/>
        <v>1088.25</v>
      </c>
      <c r="L1213" s="237">
        <f t="shared" si="53"/>
        <v>906.39</v>
      </c>
    </row>
    <row r="1214" spans="1:12">
      <c r="A1214" s="223">
        <v>46198</v>
      </c>
      <c r="B1214" s="80" t="s">
        <v>2642</v>
      </c>
      <c r="C1214" s="80" t="s">
        <v>4842</v>
      </c>
      <c r="D1214" s="107" t="s">
        <v>2643</v>
      </c>
      <c r="E1214" s="80">
        <v>3</v>
      </c>
      <c r="F1214" s="132">
        <v>302.13</v>
      </c>
      <c r="G1214" s="132">
        <v>362.75</v>
      </c>
      <c r="H1214" s="222">
        <f t="shared" si="54"/>
        <v>1088.25</v>
      </c>
      <c r="I1214" s="236"/>
      <c r="J1214" s="236">
        <v>0</v>
      </c>
      <c r="K1214" s="236">
        <f t="shared" si="52"/>
        <v>1088.25</v>
      </c>
      <c r="L1214" s="237">
        <f t="shared" si="53"/>
        <v>906.39</v>
      </c>
    </row>
    <row r="1215" spans="1:12">
      <c r="A1215" s="223">
        <v>46198</v>
      </c>
      <c r="B1215" s="80" t="s">
        <v>2360</v>
      </c>
      <c r="C1215" s="80" t="s">
        <v>4842</v>
      </c>
      <c r="D1215" s="107" t="s">
        <v>2361</v>
      </c>
      <c r="E1215" s="80">
        <v>1</v>
      </c>
      <c r="F1215" s="132">
        <v>267</v>
      </c>
      <c r="G1215" s="132">
        <v>307.25</v>
      </c>
      <c r="H1215" s="222">
        <f t="shared" si="54"/>
        <v>307.25</v>
      </c>
      <c r="I1215" s="236"/>
      <c r="J1215" s="236">
        <v>0</v>
      </c>
      <c r="K1215" s="236">
        <f t="shared" si="52"/>
        <v>307.25</v>
      </c>
      <c r="L1215" s="237">
        <f t="shared" si="53"/>
        <v>267</v>
      </c>
    </row>
    <row r="1216" spans="1:12">
      <c r="A1216" s="223">
        <v>46198</v>
      </c>
      <c r="B1216" s="80" t="s">
        <v>2348</v>
      </c>
      <c r="C1216" s="80" t="s">
        <v>4842</v>
      </c>
      <c r="D1216" s="107" t="s">
        <v>2349</v>
      </c>
      <c r="E1216" s="80">
        <v>1</v>
      </c>
      <c r="F1216" s="132">
        <v>529.58000000000004</v>
      </c>
      <c r="G1216" s="132">
        <v>615</v>
      </c>
      <c r="H1216" s="222">
        <f t="shared" si="54"/>
        <v>615</v>
      </c>
      <c r="I1216" s="236"/>
      <c r="J1216" s="236">
        <v>0</v>
      </c>
      <c r="K1216" s="236">
        <f t="shared" si="52"/>
        <v>615</v>
      </c>
      <c r="L1216" s="237">
        <f t="shared" si="53"/>
        <v>529.58000000000004</v>
      </c>
    </row>
    <row r="1217" spans="1:12">
      <c r="A1217" s="223">
        <v>46198</v>
      </c>
      <c r="B1217" s="80" t="s">
        <v>2348</v>
      </c>
      <c r="C1217" s="80" t="s">
        <v>4843</v>
      </c>
      <c r="D1217" s="107" t="s">
        <v>2349</v>
      </c>
      <c r="E1217" s="80">
        <v>4</v>
      </c>
      <c r="F1217" s="132">
        <v>529.58000000000004</v>
      </c>
      <c r="G1217" s="132">
        <v>615</v>
      </c>
      <c r="H1217" s="222">
        <f t="shared" si="54"/>
        <v>2460</v>
      </c>
      <c r="I1217" s="236"/>
      <c r="J1217" s="236">
        <v>0</v>
      </c>
      <c r="K1217" s="236">
        <f t="shared" si="52"/>
        <v>2460</v>
      </c>
      <c r="L1217" s="237">
        <f t="shared" si="53"/>
        <v>2118.3200000000002</v>
      </c>
    </row>
    <row r="1218" spans="1:12">
      <c r="A1218" s="223">
        <v>46198</v>
      </c>
      <c r="B1218" s="80" t="s">
        <v>532</v>
      </c>
      <c r="C1218" s="80" t="s">
        <v>4844</v>
      </c>
      <c r="D1218" s="107" t="s">
        <v>533</v>
      </c>
      <c r="E1218" s="80">
        <v>1</v>
      </c>
      <c r="F1218" s="132">
        <v>18.649999999999999</v>
      </c>
      <c r="G1218" s="132">
        <v>21.5</v>
      </c>
      <c r="H1218" s="222">
        <f t="shared" si="54"/>
        <v>21.5</v>
      </c>
      <c r="I1218" s="236"/>
      <c r="J1218" s="236">
        <v>0</v>
      </c>
      <c r="K1218" s="236">
        <f t="shared" si="52"/>
        <v>21.5</v>
      </c>
      <c r="L1218" s="237">
        <f t="shared" si="53"/>
        <v>18.649999999999999</v>
      </c>
    </row>
    <row r="1219" spans="1:12">
      <c r="A1219" s="223">
        <v>46198</v>
      </c>
      <c r="B1219" s="80" t="s">
        <v>715</v>
      </c>
      <c r="C1219" s="80" t="s">
        <v>4845</v>
      </c>
      <c r="D1219" s="107" t="s">
        <v>716</v>
      </c>
      <c r="E1219" s="80">
        <v>1</v>
      </c>
      <c r="F1219" s="132">
        <v>15.12</v>
      </c>
      <c r="G1219" s="132">
        <v>17.5</v>
      </c>
      <c r="H1219" s="222">
        <f t="shared" si="54"/>
        <v>17.5</v>
      </c>
      <c r="I1219" s="236"/>
      <c r="J1219" s="236">
        <v>0</v>
      </c>
      <c r="K1219" s="236">
        <f t="shared" si="52"/>
        <v>17.5</v>
      </c>
      <c r="L1219" s="237">
        <f t="shared" si="53"/>
        <v>15.12</v>
      </c>
    </row>
    <row r="1220" spans="1:12">
      <c r="A1220" s="223">
        <v>46198</v>
      </c>
      <c r="B1220" s="80" t="s">
        <v>502</v>
      </c>
      <c r="C1220" s="80" t="s">
        <v>4845</v>
      </c>
      <c r="D1220" s="107" t="s">
        <v>503</v>
      </c>
      <c r="E1220" s="80">
        <v>1</v>
      </c>
      <c r="F1220" s="132">
        <v>18.53</v>
      </c>
      <c r="G1220" s="132">
        <v>21.5</v>
      </c>
      <c r="H1220" s="222">
        <f t="shared" si="54"/>
        <v>21.5</v>
      </c>
      <c r="I1220" s="236"/>
      <c r="J1220" s="236">
        <v>0</v>
      </c>
      <c r="K1220" s="236">
        <f t="shared" si="52"/>
        <v>21.5</v>
      </c>
      <c r="L1220" s="237">
        <f t="shared" si="53"/>
        <v>18.53</v>
      </c>
    </row>
    <row r="1221" spans="1:12">
      <c r="A1221" s="223">
        <v>46198</v>
      </c>
      <c r="B1221" s="80" t="s">
        <v>1478</v>
      </c>
      <c r="C1221" s="80" t="s">
        <v>4845</v>
      </c>
      <c r="D1221" s="107" t="s">
        <v>1479</v>
      </c>
      <c r="E1221" s="80">
        <v>1</v>
      </c>
      <c r="F1221" s="132">
        <v>18.2</v>
      </c>
      <c r="G1221" s="132">
        <v>21</v>
      </c>
      <c r="H1221" s="222">
        <f t="shared" si="54"/>
        <v>21</v>
      </c>
      <c r="I1221" s="236"/>
      <c r="J1221" s="236">
        <v>0</v>
      </c>
      <c r="K1221" s="236">
        <f t="shared" si="52"/>
        <v>21</v>
      </c>
      <c r="L1221" s="237">
        <f t="shared" si="53"/>
        <v>18.2</v>
      </c>
    </row>
    <row r="1222" spans="1:12">
      <c r="A1222" s="223">
        <v>46198</v>
      </c>
      <c r="B1222" s="80" t="s">
        <v>2057</v>
      </c>
      <c r="C1222" s="80" t="s">
        <v>4846</v>
      </c>
      <c r="D1222" s="107" t="s">
        <v>2058</v>
      </c>
      <c r="E1222" s="80">
        <v>2</v>
      </c>
      <c r="F1222" s="132">
        <v>21.67</v>
      </c>
      <c r="G1222" s="132">
        <v>25</v>
      </c>
      <c r="H1222" s="222">
        <f t="shared" si="54"/>
        <v>50</v>
      </c>
      <c r="I1222" s="236"/>
      <c r="J1222" s="236">
        <v>0</v>
      </c>
      <c r="K1222" s="236">
        <f t="shared" ref="K1222:K1285" si="55">H1222+I1222-J1222</f>
        <v>50</v>
      </c>
      <c r="L1222" s="237">
        <f t="shared" ref="L1222:L1285" si="56">E1222*F1222</f>
        <v>43.34</v>
      </c>
    </row>
    <row r="1223" spans="1:12">
      <c r="A1223" s="223">
        <v>46198</v>
      </c>
      <c r="B1223" s="80" t="s">
        <v>2051</v>
      </c>
      <c r="C1223" s="80" t="s">
        <v>4846</v>
      </c>
      <c r="D1223" s="107" t="s">
        <v>2052</v>
      </c>
      <c r="E1223" s="80">
        <v>2</v>
      </c>
      <c r="F1223" s="132">
        <v>13.39</v>
      </c>
      <c r="G1223" s="132">
        <v>15.5</v>
      </c>
      <c r="H1223" s="222">
        <f t="shared" si="54"/>
        <v>31</v>
      </c>
      <c r="I1223" s="236"/>
      <c r="J1223" s="236">
        <v>0</v>
      </c>
      <c r="K1223" s="236">
        <f t="shared" si="55"/>
        <v>31</v>
      </c>
      <c r="L1223" s="237">
        <f t="shared" si="56"/>
        <v>26.78</v>
      </c>
    </row>
    <row r="1224" spans="1:12">
      <c r="A1224" s="223">
        <v>46198</v>
      </c>
      <c r="B1224" s="80" t="s">
        <v>2041</v>
      </c>
      <c r="C1224" s="80" t="s">
        <v>4846</v>
      </c>
      <c r="D1224" s="107" t="s">
        <v>2042</v>
      </c>
      <c r="E1224" s="80">
        <v>4</v>
      </c>
      <c r="F1224" s="132">
        <v>20.8</v>
      </c>
      <c r="G1224" s="132">
        <v>24</v>
      </c>
      <c r="H1224" s="222">
        <f t="shared" si="54"/>
        <v>96</v>
      </c>
      <c r="I1224" s="236"/>
      <c r="J1224" s="236">
        <v>0</v>
      </c>
      <c r="K1224" s="236">
        <f t="shared" si="55"/>
        <v>96</v>
      </c>
      <c r="L1224" s="237">
        <f t="shared" si="56"/>
        <v>83.2</v>
      </c>
    </row>
    <row r="1225" spans="1:12">
      <c r="A1225" s="223">
        <v>46198</v>
      </c>
      <c r="B1225" s="80" t="s">
        <v>1456</v>
      </c>
      <c r="C1225" s="80" t="s">
        <v>4846</v>
      </c>
      <c r="D1225" s="107" t="s">
        <v>1457</v>
      </c>
      <c r="E1225" s="80">
        <v>1</v>
      </c>
      <c r="F1225" s="132">
        <v>202</v>
      </c>
      <c r="G1225" s="132">
        <v>232.5</v>
      </c>
      <c r="H1225" s="222">
        <f t="shared" si="54"/>
        <v>232.5</v>
      </c>
      <c r="I1225" s="236"/>
      <c r="J1225" s="236">
        <v>0</v>
      </c>
      <c r="K1225" s="236">
        <f t="shared" si="55"/>
        <v>232.5</v>
      </c>
      <c r="L1225" s="237">
        <f t="shared" si="56"/>
        <v>202</v>
      </c>
    </row>
    <row r="1226" spans="1:12">
      <c r="A1226" s="223">
        <v>46198</v>
      </c>
      <c r="B1226" s="80" t="s">
        <v>1443</v>
      </c>
      <c r="C1226" s="80" t="s">
        <v>4847</v>
      </c>
      <c r="D1226" s="107" t="s">
        <v>1444</v>
      </c>
      <c r="E1226" s="80">
        <v>2</v>
      </c>
      <c r="F1226" s="132">
        <v>10.64</v>
      </c>
      <c r="G1226" s="132">
        <v>12.25</v>
      </c>
      <c r="H1226" s="222">
        <f t="shared" si="54"/>
        <v>24.5</v>
      </c>
      <c r="I1226" s="236"/>
      <c r="J1226" s="236">
        <v>0</v>
      </c>
      <c r="K1226" s="236">
        <f t="shared" si="55"/>
        <v>24.5</v>
      </c>
      <c r="L1226" s="237">
        <f t="shared" si="56"/>
        <v>21.28</v>
      </c>
    </row>
    <row r="1227" spans="1:12">
      <c r="A1227" s="223">
        <v>46198</v>
      </c>
      <c r="B1227" s="80" t="s">
        <v>4848</v>
      </c>
      <c r="C1227" s="80" t="s">
        <v>4847</v>
      </c>
      <c r="D1227" s="107" t="s">
        <v>4849</v>
      </c>
      <c r="E1227" s="80">
        <v>1</v>
      </c>
      <c r="F1227" s="132">
        <v>9.26</v>
      </c>
      <c r="G1227" s="132">
        <v>11</v>
      </c>
      <c r="H1227" s="222">
        <f t="shared" si="54"/>
        <v>11</v>
      </c>
      <c r="I1227" s="236"/>
      <c r="J1227" s="236">
        <v>0</v>
      </c>
      <c r="K1227" s="236">
        <f t="shared" si="55"/>
        <v>11</v>
      </c>
      <c r="L1227" s="237">
        <f t="shared" si="56"/>
        <v>9.26</v>
      </c>
    </row>
    <row r="1228" spans="1:12">
      <c r="A1228" s="223">
        <v>46198</v>
      </c>
      <c r="B1228" s="80" t="s">
        <v>1308</v>
      </c>
      <c r="C1228" s="80" t="s">
        <v>4847</v>
      </c>
      <c r="D1228" s="107" t="s">
        <v>1309</v>
      </c>
      <c r="E1228" s="80">
        <v>1</v>
      </c>
      <c r="F1228" s="132">
        <v>8.1999999999999993</v>
      </c>
      <c r="G1228" s="132">
        <v>9.5</v>
      </c>
      <c r="H1228" s="222">
        <f t="shared" si="54"/>
        <v>9.5</v>
      </c>
      <c r="I1228" s="236"/>
      <c r="J1228" s="236">
        <v>0</v>
      </c>
      <c r="K1228" s="236">
        <f t="shared" si="55"/>
        <v>9.5</v>
      </c>
      <c r="L1228" s="237">
        <f t="shared" si="56"/>
        <v>8.1999999999999993</v>
      </c>
    </row>
    <row r="1229" spans="1:12">
      <c r="A1229" s="223">
        <v>46198</v>
      </c>
      <c r="B1229" s="80" t="s">
        <v>4065</v>
      </c>
      <c r="C1229" s="80" t="s">
        <v>4847</v>
      </c>
      <c r="D1229" s="107" t="s">
        <v>4066</v>
      </c>
      <c r="E1229" s="80">
        <v>1</v>
      </c>
      <c r="F1229" s="132">
        <v>16.91</v>
      </c>
      <c r="G1229" s="132">
        <v>18.600000000000001</v>
      </c>
      <c r="H1229" s="222">
        <f t="shared" si="54"/>
        <v>18.600000000000001</v>
      </c>
      <c r="I1229" s="236"/>
      <c r="J1229" s="236">
        <v>0</v>
      </c>
      <c r="K1229" s="236">
        <f t="shared" si="55"/>
        <v>18.600000000000001</v>
      </c>
      <c r="L1229" s="237">
        <f t="shared" si="56"/>
        <v>16.91</v>
      </c>
    </row>
    <row r="1230" spans="1:12">
      <c r="A1230" s="223">
        <v>46199</v>
      </c>
      <c r="B1230" s="80" t="s">
        <v>703</v>
      </c>
      <c r="C1230" s="80" t="s">
        <v>4850</v>
      </c>
      <c r="D1230" s="107" t="s">
        <v>704</v>
      </c>
      <c r="E1230" s="80">
        <v>1</v>
      </c>
      <c r="F1230" s="132">
        <v>15.12</v>
      </c>
      <c r="G1230" s="132">
        <v>17.5</v>
      </c>
      <c r="H1230" s="222">
        <f t="shared" si="54"/>
        <v>17.5</v>
      </c>
      <c r="I1230" s="236"/>
      <c r="J1230" s="236">
        <v>0</v>
      </c>
      <c r="K1230" s="236">
        <f t="shared" si="55"/>
        <v>17.5</v>
      </c>
      <c r="L1230" s="237">
        <f t="shared" si="56"/>
        <v>15.12</v>
      </c>
    </row>
    <row r="1231" spans="1:12">
      <c r="A1231" s="223">
        <v>46199</v>
      </c>
      <c r="B1231" s="80" t="s">
        <v>1407</v>
      </c>
      <c r="C1231" s="80" t="s">
        <v>4851</v>
      </c>
      <c r="D1231" s="107" t="s">
        <v>1408</v>
      </c>
      <c r="E1231" s="80">
        <v>1</v>
      </c>
      <c r="F1231" s="132">
        <v>30.48</v>
      </c>
      <c r="G1231" s="132">
        <v>35</v>
      </c>
      <c r="H1231" s="222">
        <f t="shared" si="54"/>
        <v>35</v>
      </c>
      <c r="I1231" s="236"/>
      <c r="J1231" s="236">
        <v>0</v>
      </c>
      <c r="K1231" s="236">
        <f t="shared" si="55"/>
        <v>35</v>
      </c>
      <c r="L1231" s="237">
        <f t="shared" si="56"/>
        <v>30.48</v>
      </c>
    </row>
    <row r="1232" spans="1:12">
      <c r="A1232" s="223">
        <v>46199</v>
      </c>
      <c r="B1232" s="80" t="s">
        <v>1556</v>
      </c>
      <c r="C1232" s="80" t="s">
        <v>4852</v>
      </c>
      <c r="D1232" s="107" t="s">
        <v>1557</v>
      </c>
      <c r="E1232" s="80">
        <v>1</v>
      </c>
      <c r="F1232" s="132">
        <v>15.25</v>
      </c>
      <c r="G1232" s="132">
        <v>17.75</v>
      </c>
      <c r="H1232" s="222">
        <f t="shared" si="54"/>
        <v>17.75</v>
      </c>
      <c r="I1232" s="236"/>
      <c r="J1232" s="236">
        <v>0</v>
      </c>
      <c r="K1232" s="236">
        <f t="shared" si="55"/>
        <v>17.75</v>
      </c>
      <c r="L1232" s="237">
        <f t="shared" si="56"/>
        <v>15.25</v>
      </c>
    </row>
    <row r="1233" spans="1:12">
      <c r="A1233" s="223">
        <v>46199</v>
      </c>
      <c r="B1233" s="80" t="s">
        <v>2393</v>
      </c>
      <c r="C1233" s="80" t="s">
        <v>4853</v>
      </c>
      <c r="D1233" s="107" t="s">
        <v>2394</v>
      </c>
      <c r="E1233" s="80">
        <v>6</v>
      </c>
      <c r="F1233" s="132">
        <v>7.3</v>
      </c>
      <c r="G1233" s="132">
        <v>8.5</v>
      </c>
      <c r="H1233" s="222">
        <f t="shared" si="54"/>
        <v>51</v>
      </c>
      <c r="I1233" s="236"/>
      <c r="J1233" s="236">
        <v>0</v>
      </c>
      <c r="K1233" s="236">
        <f t="shared" si="55"/>
        <v>51</v>
      </c>
      <c r="L1233" s="237">
        <f t="shared" si="56"/>
        <v>43.8</v>
      </c>
    </row>
    <row r="1234" spans="1:12">
      <c r="A1234" s="223">
        <v>46199</v>
      </c>
      <c r="B1234" s="80" t="s">
        <v>519</v>
      </c>
      <c r="C1234" s="80" t="s">
        <v>4854</v>
      </c>
      <c r="D1234" s="107" t="s">
        <v>520</v>
      </c>
      <c r="E1234" s="80">
        <v>1</v>
      </c>
      <c r="F1234" s="132">
        <v>6.83</v>
      </c>
      <c r="G1234" s="132">
        <v>7.75</v>
      </c>
      <c r="H1234" s="222">
        <f t="shared" si="54"/>
        <v>7.75</v>
      </c>
      <c r="I1234" s="236"/>
      <c r="J1234" s="236">
        <v>0</v>
      </c>
      <c r="K1234" s="236">
        <f t="shared" si="55"/>
        <v>7.75</v>
      </c>
      <c r="L1234" s="237">
        <f t="shared" si="56"/>
        <v>6.83</v>
      </c>
    </row>
    <row r="1235" spans="1:12">
      <c r="A1235" s="223">
        <v>46199</v>
      </c>
      <c r="B1235" s="80" t="s">
        <v>536</v>
      </c>
      <c r="C1235" s="80" t="s">
        <v>4854</v>
      </c>
      <c r="D1235" s="107" t="s">
        <v>537</v>
      </c>
      <c r="E1235" s="80">
        <v>1</v>
      </c>
      <c r="F1235" s="132">
        <v>7.06</v>
      </c>
      <c r="G1235" s="132">
        <v>8.25</v>
      </c>
      <c r="H1235" s="222">
        <f t="shared" si="54"/>
        <v>8.25</v>
      </c>
      <c r="I1235" s="236"/>
      <c r="J1235" s="236">
        <v>0</v>
      </c>
      <c r="K1235" s="236">
        <f t="shared" si="55"/>
        <v>8.25</v>
      </c>
      <c r="L1235" s="237">
        <f t="shared" si="56"/>
        <v>7.06</v>
      </c>
    </row>
    <row r="1236" spans="1:12">
      <c r="A1236" s="223">
        <v>46199</v>
      </c>
      <c r="B1236" s="80" t="s">
        <v>4370</v>
      </c>
      <c r="C1236" s="80" t="s">
        <v>4854</v>
      </c>
      <c r="D1236" s="107" t="s">
        <v>4372</v>
      </c>
      <c r="E1236" s="80">
        <v>1</v>
      </c>
      <c r="F1236" s="132">
        <v>9.2799999999999994</v>
      </c>
      <c r="G1236" s="132">
        <v>10.75</v>
      </c>
      <c r="H1236" s="222">
        <f t="shared" si="54"/>
        <v>10.75</v>
      </c>
      <c r="I1236" s="236"/>
      <c r="J1236" s="236">
        <v>0</v>
      </c>
      <c r="K1236" s="236">
        <f t="shared" si="55"/>
        <v>10.75</v>
      </c>
      <c r="L1236" s="237">
        <f t="shared" si="56"/>
        <v>9.2799999999999994</v>
      </c>
    </row>
    <row r="1237" spans="1:12">
      <c r="A1237" s="223">
        <v>46199</v>
      </c>
      <c r="B1237" s="80" t="s">
        <v>715</v>
      </c>
      <c r="C1237" s="80" t="s">
        <v>4855</v>
      </c>
      <c r="D1237" s="107" t="s">
        <v>716</v>
      </c>
      <c r="E1237" s="80">
        <v>1</v>
      </c>
      <c r="F1237" s="132">
        <v>15.12</v>
      </c>
      <c r="G1237" s="132">
        <v>17.5</v>
      </c>
      <c r="H1237" s="222">
        <f t="shared" si="54"/>
        <v>17.5</v>
      </c>
      <c r="I1237" s="236"/>
      <c r="J1237" s="236">
        <v>0</v>
      </c>
      <c r="K1237" s="236">
        <f t="shared" si="55"/>
        <v>17.5</v>
      </c>
      <c r="L1237" s="237">
        <f t="shared" si="56"/>
        <v>15.12</v>
      </c>
    </row>
    <row r="1238" spans="1:12">
      <c r="A1238" s="223">
        <v>46199</v>
      </c>
      <c r="B1238" s="80" t="s">
        <v>1431</v>
      </c>
      <c r="C1238" s="80" t="s">
        <v>4856</v>
      </c>
      <c r="D1238" s="107" t="s">
        <v>1432</v>
      </c>
      <c r="E1238" s="80">
        <v>1</v>
      </c>
      <c r="F1238" s="132">
        <v>18.57</v>
      </c>
      <c r="G1238" s="132">
        <v>21.75</v>
      </c>
      <c r="H1238" s="222">
        <f t="shared" si="54"/>
        <v>21.75</v>
      </c>
      <c r="I1238" s="236"/>
      <c r="J1238" s="236">
        <v>0</v>
      </c>
      <c r="K1238" s="236">
        <f t="shared" si="55"/>
        <v>21.75</v>
      </c>
      <c r="L1238" s="237">
        <f t="shared" si="56"/>
        <v>18.57</v>
      </c>
    </row>
    <row r="1239" spans="1:12">
      <c r="A1239" s="223">
        <v>46199</v>
      </c>
      <c r="B1239" s="80" t="s">
        <v>4106</v>
      </c>
      <c r="C1239" s="80" t="s">
        <v>4857</v>
      </c>
      <c r="D1239" s="107" t="s">
        <v>4107</v>
      </c>
      <c r="E1239" s="80">
        <v>1</v>
      </c>
      <c r="F1239" s="132">
        <v>118.16</v>
      </c>
      <c r="G1239" s="132">
        <v>136</v>
      </c>
      <c r="H1239" s="222">
        <f t="shared" si="54"/>
        <v>136</v>
      </c>
      <c r="I1239" s="236"/>
      <c r="J1239" s="236">
        <v>0</v>
      </c>
      <c r="K1239" s="236">
        <f t="shared" si="55"/>
        <v>136</v>
      </c>
      <c r="L1239" s="237">
        <f t="shared" si="56"/>
        <v>118.16</v>
      </c>
    </row>
    <row r="1240" spans="1:12">
      <c r="A1240" s="223">
        <v>46199</v>
      </c>
      <c r="B1240" s="80" t="s">
        <v>986</v>
      </c>
      <c r="C1240" s="80" t="s">
        <v>4858</v>
      </c>
      <c r="D1240" s="107" t="s">
        <v>987</v>
      </c>
      <c r="E1240" s="80">
        <v>2</v>
      </c>
      <c r="F1240" s="132">
        <v>7.41</v>
      </c>
      <c r="G1240" s="132">
        <v>8.75</v>
      </c>
      <c r="H1240" s="222">
        <f t="shared" si="54"/>
        <v>17.5</v>
      </c>
      <c r="I1240" s="236"/>
      <c r="J1240" s="236">
        <v>0</v>
      </c>
      <c r="K1240" s="236">
        <f t="shared" si="55"/>
        <v>17.5</v>
      </c>
      <c r="L1240" s="237">
        <f t="shared" si="56"/>
        <v>14.82</v>
      </c>
    </row>
    <row r="1241" spans="1:12">
      <c r="A1241" s="223">
        <v>46199</v>
      </c>
      <c r="B1241" s="80" t="s">
        <v>4753</v>
      </c>
      <c r="C1241" s="80" t="s">
        <v>4858</v>
      </c>
      <c r="D1241" s="107" t="s">
        <v>4755</v>
      </c>
      <c r="E1241" s="80">
        <v>1</v>
      </c>
      <c r="F1241" s="132">
        <v>71.25</v>
      </c>
      <c r="G1241" s="132">
        <v>82</v>
      </c>
      <c r="H1241" s="222">
        <f t="shared" si="54"/>
        <v>82</v>
      </c>
      <c r="I1241" s="236"/>
      <c r="J1241" s="236">
        <v>0</v>
      </c>
      <c r="K1241" s="236">
        <f t="shared" si="55"/>
        <v>82</v>
      </c>
      <c r="L1241" s="237">
        <f t="shared" si="56"/>
        <v>71.25</v>
      </c>
    </row>
    <row r="1242" spans="1:12">
      <c r="A1242" s="223">
        <v>46199</v>
      </c>
      <c r="B1242" s="80" t="s">
        <v>3032</v>
      </c>
      <c r="C1242" s="80" t="s">
        <v>4859</v>
      </c>
      <c r="D1242" s="107" t="s">
        <v>3033</v>
      </c>
      <c r="E1242" s="80">
        <v>1</v>
      </c>
      <c r="F1242" s="132">
        <v>6.38</v>
      </c>
      <c r="G1242" s="132">
        <v>7.5</v>
      </c>
      <c r="H1242" s="222">
        <f t="shared" si="54"/>
        <v>7.5</v>
      </c>
      <c r="I1242" s="236"/>
      <c r="J1242" s="236">
        <v>0</v>
      </c>
      <c r="K1242" s="236">
        <f t="shared" si="55"/>
        <v>7.5</v>
      </c>
      <c r="L1242" s="237">
        <f t="shared" si="56"/>
        <v>6.38</v>
      </c>
    </row>
    <row r="1243" spans="1:12">
      <c r="A1243" s="223">
        <v>46199</v>
      </c>
      <c r="B1243" s="80" t="s">
        <v>888</v>
      </c>
      <c r="C1243" s="80" t="s">
        <v>4860</v>
      </c>
      <c r="D1243" s="107" t="s">
        <v>889</v>
      </c>
      <c r="E1243" s="80">
        <v>1</v>
      </c>
      <c r="F1243" s="132">
        <v>84.8</v>
      </c>
      <c r="G1243" s="132">
        <v>94</v>
      </c>
      <c r="H1243" s="222">
        <f t="shared" si="54"/>
        <v>94</v>
      </c>
      <c r="I1243" s="236"/>
      <c r="J1243" s="236">
        <v>0</v>
      </c>
      <c r="K1243" s="236">
        <f t="shared" si="55"/>
        <v>94</v>
      </c>
      <c r="L1243" s="237">
        <f t="shared" si="56"/>
        <v>84.8</v>
      </c>
    </row>
    <row r="1244" spans="1:12">
      <c r="A1244" s="223">
        <v>46199</v>
      </c>
      <c r="B1244" s="80" t="s">
        <v>4179</v>
      </c>
      <c r="C1244" s="80" t="s">
        <v>4860</v>
      </c>
      <c r="D1244" s="107" t="s">
        <v>486</v>
      </c>
      <c r="E1244" s="80">
        <v>1</v>
      </c>
      <c r="F1244" s="132">
        <v>16.03</v>
      </c>
      <c r="G1244" s="132">
        <v>18.5</v>
      </c>
      <c r="H1244" s="222">
        <f t="shared" ref="H1244:H1307" si="57">E1244*G1244</f>
        <v>18.5</v>
      </c>
      <c r="I1244" s="236"/>
      <c r="J1244" s="236">
        <v>0</v>
      </c>
      <c r="K1244" s="236">
        <f t="shared" si="55"/>
        <v>18.5</v>
      </c>
      <c r="L1244" s="237">
        <f t="shared" si="56"/>
        <v>16.03</v>
      </c>
    </row>
    <row r="1245" spans="1:12">
      <c r="A1245" s="223">
        <v>46199</v>
      </c>
      <c r="B1245" s="80" t="s">
        <v>502</v>
      </c>
      <c r="C1245" s="80" t="s">
        <v>4860</v>
      </c>
      <c r="D1245" s="107" t="s">
        <v>503</v>
      </c>
      <c r="E1245" s="80">
        <v>1</v>
      </c>
      <c r="F1245" s="132">
        <v>18.53</v>
      </c>
      <c r="G1245" s="132">
        <v>21.5</v>
      </c>
      <c r="H1245" s="222">
        <f t="shared" si="57"/>
        <v>21.5</v>
      </c>
      <c r="I1245" s="236"/>
      <c r="J1245" s="236">
        <v>0</v>
      </c>
      <c r="K1245" s="236">
        <f t="shared" si="55"/>
        <v>21.5</v>
      </c>
      <c r="L1245" s="237">
        <f t="shared" si="56"/>
        <v>18.53</v>
      </c>
    </row>
    <row r="1246" spans="1:12">
      <c r="A1246" s="223">
        <v>46199</v>
      </c>
      <c r="B1246" s="80" t="s">
        <v>4061</v>
      </c>
      <c r="C1246" s="80" t="s">
        <v>4860</v>
      </c>
      <c r="D1246" s="107" t="s">
        <v>4062</v>
      </c>
      <c r="E1246" s="80">
        <v>1</v>
      </c>
      <c r="F1246" s="132">
        <v>89.91</v>
      </c>
      <c r="G1246" s="132">
        <v>103.5</v>
      </c>
      <c r="H1246" s="222">
        <f t="shared" si="57"/>
        <v>103.5</v>
      </c>
      <c r="I1246" s="236"/>
      <c r="J1246" s="236">
        <v>0</v>
      </c>
      <c r="K1246" s="236">
        <f t="shared" si="55"/>
        <v>103.5</v>
      </c>
      <c r="L1246" s="237">
        <f t="shared" si="56"/>
        <v>89.91</v>
      </c>
    </row>
    <row r="1247" spans="1:12">
      <c r="A1247" s="223">
        <v>46199</v>
      </c>
      <c r="B1247" s="80" t="s">
        <v>4861</v>
      </c>
      <c r="C1247" s="80" t="s">
        <v>4862</v>
      </c>
      <c r="D1247" s="107" t="s">
        <v>4863</v>
      </c>
      <c r="E1247" s="80">
        <v>1</v>
      </c>
      <c r="F1247" s="132">
        <v>3.22</v>
      </c>
      <c r="G1247" s="132">
        <v>5</v>
      </c>
      <c r="H1247" s="222">
        <f t="shared" si="57"/>
        <v>5</v>
      </c>
      <c r="I1247" s="236"/>
      <c r="J1247" s="236">
        <v>0</v>
      </c>
      <c r="K1247" s="236">
        <f t="shared" si="55"/>
        <v>5</v>
      </c>
      <c r="L1247" s="237">
        <f t="shared" si="56"/>
        <v>3.22</v>
      </c>
    </row>
    <row r="1248" spans="1:12">
      <c r="A1248" s="223">
        <v>46199</v>
      </c>
      <c r="B1248" s="80" t="s">
        <v>3721</v>
      </c>
      <c r="C1248" s="80" t="s">
        <v>4864</v>
      </c>
      <c r="D1248" s="107" t="s">
        <v>3722</v>
      </c>
      <c r="E1248" s="80">
        <v>1</v>
      </c>
      <c r="F1248" s="132">
        <v>23.13</v>
      </c>
      <c r="G1248" s="132">
        <v>30.25</v>
      </c>
      <c r="H1248" s="222">
        <f t="shared" si="57"/>
        <v>30.25</v>
      </c>
      <c r="I1248" s="236"/>
      <c r="J1248" s="236">
        <v>0</v>
      </c>
      <c r="K1248" s="236">
        <f t="shared" si="55"/>
        <v>30.25</v>
      </c>
      <c r="L1248" s="237">
        <f t="shared" si="56"/>
        <v>23.13</v>
      </c>
    </row>
    <row r="1249" spans="1:12">
      <c r="A1249" s="223">
        <v>46199</v>
      </c>
      <c r="B1249" s="80" t="s">
        <v>4071</v>
      </c>
      <c r="C1249" s="80" t="s">
        <v>4865</v>
      </c>
      <c r="D1249" s="107" t="s">
        <v>4072</v>
      </c>
      <c r="E1249" s="80">
        <v>1</v>
      </c>
      <c r="F1249" s="132">
        <v>6.03</v>
      </c>
      <c r="G1249" s="132">
        <v>7</v>
      </c>
      <c r="H1249" s="222">
        <f t="shared" si="57"/>
        <v>7</v>
      </c>
      <c r="I1249" s="236"/>
      <c r="J1249" s="236">
        <v>0</v>
      </c>
      <c r="K1249" s="236">
        <f t="shared" si="55"/>
        <v>7</v>
      </c>
      <c r="L1249" s="237">
        <f t="shared" si="56"/>
        <v>6.03</v>
      </c>
    </row>
    <row r="1250" spans="1:12">
      <c r="A1250" s="223">
        <v>46199</v>
      </c>
      <c r="B1250" s="80" t="s">
        <v>4822</v>
      </c>
      <c r="C1250" s="80" t="s">
        <v>4865</v>
      </c>
      <c r="D1250" s="107" t="s">
        <v>4824</v>
      </c>
      <c r="E1250" s="80">
        <v>1</v>
      </c>
      <c r="F1250" s="132">
        <v>6.4</v>
      </c>
      <c r="G1250" s="132">
        <v>7.5</v>
      </c>
      <c r="H1250" s="222">
        <f t="shared" si="57"/>
        <v>7.5</v>
      </c>
      <c r="I1250" s="236"/>
      <c r="J1250" s="236">
        <v>0</v>
      </c>
      <c r="K1250" s="236">
        <f t="shared" si="55"/>
        <v>7.5</v>
      </c>
      <c r="L1250" s="237">
        <f t="shared" si="56"/>
        <v>6.4</v>
      </c>
    </row>
    <row r="1251" spans="1:12">
      <c r="A1251" s="223">
        <v>46199</v>
      </c>
      <c r="B1251" s="80" t="s">
        <v>1333</v>
      </c>
      <c r="C1251" s="80" t="s">
        <v>4866</v>
      </c>
      <c r="D1251" s="107" t="s">
        <v>1334</v>
      </c>
      <c r="E1251" s="80">
        <v>1</v>
      </c>
      <c r="F1251" s="132">
        <v>94.58</v>
      </c>
      <c r="G1251" s="132">
        <v>109</v>
      </c>
      <c r="H1251" s="222">
        <f t="shared" si="57"/>
        <v>109</v>
      </c>
      <c r="I1251" s="236"/>
      <c r="J1251" s="236">
        <v>0</v>
      </c>
      <c r="K1251" s="236">
        <f t="shared" si="55"/>
        <v>109</v>
      </c>
      <c r="L1251" s="237">
        <f t="shared" si="56"/>
        <v>94.58</v>
      </c>
    </row>
    <row r="1252" spans="1:12">
      <c r="A1252" s="223">
        <v>46199</v>
      </c>
      <c r="B1252" s="80" t="s">
        <v>2037</v>
      </c>
      <c r="C1252" s="80" t="s">
        <v>4867</v>
      </c>
      <c r="D1252" s="107" t="s">
        <v>2038</v>
      </c>
      <c r="E1252" s="80">
        <v>16</v>
      </c>
      <c r="F1252" s="132">
        <v>4.74</v>
      </c>
      <c r="G1252" s="132">
        <v>5.5</v>
      </c>
      <c r="H1252" s="222">
        <f t="shared" si="57"/>
        <v>88</v>
      </c>
      <c r="I1252" s="236"/>
      <c r="J1252" s="236">
        <v>0</v>
      </c>
      <c r="K1252" s="236">
        <f t="shared" si="55"/>
        <v>88</v>
      </c>
      <c r="L1252" s="237">
        <f t="shared" si="56"/>
        <v>75.84</v>
      </c>
    </row>
    <row r="1253" spans="1:12">
      <c r="A1253" s="223">
        <v>46199</v>
      </c>
      <c r="B1253" s="80" t="s">
        <v>1908</v>
      </c>
      <c r="C1253" s="80" t="s">
        <v>4867</v>
      </c>
      <c r="D1253" s="107" t="s">
        <v>1909</v>
      </c>
      <c r="E1253" s="80">
        <v>1</v>
      </c>
      <c r="F1253" s="132">
        <v>60.4</v>
      </c>
      <c r="G1253" s="132">
        <v>70</v>
      </c>
      <c r="H1253" s="222">
        <f t="shared" si="57"/>
        <v>70</v>
      </c>
      <c r="I1253" s="236"/>
      <c r="J1253" s="236">
        <v>0</v>
      </c>
      <c r="K1253" s="236">
        <f t="shared" si="55"/>
        <v>70</v>
      </c>
      <c r="L1253" s="237">
        <f t="shared" si="56"/>
        <v>60.4</v>
      </c>
    </row>
    <row r="1254" spans="1:12">
      <c r="A1254" s="223">
        <v>46199</v>
      </c>
      <c r="B1254" s="80" t="s">
        <v>1997</v>
      </c>
      <c r="C1254" s="80" t="s">
        <v>4867</v>
      </c>
      <c r="D1254" s="107" t="s">
        <v>1998</v>
      </c>
      <c r="E1254" s="80">
        <v>6</v>
      </c>
      <c r="F1254" s="132">
        <v>6.12</v>
      </c>
      <c r="G1254" s="132">
        <v>7.25</v>
      </c>
      <c r="H1254" s="222">
        <f t="shared" si="57"/>
        <v>43.5</v>
      </c>
      <c r="I1254" s="236"/>
      <c r="J1254" s="236">
        <v>0</v>
      </c>
      <c r="K1254" s="236">
        <f t="shared" si="55"/>
        <v>43.5</v>
      </c>
      <c r="L1254" s="237">
        <f t="shared" si="56"/>
        <v>36.72</v>
      </c>
    </row>
    <row r="1255" spans="1:12">
      <c r="A1255" s="223">
        <v>46199</v>
      </c>
      <c r="B1255" s="80" t="s">
        <v>2041</v>
      </c>
      <c r="C1255" s="80" t="s">
        <v>4867</v>
      </c>
      <c r="D1255" s="107" t="s">
        <v>2042</v>
      </c>
      <c r="E1255" s="80">
        <v>3</v>
      </c>
      <c r="F1255" s="132">
        <v>20.8</v>
      </c>
      <c r="G1255" s="132">
        <v>24</v>
      </c>
      <c r="H1255" s="222">
        <f t="shared" si="57"/>
        <v>72</v>
      </c>
      <c r="I1255" s="236"/>
      <c r="J1255" s="236">
        <v>0</v>
      </c>
      <c r="K1255" s="236">
        <f t="shared" si="55"/>
        <v>72</v>
      </c>
      <c r="L1255" s="237">
        <f t="shared" si="56"/>
        <v>62.400000000000006</v>
      </c>
    </row>
    <row r="1256" spans="1:12">
      <c r="A1256" s="223">
        <v>46199</v>
      </c>
      <c r="B1256" s="80" t="s">
        <v>2051</v>
      </c>
      <c r="C1256" s="80" t="s">
        <v>4867</v>
      </c>
      <c r="D1256" s="107" t="s">
        <v>2052</v>
      </c>
      <c r="E1256" s="80">
        <v>4</v>
      </c>
      <c r="F1256" s="132">
        <v>13.39</v>
      </c>
      <c r="G1256" s="132">
        <v>15.5</v>
      </c>
      <c r="H1256" s="222">
        <f t="shared" si="57"/>
        <v>62</v>
      </c>
      <c r="I1256" s="236"/>
      <c r="J1256" s="236">
        <v>0</v>
      </c>
      <c r="K1256" s="236">
        <f t="shared" si="55"/>
        <v>62</v>
      </c>
      <c r="L1256" s="237">
        <f t="shared" si="56"/>
        <v>53.56</v>
      </c>
    </row>
    <row r="1257" spans="1:12">
      <c r="A1257" s="223">
        <v>46199</v>
      </c>
      <c r="B1257" s="80" t="s">
        <v>3032</v>
      </c>
      <c r="C1257" s="80" t="s">
        <v>4867</v>
      </c>
      <c r="D1257" s="107" t="s">
        <v>3033</v>
      </c>
      <c r="E1257" s="80">
        <v>6</v>
      </c>
      <c r="F1257" s="132">
        <v>6.38</v>
      </c>
      <c r="G1257" s="132">
        <v>7.5</v>
      </c>
      <c r="H1257" s="222">
        <f t="shared" si="57"/>
        <v>45</v>
      </c>
      <c r="I1257" s="236"/>
      <c r="J1257" s="236">
        <v>0</v>
      </c>
      <c r="K1257" s="236">
        <f t="shared" si="55"/>
        <v>45</v>
      </c>
      <c r="L1257" s="237">
        <f t="shared" si="56"/>
        <v>38.28</v>
      </c>
    </row>
    <row r="1258" spans="1:12">
      <c r="A1258" s="223">
        <v>46199</v>
      </c>
      <c r="B1258" s="80" t="s">
        <v>3026</v>
      </c>
      <c r="C1258" s="80" t="s">
        <v>4867</v>
      </c>
      <c r="D1258" s="107" t="s">
        <v>3027</v>
      </c>
      <c r="E1258" s="80">
        <v>5</v>
      </c>
      <c r="F1258" s="132">
        <v>5.41</v>
      </c>
      <c r="G1258" s="132">
        <v>6.25</v>
      </c>
      <c r="H1258" s="222">
        <f t="shared" si="57"/>
        <v>31.25</v>
      </c>
      <c r="I1258" s="236"/>
      <c r="J1258" s="236">
        <v>0</v>
      </c>
      <c r="K1258" s="236">
        <f t="shared" si="55"/>
        <v>31.25</v>
      </c>
      <c r="L1258" s="237">
        <f t="shared" si="56"/>
        <v>27.05</v>
      </c>
    </row>
    <row r="1259" spans="1:12">
      <c r="A1259" s="223">
        <v>46199</v>
      </c>
      <c r="B1259" s="80" t="s">
        <v>902</v>
      </c>
      <c r="C1259" s="80" t="s">
        <v>4867</v>
      </c>
      <c r="D1259" s="107" t="s">
        <v>903</v>
      </c>
      <c r="E1259" s="80">
        <v>1</v>
      </c>
      <c r="F1259" s="132">
        <v>81.849999999999994</v>
      </c>
      <c r="G1259" s="132">
        <v>90</v>
      </c>
      <c r="H1259" s="222">
        <f t="shared" si="57"/>
        <v>90</v>
      </c>
      <c r="I1259" s="236"/>
      <c r="J1259" s="236">
        <v>0</v>
      </c>
      <c r="K1259" s="236">
        <f t="shared" si="55"/>
        <v>90</v>
      </c>
      <c r="L1259" s="237">
        <f t="shared" si="56"/>
        <v>81.849999999999994</v>
      </c>
    </row>
    <row r="1260" spans="1:12">
      <c r="A1260" s="223">
        <v>46199</v>
      </c>
      <c r="B1260" s="80" t="s">
        <v>1930</v>
      </c>
      <c r="C1260" s="80" t="s">
        <v>4867</v>
      </c>
      <c r="D1260" s="107" t="s">
        <v>1931</v>
      </c>
      <c r="E1260" s="80">
        <v>6</v>
      </c>
      <c r="F1260" s="132">
        <v>32.86</v>
      </c>
      <c r="G1260" s="132">
        <v>38</v>
      </c>
      <c r="H1260" s="222">
        <f t="shared" si="57"/>
        <v>228</v>
      </c>
      <c r="I1260" s="236"/>
      <c r="J1260" s="236">
        <v>0</v>
      </c>
      <c r="K1260" s="236">
        <f t="shared" si="55"/>
        <v>228</v>
      </c>
      <c r="L1260" s="237">
        <f t="shared" si="56"/>
        <v>197.16</v>
      </c>
    </row>
    <row r="1261" spans="1:12">
      <c r="A1261" s="223">
        <v>46199</v>
      </c>
      <c r="B1261" s="80" t="s">
        <v>4055</v>
      </c>
      <c r="C1261" s="80" t="s">
        <v>4867</v>
      </c>
      <c r="D1261" s="107" t="s">
        <v>4056</v>
      </c>
      <c r="E1261" s="80">
        <v>1</v>
      </c>
      <c r="F1261" s="132">
        <v>1160.3499999999999</v>
      </c>
      <c r="G1261" s="132">
        <v>1334.5</v>
      </c>
      <c r="H1261" s="222">
        <f t="shared" si="57"/>
        <v>1334.5</v>
      </c>
      <c r="I1261" s="236"/>
      <c r="J1261" s="236">
        <v>0</v>
      </c>
      <c r="K1261" s="236">
        <f t="shared" si="55"/>
        <v>1334.5</v>
      </c>
      <c r="L1261" s="237">
        <f t="shared" si="56"/>
        <v>1160.3499999999999</v>
      </c>
    </row>
    <row r="1262" spans="1:12">
      <c r="A1262" s="223">
        <v>46199</v>
      </c>
      <c r="B1262" s="80" t="s">
        <v>540</v>
      </c>
      <c r="C1262" s="80" t="s">
        <v>4868</v>
      </c>
      <c r="D1262" s="107" t="s">
        <v>541</v>
      </c>
      <c r="E1262" s="80">
        <v>1</v>
      </c>
      <c r="F1262" s="132">
        <v>23.07</v>
      </c>
      <c r="G1262" s="132">
        <v>26.75</v>
      </c>
      <c r="H1262" s="222">
        <f t="shared" si="57"/>
        <v>26.75</v>
      </c>
      <c r="I1262" s="236"/>
      <c r="J1262" s="236">
        <v>0</v>
      </c>
      <c r="K1262" s="236">
        <f t="shared" si="55"/>
        <v>26.75</v>
      </c>
      <c r="L1262" s="237">
        <f t="shared" si="56"/>
        <v>23.07</v>
      </c>
    </row>
    <row r="1263" spans="1:12">
      <c r="A1263" s="223">
        <v>46199</v>
      </c>
      <c r="B1263" s="80" t="s">
        <v>630</v>
      </c>
      <c r="C1263" s="80" t="s">
        <v>4869</v>
      </c>
      <c r="D1263" s="107" t="s">
        <v>631</v>
      </c>
      <c r="E1263" s="80">
        <v>1</v>
      </c>
      <c r="F1263" s="132">
        <v>7.62</v>
      </c>
      <c r="G1263" s="132">
        <v>8.75</v>
      </c>
      <c r="H1263" s="222">
        <f t="shared" si="57"/>
        <v>8.75</v>
      </c>
      <c r="I1263" s="236"/>
      <c r="J1263" s="236">
        <v>0</v>
      </c>
      <c r="K1263" s="236">
        <f t="shared" si="55"/>
        <v>8.75</v>
      </c>
      <c r="L1263" s="237">
        <f t="shared" si="56"/>
        <v>7.62</v>
      </c>
    </row>
    <row r="1264" spans="1:12">
      <c r="A1264" s="223">
        <v>46199</v>
      </c>
      <c r="B1264" s="80" t="s">
        <v>4106</v>
      </c>
      <c r="C1264" s="80" t="s">
        <v>4870</v>
      </c>
      <c r="D1264" s="107" t="s">
        <v>4107</v>
      </c>
      <c r="E1264" s="80">
        <v>10</v>
      </c>
      <c r="F1264" s="132">
        <v>118.16</v>
      </c>
      <c r="G1264" s="132">
        <v>136</v>
      </c>
      <c r="H1264" s="222">
        <f t="shared" si="57"/>
        <v>1360</v>
      </c>
      <c r="I1264" s="236"/>
      <c r="J1264" s="236">
        <v>0</v>
      </c>
      <c r="K1264" s="236">
        <f t="shared" si="55"/>
        <v>1360</v>
      </c>
      <c r="L1264" s="237">
        <f t="shared" si="56"/>
        <v>1181.5999999999999</v>
      </c>
    </row>
    <row r="1265" spans="1:12">
      <c r="A1265" s="223">
        <v>46199</v>
      </c>
      <c r="B1265" s="80" t="s">
        <v>4103</v>
      </c>
      <c r="C1265" s="80" t="s">
        <v>4870</v>
      </c>
      <c r="D1265" s="107" t="s">
        <v>4104</v>
      </c>
      <c r="E1265" s="80">
        <v>10</v>
      </c>
      <c r="F1265" s="132">
        <v>118.16</v>
      </c>
      <c r="G1265" s="132">
        <v>136</v>
      </c>
      <c r="H1265" s="222">
        <f t="shared" si="57"/>
        <v>1360</v>
      </c>
      <c r="I1265" s="236"/>
      <c r="J1265" s="236">
        <v>0</v>
      </c>
      <c r="K1265" s="236">
        <f t="shared" si="55"/>
        <v>1360</v>
      </c>
      <c r="L1265" s="237">
        <f t="shared" si="56"/>
        <v>1181.5999999999999</v>
      </c>
    </row>
    <row r="1266" spans="1:12">
      <c r="A1266" s="223">
        <v>46199</v>
      </c>
      <c r="B1266" s="80" t="s">
        <v>3119</v>
      </c>
      <c r="C1266" s="80" t="s">
        <v>4870</v>
      </c>
      <c r="D1266" s="107" t="s">
        <v>3120</v>
      </c>
      <c r="E1266" s="80">
        <v>10</v>
      </c>
      <c r="F1266" s="132">
        <v>65.989999999999995</v>
      </c>
      <c r="G1266" s="132">
        <v>76.75</v>
      </c>
      <c r="H1266" s="222">
        <f t="shared" si="57"/>
        <v>767.5</v>
      </c>
      <c r="I1266" s="236"/>
      <c r="J1266" s="236">
        <v>0</v>
      </c>
      <c r="K1266" s="236">
        <f t="shared" si="55"/>
        <v>767.5</v>
      </c>
      <c r="L1266" s="237">
        <f t="shared" si="56"/>
        <v>659.9</v>
      </c>
    </row>
    <row r="1267" spans="1:12">
      <c r="A1267" s="223">
        <v>46199</v>
      </c>
      <c r="B1267" s="80" t="s">
        <v>2642</v>
      </c>
      <c r="C1267" s="80" t="s">
        <v>4870</v>
      </c>
      <c r="D1267" s="107" t="s">
        <v>2643</v>
      </c>
      <c r="E1267" s="80">
        <v>5</v>
      </c>
      <c r="F1267" s="132">
        <v>302.13</v>
      </c>
      <c r="G1267" s="132">
        <v>362.75</v>
      </c>
      <c r="H1267" s="222">
        <f t="shared" si="57"/>
        <v>1813.75</v>
      </c>
      <c r="I1267" s="236"/>
      <c r="J1267" s="236">
        <v>0</v>
      </c>
      <c r="K1267" s="236">
        <f t="shared" si="55"/>
        <v>1813.75</v>
      </c>
      <c r="L1267" s="237">
        <f t="shared" si="56"/>
        <v>1510.65</v>
      </c>
    </row>
    <row r="1268" spans="1:12">
      <c r="A1268" s="223">
        <v>46199</v>
      </c>
      <c r="B1268" s="80" t="s">
        <v>2769</v>
      </c>
      <c r="C1268" s="80" t="s">
        <v>4870</v>
      </c>
      <c r="D1268" s="107" t="s">
        <v>2770</v>
      </c>
      <c r="E1268" s="80">
        <v>10</v>
      </c>
      <c r="F1268" s="132">
        <v>65</v>
      </c>
      <c r="G1268" s="132">
        <v>75</v>
      </c>
      <c r="H1268" s="222">
        <f t="shared" si="57"/>
        <v>750</v>
      </c>
      <c r="I1268" s="236"/>
      <c r="J1268" s="236">
        <v>0</v>
      </c>
      <c r="K1268" s="236">
        <f t="shared" si="55"/>
        <v>750</v>
      </c>
      <c r="L1268" s="237">
        <f t="shared" si="56"/>
        <v>650</v>
      </c>
    </row>
    <row r="1269" spans="1:12">
      <c r="A1269" s="223">
        <v>46199</v>
      </c>
      <c r="B1269" s="80" t="s">
        <v>2815</v>
      </c>
      <c r="C1269" s="80" t="s">
        <v>4870</v>
      </c>
      <c r="D1269" s="107" t="s">
        <v>2816</v>
      </c>
      <c r="E1269" s="80">
        <v>2</v>
      </c>
      <c r="F1269" s="132">
        <v>296.10000000000002</v>
      </c>
      <c r="G1269" s="132">
        <v>340.75</v>
      </c>
      <c r="H1269" s="222">
        <f t="shared" si="57"/>
        <v>681.5</v>
      </c>
      <c r="I1269" s="236"/>
      <c r="J1269" s="236">
        <v>0</v>
      </c>
      <c r="K1269" s="236">
        <f t="shared" si="55"/>
        <v>681.5</v>
      </c>
      <c r="L1269" s="237">
        <f t="shared" si="56"/>
        <v>592.20000000000005</v>
      </c>
    </row>
    <row r="1270" spans="1:12">
      <c r="A1270" s="223">
        <v>46199</v>
      </c>
      <c r="B1270" s="80" t="s">
        <v>2348</v>
      </c>
      <c r="C1270" s="80" t="s">
        <v>4870</v>
      </c>
      <c r="D1270" s="107" t="s">
        <v>2349</v>
      </c>
      <c r="E1270" s="80">
        <v>6</v>
      </c>
      <c r="F1270" s="132">
        <v>529.58000000000004</v>
      </c>
      <c r="G1270" s="132">
        <v>615</v>
      </c>
      <c r="H1270" s="222">
        <f t="shared" si="57"/>
        <v>3690</v>
      </c>
      <c r="I1270" s="236"/>
      <c r="J1270" s="236">
        <v>0</v>
      </c>
      <c r="K1270" s="236">
        <f t="shared" si="55"/>
        <v>3690</v>
      </c>
      <c r="L1270" s="237">
        <f t="shared" si="56"/>
        <v>3177.4800000000005</v>
      </c>
    </row>
    <row r="1271" spans="1:12">
      <c r="A1271" s="223">
        <v>46199</v>
      </c>
      <c r="B1271" s="80" t="s">
        <v>2894</v>
      </c>
      <c r="C1271" s="80" t="s">
        <v>4870</v>
      </c>
      <c r="D1271" s="107" t="s">
        <v>2895</v>
      </c>
      <c r="E1271" s="80">
        <v>8</v>
      </c>
      <c r="F1271" s="132">
        <v>160.51</v>
      </c>
      <c r="G1271" s="132">
        <v>184.75</v>
      </c>
      <c r="H1271" s="222">
        <f t="shared" si="57"/>
        <v>1478</v>
      </c>
      <c r="I1271" s="236"/>
      <c r="J1271" s="236">
        <v>0</v>
      </c>
      <c r="K1271" s="236">
        <f t="shared" si="55"/>
        <v>1478</v>
      </c>
      <c r="L1271" s="237">
        <f t="shared" si="56"/>
        <v>1284.08</v>
      </c>
    </row>
    <row r="1272" spans="1:12">
      <c r="A1272" s="223">
        <v>46199</v>
      </c>
      <c r="B1272" s="80" t="s">
        <v>2906</v>
      </c>
      <c r="C1272" s="80" t="s">
        <v>4870</v>
      </c>
      <c r="D1272" s="107" t="s">
        <v>2907</v>
      </c>
      <c r="E1272" s="80">
        <v>2</v>
      </c>
      <c r="F1272" s="132">
        <v>160.51</v>
      </c>
      <c r="G1272" s="132">
        <v>184.75</v>
      </c>
      <c r="H1272" s="222">
        <f t="shared" si="57"/>
        <v>369.5</v>
      </c>
      <c r="I1272" s="236"/>
      <c r="J1272" s="236">
        <v>0</v>
      </c>
      <c r="K1272" s="236">
        <f t="shared" si="55"/>
        <v>369.5</v>
      </c>
      <c r="L1272" s="237">
        <f t="shared" si="56"/>
        <v>321.02</v>
      </c>
    </row>
    <row r="1273" spans="1:12">
      <c r="A1273" s="223">
        <v>46199</v>
      </c>
      <c r="B1273" s="80" t="s">
        <v>3070</v>
      </c>
      <c r="C1273" s="80" t="s">
        <v>4870</v>
      </c>
      <c r="D1273" s="107" t="s">
        <v>3071</v>
      </c>
      <c r="E1273" s="80">
        <v>12</v>
      </c>
      <c r="F1273" s="132">
        <v>14.43</v>
      </c>
      <c r="G1273" s="132">
        <v>17</v>
      </c>
      <c r="H1273" s="222">
        <f t="shared" si="57"/>
        <v>204</v>
      </c>
      <c r="I1273" s="236"/>
      <c r="J1273" s="236">
        <v>0</v>
      </c>
      <c r="K1273" s="236">
        <f t="shared" si="55"/>
        <v>204</v>
      </c>
      <c r="L1273" s="237">
        <f t="shared" si="56"/>
        <v>173.16</v>
      </c>
    </row>
    <row r="1274" spans="1:12">
      <c r="A1274" s="223">
        <v>46199</v>
      </c>
      <c r="B1274" s="80" t="s">
        <v>842</v>
      </c>
      <c r="C1274" s="80" t="s">
        <v>4871</v>
      </c>
      <c r="D1274" s="107" t="s">
        <v>843</v>
      </c>
      <c r="E1274" s="80">
        <v>1</v>
      </c>
      <c r="F1274" s="132">
        <v>20.68</v>
      </c>
      <c r="G1274" s="132">
        <v>24</v>
      </c>
      <c r="H1274" s="222">
        <f t="shared" si="57"/>
        <v>24</v>
      </c>
      <c r="I1274" s="236"/>
      <c r="J1274" s="236">
        <v>0</v>
      </c>
      <c r="K1274" s="236">
        <f t="shared" si="55"/>
        <v>24</v>
      </c>
      <c r="L1274" s="237">
        <f t="shared" si="56"/>
        <v>20.68</v>
      </c>
    </row>
    <row r="1275" spans="1:12">
      <c r="A1275" s="223">
        <v>46199</v>
      </c>
      <c r="B1275" s="80" t="s">
        <v>4069</v>
      </c>
      <c r="C1275" s="80" t="s">
        <v>4871</v>
      </c>
      <c r="D1275" s="107" t="s">
        <v>4070</v>
      </c>
      <c r="E1275" s="80">
        <v>1</v>
      </c>
      <c r="F1275" s="132">
        <v>42.87</v>
      </c>
      <c r="G1275" s="132">
        <v>49.5</v>
      </c>
      <c r="H1275" s="222">
        <f t="shared" si="57"/>
        <v>49.5</v>
      </c>
      <c r="I1275" s="236"/>
      <c r="J1275" s="236">
        <v>0</v>
      </c>
      <c r="K1275" s="236">
        <f t="shared" si="55"/>
        <v>49.5</v>
      </c>
      <c r="L1275" s="237">
        <f t="shared" si="56"/>
        <v>42.87</v>
      </c>
    </row>
    <row r="1276" spans="1:12">
      <c r="A1276" s="223">
        <v>46199</v>
      </c>
      <c r="B1276" s="80" t="s">
        <v>984</v>
      </c>
      <c r="C1276" s="80" t="s">
        <v>4872</v>
      </c>
      <c r="D1276" s="107" t="s">
        <v>985</v>
      </c>
      <c r="E1276" s="80">
        <v>2</v>
      </c>
      <c r="F1276" s="132">
        <v>7.48</v>
      </c>
      <c r="G1276" s="132">
        <v>8.75</v>
      </c>
      <c r="H1276" s="222">
        <f t="shared" si="57"/>
        <v>17.5</v>
      </c>
      <c r="I1276" s="236"/>
      <c r="J1276" s="236">
        <v>0</v>
      </c>
      <c r="K1276" s="236">
        <f t="shared" si="55"/>
        <v>17.5</v>
      </c>
      <c r="L1276" s="237">
        <f t="shared" si="56"/>
        <v>14.96</v>
      </c>
    </row>
    <row r="1277" spans="1:12">
      <c r="A1277" s="223">
        <v>46199</v>
      </c>
      <c r="B1277" s="80" t="s">
        <v>3771</v>
      </c>
      <c r="C1277" s="80" t="s">
        <v>4872</v>
      </c>
      <c r="D1277" s="107" t="s">
        <v>3772</v>
      </c>
      <c r="E1277" s="80">
        <v>2</v>
      </c>
      <c r="F1277" s="132">
        <v>3.6</v>
      </c>
      <c r="G1277" s="132">
        <v>4.25</v>
      </c>
      <c r="H1277" s="222">
        <f t="shared" si="57"/>
        <v>8.5</v>
      </c>
      <c r="I1277" s="236"/>
      <c r="J1277" s="236">
        <v>0</v>
      </c>
      <c r="K1277" s="236">
        <f t="shared" si="55"/>
        <v>8.5</v>
      </c>
      <c r="L1277" s="237">
        <f t="shared" si="56"/>
        <v>7.2</v>
      </c>
    </row>
    <row r="1278" spans="1:12">
      <c r="A1278" s="223">
        <v>46199</v>
      </c>
      <c r="B1278" s="80" t="s">
        <v>3670</v>
      </c>
      <c r="C1278" s="80" t="s">
        <v>4873</v>
      </c>
      <c r="D1278" s="107" t="s">
        <v>3671</v>
      </c>
      <c r="E1278" s="80">
        <v>1</v>
      </c>
      <c r="F1278" s="132">
        <v>30.79</v>
      </c>
      <c r="G1278" s="132">
        <v>36.75</v>
      </c>
      <c r="H1278" s="222">
        <f t="shared" si="57"/>
        <v>36.75</v>
      </c>
      <c r="I1278" s="236"/>
      <c r="J1278" s="236">
        <v>0</v>
      </c>
      <c r="K1278" s="236">
        <f t="shared" si="55"/>
        <v>36.75</v>
      </c>
      <c r="L1278" s="237">
        <f t="shared" si="56"/>
        <v>30.79</v>
      </c>
    </row>
    <row r="1279" spans="1:12">
      <c r="A1279" s="223" t="s">
        <v>4874</v>
      </c>
      <c r="B1279" s="80" t="s">
        <v>2461</v>
      </c>
      <c r="C1279" s="80" t="s">
        <v>4875</v>
      </c>
      <c r="D1279" s="107" t="s">
        <v>2462</v>
      </c>
      <c r="E1279" s="80">
        <v>1</v>
      </c>
      <c r="F1279" s="132">
        <v>30.35</v>
      </c>
      <c r="G1279" s="132">
        <v>35</v>
      </c>
      <c r="H1279" s="222">
        <f t="shared" si="57"/>
        <v>35</v>
      </c>
      <c r="I1279" s="236"/>
      <c r="J1279" s="236">
        <v>0</v>
      </c>
      <c r="K1279" s="236">
        <f t="shared" si="55"/>
        <v>35</v>
      </c>
      <c r="L1279" s="237">
        <f t="shared" si="56"/>
        <v>30.35</v>
      </c>
    </row>
    <row r="1280" spans="1:12">
      <c r="A1280" s="223" t="s">
        <v>4874</v>
      </c>
      <c r="B1280" s="80" t="s">
        <v>3032</v>
      </c>
      <c r="C1280" s="80" t="s">
        <v>4876</v>
      </c>
      <c r="D1280" s="107" t="s">
        <v>3033</v>
      </c>
      <c r="E1280" s="80">
        <v>6</v>
      </c>
      <c r="F1280" s="132">
        <v>6.38</v>
      </c>
      <c r="G1280" s="132">
        <v>7.5</v>
      </c>
      <c r="H1280" s="222">
        <f t="shared" si="57"/>
        <v>45</v>
      </c>
      <c r="I1280" s="236"/>
      <c r="J1280" s="236">
        <v>0</v>
      </c>
      <c r="K1280" s="236">
        <f t="shared" si="55"/>
        <v>45</v>
      </c>
      <c r="L1280" s="237">
        <f t="shared" si="56"/>
        <v>38.28</v>
      </c>
    </row>
    <row r="1281" spans="1:12">
      <c r="A1281" s="223" t="s">
        <v>4874</v>
      </c>
      <c r="B1281" s="80" t="s">
        <v>809</v>
      </c>
      <c r="C1281" s="80" t="s">
        <v>4877</v>
      </c>
      <c r="D1281" s="107" t="s">
        <v>810</v>
      </c>
      <c r="E1281" s="80">
        <v>1</v>
      </c>
      <c r="F1281" s="132">
        <v>44.8</v>
      </c>
      <c r="G1281" s="132">
        <v>51.75</v>
      </c>
      <c r="H1281" s="222">
        <f t="shared" si="57"/>
        <v>51.75</v>
      </c>
      <c r="I1281" s="236"/>
      <c r="J1281" s="236">
        <v>0</v>
      </c>
      <c r="K1281" s="236">
        <f t="shared" si="55"/>
        <v>51.75</v>
      </c>
      <c r="L1281" s="237">
        <f t="shared" si="56"/>
        <v>44.8</v>
      </c>
    </row>
    <row r="1282" spans="1:12">
      <c r="A1282" s="223" t="s">
        <v>4874</v>
      </c>
      <c r="B1282" s="80" t="s">
        <v>3579</v>
      </c>
      <c r="C1282" s="80" t="s">
        <v>4878</v>
      </c>
      <c r="D1282" s="107" t="s">
        <v>3580</v>
      </c>
      <c r="E1282" s="80">
        <v>1</v>
      </c>
      <c r="F1282" s="132">
        <v>23.21</v>
      </c>
      <c r="G1282" s="132">
        <v>26.75</v>
      </c>
      <c r="H1282" s="222">
        <f t="shared" si="57"/>
        <v>26.75</v>
      </c>
      <c r="I1282" s="236"/>
      <c r="J1282" s="236">
        <v>0</v>
      </c>
      <c r="K1282" s="236">
        <f t="shared" si="55"/>
        <v>26.75</v>
      </c>
      <c r="L1282" s="237">
        <f t="shared" si="56"/>
        <v>23.21</v>
      </c>
    </row>
    <row r="1283" spans="1:12">
      <c r="A1283" s="223" t="s">
        <v>4874</v>
      </c>
      <c r="B1283" s="80" t="s">
        <v>1456</v>
      </c>
      <c r="C1283" s="80" t="s">
        <v>4878</v>
      </c>
      <c r="D1283" s="107" t="s">
        <v>1457</v>
      </c>
      <c r="E1283" s="80">
        <v>2</v>
      </c>
      <c r="F1283" s="132">
        <v>202</v>
      </c>
      <c r="G1283" s="132">
        <v>232.5</v>
      </c>
      <c r="H1283" s="222">
        <f t="shared" si="57"/>
        <v>465</v>
      </c>
      <c r="I1283" s="236"/>
      <c r="J1283" s="236">
        <v>0</v>
      </c>
      <c r="K1283" s="236">
        <f t="shared" si="55"/>
        <v>465</v>
      </c>
      <c r="L1283" s="237">
        <f t="shared" si="56"/>
        <v>404</v>
      </c>
    </row>
    <row r="1284" spans="1:12">
      <c r="A1284" s="223" t="s">
        <v>4874</v>
      </c>
      <c r="B1284" s="80" t="s">
        <v>4879</v>
      </c>
      <c r="C1284" s="80" t="s">
        <v>4878</v>
      </c>
      <c r="D1284" s="107" t="s">
        <v>4880</v>
      </c>
      <c r="E1284" s="80">
        <v>2</v>
      </c>
      <c r="F1284" s="132">
        <v>79.95</v>
      </c>
      <c r="G1284" s="132">
        <v>92</v>
      </c>
      <c r="H1284" s="222">
        <f t="shared" si="57"/>
        <v>184</v>
      </c>
      <c r="I1284" s="236"/>
      <c r="J1284" s="236">
        <v>0</v>
      </c>
      <c r="K1284" s="236">
        <f t="shared" si="55"/>
        <v>184</v>
      </c>
      <c r="L1284" s="237">
        <f t="shared" si="56"/>
        <v>159.9</v>
      </c>
    </row>
    <row r="1285" spans="1:12">
      <c r="A1285" s="223" t="s">
        <v>4874</v>
      </c>
      <c r="B1285" s="80" t="s">
        <v>3398</v>
      </c>
      <c r="C1285" s="80" t="s">
        <v>4881</v>
      </c>
      <c r="D1285" s="107" t="s">
        <v>3399</v>
      </c>
      <c r="E1285" s="80">
        <v>1</v>
      </c>
      <c r="F1285" s="132">
        <v>90</v>
      </c>
      <c r="G1285" s="132">
        <v>120</v>
      </c>
      <c r="H1285" s="222">
        <f t="shared" si="57"/>
        <v>120</v>
      </c>
      <c r="I1285" s="236"/>
      <c r="J1285" s="236">
        <v>0</v>
      </c>
      <c r="K1285" s="236">
        <f t="shared" si="55"/>
        <v>120</v>
      </c>
      <c r="L1285" s="237">
        <f t="shared" si="56"/>
        <v>90</v>
      </c>
    </row>
    <row r="1286" spans="1:12">
      <c r="A1286" s="223" t="s">
        <v>4874</v>
      </c>
      <c r="B1286" s="80" t="s">
        <v>701</v>
      </c>
      <c r="C1286" s="80" t="s">
        <v>4881</v>
      </c>
      <c r="D1286" s="107" t="s">
        <v>702</v>
      </c>
      <c r="E1286" s="80">
        <v>1</v>
      </c>
      <c r="F1286" s="132">
        <v>60</v>
      </c>
      <c r="G1286" s="132">
        <v>75</v>
      </c>
      <c r="H1286" s="222">
        <f t="shared" si="57"/>
        <v>75</v>
      </c>
      <c r="I1286" s="236"/>
      <c r="J1286" s="236">
        <v>0</v>
      </c>
      <c r="K1286" s="236">
        <f t="shared" ref="K1286:K1349" si="58">H1286+I1286-J1286</f>
        <v>75</v>
      </c>
      <c r="L1286" s="237">
        <f t="shared" ref="L1286:L1349" si="59">E1286*F1286</f>
        <v>60</v>
      </c>
    </row>
    <row r="1287" spans="1:12">
      <c r="A1287" s="223" t="s">
        <v>4874</v>
      </c>
      <c r="B1287" s="80" t="s">
        <v>4179</v>
      </c>
      <c r="C1287" s="80" t="s">
        <v>4882</v>
      </c>
      <c r="D1287" s="107" t="s">
        <v>486</v>
      </c>
      <c r="E1287" s="80">
        <v>1</v>
      </c>
      <c r="F1287" s="132">
        <v>16.03</v>
      </c>
      <c r="G1287" s="132">
        <v>18.5</v>
      </c>
      <c r="H1287" s="222">
        <f t="shared" si="57"/>
        <v>18.5</v>
      </c>
      <c r="I1287" s="236"/>
      <c r="J1287" s="236">
        <v>0</v>
      </c>
      <c r="K1287" s="236">
        <f t="shared" si="58"/>
        <v>18.5</v>
      </c>
      <c r="L1287" s="237">
        <f t="shared" si="59"/>
        <v>16.03</v>
      </c>
    </row>
    <row r="1288" spans="1:12">
      <c r="A1288" s="223" t="s">
        <v>4874</v>
      </c>
      <c r="B1288" s="80" t="s">
        <v>817</v>
      </c>
      <c r="C1288" s="80" t="s">
        <v>4882</v>
      </c>
      <c r="D1288" s="107" t="s">
        <v>818</v>
      </c>
      <c r="E1288" s="80">
        <v>1</v>
      </c>
      <c r="F1288" s="132">
        <v>61.5</v>
      </c>
      <c r="G1288" s="132">
        <v>70.75</v>
      </c>
      <c r="H1288" s="222">
        <f t="shared" si="57"/>
        <v>70.75</v>
      </c>
      <c r="I1288" s="236"/>
      <c r="J1288" s="236">
        <v>0</v>
      </c>
      <c r="K1288" s="236">
        <f t="shared" si="58"/>
        <v>70.75</v>
      </c>
      <c r="L1288" s="237">
        <f t="shared" si="59"/>
        <v>61.5</v>
      </c>
    </row>
    <row r="1289" spans="1:12">
      <c r="A1289" s="223" t="s">
        <v>4874</v>
      </c>
      <c r="B1289" s="80" t="s">
        <v>4071</v>
      </c>
      <c r="C1289" s="80" t="s">
        <v>4883</v>
      </c>
      <c r="D1289" s="107" t="s">
        <v>4072</v>
      </c>
      <c r="E1289" s="80">
        <v>1</v>
      </c>
      <c r="F1289" s="132">
        <v>6.03</v>
      </c>
      <c r="G1289" s="132">
        <v>7</v>
      </c>
      <c r="H1289" s="222">
        <f t="shared" si="57"/>
        <v>7</v>
      </c>
      <c r="I1289" s="236"/>
      <c r="J1289" s="236">
        <v>0</v>
      </c>
      <c r="K1289" s="236">
        <f t="shared" si="58"/>
        <v>7</v>
      </c>
      <c r="L1289" s="237">
        <f t="shared" si="59"/>
        <v>6.03</v>
      </c>
    </row>
    <row r="1290" spans="1:12">
      <c r="A1290" s="223" t="s">
        <v>4874</v>
      </c>
      <c r="B1290" s="80" t="s">
        <v>3773</v>
      </c>
      <c r="C1290" s="80" t="s">
        <v>4884</v>
      </c>
      <c r="D1290" s="107" t="s">
        <v>3774</v>
      </c>
      <c r="E1290" s="80">
        <v>1</v>
      </c>
      <c r="F1290" s="132">
        <v>3.6</v>
      </c>
      <c r="G1290" s="132">
        <v>4.25</v>
      </c>
      <c r="H1290" s="222">
        <f t="shared" si="57"/>
        <v>4.25</v>
      </c>
      <c r="I1290" s="236"/>
      <c r="J1290" s="236">
        <v>0</v>
      </c>
      <c r="K1290" s="236">
        <f t="shared" si="58"/>
        <v>4.25</v>
      </c>
      <c r="L1290" s="237">
        <f t="shared" si="59"/>
        <v>3.6</v>
      </c>
    </row>
    <row r="1291" spans="1:12">
      <c r="A1291" s="223" t="s">
        <v>4874</v>
      </c>
      <c r="B1291" s="80" t="s">
        <v>3582</v>
      </c>
      <c r="C1291" s="80" t="s">
        <v>4885</v>
      </c>
      <c r="D1291" s="107" t="s">
        <v>3583</v>
      </c>
      <c r="E1291" s="80">
        <v>1</v>
      </c>
      <c r="F1291" s="132">
        <v>49.75</v>
      </c>
      <c r="G1291" s="132">
        <v>57.25</v>
      </c>
      <c r="H1291" s="222">
        <f t="shared" si="57"/>
        <v>57.25</v>
      </c>
      <c r="I1291" s="236"/>
      <c r="J1291" s="236">
        <v>0</v>
      </c>
      <c r="K1291" s="236">
        <f t="shared" si="58"/>
        <v>57.25</v>
      </c>
      <c r="L1291" s="237">
        <f t="shared" si="59"/>
        <v>49.75</v>
      </c>
    </row>
    <row r="1292" spans="1:12">
      <c r="A1292" s="223" t="s">
        <v>4874</v>
      </c>
      <c r="B1292" s="80" t="s">
        <v>4660</v>
      </c>
      <c r="C1292" s="80" t="s">
        <v>4886</v>
      </c>
      <c r="D1292" s="107" t="s">
        <v>4661</v>
      </c>
      <c r="E1292" s="80">
        <v>1</v>
      </c>
      <c r="F1292" s="132">
        <v>14.5</v>
      </c>
      <c r="G1292" s="132">
        <v>16.75</v>
      </c>
      <c r="H1292" s="222">
        <f t="shared" si="57"/>
        <v>16.75</v>
      </c>
      <c r="I1292" s="236"/>
      <c r="J1292" s="236">
        <v>0</v>
      </c>
      <c r="K1292" s="236">
        <f t="shared" si="58"/>
        <v>16.75</v>
      </c>
      <c r="L1292" s="237">
        <f t="shared" si="59"/>
        <v>14.5</v>
      </c>
    </row>
    <row r="1293" spans="1:12">
      <c r="A1293" s="223" t="s">
        <v>4874</v>
      </c>
      <c r="B1293" s="80" t="s">
        <v>3119</v>
      </c>
      <c r="C1293" s="80" t="s">
        <v>4887</v>
      </c>
      <c r="D1293" s="107" t="s">
        <v>3120</v>
      </c>
      <c r="E1293" s="80">
        <v>1</v>
      </c>
      <c r="F1293" s="132">
        <v>65.989999999999995</v>
      </c>
      <c r="G1293" s="132">
        <v>76.75</v>
      </c>
      <c r="H1293" s="222">
        <f t="shared" si="57"/>
        <v>76.75</v>
      </c>
      <c r="I1293" s="236"/>
      <c r="J1293" s="236">
        <v>0</v>
      </c>
      <c r="K1293" s="236">
        <f t="shared" si="58"/>
        <v>76.75</v>
      </c>
      <c r="L1293" s="237">
        <f t="shared" si="59"/>
        <v>65.989999999999995</v>
      </c>
    </row>
    <row r="1294" spans="1:12">
      <c r="A1294" s="223" t="s">
        <v>4874</v>
      </c>
      <c r="B1294" s="80" t="s">
        <v>1811</v>
      </c>
      <c r="C1294" s="80" t="s">
        <v>4887</v>
      </c>
      <c r="D1294" s="107" t="s">
        <v>1812</v>
      </c>
      <c r="E1294" s="80">
        <v>4</v>
      </c>
      <c r="F1294" s="132">
        <v>24.24</v>
      </c>
      <c r="G1294" s="132">
        <v>29.25</v>
      </c>
      <c r="H1294" s="222">
        <f t="shared" si="57"/>
        <v>117</v>
      </c>
      <c r="I1294" s="236"/>
      <c r="J1294" s="236">
        <v>0</v>
      </c>
      <c r="K1294" s="236">
        <f t="shared" si="58"/>
        <v>117</v>
      </c>
      <c r="L1294" s="237">
        <f t="shared" si="59"/>
        <v>96.96</v>
      </c>
    </row>
    <row r="1295" spans="1:12">
      <c r="A1295" s="223" t="s">
        <v>4874</v>
      </c>
      <c r="B1295" s="80" t="s">
        <v>1170</v>
      </c>
      <c r="C1295" s="80" t="s">
        <v>4887</v>
      </c>
      <c r="D1295" s="107" t="s">
        <v>1171</v>
      </c>
      <c r="E1295" s="80">
        <v>1</v>
      </c>
      <c r="F1295" s="132">
        <v>22.19</v>
      </c>
      <c r="G1295" s="132">
        <v>25.5</v>
      </c>
      <c r="H1295" s="222">
        <f t="shared" si="57"/>
        <v>25.5</v>
      </c>
      <c r="I1295" s="236"/>
      <c r="J1295" s="236">
        <v>0</v>
      </c>
      <c r="K1295" s="236">
        <f t="shared" si="58"/>
        <v>25.5</v>
      </c>
      <c r="L1295" s="237">
        <f t="shared" si="59"/>
        <v>22.19</v>
      </c>
    </row>
    <row r="1296" spans="1:12">
      <c r="A1296" s="223" t="s">
        <v>4874</v>
      </c>
      <c r="B1296" s="80" t="s">
        <v>3024</v>
      </c>
      <c r="C1296" s="80" t="s">
        <v>4888</v>
      </c>
      <c r="D1296" s="107" t="s">
        <v>3025</v>
      </c>
      <c r="E1296" s="80">
        <v>6</v>
      </c>
      <c r="F1296" s="132">
        <v>5.41</v>
      </c>
      <c r="G1296" s="132">
        <v>6.25</v>
      </c>
      <c r="H1296" s="222">
        <f t="shared" si="57"/>
        <v>37.5</v>
      </c>
      <c r="I1296" s="236"/>
      <c r="J1296" s="236">
        <v>0</v>
      </c>
      <c r="K1296" s="236">
        <f t="shared" si="58"/>
        <v>37.5</v>
      </c>
      <c r="L1296" s="237">
        <f t="shared" si="59"/>
        <v>32.46</v>
      </c>
    </row>
    <row r="1297" spans="1:12">
      <c r="A1297" s="223" t="s">
        <v>4874</v>
      </c>
      <c r="B1297" s="80" t="s">
        <v>2368</v>
      </c>
      <c r="C1297" s="80" t="s">
        <v>4888</v>
      </c>
      <c r="D1297" s="107" t="s">
        <v>2369</v>
      </c>
      <c r="E1297" s="80">
        <v>1</v>
      </c>
      <c r="F1297" s="132">
        <v>10.95</v>
      </c>
      <c r="G1297" s="132">
        <v>12.75</v>
      </c>
      <c r="H1297" s="222">
        <f t="shared" si="57"/>
        <v>12.75</v>
      </c>
      <c r="I1297" s="236"/>
      <c r="J1297" s="236">
        <v>0</v>
      </c>
      <c r="K1297" s="236">
        <f t="shared" si="58"/>
        <v>12.75</v>
      </c>
      <c r="L1297" s="237">
        <f t="shared" si="59"/>
        <v>10.95</v>
      </c>
    </row>
    <row r="1298" spans="1:12">
      <c r="A1298" s="223" t="s">
        <v>4874</v>
      </c>
      <c r="B1298" s="80" t="s">
        <v>532</v>
      </c>
      <c r="C1298" s="80" t="s">
        <v>4889</v>
      </c>
      <c r="D1298" s="107" t="s">
        <v>533</v>
      </c>
      <c r="E1298" s="80">
        <v>1</v>
      </c>
      <c r="F1298" s="132">
        <v>18.649999999999999</v>
      </c>
      <c r="G1298" s="132">
        <v>21.5</v>
      </c>
      <c r="H1298" s="222">
        <f t="shared" si="57"/>
        <v>21.5</v>
      </c>
      <c r="I1298" s="236"/>
      <c r="J1298" s="236">
        <v>0</v>
      </c>
      <c r="K1298" s="236">
        <f t="shared" si="58"/>
        <v>21.5</v>
      </c>
      <c r="L1298" s="237">
        <f t="shared" si="59"/>
        <v>18.649999999999999</v>
      </c>
    </row>
    <row r="1299" spans="1:12">
      <c r="A1299" s="223" t="s">
        <v>4874</v>
      </c>
      <c r="B1299" s="80" t="s">
        <v>2140</v>
      </c>
      <c r="C1299" s="80" t="s">
        <v>4889</v>
      </c>
      <c r="D1299" s="107" t="s">
        <v>2141</v>
      </c>
      <c r="E1299" s="80">
        <v>1</v>
      </c>
      <c r="F1299" s="132">
        <v>54</v>
      </c>
      <c r="G1299" s="132">
        <v>62.25</v>
      </c>
      <c r="H1299" s="222">
        <f t="shared" si="57"/>
        <v>62.25</v>
      </c>
      <c r="I1299" s="236"/>
      <c r="J1299" s="236">
        <v>0</v>
      </c>
      <c r="K1299" s="236">
        <f t="shared" si="58"/>
        <v>62.25</v>
      </c>
      <c r="L1299" s="237">
        <f t="shared" si="59"/>
        <v>54</v>
      </c>
    </row>
    <row r="1300" spans="1:12">
      <c r="A1300" s="223" t="s">
        <v>4874</v>
      </c>
      <c r="B1300" s="80" t="s">
        <v>4370</v>
      </c>
      <c r="C1300" s="80" t="s">
        <v>4890</v>
      </c>
      <c r="D1300" s="107" t="s">
        <v>4372</v>
      </c>
      <c r="E1300" s="80">
        <v>1</v>
      </c>
      <c r="F1300" s="132">
        <v>9.2799999999999994</v>
      </c>
      <c r="G1300" s="132">
        <v>10.75</v>
      </c>
      <c r="H1300" s="222">
        <f t="shared" si="57"/>
        <v>10.75</v>
      </c>
      <c r="I1300" s="236"/>
      <c r="J1300" s="236">
        <v>0</v>
      </c>
      <c r="K1300" s="236">
        <f t="shared" si="58"/>
        <v>10.75</v>
      </c>
      <c r="L1300" s="237">
        <f t="shared" si="59"/>
        <v>9.2799999999999994</v>
      </c>
    </row>
    <row r="1301" spans="1:12">
      <c r="A1301" s="223" t="s">
        <v>4874</v>
      </c>
      <c r="B1301" s="80" t="s">
        <v>536</v>
      </c>
      <c r="C1301" s="80" t="s">
        <v>4891</v>
      </c>
      <c r="D1301" s="107" t="s">
        <v>537</v>
      </c>
      <c r="E1301" s="80">
        <v>1</v>
      </c>
      <c r="F1301" s="132">
        <v>7.06</v>
      </c>
      <c r="G1301" s="132">
        <v>8.25</v>
      </c>
      <c r="H1301" s="222">
        <f t="shared" si="57"/>
        <v>8.25</v>
      </c>
      <c r="I1301" s="236"/>
      <c r="J1301" s="236">
        <v>0</v>
      </c>
      <c r="K1301" s="236">
        <f t="shared" si="58"/>
        <v>8.25</v>
      </c>
      <c r="L1301" s="237">
        <f t="shared" si="59"/>
        <v>7.06</v>
      </c>
    </row>
    <row r="1302" spans="1:12">
      <c r="A1302" s="223" t="s">
        <v>4874</v>
      </c>
      <c r="B1302" s="80" t="s">
        <v>984</v>
      </c>
      <c r="C1302" s="80" t="s">
        <v>4891</v>
      </c>
      <c r="D1302" s="107" t="s">
        <v>985</v>
      </c>
      <c r="E1302" s="80">
        <v>1</v>
      </c>
      <c r="F1302" s="132">
        <v>7.48</v>
      </c>
      <c r="G1302" s="132">
        <v>8.75</v>
      </c>
      <c r="H1302" s="222">
        <f t="shared" si="57"/>
        <v>8.75</v>
      </c>
      <c r="I1302" s="236"/>
      <c r="J1302" s="236">
        <v>0</v>
      </c>
      <c r="K1302" s="236">
        <f t="shared" si="58"/>
        <v>8.75</v>
      </c>
      <c r="L1302" s="237">
        <f t="shared" si="59"/>
        <v>7.48</v>
      </c>
    </row>
    <row r="1303" spans="1:12">
      <c r="A1303" s="223" t="s">
        <v>4874</v>
      </c>
      <c r="B1303" s="80" t="s">
        <v>730</v>
      </c>
      <c r="C1303" s="80" t="s">
        <v>4892</v>
      </c>
      <c r="D1303" s="107" t="s">
        <v>731</v>
      </c>
      <c r="E1303" s="80">
        <v>1</v>
      </c>
      <c r="F1303" s="132">
        <v>7.06</v>
      </c>
      <c r="G1303" s="132">
        <v>8.25</v>
      </c>
      <c r="H1303" s="222">
        <f t="shared" si="57"/>
        <v>8.25</v>
      </c>
      <c r="I1303" s="236"/>
      <c r="J1303" s="236">
        <v>0</v>
      </c>
      <c r="K1303" s="236">
        <f t="shared" si="58"/>
        <v>8.25</v>
      </c>
      <c r="L1303" s="237">
        <f t="shared" si="59"/>
        <v>7.06</v>
      </c>
    </row>
    <row r="1304" spans="1:12">
      <c r="A1304" s="223" t="s">
        <v>4874</v>
      </c>
      <c r="B1304" s="80" t="s">
        <v>1497</v>
      </c>
      <c r="C1304" s="80" t="s">
        <v>4893</v>
      </c>
      <c r="D1304" s="107" t="s">
        <v>1498</v>
      </c>
      <c r="E1304" s="80">
        <v>1</v>
      </c>
      <c r="F1304" s="132">
        <v>48.6</v>
      </c>
      <c r="G1304" s="132">
        <v>56</v>
      </c>
      <c r="H1304" s="222">
        <f t="shared" si="57"/>
        <v>56</v>
      </c>
      <c r="I1304" s="236"/>
      <c r="J1304" s="236">
        <v>0</v>
      </c>
      <c r="K1304" s="236">
        <f t="shared" si="58"/>
        <v>56</v>
      </c>
      <c r="L1304" s="237">
        <f t="shared" si="59"/>
        <v>48.6</v>
      </c>
    </row>
    <row r="1305" spans="1:12">
      <c r="A1305" s="223" t="s">
        <v>4874</v>
      </c>
      <c r="B1305" s="80" t="s">
        <v>630</v>
      </c>
      <c r="C1305" s="80" t="s">
        <v>4894</v>
      </c>
      <c r="D1305" s="107" t="s">
        <v>631</v>
      </c>
      <c r="E1305" s="80">
        <v>2</v>
      </c>
      <c r="F1305" s="132">
        <v>7.62</v>
      </c>
      <c r="G1305" s="132">
        <v>8.75</v>
      </c>
      <c r="H1305" s="222">
        <f t="shared" si="57"/>
        <v>17.5</v>
      </c>
      <c r="I1305" s="236"/>
      <c r="J1305" s="236">
        <v>0</v>
      </c>
      <c r="K1305" s="236">
        <f t="shared" si="58"/>
        <v>17.5</v>
      </c>
      <c r="L1305" s="237">
        <f t="shared" si="59"/>
        <v>15.24</v>
      </c>
    </row>
    <row r="1306" spans="1:12">
      <c r="A1306" s="223" t="s">
        <v>4874</v>
      </c>
      <c r="B1306" s="80" t="s">
        <v>3531</v>
      </c>
      <c r="C1306" s="80" t="s">
        <v>4895</v>
      </c>
      <c r="D1306" s="107" t="s">
        <v>3532</v>
      </c>
      <c r="E1306" s="80">
        <v>1</v>
      </c>
      <c r="F1306" s="132">
        <v>18.559999999999999</v>
      </c>
      <c r="G1306" s="132">
        <v>21.5</v>
      </c>
      <c r="H1306" s="222">
        <f t="shared" si="57"/>
        <v>21.5</v>
      </c>
      <c r="I1306" s="236"/>
      <c r="J1306" s="236">
        <v>0</v>
      </c>
      <c r="K1306" s="236">
        <f t="shared" si="58"/>
        <v>21.5</v>
      </c>
      <c r="L1306" s="237">
        <f t="shared" si="59"/>
        <v>18.559999999999999</v>
      </c>
    </row>
    <row r="1307" spans="1:12">
      <c r="A1307" s="223" t="s">
        <v>4874</v>
      </c>
      <c r="B1307" s="80" t="s">
        <v>1259</v>
      </c>
      <c r="C1307" s="80" t="s">
        <v>4895</v>
      </c>
      <c r="D1307" s="107" t="s">
        <v>1260</v>
      </c>
      <c r="E1307" s="80">
        <v>1</v>
      </c>
      <c r="F1307" s="132">
        <v>58.84</v>
      </c>
      <c r="G1307" s="132">
        <v>67.75</v>
      </c>
      <c r="H1307" s="222">
        <f t="shared" si="57"/>
        <v>67.75</v>
      </c>
      <c r="I1307" s="236"/>
      <c r="J1307" s="236">
        <v>0</v>
      </c>
      <c r="K1307" s="236">
        <f t="shared" si="58"/>
        <v>67.75</v>
      </c>
      <c r="L1307" s="237">
        <f t="shared" si="59"/>
        <v>58.84</v>
      </c>
    </row>
    <row r="1308" spans="1:12">
      <c r="A1308" s="223" t="s">
        <v>4874</v>
      </c>
      <c r="B1308" s="80" t="s">
        <v>630</v>
      </c>
      <c r="C1308" s="80" t="s">
        <v>4896</v>
      </c>
      <c r="D1308" s="107" t="s">
        <v>631</v>
      </c>
      <c r="E1308" s="80">
        <v>1</v>
      </c>
      <c r="F1308" s="132">
        <v>7.62</v>
      </c>
      <c r="G1308" s="132">
        <v>8.75</v>
      </c>
      <c r="H1308" s="222">
        <f t="shared" ref="H1308:H1371" si="60">E1308*G1308</f>
        <v>8.75</v>
      </c>
      <c r="I1308" s="236"/>
      <c r="J1308" s="236">
        <v>0</v>
      </c>
      <c r="K1308" s="236">
        <f t="shared" si="58"/>
        <v>8.75</v>
      </c>
      <c r="L1308" s="237">
        <f t="shared" si="59"/>
        <v>7.62</v>
      </c>
    </row>
    <row r="1309" spans="1:12">
      <c r="A1309" s="223" t="s">
        <v>4874</v>
      </c>
      <c r="B1309" s="80" t="s">
        <v>1842</v>
      </c>
      <c r="C1309" s="80" t="s">
        <v>4896</v>
      </c>
      <c r="D1309" s="107" t="s">
        <v>1843</v>
      </c>
      <c r="E1309" s="80">
        <v>1</v>
      </c>
      <c r="F1309" s="132">
        <v>37.409999999999997</v>
      </c>
      <c r="G1309" s="132">
        <v>43.25</v>
      </c>
      <c r="H1309" s="222">
        <f t="shared" si="60"/>
        <v>43.25</v>
      </c>
      <c r="I1309" s="236"/>
      <c r="J1309" s="236">
        <v>0</v>
      </c>
      <c r="K1309" s="236">
        <f t="shared" si="58"/>
        <v>43.25</v>
      </c>
      <c r="L1309" s="237">
        <f t="shared" si="59"/>
        <v>37.409999999999997</v>
      </c>
    </row>
    <row r="1310" spans="1:12">
      <c r="A1310" s="223" t="s">
        <v>4897</v>
      </c>
      <c r="B1310" s="80" t="s">
        <v>3012</v>
      </c>
      <c r="C1310" s="80" t="s">
        <v>4898</v>
      </c>
      <c r="D1310" s="107" t="s">
        <v>3013</v>
      </c>
      <c r="E1310" s="80">
        <v>1</v>
      </c>
      <c r="F1310" s="132">
        <v>11.17</v>
      </c>
      <c r="G1310" s="132">
        <v>13</v>
      </c>
      <c r="H1310" s="222">
        <f t="shared" si="60"/>
        <v>13</v>
      </c>
      <c r="I1310" s="236"/>
      <c r="J1310" s="236">
        <v>0</v>
      </c>
      <c r="K1310" s="236">
        <f t="shared" si="58"/>
        <v>13</v>
      </c>
      <c r="L1310" s="237">
        <f t="shared" si="59"/>
        <v>11.17</v>
      </c>
    </row>
    <row r="1311" spans="1:12">
      <c r="A1311" s="223" t="s">
        <v>4897</v>
      </c>
      <c r="B1311" s="80" t="s">
        <v>707</v>
      </c>
      <c r="C1311" s="80" t="s">
        <v>4899</v>
      </c>
      <c r="D1311" s="107" t="s">
        <v>708</v>
      </c>
      <c r="E1311" s="80">
        <v>1</v>
      </c>
      <c r="F1311" s="132">
        <v>15.12</v>
      </c>
      <c r="G1311" s="132">
        <v>17.5</v>
      </c>
      <c r="H1311" s="222">
        <f t="shared" si="60"/>
        <v>17.5</v>
      </c>
      <c r="I1311" s="236"/>
      <c r="J1311" s="236">
        <v>0</v>
      </c>
      <c r="K1311" s="236">
        <f t="shared" si="58"/>
        <v>17.5</v>
      </c>
      <c r="L1311" s="237">
        <f t="shared" si="59"/>
        <v>15.12</v>
      </c>
    </row>
    <row r="1312" spans="1:12">
      <c r="A1312" s="223" t="s">
        <v>4897</v>
      </c>
      <c r="B1312" s="80" t="s">
        <v>1669</v>
      </c>
      <c r="C1312" s="80" t="s">
        <v>4900</v>
      </c>
      <c r="D1312" s="107" t="s">
        <v>1670</v>
      </c>
      <c r="E1312" s="80">
        <v>1</v>
      </c>
      <c r="F1312" s="132">
        <v>21.08</v>
      </c>
      <c r="G1312" s="132">
        <v>25.25</v>
      </c>
      <c r="H1312" s="222">
        <f t="shared" si="60"/>
        <v>25.25</v>
      </c>
      <c r="I1312" s="236"/>
      <c r="J1312" s="236">
        <v>0</v>
      </c>
      <c r="K1312" s="236">
        <f t="shared" si="58"/>
        <v>25.25</v>
      </c>
      <c r="L1312" s="237">
        <f t="shared" si="59"/>
        <v>21.08</v>
      </c>
    </row>
    <row r="1313" spans="1:12">
      <c r="A1313" s="223" t="s">
        <v>4897</v>
      </c>
      <c r="B1313" s="80" t="s">
        <v>1695</v>
      </c>
      <c r="C1313" s="80" t="s">
        <v>4900</v>
      </c>
      <c r="D1313" s="107" t="s">
        <v>1696</v>
      </c>
      <c r="E1313" s="80">
        <v>2</v>
      </c>
      <c r="F1313" s="132">
        <v>38.39</v>
      </c>
      <c r="G1313" s="132">
        <v>44.25</v>
      </c>
      <c r="H1313" s="222">
        <f t="shared" si="60"/>
        <v>88.5</v>
      </c>
      <c r="I1313" s="236"/>
      <c r="J1313" s="236">
        <v>0</v>
      </c>
      <c r="K1313" s="236">
        <f t="shared" si="58"/>
        <v>88.5</v>
      </c>
      <c r="L1313" s="237">
        <f t="shared" si="59"/>
        <v>76.78</v>
      </c>
    </row>
    <row r="1314" spans="1:12">
      <c r="A1314" s="223" t="s">
        <v>4897</v>
      </c>
      <c r="B1314" s="80" t="s">
        <v>1589</v>
      </c>
      <c r="C1314" s="80" t="s">
        <v>4901</v>
      </c>
      <c r="D1314" s="107" t="s">
        <v>1590</v>
      </c>
      <c r="E1314" s="80">
        <v>1</v>
      </c>
      <c r="F1314" s="132">
        <v>24.04</v>
      </c>
      <c r="G1314" s="132">
        <v>27.75</v>
      </c>
      <c r="H1314" s="222">
        <f t="shared" si="60"/>
        <v>27.75</v>
      </c>
      <c r="I1314" s="236"/>
      <c r="J1314" s="236">
        <v>0</v>
      </c>
      <c r="K1314" s="236">
        <f t="shared" si="58"/>
        <v>27.75</v>
      </c>
      <c r="L1314" s="237">
        <f t="shared" si="59"/>
        <v>24.04</v>
      </c>
    </row>
    <row r="1315" spans="1:12">
      <c r="A1315" s="223" t="s">
        <v>4897</v>
      </c>
      <c r="B1315" s="80" t="s">
        <v>1529</v>
      </c>
      <c r="C1315" s="80" t="s">
        <v>4902</v>
      </c>
      <c r="D1315" s="107" t="s">
        <v>1530</v>
      </c>
      <c r="E1315" s="80">
        <v>4</v>
      </c>
      <c r="F1315" s="132">
        <v>8.75</v>
      </c>
      <c r="G1315" s="132">
        <v>10.25</v>
      </c>
      <c r="H1315" s="222">
        <f t="shared" si="60"/>
        <v>41</v>
      </c>
      <c r="I1315" s="236"/>
      <c r="J1315" s="236">
        <v>0</v>
      </c>
      <c r="K1315" s="236">
        <f t="shared" si="58"/>
        <v>41</v>
      </c>
      <c r="L1315" s="237">
        <f t="shared" si="59"/>
        <v>35</v>
      </c>
    </row>
    <row r="1316" spans="1:12">
      <c r="A1316" s="223" t="s">
        <v>4897</v>
      </c>
      <c r="B1316" s="80" t="s">
        <v>4099</v>
      </c>
      <c r="C1316" s="80" t="s">
        <v>4903</v>
      </c>
      <c r="D1316" s="107" t="s">
        <v>4100</v>
      </c>
      <c r="E1316" s="80">
        <v>1</v>
      </c>
      <c r="F1316" s="132">
        <v>13.12</v>
      </c>
      <c r="G1316" s="132">
        <v>15.25</v>
      </c>
      <c r="H1316" s="222">
        <f t="shared" si="60"/>
        <v>15.25</v>
      </c>
      <c r="I1316" s="236"/>
      <c r="J1316" s="236">
        <v>0</v>
      </c>
      <c r="K1316" s="236">
        <f t="shared" si="58"/>
        <v>15.25</v>
      </c>
      <c r="L1316" s="237">
        <f t="shared" si="59"/>
        <v>13.12</v>
      </c>
    </row>
    <row r="1317" spans="1:12">
      <c r="A1317" s="223" t="s">
        <v>4897</v>
      </c>
      <c r="B1317" s="80" t="s">
        <v>1724</v>
      </c>
      <c r="C1317" s="80" t="s">
        <v>4904</v>
      </c>
      <c r="D1317" s="107" t="s">
        <v>1725</v>
      </c>
      <c r="E1317" s="80">
        <v>2</v>
      </c>
      <c r="F1317" s="132">
        <v>31.83</v>
      </c>
      <c r="G1317" s="132">
        <v>39.75</v>
      </c>
      <c r="H1317" s="222">
        <f t="shared" si="60"/>
        <v>79.5</v>
      </c>
      <c r="I1317" s="236"/>
      <c r="J1317" s="236">
        <v>0</v>
      </c>
      <c r="K1317" s="236">
        <f t="shared" si="58"/>
        <v>79.5</v>
      </c>
      <c r="L1317" s="237">
        <f t="shared" si="59"/>
        <v>63.66</v>
      </c>
    </row>
    <row r="1318" spans="1:12">
      <c r="A1318" s="223" t="s">
        <v>4897</v>
      </c>
      <c r="B1318" s="80" t="s">
        <v>4071</v>
      </c>
      <c r="C1318" s="80" t="s">
        <v>4905</v>
      </c>
      <c r="D1318" s="107" t="s">
        <v>4072</v>
      </c>
      <c r="E1318" s="80">
        <v>2</v>
      </c>
      <c r="F1318" s="132">
        <v>6.03</v>
      </c>
      <c r="G1318" s="132">
        <v>7</v>
      </c>
      <c r="H1318" s="222">
        <f t="shared" si="60"/>
        <v>14</v>
      </c>
      <c r="I1318" s="236"/>
      <c r="J1318" s="236">
        <v>0</v>
      </c>
      <c r="K1318" s="236">
        <f t="shared" si="58"/>
        <v>14</v>
      </c>
      <c r="L1318" s="237">
        <f t="shared" si="59"/>
        <v>12.06</v>
      </c>
    </row>
    <row r="1319" spans="1:12">
      <c r="A1319" s="223" t="s">
        <v>4897</v>
      </c>
      <c r="B1319" s="80" t="s">
        <v>1292</v>
      </c>
      <c r="C1319" s="80" t="s">
        <v>4905</v>
      </c>
      <c r="D1319" s="107" t="s">
        <v>1293</v>
      </c>
      <c r="E1319" s="80">
        <v>1</v>
      </c>
      <c r="F1319" s="132">
        <v>7.85</v>
      </c>
      <c r="G1319" s="132">
        <v>12</v>
      </c>
      <c r="H1319" s="222">
        <f t="shared" si="60"/>
        <v>12</v>
      </c>
      <c r="I1319" s="236"/>
      <c r="J1319" s="236">
        <v>0</v>
      </c>
      <c r="K1319" s="236">
        <f t="shared" si="58"/>
        <v>12</v>
      </c>
      <c r="L1319" s="237">
        <f t="shared" si="59"/>
        <v>7.85</v>
      </c>
    </row>
    <row r="1320" spans="1:12">
      <c r="A1320" s="223" t="s">
        <v>4897</v>
      </c>
      <c r="B1320" s="80" t="s">
        <v>3501</v>
      </c>
      <c r="C1320" s="80" t="s">
        <v>4906</v>
      </c>
      <c r="D1320" s="107" t="s">
        <v>3502</v>
      </c>
      <c r="E1320" s="80">
        <v>1</v>
      </c>
      <c r="F1320" s="132">
        <v>90</v>
      </c>
      <c r="G1320" s="132">
        <v>103.75</v>
      </c>
      <c r="H1320" s="222">
        <f t="shared" si="60"/>
        <v>103.75</v>
      </c>
      <c r="I1320" s="236"/>
      <c r="J1320" s="236">
        <v>0</v>
      </c>
      <c r="K1320" s="236">
        <f t="shared" si="58"/>
        <v>103.75</v>
      </c>
      <c r="L1320" s="237">
        <f t="shared" si="59"/>
        <v>90</v>
      </c>
    </row>
    <row r="1321" spans="1:12">
      <c r="A1321" s="223" t="s">
        <v>4897</v>
      </c>
      <c r="B1321" s="80" t="s">
        <v>4861</v>
      </c>
      <c r="C1321" s="80" t="s">
        <v>4906</v>
      </c>
      <c r="D1321" s="107" t="s">
        <v>4863</v>
      </c>
      <c r="E1321" s="80">
        <v>3</v>
      </c>
      <c r="F1321" s="132">
        <v>3.22</v>
      </c>
      <c r="G1321" s="132">
        <v>5</v>
      </c>
      <c r="H1321" s="222">
        <f t="shared" si="60"/>
        <v>15</v>
      </c>
      <c r="I1321" s="236"/>
      <c r="J1321" s="236">
        <v>0</v>
      </c>
      <c r="K1321" s="236">
        <f t="shared" si="58"/>
        <v>15</v>
      </c>
      <c r="L1321" s="237">
        <f t="shared" si="59"/>
        <v>9.66</v>
      </c>
    </row>
    <row r="1322" spans="1:12">
      <c r="A1322" s="223" t="s">
        <v>4897</v>
      </c>
      <c r="B1322" s="80" t="s">
        <v>3803</v>
      </c>
      <c r="C1322" s="80" t="s">
        <v>4906</v>
      </c>
      <c r="D1322" s="107" t="s">
        <v>3804</v>
      </c>
      <c r="E1322" s="80">
        <v>1</v>
      </c>
      <c r="F1322" s="132">
        <v>0.81</v>
      </c>
      <c r="G1322" s="132">
        <v>1</v>
      </c>
      <c r="H1322" s="222">
        <f t="shared" si="60"/>
        <v>1</v>
      </c>
      <c r="I1322" s="236"/>
      <c r="J1322" s="236">
        <v>0</v>
      </c>
      <c r="K1322" s="236">
        <f t="shared" si="58"/>
        <v>1</v>
      </c>
      <c r="L1322" s="237">
        <f t="shared" si="59"/>
        <v>0.81</v>
      </c>
    </row>
    <row r="1323" spans="1:12">
      <c r="A1323" s="223" t="s">
        <v>4897</v>
      </c>
      <c r="B1323" s="80" t="s">
        <v>1556</v>
      </c>
      <c r="C1323" s="80" t="s">
        <v>4907</v>
      </c>
      <c r="D1323" s="107" t="s">
        <v>1557</v>
      </c>
      <c r="E1323" s="80">
        <v>2</v>
      </c>
      <c r="F1323" s="132">
        <v>15.25</v>
      </c>
      <c r="G1323" s="132">
        <v>17.75</v>
      </c>
      <c r="H1323" s="222">
        <f t="shared" si="60"/>
        <v>35.5</v>
      </c>
      <c r="I1323" s="236"/>
      <c r="J1323" s="236">
        <v>0</v>
      </c>
      <c r="K1323" s="236">
        <f t="shared" si="58"/>
        <v>35.5</v>
      </c>
      <c r="L1323" s="237">
        <f t="shared" si="59"/>
        <v>30.5</v>
      </c>
    </row>
    <row r="1324" spans="1:12">
      <c r="A1324" s="223" t="s">
        <v>4897</v>
      </c>
      <c r="B1324" s="80" t="s">
        <v>1607</v>
      </c>
      <c r="C1324" s="80" t="s">
        <v>4907</v>
      </c>
      <c r="D1324" s="107" t="s">
        <v>1608</v>
      </c>
      <c r="E1324" s="80">
        <v>2</v>
      </c>
      <c r="F1324" s="132">
        <v>13.1</v>
      </c>
      <c r="G1324" s="132">
        <v>15</v>
      </c>
      <c r="H1324" s="222">
        <f t="shared" si="60"/>
        <v>30</v>
      </c>
      <c r="I1324" s="236"/>
      <c r="J1324" s="236">
        <v>0</v>
      </c>
      <c r="K1324" s="236">
        <f t="shared" si="58"/>
        <v>30</v>
      </c>
      <c r="L1324" s="237">
        <f t="shared" si="59"/>
        <v>26.2</v>
      </c>
    </row>
    <row r="1325" spans="1:12">
      <c r="A1325" s="223" t="s">
        <v>4897</v>
      </c>
      <c r="B1325" s="80" t="s">
        <v>3771</v>
      </c>
      <c r="C1325" s="80" t="s">
        <v>4907</v>
      </c>
      <c r="D1325" s="107" t="s">
        <v>3772</v>
      </c>
      <c r="E1325" s="80">
        <v>5</v>
      </c>
      <c r="F1325" s="132">
        <v>3.6</v>
      </c>
      <c r="G1325" s="132">
        <v>4.25</v>
      </c>
      <c r="H1325" s="222">
        <f t="shared" si="60"/>
        <v>21.25</v>
      </c>
      <c r="I1325" s="236"/>
      <c r="J1325" s="236">
        <v>0</v>
      </c>
      <c r="K1325" s="236">
        <f t="shared" si="58"/>
        <v>21.25</v>
      </c>
      <c r="L1325" s="237">
        <f t="shared" si="59"/>
        <v>18</v>
      </c>
    </row>
    <row r="1326" spans="1:12">
      <c r="A1326" s="223" t="s">
        <v>4897</v>
      </c>
      <c r="B1326" s="80" t="s">
        <v>1458</v>
      </c>
      <c r="C1326" s="80" t="s">
        <v>4907</v>
      </c>
      <c r="D1326" s="107" t="s">
        <v>1459</v>
      </c>
      <c r="E1326" s="80">
        <v>12</v>
      </c>
      <c r="F1326" s="132">
        <v>8.58</v>
      </c>
      <c r="G1326" s="132">
        <v>10</v>
      </c>
      <c r="H1326" s="222">
        <f t="shared" si="60"/>
        <v>120</v>
      </c>
      <c r="I1326" s="236"/>
      <c r="J1326" s="236">
        <v>0</v>
      </c>
      <c r="K1326" s="236">
        <f t="shared" si="58"/>
        <v>120</v>
      </c>
      <c r="L1326" s="237">
        <f t="shared" si="59"/>
        <v>102.96000000000001</v>
      </c>
    </row>
    <row r="1327" spans="1:12">
      <c r="A1327" s="223" t="s">
        <v>4897</v>
      </c>
      <c r="B1327" s="80" t="s">
        <v>4908</v>
      </c>
      <c r="C1327" s="80" t="s">
        <v>4907</v>
      </c>
      <c r="D1327" s="107" t="s">
        <v>4909</v>
      </c>
      <c r="E1327" s="80">
        <v>1</v>
      </c>
      <c r="F1327" s="132">
        <v>25</v>
      </c>
      <c r="G1327" s="132">
        <v>28.75</v>
      </c>
      <c r="H1327" s="222">
        <f t="shared" si="60"/>
        <v>28.75</v>
      </c>
      <c r="I1327" s="236"/>
      <c r="J1327" s="236">
        <v>0</v>
      </c>
      <c r="K1327" s="236">
        <f t="shared" si="58"/>
        <v>28.75</v>
      </c>
      <c r="L1327" s="237">
        <f t="shared" si="59"/>
        <v>25</v>
      </c>
    </row>
    <row r="1328" spans="1:12">
      <c r="A1328" s="223" t="s">
        <v>4897</v>
      </c>
      <c r="B1328" s="80" t="s">
        <v>2866</v>
      </c>
      <c r="C1328" s="80" t="s">
        <v>4907</v>
      </c>
      <c r="D1328" s="107" t="s">
        <v>2867</v>
      </c>
      <c r="E1328" s="80">
        <v>1</v>
      </c>
      <c r="F1328" s="132">
        <v>36.51</v>
      </c>
      <c r="G1328" s="132">
        <v>42</v>
      </c>
      <c r="H1328" s="222">
        <f t="shared" si="60"/>
        <v>42</v>
      </c>
      <c r="I1328" s="236"/>
      <c r="J1328" s="236">
        <v>0</v>
      </c>
      <c r="K1328" s="236">
        <f t="shared" si="58"/>
        <v>42</v>
      </c>
      <c r="L1328" s="237">
        <f t="shared" si="59"/>
        <v>36.51</v>
      </c>
    </row>
    <row r="1329" spans="1:12">
      <c r="A1329" s="223" t="s">
        <v>4897</v>
      </c>
      <c r="B1329" s="80" t="s">
        <v>1930</v>
      </c>
      <c r="C1329" s="80" t="s">
        <v>4907</v>
      </c>
      <c r="D1329" s="107" t="s">
        <v>1931</v>
      </c>
      <c r="E1329" s="80">
        <v>2</v>
      </c>
      <c r="F1329" s="132">
        <v>32.86</v>
      </c>
      <c r="G1329" s="132">
        <v>38</v>
      </c>
      <c r="H1329" s="222">
        <f t="shared" si="60"/>
        <v>76</v>
      </c>
      <c r="I1329" s="236"/>
      <c r="J1329" s="236">
        <v>0</v>
      </c>
      <c r="K1329" s="236">
        <f t="shared" si="58"/>
        <v>76</v>
      </c>
      <c r="L1329" s="237">
        <f t="shared" si="59"/>
        <v>65.72</v>
      </c>
    </row>
    <row r="1330" spans="1:12">
      <c r="A1330" s="223" t="s">
        <v>4897</v>
      </c>
      <c r="B1330" s="80" t="s">
        <v>2031</v>
      </c>
      <c r="C1330" s="80" t="s">
        <v>4907</v>
      </c>
      <c r="D1330" s="107" t="s">
        <v>2032</v>
      </c>
      <c r="E1330" s="80">
        <v>1</v>
      </c>
      <c r="F1330" s="132">
        <v>27.84</v>
      </c>
      <c r="G1330" s="132">
        <v>45</v>
      </c>
      <c r="H1330" s="222">
        <f t="shared" si="60"/>
        <v>45</v>
      </c>
      <c r="I1330" s="236"/>
      <c r="J1330" s="236">
        <v>0</v>
      </c>
      <c r="K1330" s="236">
        <f t="shared" si="58"/>
        <v>45</v>
      </c>
      <c r="L1330" s="237">
        <f t="shared" si="59"/>
        <v>27.84</v>
      </c>
    </row>
    <row r="1331" spans="1:12">
      <c r="A1331" s="223" t="s">
        <v>4897</v>
      </c>
      <c r="B1331" s="80" t="s">
        <v>2093</v>
      </c>
      <c r="C1331" s="80" t="s">
        <v>4907</v>
      </c>
      <c r="D1331" s="107" t="s">
        <v>2094</v>
      </c>
      <c r="E1331" s="80">
        <v>1</v>
      </c>
      <c r="F1331" s="132">
        <v>53.2</v>
      </c>
      <c r="G1331" s="132">
        <v>61.25</v>
      </c>
      <c r="H1331" s="222">
        <f t="shared" si="60"/>
        <v>61.25</v>
      </c>
      <c r="I1331" s="236"/>
      <c r="J1331" s="236">
        <v>0</v>
      </c>
      <c r="K1331" s="236">
        <f t="shared" si="58"/>
        <v>61.25</v>
      </c>
      <c r="L1331" s="237">
        <f t="shared" si="59"/>
        <v>53.2</v>
      </c>
    </row>
    <row r="1332" spans="1:12">
      <c r="A1332" s="223" t="s">
        <v>4897</v>
      </c>
      <c r="B1332" s="80" t="s">
        <v>3803</v>
      </c>
      <c r="C1332" s="80" t="s">
        <v>4910</v>
      </c>
      <c r="D1332" s="107" t="s">
        <v>3804</v>
      </c>
      <c r="E1332" s="80">
        <v>5</v>
      </c>
      <c r="F1332" s="132">
        <v>0.81</v>
      </c>
      <c r="G1332" s="132">
        <v>1</v>
      </c>
      <c r="H1332" s="222">
        <f t="shared" si="60"/>
        <v>5</v>
      </c>
      <c r="I1332" s="236"/>
      <c r="J1332" s="236">
        <v>0</v>
      </c>
      <c r="K1332" s="236">
        <f t="shared" si="58"/>
        <v>5</v>
      </c>
      <c r="L1332" s="237">
        <f t="shared" si="59"/>
        <v>4.0500000000000007</v>
      </c>
    </row>
    <row r="1333" spans="1:12">
      <c r="A1333" s="223" t="s">
        <v>4897</v>
      </c>
      <c r="B1333" s="80" t="s">
        <v>1176</v>
      </c>
      <c r="C1333" s="80" t="s">
        <v>4911</v>
      </c>
      <c r="D1333" s="107" t="s">
        <v>1177</v>
      </c>
      <c r="E1333" s="80">
        <v>3</v>
      </c>
      <c r="F1333" s="132">
        <v>22.19</v>
      </c>
      <c r="G1333" s="132">
        <v>25.75</v>
      </c>
      <c r="H1333" s="222">
        <f t="shared" si="60"/>
        <v>77.25</v>
      </c>
      <c r="I1333" s="236"/>
      <c r="J1333" s="236">
        <v>0</v>
      </c>
      <c r="K1333" s="236">
        <f t="shared" si="58"/>
        <v>77.25</v>
      </c>
      <c r="L1333" s="237">
        <f t="shared" si="59"/>
        <v>66.570000000000007</v>
      </c>
    </row>
    <row r="1334" spans="1:12">
      <c r="A1334" s="223" t="s">
        <v>4897</v>
      </c>
      <c r="B1334" s="80" t="s">
        <v>1261</v>
      </c>
      <c r="C1334" s="80" t="s">
        <v>4911</v>
      </c>
      <c r="D1334" s="107" t="s">
        <v>1262</v>
      </c>
      <c r="E1334" s="80">
        <v>1</v>
      </c>
      <c r="F1334" s="132">
        <v>14.31</v>
      </c>
      <c r="G1334" s="132">
        <v>16.5</v>
      </c>
      <c r="H1334" s="222">
        <f t="shared" si="60"/>
        <v>16.5</v>
      </c>
      <c r="I1334" s="236"/>
      <c r="J1334" s="236">
        <v>0</v>
      </c>
      <c r="K1334" s="236">
        <f t="shared" si="58"/>
        <v>16.5</v>
      </c>
      <c r="L1334" s="237">
        <f t="shared" si="59"/>
        <v>14.31</v>
      </c>
    </row>
    <row r="1335" spans="1:12">
      <c r="A1335" s="223" t="s">
        <v>4897</v>
      </c>
      <c r="B1335" s="80" t="s">
        <v>536</v>
      </c>
      <c r="C1335" s="80" t="s">
        <v>4912</v>
      </c>
      <c r="D1335" s="107" t="s">
        <v>537</v>
      </c>
      <c r="E1335" s="80">
        <v>1</v>
      </c>
      <c r="F1335" s="132">
        <v>7.06</v>
      </c>
      <c r="G1335" s="132">
        <v>8.25</v>
      </c>
      <c r="H1335" s="222">
        <f t="shared" si="60"/>
        <v>8.25</v>
      </c>
      <c r="I1335" s="236"/>
      <c r="J1335" s="236">
        <v>0</v>
      </c>
      <c r="K1335" s="236">
        <f t="shared" si="58"/>
        <v>8.25</v>
      </c>
      <c r="L1335" s="237">
        <f t="shared" si="59"/>
        <v>7.06</v>
      </c>
    </row>
    <row r="1336" spans="1:12">
      <c r="A1336" s="223" t="s">
        <v>4897</v>
      </c>
      <c r="B1336" s="80" t="s">
        <v>1333</v>
      </c>
      <c r="C1336" s="80" t="s">
        <v>4913</v>
      </c>
      <c r="D1336" s="107" t="s">
        <v>1334</v>
      </c>
      <c r="E1336" s="80">
        <v>1</v>
      </c>
      <c r="F1336" s="132">
        <v>94.58</v>
      </c>
      <c r="G1336" s="132">
        <v>109</v>
      </c>
      <c r="H1336" s="222">
        <f t="shared" si="60"/>
        <v>109</v>
      </c>
      <c r="I1336" s="236"/>
      <c r="J1336" s="236">
        <v>0</v>
      </c>
      <c r="K1336" s="236">
        <f t="shared" si="58"/>
        <v>109</v>
      </c>
      <c r="L1336" s="237">
        <f t="shared" si="59"/>
        <v>94.58</v>
      </c>
    </row>
    <row r="1337" spans="1:12">
      <c r="A1337" s="224" t="s">
        <v>4897</v>
      </c>
      <c r="B1337" s="225" t="s">
        <v>1448</v>
      </c>
      <c r="C1337" s="225" t="s">
        <v>4913</v>
      </c>
      <c r="D1337" s="226" t="s">
        <v>1449</v>
      </c>
      <c r="E1337" s="225">
        <v>1</v>
      </c>
      <c r="F1337" s="231"/>
      <c r="G1337" s="231">
        <v>59.5</v>
      </c>
      <c r="H1337" s="228">
        <f t="shared" si="60"/>
        <v>59.5</v>
      </c>
      <c r="I1337" s="238"/>
      <c r="J1337" s="238">
        <v>0</v>
      </c>
      <c r="K1337" s="238">
        <f t="shared" si="58"/>
        <v>59.5</v>
      </c>
      <c r="L1337" s="239">
        <f t="shared" si="59"/>
        <v>0</v>
      </c>
    </row>
    <row r="1338" spans="1:12">
      <c r="A1338" s="223" t="s">
        <v>4897</v>
      </c>
      <c r="B1338" s="80" t="s">
        <v>1443</v>
      </c>
      <c r="C1338" s="80" t="s">
        <v>4914</v>
      </c>
      <c r="D1338" s="107" t="s">
        <v>1444</v>
      </c>
      <c r="E1338" s="80">
        <v>5</v>
      </c>
      <c r="F1338" s="132">
        <v>10.64</v>
      </c>
      <c r="G1338" s="132">
        <v>12.25</v>
      </c>
      <c r="H1338" s="222">
        <f t="shared" si="60"/>
        <v>61.25</v>
      </c>
      <c r="I1338" s="236"/>
      <c r="J1338" s="236">
        <v>0</v>
      </c>
      <c r="K1338" s="236">
        <f t="shared" si="58"/>
        <v>61.25</v>
      </c>
      <c r="L1338" s="237">
        <f t="shared" si="59"/>
        <v>53.2</v>
      </c>
    </row>
    <row r="1339" spans="1:12">
      <c r="A1339" s="223" t="s">
        <v>4897</v>
      </c>
      <c r="B1339" s="80" t="s">
        <v>495</v>
      </c>
      <c r="C1339" s="80" t="s">
        <v>4914</v>
      </c>
      <c r="D1339" s="107" t="s">
        <v>496</v>
      </c>
      <c r="E1339" s="80">
        <v>1</v>
      </c>
      <c r="F1339" s="132">
        <v>16.55</v>
      </c>
      <c r="G1339" s="132">
        <v>19.25</v>
      </c>
      <c r="H1339" s="222">
        <f t="shared" si="60"/>
        <v>19.25</v>
      </c>
      <c r="I1339" s="236"/>
      <c r="J1339" s="236">
        <v>0</v>
      </c>
      <c r="K1339" s="236">
        <f t="shared" si="58"/>
        <v>19.25</v>
      </c>
      <c r="L1339" s="237">
        <f t="shared" si="59"/>
        <v>16.55</v>
      </c>
    </row>
    <row r="1340" spans="1:12">
      <c r="A1340" s="223" t="s">
        <v>4897</v>
      </c>
      <c r="B1340" s="80" t="s">
        <v>2546</v>
      </c>
      <c r="C1340" s="80" t="s">
        <v>4914</v>
      </c>
      <c r="D1340" s="107" t="s">
        <v>2547</v>
      </c>
      <c r="E1340" s="80">
        <v>2</v>
      </c>
      <c r="F1340" s="132">
        <v>6.97</v>
      </c>
      <c r="G1340" s="132">
        <v>8</v>
      </c>
      <c r="H1340" s="222">
        <f t="shared" si="60"/>
        <v>16</v>
      </c>
      <c r="I1340" s="236"/>
      <c r="J1340" s="236">
        <v>0</v>
      </c>
      <c r="K1340" s="236">
        <f t="shared" si="58"/>
        <v>16</v>
      </c>
      <c r="L1340" s="237">
        <f t="shared" si="59"/>
        <v>13.94</v>
      </c>
    </row>
    <row r="1341" spans="1:12">
      <c r="A1341" s="223" t="s">
        <v>4897</v>
      </c>
      <c r="B1341" s="80" t="s">
        <v>3803</v>
      </c>
      <c r="C1341" s="80" t="s">
        <v>4914</v>
      </c>
      <c r="D1341" s="107" t="s">
        <v>3804</v>
      </c>
      <c r="E1341" s="80">
        <v>3</v>
      </c>
      <c r="F1341" s="132">
        <v>0.81</v>
      </c>
      <c r="G1341" s="132">
        <v>1</v>
      </c>
      <c r="H1341" s="222">
        <f t="shared" si="60"/>
        <v>3</v>
      </c>
      <c r="I1341" s="236"/>
      <c r="J1341" s="236">
        <v>0</v>
      </c>
      <c r="K1341" s="236">
        <f t="shared" si="58"/>
        <v>3</v>
      </c>
      <c r="L1341" s="237">
        <f t="shared" si="59"/>
        <v>2.4300000000000002</v>
      </c>
    </row>
    <row r="1342" spans="1:12">
      <c r="A1342" s="223" t="s">
        <v>4897</v>
      </c>
      <c r="B1342" s="80" t="s">
        <v>1491</v>
      </c>
      <c r="C1342" s="80" t="s">
        <v>4915</v>
      </c>
      <c r="D1342" s="107" t="s">
        <v>1492</v>
      </c>
      <c r="E1342" s="80">
        <v>1</v>
      </c>
      <c r="F1342" s="132">
        <v>140</v>
      </c>
      <c r="G1342" s="132">
        <v>161</v>
      </c>
      <c r="H1342" s="222">
        <f t="shared" si="60"/>
        <v>161</v>
      </c>
      <c r="I1342" s="236"/>
      <c r="J1342" s="236">
        <v>0</v>
      </c>
      <c r="K1342" s="236">
        <f t="shared" si="58"/>
        <v>161</v>
      </c>
      <c r="L1342" s="237">
        <f t="shared" si="59"/>
        <v>140</v>
      </c>
    </row>
    <row r="1343" spans="1:12">
      <c r="A1343" s="223" t="s">
        <v>4897</v>
      </c>
      <c r="B1343" s="80" t="s">
        <v>1997</v>
      </c>
      <c r="C1343" s="80" t="s">
        <v>4915</v>
      </c>
      <c r="D1343" s="107" t="s">
        <v>1998</v>
      </c>
      <c r="E1343" s="80">
        <v>24</v>
      </c>
      <c r="F1343" s="132">
        <v>6.12</v>
      </c>
      <c r="G1343" s="132">
        <v>7.25</v>
      </c>
      <c r="H1343" s="222">
        <f t="shared" si="60"/>
        <v>174</v>
      </c>
      <c r="I1343" s="236"/>
      <c r="J1343" s="236">
        <v>0</v>
      </c>
      <c r="K1343" s="236">
        <f t="shared" si="58"/>
        <v>174</v>
      </c>
      <c r="L1343" s="237">
        <f t="shared" si="59"/>
        <v>146.88</v>
      </c>
    </row>
    <row r="1344" spans="1:12">
      <c r="A1344" s="223" t="s">
        <v>4897</v>
      </c>
      <c r="B1344" s="80" t="s">
        <v>2037</v>
      </c>
      <c r="C1344" s="80" t="s">
        <v>4915</v>
      </c>
      <c r="D1344" s="107" t="s">
        <v>2038</v>
      </c>
      <c r="E1344" s="80">
        <v>16</v>
      </c>
      <c r="F1344" s="132">
        <v>4.74</v>
      </c>
      <c r="G1344" s="132">
        <v>5.5</v>
      </c>
      <c r="H1344" s="222">
        <f t="shared" si="60"/>
        <v>88</v>
      </c>
      <c r="I1344" s="236"/>
      <c r="J1344" s="236">
        <v>0</v>
      </c>
      <c r="K1344" s="236">
        <f t="shared" si="58"/>
        <v>88</v>
      </c>
      <c r="L1344" s="237">
        <f t="shared" si="59"/>
        <v>75.84</v>
      </c>
    </row>
    <row r="1345" spans="1:12">
      <c r="A1345" s="223" t="s">
        <v>4897</v>
      </c>
      <c r="B1345" s="80" t="s">
        <v>1524</v>
      </c>
      <c r="C1345" s="80" t="s">
        <v>4915</v>
      </c>
      <c r="D1345" s="107" t="s">
        <v>1525</v>
      </c>
      <c r="E1345" s="80">
        <v>4</v>
      </c>
      <c r="F1345" s="132">
        <v>30.83</v>
      </c>
      <c r="G1345" s="132">
        <v>35.5</v>
      </c>
      <c r="H1345" s="222">
        <f t="shared" si="60"/>
        <v>142</v>
      </c>
      <c r="I1345" s="236"/>
      <c r="J1345" s="236">
        <v>0</v>
      </c>
      <c r="K1345" s="236">
        <f t="shared" si="58"/>
        <v>142</v>
      </c>
      <c r="L1345" s="237">
        <f t="shared" si="59"/>
        <v>123.32</v>
      </c>
    </row>
    <row r="1346" spans="1:12">
      <c r="A1346" s="223" t="s">
        <v>4897</v>
      </c>
      <c r="B1346" s="80" t="s">
        <v>3803</v>
      </c>
      <c r="C1346" s="80" t="s">
        <v>4916</v>
      </c>
      <c r="D1346" s="107" t="s">
        <v>3804</v>
      </c>
      <c r="E1346" s="80">
        <v>4</v>
      </c>
      <c r="F1346" s="132">
        <v>0.81</v>
      </c>
      <c r="G1346" s="132">
        <v>1</v>
      </c>
      <c r="H1346" s="222">
        <f t="shared" si="60"/>
        <v>4</v>
      </c>
      <c r="I1346" s="236"/>
      <c r="J1346" s="236">
        <v>0</v>
      </c>
      <c r="K1346" s="236">
        <f t="shared" si="58"/>
        <v>4</v>
      </c>
      <c r="L1346" s="237">
        <f t="shared" si="59"/>
        <v>3.24</v>
      </c>
    </row>
    <row r="1347" spans="1:12">
      <c r="A1347" s="223">
        <v>46202</v>
      </c>
      <c r="B1347" s="80" t="s">
        <v>3803</v>
      </c>
      <c r="C1347" s="80" t="s">
        <v>4917</v>
      </c>
      <c r="D1347" s="107" t="s">
        <v>3804</v>
      </c>
      <c r="E1347" s="80">
        <v>5</v>
      </c>
      <c r="F1347" s="132">
        <v>0.81</v>
      </c>
      <c r="G1347" s="132">
        <v>1</v>
      </c>
      <c r="H1347" s="222">
        <f t="shared" si="60"/>
        <v>5</v>
      </c>
      <c r="I1347" s="236"/>
      <c r="J1347" s="236">
        <v>0</v>
      </c>
      <c r="K1347" s="236">
        <f t="shared" si="58"/>
        <v>5</v>
      </c>
      <c r="L1347" s="237">
        <f t="shared" si="59"/>
        <v>4.0500000000000007</v>
      </c>
    </row>
    <row r="1348" spans="1:12">
      <c r="A1348" s="223">
        <v>46202</v>
      </c>
      <c r="B1348" s="80" t="s">
        <v>1336</v>
      </c>
      <c r="C1348" s="80" t="s">
        <v>4918</v>
      </c>
      <c r="D1348" s="107" t="s">
        <v>1337</v>
      </c>
      <c r="E1348" s="80">
        <v>1</v>
      </c>
      <c r="F1348" s="132">
        <v>24.35</v>
      </c>
      <c r="G1348" s="132">
        <v>28</v>
      </c>
      <c r="H1348" s="222">
        <f t="shared" si="60"/>
        <v>28</v>
      </c>
      <c r="I1348" s="236"/>
      <c r="J1348" s="236">
        <v>0</v>
      </c>
      <c r="K1348" s="236">
        <f t="shared" si="58"/>
        <v>28</v>
      </c>
      <c r="L1348" s="237">
        <f t="shared" si="59"/>
        <v>24.35</v>
      </c>
    </row>
    <row r="1349" spans="1:12">
      <c r="A1349" s="223">
        <v>46202</v>
      </c>
      <c r="B1349" s="80" t="s">
        <v>701</v>
      </c>
      <c r="C1349" s="80" t="s">
        <v>4919</v>
      </c>
      <c r="D1349" s="107" t="s">
        <v>702</v>
      </c>
      <c r="E1349" s="80">
        <v>1</v>
      </c>
      <c r="F1349" s="132">
        <v>60</v>
      </c>
      <c r="G1349" s="132">
        <v>75</v>
      </c>
      <c r="H1349" s="222">
        <f t="shared" si="60"/>
        <v>75</v>
      </c>
      <c r="I1349" s="236"/>
      <c r="J1349" s="236">
        <v>0</v>
      </c>
      <c r="K1349" s="236">
        <f t="shared" si="58"/>
        <v>75</v>
      </c>
      <c r="L1349" s="237">
        <f t="shared" si="59"/>
        <v>60</v>
      </c>
    </row>
    <row r="1350" spans="1:12">
      <c r="A1350" s="223">
        <v>46202</v>
      </c>
      <c r="B1350" s="80" t="s">
        <v>3398</v>
      </c>
      <c r="C1350" s="80" t="s">
        <v>4919</v>
      </c>
      <c r="D1350" s="107" t="s">
        <v>3399</v>
      </c>
      <c r="E1350" s="80">
        <v>1</v>
      </c>
      <c r="F1350" s="132">
        <v>90</v>
      </c>
      <c r="G1350" s="132">
        <v>120</v>
      </c>
      <c r="H1350" s="222">
        <f t="shared" si="60"/>
        <v>120</v>
      </c>
      <c r="I1350" s="236"/>
      <c r="J1350" s="236">
        <v>0</v>
      </c>
      <c r="K1350" s="236">
        <f t="shared" ref="K1350:K1413" si="61">H1350+I1350-J1350</f>
        <v>120</v>
      </c>
      <c r="L1350" s="237">
        <f t="shared" ref="L1350:L1413" si="62">E1350*F1350</f>
        <v>90</v>
      </c>
    </row>
    <row r="1351" spans="1:12">
      <c r="A1351" s="223">
        <v>46202</v>
      </c>
      <c r="B1351" s="80" t="s">
        <v>1850</v>
      </c>
      <c r="C1351" s="80" t="s">
        <v>4920</v>
      </c>
      <c r="D1351" s="107" t="s">
        <v>1851</v>
      </c>
      <c r="E1351" s="80">
        <v>1</v>
      </c>
      <c r="F1351" s="132">
        <v>29</v>
      </c>
      <c r="G1351" s="132">
        <v>33.75</v>
      </c>
      <c r="H1351" s="222">
        <f t="shared" si="60"/>
        <v>33.75</v>
      </c>
      <c r="I1351" s="236"/>
      <c r="J1351" s="236">
        <v>0</v>
      </c>
      <c r="K1351" s="236">
        <f t="shared" si="61"/>
        <v>33.75</v>
      </c>
      <c r="L1351" s="237">
        <f t="shared" si="62"/>
        <v>29</v>
      </c>
    </row>
    <row r="1352" spans="1:12">
      <c r="A1352" s="223">
        <v>46202</v>
      </c>
      <c r="B1352" s="80" t="s">
        <v>949</v>
      </c>
      <c r="C1352" s="80" t="s">
        <v>4920</v>
      </c>
      <c r="D1352" s="107" t="s">
        <v>950</v>
      </c>
      <c r="E1352" s="80">
        <v>1</v>
      </c>
      <c r="F1352" s="132">
        <v>40.06</v>
      </c>
      <c r="G1352" s="132">
        <v>46.25</v>
      </c>
      <c r="H1352" s="222">
        <f t="shared" si="60"/>
        <v>46.25</v>
      </c>
      <c r="I1352" s="236"/>
      <c r="J1352" s="236">
        <v>0</v>
      </c>
      <c r="K1352" s="236">
        <f t="shared" si="61"/>
        <v>46.25</v>
      </c>
      <c r="L1352" s="237">
        <f t="shared" si="62"/>
        <v>40.06</v>
      </c>
    </row>
    <row r="1353" spans="1:12">
      <c r="A1353" s="223">
        <v>46202</v>
      </c>
      <c r="B1353" s="80" t="s">
        <v>1255</v>
      </c>
      <c r="C1353" s="80" t="s">
        <v>4920</v>
      </c>
      <c r="D1353" s="107" t="s">
        <v>1256</v>
      </c>
      <c r="E1353" s="80">
        <v>1</v>
      </c>
      <c r="F1353" s="132">
        <v>29.9</v>
      </c>
      <c r="G1353" s="132">
        <v>34.5</v>
      </c>
      <c r="H1353" s="222">
        <f t="shared" si="60"/>
        <v>34.5</v>
      </c>
      <c r="I1353" s="236"/>
      <c r="J1353" s="236">
        <v>0</v>
      </c>
      <c r="K1353" s="236">
        <f t="shared" si="61"/>
        <v>34.5</v>
      </c>
      <c r="L1353" s="237">
        <f t="shared" si="62"/>
        <v>29.9</v>
      </c>
    </row>
    <row r="1354" spans="1:12">
      <c r="A1354" s="223">
        <v>46202</v>
      </c>
      <c r="B1354" s="80" t="s">
        <v>3723</v>
      </c>
      <c r="C1354" s="80" t="s">
        <v>4920</v>
      </c>
      <c r="D1354" s="107" t="s">
        <v>3724</v>
      </c>
      <c r="E1354" s="80">
        <v>1</v>
      </c>
      <c r="F1354" s="132">
        <v>19.47</v>
      </c>
      <c r="G1354" s="132">
        <v>23</v>
      </c>
      <c r="H1354" s="222">
        <f t="shared" si="60"/>
        <v>23</v>
      </c>
      <c r="I1354" s="236"/>
      <c r="J1354" s="236">
        <v>0</v>
      </c>
      <c r="K1354" s="236">
        <f t="shared" si="61"/>
        <v>23</v>
      </c>
      <c r="L1354" s="237">
        <f t="shared" si="62"/>
        <v>19.47</v>
      </c>
    </row>
    <row r="1355" spans="1:12">
      <c r="A1355" s="223">
        <v>46202</v>
      </c>
      <c r="B1355" s="80" t="s">
        <v>986</v>
      </c>
      <c r="C1355" s="80" t="s">
        <v>4921</v>
      </c>
      <c r="D1355" s="107" t="s">
        <v>987</v>
      </c>
      <c r="E1355" s="80">
        <v>1</v>
      </c>
      <c r="F1355" s="132">
        <v>7.41</v>
      </c>
      <c r="G1355" s="132">
        <v>8.75</v>
      </c>
      <c r="H1355" s="222">
        <f t="shared" si="60"/>
        <v>8.75</v>
      </c>
      <c r="I1355" s="236"/>
      <c r="J1355" s="236">
        <v>0</v>
      </c>
      <c r="K1355" s="236">
        <f t="shared" si="61"/>
        <v>8.75</v>
      </c>
      <c r="L1355" s="237">
        <f t="shared" si="62"/>
        <v>7.41</v>
      </c>
    </row>
    <row r="1356" spans="1:12">
      <c r="A1356" s="223">
        <v>46202</v>
      </c>
      <c r="B1356" s="80" t="s">
        <v>2227</v>
      </c>
      <c r="C1356" s="80" t="s">
        <v>4922</v>
      </c>
      <c r="D1356" s="107" t="s">
        <v>2228</v>
      </c>
      <c r="E1356" s="80">
        <v>1</v>
      </c>
      <c r="F1356" s="132">
        <v>9.17</v>
      </c>
      <c r="G1356" s="132">
        <v>10.75</v>
      </c>
      <c r="H1356" s="222">
        <f t="shared" si="60"/>
        <v>10.75</v>
      </c>
      <c r="I1356" s="236"/>
      <c r="J1356" s="236">
        <v>0</v>
      </c>
      <c r="K1356" s="236">
        <f t="shared" si="61"/>
        <v>10.75</v>
      </c>
      <c r="L1356" s="237">
        <f t="shared" si="62"/>
        <v>9.17</v>
      </c>
    </row>
    <row r="1357" spans="1:12">
      <c r="A1357" s="223">
        <v>46202</v>
      </c>
      <c r="B1357" s="80" t="s">
        <v>844</v>
      </c>
      <c r="C1357" s="80" t="s">
        <v>4922</v>
      </c>
      <c r="D1357" s="107" t="s">
        <v>845</v>
      </c>
      <c r="E1357" s="80">
        <v>1</v>
      </c>
      <c r="F1357" s="132">
        <v>8.5299999999999994</v>
      </c>
      <c r="G1357" s="132">
        <v>10</v>
      </c>
      <c r="H1357" s="222">
        <f t="shared" si="60"/>
        <v>10</v>
      </c>
      <c r="I1357" s="236"/>
      <c r="J1357" s="236">
        <v>0</v>
      </c>
      <c r="K1357" s="236">
        <f t="shared" si="61"/>
        <v>10</v>
      </c>
      <c r="L1357" s="237">
        <f t="shared" si="62"/>
        <v>8.5299999999999994</v>
      </c>
    </row>
    <row r="1358" spans="1:12">
      <c r="A1358" s="223">
        <v>46202</v>
      </c>
      <c r="B1358" s="80" t="s">
        <v>2642</v>
      </c>
      <c r="C1358" s="80" t="s">
        <v>4923</v>
      </c>
      <c r="D1358" s="107" t="s">
        <v>2643</v>
      </c>
      <c r="E1358" s="80">
        <v>2</v>
      </c>
      <c r="F1358" s="132">
        <v>302.13</v>
      </c>
      <c r="G1358" s="132">
        <v>362.75</v>
      </c>
      <c r="H1358" s="222">
        <f t="shared" si="60"/>
        <v>725.5</v>
      </c>
      <c r="I1358" s="236"/>
      <c r="J1358" s="236">
        <v>0</v>
      </c>
      <c r="K1358" s="236">
        <f t="shared" si="61"/>
        <v>725.5</v>
      </c>
      <c r="L1358" s="237">
        <f t="shared" si="62"/>
        <v>604.26</v>
      </c>
    </row>
    <row r="1359" spans="1:12">
      <c r="A1359" s="223">
        <v>46202</v>
      </c>
      <c r="B1359" s="80" t="s">
        <v>4822</v>
      </c>
      <c r="C1359" s="80" t="s">
        <v>4924</v>
      </c>
      <c r="D1359" s="107" t="s">
        <v>4824</v>
      </c>
      <c r="E1359" s="80">
        <v>1</v>
      </c>
      <c r="F1359" s="132">
        <v>6.4</v>
      </c>
      <c r="G1359" s="132">
        <v>7.5</v>
      </c>
      <c r="H1359" s="222">
        <f t="shared" si="60"/>
        <v>7.5</v>
      </c>
      <c r="I1359" s="236"/>
      <c r="J1359" s="236">
        <v>0</v>
      </c>
      <c r="K1359" s="236">
        <f t="shared" si="61"/>
        <v>7.5</v>
      </c>
      <c r="L1359" s="237">
        <f t="shared" si="62"/>
        <v>6.4</v>
      </c>
    </row>
    <row r="1360" spans="1:12">
      <c r="A1360" s="223">
        <v>46202</v>
      </c>
      <c r="B1360" s="80" t="s">
        <v>502</v>
      </c>
      <c r="C1360" s="80" t="s">
        <v>4925</v>
      </c>
      <c r="D1360" s="107" t="s">
        <v>503</v>
      </c>
      <c r="E1360" s="80">
        <v>1</v>
      </c>
      <c r="F1360" s="132">
        <v>18.53</v>
      </c>
      <c r="G1360" s="132">
        <v>21.5</v>
      </c>
      <c r="H1360" s="222">
        <f t="shared" si="60"/>
        <v>21.5</v>
      </c>
      <c r="I1360" s="236"/>
      <c r="J1360" s="236">
        <v>0</v>
      </c>
      <c r="K1360" s="236">
        <f t="shared" si="61"/>
        <v>21.5</v>
      </c>
      <c r="L1360" s="237">
        <f t="shared" si="62"/>
        <v>18.53</v>
      </c>
    </row>
    <row r="1361" spans="1:12">
      <c r="A1361" s="223">
        <v>46202</v>
      </c>
      <c r="B1361" s="80" t="s">
        <v>844</v>
      </c>
      <c r="C1361" s="80" t="s">
        <v>4926</v>
      </c>
      <c r="D1361" s="107" t="s">
        <v>845</v>
      </c>
      <c r="E1361" s="80">
        <v>1</v>
      </c>
      <c r="F1361" s="132">
        <v>8.5299999999999994</v>
      </c>
      <c r="G1361" s="132">
        <v>10</v>
      </c>
      <c r="H1361" s="222">
        <f t="shared" si="60"/>
        <v>10</v>
      </c>
      <c r="I1361" s="236"/>
      <c r="J1361" s="236">
        <v>0</v>
      </c>
      <c r="K1361" s="236">
        <f t="shared" si="61"/>
        <v>10</v>
      </c>
      <c r="L1361" s="237">
        <f t="shared" si="62"/>
        <v>8.5299999999999994</v>
      </c>
    </row>
    <row r="1362" spans="1:12">
      <c r="A1362" s="223">
        <v>46202</v>
      </c>
      <c r="B1362" s="80" t="s">
        <v>1840</v>
      </c>
      <c r="C1362" s="80" t="s">
        <v>4927</v>
      </c>
      <c r="D1362" s="107" t="s">
        <v>1841</v>
      </c>
      <c r="E1362" s="80">
        <v>2</v>
      </c>
      <c r="F1362" s="132">
        <v>29.95</v>
      </c>
      <c r="G1362" s="132">
        <v>34.5</v>
      </c>
      <c r="H1362" s="222">
        <f t="shared" si="60"/>
        <v>69</v>
      </c>
      <c r="I1362" s="236"/>
      <c r="J1362" s="236">
        <v>0</v>
      </c>
      <c r="K1362" s="236">
        <f t="shared" si="61"/>
        <v>69</v>
      </c>
      <c r="L1362" s="237">
        <f t="shared" si="62"/>
        <v>59.9</v>
      </c>
    </row>
    <row r="1363" spans="1:12">
      <c r="A1363" s="223">
        <v>46202</v>
      </c>
      <c r="B1363" s="80" t="s">
        <v>3725</v>
      </c>
      <c r="C1363" s="80" t="s">
        <v>4928</v>
      </c>
      <c r="D1363" s="107" t="s">
        <v>3726</v>
      </c>
      <c r="E1363" s="80">
        <v>3</v>
      </c>
      <c r="F1363" s="132">
        <v>11.5</v>
      </c>
      <c r="G1363" s="132">
        <v>13.5</v>
      </c>
      <c r="H1363" s="222">
        <f t="shared" si="60"/>
        <v>40.5</v>
      </c>
      <c r="I1363" s="236"/>
      <c r="J1363" s="236">
        <v>0</v>
      </c>
      <c r="K1363" s="236">
        <f t="shared" si="61"/>
        <v>40.5</v>
      </c>
      <c r="L1363" s="237">
        <f t="shared" si="62"/>
        <v>34.5</v>
      </c>
    </row>
    <row r="1364" spans="1:12">
      <c r="A1364" s="223">
        <v>46202</v>
      </c>
      <c r="B1364" s="80" t="s">
        <v>809</v>
      </c>
      <c r="C1364" s="80" t="s">
        <v>4928</v>
      </c>
      <c r="D1364" s="107" t="s">
        <v>810</v>
      </c>
      <c r="E1364" s="80">
        <v>1</v>
      </c>
      <c r="F1364" s="132">
        <v>44.8</v>
      </c>
      <c r="G1364" s="132">
        <v>51.75</v>
      </c>
      <c r="H1364" s="222">
        <f t="shared" si="60"/>
        <v>51.75</v>
      </c>
      <c r="I1364" s="236"/>
      <c r="J1364" s="236">
        <v>0</v>
      </c>
      <c r="K1364" s="236">
        <f t="shared" si="61"/>
        <v>51.75</v>
      </c>
      <c r="L1364" s="237">
        <f t="shared" si="62"/>
        <v>44.8</v>
      </c>
    </row>
    <row r="1365" spans="1:12">
      <c r="A1365" s="223">
        <v>46202</v>
      </c>
      <c r="B1365" s="80" t="s">
        <v>842</v>
      </c>
      <c r="C1365" s="80" t="s">
        <v>4928</v>
      </c>
      <c r="D1365" s="107" t="s">
        <v>843</v>
      </c>
      <c r="E1365" s="80">
        <v>2</v>
      </c>
      <c r="F1365" s="132">
        <v>20.68</v>
      </c>
      <c r="G1365" s="132">
        <v>24</v>
      </c>
      <c r="H1365" s="222">
        <f t="shared" si="60"/>
        <v>48</v>
      </c>
      <c r="I1365" s="236"/>
      <c r="J1365" s="236">
        <v>0</v>
      </c>
      <c r="K1365" s="236">
        <f t="shared" si="61"/>
        <v>48</v>
      </c>
      <c r="L1365" s="237">
        <f t="shared" si="62"/>
        <v>41.36</v>
      </c>
    </row>
    <row r="1366" spans="1:12">
      <c r="A1366" s="223">
        <v>46202</v>
      </c>
      <c r="B1366" s="80" t="s">
        <v>842</v>
      </c>
      <c r="C1366" s="80" t="s">
        <v>4929</v>
      </c>
      <c r="D1366" s="107" t="s">
        <v>843</v>
      </c>
      <c r="E1366" s="80">
        <v>1</v>
      </c>
      <c r="F1366" s="132">
        <v>20.68</v>
      </c>
      <c r="G1366" s="132">
        <v>24</v>
      </c>
      <c r="H1366" s="222">
        <f t="shared" si="60"/>
        <v>24</v>
      </c>
      <c r="I1366" s="236"/>
      <c r="J1366" s="236">
        <v>0</v>
      </c>
      <c r="K1366" s="236">
        <f t="shared" si="61"/>
        <v>24</v>
      </c>
      <c r="L1366" s="237">
        <f t="shared" si="62"/>
        <v>20.68</v>
      </c>
    </row>
    <row r="1367" spans="1:12">
      <c r="A1367" s="223">
        <v>46202</v>
      </c>
      <c r="B1367" s="80" t="s">
        <v>2620</v>
      </c>
      <c r="C1367" s="80" t="s">
        <v>4930</v>
      </c>
      <c r="D1367" s="107" t="s">
        <v>2621</v>
      </c>
      <c r="E1367" s="80">
        <v>2</v>
      </c>
      <c r="F1367" s="132">
        <v>20.57</v>
      </c>
      <c r="G1367" s="132">
        <v>23.75</v>
      </c>
      <c r="H1367" s="222">
        <f t="shared" si="60"/>
        <v>47.5</v>
      </c>
      <c r="I1367" s="236"/>
      <c r="J1367" s="236">
        <v>0</v>
      </c>
      <c r="K1367" s="236">
        <f t="shared" si="61"/>
        <v>47.5</v>
      </c>
      <c r="L1367" s="237">
        <f t="shared" si="62"/>
        <v>41.14</v>
      </c>
    </row>
    <row r="1368" spans="1:12">
      <c r="A1368" s="223">
        <v>46202</v>
      </c>
      <c r="B1368" s="80" t="s">
        <v>2542</v>
      </c>
      <c r="C1368" s="80" t="s">
        <v>4930</v>
      </c>
      <c r="D1368" s="107" t="s">
        <v>2543</v>
      </c>
      <c r="E1368" s="80">
        <v>12</v>
      </c>
      <c r="F1368" s="132">
        <v>5.25</v>
      </c>
      <c r="G1368" s="132">
        <v>6</v>
      </c>
      <c r="H1368" s="222">
        <f t="shared" si="60"/>
        <v>72</v>
      </c>
      <c r="I1368" s="236"/>
      <c r="J1368" s="236">
        <v>0</v>
      </c>
      <c r="K1368" s="236">
        <f t="shared" si="61"/>
        <v>72</v>
      </c>
      <c r="L1368" s="237">
        <f t="shared" si="62"/>
        <v>63</v>
      </c>
    </row>
    <row r="1369" spans="1:12">
      <c r="A1369" s="223">
        <v>46202</v>
      </c>
      <c r="B1369" s="80" t="s">
        <v>3044</v>
      </c>
      <c r="C1369" s="80" t="s">
        <v>4930</v>
      </c>
      <c r="D1369" s="107" t="s">
        <v>3045</v>
      </c>
      <c r="E1369" s="80">
        <v>6</v>
      </c>
      <c r="F1369" s="132">
        <v>6.37</v>
      </c>
      <c r="G1369" s="132">
        <v>7.5</v>
      </c>
      <c r="H1369" s="222">
        <f t="shared" si="60"/>
        <v>45</v>
      </c>
      <c r="I1369" s="236"/>
      <c r="J1369" s="236">
        <v>0</v>
      </c>
      <c r="K1369" s="236">
        <f t="shared" si="61"/>
        <v>45</v>
      </c>
      <c r="L1369" s="237">
        <f t="shared" si="62"/>
        <v>38.22</v>
      </c>
    </row>
    <row r="1370" spans="1:12">
      <c r="A1370" s="223">
        <v>46202</v>
      </c>
      <c r="B1370" s="80" t="s">
        <v>2876</v>
      </c>
      <c r="C1370" s="80" t="s">
        <v>4930</v>
      </c>
      <c r="D1370" s="107" t="s">
        <v>2877</v>
      </c>
      <c r="E1370" s="80">
        <v>6</v>
      </c>
      <c r="F1370" s="132">
        <v>3.72</v>
      </c>
      <c r="G1370" s="132">
        <v>4.5</v>
      </c>
      <c r="H1370" s="222">
        <f t="shared" si="60"/>
        <v>27</v>
      </c>
      <c r="I1370" s="236"/>
      <c r="J1370" s="236">
        <v>0</v>
      </c>
      <c r="K1370" s="236">
        <f t="shared" si="61"/>
        <v>27</v>
      </c>
      <c r="L1370" s="237">
        <f t="shared" si="62"/>
        <v>22.32</v>
      </c>
    </row>
    <row r="1371" spans="1:12">
      <c r="A1371" s="223">
        <v>46202</v>
      </c>
      <c r="B1371" s="80" t="s">
        <v>2724</v>
      </c>
      <c r="C1371" s="80" t="s">
        <v>4930</v>
      </c>
      <c r="D1371" s="107" t="s">
        <v>2725</v>
      </c>
      <c r="E1371" s="80">
        <v>6</v>
      </c>
      <c r="F1371" s="132">
        <v>6</v>
      </c>
      <c r="G1371" s="132">
        <v>7</v>
      </c>
      <c r="H1371" s="222">
        <f t="shared" si="60"/>
        <v>42</v>
      </c>
      <c r="I1371" s="236"/>
      <c r="J1371" s="236">
        <v>0</v>
      </c>
      <c r="K1371" s="236">
        <f t="shared" si="61"/>
        <v>42</v>
      </c>
      <c r="L1371" s="237">
        <f t="shared" si="62"/>
        <v>36</v>
      </c>
    </row>
    <row r="1372" spans="1:12">
      <c r="A1372" s="223">
        <v>46202</v>
      </c>
      <c r="B1372" s="80" t="s">
        <v>3012</v>
      </c>
      <c r="C1372" s="80" t="s">
        <v>4930</v>
      </c>
      <c r="D1372" s="107" t="s">
        <v>3013</v>
      </c>
      <c r="E1372" s="80">
        <v>1</v>
      </c>
      <c r="F1372" s="132">
        <v>11.17</v>
      </c>
      <c r="G1372" s="132">
        <v>13</v>
      </c>
      <c r="H1372" s="222">
        <f t="shared" ref="H1372:H1403" si="63">E1372*G1372</f>
        <v>13</v>
      </c>
      <c r="I1372" s="236"/>
      <c r="J1372" s="236">
        <v>0</v>
      </c>
      <c r="K1372" s="236">
        <f t="shared" si="61"/>
        <v>13</v>
      </c>
      <c r="L1372" s="237">
        <f t="shared" si="62"/>
        <v>11.17</v>
      </c>
    </row>
    <row r="1373" spans="1:12">
      <c r="A1373" s="223">
        <v>46202</v>
      </c>
      <c r="B1373" s="80" t="s">
        <v>499</v>
      </c>
      <c r="C1373" s="80" t="s">
        <v>4931</v>
      </c>
      <c r="D1373" s="107" t="s">
        <v>500</v>
      </c>
      <c r="E1373" s="80">
        <v>1</v>
      </c>
      <c r="F1373" s="132">
        <v>33.75</v>
      </c>
      <c r="G1373" s="132">
        <v>39</v>
      </c>
      <c r="H1373" s="222">
        <f t="shared" si="63"/>
        <v>39</v>
      </c>
      <c r="I1373" s="236"/>
      <c r="J1373" s="236">
        <v>0</v>
      </c>
      <c r="K1373" s="236">
        <f t="shared" si="61"/>
        <v>39</v>
      </c>
      <c r="L1373" s="237">
        <f t="shared" si="62"/>
        <v>33.75</v>
      </c>
    </row>
    <row r="1374" spans="1:12">
      <c r="A1374" s="223">
        <v>46202</v>
      </c>
      <c r="B1374" s="80" t="s">
        <v>639</v>
      </c>
      <c r="C1374" s="80" t="s">
        <v>4931</v>
      </c>
      <c r="D1374" s="107" t="s">
        <v>640</v>
      </c>
      <c r="E1374" s="80">
        <v>1</v>
      </c>
      <c r="F1374" s="132">
        <v>33.1</v>
      </c>
      <c r="G1374" s="132">
        <v>38.25</v>
      </c>
      <c r="H1374" s="222">
        <f t="shared" si="63"/>
        <v>38.25</v>
      </c>
      <c r="I1374" s="236"/>
      <c r="J1374" s="236">
        <v>0</v>
      </c>
      <c r="K1374" s="236">
        <f t="shared" si="61"/>
        <v>38.25</v>
      </c>
      <c r="L1374" s="237">
        <f t="shared" si="62"/>
        <v>33.1</v>
      </c>
    </row>
    <row r="1375" spans="1:12">
      <c r="A1375" s="223">
        <v>46202</v>
      </c>
      <c r="B1375" s="80" t="s">
        <v>3657</v>
      </c>
      <c r="C1375" s="80" t="s">
        <v>4932</v>
      </c>
      <c r="D1375" s="107" t="s">
        <v>3658</v>
      </c>
      <c r="E1375" s="80">
        <v>1</v>
      </c>
      <c r="F1375" s="132">
        <v>22.73</v>
      </c>
      <c r="G1375" s="132">
        <v>26.25</v>
      </c>
      <c r="H1375" s="222">
        <f t="shared" si="63"/>
        <v>26.25</v>
      </c>
      <c r="I1375" s="236"/>
      <c r="J1375" s="236">
        <v>0</v>
      </c>
      <c r="K1375" s="236">
        <f t="shared" si="61"/>
        <v>26.25</v>
      </c>
      <c r="L1375" s="237">
        <f t="shared" si="62"/>
        <v>22.73</v>
      </c>
    </row>
    <row r="1376" spans="1:12">
      <c r="A1376" s="223">
        <v>46202</v>
      </c>
      <c r="B1376" s="80" t="s">
        <v>1703</v>
      </c>
      <c r="C1376" s="80" t="s">
        <v>4933</v>
      </c>
      <c r="D1376" s="107" t="s">
        <v>1704</v>
      </c>
      <c r="E1376" s="80">
        <v>1</v>
      </c>
      <c r="F1376" s="132">
        <v>45.88</v>
      </c>
      <c r="G1376" s="132">
        <v>52.75</v>
      </c>
      <c r="H1376" s="222">
        <f t="shared" si="63"/>
        <v>52.75</v>
      </c>
      <c r="I1376" s="236"/>
      <c r="J1376" s="236">
        <v>0</v>
      </c>
      <c r="K1376" s="236">
        <f t="shared" si="61"/>
        <v>52.75</v>
      </c>
      <c r="L1376" s="237">
        <f t="shared" si="62"/>
        <v>45.88</v>
      </c>
    </row>
    <row r="1377" spans="1:12">
      <c r="A1377" s="223">
        <v>46202</v>
      </c>
      <c r="B1377" s="80" t="s">
        <v>1129</v>
      </c>
      <c r="C1377" s="80" t="s">
        <v>4933</v>
      </c>
      <c r="D1377" s="107" t="s">
        <v>1130</v>
      </c>
      <c r="E1377" s="80">
        <v>1</v>
      </c>
      <c r="F1377" s="132">
        <v>8.3800000000000008</v>
      </c>
      <c r="G1377" s="132">
        <v>9.75</v>
      </c>
      <c r="H1377" s="222">
        <f t="shared" si="63"/>
        <v>9.75</v>
      </c>
      <c r="I1377" s="236"/>
      <c r="J1377" s="236">
        <v>0</v>
      </c>
      <c r="K1377" s="236">
        <f t="shared" si="61"/>
        <v>9.75</v>
      </c>
      <c r="L1377" s="237">
        <f t="shared" si="62"/>
        <v>8.3800000000000008</v>
      </c>
    </row>
    <row r="1378" spans="1:12">
      <c r="A1378" s="223">
        <v>46202</v>
      </c>
      <c r="B1378" s="80" t="s">
        <v>809</v>
      </c>
      <c r="C1378" s="80" t="s">
        <v>4933</v>
      </c>
      <c r="D1378" s="107" t="s">
        <v>810</v>
      </c>
      <c r="E1378" s="80">
        <v>1</v>
      </c>
      <c r="F1378" s="132">
        <v>44.8</v>
      </c>
      <c r="G1378" s="132">
        <v>51.75</v>
      </c>
      <c r="H1378" s="222">
        <f t="shared" si="63"/>
        <v>51.75</v>
      </c>
      <c r="I1378" s="236"/>
      <c r="J1378" s="236">
        <v>0</v>
      </c>
      <c r="K1378" s="236">
        <f t="shared" si="61"/>
        <v>51.75</v>
      </c>
      <c r="L1378" s="237">
        <f t="shared" si="62"/>
        <v>44.8</v>
      </c>
    </row>
    <row r="1379" spans="1:12">
      <c r="A1379" s="223">
        <v>46202</v>
      </c>
      <c r="B1379" s="80" t="s">
        <v>1703</v>
      </c>
      <c r="C1379" s="80" t="s">
        <v>4934</v>
      </c>
      <c r="D1379" s="107" t="s">
        <v>1704</v>
      </c>
      <c r="E1379" s="80">
        <v>3</v>
      </c>
      <c r="F1379" s="132">
        <v>45.88</v>
      </c>
      <c r="G1379" s="132">
        <v>52.75</v>
      </c>
      <c r="H1379" s="222">
        <f t="shared" si="63"/>
        <v>158.25</v>
      </c>
      <c r="I1379" s="236"/>
      <c r="J1379" s="236">
        <v>0</v>
      </c>
      <c r="K1379" s="236">
        <f t="shared" si="61"/>
        <v>158.25</v>
      </c>
      <c r="L1379" s="237">
        <f t="shared" si="62"/>
        <v>137.64000000000001</v>
      </c>
    </row>
    <row r="1380" spans="1:12">
      <c r="A1380" s="223">
        <v>46202</v>
      </c>
      <c r="B1380" s="80" t="s">
        <v>1697</v>
      </c>
      <c r="C1380" s="80" t="s">
        <v>4934</v>
      </c>
      <c r="D1380" s="107" t="s">
        <v>1698</v>
      </c>
      <c r="E1380" s="80">
        <v>3</v>
      </c>
      <c r="F1380" s="132">
        <v>44.86</v>
      </c>
      <c r="G1380" s="132">
        <v>51.25</v>
      </c>
      <c r="H1380" s="222">
        <f t="shared" si="63"/>
        <v>153.75</v>
      </c>
      <c r="I1380" s="236"/>
      <c r="J1380" s="236">
        <v>0</v>
      </c>
      <c r="K1380" s="236">
        <f t="shared" si="61"/>
        <v>153.75</v>
      </c>
      <c r="L1380" s="237">
        <f t="shared" si="62"/>
        <v>134.57999999999998</v>
      </c>
    </row>
    <row r="1381" spans="1:12">
      <c r="A1381" s="223">
        <v>46202</v>
      </c>
      <c r="B1381" s="80" t="s">
        <v>2626</v>
      </c>
      <c r="C1381" s="80" t="s">
        <v>4934</v>
      </c>
      <c r="D1381" s="107" t="s">
        <v>2627</v>
      </c>
      <c r="E1381" s="80">
        <v>3</v>
      </c>
      <c r="F1381" s="132">
        <v>45.03</v>
      </c>
      <c r="G1381" s="132">
        <v>54.5</v>
      </c>
      <c r="H1381" s="222">
        <f t="shared" si="63"/>
        <v>163.5</v>
      </c>
      <c r="I1381" s="236"/>
      <c r="J1381" s="236">
        <v>0</v>
      </c>
      <c r="K1381" s="236">
        <f t="shared" si="61"/>
        <v>163.5</v>
      </c>
      <c r="L1381" s="237">
        <f t="shared" si="62"/>
        <v>135.09</v>
      </c>
    </row>
    <row r="1382" spans="1:12">
      <c r="A1382" s="223">
        <v>46202</v>
      </c>
      <c r="B1382" s="80" t="s">
        <v>1452</v>
      </c>
      <c r="C1382" s="80" t="s">
        <v>4934</v>
      </c>
      <c r="D1382" s="107" t="s">
        <v>1453</v>
      </c>
      <c r="E1382" s="80">
        <v>1</v>
      </c>
      <c r="F1382" s="132">
        <v>109.57</v>
      </c>
      <c r="G1382" s="132">
        <v>136.5</v>
      </c>
      <c r="H1382" s="222">
        <f t="shared" si="63"/>
        <v>136.5</v>
      </c>
      <c r="I1382" s="236"/>
      <c r="J1382" s="236">
        <v>0</v>
      </c>
      <c r="K1382" s="236">
        <f t="shared" si="61"/>
        <v>136.5</v>
      </c>
      <c r="L1382" s="237">
        <f t="shared" si="62"/>
        <v>109.57</v>
      </c>
    </row>
    <row r="1383" spans="1:12">
      <c r="A1383" s="223">
        <v>46202</v>
      </c>
      <c r="B1383" s="80" t="s">
        <v>4059</v>
      </c>
      <c r="C1383" s="80" t="s">
        <v>4934</v>
      </c>
      <c r="D1383" s="107" t="s">
        <v>4060</v>
      </c>
      <c r="E1383" s="80">
        <v>2</v>
      </c>
      <c r="F1383" s="132">
        <v>120.95</v>
      </c>
      <c r="G1383" s="132">
        <v>139.25</v>
      </c>
      <c r="H1383" s="222">
        <f t="shared" si="63"/>
        <v>278.5</v>
      </c>
      <c r="I1383" s="236"/>
      <c r="J1383" s="236">
        <v>0</v>
      </c>
      <c r="K1383" s="236">
        <f t="shared" si="61"/>
        <v>278.5</v>
      </c>
      <c r="L1383" s="237">
        <f t="shared" si="62"/>
        <v>241.9</v>
      </c>
    </row>
    <row r="1384" spans="1:12">
      <c r="A1384" s="223">
        <v>46202</v>
      </c>
      <c r="B1384" s="80" t="s">
        <v>707</v>
      </c>
      <c r="C1384" s="80" t="s">
        <v>4935</v>
      </c>
      <c r="D1384" s="107" t="s">
        <v>708</v>
      </c>
      <c r="E1384" s="80">
        <v>1</v>
      </c>
      <c r="F1384" s="132">
        <v>15.12</v>
      </c>
      <c r="G1384" s="132">
        <v>17.5</v>
      </c>
      <c r="H1384" s="222">
        <f t="shared" si="63"/>
        <v>17.5</v>
      </c>
      <c r="I1384" s="236"/>
      <c r="J1384" s="236">
        <v>0</v>
      </c>
      <c r="K1384" s="236">
        <f t="shared" si="61"/>
        <v>17.5</v>
      </c>
      <c r="L1384" s="237">
        <f t="shared" si="62"/>
        <v>15.12</v>
      </c>
    </row>
    <row r="1385" spans="1:12">
      <c r="A1385" s="223">
        <v>46202</v>
      </c>
      <c r="B1385" s="80" t="s">
        <v>730</v>
      </c>
      <c r="C1385" s="80" t="s">
        <v>4935</v>
      </c>
      <c r="D1385" s="107" t="s">
        <v>731</v>
      </c>
      <c r="E1385" s="80">
        <v>1</v>
      </c>
      <c r="F1385" s="132">
        <v>7.06</v>
      </c>
      <c r="G1385" s="132">
        <v>8.25</v>
      </c>
      <c r="H1385" s="222">
        <f t="shared" si="63"/>
        <v>8.25</v>
      </c>
      <c r="I1385" s="236"/>
      <c r="J1385" s="236">
        <v>0</v>
      </c>
      <c r="K1385" s="236">
        <f t="shared" si="61"/>
        <v>8.25</v>
      </c>
      <c r="L1385" s="237">
        <f t="shared" si="62"/>
        <v>7.06</v>
      </c>
    </row>
    <row r="1386" spans="1:12">
      <c r="A1386" s="223">
        <v>46203</v>
      </c>
      <c r="B1386" s="80" t="s">
        <v>1956</v>
      </c>
      <c r="C1386" s="80" t="s">
        <v>4936</v>
      </c>
      <c r="D1386" s="107" t="s">
        <v>1957</v>
      </c>
      <c r="E1386" s="80">
        <v>1</v>
      </c>
      <c r="F1386" s="232">
        <v>91.9</v>
      </c>
      <c r="G1386" s="232">
        <v>105.75</v>
      </c>
      <c r="H1386" s="222">
        <f t="shared" si="63"/>
        <v>105.75</v>
      </c>
      <c r="I1386" s="236"/>
      <c r="J1386" s="236">
        <v>0</v>
      </c>
      <c r="K1386" s="236">
        <f t="shared" si="61"/>
        <v>105.75</v>
      </c>
      <c r="L1386" s="237">
        <f t="shared" si="62"/>
        <v>91.9</v>
      </c>
    </row>
    <row r="1387" spans="1:12">
      <c r="A1387" s="223">
        <v>46203</v>
      </c>
      <c r="B1387" s="80" t="s">
        <v>1838</v>
      </c>
      <c r="C1387" s="80" t="s">
        <v>4936</v>
      </c>
      <c r="D1387" s="107" t="s">
        <v>1839</v>
      </c>
      <c r="E1387" s="80">
        <v>1</v>
      </c>
      <c r="F1387" s="232">
        <v>61.5</v>
      </c>
      <c r="G1387" s="232">
        <v>66.5</v>
      </c>
      <c r="H1387" s="222">
        <f t="shared" si="63"/>
        <v>66.5</v>
      </c>
      <c r="I1387" s="236"/>
      <c r="J1387" s="236">
        <v>0</v>
      </c>
      <c r="K1387" s="236">
        <f t="shared" si="61"/>
        <v>66.5</v>
      </c>
      <c r="L1387" s="237">
        <f t="shared" si="62"/>
        <v>61.5</v>
      </c>
    </row>
    <row r="1388" spans="1:12">
      <c r="A1388" s="223">
        <v>46203</v>
      </c>
      <c r="B1388" s="80" t="s">
        <v>491</v>
      </c>
      <c r="C1388" s="80" t="s">
        <v>4937</v>
      </c>
      <c r="D1388" s="107" t="s">
        <v>492</v>
      </c>
      <c r="E1388" s="80">
        <v>1</v>
      </c>
      <c r="F1388" s="232">
        <v>16.03</v>
      </c>
      <c r="G1388" s="232">
        <v>18.5</v>
      </c>
      <c r="H1388" s="222">
        <f t="shared" si="63"/>
        <v>18.5</v>
      </c>
      <c r="I1388" s="236"/>
      <c r="J1388" s="236">
        <v>0</v>
      </c>
      <c r="K1388" s="236">
        <f t="shared" si="61"/>
        <v>18.5</v>
      </c>
      <c r="L1388" s="237">
        <f t="shared" si="62"/>
        <v>16.03</v>
      </c>
    </row>
    <row r="1389" spans="1:12">
      <c r="A1389" s="223">
        <v>46203</v>
      </c>
      <c r="B1389" s="80" t="s">
        <v>1345</v>
      </c>
      <c r="C1389" s="80" t="s">
        <v>4938</v>
      </c>
      <c r="D1389" s="107" t="s">
        <v>1346</v>
      </c>
      <c r="E1389" s="80">
        <v>1</v>
      </c>
      <c r="F1389" s="232">
        <v>115.7</v>
      </c>
      <c r="G1389" s="232">
        <v>133.25</v>
      </c>
      <c r="H1389" s="222">
        <f t="shared" si="63"/>
        <v>133.25</v>
      </c>
      <c r="I1389" s="236"/>
      <c r="J1389" s="236">
        <v>0</v>
      </c>
      <c r="K1389" s="236">
        <f t="shared" si="61"/>
        <v>133.25</v>
      </c>
      <c r="L1389" s="237">
        <f t="shared" si="62"/>
        <v>115.7</v>
      </c>
    </row>
    <row r="1390" spans="1:12">
      <c r="A1390" s="223">
        <v>46203</v>
      </c>
      <c r="B1390" s="80" t="s">
        <v>612</v>
      </c>
      <c r="C1390" s="80" t="s">
        <v>4938</v>
      </c>
      <c r="D1390" s="107" t="s">
        <v>613</v>
      </c>
      <c r="E1390" s="80">
        <v>1</v>
      </c>
      <c r="F1390" s="232">
        <v>88.75</v>
      </c>
      <c r="G1390" s="232">
        <v>102.25</v>
      </c>
      <c r="H1390" s="222">
        <f t="shared" si="63"/>
        <v>102.25</v>
      </c>
      <c r="I1390" s="236"/>
      <c r="J1390" s="236">
        <v>0</v>
      </c>
      <c r="K1390" s="236">
        <f t="shared" si="61"/>
        <v>102.25</v>
      </c>
      <c r="L1390" s="237">
        <f t="shared" si="62"/>
        <v>88.75</v>
      </c>
    </row>
    <row r="1391" spans="1:12">
      <c r="A1391" s="223">
        <v>46203</v>
      </c>
      <c r="B1391" s="80" t="s">
        <v>590</v>
      </c>
      <c r="C1391" s="80" t="s">
        <v>4938</v>
      </c>
      <c r="D1391" s="107" t="s">
        <v>591</v>
      </c>
      <c r="E1391" s="80">
        <v>1</v>
      </c>
      <c r="F1391" s="232">
        <v>61.5</v>
      </c>
      <c r="G1391" s="232">
        <v>70.75</v>
      </c>
      <c r="H1391" s="222">
        <f t="shared" si="63"/>
        <v>70.75</v>
      </c>
      <c r="I1391" s="236"/>
      <c r="J1391" s="236">
        <v>0</v>
      </c>
      <c r="K1391" s="236">
        <f t="shared" si="61"/>
        <v>70.75</v>
      </c>
      <c r="L1391" s="237">
        <f t="shared" si="62"/>
        <v>61.5</v>
      </c>
    </row>
    <row r="1392" spans="1:12">
      <c r="A1392" s="223">
        <v>46203</v>
      </c>
      <c r="B1392" s="80" t="s">
        <v>593</v>
      </c>
      <c r="C1392" s="80" t="s">
        <v>4938</v>
      </c>
      <c r="D1392" s="107" t="s">
        <v>594</v>
      </c>
      <c r="E1392" s="80">
        <v>2</v>
      </c>
      <c r="F1392" s="232">
        <v>97.04</v>
      </c>
      <c r="G1392" s="232">
        <v>111.75</v>
      </c>
      <c r="H1392" s="222">
        <f t="shared" si="63"/>
        <v>223.5</v>
      </c>
      <c r="I1392" s="236"/>
      <c r="J1392" s="236">
        <v>0</v>
      </c>
      <c r="K1392" s="236">
        <f t="shared" si="61"/>
        <v>223.5</v>
      </c>
      <c r="L1392" s="237">
        <f t="shared" si="62"/>
        <v>194.08</v>
      </c>
    </row>
    <row r="1393" spans="1:12">
      <c r="A1393" s="223">
        <v>46203</v>
      </c>
      <c r="B1393" s="80" t="s">
        <v>1609</v>
      </c>
      <c r="C1393" s="80" t="s">
        <v>4938</v>
      </c>
      <c r="D1393" s="107" t="s">
        <v>1610</v>
      </c>
      <c r="E1393" s="80">
        <v>4</v>
      </c>
      <c r="F1393" s="232">
        <v>13.1</v>
      </c>
      <c r="G1393" s="232">
        <v>15</v>
      </c>
      <c r="H1393" s="222">
        <f t="shared" si="63"/>
        <v>60</v>
      </c>
      <c r="I1393" s="236"/>
      <c r="J1393" s="236">
        <v>0</v>
      </c>
      <c r="K1393" s="236">
        <f t="shared" si="61"/>
        <v>60</v>
      </c>
      <c r="L1393" s="237">
        <f t="shared" si="62"/>
        <v>52.4</v>
      </c>
    </row>
    <row r="1394" spans="1:12">
      <c r="A1394" s="223">
        <v>46203</v>
      </c>
      <c r="B1394" s="80" t="s">
        <v>1607</v>
      </c>
      <c r="C1394" s="80" t="s">
        <v>4938</v>
      </c>
      <c r="D1394" s="107" t="s">
        <v>1608</v>
      </c>
      <c r="E1394" s="80">
        <v>2</v>
      </c>
      <c r="F1394" s="232">
        <v>13.1</v>
      </c>
      <c r="G1394" s="232">
        <v>15</v>
      </c>
      <c r="H1394" s="222">
        <f t="shared" si="63"/>
        <v>30</v>
      </c>
      <c r="I1394" s="236"/>
      <c r="J1394" s="236">
        <v>0</v>
      </c>
      <c r="K1394" s="236">
        <f t="shared" si="61"/>
        <v>30</v>
      </c>
      <c r="L1394" s="237">
        <f t="shared" si="62"/>
        <v>26.2</v>
      </c>
    </row>
    <row r="1395" spans="1:12">
      <c r="A1395" s="223">
        <v>46203</v>
      </c>
      <c r="B1395" s="80" t="s">
        <v>487</v>
      </c>
      <c r="C1395" s="80" t="s">
        <v>4938</v>
      </c>
      <c r="D1395" s="107" t="s">
        <v>488</v>
      </c>
      <c r="E1395" s="80">
        <v>2</v>
      </c>
      <c r="F1395" s="232">
        <v>16.03</v>
      </c>
      <c r="G1395" s="232">
        <v>18.5</v>
      </c>
      <c r="H1395" s="222">
        <f t="shared" si="63"/>
        <v>37</v>
      </c>
      <c r="I1395" s="236"/>
      <c r="J1395" s="236">
        <v>0</v>
      </c>
      <c r="K1395" s="236">
        <f t="shared" si="61"/>
        <v>37</v>
      </c>
      <c r="L1395" s="237">
        <f t="shared" si="62"/>
        <v>32.06</v>
      </c>
    </row>
    <row r="1396" spans="1:12">
      <c r="A1396" s="223">
        <v>46203</v>
      </c>
      <c r="B1396" s="80" t="s">
        <v>4164</v>
      </c>
      <c r="C1396" s="80" t="s">
        <v>4938</v>
      </c>
      <c r="D1396" s="107" t="s">
        <v>4165</v>
      </c>
      <c r="E1396" s="80">
        <v>1</v>
      </c>
      <c r="F1396" s="232">
        <v>74</v>
      </c>
      <c r="G1396" s="232">
        <v>85.25</v>
      </c>
      <c r="H1396" s="222">
        <f t="shared" si="63"/>
        <v>85.25</v>
      </c>
      <c r="I1396" s="236"/>
      <c r="J1396" s="236">
        <v>0</v>
      </c>
      <c r="K1396" s="236">
        <f t="shared" si="61"/>
        <v>85.25</v>
      </c>
      <c r="L1396" s="237">
        <f t="shared" si="62"/>
        <v>74</v>
      </c>
    </row>
    <row r="1397" spans="1:12">
      <c r="A1397" s="223">
        <v>46203</v>
      </c>
      <c r="B1397" s="80" t="s">
        <v>3398</v>
      </c>
      <c r="C1397" s="80" t="s">
        <v>4938</v>
      </c>
      <c r="D1397" s="107" t="s">
        <v>3399</v>
      </c>
      <c r="E1397" s="80">
        <v>1</v>
      </c>
      <c r="F1397" s="232">
        <v>90</v>
      </c>
      <c r="G1397" s="232">
        <v>120</v>
      </c>
      <c r="H1397" s="222">
        <f t="shared" si="63"/>
        <v>120</v>
      </c>
      <c r="I1397" s="236"/>
      <c r="J1397" s="236">
        <v>0</v>
      </c>
      <c r="K1397" s="236">
        <f t="shared" si="61"/>
        <v>120</v>
      </c>
      <c r="L1397" s="237">
        <f t="shared" si="62"/>
        <v>90</v>
      </c>
    </row>
    <row r="1398" spans="1:12">
      <c r="A1398" s="223">
        <v>46203</v>
      </c>
      <c r="B1398" s="80" t="s">
        <v>719</v>
      </c>
      <c r="C1398" s="80" t="s">
        <v>4938</v>
      </c>
      <c r="D1398" s="107" t="s">
        <v>720</v>
      </c>
      <c r="E1398" s="80">
        <v>2</v>
      </c>
      <c r="F1398" s="232">
        <v>15.65</v>
      </c>
      <c r="G1398" s="232">
        <v>18</v>
      </c>
      <c r="H1398" s="222">
        <f t="shared" si="63"/>
        <v>36</v>
      </c>
      <c r="I1398" s="236"/>
      <c r="J1398" s="236">
        <v>0</v>
      </c>
      <c r="K1398" s="236">
        <f t="shared" si="61"/>
        <v>36</v>
      </c>
      <c r="L1398" s="237">
        <f t="shared" si="62"/>
        <v>31.3</v>
      </c>
    </row>
    <row r="1399" spans="1:12">
      <c r="A1399" s="223">
        <v>46203</v>
      </c>
      <c r="B1399" s="80" t="s">
        <v>499</v>
      </c>
      <c r="C1399" s="80" t="s">
        <v>4938</v>
      </c>
      <c r="D1399" s="107" t="s">
        <v>500</v>
      </c>
      <c r="E1399" s="80">
        <v>3</v>
      </c>
      <c r="F1399" s="232">
        <v>33.75</v>
      </c>
      <c r="G1399" s="232">
        <v>39</v>
      </c>
      <c r="H1399" s="222">
        <f t="shared" si="63"/>
        <v>117</v>
      </c>
      <c r="I1399" s="236"/>
      <c r="J1399" s="236">
        <v>0</v>
      </c>
      <c r="K1399" s="236">
        <f t="shared" si="61"/>
        <v>117</v>
      </c>
      <c r="L1399" s="237">
        <f t="shared" si="62"/>
        <v>101.25</v>
      </c>
    </row>
    <row r="1400" spans="1:12">
      <c r="A1400" s="223">
        <v>46203</v>
      </c>
      <c r="B1400" s="80" t="s">
        <v>888</v>
      </c>
      <c r="C1400" s="80" t="s">
        <v>4939</v>
      </c>
      <c r="D1400" s="107" t="s">
        <v>889</v>
      </c>
      <c r="E1400" s="80">
        <v>1</v>
      </c>
      <c r="F1400" s="232">
        <v>84.8</v>
      </c>
      <c r="G1400" s="232">
        <v>94</v>
      </c>
      <c r="H1400" s="222">
        <f t="shared" si="63"/>
        <v>94</v>
      </c>
      <c r="I1400" s="236"/>
      <c r="J1400" s="236">
        <v>0</v>
      </c>
      <c r="K1400" s="236">
        <f t="shared" si="61"/>
        <v>94</v>
      </c>
      <c r="L1400" s="237">
        <f t="shared" si="62"/>
        <v>84.8</v>
      </c>
    </row>
    <row r="1401" spans="1:12">
      <c r="A1401" s="223">
        <v>46203</v>
      </c>
      <c r="B1401" s="80" t="s">
        <v>880</v>
      </c>
      <c r="C1401" s="80" t="s">
        <v>4940</v>
      </c>
      <c r="D1401" s="107" t="s">
        <v>881</v>
      </c>
      <c r="E1401" s="80">
        <v>1</v>
      </c>
      <c r="F1401" s="232">
        <v>65</v>
      </c>
      <c r="G1401" s="232">
        <v>71.5</v>
      </c>
      <c r="H1401" s="222">
        <f t="shared" si="63"/>
        <v>71.5</v>
      </c>
      <c r="I1401" s="236"/>
      <c r="J1401" s="236">
        <v>0</v>
      </c>
      <c r="K1401" s="236">
        <f t="shared" si="61"/>
        <v>71.5</v>
      </c>
      <c r="L1401" s="237">
        <f t="shared" si="62"/>
        <v>65</v>
      </c>
    </row>
    <row r="1402" spans="1:12">
      <c r="A1402" s="223">
        <v>46203</v>
      </c>
      <c r="B1402" s="80" t="s">
        <v>805</v>
      </c>
      <c r="C1402" s="80" t="s">
        <v>4940</v>
      </c>
      <c r="D1402" s="107" t="s">
        <v>806</v>
      </c>
      <c r="E1402" s="80">
        <v>1</v>
      </c>
      <c r="F1402" s="232">
        <v>57.25</v>
      </c>
      <c r="G1402" s="232">
        <v>66</v>
      </c>
      <c r="H1402" s="222">
        <f t="shared" si="63"/>
        <v>66</v>
      </c>
      <c r="I1402" s="236"/>
      <c r="J1402" s="236">
        <v>0</v>
      </c>
      <c r="K1402" s="236">
        <f t="shared" si="61"/>
        <v>66</v>
      </c>
      <c r="L1402" s="237">
        <f t="shared" si="62"/>
        <v>57.25</v>
      </c>
    </row>
    <row r="1403" spans="1:12">
      <c r="A1403" s="223">
        <v>46203</v>
      </c>
      <c r="B1403" s="80" t="s">
        <v>2805</v>
      </c>
      <c r="C1403" s="80" t="s">
        <v>4941</v>
      </c>
      <c r="D1403" s="107" t="s">
        <v>2806</v>
      </c>
      <c r="E1403" s="80">
        <v>5</v>
      </c>
      <c r="F1403" s="232">
        <v>14.91</v>
      </c>
      <c r="G1403" s="232">
        <v>17.25</v>
      </c>
      <c r="H1403" s="222">
        <f t="shared" si="63"/>
        <v>86.25</v>
      </c>
      <c r="I1403" s="236"/>
      <c r="J1403" s="236">
        <v>0</v>
      </c>
      <c r="K1403" s="236">
        <f t="shared" si="61"/>
        <v>86.25</v>
      </c>
      <c r="L1403" s="237">
        <f t="shared" si="62"/>
        <v>74.55</v>
      </c>
    </row>
    <row r="1404" spans="1:12">
      <c r="A1404" s="291">
        <v>46203</v>
      </c>
      <c r="B1404" s="292" t="s">
        <v>493</v>
      </c>
      <c r="C1404" s="292" t="s">
        <v>4942</v>
      </c>
      <c r="D1404" s="293" t="s">
        <v>494</v>
      </c>
      <c r="E1404" s="292">
        <v>1</v>
      </c>
      <c r="F1404" s="294">
        <v>17.95</v>
      </c>
      <c r="G1404" s="294">
        <v>20.75</v>
      </c>
      <c r="H1404" s="295"/>
      <c r="I1404" s="296">
        <v>20.75</v>
      </c>
      <c r="J1404" s="296">
        <v>0</v>
      </c>
      <c r="K1404" s="296">
        <f t="shared" si="61"/>
        <v>20.75</v>
      </c>
      <c r="L1404" s="297">
        <f t="shared" si="62"/>
        <v>17.95</v>
      </c>
    </row>
    <row r="1405" spans="1:12">
      <c r="A1405" s="291">
        <v>46203</v>
      </c>
      <c r="B1405" s="292" t="s">
        <v>504</v>
      </c>
      <c r="C1405" s="292" t="s">
        <v>4942</v>
      </c>
      <c r="D1405" s="293" t="s">
        <v>505</v>
      </c>
      <c r="E1405" s="292">
        <v>1</v>
      </c>
      <c r="F1405" s="294">
        <v>6.18</v>
      </c>
      <c r="G1405" s="294">
        <v>7.5</v>
      </c>
      <c r="H1405" s="295"/>
      <c r="I1405" s="296">
        <v>7.5</v>
      </c>
      <c r="J1405" s="296">
        <v>0</v>
      </c>
      <c r="K1405" s="296">
        <f t="shared" si="61"/>
        <v>7.5</v>
      </c>
      <c r="L1405" s="297">
        <f t="shared" si="62"/>
        <v>6.18</v>
      </c>
    </row>
    <row r="1406" spans="1:12">
      <c r="A1406" s="291">
        <v>46203</v>
      </c>
      <c r="B1406" s="292" t="s">
        <v>599</v>
      </c>
      <c r="C1406" s="292" t="s">
        <v>4942</v>
      </c>
      <c r="D1406" s="293" t="s">
        <v>600</v>
      </c>
      <c r="E1406" s="292">
        <v>1</v>
      </c>
      <c r="F1406" s="294">
        <v>90.42</v>
      </c>
      <c r="G1406" s="294">
        <v>104</v>
      </c>
      <c r="H1406" s="295"/>
      <c r="I1406" s="296">
        <v>104</v>
      </c>
      <c r="J1406" s="296">
        <v>0</v>
      </c>
      <c r="K1406" s="296">
        <f t="shared" si="61"/>
        <v>104</v>
      </c>
      <c r="L1406" s="297">
        <f t="shared" si="62"/>
        <v>90.42</v>
      </c>
    </row>
    <row r="1407" spans="1:12">
      <c r="A1407" s="291">
        <v>46203</v>
      </c>
      <c r="B1407" s="292" t="s">
        <v>715</v>
      </c>
      <c r="C1407" s="292" t="s">
        <v>4942</v>
      </c>
      <c r="D1407" s="293" t="s">
        <v>716</v>
      </c>
      <c r="E1407" s="292">
        <v>1</v>
      </c>
      <c r="F1407" s="294">
        <v>15.12</v>
      </c>
      <c r="G1407" s="294">
        <v>17.5</v>
      </c>
      <c r="H1407" s="295"/>
      <c r="I1407" s="296">
        <v>17.5</v>
      </c>
      <c r="J1407" s="296">
        <v>0</v>
      </c>
      <c r="K1407" s="296">
        <f t="shared" si="61"/>
        <v>17.5</v>
      </c>
      <c r="L1407" s="297">
        <f t="shared" si="62"/>
        <v>15.12</v>
      </c>
    </row>
    <row r="1408" spans="1:12">
      <c r="A1408" s="291">
        <v>46203</v>
      </c>
      <c r="B1408" s="292" t="s">
        <v>719</v>
      </c>
      <c r="C1408" s="292" t="s">
        <v>4942</v>
      </c>
      <c r="D1408" s="293" t="s">
        <v>720</v>
      </c>
      <c r="E1408" s="292">
        <v>2</v>
      </c>
      <c r="F1408" s="294">
        <v>15.65</v>
      </c>
      <c r="G1408" s="294">
        <v>18</v>
      </c>
      <c r="H1408" s="295"/>
      <c r="I1408" s="296">
        <v>36</v>
      </c>
      <c r="J1408" s="296">
        <v>0</v>
      </c>
      <c r="K1408" s="296">
        <f t="shared" si="61"/>
        <v>36</v>
      </c>
      <c r="L1408" s="297">
        <f t="shared" si="62"/>
        <v>31.3</v>
      </c>
    </row>
    <row r="1409" spans="1:12">
      <c r="A1409" s="291">
        <v>46203</v>
      </c>
      <c r="B1409" s="292" t="s">
        <v>723</v>
      </c>
      <c r="C1409" s="292" t="s">
        <v>4942</v>
      </c>
      <c r="D1409" s="293" t="s">
        <v>724</v>
      </c>
      <c r="E1409" s="292">
        <v>2</v>
      </c>
      <c r="F1409" s="294">
        <v>6.18</v>
      </c>
      <c r="G1409" s="294">
        <v>7.5</v>
      </c>
      <c r="H1409" s="295"/>
      <c r="I1409" s="296">
        <v>15</v>
      </c>
      <c r="J1409" s="296">
        <v>0</v>
      </c>
      <c r="K1409" s="296">
        <f t="shared" si="61"/>
        <v>15</v>
      </c>
      <c r="L1409" s="297">
        <f t="shared" si="62"/>
        <v>12.36</v>
      </c>
    </row>
    <row r="1410" spans="1:12">
      <c r="A1410" s="291">
        <v>46203</v>
      </c>
      <c r="B1410" s="292" t="s">
        <v>732</v>
      </c>
      <c r="C1410" s="292" t="s">
        <v>4942</v>
      </c>
      <c r="D1410" s="293" t="s">
        <v>733</v>
      </c>
      <c r="E1410" s="292">
        <v>1</v>
      </c>
      <c r="F1410" s="294">
        <v>6.43</v>
      </c>
      <c r="G1410" s="294">
        <v>7.5</v>
      </c>
      <c r="H1410" s="295"/>
      <c r="I1410" s="296">
        <v>7.5</v>
      </c>
      <c r="J1410" s="296">
        <v>0</v>
      </c>
      <c r="K1410" s="296">
        <f t="shared" si="61"/>
        <v>7.5</v>
      </c>
      <c r="L1410" s="297">
        <f t="shared" si="62"/>
        <v>6.43</v>
      </c>
    </row>
    <row r="1411" spans="1:12">
      <c r="A1411" s="291">
        <v>46203</v>
      </c>
      <c r="B1411" s="292" t="s">
        <v>740</v>
      </c>
      <c r="C1411" s="292" t="s">
        <v>4942</v>
      </c>
      <c r="D1411" s="293" t="s">
        <v>741</v>
      </c>
      <c r="E1411" s="292">
        <v>4</v>
      </c>
      <c r="F1411" s="294">
        <v>273</v>
      </c>
      <c r="G1411" s="294">
        <v>314</v>
      </c>
      <c r="H1411" s="295"/>
      <c r="I1411" s="296">
        <v>1256</v>
      </c>
      <c r="J1411" s="296">
        <v>1151.1099999999999</v>
      </c>
      <c r="K1411" s="296">
        <f t="shared" si="61"/>
        <v>104.8900000000001</v>
      </c>
      <c r="L1411" s="297">
        <f t="shared" si="62"/>
        <v>1092</v>
      </c>
    </row>
    <row r="1412" spans="1:12">
      <c r="A1412" s="291">
        <v>46203</v>
      </c>
      <c r="B1412" s="292" t="s">
        <v>742</v>
      </c>
      <c r="C1412" s="292" t="s">
        <v>4942</v>
      </c>
      <c r="D1412" s="293" t="s">
        <v>743</v>
      </c>
      <c r="E1412" s="292">
        <v>1</v>
      </c>
      <c r="F1412" s="294">
        <v>137.75</v>
      </c>
      <c r="G1412" s="294">
        <v>158.5</v>
      </c>
      <c r="H1412" s="295"/>
      <c r="I1412" s="296">
        <v>158.5</v>
      </c>
      <c r="J1412" s="296">
        <v>0</v>
      </c>
      <c r="K1412" s="296">
        <f t="shared" si="61"/>
        <v>158.5</v>
      </c>
      <c r="L1412" s="297">
        <f t="shared" si="62"/>
        <v>137.75</v>
      </c>
    </row>
    <row r="1413" spans="1:12">
      <c r="A1413" s="291">
        <v>46203</v>
      </c>
      <c r="B1413" s="292" t="s">
        <v>803</v>
      </c>
      <c r="C1413" s="292" t="s">
        <v>4942</v>
      </c>
      <c r="D1413" s="293" t="s">
        <v>804</v>
      </c>
      <c r="E1413" s="292">
        <v>2</v>
      </c>
      <c r="F1413" s="294">
        <v>37.799999999999997</v>
      </c>
      <c r="G1413" s="294">
        <v>43.5</v>
      </c>
      <c r="H1413" s="295"/>
      <c r="I1413" s="296">
        <v>87</v>
      </c>
      <c r="J1413" s="296">
        <v>0</v>
      </c>
      <c r="K1413" s="296">
        <f t="shared" si="61"/>
        <v>87</v>
      </c>
      <c r="L1413" s="297">
        <f t="shared" si="62"/>
        <v>75.599999999999994</v>
      </c>
    </row>
    <row r="1414" spans="1:12">
      <c r="A1414" s="291">
        <v>46203</v>
      </c>
      <c r="B1414" s="292" t="s">
        <v>834</v>
      </c>
      <c r="C1414" s="292" t="s">
        <v>4942</v>
      </c>
      <c r="D1414" s="293" t="s">
        <v>835</v>
      </c>
      <c r="E1414" s="292">
        <v>1</v>
      </c>
      <c r="F1414" s="294">
        <v>68.540000000000006</v>
      </c>
      <c r="G1414" s="294">
        <v>79</v>
      </c>
      <c r="H1414" s="295"/>
      <c r="I1414" s="296">
        <v>79</v>
      </c>
      <c r="J1414" s="296">
        <v>0</v>
      </c>
      <c r="K1414" s="296">
        <f t="shared" ref="K1414:K1477" si="64">H1414+I1414-J1414</f>
        <v>79</v>
      </c>
      <c r="L1414" s="297">
        <f t="shared" ref="L1414:L1477" si="65">E1414*F1414</f>
        <v>68.540000000000006</v>
      </c>
    </row>
    <row r="1415" spans="1:12">
      <c r="A1415" s="291">
        <v>46203</v>
      </c>
      <c r="B1415" s="292" t="s">
        <v>844</v>
      </c>
      <c r="C1415" s="292" t="s">
        <v>4942</v>
      </c>
      <c r="D1415" s="293" t="s">
        <v>845</v>
      </c>
      <c r="E1415" s="292">
        <v>2</v>
      </c>
      <c r="F1415" s="294">
        <v>8.5299999999999994</v>
      </c>
      <c r="G1415" s="294">
        <v>10</v>
      </c>
      <c r="H1415" s="295"/>
      <c r="I1415" s="296">
        <v>20</v>
      </c>
      <c r="J1415" s="296">
        <v>0</v>
      </c>
      <c r="K1415" s="296">
        <f t="shared" si="64"/>
        <v>20</v>
      </c>
      <c r="L1415" s="297">
        <f t="shared" si="65"/>
        <v>17.059999999999999</v>
      </c>
    </row>
    <row r="1416" spans="1:12">
      <c r="A1416" s="291">
        <v>46203</v>
      </c>
      <c r="B1416" s="292" t="s">
        <v>876</v>
      </c>
      <c r="C1416" s="292" t="s">
        <v>4942</v>
      </c>
      <c r="D1416" s="293" t="s">
        <v>877</v>
      </c>
      <c r="E1416" s="292">
        <v>1</v>
      </c>
      <c r="F1416" s="294">
        <v>169.1</v>
      </c>
      <c r="G1416" s="294">
        <v>186</v>
      </c>
      <c r="H1416" s="295"/>
      <c r="I1416" s="296">
        <v>186</v>
      </c>
      <c r="J1416" s="296">
        <v>0</v>
      </c>
      <c r="K1416" s="296">
        <f t="shared" si="64"/>
        <v>186</v>
      </c>
      <c r="L1416" s="297">
        <f t="shared" si="65"/>
        <v>169.1</v>
      </c>
    </row>
    <row r="1417" spans="1:12">
      <c r="A1417" s="291">
        <v>46203</v>
      </c>
      <c r="B1417" s="292" t="s">
        <v>943</v>
      </c>
      <c r="C1417" s="292" t="s">
        <v>4942</v>
      </c>
      <c r="D1417" s="293" t="s">
        <v>944</v>
      </c>
      <c r="E1417" s="292">
        <v>1</v>
      </c>
      <c r="F1417" s="294">
        <v>40.06</v>
      </c>
      <c r="G1417" s="294">
        <v>46.25</v>
      </c>
      <c r="H1417" s="295"/>
      <c r="I1417" s="296">
        <v>46.25</v>
      </c>
      <c r="J1417" s="296">
        <v>0</v>
      </c>
      <c r="K1417" s="296">
        <f t="shared" si="64"/>
        <v>46.25</v>
      </c>
      <c r="L1417" s="297">
        <f t="shared" si="65"/>
        <v>40.06</v>
      </c>
    </row>
    <row r="1418" spans="1:12">
      <c r="A1418" s="291">
        <v>46203</v>
      </c>
      <c r="B1418" s="292" t="s">
        <v>970</v>
      </c>
      <c r="C1418" s="292" t="s">
        <v>4942</v>
      </c>
      <c r="D1418" s="293" t="s">
        <v>971</v>
      </c>
      <c r="E1418" s="292">
        <v>1</v>
      </c>
      <c r="F1418" s="294">
        <v>6.8</v>
      </c>
      <c r="G1418" s="294">
        <v>8</v>
      </c>
      <c r="H1418" s="295"/>
      <c r="I1418" s="296">
        <v>8</v>
      </c>
      <c r="J1418" s="296">
        <v>0</v>
      </c>
      <c r="K1418" s="296">
        <f t="shared" si="64"/>
        <v>8</v>
      </c>
      <c r="L1418" s="297">
        <f t="shared" si="65"/>
        <v>6.8</v>
      </c>
    </row>
    <row r="1419" spans="1:12">
      <c r="A1419" s="291">
        <v>46203</v>
      </c>
      <c r="B1419" s="292" t="s">
        <v>977</v>
      </c>
      <c r="C1419" s="292" t="s">
        <v>4942</v>
      </c>
      <c r="D1419" s="293" t="s">
        <v>978</v>
      </c>
      <c r="E1419" s="292">
        <v>1</v>
      </c>
      <c r="F1419" s="294">
        <v>53.87</v>
      </c>
      <c r="G1419" s="294">
        <v>62</v>
      </c>
      <c r="H1419" s="295"/>
      <c r="I1419" s="296">
        <v>62</v>
      </c>
      <c r="J1419" s="296">
        <v>0</v>
      </c>
      <c r="K1419" s="296">
        <f t="shared" si="64"/>
        <v>62</v>
      </c>
      <c r="L1419" s="297">
        <f t="shared" si="65"/>
        <v>53.87</v>
      </c>
    </row>
    <row r="1420" spans="1:12">
      <c r="A1420" s="291">
        <v>46203</v>
      </c>
      <c r="B1420" s="292" t="s">
        <v>984</v>
      </c>
      <c r="C1420" s="292" t="s">
        <v>4942</v>
      </c>
      <c r="D1420" s="293" t="s">
        <v>985</v>
      </c>
      <c r="E1420" s="292">
        <v>1</v>
      </c>
      <c r="F1420" s="294">
        <v>7.48</v>
      </c>
      <c r="G1420" s="294">
        <v>8.75</v>
      </c>
      <c r="H1420" s="295"/>
      <c r="I1420" s="296">
        <v>8.75</v>
      </c>
      <c r="J1420" s="296">
        <v>0</v>
      </c>
      <c r="K1420" s="296">
        <f t="shared" si="64"/>
        <v>8.75</v>
      </c>
      <c r="L1420" s="297">
        <f t="shared" si="65"/>
        <v>7.48</v>
      </c>
    </row>
    <row r="1421" spans="1:12">
      <c r="A1421" s="291">
        <v>46203</v>
      </c>
      <c r="B1421" s="292" t="s">
        <v>1013</v>
      </c>
      <c r="C1421" s="292" t="s">
        <v>4942</v>
      </c>
      <c r="D1421" s="293" t="s">
        <v>1014</v>
      </c>
      <c r="E1421" s="292">
        <v>1</v>
      </c>
      <c r="F1421" s="294">
        <v>58.8</v>
      </c>
      <c r="G1421" s="294">
        <v>67.75</v>
      </c>
      <c r="H1421" s="295"/>
      <c r="I1421" s="296">
        <v>67.75</v>
      </c>
      <c r="J1421" s="296">
        <v>0</v>
      </c>
      <c r="K1421" s="296">
        <f t="shared" si="64"/>
        <v>67.75</v>
      </c>
      <c r="L1421" s="297">
        <f t="shared" si="65"/>
        <v>58.8</v>
      </c>
    </row>
    <row r="1422" spans="1:12">
      <c r="A1422" s="291">
        <v>46203</v>
      </c>
      <c r="B1422" s="292" t="s">
        <v>1113</v>
      </c>
      <c r="C1422" s="292" t="s">
        <v>4942</v>
      </c>
      <c r="D1422" s="293" t="s">
        <v>1114</v>
      </c>
      <c r="E1422" s="292">
        <v>1</v>
      </c>
      <c r="F1422" s="294">
        <v>49.1</v>
      </c>
      <c r="G1422" s="294">
        <v>56.5</v>
      </c>
      <c r="H1422" s="295"/>
      <c r="I1422" s="296">
        <v>56.5</v>
      </c>
      <c r="J1422" s="296">
        <v>0</v>
      </c>
      <c r="K1422" s="296">
        <f t="shared" si="64"/>
        <v>56.5</v>
      </c>
      <c r="L1422" s="297">
        <f t="shared" si="65"/>
        <v>49.1</v>
      </c>
    </row>
    <row r="1423" spans="1:12">
      <c r="A1423" s="291">
        <v>46203</v>
      </c>
      <c r="B1423" s="292" t="s">
        <v>1198</v>
      </c>
      <c r="C1423" s="292" t="s">
        <v>4942</v>
      </c>
      <c r="D1423" s="293" t="s">
        <v>1199</v>
      </c>
      <c r="E1423" s="292">
        <v>1</v>
      </c>
      <c r="F1423" s="294">
        <v>34.270000000000003</v>
      </c>
      <c r="G1423" s="294">
        <v>39.5</v>
      </c>
      <c r="H1423" s="295"/>
      <c r="I1423" s="296">
        <v>39.5</v>
      </c>
      <c r="J1423" s="296">
        <v>0</v>
      </c>
      <c r="K1423" s="296">
        <f t="shared" si="64"/>
        <v>39.5</v>
      </c>
      <c r="L1423" s="297">
        <f t="shared" si="65"/>
        <v>34.270000000000003</v>
      </c>
    </row>
    <row r="1424" spans="1:12">
      <c r="A1424" s="291">
        <v>46203</v>
      </c>
      <c r="B1424" s="292" t="s">
        <v>1333</v>
      </c>
      <c r="C1424" s="292" t="s">
        <v>4942</v>
      </c>
      <c r="D1424" s="293" t="s">
        <v>1334</v>
      </c>
      <c r="E1424" s="292">
        <v>1</v>
      </c>
      <c r="F1424" s="294">
        <v>94.58</v>
      </c>
      <c r="G1424" s="294">
        <v>109</v>
      </c>
      <c r="H1424" s="295"/>
      <c r="I1424" s="296">
        <v>109</v>
      </c>
      <c r="J1424" s="296">
        <v>0</v>
      </c>
      <c r="K1424" s="296">
        <f t="shared" si="64"/>
        <v>109</v>
      </c>
      <c r="L1424" s="297">
        <f t="shared" si="65"/>
        <v>94.58</v>
      </c>
    </row>
    <row r="1425" spans="1:12">
      <c r="A1425" s="291">
        <v>46203</v>
      </c>
      <c r="B1425" s="292" t="s">
        <v>1353</v>
      </c>
      <c r="C1425" s="292" t="s">
        <v>4942</v>
      </c>
      <c r="D1425" s="293" t="s">
        <v>1354</v>
      </c>
      <c r="E1425" s="292">
        <v>25</v>
      </c>
      <c r="F1425" s="294">
        <v>12.66</v>
      </c>
      <c r="G1425" s="294">
        <v>14.25</v>
      </c>
      <c r="H1425" s="295"/>
      <c r="I1425" s="296">
        <v>356.25</v>
      </c>
      <c r="J1425" s="296">
        <v>0</v>
      </c>
      <c r="K1425" s="296">
        <f t="shared" si="64"/>
        <v>356.25</v>
      </c>
      <c r="L1425" s="297">
        <f t="shared" si="65"/>
        <v>316.5</v>
      </c>
    </row>
    <row r="1426" spans="1:12">
      <c r="A1426" s="291">
        <v>46203</v>
      </c>
      <c r="B1426" s="292" t="s">
        <v>1377</v>
      </c>
      <c r="C1426" s="292" t="s">
        <v>4942</v>
      </c>
      <c r="D1426" s="293" t="s">
        <v>1378</v>
      </c>
      <c r="E1426" s="292">
        <v>15</v>
      </c>
      <c r="F1426" s="294">
        <v>13.1</v>
      </c>
      <c r="G1426" s="294">
        <v>15.25</v>
      </c>
      <c r="H1426" s="295"/>
      <c r="I1426" s="296">
        <v>228.75</v>
      </c>
      <c r="J1426" s="296">
        <v>0</v>
      </c>
      <c r="K1426" s="296">
        <f t="shared" si="64"/>
        <v>228.75</v>
      </c>
      <c r="L1426" s="297">
        <f t="shared" si="65"/>
        <v>196.5</v>
      </c>
    </row>
    <row r="1427" spans="1:12">
      <c r="A1427" s="291">
        <v>46203</v>
      </c>
      <c r="B1427" s="292" t="s">
        <v>1382</v>
      </c>
      <c r="C1427" s="292" t="s">
        <v>4942</v>
      </c>
      <c r="D1427" s="293" t="s">
        <v>1383</v>
      </c>
      <c r="E1427" s="292">
        <v>1</v>
      </c>
      <c r="F1427" s="294">
        <v>13.1</v>
      </c>
      <c r="G1427" s="294">
        <v>15.25</v>
      </c>
      <c r="H1427" s="295"/>
      <c r="I1427" s="296">
        <v>15.25</v>
      </c>
      <c r="J1427" s="296">
        <v>0</v>
      </c>
      <c r="K1427" s="296">
        <f t="shared" si="64"/>
        <v>15.25</v>
      </c>
      <c r="L1427" s="297">
        <f t="shared" si="65"/>
        <v>13.1</v>
      </c>
    </row>
    <row r="1428" spans="1:12">
      <c r="A1428" s="291">
        <v>46203</v>
      </c>
      <c r="B1428" s="292" t="s">
        <v>1386</v>
      </c>
      <c r="C1428" s="292" t="s">
        <v>4942</v>
      </c>
      <c r="D1428" s="293" t="s">
        <v>1387</v>
      </c>
      <c r="E1428" s="292">
        <v>5</v>
      </c>
      <c r="F1428" s="294">
        <v>13.1</v>
      </c>
      <c r="G1428" s="294">
        <v>15.25</v>
      </c>
      <c r="H1428" s="295"/>
      <c r="I1428" s="296">
        <v>76.25</v>
      </c>
      <c r="J1428" s="296">
        <v>0</v>
      </c>
      <c r="K1428" s="296">
        <f t="shared" si="64"/>
        <v>76.25</v>
      </c>
      <c r="L1428" s="297">
        <f t="shared" si="65"/>
        <v>65.5</v>
      </c>
    </row>
    <row r="1429" spans="1:12">
      <c r="A1429" s="291">
        <v>46203</v>
      </c>
      <c r="B1429" s="292" t="s">
        <v>1396</v>
      </c>
      <c r="C1429" s="292" t="s">
        <v>4942</v>
      </c>
      <c r="D1429" s="293" t="s">
        <v>1397</v>
      </c>
      <c r="E1429" s="292">
        <v>2</v>
      </c>
      <c r="F1429" s="294">
        <v>145.18</v>
      </c>
      <c r="G1429" s="294">
        <v>167</v>
      </c>
      <c r="H1429" s="295"/>
      <c r="I1429" s="296">
        <v>334</v>
      </c>
      <c r="J1429" s="296">
        <v>0</v>
      </c>
      <c r="K1429" s="296">
        <f t="shared" si="64"/>
        <v>334</v>
      </c>
      <c r="L1429" s="297">
        <f t="shared" si="65"/>
        <v>290.36</v>
      </c>
    </row>
    <row r="1430" spans="1:12">
      <c r="A1430" s="291">
        <v>46203</v>
      </c>
      <c r="B1430" s="292" t="s">
        <v>1403</v>
      </c>
      <c r="C1430" s="292" t="s">
        <v>4942</v>
      </c>
      <c r="D1430" s="293" t="s">
        <v>1404</v>
      </c>
      <c r="E1430" s="292">
        <v>6</v>
      </c>
      <c r="F1430" s="294">
        <v>25.69</v>
      </c>
      <c r="G1430" s="294">
        <v>29.75</v>
      </c>
      <c r="H1430" s="295"/>
      <c r="I1430" s="296">
        <v>178.5</v>
      </c>
      <c r="J1430" s="296">
        <v>0</v>
      </c>
      <c r="K1430" s="296">
        <f t="shared" si="64"/>
        <v>178.5</v>
      </c>
      <c r="L1430" s="297">
        <f t="shared" si="65"/>
        <v>154.14000000000001</v>
      </c>
    </row>
    <row r="1431" spans="1:12">
      <c r="A1431" s="291">
        <v>46203</v>
      </c>
      <c r="B1431" s="292" t="s">
        <v>1419</v>
      </c>
      <c r="C1431" s="292" t="s">
        <v>4942</v>
      </c>
      <c r="D1431" s="293" t="s">
        <v>1420</v>
      </c>
      <c r="E1431" s="292">
        <v>5</v>
      </c>
      <c r="F1431" s="294">
        <v>13.32</v>
      </c>
      <c r="G1431" s="294">
        <v>15.5</v>
      </c>
      <c r="H1431" s="295"/>
      <c r="I1431" s="296">
        <v>77.5</v>
      </c>
      <c r="J1431" s="296">
        <v>0</v>
      </c>
      <c r="K1431" s="296">
        <f t="shared" si="64"/>
        <v>77.5</v>
      </c>
      <c r="L1431" s="297">
        <f t="shared" si="65"/>
        <v>66.599999999999994</v>
      </c>
    </row>
    <row r="1432" spans="1:12">
      <c r="A1432" s="291">
        <v>46203</v>
      </c>
      <c r="B1432" s="292" t="s">
        <v>1499</v>
      </c>
      <c r="C1432" s="292" t="s">
        <v>4942</v>
      </c>
      <c r="D1432" s="293" t="s">
        <v>1500</v>
      </c>
      <c r="E1432" s="292">
        <v>1</v>
      </c>
      <c r="F1432" s="294">
        <v>25.8</v>
      </c>
      <c r="G1432" s="294">
        <v>29.75</v>
      </c>
      <c r="H1432" s="295"/>
      <c r="I1432" s="296">
        <v>29.75</v>
      </c>
      <c r="J1432" s="296">
        <v>0</v>
      </c>
      <c r="K1432" s="296">
        <f t="shared" si="64"/>
        <v>29.75</v>
      </c>
      <c r="L1432" s="297">
        <f t="shared" si="65"/>
        <v>25.8</v>
      </c>
    </row>
    <row r="1433" spans="1:12">
      <c r="A1433" s="291">
        <v>46203</v>
      </c>
      <c r="B1433" s="292" t="s">
        <v>1544</v>
      </c>
      <c r="C1433" s="292" t="s">
        <v>4942</v>
      </c>
      <c r="D1433" s="293" t="s">
        <v>1545</v>
      </c>
      <c r="E1433" s="292">
        <v>1</v>
      </c>
      <c r="F1433" s="294">
        <v>25.5</v>
      </c>
      <c r="G1433" s="294">
        <v>29.5</v>
      </c>
      <c r="H1433" s="295"/>
      <c r="I1433" s="296">
        <v>29.5</v>
      </c>
      <c r="J1433" s="296">
        <v>0</v>
      </c>
      <c r="K1433" s="296">
        <f t="shared" si="64"/>
        <v>29.5</v>
      </c>
      <c r="L1433" s="297">
        <f t="shared" si="65"/>
        <v>25.5</v>
      </c>
    </row>
    <row r="1434" spans="1:12">
      <c r="A1434" s="291">
        <v>46203</v>
      </c>
      <c r="B1434" s="292" t="s">
        <v>1547</v>
      </c>
      <c r="C1434" s="292" t="s">
        <v>4942</v>
      </c>
      <c r="D1434" s="293" t="s">
        <v>1548</v>
      </c>
      <c r="E1434" s="292">
        <v>1</v>
      </c>
      <c r="F1434" s="294">
        <v>21.5</v>
      </c>
      <c r="G1434" s="294">
        <v>24.75</v>
      </c>
      <c r="H1434" s="295"/>
      <c r="I1434" s="296">
        <v>24.75</v>
      </c>
      <c r="J1434" s="296">
        <v>0</v>
      </c>
      <c r="K1434" s="296">
        <f t="shared" si="64"/>
        <v>24.75</v>
      </c>
      <c r="L1434" s="297">
        <f t="shared" si="65"/>
        <v>21.5</v>
      </c>
    </row>
    <row r="1435" spans="1:12">
      <c r="A1435" s="291">
        <v>46203</v>
      </c>
      <c r="B1435" s="292" t="s">
        <v>1554</v>
      </c>
      <c r="C1435" s="292" t="s">
        <v>4942</v>
      </c>
      <c r="D1435" s="293" t="s">
        <v>1555</v>
      </c>
      <c r="E1435" s="292">
        <v>1</v>
      </c>
      <c r="F1435" s="294">
        <v>18.75</v>
      </c>
      <c r="G1435" s="294">
        <v>21.75</v>
      </c>
      <c r="H1435" s="295"/>
      <c r="I1435" s="296">
        <v>21.75</v>
      </c>
      <c r="J1435" s="296">
        <v>0</v>
      </c>
      <c r="K1435" s="296">
        <f t="shared" si="64"/>
        <v>21.75</v>
      </c>
      <c r="L1435" s="297">
        <f t="shared" si="65"/>
        <v>18.75</v>
      </c>
    </row>
    <row r="1436" spans="1:12">
      <c r="A1436" s="291">
        <v>46203</v>
      </c>
      <c r="B1436" s="292" t="s">
        <v>1558</v>
      </c>
      <c r="C1436" s="292" t="s">
        <v>4942</v>
      </c>
      <c r="D1436" s="293" t="s">
        <v>1559</v>
      </c>
      <c r="E1436" s="292">
        <v>1</v>
      </c>
      <c r="F1436" s="294">
        <v>14</v>
      </c>
      <c r="G1436" s="294">
        <v>16.25</v>
      </c>
      <c r="H1436" s="295"/>
      <c r="I1436" s="296">
        <v>16.25</v>
      </c>
      <c r="J1436" s="296">
        <v>0</v>
      </c>
      <c r="K1436" s="296">
        <f t="shared" si="64"/>
        <v>16.25</v>
      </c>
      <c r="L1436" s="297">
        <f t="shared" si="65"/>
        <v>14</v>
      </c>
    </row>
    <row r="1437" spans="1:12">
      <c r="A1437" s="291">
        <v>46203</v>
      </c>
      <c r="B1437" s="292" t="s">
        <v>1561</v>
      </c>
      <c r="C1437" s="292" t="s">
        <v>4942</v>
      </c>
      <c r="D1437" s="293" t="s">
        <v>1562</v>
      </c>
      <c r="E1437" s="292">
        <v>1</v>
      </c>
      <c r="F1437" s="294">
        <v>18.5</v>
      </c>
      <c r="G1437" s="294">
        <v>21.5</v>
      </c>
      <c r="H1437" s="295"/>
      <c r="I1437" s="296">
        <v>21.5</v>
      </c>
      <c r="J1437" s="296">
        <v>0</v>
      </c>
      <c r="K1437" s="296">
        <f t="shared" si="64"/>
        <v>21.5</v>
      </c>
      <c r="L1437" s="297">
        <f t="shared" si="65"/>
        <v>18.5</v>
      </c>
    </row>
    <row r="1438" spans="1:12">
      <c r="A1438" s="291">
        <v>46203</v>
      </c>
      <c r="B1438" s="292" t="s">
        <v>1563</v>
      </c>
      <c r="C1438" s="292" t="s">
        <v>4942</v>
      </c>
      <c r="D1438" s="293" t="s">
        <v>1564</v>
      </c>
      <c r="E1438" s="292">
        <v>7</v>
      </c>
      <c r="F1438" s="294">
        <v>14.25</v>
      </c>
      <c r="G1438" s="294">
        <v>16.5</v>
      </c>
      <c r="H1438" s="295"/>
      <c r="I1438" s="296">
        <v>115.5</v>
      </c>
      <c r="J1438" s="296">
        <v>0</v>
      </c>
      <c r="K1438" s="296">
        <f t="shared" si="64"/>
        <v>115.5</v>
      </c>
      <c r="L1438" s="297">
        <f t="shared" si="65"/>
        <v>99.75</v>
      </c>
    </row>
    <row r="1439" spans="1:12">
      <c r="A1439" s="291">
        <v>46203</v>
      </c>
      <c r="B1439" s="292" t="s">
        <v>1574</v>
      </c>
      <c r="C1439" s="292" t="s">
        <v>4942</v>
      </c>
      <c r="D1439" s="293" t="s">
        <v>1575</v>
      </c>
      <c r="E1439" s="292">
        <v>2</v>
      </c>
      <c r="F1439" s="294">
        <v>14</v>
      </c>
      <c r="G1439" s="294">
        <v>16</v>
      </c>
      <c r="H1439" s="295"/>
      <c r="I1439" s="296">
        <v>32</v>
      </c>
      <c r="J1439" s="296">
        <v>0</v>
      </c>
      <c r="K1439" s="296">
        <f t="shared" si="64"/>
        <v>32</v>
      </c>
      <c r="L1439" s="297">
        <f t="shared" si="65"/>
        <v>28</v>
      </c>
    </row>
    <row r="1440" spans="1:12">
      <c r="A1440" s="291">
        <v>46203</v>
      </c>
      <c r="B1440" s="292" t="s">
        <v>1599</v>
      </c>
      <c r="C1440" s="292" t="s">
        <v>4942</v>
      </c>
      <c r="D1440" s="293" t="s">
        <v>1600</v>
      </c>
      <c r="E1440" s="292">
        <v>2</v>
      </c>
      <c r="F1440" s="294">
        <v>21.88</v>
      </c>
      <c r="G1440" s="294">
        <v>24.5</v>
      </c>
      <c r="H1440" s="295"/>
      <c r="I1440" s="296">
        <v>49</v>
      </c>
      <c r="J1440" s="296">
        <v>0</v>
      </c>
      <c r="K1440" s="296">
        <f t="shared" si="64"/>
        <v>49</v>
      </c>
      <c r="L1440" s="297">
        <f t="shared" si="65"/>
        <v>43.76</v>
      </c>
    </row>
    <row r="1441" spans="1:12">
      <c r="A1441" s="291">
        <v>46203</v>
      </c>
      <c r="B1441" s="292" t="s">
        <v>1609</v>
      </c>
      <c r="C1441" s="292" t="s">
        <v>4942</v>
      </c>
      <c r="D1441" s="293" t="s">
        <v>1610</v>
      </c>
      <c r="E1441" s="292">
        <v>3</v>
      </c>
      <c r="F1441" s="294">
        <v>13.1</v>
      </c>
      <c r="G1441" s="294">
        <v>15</v>
      </c>
      <c r="H1441" s="295"/>
      <c r="I1441" s="296">
        <v>45</v>
      </c>
      <c r="J1441" s="296">
        <v>0</v>
      </c>
      <c r="K1441" s="296">
        <f t="shared" si="64"/>
        <v>45</v>
      </c>
      <c r="L1441" s="297">
        <f t="shared" si="65"/>
        <v>39.299999999999997</v>
      </c>
    </row>
    <row r="1442" spans="1:12">
      <c r="A1442" s="291">
        <v>46203</v>
      </c>
      <c r="B1442" s="292" t="s">
        <v>1687</v>
      </c>
      <c r="C1442" s="292" t="s">
        <v>4942</v>
      </c>
      <c r="D1442" s="293" t="s">
        <v>1688</v>
      </c>
      <c r="E1442" s="292">
        <v>1</v>
      </c>
      <c r="F1442" s="294">
        <v>17.600000000000001</v>
      </c>
      <c r="G1442" s="294">
        <v>20.25</v>
      </c>
      <c r="H1442" s="295"/>
      <c r="I1442" s="296">
        <v>20.25</v>
      </c>
      <c r="J1442" s="296">
        <v>0</v>
      </c>
      <c r="K1442" s="296">
        <f t="shared" si="64"/>
        <v>20.25</v>
      </c>
      <c r="L1442" s="297">
        <f t="shared" si="65"/>
        <v>17.600000000000001</v>
      </c>
    </row>
    <row r="1443" spans="1:12">
      <c r="A1443" s="291">
        <v>46203</v>
      </c>
      <c r="B1443" s="292" t="s">
        <v>1695</v>
      </c>
      <c r="C1443" s="292" t="s">
        <v>4942</v>
      </c>
      <c r="D1443" s="293" t="s">
        <v>1696</v>
      </c>
      <c r="E1443" s="292">
        <v>1</v>
      </c>
      <c r="F1443" s="294">
        <v>38.39</v>
      </c>
      <c r="G1443" s="294">
        <v>44.25</v>
      </c>
      <c r="H1443" s="295"/>
      <c r="I1443" s="296">
        <v>44.25</v>
      </c>
      <c r="J1443" s="296">
        <v>0</v>
      </c>
      <c r="K1443" s="296">
        <f t="shared" si="64"/>
        <v>44.25</v>
      </c>
      <c r="L1443" s="297">
        <f t="shared" si="65"/>
        <v>38.39</v>
      </c>
    </row>
    <row r="1444" spans="1:12">
      <c r="A1444" s="291">
        <v>46203</v>
      </c>
      <c r="B1444" s="292" t="s">
        <v>1782</v>
      </c>
      <c r="C1444" s="292" t="s">
        <v>4942</v>
      </c>
      <c r="D1444" s="293" t="s">
        <v>1783</v>
      </c>
      <c r="E1444" s="292">
        <v>1</v>
      </c>
      <c r="F1444" s="294">
        <v>97.21</v>
      </c>
      <c r="G1444" s="294">
        <v>112</v>
      </c>
      <c r="H1444" s="295"/>
      <c r="I1444" s="296">
        <v>112</v>
      </c>
      <c r="J1444" s="296">
        <v>0</v>
      </c>
      <c r="K1444" s="296">
        <f t="shared" si="64"/>
        <v>112</v>
      </c>
      <c r="L1444" s="297">
        <f t="shared" si="65"/>
        <v>97.21</v>
      </c>
    </row>
    <row r="1445" spans="1:12">
      <c r="A1445" s="291">
        <v>46203</v>
      </c>
      <c r="B1445" s="292" t="s">
        <v>1948</v>
      </c>
      <c r="C1445" s="292" t="s">
        <v>4942</v>
      </c>
      <c r="D1445" s="293" t="s">
        <v>1949</v>
      </c>
      <c r="E1445" s="292">
        <v>1</v>
      </c>
      <c r="F1445" s="294">
        <v>7.6</v>
      </c>
      <c r="G1445" s="294">
        <v>9.25</v>
      </c>
      <c r="H1445" s="295"/>
      <c r="I1445" s="296">
        <v>9.25</v>
      </c>
      <c r="J1445" s="296">
        <v>0</v>
      </c>
      <c r="K1445" s="296">
        <f t="shared" si="64"/>
        <v>9.25</v>
      </c>
      <c r="L1445" s="297">
        <f t="shared" si="65"/>
        <v>7.6</v>
      </c>
    </row>
    <row r="1446" spans="1:12">
      <c r="A1446" s="291">
        <v>46203</v>
      </c>
      <c r="B1446" s="292" t="s">
        <v>1993</v>
      </c>
      <c r="C1446" s="292" t="s">
        <v>4942</v>
      </c>
      <c r="D1446" s="293" t="s">
        <v>1994</v>
      </c>
      <c r="E1446" s="292">
        <v>1</v>
      </c>
      <c r="F1446" s="294">
        <v>6.02</v>
      </c>
      <c r="G1446" s="294">
        <v>7.25</v>
      </c>
      <c r="H1446" s="295"/>
      <c r="I1446" s="296">
        <v>7.25</v>
      </c>
      <c r="J1446" s="296">
        <v>0</v>
      </c>
      <c r="K1446" s="296">
        <f t="shared" si="64"/>
        <v>7.25</v>
      </c>
      <c r="L1446" s="297">
        <f t="shared" si="65"/>
        <v>6.02</v>
      </c>
    </row>
    <row r="1447" spans="1:12">
      <c r="A1447" s="291">
        <v>46203</v>
      </c>
      <c r="B1447" s="292" t="s">
        <v>2017</v>
      </c>
      <c r="C1447" s="292" t="s">
        <v>4942</v>
      </c>
      <c r="D1447" s="293" t="s">
        <v>2018</v>
      </c>
      <c r="E1447" s="292">
        <v>6</v>
      </c>
      <c r="F1447" s="294">
        <v>6.02</v>
      </c>
      <c r="G1447" s="294">
        <v>7.25</v>
      </c>
      <c r="H1447" s="295"/>
      <c r="I1447" s="296">
        <v>43.5</v>
      </c>
      <c r="J1447" s="296">
        <v>0</v>
      </c>
      <c r="K1447" s="296">
        <f t="shared" si="64"/>
        <v>43.5</v>
      </c>
      <c r="L1447" s="297">
        <f t="shared" si="65"/>
        <v>36.119999999999997</v>
      </c>
    </row>
    <row r="1448" spans="1:12">
      <c r="A1448" s="291">
        <v>46203</v>
      </c>
      <c r="B1448" s="292" t="s">
        <v>2037</v>
      </c>
      <c r="C1448" s="292" t="s">
        <v>4942</v>
      </c>
      <c r="D1448" s="293" t="s">
        <v>2038</v>
      </c>
      <c r="E1448" s="292">
        <v>16</v>
      </c>
      <c r="F1448" s="294">
        <v>4.74</v>
      </c>
      <c r="G1448" s="294">
        <v>5.5</v>
      </c>
      <c r="H1448" s="295"/>
      <c r="I1448" s="296">
        <v>88</v>
      </c>
      <c r="J1448" s="296">
        <v>0</v>
      </c>
      <c r="K1448" s="296">
        <f t="shared" si="64"/>
        <v>88</v>
      </c>
      <c r="L1448" s="297">
        <f t="shared" si="65"/>
        <v>75.84</v>
      </c>
    </row>
    <row r="1449" spans="1:12">
      <c r="A1449" s="291">
        <v>46203</v>
      </c>
      <c r="B1449" s="292" t="s">
        <v>2051</v>
      </c>
      <c r="C1449" s="292" t="s">
        <v>4942</v>
      </c>
      <c r="D1449" s="293" t="s">
        <v>2052</v>
      </c>
      <c r="E1449" s="292">
        <v>1</v>
      </c>
      <c r="F1449" s="294">
        <v>13.39</v>
      </c>
      <c r="G1449" s="294">
        <v>15.5</v>
      </c>
      <c r="H1449" s="295"/>
      <c r="I1449" s="296">
        <v>15.5</v>
      </c>
      <c r="J1449" s="296">
        <v>0</v>
      </c>
      <c r="K1449" s="296">
        <f t="shared" si="64"/>
        <v>15.5</v>
      </c>
      <c r="L1449" s="297">
        <f t="shared" si="65"/>
        <v>13.39</v>
      </c>
    </row>
    <row r="1450" spans="1:12">
      <c r="A1450" s="291">
        <v>46203</v>
      </c>
      <c r="B1450" s="292" t="s">
        <v>2067</v>
      </c>
      <c r="C1450" s="292" t="s">
        <v>4942</v>
      </c>
      <c r="D1450" s="293" t="s">
        <v>2068</v>
      </c>
      <c r="E1450" s="292">
        <v>1</v>
      </c>
      <c r="F1450" s="294">
        <v>13.1</v>
      </c>
      <c r="G1450" s="294">
        <v>15.25</v>
      </c>
      <c r="H1450" s="295"/>
      <c r="I1450" s="296">
        <v>15.25</v>
      </c>
      <c r="J1450" s="296">
        <v>0</v>
      </c>
      <c r="K1450" s="296">
        <f t="shared" si="64"/>
        <v>15.25</v>
      </c>
      <c r="L1450" s="297">
        <f t="shared" si="65"/>
        <v>13.1</v>
      </c>
    </row>
    <row r="1451" spans="1:12">
      <c r="A1451" s="291">
        <v>46203</v>
      </c>
      <c r="B1451" s="292" t="s">
        <v>2215</v>
      </c>
      <c r="C1451" s="292" t="s">
        <v>4942</v>
      </c>
      <c r="D1451" s="293" t="s">
        <v>2216</v>
      </c>
      <c r="E1451" s="292">
        <v>2</v>
      </c>
      <c r="F1451" s="294">
        <v>7.75</v>
      </c>
      <c r="G1451" s="294">
        <v>9</v>
      </c>
      <c r="H1451" s="295"/>
      <c r="I1451" s="296">
        <v>18</v>
      </c>
      <c r="J1451" s="296">
        <v>0</v>
      </c>
      <c r="K1451" s="296">
        <f t="shared" si="64"/>
        <v>18</v>
      </c>
      <c r="L1451" s="297">
        <f t="shared" si="65"/>
        <v>15.5</v>
      </c>
    </row>
    <row r="1452" spans="1:12">
      <c r="A1452" s="291">
        <v>46203</v>
      </c>
      <c r="B1452" s="292" t="s">
        <v>2235</v>
      </c>
      <c r="C1452" s="292" t="s">
        <v>4942</v>
      </c>
      <c r="D1452" s="293" t="s">
        <v>2236</v>
      </c>
      <c r="E1452" s="292">
        <v>2</v>
      </c>
      <c r="F1452" s="294">
        <v>91.5</v>
      </c>
      <c r="G1452" s="294">
        <v>105.25</v>
      </c>
      <c r="H1452" s="295"/>
      <c r="I1452" s="296">
        <v>210.5</v>
      </c>
      <c r="J1452" s="296">
        <v>0</v>
      </c>
      <c r="K1452" s="296">
        <f t="shared" si="64"/>
        <v>210.5</v>
      </c>
      <c r="L1452" s="297">
        <f t="shared" si="65"/>
        <v>183</v>
      </c>
    </row>
    <row r="1453" spans="1:12">
      <c r="A1453" s="291">
        <v>46203</v>
      </c>
      <c r="B1453" s="292" t="s">
        <v>2391</v>
      </c>
      <c r="C1453" s="292" t="s">
        <v>4942</v>
      </c>
      <c r="D1453" s="293" t="s">
        <v>2392</v>
      </c>
      <c r="E1453" s="292">
        <v>6</v>
      </c>
      <c r="F1453" s="294">
        <v>6.92</v>
      </c>
      <c r="G1453" s="294">
        <v>7.75</v>
      </c>
      <c r="H1453" s="295"/>
      <c r="I1453" s="296">
        <v>46.5</v>
      </c>
      <c r="J1453" s="296">
        <v>0</v>
      </c>
      <c r="K1453" s="296">
        <f t="shared" si="64"/>
        <v>46.5</v>
      </c>
      <c r="L1453" s="297">
        <f t="shared" si="65"/>
        <v>41.519999999999996</v>
      </c>
    </row>
    <row r="1454" spans="1:12">
      <c r="A1454" s="291">
        <v>46203</v>
      </c>
      <c r="B1454" s="292" t="s">
        <v>2411</v>
      </c>
      <c r="C1454" s="292" t="s">
        <v>4942</v>
      </c>
      <c r="D1454" s="293" t="s">
        <v>2412</v>
      </c>
      <c r="E1454" s="292">
        <v>1</v>
      </c>
      <c r="F1454" s="294">
        <v>23.62</v>
      </c>
      <c r="G1454" s="294">
        <v>27.75</v>
      </c>
      <c r="H1454" s="295"/>
      <c r="I1454" s="296">
        <v>27.75</v>
      </c>
      <c r="J1454" s="296">
        <v>0</v>
      </c>
      <c r="K1454" s="296">
        <f t="shared" si="64"/>
        <v>27.75</v>
      </c>
      <c r="L1454" s="297">
        <f t="shared" si="65"/>
        <v>23.62</v>
      </c>
    </row>
    <row r="1455" spans="1:12">
      <c r="A1455" s="291">
        <v>46203</v>
      </c>
      <c r="B1455" s="292" t="s">
        <v>2501</v>
      </c>
      <c r="C1455" s="292" t="s">
        <v>4942</v>
      </c>
      <c r="D1455" s="293" t="s">
        <v>2502</v>
      </c>
      <c r="E1455" s="292">
        <v>1</v>
      </c>
      <c r="F1455" s="294">
        <v>37.25</v>
      </c>
      <c r="G1455" s="294">
        <v>43</v>
      </c>
      <c r="H1455" s="295"/>
      <c r="I1455" s="296">
        <v>43</v>
      </c>
      <c r="J1455" s="296">
        <v>0</v>
      </c>
      <c r="K1455" s="296">
        <f t="shared" si="64"/>
        <v>43</v>
      </c>
      <c r="L1455" s="297">
        <f t="shared" si="65"/>
        <v>37.25</v>
      </c>
    </row>
    <row r="1456" spans="1:12">
      <c r="A1456" s="291">
        <v>46203</v>
      </c>
      <c r="B1456" s="292" t="s">
        <v>2507</v>
      </c>
      <c r="C1456" s="292" t="s">
        <v>4942</v>
      </c>
      <c r="D1456" s="293" t="s">
        <v>2508</v>
      </c>
      <c r="E1456" s="292">
        <v>1</v>
      </c>
      <c r="F1456" s="294">
        <v>37.25</v>
      </c>
      <c r="G1456" s="294">
        <v>43</v>
      </c>
      <c r="H1456" s="295"/>
      <c r="I1456" s="296">
        <v>43</v>
      </c>
      <c r="J1456" s="296">
        <v>0</v>
      </c>
      <c r="K1456" s="296">
        <f t="shared" si="64"/>
        <v>43</v>
      </c>
      <c r="L1456" s="297">
        <f t="shared" si="65"/>
        <v>37.25</v>
      </c>
    </row>
    <row r="1457" spans="1:12">
      <c r="A1457" s="291">
        <v>46203</v>
      </c>
      <c r="B1457" s="292" t="s">
        <v>2548</v>
      </c>
      <c r="C1457" s="292" t="s">
        <v>4942</v>
      </c>
      <c r="D1457" s="293" t="s">
        <v>2549</v>
      </c>
      <c r="E1457" s="292">
        <v>1</v>
      </c>
      <c r="F1457" s="294">
        <v>7.71</v>
      </c>
      <c r="G1457" s="294">
        <v>9</v>
      </c>
      <c r="H1457" s="295"/>
      <c r="I1457" s="296">
        <v>9</v>
      </c>
      <c r="J1457" s="296">
        <v>0</v>
      </c>
      <c r="K1457" s="296">
        <f t="shared" si="64"/>
        <v>9</v>
      </c>
      <c r="L1457" s="297">
        <f t="shared" si="65"/>
        <v>7.71</v>
      </c>
    </row>
    <row r="1458" spans="1:12">
      <c r="A1458" s="291">
        <v>46203</v>
      </c>
      <c r="B1458" s="292" t="s">
        <v>2577</v>
      </c>
      <c r="C1458" s="292" t="s">
        <v>4942</v>
      </c>
      <c r="D1458" s="293" t="s">
        <v>2578</v>
      </c>
      <c r="E1458" s="292">
        <v>2</v>
      </c>
      <c r="F1458" s="294">
        <v>5.79</v>
      </c>
      <c r="G1458" s="294">
        <v>6.75</v>
      </c>
      <c r="H1458" s="295"/>
      <c r="I1458" s="296">
        <v>13.5</v>
      </c>
      <c r="J1458" s="296">
        <v>0</v>
      </c>
      <c r="K1458" s="296">
        <f t="shared" si="64"/>
        <v>13.5</v>
      </c>
      <c r="L1458" s="297">
        <f t="shared" si="65"/>
        <v>11.58</v>
      </c>
    </row>
    <row r="1459" spans="1:12">
      <c r="A1459" s="291">
        <v>46203</v>
      </c>
      <c r="B1459" s="292" t="s">
        <v>2585</v>
      </c>
      <c r="C1459" s="292" t="s">
        <v>4942</v>
      </c>
      <c r="D1459" s="293" t="s">
        <v>2586</v>
      </c>
      <c r="E1459" s="292">
        <v>1</v>
      </c>
      <c r="F1459" s="294">
        <v>6.6</v>
      </c>
      <c r="G1459" s="294">
        <v>7.75</v>
      </c>
      <c r="H1459" s="295"/>
      <c r="I1459" s="296">
        <v>7.75</v>
      </c>
      <c r="J1459" s="296">
        <v>0</v>
      </c>
      <c r="K1459" s="296">
        <f t="shared" si="64"/>
        <v>7.75</v>
      </c>
      <c r="L1459" s="297">
        <f t="shared" si="65"/>
        <v>6.6</v>
      </c>
    </row>
    <row r="1460" spans="1:12">
      <c r="A1460" s="291">
        <v>46203</v>
      </c>
      <c r="B1460" s="292" t="s">
        <v>2592</v>
      </c>
      <c r="C1460" s="292" t="s">
        <v>4942</v>
      </c>
      <c r="D1460" s="293" t="s">
        <v>2593</v>
      </c>
      <c r="E1460" s="292">
        <v>1</v>
      </c>
      <c r="F1460" s="294">
        <v>6.73</v>
      </c>
      <c r="G1460" s="294">
        <v>7.75</v>
      </c>
      <c r="H1460" s="295"/>
      <c r="I1460" s="296">
        <v>7.75</v>
      </c>
      <c r="J1460" s="296">
        <v>0</v>
      </c>
      <c r="K1460" s="296">
        <f t="shared" si="64"/>
        <v>7.75</v>
      </c>
      <c r="L1460" s="297">
        <f t="shared" si="65"/>
        <v>6.73</v>
      </c>
    </row>
    <row r="1461" spans="1:12">
      <c r="A1461" s="291">
        <v>46203</v>
      </c>
      <c r="B1461" s="292" t="s">
        <v>2594</v>
      </c>
      <c r="C1461" s="292" t="s">
        <v>4942</v>
      </c>
      <c r="D1461" s="293" t="s">
        <v>2595</v>
      </c>
      <c r="E1461" s="292">
        <v>1</v>
      </c>
      <c r="F1461" s="294">
        <v>6.73</v>
      </c>
      <c r="G1461" s="294">
        <v>7.75</v>
      </c>
      <c r="H1461" s="295"/>
      <c r="I1461" s="296">
        <v>7.75</v>
      </c>
      <c r="J1461" s="296">
        <v>0</v>
      </c>
      <c r="K1461" s="296">
        <f t="shared" si="64"/>
        <v>7.75</v>
      </c>
      <c r="L1461" s="297">
        <f t="shared" si="65"/>
        <v>6.73</v>
      </c>
    </row>
    <row r="1462" spans="1:12">
      <c r="A1462" s="291">
        <v>46203</v>
      </c>
      <c r="B1462" s="292" t="s">
        <v>2596</v>
      </c>
      <c r="C1462" s="292" t="s">
        <v>4942</v>
      </c>
      <c r="D1462" s="293" t="s">
        <v>2597</v>
      </c>
      <c r="E1462" s="292">
        <v>1</v>
      </c>
      <c r="F1462" s="294">
        <v>64.97</v>
      </c>
      <c r="G1462" s="294">
        <v>74.75</v>
      </c>
      <c r="H1462" s="295"/>
      <c r="I1462" s="296">
        <v>74.75</v>
      </c>
      <c r="J1462" s="296">
        <v>0</v>
      </c>
      <c r="K1462" s="296">
        <f t="shared" si="64"/>
        <v>74.75</v>
      </c>
      <c r="L1462" s="297">
        <f t="shared" si="65"/>
        <v>64.97</v>
      </c>
    </row>
    <row r="1463" spans="1:12">
      <c r="A1463" s="291">
        <v>46203</v>
      </c>
      <c r="B1463" s="292" t="s">
        <v>2607</v>
      </c>
      <c r="C1463" s="292" t="s">
        <v>4942</v>
      </c>
      <c r="D1463" s="293" t="s">
        <v>2608</v>
      </c>
      <c r="E1463" s="292">
        <v>1</v>
      </c>
      <c r="F1463" s="294">
        <v>47.2</v>
      </c>
      <c r="G1463" s="294">
        <v>54.5</v>
      </c>
      <c r="H1463" s="295"/>
      <c r="I1463" s="296">
        <v>54.5</v>
      </c>
      <c r="J1463" s="296">
        <v>0</v>
      </c>
      <c r="K1463" s="296">
        <f t="shared" si="64"/>
        <v>54.5</v>
      </c>
      <c r="L1463" s="297">
        <f t="shared" si="65"/>
        <v>47.2</v>
      </c>
    </row>
    <row r="1464" spans="1:12">
      <c r="A1464" s="291">
        <v>46203</v>
      </c>
      <c r="B1464" s="292" t="s">
        <v>2618</v>
      </c>
      <c r="C1464" s="292" t="s">
        <v>4942</v>
      </c>
      <c r="D1464" s="293" t="s">
        <v>2619</v>
      </c>
      <c r="E1464" s="292">
        <v>2</v>
      </c>
      <c r="F1464" s="294">
        <v>18.64</v>
      </c>
      <c r="G1464" s="294">
        <v>21.5</v>
      </c>
      <c r="H1464" s="295"/>
      <c r="I1464" s="296">
        <v>43</v>
      </c>
      <c r="J1464" s="296">
        <v>0</v>
      </c>
      <c r="K1464" s="296">
        <f t="shared" si="64"/>
        <v>43</v>
      </c>
      <c r="L1464" s="297">
        <f t="shared" si="65"/>
        <v>37.28</v>
      </c>
    </row>
    <row r="1465" spans="1:12">
      <c r="A1465" s="291">
        <v>46203</v>
      </c>
      <c r="B1465" s="292" t="s">
        <v>2620</v>
      </c>
      <c r="C1465" s="292" t="s">
        <v>4942</v>
      </c>
      <c r="D1465" s="293" t="s">
        <v>2621</v>
      </c>
      <c r="E1465" s="292">
        <v>2</v>
      </c>
      <c r="F1465" s="294">
        <v>20.57</v>
      </c>
      <c r="G1465" s="294">
        <v>23.75</v>
      </c>
      <c r="H1465" s="295"/>
      <c r="I1465" s="296">
        <v>47.5</v>
      </c>
      <c r="J1465" s="296">
        <v>0</v>
      </c>
      <c r="K1465" s="296">
        <f t="shared" si="64"/>
        <v>47.5</v>
      </c>
      <c r="L1465" s="297">
        <f t="shared" si="65"/>
        <v>41.14</v>
      </c>
    </row>
    <row r="1466" spans="1:12">
      <c r="A1466" s="291">
        <v>46203</v>
      </c>
      <c r="B1466" s="292" t="s">
        <v>2654</v>
      </c>
      <c r="C1466" s="292" t="s">
        <v>4942</v>
      </c>
      <c r="D1466" s="293" t="s">
        <v>2655</v>
      </c>
      <c r="E1466" s="292">
        <v>2</v>
      </c>
      <c r="F1466" s="294">
        <v>23</v>
      </c>
      <c r="G1466" s="294">
        <v>26.5</v>
      </c>
      <c r="H1466" s="295"/>
      <c r="I1466" s="296">
        <v>53</v>
      </c>
      <c r="J1466" s="296">
        <v>0</v>
      </c>
      <c r="K1466" s="296">
        <f t="shared" si="64"/>
        <v>53</v>
      </c>
      <c r="L1466" s="297">
        <f t="shared" si="65"/>
        <v>46</v>
      </c>
    </row>
    <row r="1467" spans="1:12">
      <c r="A1467" s="291">
        <v>46203</v>
      </c>
      <c r="B1467" s="292" t="s">
        <v>2692</v>
      </c>
      <c r="C1467" s="292" t="s">
        <v>4942</v>
      </c>
      <c r="D1467" s="293" t="s">
        <v>2693</v>
      </c>
      <c r="E1467" s="292">
        <v>1</v>
      </c>
      <c r="F1467" s="294">
        <v>4.8</v>
      </c>
      <c r="G1467" s="294">
        <v>5.75</v>
      </c>
      <c r="H1467" s="295"/>
      <c r="I1467" s="296">
        <v>5.75</v>
      </c>
      <c r="J1467" s="296">
        <v>0</v>
      </c>
      <c r="K1467" s="296">
        <f t="shared" si="64"/>
        <v>5.75</v>
      </c>
      <c r="L1467" s="297">
        <f t="shared" si="65"/>
        <v>4.8</v>
      </c>
    </row>
    <row r="1468" spans="1:12">
      <c r="A1468" s="291">
        <v>46203</v>
      </c>
      <c r="B1468" s="292" t="s">
        <v>2734</v>
      </c>
      <c r="C1468" s="292" t="s">
        <v>4942</v>
      </c>
      <c r="D1468" s="293" t="s">
        <v>2735</v>
      </c>
      <c r="E1468" s="292">
        <v>2</v>
      </c>
      <c r="F1468" s="294">
        <v>4.3499999999999996</v>
      </c>
      <c r="G1468" s="294">
        <v>5</v>
      </c>
      <c r="H1468" s="295"/>
      <c r="I1468" s="296">
        <v>10</v>
      </c>
      <c r="J1468" s="296">
        <v>0</v>
      </c>
      <c r="K1468" s="296">
        <f t="shared" si="64"/>
        <v>10</v>
      </c>
      <c r="L1468" s="297">
        <f t="shared" si="65"/>
        <v>8.6999999999999993</v>
      </c>
    </row>
    <row r="1469" spans="1:12">
      <c r="A1469" s="291">
        <v>46203</v>
      </c>
      <c r="B1469" s="292" t="s">
        <v>2742</v>
      </c>
      <c r="C1469" s="292" t="s">
        <v>4942</v>
      </c>
      <c r="D1469" s="293" t="s">
        <v>2743</v>
      </c>
      <c r="E1469" s="292">
        <v>3</v>
      </c>
      <c r="F1469" s="294">
        <v>5.15</v>
      </c>
      <c r="G1469" s="294">
        <v>6</v>
      </c>
      <c r="H1469" s="295"/>
      <c r="I1469" s="296">
        <v>18</v>
      </c>
      <c r="J1469" s="296">
        <v>0</v>
      </c>
      <c r="K1469" s="296">
        <f t="shared" si="64"/>
        <v>18</v>
      </c>
      <c r="L1469" s="297">
        <f t="shared" si="65"/>
        <v>15.450000000000001</v>
      </c>
    </row>
    <row r="1470" spans="1:12">
      <c r="A1470" s="291">
        <v>46203</v>
      </c>
      <c r="B1470" s="292" t="s">
        <v>2888</v>
      </c>
      <c r="C1470" s="292" t="s">
        <v>4942</v>
      </c>
      <c r="D1470" s="293" t="s">
        <v>2889</v>
      </c>
      <c r="E1470" s="292">
        <v>1</v>
      </c>
      <c r="F1470" s="294">
        <v>13.87</v>
      </c>
      <c r="G1470" s="294">
        <v>16</v>
      </c>
      <c r="H1470" s="295"/>
      <c r="I1470" s="296">
        <v>16</v>
      </c>
      <c r="J1470" s="296">
        <v>0</v>
      </c>
      <c r="K1470" s="296">
        <f t="shared" si="64"/>
        <v>16</v>
      </c>
      <c r="L1470" s="297">
        <f t="shared" si="65"/>
        <v>13.87</v>
      </c>
    </row>
    <row r="1471" spans="1:12">
      <c r="A1471" s="291">
        <v>46203</v>
      </c>
      <c r="B1471" s="292" t="s">
        <v>2898</v>
      </c>
      <c r="C1471" s="292" t="s">
        <v>4942</v>
      </c>
      <c r="D1471" s="293" t="s">
        <v>2899</v>
      </c>
      <c r="E1471" s="292">
        <v>1</v>
      </c>
      <c r="F1471" s="294">
        <v>6.12</v>
      </c>
      <c r="G1471" s="294">
        <v>7.5</v>
      </c>
      <c r="H1471" s="295"/>
      <c r="I1471" s="296">
        <v>7.5</v>
      </c>
      <c r="J1471" s="296">
        <v>0</v>
      </c>
      <c r="K1471" s="296">
        <f t="shared" si="64"/>
        <v>7.5</v>
      </c>
      <c r="L1471" s="297">
        <f t="shared" si="65"/>
        <v>6.12</v>
      </c>
    </row>
    <row r="1472" spans="1:12">
      <c r="A1472" s="291">
        <v>46203</v>
      </c>
      <c r="B1472" s="292" t="s">
        <v>2904</v>
      </c>
      <c r="C1472" s="292" t="s">
        <v>4942</v>
      </c>
      <c r="D1472" s="293" t="s">
        <v>2905</v>
      </c>
      <c r="E1472" s="292">
        <v>5</v>
      </c>
      <c r="F1472" s="294">
        <v>6.12</v>
      </c>
      <c r="G1472" s="294">
        <v>7</v>
      </c>
      <c r="H1472" s="295"/>
      <c r="I1472" s="296">
        <v>35</v>
      </c>
      <c r="J1472" s="296">
        <v>0</v>
      </c>
      <c r="K1472" s="296">
        <f t="shared" si="64"/>
        <v>35</v>
      </c>
      <c r="L1472" s="297">
        <f t="shared" si="65"/>
        <v>30.6</v>
      </c>
    </row>
    <row r="1473" spans="1:12">
      <c r="A1473" s="291">
        <v>46203</v>
      </c>
      <c r="B1473" s="292" t="s">
        <v>2944</v>
      </c>
      <c r="C1473" s="292" t="s">
        <v>4942</v>
      </c>
      <c r="D1473" s="293" t="s">
        <v>2945</v>
      </c>
      <c r="E1473" s="292">
        <v>1</v>
      </c>
      <c r="F1473" s="294">
        <v>11.1</v>
      </c>
      <c r="G1473" s="294">
        <v>13</v>
      </c>
      <c r="H1473" s="295"/>
      <c r="I1473" s="296">
        <v>13</v>
      </c>
      <c r="J1473" s="296">
        <v>0</v>
      </c>
      <c r="K1473" s="296">
        <f t="shared" si="64"/>
        <v>13</v>
      </c>
      <c r="L1473" s="297">
        <f t="shared" si="65"/>
        <v>11.1</v>
      </c>
    </row>
    <row r="1474" spans="1:12">
      <c r="A1474" s="291">
        <v>46203</v>
      </c>
      <c r="B1474" s="292" t="s">
        <v>2946</v>
      </c>
      <c r="C1474" s="292" t="s">
        <v>4942</v>
      </c>
      <c r="D1474" s="293" t="s">
        <v>2947</v>
      </c>
      <c r="E1474" s="292">
        <v>1</v>
      </c>
      <c r="F1474" s="294">
        <v>5.77</v>
      </c>
      <c r="G1474" s="294">
        <v>6.75</v>
      </c>
      <c r="H1474" s="295"/>
      <c r="I1474" s="296">
        <v>6.75</v>
      </c>
      <c r="J1474" s="296">
        <v>0</v>
      </c>
      <c r="K1474" s="296">
        <f t="shared" si="64"/>
        <v>6.75</v>
      </c>
      <c r="L1474" s="297">
        <f t="shared" si="65"/>
        <v>5.77</v>
      </c>
    </row>
    <row r="1475" spans="1:12">
      <c r="A1475" s="291">
        <v>46203</v>
      </c>
      <c r="B1475" s="292" t="s">
        <v>2952</v>
      </c>
      <c r="C1475" s="292" t="s">
        <v>4942</v>
      </c>
      <c r="D1475" s="293" t="s">
        <v>2953</v>
      </c>
      <c r="E1475" s="292">
        <v>2</v>
      </c>
      <c r="F1475" s="294">
        <v>11.1</v>
      </c>
      <c r="G1475" s="294">
        <v>13</v>
      </c>
      <c r="H1475" s="295"/>
      <c r="I1475" s="296">
        <v>26</v>
      </c>
      <c r="J1475" s="296">
        <v>0</v>
      </c>
      <c r="K1475" s="296">
        <f t="shared" si="64"/>
        <v>26</v>
      </c>
      <c r="L1475" s="297">
        <f t="shared" si="65"/>
        <v>22.2</v>
      </c>
    </row>
    <row r="1476" spans="1:12">
      <c r="A1476" s="291">
        <v>46203</v>
      </c>
      <c r="B1476" s="292" t="s">
        <v>2958</v>
      </c>
      <c r="C1476" s="292" t="s">
        <v>4942</v>
      </c>
      <c r="D1476" s="293" t="s">
        <v>2959</v>
      </c>
      <c r="E1476" s="292">
        <v>3</v>
      </c>
      <c r="F1476" s="294">
        <v>7.2</v>
      </c>
      <c r="G1476" s="294">
        <v>8.25</v>
      </c>
      <c r="H1476" s="295"/>
      <c r="I1476" s="296">
        <v>24.75</v>
      </c>
      <c r="J1476" s="296">
        <v>0</v>
      </c>
      <c r="K1476" s="296">
        <f t="shared" si="64"/>
        <v>24.75</v>
      </c>
      <c r="L1476" s="297">
        <f t="shared" si="65"/>
        <v>21.6</v>
      </c>
    </row>
    <row r="1477" spans="1:12">
      <c r="A1477" s="291">
        <v>46203</v>
      </c>
      <c r="B1477" s="292" t="s">
        <v>3014</v>
      </c>
      <c r="C1477" s="292" t="s">
        <v>4942</v>
      </c>
      <c r="D1477" s="293" t="s">
        <v>3015</v>
      </c>
      <c r="E1477" s="292">
        <v>1</v>
      </c>
      <c r="F1477" s="294">
        <v>25.45</v>
      </c>
      <c r="G1477" s="294">
        <v>29.5</v>
      </c>
      <c r="H1477" s="295"/>
      <c r="I1477" s="296">
        <v>29.5</v>
      </c>
      <c r="J1477" s="296">
        <v>0</v>
      </c>
      <c r="K1477" s="296">
        <f t="shared" si="64"/>
        <v>29.5</v>
      </c>
      <c r="L1477" s="297">
        <f t="shared" si="65"/>
        <v>25.45</v>
      </c>
    </row>
    <row r="1478" spans="1:12">
      <c r="A1478" s="291">
        <v>46203</v>
      </c>
      <c r="B1478" s="292" t="s">
        <v>3020</v>
      </c>
      <c r="C1478" s="292" t="s">
        <v>4942</v>
      </c>
      <c r="D1478" s="293" t="s">
        <v>3021</v>
      </c>
      <c r="E1478" s="292">
        <v>2</v>
      </c>
      <c r="F1478" s="294">
        <v>5.41</v>
      </c>
      <c r="G1478" s="294">
        <v>6.25</v>
      </c>
      <c r="H1478" s="295"/>
      <c r="I1478" s="296">
        <v>12.5</v>
      </c>
      <c r="J1478" s="296">
        <v>0</v>
      </c>
      <c r="K1478" s="296">
        <f t="shared" ref="K1478:K1494" si="66">H1478+I1478-J1478</f>
        <v>12.5</v>
      </c>
      <c r="L1478" s="297">
        <f t="shared" ref="L1478:L1494" si="67">E1478*F1478</f>
        <v>10.82</v>
      </c>
    </row>
    <row r="1479" spans="1:12">
      <c r="A1479" s="291">
        <v>46203</v>
      </c>
      <c r="B1479" s="292" t="s">
        <v>3044</v>
      </c>
      <c r="C1479" s="292" t="s">
        <v>4942</v>
      </c>
      <c r="D1479" s="293" t="s">
        <v>3045</v>
      </c>
      <c r="E1479" s="292">
        <v>1</v>
      </c>
      <c r="F1479" s="294">
        <v>6.37</v>
      </c>
      <c r="G1479" s="294">
        <v>7.5</v>
      </c>
      <c r="H1479" s="295"/>
      <c r="I1479" s="296">
        <v>7.5</v>
      </c>
      <c r="J1479" s="296">
        <v>0</v>
      </c>
      <c r="K1479" s="296">
        <f t="shared" si="66"/>
        <v>7.5</v>
      </c>
      <c r="L1479" s="297">
        <f t="shared" si="67"/>
        <v>6.37</v>
      </c>
    </row>
    <row r="1480" spans="1:12">
      <c r="A1480" s="291">
        <v>46203</v>
      </c>
      <c r="B1480" s="292" t="s">
        <v>3048</v>
      </c>
      <c r="C1480" s="292" t="s">
        <v>4942</v>
      </c>
      <c r="D1480" s="293" t="s">
        <v>3049</v>
      </c>
      <c r="E1480" s="292">
        <v>3</v>
      </c>
      <c r="F1480" s="294">
        <v>6.37</v>
      </c>
      <c r="G1480" s="294">
        <v>7.5</v>
      </c>
      <c r="H1480" s="295"/>
      <c r="I1480" s="296">
        <v>22.5</v>
      </c>
      <c r="J1480" s="296">
        <v>0</v>
      </c>
      <c r="K1480" s="296">
        <f t="shared" si="66"/>
        <v>22.5</v>
      </c>
      <c r="L1480" s="297">
        <f t="shared" si="67"/>
        <v>19.11</v>
      </c>
    </row>
    <row r="1481" spans="1:12">
      <c r="A1481" s="291">
        <v>46203</v>
      </c>
      <c r="B1481" s="292" t="s">
        <v>3089</v>
      </c>
      <c r="C1481" s="292" t="s">
        <v>4942</v>
      </c>
      <c r="D1481" s="293" t="s">
        <v>3090</v>
      </c>
      <c r="E1481" s="292">
        <v>1</v>
      </c>
      <c r="F1481" s="294">
        <v>5.67</v>
      </c>
      <c r="G1481" s="294">
        <v>6.75</v>
      </c>
      <c r="H1481" s="295"/>
      <c r="I1481" s="296">
        <v>6.75</v>
      </c>
      <c r="J1481" s="296">
        <v>0</v>
      </c>
      <c r="K1481" s="296">
        <f t="shared" si="66"/>
        <v>6.75</v>
      </c>
      <c r="L1481" s="297">
        <f t="shared" si="67"/>
        <v>5.67</v>
      </c>
    </row>
    <row r="1482" spans="1:12">
      <c r="A1482" s="291">
        <v>46203</v>
      </c>
      <c r="B1482" s="292" t="s">
        <v>3093</v>
      </c>
      <c r="C1482" s="292" t="s">
        <v>4942</v>
      </c>
      <c r="D1482" s="293" t="s">
        <v>3094</v>
      </c>
      <c r="E1482" s="292">
        <v>4</v>
      </c>
      <c r="F1482" s="294">
        <v>5</v>
      </c>
      <c r="G1482" s="294">
        <v>5.75</v>
      </c>
      <c r="H1482" s="295"/>
      <c r="I1482" s="296">
        <v>23</v>
      </c>
      <c r="J1482" s="296">
        <v>0</v>
      </c>
      <c r="K1482" s="296">
        <f t="shared" si="66"/>
        <v>23</v>
      </c>
      <c r="L1482" s="297">
        <f t="shared" si="67"/>
        <v>20</v>
      </c>
    </row>
    <row r="1483" spans="1:12">
      <c r="A1483" s="291">
        <v>46203</v>
      </c>
      <c r="B1483" s="292" t="s">
        <v>3105</v>
      </c>
      <c r="C1483" s="292" t="s">
        <v>4942</v>
      </c>
      <c r="D1483" s="293" t="s">
        <v>3106</v>
      </c>
      <c r="E1483" s="292">
        <v>1</v>
      </c>
      <c r="F1483" s="294">
        <v>39.880000000000003</v>
      </c>
      <c r="G1483" s="294">
        <v>46</v>
      </c>
      <c r="H1483" s="295"/>
      <c r="I1483" s="296">
        <v>46</v>
      </c>
      <c r="J1483" s="296">
        <v>0</v>
      </c>
      <c r="K1483" s="296">
        <f t="shared" si="66"/>
        <v>46</v>
      </c>
      <c r="L1483" s="297">
        <f t="shared" si="67"/>
        <v>39.880000000000003</v>
      </c>
    </row>
    <row r="1484" spans="1:12">
      <c r="A1484" s="291">
        <v>46203</v>
      </c>
      <c r="B1484" s="292" t="s">
        <v>3107</v>
      </c>
      <c r="C1484" s="292" t="s">
        <v>4942</v>
      </c>
      <c r="D1484" s="293" t="s">
        <v>3108</v>
      </c>
      <c r="E1484" s="292">
        <v>11</v>
      </c>
      <c r="F1484" s="294">
        <v>15.2</v>
      </c>
      <c r="G1484" s="294">
        <v>17.5</v>
      </c>
      <c r="H1484" s="295"/>
      <c r="I1484" s="296">
        <v>192.5</v>
      </c>
      <c r="J1484" s="296">
        <v>0</v>
      </c>
      <c r="K1484" s="296">
        <f t="shared" si="66"/>
        <v>192.5</v>
      </c>
      <c r="L1484" s="297">
        <f t="shared" si="67"/>
        <v>167.2</v>
      </c>
    </row>
    <row r="1485" spans="1:12">
      <c r="A1485" s="291">
        <v>46203</v>
      </c>
      <c r="B1485" s="292" t="s">
        <v>3117</v>
      </c>
      <c r="C1485" s="292" t="s">
        <v>4942</v>
      </c>
      <c r="D1485" s="293" t="s">
        <v>3118</v>
      </c>
      <c r="E1485" s="292">
        <v>2</v>
      </c>
      <c r="F1485" s="294">
        <v>37.64</v>
      </c>
      <c r="G1485" s="294">
        <v>43.75</v>
      </c>
      <c r="H1485" s="295"/>
      <c r="I1485" s="296">
        <v>87.5</v>
      </c>
      <c r="J1485" s="296">
        <v>0</v>
      </c>
      <c r="K1485" s="296">
        <f t="shared" si="66"/>
        <v>87.5</v>
      </c>
      <c r="L1485" s="297">
        <f t="shared" si="67"/>
        <v>75.28</v>
      </c>
    </row>
    <row r="1486" spans="1:12">
      <c r="A1486" s="291">
        <v>46203</v>
      </c>
      <c r="B1486" s="292" t="s">
        <v>3670</v>
      </c>
      <c r="C1486" s="292" t="s">
        <v>4942</v>
      </c>
      <c r="D1486" s="293" t="s">
        <v>3671</v>
      </c>
      <c r="E1486" s="292">
        <v>1</v>
      </c>
      <c r="F1486" s="294">
        <v>30.79</v>
      </c>
      <c r="G1486" s="294">
        <v>36.75</v>
      </c>
      <c r="H1486" s="295"/>
      <c r="I1486" s="296">
        <v>36.75</v>
      </c>
      <c r="J1486" s="296">
        <v>0</v>
      </c>
      <c r="K1486" s="296">
        <f t="shared" si="66"/>
        <v>36.75</v>
      </c>
      <c r="L1486" s="297">
        <f t="shared" si="67"/>
        <v>30.79</v>
      </c>
    </row>
    <row r="1487" spans="1:12">
      <c r="A1487" s="291">
        <v>46203</v>
      </c>
      <c r="B1487" s="292" t="s">
        <v>3777</v>
      </c>
      <c r="C1487" s="292" t="s">
        <v>4942</v>
      </c>
      <c r="D1487" s="293" t="s">
        <v>3778</v>
      </c>
      <c r="E1487" s="292">
        <v>1</v>
      </c>
      <c r="F1487" s="294">
        <v>20</v>
      </c>
      <c r="G1487" s="294">
        <v>27</v>
      </c>
      <c r="H1487" s="295"/>
      <c r="I1487" s="296">
        <v>27</v>
      </c>
      <c r="J1487" s="296">
        <v>0</v>
      </c>
      <c r="K1487" s="296">
        <f t="shared" si="66"/>
        <v>27</v>
      </c>
      <c r="L1487" s="297">
        <f t="shared" si="67"/>
        <v>20</v>
      </c>
    </row>
    <row r="1488" spans="1:12">
      <c r="A1488" s="291">
        <v>46203</v>
      </c>
      <c r="B1488" s="292" t="s">
        <v>4943</v>
      </c>
      <c r="C1488" s="292" t="s">
        <v>4942</v>
      </c>
      <c r="D1488" s="293" t="s">
        <v>4001</v>
      </c>
      <c r="E1488" s="292">
        <v>1</v>
      </c>
      <c r="F1488" s="294">
        <v>20.57</v>
      </c>
      <c r="G1488" s="294">
        <v>23.75</v>
      </c>
      <c r="H1488" s="295"/>
      <c r="I1488" s="296">
        <v>23.75</v>
      </c>
      <c r="J1488" s="296">
        <v>0</v>
      </c>
      <c r="K1488" s="296">
        <f t="shared" si="66"/>
        <v>23.75</v>
      </c>
      <c r="L1488" s="297">
        <f t="shared" si="67"/>
        <v>20.57</v>
      </c>
    </row>
    <row r="1489" spans="1:12">
      <c r="A1489" s="291">
        <v>46203</v>
      </c>
      <c r="B1489" s="292" t="s">
        <v>4002</v>
      </c>
      <c r="C1489" s="292" t="s">
        <v>4942</v>
      </c>
      <c r="D1489" s="293" t="s">
        <v>4944</v>
      </c>
      <c r="E1489" s="292">
        <v>1</v>
      </c>
      <c r="F1489" s="294">
        <v>41.5</v>
      </c>
      <c r="G1489" s="294">
        <v>47.75</v>
      </c>
      <c r="H1489" s="295"/>
      <c r="I1489" s="296">
        <v>47.75</v>
      </c>
      <c r="J1489" s="296">
        <v>0</v>
      </c>
      <c r="K1489" s="296">
        <f t="shared" si="66"/>
        <v>47.75</v>
      </c>
      <c r="L1489" s="297">
        <f t="shared" si="67"/>
        <v>41.5</v>
      </c>
    </row>
    <row r="1490" spans="1:12">
      <c r="A1490" s="291">
        <v>46203</v>
      </c>
      <c r="B1490" s="292" t="s">
        <v>4945</v>
      </c>
      <c r="C1490" s="292" t="s">
        <v>4942</v>
      </c>
      <c r="D1490" s="293" t="s">
        <v>4946</v>
      </c>
      <c r="E1490" s="292">
        <v>1</v>
      </c>
      <c r="F1490" s="294">
        <v>64.97</v>
      </c>
      <c r="G1490" s="294">
        <v>74.75</v>
      </c>
      <c r="H1490" s="295"/>
      <c r="I1490" s="296">
        <v>74.75</v>
      </c>
      <c r="J1490" s="296">
        <v>0</v>
      </c>
      <c r="K1490" s="296">
        <f t="shared" si="66"/>
        <v>74.75</v>
      </c>
      <c r="L1490" s="297">
        <f t="shared" si="67"/>
        <v>64.97</v>
      </c>
    </row>
    <row r="1491" spans="1:12">
      <c r="A1491" s="291">
        <v>46203</v>
      </c>
      <c r="B1491" s="292" t="s">
        <v>4067</v>
      </c>
      <c r="C1491" s="292" t="s">
        <v>4942</v>
      </c>
      <c r="D1491" s="293" t="s">
        <v>4068</v>
      </c>
      <c r="E1491" s="292">
        <v>1</v>
      </c>
      <c r="F1491" s="294">
        <v>8.15</v>
      </c>
      <c r="G1491" s="294">
        <v>9.5</v>
      </c>
      <c r="H1491" s="295"/>
      <c r="I1491" s="296">
        <v>9.5</v>
      </c>
      <c r="J1491" s="296">
        <v>0</v>
      </c>
      <c r="K1491" s="296">
        <f t="shared" si="66"/>
        <v>9.5</v>
      </c>
      <c r="L1491" s="297">
        <f t="shared" si="67"/>
        <v>8.15</v>
      </c>
    </row>
    <row r="1492" spans="1:12">
      <c r="A1492" s="291">
        <v>46203</v>
      </c>
      <c r="B1492" s="292" t="s">
        <v>4042</v>
      </c>
      <c r="C1492" s="292" t="s">
        <v>4942</v>
      </c>
      <c r="D1492" s="293" t="s">
        <v>4947</v>
      </c>
      <c r="E1492" s="292">
        <v>4</v>
      </c>
      <c r="F1492" s="294">
        <v>10.95</v>
      </c>
      <c r="G1492" s="294">
        <v>12.75</v>
      </c>
      <c r="H1492" s="295"/>
      <c r="I1492" s="296">
        <v>51</v>
      </c>
      <c r="J1492" s="296">
        <v>0</v>
      </c>
      <c r="K1492" s="296">
        <f t="shared" si="66"/>
        <v>51</v>
      </c>
      <c r="L1492" s="297">
        <f t="shared" si="67"/>
        <v>43.8</v>
      </c>
    </row>
    <row r="1493" spans="1:12">
      <c r="A1493" s="291">
        <v>46203</v>
      </c>
      <c r="B1493" s="292" t="s">
        <v>4948</v>
      </c>
      <c r="C1493" s="292" t="s">
        <v>4942</v>
      </c>
      <c r="D1493" s="293" t="s">
        <v>4949</v>
      </c>
      <c r="E1493" s="292">
        <v>1</v>
      </c>
      <c r="F1493" s="294">
        <v>31.92</v>
      </c>
      <c r="G1493" s="294">
        <v>36.75</v>
      </c>
      <c r="H1493" s="295"/>
      <c r="I1493" s="296">
        <v>36.75</v>
      </c>
      <c r="J1493" s="296">
        <v>0</v>
      </c>
      <c r="K1493" s="296">
        <f t="shared" si="66"/>
        <v>36.75</v>
      </c>
      <c r="L1493" s="297">
        <f t="shared" si="67"/>
        <v>31.92</v>
      </c>
    </row>
    <row r="1494" spans="1:12">
      <c r="A1494" s="291">
        <v>46203</v>
      </c>
      <c r="B1494" s="292" t="s">
        <v>4074</v>
      </c>
      <c r="C1494" s="292" t="s">
        <v>4942</v>
      </c>
      <c r="D1494" s="293" t="s">
        <v>4075</v>
      </c>
      <c r="E1494" s="292">
        <v>11</v>
      </c>
      <c r="F1494" s="294">
        <v>0.76</v>
      </c>
      <c r="G1494" s="294">
        <v>1</v>
      </c>
      <c r="H1494" s="295"/>
      <c r="I1494" s="296">
        <v>11</v>
      </c>
      <c r="J1494" s="296">
        <v>0</v>
      </c>
      <c r="K1494" s="296">
        <f t="shared" si="66"/>
        <v>11</v>
      </c>
      <c r="L1494" s="297">
        <f t="shared" si="67"/>
        <v>8.36</v>
      </c>
    </row>
    <row r="1495" spans="1:12" ht="15.75" thickBot="1">
      <c r="A1495" s="349" t="s">
        <v>12</v>
      </c>
      <c r="B1495" s="350"/>
      <c r="C1495" s="350"/>
      <c r="D1495" s="351"/>
      <c r="E1495" s="233">
        <f t="shared" ref="E1495:L1495" si="68">SUM(E4:E1494)</f>
        <v>5236</v>
      </c>
      <c r="F1495" s="233">
        <f t="shared" si="68"/>
        <v>64299.880000000063</v>
      </c>
      <c r="G1495" s="233">
        <f t="shared" si="68"/>
        <v>75625.119999999966</v>
      </c>
      <c r="H1495" s="233">
        <f t="shared" si="68"/>
        <v>131984.63</v>
      </c>
      <c r="I1495" s="233">
        <f t="shared" si="68"/>
        <v>51768.45</v>
      </c>
      <c r="J1495" s="233">
        <f t="shared" si="68"/>
        <v>5610.12</v>
      </c>
      <c r="K1495" s="233">
        <f t="shared" si="68"/>
        <v>178142.96000000002</v>
      </c>
      <c r="L1495" s="233">
        <f t="shared" si="68"/>
        <v>156220.42999999982</v>
      </c>
    </row>
  </sheetData>
  <autoFilter ref="A3:L1495" xr:uid="{62D2AB1F-79BE-41D4-B598-CE1C715FCADA}"/>
  <mergeCells count="3">
    <mergeCell ref="A1495:D1495"/>
    <mergeCell ref="A1:L1"/>
    <mergeCell ref="A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6B4F-4C13-4C28-9A79-CF17A6357213}">
  <dimension ref="A1:M675"/>
  <sheetViews>
    <sheetView view="pageBreakPreview" topLeftCell="A654" zoomScale="70" zoomScaleNormal="81" zoomScaleSheetLayoutView="70" workbookViewId="0">
      <selection activeCell="C668" sqref="C668"/>
    </sheetView>
  </sheetViews>
  <sheetFormatPr defaultRowHeight="15"/>
  <cols>
    <col min="2" max="2" width="17.7109375" customWidth="1"/>
    <col min="3" max="3" width="34.42578125" customWidth="1"/>
    <col min="5" max="10" width="5.5703125" customWidth="1"/>
    <col min="12" max="12" width="11.140625" customWidth="1"/>
    <col min="13" max="13" width="24.42578125" style="181" customWidth="1"/>
  </cols>
  <sheetData>
    <row r="1" spans="1:13">
      <c r="A1" s="7" t="s">
        <v>30</v>
      </c>
    </row>
    <row r="2" spans="1:13" ht="60">
      <c r="A2" s="84" t="s">
        <v>1</v>
      </c>
      <c r="B2" s="85" t="s">
        <v>3</v>
      </c>
      <c r="C2" s="84" t="s">
        <v>4</v>
      </c>
      <c r="D2" s="9" t="s">
        <v>5</v>
      </c>
      <c r="E2" s="86" t="s">
        <v>4997</v>
      </c>
      <c r="F2" s="267" t="s">
        <v>5174</v>
      </c>
      <c r="G2" s="267" t="s">
        <v>4167</v>
      </c>
      <c r="H2" s="267" t="s">
        <v>480</v>
      </c>
      <c r="I2" s="86" t="s">
        <v>12</v>
      </c>
      <c r="J2" s="262" t="s">
        <v>6</v>
      </c>
      <c r="K2" s="86" t="s">
        <v>9</v>
      </c>
      <c r="L2" s="9" t="s">
        <v>10</v>
      </c>
      <c r="M2" s="282" t="s">
        <v>11</v>
      </c>
    </row>
    <row r="3" spans="1:13" ht="30">
      <c r="A3" s="88">
        <v>1</v>
      </c>
      <c r="B3" s="90" t="s">
        <v>487</v>
      </c>
      <c r="C3" s="91" t="s">
        <v>488</v>
      </c>
      <c r="D3" s="92">
        <v>16.03</v>
      </c>
      <c r="E3" s="260">
        <v>17</v>
      </c>
      <c r="F3" s="199"/>
      <c r="G3" s="199"/>
      <c r="H3" s="269">
        <v>4</v>
      </c>
      <c r="I3" s="93">
        <v>13</v>
      </c>
      <c r="J3" s="183">
        <v>12</v>
      </c>
      <c r="K3" s="94">
        <v>1</v>
      </c>
      <c r="L3" s="95">
        <v>16.03</v>
      </c>
      <c r="M3" s="283"/>
    </row>
    <row r="4" spans="1:13" ht="30">
      <c r="A4" s="88">
        <v>1</v>
      </c>
      <c r="B4" s="90" t="s">
        <v>489</v>
      </c>
      <c r="C4" s="91" t="s">
        <v>490</v>
      </c>
      <c r="D4" s="92">
        <v>16.03</v>
      </c>
      <c r="E4" s="260">
        <v>70</v>
      </c>
      <c r="F4" s="199"/>
      <c r="G4" s="199"/>
      <c r="H4" s="269">
        <v>4</v>
      </c>
      <c r="I4" s="93">
        <v>66</v>
      </c>
      <c r="J4" s="183">
        <v>65</v>
      </c>
      <c r="K4" s="94">
        <v>1</v>
      </c>
      <c r="L4" s="95">
        <v>16.029999999999973</v>
      </c>
      <c r="M4" s="283"/>
    </row>
    <row r="5" spans="1:13" ht="30">
      <c r="A5" s="88">
        <v>1</v>
      </c>
      <c r="B5" s="90" t="s">
        <v>499</v>
      </c>
      <c r="C5" s="91" t="s">
        <v>500</v>
      </c>
      <c r="D5" s="92">
        <v>32.130000000000003</v>
      </c>
      <c r="E5" s="260">
        <v>36</v>
      </c>
      <c r="F5" s="199"/>
      <c r="G5" s="199"/>
      <c r="H5" s="269">
        <v>6</v>
      </c>
      <c r="I5" s="93">
        <v>30</v>
      </c>
      <c r="J5" s="183">
        <v>16</v>
      </c>
      <c r="K5" s="94">
        <v>14</v>
      </c>
      <c r="L5" s="95">
        <v>449.82000000000005</v>
      </c>
      <c r="M5" s="283" t="s">
        <v>501</v>
      </c>
    </row>
    <row r="6" spans="1:13" ht="30">
      <c r="A6" s="88">
        <v>1</v>
      </c>
      <c r="B6" s="90" t="s">
        <v>523</v>
      </c>
      <c r="C6" s="91" t="s">
        <v>524</v>
      </c>
      <c r="D6" s="92">
        <v>6.83</v>
      </c>
      <c r="E6" s="260">
        <v>33</v>
      </c>
      <c r="F6" s="199"/>
      <c r="G6" s="199"/>
      <c r="H6" s="269">
        <v>3</v>
      </c>
      <c r="I6" s="93">
        <v>30</v>
      </c>
      <c r="J6" s="183">
        <v>29</v>
      </c>
      <c r="K6" s="94">
        <v>1</v>
      </c>
      <c r="L6" s="95">
        <v>6.8300000000000125</v>
      </c>
      <c r="M6" s="283"/>
    </row>
    <row r="7" spans="1:13">
      <c r="A7" s="88">
        <v>1</v>
      </c>
      <c r="B7" s="90" t="s">
        <v>550</v>
      </c>
      <c r="C7" s="91" t="s">
        <v>551</v>
      </c>
      <c r="D7" s="92">
        <v>7.51</v>
      </c>
      <c r="E7" s="260">
        <v>94</v>
      </c>
      <c r="F7" s="199"/>
      <c r="G7" s="199"/>
      <c r="H7" s="269">
        <v>8</v>
      </c>
      <c r="I7" s="93">
        <v>86</v>
      </c>
      <c r="J7" s="183">
        <v>84</v>
      </c>
      <c r="K7" s="94">
        <v>2</v>
      </c>
      <c r="L7" s="95">
        <v>15.019999999999982</v>
      </c>
      <c r="M7" s="283" t="s">
        <v>552</v>
      </c>
    </row>
    <row r="8" spans="1:13">
      <c r="A8" s="88">
        <v>1</v>
      </c>
      <c r="B8" s="90" t="s">
        <v>558</v>
      </c>
      <c r="C8" s="91" t="s">
        <v>559</v>
      </c>
      <c r="D8" s="92">
        <v>21.34</v>
      </c>
      <c r="E8" s="260">
        <v>7</v>
      </c>
      <c r="F8" s="199"/>
      <c r="G8" s="199"/>
      <c r="H8" s="269"/>
      <c r="I8" s="93">
        <v>7</v>
      </c>
      <c r="J8" s="183">
        <v>5</v>
      </c>
      <c r="K8" s="94">
        <v>2</v>
      </c>
      <c r="L8" s="95">
        <v>42.679999999999993</v>
      </c>
      <c r="M8" s="284">
        <v>45903</v>
      </c>
    </row>
    <row r="9" spans="1:13">
      <c r="A9" s="88">
        <v>1</v>
      </c>
      <c r="B9" s="90" t="s">
        <v>561</v>
      </c>
      <c r="C9" s="91" t="s">
        <v>562</v>
      </c>
      <c r="D9" s="92">
        <v>6.18</v>
      </c>
      <c r="E9" s="260">
        <v>228</v>
      </c>
      <c r="F9" s="199"/>
      <c r="G9" s="199"/>
      <c r="H9" s="269"/>
      <c r="I9" s="93">
        <v>228</v>
      </c>
      <c r="J9" s="183">
        <v>73</v>
      </c>
      <c r="K9" s="94">
        <v>155</v>
      </c>
      <c r="L9" s="95">
        <v>957.9</v>
      </c>
      <c r="M9" s="283"/>
    </row>
    <row r="10" spans="1:13" ht="30">
      <c r="A10" s="88">
        <v>1</v>
      </c>
      <c r="B10" s="90" t="s">
        <v>584</v>
      </c>
      <c r="C10" s="91" t="s">
        <v>585</v>
      </c>
      <c r="D10" s="92">
        <v>34.380000000000003</v>
      </c>
      <c r="E10" s="260">
        <v>5</v>
      </c>
      <c r="F10" s="199"/>
      <c r="G10" s="199"/>
      <c r="H10" s="269">
        <v>2</v>
      </c>
      <c r="I10" s="93">
        <v>3</v>
      </c>
      <c r="J10" s="183">
        <v>2</v>
      </c>
      <c r="K10" s="94">
        <v>1</v>
      </c>
      <c r="L10" s="95">
        <v>34.38000000000001</v>
      </c>
      <c r="M10" s="283"/>
    </row>
    <row r="11" spans="1:13">
      <c r="A11" s="88">
        <v>1</v>
      </c>
      <c r="B11" s="90" t="s">
        <v>590</v>
      </c>
      <c r="C11" s="91" t="s">
        <v>591</v>
      </c>
      <c r="D11" s="92">
        <v>61.5</v>
      </c>
      <c r="E11" s="260">
        <v>19</v>
      </c>
      <c r="F11" s="199"/>
      <c r="G11" s="199"/>
      <c r="H11" s="269">
        <v>3</v>
      </c>
      <c r="I11" s="93">
        <v>16</v>
      </c>
      <c r="J11" s="183">
        <v>15</v>
      </c>
      <c r="K11" s="94">
        <v>1</v>
      </c>
      <c r="L11" s="95">
        <v>61.5</v>
      </c>
      <c r="M11" s="283"/>
    </row>
    <row r="12" spans="1:13">
      <c r="A12" s="88">
        <v>1</v>
      </c>
      <c r="B12" s="90" t="s">
        <v>597</v>
      </c>
      <c r="C12" s="91" t="s">
        <v>598</v>
      </c>
      <c r="D12" s="92">
        <v>30.77</v>
      </c>
      <c r="E12" s="260">
        <v>25</v>
      </c>
      <c r="F12" s="199"/>
      <c r="G12" s="199"/>
      <c r="H12" s="269"/>
      <c r="I12" s="93">
        <v>25</v>
      </c>
      <c r="J12" s="183"/>
      <c r="K12" s="94">
        <v>25</v>
      </c>
      <c r="L12" s="95">
        <v>769.25</v>
      </c>
      <c r="M12" s="283"/>
    </row>
    <row r="13" spans="1:13" ht="30">
      <c r="A13" s="88">
        <v>1</v>
      </c>
      <c r="B13" s="90" t="s">
        <v>603</v>
      </c>
      <c r="C13" s="91" t="s">
        <v>604</v>
      </c>
      <c r="D13" s="92">
        <v>114.79</v>
      </c>
      <c r="E13" s="260">
        <v>22</v>
      </c>
      <c r="F13" s="199"/>
      <c r="G13" s="199"/>
      <c r="H13" s="269"/>
      <c r="I13" s="93">
        <v>22</v>
      </c>
      <c r="J13" s="183">
        <v>21</v>
      </c>
      <c r="K13" s="94">
        <v>1</v>
      </c>
      <c r="L13" s="95">
        <v>114.78999999999996</v>
      </c>
      <c r="M13" s="283"/>
    </row>
    <row r="14" spans="1:13" ht="30">
      <c r="A14" s="88">
        <v>1</v>
      </c>
      <c r="B14" s="90" t="s">
        <v>608</v>
      </c>
      <c r="C14" s="91" t="s">
        <v>609</v>
      </c>
      <c r="D14" s="92">
        <v>36.58</v>
      </c>
      <c r="E14" s="260">
        <v>22</v>
      </c>
      <c r="F14" s="199"/>
      <c r="G14" s="199"/>
      <c r="H14" s="269">
        <v>1</v>
      </c>
      <c r="I14" s="93">
        <v>21</v>
      </c>
      <c r="J14" s="183"/>
      <c r="K14" s="94">
        <v>21</v>
      </c>
      <c r="L14" s="95">
        <v>768.18</v>
      </c>
      <c r="M14" s="283"/>
    </row>
    <row r="15" spans="1:13" ht="30">
      <c r="A15" s="88">
        <v>1</v>
      </c>
      <c r="B15" s="90" t="s">
        <v>610</v>
      </c>
      <c r="C15" s="91" t="s">
        <v>611</v>
      </c>
      <c r="D15" s="92">
        <v>30.77</v>
      </c>
      <c r="E15" s="260">
        <v>9</v>
      </c>
      <c r="F15" s="199"/>
      <c r="G15" s="199"/>
      <c r="H15" s="269"/>
      <c r="I15" s="93">
        <v>9</v>
      </c>
      <c r="J15" s="183"/>
      <c r="K15" s="94">
        <v>9</v>
      </c>
      <c r="L15" s="95">
        <v>276.93</v>
      </c>
      <c r="M15" s="283"/>
    </row>
    <row r="16" spans="1:13">
      <c r="A16" s="88">
        <v>1</v>
      </c>
      <c r="B16" s="90" t="s">
        <v>614</v>
      </c>
      <c r="C16" s="91" t="s">
        <v>615</v>
      </c>
      <c r="D16" s="92">
        <v>16.579999999999998</v>
      </c>
      <c r="E16" s="260">
        <v>18</v>
      </c>
      <c r="F16" s="199">
        <v>80</v>
      </c>
      <c r="G16" s="199"/>
      <c r="H16" s="269">
        <v>3</v>
      </c>
      <c r="I16" s="93">
        <v>95</v>
      </c>
      <c r="J16" s="183">
        <v>94</v>
      </c>
      <c r="K16" s="94">
        <v>1</v>
      </c>
      <c r="L16" s="95">
        <v>16.580000000000155</v>
      </c>
      <c r="M16" s="283"/>
    </row>
    <row r="17" spans="1:13">
      <c r="A17" s="88">
        <v>1</v>
      </c>
      <c r="B17" s="90" t="s">
        <v>616</v>
      </c>
      <c r="C17" s="91" t="s">
        <v>617</v>
      </c>
      <c r="D17" s="92">
        <v>39.479999999999997</v>
      </c>
      <c r="E17" s="260">
        <v>23</v>
      </c>
      <c r="F17" s="199"/>
      <c r="G17" s="199"/>
      <c r="H17" s="269">
        <v>8</v>
      </c>
      <c r="I17" s="93">
        <v>15</v>
      </c>
      <c r="J17" s="183"/>
      <c r="K17" s="94">
        <v>15</v>
      </c>
      <c r="L17" s="95">
        <v>592.19999999999993</v>
      </c>
      <c r="M17" s="283"/>
    </row>
    <row r="18" spans="1:13">
      <c r="A18" s="88">
        <v>1</v>
      </c>
      <c r="B18" s="90" t="s">
        <v>634</v>
      </c>
      <c r="C18" s="91" t="s">
        <v>635</v>
      </c>
      <c r="D18" s="92">
        <v>11.78</v>
      </c>
      <c r="E18" s="260">
        <v>1</v>
      </c>
      <c r="F18" s="199"/>
      <c r="G18" s="199"/>
      <c r="H18" s="269"/>
      <c r="I18" s="93">
        <v>1</v>
      </c>
      <c r="J18" s="183"/>
      <c r="K18" s="94">
        <v>1</v>
      </c>
      <c r="L18" s="95">
        <v>11.78</v>
      </c>
      <c r="M18" s="283"/>
    </row>
    <row r="19" spans="1:13" ht="30">
      <c r="A19" s="88">
        <v>1</v>
      </c>
      <c r="B19" s="90" t="s">
        <v>691</v>
      </c>
      <c r="C19" s="91" t="s">
        <v>692</v>
      </c>
      <c r="D19" s="92">
        <v>21.97</v>
      </c>
      <c r="E19" s="260">
        <v>17</v>
      </c>
      <c r="F19" s="199"/>
      <c r="G19" s="199"/>
      <c r="H19" s="269"/>
      <c r="I19" s="93">
        <v>17</v>
      </c>
      <c r="J19" s="183">
        <v>16</v>
      </c>
      <c r="K19" s="94">
        <v>1</v>
      </c>
      <c r="L19" s="95">
        <v>21.970000000000027</v>
      </c>
      <c r="M19" s="283" t="s">
        <v>693</v>
      </c>
    </row>
    <row r="20" spans="1:13">
      <c r="A20" s="88">
        <v>1</v>
      </c>
      <c r="B20" s="90" t="s">
        <v>736</v>
      </c>
      <c r="C20" s="91" t="s">
        <v>737</v>
      </c>
      <c r="D20" s="92">
        <v>15.65</v>
      </c>
      <c r="E20" s="260">
        <v>129</v>
      </c>
      <c r="F20" s="199"/>
      <c r="G20" s="199"/>
      <c r="H20" s="269">
        <v>1</v>
      </c>
      <c r="I20" s="93">
        <v>128</v>
      </c>
      <c r="J20" s="183">
        <v>75</v>
      </c>
      <c r="K20" s="94">
        <v>53</v>
      </c>
      <c r="L20" s="95">
        <v>829.45</v>
      </c>
      <c r="M20" s="283" t="s">
        <v>738</v>
      </c>
    </row>
    <row r="21" spans="1:13" ht="30">
      <c r="A21" s="88">
        <v>2</v>
      </c>
      <c r="B21" s="90" t="s">
        <v>752</v>
      </c>
      <c r="C21" s="91" t="s">
        <v>753</v>
      </c>
      <c r="D21" s="92">
        <v>147.75</v>
      </c>
      <c r="E21" s="260">
        <v>3</v>
      </c>
      <c r="F21" s="199"/>
      <c r="G21" s="199"/>
      <c r="H21" s="269"/>
      <c r="I21" s="93">
        <v>3</v>
      </c>
      <c r="J21" s="183"/>
      <c r="K21" s="94">
        <v>3</v>
      </c>
      <c r="L21" s="95">
        <v>443.25</v>
      </c>
      <c r="M21" s="283"/>
    </row>
    <row r="22" spans="1:13">
      <c r="A22" s="88">
        <v>2</v>
      </c>
      <c r="B22" s="90" t="s">
        <v>786</v>
      </c>
      <c r="C22" s="91" t="s">
        <v>787</v>
      </c>
      <c r="D22" s="92">
        <v>239.94</v>
      </c>
      <c r="E22" s="260">
        <v>7</v>
      </c>
      <c r="F22" s="199"/>
      <c r="G22" s="199"/>
      <c r="H22" s="269"/>
      <c r="I22" s="93">
        <v>7</v>
      </c>
      <c r="J22" s="183"/>
      <c r="K22" s="94">
        <v>7</v>
      </c>
      <c r="L22" s="95">
        <v>1679.58</v>
      </c>
      <c r="M22" s="283"/>
    </row>
    <row r="23" spans="1:13">
      <c r="A23" s="88">
        <v>3</v>
      </c>
      <c r="B23" s="90" t="s">
        <v>791</v>
      </c>
      <c r="C23" s="91" t="s">
        <v>792</v>
      </c>
      <c r="D23" s="92">
        <v>57.25</v>
      </c>
      <c r="E23" s="260">
        <v>7</v>
      </c>
      <c r="F23" s="199"/>
      <c r="G23" s="199"/>
      <c r="H23" s="269">
        <v>2</v>
      </c>
      <c r="I23" s="93">
        <v>5</v>
      </c>
      <c r="J23" s="183">
        <v>1</v>
      </c>
      <c r="K23" s="94">
        <v>4</v>
      </c>
      <c r="L23" s="95">
        <v>229</v>
      </c>
      <c r="M23" s="283"/>
    </row>
    <row r="24" spans="1:13">
      <c r="A24" s="88">
        <v>3</v>
      </c>
      <c r="B24" s="90" t="s">
        <v>799</v>
      </c>
      <c r="C24" s="91" t="s">
        <v>800</v>
      </c>
      <c r="D24" s="92">
        <v>10.75</v>
      </c>
      <c r="E24" s="260">
        <v>50</v>
      </c>
      <c r="F24" s="199"/>
      <c r="G24" s="199"/>
      <c r="H24" s="269"/>
      <c r="I24" s="93">
        <v>50</v>
      </c>
      <c r="J24" s="183"/>
      <c r="K24" s="94">
        <v>50</v>
      </c>
      <c r="L24" s="95">
        <v>537.5</v>
      </c>
      <c r="M24" s="283"/>
    </row>
    <row r="25" spans="1:13" ht="30">
      <c r="A25" s="88">
        <v>3</v>
      </c>
      <c r="B25" s="90" t="s">
        <v>815</v>
      </c>
      <c r="C25" s="91" t="s">
        <v>816</v>
      </c>
      <c r="D25" s="92">
        <v>58.45</v>
      </c>
      <c r="E25" s="260">
        <v>11</v>
      </c>
      <c r="F25" s="199"/>
      <c r="G25" s="199">
        <v>1</v>
      </c>
      <c r="H25" s="269">
        <v>1</v>
      </c>
      <c r="I25" s="93">
        <v>9</v>
      </c>
      <c r="J25" s="183">
        <v>8</v>
      </c>
      <c r="K25" s="94">
        <v>1</v>
      </c>
      <c r="L25" s="95">
        <v>58.450000000000045</v>
      </c>
      <c r="M25" s="283"/>
    </row>
    <row r="26" spans="1:13" ht="30">
      <c r="A26" s="88">
        <v>3</v>
      </c>
      <c r="B26" s="90" t="s">
        <v>824</v>
      </c>
      <c r="C26" s="91" t="s">
        <v>825</v>
      </c>
      <c r="D26" s="92">
        <v>30.04</v>
      </c>
      <c r="E26" s="260">
        <v>11</v>
      </c>
      <c r="F26" s="199"/>
      <c r="G26" s="199"/>
      <c r="H26" s="269">
        <v>2</v>
      </c>
      <c r="I26" s="93">
        <v>9</v>
      </c>
      <c r="J26" s="183">
        <v>8</v>
      </c>
      <c r="K26" s="94">
        <v>1</v>
      </c>
      <c r="L26" s="95">
        <v>30.04000000000002</v>
      </c>
      <c r="M26" s="283"/>
    </row>
    <row r="27" spans="1:13">
      <c r="A27" s="88">
        <v>3</v>
      </c>
      <c r="B27" s="90" t="s">
        <v>828</v>
      </c>
      <c r="C27" s="91" t="s">
        <v>829</v>
      </c>
      <c r="D27" s="92">
        <v>7.48</v>
      </c>
      <c r="E27" s="260">
        <v>10</v>
      </c>
      <c r="F27" s="199">
        <v>25</v>
      </c>
      <c r="G27" s="199">
        <v>8</v>
      </c>
      <c r="H27" s="269">
        <v>3</v>
      </c>
      <c r="I27" s="93">
        <v>24</v>
      </c>
      <c r="J27" s="183">
        <v>22</v>
      </c>
      <c r="K27" s="94">
        <v>2</v>
      </c>
      <c r="L27" s="95">
        <v>14.960000000000008</v>
      </c>
      <c r="M27" s="283"/>
    </row>
    <row r="28" spans="1:13">
      <c r="A28" s="88">
        <v>3</v>
      </c>
      <c r="B28" s="90" t="s">
        <v>872</v>
      </c>
      <c r="C28" s="91" t="s">
        <v>873</v>
      </c>
      <c r="D28" s="92">
        <v>22.85</v>
      </c>
      <c r="E28" s="260">
        <v>6</v>
      </c>
      <c r="F28" s="199"/>
      <c r="G28" s="199"/>
      <c r="H28" s="80">
        <v>1</v>
      </c>
      <c r="I28" s="93">
        <v>5</v>
      </c>
      <c r="J28" s="183"/>
      <c r="K28" s="94">
        <v>5</v>
      </c>
      <c r="L28" s="95">
        <v>114.25</v>
      </c>
      <c r="M28" s="283"/>
    </row>
    <row r="29" spans="1:13">
      <c r="A29" s="88">
        <v>3</v>
      </c>
      <c r="B29" s="90" t="s">
        <v>880</v>
      </c>
      <c r="C29" s="91" t="s">
        <v>881</v>
      </c>
      <c r="D29" s="92">
        <v>65</v>
      </c>
      <c r="E29" s="260">
        <v>1</v>
      </c>
      <c r="F29" s="199">
        <v>4</v>
      </c>
      <c r="G29" s="199"/>
      <c r="H29" s="269">
        <v>2</v>
      </c>
      <c r="I29" s="93">
        <v>3</v>
      </c>
      <c r="J29" s="183">
        <v>1</v>
      </c>
      <c r="K29" s="94">
        <v>2</v>
      </c>
      <c r="L29" s="95">
        <v>130</v>
      </c>
      <c r="M29" s="283"/>
    </row>
    <row r="30" spans="1:13">
      <c r="A30" s="88">
        <v>3</v>
      </c>
      <c r="B30" s="90" t="s">
        <v>894</v>
      </c>
      <c r="C30" s="91" t="s">
        <v>895</v>
      </c>
      <c r="D30" s="92">
        <v>100</v>
      </c>
      <c r="E30" s="260">
        <v>2</v>
      </c>
      <c r="F30" s="199">
        <v>3</v>
      </c>
      <c r="G30" s="199"/>
      <c r="H30" s="269">
        <v>2</v>
      </c>
      <c r="I30" s="93">
        <v>3</v>
      </c>
      <c r="J30" s="183"/>
      <c r="K30" s="94">
        <v>3</v>
      </c>
      <c r="L30" s="95">
        <v>300</v>
      </c>
      <c r="M30" s="283"/>
    </row>
    <row r="31" spans="1:13" ht="30">
      <c r="A31" s="88">
        <v>3</v>
      </c>
      <c r="B31" s="90" t="s">
        <v>896</v>
      </c>
      <c r="C31" s="91" t="s">
        <v>897</v>
      </c>
      <c r="D31" s="92">
        <v>89.1</v>
      </c>
      <c r="E31" s="260">
        <v>2</v>
      </c>
      <c r="F31" s="199"/>
      <c r="G31" s="199"/>
      <c r="H31" s="269"/>
      <c r="I31" s="93">
        <v>2</v>
      </c>
      <c r="J31" s="183"/>
      <c r="K31" s="94">
        <v>2</v>
      </c>
      <c r="L31" s="95">
        <v>178.2</v>
      </c>
      <c r="M31" s="283"/>
    </row>
    <row r="32" spans="1:13" ht="30">
      <c r="A32" s="88">
        <v>3</v>
      </c>
      <c r="B32" s="90" t="s">
        <v>898</v>
      </c>
      <c r="C32" s="91" t="s">
        <v>899</v>
      </c>
      <c r="D32" s="92">
        <v>113.65</v>
      </c>
      <c r="E32" s="260">
        <v>1</v>
      </c>
      <c r="F32" s="199"/>
      <c r="G32" s="199"/>
      <c r="H32" s="269"/>
      <c r="I32" s="93">
        <v>1</v>
      </c>
      <c r="J32" s="183"/>
      <c r="K32" s="94">
        <v>1</v>
      </c>
      <c r="L32" s="95">
        <v>113.65</v>
      </c>
      <c r="M32" s="283"/>
    </row>
    <row r="33" spans="1:13" ht="30">
      <c r="A33" s="88">
        <v>3</v>
      </c>
      <c r="B33" s="90" t="s">
        <v>898</v>
      </c>
      <c r="C33" s="91" t="s">
        <v>899</v>
      </c>
      <c r="D33" s="92">
        <v>125</v>
      </c>
      <c r="E33" s="260">
        <v>1</v>
      </c>
      <c r="F33" s="199"/>
      <c r="G33" s="199"/>
      <c r="H33" s="269"/>
      <c r="I33" s="93">
        <v>1</v>
      </c>
      <c r="J33" s="183"/>
      <c r="K33" s="94">
        <v>1</v>
      </c>
      <c r="L33" s="95">
        <v>125</v>
      </c>
      <c r="M33" s="283"/>
    </row>
    <row r="34" spans="1:13" ht="30">
      <c r="A34" s="88">
        <v>3</v>
      </c>
      <c r="B34" s="90" t="s">
        <v>900</v>
      </c>
      <c r="C34" s="91" t="s">
        <v>901</v>
      </c>
      <c r="D34" s="92">
        <v>41.15</v>
      </c>
      <c r="E34" s="260">
        <v>1</v>
      </c>
      <c r="F34" s="199">
        <v>2</v>
      </c>
      <c r="G34" s="199">
        <v>2</v>
      </c>
      <c r="H34" s="269"/>
      <c r="I34" s="93">
        <v>1</v>
      </c>
      <c r="J34" s="183"/>
      <c r="K34" s="94">
        <v>1</v>
      </c>
      <c r="L34" s="95">
        <v>41.15</v>
      </c>
      <c r="M34" s="283"/>
    </row>
    <row r="35" spans="1:13">
      <c r="A35" s="88">
        <v>3</v>
      </c>
      <c r="B35" s="90" t="s">
        <v>906</v>
      </c>
      <c r="C35" s="91" t="s">
        <v>907</v>
      </c>
      <c r="D35" s="92">
        <v>53.9</v>
      </c>
      <c r="E35" s="260">
        <v>2</v>
      </c>
      <c r="F35" s="199">
        <v>5</v>
      </c>
      <c r="G35" s="199">
        <v>3</v>
      </c>
      <c r="H35" s="269">
        <v>2</v>
      </c>
      <c r="I35" s="93">
        <v>2</v>
      </c>
      <c r="J35" s="183">
        <v>1</v>
      </c>
      <c r="K35" s="94">
        <v>1</v>
      </c>
      <c r="L35" s="95">
        <v>53.9</v>
      </c>
      <c r="M35" s="283"/>
    </row>
    <row r="36" spans="1:13">
      <c r="A36" s="88">
        <v>3</v>
      </c>
      <c r="B36" s="90" t="s">
        <v>916</v>
      </c>
      <c r="C36" s="91" t="s">
        <v>917</v>
      </c>
      <c r="D36" s="92">
        <v>41.46</v>
      </c>
      <c r="E36" s="260">
        <v>1</v>
      </c>
      <c r="F36" s="199"/>
      <c r="G36" s="199"/>
      <c r="H36" s="269"/>
      <c r="I36" s="93">
        <v>1</v>
      </c>
      <c r="J36" s="183"/>
      <c r="K36" s="94">
        <v>1</v>
      </c>
      <c r="L36" s="95">
        <v>41.46</v>
      </c>
      <c r="M36" s="283"/>
    </row>
    <row r="37" spans="1:13" ht="30">
      <c r="A37" s="88">
        <v>3</v>
      </c>
      <c r="B37" s="90" t="s">
        <v>928</v>
      </c>
      <c r="C37" s="91" t="s">
        <v>929</v>
      </c>
      <c r="D37" s="92">
        <v>49.65</v>
      </c>
      <c r="E37" s="260">
        <v>2</v>
      </c>
      <c r="F37" s="199"/>
      <c r="G37" s="199"/>
      <c r="H37" s="269"/>
      <c r="I37" s="93">
        <v>2</v>
      </c>
      <c r="J37" s="183"/>
      <c r="K37" s="94">
        <v>2</v>
      </c>
      <c r="L37" s="95">
        <v>99.3</v>
      </c>
      <c r="M37" s="283"/>
    </row>
    <row r="38" spans="1:13">
      <c r="A38" s="88">
        <v>3</v>
      </c>
      <c r="B38" s="90" t="s">
        <v>945</v>
      </c>
      <c r="C38" s="91" t="s">
        <v>946</v>
      </c>
      <c r="D38" s="92">
        <v>12.77</v>
      </c>
      <c r="E38" s="260">
        <v>10</v>
      </c>
      <c r="F38" s="199"/>
      <c r="G38" s="199"/>
      <c r="H38" s="269">
        <v>9</v>
      </c>
      <c r="I38" s="93">
        <v>1</v>
      </c>
      <c r="J38" s="183"/>
      <c r="K38" s="94">
        <v>1</v>
      </c>
      <c r="L38" s="95">
        <v>12.77</v>
      </c>
      <c r="M38" s="283"/>
    </row>
    <row r="39" spans="1:13">
      <c r="A39" s="88">
        <v>3</v>
      </c>
      <c r="B39" s="90" t="s">
        <v>974</v>
      </c>
      <c r="C39" s="91" t="s">
        <v>975</v>
      </c>
      <c r="D39" s="92">
        <v>53.87</v>
      </c>
      <c r="E39" s="260">
        <v>2</v>
      </c>
      <c r="F39" s="199"/>
      <c r="G39" s="199"/>
      <c r="H39" s="269"/>
      <c r="I39" s="93">
        <v>2</v>
      </c>
      <c r="J39" s="183"/>
      <c r="K39" s="94">
        <v>2</v>
      </c>
      <c r="L39" s="95">
        <v>107.74</v>
      </c>
      <c r="M39" s="283"/>
    </row>
    <row r="40" spans="1:13">
      <c r="A40" s="88">
        <v>3</v>
      </c>
      <c r="B40" s="90" t="s">
        <v>986</v>
      </c>
      <c r="C40" s="91" t="s">
        <v>987</v>
      </c>
      <c r="D40" s="92">
        <v>7.41</v>
      </c>
      <c r="E40" s="260">
        <v>3</v>
      </c>
      <c r="F40" s="199">
        <v>25</v>
      </c>
      <c r="G40" s="199">
        <v>4</v>
      </c>
      <c r="H40" s="269">
        <v>8</v>
      </c>
      <c r="I40" s="93">
        <v>16</v>
      </c>
      <c r="J40" s="183">
        <v>3</v>
      </c>
      <c r="K40" s="94">
        <v>13</v>
      </c>
      <c r="L40" s="95">
        <v>96.33</v>
      </c>
      <c r="M40" s="283"/>
    </row>
    <row r="41" spans="1:13" ht="30">
      <c r="A41" s="88">
        <v>3</v>
      </c>
      <c r="B41" s="90" t="s">
        <v>996</v>
      </c>
      <c r="C41" s="91" t="s">
        <v>997</v>
      </c>
      <c r="D41" s="92">
        <v>177.9</v>
      </c>
      <c r="E41" s="260">
        <v>4</v>
      </c>
      <c r="F41" s="199">
        <v>3</v>
      </c>
      <c r="G41" s="199">
        <v>1</v>
      </c>
      <c r="H41" s="269">
        <v>1</v>
      </c>
      <c r="I41" s="93">
        <v>5</v>
      </c>
      <c r="J41" s="183">
        <v>4</v>
      </c>
      <c r="K41" s="94">
        <v>1</v>
      </c>
      <c r="L41" s="95">
        <v>177.89999999999998</v>
      </c>
      <c r="M41" s="283"/>
    </row>
    <row r="42" spans="1:13">
      <c r="A42" s="88">
        <v>3</v>
      </c>
      <c r="B42" s="90" t="s">
        <v>1002</v>
      </c>
      <c r="C42" s="91" t="s">
        <v>1003</v>
      </c>
      <c r="D42" s="92">
        <v>5.68</v>
      </c>
      <c r="E42" s="260">
        <v>1</v>
      </c>
      <c r="F42" s="199"/>
      <c r="G42" s="199"/>
      <c r="H42" s="269"/>
      <c r="I42" s="93">
        <v>1</v>
      </c>
      <c r="J42" s="183"/>
      <c r="K42" s="94">
        <v>1</v>
      </c>
      <c r="L42" s="95">
        <v>5.68</v>
      </c>
      <c r="M42" s="283" t="s">
        <v>1004</v>
      </c>
    </row>
    <row r="43" spans="1:13">
      <c r="A43" s="88">
        <v>3</v>
      </c>
      <c r="B43" s="90" t="s">
        <v>1005</v>
      </c>
      <c r="C43" s="91" t="s">
        <v>1006</v>
      </c>
      <c r="D43" s="92">
        <v>58.8</v>
      </c>
      <c r="E43" s="260">
        <v>6</v>
      </c>
      <c r="F43" s="199"/>
      <c r="G43" s="199"/>
      <c r="H43" s="269"/>
      <c r="I43" s="93">
        <v>6</v>
      </c>
      <c r="J43" s="183"/>
      <c r="K43" s="94">
        <v>6</v>
      </c>
      <c r="L43" s="95">
        <v>352.79999999999995</v>
      </c>
      <c r="M43" s="283"/>
    </row>
    <row r="44" spans="1:13">
      <c r="A44" s="88">
        <v>3</v>
      </c>
      <c r="B44" s="90" t="s">
        <v>1007</v>
      </c>
      <c r="C44" s="91" t="s">
        <v>1008</v>
      </c>
      <c r="D44" s="92">
        <v>59.5</v>
      </c>
      <c r="E44" s="260">
        <v>2</v>
      </c>
      <c r="F44" s="199"/>
      <c r="G44" s="199"/>
      <c r="H44" s="269"/>
      <c r="I44" s="93">
        <v>2</v>
      </c>
      <c r="J44" s="183"/>
      <c r="K44" s="94">
        <v>2</v>
      </c>
      <c r="L44" s="95">
        <v>119</v>
      </c>
      <c r="M44" s="283"/>
    </row>
    <row r="45" spans="1:13" ht="30">
      <c r="A45" s="88">
        <v>3</v>
      </c>
      <c r="B45" s="90" t="s">
        <v>1018</v>
      </c>
      <c r="C45" s="91" t="s">
        <v>1019</v>
      </c>
      <c r="D45" s="92">
        <v>59.5</v>
      </c>
      <c r="E45" s="260">
        <v>7</v>
      </c>
      <c r="F45" s="199"/>
      <c r="G45" s="199"/>
      <c r="H45" s="269"/>
      <c r="I45" s="93">
        <v>7</v>
      </c>
      <c r="J45" s="183"/>
      <c r="K45" s="94">
        <v>7</v>
      </c>
      <c r="L45" s="95">
        <v>416.5</v>
      </c>
      <c r="M45" s="283"/>
    </row>
    <row r="46" spans="1:13">
      <c r="A46" s="88">
        <v>3</v>
      </c>
      <c r="B46" s="90" t="s">
        <v>1034</v>
      </c>
      <c r="C46" s="91" t="s">
        <v>1035</v>
      </c>
      <c r="D46" s="92">
        <v>67.28</v>
      </c>
      <c r="E46" s="260">
        <v>1</v>
      </c>
      <c r="F46" s="199"/>
      <c r="G46" s="199"/>
      <c r="H46" s="269"/>
      <c r="I46" s="93">
        <v>1</v>
      </c>
      <c r="J46" s="183"/>
      <c r="K46" s="94">
        <v>1</v>
      </c>
      <c r="L46" s="95">
        <v>67.28</v>
      </c>
      <c r="M46" s="283"/>
    </row>
    <row r="47" spans="1:13">
      <c r="A47" s="88">
        <v>3</v>
      </c>
      <c r="B47" s="90" t="s">
        <v>1051</v>
      </c>
      <c r="C47" s="91" t="s">
        <v>1052</v>
      </c>
      <c r="D47" s="92">
        <v>6.27</v>
      </c>
      <c r="E47" s="260">
        <v>3</v>
      </c>
      <c r="F47" s="199"/>
      <c r="G47" s="199"/>
      <c r="H47" s="269"/>
      <c r="I47" s="93">
        <v>3</v>
      </c>
      <c r="J47" s="183"/>
      <c r="K47" s="94">
        <v>3</v>
      </c>
      <c r="L47" s="95">
        <v>18.809999999999999</v>
      </c>
      <c r="M47" s="283"/>
    </row>
    <row r="48" spans="1:13">
      <c r="A48" s="88">
        <v>3</v>
      </c>
      <c r="B48" s="90" t="s">
        <v>1073</v>
      </c>
      <c r="C48" s="91" t="s">
        <v>1074</v>
      </c>
      <c r="D48" s="92">
        <v>55</v>
      </c>
      <c r="E48" s="260">
        <v>14</v>
      </c>
      <c r="F48" s="199"/>
      <c r="G48" s="199"/>
      <c r="H48" s="269"/>
      <c r="I48" s="93">
        <v>14</v>
      </c>
      <c r="J48" s="183">
        <v>2</v>
      </c>
      <c r="K48" s="94">
        <v>12</v>
      </c>
      <c r="L48" s="95">
        <v>660</v>
      </c>
      <c r="M48" s="284">
        <v>45843</v>
      </c>
    </row>
    <row r="49" spans="1:13" ht="30">
      <c r="A49" s="88">
        <v>3</v>
      </c>
      <c r="B49" s="90" t="s">
        <v>1076</v>
      </c>
      <c r="C49" s="91" t="s">
        <v>1077</v>
      </c>
      <c r="D49" s="92">
        <v>55</v>
      </c>
      <c r="E49" s="260">
        <v>24</v>
      </c>
      <c r="F49" s="199"/>
      <c r="G49" s="199"/>
      <c r="H49" s="269"/>
      <c r="I49" s="93">
        <v>24</v>
      </c>
      <c r="J49" s="183">
        <v>21</v>
      </c>
      <c r="K49" s="94">
        <v>3</v>
      </c>
      <c r="L49" s="95">
        <v>165</v>
      </c>
      <c r="M49" s="284">
        <v>45361</v>
      </c>
    </row>
    <row r="50" spans="1:13">
      <c r="A50" s="88">
        <v>3</v>
      </c>
      <c r="B50" s="90" t="s">
        <v>1082</v>
      </c>
      <c r="C50" s="91" t="s">
        <v>1083</v>
      </c>
      <c r="D50" s="92">
        <v>60.25</v>
      </c>
      <c r="E50" s="260">
        <v>3</v>
      </c>
      <c r="F50" s="199"/>
      <c r="G50" s="199"/>
      <c r="H50" s="269"/>
      <c r="I50" s="93">
        <v>3</v>
      </c>
      <c r="J50" s="183"/>
      <c r="K50" s="94">
        <v>3</v>
      </c>
      <c r="L50" s="95">
        <v>180.75</v>
      </c>
      <c r="M50" s="283"/>
    </row>
    <row r="51" spans="1:13">
      <c r="A51" s="88">
        <v>3</v>
      </c>
      <c r="B51" s="90" t="s">
        <v>1090</v>
      </c>
      <c r="C51" s="91" t="s">
        <v>1091</v>
      </c>
      <c r="D51" s="92">
        <v>60.25</v>
      </c>
      <c r="E51" s="260">
        <v>5</v>
      </c>
      <c r="F51" s="199"/>
      <c r="G51" s="199">
        <v>2</v>
      </c>
      <c r="H51" s="269">
        <v>2</v>
      </c>
      <c r="I51" s="93">
        <v>1</v>
      </c>
      <c r="J51" s="183"/>
      <c r="K51" s="94">
        <v>1</v>
      </c>
      <c r="L51" s="95">
        <v>60.25</v>
      </c>
      <c r="M51" s="283"/>
    </row>
    <row r="52" spans="1:13">
      <c r="A52" s="88">
        <v>3</v>
      </c>
      <c r="B52" s="90" t="s">
        <v>1096</v>
      </c>
      <c r="C52" s="91" t="s">
        <v>1097</v>
      </c>
      <c r="D52" s="92">
        <v>60.25</v>
      </c>
      <c r="E52" s="260">
        <v>3</v>
      </c>
      <c r="F52" s="199"/>
      <c r="G52" s="199">
        <v>2</v>
      </c>
      <c r="H52" s="269"/>
      <c r="I52" s="93">
        <v>1</v>
      </c>
      <c r="J52" s="183"/>
      <c r="K52" s="94">
        <v>1</v>
      </c>
      <c r="L52" s="95">
        <v>60.25</v>
      </c>
      <c r="M52" s="283"/>
    </row>
    <row r="53" spans="1:13">
      <c r="A53" s="88">
        <v>3</v>
      </c>
      <c r="B53" s="90" t="s">
        <v>1100</v>
      </c>
      <c r="C53" s="91" t="s">
        <v>1101</v>
      </c>
      <c r="D53" s="92">
        <v>123.9</v>
      </c>
      <c r="E53" s="260">
        <v>1</v>
      </c>
      <c r="F53" s="199"/>
      <c r="G53" s="199"/>
      <c r="H53" s="269"/>
      <c r="I53" s="93">
        <v>1</v>
      </c>
      <c r="J53" s="183"/>
      <c r="K53" s="94">
        <v>1</v>
      </c>
      <c r="L53" s="95">
        <v>123.9</v>
      </c>
      <c r="M53" s="283"/>
    </row>
    <row r="54" spans="1:13">
      <c r="A54" s="88">
        <v>3</v>
      </c>
      <c r="B54" s="90" t="s">
        <v>1106</v>
      </c>
      <c r="C54" s="91" t="s">
        <v>1107</v>
      </c>
      <c r="D54" s="92">
        <v>56.37</v>
      </c>
      <c r="E54" s="260">
        <v>3</v>
      </c>
      <c r="F54" s="199"/>
      <c r="G54" s="199"/>
      <c r="H54" s="269"/>
      <c r="I54" s="93">
        <v>3</v>
      </c>
      <c r="J54" s="183"/>
      <c r="K54" s="94">
        <v>3</v>
      </c>
      <c r="L54" s="95">
        <v>169.10999999999999</v>
      </c>
      <c r="M54" s="283"/>
    </row>
    <row r="55" spans="1:13">
      <c r="A55" s="88">
        <v>4</v>
      </c>
      <c r="B55" s="90" t="s">
        <v>1122</v>
      </c>
      <c r="C55" s="91" t="s">
        <v>1123</v>
      </c>
      <c r="D55" s="92">
        <v>7.5</v>
      </c>
      <c r="E55" s="260">
        <v>171</v>
      </c>
      <c r="F55" s="199"/>
      <c r="G55" s="199"/>
      <c r="H55" s="269">
        <v>6</v>
      </c>
      <c r="I55" s="93">
        <v>165</v>
      </c>
      <c r="J55" s="183">
        <v>161</v>
      </c>
      <c r="K55" s="94">
        <v>4</v>
      </c>
      <c r="L55" s="95">
        <v>30</v>
      </c>
      <c r="M55" s="283" t="s">
        <v>1124</v>
      </c>
    </row>
    <row r="56" spans="1:13">
      <c r="A56" s="88">
        <v>4</v>
      </c>
      <c r="B56" s="90" t="s">
        <v>1164</v>
      </c>
      <c r="C56" s="91" t="s">
        <v>1165</v>
      </c>
      <c r="D56" s="92">
        <v>1.77</v>
      </c>
      <c r="E56" s="260">
        <v>2</v>
      </c>
      <c r="F56" s="199"/>
      <c r="G56" s="199"/>
      <c r="H56" s="269"/>
      <c r="I56" s="93">
        <v>2</v>
      </c>
      <c r="J56" s="183"/>
      <c r="K56" s="94">
        <v>2</v>
      </c>
      <c r="L56" s="95">
        <v>3.54</v>
      </c>
      <c r="M56" s="283"/>
    </row>
    <row r="57" spans="1:13">
      <c r="A57" s="88">
        <v>4</v>
      </c>
      <c r="B57" s="90" t="s">
        <v>1186</v>
      </c>
      <c r="C57" s="91" t="s">
        <v>1187</v>
      </c>
      <c r="D57" s="92">
        <v>33.76</v>
      </c>
      <c r="E57" s="260">
        <v>1</v>
      </c>
      <c r="F57" s="199">
        <v>10</v>
      </c>
      <c r="G57" s="199"/>
      <c r="H57" s="269"/>
      <c r="I57" s="93">
        <v>11</v>
      </c>
      <c r="J57" s="183">
        <v>9</v>
      </c>
      <c r="K57" s="94">
        <v>2</v>
      </c>
      <c r="L57" s="95">
        <v>67.519999999999982</v>
      </c>
      <c r="M57" s="283"/>
    </row>
    <row r="58" spans="1:13">
      <c r="A58" s="88">
        <v>4</v>
      </c>
      <c r="B58" s="90" t="s">
        <v>1194</v>
      </c>
      <c r="C58" s="91" t="s">
        <v>1195</v>
      </c>
      <c r="D58" s="92">
        <v>41.46</v>
      </c>
      <c r="E58" s="260">
        <v>1</v>
      </c>
      <c r="F58" s="199"/>
      <c r="G58" s="199"/>
      <c r="H58" s="269"/>
      <c r="I58" s="93">
        <v>1</v>
      </c>
      <c r="J58" s="183"/>
      <c r="K58" s="94">
        <v>1</v>
      </c>
      <c r="L58" s="95">
        <v>41.46</v>
      </c>
      <c r="M58" s="283"/>
    </row>
    <row r="59" spans="1:13" ht="30">
      <c r="A59" s="88">
        <v>4</v>
      </c>
      <c r="B59" s="90" t="s">
        <v>1206</v>
      </c>
      <c r="C59" s="91" t="s">
        <v>1207</v>
      </c>
      <c r="D59" s="92">
        <v>58.14</v>
      </c>
      <c r="E59" s="260">
        <v>2</v>
      </c>
      <c r="F59" s="199"/>
      <c r="G59" s="199"/>
      <c r="H59" s="269">
        <v>1</v>
      </c>
      <c r="I59" s="93">
        <v>1</v>
      </c>
      <c r="J59" s="183"/>
      <c r="K59" s="94">
        <v>1</v>
      </c>
      <c r="L59" s="95">
        <v>58.14</v>
      </c>
      <c r="M59" s="283"/>
    </row>
    <row r="60" spans="1:13">
      <c r="A60" s="88">
        <v>4</v>
      </c>
      <c r="B60" s="90" t="s">
        <v>4720</v>
      </c>
      <c r="C60" s="91" t="s">
        <v>4965</v>
      </c>
      <c r="D60" s="92">
        <v>50.88</v>
      </c>
      <c r="E60" s="260"/>
      <c r="F60" s="199">
        <v>24</v>
      </c>
      <c r="G60" s="199"/>
      <c r="H60" s="269">
        <v>1</v>
      </c>
      <c r="I60" s="93">
        <v>23</v>
      </c>
      <c r="J60" s="183">
        <v>22</v>
      </c>
      <c r="K60" s="94">
        <v>1</v>
      </c>
      <c r="L60" s="95">
        <v>50.879999999999882</v>
      </c>
      <c r="M60" s="283"/>
    </row>
    <row r="61" spans="1:13">
      <c r="A61" s="88">
        <v>4</v>
      </c>
      <c r="B61" s="90" t="s">
        <v>1229</v>
      </c>
      <c r="C61" s="91" t="s">
        <v>1230</v>
      </c>
      <c r="D61" s="92">
        <v>38</v>
      </c>
      <c r="E61" s="260">
        <v>6</v>
      </c>
      <c r="F61" s="199"/>
      <c r="G61" s="199"/>
      <c r="H61" s="269">
        <v>1</v>
      </c>
      <c r="I61" s="93">
        <v>5</v>
      </c>
      <c r="J61" s="183">
        <v>4</v>
      </c>
      <c r="K61" s="94">
        <v>1</v>
      </c>
      <c r="L61" s="95">
        <v>38</v>
      </c>
      <c r="M61" s="283" t="s">
        <v>1231</v>
      </c>
    </row>
    <row r="62" spans="1:13">
      <c r="A62" s="88">
        <v>4</v>
      </c>
      <c r="B62" s="90" t="s">
        <v>1238</v>
      </c>
      <c r="C62" s="91" t="s">
        <v>1239</v>
      </c>
      <c r="D62" s="92">
        <v>21.48</v>
      </c>
      <c r="E62" s="260">
        <v>2</v>
      </c>
      <c r="F62" s="199"/>
      <c r="G62" s="199"/>
      <c r="H62" s="269"/>
      <c r="I62" s="93">
        <v>2</v>
      </c>
      <c r="J62" s="183">
        <v>1</v>
      </c>
      <c r="K62" s="94">
        <v>1</v>
      </c>
      <c r="L62" s="95">
        <v>21.48</v>
      </c>
      <c r="M62" s="283" t="s">
        <v>1240</v>
      </c>
    </row>
    <row r="63" spans="1:13" ht="30">
      <c r="A63" s="88">
        <v>4</v>
      </c>
      <c r="B63" s="90" t="s">
        <v>1245</v>
      </c>
      <c r="C63" s="91" t="s">
        <v>1246</v>
      </c>
      <c r="D63" s="92">
        <v>23.97</v>
      </c>
      <c r="E63" s="260">
        <v>1</v>
      </c>
      <c r="F63" s="199"/>
      <c r="G63" s="199"/>
      <c r="H63" s="269"/>
      <c r="I63" s="93">
        <v>1</v>
      </c>
      <c r="J63" s="183"/>
      <c r="K63" s="94">
        <v>1</v>
      </c>
      <c r="L63" s="95">
        <v>23.97</v>
      </c>
      <c r="M63" s="283"/>
    </row>
    <row r="64" spans="1:13">
      <c r="A64" s="88">
        <v>4</v>
      </c>
      <c r="B64" s="90" t="s">
        <v>1261</v>
      </c>
      <c r="C64" s="91" t="s">
        <v>1262</v>
      </c>
      <c r="D64" s="92">
        <v>13.77</v>
      </c>
      <c r="E64" s="260">
        <v>6</v>
      </c>
      <c r="F64" s="199">
        <v>12</v>
      </c>
      <c r="G64" s="199"/>
      <c r="H64" s="269"/>
      <c r="I64" s="93">
        <v>18</v>
      </c>
      <c r="J64" s="277">
        <v>12</v>
      </c>
      <c r="K64" s="94">
        <v>6</v>
      </c>
      <c r="L64" s="95">
        <v>82.619999999999976</v>
      </c>
      <c r="M64" s="283"/>
    </row>
    <row r="65" spans="1:13" ht="30">
      <c r="A65" s="88">
        <v>5</v>
      </c>
      <c r="B65" s="90" t="s">
        <v>1279</v>
      </c>
      <c r="C65" s="91" t="s">
        <v>1280</v>
      </c>
      <c r="D65" s="92">
        <v>99.12</v>
      </c>
      <c r="E65" s="260">
        <v>9</v>
      </c>
      <c r="F65" s="199"/>
      <c r="G65" s="199"/>
      <c r="H65" s="269"/>
      <c r="I65" s="93">
        <v>9</v>
      </c>
      <c r="J65" s="183"/>
      <c r="K65" s="94">
        <v>9</v>
      </c>
      <c r="L65" s="95">
        <v>892.08</v>
      </c>
      <c r="M65" s="283"/>
    </row>
    <row r="66" spans="1:13" ht="30">
      <c r="A66" s="88">
        <v>5</v>
      </c>
      <c r="B66" s="90" t="s">
        <v>1308</v>
      </c>
      <c r="C66" s="91" t="s">
        <v>1309</v>
      </c>
      <c r="D66" s="92">
        <v>7.5</v>
      </c>
      <c r="E66" s="260">
        <v>240</v>
      </c>
      <c r="F66" s="199"/>
      <c r="G66" s="199"/>
      <c r="H66" s="269">
        <v>5</v>
      </c>
      <c r="I66" s="93">
        <v>235</v>
      </c>
      <c r="J66" s="183">
        <v>137</v>
      </c>
      <c r="K66" s="94">
        <v>98</v>
      </c>
      <c r="L66" s="95">
        <v>735</v>
      </c>
      <c r="M66" s="283" t="s">
        <v>1310</v>
      </c>
    </row>
    <row r="67" spans="1:13" ht="30">
      <c r="A67" s="88">
        <v>5</v>
      </c>
      <c r="B67" s="90" t="s">
        <v>1314</v>
      </c>
      <c r="C67" s="91" t="s">
        <v>1315</v>
      </c>
      <c r="D67" s="92">
        <v>14.37</v>
      </c>
      <c r="E67" s="260">
        <v>61</v>
      </c>
      <c r="F67" s="199"/>
      <c r="G67" s="199"/>
      <c r="H67" s="269"/>
      <c r="I67" s="93">
        <v>61</v>
      </c>
      <c r="J67" s="183"/>
      <c r="K67" s="94">
        <v>61</v>
      </c>
      <c r="L67" s="95">
        <v>876.56999999999994</v>
      </c>
      <c r="M67" s="284">
        <v>45672</v>
      </c>
    </row>
    <row r="68" spans="1:13" ht="30">
      <c r="A68" s="88">
        <v>5</v>
      </c>
      <c r="B68" s="90" t="s">
        <v>1320</v>
      </c>
      <c r="C68" s="91" t="s">
        <v>1321</v>
      </c>
      <c r="D68" s="92">
        <v>11.76</v>
      </c>
      <c r="E68" s="260">
        <v>251</v>
      </c>
      <c r="F68" s="199"/>
      <c r="G68" s="199">
        <v>152</v>
      </c>
      <c r="H68" s="269"/>
      <c r="I68" s="93">
        <v>99</v>
      </c>
      <c r="J68" s="183">
        <v>98</v>
      </c>
      <c r="K68" s="94">
        <v>1</v>
      </c>
      <c r="L68" s="95">
        <v>11.759999999999991</v>
      </c>
      <c r="M68" s="283"/>
    </row>
    <row r="69" spans="1:13" ht="30">
      <c r="A69" s="88">
        <v>5</v>
      </c>
      <c r="B69" s="90" t="s">
        <v>1340</v>
      </c>
      <c r="C69" s="91" t="s">
        <v>1341</v>
      </c>
      <c r="D69" s="92">
        <v>11.39</v>
      </c>
      <c r="E69" s="260">
        <v>122</v>
      </c>
      <c r="F69" s="199"/>
      <c r="G69" s="199">
        <v>120</v>
      </c>
      <c r="H69" s="269"/>
      <c r="I69" s="93">
        <v>2</v>
      </c>
      <c r="J69" s="183"/>
      <c r="K69" s="94">
        <v>2</v>
      </c>
      <c r="L69" s="95">
        <v>22.78</v>
      </c>
      <c r="M69" s="283" t="s">
        <v>1342</v>
      </c>
    </row>
    <row r="70" spans="1:13" ht="30">
      <c r="A70" s="88">
        <v>5</v>
      </c>
      <c r="B70" s="90" t="s">
        <v>1349</v>
      </c>
      <c r="C70" s="91" t="s">
        <v>1350</v>
      </c>
      <c r="D70" s="92">
        <v>38.57</v>
      </c>
      <c r="E70" s="260">
        <v>20</v>
      </c>
      <c r="F70" s="199"/>
      <c r="G70" s="199"/>
      <c r="H70" s="269"/>
      <c r="I70" s="93">
        <v>20</v>
      </c>
      <c r="J70" s="183">
        <v>16</v>
      </c>
      <c r="K70" s="94">
        <v>4</v>
      </c>
      <c r="L70" s="95">
        <v>154.27999999999997</v>
      </c>
      <c r="M70" s="283"/>
    </row>
    <row r="71" spans="1:13" ht="30">
      <c r="A71" s="88">
        <v>5</v>
      </c>
      <c r="B71" s="90" t="s">
        <v>1357</v>
      </c>
      <c r="C71" s="91" t="s">
        <v>1358</v>
      </c>
      <c r="D71" s="92">
        <v>11.5</v>
      </c>
      <c r="E71" s="260">
        <v>65</v>
      </c>
      <c r="F71" s="199"/>
      <c r="G71" s="199"/>
      <c r="H71" s="269">
        <v>12</v>
      </c>
      <c r="I71" s="93">
        <v>53</v>
      </c>
      <c r="J71" s="183">
        <v>47</v>
      </c>
      <c r="K71" s="94">
        <v>6</v>
      </c>
      <c r="L71" s="95">
        <v>69</v>
      </c>
      <c r="M71" s="283"/>
    </row>
    <row r="72" spans="1:13">
      <c r="A72" s="88">
        <v>5</v>
      </c>
      <c r="B72" s="90" t="s">
        <v>1386</v>
      </c>
      <c r="C72" s="91" t="s">
        <v>1387</v>
      </c>
      <c r="D72" s="92">
        <v>12.6</v>
      </c>
      <c r="E72" s="260">
        <v>22</v>
      </c>
      <c r="F72" s="199"/>
      <c r="G72" s="199"/>
      <c r="H72" s="269">
        <v>5</v>
      </c>
      <c r="I72" s="93">
        <v>17</v>
      </c>
      <c r="J72" s="183">
        <v>14</v>
      </c>
      <c r="K72" s="94">
        <v>3</v>
      </c>
      <c r="L72" s="95">
        <v>37.799999999999983</v>
      </c>
      <c r="M72" s="283" t="s">
        <v>1388</v>
      </c>
    </row>
    <row r="73" spans="1:13">
      <c r="A73" s="88">
        <v>5</v>
      </c>
      <c r="B73" s="90" t="s">
        <v>1394</v>
      </c>
      <c r="C73" s="91" t="s">
        <v>1395</v>
      </c>
      <c r="D73" s="92">
        <v>300</v>
      </c>
      <c r="E73" s="260">
        <v>17</v>
      </c>
      <c r="F73" s="199"/>
      <c r="G73" s="199"/>
      <c r="H73" s="269">
        <v>3</v>
      </c>
      <c r="I73" s="93">
        <v>14</v>
      </c>
      <c r="J73" s="183">
        <v>13</v>
      </c>
      <c r="K73" s="94">
        <v>1</v>
      </c>
      <c r="L73" s="95">
        <v>300</v>
      </c>
      <c r="M73" s="283"/>
    </row>
    <row r="74" spans="1:13">
      <c r="A74" s="88">
        <v>5</v>
      </c>
      <c r="B74" s="90" t="s">
        <v>1409</v>
      </c>
      <c r="C74" s="91" t="s">
        <v>1410</v>
      </c>
      <c r="D74" s="92">
        <v>100.03</v>
      </c>
      <c r="E74" s="260">
        <v>26</v>
      </c>
      <c r="F74" s="199"/>
      <c r="G74" s="199"/>
      <c r="H74" s="269"/>
      <c r="I74" s="93">
        <v>26</v>
      </c>
      <c r="J74" s="183"/>
      <c r="K74" s="94">
        <v>26</v>
      </c>
      <c r="L74" s="95">
        <v>2600.7800000000002</v>
      </c>
      <c r="M74" s="283"/>
    </row>
    <row r="75" spans="1:13" ht="30">
      <c r="A75" s="88">
        <v>5</v>
      </c>
      <c r="B75" s="90" t="s">
        <v>1417</v>
      </c>
      <c r="C75" s="91" t="s">
        <v>1418</v>
      </c>
      <c r="D75" s="92">
        <v>13.21</v>
      </c>
      <c r="E75" s="260">
        <v>34</v>
      </c>
      <c r="F75" s="199"/>
      <c r="G75" s="199"/>
      <c r="H75" s="269">
        <v>2</v>
      </c>
      <c r="I75" s="93">
        <v>32</v>
      </c>
      <c r="J75" s="183"/>
      <c r="K75" s="94">
        <v>32</v>
      </c>
      <c r="L75" s="95">
        <v>422.72</v>
      </c>
      <c r="M75" s="283"/>
    </row>
    <row r="76" spans="1:13">
      <c r="A76" s="88">
        <v>5</v>
      </c>
      <c r="B76" s="90" t="s">
        <v>1429</v>
      </c>
      <c r="C76" s="91" t="s">
        <v>1430</v>
      </c>
      <c r="D76" s="92">
        <v>18.57</v>
      </c>
      <c r="E76" s="260">
        <v>134</v>
      </c>
      <c r="F76" s="199"/>
      <c r="G76" s="199"/>
      <c r="H76" s="269">
        <v>10</v>
      </c>
      <c r="I76" s="93">
        <v>124</v>
      </c>
      <c r="J76" s="183">
        <v>120</v>
      </c>
      <c r="K76" s="94">
        <v>4</v>
      </c>
      <c r="L76" s="95">
        <v>74.279999999999745</v>
      </c>
      <c r="M76" s="283"/>
    </row>
    <row r="77" spans="1:13">
      <c r="A77" s="88">
        <v>5</v>
      </c>
      <c r="B77" s="90" t="s">
        <v>1431</v>
      </c>
      <c r="C77" s="91" t="s">
        <v>1432</v>
      </c>
      <c r="D77" s="92">
        <v>18.57</v>
      </c>
      <c r="E77" s="260">
        <v>6</v>
      </c>
      <c r="F77" s="199"/>
      <c r="G77" s="199"/>
      <c r="H77" s="269">
        <v>4</v>
      </c>
      <c r="I77" s="93">
        <v>2</v>
      </c>
      <c r="J77" s="183"/>
      <c r="K77" s="94">
        <v>2</v>
      </c>
      <c r="L77" s="95">
        <v>37.14</v>
      </c>
      <c r="M77" s="283" t="s">
        <v>1433</v>
      </c>
    </row>
    <row r="78" spans="1:13">
      <c r="A78" s="88">
        <v>5</v>
      </c>
      <c r="B78" s="90" t="s">
        <v>1452</v>
      </c>
      <c r="C78" s="91" t="s">
        <v>1453</v>
      </c>
      <c r="D78" s="92">
        <v>109.57</v>
      </c>
      <c r="E78" s="260">
        <v>22</v>
      </c>
      <c r="F78" s="199"/>
      <c r="G78" s="199"/>
      <c r="H78" s="269">
        <v>11</v>
      </c>
      <c r="I78" s="93">
        <v>11</v>
      </c>
      <c r="J78" s="183">
        <v>10</v>
      </c>
      <c r="K78" s="94">
        <v>1</v>
      </c>
      <c r="L78" s="95">
        <v>109.57000000000016</v>
      </c>
      <c r="M78" s="283"/>
    </row>
    <row r="79" spans="1:13">
      <c r="A79" s="88">
        <v>5</v>
      </c>
      <c r="B79" s="90" t="s">
        <v>1456</v>
      </c>
      <c r="C79" s="91" t="s">
        <v>1457</v>
      </c>
      <c r="D79" s="92">
        <v>202</v>
      </c>
      <c r="E79" s="260">
        <v>7</v>
      </c>
      <c r="F79" s="199"/>
      <c r="G79" s="199"/>
      <c r="H79" s="269">
        <v>6</v>
      </c>
      <c r="I79" s="93">
        <v>1</v>
      </c>
      <c r="J79" s="183"/>
      <c r="K79" s="94">
        <v>1</v>
      </c>
      <c r="L79" s="95">
        <v>202</v>
      </c>
      <c r="M79" s="283"/>
    </row>
    <row r="80" spans="1:13">
      <c r="A80" s="88">
        <v>5</v>
      </c>
      <c r="B80" s="90" t="s">
        <v>1486</v>
      </c>
      <c r="C80" s="91" t="s">
        <v>1487</v>
      </c>
      <c r="D80" s="92">
        <v>17.809999999999999</v>
      </c>
      <c r="E80" s="260">
        <v>28</v>
      </c>
      <c r="F80" s="199"/>
      <c r="G80" s="199"/>
      <c r="H80" s="269"/>
      <c r="I80" s="93">
        <v>28</v>
      </c>
      <c r="J80" s="183">
        <v>18</v>
      </c>
      <c r="K80" s="94">
        <v>10</v>
      </c>
      <c r="L80" s="95">
        <v>178.09999999999997</v>
      </c>
      <c r="M80" s="284">
        <v>44967</v>
      </c>
    </row>
    <row r="81" spans="1:13" ht="30">
      <c r="A81" s="88">
        <v>6</v>
      </c>
      <c r="B81" s="90" t="s">
        <v>1489</v>
      </c>
      <c r="C81" s="91" t="s">
        <v>1490</v>
      </c>
      <c r="D81" s="92">
        <v>49.8</v>
      </c>
      <c r="E81" s="260">
        <v>5</v>
      </c>
      <c r="F81" s="199"/>
      <c r="G81" s="199"/>
      <c r="H81" s="269"/>
      <c r="I81" s="93">
        <v>5</v>
      </c>
      <c r="J81" s="183">
        <v>2</v>
      </c>
      <c r="K81" s="94">
        <v>3</v>
      </c>
      <c r="L81" s="95">
        <v>149.4</v>
      </c>
      <c r="M81" s="283"/>
    </row>
    <row r="82" spans="1:13">
      <c r="A82" s="88">
        <v>6</v>
      </c>
      <c r="B82" s="90" t="s">
        <v>1491</v>
      </c>
      <c r="C82" s="91" t="s">
        <v>1492</v>
      </c>
      <c r="D82" s="92">
        <v>140</v>
      </c>
      <c r="E82" s="260">
        <v>1</v>
      </c>
      <c r="F82" s="199">
        <v>16</v>
      </c>
      <c r="G82" s="199"/>
      <c r="H82" s="269">
        <v>7</v>
      </c>
      <c r="I82" s="93">
        <v>10</v>
      </c>
      <c r="J82" s="183">
        <v>9</v>
      </c>
      <c r="K82" s="94">
        <v>1</v>
      </c>
      <c r="L82" s="95">
        <v>140</v>
      </c>
      <c r="M82" s="283"/>
    </row>
    <row r="83" spans="1:13">
      <c r="A83" s="88">
        <v>6</v>
      </c>
      <c r="B83" s="90" t="s">
        <v>1493</v>
      </c>
      <c r="C83" s="91" t="s">
        <v>1494</v>
      </c>
      <c r="D83" s="92">
        <v>25.8</v>
      </c>
      <c r="E83" s="260">
        <v>17</v>
      </c>
      <c r="F83" s="199"/>
      <c r="G83" s="199"/>
      <c r="H83" s="269"/>
      <c r="I83" s="93">
        <v>17</v>
      </c>
      <c r="J83" s="183">
        <v>11</v>
      </c>
      <c r="K83" s="94">
        <v>6</v>
      </c>
      <c r="L83" s="95">
        <v>154.80000000000001</v>
      </c>
      <c r="M83" s="283"/>
    </row>
    <row r="84" spans="1:13">
      <c r="A84" s="88">
        <v>6</v>
      </c>
      <c r="B84" s="90" t="s">
        <v>1497</v>
      </c>
      <c r="C84" s="91" t="s">
        <v>1498</v>
      </c>
      <c r="D84" s="92">
        <v>48.6</v>
      </c>
      <c r="E84" s="260">
        <v>35</v>
      </c>
      <c r="F84" s="199"/>
      <c r="G84" s="199"/>
      <c r="H84" s="269">
        <v>31</v>
      </c>
      <c r="I84" s="93">
        <v>4</v>
      </c>
      <c r="J84" s="183"/>
      <c r="K84" s="94">
        <v>4</v>
      </c>
      <c r="L84" s="95">
        <v>194.4</v>
      </c>
      <c r="M84" s="283"/>
    </row>
    <row r="85" spans="1:13">
      <c r="A85" s="88">
        <v>6</v>
      </c>
      <c r="B85" s="90" t="s">
        <v>1513</v>
      </c>
      <c r="C85" s="91" t="s">
        <v>1514</v>
      </c>
      <c r="D85" s="92">
        <v>32</v>
      </c>
      <c r="E85" s="260">
        <v>159</v>
      </c>
      <c r="F85" s="199"/>
      <c r="G85" s="199"/>
      <c r="H85" s="269"/>
      <c r="I85" s="93">
        <v>159</v>
      </c>
      <c r="J85" s="183">
        <v>146</v>
      </c>
      <c r="K85" s="94">
        <v>13</v>
      </c>
      <c r="L85" s="95">
        <v>416</v>
      </c>
      <c r="M85" s="283" t="s">
        <v>1515</v>
      </c>
    </row>
    <row r="86" spans="1:13" ht="30">
      <c r="A86" s="88">
        <v>6</v>
      </c>
      <c r="B86" s="90" t="s">
        <v>1522</v>
      </c>
      <c r="C86" s="91" t="s">
        <v>1523</v>
      </c>
      <c r="D86" s="92">
        <v>15.35</v>
      </c>
      <c r="E86" s="260">
        <v>47</v>
      </c>
      <c r="F86" s="199"/>
      <c r="G86" s="199"/>
      <c r="H86" s="269"/>
      <c r="I86" s="93">
        <v>47</v>
      </c>
      <c r="J86" s="183"/>
      <c r="K86" s="94">
        <v>47</v>
      </c>
      <c r="L86" s="95">
        <v>721.44999999999993</v>
      </c>
      <c r="M86" s="283"/>
    </row>
    <row r="87" spans="1:13">
      <c r="A87" s="88">
        <v>6</v>
      </c>
      <c r="B87" s="90" t="s">
        <v>1526</v>
      </c>
      <c r="C87" s="91" t="s">
        <v>1527</v>
      </c>
      <c r="D87" s="92">
        <v>8.75</v>
      </c>
      <c r="E87" s="260">
        <v>115</v>
      </c>
      <c r="F87" s="199"/>
      <c r="G87" s="199"/>
      <c r="H87" s="269">
        <v>1</v>
      </c>
      <c r="I87" s="93">
        <v>114</v>
      </c>
      <c r="J87" s="183">
        <v>75</v>
      </c>
      <c r="K87" s="94">
        <v>39</v>
      </c>
      <c r="L87" s="95">
        <v>341.25</v>
      </c>
      <c r="M87" s="284">
        <v>45709</v>
      </c>
    </row>
    <row r="88" spans="1:13">
      <c r="A88" s="88">
        <v>6</v>
      </c>
      <c r="B88" s="90" t="s">
        <v>1556</v>
      </c>
      <c r="C88" s="91" t="s">
        <v>1557</v>
      </c>
      <c r="D88" s="92">
        <v>15</v>
      </c>
      <c r="E88" s="260">
        <v>13</v>
      </c>
      <c r="F88" s="199"/>
      <c r="G88" s="199"/>
      <c r="H88" s="269">
        <v>3</v>
      </c>
      <c r="I88" s="93">
        <v>10</v>
      </c>
      <c r="J88" s="183">
        <v>9</v>
      </c>
      <c r="K88" s="94">
        <v>1</v>
      </c>
      <c r="L88" s="95">
        <v>15</v>
      </c>
      <c r="M88" s="283"/>
    </row>
    <row r="89" spans="1:13" ht="30">
      <c r="A89" s="88">
        <v>6</v>
      </c>
      <c r="B89" s="90" t="s">
        <v>1568</v>
      </c>
      <c r="C89" s="91" t="s">
        <v>1569</v>
      </c>
      <c r="D89" s="92">
        <v>14</v>
      </c>
      <c r="E89" s="260">
        <v>42</v>
      </c>
      <c r="F89" s="199"/>
      <c r="G89" s="199"/>
      <c r="H89" s="269"/>
      <c r="I89" s="93">
        <v>42</v>
      </c>
      <c r="J89" s="183">
        <v>38</v>
      </c>
      <c r="K89" s="94">
        <v>4</v>
      </c>
      <c r="L89" s="95">
        <v>56</v>
      </c>
      <c r="M89" s="283"/>
    </row>
    <row r="90" spans="1:13">
      <c r="A90" s="88">
        <v>6</v>
      </c>
      <c r="B90" s="90" t="s">
        <v>1578</v>
      </c>
      <c r="C90" s="91" t="s">
        <v>1579</v>
      </c>
      <c r="D90" s="92">
        <v>10</v>
      </c>
      <c r="E90" s="260">
        <v>46</v>
      </c>
      <c r="F90" s="199"/>
      <c r="G90" s="199"/>
      <c r="H90" s="269"/>
      <c r="I90" s="93">
        <v>46</v>
      </c>
      <c r="J90" s="183">
        <v>18</v>
      </c>
      <c r="K90" s="94">
        <v>28</v>
      </c>
      <c r="L90" s="95">
        <v>280</v>
      </c>
      <c r="M90" s="283" t="s">
        <v>1580</v>
      </c>
    </row>
    <row r="91" spans="1:13">
      <c r="A91" s="88">
        <v>6</v>
      </c>
      <c r="B91" s="90" t="s">
        <v>1628</v>
      </c>
      <c r="C91" s="91" t="s">
        <v>1629</v>
      </c>
      <c r="D91" s="92">
        <v>34</v>
      </c>
      <c r="E91" s="260">
        <v>1</v>
      </c>
      <c r="F91" s="199"/>
      <c r="G91" s="199"/>
      <c r="H91" s="269"/>
      <c r="I91" s="93">
        <v>1</v>
      </c>
      <c r="J91" s="183"/>
      <c r="K91" s="94">
        <v>1</v>
      </c>
      <c r="L91" s="95">
        <v>34</v>
      </c>
      <c r="M91" s="283"/>
    </row>
    <row r="92" spans="1:13" ht="30">
      <c r="A92" s="88">
        <v>7</v>
      </c>
      <c r="B92" s="90" t="s">
        <v>1643</v>
      </c>
      <c r="C92" s="91" t="s">
        <v>1644</v>
      </c>
      <c r="D92" s="92">
        <v>19.059999999999999</v>
      </c>
      <c r="E92" s="260">
        <v>23</v>
      </c>
      <c r="F92" s="199"/>
      <c r="G92" s="199"/>
      <c r="H92" s="269">
        <v>2</v>
      </c>
      <c r="I92" s="93">
        <v>21</v>
      </c>
      <c r="J92" s="183">
        <v>10</v>
      </c>
      <c r="K92" s="94">
        <v>11</v>
      </c>
      <c r="L92" s="95">
        <v>209.66</v>
      </c>
      <c r="M92" s="283" t="s">
        <v>1645</v>
      </c>
    </row>
    <row r="93" spans="1:13" ht="30">
      <c r="A93" s="88">
        <v>7</v>
      </c>
      <c r="B93" s="90" t="s">
        <v>1646</v>
      </c>
      <c r="C93" s="91" t="s">
        <v>1647</v>
      </c>
      <c r="D93" s="92">
        <v>35.15</v>
      </c>
      <c r="E93" s="260">
        <v>27</v>
      </c>
      <c r="F93" s="199"/>
      <c r="G93" s="199"/>
      <c r="H93" s="269">
        <v>9</v>
      </c>
      <c r="I93" s="93">
        <v>18</v>
      </c>
      <c r="J93" s="183">
        <v>17</v>
      </c>
      <c r="K93" s="94">
        <v>1</v>
      </c>
      <c r="L93" s="95">
        <v>35.149999999999977</v>
      </c>
      <c r="M93" s="283" t="s">
        <v>1648</v>
      </c>
    </row>
    <row r="94" spans="1:13">
      <c r="A94" s="88">
        <v>7</v>
      </c>
      <c r="B94" s="90" t="s">
        <v>1659</v>
      </c>
      <c r="C94" s="91" t="s">
        <v>1660</v>
      </c>
      <c r="D94" s="92">
        <v>59.55</v>
      </c>
      <c r="E94" s="260">
        <v>23</v>
      </c>
      <c r="F94" s="199"/>
      <c r="G94" s="199"/>
      <c r="H94" s="269">
        <v>2</v>
      </c>
      <c r="I94" s="93">
        <v>21</v>
      </c>
      <c r="J94" s="183">
        <v>20</v>
      </c>
      <c r="K94" s="94">
        <v>1</v>
      </c>
      <c r="L94" s="95">
        <v>59.549999999999955</v>
      </c>
      <c r="M94" s="283"/>
    </row>
    <row r="95" spans="1:13">
      <c r="A95" s="88">
        <v>7</v>
      </c>
      <c r="B95" s="90" t="s">
        <v>1669</v>
      </c>
      <c r="C95" s="91" t="s">
        <v>1670</v>
      </c>
      <c r="D95" s="92">
        <v>21.08</v>
      </c>
      <c r="E95" s="260">
        <v>35</v>
      </c>
      <c r="F95" s="199"/>
      <c r="G95" s="199"/>
      <c r="H95" s="269">
        <v>1</v>
      </c>
      <c r="I95" s="93">
        <v>34</v>
      </c>
      <c r="J95" s="183">
        <v>30</v>
      </c>
      <c r="K95" s="94">
        <v>4</v>
      </c>
      <c r="L95" s="95">
        <v>84.319999999999936</v>
      </c>
      <c r="M95" s="283"/>
    </row>
    <row r="96" spans="1:13">
      <c r="A96" s="88">
        <v>7</v>
      </c>
      <c r="B96" s="90" t="s">
        <v>1677</v>
      </c>
      <c r="C96" s="91" t="s">
        <v>1678</v>
      </c>
      <c r="D96" s="92">
        <v>32.799999999999997</v>
      </c>
      <c r="E96" s="260">
        <v>2</v>
      </c>
      <c r="F96" s="199"/>
      <c r="G96" s="199"/>
      <c r="H96" s="269"/>
      <c r="I96" s="93">
        <v>2</v>
      </c>
      <c r="J96" s="183">
        <v>1</v>
      </c>
      <c r="K96" s="94">
        <v>1</v>
      </c>
      <c r="L96" s="95">
        <v>32.799999999999997</v>
      </c>
      <c r="M96" s="283"/>
    </row>
    <row r="97" spans="1:13" ht="30">
      <c r="A97" s="88">
        <v>7</v>
      </c>
      <c r="B97" s="90" t="s">
        <v>1683</v>
      </c>
      <c r="C97" s="91" t="s">
        <v>1684</v>
      </c>
      <c r="D97" s="92">
        <v>31.13</v>
      </c>
      <c r="E97" s="260">
        <v>15</v>
      </c>
      <c r="F97" s="199"/>
      <c r="G97" s="199"/>
      <c r="H97" s="269"/>
      <c r="I97" s="93">
        <v>15</v>
      </c>
      <c r="J97" s="183">
        <v>13</v>
      </c>
      <c r="K97" s="94">
        <v>2</v>
      </c>
      <c r="L97" s="95">
        <v>62.259999999999991</v>
      </c>
      <c r="M97" s="283"/>
    </row>
    <row r="98" spans="1:13">
      <c r="A98" s="88">
        <v>7</v>
      </c>
      <c r="B98" s="90" t="s">
        <v>1687</v>
      </c>
      <c r="C98" s="91" t="s">
        <v>1688</v>
      </c>
      <c r="D98" s="92">
        <v>17.600000000000001</v>
      </c>
      <c r="E98" s="260">
        <v>12</v>
      </c>
      <c r="F98" s="199"/>
      <c r="G98" s="199"/>
      <c r="H98" s="269">
        <v>1</v>
      </c>
      <c r="I98" s="93">
        <v>11</v>
      </c>
      <c r="J98" s="183">
        <v>1</v>
      </c>
      <c r="K98" s="94">
        <v>10</v>
      </c>
      <c r="L98" s="95">
        <v>176.00000000000003</v>
      </c>
      <c r="M98" s="283"/>
    </row>
    <row r="99" spans="1:13">
      <c r="A99" s="88">
        <v>7</v>
      </c>
      <c r="B99" s="90" t="s">
        <v>1693</v>
      </c>
      <c r="C99" s="91" t="s">
        <v>1694</v>
      </c>
      <c r="D99" s="92">
        <v>34.479999999999997</v>
      </c>
      <c r="E99" s="260">
        <v>1</v>
      </c>
      <c r="F99" s="199"/>
      <c r="G99" s="199"/>
      <c r="H99" s="269"/>
      <c r="I99" s="93">
        <v>1</v>
      </c>
      <c r="J99" s="183"/>
      <c r="K99" s="94">
        <v>1</v>
      </c>
      <c r="L99" s="95">
        <v>34.479999999999997</v>
      </c>
      <c r="M99" s="283"/>
    </row>
    <row r="100" spans="1:13">
      <c r="A100" s="88">
        <v>7</v>
      </c>
      <c r="B100" s="90" t="s">
        <v>1697</v>
      </c>
      <c r="C100" s="91" t="s">
        <v>1698</v>
      </c>
      <c r="D100" s="92">
        <v>44.86</v>
      </c>
      <c r="E100" s="260">
        <v>11</v>
      </c>
      <c r="F100" s="199">
        <v>48</v>
      </c>
      <c r="G100" s="199"/>
      <c r="H100" s="269">
        <v>11</v>
      </c>
      <c r="I100" s="93">
        <v>48</v>
      </c>
      <c r="J100" s="183">
        <v>44</v>
      </c>
      <c r="K100" s="94">
        <v>4</v>
      </c>
      <c r="L100" s="95">
        <v>179.43999999999983</v>
      </c>
      <c r="M100" s="283"/>
    </row>
    <row r="101" spans="1:13" ht="30">
      <c r="A101" s="88">
        <v>7</v>
      </c>
      <c r="B101" s="90" t="s">
        <v>1752</v>
      </c>
      <c r="C101" s="91" t="s">
        <v>1753</v>
      </c>
      <c r="D101" s="92">
        <v>132.80000000000001</v>
      </c>
      <c r="E101" s="260"/>
      <c r="F101" s="199">
        <v>16</v>
      </c>
      <c r="G101" s="199"/>
      <c r="H101" s="269">
        <v>7</v>
      </c>
      <c r="I101" s="93">
        <v>9</v>
      </c>
      <c r="J101" s="183">
        <v>8</v>
      </c>
      <c r="K101" s="94">
        <v>1</v>
      </c>
      <c r="L101" s="95">
        <v>132.79999999999995</v>
      </c>
      <c r="M101" s="283"/>
    </row>
    <row r="102" spans="1:13">
      <c r="A102" s="88">
        <v>7</v>
      </c>
      <c r="B102" s="90" t="s">
        <v>1761</v>
      </c>
      <c r="C102" s="91" t="s">
        <v>1762</v>
      </c>
      <c r="D102" s="92">
        <v>24.25</v>
      </c>
      <c r="E102" s="260">
        <v>1</v>
      </c>
      <c r="F102" s="199"/>
      <c r="G102" s="199"/>
      <c r="H102" s="269"/>
      <c r="I102" s="93">
        <v>1</v>
      </c>
      <c r="J102" s="183"/>
      <c r="K102" s="94">
        <v>1</v>
      </c>
      <c r="L102" s="95">
        <v>24.25</v>
      </c>
      <c r="M102" s="283"/>
    </row>
    <row r="103" spans="1:13">
      <c r="A103" s="88">
        <v>7</v>
      </c>
      <c r="B103" s="90" t="s">
        <v>1805</v>
      </c>
      <c r="C103" s="91" t="s">
        <v>1806</v>
      </c>
      <c r="D103" s="92">
        <v>22.45</v>
      </c>
      <c r="E103" s="260">
        <v>18</v>
      </c>
      <c r="F103" s="199"/>
      <c r="G103" s="199"/>
      <c r="H103" s="269">
        <v>1</v>
      </c>
      <c r="I103" s="93">
        <v>17</v>
      </c>
      <c r="J103" s="183">
        <v>16</v>
      </c>
      <c r="K103" s="94">
        <v>1</v>
      </c>
      <c r="L103" s="95">
        <v>22.449999999999989</v>
      </c>
      <c r="M103" s="283"/>
    </row>
    <row r="104" spans="1:13" ht="30">
      <c r="A104" s="88">
        <v>7</v>
      </c>
      <c r="B104" s="90" t="s">
        <v>1807</v>
      </c>
      <c r="C104" s="91" t="s">
        <v>1808</v>
      </c>
      <c r="D104" s="92">
        <v>116</v>
      </c>
      <c r="E104" s="260">
        <v>2</v>
      </c>
      <c r="F104" s="199"/>
      <c r="G104" s="199"/>
      <c r="H104" s="269">
        <v>1</v>
      </c>
      <c r="I104" s="93">
        <v>1</v>
      </c>
      <c r="J104" s="183"/>
      <c r="K104" s="94">
        <v>1</v>
      </c>
      <c r="L104" s="95">
        <v>116</v>
      </c>
      <c r="M104" s="283"/>
    </row>
    <row r="105" spans="1:13" ht="30">
      <c r="A105" s="88">
        <v>7</v>
      </c>
      <c r="B105" s="90" t="s">
        <v>1819</v>
      </c>
      <c r="C105" s="91" t="s">
        <v>1820</v>
      </c>
      <c r="D105" s="92">
        <v>25.26</v>
      </c>
      <c r="E105" s="260">
        <v>112</v>
      </c>
      <c r="F105" s="199"/>
      <c r="G105" s="199"/>
      <c r="H105" s="269"/>
      <c r="I105" s="93">
        <v>112</v>
      </c>
      <c r="J105" s="183">
        <v>109</v>
      </c>
      <c r="K105" s="94">
        <v>3</v>
      </c>
      <c r="L105" s="95">
        <v>75.7800000000002</v>
      </c>
      <c r="M105" s="283"/>
    </row>
    <row r="106" spans="1:13" ht="30">
      <c r="A106" s="88">
        <v>7</v>
      </c>
      <c r="B106" s="90" t="s">
        <v>1842</v>
      </c>
      <c r="C106" s="91" t="s">
        <v>1843</v>
      </c>
      <c r="D106" s="92">
        <v>37.409999999999997</v>
      </c>
      <c r="E106" s="260">
        <v>12</v>
      </c>
      <c r="F106" s="199"/>
      <c r="G106" s="199"/>
      <c r="H106" s="269">
        <v>2</v>
      </c>
      <c r="I106" s="93">
        <v>10</v>
      </c>
      <c r="J106" s="183">
        <v>9</v>
      </c>
      <c r="K106" s="94">
        <v>1</v>
      </c>
      <c r="L106" s="95">
        <v>37.410000000000025</v>
      </c>
      <c r="M106" s="283"/>
    </row>
    <row r="107" spans="1:13">
      <c r="A107" s="88">
        <v>7</v>
      </c>
      <c r="B107" s="90" t="s">
        <v>1850</v>
      </c>
      <c r="C107" s="91" t="s">
        <v>1851</v>
      </c>
      <c r="D107" s="92">
        <v>27.57</v>
      </c>
      <c r="E107" s="260">
        <v>30</v>
      </c>
      <c r="F107" s="199"/>
      <c r="G107" s="199"/>
      <c r="H107" s="269">
        <v>2</v>
      </c>
      <c r="I107" s="93">
        <v>28</v>
      </c>
      <c r="J107" s="183">
        <v>27</v>
      </c>
      <c r="K107" s="94">
        <v>1</v>
      </c>
      <c r="L107" s="95">
        <v>27.57000000000005</v>
      </c>
      <c r="M107" s="283"/>
    </row>
    <row r="108" spans="1:13" ht="30">
      <c r="A108" s="88">
        <v>7</v>
      </c>
      <c r="B108" s="90" t="s">
        <v>1876</v>
      </c>
      <c r="C108" s="91" t="s">
        <v>1877</v>
      </c>
      <c r="D108" s="92">
        <v>32.1</v>
      </c>
      <c r="E108" s="260">
        <v>64</v>
      </c>
      <c r="F108" s="199"/>
      <c r="G108" s="199"/>
      <c r="H108" s="269">
        <v>1</v>
      </c>
      <c r="I108" s="93">
        <v>63</v>
      </c>
      <c r="J108" s="183">
        <v>62</v>
      </c>
      <c r="K108" s="94">
        <v>1</v>
      </c>
      <c r="L108" s="95">
        <v>32.100000000000136</v>
      </c>
      <c r="M108" s="283"/>
    </row>
    <row r="109" spans="1:13">
      <c r="A109" s="88">
        <v>7</v>
      </c>
      <c r="B109" s="90" t="s">
        <v>1888</v>
      </c>
      <c r="C109" s="91" t="s">
        <v>1889</v>
      </c>
      <c r="D109" s="92">
        <v>22.59</v>
      </c>
      <c r="E109" s="260">
        <v>4</v>
      </c>
      <c r="F109" s="199"/>
      <c r="G109" s="199"/>
      <c r="H109" s="269">
        <v>3</v>
      </c>
      <c r="I109" s="93">
        <v>1</v>
      </c>
      <c r="J109" s="183"/>
      <c r="K109" s="94">
        <v>1</v>
      </c>
      <c r="L109" s="95">
        <v>22.59</v>
      </c>
      <c r="M109" s="283"/>
    </row>
    <row r="110" spans="1:13" ht="30">
      <c r="A110" s="88">
        <v>8</v>
      </c>
      <c r="B110" s="90" t="s">
        <v>1908</v>
      </c>
      <c r="C110" s="91" t="s">
        <v>1909</v>
      </c>
      <c r="D110" s="92">
        <v>60.4</v>
      </c>
      <c r="E110" s="260">
        <v>27</v>
      </c>
      <c r="F110" s="199"/>
      <c r="G110" s="199"/>
      <c r="H110" s="269">
        <v>7</v>
      </c>
      <c r="I110" s="93">
        <v>20</v>
      </c>
      <c r="J110" s="183">
        <v>18</v>
      </c>
      <c r="K110" s="94">
        <v>2</v>
      </c>
      <c r="L110" s="95">
        <v>120.79999999999995</v>
      </c>
      <c r="M110" s="283"/>
    </row>
    <row r="111" spans="1:13">
      <c r="A111" s="88">
        <v>8</v>
      </c>
      <c r="B111" s="90" t="s">
        <v>1922</v>
      </c>
      <c r="C111" s="91" t="s">
        <v>1923</v>
      </c>
      <c r="D111" s="92">
        <v>13.85</v>
      </c>
      <c r="E111" s="260">
        <v>47</v>
      </c>
      <c r="F111" s="199"/>
      <c r="G111" s="199"/>
      <c r="H111" s="269"/>
      <c r="I111" s="93">
        <v>47</v>
      </c>
      <c r="J111" s="183"/>
      <c r="K111" s="94">
        <v>47</v>
      </c>
      <c r="L111" s="95">
        <v>650.94999999999993</v>
      </c>
      <c r="M111" s="283"/>
    </row>
    <row r="112" spans="1:13">
      <c r="A112" s="88">
        <v>8</v>
      </c>
      <c r="B112" s="90" t="s">
        <v>1946</v>
      </c>
      <c r="C112" s="91" t="s">
        <v>1947</v>
      </c>
      <c r="D112" s="92">
        <v>41.25</v>
      </c>
      <c r="E112" s="260">
        <v>7</v>
      </c>
      <c r="F112" s="199"/>
      <c r="G112" s="199"/>
      <c r="H112" s="269"/>
      <c r="I112" s="93">
        <v>7</v>
      </c>
      <c r="J112" s="183">
        <v>6</v>
      </c>
      <c r="K112" s="94">
        <v>1</v>
      </c>
      <c r="L112" s="95">
        <v>41.25</v>
      </c>
      <c r="M112" s="283"/>
    </row>
    <row r="113" spans="1:13" ht="30">
      <c r="A113" s="88">
        <v>8</v>
      </c>
      <c r="B113" s="90" t="s">
        <v>1958</v>
      </c>
      <c r="C113" s="91" t="s">
        <v>1959</v>
      </c>
      <c r="D113" s="92">
        <v>90.24</v>
      </c>
      <c r="E113" s="260">
        <v>12</v>
      </c>
      <c r="F113" s="199"/>
      <c r="G113" s="199"/>
      <c r="H113" s="269">
        <v>3</v>
      </c>
      <c r="I113" s="93">
        <v>9</v>
      </c>
      <c r="J113" s="183">
        <v>7</v>
      </c>
      <c r="K113" s="94">
        <v>2</v>
      </c>
      <c r="L113" s="95">
        <v>180.48000000000002</v>
      </c>
      <c r="M113" s="283"/>
    </row>
    <row r="114" spans="1:13">
      <c r="A114" s="88">
        <v>8</v>
      </c>
      <c r="B114" s="90" t="s">
        <v>1964</v>
      </c>
      <c r="C114" s="91" t="s">
        <v>1965</v>
      </c>
      <c r="D114" s="92">
        <v>31.19</v>
      </c>
      <c r="E114" s="260">
        <v>51</v>
      </c>
      <c r="F114" s="199"/>
      <c r="G114" s="199"/>
      <c r="H114" s="269">
        <v>4</v>
      </c>
      <c r="I114" s="93">
        <v>47</v>
      </c>
      <c r="J114" s="183">
        <v>45</v>
      </c>
      <c r="K114" s="94">
        <v>2</v>
      </c>
      <c r="L114" s="95">
        <v>62.380000000000109</v>
      </c>
      <c r="M114" s="283"/>
    </row>
    <row r="115" spans="1:13" ht="30">
      <c r="A115" s="88">
        <v>8</v>
      </c>
      <c r="B115" s="90" t="s">
        <v>1966</v>
      </c>
      <c r="C115" s="91" t="s">
        <v>1967</v>
      </c>
      <c r="D115" s="92">
        <v>26.43</v>
      </c>
      <c r="E115" s="260">
        <v>1</v>
      </c>
      <c r="F115" s="199"/>
      <c r="G115" s="199"/>
      <c r="H115" s="269"/>
      <c r="I115" s="93">
        <v>1</v>
      </c>
      <c r="J115" s="183"/>
      <c r="K115" s="94">
        <v>1</v>
      </c>
      <c r="L115" s="95">
        <v>26.43</v>
      </c>
      <c r="M115" s="283"/>
    </row>
    <row r="116" spans="1:13" ht="30">
      <c r="A116" s="88">
        <v>8</v>
      </c>
      <c r="B116" s="90" t="s">
        <v>1970</v>
      </c>
      <c r="C116" s="91" t="s">
        <v>1971</v>
      </c>
      <c r="D116" s="92">
        <v>10</v>
      </c>
      <c r="E116" s="260">
        <v>9</v>
      </c>
      <c r="F116" s="199"/>
      <c r="G116" s="199"/>
      <c r="H116" s="269"/>
      <c r="I116" s="93">
        <v>9</v>
      </c>
      <c r="J116" s="183"/>
      <c r="K116" s="94">
        <v>9</v>
      </c>
      <c r="L116" s="95">
        <v>90</v>
      </c>
      <c r="M116" s="283" t="s">
        <v>1972</v>
      </c>
    </row>
    <row r="117" spans="1:13" ht="30">
      <c r="A117" s="88">
        <v>8</v>
      </c>
      <c r="B117" s="90" t="s">
        <v>1974</v>
      </c>
      <c r="C117" s="91" t="s">
        <v>1975</v>
      </c>
      <c r="D117" s="92">
        <v>10</v>
      </c>
      <c r="E117" s="260">
        <v>7</v>
      </c>
      <c r="F117" s="199"/>
      <c r="G117" s="199"/>
      <c r="H117" s="269"/>
      <c r="I117" s="93">
        <v>7</v>
      </c>
      <c r="J117" s="183"/>
      <c r="K117" s="94">
        <v>7</v>
      </c>
      <c r="L117" s="95">
        <v>70</v>
      </c>
      <c r="M117" s="283" t="s">
        <v>1976</v>
      </c>
    </row>
    <row r="118" spans="1:13" ht="30">
      <c r="A118" s="88">
        <v>8</v>
      </c>
      <c r="B118" s="90" t="s">
        <v>1977</v>
      </c>
      <c r="C118" s="91" t="s">
        <v>1978</v>
      </c>
      <c r="D118" s="92">
        <v>10</v>
      </c>
      <c r="E118" s="260">
        <v>2</v>
      </c>
      <c r="F118" s="199"/>
      <c r="G118" s="199"/>
      <c r="H118" s="269"/>
      <c r="I118" s="93">
        <v>2</v>
      </c>
      <c r="J118" s="183"/>
      <c r="K118" s="94">
        <v>2</v>
      </c>
      <c r="L118" s="95">
        <v>20</v>
      </c>
      <c r="M118" s="283" t="s">
        <v>1972</v>
      </c>
    </row>
    <row r="119" spans="1:13">
      <c r="A119" s="88">
        <v>8</v>
      </c>
      <c r="B119" s="90" t="s">
        <v>1979</v>
      </c>
      <c r="C119" s="91" t="s">
        <v>1980</v>
      </c>
      <c r="D119" s="92">
        <v>21.43</v>
      </c>
      <c r="E119" s="260">
        <v>7</v>
      </c>
      <c r="F119" s="199"/>
      <c r="G119" s="199"/>
      <c r="H119" s="269"/>
      <c r="I119" s="93">
        <v>7</v>
      </c>
      <c r="J119" s="183">
        <v>5</v>
      </c>
      <c r="K119" s="94">
        <v>2</v>
      </c>
      <c r="L119" s="95">
        <v>42.859999999999985</v>
      </c>
      <c r="M119" s="283"/>
    </row>
    <row r="120" spans="1:13">
      <c r="A120" s="88">
        <v>8</v>
      </c>
      <c r="B120" s="90" t="s">
        <v>1991</v>
      </c>
      <c r="C120" s="91" t="s">
        <v>1992</v>
      </c>
      <c r="D120" s="92">
        <v>36</v>
      </c>
      <c r="E120" s="260">
        <v>20</v>
      </c>
      <c r="F120" s="199"/>
      <c r="G120" s="199"/>
      <c r="H120" s="269"/>
      <c r="I120" s="93">
        <v>20</v>
      </c>
      <c r="J120" s="183">
        <v>16</v>
      </c>
      <c r="K120" s="94">
        <v>4</v>
      </c>
      <c r="L120" s="95">
        <v>144</v>
      </c>
      <c r="M120" s="283"/>
    </row>
    <row r="121" spans="1:13">
      <c r="A121" s="88">
        <v>8</v>
      </c>
      <c r="B121" s="90" t="s">
        <v>1995</v>
      </c>
      <c r="C121" s="91" t="s">
        <v>1996</v>
      </c>
      <c r="D121" s="92">
        <v>51.97</v>
      </c>
      <c r="E121" s="260">
        <v>14</v>
      </c>
      <c r="F121" s="199"/>
      <c r="G121" s="199"/>
      <c r="H121" s="269"/>
      <c r="I121" s="93">
        <v>14</v>
      </c>
      <c r="J121" s="183">
        <v>9</v>
      </c>
      <c r="K121" s="94">
        <v>5</v>
      </c>
      <c r="L121" s="95">
        <v>259.84999999999991</v>
      </c>
      <c r="M121" s="283"/>
    </row>
    <row r="122" spans="1:13">
      <c r="A122" s="88">
        <v>8</v>
      </c>
      <c r="B122" s="90" t="s">
        <v>1997</v>
      </c>
      <c r="C122" s="91" t="s">
        <v>1998</v>
      </c>
      <c r="D122" s="92">
        <v>6.12</v>
      </c>
      <c r="E122" s="260">
        <v>78</v>
      </c>
      <c r="F122" s="199">
        <v>240</v>
      </c>
      <c r="G122" s="199"/>
      <c r="H122" s="269">
        <v>137</v>
      </c>
      <c r="I122" s="93">
        <v>181</v>
      </c>
      <c r="J122" s="183">
        <v>133</v>
      </c>
      <c r="K122" s="94">
        <v>48</v>
      </c>
      <c r="L122" s="95">
        <v>293.76</v>
      </c>
      <c r="M122" s="285" t="s">
        <v>5242</v>
      </c>
    </row>
    <row r="123" spans="1:13" ht="30">
      <c r="A123" s="88">
        <v>8</v>
      </c>
      <c r="B123" s="90" t="s">
        <v>2015</v>
      </c>
      <c r="C123" s="91" t="s">
        <v>2016</v>
      </c>
      <c r="D123" s="92">
        <v>301.87</v>
      </c>
      <c r="E123" s="260">
        <v>3</v>
      </c>
      <c r="F123" s="199">
        <v>6</v>
      </c>
      <c r="G123" s="199"/>
      <c r="H123" s="269">
        <v>4</v>
      </c>
      <c r="I123" s="93">
        <v>5</v>
      </c>
      <c r="J123" s="183">
        <v>4</v>
      </c>
      <c r="K123" s="94">
        <v>1</v>
      </c>
      <c r="L123" s="95">
        <v>301.86999999999989</v>
      </c>
      <c r="M123" s="283"/>
    </row>
    <row r="124" spans="1:13">
      <c r="A124" s="88">
        <v>8</v>
      </c>
      <c r="B124" s="90" t="s">
        <v>2037</v>
      </c>
      <c r="C124" s="91" t="s">
        <v>2038</v>
      </c>
      <c r="D124" s="92">
        <v>4.74</v>
      </c>
      <c r="E124" s="260">
        <v>1036</v>
      </c>
      <c r="F124" s="199"/>
      <c r="G124" s="199"/>
      <c r="H124" s="269">
        <v>214</v>
      </c>
      <c r="I124" s="93">
        <v>822</v>
      </c>
      <c r="J124" s="183">
        <v>322</v>
      </c>
      <c r="K124" s="94">
        <v>500</v>
      </c>
      <c r="L124" s="95">
        <v>2370</v>
      </c>
      <c r="M124" s="283"/>
    </row>
    <row r="125" spans="1:13">
      <c r="A125" s="88">
        <v>8</v>
      </c>
      <c r="B125" s="90" t="s">
        <v>2041</v>
      </c>
      <c r="C125" s="91" t="s">
        <v>2042</v>
      </c>
      <c r="D125" s="92">
        <v>20.8</v>
      </c>
      <c r="E125" s="260">
        <v>52</v>
      </c>
      <c r="F125" s="199"/>
      <c r="G125" s="199"/>
      <c r="H125" s="269">
        <v>33</v>
      </c>
      <c r="I125" s="93">
        <v>19</v>
      </c>
      <c r="J125" s="183">
        <v>18</v>
      </c>
      <c r="K125" s="94">
        <v>1</v>
      </c>
      <c r="L125" s="95">
        <v>20.799999999999955</v>
      </c>
      <c r="M125" s="283"/>
    </row>
    <row r="126" spans="1:13" ht="30">
      <c r="A126" s="88">
        <v>8</v>
      </c>
      <c r="B126" s="90" t="s">
        <v>2047</v>
      </c>
      <c r="C126" s="91" t="s">
        <v>2048</v>
      </c>
      <c r="D126" s="92">
        <v>35.68</v>
      </c>
      <c r="E126" s="260">
        <v>27</v>
      </c>
      <c r="F126" s="199"/>
      <c r="G126" s="199"/>
      <c r="H126" s="269">
        <v>9</v>
      </c>
      <c r="I126" s="93">
        <v>18</v>
      </c>
      <c r="J126" s="183">
        <v>16</v>
      </c>
      <c r="K126" s="94">
        <v>2</v>
      </c>
      <c r="L126" s="95">
        <v>71.360000000000014</v>
      </c>
      <c r="M126" s="283"/>
    </row>
    <row r="127" spans="1:13" ht="30">
      <c r="A127" s="88">
        <v>8</v>
      </c>
      <c r="B127" s="90" t="s">
        <v>2049</v>
      </c>
      <c r="C127" s="91" t="s">
        <v>2050</v>
      </c>
      <c r="D127" s="92">
        <v>31.04</v>
      </c>
      <c r="E127" s="260">
        <v>34</v>
      </c>
      <c r="F127" s="199"/>
      <c r="G127" s="199"/>
      <c r="H127" s="269"/>
      <c r="I127" s="93">
        <v>34</v>
      </c>
      <c r="J127" s="183">
        <v>32</v>
      </c>
      <c r="K127" s="94">
        <v>2</v>
      </c>
      <c r="L127" s="95">
        <v>62.079999999999927</v>
      </c>
      <c r="M127" s="283"/>
    </row>
    <row r="128" spans="1:13" ht="30">
      <c r="A128" s="88">
        <v>8</v>
      </c>
      <c r="B128" s="90" t="s">
        <v>2075</v>
      </c>
      <c r="C128" s="91" t="s">
        <v>2076</v>
      </c>
      <c r="D128" s="92">
        <v>64.489999999999995</v>
      </c>
      <c r="E128" s="260">
        <v>24</v>
      </c>
      <c r="F128" s="199"/>
      <c r="G128" s="199"/>
      <c r="H128" s="269">
        <v>6</v>
      </c>
      <c r="I128" s="93">
        <v>18</v>
      </c>
      <c r="J128" s="183">
        <v>17</v>
      </c>
      <c r="K128" s="94">
        <v>1</v>
      </c>
      <c r="L128" s="95">
        <v>64.490000000000009</v>
      </c>
      <c r="M128" s="283"/>
    </row>
    <row r="129" spans="1:13">
      <c r="A129" s="88">
        <v>8</v>
      </c>
      <c r="B129" s="90" t="s">
        <v>2091</v>
      </c>
      <c r="C129" s="91" t="s">
        <v>2092</v>
      </c>
      <c r="D129" s="92">
        <v>63.2</v>
      </c>
      <c r="E129" s="260">
        <v>10</v>
      </c>
      <c r="F129" s="199"/>
      <c r="G129" s="199"/>
      <c r="H129" s="269">
        <v>1</v>
      </c>
      <c r="I129" s="93">
        <v>9</v>
      </c>
      <c r="J129" s="183">
        <v>8</v>
      </c>
      <c r="K129" s="94">
        <v>1</v>
      </c>
      <c r="L129" s="95">
        <v>63.200000000000045</v>
      </c>
      <c r="M129" s="283"/>
    </row>
    <row r="130" spans="1:13">
      <c r="A130" s="88">
        <v>8</v>
      </c>
      <c r="B130" s="90" t="s">
        <v>2126</v>
      </c>
      <c r="C130" s="91" t="s">
        <v>2127</v>
      </c>
      <c r="D130" s="92">
        <v>17.899999999999999</v>
      </c>
      <c r="E130" s="260">
        <v>33</v>
      </c>
      <c r="F130" s="199"/>
      <c r="G130" s="199"/>
      <c r="H130" s="269">
        <v>8</v>
      </c>
      <c r="I130" s="93">
        <v>25</v>
      </c>
      <c r="J130" s="183">
        <v>24</v>
      </c>
      <c r="K130" s="94">
        <v>1</v>
      </c>
      <c r="L130" s="95">
        <v>17.899999999999977</v>
      </c>
      <c r="M130" s="283"/>
    </row>
    <row r="131" spans="1:13">
      <c r="A131" s="88">
        <v>9</v>
      </c>
      <c r="B131" s="90" t="s">
        <v>2134</v>
      </c>
      <c r="C131" s="91" t="s">
        <v>2135</v>
      </c>
      <c r="D131" s="92">
        <v>88</v>
      </c>
      <c r="E131" s="260">
        <v>5</v>
      </c>
      <c r="F131" s="199"/>
      <c r="G131" s="199"/>
      <c r="H131" s="269"/>
      <c r="I131" s="93">
        <v>5</v>
      </c>
      <c r="J131" s="183"/>
      <c r="K131" s="94">
        <v>5</v>
      </c>
      <c r="L131" s="95">
        <v>440</v>
      </c>
      <c r="M131" s="283"/>
    </row>
    <row r="132" spans="1:13" ht="30">
      <c r="A132" s="88">
        <v>9</v>
      </c>
      <c r="B132" s="90" t="s">
        <v>2144</v>
      </c>
      <c r="C132" s="91" t="s">
        <v>2145</v>
      </c>
      <c r="D132" s="92">
        <v>54</v>
      </c>
      <c r="E132" s="260">
        <v>6</v>
      </c>
      <c r="F132" s="199"/>
      <c r="G132" s="199"/>
      <c r="H132" s="269"/>
      <c r="I132" s="93">
        <v>6</v>
      </c>
      <c r="J132" s="183"/>
      <c r="K132" s="94">
        <v>6</v>
      </c>
      <c r="L132" s="95">
        <v>324</v>
      </c>
      <c r="M132" s="283"/>
    </row>
    <row r="133" spans="1:13" ht="30">
      <c r="A133" s="88">
        <v>9</v>
      </c>
      <c r="B133" s="90" t="s">
        <v>2221</v>
      </c>
      <c r="C133" s="91" t="s">
        <v>2222</v>
      </c>
      <c r="D133" s="92">
        <v>53.57</v>
      </c>
      <c r="E133" s="260">
        <v>3</v>
      </c>
      <c r="F133" s="199"/>
      <c r="G133" s="199"/>
      <c r="H133" s="269"/>
      <c r="I133" s="93">
        <v>3</v>
      </c>
      <c r="J133" s="183">
        <v>2</v>
      </c>
      <c r="K133" s="94">
        <v>1</v>
      </c>
      <c r="L133" s="95">
        <v>53.570000000000007</v>
      </c>
      <c r="M133" s="283"/>
    </row>
    <row r="134" spans="1:13" ht="30">
      <c r="A134" s="88">
        <v>9</v>
      </c>
      <c r="B134" s="90" t="s">
        <v>2265</v>
      </c>
      <c r="C134" s="91" t="s">
        <v>2266</v>
      </c>
      <c r="D134" s="92">
        <v>45</v>
      </c>
      <c r="E134" s="260">
        <v>3</v>
      </c>
      <c r="F134" s="199"/>
      <c r="G134" s="199"/>
      <c r="H134" s="269"/>
      <c r="I134" s="93">
        <v>3</v>
      </c>
      <c r="J134" s="183">
        <v>2</v>
      </c>
      <c r="K134" s="94">
        <v>1</v>
      </c>
      <c r="L134" s="95">
        <v>45</v>
      </c>
      <c r="M134" s="283"/>
    </row>
    <row r="135" spans="1:13" ht="30">
      <c r="A135" s="88">
        <v>9</v>
      </c>
      <c r="B135" s="90" t="s">
        <v>2281</v>
      </c>
      <c r="C135" s="91" t="s">
        <v>2282</v>
      </c>
      <c r="D135" s="92">
        <v>6.05</v>
      </c>
      <c r="E135" s="260">
        <v>440</v>
      </c>
      <c r="F135" s="199"/>
      <c r="G135" s="199"/>
      <c r="H135" s="269"/>
      <c r="I135" s="93">
        <v>440</v>
      </c>
      <c r="J135" s="183">
        <v>432</v>
      </c>
      <c r="K135" s="94">
        <v>8</v>
      </c>
      <c r="L135" s="95">
        <v>48.400000000000091</v>
      </c>
      <c r="M135" s="283" t="s">
        <v>821</v>
      </c>
    </row>
    <row r="136" spans="1:13">
      <c r="A136" s="88">
        <v>9</v>
      </c>
      <c r="B136" s="90" t="s">
        <v>2308</v>
      </c>
      <c r="C136" s="91" t="s">
        <v>2309</v>
      </c>
      <c r="D136" s="92">
        <v>5.3</v>
      </c>
      <c r="E136" s="260">
        <v>20</v>
      </c>
      <c r="F136" s="199"/>
      <c r="G136" s="199"/>
      <c r="H136" s="269"/>
      <c r="I136" s="93">
        <v>20</v>
      </c>
      <c r="J136" s="183"/>
      <c r="K136" s="94">
        <v>20</v>
      </c>
      <c r="L136" s="95">
        <v>106</v>
      </c>
      <c r="M136" s="283"/>
    </row>
    <row r="137" spans="1:13" ht="30">
      <c r="A137" s="88">
        <v>9</v>
      </c>
      <c r="B137" s="90" t="s">
        <v>2316</v>
      </c>
      <c r="C137" s="91" t="s">
        <v>2317</v>
      </c>
      <c r="D137" s="92">
        <v>4.3</v>
      </c>
      <c r="E137" s="260">
        <v>2</v>
      </c>
      <c r="F137" s="199"/>
      <c r="G137" s="199"/>
      <c r="H137" s="269"/>
      <c r="I137" s="93">
        <v>2</v>
      </c>
      <c r="J137" s="183"/>
      <c r="K137" s="94">
        <v>2</v>
      </c>
      <c r="L137" s="95">
        <v>8.6</v>
      </c>
      <c r="M137" s="283"/>
    </row>
    <row r="138" spans="1:13" ht="30">
      <c r="A138" s="88">
        <v>9</v>
      </c>
      <c r="B138" s="90" t="s">
        <v>2320</v>
      </c>
      <c r="C138" s="91" t="s">
        <v>2321</v>
      </c>
      <c r="D138" s="92">
        <v>57.22</v>
      </c>
      <c r="E138" s="260">
        <v>18</v>
      </c>
      <c r="F138" s="199"/>
      <c r="G138" s="199"/>
      <c r="H138" s="269"/>
      <c r="I138" s="93">
        <v>18</v>
      </c>
      <c r="J138" s="183"/>
      <c r="K138" s="94">
        <v>18</v>
      </c>
      <c r="L138" s="95">
        <v>1029.96</v>
      </c>
      <c r="M138" s="283"/>
    </row>
    <row r="139" spans="1:13">
      <c r="A139" s="88">
        <v>9</v>
      </c>
      <c r="B139" s="90" t="s">
        <v>2334</v>
      </c>
      <c r="C139" s="91" t="s">
        <v>2335</v>
      </c>
      <c r="D139" s="92">
        <v>26.25</v>
      </c>
      <c r="E139" s="260">
        <v>62</v>
      </c>
      <c r="F139" s="199"/>
      <c r="G139" s="199"/>
      <c r="H139" s="269"/>
      <c r="I139" s="93">
        <v>62</v>
      </c>
      <c r="J139" s="183">
        <v>17</v>
      </c>
      <c r="K139" s="94">
        <v>45</v>
      </c>
      <c r="L139" s="95">
        <v>1181.25</v>
      </c>
      <c r="M139" s="283"/>
    </row>
    <row r="140" spans="1:13" ht="30">
      <c r="A140" s="88">
        <v>9</v>
      </c>
      <c r="B140" s="90" t="s">
        <v>2350</v>
      </c>
      <c r="C140" s="91" t="s">
        <v>2351</v>
      </c>
      <c r="D140" s="92">
        <v>54.38</v>
      </c>
      <c r="E140" s="260">
        <v>10</v>
      </c>
      <c r="F140" s="199"/>
      <c r="G140" s="199"/>
      <c r="H140" s="269">
        <v>2</v>
      </c>
      <c r="I140" s="93">
        <v>8</v>
      </c>
      <c r="J140" s="183">
        <v>7</v>
      </c>
      <c r="K140" s="94">
        <v>1</v>
      </c>
      <c r="L140" s="95">
        <v>54.379999999999995</v>
      </c>
      <c r="M140" s="283"/>
    </row>
    <row r="141" spans="1:13">
      <c r="A141" s="88">
        <v>9</v>
      </c>
      <c r="B141" s="90" t="s">
        <v>2352</v>
      </c>
      <c r="C141" s="91" t="s">
        <v>2353</v>
      </c>
      <c r="D141" s="92">
        <v>31.05</v>
      </c>
      <c r="E141" s="260">
        <v>26</v>
      </c>
      <c r="F141" s="199"/>
      <c r="G141" s="199"/>
      <c r="H141" s="269">
        <v>1</v>
      </c>
      <c r="I141" s="93">
        <v>25</v>
      </c>
      <c r="J141" s="183">
        <v>24</v>
      </c>
      <c r="K141" s="94">
        <v>1</v>
      </c>
      <c r="L141" s="95">
        <v>31.049999999999955</v>
      </c>
      <c r="M141" s="283"/>
    </row>
    <row r="142" spans="1:13">
      <c r="A142" s="88">
        <v>9</v>
      </c>
      <c r="B142" s="90" t="s">
        <v>2362</v>
      </c>
      <c r="C142" s="91" t="s">
        <v>2363</v>
      </c>
      <c r="D142" s="92">
        <v>51.55</v>
      </c>
      <c r="E142" s="260">
        <v>5</v>
      </c>
      <c r="F142" s="199"/>
      <c r="G142" s="199"/>
      <c r="H142" s="269"/>
      <c r="I142" s="93">
        <v>5</v>
      </c>
      <c r="J142" s="183"/>
      <c r="K142" s="94">
        <v>5</v>
      </c>
      <c r="L142" s="95">
        <v>257.75</v>
      </c>
      <c r="M142" s="283"/>
    </row>
    <row r="143" spans="1:13" ht="30">
      <c r="A143" s="88">
        <v>9</v>
      </c>
      <c r="B143" s="171" t="s">
        <v>2368</v>
      </c>
      <c r="C143" s="91" t="s">
        <v>2369</v>
      </c>
      <c r="D143" s="92">
        <v>10.95</v>
      </c>
      <c r="E143" s="260">
        <v>40</v>
      </c>
      <c r="F143" s="199">
        <v>36</v>
      </c>
      <c r="G143" s="199"/>
      <c r="H143" s="269">
        <v>17</v>
      </c>
      <c r="I143" s="93">
        <v>59</v>
      </c>
      <c r="J143" s="183">
        <v>40</v>
      </c>
      <c r="K143" s="94">
        <v>19</v>
      </c>
      <c r="L143" s="95">
        <v>208.04999999999995</v>
      </c>
      <c r="M143" s="283"/>
    </row>
    <row r="144" spans="1:13" ht="30">
      <c r="A144" s="88">
        <v>9</v>
      </c>
      <c r="B144" s="90" t="s">
        <v>2387</v>
      </c>
      <c r="C144" s="91" t="s">
        <v>2388</v>
      </c>
      <c r="D144" s="92">
        <v>5.43</v>
      </c>
      <c r="E144" s="260">
        <v>3</v>
      </c>
      <c r="F144" s="199"/>
      <c r="G144" s="199"/>
      <c r="H144" s="269"/>
      <c r="I144" s="93">
        <v>3</v>
      </c>
      <c r="J144" s="183"/>
      <c r="K144" s="94">
        <v>3</v>
      </c>
      <c r="L144" s="95">
        <v>16.29</v>
      </c>
      <c r="M144" s="283"/>
    </row>
    <row r="145" spans="1:13" ht="30">
      <c r="A145" s="88">
        <v>9</v>
      </c>
      <c r="B145" s="90" t="s">
        <v>2393</v>
      </c>
      <c r="C145" s="91" t="s">
        <v>2394</v>
      </c>
      <c r="D145" s="92">
        <v>6.59</v>
      </c>
      <c r="E145" s="260">
        <v>993</v>
      </c>
      <c r="F145" s="199"/>
      <c r="G145" s="199"/>
      <c r="H145" s="269">
        <v>18</v>
      </c>
      <c r="I145" s="93">
        <v>975</v>
      </c>
      <c r="J145" s="183">
        <v>135</v>
      </c>
      <c r="K145" s="94">
        <v>840</v>
      </c>
      <c r="L145" s="95">
        <v>5535.6</v>
      </c>
      <c r="M145" s="283"/>
    </row>
    <row r="146" spans="1:13">
      <c r="A146" s="88">
        <v>9</v>
      </c>
      <c r="B146" s="90" t="s">
        <v>2423</v>
      </c>
      <c r="C146" s="91" t="s">
        <v>2424</v>
      </c>
      <c r="D146" s="92">
        <v>13.95</v>
      </c>
      <c r="E146" s="260">
        <v>2</v>
      </c>
      <c r="F146" s="199"/>
      <c r="G146" s="199"/>
      <c r="H146" s="269"/>
      <c r="I146" s="93">
        <v>2</v>
      </c>
      <c r="J146" s="183"/>
      <c r="K146" s="94">
        <v>2</v>
      </c>
      <c r="L146" s="95">
        <v>27.9</v>
      </c>
      <c r="M146" s="283"/>
    </row>
    <row r="147" spans="1:13">
      <c r="A147" s="88">
        <v>9</v>
      </c>
      <c r="B147" s="90" t="s">
        <v>2425</v>
      </c>
      <c r="C147" s="91" t="s">
        <v>2426</v>
      </c>
      <c r="D147" s="92">
        <v>24</v>
      </c>
      <c r="E147" s="260">
        <v>7</v>
      </c>
      <c r="F147" s="199"/>
      <c r="G147" s="199"/>
      <c r="H147" s="269"/>
      <c r="I147" s="93">
        <v>7</v>
      </c>
      <c r="J147" s="183">
        <v>6</v>
      </c>
      <c r="K147" s="94">
        <v>1</v>
      </c>
      <c r="L147" s="95">
        <v>24</v>
      </c>
      <c r="M147" s="283"/>
    </row>
    <row r="148" spans="1:13">
      <c r="A148" s="88">
        <v>9</v>
      </c>
      <c r="B148" s="90" t="s">
        <v>2437</v>
      </c>
      <c r="C148" s="91" t="s">
        <v>2438</v>
      </c>
      <c r="D148" s="92">
        <v>69.650000000000006</v>
      </c>
      <c r="E148" s="260">
        <v>13</v>
      </c>
      <c r="F148" s="199"/>
      <c r="G148" s="199"/>
      <c r="H148" s="269"/>
      <c r="I148" s="93">
        <v>13</v>
      </c>
      <c r="J148" s="183">
        <v>1</v>
      </c>
      <c r="K148" s="94">
        <v>12</v>
      </c>
      <c r="L148" s="95">
        <v>835.80000000000007</v>
      </c>
      <c r="M148" s="283"/>
    </row>
    <row r="149" spans="1:13" ht="30">
      <c r="A149" s="88">
        <v>9</v>
      </c>
      <c r="B149" s="90" t="s">
        <v>4641</v>
      </c>
      <c r="C149" s="91" t="s">
        <v>4643</v>
      </c>
      <c r="D149" s="92">
        <v>213.74</v>
      </c>
      <c r="E149" s="260"/>
      <c r="F149" s="199">
        <v>4</v>
      </c>
      <c r="G149" s="199"/>
      <c r="H149" s="269">
        <v>1</v>
      </c>
      <c r="I149" s="93">
        <v>3</v>
      </c>
      <c r="J149" s="183">
        <v>1</v>
      </c>
      <c r="K149" s="94">
        <v>2</v>
      </c>
      <c r="L149" s="95">
        <v>427.48</v>
      </c>
      <c r="M149" s="283"/>
    </row>
    <row r="150" spans="1:13">
      <c r="A150" s="88">
        <v>9</v>
      </c>
      <c r="B150" s="90" t="s">
        <v>4986</v>
      </c>
      <c r="C150" s="91" t="s">
        <v>4969</v>
      </c>
      <c r="D150" s="92">
        <v>65.77</v>
      </c>
      <c r="E150" s="260"/>
      <c r="F150" s="199">
        <v>12</v>
      </c>
      <c r="G150" s="199"/>
      <c r="H150" s="269"/>
      <c r="I150" s="93">
        <v>12</v>
      </c>
      <c r="J150" s="183">
        <v>11</v>
      </c>
      <c r="K150" s="94">
        <v>1</v>
      </c>
      <c r="L150" s="95">
        <v>65.770000000000095</v>
      </c>
      <c r="M150" s="283"/>
    </row>
    <row r="151" spans="1:13">
      <c r="A151" s="88">
        <v>9</v>
      </c>
      <c r="B151" s="90" t="s">
        <v>2461</v>
      </c>
      <c r="C151" s="91" t="s">
        <v>2462</v>
      </c>
      <c r="D151" s="92">
        <v>28.4</v>
      </c>
      <c r="E151" s="260">
        <v>6</v>
      </c>
      <c r="F151" s="199"/>
      <c r="G151" s="199">
        <v>1</v>
      </c>
      <c r="H151" s="269">
        <v>4</v>
      </c>
      <c r="I151" s="93">
        <v>1</v>
      </c>
      <c r="J151" s="183"/>
      <c r="K151" s="94">
        <v>1</v>
      </c>
      <c r="L151" s="95">
        <v>28.4</v>
      </c>
      <c r="M151" s="283"/>
    </row>
    <row r="152" spans="1:13">
      <c r="A152" s="88">
        <v>9</v>
      </c>
      <c r="B152" s="90" t="s">
        <v>2481</v>
      </c>
      <c r="C152" s="91" t="s">
        <v>2482</v>
      </c>
      <c r="D152" s="92">
        <v>30.9</v>
      </c>
      <c r="E152" s="260">
        <v>38</v>
      </c>
      <c r="F152" s="199"/>
      <c r="G152" s="199">
        <v>1</v>
      </c>
      <c r="H152" s="269">
        <v>1</v>
      </c>
      <c r="I152" s="93">
        <v>36</v>
      </c>
      <c r="J152" s="183">
        <v>35</v>
      </c>
      <c r="K152" s="94">
        <v>1</v>
      </c>
      <c r="L152" s="95">
        <v>30.899999999999864</v>
      </c>
      <c r="M152" s="283"/>
    </row>
    <row r="153" spans="1:13">
      <c r="A153" s="88">
        <v>9</v>
      </c>
      <c r="B153" s="90" t="s">
        <v>2491</v>
      </c>
      <c r="C153" s="91" t="s">
        <v>2492</v>
      </c>
      <c r="D153" s="92">
        <v>230.19</v>
      </c>
      <c r="E153" s="260"/>
      <c r="F153" s="199">
        <v>4</v>
      </c>
      <c r="G153" s="199"/>
      <c r="H153" s="269"/>
      <c r="I153" s="93">
        <v>4</v>
      </c>
      <c r="J153" s="183">
        <v>3</v>
      </c>
      <c r="K153" s="94">
        <v>1</v>
      </c>
      <c r="L153" s="95">
        <v>230.19000000000005</v>
      </c>
      <c r="M153" s="283"/>
    </row>
    <row r="154" spans="1:13">
      <c r="A154" s="88">
        <v>9</v>
      </c>
      <c r="B154" s="90" t="s">
        <v>2509</v>
      </c>
      <c r="C154" s="91" t="s">
        <v>2510</v>
      </c>
      <c r="D154" s="92">
        <v>59.8</v>
      </c>
      <c r="E154" s="260">
        <v>11</v>
      </c>
      <c r="F154" s="199"/>
      <c r="G154" s="199"/>
      <c r="H154" s="269">
        <v>4</v>
      </c>
      <c r="I154" s="93">
        <v>7</v>
      </c>
      <c r="J154" s="183">
        <v>4</v>
      </c>
      <c r="K154" s="94">
        <v>3</v>
      </c>
      <c r="L154" s="95">
        <v>179.39999999999998</v>
      </c>
      <c r="M154" s="283"/>
    </row>
    <row r="155" spans="1:13" ht="30">
      <c r="A155" s="88">
        <v>9</v>
      </c>
      <c r="B155" s="90" t="s">
        <v>2511</v>
      </c>
      <c r="C155" s="91" t="s">
        <v>2512</v>
      </c>
      <c r="D155" s="92">
        <v>71.5</v>
      </c>
      <c r="E155" s="260">
        <v>1</v>
      </c>
      <c r="F155" s="199"/>
      <c r="G155" s="199"/>
      <c r="H155" s="269"/>
      <c r="I155" s="93">
        <v>1</v>
      </c>
      <c r="J155" s="183"/>
      <c r="K155" s="94">
        <v>1</v>
      </c>
      <c r="L155" s="95">
        <v>71.5</v>
      </c>
      <c r="M155" s="283"/>
    </row>
    <row r="156" spans="1:13">
      <c r="A156" s="88">
        <v>9</v>
      </c>
      <c r="B156" s="90" t="s">
        <v>2522</v>
      </c>
      <c r="C156" s="91" t="s">
        <v>2523</v>
      </c>
      <c r="D156" s="92">
        <v>147.94999999999999</v>
      </c>
      <c r="E156" s="260">
        <v>2</v>
      </c>
      <c r="F156" s="199"/>
      <c r="G156" s="199"/>
      <c r="H156" s="269"/>
      <c r="I156" s="93">
        <v>2</v>
      </c>
      <c r="J156" s="183">
        <v>1</v>
      </c>
      <c r="K156" s="94">
        <v>1</v>
      </c>
      <c r="L156" s="95">
        <v>147.94999999999999</v>
      </c>
      <c r="M156" s="283"/>
    </row>
    <row r="157" spans="1:13">
      <c r="A157" s="88">
        <v>9</v>
      </c>
      <c r="B157" s="90" t="s">
        <v>2540</v>
      </c>
      <c r="C157" s="91" t="s">
        <v>2541</v>
      </c>
      <c r="D157" s="92">
        <v>61.5</v>
      </c>
      <c r="E157" s="260">
        <v>66</v>
      </c>
      <c r="F157" s="199"/>
      <c r="G157" s="199"/>
      <c r="H157" s="269">
        <v>1</v>
      </c>
      <c r="I157" s="93">
        <v>65</v>
      </c>
      <c r="J157" s="183">
        <v>55</v>
      </c>
      <c r="K157" s="94">
        <v>10</v>
      </c>
      <c r="L157" s="95">
        <v>615</v>
      </c>
      <c r="M157" s="283"/>
    </row>
    <row r="158" spans="1:13">
      <c r="A158" s="88">
        <v>9</v>
      </c>
      <c r="B158" s="90" t="s">
        <v>2542</v>
      </c>
      <c r="C158" s="91" t="s">
        <v>2543</v>
      </c>
      <c r="D158" s="92">
        <v>5.25</v>
      </c>
      <c r="E158" s="260">
        <v>584</v>
      </c>
      <c r="F158" s="199"/>
      <c r="G158" s="199"/>
      <c r="H158" s="269">
        <v>54</v>
      </c>
      <c r="I158" s="93">
        <v>530</v>
      </c>
      <c r="J158" s="183">
        <v>529</v>
      </c>
      <c r="K158" s="94">
        <v>1</v>
      </c>
      <c r="L158" s="95">
        <v>5.25</v>
      </c>
      <c r="M158" s="283"/>
    </row>
    <row r="159" spans="1:13" ht="30">
      <c r="A159" s="88">
        <v>9</v>
      </c>
      <c r="B159" s="90" t="s">
        <v>2546</v>
      </c>
      <c r="C159" s="91" t="s">
        <v>2547</v>
      </c>
      <c r="D159" s="92">
        <v>6.63</v>
      </c>
      <c r="E159" s="260">
        <v>399</v>
      </c>
      <c r="F159" s="199"/>
      <c r="G159" s="199"/>
      <c r="H159" s="269">
        <v>5</v>
      </c>
      <c r="I159" s="93">
        <v>394</v>
      </c>
      <c r="J159" s="183">
        <v>382</v>
      </c>
      <c r="K159" s="94">
        <v>12</v>
      </c>
      <c r="L159" s="95">
        <v>79.559999999999945</v>
      </c>
      <c r="M159" s="283"/>
    </row>
    <row r="160" spans="1:13">
      <c r="A160" s="88">
        <v>9</v>
      </c>
      <c r="B160" s="90" t="s">
        <v>2556</v>
      </c>
      <c r="C160" s="91" t="s">
        <v>2557</v>
      </c>
      <c r="D160" s="92">
        <v>79.42</v>
      </c>
      <c r="E160" s="260">
        <v>3</v>
      </c>
      <c r="F160" s="199"/>
      <c r="G160" s="199"/>
      <c r="H160" s="269"/>
      <c r="I160" s="93">
        <v>3</v>
      </c>
      <c r="J160" s="183"/>
      <c r="K160" s="94">
        <v>3</v>
      </c>
      <c r="L160" s="95">
        <v>238.26</v>
      </c>
      <c r="M160" s="283"/>
    </row>
    <row r="161" spans="1:13">
      <c r="A161" s="88">
        <v>9</v>
      </c>
      <c r="B161" s="90" t="s">
        <v>2558</v>
      </c>
      <c r="C161" s="91" t="s">
        <v>2559</v>
      </c>
      <c r="D161" s="92">
        <v>14.81</v>
      </c>
      <c r="E161" s="260">
        <v>2</v>
      </c>
      <c r="F161" s="199"/>
      <c r="G161" s="199"/>
      <c r="H161" s="269"/>
      <c r="I161" s="93">
        <v>2</v>
      </c>
      <c r="J161" s="183"/>
      <c r="K161" s="94">
        <v>2</v>
      </c>
      <c r="L161" s="95">
        <v>29.62</v>
      </c>
      <c r="M161" s="283"/>
    </row>
    <row r="162" spans="1:13" ht="30">
      <c r="A162" s="88">
        <v>9</v>
      </c>
      <c r="B162" s="90" t="s">
        <v>2581</v>
      </c>
      <c r="C162" s="91" t="s">
        <v>2582</v>
      </c>
      <c r="D162" s="92">
        <v>6.73</v>
      </c>
      <c r="E162" s="260">
        <v>31</v>
      </c>
      <c r="F162" s="199"/>
      <c r="G162" s="199"/>
      <c r="H162" s="269"/>
      <c r="I162" s="93">
        <v>31</v>
      </c>
      <c r="J162" s="183">
        <v>30</v>
      </c>
      <c r="K162" s="94">
        <v>1</v>
      </c>
      <c r="L162" s="95">
        <v>6.7300000000000182</v>
      </c>
      <c r="M162" s="283"/>
    </row>
    <row r="163" spans="1:13" ht="30">
      <c r="A163" s="88">
        <v>9</v>
      </c>
      <c r="B163" s="90" t="s">
        <v>2592</v>
      </c>
      <c r="C163" s="91" t="s">
        <v>2593</v>
      </c>
      <c r="D163" s="92">
        <v>6.73</v>
      </c>
      <c r="E163" s="260">
        <v>22</v>
      </c>
      <c r="F163" s="199"/>
      <c r="G163" s="199"/>
      <c r="H163" s="269">
        <v>1</v>
      </c>
      <c r="I163" s="93">
        <v>21</v>
      </c>
      <c r="J163" s="183">
        <v>3</v>
      </c>
      <c r="K163" s="94">
        <v>18</v>
      </c>
      <c r="L163" s="95">
        <v>121.14000000000001</v>
      </c>
      <c r="M163" s="283"/>
    </row>
    <row r="164" spans="1:13" ht="30">
      <c r="A164" s="88">
        <v>9</v>
      </c>
      <c r="B164" s="90" t="s">
        <v>2594</v>
      </c>
      <c r="C164" s="91" t="s">
        <v>2595</v>
      </c>
      <c r="D164" s="92">
        <v>6.73</v>
      </c>
      <c r="E164" s="260">
        <v>30</v>
      </c>
      <c r="F164" s="199"/>
      <c r="G164" s="199"/>
      <c r="H164" s="269">
        <v>1</v>
      </c>
      <c r="I164" s="93">
        <v>29</v>
      </c>
      <c r="J164" s="183">
        <v>28</v>
      </c>
      <c r="K164" s="94">
        <v>1</v>
      </c>
      <c r="L164" s="95">
        <v>6.7300000000000182</v>
      </c>
      <c r="M164" s="283"/>
    </row>
    <row r="165" spans="1:13" ht="30">
      <c r="A165" s="88">
        <v>9</v>
      </c>
      <c r="B165" s="90" t="s">
        <v>2605</v>
      </c>
      <c r="C165" s="91" t="s">
        <v>2606</v>
      </c>
      <c r="D165" s="92">
        <v>55.86</v>
      </c>
      <c r="E165" s="260">
        <v>10</v>
      </c>
      <c r="F165" s="199"/>
      <c r="G165" s="199"/>
      <c r="H165" s="269"/>
      <c r="I165" s="93">
        <v>10</v>
      </c>
      <c r="J165" s="183"/>
      <c r="K165" s="94">
        <v>10</v>
      </c>
      <c r="L165" s="95">
        <v>558.6</v>
      </c>
      <c r="M165" s="283"/>
    </row>
    <row r="166" spans="1:13">
      <c r="A166" s="88">
        <v>9</v>
      </c>
      <c r="B166" s="90" t="s">
        <v>2620</v>
      </c>
      <c r="C166" s="91" t="s">
        <v>2621</v>
      </c>
      <c r="D166" s="92">
        <v>18.64</v>
      </c>
      <c r="E166" s="260">
        <v>51</v>
      </c>
      <c r="F166" s="199"/>
      <c r="G166" s="199"/>
      <c r="H166" s="269">
        <v>13</v>
      </c>
      <c r="I166" s="93">
        <v>38</v>
      </c>
      <c r="J166" s="277">
        <v>37</v>
      </c>
      <c r="K166" s="94">
        <v>1</v>
      </c>
      <c r="L166" s="95">
        <v>18.639999999999986</v>
      </c>
      <c r="M166" s="283"/>
    </row>
    <row r="167" spans="1:13" ht="30">
      <c r="A167" s="88">
        <v>9</v>
      </c>
      <c r="B167" s="90" t="s">
        <v>2632</v>
      </c>
      <c r="C167" s="91" t="s">
        <v>2633</v>
      </c>
      <c r="D167" s="92">
        <v>19.61</v>
      </c>
      <c r="E167" s="260">
        <v>14</v>
      </c>
      <c r="F167" s="199"/>
      <c r="G167" s="199"/>
      <c r="H167" s="269">
        <v>3</v>
      </c>
      <c r="I167" s="93">
        <v>11</v>
      </c>
      <c r="J167" s="183">
        <v>10</v>
      </c>
      <c r="K167" s="94">
        <v>1</v>
      </c>
      <c r="L167" s="95">
        <v>19.609999999999985</v>
      </c>
      <c r="M167" s="283"/>
    </row>
    <row r="168" spans="1:13" ht="30">
      <c r="A168" s="88">
        <v>9</v>
      </c>
      <c r="B168" s="90" t="s">
        <v>2650</v>
      </c>
      <c r="C168" s="91" t="s">
        <v>2651</v>
      </c>
      <c r="D168" s="92">
        <v>20.75</v>
      </c>
      <c r="E168" s="260">
        <v>5</v>
      </c>
      <c r="F168" s="199"/>
      <c r="G168" s="199"/>
      <c r="H168" s="269"/>
      <c r="I168" s="93">
        <v>5</v>
      </c>
      <c r="J168" s="183"/>
      <c r="K168" s="94">
        <v>5</v>
      </c>
      <c r="L168" s="95">
        <v>103.75</v>
      </c>
      <c r="M168" s="283"/>
    </row>
    <row r="169" spans="1:13" ht="30">
      <c r="A169" s="88">
        <v>9</v>
      </c>
      <c r="B169" s="90" t="s">
        <v>2671</v>
      </c>
      <c r="C169" s="91" t="s">
        <v>2672</v>
      </c>
      <c r="D169" s="92">
        <v>26.5</v>
      </c>
      <c r="E169" s="260">
        <v>1</v>
      </c>
      <c r="F169" s="199"/>
      <c r="G169" s="199"/>
      <c r="H169" s="269"/>
      <c r="I169" s="93">
        <v>1</v>
      </c>
      <c r="J169" s="183"/>
      <c r="K169" s="94">
        <v>1</v>
      </c>
      <c r="L169" s="95">
        <v>26.5</v>
      </c>
      <c r="M169" s="283"/>
    </row>
    <row r="170" spans="1:13">
      <c r="A170" s="88">
        <v>9</v>
      </c>
      <c r="B170" s="90" t="s">
        <v>2684</v>
      </c>
      <c r="C170" s="91" t="s">
        <v>2685</v>
      </c>
      <c r="D170" s="92">
        <v>5.92</v>
      </c>
      <c r="E170" s="260">
        <v>406</v>
      </c>
      <c r="F170" s="199"/>
      <c r="G170" s="199"/>
      <c r="H170" s="269">
        <v>6</v>
      </c>
      <c r="I170" s="93">
        <v>400</v>
      </c>
      <c r="J170" s="183">
        <v>384</v>
      </c>
      <c r="K170" s="94">
        <v>16</v>
      </c>
      <c r="L170" s="95">
        <v>94.720000000000255</v>
      </c>
      <c r="M170" s="283"/>
    </row>
    <row r="171" spans="1:13">
      <c r="A171" s="88">
        <v>9</v>
      </c>
      <c r="B171" s="90" t="s">
        <v>2688</v>
      </c>
      <c r="C171" s="91" t="s">
        <v>2689</v>
      </c>
      <c r="D171" s="92">
        <v>5.92</v>
      </c>
      <c r="E171" s="260">
        <v>586</v>
      </c>
      <c r="F171" s="199"/>
      <c r="G171" s="199"/>
      <c r="H171" s="269">
        <v>1</v>
      </c>
      <c r="I171" s="93">
        <v>585</v>
      </c>
      <c r="J171" s="183">
        <v>582</v>
      </c>
      <c r="K171" s="94">
        <v>3</v>
      </c>
      <c r="L171" s="95">
        <v>17.759999999999764</v>
      </c>
      <c r="M171" s="283"/>
    </row>
    <row r="172" spans="1:13">
      <c r="A172" s="88">
        <v>9</v>
      </c>
      <c r="B172" s="90" t="s">
        <v>2706</v>
      </c>
      <c r="C172" s="91" t="s">
        <v>2707</v>
      </c>
      <c r="D172" s="92">
        <v>55</v>
      </c>
      <c r="E172" s="260">
        <v>1</v>
      </c>
      <c r="F172" s="199"/>
      <c r="G172" s="199"/>
      <c r="H172" s="269"/>
      <c r="I172" s="93">
        <v>1</v>
      </c>
      <c r="J172" s="183"/>
      <c r="K172" s="94">
        <v>1</v>
      </c>
      <c r="L172" s="95">
        <v>55</v>
      </c>
      <c r="M172" s="283"/>
    </row>
    <row r="173" spans="1:13">
      <c r="A173" s="88">
        <v>9</v>
      </c>
      <c r="B173" s="90" t="s">
        <v>2708</v>
      </c>
      <c r="C173" s="91" t="s">
        <v>2709</v>
      </c>
      <c r="D173" s="92">
        <v>58</v>
      </c>
      <c r="E173" s="260">
        <v>30</v>
      </c>
      <c r="F173" s="199"/>
      <c r="G173" s="199"/>
      <c r="H173" s="269">
        <v>1</v>
      </c>
      <c r="I173" s="93">
        <v>29</v>
      </c>
      <c r="J173" s="183">
        <v>8</v>
      </c>
      <c r="K173" s="94">
        <v>21</v>
      </c>
      <c r="L173" s="95">
        <v>1218</v>
      </c>
      <c r="M173" s="283"/>
    </row>
    <row r="174" spans="1:13">
      <c r="A174" s="88">
        <v>9</v>
      </c>
      <c r="B174" s="90" t="s">
        <v>2712</v>
      </c>
      <c r="C174" s="91" t="s">
        <v>2713</v>
      </c>
      <c r="D174" s="92">
        <v>115.5</v>
      </c>
      <c r="E174" s="260">
        <v>3</v>
      </c>
      <c r="F174" s="199"/>
      <c r="G174" s="199"/>
      <c r="H174" s="269"/>
      <c r="I174" s="93">
        <v>3</v>
      </c>
      <c r="J174" s="183"/>
      <c r="K174" s="94">
        <v>3</v>
      </c>
      <c r="L174" s="95">
        <v>346.5</v>
      </c>
      <c r="M174" s="283"/>
    </row>
    <row r="175" spans="1:13" ht="30">
      <c r="A175" s="88">
        <v>9</v>
      </c>
      <c r="B175" s="90" t="s">
        <v>2724</v>
      </c>
      <c r="C175" s="91" t="s">
        <v>2725</v>
      </c>
      <c r="D175" s="92">
        <v>6</v>
      </c>
      <c r="E175" s="260">
        <v>143</v>
      </c>
      <c r="F175" s="199"/>
      <c r="G175" s="199"/>
      <c r="H175" s="269">
        <v>18</v>
      </c>
      <c r="I175" s="93">
        <v>125</v>
      </c>
      <c r="J175" s="183">
        <v>124</v>
      </c>
      <c r="K175" s="94">
        <v>1</v>
      </c>
      <c r="L175" s="95">
        <v>6</v>
      </c>
      <c r="M175" s="283"/>
    </row>
    <row r="176" spans="1:13">
      <c r="A176" s="88">
        <v>10</v>
      </c>
      <c r="B176" s="90" t="s">
        <v>2783</v>
      </c>
      <c r="C176" s="91" t="s">
        <v>2782</v>
      </c>
      <c r="D176" s="92">
        <v>43.5</v>
      </c>
      <c r="E176" s="260">
        <v>12</v>
      </c>
      <c r="F176" s="199"/>
      <c r="G176" s="199"/>
      <c r="H176" s="269"/>
      <c r="I176" s="93">
        <v>12</v>
      </c>
      <c r="J176" s="183"/>
      <c r="K176" s="94">
        <v>12</v>
      </c>
      <c r="L176" s="95">
        <v>522</v>
      </c>
      <c r="M176" s="283"/>
    </row>
    <row r="177" spans="1:13">
      <c r="A177" s="88">
        <v>10</v>
      </c>
      <c r="B177" s="90" t="s">
        <v>2794</v>
      </c>
      <c r="C177" s="91" t="s">
        <v>2795</v>
      </c>
      <c r="D177" s="92">
        <v>43.5</v>
      </c>
      <c r="E177" s="260">
        <v>8</v>
      </c>
      <c r="F177" s="199"/>
      <c r="G177" s="199"/>
      <c r="H177" s="269"/>
      <c r="I177" s="93">
        <v>8</v>
      </c>
      <c r="J177" s="183">
        <v>3</v>
      </c>
      <c r="K177" s="94">
        <v>5</v>
      </c>
      <c r="L177" s="95">
        <v>217.5</v>
      </c>
      <c r="M177" s="283"/>
    </row>
    <row r="178" spans="1:13">
      <c r="A178" s="88">
        <v>10</v>
      </c>
      <c r="B178" s="90" t="s">
        <v>2803</v>
      </c>
      <c r="C178" s="91" t="s">
        <v>2804</v>
      </c>
      <c r="D178" s="92">
        <v>14.42</v>
      </c>
      <c r="E178" s="260">
        <v>305</v>
      </c>
      <c r="F178" s="199"/>
      <c r="G178" s="199"/>
      <c r="H178" s="269">
        <v>12</v>
      </c>
      <c r="I178" s="93">
        <v>293</v>
      </c>
      <c r="J178" s="183">
        <v>280</v>
      </c>
      <c r="K178" s="94">
        <v>13</v>
      </c>
      <c r="L178" s="95">
        <v>187.46000000000049</v>
      </c>
      <c r="M178" s="285" t="s">
        <v>5259</v>
      </c>
    </row>
    <row r="179" spans="1:13" ht="30">
      <c r="A179" s="88">
        <v>10</v>
      </c>
      <c r="B179" s="90" t="s">
        <v>2805</v>
      </c>
      <c r="C179" s="91" t="s">
        <v>2806</v>
      </c>
      <c r="D179" s="92">
        <v>14.91</v>
      </c>
      <c r="E179" s="260">
        <v>580</v>
      </c>
      <c r="F179" s="199"/>
      <c r="G179" s="199"/>
      <c r="H179" s="269">
        <v>35</v>
      </c>
      <c r="I179" s="93">
        <v>545</v>
      </c>
      <c r="J179" s="183">
        <v>487</v>
      </c>
      <c r="K179" s="94">
        <v>58</v>
      </c>
      <c r="L179" s="95">
        <v>864.77999999999975</v>
      </c>
      <c r="M179" s="283"/>
    </row>
    <row r="180" spans="1:13">
      <c r="A180" s="88">
        <v>10</v>
      </c>
      <c r="B180" s="90" t="s">
        <v>2821</v>
      </c>
      <c r="C180" s="91" t="s">
        <v>2822</v>
      </c>
      <c r="D180" s="92">
        <v>333.8</v>
      </c>
      <c r="E180" s="260">
        <v>16</v>
      </c>
      <c r="F180" s="199">
        <v>8</v>
      </c>
      <c r="G180" s="199">
        <v>5</v>
      </c>
      <c r="H180" s="269"/>
      <c r="I180" s="93">
        <v>19</v>
      </c>
      <c r="J180" s="183">
        <v>7</v>
      </c>
      <c r="K180" s="94">
        <v>12</v>
      </c>
      <c r="L180" s="95">
        <v>4005.6</v>
      </c>
      <c r="M180" s="283"/>
    </row>
    <row r="181" spans="1:13" ht="30">
      <c r="A181" s="88">
        <v>10</v>
      </c>
      <c r="B181" s="90" t="s">
        <v>2837</v>
      </c>
      <c r="C181" s="91" t="s">
        <v>2838</v>
      </c>
      <c r="D181" s="92">
        <v>6.29</v>
      </c>
      <c r="E181" s="260">
        <v>24</v>
      </c>
      <c r="F181" s="199"/>
      <c r="G181" s="199"/>
      <c r="H181" s="269"/>
      <c r="I181" s="93">
        <v>24</v>
      </c>
      <c r="J181" s="183">
        <v>1</v>
      </c>
      <c r="K181" s="94">
        <v>23</v>
      </c>
      <c r="L181" s="95">
        <v>144.67000000000002</v>
      </c>
      <c r="M181" s="283"/>
    </row>
    <row r="182" spans="1:13" ht="30">
      <c r="A182" s="88">
        <v>10</v>
      </c>
      <c r="B182" s="90" t="s">
        <v>2851</v>
      </c>
      <c r="C182" s="91" t="s">
        <v>2852</v>
      </c>
      <c r="D182" s="92">
        <v>5.34</v>
      </c>
      <c r="E182" s="260">
        <v>385</v>
      </c>
      <c r="F182" s="199"/>
      <c r="G182" s="199"/>
      <c r="H182" s="269"/>
      <c r="I182" s="93">
        <v>385</v>
      </c>
      <c r="J182" s="183">
        <v>214</v>
      </c>
      <c r="K182" s="94">
        <v>171</v>
      </c>
      <c r="L182" s="95">
        <v>913.1400000000001</v>
      </c>
      <c r="M182" s="283"/>
    </row>
    <row r="183" spans="1:13" ht="30">
      <c r="A183" s="88">
        <v>10</v>
      </c>
      <c r="B183" s="90" t="s">
        <v>2858</v>
      </c>
      <c r="C183" s="91" t="s">
        <v>2859</v>
      </c>
      <c r="D183" s="92">
        <v>5.0199999999999996</v>
      </c>
      <c r="E183" s="260">
        <v>84</v>
      </c>
      <c r="F183" s="199"/>
      <c r="G183" s="199"/>
      <c r="H183" s="269"/>
      <c r="I183" s="93">
        <v>84</v>
      </c>
      <c r="J183" s="183">
        <v>82</v>
      </c>
      <c r="K183" s="94">
        <v>2</v>
      </c>
      <c r="L183" s="95">
        <v>10.039999999999964</v>
      </c>
      <c r="M183" s="283"/>
    </row>
    <row r="184" spans="1:13">
      <c r="A184" s="88">
        <v>10</v>
      </c>
      <c r="B184" s="90" t="s">
        <v>2864</v>
      </c>
      <c r="C184" s="91" t="s">
        <v>2865</v>
      </c>
      <c r="D184" s="92">
        <v>44.36</v>
      </c>
      <c r="E184" s="260">
        <v>2</v>
      </c>
      <c r="F184" s="199"/>
      <c r="G184" s="199"/>
      <c r="H184" s="269"/>
      <c r="I184" s="93">
        <v>2</v>
      </c>
      <c r="J184" s="183"/>
      <c r="K184" s="94">
        <v>2</v>
      </c>
      <c r="L184" s="95">
        <v>88.72</v>
      </c>
      <c r="M184" s="283"/>
    </row>
    <row r="185" spans="1:13">
      <c r="A185" s="88">
        <v>10</v>
      </c>
      <c r="B185" s="90" t="s">
        <v>2866</v>
      </c>
      <c r="C185" s="91" t="s">
        <v>2867</v>
      </c>
      <c r="D185" s="92">
        <v>36.51</v>
      </c>
      <c r="E185" s="260">
        <v>84</v>
      </c>
      <c r="F185" s="199"/>
      <c r="G185" s="199"/>
      <c r="H185" s="269">
        <v>1</v>
      </c>
      <c r="I185" s="93">
        <v>83</v>
      </c>
      <c r="J185" s="183"/>
      <c r="K185" s="94">
        <v>83</v>
      </c>
      <c r="L185" s="95">
        <v>3030.33</v>
      </c>
      <c r="M185" s="283"/>
    </row>
    <row r="186" spans="1:13">
      <c r="A186" s="88">
        <v>10</v>
      </c>
      <c r="B186" s="90" t="s">
        <v>2870</v>
      </c>
      <c r="C186" s="91" t="s">
        <v>2871</v>
      </c>
      <c r="D186" s="92">
        <v>48</v>
      </c>
      <c r="E186" s="260">
        <v>3</v>
      </c>
      <c r="F186" s="199"/>
      <c r="G186" s="199"/>
      <c r="H186" s="269"/>
      <c r="I186" s="93">
        <v>3</v>
      </c>
      <c r="J186" s="183"/>
      <c r="K186" s="94">
        <v>3</v>
      </c>
      <c r="L186" s="95">
        <v>144</v>
      </c>
      <c r="M186" s="283"/>
    </row>
    <row r="187" spans="1:13" ht="30">
      <c r="A187" s="88">
        <v>10</v>
      </c>
      <c r="B187" s="90" t="s">
        <v>2880</v>
      </c>
      <c r="C187" s="91" t="s">
        <v>2881</v>
      </c>
      <c r="D187" s="92">
        <v>4.7</v>
      </c>
      <c r="E187" s="260">
        <v>391</v>
      </c>
      <c r="F187" s="199"/>
      <c r="G187" s="199"/>
      <c r="H187" s="269"/>
      <c r="I187" s="93">
        <v>391</v>
      </c>
      <c r="J187" s="183">
        <v>383</v>
      </c>
      <c r="K187" s="94">
        <v>8</v>
      </c>
      <c r="L187" s="95">
        <v>37.599999999999909</v>
      </c>
      <c r="M187" s="283"/>
    </row>
    <row r="188" spans="1:13" ht="30">
      <c r="A188" s="88">
        <v>10</v>
      </c>
      <c r="B188" s="90" t="s">
        <v>2890</v>
      </c>
      <c r="C188" s="91" t="s">
        <v>2891</v>
      </c>
      <c r="D188" s="92">
        <v>6.12</v>
      </c>
      <c r="E188" s="260">
        <v>348</v>
      </c>
      <c r="F188" s="199"/>
      <c r="G188" s="199"/>
      <c r="H188" s="269">
        <v>3</v>
      </c>
      <c r="I188" s="93">
        <v>345</v>
      </c>
      <c r="J188" s="183">
        <v>343</v>
      </c>
      <c r="K188" s="94">
        <v>2</v>
      </c>
      <c r="L188" s="95">
        <v>12.240000000000236</v>
      </c>
      <c r="M188" s="283"/>
    </row>
    <row r="189" spans="1:13">
      <c r="A189" s="88">
        <v>10</v>
      </c>
      <c r="B189" s="90" t="s">
        <v>2892</v>
      </c>
      <c r="C189" s="91" t="s">
        <v>2893</v>
      </c>
      <c r="D189" s="92">
        <v>150.43</v>
      </c>
      <c r="E189" s="260">
        <v>8</v>
      </c>
      <c r="F189" s="199"/>
      <c r="G189" s="199"/>
      <c r="H189" s="269">
        <v>1</v>
      </c>
      <c r="I189" s="93">
        <v>7</v>
      </c>
      <c r="J189" s="183">
        <v>3</v>
      </c>
      <c r="K189" s="94">
        <v>4</v>
      </c>
      <c r="L189" s="95">
        <v>601.72</v>
      </c>
      <c r="M189" s="283"/>
    </row>
    <row r="190" spans="1:13">
      <c r="A190" s="88">
        <v>10</v>
      </c>
      <c r="B190" s="90" t="s">
        <v>2904</v>
      </c>
      <c r="C190" s="91" t="s">
        <v>2905</v>
      </c>
      <c r="D190" s="92">
        <v>6.12</v>
      </c>
      <c r="E190" s="260">
        <v>9</v>
      </c>
      <c r="F190" s="199"/>
      <c r="G190" s="199"/>
      <c r="H190" s="269">
        <v>5</v>
      </c>
      <c r="I190" s="93">
        <v>4</v>
      </c>
      <c r="J190" s="183"/>
      <c r="K190" s="94">
        <v>4</v>
      </c>
      <c r="L190" s="95">
        <v>24.48</v>
      </c>
      <c r="M190" s="283"/>
    </row>
    <row r="191" spans="1:13" ht="30">
      <c r="A191" s="88">
        <v>10</v>
      </c>
      <c r="B191" s="90" t="s">
        <v>2919</v>
      </c>
      <c r="C191" s="91" t="s">
        <v>2920</v>
      </c>
      <c r="D191" s="92">
        <v>350.45</v>
      </c>
      <c r="E191" s="260">
        <v>24</v>
      </c>
      <c r="F191" s="199"/>
      <c r="G191" s="199"/>
      <c r="H191" s="269"/>
      <c r="I191" s="93">
        <v>24</v>
      </c>
      <c r="J191" s="183">
        <v>11</v>
      </c>
      <c r="K191" s="94">
        <v>13</v>
      </c>
      <c r="L191" s="95">
        <v>4555.8499999999995</v>
      </c>
      <c r="M191" s="283"/>
    </row>
    <row r="192" spans="1:13" ht="30">
      <c r="A192" s="88">
        <v>10</v>
      </c>
      <c r="B192" s="90" t="s">
        <v>2931</v>
      </c>
      <c r="C192" s="91" t="s">
        <v>2932</v>
      </c>
      <c r="D192" s="92">
        <v>267</v>
      </c>
      <c r="E192" s="260">
        <v>10</v>
      </c>
      <c r="F192" s="199"/>
      <c r="G192" s="199"/>
      <c r="H192" s="269"/>
      <c r="I192" s="93">
        <v>10</v>
      </c>
      <c r="J192" s="183">
        <v>5</v>
      </c>
      <c r="K192" s="94">
        <v>5</v>
      </c>
      <c r="L192" s="95">
        <v>1335</v>
      </c>
      <c r="M192" s="283"/>
    </row>
    <row r="193" spans="1:13" ht="30">
      <c r="A193" s="88">
        <v>10</v>
      </c>
      <c r="B193" s="90" t="s">
        <v>2933</v>
      </c>
      <c r="C193" s="91" t="s">
        <v>2934</v>
      </c>
      <c r="D193" s="92">
        <v>267</v>
      </c>
      <c r="E193" s="260">
        <v>8</v>
      </c>
      <c r="F193" s="199"/>
      <c r="G193" s="199"/>
      <c r="H193" s="269"/>
      <c r="I193" s="93">
        <v>8</v>
      </c>
      <c r="J193" s="183">
        <v>4</v>
      </c>
      <c r="K193" s="94">
        <v>4</v>
      </c>
      <c r="L193" s="95">
        <v>1068</v>
      </c>
      <c r="M193" s="283"/>
    </row>
    <row r="194" spans="1:13" ht="30">
      <c r="A194" s="88">
        <v>10</v>
      </c>
      <c r="B194" s="90" t="s">
        <v>2948</v>
      </c>
      <c r="C194" s="91" t="s">
        <v>2949</v>
      </c>
      <c r="D194" s="92">
        <v>144.31</v>
      </c>
      <c r="E194" s="260">
        <v>17</v>
      </c>
      <c r="F194" s="199"/>
      <c r="G194" s="199"/>
      <c r="H194" s="269"/>
      <c r="I194" s="93">
        <v>17</v>
      </c>
      <c r="J194" s="183"/>
      <c r="K194" s="94">
        <v>17</v>
      </c>
      <c r="L194" s="95">
        <v>2453.27</v>
      </c>
      <c r="M194" s="283"/>
    </row>
    <row r="195" spans="1:13">
      <c r="A195" s="88">
        <v>10</v>
      </c>
      <c r="B195" s="90" t="s">
        <v>2954</v>
      </c>
      <c r="C195" s="91" t="s">
        <v>2955</v>
      </c>
      <c r="D195" s="92">
        <v>11.1</v>
      </c>
      <c r="E195" s="260">
        <v>96</v>
      </c>
      <c r="F195" s="199"/>
      <c r="G195" s="199"/>
      <c r="H195" s="269"/>
      <c r="I195" s="93">
        <v>96</v>
      </c>
      <c r="J195" s="183">
        <v>36</v>
      </c>
      <c r="K195" s="94">
        <v>60</v>
      </c>
      <c r="L195" s="95">
        <v>666</v>
      </c>
      <c r="M195" s="283"/>
    </row>
    <row r="196" spans="1:13">
      <c r="A196" s="88">
        <v>10</v>
      </c>
      <c r="B196" s="90" t="s">
        <v>2956</v>
      </c>
      <c r="C196" s="91" t="s">
        <v>2957</v>
      </c>
      <c r="D196" s="92">
        <v>5.78</v>
      </c>
      <c r="E196" s="260">
        <v>95</v>
      </c>
      <c r="F196" s="199"/>
      <c r="G196" s="199"/>
      <c r="H196" s="269"/>
      <c r="I196" s="93">
        <v>95</v>
      </c>
      <c r="J196" s="183">
        <v>94</v>
      </c>
      <c r="K196" s="94">
        <v>1</v>
      </c>
      <c r="L196" s="95">
        <v>5.7799999999999727</v>
      </c>
      <c r="M196" s="283"/>
    </row>
    <row r="197" spans="1:13" ht="30">
      <c r="A197" s="88">
        <v>10</v>
      </c>
      <c r="B197" s="90" t="s">
        <v>2979</v>
      </c>
      <c r="C197" s="91" t="s">
        <v>2980</v>
      </c>
      <c r="D197" s="92">
        <v>252</v>
      </c>
      <c r="E197" s="260">
        <v>3</v>
      </c>
      <c r="F197" s="199"/>
      <c r="G197" s="199"/>
      <c r="H197" s="269"/>
      <c r="I197" s="93">
        <v>3</v>
      </c>
      <c r="J197" s="183">
        <v>1</v>
      </c>
      <c r="K197" s="94">
        <v>2</v>
      </c>
      <c r="L197" s="95">
        <v>504</v>
      </c>
      <c r="M197" s="283"/>
    </row>
    <row r="198" spans="1:13">
      <c r="A198" s="88">
        <v>10</v>
      </c>
      <c r="B198" s="90" t="s">
        <v>2981</v>
      </c>
      <c r="C198" s="91" t="s">
        <v>2982</v>
      </c>
      <c r="D198" s="92">
        <v>57</v>
      </c>
      <c r="E198" s="260">
        <v>56</v>
      </c>
      <c r="F198" s="199"/>
      <c r="G198" s="199"/>
      <c r="H198" s="269"/>
      <c r="I198" s="93">
        <v>56</v>
      </c>
      <c r="J198" s="183"/>
      <c r="K198" s="94">
        <v>56</v>
      </c>
      <c r="L198" s="95">
        <v>3192</v>
      </c>
      <c r="M198" s="283"/>
    </row>
    <row r="199" spans="1:13" ht="30">
      <c r="A199" s="88">
        <v>10</v>
      </c>
      <c r="B199" s="90" t="s">
        <v>3022</v>
      </c>
      <c r="C199" s="91" t="s">
        <v>3023</v>
      </c>
      <c r="D199" s="92">
        <v>5.41</v>
      </c>
      <c r="E199" s="260">
        <v>109</v>
      </c>
      <c r="F199" s="199"/>
      <c r="G199" s="199"/>
      <c r="H199" s="269"/>
      <c r="I199" s="93">
        <v>109</v>
      </c>
      <c r="J199" s="183">
        <v>108</v>
      </c>
      <c r="K199" s="94">
        <v>1</v>
      </c>
      <c r="L199" s="95">
        <v>5.4100000000000819</v>
      </c>
      <c r="M199" s="283"/>
    </row>
    <row r="200" spans="1:13" ht="30">
      <c r="A200" s="88">
        <v>10</v>
      </c>
      <c r="B200" s="90" t="s">
        <v>3024</v>
      </c>
      <c r="C200" s="91" t="s">
        <v>3025</v>
      </c>
      <c r="D200" s="92">
        <v>5.41</v>
      </c>
      <c r="E200" s="260">
        <v>213</v>
      </c>
      <c r="F200" s="199"/>
      <c r="G200" s="199"/>
      <c r="H200" s="269">
        <v>6</v>
      </c>
      <c r="I200" s="93">
        <v>207</v>
      </c>
      <c r="J200" s="183">
        <v>204</v>
      </c>
      <c r="K200" s="94">
        <v>3</v>
      </c>
      <c r="L200" s="95">
        <v>16.230000000000018</v>
      </c>
      <c r="M200" s="283"/>
    </row>
    <row r="201" spans="1:13">
      <c r="A201" s="88">
        <v>10</v>
      </c>
      <c r="B201" s="90" t="s">
        <v>3026</v>
      </c>
      <c r="C201" s="91" t="s">
        <v>3027</v>
      </c>
      <c r="D201" s="92">
        <v>5.41</v>
      </c>
      <c r="E201" s="260">
        <v>955</v>
      </c>
      <c r="F201" s="199"/>
      <c r="G201" s="199"/>
      <c r="H201" s="269">
        <v>32</v>
      </c>
      <c r="I201" s="93">
        <v>923</v>
      </c>
      <c r="J201" s="183">
        <v>569</v>
      </c>
      <c r="K201" s="94">
        <v>354</v>
      </c>
      <c r="L201" s="95">
        <v>1915.1400000000003</v>
      </c>
      <c r="M201" s="283"/>
    </row>
    <row r="202" spans="1:13" ht="30">
      <c r="A202" s="88">
        <v>10</v>
      </c>
      <c r="B202" s="90" t="s">
        <v>3040</v>
      </c>
      <c r="C202" s="91" t="s">
        <v>3041</v>
      </c>
      <c r="D202" s="92">
        <v>37.5</v>
      </c>
      <c r="E202" s="260">
        <v>233</v>
      </c>
      <c r="F202" s="199"/>
      <c r="G202" s="199"/>
      <c r="H202" s="269"/>
      <c r="I202" s="93">
        <v>233</v>
      </c>
      <c r="J202" s="183">
        <v>33</v>
      </c>
      <c r="K202" s="94">
        <v>200</v>
      </c>
      <c r="L202" s="95">
        <v>7500</v>
      </c>
      <c r="M202" s="283"/>
    </row>
    <row r="203" spans="1:13">
      <c r="A203" s="88">
        <v>10</v>
      </c>
      <c r="B203" s="90" t="s">
        <v>3046</v>
      </c>
      <c r="C203" s="91" t="s">
        <v>3047</v>
      </c>
      <c r="D203" s="92">
        <v>37.5</v>
      </c>
      <c r="E203" s="260">
        <v>226</v>
      </c>
      <c r="F203" s="199"/>
      <c r="G203" s="199"/>
      <c r="H203" s="269">
        <v>1</v>
      </c>
      <c r="I203" s="93">
        <v>225</v>
      </c>
      <c r="J203" s="183">
        <v>53</v>
      </c>
      <c r="K203" s="94">
        <v>172</v>
      </c>
      <c r="L203" s="95">
        <v>6450</v>
      </c>
      <c r="M203" s="283"/>
    </row>
    <row r="204" spans="1:13" ht="30">
      <c r="A204" s="88">
        <v>10</v>
      </c>
      <c r="B204" s="90" t="s">
        <v>3052</v>
      </c>
      <c r="C204" s="91" t="s">
        <v>3053</v>
      </c>
      <c r="D204" s="92">
        <v>37.5</v>
      </c>
      <c r="E204" s="260">
        <v>20</v>
      </c>
      <c r="F204" s="199"/>
      <c r="G204" s="199"/>
      <c r="H204" s="269">
        <v>3</v>
      </c>
      <c r="I204" s="93">
        <v>17</v>
      </c>
      <c r="J204" s="183"/>
      <c r="K204" s="94">
        <v>17</v>
      </c>
      <c r="L204" s="95">
        <v>637.5</v>
      </c>
      <c r="M204" s="283"/>
    </row>
    <row r="205" spans="1:13" ht="30">
      <c r="A205" s="88">
        <v>10</v>
      </c>
      <c r="B205" s="90" t="s">
        <v>3074</v>
      </c>
      <c r="C205" s="91" t="s">
        <v>3075</v>
      </c>
      <c r="D205" s="92">
        <v>11.29</v>
      </c>
      <c r="E205" s="260">
        <v>18</v>
      </c>
      <c r="F205" s="199"/>
      <c r="G205" s="199"/>
      <c r="H205" s="269"/>
      <c r="I205" s="93">
        <v>18</v>
      </c>
      <c r="J205" s="183">
        <v>3</v>
      </c>
      <c r="K205" s="94">
        <v>15</v>
      </c>
      <c r="L205" s="95">
        <v>169.34999999999997</v>
      </c>
      <c r="M205" s="283"/>
    </row>
    <row r="206" spans="1:13" ht="30">
      <c r="A206" s="88">
        <v>10</v>
      </c>
      <c r="B206" s="90" t="s">
        <v>3076</v>
      </c>
      <c r="C206" s="91" t="s">
        <v>3077</v>
      </c>
      <c r="D206" s="92">
        <v>27</v>
      </c>
      <c r="E206" s="260">
        <v>4</v>
      </c>
      <c r="F206" s="199"/>
      <c r="G206" s="199"/>
      <c r="H206" s="269"/>
      <c r="I206" s="93">
        <v>4</v>
      </c>
      <c r="J206" s="183"/>
      <c r="K206" s="94">
        <v>4</v>
      </c>
      <c r="L206" s="95">
        <v>108</v>
      </c>
      <c r="M206" s="283"/>
    </row>
    <row r="207" spans="1:13" ht="30">
      <c r="A207" s="88">
        <v>10</v>
      </c>
      <c r="B207" s="90" t="s">
        <v>3087</v>
      </c>
      <c r="C207" s="91" t="s">
        <v>3088</v>
      </c>
      <c r="D207" s="92">
        <v>5.47</v>
      </c>
      <c r="E207" s="260">
        <v>168</v>
      </c>
      <c r="F207" s="199"/>
      <c r="G207" s="199"/>
      <c r="H207" s="269"/>
      <c r="I207" s="93">
        <v>168</v>
      </c>
      <c r="J207" s="183">
        <v>159</v>
      </c>
      <c r="K207" s="94">
        <v>9</v>
      </c>
      <c r="L207" s="95">
        <v>49.230000000000018</v>
      </c>
      <c r="M207" s="283"/>
    </row>
    <row r="208" spans="1:13" ht="30">
      <c r="A208" s="88">
        <v>10</v>
      </c>
      <c r="B208" s="90" t="s">
        <v>3097</v>
      </c>
      <c r="C208" s="91" t="s">
        <v>3098</v>
      </c>
      <c r="D208" s="92">
        <v>5</v>
      </c>
      <c r="E208" s="260">
        <v>11</v>
      </c>
      <c r="F208" s="199"/>
      <c r="G208" s="199"/>
      <c r="H208" s="269">
        <v>2</v>
      </c>
      <c r="I208" s="93">
        <v>9</v>
      </c>
      <c r="J208" s="183">
        <v>8</v>
      </c>
      <c r="K208" s="94">
        <v>1</v>
      </c>
      <c r="L208" s="95">
        <v>5</v>
      </c>
      <c r="M208" s="283"/>
    </row>
    <row r="209" spans="1:13" ht="45">
      <c r="A209" s="88">
        <v>11</v>
      </c>
      <c r="B209" s="90" t="s">
        <v>3231</v>
      </c>
      <c r="C209" s="91" t="s">
        <v>3232</v>
      </c>
      <c r="D209" s="92">
        <v>279.3</v>
      </c>
      <c r="E209" s="260">
        <v>6</v>
      </c>
      <c r="F209" s="199"/>
      <c r="G209" s="199"/>
      <c r="H209" s="269"/>
      <c r="I209" s="93">
        <v>6</v>
      </c>
      <c r="J209" s="183">
        <v>1</v>
      </c>
      <c r="K209" s="94">
        <v>5</v>
      </c>
      <c r="L209" s="95">
        <v>1396.5000000000002</v>
      </c>
      <c r="M209" s="283"/>
    </row>
    <row r="210" spans="1:13">
      <c r="A210" s="88">
        <v>11</v>
      </c>
      <c r="B210" s="90" t="s">
        <v>3379</v>
      </c>
      <c r="C210" s="91" t="s">
        <v>3380</v>
      </c>
      <c r="D210" s="92">
        <v>140</v>
      </c>
      <c r="E210" s="260">
        <v>5</v>
      </c>
      <c r="F210" s="199"/>
      <c r="G210" s="199"/>
      <c r="H210" s="269"/>
      <c r="I210" s="93">
        <v>5</v>
      </c>
      <c r="J210" s="183">
        <v>4</v>
      </c>
      <c r="K210" s="94">
        <v>1</v>
      </c>
      <c r="L210" s="95">
        <v>140</v>
      </c>
      <c r="M210" s="283" t="s">
        <v>3381</v>
      </c>
    </row>
    <row r="211" spans="1:13">
      <c r="A211" s="88">
        <v>11</v>
      </c>
      <c r="B211" s="90" t="s">
        <v>3382</v>
      </c>
      <c r="C211" s="91" t="s">
        <v>3383</v>
      </c>
      <c r="D211" s="92">
        <v>115</v>
      </c>
      <c r="E211" s="260">
        <v>22</v>
      </c>
      <c r="F211" s="199"/>
      <c r="G211" s="199"/>
      <c r="H211" s="269"/>
      <c r="I211" s="93">
        <v>22</v>
      </c>
      <c r="J211" s="183"/>
      <c r="K211" s="94">
        <v>22</v>
      </c>
      <c r="L211" s="95">
        <v>2530</v>
      </c>
      <c r="M211" s="283"/>
    </row>
    <row r="212" spans="1:13">
      <c r="A212" s="88">
        <v>11</v>
      </c>
      <c r="B212" s="90" t="s">
        <v>3384</v>
      </c>
      <c r="C212" s="91" t="s">
        <v>3385</v>
      </c>
      <c r="D212" s="92">
        <v>1215</v>
      </c>
      <c r="E212" s="260">
        <v>1</v>
      </c>
      <c r="F212" s="199"/>
      <c r="G212" s="199"/>
      <c r="H212" s="269"/>
      <c r="I212" s="93">
        <v>1</v>
      </c>
      <c r="J212" s="183"/>
      <c r="K212" s="94">
        <v>1</v>
      </c>
      <c r="L212" s="95">
        <v>1215</v>
      </c>
      <c r="M212" s="283"/>
    </row>
    <row r="213" spans="1:13" ht="30">
      <c r="A213" s="88">
        <v>11</v>
      </c>
      <c r="B213" s="90" t="s">
        <v>3400</v>
      </c>
      <c r="C213" s="91" t="s">
        <v>3401</v>
      </c>
      <c r="D213" s="92">
        <v>139.30000000000001</v>
      </c>
      <c r="E213" s="260">
        <v>4</v>
      </c>
      <c r="F213" s="199"/>
      <c r="G213" s="199"/>
      <c r="H213" s="269"/>
      <c r="I213" s="93">
        <v>4</v>
      </c>
      <c r="J213" s="183">
        <v>2</v>
      </c>
      <c r="K213" s="94">
        <v>2</v>
      </c>
      <c r="L213" s="95">
        <v>278.60000000000002</v>
      </c>
      <c r="M213" s="283"/>
    </row>
    <row r="214" spans="1:13" ht="45">
      <c r="A214" s="88">
        <v>11</v>
      </c>
      <c r="B214" s="90" t="s">
        <v>3402</v>
      </c>
      <c r="C214" s="91" t="s">
        <v>3403</v>
      </c>
      <c r="D214" s="92">
        <v>244.3</v>
      </c>
      <c r="E214" s="260">
        <v>3</v>
      </c>
      <c r="F214" s="199"/>
      <c r="G214" s="199"/>
      <c r="H214" s="269"/>
      <c r="I214" s="93">
        <v>3</v>
      </c>
      <c r="J214" s="183"/>
      <c r="K214" s="94">
        <v>3</v>
      </c>
      <c r="L214" s="95">
        <v>732.90000000000009</v>
      </c>
      <c r="M214" s="283"/>
    </row>
    <row r="215" spans="1:13" ht="45">
      <c r="A215" s="88">
        <v>11</v>
      </c>
      <c r="B215" s="90" t="s">
        <v>3404</v>
      </c>
      <c r="C215" s="91" t="s">
        <v>3405</v>
      </c>
      <c r="D215" s="92">
        <v>244.3</v>
      </c>
      <c r="E215" s="260">
        <v>1</v>
      </c>
      <c r="F215" s="199"/>
      <c r="G215" s="199"/>
      <c r="H215" s="269"/>
      <c r="I215" s="93">
        <v>1</v>
      </c>
      <c r="J215" s="183"/>
      <c r="K215" s="94">
        <v>1</v>
      </c>
      <c r="L215" s="95">
        <v>244.3</v>
      </c>
      <c r="M215" s="283"/>
    </row>
    <row r="216" spans="1:13" ht="30">
      <c r="A216" s="88">
        <v>11</v>
      </c>
      <c r="B216" s="90" t="s">
        <v>3406</v>
      </c>
      <c r="C216" s="91" t="s">
        <v>3407</v>
      </c>
      <c r="D216" s="92">
        <v>97.3</v>
      </c>
      <c r="E216" s="260">
        <v>2</v>
      </c>
      <c r="F216" s="199"/>
      <c r="G216" s="199"/>
      <c r="H216" s="269"/>
      <c r="I216" s="93">
        <v>2</v>
      </c>
      <c r="J216" s="183"/>
      <c r="K216" s="94">
        <v>2</v>
      </c>
      <c r="L216" s="95">
        <v>194.6</v>
      </c>
      <c r="M216" s="283"/>
    </row>
    <row r="217" spans="1:13" ht="30">
      <c r="A217" s="88">
        <v>11</v>
      </c>
      <c r="B217" s="90" t="s">
        <v>3408</v>
      </c>
      <c r="C217" s="91" t="s">
        <v>3409</v>
      </c>
      <c r="D217" s="92">
        <v>139.30000000000001</v>
      </c>
      <c r="E217" s="260">
        <v>4</v>
      </c>
      <c r="F217" s="199"/>
      <c r="G217" s="199"/>
      <c r="H217" s="269"/>
      <c r="I217" s="93">
        <v>4</v>
      </c>
      <c r="J217" s="183"/>
      <c r="K217" s="94">
        <v>4</v>
      </c>
      <c r="L217" s="95">
        <v>557.20000000000005</v>
      </c>
      <c r="M217" s="283"/>
    </row>
    <row r="218" spans="1:13" ht="30">
      <c r="A218" s="88">
        <v>11</v>
      </c>
      <c r="B218" s="90" t="s">
        <v>3418</v>
      </c>
      <c r="C218" s="91" t="s">
        <v>3419</v>
      </c>
      <c r="D218" s="92">
        <v>209.3</v>
      </c>
      <c r="E218" s="260">
        <v>5</v>
      </c>
      <c r="F218" s="199"/>
      <c r="G218" s="199"/>
      <c r="H218" s="269"/>
      <c r="I218" s="93">
        <v>5</v>
      </c>
      <c r="J218" s="183"/>
      <c r="K218" s="94">
        <v>5</v>
      </c>
      <c r="L218" s="95">
        <v>1046.5</v>
      </c>
      <c r="M218" s="283"/>
    </row>
    <row r="219" spans="1:13" ht="30">
      <c r="A219" s="88">
        <v>11</v>
      </c>
      <c r="B219" s="90" t="s">
        <v>3420</v>
      </c>
      <c r="C219" s="91" t="s">
        <v>3421</v>
      </c>
      <c r="D219" s="92">
        <v>139.30000000000001</v>
      </c>
      <c r="E219" s="260">
        <v>5</v>
      </c>
      <c r="F219" s="199"/>
      <c r="G219" s="199"/>
      <c r="H219" s="269"/>
      <c r="I219" s="93">
        <v>5</v>
      </c>
      <c r="J219" s="183"/>
      <c r="K219" s="94">
        <v>5</v>
      </c>
      <c r="L219" s="95">
        <v>696.5</v>
      </c>
      <c r="M219" s="283"/>
    </row>
    <row r="220" spans="1:13" ht="30">
      <c r="A220" s="88">
        <v>11</v>
      </c>
      <c r="B220" s="90" t="s">
        <v>3422</v>
      </c>
      <c r="C220" s="91" t="s">
        <v>3423</v>
      </c>
      <c r="D220" s="92">
        <v>62.3</v>
      </c>
      <c r="E220" s="260">
        <v>1</v>
      </c>
      <c r="F220" s="199"/>
      <c r="G220" s="199"/>
      <c r="H220" s="269"/>
      <c r="I220" s="93">
        <v>1</v>
      </c>
      <c r="J220" s="183"/>
      <c r="K220" s="94">
        <v>1</v>
      </c>
      <c r="L220" s="95">
        <v>62.3</v>
      </c>
      <c r="M220" s="283"/>
    </row>
    <row r="221" spans="1:13" ht="45">
      <c r="A221" s="88">
        <v>11</v>
      </c>
      <c r="B221" s="90" t="s">
        <v>3476</v>
      </c>
      <c r="C221" s="91" t="s">
        <v>3477</v>
      </c>
      <c r="D221" s="92">
        <v>279.3</v>
      </c>
      <c r="E221" s="260">
        <v>2</v>
      </c>
      <c r="F221" s="199"/>
      <c r="G221" s="199"/>
      <c r="H221" s="269"/>
      <c r="I221" s="93">
        <v>2</v>
      </c>
      <c r="J221" s="183"/>
      <c r="K221" s="94">
        <v>2</v>
      </c>
      <c r="L221" s="95">
        <v>558.6</v>
      </c>
      <c r="M221" s="283"/>
    </row>
    <row r="222" spans="1:13" ht="30">
      <c r="A222" s="88">
        <v>11</v>
      </c>
      <c r="B222" s="90" t="s">
        <v>3480</v>
      </c>
      <c r="C222" s="91" t="s">
        <v>3481</v>
      </c>
      <c r="D222" s="92">
        <v>153.30000000000001</v>
      </c>
      <c r="E222" s="260">
        <v>1</v>
      </c>
      <c r="F222" s="199"/>
      <c r="G222" s="199"/>
      <c r="H222" s="269"/>
      <c r="I222" s="93">
        <v>1</v>
      </c>
      <c r="J222" s="183"/>
      <c r="K222" s="94">
        <v>1</v>
      </c>
      <c r="L222" s="95">
        <v>153.30000000000001</v>
      </c>
      <c r="M222" s="283"/>
    </row>
    <row r="223" spans="1:13">
      <c r="A223" s="88">
        <v>12</v>
      </c>
      <c r="B223" s="90" t="s">
        <v>3485</v>
      </c>
      <c r="C223" s="91" t="s">
        <v>3486</v>
      </c>
      <c r="D223" s="92">
        <v>18.2</v>
      </c>
      <c r="E223" s="260">
        <v>3</v>
      </c>
      <c r="F223" s="199"/>
      <c r="G223" s="199"/>
      <c r="H223" s="269"/>
      <c r="I223" s="93">
        <v>3</v>
      </c>
      <c r="J223" s="183"/>
      <c r="K223" s="94">
        <v>3</v>
      </c>
      <c r="L223" s="95">
        <v>54.599999999999994</v>
      </c>
      <c r="M223" s="283"/>
    </row>
    <row r="224" spans="1:13">
      <c r="A224" s="88">
        <v>12</v>
      </c>
      <c r="B224" s="90" t="s">
        <v>3493</v>
      </c>
      <c r="C224" s="91" t="s">
        <v>3494</v>
      </c>
      <c r="D224" s="92">
        <v>68.150000000000006</v>
      </c>
      <c r="E224" s="260">
        <v>28</v>
      </c>
      <c r="F224" s="199"/>
      <c r="G224" s="199"/>
      <c r="H224" s="269">
        <v>1</v>
      </c>
      <c r="I224" s="93">
        <v>27</v>
      </c>
      <c r="J224" s="183">
        <v>23</v>
      </c>
      <c r="K224" s="94">
        <v>4</v>
      </c>
      <c r="L224" s="95">
        <v>272.60000000000014</v>
      </c>
      <c r="M224" s="283"/>
    </row>
    <row r="225" spans="1:13">
      <c r="A225" s="88">
        <v>12</v>
      </c>
      <c r="B225" s="90" t="s">
        <v>3505</v>
      </c>
      <c r="C225" s="91" t="s">
        <v>3506</v>
      </c>
      <c r="D225" s="92">
        <v>54.56</v>
      </c>
      <c r="E225" s="260">
        <v>3</v>
      </c>
      <c r="F225" s="199"/>
      <c r="G225" s="199"/>
      <c r="H225" s="269"/>
      <c r="I225" s="93">
        <v>3</v>
      </c>
      <c r="J225" s="183">
        <v>2</v>
      </c>
      <c r="K225" s="94">
        <v>1</v>
      </c>
      <c r="L225" s="95">
        <v>54.56</v>
      </c>
      <c r="M225" s="283"/>
    </row>
    <row r="226" spans="1:13">
      <c r="A226" s="88">
        <v>12</v>
      </c>
      <c r="B226" s="90" t="s">
        <v>3511</v>
      </c>
      <c r="C226" s="91" t="s">
        <v>3512</v>
      </c>
      <c r="D226" s="92">
        <v>9.2799999999999994</v>
      </c>
      <c r="E226" s="260"/>
      <c r="F226" s="199">
        <v>30</v>
      </c>
      <c r="G226" s="199"/>
      <c r="H226" s="269">
        <v>3</v>
      </c>
      <c r="I226" s="93">
        <v>27</v>
      </c>
      <c r="J226" s="183"/>
      <c r="K226" s="94">
        <v>27</v>
      </c>
      <c r="L226" s="95">
        <v>250.55999999999997</v>
      </c>
      <c r="M226" s="283"/>
    </row>
    <row r="227" spans="1:13" ht="30">
      <c r="A227" s="88">
        <v>12</v>
      </c>
      <c r="B227" s="90" t="s">
        <v>3517</v>
      </c>
      <c r="C227" s="91" t="s">
        <v>3518</v>
      </c>
      <c r="D227" s="92">
        <v>20.399999999999999</v>
      </c>
      <c r="E227" s="260">
        <v>45</v>
      </c>
      <c r="F227" s="199">
        <v>24</v>
      </c>
      <c r="G227" s="199">
        <v>29</v>
      </c>
      <c r="H227" s="269">
        <v>6</v>
      </c>
      <c r="I227" s="93">
        <v>34</v>
      </c>
      <c r="J227" s="183">
        <v>30</v>
      </c>
      <c r="K227" s="94">
        <v>4</v>
      </c>
      <c r="L227" s="95">
        <v>81.599999999999909</v>
      </c>
      <c r="M227" s="283"/>
    </row>
    <row r="228" spans="1:13" ht="30">
      <c r="A228" s="88">
        <v>12</v>
      </c>
      <c r="B228" s="90" t="s">
        <v>3519</v>
      </c>
      <c r="C228" s="91" t="s">
        <v>3520</v>
      </c>
      <c r="D228" s="92">
        <v>20.399999999999999</v>
      </c>
      <c r="E228" s="260">
        <v>45</v>
      </c>
      <c r="F228" s="199">
        <v>24</v>
      </c>
      <c r="G228" s="199">
        <v>6</v>
      </c>
      <c r="H228" s="269">
        <v>9</v>
      </c>
      <c r="I228" s="93">
        <v>54</v>
      </c>
      <c r="J228" s="183">
        <v>34</v>
      </c>
      <c r="K228" s="94">
        <v>20</v>
      </c>
      <c r="L228" s="95">
        <v>408</v>
      </c>
      <c r="M228" s="283"/>
    </row>
    <row r="229" spans="1:13" ht="30">
      <c r="A229" s="88">
        <v>12</v>
      </c>
      <c r="B229" s="90" t="s">
        <v>3525</v>
      </c>
      <c r="C229" s="91" t="s">
        <v>3526</v>
      </c>
      <c r="D229" s="92">
        <v>27.3</v>
      </c>
      <c r="E229" s="260">
        <v>39</v>
      </c>
      <c r="F229" s="199">
        <v>48</v>
      </c>
      <c r="G229" s="199">
        <v>14</v>
      </c>
      <c r="H229" s="269"/>
      <c r="I229" s="93">
        <v>73</v>
      </c>
      <c r="J229" s="183">
        <v>12</v>
      </c>
      <c r="K229" s="94">
        <v>61</v>
      </c>
      <c r="L229" s="95">
        <v>1665.3000000000002</v>
      </c>
      <c r="M229" s="283"/>
    </row>
    <row r="230" spans="1:13">
      <c r="A230" s="88">
        <v>12</v>
      </c>
      <c r="B230" s="90" t="s">
        <v>3527</v>
      </c>
      <c r="C230" s="91" t="s">
        <v>3528</v>
      </c>
      <c r="D230" s="92">
        <v>20.399999999999999</v>
      </c>
      <c r="E230" s="260">
        <v>48</v>
      </c>
      <c r="F230" s="199">
        <v>24</v>
      </c>
      <c r="G230" s="199">
        <v>16</v>
      </c>
      <c r="H230" s="269">
        <v>7</v>
      </c>
      <c r="I230" s="93">
        <v>49</v>
      </c>
      <c r="J230" s="183">
        <v>28</v>
      </c>
      <c r="K230" s="94">
        <v>21</v>
      </c>
      <c r="L230" s="95">
        <v>428.4</v>
      </c>
      <c r="M230" s="283"/>
    </row>
    <row r="231" spans="1:13" ht="30">
      <c r="A231" s="88">
        <v>12</v>
      </c>
      <c r="B231" s="90" t="s">
        <v>3537</v>
      </c>
      <c r="C231" s="91" t="s">
        <v>3538</v>
      </c>
      <c r="D231" s="92">
        <v>23.15</v>
      </c>
      <c r="E231" s="260">
        <v>27</v>
      </c>
      <c r="F231" s="199">
        <v>16</v>
      </c>
      <c r="G231" s="199"/>
      <c r="H231" s="269">
        <v>4</v>
      </c>
      <c r="I231" s="93">
        <v>39</v>
      </c>
      <c r="J231" s="183">
        <v>24</v>
      </c>
      <c r="K231" s="94">
        <v>15</v>
      </c>
      <c r="L231" s="95">
        <v>347.25</v>
      </c>
      <c r="M231" s="283"/>
    </row>
    <row r="232" spans="1:13">
      <c r="A232" s="88">
        <v>12</v>
      </c>
      <c r="B232" s="90" t="s">
        <v>3539</v>
      </c>
      <c r="C232" s="91" t="s">
        <v>3540</v>
      </c>
      <c r="D232" s="92">
        <v>250</v>
      </c>
      <c r="E232" s="260">
        <v>1</v>
      </c>
      <c r="F232" s="199"/>
      <c r="G232" s="199"/>
      <c r="H232" s="269"/>
      <c r="I232" s="93">
        <v>1</v>
      </c>
      <c r="J232" s="183"/>
      <c r="K232" s="94">
        <v>1</v>
      </c>
      <c r="L232" s="95">
        <v>250</v>
      </c>
      <c r="M232" s="283"/>
    </row>
    <row r="233" spans="1:13" ht="30">
      <c r="A233" s="88">
        <v>12</v>
      </c>
      <c r="B233" s="90" t="s">
        <v>4993</v>
      </c>
      <c r="C233" s="91" t="s">
        <v>4980</v>
      </c>
      <c r="D233" s="92">
        <v>97.36</v>
      </c>
      <c r="E233" s="260"/>
      <c r="F233" s="199">
        <v>2</v>
      </c>
      <c r="G233" s="199"/>
      <c r="H233" s="269"/>
      <c r="I233" s="93">
        <v>2</v>
      </c>
      <c r="J233" s="183">
        <v>1</v>
      </c>
      <c r="K233" s="94">
        <v>1</v>
      </c>
      <c r="L233" s="95">
        <v>97.36</v>
      </c>
      <c r="M233" s="283"/>
    </row>
    <row r="234" spans="1:13">
      <c r="A234" s="88">
        <v>12</v>
      </c>
      <c r="B234" s="90" t="s">
        <v>3557</v>
      </c>
      <c r="C234" s="91" t="s">
        <v>3558</v>
      </c>
      <c r="D234" s="92">
        <v>227.51</v>
      </c>
      <c r="E234" s="260">
        <v>2</v>
      </c>
      <c r="F234" s="199"/>
      <c r="G234" s="199"/>
      <c r="H234" s="269"/>
      <c r="I234" s="93">
        <v>2</v>
      </c>
      <c r="J234" s="183">
        <v>1</v>
      </c>
      <c r="K234" s="94">
        <v>1</v>
      </c>
      <c r="L234" s="95">
        <v>227.51</v>
      </c>
      <c r="M234" s="283"/>
    </row>
    <row r="235" spans="1:13">
      <c r="A235" s="88">
        <v>12</v>
      </c>
      <c r="B235" s="90" t="s">
        <v>3577</v>
      </c>
      <c r="C235" s="91" t="s">
        <v>3578</v>
      </c>
      <c r="D235" s="92">
        <v>22.75</v>
      </c>
      <c r="E235" s="260">
        <v>20</v>
      </c>
      <c r="F235" s="199"/>
      <c r="G235" s="199">
        <v>9</v>
      </c>
      <c r="H235" s="269"/>
      <c r="I235" s="93">
        <v>11</v>
      </c>
      <c r="J235" s="183"/>
      <c r="K235" s="94">
        <v>11</v>
      </c>
      <c r="L235" s="95">
        <v>250.25</v>
      </c>
      <c r="M235" s="283"/>
    </row>
    <row r="236" spans="1:13">
      <c r="A236" s="88">
        <v>12</v>
      </c>
      <c r="B236" s="90" t="s">
        <v>4171</v>
      </c>
      <c r="C236" s="91" t="s">
        <v>4172</v>
      </c>
      <c r="D236" s="92">
        <v>9.27</v>
      </c>
      <c r="E236" s="260"/>
      <c r="F236" s="199">
        <v>30</v>
      </c>
      <c r="G236" s="199"/>
      <c r="H236" s="269">
        <v>2</v>
      </c>
      <c r="I236" s="93">
        <v>28</v>
      </c>
      <c r="J236" s="183">
        <v>24</v>
      </c>
      <c r="K236" s="94">
        <v>4</v>
      </c>
      <c r="L236" s="95">
        <v>37.080000000000013</v>
      </c>
      <c r="M236" s="283"/>
    </row>
    <row r="237" spans="1:13">
      <c r="A237" s="88">
        <v>13</v>
      </c>
      <c r="B237" s="90" t="s">
        <v>3582</v>
      </c>
      <c r="C237" s="91" t="s">
        <v>3583</v>
      </c>
      <c r="D237" s="92">
        <v>49.75</v>
      </c>
      <c r="E237" s="260">
        <v>40</v>
      </c>
      <c r="F237" s="199"/>
      <c r="G237" s="199"/>
      <c r="H237" s="269">
        <v>4</v>
      </c>
      <c r="I237" s="93">
        <v>36</v>
      </c>
      <c r="J237" s="183">
        <v>35</v>
      </c>
      <c r="K237" s="94">
        <v>1</v>
      </c>
      <c r="L237" s="95">
        <v>49.75</v>
      </c>
      <c r="M237" s="283"/>
    </row>
    <row r="238" spans="1:13">
      <c r="A238" s="88">
        <v>13</v>
      </c>
      <c r="B238" s="90" t="s">
        <v>3607</v>
      </c>
      <c r="C238" s="91" t="s">
        <v>3608</v>
      </c>
      <c r="D238" s="92">
        <v>16.170000000000002</v>
      </c>
      <c r="E238" s="260">
        <v>24</v>
      </c>
      <c r="F238" s="199"/>
      <c r="G238" s="199"/>
      <c r="H238" s="269"/>
      <c r="I238" s="93">
        <v>24</v>
      </c>
      <c r="J238" s="183">
        <v>3</v>
      </c>
      <c r="K238" s="94">
        <v>21</v>
      </c>
      <c r="L238" s="95">
        <v>339.57000000000005</v>
      </c>
      <c r="M238" s="283"/>
    </row>
    <row r="239" spans="1:13" ht="30">
      <c r="A239" s="88">
        <v>13</v>
      </c>
      <c r="B239" s="90" t="s">
        <v>3611</v>
      </c>
      <c r="C239" s="91" t="s">
        <v>3612</v>
      </c>
      <c r="D239" s="92">
        <v>10.83</v>
      </c>
      <c r="E239" s="260">
        <v>26</v>
      </c>
      <c r="F239" s="199"/>
      <c r="G239" s="199"/>
      <c r="H239" s="269"/>
      <c r="I239" s="93">
        <v>26</v>
      </c>
      <c r="J239" s="183"/>
      <c r="K239" s="94">
        <v>26</v>
      </c>
      <c r="L239" s="95">
        <v>281.58</v>
      </c>
      <c r="M239" s="283"/>
    </row>
    <row r="240" spans="1:13">
      <c r="A240" s="88">
        <v>13</v>
      </c>
      <c r="B240" s="90" t="s">
        <v>3613</v>
      </c>
      <c r="C240" s="91" t="s">
        <v>3614</v>
      </c>
      <c r="D240" s="92">
        <v>58.58</v>
      </c>
      <c r="E240" s="260">
        <v>4</v>
      </c>
      <c r="F240" s="199"/>
      <c r="G240" s="199"/>
      <c r="H240" s="269"/>
      <c r="I240" s="93">
        <v>4</v>
      </c>
      <c r="J240" s="183"/>
      <c r="K240" s="94">
        <v>4</v>
      </c>
      <c r="L240" s="95">
        <v>234.32</v>
      </c>
      <c r="M240" s="283"/>
    </row>
    <row r="241" spans="1:13">
      <c r="A241" s="88">
        <v>13</v>
      </c>
      <c r="B241" s="90" t="s">
        <v>3627</v>
      </c>
      <c r="C241" s="91" t="s">
        <v>3628</v>
      </c>
      <c r="D241" s="92">
        <v>59.58</v>
      </c>
      <c r="E241" s="260">
        <v>44</v>
      </c>
      <c r="F241" s="199"/>
      <c r="G241" s="199"/>
      <c r="H241" s="269">
        <v>1</v>
      </c>
      <c r="I241" s="93">
        <v>43</v>
      </c>
      <c r="J241" s="183">
        <v>2</v>
      </c>
      <c r="K241" s="94">
        <v>41</v>
      </c>
      <c r="L241" s="95">
        <v>2442.7800000000002</v>
      </c>
      <c r="M241" s="283"/>
    </row>
    <row r="242" spans="1:13">
      <c r="A242" s="88">
        <v>13</v>
      </c>
      <c r="B242" s="90" t="s">
        <v>3633</v>
      </c>
      <c r="C242" s="91" t="s">
        <v>3634</v>
      </c>
      <c r="D242" s="92">
        <v>16.170000000000002</v>
      </c>
      <c r="E242" s="260">
        <v>54</v>
      </c>
      <c r="F242" s="199"/>
      <c r="G242" s="199"/>
      <c r="H242" s="269"/>
      <c r="I242" s="93">
        <v>54</v>
      </c>
      <c r="J242" s="183">
        <v>19</v>
      </c>
      <c r="K242" s="94">
        <v>35</v>
      </c>
      <c r="L242" s="95">
        <v>565.95000000000005</v>
      </c>
      <c r="M242" s="283"/>
    </row>
    <row r="243" spans="1:13">
      <c r="A243" s="88">
        <v>13</v>
      </c>
      <c r="B243" s="90" t="s">
        <v>3635</v>
      </c>
      <c r="C243" s="91" t="s">
        <v>3636</v>
      </c>
      <c r="D243" s="92">
        <v>15.67</v>
      </c>
      <c r="E243" s="260">
        <v>21</v>
      </c>
      <c r="F243" s="199"/>
      <c r="G243" s="199"/>
      <c r="H243" s="269"/>
      <c r="I243" s="93">
        <v>21</v>
      </c>
      <c r="J243" s="183"/>
      <c r="K243" s="94">
        <v>21</v>
      </c>
      <c r="L243" s="95">
        <v>329.07</v>
      </c>
      <c r="M243" s="283"/>
    </row>
    <row r="244" spans="1:13">
      <c r="A244" s="88">
        <v>13</v>
      </c>
      <c r="B244" s="90" t="s">
        <v>3639</v>
      </c>
      <c r="C244" s="91" t="s">
        <v>3640</v>
      </c>
      <c r="D244" s="92">
        <v>59.58</v>
      </c>
      <c r="E244" s="260">
        <v>22</v>
      </c>
      <c r="F244" s="199"/>
      <c r="G244" s="199"/>
      <c r="H244" s="269">
        <v>9</v>
      </c>
      <c r="I244" s="93">
        <v>13</v>
      </c>
      <c r="J244" s="183"/>
      <c r="K244" s="94">
        <v>13</v>
      </c>
      <c r="L244" s="95">
        <v>774.54</v>
      </c>
      <c r="M244" s="283"/>
    </row>
    <row r="245" spans="1:13">
      <c r="A245" s="88">
        <v>13</v>
      </c>
      <c r="B245" s="90" t="s">
        <v>3645</v>
      </c>
      <c r="C245" s="91" t="s">
        <v>3646</v>
      </c>
      <c r="D245" s="92">
        <v>16.170000000000002</v>
      </c>
      <c r="E245" s="260">
        <v>16</v>
      </c>
      <c r="F245" s="199"/>
      <c r="G245" s="199"/>
      <c r="H245" s="269"/>
      <c r="I245" s="93">
        <v>16</v>
      </c>
      <c r="J245" s="183">
        <v>11</v>
      </c>
      <c r="K245" s="94">
        <v>5</v>
      </c>
      <c r="L245" s="95">
        <v>80.850000000000023</v>
      </c>
      <c r="M245" s="283"/>
    </row>
    <row r="246" spans="1:13">
      <c r="A246" s="88">
        <v>13</v>
      </c>
      <c r="B246" s="90" t="s">
        <v>3647</v>
      </c>
      <c r="C246" s="91" t="s">
        <v>3648</v>
      </c>
      <c r="D246" s="92">
        <v>11.83</v>
      </c>
      <c r="E246" s="260">
        <v>67</v>
      </c>
      <c r="F246" s="199"/>
      <c r="G246" s="199"/>
      <c r="H246" s="269"/>
      <c r="I246" s="93">
        <v>67</v>
      </c>
      <c r="J246" s="183">
        <v>43</v>
      </c>
      <c r="K246" s="94">
        <v>24</v>
      </c>
      <c r="L246" s="95">
        <v>283.92</v>
      </c>
      <c r="M246" s="283"/>
    </row>
    <row r="247" spans="1:13" ht="30">
      <c r="A247" s="88">
        <v>13</v>
      </c>
      <c r="B247" s="90" t="s">
        <v>3657</v>
      </c>
      <c r="C247" s="91" t="s">
        <v>3658</v>
      </c>
      <c r="D247" s="92">
        <v>22.73</v>
      </c>
      <c r="E247" s="260">
        <v>24</v>
      </c>
      <c r="F247" s="199"/>
      <c r="G247" s="199"/>
      <c r="H247" s="269">
        <v>4</v>
      </c>
      <c r="I247" s="93">
        <v>20</v>
      </c>
      <c r="J247" s="183">
        <v>18</v>
      </c>
      <c r="K247" s="94">
        <v>2</v>
      </c>
      <c r="L247" s="95">
        <v>45.460000000000036</v>
      </c>
      <c r="M247" s="283"/>
    </row>
    <row r="248" spans="1:13" ht="30">
      <c r="A248" s="88">
        <v>13</v>
      </c>
      <c r="B248" s="90" t="s">
        <v>3659</v>
      </c>
      <c r="C248" s="91" t="s">
        <v>3660</v>
      </c>
      <c r="D248" s="92">
        <v>22.73</v>
      </c>
      <c r="E248" s="260">
        <v>11</v>
      </c>
      <c r="F248" s="199"/>
      <c r="G248" s="199"/>
      <c r="H248" s="269">
        <v>9</v>
      </c>
      <c r="I248" s="93">
        <v>2</v>
      </c>
      <c r="J248" s="183"/>
      <c r="K248" s="94">
        <v>2</v>
      </c>
      <c r="L248" s="95">
        <v>45.46</v>
      </c>
      <c r="M248" s="283"/>
    </row>
    <row r="249" spans="1:13" ht="30">
      <c r="A249" s="88">
        <v>13</v>
      </c>
      <c r="B249" s="90" t="s">
        <v>3662</v>
      </c>
      <c r="C249" s="91" t="s">
        <v>3663</v>
      </c>
      <c r="D249" s="92">
        <v>30.14</v>
      </c>
      <c r="E249" s="260">
        <v>2</v>
      </c>
      <c r="F249" s="199"/>
      <c r="G249" s="199"/>
      <c r="H249" s="269">
        <v>1</v>
      </c>
      <c r="I249" s="93">
        <v>1</v>
      </c>
      <c r="J249" s="183"/>
      <c r="K249" s="94">
        <v>1</v>
      </c>
      <c r="L249" s="95">
        <v>30.14</v>
      </c>
      <c r="M249" s="283"/>
    </row>
    <row r="250" spans="1:13">
      <c r="A250" s="88">
        <v>13</v>
      </c>
      <c r="B250" s="90" t="s">
        <v>3668</v>
      </c>
      <c r="C250" s="91" t="s">
        <v>3669</v>
      </c>
      <c r="D250" s="92">
        <v>28.25</v>
      </c>
      <c r="E250" s="260">
        <v>51</v>
      </c>
      <c r="F250" s="199"/>
      <c r="G250" s="199"/>
      <c r="H250" s="269"/>
      <c r="I250" s="93">
        <v>51</v>
      </c>
      <c r="J250" s="183">
        <v>30</v>
      </c>
      <c r="K250" s="94">
        <v>21</v>
      </c>
      <c r="L250" s="95">
        <v>593.25</v>
      </c>
      <c r="M250" s="283"/>
    </row>
    <row r="251" spans="1:13" ht="30">
      <c r="A251" s="88">
        <v>13</v>
      </c>
      <c r="B251" s="90" t="s">
        <v>3676</v>
      </c>
      <c r="C251" s="91" t="s">
        <v>3677</v>
      </c>
      <c r="D251" s="92">
        <v>11</v>
      </c>
      <c r="E251" s="260">
        <v>100</v>
      </c>
      <c r="F251" s="199"/>
      <c r="G251" s="199"/>
      <c r="H251" s="269"/>
      <c r="I251" s="93">
        <v>100</v>
      </c>
      <c r="J251" s="183"/>
      <c r="K251" s="94">
        <v>100</v>
      </c>
      <c r="L251" s="95">
        <v>1100</v>
      </c>
      <c r="M251" s="286" t="s">
        <v>4238</v>
      </c>
    </row>
    <row r="252" spans="1:13">
      <c r="A252" s="88">
        <v>13</v>
      </c>
      <c r="B252" s="90" t="s">
        <v>3715</v>
      </c>
      <c r="C252" s="91" t="s">
        <v>3716</v>
      </c>
      <c r="D252" s="92">
        <v>7.5</v>
      </c>
      <c r="E252" s="260">
        <v>10</v>
      </c>
      <c r="F252" s="199"/>
      <c r="G252" s="199"/>
      <c r="H252" s="269"/>
      <c r="I252" s="93">
        <v>10</v>
      </c>
      <c r="J252" s="183"/>
      <c r="K252" s="94">
        <v>10</v>
      </c>
      <c r="L252" s="95">
        <v>75</v>
      </c>
      <c r="M252" s="284">
        <v>45436</v>
      </c>
    </row>
    <row r="253" spans="1:13">
      <c r="A253" s="88">
        <v>13</v>
      </c>
      <c r="B253" s="90" t="s">
        <v>3719</v>
      </c>
      <c r="C253" s="91" t="s">
        <v>3720</v>
      </c>
      <c r="D253" s="92">
        <v>5.5</v>
      </c>
      <c r="E253" s="260">
        <v>2</v>
      </c>
      <c r="F253" s="199"/>
      <c r="G253" s="199"/>
      <c r="H253" s="269"/>
      <c r="I253" s="93">
        <v>2</v>
      </c>
      <c r="J253" s="183"/>
      <c r="K253" s="94">
        <v>2</v>
      </c>
      <c r="L253" s="95">
        <v>11</v>
      </c>
      <c r="M253" s="283"/>
    </row>
    <row r="254" spans="1:13">
      <c r="A254" s="88">
        <v>13</v>
      </c>
      <c r="B254" s="90" t="s">
        <v>3723</v>
      </c>
      <c r="C254" s="91" t="s">
        <v>3724</v>
      </c>
      <c r="D254" s="92">
        <v>19.47</v>
      </c>
      <c r="E254" s="260">
        <v>42</v>
      </c>
      <c r="F254" s="199"/>
      <c r="G254" s="199"/>
      <c r="H254" s="269">
        <v>25</v>
      </c>
      <c r="I254" s="93">
        <v>17</v>
      </c>
      <c r="J254" s="183">
        <v>16</v>
      </c>
      <c r="K254" s="94">
        <v>1</v>
      </c>
      <c r="L254" s="95">
        <v>19.470000000000027</v>
      </c>
      <c r="M254" s="283"/>
    </row>
    <row r="255" spans="1:13">
      <c r="A255" s="88">
        <v>13</v>
      </c>
      <c r="B255" s="90" t="s">
        <v>3725</v>
      </c>
      <c r="C255" s="91" t="s">
        <v>3726</v>
      </c>
      <c r="D255" s="92">
        <v>11.5</v>
      </c>
      <c r="E255" s="260">
        <v>43</v>
      </c>
      <c r="F255" s="199"/>
      <c r="G255" s="199"/>
      <c r="H255" s="269">
        <v>14</v>
      </c>
      <c r="I255" s="93">
        <v>29</v>
      </c>
      <c r="J255" s="183">
        <v>28</v>
      </c>
      <c r="K255" s="94">
        <v>1</v>
      </c>
      <c r="L255" s="95">
        <v>11.5</v>
      </c>
      <c r="M255" s="283"/>
    </row>
    <row r="256" spans="1:13" ht="30">
      <c r="A256" s="88">
        <v>14</v>
      </c>
      <c r="B256" s="90" t="s">
        <v>3767</v>
      </c>
      <c r="C256" s="91" t="s">
        <v>3768</v>
      </c>
      <c r="D256" s="92">
        <v>4.4800000000000004</v>
      </c>
      <c r="E256" s="260">
        <v>1</v>
      </c>
      <c r="F256" s="199"/>
      <c r="G256" s="199"/>
      <c r="H256" s="269"/>
      <c r="I256" s="93">
        <v>1</v>
      </c>
      <c r="J256" s="183"/>
      <c r="K256" s="94">
        <v>1</v>
      </c>
      <c r="L256" s="95">
        <v>4.4800000000000004</v>
      </c>
      <c r="M256" s="283"/>
    </row>
    <row r="257" spans="1:13" ht="30">
      <c r="A257" s="88">
        <v>14</v>
      </c>
      <c r="B257" s="90" t="s">
        <v>3771</v>
      </c>
      <c r="C257" s="91" t="s">
        <v>3772</v>
      </c>
      <c r="D257" s="92">
        <v>3.6</v>
      </c>
      <c r="E257" s="260">
        <v>10</v>
      </c>
      <c r="F257" s="199"/>
      <c r="G257" s="199"/>
      <c r="H257" s="269">
        <v>9</v>
      </c>
      <c r="I257" s="93">
        <v>1</v>
      </c>
      <c r="J257" s="183"/>
      <c r="K257" s="94">
        <v>1</v>
      </c>
      <c r="L257" s="95">
        <v>3.6</v>
      </c>
      <c r="M257" s="283"/>
    </row>
    <row r="258" spans="1:13" ht="30">
      <c r="A258" s="88">
        <v>14</v>
      </c>
      <c r="B258" s="90" t="s">
        <v>3773</v>
      </c>
      <c r="C258" s="91" t="s">
        <v>3774</v>
      </c>
      <c r="D258" s="92">
        <v>3.6</v>
      </c>
      <c r="E258" s="260">
        <v>4</v>
      </c>
      <c r="F258" s="199"/>
      <c r="G258" s="199"/>
      <c r="H258" s="269">
        <v>2</v>
      </c>
      <c r="I258" s="93">
        <v>2</v>
      </c>
      <c r="J258" s="183"/>
      <c r="K258" s="94">
        <v>2</v>
      </c>
      <c r="L258" s="95">
        <v>7.2</v>
      </c>
      <c r="M258" s="283"/>
    </row>
    <row r="259" spans="1:13">
      <c r="A259" s="88">
        <v>14</v>
      </c>
      <c r="B259" s="90" t="s">
        <v>3779</v>
      </c>
      <c r="C259" s="91" t="s">
        <v>3780</v>
      </c>
      <c r="D259" s="92">
        <v>0.76</v>
      </c>
      <c r="E259" s="260">
        <v>11</v>
      </c>
      <c r="F259" s="199">
        <v>50</v>
      </c>
      <c r="G259" s="199"/>
      <c r="H259" s="269">
        <v>8</v>
      </c>
      <c r="I259" s="93">
        <v>53</v>
      </c>
      <c r="J259" s="183"/>
      <c r="K259" s="94">
        <v>53</v>
      </c>
      <c r="L259" s="95">
        <v>40.28</v>
      </c>
      <c r="M259" s="283"/>
    </row>
    <row r="260" spans="1:13">
      <c r="A260" s="88">
        <v>14</v>
      </c>
      <c r="B260" s="90" t="s">
        <v>3789</v>
      </c>
      <c r="C260" s="91" t="s">
        <v>3790</v>
      </c>
      <c r="D260" s="92">
        <v>0.76</v>
      </c>
      <c r="E260" s="260">
        <v>32</v>
      </c>
      <c r="F260" s="199">
        <v>50</v>
      </c>
      <c r="G260" s="199"/>
      <c r="H260" s="269">
        <v>25</v>
      </c>
      <c r="I260" s="93">
        <v>57</v>
      </c>
      <c r="J260" s="183"/>
      <c r="K260" s="94">
        <v>57</v>
      </c>
      <c r="L260" s="95">
        <v>43.32</v>
      </c>
      <c r="M260" s="283"/>
    </row>
    <row r="261" spans="1:13">
      <c r="A261" s="88">
        <v>14</v>
      </c>
      <c r="B261" s="90" t="s">
        <v>3797</v>
      </c>
      <c r="C261" s="91" t="s">
        <v>3798</v>
      </c>
      <c r="D261" s="92">
        <v>0</v>
      </c>
      <c r="E261" s="260">
        <v>45</v>
      </c>
      <c r="F261" s="199"/>
      <c r="G261" s="199"/>
      <c r="H261" s="269"/>
      <c r="I261" s="93">
        <v>45</v>
      </c>
      <c r="J261" s="183"/>
      <c r="K261" s="94">
        <v>45</v>
      </c>
      <c r="L261" s="95">
        <v>0</v>
      </c>
      <c r="M261" s="283"/>
    </row>
    <row r="262" spans="1:13">
      <c r="A262" s="88">
        <v>14</v>
      </c>
      <c r="B262" s="90" t="s">
        <v>4363</v>
      </c>
      <c r="C262" s="91" t="s">
        <v>4364</v>
      </c>
      <c r="D262" s="92">
        <v>6.0250000000000004</v>
      </c>
      <c r="E262" s="260"/>
      <c r="F262" s="199">
        <v>20</v>
      </c>
      <c r="G262" s="199"/>
      <c r="H262" s="269">
        <v>9</v>
      </c>
      <c r="I262" s="93">
        <v>11</v>
      </c>
      <c r="J262" s="183">
        <v>3</v>
      </c>
      <c r="K262" s="94">
        <v>8</v>
      </c>
      <c r="L262" s="95">
        <v>48.2</v>
      </c>
      <c r="M262" s="283"/>
    </row>
    <row r="263" spans="1:13" ht="30">
      <c r="A263" s="88">
        <v>14</v>
      </c>
      <c r="B263" s="90" t="s">
        <v>4645</v>
      </c>
      <c r="C263" s="91" t="s">
        <v>4647</v>
      </c>
      <c r="D263" s="92">
        <v>6.15</v>
      </c>
      <c r="E263" s="260"/>
      <c r="F263" s="199">
        <v>10</v>
      </c>
      <c r="G263" s="199"/>
      <c r="H263" s="269">
        <v>9</v>
      </c>
      <c r="I263" s="93">
        <v>1</v>
      </c>
      <c r="J263" s="183"/>
      <c r="K263" s="94">
        <v>1</v>
      </c>
      <c r="L263" s="95">
        <v>6.15</v>
      </c>
      <c r="M263" s="283"/>
    </row>
    <row r="264" spans="1:13" ht="30">
      <c r="A264" s="88">
        <v>14</v>
      </c>
      <c r="B264" s="90" t="s">
        <v>4633</v>
      </c>
      <c r="C264" s="91" t="s">
        <v>4635</v>
      </c>
      <c r="D264" s="92">
        <v>6.15</v>
      </c>
      <c r="E264" s="260"/>
      <c r="F264" s="199">
        <v>10</v>
      </c>
      <c r="G264" s="199"/>
      <c r="H264" s="269">
        <v>9</v>
      </c>
      <c r="I264" s="93">
        <v>1</v>
      </c>
      <c r="J264" s="183"/>
      <c r="K264" s="94">
        <v>1</v>
      </c>
      <c r="L264" s="95">
        <v>6.15</v>
      </c>
      <c r="M264" s="283"/>
    </row>
    <row r="265" spans="1:13">
      <c r="A265" s="88">
        <v>14</v>
      </c>
      <c r="B265" s="90" t="s">
        <v>4649</v>
      </c>
      <c r="C265" s="91" t="s">
        <v>4651</v>
      </c>
      <c r="D265" s="92">
        <v>0.76</v>
      </c>
      <c r="E265" s="260"/>
      <c r="F265" s="199">
        <v>50</v>
      </c>
      <c r="G265" s="199"/>
      <c r="H265" s="269">
        <v>28</v>
      </c>
      <c r="I265" s="93">
        <v>22</v>
      </c>
      <c r="J265" s="183">
        <v>1</v>
      </c>
      <c r="K265" s="94">
        <v>21</v>
      </c>
      <c r="L265" s="95">
        <v>15.959999999999999</v>
      </c>
      <c r="M265" s="283"/>
    </row>
    <row r="266" spans="1:13">
      <c r="A266" s="88">
        <v>14</v>
      </c>
      <c r="B266" s="90" t="s">
        <v>4822</v>
      </c>
      <c r="C266" s="91" t="s">
        <v>4824</v>
      </c>
      <c r="D266" s="92">
        <v>6.0250000000000004</v>
      </c>
      <c r="E266" s="260"/>
      <c r="F266" s="199">
        <v>10</v>
      </c>
      <c r="G266" s="199"/>
      <c r="H266" s="269">
        <v>3</v>
      </c>
      <c r="I266" s="93">
        <v>7</v>
      </c>
      <c r="J266" s="183">
        <v>6</v>
      </c>
      <c r="K266" s="94">
        <v>1</v>
      </c>
      <c r="L266" s="95">
        <v>6.0249999999999986</v>
      </c>
      <c r="M266" s="283"/>
    </row>
    <row r="267" spans="1:13">
      <c r="A267" s="88">
        <v>14</v>
      </c>
      <c r="B267" s="90" t="s">
        <v>3815</v>
      </c>
      <c r="C267" s="91" t="s">
        <v>3816</v>
      </c>
      <c r="D267" s="92">
        <v>144</v>
      </c>
      <c r="E267" s="260">
        <v>2</v>
      </c>
      <c r="F267" s="199"/>
      <c r="G267" s="199"/>
      <c r="H267" s="269"/>
      <c r="I267" s="93">
        <v>2</v>
      </c>
      <c r="J267" s="183">
        <v>1</v>
      </c>
      <c r="K267" s="94">
        <v>1</v>
      </c>
      <c r="L267" s="95">
        <v>144</v>
      </c>
      <c r="M267" s="283"/>
    </row>
    <row r="268" spans="1:13">
      <c r="A268" s="88">
        <v>15</v>
      </c>
      <c r="B268" s="90" t="s">
        <v>3840</v>
      </c>
      <c r="C268" s="91" t="s">
        <v>3841</v>
      </c>
      <c r="D268" s="92">
        <v>19.350000000000001</v>
      </c>
      <c r="E268" s="260">
        <v>104</v>
      </c>
      <c r="F268" s="199"/>
      <c r="G268" s="199"/>
      <c r="H268" s="269"/>
      <c r="I268" s="93">
        <v>104</v>
      </c>
      <c r="J268" s="183">
        <v>78</v>
      </c>
      <c r="K268" s="94">
        <v>26</v>
      </c>
      <c r="L268" s="95">
        <v>503.09999999999991</v>
      </c>
      <c r="M268" s="283"/>
    </row>
    <row r="269" spans="1:13">
      <c r="A269" s="88">
        <v>15</v>
      </c>
      <c r="B269" s="90" t="s">
        <v>3854</v>
      </c>
      <c r="C269" s="91" t="s">
        <v>3855</v>
      </c>
      <c r="D269" s="92">
        <v>1900</v>
      </c>
      <c r="E269" s="260">
        <v>2</v>
      </c>
      <c r="F269" s="199"/>
      <c r="G269" s="199"/>
      <c r="H269" s="269"/>
      <c r="I269" s="93">
        <v>2</v>
      </c>
      <c r="J269" s="183"/>
      <c r="K269" s="94">
        <v>2</v>
      </c>
      <c r="L269" s="95">
        <v>3800</v>
      </c>
      <c r="M269" s="283"/>
    </row>
    <row r="270" spans="1:13">
      <c r="A270" s="88">
        <v>15</v>
      </c>
      <c r="B270" s="90" t="s">
        <v>3884</v>
      </c>
      <c r="C270" s="91" t="s">
        <v>3885</v>
      </c>
      <c r="D270" s="92">
        <v>15</v>
      </c>
      <c r="E270" s="260">
        <v>5</v>
      </c>
      <c r="F270" s="199"/>
      <c r="G270" s="199"/>
      <c r="H270" s="269"/>
      <c r="I270" s="93">
        <v>5</v>
      </c>
      <c r="J270" s="183"/>
      <c r="K270" s="94">
        <v>5</v>
      </c>
      <c r="L270" s="95">
        <v>75</v>
      </c>
      <c r="M270" s="283"/>
    </row>
    <row r="271" spans="1:13">
      <c r="A271" s="88">
        <v>18</v>
      </c>
      <c r="B271" s="90" t="s">
        <v>3909</v>
      </c>
      <c r="C271" s="91" t="s">
        <v>3910</v>
      </c>
      <c r="D271" s="92">
        <v>83</v>
      </c>
      <c r="E271" s="260">
        <v>1</v>
      </c>
      <c r="F271" s="199"/>
      <c r="G271" s="199"/>
      <c r="H271" s="269"/>
      <c r="I271" s="93">
        <v>1</v>
      </c>
      <c r="J271" s="183"/>
      <c r="K271" s="94">
        <v>1</v>
      </c>
      <c r="L271" s="95">
        <v>83</v>
      </c>
      <c r="M271" s="283"/>
    </row>
    <row r="272" spans="1:13">
      <c r="A272" s="88"/>
      <c r="B272" s="106" t="s">
        <v>3988</v>
      </c>
      <c r="C272" s="91" t="s">
        <v>3989</v>
      </c>
      <c r="D272" s="92">
        <v>81.5</v>
      </c>
      <c r="E272" s="260">
        <v>3</v>
      </c>
      <c r="F272" s="199">
        <v>3</v>
      </c>
      <c r="G272" s="199"/>
      <c r="H272" s="269"/>
      <c r="I272" s="93">
        <v>6</v>
      </c>
      <c r="J272" s="183">
        <v>5</v>
      </c>
      <c r="K272" s="94">
        <v>1</v>
      </c>
      <c r="L272" s="95">
        <v>81.5</v>
      </c>
      <c r="M272" s="283"/>
    </row>
    <row r="273" spans="1:13">
      <c r="A273" s="88"/>
      <c r="B273" s="106" t="s">
        <v>3990</v>
      </c>
      <c r="C273" s="91" t="s">
        <v>3991</v>
      </c>
      <c r="D273" s="92">
        <v>6.27</v>
      </c>
      <c r="E273" s="260">
        <v>2</v>
      </c>
      <c r="F273" s="199"/>
      <c r="G273" s="199"/>
      <c r="H273" s="269"/>
      <c r="I273" s="93">
        <v>2</v>
      </c>
      <c r="J273" s="183"/>
      <c r="K273" s="94">
        <v>2</v>
      </c>
      <c r="L273" s="95">
        <v>12.54</v>
      </c>
      <c r="M273" s="283"/>
    </row>
    <row r="274" spans="1:13">
      <c r="A274" s="88"/>
      <c r="B274" s="106" t="s">
        <v>3994</v>
      </c>
      <c r="C274" s="91" t="s">
        <v>3995</v>
      </c>
      <c r="D274" s="92">
        <v>10</v>
      </c>
      <c r="E274" s="260">
        <v>2</v>
      </c>
      <c r="F274" s="199"/>
      <c r="G274" s="199"/>
      <c r="H274" s="269"/>
      <c r="I274" s="93">
        <v>2</v>
      </c>
      <c r="J274" s="183"/>
      <c r="K274" s="94">
        <v>2</v>
      </c>
      <c r="L274" s="95">
        <v>20</v>
      </c>
      <c r="M274" s="283"/>
    </row>
    <row r="275" spans="1:13">
      <c r="A275" s="88"/>
      <c r="B275" s="106" t="s">
        <v>3997</v>
      </c>
      <c r="C275" s="91" t="s">
        <v>3998</v>
      </c>
      <c r="D275" s="92">
        <v>7.64</v>
      </c>
      <c r="E275" s="260">
        <v>119</v>
      </c>
      <c r="F275" s="199"/>
      <c r="G275" s="199"/>
      <c r="H275" s="269"/>
      <c r="I275" s="93">
        <v>119</v>
      </c>
      <c r="J275" s="183"/>
      <c r="K275" s="94">
        <v>119</v>
      </c>
      <c r="L275" s="95">
        <v>909.16</v>
      </c>
      <c r="M275" s="283"/>
    </row>
    <row r="276" spans="1:13">
      <c r="A276" s="88"/>
      <c r="B276" s="106" t="s">
        <v>3999</v>
      </c>
      <c r="C276" s="91" t="s">
        <v>4000</v>
      </c>
      <c r="D276" s="92">
        <v>125</v>
      </c>
      <c r="E276" s="260">
        <v>1</v>
      </c>
      <c r="F276" s="199"/>
      <c r="G276" s="199"/>
      <c r="H276" s="269"/>
      <c r="I276" s="93">
        <v>1</v>
      </c>
      <c r="J276" s="183"/>
      <c r="K276" s="94">
        <v>1</v>
      </c>
      <c r="L276" s="95">
        <v>125</v>
      </c>
      <c r="M276" s="283"/>
    </row>
    <row r="277" spans="1:13">
      <c r="A277" s="112"/>
      <c r="B277" s="114">
        <v>7359</v>
      </c>
      <c r="C277" s="115" t="s">
        <v>5178</v>
      </c>
      <c r="D277" s="92">
        <v>20.56</v>
      </c>
      <c r="E277" s="260">
        <v>17</v>
      </c>
      <c r="F277" s="199"/>
      <c r="G277" s="199"/>
      <c r="H277" s="269"/>
      <c r="I277" s="93">
        <v>17</v>
      </c>
      <c r="J277" s="183">
        <v>16</v>
      </c>
      <c r="K277" s="94">
        <v>1</v>
      </c>
      <c r="L277" s="95">
        <v>20.560000000000002</v>
      </c>
      <c r="M277" s="283"/>
    </row>
    <row r="278" spans="1:13">
      <c r="A278" s="112"/>
      <c r="B278" s="114">
        <v>80088240040</v>
      </c>
      <c r="C278" s="115" t="s">
        <v>5226</v>
      </c>
      <c r="D278" s="92">
        <v>0</v>
      </c>
      <c r="E278" s="260">
        <v>5</v>
      </c>
      <c r="F278" s="199"/>
      <c r="G278" s="199"/>
      <c r="H278" s="269"/>
      <c r="I278" s="93">
        <v>5</v>
      </c>
      <c r="J278" s="183">
        <v>3</v>
      </c>
      <c r="K278" s="94">
        <v>2</v>
      </c>
      <c r="L278" s="95">
        <v>0</v>
      </c>
      <c r="M278" s="283"/>
    </row>
    <row r="279" spans="1:13">
      <c r="A279" s="88"/>
      <c r="B279" s="90"/>
      <c r="C279" s="91" t="s">
        <v>4004</v>
      </c>
      <c r="D279" s="92"/>
      <c r="E279" s="260">
        <v>5</v>
      </c>
      <c r="F279" s="199"/>
      <c r="G279" s="199"/>
      <c r="H279" s="269"/>
      <c r="I279" s="93">
        <v>5</v>
      </c>
      <c r="J279" s="183"/>
      <c r="K279" s="94">
        <v>5</v>
      </c>
      <c r="L279" s="95">
        <v>0</v>
      </c>
      <c r="M279" s="283"/>
    </row>
    <row r="280" spans="1:13" ht="30">
      <c r="A280" s="117"/>
      <c r="B280" s="123">
        <v>665985</v>
      </c>
      <c r="C280" s="124" t="s">
        <v>4012</v>
      </c>
      <c r="D280" s="125">
        <v>0</v>
      </c>
      <c r="E280" s="261">
        <v>13</v>
      </c>
      <c r="F280" s="271"/>
      <c r="G280" s="271"/>
      <c r="H280" s="270"/>
      <c r="I280" s="93">
        <v>13</v>
      </c>
      <c r="J280" s="183"/>
      <c r="K280" s="94">
        <v>13</v>
      </c>
      <c r="L280" s="95">
        <v>0</v>
      </c>
      <c r="M280" s="287"/>
    </row>
    <row r="281" spans="1:13">
      <c r="A281" s="117"/>
      <c r="B281" s="123">
        <v>158925</v>
      </c>
      <c r="C281" s="124" t="s">
        <v>4013</v>
      </c>
      <c r="D281" s="125">
        <v>64.97</v>
      </c>
      <c r="E281" s="261">
        <v>1</v>
      </c>
      <c r="F281" s="271"/>
      <c r="G281" s="271"/>
      <c r="H281" s="270"/>
      <c r="I281" s="93">
        <v>1</v>
      </c>
      <c r="J281" s="183"/>
      <c r="K281" s="94">
        <v>1</v>
      </c>
      <c r="L281" s="95">
        <v>64.97</v>
      </c>
      <c r="M281" s="287"/>
    </row>
    <row r="282" spans="1:13">
      <c r="A282" s="117"/>
      <c r="B282" s="123"/>
      <c r="C282" s="124" t="s">
        <v>4016</v>
      </c>
      <c r="D282" s="125">
        <v>0</v>
      </c>
      <c r="E282" s="261">
        <v>5</v>
      </c>
      <c r="F282" s="271"/>
      <c r="G282" s="271"/>
      <c r="H282" s="270"/>
      <c r="I282" s="93">
        <v>5</v>
      </c>
      <c r="J282" s="183">
        <v>4</v>
      </c>
      <c r="K282" s="94">
        <v>1</v>
      </c>
      <c r="L282" s="95">
        <v>0</v>
      </c>
      <c r="M282" s="287"/>
    </row>
    <row r="283" spans="1:13">
      <c r="A283" s="117"/>
      <c r="B283" s="123" t="s">
        <v>4017</v>
      </c>
      <c r="C283" s="124" t="s">
        <v>4018</v>
      </c>
      <c r="D283" s="125">
        <v>0</v>
      </c>
      <c r="E283" s="261">
        <v>1</v>
      </c>
      <c r="F283" s="271"/>
      <c r="G283" s="271"/>
      <c r="H283" s="270"/>
      <c r="I283" s="93">
        <v>1</v>
      </c>
      <c r="J283" s="183"/>
      <c r="K283" s="94">
        <v>1</v>
      </c>
      <c r="L283" s="95">
        <v>0</v>
      </c>
      <c r="M283" s="287"/>
    </row>
    <row r="284" spans="1:13">
      <c r="A284" s="117"/>
      <c r="B284" s="123" t="s">
        <v>4020</v>
      </c>
      <c r="C284" s="124" t="s">
        <v>4021</v>
      </c>
      <c r="D284" s="125">
        <v>0</v>
      </c>
      <c r="E284" s="261">
        <v>1</v>
      </c>
      <c r="F284" s="271"/>
      <c r="G284" s="271"/>
      <c r="H284" s="270"/>
      <c r="I284" s="93">
        <v>1</v>
      </c>
      <c r="J284" s="183"/>
      <c r="K284" s="94">
        <v>1</v>
      </c>
      <c r="L284" s="95">
        <v>0</v>
      </c>
      <c r="M284" s="287"/>
    </row>
    <row r="285" spans="1:13">
      <c r="A285" s="117"/>
      <c r="B285" s="128" t="s">
        <v>4032</v>
      </c>
      <c r="C285" s="129" t="s">
        <v>4033</v>
      </c>
      <c r="D285" s="130">
        <v>6.18</v>
      </c>
      <c r="E285" s="261">
        <v>60</v>
      </c>
      <c r="F285" s="271"/>
      <c r="G285" s="271"/>
      <c r="H285" s="270"/>
      <c r="I285" s="93">
        <v>60</v>
      </c>
      <c r="J285" s="183">
        <v>52</v>
      </c>
      <c r="K285" s="94">
        <v>8</v>
      </c>
      <c r="L285" s="95">
        <v>49.439999999999941</v>
      </c>
      <c r="M285" s="288"/>
    </row>
    <row r="286" spans="1:13">
      <c r="A286" s="117"/>
      <c r="B286" s="128" t="s">
        <v>4039</v>
      </c>
      <c r="C286" s="129" t="s">
        <v>4023</v>
      </c>
      <c r="D286" s="130">
        <v>32</v>
      </c>
      <c r="E286" s="261">
        <v>6</v>
      </c>
      <c r="F286" s="271"/>
      <c r="G286" s="271"/>
      <c r="H286" s="270"/>
      <c r="I286" s="93">
        <v>6</v>
      </c>
      <c r="J286" s="183"/>
      <c r="K286" s="94">
        <v>6</v>
      </c>
      <c r="L286" s="95">
        <v>192</v>
      </c>
      <c r="M286" s="288"/>
    </row>
    <row r="287" spans="1:13">
      <c r="A287" s="88"/>
      <c r="B287" s="106" t="s">
        <v>4042</v>
      </c>
      <c r="C287" s="91" t="s">
        <v>4043</v>
      </c>
      <c r="D287" s="92">
        <v>10.199999999999999</v>
      </c>
      <c r="E287" s="260">
        <v>14</v>
      </c>
      <c r="F287" s="199">
        <v>4</v>
      </c>
      <c r="G287" s="199"/>
      <c r="H287" s="269">
        <v>4</v>
      </c>
      <c r="I287" s="93">
        <v>14</v>
      </c>
      <c r="J287" s="183">
        <v>12</v>
      </c>
      <c r="K287" s="94">
        <v>2</v>
      </c>
      <c r="L287" s="95">
        <v>20.399999999999991</v>
      </c>
      <c r="M287" s="283"/>
    </row>
    <row r="288" spans="1:13">
      <c r="A288" s="88"/>
      <c r="B288" s="106" t="s">
        <v>4044</v>
      </c>
      <c r="C288" s="91" t="s">
        <v>4045</v>
      </c>
      <c r="D288" s="92">
        <v>61.75</v>
      </c>
      <c r="E288" s="260">
        <v>37</v>
      </c>
      <c r="F288" s="199"/>
      <c r="G288" s="199"/>
      <c r="H288" s="269"/>
      <c r="I288" s="93">
        <v>37</v>
      </c>
      <c r="J288" s="183">
        <v>4</v>
      </c>
      <c r="K288" s="94">
        <v>33</v>
      </c>
      <c r="L288" s="95">
        <v>2037.75</v>
      </c>
      <c r="M288" s="283"/>
    </row>
    <row r="289" spans="1:13" ht="30">
      <c r="A289" s="88"/>
      <c r="B289" s="90"/>
      <c r="C289" s="91" t="s">
        <v>4046</v>
      </c>
      <c r="D289" s="92">
        <v>50.8</v>
      </c>
      <c r="E289" s="260">
        <v>20</v>
      </c>
      <c r="F289" s="199"/>
      <c r="G289" s="199"/>
      <c r="H289" s="269"/>
      <c r="I289" s="93">
        <v>20</v>
      </c>
      <c r="J289" s="183"/>
      <c r="K289" s="94">
        <v>20</v>
      </c>
      <c r="L289" s="95">
        <v>1016</v>
      </c>
      <c r="M289" s="283"/>
    </row>
    <row r="290" spans="1:13" ht="30">
      <c r="A290" s="88"/>
      <c r="B290" s="90">
        <v>605078</v>
      </c>
      <c r="C290" s="91" t="s">
        <v>4049</v>
      </c>
      <c r="D290" s="92">
        <v>6.8849999999999998</v>
      </c>
      <c r="E290" s="260">
        <v>107</v>
      </c>
      <c r="F290" s="199"/>
      <c r="G290" s="199"/>
      <c r="H290" s="269"/>
      <c r="I290" s="93">
        <v>107</v>
      </c>
      <c r="J290" s="183">
        <v>40</v>
      </c>
      <c r="K290" s="94">
        <v>67</v>
      </c>
      <c r="L290" s="95">
        <v>461.29499999999996</v>
      </c>
      <c r="M290" s="283"/>
    </row>
    <row r="291" spans="1:13">
      <c r="A291" s="88"/>
      <c r="B291" s="90">
        <v>601115</v>
      </c>
      <c r="C291" s="91" t="s">
        <v>4050</v>
      </c>
      <c r="D291" s="92">
        <v>10</v>
      </c>
      <c r="E291" s="260">
        <v>4</v>
      </c>
      <c r="F291" s="199"/>
      <c r="G291" s="199"/>
      <c r="H291" s="269"/>
      <c r="I291" s="93">
        <v>4</v>
      </c>
      <c r="J291" s="183"/>
      <c r="K291" s="94">
        <v>4</v>
      </c>
      <c r="L291" s="95">
        <v>40</v>
      </c>
      <c r="M291" s="283"/>
    </row>
    <row r="292" spans="1:13">
      <c r="A292" s="88"/>
      <c r="B292" s="80" t="s">
        <v>4065</v>
      </c>
      <c r="C292" s="107" t="s">
        <v>4066</v>
      </c>
      <c r="D292" s="133">
        <v>16.91</v>
      </c>
      <c r="E292" s="260">
        <v>6</v>
      </c>
      <c r="F292" s="199">
        <v>30</v>
      </c>
      <c r="G292" s="199"/>
      <c r="H292" s="269">
        <v>26</v>
      </c>
      <c r="I292" s="93">
        <v>10</v>
      </c>
      <c r="J292" s="183">
        <v>6</v>
      </c>
      <c r="K292" s="94">
        <v>4</v>
      </c>
      <c r="L292" s="95">
        <v>67.639999999999986</v>
      </c>
      <c r="M292" s="283"/>
    </row>
    <row r="293" spans="1:13">
      <c r="A293" s="88"/>
      <c r="B293" s="80" t="s">
        <v>4093</v>
      </c>
      <c r="C293" s="107" t="s">
        <v>4094</v>
      </c>
      <c r="D293" s="133">
        <v>15</v>
      </c>
      <c r="E293" s="260">
        <v>24</v>
      </c>
      <c r="F293" s="199"/>
      <c r="G293" s="199"/>
      <c r="H293" s="269"/>
      <c r="I293" s="93">
        <v>24</v>
      </c>
      <c r="J293" s="183">
        <v>12</v>
      </c>
      <c r="K293" s="94">
        <v>12</v>
      </c>
      <c r="L293" s="95">
        <v>180</v>
      </c>
      <c r="M293" s="283"/>
    </row>
    <row r="294" spans="1:13">
      <c r="A294" s="88"/>
      <c r="B294" s="80" t="s">
        <v>4095</v>
      </c>
      <c r="C294" s="107" t="s">
        <v>4096</v>
      </c>
      <c r="D294" s="133">
        <v>13.15</v>
      </c>
      <c r="E294" s="260">
        <v>24</v>
      </c>
      <c r="F294" s="199"/>
      <c r="G294" s="199"/>
      <c r="H294" s="269"/>
      <c r="I294" s="93">
        <v>24</v>
      </c>
      <c r="J294" s="183">
        <v>12</v>
      </c>
      <c r="K294" s="94">
        <v>12</v>
      </c>
      <c r="L294" s="95">
        <v>157.80000000000001</v>
      </c>
      <c r="M294" s="283"/>
    </row>
    <row r="295" spans="1:13">
      <c r="A295" s="88"/>
      <c r="B295" s="80" t="s">
        <v>4097</v>
      </c>
      <c r="C295" s="107" t="s">
        <v>4098</v>
      </c>
      <c r="D295" s="133">
        <v>13.4</v>
      </c>
      <c r="E295" s="260">
        <v>24</v>
      </c>
      <c r="F295" s="199"/>
      <c r="G295" s="199"/>
      <c r="H295" s="269"/>
      <c r="I295" s="93">
        <v>24</v>
      </c>
      <c r="J295" s="183">
        <v>12</v>
      </c>
      <c r="K295" s="94">
        <v>12</v>
      </c>
      <c r="L295" s="95">
        <v>160.80000000000001</v>
      </c>
      <c r="M295" s="283"/>
    </row>
    <row r="296" spans="1:13">
      <c r="A296" s="88"/>
      <c r="B296" s="80" t="s">
        <v>4099</v>
      </c>
      <c r="C296" s="107" t="s">
        <v>4100</v>
      </c>
      <c r="D296" s="133">
        <v>13.122</v>
      </c>
      <c r="E296" s="260">
        <v>90</v>
      </c>
      <c r="F296" s="199"/>
      <c r="G296" s="199"/>
      <c r="H296" s="269">
        <v>7</v>
      </c>
      <c r="I296" s="93">
        <v>83</v>
      </c>
      <c r="J296" s="183">
        <v>80</v>
      </c>
      <c r="K296" s="94">
        <v>3</v>
      </c>
      <c r="L296" s="95">
        <v>39.365999999999985</v>
      </c>
      <c r="M296" s="283"/>
    </row>
    <row r="297" spans="1:13">
      <c r="A297" s="88"/>
      <c r="B297" s="80" t="s">
        <v>4106</v>
      </c>
      <c r="C297" s="107" t="s">
        <v>4107</v>
      </c>
      <c r="D297" s="133">
        <v>118.1579</v>
      </c>
      <c r="E297" s="260">
        <v>16</v>
      </c>
      <c r="F297" s="199"/>
      <c r="G297" s="199"/>
      <c r="H297" s="269">
        <v>12</v>
      </c>
      <c r="I297" s="93">
        <v>4</v>
      </c>
      <c r="J297" s="183">
        <v>2</v>
      </c>
      <c r="K297" s="94">
        <v>2</v>
      </c>
      <c r="L297" s="95">
        <v>236.3158</v>
      </c>
      <c r="M297" s="283"/>
    </row>
    <row r="298" spans="1:13" ht="30">
      <c r="A298" s="88"/>
      <c r="B298" s="90" t="s">
        <v>4129</v>
      </c>
      <c r="C298" s="91" t="s">
        <v>4130</v>
      </c>
      <c r="D298" s="92">
        <v>3.6</v>
      </c>
      <c r="E298" s="260">
        <v>24</v>
      </c>
      <c r="F298" s="199"/>
      <c r="G298" s="199"/>
      <c r="H298" s="269">
        <v>1</v>
      </c>
      <c r="I298" s="93">
        <v>23</v>
      </c>
      <c r="J298" s="183">
        <v>1</v>
      </c>
      <c r="K298" s="94">
        <v>22</v>
      </c>
      <c r="L298" s="95">
        <v>79.2</v>
      </c>
      <c r="M298" s="283"/>
    </row>
    <row r="299" spans="1:13" ht="45">
      <c r="A299" s="88"/>
      <c r="B299" s="90">
        <v>721567</v>
      </c>
      <c r="C299" s="91" t="s">
        <v>1132</v>
      </c>
      <c r="D299" s="92">
        <v>3.6</v>
      </c>
      <c r="E299" s="260">
        <v>12</v>
      </c>
      <c r="F299" s="199"/>
      <c r="G299" s="199"/>
      <c r="H299" s="269"/>
      <c r="I299" s="93">
        <v>12</v>
      </c>
      <c r="J299" s="183"/>
      <c r="K299" s="94">
        <v>12</v>
      </c>
      <c r="L299" s="95">
        <v>43.2</v>
      </c>
      <c r="M299" s="283"/>
    </row>
    <row r="300" spans="1:13">
      <c r="J300" s="7"/>
      <c r="K300" s="290">
        <f>SUM(K3:K299)</f>
        <v>5171</v>
      </c>
      <c r="L300" s="290">
        <f>SUM(L3:L299)</f>
        <v>116730.90180000004</v>
      </c>
      <c r="M300" s="289"/>
    </row>
    <row r="301" spans="1:13">
      <c r="J301" s="7"/>
      <c r="K301" s="7"/>
      <c r="L301" s="7"/>
      <c r="M301" s="289"/>
    </row>
    <row r="304" spans="1:13" ht="60">
      <c r="A304" s="84" t="s">
        <v>1</v>
      </c>
      <c r="B304" s="85" t="s">
        <v>3</v>
      </c>
      <c r="C304" s="84" t="s">
        <v>4</v>
      </c>
      <c r="D304" s="9" t="s">
        <v>5</v>
      </c>
      <c r="E304" s="86" t="s">
        <v>4997</v>
      </c>
      <c r="F304" s="267" t="s">
        <v>5174</v>
      </c>
      <c r="G304" s="267" t="s">
        <v>4167</v>
      </c>
      <c r="H304" s="267" t="s">
        <v>480</v>
      </c>
      <c r="I304" s="86" t="s">
        <v>12</v>
      </c>
      <c r="J304" s="262" t="s">
        <v>6</v>
      </c>
      <c r="K304" s="86" t="s">
        <v>9</v>
      </c>
      <c r="L304" s="9" t="s">
        <v>10</v>
      </c>
      <c r="M304" s="84" t="s">
        <v>11</v>
      </c>
    </row>
    <row r="305" spans="1:13">
      <c r="A305" s="88">
        <v>1</v>
      </c>
      <c r="B305" s="90" t="s">
        <v>484</v>
      </c>
      <c r="C305" s="91" t="s">
        <v>485</v>
      </c>
      <c r="D305" s="92">
        <v>18.53</v>
      </c>
      <c r="E305" s="260">
        <v>11</v>
      </c>
      <c r="F305" s="199"/>
      <c r="G305" s="199"/>
      <c r="H305" s="269">
        <v>30</v>
      </c>
      <c r="I305" s="93">
        <v>-19</v>
      </c>
      <c r="J305" s="183">
        <v>28</v>
      </c>
      <c r="K305" s="94">
        <v>-47</v>
      </c>
      <c r="L305" s="95">
        <v>-870.91000000000008</v>
      </c>
      <c r="M305" s="278" t="s">
        <v>5222</v>
      </c>
    </row>
    <row r="306" spans="1:13">
      <c r="A306" s="88">
        <v>1</v>
      </c>
      <c r="B306" s="90" t="s">
        <v>493</v>
      </c>
      <c r="C306" s="91" t="s">
        <v>494</v>
      </c>
      <c r="D306" s="92">
        <v>17.95</v>
      </c>
      <c r="E306" s="260">
        <v>2</v>
      </c>
      <c r="F306" s="199"/>
      <c r="G306" s="199"/>
      <c r="H306" s="269">
        <v>3</v>
      </c>
      <c r="I306" s="93">
        <v>-1</v>
      </c>
      <c r="J306" s="183"/>
      <c r="K306" s="94">
        <v>-1</v>
      </c>
      <c r="L306" s="95">
        <v>-17.95</v>
      </c>
      <c r="M306" s="278" t="s">
        <v>5217</v>
      </c>
    </row>
    <row r="307" spans="1:13" ht="30">
      <c r="A307" s="88">
        <v>1</v>
      </c>
      <c r="B307" s="90" t="s">
        <v>504</v>
      </c>
      <c r="C307" s="91" t="s">
        <v>505</v>
      </c>
      <c r="D307" s="92">
        <v>6.18</v>
      </c>
      <c r="E307" s="260">
        <v>92</v>
      </c>
      <c r="F307" s="199"/>
      <c r="G307" s="199"/>
      <c r="H307" s="269">
        <v>1</v>
      </c>
      <c r="I307" s="93">
        <v>91</v>
      </c>
      <c r="J307" s="183">
        <v>92</v>
      </c>
      <c r="K307" s="94">
        <v>-1</v>
      </c>
      <c r="L307" s="95">
        <v>-6.17999999999995</v>
      </c>
      <c r="M307" s="278" t="s">
        <v>5218</v>
      </c>
    </row>
    <row r="308" spans="1:13" ht="30">
      <c r="A308" s="88">
        <v>1</v>
      </c>
      <c r="B308" s="90" t="s">
        <v>519</v>
      </c>
      <c r="C308" s="91" t="s">
        <v>520</v>
      </c>
      <c r="D308" s="92">
        <v>6.83</v>
      </c>
      <c r="E308" s="260">
        <v>31</v>
      </c>
      <c r="F308" s="199"/>
      <c r="G308" s="199"/>
      <c r="H308" s="269">
        <v>22</v>
      </c>
      <c r="I308" s="93">
        <v>9</v>
      </c>
      <c r="J308" s="183">
        <v>28</v>
      </c>
      <c r="K308" s="94">
        <v>-19</v>
      </c>
      <c r="L308" s="95">
        <v>-129.77000000000001</v>
      </c>
      <c r="M308" s="278" t="s">
        <v>5191</v>
      </c>
    </row>
    <row r="309" spans="1:13" ht="30">
      <c r="A309" s="88">
        <v>1</v>
      </c>
      <c r="B309" s="90" t="s">
        <v>528</v>
      </c>
      <c r="C309" s="91" t="s">
        <v>529</v>
      </c>
      <c r="D309" s="92">
        <v>17.649999999999999</v>
      </c>
      <c r="E309" s="260">
        <v>2</v>
      </c>
      <c r="F309" s="199"/>
      <c r="G309" s="199"/>
      <c r="H309" s="269">
        <v>10</v>
      </c>
      <c r="I309" s="93">
        <v>-8</v>
      </c>
      <c r="J309" s="183">
        <v>2</v>
      </c>
      <c r="K309" s="94">
        <v>-10</v>
      </c>
      <c r="L309" s="95">
        <v>-176.5</v>
      </c>
      <c r="M309" s="278" t="s">
        <v>5248</v>
      </c>
    </row>
    <row r="310" spans="1:13" ht="30">
      <c r="A310" s="88">
        <v>1</v>
      </c>
      <c r="B310" s="90" t="s">
        <v>532</v>
      </c>
      <c r="C310" s="91" t="s">
        <v>533</v>
      </c>
      <c r="D310" s="92">
        <v>17.649999999999999</v>
      </c>
      <c r="E310" s="260">
        <v>15</v>
      </c>
      <c r="F310" s="199"/>
      <c r="G310" s="199"/>
      <c r="H310" s="269">
        <v>19</v>
      </c>
      <c r="I310" s="93">
        <v>-4</v>
      </c>
      <c r="J310" s="183">
        <v>6</v>
      </c>
      <c r="K310" s="94">
        <v>-10</v>
      </c>
      <c r="L310" s="95">
        <v>-176.5</v>
      </c>
      <c r="M310" s="278" t="s">
        <v>5247</v>
      </c>
    </row>
    <row r="311" spans="1:13" ht="30">
      <c r="A311" s="88">
        <v>1</v>
      </c>
      <c r="B311" s="90" t="s">
        <v>534</v>
      </c>
      <c r="C311" s="91" t="s">
        <v>535</v>
      </c>
      <c r="D311" s="92">
        <v>17.649999999999999</v>
      </c>
      <c r="E311" s="260">
        <v>1</v>
      </c>
      <c r="F311" s="199"/>
      <c r="G311" s="199"/>
      <c r="H311" s="269">
        <v>12</v>
      </c>
      <c r="I311" s="93">
        <v>-11</v>
      </c>
      <c r="J311" s="183"/>
      <c r="K311" s="94">
        <v>-11</v>
      </c>
      <c r="L311" s="95">
        <v>-194.14999999999998</v>
      </c>
      <c r="M311" s="278" t="s">
        <v>5248</v>
      </c>
    </row>
    <row r="312" spans="1:13">
      <c r="A312" s="88">
        <v>1</v>
      </c>
      <c r="B312" s="90" t="s">
        <v>536</v>
      </c>
      <c r="C312" s="91" t="s">
        <v>537</v>
      </c>
      <c r="D312" s="92">
        <v>7.06</v>
      </c>
      <c r="E312" s="260"/>
      <c r="F312" s="199">
        <v>100</v>
      </c>
      <c r="G312" s="199"/>
      <c r="H312" s="269">
        <v>40</v>
      </c>
      <c r="I312" s="93">
        <v>60</v>
      </c>
      <c r="J312" s="183">
        <v>95</v>
      </c>
      <c r="K312" s="94">
        <v>-35</v>
      </c>
      <c r="L312" s="95">
        <v>-247.09999999999997</v>
      </c>
      <c r="M312" s="278" t="s">
        <v>5192</v>
      </c>
    </row>
    <row r="313" spans="1:13">
      <c r="A313" s="88">
        <v>1</v>
      </c>
      <c r="B313" s="90" t="s">
        <v>542</v>
      </c>
      <c r="C313" s="91" t="s">
        <v>543</v>
      </c>
      <c r="D313" s="92">
        <v>6.71</v>
      </c>
      <c r="E313" s="260">
        <v>3</v>
      </c>
      <c r="F313" s="199"/>
      <c r="G313" s="199">
        <v>1</v>
      </c>
      <c r="H313" s="269">
        <v>2</v>
      </c>
      <c r="I313" s="93">
        <v>0</v>
      </c>
      <c r="J313" s="183">
        <v>1</v>
      </c>
      <c r="K313" s="94">
        <v>-1</v>
      </c>
      <c r="L313" s="95">
        <v>-6.71</v>
      </c>
      <c r="M313" s="278" t="s">
        <v>5201</v>
      </c>
    </row>
    <row r="314" spans="1:13">
      <c r="A314" s="88">
        <v>1</v>
      </c>
      <c r="B314" s="90" t="s">
        <v>547</v>
      </c>
      <c r="C314" s="91" t="s">
        <v>548</v>
      </c>
      <c r="D314" s="92">
        <v>51.06</v>
      </c>
      <c r="E314" s="260">
        <v>24</v>
      </c>
      <c r="F314" s="199"/>
      <c r="G314" s="199"/>
      <c r="H314" s="269"/>
      <c r="I314" s="93">
        <v>24</v>
      </c>
      <c r="J314" s="183">
        <v>25</v>
      </c>
      <c r="K314" s="94">
        <v>-1</v>
      </c>
      <c r="L314" s="95">
        <v>-51.059999999999945</v>
      </c>
      <c r="M314" s="102">
        <v>45343</v>
      </c>
    </row>
    <row r="315" spans="1:13">
      <c r="A315" s="88">
        <v>1</v>
      </c>
      <c r="B315" s="90" t="s">
        <v>553</v>
      </c>
      <c r="C315" s="91" t="s">
        <v>554</v>
      </c>
      <c r="D315" s="92">
        <v>22.19</v>
      </c>
      <c r="E315" s="260">
        <v>3</v>
      </c>
      <c r="F315" s="199"/>
      <c r="G315" s="199"/>
      <c r="H315" s="269">
        <v>5</v>
      </c>
      <c r="I315" s="93">
        <v>-2</v>
      </c>
      <c r="J315" s="183"/>
      <c r="K315" s="94">
        <v>-2</v>
      </c>
      <c r="L315" s="95">
        <v>-44.38</v>
      </c>
      <c r="M315" s="279" t="s">
        <v>5225</v>
      </c>
    </row>
    <row r="316" spans="1:13" ht="30">
      <c r="A316" s="88">
        <v>1</v>
      </c>
      <c r="B316" s="90" t="s">
        <v>593</v>
      </c>
      <c r="C316" s="91" t="s">
        <v>594</v>
      </c>
      <c r="D316" s="92">
        <v>97.04</v>
      </c>
      <c r="E316" s="260">
        <v>19</v>
      </c>
      <c r="F316" s="199"/>
      <c r="G316" s="199"/>
      <c r="H316" s="269">
        <v>2</v>
      </c>
      <c r="I316" s="93">
        <v>17</v>
      </c>
      <c r="J316" s="183">
        <v>19</v>
      </c>
      <c r="K316" s="94">
        <v>-2</v>
      </c>
      <c r="L316" s="95">
        <v>-194.08000000000015</v>
      </c>
      <c r="M316" s="278" t="s">
        <v>5201</v>
      </c>
    </row>
    <row r="317" spans="1:13" ht="30">
      <c r="A317" s="88">
        <v>1</v>
      </c>
      <c r="B317" s="90" t="s">
        <v>599</v>
      </c>
      <c r="C317" s="91" t="s">
        <v>600</v>
      </c>
      <c r="D317" s="92">
        <v>90.42</v>
      </c>
      <c r="E317" s="260">
        <v>16</v>
      </c>
      <c r="F317" s="199"/>
      <c r="G317" s="199"/>
      <c r="H317" s="269">
        <v>3</v>
      </c>
      <c r="I317" s="93">
        <v>13</v>
      </c>
      <c r="J317" s="183">
        <v>15</v>
      </c>
      <c r="K317" s="94">
        <v>-2</v>
      </c>
      <c r="L317" s="95">
        <v>-180.83999999999992</v>
      </c>
      <c r="M317" s="278" t="s">
        <v>5217</v>
      </c>
    </row>
    <row r="318" spans="1:13" ht="30">
      <c r="A318" s="88">
        <v>1</v>
      </c>
      <c r="B318" s="90" t="s">
        <v>601</v>
      </c>
      <c r="C318" s="91" t="s">
        <v>602</v>
      </c>
      <c r="D318" s="92">
        <v>41.15</v>
      </c>
      <c r="E318" s="260"/>
      <c r="F318" s="199"/>
      <c r="G318" s="199"/>
      <c r="H318" s="269"/>
      <c r="I318" s="93">
        <v>0</v>
      </c>
      <c r="J318" s="183">
        <v>38</v>
      </c>
      <c r="K318" s="94">
        <v>-38</v>
      </c>
      <c r="L318" s="95">
        <v>-1563.7</v>
      </c>
      <c r="M318" s="96"/>
    </row>
    <row r="319" spans="1:13" ht="30">
      <c r="A319" s="88">
        <v>1</v>
      </c>
      <c r="B319" s="90" t="s">
        <v>606</v>
      </c>
      <c r="C319" s="91" t="s">
        <v>607</v>
      </c>
      <c r="D319" s="92">
        <v>12.69</v>
      </c>
      <c r="E319" s="260"/>
      <c r="F319" s="199"/>
      <c r="G319" s="199"/>
      <c r="H319" s="269"/>
      <c r="I319" s="93">
        <v>0</v>
      </c>
      <c r="J319" s="183">
        <v>43</v>
      </c>
      <c r="K319" s="94">
        <v>-43</v>
      </c>
      <c r="L319" s="95">
        <v>-545.66999999999996</v>
      </c>
      <c r="M319" s="96"/>
    </row>
    <row r="320" spans="1:13" ht="30">
      <c r="A320" s="88">
        <v>1</v>
      </c>
      <c r="B320" s="90" t="s">
        <v>612</v>
      </c>
      <c r="C320" s="91" t="s">
        <v>613</v>
      </c>
      <c r="D320" s="92">
        <v>88.75</v>
      </c>
      <c r="E320" s="260">
        <v>16</v>
      </c>
      <c r="F320" s="199"/>
      <c r="G320" s="199"/>
      <c r="H320" s="269">
        <v>1</v>
      </c>
      <c r="I320" s="93">
        <v>15</v>
      </c>
      <c r="J320" s="277">
        <v>16</v>
      </c>
      <c r="K320" s="94">
        <v>-1</v>
      </c>
      <c r="L320" s="95">
        <v>-88.75</v>
      </c>
      <c r="M320" s="278" t="s">
        <v>5218</v>
      </c>
    </row>
    <row r="321" spans="1:13" ht="30">
      <c r="A321" s="88">
        <v>1</v>
      </c>
      <c r="B321" s="90" t="s">
        <v>628</v>
      </c>
      <c r="C321" s="91" t="s">
        <v>629</v>
      </c>
      <c r="D321" s="92">
        <v>5.47</v>
      </c>
      <c r="E321" s="260"/>
      <c r="F321" s="199"/>
      <c r="G321" s="199"/>
      <c r="H321" s="269">
        <v>24</v>
      </c>
      <c r="I321" s="93">
        <v>-24</v>
      </c>
      <c r="J321" s="183"/>
      <c r="K321" s="94">
        <v>-24</v>
      </c>
      <c r="L321" s="95">
        <v>-131.28</v>
      </c>
      <c r="M321" s="278" t="s">
        <v>5202</v>
      </c>
    </row>
    <row r="322" spans="1:13">
      <c r="A322" s="88">
        <v>1</v>
      </c>
      <c r="B322" s="90" t="s">
        <v>630</v>
      </c>
      <c r="C322" s="91" t="s">
        <v>631</v>
      </c>
      <c r="D322" s="92">
        <v>7.62</v>
      </c>
      <c r="E322" s="260">
        <v>23</v>
      </c>
      <c r="F322" s="199"/>
      <c r="G322" s="199"/>
      <c r="H322" s="269">
        <v>30</v>
      </c>
      <c r="I322" s="93">
        <v>-7</v>
      </c>
      <c r="J322" s="183">
        <v>8</v>
      </c>
      <c r="K322" s="94">
        <v>-15</v>
      </c>
      <c r="L322" s="95">
        <v>-114.30000000000001</v>
      </c>
      <c r="M322" s="278" t="s">
        <v>5207</v>
      </c>
    </row>
    <row r="323" spans="1:13">
      <c r="A323" s="88">
        <v>1</v>
      </c>
      <c r="B323" s="90" t="s">
        <v>637</v>
      </c>
      <c r="C323" s="91" t="s">
        <v>638</v>
      </c>
      <c r="D323" s="92">
        <v>15.35</v>
      </c>
      <c r="E323" s="260"/>
      <c r="F323" s="199"/>
      <c r="G323" s="199"/>
      <c r="H323" s="269">
        <v>15</v>
      </c>
      <c r="I323" s="93">
        <v>-15</v>
      </c>
      <c r="J323" s="183"/>
      <c r="K323" s="94">
        <v>-15</v>
      </c>
      <c r="L323" s="95">
        <v>-230.25</v>
      </c>
      <c r="M323" s="278" t="s">
        <v>5206</v>
      </c>
    </row>
    <row r="324" spans="1:13">
      <c r="A324" s="88">
        <v>1</v>
      </c>
      <c r="B324" s="90" t="s">
        <v>639</v>
      </c>
      <c r="C324" s="91" t="s">
        <v>640</v>
      </c>
      <c r="D324" s="92">
        <v>32.47</v>
      </c>
      <c r="E324" s="260">
        <v>48</v>
      </c>
      <c r="F324" s="199"/>
      <c r="G324" s="199"/>
      <c r="H324" s="269">
        <v>17</v>
      </c>
      <c r="I324" s="93">
        <v>31</v>
      </c>
      <c r="J324" s="183">
        <v>41</v>
      </c>
      <c r="K324" s="94">
        <v>-10</v>
      </c>
      <c r="L324" s="95">
        <v>-324.70000000000005</v>
      </c>
      <c r="M324" s="278" t="s">
        <v>5205</v>
      </c>
    </row>
    <row r="325" spans="1:13">
      <c r="A325" s="88">
        <v>1</v>
      </c>
      <c r="B325" s="90" t="s">
        <v>645</v>
      </c>
      <c r="C325" s="91" t="s">
        <v>646</v>
      </c>
      <c r="D325" s="92">
        <v>37.950000000000003</v>
      </c>
      <c r="E325" s="260"/>
      <c r="F325" s="199"/>
      <c r="G325" s="199"/>
      <c r="H325" s="269">
        <v>6</v>
      </c>
      <c r="I325" s="93">
        <v>-6</v>
      </c>
      <c r="J325" s="183"/>
      <c r="K325" s="94">
        <v>-6</v>
      </c>
      <c r="L325" s="95">
        <v>-227.70000000000002</v>
      </c>
      <c r="M325" s="278" t="s">
        <v>5195</v>
      </c>
    </row>
    <row r="326" spans="1:13" ht="30">
      <c r="A326" s="88">
        <v>1</v>
      </c>
      <c r="B326" s="90" t="s">
        <v>647</v>
      </c>
      <c r="C326" s="91" t="s">
        <v>648</v>
      </c>
      <c r="D326" s="92">
        <v>6.18</v>
      </c>
      <c r="E326" s="260">
        <v>132</v>
      </c>
      <c r="F326" s="199"/>
      <c r="G326" s="199"/>
      <c r="H326" s="269"/>
      <c r="I326" s="93">
        <v>132</v>
      </c>
      <c r="J326" s="183">
        <v>133</v>
      </c>
      <c r="K326" s="94">
        <v>-1</v>
      </c>
      <c r="L326" s="95">
        <v>-6.17999999999995</v>
      </c>
      <c r="M326" s="96" t="s">
        <v>649</v>
      </c>
    </row>
    <row r="327" spans="1:13">
      <c r="A327" s="88">
        <v>1</v>
      </c>
      <c r="B327" s="90" t="s">
        <v>653</v>
      </c>
      <c r="C327" s="91" t="s">
        <v>654</v>
      </c>
      <c r="D327" s="92">
        <v>6.18</v>
      </c>
      <c r="E327" s="260">
        <v>49</v>
      </c>
      <c r="F327" s="199"/>
      <c r="G327" s="199"/>
      <c r="H327" s="269">
        <v>30</v>
      </c>
      <c r="I327" s="93">
        <v>19</v>
      </c>
      <c r="J327" s="183">
        <v>49</v>
      </c>
      <c r="K327" s="94">
        <v>-30</v>
      </c>
      <c r="L327" s="95">
        <v>-185.4</v>
      </c>
      <c r="M327" s="278" t="s">
        <v>5222</v>
      </c>
    </row>
    <row r="328" spans="1:13">
      <c r="A328" s="88">
        <v>1</v>
      </c>
      <c r="B328" s="90" t="s">
        <v>674</v>
      </c>
      <c r="C328" s="91" t="s">
        <v>675</v>
      </c>
      <c r="D328" s="92">
        <v>37.950000000000003</v>
      </c>
      <c r="E328" s="260"/>
      <c r="F328" s="199"/>
      <c r="G328" s="199"/>
      <c r="H328" s="269">
        <v>6</v>
      </c>
      <c r="I328" s="93">
        <v>-6</v>
      </c>
      <c r="J328" s="183"/>
      <c r="K328" s="94">
        <v>-6</v>
      </c>
      <c r="L328" s="95">
        <v>-227.70000000000002</v>
      </c>
      <c r="M328" s="278" t="s">
        <v>5195</v>
      </c>
    </row>
    <row r="329" spans="1:13" ht="30">
      <c r="A329" s="88">
        <v>1</v>
      </c>
      <c r="B329" s="90" t="s">
        <v>688</v>
      </c>
      <c r="C329" s="91" t="s">
        <v>689</v>
      </c>
      <c r="D329" s="92">
        <v>6.18</v>
      </c>
      <c r="E329" s="260">
        <v>129</v>
      </c>
      <c r="F329" s="199"/>
      <c r="G329" s="199"/>
      <c r="H329" s="269">
        <v>35</v>
      </c>
      <c r="I329" s="93">
        <v>94</v>
      </c>
      <c r="J329" s="183">
        <v>129</v>
      </c>
      <c r="K329" s="94">
        <v>-35</v>
      </c>
      <c r="L329" s="95">
        <v>-216.29999999999995</v>
      </c>
      <c r="M329" s="278" t="s">
        <v>5223</v>
      </c>
    </row>
    <row r="330" spans="1:13">
      <c r="A330" s="88">
        <v>1</v>
      </c>
      <c r="B330" s="90" t="s">
        <v>703</v>
      </c>
      <c r="C330" s="91" t="s">
        <v>704</v>
      </c>
      <c r="D330" s="92">
        <v>15.12</v>
      </c>
      <c r="E330" s="260">
        <v>73</v>
      </c>
      <c r="F330" s="199"/>
      <c r="G330" s="199"/>
      <c r="H330" s="269">
        <v>21</v>
      </c>
      <c r="I330" s="93">
        <v>52</v>
      </c>
      <c r="J330" s="183">
        <v>68</v>
      </c>
      <c r="K330" s="94">
        <v>-16</v>
      </c>
      <c r="L330" s="95">
        <v>-241.91999999999985</v>
      </c>
      <c r="M330" s="278" t="s">
        <v>5189</v>
      </c>
    </row>
    <row r="331" spans="1:13" ht="30">
      <c r="A331" s="88">
        <v>1</v>
      </c>
      <c r="B331" s="90" t="s">
        <v>707</v>
      </c>
      <c r="C331" s="91" t="s">
        <v>708</v>
      </c>
      <c r="D331" s="92">
        <v>15.12</v>
      </c>
      <c r="E331" s="260">
        <v>15</v>
      </c>
      <c r="F331" s="199"/>
      <c r="G331" s="199"/>
      <c r="H331" s="269">
        <v>4</v>
      </c>
      <c r="I331" s="93">
        <v>11</v>
      </c>
      <c r="J331" s="183">
        <v>12</v>
      </c>
      <c r="K331" s="94">
        <v>-1</v>
      </c>
      <c r="L331" s="95">
        <v>-15.120000000000005</v>
      </c>
      <c r="M331" s="96"/>
    </row>
    <row r="332" spans="1:13">
      <c r="A332" s="88">
        <v>1</v>
      </c>
      <c r="B332" s="90" t="s">
        <v>709</v>
      </c>
      <c r="C332" s="91" t="s">
        <v>710</v>
      </c>
      <c r="D332" s="92">
        <v>31.6</v>
      </c>
      <c r="E332" s="260">
        <v>39</v>
      </c>
      <c r="F332" s="199"/>
      <c r="G332" s="199"/>
      <c r="H332" s="269">
        <v>11</v>
      </c>
      <c r="I332" s="93">
        <v>28</v>
      </c>
      <c r="J332" s="183">
        <v>38</v>
      </c>
      <c r="K332" s="94">
        <v>-10</v>
      </c>
      <c r="L332" s="95">
        <v>-315.99999999999989</v>
      </c>
      <c r="M332" s="278" t="s">
        <v>5200</v>
      </c>
    </row>
    <row r="333" spans="1:13">
      <c r="A333" s="88">
        <v>1</v>
      </c>
      <c r="B333" s="90" t="s">
        <v>713</v>
      </c>
      <c r="C333" s="91" t="s">
        <v>714</v>
      </c>
      <c r="D333" s="92">
        <v>31.6</v>
      </c>
      <c r="E333" s="260">
        <v>25</v>
      </c>
      <c r="F333" s="199"/>
      <c r="G333" s="199"/>
      <c r="H333" s="269">
        <v>22</v>
      </c>
      <c r="I333" s="93">
        <v>3</v>
      </c>
      <c r="J333" s="183">
        <v>24</v>
      </c>
      <c r="K333" s="94">
        <v>-21</v>
      </c>
      <c r="L333" s="95">
        <v>-663.60000000000014</v>
      </c>
      <c r="M333" s="278" t="s">
        <v>5191</v>
      </c>
    </row>
    <row r="334" spans="1:13" ht="30">
      <c r="A334" s="88">
        <v>1</v>
      </c>
      <c r="B334" s="90" t="s">
        <v>715</v>
      </c>
      <c r="C334" s="91" t="s">
        <v>716</v>
      </c>
      <c r="D334" s="92">
        <v>15.13</v>
      </c>
      <c r="E334" s="260">
        <v>63</v>
      </c>
      <c r="F334" s="199"/>
      <c r="G334" s="199"/>
      <c r="H334" s="269">
        <v>19</v>
      </c>
      <c r="I334" s="93">
        <v>44</v>
      </c>
      <c r="J334" s="183">
        <v>59</v>
      </c>
      <c r="K334" s="94">
        <v>-15</v>
      </c>
      <c r="L334" s="95">
        <v>-226.95000000000005</v>
      </c>
      <c r="M334" s="278" t="s">
        <v>5208</v>
      </c>
    </row>
    <row r="335" spans="1:13">
      <c r="A335" s="88">
        <v>1</v>
      </c>
      <c r="B335" s="90" t="s">
        <v>719</v>
      </c>
      <c r="C335" s="91" t="s">
        <v>720</v>
      </c>
      <c r="D335" s="92">
        <v>15.65</v>
      </c>
      <c r="E335" s="260">
        <v>87</v>
      </c>
      <c r="F335" s="199"/>
      <c r="G335" s="199"/>
      <c r="H335" s="269">
        <v>25</v>
      </c>
      <c r="I335" s="93">
        <v>62</v>
      </c>
      <c r="J335" s="183">
        <v>81</v>
      </c>
      <c r="K335" s="94">
        <v>-19</v>
      </c>
      <c r="L335" s="95">
        <v>-297.35000000000002</v>
      </c>
      <c r="M335" s="278" t="s">
        <v>5199</v>
      </c>
    </row>
    <row r="336" spans="1:13" ht="30">
      <c r="A336" s="88">
        <v>1</v>
      </c>
      <c r="B336" s="90" t="s">
        <v>721</v>
      </c>
      <c r="C336" s="91" t="s">
        <v>722</v>
      </c>
      <c r="D336" s="92">
        <v>34.47</v>
      </c>
      <c r="E336" s="260">
        <v>46</v>
      </c>
      <c r="F336" s="199"/>
      <c r="G336" s="199"/>
      <c r="H336" s="269">
        <v>11</v>
      </c>
      <c r="I336" s="93">
        <v>35</v>
      </c>
      <c r="J336" s="183">
        <v>45</v>
      </c>
      <c r="K336" s="94">
        <v>-10</v>
      </c>
      <c r="L336" s="95">
        <v>-344.69999999999982</v>
      </c>
      <c r="M336" s="278" t="s">
        <v>5200</v>
      </c>
    </row>
    <row r="337" spans="1:13">
      <c r="A337" s="88">
        <v>1</v>
      </c>
      <c r="B337" s="90" t="s">
        <v>723</v>
      </c>
      <c r="C337" s="91" t="s">
        <v>724</v>
      </c>
      <c r="D337" s="92">
        <v>6.18</v>
      </c>
      <c r="E337" s="260">
        <v>99</v>
      </c>
      <c r="F337" s="199"/>
      <c r="G337" s="199"/>
      <c r="H337" s="269">
        <v>2</v>
      </c>
      <c r="I337" s="93">
        <v>97</v>
      </c>
      <c r="J337" s="183">
        <v>99</v>
      </c>
      <c r="K337" s="94">
        <v>-2</v>
      </c>
      <c r="L337" s="95">
        <v>-12.360000000000014</v>
      </c>
      <c r="M337" s="278" t="s">
        <v>5201</v>
      </c>
    </row>
    <row r="338" spans="1:13">
      <c r="A338" s="88">
        <v>1</v>
      </c>
      <c r="B338" s="90" t="s">
        <v>728</v>
      </c>
      <c r="C338" s="91" t="s">
        <v>729</v>
      </c>
      <c r="D338" s="92">
        <v>22.68</v>
      </c>
      <c r="E338" s="260"/>
      <c r="F338" s="199"/>
      <c r="G338" s="199"/>
      <c r="H338" s="269">
        <v>10</v>
      </c>
      <c r="I338" s="93">
        <v>-10</v>
      </c>
      <c r="J338" s="183"/>
      <c r="K338" s="94">
        <v>-10</v>
      </c>
      <c r="L338" s="95">
        <v>-226.8</v>
      </c>
      <c r="M338" s="278" t="s">
        <v>5204</v>
      </c>
    </row>
    <row r="339" spans="1:13" ht="30">
      <c r="A339" s="88">
        <v>1</v>
      </c>
      <c r="B339" s="90" t="s">
        <v>730</v>
      </c>
      <c r="C339" s="91" t="s">
        <v>731</v>
      </c>
      <c r="D339" s="92">
        <v>6.71</v>
      </c>
      <c r="E339" s="260">
        <v>105</v>
      </c>
      <c r="F339" s="199"/>
      <c r="G339" s="199"/>
      <c r="H339" s="269">
        <v>7</v>
      </c>
      <c r="I339" s="93">
        <v>98</v>
      </c>
      <c r="J339" s="183">
        <v>102</v>
      </c>
      <c r="K339" s="94">
        <v>-4</v>
      </c>
      <c r="L339" s="95">
        <v>-26.839999999999918</v>
      </c>
      <c r="M339" s="278" t="s">
        <v>5203</v>
      </c>
    </row>
    <row r="340" spans="1:13" ht="30">
      <c r="A340" s="88">
        <v>1</v>
      </c>
      <c r="B340" s="90" t="s">
        <v>732</v>
      </c>
      <c r="C340" s="91" t="s">
        <v>733</v>
      </c>
      <c r="D340" s="92">
        <v>6.43</v>
      </c>
      <c r="E340" s="260"/>
      <c r="F340" s="199"/>
      <c r="G340" s="199"/>
      <c r="H340" s="269">
        <v>1</v>
      </c>
      <c r="I340" s="93">
        <v>-1</v>
      </c>
      <c r="J340" s="183">
        <v>1</v>
      </c>
      <c r="K340" s="94">
        <v>-2</v>
      </c>
      <c r="L340" s="95">
        <v>-12.86</v>
      </c>
      <c r="M340" s="279" t="s">
        <v>5218</v>
      </c>
    </row>
    <row r="341" spans="1:13">
      <c r="A341" s="88">
        <v>2</v>
      </c>
      <c r="B341" s="90" t="s">
        <v>740</v>
      </c>
      <c r="C341" s="91" t="s">
        <v>741</v>
      </c>
      <c r="D341" s="92">
        <v>273</v>
      </c>
      <c r="E341" s="260">
        <v>13</v>
      </c>
      <c r="F341" s="199"/>
      <c r="G341" s="199"/>
      <c r="H341" s="269">
        <v>5</v>
      </c>
      <c r="I341" s="93">
        <v>8</v>
      </c>
      <c r="J341" s="183">
        <v>11</v>
      </c>
      <c r="K341" s="94">
        <v>-3</v>
      </c>
      <c r="L341" s="95">
        <v>-819</v>
      </c>
      <c r="M341" s="96"/>
    </row>
    <row r="342" spans="1:13">
      <c r="A342" s="88">
        <v>2</v>
      </c>
      <c r="B342" s="90" t="s">
        <v>742</v>
      </c>
      <c r="C342" s="91" t="s">
        <v>743</v>
      </c>
      <c r="D342" s="92">
        <v>137.75</v>
      </c>
      <c r="E342" s="260">
        <v>6</v>
      </c>
      <c r="F342" s="199"/>
      <c r="G342" s="199"/>
      <c r="H342" s="269">
        <v>6</v>
      </c>
      <c r="I342" s="93">
        <v>0</v>
      </c>
      <c r="J342" s="183">
        <v>1</v>
      </c>
      <c r="K342" s="94">
        <v>-1</v>
      </c>
      <c r="L342" s="95">
        <v>-137.75</v>
      </c>
      <c r="M342" s="96"/>
    </row>
    <row r="343" spans="1:13">
      <c r="A343" s="88">
        <v>2</v>
      </c>
      <c r="B343" s="90" t="s">
        <v>756</v>
      </c>
      <c r="C343" s="91" t="s">
        <v>757</v>
      </c>
      <c r="D343" s="92">
        <v>121</v>
      </c>
      <c r="E343" s="260">
        <v>4</v>
      </c>
      <c r="F343" s="199"/>
      <c r="G343" s="199"/>
      <c r="H343" s="269"/>
      <c r="I343" s="93">
        <v>4</v>
      </c>
      <c r="J343" s="183">
        <v>15</v>
      </c>
      <c r="K343" s="94">
        <v>-11</v>
      </c>
      <c r="L343" s="95">
        <v>-1331</v>
      </c>
      <c r="M343" s="96"/>
    </row>
    <row r="344" spans="1:13">
      <c r="A344" s="88">
        <v>2</v>
      </c>
      <c r="B344" s="90" t="s">
        <v>758</v>
      </c>
      <c r="C344" s="91" t="s">
        <v>759</v>
      </c>
      <c r="D344" s="92">
        <v>153.5</v>
      </c>
      <c r="E344" s="260"/>
      <c r="F344" s="199"/>
      <c r="G344" s="199"/>
      <c r="H344" s="269"/>
      <c r="I344" s="93">
        <v>0</v>
      </c>
      <c r="J344" s="183">
        <v>13</v>
      </c>
      <c r="K344" s="94">
        <v>-13</v>
      </c>
      <c r="L344" s="95">
        <v>-1995.5</v>
      </c>
      <c r="M344" s="96"/>
    </row>
    <row r="345" spans="1:13">
      <c r="A345" s="88">
        <v>2</v>
      </c>
      <c r="B345" s="90" t="s">
        <v>760</v>
      </c>
      <c r="C345" s="91" t="s">
        <v>761</v>
      </c>
      <c r="D345" s="92">
        <v>117.5</v>
      </c>
      <c r="E345" s="260">
        <v>12</v>
      </c>
      <c r="F345" s="199"/>
      <c r="G345" s="199"/>
      <c r="H345" s="269"/>
      <c r="I345" s="93">
        <v>12</v>
      </c>
      <c r="J345" s="183">
        <v>72</v>
      </c>
      <c r="K345" s="94">
        <v>-60</v>
      </c>
      <c r="L345" s="95">
        <v>-7050</v>
      </c>
      <c r="M345" s="96"/>
    </row>
    <row r="346" spans="1:13">
      <c r="A346" s="88">
        <v>2</v>
      </c>
      <c r="B346" s="90" t="s">
        <v>764</v>
      </c>
      <c r="C346" s="91" t="s">
        <v>765</v>
      </c>
      <c r="D346" s="92">
        <v>160</v>
      </c>
      <c r="E346" s="260"/>
      <c r="F346" s="199"/>
      <c r="G346" s="199"/>
      <c r="H346" s="269"/>
      <c r="I346" s="93">
        <v>0</v>
      </c>
      <c r="J346" s="183">
        <v>12</v>
      </c>
      <c r="K346" s="94">
        <v>-12</v>
      </c>
      <c r="L346" s="95">
        <v>-1920</v>
      </c>
      <c r="M346" s="96"/>
    </row>
    <row r="347" spans="1:13">
      <c r="A347" s="88">
        <v>2</v>
      </c>
      <c r="B347" s="90" t="s">
        <v>766</v>
      </c>
      <c r="C347" s="91" t="s">
        <v>767</v>
      </c>
      <c r="D347" s="92">
        <v>121.5</v>
      </c>
      <c r="E347" s="260">
        <v>4</v>
      </c>
      <c r="F347" s="199"/>
      <c r="G347" s="199"/>
      <c r="H347" s="269"/>
      <c r="I347" s="93">
        <v>4</v>
      </c>
      <c r="J347" s="183">
        <v>27</v>
      </c>
      <c r="K347" s="94">
        <v>-23</v>
      </c>
      <c r="L347" s="95">
        <v>-2794.5</v>
      </c>
      <c r="M347" s="96"/>
    </row>
    <row r="348" spans="1:13">
      <c r="A348" s="88">
        <v>2</v>
      </c>
      <c r="B348" s="90" t="s">
        <v>770</v>
      </c>
      <c r="C348" s="91" t="s">
        <v>771</v>
      </c>
      <c r="D348" s="92">
        <v>164</v>
      </c>
      <c r="E348" s="260"/>
      <c r="F348" s="199"/>
      <c r="G348" s="199"/>
      <c r="H348" s="269"/>
      <c r="I348" s="93">
        <v>0</v>
      </c>
      <c r="J348" s="183">
        <v>24</v>
      </c>
      <c r="K348" s="94">
        <v>-24</v>
      </c>
      <c r="L348" s="95">
        <v>-3936</v>
      </c>
      <c r="M348" s="96"/>
    </row>
    <row r="349" spans="1:13" ht="30">
      <c r="A349" s="88">
        <v>2</v>
      </c>
      <c r="B349" s="90" t="s">
        <v>782</v>
      </c>
      <c r="C349" s="91" t="s">
        <v>783</v>
      </c>
      <c r="D349" s="92">
        <v>120.75</v>
      </c>
      <c r="E349" s="260">
        <v>2</v>
      </c>
      <c r="F349" s="199"/>
      <c r="G349" s="199"/>
      <c r="H349" s="269"/>
      <c r="I349" s="93">
        <v>2</v>
      </c>
      <c r="J349" s="183">
        <v>3</v>
      </c>
      <c r="K349" s="94">
        <v>-1</v>
      </c>
      <c r="L349" s="95">
        <v>-120.75</v>
      </c>
      <c r="M349" s="96"/>
    </row>
    <row r="350" spans="1:13">
      <c r="A350" s="88">
        <v>2</v>
      </c>
      <c r="B350" s="90" t="s">
        <v>784</v>
      </c>
      <c r="C350" s="91" t="s">
        <v>785</v>
      </c>
      <c r="D350" s="92">
        <v>249.83</v>
      </c>
      <c r="E350" s="260">
        <v>1</v>
      </c>
      <c r="F350" s="199"/>
      <c r="G350" s="199"/>
      <c r="H350" s="269">
        <v>1</v>
      </c>
      <c r="I350" s="93">
        <v>0</v>
      </c>
      <c r="J350" s="183">
        <v>7</v>
      </c>
      <c r="K350" s="94">
        <v>-7</v>
      </c>
      <c r="L350" s="95">
        <v>-1748.8100000000002</v>
      </c>
      <c r="M350" s="96"/>
    </row>
    <row r="351" spans="1:13">
      <c r="A351" s="88">
        <v>3</v>
      </c>
      <c r="B351" s="90" t="s">
        <v>797</v>
      </c>
      <c r="C351" s="91" t="s">
        <v>798</v>
      </c>
      <c r="D351" s="92">
        <v>6.31</v>
      </c>
      <c r="E351" s="260">
        <v>22</v>
      </c>
      <c r="F351" s="199"/>
      <c r="G351" s="199"/>
      <c r="H351" s="269">
        <v>16</v>
      </c>
      <c r="I351" s="93">
        <v>6</v>
      </c>
      <c r="J351" s="183">
        <v>22</v>
      </c>
      <c r="K351" s="94">
        <v>-16</v>
      </c>
      <c r="L351" s="95">
        <v>-100.96</v>
      </c>
      <c r="M351" s="279" t="s">
        <v>5224</v>
      </c>
    </row>
    <row r="352" spans="1:13">
      <c r="A352" s="88">
        <v>3</v>
      </c>
      <c r="B352" s="90" t="s">
        <v>801</v>
      </c>
      <c r="C352" s="91" t="s">
        <v>802</v>
      </c>
      <c r="D352" s="92">
        <v>31.75</v>
      </c>
      <c r="E352" s="260">
        <v>2</v>
      </c>
      <c r="F352" s="199"/>
      <c r="G352" s="199"/>
      <c r="H352" s="269"/>
      <c r="I352" s="93">
        <v>2</v>
      </c>
      <c r="J352" s="183">
        <v>9</v>
      </c>
      <c r="K352" s="94">
        <v>-7</v>
      </c>
      <c r="L352" s="95">
        <v>-222.25</v>
      </c>
      <c r="M352" s="102">
        <v>45857</v>
      </c>
    </row>
    <row r="353" spans="1:13">
      <c r="A353" s="88">
        <v>3</v>
      </c>
      <c r="B353" s="90" t="s">
        <v>803</v>
      </c>
      <c r="C353" s="91" t="s">
        <v>804</v>
      </c>
      <c r="D353" s="92">
        <v>37.799999999999997</v>
      </c>
      <c r="E353" s="260">
        <v>4</v>
      </c>
      <c r="F353" s="199"/>
      <c r="G353" s="199"/>
      <c r="H353" s="269">
        <v>3</v>
      </c>
      <c r="I353" s="93">
        <v>1</v>
      </c>
      <c r="J353" s="183">
        <v>4</v>
      </c>
      <c r="K353" s="94">
        <v>-3</v>
      </c>
      <c r="L353" s="95">
        <v>-113.39999999999999</v>
      </c>
      <c r="M353" s="96"/>
    </row>
    <row r="354" spans="1:13">
      <c r="A354" s="88">
        <v>3</v>
      </c>
      <c r="B354" s="90" t="s">
        <v>805</v>
      </c>
      <c r="C354" s="91" t="s">
        <v>806</v>
      </c>
      <c r="D354" s="92">
        <v>57.25</v>
      </c>
      <c r="E354" s="260">
        <v>5</v>
      </c>
      <c r="F354" s="199"/>
      <c r="G354" s="199"/>
      <c r="H354" s="269">
        <v>2</v>
      </c>
      <c r="I354" s="93">
        <v>3</v>
      </c>
      <c r="J354" s="183">
        <v>4</v>
      </c>
      <c r="K354" s="94">
        <v>-1</v>
      </c>
      <c r="L354" s="95">
        <v>-57.25</v>
      </c>
      <c r="M354" s="96"/>
    </row>
    <row r="355" spans="1:13" ht="30">
      <c r="A355" s="88">
        <v>3</v>
      </c>
      <c r="B355" s="90" t="s">
        <v>809</v>
      </c>
      <c r="C355" s="91" t="s">
        <v>810</v>
      </c>
      <c r="D355" s="92">
        <v>44.8</v>
      </c>
      <c r="E355" s="260">
        <v>12</v>
      </c>
      <c r="F355" s="199">
        <v>10</v>
      </c>
      <c r="G355" s="199"/>
      <c r="H355" s="269">
        <v>6</v>
      </c>
      <c r="I355" s="93">
        <v>16</v>
      </c>
      <c r="J355" s="183">
        <v>17</v>
      </c>
      <c r="K355" s="94">
        <v>-1</v>
      </c>
      <c r="L355" s="95">
        <v>-44.799999999999955</v>
      </c>
      <c r="M355" s="278" t="s">
        <v>5195</v>
      </c>
    </row>
    <row r="356" spans="1:13" ht="30">
      <c r="A356" s="88">
        <v>3</v>
      </c>
      <c r="B356" s="90" t="s">
        <v>811</v>
      </c>
      <c r="C356" s="91" t="s">
        <v>812</v>
      </c>
      <c r="D356" s="92">
        <v>44.8</v>
      </c>
      <c r="E356" s="260">
        <v>8</v>
      </c>
      <c r="F356" s="199"/>
      <c r="G356" s="199"/>
      <c r="H356" s="269"/>
      <c r="I356" s="93">
        <v>8</v>
      </c>
      <c r="J356" s="183">
        <v>9</v>
      </c>
      <c r="K356" s="94">
        <v>-1</v>
      </c>
      <c r="L356" s="95">
        <v>-44.800000000000011</v>
      </c>
      <c r="M356" s="96"/>
    </row>
    <row r="357" spans="1:13">
      <c r="A357" s="88">
        <v>3</v>
      </c>
      <c r="B357" s="90" t="s">
        <v>819</v>
      </c>
      <c r="C357" s="91" t="s">
        <v>820</v>
      </c>
      <c r="D357" s="92">
        <v>35</v>
      </c>
      <c r="E357" s="260"/>
      <c r="F357" s="199"/>
      <c r="G357" s="199"/>
      <c r="H357" s="269"/>
      <c r="I357" s="93">
        <v>0</v>
      </c>
      <c r="J357" s="183">
        <v>8</v>
      </c>
      <c r="K357" s="94">
        <v>-8</v>
      </c>
      <c r="L357" s="95">
        <v>-280</v>
      </c>
      <c r="M357" s="96" t="s">
        <v>821</v>
      </c>
    </row>
    <row r="358" spans="1:13" ht="30">
      <c r="A358" s="88">
        <v>3</v>
      </c>
      <c r="B358" s="90" t="s">
        <v>830</v>
      </c>
      <c r="C358" s="91" t="s">
        <v>831</v>
      </c>
      <c r="D358" s="92">
        <v>85.9</v>
      </c>
      <c r="E358" s="260"/>
      <c r="F358" s="199"/>
      <c r="G358" s="199"/>
      <c r="H358" s="269">
        <v>3</v>
      </c>
      <c r="I358" s="93">
        <v>-3</v>
      </c>
      <c r="J358" s="183"/>
      <c r="K358" s="94">
        <v>-3</v>
      </c>
      <c r="L358" s="95">
        <v>-257.70000000000005</v>
      </c>
      <c r="M358" s="278" t="s">
        <v>5188</v>
      </c>
    </row>
    <row r="359" spans="1:13">
      <c r="A359" s="88">
        <v>3</v>
      </c>
      <c r="B359" s="90" t="s">
        <v>838</v>
      </c>
      <c r="C359" s="91" t="s">
        <v>839</v>
      </c>
      <c r="D359" s="92">
        <v>68.540000000000006</v>
      </c>
      <c r="E359" s="260">
        <v>1</v>
      </c>
      <c r="F359" s="199">
        <v>6</v>
      </c>
      <c r="G359" s="199">
        <v>2</v>
      </c>
      <c r="H359" s="269"/>
      <c r="I359" s="93">
        <v>5</v>
      </c>
      <c r="J359" s="183">
        <v>6</v>
      </c>
      <c r="K359" s="94">
        <v>-1</v>
      </c>
      <c r="L359" s="95">
        <v>-68.539999999999964</v>
      </c>
      <c r="M359" s="96"/>
    </row>
    <row r="360" spans="1:13" ht="30">
      <c r="A360" s="88">
        <v>3</v>
      </c>
      <c r="B360" s="90" t="s">
        <v>840</v>
      </c>
      <c r="C360" s="91" t="s">
        <v>841</v>
      </c>
      <c r="D360" s="92">
        <v>20.68</v>
      </c>
      <c r="E360" s="260">
        <v>3</v>
      </c>
      <c r="F360" s="199"/>
      <c r="G360" s="199"/>
      <c r="H360" s="269">
        <v>5</v>
      </c>
      <c r="I360" s="93">
        <v>-2</v>
      </c>
      <c r="J360" s="183"/>
      <c r="K360" s="94">
        <v>-2</v>
      </c>
      <c r="L360" s="95">
        <v>-41.36</v>
      </c>
      <c r="M360" s="278" t="s">
        <v>5212</v>
      </c>
    </row>
    <row r="361" spans="1:13" ht="30">
      <c r="A361" s="88">
        <v>3</v>
      </c>
      <c r="B361" s="90" t="s">
        <v>844</v>
      </c>
      <c r="C361" s="91" t="s">
        <v>845</v>
      </c>
      <c r="D361" s="92">
        <v>8.5299999999999994</v>
      </c>
      <c r="E361" s="260">
        <v>15</v>
      </c>
      <c r="F361" s="199"/>
      <c r="G361" s="199"/>
      <c r="H361" s="269">
        <v>12</v>
      </c>
      <c r="I361" s="93">
        <v>3</v>
      </c>
      <c r="J361" s="183">
        <v>5</v>
      </c>
      <c r="K361" s="94">
        <v>-2</v>
      </c>
      <c r="L361" s="95">
        <v>-17.060000000000002</v>
      </c>
      <c r="M361" s="96"/>
    </row>
    <row r="362" spans="1:13" ht="30">
      <c r="A362" s="88">
        <v>3</v>
      </c>
      <c r="B362" s="90" t="s">
        <v>848</v>
      </c>
      <c r="C362" s="91" t="s">
        <v>849</v>
      </c>
      <c r="D362" s="92">
        <v>7.72</v>
      </c>
      <c r="E362" s="260">
        <v>12</v>
      </c>
      <c r="F362" s="199"/>
      <c r="G362" s="199"/>
      <c r="H362" s="269">
        <v>7</v>
      </c>
      <c r="I362" s="93">
        <v>5</v>
      </c>
      <c r="J362" s="183">
        <v>16</v>
      </c>
      <c r="K362" s="94">
        <v>-11</v>
      </c>
      <c r="L362" s="95">
        <v>-84.919999999999987</v>
      </c>
      <c r="M362" s="102">
        <v>45702</v>
      </c>
    </row>
    <row r="363" spans="1:13">
      <c r="A363" s="88">
        <v>3</v>
      </c>
      <c r="B363" s="90" t="s">
        <v>850</v>
      </c>
      <c r="C363" s="91" t="s">
        <v>851</v>
      </c>
      <c r="D363" s="92">
        <v>56.5</v>
      </c>
      <c r="E363" s="260">
        <v>3</v>
      </c>
      <c r="F363" s="199"/>
      <c r="G363" s="199"/>
      <c r="H363" s="269">
        <v>6</v>
      </c>
      <c r="I363" s="93">
        <v>-3</v>
      </c>
      <c r="J363" s="183">
        <v>2</v>
      </c>
      <c r="K363" s="94">
        <v>-5</v>
      </c>
      <c r="L363" s="95">
        <v>-282.5</v>
      </c>
      <c r="M363" s="96"/>
    </row>
    <row r="364" spans="1:13" ht="30">
      <c r="A364" s="88">
        <v>3</v>
      </c>
      <c r="B364" s="90" t="s">
        <v>876</v>
      </c>
      <c r="C364" s="91" t="s">
        <v>877</v>
      </c>
      <c r="D364" s="92">
        <v>154.55000000000001</v>
      </c>
      <c r="E364" s="260">
        <v>6</v>
      </c>
      <c r="F364" s="199"/>
      <c r="G364" s="199">
        <v>3</v>
      </c>
      <c r="H364" s="269">
        <v>1</v>
      </c>
      <c r="I364" s="93">
        <v>2</v>
      </c>
      <c r="J364" s="183">
        <v>3</v>
      </c>
      <c r="K364" s="94">
        <v>-1</v>
      </c>
      <c r="L364" s="95">
        <v>-154.55000000000001</v>
      </c>
      <c r="M364" s="96"/>
    </row>
    <row r="365" spans="1:13">
      <c r="A365" s="88">
        <v>3</v>
      </c>
      <c r="B365" s="90" t="s">
        <v>882</v>
      </c>
      <c r="C365" s="91" t="s">
        <v>883</v>
      </c>
      <c r="D365" s="92">
        <v>83.65</v>
      </c>
      <c r="E365" s="260"/>
      <c r="F365" s="199"/>
      <c r="G365" s="199"/>
      <c r="H365" s="269"/>
      <c r="I365" s="93">
        <v>0</v>
      </c>
      <c r="J365" s="183">
        <v>2</v>
      </c>
      <c r="K365" s="94">
        <v>-2</v>
      </c>
      <c r="L365" s="95">
        <v>-167.3</v>
      </c>
      <c r="M365" s="96"/>
    </row>
    <row r="366" spans="1:13" ht="30">
      <c r="A366" s="88">
        <v>3</v>
      </c>
      <c r="B366" s="90" t="s">
        <v>902</v>
      </c>
      <c r="C366" s="91" t="s">
        <v>903</v>
      </c>
      <c r="D366" s="92">
        <v>74.55</v>
      </c>
      <c r="E366" s="260"/>
      <c r="F366" s="199"/>
      <c r="G366" s="199"/>
      <c r="H366" s="269">
        <v>2</v>
      </c>
      <c r="I366" s="93">
        <v>-2</v>
      </c>
      <c r="J366" s="183"/>
      <c r="K366" s="94">
        <v>-2</v>
      </c>
      <c r="L366" s="95">
        <v>-149.1</v>
      </c>
      <c r="M366" s="96"/>
    </row>
    <row r="367" spans="1:13" ht="30">
      <c r="A367" s="88">
        <v>3</v>
      </c>
      <c r="B367" s="90" t="s">
        <v>941</v>
      </c>
      <c r="C367" s="91" t="s">
        <v>942</v>
      </c>
      <c r="D367" s="92">
        <v>56.71</v>
      </c>
      <c r="E367" s="260"/>
      <c r="F367" s="199"/>
      <c r="G367" s="199"/>
      <c r="H367" s="269">
        <v>3</v>
      </c>
      <c r="I367" s="93">
        <v>-3</v>
      </c>
      <c r="J367" s="183"/>
      <c r="K367" s="94">
        <v>-3</v>
      </c>
      <c r="L367" s="95">
        <v>-170.13</v>
      </c>
      <c r="M367" s="278" t="s">
        <v>5188</v>
      </c>
    </row>
    <row r="368" spans="1:13">
      <c r="A368" s="88">
        <v>3</v>
      </c>
      <c r="B368" s="90" t="s">
        <v>943</v>
      </c>
      <c r="C368" s="91" t="s">
        <v>944</v>
      </c>
      <c r="D368" s="92">
        <v>40.06</v>
      </c>
      <c r="E368" s="260">
        <v>6</v>
      </c>
      <c r="F368" s="199"/>
      <c r="G368" s="199"/>
      <c r="H368" s="269">
        <v>1</v>
      </c>
      <c r="I368" s="93">
        <v>5</v>
      </c>
      <c r="J368" s="183">
        <v>6</v>
      </c>
      <c r="K368" s="94">
        <v>-1</v>
      </c>
      <c r="L368" s="95">
        <v>-40.06</v>
      </c>
      <c r="M368" s="96"/>
    </row>
    <row r="369" spans="1:13">
      <c r="A369" s="88">
        <v>3</v>
      </c>
      <c r="B369" s="90" t="s">
        <v>970</v>
      </c>
      <c r="C369" s="91" t="s">
        <v>971</v>
      </c>
      <c r="D369" s="92">
        <v>6.8</v>
      </c>
      <c r="E369" s="260"/>
      <c r="F369" s="199"/>
      <c r="G369" s="199"/>
      <c r="H369" s="269">
        <v>21</v>
      </c>
      <c r="I369" s="93">
        <v>-21</v>
      </c>
      <c r="J369" s="183"/>
      <c r="K369" s="94">
        <v>-21</v>
      </c>
      <c r="L369" s="95">
        <v>-142.79999999999998</v>
      </c>
      <c r="M369" s="278" t="s">
        <v>5189</v>
      </c>
    </row>
    <row r="370" spans="1:13" ht="30">
      <c r="A370" s="88">
        <v>3</v>
      </c>
      <c r="B370" s="90" t="s">
        <v>972</v>
      </c>
      <c r="C370" s="91" t="s">
        <v>973</v>
      </c>
      <c r="D370" s="92">
        <v>6.8</v>
      </c>
      <c r="E370" s="260">
        <v>3</v>
      </c>
      <c r="F370" s="199"/>
      <c r="G370" s="199"/>
      <c r="H370" s="269">
        <v>13</v>
      </c>
      <c r="I370" s="93">
        <v>-10</v>
      </c>
      <c r="J370" s="183"/>
      <c r="K370" s="94">
        <v>-10</v>
      </c>
      <c r="L370" s="95">
        <v>-68</v>
      </c>
      <c r="M370" s="278" t="s">
        <v>5190</v>
      </c>
    </row>
    <row r="371" spans="1:13">
      <c r="A371" s="88">
        <v>3</v>
      </c>
      <c r="B371" s="90" t="s">
        <v>984</v>
      </c>
      <c r="C371" s="91" t="s">
        <v>985</v>
      </c>
      <c r="D371" s="92">
        <v>7.48</v>
      </c>
      <c r="E371" s="260">
        <v>12</v>
      </c>
      <c r="F371" s="199">
        <v>25</v>
      </c>
      <c r="G371" s="199"/>
      <c r="H371" s="269">
        <v>9</v>
      </c>
      <c r="I371" s="93">
        <v>28</v>
      </c>
      <c r="J371" s="183">
        <v>29</v>
      </c>
      <c r="K371" s="94">
        <v>-1</v>
      </c>
      <c r="L371" s="95">
        <v>-7.4800000000000182</v>
      </c>
      <c r="M371" s="278" t="s">
        <v>5197</v>
      </c>
    </row>
    <row r="372" spans="1:13">
      <c r="A372" s="88">
        <v>3</v>
      </c>
      <c r="B372" s="90" t="s">
        <v>1013</v>
      </c>
      <c r="C372" s="91" t="s">
        <v>1014</v>
      </c>
      <c r="D372" s="92">
        <v>58.8</v>
      </c>
      <c r="E372" s="260">
        <v>4</v>
      </c>
      <c r="F372" s="199">
        <v>6</v>
      </c>
      <c r="G372" s="199"/>
      <c r="H372" s="269">
        <v>1</v>
      </c>
      <c r="I372" s="93">
        <v>9</v>
      </c>
      <c r="J372" s="183">
        <v>10</v>
      </c>
      <c r="K372" s="94">
        <v>-1</v>
      </c>
      <c r="L372" s="95">
        <v>-58.800000000000068</v>
      </c>
      <c r="M372" s="96"/>
    </row>
    <row r="373" spans="1:13">
      <c r="A373" s="88">
        <v>3</v>
      </c>
      <c r="B373" s="90" t="s">
        <v>1036</v>
      </c>
      <c r="C373" s="91" t="s">
        <v>1037</v>
      </c>
      <c r="D373" s="92">
        <v>70.91</v>
      </c>
      <c r="E373" s="260">
        <v>5</v>
      </c>
      <c r="F373" s="199"/>
      <c r="G373" s="199">
        <v>2</v>
      </c>
      <c r="H373" s="269"/>
      <c r="I373" s="93">
        <v>3</v>
      </c>
      <c r="J373" s="183">
        <v>7</v>
      </c>
      <c r="K373" s="94">
        <v>-4</v>
      </c>
      <c r="L373" s="95">
        <v>-283.64</v>
      </c>
      <c r="M373" s="96" t="s">
        <v>1038</v>
      </c>
    </row>
    <row r="374" spans="1:13">
      <c r="A374" s="88">
        <v>3</v>
      </c>
      <c r="B374" s="90" t="s">
        <v>1047</v>
      </c>
      <c r="C374" s="91" t="s">
        <v>1048</v>
      </c>
      <c r="D374" s="92">
        <v>59.51</v>
      </c>
      <c r="E374" s="260"/>
      <c r="F374" s="199"/>
      <c r="G374" s="199"/>
      <c r="H374" s="269">
        <v>1</v>
      </c>
      <c r="I374" s="93">
        <v>-1</v>
      </c>
      <c r="J374" s="183"/>
      <c r="K374" s="94">
        <v>-1</v>
      </c>
      <c r="L374" s="95">
        <v>-59.51</v>
      </c>
      <c r="M374" s="278" t="s">
        <v>5183</v>
      </c>
    </row>
    <row r="375" spans="1:13" ht="30">
      <c r="A375" s="88">
        <v>3</v>
      </c>
      <c r="B375" s="90" t="s">
        <v>1049</v>
      </c>
      <c r="C375" s="91" t="s">
        <v>1050</v>
      </c>
      <c r="D375" s="92">
        <v>59.51</v>
      </c>
      <c r="E375" s="260">
        <v>6</v>
      </c>
      <c r="F375" s="199">
        <v>6</v>
      </c>
      <c r="G375" s="199"/>
      <c r="H375" s="269">
        <v>8</v>
      </c>
      <c r="I375" s="93">
        <v>4</v>
      </c>
      <c r="J375" s="183">
        <v>8</v>
      </c>
      <c r="K375" s="94">
        <v>-4</v>
      </c>
      <c r="L375" s="95">
        <v>-238.04</v>
      </c>
      <c r="M375" s="278" t="s">
        <v>5184</v>
      </c>
    </row>
    <row r="376" spans="1:13">
      <c r="A376" s="88">
        <v>3</v>
      </c>
      <c r="B376" s="90" t="s">
        <v>1071</v>
      </c>
      <c r="C376" s="91" t="s">
        <v>1072</v>
      </c>
      <c r="D376" s="92">
        <v>9.92</v>
      </c>
      <c r="E376" s="260">
        <v>5</v>
      </c>
      <c r="F376" s="199"/>
      <c r="G376" s="199"/>
      <c r="H376" s="269"/>
      <c r="I376" s="93">
        <v>5</v>
      </c>
      <c r="J376" s="183">
        <v>16</v>
      </c>
      <c r="K376" s="94">
        <v>-11</v>
      </c>
      <c r="L376" s="95">
        <v>-109.12</v>
      </c>
      <c r="M376" s="102">
        <v>45797</v>
      </c>
    </row>
    <row r="377" spans="1:13">
      <c r="A377" s="88">
        <v>3</v>
      </c>
      <c r="B377" s="90" t="s">
        <v>1086</v>
      </c>
      <c r="C377" s="91" t="s">
        <v>1087</v>
      </c>
      <c r="D377" s="92">
        <v>56.25</v>
      </c>
      <c r="E377" s="260">
        <v>35</v>
      </c>
      <c r="F377" s="199"/>
      <c r="G377" s="199"/>
      <c r="H377" s="269">
        <v>7</v>
      </c>
      <c r="I377" s="93">
        <v>28</v>
      </c>
      <c r="J377" s="183">
        <v>32</v>
      </c>
      <c r="K377" s="94">
        <v>-4</v>
      </c>
      <c r="L377" s="95">
        <v>-225</v>
      </c>
      <c r="M377" s="96"/>
    </row>
    <row r="378" spans="1:13" ht="30">
      <c r="A378" s="88">
        <v>3</v>
      </c>
      <c r="B378" s="90" t="s">
        <v>1111</v>
      </c>
      <c r="C378" s="91" t="s">
        <v>1112</v>
      </c>
      <c r="D378" s="92">
        <v>49.1</v>
      </c>
      <c r="E378" s="260">
        <v>2</v>
      </c>
      <c r="F378" s="199"/>
      <c r="G378" s="199"/>
      <c r="H378" s="269"/>
      <c r="I378" s="93">
        <v>2</v>
      </c>
      <c r="J378" s="183">
        <v>3</v>
      </c>
      <c r="K378" s="94">
        <v>-1</v>
      </c>
      <c r="L378" s="95">
        <v>-49.100000000000009</v>
      </c>
      <c r="M378" s="96"/>
    </row>
    <row r="379" spans="1:13" ht="30">
      <c r="A379" s="88">
        <v>4</v>
      </c>
      <c r="B379" s="90" t="s">
        <v>1125</v>
      </c>
      <c r="C379" s="91" t="s">
        <v>1126</v>
      </c>
      <c r="D379" s="92">
        <v>36.11</v>
      </c>
      <c r="E379" s="260">
        <v>3</v>
      </c>
      <c r="F379" s="199"/>
      <c r="G379" s="199"/>
      <c r="H379" s="269">
        <v>4</v>
      </c>
      <c r="I379" s="93">
        <v>-1</v>
      </c>
      <c r="J379" s="183">
        <v>2</v>
      </c>
      <c r="K379" s="94">
        <v>-3</v>
      </c>
      <c r="L379" s="95">
        <v>-108.33</v>
      </c>
      <c r="M379" s="278" t="s">
        <v>5231</v>
      </c>
    </row>
    <row r="380" spans="1:13" ht="30">
      <c r="A380" s="88">
        <v>4</v>
      </c>
      <c r="B380" s="90" t="s">
        <v>1127</v>
      </c>
      <c r="C380" s="91" t="s">
        <v>1128</v>
      </c>
      <c r="D380" s="92">
        <v>7.28</v>
      </c>
      <c r="E380" s="260"/>
      <c r="F380" s="199"/>
      <c r="G380" s="199"/>
      <c r="H380" s="269">
        <v>20</v>
      </c>
      <c r="I380" s="93">
        <v>-20</v>
      </c>
      <c r="J380" s="183"/>
      <c r="K380" s="94">
        <v>-20</v>
      </c>
      <c r="L380" s="95">
        <v>-145.6</v>
      </c>
      <c r="M380" s="278" t="s">
        <v>5220</v>
      </c>
    </row>
    <row r="381" spans="1:13" ht="30">
      <c r="A381" s="88">
        <v>4</v>
      </c>
      <c r="B381" s="90" t="s">
        <v>1129</v>
      </c>
      <c r="C381" s="91" t="s">
        <v>1130</v>
      </c>
      <c r="D381" s="92">
        <v>8.3800000000000008</v>
      </c>
      <c r="E381" s="260">
        <v>103</v>
      </c>
      <c r="F381" s="199"/>
      <c r="G381" s="199"/>
      <c r="H381" s="269">
        <v>2</v>
      </c>
      <c r="I381" s="93">
        <v>101</v>
      </c>
      <c r="J381" s="183">
        <v>102</v>
      </c>
      <c r="K381" s="94">
        <v>-1</v>
      </c>
      <c r="L381" s="95">
        <v>-8.3799999999999955</v>
      </c>
      <c r="M381" s="96"/>
    </row>
    <row r="382" spans="1:13" ht="45">
      <c r="A382" s="88">
        <v>4</v>
      </c>
      <c r="B382" s="90" t="s">
        <v>1131</v>
      </c>
      <c r="C382" s="91" t="s">
        <v>1132</v>
      </c>
      <c r="D382" s="92">
        <v>36</v>
      </c>
      <c r="E382" s="260"/>
      <c r="F382" s="199"/>
      <c r="G382" s="199"/>
      <c r="H382" s="269"/>
      <c r="I382" s="93">
        <v>0</v>
      </c>
      <c r="J382" s="183">
        <v>1</v>
      </c>
      <c r="K382" s="94">
        <v>-1</v>
      </c>
      <c r="L382" s="95">
        <v>-36</v>
      </c>
      <c r="M382" s="96"/>
    </row>
    <row r="383" spans="1:13" ht="30">
      <c r="A383" s="88">
        <v>4</v>
      </c>
      <c r="B383" s="90" t="s">
        <v>1135</v>
      </c>
      <c r="C383" s="91" t="s">
        <v>1136</v>
      </c>
      <c r="D383" s="92">
        <v>36</v>
      </c>
      <c r="E383" s="260"/>
      <c r="F383" s="199"/>
      <c r="G383" s="199"/>
      <c r="H383" s="269"/>
      <c r="I383" s="93">
        <v>0</v>
      </c>
      <c r="J383" s="183">
        <v>4</v>
      </c>
      <c r="K383" s="94">
        <v>-4</v>
      </c>
      <c r="L383" s="95">
        <v>-144</v>
      </c>
      <c r="M383" s="96"/>
    </row>
    <row r="384" spans="1:13">
      <c r="A384" s="88">
        <v>4</v>
      </c>
      <c r="B384" s="90" t="s">
        <v>1141</v>
      </c>
      <c r="C384" s="91" t="s">
        <v>1142</v>
      </c>
      <c r="D384" s="92">
        <v>14.65</v>
      </c>
      <c r="E384" s="260">
        <v>66</v>
      </c>
      <c r="F384" s="199"/>
      <c r="G384" s="199"/>
      <c r="H384" s="269">
        <v>6</v>
      </c>
      <c r="I384" s="93">
        <v>60</v>
      </c>
      <c r="J384" s="183">
        <v>120</v>
      </c>
      <c r="K384" s="94">
        <v>-60</v>
      </c>
      <c r="L384" s="95">
        <v>-879</v>
      </c>
      <c r="M384" s="278" t="s">
        <v>5209</v>
      </c>
    </row>
    <row r="385" spans="1:13" ht="30">
      <c r="A385" s="88">
        <v>4</v>
      </c>
      <c r="B385" s="90" t="s">
        <v>1152</v>
      </c>
      <c r="C385" s="91" t="s">
        <v>1153</v>
      </c>
      <c r="D385" s="92">
        <v>38</v>
      </c>
      <c r="E385" s="260">
        <v>18</v>
      </c>
      <c r="F385" s="199"/>
      <c r="G385" s="199">
        <v>16</v>
      </c>
      <c r="H385" s="269"/>
      <c r="I385" s="93">
        <v>2</v>
      </c>
      <c r="J385" s="183">
        <v>17</v>
      </c>
      <c r="K385" s="94">
        <v>-15</v>
      </c>
      <c r="L385" s="95">
        <v>-570</v>
      </c>
      <c r="M385" s="96" t="s">
        <v>1154</v>
      </c>
    </row>
    <row r="386" spans="1:13" ht="30">
      <c r="A386" s="88">
        <v>4</v>
      </c>
      <c r="B386" s="90" t="s">
        <v>1155</v>
      </c>
      <c r="C386" s="91" t="s">
        <v>1156</v>
      </c>
      <c r="D386" s="92">
        <v>38</v>
      </c>
      <c r="E386" s="260">
        <v>14</v>
      </c>
      <c r="F386" s="199"/>
      <c r="G386" s="199">
        <v>11</v>
      </c>
      <c r="H386" s="269"/>
      <c r="I386" s="93">
        <v>3</v>
      </c>
      <c r="J386" s="183">
        <v>12</v>
      </c>
      <c r="K386" s="94">
        <v>-9</v>
      </c>
      <c r="L386" s="95">
        <v>-342</v>
      </c>
      <c r="M386" s="96" t="s">
        <v>1157</v>
      </c>
    </row>
    <row r="387" spans="1:13">
      <c r="A387" s="88">
        <v>4</v>
      </c>
      <c r="B387" s="90" t="s">
        <v>1170</v>
      </c>
      <c r="C387" s="91" t="s">
        <v>1171</v>
      </c>
      <c r="D387" s="92">
        <v>22.19</v>
      </c>
      <c r="E387" s="260">
        <v>17</v>
      </c>
      <c r="F387" s="199"/>
      <c r="G387" s="199"/>
      <c r="H387" s="269">
        <v>2</v>
      </c>
      <c r="I387" s="93">
        <v>15</v>
      </c>
      <c r="J387" s="183">
        <v>16</v>
      </c>
      <c r="K387" s="94">
        <v>-1</v>
      </c>
      <c r="L387" s="95">
        <v>-22.189999999999998</v>
      </c>
      <c r="M387" s="96"/>
    </row>
    <row r="388" spans="1:13">
      <c r="A388" s="88">
        <v>4</v>
      </c>
      <c r="B388" s="90" t="s">
        <v>1200</v>
      </c>
      <c r="C388" s="91" t="s">
        <v>1201</v>
      </c>
      <c r="D388" s="92">
        <v>15.5</v>
      </c>
      <c r="E388" s="260">
        <v>1</v>
      </c>
      <c r="F388" s="199"/>
      <c r="G388" s="199"/>
      <c r="H388" s="269">
        <v>1</v>
      </c>
      <c r="I388" s="93">
        <v>0</v>
      </c>
      <c r="J388" s="183">
        <v>5</v>
      </c>
      <c r="K388" s="94">
        <v>-5</v>
      </c>
      <c r="L388" s="95">
        <v>-77.5</v>
      </c>
      <c r="M388" s="96"/>
    </row>
    <row r="389" spans="1:13">
      <c r="A389" s="88">
        <v>4</v>
      </c>
      <c r="B389" s="90" t="s">
        <v>1216</v>
      </c>
      <c r="C389" s="91" t="s">
        <v>1217</v>
      </c>
      <c r="D389" s="92">
        <v>38</v>
      </c>
      <c r="E389" s="260">
        <v>11</v>
      </c>
      <c r="F389" s="199"/>
      <c r="G389" s="199">
        <v>8</v>
      </c>
      <c r="H389" s="269">
        <v>2</v>
      </c>
      <c r="I389" s="93">
        <v>1</v>
      </c>
      <c r="J389" s="183">
        <v>12</v>
      </c>
      <c r="K389" s="94">
        <v>-11</v>
      </c>
      <c r="L389" s="95">
        <v>-418</v>
      </c>
      <c r="M389" s="96" t="s">
        <v>1218</v>
      </c>
    </row>
    <row r="390" spans="1:13" ht="30">
      <c r="A390" s="88">
        <v>4</v>
      </c>
      <c r="B390" s="90" t="s">
        <v>1219</v>
      </c>
      <c r="C390" s="91" t="s">
        <v>1220</v>
      </c>
      <c r="D390" s="92">
        <v>38</v>
      </c>
      <c r="E390" s="260">
        <v>11</v>
      </c>
      <c r="F390" s="199"/>
      <c r="G390" s="199">
        <v>8</v>
      </c>
      <c r="H390" s="269">
        <v>2</v>
      </c>
      <c r="I390" s="93">
        <v>1</v>
      </c>
      <c r="J390" s="183">
        <v>8</v>
      </c>
      <c r="K390" s="94">
        <v>-7</v>
      </c>
      <c r="L390" s="95">
        <v>-266</v>
      </c>
      <c r="M390" s="96" t="s">
        <v>1221</v>
      </c>
    </row>
    <row r="391" spans="1:13">
      <c r="A391" s="88">
        <v>4</v>
      </c>
      <c r="B391" s="90" t="s">
        <v>1225</v>
      </c>
      <c r="C391" s="91" t="s">
        <v>1226</v>
      </c>
      <c r="D391" s="92">
        <v>38</v>
      </c>
      <c r="E391" s="260">
        <v>1</v>
      </c>
      <c r="F391" s="199"/>
      <c r="G391" s="199">
        <v>1</v>
      </c>
      <c r="H391" s="269"/>
      <c r="I391" s="93">
        <v>0</v>
      </c>
      <c r="J391" s="183">
        <v>1</v>
      </c>
      <c r="K391" s="94">
        <v>-1</v>
      </c>
      <c r="L391" s="95">
        <v>-38</v>
      </c>
      <c r="M391" s="102">
        <v>45427</v>
      </c>
    </row>
    <row r="392" spans="1:13">
      <c r="A392" s="88">
        <v>4</v>
      </c>
      <c r="B392" s="90" t="s">
        <v>1232</v>
      </c>
      <c r="C392" s="91" t="s">
        <v>1233</v>
      </c>
      <c r="D392" s="92">
        <v>38</v>
      </c>
      <c r="E392" s="260"/>
      <c r="F392" s="199"/>
      <c r="G392" s="199"/>
      <c r="H392" s="269">
        <v>3</v>
      </c>
      <c r="I392" s="93">
        <v>-3</v>
      </c>
      <c r="J392" s="183"/>
      <c r="K392" s="94">
        <v>-3</v>
      </c>
      <c r="L392" s="95">
        <v>-114</v>
      </c>
      <c r="M392" s="96"/>
    </row>
    <row r="393" spans="1:13">
      <c r="A393" s="88">
        <v>4</v>
      </c>
      <c r="B393" s="90" t="s">
        <v>1265</v>
      </c>
      <c r="C393" s="91" t="s">
        <v>1266</v>
      </c>
      <c r="D393" s="92">
        <v>37</v>
      </c>
      <c r="E393" s="260">
        <v>4</v>
      </c>
      <c r="F393" s="199"/>
      <c r="G393" s="199">
        <v>1</v>
      </c>
      <c r="H393" s="269"/>
      <c r="I393" s="93">
        <v>3</v>
      </c>
      <c r="J393" s="183">
        <v>4</v>
      </c>
      <c r="K393" s="94">
        <v>-1</v>
      </c>
      <c r="L393" s="95">
        <v>-37</v>
      </c>
      <c r="M393" s="96"/>
    </row>
    <row r="394" spans="1:13" ht="30">
      <c r="A394" s="88">
        <v>4</v>
      </c>
      <c r="B394" s="90" t="s">
        <v>1267</v>
      </c>
      <c r="C394" s="91" t="s">
        <v>1268</v>
      </c>
      <c r="D394" s="92">
        <v>102.9</v>
      </c>
      <c r="E394" s="260"/>
      <c r="F394" s="199"/>
      <c r="G394" s="199"/>
      <c r="H394" s="269"/>
      <c r="I394" s="93">
        <v>0</v>
      </c>
      <c r="J394" s="183">
        <v>1</v>
      </c>
      <c r="K394" s="94">
        <v>-1</v>
      </c>
      <c r="L394" s="95">
        <v>-102.9</v>
      </c>
      <c r="M394" s="96"/>
    </row>
    <row r="395" spans="1:13">
      <c r="A395" s="88">
        <v>4</v>
      </c>
      <c r="B395" s="90" t="s">
        <v>1271</v>
      </c>
      <c r="C395" s="91" t="s">
        <v>1272</v>
      </c>
      <c r="D395" s="92">
        <v>38</v>
      </c>
      <c r="E395" s="260">
        <v>11</v>
      </c>
      <c r="F395" s="199"/>
      <c r="G395" s="199">
        <v>11</v>
      </c>
      <c r="H395" s="269"/>
      <c r="I395" s="93">
        <v>0</v>
      </c>
      <c r="J395" s="183">
        <v>10</v>
      </c>
      <c r="K395" s="94">
        <v>-10</v>
      </c>
      <c r="L395" s="95">
        <v>-380</v>
      </c>
      <c r="M395" s="96" t="s">
        <v>1273</v>
      </c>
    </row>
    <row r="396" spans="1:13">
      <c r="A396" s="88">
        <v>4</v>
      </c>
      <c r="B396" s="90" t="s">
        <v>1274</v>
      </c>
      <c r="C396" s="91" t="s">
        <v>1275</v>
      </c>
      <c r="D396" s="92">
        <v>38</v>
      </c>
      <c r="E396" s="260">
        <v>5</v>
      </c>
      <c r="F396" s="199"/>
      <c r="G396" s="199">
        <v>5</v>
      </c>
      <c r="H396" s="269"/>
      <c r="I396" s="93">
        <v>0</v>
      </c>
      <c r="J396" s="183">
        <v>5</v>
      </c>
      <c r="K396" s="94">
        <v>-5</v>
      </c>
      <c r="L396" s="95">
        <v>-190</v>
      </c>
      <c r="M396" s="102">
        <v>45426</v>
      </c>
    </row>
    <row r="397" spans="1:13">
      <c r="A397" s="88">
        <v>5</v>
      </c>
      <c r="B397" s="90" t="s">
        <v>1292</v>
      </c>
      <c r="C397" s="91" t="s">
        <v>1293</v>
      </c>
      <c r="D397" s="92">
        <v>8.6300000000000008</v>
      </c>
      <c r="E397" s="260">
        <v>99</v>
      </c>
      <c r="F397" s="199"/>
      <c r="G397" s="199"/>
      <c r="H397" s="269">
        <v>39</v>
      </c>
      <c r="I397" s="93">
        <v>60</v>
      </c>
      <c r="J397" s="183">
        <v>96</v>
      </c>
      <c r="K397" s="94">
        <v>-36</v>
      </c>
      <c r="L397" s="95">
        <v>-310.67999999999995</v>
      </c>
      <c r="M397" s="96"/>
    </row>
    <row r="398" spans="1:13">
      <c r="A398" s="88">
        <v>5</v>
      </c>
      <c r="B398" s="90" t="s">
        <v>1294</v>
      </c>
      <c r="C398" s="91" t="s">
        <v>1295</v>
      </c>
      <c r="D398" s="92">
        <v>20.83</v>
      </c>
      <c r="E398" s="260">
        <v>40</v>
      </c>
      <c r="F398" s="199"/>
      <c r="G398" s="199"/>
      <c r="H398" s="269"/>
      <c r="I398" s="93">
        <v>40</v>
      </c>
      <c r="J398" s="183">
        <v>41</v>
      </c>
      <c r="K398" s="94">
        <v>-1</v>
      </c>
      <c r="L398" s="95">
        <v>-20.830000000000041</v>
      </c>
      <c r="M398" s="96"/>
    </row>
    <row r="399" spans="1:13" ht="30">
      <c r="A399" s="88">
        <v>5</v>
      </c>
      <c r="B399" s="90" t="s">
        <v>1311</v>
      </c>
      <c r="C399" s="91" t="s">
        <v>1312</v>
      </c>
      <c r="D399" s="92">
        <v>7.5</v>
      </c>
      <c r="E399" s="260">
        <v>150</v>
      </c>
      <c r="F399" s="199"/>
      <c r="G399" s="199"/>
      <c r="H399" s="269">
        <v>10</v>
      </c>
      <c r="I399" s="93">
        <v>140</v>
      </c>
      <c r="J399" s="183">
        <v>266</v>
      </c>
      <c r="K399" s="94">
        <v>-126</v>
      </c>
      <c r="L399" s="95">
        <v>-945</v>
      </c>
      <c r="M399" s="96" t="s">
        <v>1313</v>
      </c>
    </row>
    <row r="400" spans="1:13">
      <c r="A400" s="88">
        <v>5</v>
      </c>
      <c r="B400" s="90" t="s">
        <v>1316</v>
      </c>
      <c r="C400" s="91" t="s">
        <v>1317</v>
      </c>
      <c r="D400" s="92">
        <v>6.65</v>
      </c>
      <c r="E400" s="260"/>
      <c r="F400" s="199"/>
      <c r="G400" s="199"/>
      <c r="H400" s="269"/>
      <c r="I400" s="93">
        <v>0</v>
      </c>
      <c r="J400" s="183">
        <v>30</v>
      </c>
      <c r="K400" s="94">
        <v>-30</v>
      </c>
      <c r="L400" s="95">
        <v>-199.5</v>
      </c>
      <c r="M400" s="96"/>
    </row>
    <row r="401" spans="1:13" ht="30">
      <c r="A401" s="88">
        <v>5</v>
      </c>
      <c r="B401" s="90" t="s">
        <v>1318</v>
      </c>
      <c r="C401" s="91" t="s">
        <v>1319</v>
      </c>
      <c r="D401" s="92">
        <v>7.6</v>
      </c>
      <c r="E401" s="260"/>
      <c r="F401" s="199"/>
      <c r="G401" s="199"/>
      <c r="H401" s="269"/>
      <c r="I401" s="93">
        <v>0</v>
      </c>
      <c r="J401" s="183">
        <v>1</v>
      </c>
      <c r="K401" s="94">
        <v>-1</v>
      </c>
      <c r="L401" s="95">
        <v>-7.6</v>
      </c>
      <c r="M401" s="96"/>
    </row>
    <row r="402" spans="1:13">
      <c r="A402" s="88">
        <v>5</v>
      </c>
      <c r="B402" s="90" t="s">
        <v>1327</v>
      </c>
      <c r="C402" s="91" t="s">
        <v>1328</v>
      </c>
      <c r="D402" s="92">
        <v>96.67</v>
      </c>
      <c r="E402" s="260">
        <v>15</v>
      </c>
      <c r="F402" s="199"/>
      <c r="G402" s="199"/>
      <c r="H402" s="269">
        <v>13</v>
      </c>
      <c r="I402" s="93">
        <v>2</v>
      </c>
      <c r="J402" s="183">
        <v>9</v>
      </c>
      <c r="K402" s="94">
        <v>-7</v>
      </c>
      <c r="L402" s="95">
        <v>-676.68999999999994</v>
      </c>
      <c r="M402" s="96"/>
    </row>
    <row r="403" spans="1:13">
      <c r="A403" s="88">
        <v>5</v>
      </c>
      <c r="B403" s="90" t="s">
        <v>1331</v>
      </c>
      <c r="C403" s="91" t="s">
        <v>1332</v>
      </c>
      <c r="D403" s="92">
        <v>48.8</v>
      </c>
      <c r="E403" s="260"/>
      <c r="F403" s="199"/>
      <c r="G403" s="199"/>
      <c r="H403" s="269">
        <v>6</v>
      </c>
      <c r="I403" s="93">
        <v>-6</v>
      </c>
      <c r="J403" s="183"/>
      <c r="K403" s="94">
        <v>-6</v>
      </c>
      <c r="L403" s="95">
        <v>-292.79999999999995</v>
      </c>
      <c r="M403" s="278" t="s">
        <v>5182</v>
      </c>
    </row>
    <row r="404" spans="1:13">
      <c r="A404" s="88">
        <v>5</v>
      </c>
      <c r="B404" s="90" t="s">
        <v>1333</v>
      </c>
      <c r="C404" s="91" t="s">
        <v>1334</v>
      </c>
      <c r="D404" s="92">
        <v>94.58</v>
      </c>
      <c r="E404" s="260">
        <v>33</v>
      </c>
      <c r="F404" s="199"/>
      <c r="G404" s="199"/>
      <c r="H404" s="269">
        <v>13</v>
      </c>
      <c r="I404" s="93">
        <v>20</v>
      </c>
      <c r="J404" s="183">
        <v>31</v>
      </c>
      <c r="K404" s="94">
        <v>-11</v>
      </c>
      <c r="L404" s="95">
        <v>-1040.3800000000001</v>
      </c>
      <c r="M404" s="278" t="s">
        <v>5187</v>
      </c>
    </row>
    <row r="405" spans="1:13">
      <c r="A405" s="88">
        <v>5</v>
      </c>
      <c r="B405" s="90" t="s">
        <v>1336</v>
      </c>
      <c r="C405" s="91" t="s">
        <v>1337</v>
      </c>
      <c r="D405" s="92">
        <v>24.35</v>
      </c>
      <c r="E405" s="260">
        <v>66</v>
      </c>
      <c r="F405" s="199"/>
      <c r="G405" s="199"/>
      <c r="H405" s="269">
        <v>52</v>
      </c>
      <c r="I405" s="93">
        <v>14</v>
      </c>
      <c r="J405" s="183">
        <v>62</v>
      </c>
      <c r="K405" s="94">
        <v>-48</v>
      </c>
      <c r="L405" s="95">
        <v>-1168.8</v>
      </c>
      <c r="M405" s="278" t="s">
        <v>5186</v>
      </c>
    </row>
    <row r="406" spans="1:13">
      <c r="A406" s="88">
        <v>5</v>
      </c>
      <c r="B406" s="90" t="s">
        <v>1338</v>
      </c>
      <c r="C406" s="91" t="s">
        <v>1339</v>
      </c>
      <c r="D406" s="92">
        <v>47.73</v>
      </c>
      <c r="E406" s="260">
        <v>16</v>
      </c>
      <c r="F406" s="199"/>
      <c r="G406" s="199"/>
      <c r="H406" s="269">
        <v>10</v>
      </c>
      <c r="I406" s="93">
        <v>6</v>
      </c>
      <c r="J406" s="183">
        <v>27</v>
      </c>
      <c r="K406" s="94">
        <v>-21</v>
      </c>
      <c r="L406" s="95">
        <v>-1002.3299999999998</v>
      </c>
      <c r="M406" s="96"/>
    </row>
    <row r="407" spans="1:13" ht="30">
      <c r="A407" s="88">
        <v>5</v>
      </c>
      <c r="B407" s="90" t="s">
        <v>4848</v>
      </c>
      <c r="C407" s="91" t="s">
        <v>4849</v>
      </c>
      <c r="D407" s="92">
        <v>9.26</v>
      </c>
      <c r="E407" s="260"/>
      <c r="F407" s="199">
        <v>240</v>
      </c>
      <c r="G407" s="199">
        <v>117</v>
      </c>
      <c r="H407" s="269">
        <v>1</v>
      </c>
      <c r="I407" s="93">
        <v>122</v>
      </c>
      <c r="J407" s="183">
        <v>239</v>
      </c>
      <c r="K407" s="94">
        <v>-117</v>
      </c>
      <c r="L407" s="95">
        <v>-1083.4199999999998</v>
      </c>
      <c r="M407" s="96"/>
    </row>
    <row r="408" spans="1:13">
      <c r="A408" s="88">
        <v>5</v>
      </c>
      <c r="B408" s="90" t="s">
        <v>1343</v>
      </c>
      <c r="C408" s="91" t="s">
        <v>1344</v>
      </c>
      <c r="D408" s="92">
        <v>11.39</v>
      </c>
      <c r="E408" s="260"/>
      <c r="F408" s="199">
        <v>231</v>
      </c>
      <c r="G408" s="199">
        <v>104</v>
      </c>
      <c r="H408" s="269"/>
      <c r="I408" s="93">
        <v>127</v>
      </c>
      <c r="J408" s="183">
        <v>198</v>
      </c>
      <c r="K408" s="94">
        <v>-71</v>
      </c>
      <c r="L408" s="95">
        <v>-808.69000000000028</v>
      </c>
      <c r="M408" s="96"/>
    </row>
    <row r="409" spans="1:13" ht="30">
      <c r="A409" s="88">
        <v>5</v>
      </c>
      <c r="B409" s="90" t="s">
        <v>1345</v>
      </c>
      <c r="C409" s="91" t="s">
        <v>1346</v>
      </c>
      <c r="D409" s="92">
        <v>115.7</v>
      </c>
      <c r="E409" s="260"/>
      <c r="F409" s="199"/>
      <c r="G409" s="199"/>
      <c r="H409" s="269">
        <v>1</v>
      </c>
      <c r="I409" s="93">
        <v>-1</v>
      </c>
      <c r="J409" s="183">
        <v>1</v>
      </c>
      <c r="K409" s="94">
        <v>-2</v>
      </c>
      <c r="L409" s="95">
        <v>-231.4</v>
      </c>
      <c r="M409" s="96"/>
    </row>
    <row r="410" spans="1:13">
      <c r="A410" s="88">
        <v>5</v>
      </c>
      <c r="B410" s="90" t="s">
        <v>1351</v>
      </c>
      <c r="C410" s="91" t="s">
        <v>1352</v>
      </c>
      <c r="D410" s="92">
        <v>12.56</v>
      </c>
      <c r="E410" s="260">
        <v>61</v>
      </c>
      <c r="F410" s="199"/>
      <c r="G410" s="199"/>
      <c r="H410" s="269">
        <v>3</v>
      </c>
      <c r="I410" s="93">
        <v>58</v>
      </c>
      <c r="J410" s="183">
        <v>59</v>
      </c>
      <c r="K410" s="94">
        <v>-1</v>
      </c>
      <c r="L410" s="95">
        <v>-12.560000000000059</v>
      </c>
      <c r="M410" s="96"/>
    </row>
    <row r="411" spans="1:13">
      <c r="A411" s="88">
        <v>5</v>
      </c>
      <c r="B411" s="90" t="s">
        <v>1353</v>
      </c>
      <c r="C411" s="91" t="s">
        <v>1354</v>
      </c>
      <c r="D411" s="92">
        <v>0</v>
      </c>
      <c r="E411" s="260">
        <v>1083</v>
      </c>
      <c r="F411" s="199"/>
      <c r="G411" s="199"/>
      <c r="H411" s="269">
        <v>105</v>
      </c>
      <c r="I411" s="93">
        <v>978</v>
      </c>
      <c r="J411" s="183">
        <v>1045</v>
      </c>
      <c r="K411" s="94">
        <v>-67</v>
      </c>
      <c r="L411" s="95">
        <v>0</v>
      </c>
      <c r="M411" s="96" t="s">
        <v>1355</v>
      </c>
    </row>
    <row r="412" spans="1:13">
      <c r="A412" s="88">
        <v>5</v>
      </c>
      <c r="B412" s="90" t="s">
        <v>1367</v>
      </c>
      <c r="C412" s="91" t="s">
        <v>1368</v>
      </c>
      <c r="D412" s="92">
        <v>95.74</v>
      </c>
      <c r="E412" s="260">
        <v>6</v>
      </c>
      <c r="F412" s="199"/>
      <c r="G412" s="199"/>
      <c r="H412" s="269"/>
      <c r="I412" s="93">
        <v>6</v>
      </c>
      <c r="J412" s="183">
        <v>7</v>
      </c>
      <c r="K412" s="94">
        <v>-1</v>
      </c>
      <c r="L412" s="95">
        <v>-95.740000000000009</v>
      </c>
      <c r="M412" s="96" t="s">
        <v>1369</v>
      </c>
    </row>
    <row r="413" spans="1:13">
      <c r="A413" s="88">
        <v>5</v>
      </c>
      <c r="B413" s="90" t="s">
        <v>1372</v>
      </c>
      <c r="C413" s="91" t="s">
        <v>1373</v>
      </c>
      <c r="D413" s="92">
        <v>98.3</v>
      </c>
      <c r="E413" s="260"/>
      <c r="F413" s="199"/>
      <c r="G413" s="199"/>
      <c r="H413" s="269"/>
      <c r="I413" s="93">
        <v>0</v>
      </c>
      <c r="J413" s="183">
        <v>6</v>
      </c>
      <c r="K413" s="94">
        <v>-6</v>
      </c>
      <c r="L413" s="95">
        <v>-589.79999999999995</v>
      </c>
      <c r="M413" s="96" t="s">
        <v>1374</v>
      </c>
    </row>
    <row r="414" spans="1:13">
      <c r="A414" s="88">
        <v>5</v>
      </c>
      <c r="B414" s="90" t="s">
        <v>1377</v>
      </c>
      <c r="C414" s="91" t="s">
        <v>1378</v>
      </c>
      <c r="D414" s="92">
        <v>13.1</v>
      </c>
      <c r="E414" s="260">
        <v>6</v>
      </c>
      <c r="F414" s="199"/>
      <c r="G414" s="199"/>
      <c r="H414" s="269">
        <v>15</v>
      </c>
      <c r="I414" s="93">
        <v>-9</v>
      </c>
      <c r="J414" s="183">
        <v>24</v>
      </c>
      <c r="K414" s="94">
        <v>-33</v>
      </c>
      <c r="L414" s="95">
        <v>-432.29999999999995</v>
      </c>
      <c r="M414" s="96" t="s">
        <v>1379</v>
      </c>
    </row>
    <row r="415" spans="1:13">
      <c r="A415" s="88">
        <v>5</v>
      </c>
      <c r="B415" s="90" t="s">
        <v>1382</v>
      </c>
      <c r="C415" s="91" t="s">
        <v>1383</v>
      </c>
      <c r="D415" s="92">
        <v>13.1</v>
      </c>
      <c r="E415" s="260">
        <v>13</v>
      </c>
      <c r="F415" s="199"/>
      <c r="G415" s="199"/>
      <c r="H415" s="269">
        <v>1</v>
      </c>
      <c r="I415" s="93">
        <v>12</v>
      </c>
      <c r="J415" s="183">
        <v>14</v>
      </c>
      <c r="K415" s="94">
        <v>-2</v>
      </c>
      <c r="L415" s="95">
        <v>-26.200000000000017</v>
      </c>
      <c r="M415" s="96" t="s">
        <v>1384</v>
      </c>
    </row>
    <row r="416" spans="1:13">
      <c r="A416" s="88">
        <v>5</v>
      </c>
      <c r="B416" s="90" t="s">
        <v>1396</v>
      </c>
      <c r="C416" s="91" t="s">
        <v>1397</v>
      </c>
      <c r="D416" s="92">
        <v>145.18</v>
      </c>
      <c r="E416" s="260"/>
      <c r="F416" s="199"/>
      <c r="G416" s="199"/>
      <c r="H416" s="269">
        <v>3</v>
      </c>
      <c r="I416" s="93">
        <v>-3</v>
      </c>
      <c r="J416" s="183">
        <v>5</v>
      </c>
      <c r="K416" s="94">
        <v>-8</v>
      </c>
      <c r="L416" s="95">
        <v>-1161.44</v>
      </c>
      <c r="M416" s="278" t="s">
        <v>5217</v>
      </c>
    </row>
    <row r="417" spans="1:13">
      <c r="A417" s="88">
        <v>5</v>
      </c>
      <c r="B417" s="90" t="s">
        <v>1403</v>
      </c>
      <c r="C417" s="91" t="s">
        <v>1404</v>
      </c>
      <c r="D417" s="92">
        <v>25.69</v>
      </c>
      <c r="E417" s="260">
        <v>51</v>
      </c>
      <c r="F417" s="199"/>
      <c r="G417" s="199"/>
      <c r="H417" s="269">
        <v>6</v>
      </c>
      <c r="I417" s="93">
        <v>45</v>
      </c>
      <c r="J417" s="183">
        <v>51</v>
      </c>
      <c r="K417" s="94">
        <v>-6</v>
      </c>
      <c r="L417" s="95">
        <v>-154.1400000000001</v>
      </c>
      <c r="M417" s="278" t="s">
        <v>5195</v>
      </c>
    </row>
    <row r="418" spans="1:13">
      <c r="A418" s="88">
        <v>5</v>
      </c>
      <c r="B418" s="90" t="s">
        <v>1405</v>
      </c>
      <c r="C418" s="91" t="s">
        <v>1406</v>
      </c>
      <c r="D418" s="92">
        <v>238.1</v>
      </c>
      <c r="E418" s="260">
        <v>4</v>
      </c>
      <c r="F418" s="199"/>
      <c r="G418" s="199"/>
      <c r="H418" s="269">
        <v>2</v>
      </c>
      <c r="I418" s="93">
        <v>2</v>
      </c>
      <c r="J418" s="183">
        <v>3</v>
      </c>
      <c r="K418" s="94">
        <v>-1</v>
      </c>
      <c r="L418" s="95">
        <v>-238.09999999999997</v>
      </c>
      <c r="M418" s="96"/>
    </row>
    <row r="419" spans="1:13" ht="30">
      <c r="A419" s="88">
        <v>5</v>
      </c>
      <c r="B419" s="90" t="s">
        <v>1415</v>
      </c>
      <c r="C419" s="91" t="s">
        <v>1416</v>
      </c>
      <c r="D419" s="92">
        <v>13.32</v>
      </c>
      <c r="E419" s="260">
        <v>138</v>
      </c>
      <c r="F419" s="199"/>
      <c r="G419" s="199"/>
      <c r="H419" s="269">
        <v>8</v>
      </c>
      <c r="I419" s="93">
        <v>130</v>
      </c>
      <c r="J419" s="277">
        <v>138</v>
      </c>
      <c r="K419" s="94">
        <v>-8</v>
      </c>
      <c r="L419" s="95">
        <v>-106.55999999999995</v>
      </c>
      <c r="M419" s="278" t="s">
        <v>5198</v>
      </c>
    </row>
    <row r="420" spans="1:13" ht="30">
      <c r="A420" s="88">
        <v>5</v>
      </c>
      <c r="B420" s="90" t="s">
        <v>1419</v>
      </c>
      <c r="C420" s="91" t="s">
        <v>1420</v>
      </c>
      <c r="D420" s="92">
        <v>13.32</v>
      </c>
      <c r="E420" s="260">
        <v>108</v>
      </c>
      <c r="F420" s="199"/>
      <c r="G420" s="199"/>
      <c r="H420" s="269">
        <v>7</v>
      </c>
      <c r="I420" s="93">
        <v>101</v>
      </c>
      <c r="J420" s="183">
        <v>129</v>
      </c>
      <c r="K420" s="94">
        <v>-28</v>
      </c>
      <c r="L420" s="95">
        <v>-372.96000000000004</v>
      </c>
      <c r="M420" s="278" t="s">
        <v>5230</v>
      </c>
    </row>
    <row r="421" spans="1:13">
      <c r="A421" s="88">
        <v>5</v>
      </c>
      <c r="B421" s="90" t="s">
        <v>1427</v>
      </c>
      <c r="C421" s="91" t="s">
        <v>1428</v>
      </c>
      <c r="D421" s="92">
        <v>13.32</v>
      </c>
      <c r="E421" s="260">
        <v>159</v>
      </c>
      <c r="F421" s="199"/>
      <c r="G421" s="199"/>
      <c r="H421" s="269">
        <v>16</v>
      </c>
      <c r="I421" s="93">
        <v>143</v>
      </c>
      <c r="J421" s="187">
        <v>147</v>
      </c>
      <c r="K421" s="94">
        <v>-4</v>
      </c>
      <c r="L421" s="95">
        <v>-53.279999999999973</v>
      </c>
      <c r="M421" s="278" t="s">
        <v>5229</v>
      </c>
    </row>
    <row r="422" spans="1:13" ht="30">
      <c r="A422" s="88">
        <v>5</v>
      </c>
      <c r="B422" s="90" t="s">
        <v>1439</v>
      </c>
      <c r="C422" s="91" t="s">
        <v>1440</v>
      </c>
      <c r="D422" s="92">
        <v>107.48</v>
      </c>
      <c r="E422" s="260"/>
      <c r="F422" s="199"/>
      <c r="G422" s="199"/>
      <c r="H422" s="269"/>
      <c r="I422" s="93">
        <v>0</v>
      </c>
      <c r="J422" s="183">
        <v>1</v>
      </c>
      <c r="K422" s="94">
        <v>-1</v>
      </c>
      <c r="L422" s="95">
        <v>-107.48</v>
      </c>
      <c r="M422" s="96"/>
    </row>
    <row r="423" spans="1:13">
      <c r="A423" s="88">
        <v>5</v>
      </c>
      <c r="B423" s="90" t="s">
        <v>1443</v>
      </c>
      <c r="C423" s="91" t="s">
        <v>1444</v>
      </c>
      <c r="D423" s="92">
        <v>10.64</v>
      </c>
      <c r="E423" s="260">
        <v>72</v>
      </c>
      <c r="F423" s="199">
        <v>192</v>
      </c>
      <c r="G423" s="199"/>
      <c r="H423" s="269">
        <v>29</v>
      </c>
      <c r="I423" s="93">
        <v>235</v>
      </c>
      <c r="J423" s="183">
        <v>251</v>
      </c>
      <c r="K423" s="94">
        <v>-16</v>
      </c>
      <c r="L423" s="95">
        <v>-170.24000000000024</v>
      </c>
      <c r="M423" s="278" t="s">
        <v>5228</v>
      </c>
    </row>
    <row r="424" spans="1:13">
      <c r="A424" s="88">
        <v>5</v>
      </c>
      <c r="B424" s="90" t="s">
        <v>1450</v>
      </c>
      <c r="C424" s="91" t="s">
        <v>1451</v>
      </c>
      <c r="D424" s="92">
        <v>61.93</v>
      </c>
      <c r="E424" s="260">
        <v>19</v>
      </c>
      <c r="F424" s="199"/>
      <c r="G424" s="199"/>
      <c r="H424" s="269">
        <v>1</v>
      </c>
      <c r="I424" s="93">
        <v>18</v>
      </c>
      <c r="J424" s="183">
        <v>19</v>
      </c>
      <c r="K424" s="94">
        <v>-1</v>
      </c>
      <c r="L424" s="95">
        <v>-61.930000000000064</v>
      </c>
      <c r="M424" s="96"/>
    </row>
    <row r="425" spans="1:13" ht="30">
      <c r="A425" s="88">
        <v>6</v>
      </c>
      <c r="B425" s="90" t="s">
        <v>1499</v>
      </c>
      <c r="C425" s="91" t="s">
        <v>1500</v>
      </c>
      <c r="D425" s="92">
        <v>25.8</v>
      </c>
      <c r="E425" s="260">
        <v>15</v>
      </c>
      <c r="F425" s="199"/>
      <c r="G425" s="199"/>
      <c r="H425" s="269">
        <v>25</v>
      </c>
      <c r="I425" s="93">
        <v>-10</v>
      </c>
      <c r="J425" s="183">
        <v>16</v>
      </c>
      <c r="K425" s="94">
        <v>-26</v>
      </c>
      <c r="L425" s="95">
        <v>-670.8</v>
      </c>
      <c r="M425" s="96"/>
    </row>
    <row r="426" spans="1:13" ht="30">
      <c r="A426" s="88">
        <v>6</v>
      </c>
      <c r="B426" s="90">
        <v>4800110069319</v>
      </c>
      <c r="C426" s="91" t="s">
        <v>1501</v>
      </c>
      <c r="D426" s="92">
        <v>100.3</v>
      </c>
      <c r="E426" s="260">
        <v>71</v>
      </c>
      <c r="F426" s="199"/>
      <c r="G426" s="199"/>
      <c r="H426" s="269"/>
      <c r="I426" s="93">
        <v>71</v>
      </c>
      <c r="J426" s="183">
        <v>75</v>
      </c>
      <c r="K426" s="94">
        <v>-4</v>
      </c>
      <c r="L426" s="95">
        <v>-401.19999999999982</v>
      </c>
      <c r="M426" s="102">
        <v>45980</v>
      </c>
    </row>
    <row r="427" spans="1:13" ht="30">
      <c r="A427" s="88">
        <v>6</v>
      </c>
      <c r="B427" s="90" t="s">
        <v>1507</v>
      </c>
      <c r="C427" s="91" t="s">
        <v>1508</v>
      </c>
      <c r="D427" s="92">
        <v>129.1</v>
      </c>
      <c r="E427" s="260">
        <v>10</v>
      </c>
      <c r="F427" s="199"/>
      <c r="G427" s="199"/>
      <c r="H427" s="269">
        <v>3</v>
      </c>
      <c r="I427" s="93">
        <v>7</v>
      </c>
      <c r="J427" s="183">
        <v>10</v>
      </c>
      <c r="K427" s="94">
        <v>-3</v>
      </c>
      <c r="L427" s="95">
        <v>-387.30000000000007</v>
      </c>
      <c r="M427" s="278" t="s">
        <v>5217</v>
      </c>
    </row>
    <row r="428" spans="1:13">
      <c r="A428" s="88">
        <v>6</v>
      </c>
      <c r="B428" s="90" t="s">
        <v>1511</v>
      </c>
      <c r="C428" s="91" t="s">
        <v>1512</v>
      </c>
      <c r="D428" s="92">
        <v>29.17</v>
      </c>
      <c r="E428" s="260">
        <v>17</v>
      </c>
      <c r="F428" s="199"/>
      <c r="G428" s="199"/>
      <c r="H428" s="269">
        <v>26</v>
      </c>
      <c r="I428" s="93">
        <v>-9</v>
      </c>
      <c r="J428" s="183"/>
      <c r="K428" s="94">
        <v>-9</v>
      </c>
      <c r="L428" s="95">
        <v>-262.53000000000003</v>
      </c>
      <c r="M428" s="278" t="s">
        <v>5221</v>
      </c>
    </row>
    <row r="429" spans="1:13">
      <c r="A429" s="88">
        <v>6</v>
      </c>
      <c r="B429" s="90" t="s">
        <v>1524</v>
      </c>
      <c r="C429" s="91" t="s">
        <v>1525</v>
      </c>
      <c r="D429" s="92">
        <v>30.83</v>
      </c>
      <c r="E429" s="260">
        <v>73</v>
      </c>
      <c r="F429" s="199"/>
      <c r="G429" s="199"/>
      <c r="H429" s="269">
        <v>74</v>
      </c>
      <c r="I429" s="93">
        <v>-1</v>
      </c>
      <c r="J429" s="183">
        <v>1</v>
      </c>
      <c r="K429" s="94">
        <v>-2</v>
      </c>
      <c r="L429" s="95">
        <v>-61.66</v>
      </c>
      <c r="M429" s="96"/>
    </row>
    <row r="430" spans="1:13">
      <c r="A430" s="88">
        <v>6</v>
      </c>
      <c r="B430" s="90" t="s">
        <v>1529</v>
      </c>
      <c r="C430" s="91" t="s">
        <v>1530</v>
      </c>
      <c r="D430" s="92">
        <v>8.75</v>
      </c>
      <c r="E430" s="260">
        <v>47</v>
      </c>
      <c r="F430" s="199"/>
      <c r="G430" s="199"/>
      <c r="H430" s="269">
        <v>31</v>
      </c>
      <c r="I430" s="93">
        <v>16</v>
      </c>
      <c r="J430" s="183">
        <v>41</v>
      </c>
      <c r="K430" s="94">
        <v>-25</v>
      </c>
      <c r="L430" s="95">
        <v>-218.75</v>
      </c>
      <c r="M430" s="96" t="s">
        <v>1531</v>
      </c>
    </row>
    <row r="431" spans="1:13">
      <c r="A431" s="88">
        <v>6</v>
      </c>
      <c r="B431" s="90" t="s">
        <v>1534</v>
      </c>
      <c r="C431" s="91" t="s">
        <v>1535</v>
      </c>
      <c r="D431" s="92">
        <v>21.5</v>
      </c>
      <c r="E431" s="260"/>
      <c r="F431" s="199"/>
      <c r="G431" s="199"/>
      <c r="H431" s="269">
        <v>3</v>
      </c>
      <c r="I431" s="93">
        <v>-3</v>
      </c>
      <c r="J431" s="183"/>
      <c r="K431" s="94">
        <v>-3</v>
      </c>
      <c r="L431" s="95">
        <v>-64.5</v>
      </c>
      <c r="M431" s="96"/>
    </row>
    <row r="432" spans="1:13">
      <c r="A432" s="88">
        <v>6</v>
      </c>
      <c r="B432" s="90" t="s">
        <v>1538</v>
      </c>
      <c r="C432" s="91" t="s">
        <v>1539</v>
      </c>
      <c r="D432" s="92">
        <v>21.5</v>
      </c>
      <c r="E432" s="260"/>
      <c r="F432" s="199"/>
      <c r="G432" s="199"/>
      <c r="H432" s="269">
        <v>3</v>
      </c>
      <c r="I432" s="93">
        <v>-3</v>
      </c>
      <c r="J432" s="183"/>
      <c r="K432" s="94">
        <v>-3</v>
      </c>
      <c r="L432" s="95">
        <v>-64.5</v>
      </c>
      <c r="M432" s="278" t="s">
        <v>5254</v>
      </c>
    </row>
    <row r="433" spans="1:13" ht="30">
      <c r="A433" s="88">
        <v>6</v>
      </c>
      <c r="B433" s="90" t="s">
        <v>1544</v>
      </c>
      <c r="C433" s="91" t="s">
        <v>1545</v>
      </c>
      <c r="D433" s="92">
        <v>25.5</v>
      </c>
      <c r="E433" s="260"/>
      <c r="F433" s="199"/>
      <c r="G433" s="199"/>
      <c r="H433" s="269">
        <v>1</v>
      </c>
      <c r="I433" s="93">
        <v>-1</v>
      </c>
      <c r="J433" s="183"/>
      <c r="K433" s="94">
        <v>-1</v>
      </c>
      <c r="L433" s="95">
        <v>-25.5</v>
      </c>
      <c r="M433" s="96" t="s">
        <v>1546</v>
      </c>
    </row>
    <row r="434" spans="1:13">
      <c r="A434" s="88">
        <v>6</v>
      </c>
      <c r="B434" s="90" t="s">
        <v>1547</v>
      </c>
      <c r="C434" s="91" t="s">
        <v>1548</v>
      </c>
      <c r="D434" s="92">
        <v>21.5</v>
      </c>
      <c r="E434" s="260"/>
      <c r="F434" s="199"/>
      <c r="G434" s="199"/>
      <c r="H434" s="269">
        <v>4</v>
      </c>
      <c r="I434" s="93">
        <v>-4</v>
      </c>
      <c r="J434" s="183"/>
      <c r="K434" s="94">
        <v>-4</v>
      </c>
      <c r="L434" s="95">
        <v>-86</v>
      </c>
      <c r="M434" s="96" t="s">
        <v>1549</v>
      </c>
    </row>
    <row r="435" spans="1:13">
      <c r="A435" s="88">
        <v>6</v>
      </c>
      <c r="B435" s="90" t="s">
        <v>1550</v>
      </c>
      <c r="C435" s="91" t="s">
        <v>1551</v>
      </c>
      <c r="D435" s="92">
        <v>21.5</v>
      </c>
      <c r="E435" s="260"/>
      <c r="F435" s="199"/>
      <c r="G435" s="199"/>
      <c r="H435" s="269">
        <v>2</v>
      </c>
      <c r="I435" s="93">
        <v>-2</v>
      </c>
      <c r="J435" s="183"/>
      <c r="K435" s="94">
        <v>-2</v>
      </c>
      <c r="L435" s="95">
        <v>-43</v>
      </c>
      <c r="M435" s="278" t="s">
        <v>5254</v>
      </c>
    </row>
    <row r="436" spans="1:13" ht="30">
      <c r="A436" s="88">
        <v>6</v>
      </c>
      <c r="B436" s="90" t="s">
        <v>1558</v>
      </c>
      <c r="C436" s="91" t="s">
        <v>1559</v>
      </c>
      <c r="D436" s="92">
        <v>14</v>
      </c>
      <c r="E436" s="260">
        <v>47</v>
      </c>
      <c r="F436" s="199"/>
      <c r="G436" s="199"/>
      <c r="H436" s="269">
        <v>3</v>
      </c>
      <c r="I436" s="93">
        <v>44</v>
      </c>
      <c r="J436" s="183">
        <v>46</v>
      </c>
      <c r="K436" s="94">
        <v>-2</v>
      </c>
      <c r="L436" s="95">
        <v>-28</v>
      </c>
      <c r="M436" s="96" t="s">
        <v>1560</v>
      </c>
    </row>
    <row r="437" spans="1:13" ht="30">
      <c r="A437" s="88">
        <v>6</v>
      </c>
      <c r="B437" s="90" t="s">
        <v>1561</v>
      </c>
      <c r="C437" s="91" t="s">
        <v>1562</v>
      </c>
      <c r="D437" s="92">
        <v>18.5</v>
      </c>
      <c r="E437" s="260">
        <v>5</v>
      </c>
      <c r="F437" s="199"/>
      <c r="G437" s="199"/>
      <c r="H437" s="269">
        <v>17</v>
      </c>
      <c r="I437" s="93">
        <v>-12</v>
      </c>
      <c r="J437" s="183">
        <v>6</v>
      </c>
      <c r="K437" s="94">
        <v>-18</v>
      </c>
      <c r="L437" s="95">
        <v>-333</v>
      </c>
      <c r="M437" s="278" t="s">
        <v>5255</v>
      </c>
    </row>
    <row r="438" spans="1:13" ht="30">
      <c r="A438" s="88">
        <v>6</v>
      </c>
      <c r="B438" s="90" t="s">
        <v>1563</v>
      </c>
      <c r="C438" s="91" t="s">
        <v>1564</v>
      </c>
      <c r="D438" s="92">
        <v>14</v>
      </c>
      <c r="E438" s="260">
        <v>44</v>
      </c>
      <c r="F438" s="199"/>
      <c r="G438" s="199"/>
      <c r="H438" s="269">
        <v>9</v>
      </c>
      <c r="I438" s="93">
        <v>35</v>
      </c>
      <c r="J438" s="183">
        <v>37</v>
      </c>
      <c r="K438" s="94">
        <v>-2</v>
      </c>
      <c r="L438" s="95">
        <v>-28</v>
      </c>
      <c r="M438" s="96" t="s">
        <v>1565</v>
      </c>
    </row>
    <row r="439" spans="1:13" ht="30">
      <c r="A439" s="88">
        <v>6</v>
      </c>
      <c r="B439" s="90" t="s">
        <v>1566</v>
      </c>
      <c r="C439" s="91" t="s">
        <v>1567</v>
      </c>
      <c r="D439" s="92">
        <v>18.5</v>
      </c>
      <c r="E439" s="260">
        <v>4</v>
      </c>
      <c r="F439" s="199"/>
      <c r="G439" s="199"/>
      <c r="H439" s="269">
        <v>3</v>
      </c>
      <c r="I439" s="93">
        <v>1</v>
      </c>
      <c r="J439" s="183">
        <v>2</v>
      </c>
      <c r="K439" s="94">
        <v>-1</v>
      </c>
      <c r="L439" s="95">
        <v>-18.5</v>
      </c>
      <c r="M439" s="96"/>
    </row>
    <row r="440" spans="1:13" ht="30">
      <c r="A440" s="88">
        <v>6</v>
      </c>
      <c r="B440" s="90" t="s">
        <v>1570</v>
      </c>
      <c r="C440" s="91" t="s">
        <v>1571</v>
      </c>
      <c r="D440" s="92">
        <v>18.5</v>
      </c>
      <c r="E440" s="260">
        <v>10</v>
      </c>
      <c r="F440" s="199"/>
      <c r="G440" s="199"/>
      <c r="H440" s="269">
        <v>19</v>
      </c>
      <c r="I440" s="93">
        <v>-9</v>
      </c>
      <c r="J440" s="183">
        <v>6</v>
      </c>
      <c r="K440" s="94">
        <v>-15</v>
      </c>
      <c r="L440" s="95">
        <v>-277.5</v>
      </c>
      <c r="M440" s="278" t="s">
        <v>5255</v>
      </c>
    </row>
    <row r="441" spans="1:13" ht="30">
      <c r="A441" s="88">
        <v>6</v>
      </c>
      <c r="B441" s="90" t="s">
        <v>1574</v>
      </c>
      <c r="C441" s="91" t="s">
        <v>1575</v>
      </c>
      <c r="D441" s="92">
        <v>14</v>
      </c>
      <c r="E441" s="260">
        <v>11</v>
      </c>
      <c r="F441" s="199"/>
      <c r="G441" s="199"/>
      <c r="H441" s="269">
        <v>3</v>
      </c>
      <c r="I441" s="93">
        <v>8</v>
      </c>
      <c r="J441" s="183">
        <v>10</v>
      </c>
      <c r="K441" s="94">
        <v>-2</v>
      </c>
      <c r="L441" s="95">
        <v>-28</v>
      </c>
      <c r="M441" s="96"/>
    </row>
    <row r="442" spans="1:13">
      <c r="A442" s="88">
        <v>6</v>
      </c>
      <c r="B442" s="90" t="s">
        <v>1581</v>
      </c>
      <c r="C442" s="91" t="s">
        <v>1582</v>
      </c>
      <c r="D442" s="92">
        <v>18.350000000000001</v>
      </c>
      <c r="E442" s="260"/>
      <c r="F442" s="199"/>
      <c r="G442" s="199"/>
      <c r="H442" s="269">
        <v>6</v>
      </c>
      <c r="I442" s="93">
        <v>-6</v>
      </c>
      <c r="J442" s="183"/>
      <c r="K442" s="94">
        <v>-6</v>
      </c>
      <c r="L442" s="95">
        <v>-110.10000000000001</v>
      </c>
      <c r="M442" s="278" t="s">
        <v>5195</v>
      </c>
    </row>
    <row r="443" spans="1:13" ht="30">
      <c r="A443" s="88">
        <v>6</v>
      </c>
      <c r="B443" s="90" t="s">
        <v>1585</v>
      </c>
      <c r="C443" s="91" t="s">
        <v>1586</v>
      </c>
      <c r="D443" s="92">
        <v>23.32</v>
      </c>
      <c r="E443" s="260">
        <v>22</v>
      </c>
      <c r="F443" s="199"/>
      <c r="G443" s="199"/>
      <c r="H443" s="269">
        <v>8</v>
      </c>
      <c r="I443" s="93">
        <v>14</v>
      </c>
      <c r="J443" s="183">
        <v>21</v>
      </c>
      <c r="K443" s="94">
        <v>-7</v>
      </c>
      <c r="L443" s="95">
        <v>-163.24</v>
      </c>
      <c r="M443" s="278" t="s">
        <v>5198</v>
      </c>
    </row>
    <row r="444" spans="1:13" ht="30">
      <c r="A444" s="88">
        <v>6</v>
      </c>
      <c r="B444" s="90" t="s">
        <v>1587</v>
      </c>
      <c r="C444" s="91" t="s">
        <v>1588</v>
      </c>
      <c r="D444" s="92">
        <v>20.55</v>
      </c>
      <c r="E444" s="260">
        <v>23</v>
      </c>
      <c r="F444" s="199"/>
      <c r="G444" s="199"/>
      <c r="H444" s="269">
        <v>9</v>
      </c>
      <c r="I444" s="93">
        <v>14</v>
      </c>
      <c r="J444" s="183">
        <v>20</v>
      </c>
      <c r="K444" s="94">
        <v>-6</v>
      </c>
      <c r="L444" s="95">
        <v>-123.30000000000001</v>
      </c>
      <c r="M444" s="278" t="s">
        <v>5197</v>
      </c>
    </row>
    <row r="445" spans="1:13" ht="30">
      <c r="A445" s="88">
        <v>6</v>
      </c>
      <c r="B445" s="90" t="s">
        <v>1597</v>
      </c>
      <c r="C445" s="91" t="s">
        <v>1598</v>
      </c>
      <c r="D445" s="92">
        <v>20.55</v>
      </c>
      <c r="E445" s="260">
        <v>11</v>
      </c>
      <c r="F445" s="199"/>
      <c r="G445" s="199"/>
      <c r="H445" s="269">
        <v>10</v>
      </c>
      <c r="I445" s="93">
        <v>1</v>
      </c>
      <c r="J445" s="183">
        <v>23</v>
      </c>
      <c r="K445" s="94">
        <v>-22</v>
      </c>
      <c r="L445" s="95">
        <v>-452.1</v>
      </c>
      <c r="M445" s="278" t="s">
        <v>5196</v>
      </c>
    </row>
    <row r="446" spans="1:13" ht="30">
      <c r="A446" s="88">
        <v>6</v>
      </c>
      <c r="B446" s="90" t="s">
        <v>1599</v>
      </c>
      <c r="C446" s="91" t="s">
        <v>1600</v>
      </c>
      <c r="D446" s="92">
        <v>20.55</v>
      </c>
      <c r="E446" s="260">
        <v>52</v>
      </c>
      <c r="F446" s="199"/>
      <c r="G446" s="199">
        <v>36</v>
      </c>
      <c r="H446" s="269">
        <v>14</v>
      </c>
      <c r="I446" s="93">
        <v>2</v>
      </c>
      <c r="J446" s="183">
        <v>10</v>
      </c>
      <c r="K446" s="94">
        <v>-8</v>
      </c>
      <c r="L446" s="95">
        <v>-164.4</v>
      </c>
      <c r="M446" s="278" t="s">
        <v>5194</v>
      </c>
    </row>
    <row r="447" spans="1:13">
      <c r="A447" s="88">
        <v>6</v>
      </c>
      <c r="B447" s="90" t="s">
        <v>1603</v>
      </c>
      <c r="C447" s="91" t="s">
        <v>1604</v>
      </c>
      <c r="D447" s="92">
        <v>10.15</v>
      </c>
      <c r="E447" s="260"/>
      <c r="F447" s="199"/>
      <c r="G447" s="199"/>
      <c r="H447" s="269">
        <v>15</v>
      </c>
      <c r="I447" s="93">
        <v>-15</v>
      </c>
      <c r="J447" s="183"/>
      <c r="K447" s="94">
        <v>-15</v>
      </c>
      <c r="L447" s="95">
        <v>-152.25</v>
      </c>
      <c r="M447" s="279" t="s">
        <v>5193</v>
      </c>
    </row>
    <row r="448" spans="1:13">
      <c r="A448" s="88">
        <v>6</v>
      </c>
      <c r="B448" s="90" t="s">
        <v>1607</v>
      </c>
      <c r="C448" s="91" t="s">
        <v>1608</v>
      </c>
      <c r="D448" s="92">
        <v>13.1</v>
      </c>
      <c r="E448" s="260">
        <v>22</v>
      </c>
      <c r="F448" s="199"/>
      <c r="G448" s="199"/>
      <c r="H448" s="269">
        <v>22</v>
      </c>
      <c r="I448" s="93">
        <v>0</v>
      </c>
      <c r="J448" s="183">
        <v>16</v>
      </c>
      <c r="K448" s="94">
        <v>-16</v>
      </c>
      <c r="L448" s="95">
        <v>-209.6</v>
      </c>
      <c r="M448" s="278" t="s">
        <v>5191</v>
      </c>
    </row>
    <row r="449" spans="1:13">
      <c r="A449" s="88">
        <v>6</v>
      </c>
      <c r="B449" s="90" t="s">
        <v>1609</v>
      </c>
      <c r="C449" s="91" t="s">
        <v>1610</v>
      </c>
      <c r="D449" s="92">
        <v>13.1</v>
      </c>
      <c r="E449" s="260">
        <v>22</v>
      </c>
      <c r="F449" s="199"/>
      <c r="G449" s="199"/>
      <c r="H449" s="269">
        <v>9</v>
      </c>
      <c r="I449" s="93">
        <v>13</v>
      </c>
      <c r="J449" s="183">
        <v>20</v>
      </c>
      <c r="K449" s="94">
        <v>-7</v>
      </c>
      <c r="L449" s="95">
        <v>-91.700000000000017</v>
      </c>
      <c r="M449" s="278" t="s">
        <v>5197</v>
      </c>
    </row>
    <row r="450" spans="1:13">
      <c r="A450" s="88">
        <v>6</v>
      </c>
      <c r="B450" s="90" t="s">
        <v>1612</v>
      </c>
      <c r="C450" s="91" t="s">
        <v>1613</v>
      </c>
      <c r="D450" s="92">
        <v>13.1</v>
      </c>
      <c r="E450" s="260">
        <v>19</v>
      </c>
      <c r="F450" s="199"/>
      <c r="G450" s="199">
        <v>19</v>
      </c>
      <c r="H450" s="269">
        <v>15</v>
      </c>
      <c r="I450" s="93">
        <v>-15</v>
      </c>
      <c r="J450" s="183"/>
      <c r="K450" s="94">
        <v>-15</v>
      </c>
      <c r="L450" s="95">
        <v>-196.5</v>
      </c>
      <c r="M450" s="278" t="s">
        <v>5193</v>
      </c>
    </row>
    <row r="451" spans="1:13" ht="30">
      <c r="A451" s="88">
        <v>7</v>
      </c>
      <c r="B451" s="90" t="s">
        <v>1639</v>
      </c>
      <c r="C451" s="91" t="s">
        <v>1640</v>
      </c>
      <c r="D451" s="92">
        <v>56.31</v>
      </c>
      <c r="E451" s="260">
        <v>7</v>
      </c>
      <c r="F451" s="199"/>
      <c r="G451" s="199"/>
      <c r="H451" s="269">
        <v>8</v>
      </c>
      <c r="I451" s="93">
        <v>-1</v>
      </c>
      <c r="J451" s="183"/>
      <c r="K451" s="94">
        <v>-1</v>
      </c>
      <c r="L451" s="95">
        <v>-56.31</v>
      </c>
      <c r="M451" s="278" t="s">
        <v>5198</v>
      </c>
    </row>
    <row r="452" spans="1:13" ht="30">
      <c r="A452" s="88">
        <v>7</v>
      </c>
      <c r="B452" s="90" t="s">
        <v>1679</v>
      </c>
      <c r="C452" s="91" t="s">
        <v>1680</v>
      </c>
      <c r="D452" s="92">
        <v>19.7</v>
      </c>
      <c r="E452" s="260">
        <v>14</v>
      </c>
      <c r="F452" s="199"/>
      <c r="G452" s="199"/>
      <c r="H452" s="269"/>
      <c r="I452" s="93">
        <v>14</v>
      </c>
      <c r="J452" s="183">
        <v>31</v>
      </c>
      <c r="K452" s="94">
        <v>-17</v>
      </c>
      <c r="L452" s="95">
        <v>-334.89999999999992</v>
      </c>
      <c r="M452" s="96"/>
    </row>
    <row r="453" spans="1:13">
      <c r="A453" s="88">
        <v>7</v>
      </c>
      <c r="B453" s="90" t="s">
        <v>1689</v>
      </c>
      <c r="C453" s="91" t="s">
        <v>1690</v>
      </c>
      <c r="D453" s="92">
        <v>29.25</v>
      </c>
      <c r="E453" s="260"/>
      <c r="F453" s="199"/>
      <c r="G453" s="199"/>
      <c r="H453" s="269">
        <v>2</v>
      </c>
      <c r="I453" s="93">
        <v>-2</v>
      </c>
      <c r="J453" s="183"/>
      <c r="K453" s="94">
        <v>-2</v>
      </c>
      <c r="L453" s="95">
        <v>-58.5</v>
      </c>
      <c r="M453" s="278" t="s">
        <v>5201</v>
      </c>
    </row>
    <row r="454" spans="1:13">
      <c r="A454" s="88">
        <v>7</v>
      </c>
      <c r="B454" s="90" t="s">
        <v>1691</v>
      </c>
      <c r="C454" s="91" t="s">
        <v>1692</v>
      </c>
      <c r="D454" s="92">
        <v>20.96</v>
      </c>
      <c r="E454" s="260">
        <v>10</v>
      </c>
      <c r="F454" s="199"/>
      <c r="G454" s="199"/>
      <c r="H454" s="269">
        <v>18</v>
      </c>
      <c r="I454" s="93">
        <v>-8</v>
      </c>
      <c r="J454" s="183">
        <v>7</v>
      </c>
      <c r="K454" s="94">
        <v>-15</v>
      </c>
      <c r="L454" s="95">
        <v>-314.39999999999998</v>
      </c>
      <c r="M454" s="278" t="s">
        <v>5227</v>
      </c>
    </row>
    <row r="455" spans="1:13">
      <c r="A455" s="88">
        <v>7</v>
      </c>
      <c r="B455" s="90" t="s">
        <v>1701</v>
      </c>
      <c r="C455" s="91" t="s">
        <v>1702</v>
      </c>
      <c r="D455" s="92">
        <v>35.43</v>
      </c>
      <c r="E455" s="260"/>
      <c r="F455" s="199"/>
      <c r="G455" s="199"/>
      <c r="H455" s="281">
        <v>15</v>
      </c>
      <c r="I455" s="93">
        <v>-15</v>
      </c>
      <c r="J455" s="183"/>
      <c r="K455" s="94">
        <v>-15</v>
      </c>
      <c r="L455" s="95">
        <v>-531.45000000000005</v>
      </c>
      <c r="M455" s="278" t="s">
        <v>5254</v>
      </c>
    </row>
    <row r="456" spans="1:13">
      <c r="A456" s="88">
        <v>7</v>
      </c>
      <c r="B456" s="90" t="s">
        <v>1703</v>
      </c>
      <c r="C456" s="91" t="s">
        <v>1704</v>
      </c>
      <c r="D456" s="92">
        <v>45.88</v>
      </c>
      <c r="E456" s="260">
        <v>42</v>
      </c>
      <c r="F456" s="199"/>
      <c r="G456" s="199"/>
      <c r="H456" s="269">
        <v>14</v>
      </c>
      <c r="I456" s="93">
        <v>28</v>
      </c>
      <c r="J456" s="183">
        <v>30</v>
      </c>
      <c r="K456" s="94">
        <v>-2</v>
      </c>
      <c r="L456" s="95">
        <v>-91.759999999999991</v>
      </c>
      <c r="M456" s="96"/>
    </row>
    <row r="457" spans="1:13">
      <c r="A457" s="88">
        <v>7</v>
      </c>
      <c r="B457" s="90" t="s">
        <v>1705</v>
      </c>
      <c r="C457" s="91" t="s">
        <v>1706</v>
      </c>
      <c r="D457" s="92">
        <v>43.34</v>
      </c>
      <c r="E457" s="260">
        <v>5</v>
      </c>
      <c r="F457" s="199"/>
      <c r="G457" s="199"/>
      <c r="H457" s="269">
        <v>1</v>
      </c>
      <c r="I457" s="93">
        <v>4</v>
      </c>
      <c r="J457" s="183">
        <v>5</v>
      </c>
      <c r="K457" s="94">
        <v>-1</v>
      </c>
      <c r="L457" s="95">
        <v>-43.34</v>
      </c>
      <c r="M457" s="96"/>
    </row>
    <row r="458" spans="1:13">
      <c r="A458" s="88">
        <v>7</v>
      </c>
      <c r="B458" s="90" t="s">
        <v>1726</v>
      </c>
      <c r="C458" s="91" t="s">
        <v>1727</v>
      </c>
      <c r="D458" s="92">
        <v>15.91</v>
      </c>
      <c r="E458" s="260">
        <v>33</v>
      </c>
      <c r="F458" s="199"/>
      <c r="G458" s="199"/>
      <c r="H458" s="269">
        <v>9</v>
      </c>
      <c r="I458" s="93">
        <v>24</v>
      </c>
      <c r="J458" s="183">
        <v>25</v>
      </c>
      <c r="K458" s="94">
        <v>-1</v>
      </c>
      <c r="L458" s="95">
        <v>-15.909999999999968</v>
      </c>
      <c r="M458" s="278" t="s">
        <v>5211</v>
      </c>
    </row>
    <row r="459" spans="1:13">
      <c r="A459" s="88">
        <v>7</v>
      </c>
      <c r="B459" s="90" t="s">
        <v>1732</v>
      </c>
      <c r="C459" s="91" t="s">
        <v>1733</v>
      </c>
      <c r="D459" s="92">
        <v>53.81</v>
      </c>
      <c r="E459" s="260">
        <v>13</v>
      </c>
      <c r="F459" s="199">
        <v>48</v>
      </c>
      <c r="G459" s="199"/>
      <c r="H459" s="269">
        <v>15</v>
      </c>
      <c r="I459" s="93">
        <v>46</v>
      </c>
      <c r="J459" s="187">
        <v>54</v>
      </c>
      <c r="K459" s="94">
        <v>-8</v>
      </c>
      <c r="L459" s="95">
        <v>-430.48</v>
      </c>
      <c r="M459" s="96"/>
    </row>
    <row r="460" spans="1:13" ht="30">
      <c r="A460" s="88">
        <v>7</v>
      </c>
      <c r="B460" s="90" t="s">
        <v>1741</v>
      </c>
      <c r="C460" s="91" t="s">
        <v>1742</v>
      </c>
      <c r="D460" s="92">
        <v>104.5</v>
      </c>
      <c r="E460" s="260"/>
      <c r="F460" s="199"/>
      <c r="G460" s="199"/>
      <c r="H460" s="269"/>
      <c r="I460" s="93">
        <v>0</v>
      </c>
      <c r="J460" s="183">
        <v>7</v>
      </c>
      <c r="K460" s="94">
        <v>-7</v>
      </c>
      <c r="L460" s="95">
        <v>-731.5</v>
      </c>
      <c r="M460" s="96" t="s">
        <v>1743</v>
      </c>
    </row>
    <row r="461" spans="1:13">
      <c r="A461" s="88">
        <v>7</v>
      </c>
      <c r="B461" s="90" t="s">
        <v>1768</v>
      </c>
      <c r="C461" s="91" t="s">
        <v>1769</v>
      </c>
      <c r="D461" s="92">
        <v>12.39</v>
      </c>
      <c r="E461" s="260">
        <v>11</v>
      </c>
      <c r="F461" s="199"/>
      <c r="G461" s="199"/>
      <c r="H461" s="269">
        <v>9</v>
      </c>
      <c r="I461" s="93">
        <v>2</v>
      </c>
      <c r="J461" s="276">
        <v>15</v>
      </c>
      <c r="K461" s="94">
        <v>-13</v>
      </c>
      <c r="L461" s="95">
        <v>-161.07000000000002</v>
      </c>
      <c r="M461" s="96"/>
    </row>
    <row r="462" spans="1:13" ht="30">
      <c r="A462" s="88">
        <v>7</v>
      </c>
      <c r="B462" s="90" t="s">
        <v>1770</v>
      </c>
      <c r="C462" s="91" t="s">
        <v>1771</v>
      </c>
      <c r="D462" s="92">
        <v>35.549999999999997</v>
      </c>
      <c r="E462" s="260">
        <v>11</v>
      </c>
      <c r="F462" s="199"/>
      <c r="G462" s="199"/>
      <c r="H462" s="269">
        <v>5</v>
      </c>
      <c r="I462" s="93">
        <v>6</v>
      </c>
      <c r="J462" s="183">
        <v>21</v>
      </c>
      <c r="K462" s="94">
        <v>-15</v>
      </c>
      <c r="L462" s="95">
        <v>-533.25</v>
      </c>
      <c r="M462" s="96"/>
    </row>
    <row r="463" spans="1:13" ht="30">
      <c r="A463" s="88">
        <v>7</v>
      </c>
      <c r="B463" s="90" t="s">
        <v>1776</v>
      </c>
      <c r="C463" s="91" t="s">
        <v>1777</v>
      </c>
      <c r="D463" s="92">
        <v>12.39</v>
      </c>
      <c r="E463" s="260">
        <v>15</v>
      </c>
      <c r="F463" s="199"/>
      <c r="G463" s="199"/>
      <c r="H463" s="269">
        <v>6</v>
      </c>
      <c r="I463" s="93">
        <v>9</v>
      </c>
      <c r="J463" s="183">
        <v>15</v>
      </c>
      <c r="K463" s="94">
        <v>-6</v>
      </c>
      <c r="L463" s="95">
        <v>-74.340000000000018</v>
      </c>
      <c r="M463" s="278" t="s">
        <v>5195</v>
      </c>
    </row>
    <row r="464" spans="1:13" ht="30">
      <c r="A464" s="88">
        <v>7</v>
      </c>
      <c r="B464" s="90" t="s">
        <v>1780</v>
      </c>
      <c r="C464" s="91" t="s">
        <v>1781</v>
      </c>
      <c r="D464" s="92">
        <v>35.549999999999997</v>
      </c>
      <c r="E464" s="260">
        <v>8</v>
      </c>
      <c r="F464" s="199"/>
      <c r="G464" s="199"/>
      <c r="H464" s="269">
        <v>1</v>
      </c>
      <c r="I464" s="93">
        <v>7</v>
      </c>
      <c r="J464" s="183">
        <v>16</v>
      </c>
      <c r="K464" s="94">
        <v>-9</v>
      </c>
      <c r="L464" s="95">
        <v>-319.95</v>
      </c>
      <c r="M464" s="96"/>
    </row>
    <row r="465" spans="1:13">
      <c r="A465" s="88">
        <v>7</v>
      </c>
      <c r="B465" s="90" t="s">
        <v>1782</v>
      </c>
      <c r="C465" s="91" t="s">
        <v>1783</v>
      </c>
      <c r="D465" s="92">
        <v>97.21</v>
      </c>
      <c r="E465" s="260"/>
      <c r="F465" s="199"/>
      <c r="G465" s="199"/>
      <c r="H465" s="269">
        <v>1</v>
      </c>
      <c r="I465" s="93">
        <v>-1</v>
      </c>
      <c r="J465" s="183"/>
      <c r="K465" s="94">
        <v>-1</v>
      </c>
      <c r="L465" s="95">
        <v>-97.21</v>
      </c>
      <c r="M465" s="278" t="s">
        <v>5219</v>
      </c>
    </row>
    <row r="466" spans="1:13" ht="30">
      <c r="A466" s="88">
        <v>7</v>
      </c>
      <c r="B466" s="90" t="s">
        <v>1791</v>
      </c>
      <c r="C466" s="91" t="s">
        <v>1792</v>
      </c>
      <c r="D466" s="92">
        <v>12.39</v>
      </c>
      <c r="E466" s="260">
        <v>24</v>
      </c>
      <c r="F466" s="199"/>
      <c r="G466" s="199"/>
      <c r="H466" s="269">
        <v>20</v>
      </c>
      <c r="I466" s="93">
        <v>4</v>
      </c>
      <c r="J466" s="183">
        <v>29</v>
      </c>
      <c r="K466" s="94">
        <v>-25</v>
      </c>
      <c r="L466" s="95">
        <v>-309.75</v>
      </c>
      <c r="M466" s="278" t="s">
        <v>5220</v>
      </c>
    </row>
    <row r="467" spans="1:13" ht="30">
      <c r="A467" s="88">
        <v>7</v>
      </c>
      <c r="B467" s="90" t="s">
        <v>1795</v>
      </c>
      <c r="C467" s="91" t="s">
        <v>1796</v>
      </c>
      <c r="D467" s="92">
        <v>32.840000000000003</v>
      </c>
      <c r="E467" s="260"/>
      <c r="F467" s="199"/>
      <c r="G467" s="199"/>
      <c r="H467" s="269">
        <v>10</v>
      </c>
      <c r="I467" s="93">
        <v>-10</v>
      </c>
      <c r="J467" s="183"/>
      <c r="K467" s="94">
        <v>-10</v>
      </c>
      <c r="L467" s="95">
        <v>-328.40000000000003</v>
      </c>
      <c r="M467" s="278" t="s">
        <v>5254</v>
      </c>
    </row>
    <row r="468" spans="1:13" ht="30">
      <c r="A468" s="88">
        <v>7</v>
      </c>
      <c r="B468" s="90" t="s">
        <v>1801</v>
      </c>
      <c r="C468" s="91" t="s">
        <v>1802</v>
      </c>
      <c r="D468" s="92">
        <v>32.18</v>
      </c>
      <c r="E468" s="260">
        <v>7</v>
      </c>
      <c r="F468" s="199"/>
      <c r="G468" s="199"/>
      <c r="H468" s="269">
        <v>6</v>
      </c>
      <c r="I468" s="93">
        <v>1</v>
      </c>
      <c r="J468" s="183">
        <v>7</v>
      </c>
      <c r="K468" s="94">
        <v>-6</v>
      </c>
      <c r="L468" s="95">
        <v>-193.07999999999998</v>
      </c>
      <c r="M468" s="278" t="s">
        <v>5254</v>
      </c>
    </row>
    <row r="469" spans="1:13" ht="30">
      <c r="A469" s="88">
        <v>7</v>
      </c>
      <c r="B469" s="90" t="s">
        <v>1811</v>
      </c>
      <c r="C469" s="91" t="s">
        <v>1812</v>
      </c>
      <c r="D469" s="92">
        <v>24.24</v>
      </c>
      <c r="E469" s="260">
        <v>98</v>
      </c>
      <c r="F469" s="199"/>
      <c r="G469" s="199"/>
      <c r="H469" s="269">
        <v>26</v>
      </c>
      <c r="I469" s="93">
        <v>72</v>
      </c>
      <c r="J469" s="183">
        <v>92</v>
      </c>
      <c r="K469" s="94">
        <v>-20</v>
      </c>
      <c r="L469" s="95">
        <v>-484.79999999999995</v>
      </c>
      <c r="M469" s="278" t="s">
        <v>5221</v>
      </c>
    </row>
    <row r="470" spans="1:13">
      <c r="A470" s="88">
        <v>7</v>
      </c>
      <c r="B470" s="90" t="s">
        <v>1817</v>
      </c>
      <c r="C470" s="91" t="s">
        <v>1818</v>
      </c>
      <c r="D470" s="92">
        <v>60.45</v>
      </c>
      <c r="E470" s="260">
        <v>0</v>
      </c>
      <c r="F470" s="199"/>
      <c r="G470" s="199"/>
      <c r="H470" s="269">
        <v>6</v>
      </c>
      <c r="I470" s="93">
        <v>-6</v>
      </c>
      <c r="J470" s="183"/>
      <c r="K470" s="94">
        <v>-6</v>
      </c>
      <c r="L470" s="95">
        <v>-362.70000000000005</v>
      </c>
      <c r="M470" s="278" t="s">
        <v>5195</v>
      </c>
    </row>
    <row r="471" spans="1:13" ht="30">
      <c r="A471" s="88">
        <v>7</v>
      </c>
      <c r="B471" s="90" t="s">
        <v>1829</v>
      </c>
      <c r="C471" s="91" t="s">
        <v>1830</v>
      </c>
      <c r="D471" s="92">
        <v>58.57</v>
      </c>
      <c r="E471" s="260"/>
      <c r="F471" s="199"/>
      <c r="G471" s="199"/>
      <c r="H471" s="269">
        <v>4</v>
      </c>
      <c r="I471" s="93">
        <v>-4</v>
      </c>
      <c r="J471" s="183"/>
      <c r="K471" s="94">
        <v>-4</v>
      </c>
      <c r="L471" s="95">
        <v>-234.28</v>
      </c>
      <c r="M471" s="96"/>
    </row>
    <row r="472" spans="1:13">
      <c r="A472" s="88">
        <v>7</v>
      </c>
      <c r="B472" s="90" t="s">
        <v>1831</v>
      </c>
      <c r="C472" s="91" t="s">
        <v>1832</v>
      </c>
      <c r="D472" s="92">
        <v>25.03</v>
      </c>
      <c r="E472" s="260"/>
      <c r="F472" s="199"/>
      <c r="G472" s="199"/>
      <c r="H472" s="269">
        <v>1</v>
      </c>
      <c r="I472" s="93">
        <v>-1</v>
      </c>
      <c r="J472" s="183"/>
      <c r="K472" s="94">
        <v>-1</v>
      </c>
      <c r="L472" s="95">
        <v>-25.03</v>
      </c>
      <c r="M472" s="96"/>
    </row>
    <row r="473" spans="1:13">
      <c r="A473" s="88">
        <v>7</v>
      </c>
      <c r="B473" s="90" t="s">
        <v>1838</v>
      </c>
      <c r="C473" s="91" t="s">
        <v>1839</v>
      </c>
      <c r="D473" s="92">
        <v>61.5</v>
      </c>
      <c r="E473" s="260">
        <v>35</v>
      </c>
      <c r="F473" s="199"/>
      <c r="G473" s="199"/>
      <c r="H473" s="269">
        <v>11</v>
      </c>
      <c r="I473" s="93">
        <v>24</v>
      </c>
      <c r="J473" s="183">
        <v>25</v>
      </c>
      <c r="K473" s="94">
        <v>-1</v>
      </c>
      <c r="L473" s="95">
        <v>-61.5</v>
      </c>
      <c r="M473" s="96"/>
    </row>
    <row r="474" spans="1:13">
      <c r="A474" s="88">
        <v>7</v>
      </c>
      <c r="B474" s="90" t="s">
        <v>1840</v>
      </c>
      <c r="C474" s="91" t="s">
        <v>1841</v>
      </c>
      <c r="D474" s="92">
        <v>29.95</v>
      </c>
      <c r="E474" s="260">
        <v>28</v>
      </c>
      <c r="F474" s="199"/>
      <c r="G474" s="199"/>
      <c r="H474" s="269">
        <v>18</v>
      </c>
      <c r="I474" s="93">
        <v>10</v>
      </c>
      <c r="J474" s="183">
        <v>24</v>
      </c>
      <c r="K474" s="94">
        <v>-14</v>
      </c>
      <c r="L474" s="95">
        <v>-419.29999999999995</v>
      </c>
      <c r="M474" s="278" t="s">
        <v>5227</v>
      </c>
    </row>
    <row r="475" spans="1:13">
      <c r="A475" s="88">
        <v>7</v>
      </c>
      <c r="B475" s="90" t="s">
        <v>1866</v>
      </c>
      <c r="C475" s="91" t="s">
        <v>1867</v>
      </c>
      <c r="D475" s="92">
        <v>39.5</v>
      </c>
      <c r="E475" s="260">
        <v>14</v>
      </c>
      <c r="F475" s="199"/>
      <c r="G475" s="199"/>
      <c r="H475" s="269">
        <v>4</v>
      </c>
      <c r="I475" s="93">
        <v>10</v>
      </c>
      <c r="J475" s="183">
        <v>13</v>
      </c>
      <c r="K475" s="94">
        <v>-3</v>
      </c>
      <c r="L475" s="95">
        <v>-118.5</v>
      </c>
      <c r="M475" s="278" t="s">
        <v>5244</v>
      </c>
    </row>
    <row r="476" spans="1:13">
      <c r="A476" s="88">
        <v>7</v>
      </c>
      <c r="B476" s="90" t="s">
        <v>1868</v>
      </c>
      <c r="C476" s="91" t="s">
        <v>1869</v>
      </c>
      <c r="D476" s="92">
        <v>38.75</v>
      </c>
      <c r="E476" s="260">
        <v>4</v>
      </c>
      <c r="F476" s="199"/>
      <c r="G476" s="199"/>
      <c r="H476" s="269">
        <v>5</v>
      </c>
      <c r="I476" s="93">
        <v>-1</v>
      </c>
      <c r="J476" s="183">
        <v>1</v>
      </c>
      <c r="K476" s="94">
        <v>-2</v>
      </c>
      <c r="L476" s="95">
        <v>-77.5</v>
      </c>
      <c r="M476" s="96"/>
    </row>
    <row r="477" spans="1:13">
      <c r="A477" s="88">
        <v>7</v>
      </c>
      <c r="B477" s="90" t="s">
        <v>1870</v>
      </c>
      <c r="C477" s="91" t="s">
        <v>1871</v>
      </c>
      <c r="D477" s="92">
        <v>35.75</v>
      </c>
      <c r="E477" s="260">
        <v>20</v>
      </c>
      <c r="F477" s="199"/>
      <c r="G477" s="199"/>
      <c r="H477" s="269">
        <v>5</v>
      </c>
      <c r="I477" s="93">
        <v>15</v>
      </c>
      <c r="J477" s="183">
        <v>16</v>
      </c>
      <c r="K477" s="94">
        <v>-1</v>
      </c>
      <c r="L477" s="95">
        <v>-35.75</v>
      </c>
      <c r="M477" s="96"/>
    </row>
    <row r="478" spans="1:13" ht="30">
      <c r="A478" s="88">
        <v>7</v>
      </c>
      <c r="B478" s="90" t="s">
        <v>1872</v>
      </c>
      <c r="C478" s="91" t="s">
        <v>1873</v>
      </c>
      <c r="D478" s="92">
        <v>51.5</v>
      </c>
      <c r="E478" s="260">
        <v>22</v>
      </c>
      <c r="F478" s="199"/>
      <c r="G478" s="199"/>
      <c r="H478" s="269">
        <v>3</v>
      </c>
      <c r="I478" s="93">
        <v>19</v>
      </c>
      <c r="J478" s="183">
        <v>21</v>
      </c>
      <c r="K478" s="94">
        <v>-2</v>
      </c>
      <c r="L478" s="95">
        <v>-103</v>
      </c>
      <c r="M478" s="96"/>
    </row>
    <row r="479" spans="1:13" ht="30">
      <c r="A479" s="88">
        <v>8</v>
      </c>
      <c r="B479" s="90" t="s">
        <v>1893</v>
      </c>
      <c r="C479" s="91" t="s">
        <v>1894</v>
      </c>
      <c r="D479" s="92">
        <v>15.39</v>
      </c>
      <c r="E479" s="260">
        <v>140</v>
      </c>
      <c r="F479" s="199"/>
      <c r="G479" s="199"/>
      <c r="H479" s="269"/>
      <c r="I479" s="93">
        <v>140</v>
      </c>
      <c r="J479" s="183">
        <v>317</v>
      </c>
      <c r="K479" s="94">
        <v>-177</v>
      </c>
      <c r="L479" s="95">
        <v>-2724.03</v>
      </c>
      <c r="M479" s="102">
        <v>45374</v>
      </c>
    </row>
    <row r="480" spans="1:13" ht="30">
      <c r="A480" s="88">
        <v>8</v>
      </c>
      <c r="B480" s="90" t="s">
        <v>1898</v>
      </c>
      <c r="C480" s="91" t="s">
        <v>1899</v>
      </c>
      <c r="D480" s="92">
        <v>23.92</v>
      </c>
      <c r="E480" s="260"/>
      <c r="F480" s="199"/>
      <c r="G480" s="199"/>
      <c r="H480" s="269">
        <v>4</v>
      </c>
      <c r="I480" s="93">
        <v>-4</v>
      </c>
      <c r="J480" s="183"/>
      <c r="K480" s="94">
        <v>-4</v>
      </c>
      <c r="L480" s="95">
        <v>-95.68</v>
      </c>
      <c r="M480" s="96"/>
    </row>
    <row r="481" spans="1:13" ht="30">
      <c r="A481" s="88">
        <v>8</v>
      </c>
      <c r="B481" s="90" t="s">
        <v>1902</v>
      </c>
      <c r="C481" s="91" t="s">
        <v>1903</v>
      </c>
      <c r="D481" s="92">
        <v>60.9</v>
      </c>
      <c r="E481" s="260"/>
      <c r="F481" s="199"/>
      <c r="G481" s="199"/>
      <c r="H481" s="269">
        <v>5</v>
      </c>
      <c r="I481" s="93">
        <v>-5</v>
      </c>
      <c r="J481" s="183"/>
      <c r="K481" s="94">
        <v>-5</v>
      </c>
      <c r="L481" s="95">
        <v>-304.5</v>
      </c>
      <c r="M481" s="96"/>
    </row>
    <row r="482" spans="1:13">
      <c r="A482" s="88">
        <v>8</v>
      </c>
      <c r="B482" s="90" t="s">
        <v>1926</v>
      </c>
      <c r="C482" s="91" t="s">
        <v>1927</v>
      </c>
      <c r="D482" s="92">
        <v>15.19</v>
      </c>
      <c r="E482" s="260">
        <v>0</v>
      </c>
      <c r="F482" s="199"/>
      <c r="G482" s="199"/>
      <c r="H482" s="269"/>
      <c r="I482" s="93">
        <v>0</v>
      </c>
      <c r="J482" s="183">
        <v>35</v>
      </c>
      <c r="K482" s="94">
        <v>-35</v>
      </c>
      <c r="L482" s="95">
        <v>-531.65</v>
      </c>
      <c r="M482" s="96"/>
    </row>
    <row r="483" spans="1:13">
      <c r="A483" s="88">
        <v>8</v>
      </c>
      <c r="B483" s="90" t="s">
        <v>1930</v>
      </c>
      <c r="C483" s="91" t="s">
        <v>1931</v>
      </c>
      <c r="D483" s="92">
        <v>31.9</v>
      </c>
      <c r="E483" s="260">
        <v>74</v>
      </c>
      <c r="F483" s="199"/>
      <c r="G483" s="199"/>
      <c r="H483" s="269">
        <v>31</v>
      </c>
      <c r="I483" s="93">
        <v>43</v>
      </c>
      <c r="J483" s="183">
        <v>58</v>
      </c>
      <c r="K483" s="94">
        <v>-15</v>
      </c>
      <c r="L483" s="95">
        <v>-478.49999999999977</v>
      </c>
      <c r="M483" s="278" t="s">
        <v>5255</v>
      </c>
    </row>
    <row r="484" spans="1:13">
      <c r="A484" s="88">
        <v>8</v>
      </c>
      <c r="B484" s="90" t="s">
        <v>1932</v>
      </c>
      <c r="C484" s="91" t="s">
        <v>1933</v>
      </c>
      <c r="D484" s="92">
        <v>65.95</v>
      </c>
      <c r="E484" s="260">
        <v>24</v>
      </c>
      <c r="F484" s="199"/>
      <c r="G484" s="199"/>
      <c r="H484" s="269">
        <v>30</v>
      </c>
      <c r="I484" s="93">
        <v>-6</v>
      </c>
      <c r="J484" s="183">
        <v>4</v>
      </c>
      <c r="K484" s="94">
        <v>-10</v>
      </c>
      <c r="L484" s="95">
        <v>-659.5</v>
      </c>
      <c r="M484" s="96"/>
    </row>
    <row r="485" spans="1:13">
      <c r="A485" s="88">
        <v>8</v>
      </c>
      <c r="B485" s="90" t="s">
        <v>1934</v>
      </c>
      <c r="C485" s="91" t="s">
        <v>1935</v>
      </c>
      <c r="D485" s="92">
        <v>13.56</v>
      </c>
      <c r="E485" s="260">
        <v>9</v>
      </c>
      <c r="F485" s="199"/>
      <c r="G485" s="199"/>
      <c r="H485" s="269">
        <v>15</v>
      </c>
      <c r="I485" s="93">
        <v>-6</v>
      </c>
      <c r="J485" s="183">
        <v>9</v>
      </c>
      <c r="K485" s="94">
        <v>-15</v>
      </c>
      <c r="L485" s="95">
        <v>-203.4</v>
      </c>
      <c r="M485" s="278" t="s">
        <v>5193</v>
      </c>
    </row>
    <row r="486" spans="1:13">
      <c r="A486" s="88">
        <v>8</v>
      </c>
      <c r="B486" s="90" t="s">
        <v>1936</v>
      </c>
      <c r="C486" s="91" t="s">
        <v>1937</v>
      </c>
      <c r="D486" s="92">
        <v>71.75</v>
      </c>
      <c r="E486" s="260"/>
      <c r="F486" s="199"/>
      <c r="G486" s="199"/>
      <c r="H486" s="80">
        <v>1</v>
      </c>
      <c r="I486" s="93">
        <v>-1</v>
      </c>
      <c r="J486" s="183"/>
      <c r="K486" s="94">
        <v>-1</v>
      </c>
      <c r="L486" s="95">
        <v>-71.75</v>
      </c>
      <c r="M486" s="96"/>
    </row>
    <row r="487" spans="1:13">
      <c r="A487" s="88">
        <v>8</v>
      </c>
      <c r="B487" s="90" t="s">
        <v>1942</v>
      </c>
      <c r="C487" s="91" t="s">
        <v>1943</v>
      </c>
      <c r="D487" s="92">
        <v>10</v>
      </c>
      <c r="E487" s="260">
        <v>60</v>
      </c>
      <c r="F487" s="199"/>
      <c r="G487" s="199"/>
      <c r="H487" s="269">
        <v>20</v>
      </c>
      <c r="I487" s="93">
        <v>40</v>
      </c>
      <c r="J487" s="183">
        <v>60</v>
      </c>
      <c r="K487" s="94">
        <v>-20</v>
      </c>
      <c r="L487" s="95">
        <v>-200</v>
      </c>
      <c r="M487" s="279" t="s">
        <v>5220</v>
      </c>
    </row>
    <row r="488" spans="1:13" ht="30">
      <c r="A488" s="88">
        <v>8</v>
      </c>
      <c r="B488" s="90" t="s">
        <v>1956</v>
      </c>
      <c r="C488" s="91" t="s">
        <v>1957</v>
      </c>
      <c r="D488" s="92">
        <v>91.9</v>
      </c>
      <c r="E488" s="260"/>
      <c r="F488" s="199"/>
      <c r="G488" s="199"/>
      <c r="H488" s="269">
        <v>1</v>
      </c>
      <c r="I488" s="93">
        <v>-1</v>
      </c>
      <c r="J488" s="183">
        <v>1</v>
      </c>
      <c r="K488" s="94">
        <v>-2</v>
      </c>
      <c r="L488" s="95">
        <v>-183.8</v>
      </c>
      <c r="M488" s="278" t="s">
        <v>5183</v>
      </c>
    </row>
    <row r="489" spans="1:13">
      <c r="A489" s="88">
        <v>8</v>
      </c>
      <c r="B489" s="90" t="s">
        <v>1983</v>
      </c>
      <c r="C489" s="91" t="s">
        <v>1984</v>
      </c>
      <c r="D489" s="92">
        <v>49.2</v>
      </c>
      <c r="E489" s="260">
        <v>1</v>
      </c>
      <c r="F489" s="199"/>
      <c r="G489" s="199"/>
      <c r="H489" s="269">
        <v>3</v>
      </c>
      <c r="I489" s="93">
        <v>-2</v>
      </c>
      <c r="J489" s="183">
        <v>1</v>
      </c>
      <c r="K489" s="94">
        <v>-3</v>
      </c>
      <c r="L489" s="95">
        <v>-147.60000000000002</v>
      </c>
      <c r="M489" s="96"/>
    </row>
    <row r="490" spans="1:13">
      <c r="A490" s="88">
        <v>8</v>
      </c>
      <c r="B490" s="90" t="s">
        <v>1993</v>
      </c>
      <c r="C490" s="91" t="s">
        <v>1994</v>
      </c>
      <c r="D490" s="92">
        <v>5.16</v>
      </c>
      <c r="E490" s="260">
        <v>170</v>
      </c>
      <c r="F490" s="199"/>
      <c r="G490" s="199"/>
      <c r="H490" s="269">
        <v>31</v>
      </c>
      <c r="I490" s="93">
        <v>139</v>
      </c>
      <c r="J490" s="183">
        <v>165</v>
      </c>
      <c r="K490" s="94">
        <v>-26</v>
      </c>
      <c r="L490" s="95">
        <v>-134.15999999999997</v>
      </c>
      <c r="M490" s="96"/>
    </row>
    <row r="491" spans="1:13" ht="30">
      <c r="A491" s="88">
        <v>8</v>
      </c>
      <c r="B491" s="90" t="s">
        <v>1999</v>
      </c>
      <c r="C491" s="91" t="s">
        <v>2000</v>
      </c>
      <c r="D491" s="92">
        <v>34.880000000000003</v>
      </c>
      <c r="E491" s="260"/>
      <c r="F491" s="199"/>
      <c r="G491" s="199"/>
      <c r="H491" s="269">
        <v>6</v>
      </c>
      <c r="I491" s="93">
        <v>-6</v>
      </c>
      <c r="J491" s="183"/>
      <c r="K491" s="94">
        <v>-6</v>
      </c>
      <c r="L491" s="95">
        <v>-209.28000000000003</v>
      </c>
      <c r="M491" s="278" t="s">
        <v>5195</v>
      </c>
    </row>
    <row r="492" spans="1:13">
      <c r="A492" s="88">
        <v>8</v>
      </c>
      <c r="B492" s="90" t="s">
        <v>2001</v>
      </c>
      <c r="C492" s="91" t="s">
        <v>2002</v>
      </c>
      <c r="D492" s="92">
        <v>51.97</v>
      </c>
      <c r="E492" s="260">
        <v>6</v>
      </c>
      <c r="F492" s="199">
        <v>24</v>
      </c>
      <c r="G492" s="199"/>
      <c r="H492" s="269">
        <v>3</v>
      </c>
      <c r="I492" s="93">
        <v>27</v>
      </c>
      <c r="J492" s="183">
        <v>30</v>
      </c>
      <c r="K492" s="94">
        <v>-3</v>
      </c>
      <c r="L492" s="95">
        <v>-155.90999999999985</v>
      </c>
      <c r="M492" s="96"/>
    </row>
    <row r="493" spans="1:13">
      <c r="A493" s="88">
        <v>8</v>
      </c>
      <c r="B493" s="90" t="s">
        <v>2003</v>
      </c>
      <c r="C493" s="91" t="s">
        <v>2004</v>
      </c>
      <c r="D493" s="92">
        <v>35.39</v>
      </c>
      <c r="E493" s="260"/>
      <c r="F493" s="199"/>
      <c r="G493" s="199"/>
      <c r="H493" s="269">
        <v>6</v>
      </c>
      <c r="I493" s="93">
        <v>-6</v>
      </c>
      <c r="J493" s="183"/>
      <c r="K493" s="94">
        <v>-6</v>
      </c>
      <c r="L493" s="95">
        <v>-212.34</v>
      </c>
      <c r="M493" s="96"/>
    </row>
    <row r="494" spans="1:13">
      <c r="A494" s="88">
        <v>8</v>
      </c>
      <c r="B494" s="90" t="s">
        <v>2017</v>
      </c>
      <c r="C494" s="91" t="s">
        <v>2018</v>
      </c>
      <c r="D494" s="92">
        <v>6.02</v>
      </c>
      <c r="E494" s="260">
        <v>122</v>
      </c>
      <c r="F494" s="199">
        <v>120</v>
      </c>
      <c r="G494" s="199"/>
      <c r="H494" s="269">
        <v>113</v>
      </c>
      <c r="I494" s="93">
        <v>129</v>
      </c>
      <c r="J494" s="183">
        <v>159</v>
      </c>
      <c r="K494" s="94">
        <v>-30</v>
      </c>
      <c r="L494" s="95">
        <v>-180.60000000000002</v>
      </c>
      <c r="M494" s="278" t="s">
        <v>5243</v>
      </c>
    </row>
    <row r="495" spans="1:13">
      <c r="A495" s="88">
        <v>8</v>
      </c>
      <c r="B495" s="90" t="s">
        <v>2019</v>
      </c>
      <c r="C495" s="91" t="s">
        <v>2020</v>
      </c>
      <c r="D495" s="92">
        <v>6.02</v>
      </c>
      <c r="E495" s="260">
        <v>1</v>
      </c>
      <c r="F495" s="199">
        <v>120</v>
      </c>
      <c r="G495" s="199"/>
      <c r="H495" s="269">
        <v>66</v>
      </c>
      <c r="I495" s="93">
        <v>55</v>
      </c>
      <c r="J495" s="183">
        <v>65</v>
      </c>
      <c r="K495" s="94">
        <v>-10</v>
      </c>
      <c r="L495" s="95">
        <v>-60.199999999999989</v>
      </c>
      <c r="M495" s="96"/>
    </row>
    <row r="496" spans="1:13" ht="30">
      <c r="A496" s="88">
        <v>8</v>
      </c>
      <c r="B496" s="90" t="s">
        <v>2021</v>
      </c>
      <c r="C496" s="91" t="s">
        <v>2022</v>
      </c>
      <c r="D496" s="92">
        <v>86.29</v>
      </c>
      <c r="E496" s="260"/>
      <c r="F496" s="199"/>
      <c r="G496" s="199"/>
      <c r="H496" s="269">
        <v>12</v>
      </c>
      <c r="I496" s="93">
        <v>-12</v>
      </c>
      <c r="J496" s="183"/>
      <c r="K496" s="94">
        <v>-12</v>
      </c>
      <c r="L496" s="95">
        <v>-1035.48</v>
      </c>
      <c r="M496" s="278" t="s">
        <v>5239</v>
      </c>
    </row>
    <row r="497" spans="1:13" ht="30">
      <c r="A497" s="88">
        <v>8</v>
      </c>
      <c r="B497" s="90" t="s">
        <v>2023</v>
      </c>
      <c r="C497" s="91" t="s">
        <v>2024</v>
      </c>
      <c r="D497" s="92">
        <v>7.14</v>
      </c>
      <c r="E497" s="260">
        <v>46</v>
      </c>
      <c r="F497" s="199"/>
      <c r="G497" s="199"/>
      <c r="H497" s="269">
        <v>42</v>
      </c>
      <c r="I497" s="93">
        <v>4</v>
      </c>
      <c r="J497" s="183">
        <v>49</v>
      </c>
      <c r="K497" s="94">
        <v>-45</v>
      </c>
      <c r="L497" s="95">
        <v>-321.29999999999995</v>
      </c>
      <c r="M497" s="96"/>
    </row>
    <row r="498" spans="1:13" ht="30">
      <c r="A498" s="88">
        <v>8</v>
      </c>
      <c r="B498" s="90" t="s">
        <v>2027</v>
      </c>
      <c r="C498" s="91" t="s">
        <v>2028</v>
      </c>
      <c r="D498" s="92">
        <v>14.38</v>
      </c>
      <c r="E498" s="260">
        <v>41</v>
      </c>
      <c r="F498" s="199"/>
      <c r="G498" s="199"/>
      <c r="H498" s="269">
        <v>36</v>
      </c>
      <c r="I498" s="93">
        <v>5</v>
      </c>
      <c r="J498" s="183">
        <v>29</v>
      </c>
      <c r="K498" s="94">
        <v>-24</v>
      </c>
      <c r="L498" s="95">
        <v>-345.12</v>
      </c>
      <c r="M498" s="278" t="s">
        <v>5241</v>
      </c>
    </row>
    <row r="499" spans="1:13">
      <c r="A499" s="88">
        <v>8</v>
      </c>
      <c r="B499" s="90" t="s">
        <v>2031</v>
      </c>
      <c r="C499" s="91" t="s">
        <v>2032</v>
      </c>
      <c r="D499" s="92">
        <v>27.84</v>
      </c>
      <c r="E499" s="260"/>
      <c r="F499" s="199"/>
      <c r="G499" s="199"/>
      <c r="H499" s="269">
        <v>14</v>
      </c>
      <c r="I499" s="93">
        <v>-14</v>
      </c>
      <c r="J499" s="183"/>
      <c r="K499" s="94">
        <v>-14</v>
      </c>
      <c r="L499" s="95">
        <v>-389.76</v>
      </c>
      <c r="M499" s="96"/>
    </row>
    <row r="500" spans="1:13">
      <c r="A500" s="88">
        <v>8</v>
      </c>
      <c r="B500" s="90" t="s">
        <v>2033</v>
      </c>
      <c r="C500" s="91" t="s">
        <v>2034</v>
      </c>
      <c r="D500" s="92">
        <v>13.92</v>
      </c>
      <c r="E500" s="260"/>
      <c r="F500" s="199"/>
      <c r="G500" s="199"/>
      <c r="H500" s="269">
        <v>12</v>
      </c>
      <c r="I500" s="93">
        <v>-12</v>
      </c>
      <c r="J500" s="183"/>
      <c r="K500" s="94">
        <v>-12</v>
      </c>
      <c r="L500" s="95">
        <v>-167.04</v>
      </c>
      <c r="M500" s="96"/>
    </row>
    <row r="501" spans="1:13" ht="30">
      <c r="A501" s="88">
        <v>8</v>
      </c>
      <c r="B501" s="90" t="s">
        <v>2051</v>
      </c>
      <c r="C501" s="91" t="s">
        <v>2052</v>
      </c>
      <c r="D501" s="92">
        <v>13.39</v>
      </c>
      <c r="E501" s="260">
        <v>42</v>
      </c>
      <c r="F501" s="199"/>
      <c r="G501" s="199"/>
      <c r="H501" s="269">
        <v>37</v>
      </c>
      <c r="I501" s="93">
        <v>5</v>
      </c>
      <c r="J501" s="183">
        <v>7</v>
      </c>
      <c r="K501" s="94">
        <v>-2</v>
      </c>
      <c r="L501" s="95">
        <v>-26.78</v>
      </c>
      <c r="M501" s="96"/>
    </row>
    <row r="502" spans="1:13">
      <c r="A502" s="88">
        <v>8</v>
      </c>
      <c r="B502" s="90" t="s">
        <v>2055</v>
      </c>
      <c r="C502" s="91" t="s">
        <v>2056</v>
      </c>
      <c r="D502" s="92">
        <v>5.61</v>
      </c>
      <c r="E502" s="260">
        <v>68</v>
      </c>
      <c r="F502" s="199"/>
      <c r="G502" s="199"/>
      <c r="H502" s="269">
        <v>24</v>
      </c>
      <c r="I502" s="93">
        <v>44</v>
      </c>
      <c r="J502" s="183">
        <v>68</v>
      </c>
      <c r="K502" s="94">
        <v>-24</v>
      </c>
      <c r="L502" s="95">
        <v>-134.64000000000001</v>
      </c>
      <c r="M502" s="278" t="s">
        <v>5245</v>
      </c>
    </row>
    <row r="503" spans="1:13" ht="30">
      <c r="A503" s="88">
        <v>8</v>
      </c>
      <c r="B503" s="90" t="s">
        <v>2061</v>
      </c>
      <c r="C503" s="91" t="s">
        <v>2062</v>
      </c>
      <c r="D503" s="92">
        <v>11.02</v>
      </c>
      <c r="E503" s="260"/>
      <c r="F503" s="199"/>
      <c r="G503" s="199"/>
      <c r="H503" s="269"/>
      <c r="I503" s="93">
        <v>0</v>
      </c>
      <c r="J503" s="183">
        <v>5</v>
      </c>
      <c r="K503" s="94">
        <v>-5</v>
      </c>
      <c r="L503" s="95">
        <v>-55.099999999999994</v>
      </c>
      <c r="M503" s="96"/>
    </row>
    <row r="504" spans="1:13" ht="30">
      <c r="A504" s="88">
        <v>8</v>
      </c>
      <c r="B504" s="90" t="s">
        <v>2063</v>
      </c>
      <c r="C504" s="91" t="s">
        <v>2064</v>
      </c>
      <c r="D504" s="92">
        <v>35</v>
      </c>
      <c r="E504" s="260">
        <v>3</v>
      </c>
      <c r="F504" s="199"/>
      <c r="G504" s="199"/>
      <c r="H504" s="269">
        <v>1</v>
      </c>
      <c r="I504" s="93">
        <v>2</v>
      </c>
      <c r="J504" s="183">
        <v>6</v>
      </c>
      <c r="K504" s="94">
        <v>-4</v>
      </c>
      <c r="L504" s="95">
        <v>-140</v>
      </c>
      <c r="M504" s="96"/>
    </row>
    <row r="505" spans="1:13">
      <c r="A505" s="88">
        <v>8</v>
      </c>
      <c r="B505" s="90" t="s">
        <v>2069</v>
      </c>
      <c r="C505" s="91" t="s">
        <v>2070</v>
      </c>
      <c r="D505" s="92">
        <v>13.1</v>
      </c>
      <c r="E505" s="260">
        <v>6</v>
      </c>
      <c r="F505" s="199"/>
      <c r="G505" s="199"/>
      <c r="H505" s="269">
        <v>1</v>
      </c>
      <c r="I505" s="93">
        <v>5</v>
      </c>
      <c r="J505" s="183">
        <v>6</v>
      </c>
      <c r="K505" s="94">
        <v>-1</v>
      </c>
      <c r="L505" s="95">
        <v>-13.099999999999994</v>
      </c>
      <c r="M505" s="96"/>
    </row>
    <row r="506" spans="1:13">
      <c r="A506" s="88">
        <v>8</v>
      </c>
      <c r="B506" s="90" t="s">
        <v>2073</v>
      </c>
      <c r="C506" s="91" t="s">
        <v>2074</v>
      </c>
      <c r="D506" s="92">
        <v>67.290000000000006</v>
      </c>
      <c r="E506" s="260"/>
      <c r="F506" s="199">
        <v>24</v>
      </c>
      <c r="G506" s="199"/>
      <c r="H506" s="269">
        <v>11</v>
      </c>
      <c r="I506" s="93">
        <v>13</v>
      </c>
      <c r="J506" s="183">
        <v>29</v>
      </c>
      <c r="K506" s="94">
        <v>-16</v>
      </c>
      <c r="L506" s="95">
        <v>-1076.6399999999999</v>
      </c>
      <c r="M506" s="278" t="s">
        <v>5200</v>
      </c>
    </row>
    <row r="507" spans="1:13">
      <c r="A507" s="88">
        <v>8</v>
      </c>
      <c r="B507" s="90" t="s">
        <v>2108</v>
      </c>
      <c r="C507" s="91" t="s">
        <v>2109</v>
      </c>
      <c r="D507" s="92">
        <v>26</v>
      </c>
      <c r="E507" s="260">
        <v>1</v>
      </c>
      <c r="F507" s="199"/>
      <c r="G507" s="199"/>
      <c r="H507" s="269">
        <v>4</v>
      </c>
      <c r="I507" s="93">
        <v>-3</v>
      </c>
      <c r="J507" s="183"/>
      <c r="K507" s="94">
        <v>-3</v>
      </c>
      <c r="L507" s="95">
        <v>-78</v>
      </c>
      <c r="M507" s="96"/>
    </row>
    <row r="508" spans="1:13">
      <c r="A508" s="88">
        <v>8</v>
      </c>
      <c r="B508" s="90" t="s">
        <v>2118</v>
      </c>
      <c r="C508" s="91" t="s">
        <v>2119</v>
      </c>
      <c r="D508" s="92">
        <v>31.5</v>
      </c>
      <c r="E508" s="260">
        <v>25</v>
      </c>
      <c r="F508" s="199"/>
      <c r="G508" s="199"/>
      <c r="H508" s="269">
        <v>2</v>
      </c>
      <c r="I508" s="93">
        <v>23</v>
      </c>
      <c r="J508" s="183">
        <v>24</v>
      </c>
      <c r="K508" s="94">
        <v>-1</v>
      </c>
      <c r="L508" s="95">
        <v>-31.5</v>
      </c>
      <c r="M508" s="96"/>
    </row>
    <row r="509" spans="1:13">
      <c r="A509" s="88">
        <v>8</v>
      </c>
      <c r="B509" s="90" t="s">
        <v>2124</v>
      </c>
      <c r="C509" s="91" t="s">
        <v>2125</v>
      </c>
      <c r="D509" s="92">
        <v>20.88</v>
      </c>
      <c r="E509" s="260"/>
      <c r="F509" s="199"/>
      <c r="G509" s="199"/>
      <c r="H509" s="269">
        <v>7</v>
      </c>
      <c r="I509" s="93">
        <v>-7</v>
      </c>
      <c r="J509" s="183">
        <v>30</v>
      </c>
      <c r="K509" s="94">
        <v>-37</v>
      </c>
      <c r="L509" s="95">
        <v>-772.56</v>
      </c>
      <c r="M509" s="96"/>
    </row>
    <row r="510" spans="1:13" ht="30">
      <c r="A510" s="88">
        <v>9</v>
      </c>
      <c r="B510" s="90" t="s">
        <v>2148</v>
      </c>
      <c r="C510" s="91" t="s">
        <v>2149</v>
      </c>
      <c r="D510" s="92">
        <v>37</v>
      </c>
      <c r="E510" s="260">
        <v>6</v>
      </c>
      <c r="F510" s="199"/>
      <c r="G510" s="199"/>
      <c r="H510" s="269">
        <v>1</v>
      </c>
      <c r="I510" s="93">
        <v>5</v>
      </c>
      <c r="J510" s="183">
        <v>6</v>
      </c>
      <c r="K510" s="94">
        <v>-1</v>
      </c>
      <c r="L510" s="95">
        <v>-37</v>
      </c>
      <c r="M510" s="278" t="s">
        <v>5219</v>
      </c>
    </row>
    <row r="511" spans="1:13" ht="30">
      <c r="A511" s="88">
        <v>9</v>
      </c>
      <c r="B511" s="90" t="s">
        <v>2158</v>
      </c>
      <c r="C511" s="91" t="s">
        <v>2159</v>
      </c>
      <c r="D511" s="92">
        <v>37</v>
      </c>
      <c r="E511" s="260"/>
      <c r="F511" s="199"/>
      <c r="G511" s="199"/>
      <c r="H511" s="269"/>
      <c r="I511" s="93">
        <v>0</v>
      </c>
      <c r="J511" s="183">
        <v>6</v>
      </c>
      <c r="K511" s="94">
        <v>-6</v>
      </c>
      <c r="L511" s="95">
        <v>-222</v>
      </c>
      <c r="M511" s="96"/>
    </row>
    <row r="512" spans="1:13" ht="30">
      <c r="A512" s="88">
        <v>9</v>
      </c>
      <c r="B512" s="90" t="s">
        <v>2168</v>
      </c>
      <c r="C512" s="91" t="s">
        <v>2169</v>
      </c>
      <c r="D512" s="92">
        <v>38</v>
      </c>
      <c r="E512" s="260">
        <v>1</v>
      </c>
      <c r="F512" s="199"/>
      <c r="G512" s="199"/>
      <c r="H512" s="269"/>
      <c r="I512" s="93">
        <v>1</v>
      </c>
      <c r="J512" s="183">
        <v>4</v>
      </c>
      <c r="K512" s="94">
        <v>-3</v>
      </c>
      <c r="L512" s="95">
        <v>-114</v>
      </c>
      <c r="M512" s="96"/>
    </row>
    <row r="513" spans="1:13" ht="30">
      <c r="A513" s="88">
        <v>9</v>
      </c>
      <c r="B513" s="90" t="s">
        <v>2171</v>
      </c>
      <c r="C513" s="91" t="s">
        <v>2172</v>
      </c>
      <c r="D513" s="92">
        <v>38</v>
      </c>
      <c r="E513" s="260">
        <v>1</v>
      </c>
      <c r="F513" s="199"/>
      <c r="G513" s="199"/>
      <c r="H513" s="269"/>
      <c r="I513" s="93">
        <v>1</v>
      </c>
      <c r="J513" s="183">
        <v>4</v>
      </c>
      <c r="K513" s="94">
        <v>-3</v>
      </c>
      <c r="L513" s="95">
        <v>-114</v>
      </c>
      <c r="M513" s="96"/>
    </row>
    <row r="514" spans="1:13" ht="30">
      <c r="A514" s="88">
        <v>9</v>
      </c>
      <c r="B514" s="90" t="s">
        <v>2195</v>
      </c>
      <c r="C514" s="91" t="s">
        <v>2196</v>
      </c>
      <c r="D514" s="92">
        <v>16.32</v>
      </c>
      <c r="E514" s="260">
        <v>51</v>
      </c>
      <c r="F514" s="199"/>
      <c r="G514" s="199"/>
      <c r="H514" s="269">
        <v>12</v>
      </c>
      <c r="I514" s="93">
        <v>39</v>
      </c>
      <c r="J514" s="183">
        <v>51</v>
      </c>
      <c r="K514" s="94">
        <v>-12</v>
      </c>
      <c r="L514" s="95">
        <v>-195.84000000000003</v>
      </c>
      <c r="M514" s="278" t="s">
        <v>5185</v>
      </c>
    </row>
    <row r="515" spans="1:13">
      <c r="A515" s="88">
        <v>9</v>
      </c>
      <c r="B515" s="90" t="s">
        <v>2215</v>
      </c>
      <c r="C515" s="91" t="s">
        <v>2216</v>
      </c>
      <c r="D515" s="92">
        <v>7.75</v>
      </c>
      <c r="E515" s="260">
        <v>170</v>
      </c>
      <c r="F515" s="199"/>
      <c r="G515" s="199"/>
      <c r="H515" s="269">
        <v>3</v>
      </c>
      <c r="I515" s="93">
        <v>167</v>
      </c>
      <c r="J515" s="183">
        <v>168</v>
      </c>
      <c r="K515" s="94">
        <v>-1</v>
      </c>
      <c r="L515" s="95">
        <v>-7.75</v>
      </c>
      <c r="M515" s="278" t="s">
        <v>5232</v>
      </c>
    </row>
    <row r="516" spans="1:13">
      <c r="A516" s="88">
        <v>9</v>
      </c>
      <c r="B516" s="90" t="s">
        <v>2229</v>
      </c>
      <c r="C516" s="91" t="s">
        <v>2230</v>
      </c>
      <c r="D516" s="92">
        <v>15.5</v>
      </c>
      <c r="E516" s="260"/>
      <c r="F516" s="199"/>
      <c r="G516" s="199"/>
      <c r="H516" s="269">
        <v>1</v>
      </c>
      <c r="I516" s="93">
        <v>-1</v>
      </c>
      <c r="J516" s="183">
        <v>7</v>
      </c>
      <c r="K516" s="94">
        <v>-8</v>
      </c>
      <c r="L516" s="95">
        <v>-124</v>
      </c>
      <c r="M516" s="96"/>
    </row>
    <row r="517" spans="1:13" ht="30">
      <c r="A517" s="88">
        <v>9</v>
      </c>
      <c r="B517" s="90" t="s">
        <v>2233</v>
      </c>
      <c r="C517" s="91" t="s">
        <v>2234</v>
      </c>
      <c r="D517" s="92">
        <v>30.2</v>
      </c>
      <c r="E517" s="260"/>
      <c r="F517" s="199"/>
      <c r="G517" s="199"/>
      <c r="H517" s="269">
        <v>2</v>
      </c>
      <c r="I517" s="93">
        <v>-2</v>
      </c>
      <c r="J517" s="183"/>
      <c r="K517" s="94">
        <v>-2</v>
      </c>
      <c r="L517" s="95">
        <v>-60.4</v>
      </c>
      <c r="M517" s="96"/>
    </row>
    <row r="518" spans="1:13" ht="30">
      <c r="A518" s="88">
        <v>9</v>
      </c>
      <c r="B518" s="90" t="s">
        <v>2235</v>
      </c>
      <c r="C518" s="91" t="s">
        <v>2236</v>
      </c>
      <c r="D518" s="92">
        <v>91.5</v>
      </c>
      <c r="E518" s="260"/>
      <c r="F518" s="199"/>
      <c r="G518" s="199"/>
      <c r="H518" s="269">
        <v>2</v>
      </c>
      <c r="I518" s="93">
        <v>-2</v>
      </c>
      <c r="J518" s="183"/>
      <c r="K518" s="94">
        <v>-2</v>
      </c>
      <c r="L518" s="95">
        <v>-183</v>
      </c>
      <c r="M518" s="96"/>
    </row>
    <row r="519" spans="1:13" ht="30">
      <c r="A519" s="88">
        <v>9</v>
      </c>
      <c r="B519" s="90" t="s">
        <v>2237</v>
      </c>
      <c r="C519" s="91" t="s">
        <v>2238</v>
      </c>
      <c r="D519" s="92">
        <v>152</v>
      </c>
      <c r="E519" s="260">
        <v>6</v>
      </c>
      <c r="F519" s="199"/>
      <c r="G519" s="199"/>
      <c r="H519" s="269">
        <v>1</v>
      </c>
      <c r="I519" s="93">
        <v>5</v>
      </c>
      <c r="J519" s="183">
        <v>6</v>
      </c>
      <c r="K519" s="94">
        <v>-1</v>
      </c>
      <c r="L519" s="95">
        <v>-152</v>
      </c>
      <c r="M519" s="96"/>
    </row>
    <row r="520" spans="1:13" ht="30">
      <c r="A520" s="88">
        <v>9</v>
      </c>
      <c r="B520" s="90" t="s">
        <v>2241</v>
      </c>
      <c r="C520" s="91" t="s">
        <v>2242</v>
      </c>
      <c r="D520" s="92">
        <v>152</v>
      </c>
      <c r="E520" s="260">
        <v>11</v>
      </c>
      <c r="F520" s="199"/>
      <c r="G520" s="199"/>
      <c r="H520" s="269">
        <v>1</v>
      </c>
      <c r="I520" s="93">
        <v>10</v>
      </c>
      <c r="J520" s="183">
        <v>11</v>
      </c>
      <c r="K520" s="94">
        <v>-1</v>
      </c>
      <c r="L520" s="95">
        <v>-152</v>
      </c>
      <c r="M520" s="96"/>
    </row>
    <row r="521" spans="1:13">
      <c r="A521" s="88">
        <v>9</v>
      </c>
      <c r="B521" s="90" t="s">
        <v>2249</v>
      </c>
      <c r="C521" s="91" t="s">
        <v>2250</v>
      </c>
      <c r="D521" s="92">
        <v>8.3000000000000007</v>
      </c>
      <c r="E521" s="260">
        <v>264</v>
      </c>
      <c r="F521" s="199"/>
      <c r="G521" s="199"/>
      <c r="H521" s="269">
        <v>42</v>
      </c>
      <c r="I521" s="93">
        <v>222</v>
      </c>
      <c r="J521" s="183">
        <v>264</v>
      </c>
      <c r="K521" s="94">
        <v>-42</v>
      </c>
      <c r="L521" s="95">
        <v>-348.60000000000014</v>
      </c>
      <c r="M521" s="278" t="s">
        <v>5262</v>
      </c>
    </row>
    <row r="522" spans="1:13" ht="30">
      <c r="A522" s="88">
        <v>9</v>
      </c>
      <c r="B522" s="90" t="s">
        <v>2275</v>
      </c>
      <c r="C522" s="91" t="s">
        <v>2276</v>
      </c>
      <c r="D522" s="92">
        <v>8.77</v>
      </c>
      <c r="E522" s="260"/>
      <c r="F522" s="199"/>
      <c r="G522" s="199"/>
      <c r="H522" s="269">
        <v>86</v>
      </c>
      <c r="I522" s="93">
        <v>-86</v>
      </c>
      <c r="J522" s="183"/>
      <c r="K522" s="94">
        <v>-86</v>
      </c>
      <c r="L522" s="95">
        <v>-754.21999999999991</v>
      </c>
      <c r="M522" s="278" t="s">
        <v>5240</v>
      </c>
    </row>
    <row r="523" spans="1:13" ht="30">
      <c r="A523" s="88">
        <v>9</v>
      </c>
      <c r="B523" s="90" t="s">
        <v>2283</v>
      </c>
      <c r="C523" s="91" t="s">
        <v>2284</v>
      </c>
      <c r="D523" s="92">
        <v>67.88</v>
      </c>
      <c r="E523" s="260">
        <v>6</v>
      </c>
      <c r="F523" s="199"/>
      <c r="G523" s="199"/>
      <c r="H523" s="269">
        <v>5</v>
      </c>
      <c r="I523" s="93">
        <v>1</v>
      </c>
      <c r="J523" s="183">
        <v>3</v>
      </c>
      <c r="K523" s="94">
        <v>-2</v>
      </c>
      <c r="L523" s="95">
        <v>-135.76</v>
      </c>
      <c r="M523" s="278" t="s">
        <v>5225</v>
      </c>
    </row>
    <row r="524" spans="1:13" ht="30">
      <c r="A524" s="88">
        <v>9</v>
      </c>
      <c r="B524" s="90" t="s">
        <v>2287</v>
      </c>
      <c r="C524" s="91" t="s">
        <v>2288</v>
      </c>
      <c r="D524" s="92">
        <v>67.88</v>
      </c>
      <c r="E524" s="260">
        <v>18</v>
      </c>
      <c r="F524" s="199"/>
      <c r="G524" s="199"/>
      <c r="H524" s="269">
        <v>7</v>
      </c>
      <c r="I524" s="93">
        <v>11</v>
      </c>
      <c r="J524" s="183">
        <v>18</v>
      </c>
      <c r="K524" s="94">
        <v>-7</v>
      </c>
      <c r="L524" s="95">
        <v>-475.15999999999997</v>
      </c>
      <c r="M524" s="278" t="s">
        <v>5230</v>
      </c>
    </row>
    <row r="525" spans="1:13">
      <c r="A525" s="88">
        <v>9</v>
      </c>
      <c r="B525" s="90" t="s">
        <v>2294</v>
      </c>
      <c r="C525" s="91" t="s">
        <v>2295</v>
      </c>
      <c r="D525" s="92">
        <v>6.17</v>
      </c>
      <c r="E525" s="260">
        <v>1</v>
      </c>
      <c r="F525" s="199"/>
      <c r="G525" s="199"/>
      <c r="H525" s="269"/>
      <c r="I525" s="93">
        <v>1</v>
      </c>
      <c r="J525" s="183">
        <v>3</v>
      </c>
      <c r="K525" s="94">
        <v>-2</v>
      </c>
      <c r="L525" s="95">
        <v>-12.339999999999998</v>
      </c>
      <c r="M525" s="96"/>
    </row>
    <row r="526" spans="1:13" ht="30">
      <c r="A526" s="88">
        <v>9</v>
      </c>
      <c r="B526" s="90" t="s">
        <v>2312</v>
      </c>
      <c r="C526" s="91" t="s">
        <v>2313</v>
      </c>
      <c r="D526" s="92">
        <v>6.48</v>
      </c>
      <c r="E526" s="260">
        <v>306</v>
      </c>
      <c r="F526" s="199"/>
      <c r="G526" s="199"/>
      <c r="H526" s="269"/>
      <c r="I526" s="93">
        <v>306</v>
      </c>
      <c r="J526" s="183">
        <v>311</v>
      </c>
      <c r="K526" s="94">
        <v>-5</v>
      </c>
      <c r="L526" s="95">
        <v>-32.400000000000091</v>
      </c>
      <c r="M526" s="96"/>
    </row>
    <row r="527" spans="1:13" ht="30">
      <c r="A527" s="88">
        <v>9</v>
      </c>
      <c r="B527" s="90" t="s">
        <v>2314</v>
      </c>
      <c r="C527" s="91" t="s">
        <v>2315</v>
      </c>
      <c r="D527" s="92">
        <v>6.35</v>
      </c>
      <c r="E527" s="260">
        <v>220</v>
      </c>
      <c r="F527" s="199"/>
      <c r="G527" s="199"/>
      <c r="H527" s="269"/>
      <c r="I527" s="93">
        <v>220</v>
      </c>
      <c r="J527" s="183">
        <v>432</v>
      </c>
      <c r="K527" s="94">
        <v>-212</v>
      </c>
      <c r="L527" s="95">
        <v>-1346.1999999999998</v>
      </c>
      <c r="M527" s="96"/>
    </row>
    <row r="528" spans="1:13" ht="30">
      <c r="A528" s="88">
        <v>9</v>
      </c>
      <c r="B528" s="90" t="s">
        <v>2326</v>
      </c>
      <c r="C528" s="91" t="s">
        <v>2327</v>
      </c>
      <c r="D528" s="92">
        <v>5.92</v>
      </c>
      <c r="E528" s="260"/>
      <c r="F528" s="199"/>
      <c r="G528" s="199"/>
      <c r="H528" s="269"/>
      <c r="I528" s="93">
        <v>0</v>
      </c>
      <c r="J528" s="183">
        <v>5</v>
      </c>
      <c r="K528" s="94">
        <v>-5</v>
      </c>
      <c r="L528" s="95">
        <v>-29.6</v>
      </c>
      <c r="M528" s="96"/>
    </row>
    <row r="529" spans="1:13" ht="30">
      <c r="A529" s="88">
        <v>9</v>
      </c>
      <c r="B529" s="90" t="s">
        <v>2328</v>
      </c>
      <c r="C529" s="91" t="s">
        <v>2329</v>
      </c>
      <c r="D529" s="92">
        <v>63.95</v>
      </c>
      <c r="E529" s="260">
        <v>8</v>
      </c>
      <c r="F529" s="199"/>
      <c r="G529" s="199"/>
      <c r="H529" s="269"/>
      <c r="I529" s="93">
        <v>8</v>
      </c>
      <c r="J529" s="183">
        <v>37</v>
      </c>
      <c r="K529" s="94">
        <v>-29</v>
      </c>
      <c r="L529" s="95">
        <v>-1854.5500000000002</v>
      </c>
      <c r="M529" s="96"/>
    </row>
    <row r="530" spans="1:13" ht="30">
      <c r="A530" s="88">
        <v>9</v>
      </c>
      <c r="B530" s="90" t="s">
        <v>2360</v>
      </c>
      <c r="C530" s="91" t="s">
        <v>2361</v>
      </c>
      <c r="D530" s="92">
        <v>267</v>
      </c>
      <c r="E530" s="260">
        <v>6</v>
      </c>
      <c r="F530" s="199"/>
      <c r="G530" s="199"/>
      <c r="H530" s="269">
        <v>1</v>
      </c>
      <c r="I530" s="93">
        <v>5</v>
      </c>
      <c r="J530" s="183">
        <v>6</v>
      </c>
      <c r="K530" s="94">
        <v>-1</v>
      </c>
      <c r="L530" s="95">
        <v>-267</v>
      </c>
      <c r="M530" s="96"/>
    </row>
    <row r="531" spans="1:13" ht="45">
      <c r="A531" s="88">
        <v>9</v>
      </c>
      <c r="B531" s="90" t="s">
        <v>2385</v>
      </c>
      <c r="C531" s="91" t="s">
        <v>2386</v>
      </c>
      <c r="D531" s="92">
        <v>6.82</v>
      </c>
      <c r="E531" s="260">
        <v>5</v>
      </c>
      <c r="F531" s="199"/>
      <c r="G531" s="199"/>
      <c r="H531" s="269">
        <v>1</v>
      </c>
      <c r="I531" s="93">
        <v>4</v>
      </c>
      <c r="J531" s="183">
        <v>5</v>
      </c>
      <c r="K531" s="94">
        <v>-1</v>
      </c>
      <c r="L531" s="95">
        <v>-6.82</v>
      </c>
      <c r="M531" s="96"/>
    </row>
    <row r="532" spans="1:13" ht="30">
      <c r="A532" s="88">
        <v>9</v>
      </c>
      <c r="B532" s="90" t="s">
        <v>2391</v>
      </c>
      <c r="C532" s="91" t="s">
        <v>2392</v>
      </c>
      <c r="D532" s="92">
        <v>6.92</v>
      </c>
      <c r="E532" s="260">
        <v>1529</v>
      </c>
      <c r="F532" s="199"/>
      <c r="G532" s="199"/>
      <c r="H532" s="269">
        <v>10</v>
      </c>
      <c r="I532" s="93">
        <v>1519</v>
      </c>
      <c r="J532" s="183">
        <v>1529</v>
      </c>
      <c r="K532" s="94">
        <v>-10</v>
      </c>
      <c r="L532" s="95">
        <v>-69.200000000000728</v>
      </c>
      <c r="M532" s="278" t="s">
        <v>5256</v>
      </c>
    </row>
    <row r="533" spans="1:13">
      <c r="A533" s="88">
        <v>9</v>
      </c>
      <c r="B533" s="90" t="s">
        <v>2399</v>
      </c>
      <c r="C533" s="91" t="s">
        <v>2400</v>
      </c>
      <c r="D533" s="92">
        <v>57.1</v>
      </c>
      <c r="E533" s="260">
        <v>4</v>
      </c>
      <c r="F533" s="199"/>
      <c r="G533" s="199"/>
      <c r="H533" s="269">
        <v>7</v>
      </c>
      <c r="I533" s="93">
        <v>-3</v>
      </c>
      <c r="J533" s="183">
        <v>3</v>
      </c>
      <c r="K533" s="94">
        <v>-6</v>
      </c>
      <c r="L533" s="95">
        <v>-342.6</v>
      </c>
      <c r="M533" s="96"/>
    </row>
    <row r="534" spans="1:13">
      <c r="A534" s="88">
        <v>9</v>
      </c>
      <c r="B534" s="90" t="s">
        <v>2403</v>
      </c>
      <c r="C534" s="91" t="s">
        <v>2404</v>
      </c>
      <c r="D534" s="92">
        <v>31.15</v>
      </c>
      <c r="E534" s="260">
        <v>3</v>
      </c>
      <c r="F534" s="199"/>
      <c r="G534" s="199"/>
      <c r="H534" s="269">
        <v>6</v>
      </c>
      <c r="I534" s="93">
        <v>-3</v>
      </c>
      <c r="J534" s="183">
        <v>3</v>
      </c>
      <c r="K534" s="94">
        <v>-6</v>
      </c>
      <c r="L534" s="95">
        <v>-186.89999999999998</v>
      </c>
      <c r="M534" s="96"/>
    </row>
    <row r="535" spans="1:13">
      <c r="A535" s="88">
        <v>9</v>
      </c>
      <c r="B535" s="90" t="s">
        <v>2411</v>
      </c>
      <c r="C535" s="91" t="s">
        <v>2412</v>
      </c>
      <c r="D535" s="92">
        <v>24.08</v>
      </c>
      <c r="E535" s="260">
        <v>9</v>
      </c>
      <c r="F535" s="199"/>
      <c r="G535" s="199"/>
      <c r="H535" s="269">
        <v>1</v>
      </c>
      <c r="I535" s="93">
        <v>8</v>
      </c>
      <c r="J535" s="183">
        <v>9</v>
      </c>
      <c r="K535" s="94">
        <v>-1</v>
      </c>
      <c r="L535" s="95">
        <v>-24.079999999999984</v>
      </c>
      <c r="M535" s="96"/>
    </row>
    <row r="536" spans="1:13" ht="30">
      <c r="A536" s="88">
        <v>9</v>
      </c>
      <c r="B536" s="90" t="s">
        <v>2443</v>
      </c>
      <c r="C536" s="91" t="s">
        <v>2444</v>
      </c>
      <c r="D536" s="92">
        <v>27.9</v>
      </c>
      <c r="E536" s="260"/>
      <c r="F536" s="199"/>
      <c r="G536" s="199"/>
      <c r="H536" s="269">
        <v>5</v>
      </c>
      <c r="I536" s="93">
        <v>-5</v>
      </c>
      <c r="J536" s="183"/>
      <c r="K536" s="94">
        <v>-5</v>
      </c>
      <c r="L536" s="95">
        <v>-139.5</v>
      </c>
      <c r="M536" s="278" t="s">
        <v>5254</v>
      </c>
    </row>
    <row r="537" spans="1:13" ht="30">
      <c r="A537" s="88">
        <v>9</v>
      </c>
      <c r="B537" s="90" t="s">
        <v>2447</v>
      </c>
      <c r="C537" s="91" t="s">
        <v>2448</v>
      </c>
      <c r="D537" s="92">
        <v>70.7</v>
      </c>
      <c r="E537" s="260"/>
      <c r="F537" s="199"/>
      <c r="G537" s="199"/>
      <c r="H537" s="269">
        <v>5</v>
      </c>
      <c r="I537" s="93">
        <v>-5</v>
      </c>
      <c r="J537" s="183"/>
      <c r="K537" s="94">
        <v>-5</v>
      </c>
      <c r="L537" s="95">
        <v>-353.5</v>
      </c>
      <c r="M537" s="278" t="s">
        <v>5254</v>
      </c>
    </row>
    <row r="538" spans="1:13">
      <c r="A538" s="88">
        <v>9</v>
      </c>
      <c r="B538" s="90" t="s">
        <v>2459</v>
      </c>
      <c r="C538" s="91" t="s">
        <v>2460</v>
      </c>
      <c r="D538" s="92">
        <v>209.3</v>
      </c>
      <c r="E538" s="260"/>
      <c r="F538" s="199"/>
      <c r="G538" s="199"/>
      <c r="H538" s="269">
        <v>2</v>
      </c>
      <c r="I538" s="93">
        <v>-2</v>
      </c>
      <c r="J538" s="183"/>
      <c r="K538" s="94">
        <v>-2</v>
      </c>
      <c r="L538" s="95">
        <v>-418.6</v>
      </c>
      <c r="M538" s="96"/>
    </row>
    <row r="539" spans="1:13" ht="30">
      <c r="A539" s="88">
        <v>9</v>
      </c>
      <c r="B539" s="90" t="s">
        <v>2467</v>
      </c>
      <c r="C539" s="91" t="s">
        <v>2468</v>
      </c>
      <c r="D539" s="92">
        <v>190.8</v>
      </c>
      <c r="E539" s="260">
        <v>6</v>
      </c>
      <c r="F539" s="199"/>
      <c r="G539" s="199"/>
      <c r="H539" s="269">
        <v>2</v>
      </c>
      <c r="I539" s="93">
        <v>4</v>
      </c>
      <c r="J539" s="183">
        <v>6</v>
      </c>
      <c r="K539" s="94">
        <v>-2</v>
      </c>
      <c r="L539" s="95">
        <v>-381.60000000000014</v>
      </c>
      <c r="M539" s="96"/>
    </row>
    <row r="540" spans="1:13">
      <c r="A540" s="88">
        <v>9</v>
      </c>
      <c r="B540" s="90" t="s">
        <v>2471</v>
      </c>
      <c r="C540" s="91" t="s">
        <v>2472</v>
      </c>
      <c r="D540" s="92">
        <v>82.1</v>
      </c>
      <c r="E540" s="260">
        <v>8</v>
      </c>
      <c r="F540" s="199"/>
      <c r="G540" s="199">
        <v>6</v>
      </c>
      <c r="H540" s="269">
        <v>2</v>
      </c>
      <c r="I540" s="93">
        <v>0</v>
      </c>
      <c r="J540" s="183">
        <v>2</v>
      </c>
      <c r="K540" s="94">
        <v>-2</v>
      </c>
      <c r="L540" s="95">
        <v>-164.2</v>
      </c>
      <c r="M540" s="96"/>
    </row>
    <row r="541" spans="1:13" ht="30">
      <c r="A541" s="88">
        <v>9</v>
      </c>
      <c r="B541" s="90" t="s">
        <v>2473</v>
      </c>
      <c r="C541" s="91" t="s">
        <v>2474</v>
      </c>
      <c r="D541" s="92">
        <v>246.35</v>
      </c>
      <c r="E541" s="260">
        <v>2</v>
      </c>
      <c r="F541" s="199"/>
      <c r="G541" s="199"/>
      <c r="H541" s="269">
        <v>3</v>
      </c>
      <c r="I541" s="93">
        <v>-1</v>
      </c>
      <c r="J541" s="183">
        <v>2</v>
      </c>
      <c r="K541" s="94">
        <v>-3</v>
      </c>
      <c r="L541" s="95">
        <v>-739.05</v>
      </c>
      <c r="M541" s="96"/>
    </row>
    <row r="542" spans="1:13">
      <c r="A542" s="88">
        <v>9</v>
      </c>
      <c r="B542" s="90" t="s">
        <v>2479</v>
      </c>
      <c r="C542" s="91" t="s">
        <v>2480</v>
      </c>
      <c r="D542" s="92">
        <v>227.85</v>
      </c>
      <c r="E542" s="260">
        <v>4</v>
      </c>
      <c r="F542" s="199"/>
      <c r="G542" s="199"/>
      <c r="H542" s="269">
        <v>2</v>
      </c>
      <c r="I542" s="93">
        <v>2</v>
      </c>
      <c r="J542" s="183">
        <v>3</v>
      </c>
      <c r="K542" s="94">
        <v>-1</v>
      </c>
      <c r="L542" s="95">
        <v>-227.84999999999997</v>
      </c>
      <c r="M542" s="96"/>
    </row>
    <row r="543" spans="1:13">
      <c r="A543" s="88">
        <v>9</v>
      </c>
      <c r="B543" s="90" t="s">
        <v>2489</v>
      </c>
      <c r="C543" s="91" t="s">
        <v>2490</v>
      </c>
      <c r="D543" s="92">
        <v>78.400000000000006</v>
      </c>
      <c r="E543" s="260">
        <v>11</v>
      </c>
      <c r="F543" s="199"/>
      <c r="G543" s="199"/>
      <c r="H543" s="269">
        <v>1</v>
      </c>
      <c r="I543" s="93">
        <v>10</v>
      </c>
      <c r="J543" s="183">
        <v>11</v>
      </c>
      <c r="K543" s="94">
        <v>-1</v>
      </c>
      <c r="L543" s="95">
        <v>-78.400000000000091</v>
      </c>
      <c r="M543" s="96"/>
    </row>
    <row r="544" spans="1:13" ht="30">
      <c r="A544" s="88">
        <v>9</v>
      </c>
      <c r="B544" s="90" t="s">
        <v>2501</v>
      </c>
      <c r="C544" s="91" t="s">
        <v>2502</v>
      </c>
      <c r="D544" s="92">
        <v>37.25</v>
      </c>
      <c r="E544" s="260"/>
      <c r="F544" s="199"/>
      <c r="G544" s="199"/>
      <c r="H544" s="269">
        <v>1</v>
      </c>
      <c r="I544" s="93">
        <v>-1</v>
      </c>
      <c r="J544" s="183">
        <v>1</v>
      </c>
      <c r="K544" s="94">
        <v>-2</v>
      </c>
      <c r="L544" s="95">
        <v>-74.5</v>
      </c>
      <c r="M544" s="96"/>
    </row>
    <row r="545" spans="1:13" ht="30">
      <c r="A545" s="88">
        <v>9</v>
      </c>
      <c r="B545" s="90" t="s">
        <v>2507</v>
      </c>
      <c r="C545" s="91" t="s">
        <v>2508</v>
      </c>
      <c r="D545" s="92">
        <v>37.25</v>
      </c>
      <c r="E545" s="260">
        <v>14</v>
      </c>
      <c r="F545" s="199"/>
      <c r="G545" s="199"/>
      <c r="H545" s="269">
        <v>1</v>
      </c>
      <c r="I545" s="93">
        <v>13</v>
      </c>
      <c r="J545" s="183">
        <v>14</v>
      </c>
      <c r="K545" s="94">
        <v>-1</v>
      </c>
      <c r="L545" s="95">
        <v>-37.25</v>
      </c>
      <c r="M545" s="96"/>
    </row>
    <row r="546" spans="1:13" ht="30">
      <c r="A546" s="88">
        <v>9</v>
      </c>
      <c r="B546" s="90" t="s">
        <v>2544</v>
      </c>
      <c r="C546" s="91" t="s">
        <v>2545</v>
      </c>
      <c r="D546" s="92">
        <v>57.77</v>
      </c>
      <c r="E546" s="260">
        <v>114</v>
      </c>
      <c r="F546" s="199"/>
      <c r="G546" s="199"/>
      <c r="H546" s="269"/>
      <c r="I546" s="93">
        <v>114</v>
      </c>
      <c r="J546" s="183">
        <v>115</v>
      </c>
      <c r="K546" s="94">
        <v>-1</v>
      </c>
      <c r="L546" s="95">
        <v>-57.769999999999527</v>
      </c>
      <c r="M546" s="96"/>
    </row>
    <row r="547" spans="1:13" ht="30">
      <c r="A547" s="88">
        <v>9</v>
      </c>
      <c r="B547" s="90" t="s">
        <v>2548</v>
      </c>
      <c r="C547" s="91" t="s">
        <v>2549</v>
      </c>
      <c r="D547" s="92">
        <v>7.33</v>
      </c>
      <c r="E547" s="260">
        <v>149</v>
      </c>
      <c r="F547" s="199"/>
      <c r="G547" s="199"/>
      <c r="H547" s="269">
        <v>9</v>
      </c>
      <c r="I547" s="93">
        <v>140</v>
      </c>
      <c r="J547" s="183">
        <v>141</v>
      </c>
      <c r="K547" s="94">
        <v>-1</v>
      </c>
      <c r="L547" s="95">
        <v>-7.3299999999999272</v>
      </c>
      <c r="M547" s="96"/>
    </row>
    <row r="548" spans="1:13" ht="30">
      <c r="A548" s="88">
        <v>9</v>
      </c>
      <c r="B548" s="90" t="s">
        <v>2571</v>
      </c>
      <c r="C548" s="91" t="s">
        <v>2572</v>
      </c>
      <c r="D548" s="92">
        <v>80.150000000000006</v>
      </c>
      <c r="E548" s="260"/>
      <c r="F548" s="199"/>
      <c r="G548" s="199"/>
      <c r="H548" s="269">
        <v>1</v>
      </c>
      <c r="I548" s="93">
        <v>-1</v>
      </c>
      <c r="J548" s="183"/>
      <c r="K548" s="94">
        <v>-1</v>
      </c>
      <c r="L548" s="95">
        <v>-80.150000000000006</v>
      </c>
      <c r="M548" s="278" t="s">
        <v>5218</v>
      </c>
    </row>
    <row r="549" spans="1:13" ht="30">
      <c r="A549" s="88">
        <v>9</v>
      </c>
      <c r="B549" s="90" t="s">
        <v>2589</v>
      </c>
      <c r="C549" s="91" t="s">
        <v>2590</v>
      </c>
      <c r="D549" s="92">
        <v>6.6</v>
      </c>
      <c r="E549" s="260">
        <v>11</v>
      </c>
      <c r="F549" s="199"/>
      <c r="G549" s="199"/>
      <c r="H549" s="269">
        <v>2</v>
      </c>
      <c r="I549" s="93">
        <v>9</v>
      </c>
      <c r="J549" s="183">
        <v>10</v>
      </c>
      <c r="K549" s="94">
        <v>-1</v>
      </c>
      <c r="L549" s="95">
        <v>-6.6000000000000014</v>
      </c>
      <c r="M549" s="278" t="s">
        <v>5201</v>
      </c>
    </row>
    <row r="550" spans="1:13" ht="30">
      <c r="A550" s="88">
        <v>9</v>
      </c>
      <c r="B550" s="90" t="s">
        <v>2607</v>
      </c>
      <c r="C550" s="91" t="s">
        <v>2608</v>
      </c>
      <c r="D550" s="92">
        <v>47.2</v>
      </c>
      <c r="E550" s="260">
        <v>39</v>
      </c>
      <c r="F550" s="199"/>
      <c r="G550" s="199"/>
      <c r="H550" s="269">
        <v>1</v>
      </c>
      <c r="I550" s="93">
        <v>38</v>
      </c>
      <c r="J550" s="183">
        <v>39</v>
      </c>
      <c r="K550" s="94">
        <v>-1</v>
      </c>
      <c r="L550" s="95">
        <v>-47.200000000000045</v>
      </c>
      <c r="M550" s="96"/>
    </row>
    <row r="551" spans="1:13">
      <c r="A551" s="88">
        <v>9</v>
      </c>
      <c r="B551" s="90" t="s">
        <v>2618</v>
      </c>
      <c r="C551" s="91" t="s">
        <v>2619</v>
      </c>
      <c r="D551" s="92">
        <v>18.64</v>
      </c>
      <c r="E551" s="260">
        <v>137</v>
      </c>
      <c r="F551" s="199"/>
      <c r="G551" s="199"/>
      <c r="H551" s="269">
        <v>4</v>
      </c>
      <c r="I551" s="93">
        <v>133</v>
      </c>
      <c r="J551" s="183">
        <v>136</v>
      </c>
      <c r="K551" s="94">
        <v>-3</v>
      </c>
      <c r="L551" s="95">
        <v>-55.920000000000073</v>
      </c>
      <c r="M551" s="278" t="s">
        <v>5257</v>
      </c>
    </row>
    <row r="552" spans="1:13">
      <c r="A552" s="88">
        <v>9</v>
      </c>
      <c r="B552" s="90" t="s">
        <v>2626</v>
      </c>
      <c r="C552" s="91" t="s">
        <v>2627</v>
      </c>
      <c r="D552" s="92">
        <v>47.2</v>
      </c>
      <c r="E552" s="260">
        <v>47</v>
      </c>
      <c r="F552" s="199"/>
      <c r="G552" s="199"/>
      <c r="H552" s="269">
        <v>7</v>
      </c>
      <c r="I552" s="93">
        <v>40</v>
      </c>
      <c r="J552" s="183">
        <v>47</v>
      </c>
      <c r="K552" s="94">
        <v>-7</v>
      </c>
      <c r="L552" s="95">
        <v>-330.40000000000009</v>
      </c>
      <c r="M552" s="96"/>
    </row>
    <row r="553" spans="1:13" ht="30">
      <c r="A553" s="88">
        <v>9</v>
      </c>
      <c r="B553" s="90" t="s">
        <v>2628</v>
      </c>
      <c r="C553" s="91" t="s">
        <v>2629</v>
      </c>
      <c r="D553" s="92">
        <v>55.86</v>
      </c>
      <c r="E553" s="260">
        <v>21</v>
      </c>
      <c r="F553" s="199"/>
      <c r="G553" s="199"/>
      <c r="H553" s="269"/>
      <c r="I553" s="93">
        <v>21</v>
      </c>
      <c r="J553" s="183">
        <v>31</v>
      </c>
      <c r="K553" s="94">
        <v>-10</v>
      </c>
      <c r="L553" s="95">
        <v>-558.60000000000014</v>
      </c>
      <c r="M553" s="96"/>
    </row>
    <row r="554" spans="1:13" ht="30">
      <c r="A554" s="88">
        <v>9</v>
      </c>
      <c r="B554" s="90" t="s">
        <v>2630</v>
      </c>
      <c r="C554" s="91" t="s">
        <v>2631</v>
      </c>
      <c r="D554" s="92">
        <v>18.64</v>
      </c>
      <c r="E554" s="260">
        <v>56</v>
      </c>
      <c r="F554" s="199"/>
      <c r="G554" s="199"/>
      <c r="H554" s="269">
        <v>1</v>
      </c>
      <c r="I554" s="93">
        <v>55</v>
      </c>
      <c r="J554" s="183">
        <v>62</v>
      </c>
      <c r="K554" s="94">
        <v>-7</v>
      </c>
      <c r="L554" s="95">
        <v>-130.48000000000002</v>
      </c>
      <c r="M554" s="96"/>
    </row>
    <row r="555" spans="1:13" ht="30">
      <c r="A555" s="88">
        <v>9</v>
      </c>
      <c r="B555" s="90" t="s">
        <v>2634</v>
      </c>
      <c r="C555" s="91" t="s">
        <v>2635</v>
      </c>
      <c r="D555" s="92">
        <v>36.840000000000003</v>
      </c>
      <c r="E555" s="260">
        <v>34</v>
      </c>
      <c r="F555" s="199"/>
      <c r="G555" s="199"/>
      <c r="H555" s="269">
        <v>1</v>
      </c>
      <c r="I555" s="93">
        <v>33</v>
      </c>
      <c r="J555" s="183">
        <v>35</v>
      </c>
      <c r="K555" s="94">
        <v>-2</v>
      </c>
      <c r="L555" s="95">
        <v>-73.680000000000064</v>
      </c>
      <c r="M555" s="96"/>
    </row>
    <row r="556" spans="1:13">
      <c r="A556" s="88">
        <v>9</v>
      </c>
      <c r="B556" s="90" t="s">
        <v>2638</v>
      </c>
      <c r="C556" s="91" t="s">
        <v>2639</v>
      </c>
      <c r="D556" s="92">
        <v>19.600000000000001</v>
      </c>
      <c r="E556" s="260">
        <v>5</v>
      </c>
      <c r="F556" s="199"/>
      <c r="G556" s="199"/>
      <c r="H556" s="269"/>
      <c r="I556" s="93">
        <v>5</v>
      </c>
      <c r="J556" s="183">
        <v>30</v>
      </c>
      <c r="K556" s="94">
        <v>-25</v>
      </c>
      <c r="L556" s="95">
        <v>-490</v>
      </c>
      <c r="M556" s="96"/>
    </row>
    <row r="557" spans="1:13">
      <c r="A557" s="88">
        <v>9</v>
      </c>
      <c r="B557" s="90" t="s">
        <v>2646</v>
      </c>
      <c r="C557" s="91" t="s">
        <v>2647</v>
      </c>
      <c r="D557" s="92">
        <v>20.48</v>
      </c>
      <c r="E557" s="260"/>
      <c r="F557" s="199"/>
      <c r="G557" s="199"/>
      <c r="H557" s="269">
        <v>12</v>
      </c>
      <c r="I557" s="93">
        <v>-12</v>
      </c>
      <c r="J557" s="183"/>
      <c r="K557" s="94">
        <v>-12</v>
      </c>
      <c r="L557" s="95">
        <v>-245.76</v>
      </c>
      <c r="M557" s="278" t="s">
        <v>5249</v>
      </c>
    </row>
    <row r="558" spans="1:13">
      <c r="A558" s="88">
        <v>9</v>
      </c>
      <c r="B558" s="90" t="s">
        <v>2648</v>
      </c>
      <c r="C558" s="91" t="s">
        <v>2649</v>
      </c>
      <c r="D558" s="92">
        <v>17.059999999999999</v>
      </c>
      <c r="E558" s="260">
        <v>98</v>
      </c>
      <c r="F558" s="199"/>
      <c r="G558" s="199"/>
      <c r="H558" s="269">
        <v>24</v>
      </c>
      <c r="I558" s="93">
        <v>74</v>
      </c>
      <c r="J558" s="183">
        <v>91</v>
      </c>
      <c r="K558" s="94">
        <v>-17</v>
      </c>
      <c r="L558" s="95">
        <v>-290.02</v>
      </c>
      <c r="M558" s="278" t="s">
        <v>5250</v>
      </c>
    </row>
    <row r="559" spans="1:13" ht="30">
      <c r="A559" s="88">
        <v>9</v>
      </c>
      <c r="B559" s="90" t="s">
        <v>2654</v>
      </c>
      <c r="C559" s="91" t="s">
        <v>2655</v>
      </c>
      <c r="D559" s="92">
        <v>23</v>
      </c>
      <c r="E559" s="260">
        <v>4</v>
      </c>
      <c r="F559" s="199"/>
      <c r="G559" s="199"/>
      <c r="H559" s="269">
        <v>3</v>
      </c>
      <c r="I559" s="93">
        <v>1</v>
      </c>
      <c r="J559" s="183">
        <v>3</v>
      </c>
      <c r="K559" s="94">
        <v>-2</v>
      </c>
      <c r="L559" s="95">
        <v>-46</v>
      </c>
      <c r="M559" s="96"/>
    </row>
    <row r="560" spans="1:13" ht="30">
      <c r="A560" s="88">
        <v>9</v>
      </c>
      <c r="B560" s="90" t="s">
        <v>2656</v>
      </c>
      <c r="C560" s="91" t="s">
        <v>2657</v>
      </c>
      <c r="D560" s="92">
        <v>30</v>
      </c>
      <c r="E560" s="260">
        <v>5</v>
      </c>
      <c r="F560" s="199"/>
      <c r="G560" s="199"/>
      <c r="H560" s="269"/>
      <c r="I560" s="93">
        <v>5</v>
      </c>
      <c r="J560" s="183">
        <v>6</v>
      </c>
      <c r="K560" s="94">
        <v>-1</v>
      </c>
      <c r="L560" s="95">
        <v>-30</v>
      </c>
      <c r="M560" s="96"/>
    </row>
    <row r="561" spans="1:13">
      <c r="A561" s="88">
        <v>9</v>
      </c>
      <c r="B561" s="90" t="s">
        <v>2682</v>
      </c>
      <c r="C561" s="91" t="s">
        <v>2683</v>
      </c>
      <c r="D561" s="92">
        <v>63.95</v>
      </c>
      <c r="E561" s="260">
        <v>48</v>
      </c>
      <c r="F561" s="199"/>
      <c r="G561" s="199"/>
      <c r="H561" s="269">
        <v>10</v>
      </c>
      <c r="I561" s="93">
        <v>38</v>
      </c>
      <c r="J561" s="183">
        <v>48</v>
      </c>
      <c r="K561" s="94">
        <v>-10</v>
      </c>
      <c r="L561" s="95">
        <v>-639.50000000000045</v>
      </c>
      <c r="M561" s="278" t="s">
        <v>5196</v>
      </c>
    </row>
    <row r="562" spans="1:13" ht="30">
      <c r="A562" s="88">
        <v>9</v>
      </c>
      <c r="B562" s="90" t="s">
        <v>2686</v>
      </c>
      <c r="C562" s="91" t="s">
        <v>2687</v>
      </c>
      <c r="D562" s="92">
        <v>63.95</v>
      </c>
      <c r="E562" s="260">
        <v>77</v>
      </c>
      <c r="F562" s="199"/>
      <c r="G562" s="199"/>
      <c r="H562" s="269">
        <v>5</v>
      </c>
      <c r="I562" s="93">
        <v>72</v>
      </c>
      <c r="J562" s="183">
        <v>147</v>
      </c>
      <c r="K562" s="94">
        <v>-75</v>
      </c>
      <c r="L562" s="95">
        <v>-4796.2499999999991</v>
      </c>
      <c r="M562" s="278" t="s">
        <v>5237</v>
      </c>
    </row>
    <row r="563" spans="1:13" ht="30">
      <c r="A563" s="88">
        <v>9</v>
      </c>
      <c r="B563" s="90" t="s">
        <v>2692</v>
      </c>
      <c r="C563" s="91" t="s">
        <v>2693</v>
      </c>
      <c r="D563" s="92">
        <v>4.8</v>
      </c>
      <c r="E563" s="260">
        <v>7</v>
      </c>
      <c r="F563" s="199"/>
      <c r="G563" s="199"/>
      <c r="H563" s="269">
        <v>1</v>
      </c>
      <c r="I563" s="93">
        <v>6</v>
      </c>
      <c r="J563" s="183">
        <v>13</v>
      </c>
      <c r="K563" s="94">
        <v>-7</v>
      </c>
      <c r="L563" s="95">
        <v>-33.6</v>
      </c>
      <c r="M563" s="96"/>
    </row>
    <row r="564" spans="1:13" ht="30">
      <c r="A564" s="88">
        <v>9</v>
      </c>
      <c r="B564" s="90" t="s">
        <v>2698</v>
      </c>
      <c r="C564" s="91" t="s">
        <v>2699</v>
      </c>
      <c r="D564" s="92">
        <v>46.5</v>
      </c>
      <c r="E564" s="260">
        <v>1</v>
      </c>
      <c r="F564" s="199"/>
      <c r="G564" s="199"/>
      <c r="H564" s="269">
        <v>7</v>
      </c>
      <c r="I564" s="93">
        <v>-6</v>
      </c>
      <c r="J564" s="183"/>
      <c r="K564" s="94">
        <v>-6</v>
      </c>
      <c r="L564" s="95">
        <v>-279</v>
      </c>
      <c r="M564" s="278" t="s">
        <v>5263</v>
      </c>
    </row>
    <row r="565" spans="1:13" ht="30">
      <c r="A565" s="88">
        <v>9</v>
      </c>
      <c r="B565" s="90" t="s">
        <v>2726</v>
      </c>
      <c r="C565" s="91" t="s">
        <v>2727</v>
      </c>
      <c r="D565" s="92">
        <v>4.5</v>
      </c>
      <c r="E565" s="260">
        <v>127</v>
      </c>
      <c r="F565" s="199"/>
      <c r="G565" s="199"/>
      <c r="H565" s="269">
        <v>64</v>
      </c>
      <c r="I565" s="93">
        <v>63</v>
      </c>
      <c r="J565" s="183">
        <v>127</v>
      </c>
      <c r="K565" s="94">
        <v>-64</v>
      </c>
      <c r="L565" s="95">
        <v>-288</v>
      </c>
      <c r="M565" s="278" t="s">
        <v>5252</v>
      </c>
    </row>
    <row r="566" spans="1:13" ht="30">
      <c r="A566" s="88">
        <v>9</v>
      </c>
      <c r="B566" s="90" t="s">
        <v>2732</v>
      </c>
      <c r="C566" s="91" t="s">
        <v>2733</v>
      </c>
      <c r="D566" s="92">
        <v>45</v>
      </c>
      <c r="E566" s="260"/>
      <c r="F566" s="199"/>
      <c r="G566" s="199"/>
      <c r="H566" s="269">
        <v>6</v>
      </c>
      <c r="I566" s="93">
        <v>-6</v>
      </c>
      <c r="J566" s="183"/>
      <c r="K566" s="94">
        <v>-6</v>
      </c>
      <c r="L566" s="95">
        <v>-270</v>
      </c>
      <c r="M566" s="278" t="s">
        <v>5251</v>
      </c>
    </row>
    <row r="567" spans="1:13">
      <c r="A567" s="88">
        <v>9</v>
      </c>
      <c r="B567" s="90" t="s">
        <v>2734</v>
      </c>
      <c r="C567" s="91" t="s">
        <v>2735</v>
      </c>
      <c r="D567" s="92">
        <v>4.3499999999999996</v>
      </c>
      <c r="E567" s="260"/>
      <c r="F567" s="199"/>
      <c r="G567" s="199"/>
      <c r="H567" s="269">
        <v>2</v>
      </c>
      <c r="I567" s="93">
        <v>-2</v>
      </c>
      <c r="J567" s="183">
        <v>1</v>
      </c>
      <c r="K567" s="94">
        <v>-3</v>
      </c>
      <c r="L567" s="95">
        <v>-13.049999999999999</v>
      </c>
      <c r="M567" s="278" t="s">
        <v>5201</v>
      </c>
    </row>
    <row r="568" spans="1:13" ht="30">
      <c r="A568" s="88">
        <v>9</v>
      </c>
      <c r="B568" s="90" t="s">
        <v>2740</v>
      </c>
      <c r="C568" s="91" t="s">
        <v>2741</v>
      </c>
      <c r="D568" s="92">
        <v>56.66</v>
      </c>
      <c r="E568" s="260">
        <v>5</v>
      </c>
      <c r="F568" s="199"/>
      <c r="G568" s="199"/>
      <c r="H568" s="269">
        <v>7</v>
      </c>
      <c r="I568" s="93">
        <v>-2</v>
      </c>
      <c r="J568" s="183">
        <v>5</v>
      </c>
      <c r="K568" s="94">
        <v>-7</v>
      </c>
      <c r="L568" s="95">
        <v>-396.61999999999995</v>
      </c>
      <c r="M568" s="278" t="s">
        <v>5230</v>
      </c>
    </row>
    <row r="569" spans="1:13">
      <c r="A569" s="88">
        <v>9</v>
      </c>
      <c r="B569" s="90" t="s">
        <v>2742</v>
      </c>
      <c r="C569" s="91" t="s">
        <v>2743</v>
      </c>
      <c r="D569" s="92">
        <v>5.15</v>
      </c>
      <c r="E569" s="260">
        <v>112</v>
      </c>
      <c r="F569" s="199"/>
      <c r="G569" s="199"/>
      <c r="H569" s="269">
        <v>3</v>
      </c>
      <c r="I569" s="93">
        <v>109</v>
      </c>
      <c r="J569" s="183">
        <v>114</v>
      </c>
      <c r="K569" s="94">
        <v>-5</v>
      </c>
      <c r="L569" s="95">
        <v>-25.75</v>
      </c>
      <c r="M569" s="278" t="s">
        <v>5217</v>
      </c>
    </row>
    <row r="570" spans="1:13" ht="30">
      <c r="A570" s="88">
        <v>10</v>
      </c>
      <c r="B570" s="90" t="s">
        <v>2809</v>
      </c>
      <c r="C570" s="91" t="s">
        <v>2810</v>
      </c>
      <c r="D570" s="92">
        <v>14.42</v>
      </c>
      <c r="E570" s="260">
        <v>66</v>
      </c>
      <c r="F570" s="199"/>
      <c r="G570" s="199"/>
      <c r="H570" s="269">
        <v>30</v>
      </c>
      <c r="I570" s="93">
        <v>36</v>
      </c>
      <c r="J570" s="183">
        <v>66</v>
      </c>
      <c r="K570" s="94">
        <v>-30</v>
      </c>
      <c r="L570" s="95">
        <v>-432.6</v>
      </c>
      <c r="M570" s="278" t="s">
        <v>5260</v>
      </c>
    </row>
    <row r="571" spans="1:13" ht="30">
      <c r="A571" s="88">
        <v>10</v>
      </c>
      <c r="B571" s="90" t="s">
        <v>2815</v>
      </c>
      <c r="C571" s="91" t="s">
        <v>2816</v>
      </c>
      <c r="D571" s="92">
        <v>296.10000000000002</v>
      </c>
      <c r="E571" s="260">
        <v>1</v>
      </c>
      <c r="F571" s="199"/>
      <c r="G571" s="199">
        <v>1</v>
      </c>
      <c r="H571" s="269">
        <v>2</v>
      </c>
      <c r="I571" s="93">
        <v>-2</v>
      </c>
      <c r="J571" s="183">
        <v>4</v>
      </c>
      <c r="K571" s="94">
        <v>-6</v>
      </c>
      <c r="L571" s="95">
        <v>-1776.6000000000001</v>
      </c>
      <c r="M571" s="96"/>
    </row>
    <row r="572" spans="1:13" ht="30">
      <c r="A572" s="88">
        <v>10</v>
      </c>
      <c r="B572" s="90" t="s">
        <v>2817</v>
      </c>
      <c r="C572" s="91" t="s">
        <v>2818</v>
      </c>
      <c r="D572" s="92">
        <v>360.65</v>
      </c>
      <c r="E572" s="260"/>
      <c r="F572" s="199">
        <v>8</v>
      </c>
      <c r="G572" s="199">
        <v>4</v>
      </c>
      <c r="H572" s="269"/>
      <c r="I572" s="93">
        <v>4</v>
      </c>
      <c r="J572" s="183">
        <v>8</v>
      </c>
      <c r="K572" s="94">
        <v>-4</v>
      </c>
      <c r="L572" s="95">
        <v>-1442.6</v>
      </c>
      <c r="M572" s="96"/>
    </row>
    <row r="573" spans="1:13">
      <c r="A573" s="88">
        <v>10</v>
      </c>
      <c r="B573" s="90" t="s">
        <v>2868</v>
      </c>
      <c r="C573" s="91" t="s">
        <v>2869</v>
      </c>
      <c r="D573" s="92">
        <v>19.66</v>
      </c>
      <c r="E573" s="260"/>
      <c r="F573" s="199"/>
      <c r="G573" s="199"/>
      <c r="H573" s="269">
        <v>1</v>
      </c>
      <c r="I573" s="93">
        <v>-1</v>
      </c>
      <c r="J573" s="183"/>
      <c r="K573" s="94">
        <v>-1</v>
      </c>
      <c r="L573" s="95">
        <v>-19.66</v>
      </c>
      <c r="M573" s="96"/>
    </row>
    <row r="574" spans="1:13" ht="30">
      <c r="A574" s="88">
        <v>10</v>
      </c>
      <c r="B574" s="90" t="s">
        <v>2876</v>
      </c>
      <c r="C574" s="91" t="s">
        <v>2877</v>
      </c>
      <c r="D574" s="92">
        <v>3.72</v>
      </c>
      <c r="E574" s="260">
        <v>540</v>
      </c>
      <c r="F574" s="199"/>
      <c r="G574" s="199"/>
      <c r="H574" s="269">
        <v>6</v>
      </c>
      <c r="I574" s="93">
        <v>534</v>
      </c>
      <c r="J574" s="183">
        <v>535</v>
      </c>
      <c r="K574" s="94">
        <v>-1</v>
      </c>
      <c r="L574" s="95">
        <v>-3.7200000000000273</v>
      </c>
      <c r="M574" s="278" t="s">
        <v>5209</v>
      </c>
    </row>
    <row r="575" spans="1:13" ht="30">
      <c r="A575" s="88">
        <v>10</v>
      </c>
      <c r="B575" s="90" t="s">
        <v>2878</v>
      </c>
      <c r="C575" s="91" t="s">
        <v>2879</v>
      </c>
      <c r="D575" s="92">
        <v>4.7</v>
      </c>
      <c r="E575" s="260">
        <v>16</v>
      </c>
      <c r="F575" s="199"/>
      <c r="G575" s="199"/>
      <c r="H575" s="269"/>
      <c r="I575" s="93">
        <v>16</v>
      </c>
      <c r="J575" s="183">
        <v>396</v>
      </c>
      <c r="K575" s="94">
        <v>-380</v>
      </c>
      <c r="L575" s="95">
        <v>-1786</v>
      </c>
      <c r="M575" s="96"/>
    </row>
    <row r="576" spans="1:13">
      <c r="A576" s="88">
        <v>10</v>
      </c>
      <c r="B576" s="90" t="s">
        <v>2888</v>
      </c>
      <c r="C576" s="91" t="s">
        <v>2889</v>
      </c>
      <c r="D576" s="92">
        <v>13.87</v>
      </c>
      <c r="E576" s="260">
        <v>294</v>
      </c>
      <c r="F576" s="199"/>
      <c r="G576" s="199"/>
      <c r="H576" s="80">
        <v>1</v>
      </c>
      <c r="I576" s="93">
        <v>293</v>
      </c>
      <c r="J576" s="183">
        <v>294</v>
      </c>
      <c r="K576" s="94">
        <v>-1</v>
      </c>
      <c r="L576" s="95">
        <v>-13.869999999999891</v>
      </c>
      <c r="M576" s="96"/>
    </row>
    <row r="577" spans="1:13">
      <c r="A577" s="88">
        <v>10</v>
      </c>
      <c r="B577" s="90" t="s">
        <v>2894</v>
      </c>
      <c r="C577" s="91" t="s">
        <v>2895</v>
      </c>
      <c r="D577" s="92">
        <v>160.51</v>
      </c>
      <c r="E577" s="260">
        <v>8</v>
      </c>
      <c r="F577" s="199"/>
      <c r="G577" s="199"/>
      <c r="H577" s="269">
        <v>8</v>
      </c>
      <c r="I577" s="93">
        <v>0</v>
      </c>
      <c r="J577" s="183">
        <v>8</v>
      </c>
      <c r="K577" s="94">
        <v>-8</v>
      </c>
      <c r="L577" s="95">
        <v>-1284.08</v>
      </c>
      <c r="M577" s="96"/>
    </row>
    <row r="578" spans="1:13" ht="30">
      <c r="A578" s="88">
        <v>10</v>
      </c>
      <c r="B578" s="90" t="s">
        <v>2898</v>
      </c>
      <c r="C578" s="91" t="s">
        <v>2899</v>
      </c>
      <c r="D578" s="92">
        <v>6.12</v>
      </c>
      <c r="E578" s="260">
        <v>256</v>
      </c>
      <c r="F578" s="199"/>
      <c r="G578" s="199"/>
      <c r="H578" s="269">
        <v>28</v>
      </c>
      <c r="I578" s="93">
        <v>228</v>
      </c>
      <c r="J578" s="183">
        <v>255</v>
      </c>
      <c r="K578" s="94">
        <v>-27</v>
      </c>
      <c r="L578" s="95">
        <v>-165.24</v>
      </c>
      <c r="M578" s="96"/>
    </row>
    <row r="579" spans="1:13">
      <c r="A579" s="88">
        <v>10</v>
      </c>
      <c r="B579" s="90" t="s">
        <v>2906</v>
      </c>
      <c r="C579" s="91" t="s">
        <v>2907</v>
      </c>
      <c r="D579" s="92">
        <v>155.6</v>
      </c>
      <c r="E579" s="260">
        <v>17</v>
      </c>
      <c r="F579" s="199"/>
      <c r="G579" s="199"/>
      <c r="H579" s="269">
        <v>3</v>
      </c>
      <c r="I579" s="93">
        <v>14</v>
      </c>
      <c r="J579" s="183">
        <v>18</v>
      </c>
      <c r="K579" s="94">
        <v>-4</v>
      </c>
      <c r="L579" s="95">
        <v>-622.39999999999964</v>
      </c>
      <c r="M579" s="278" t="s">
        <v>5258</v>
      </c>
    </row>
    <row r="580" spans="1:13" ht="30">
      <c r="A580" s="88">
        <v>10</v>
      </c>
      <c r="B580" s="90" t="s">
        <v>2944</v>
      </c>
      <c r="C580" s="91" t="s">
        <v>2945</v>
      </c>
      <c r="D580" s="92">
        <v>11.1</v>
      </c>
      <c r="E580" s="260">
        <v>156</v>
      </c>
      <c r="F580" s="199"/>
      <c r="G580" s="199"/>
      <c r="H580" s="269">
        <v>1</v>
      </c>
      <c r="I580" s="93">
        <v>155</v>
      </c>
      <c r="J580" s="183">
        <v>157</v>
      </c>
      <c r="K580" s="94">
        <v>-2</v>
      </c>
      <c r="L580" s="95">
        <v>-22.200000000000045</v>
      </c>
      <c r="M580" s="96"/>
    </row>
    <row r="581" spans="1:13" ht="30">
      <c r="A581" s="88">
        <v>10</v>
      </c>
      <c r="B581" s="90" t="s">
        <v>2946</v>
      </c>
      <c r="C581" s="91" t="s">
        <v>2947</v>
      </c>
      <c r="D581" s="92">
        <v>5.77</v>
      </c>
      <c r="E581" s="260">
        <v>60</v>
      </c>
      <c r="F581" s="199"/>
      <c r="G581" s="199"/>
      <c r="H581" s="269">
        <v>1</v>
      </c>
      <c r="I581" s="93">
        <v>59</v>
      </c>
      <c r="J581" s="183">
        <v>60</v>
      </c>
      <c r="K581" s="94">
        <v>-1</v>
      </c>
      <c r="L581" s="95">
        <v>-5.7700000000000387</v>
      </c>
      <c r="M581" s="96"/>
    </row>
    <row r="582" spans="1:13">
      <c r="A582" s="88">
        <v>10</v>
      </c>
      <c r="B582" s="90" t="s">
        <v>2952</v>
      </c>
      <c r="C582" s="91" t="s">
        <v>2953</v>
      </c>
      <c r="D582" s="92">
        <v>11.1</v>
      </c>
      <c r="E582" s="260">
        <v>96</v>
      </c>
      <c r="F582" s="199"/>
      <c r="G582" s="199"/>
      <c r="H582" s="269">
        <v>2</v>
      </c>
      <c r="I582" s="93">
        <v>94</v>
      </c>
      <c r="J582" s="183">
        <v>98</v>
      </c>
      <c r="K582" s="94">
        <v>-4</v>
      </c>
      <c r="L582" s="95">
        <v>-44.400000000000091</v>
      </c>
      <c r="M582" s="96"/>
    </row>
    <row r="583" spans="1:13">
      <c r="A583" s="88">
        <v>10</v>
      </c>
      <c r="B583" s="90" t="s">
        <v>2958</v>
      </c>
      <c r="C583" s="91" t="s">
        <v>2959</v>
      </c>
      <c r="D583" s="92">
        <v>7.2</v>
      </c>
      <c r="E583" s="260"/>
      <c r="F583" s="199"/>
      <c r="G583" s="199"/>
      <c r="H583" s="269">
        <v>3</v>
      </c>
      <c r="I583" s="93">
        <v>-3</v>
      </c>
      <c r="J583" s="183">
        <v>3</v>
      </c>
      <c r="K583" s="94">
        <v>-6</v>
      </c>
      <c r="L583" s="95">
        <v>-43.2</v>
      </c>
      <c r="M583" s="96" t="s">
        <v>2133</v>
      </c>
    </row>
    <row r="584" spans="1:13" ht="30">
      <c r="A584" s="88">
        <v>10</v>
      </c>
      <c r="B584" s="90" t="s">
        <v>2960</v>
      </c>
      <c r="C584" s="91" t="s">
        <v>2961</v>
      </c>
      <c r="D584" s="92">
        <v>75.45</v>
      </c>
      <c r="E584" s="260"/>
      <c r="F584" s="199"/>
      <c r="G584" s="199"/>
      <c r="H584" s="269"/>
      <c r="I584" s="93">
        <v>0</v>
      </c>
      <c r="J584" s="183">
        <v>1</v>
      </c>
      <c r="K584" s="94">
        <v>-1</v>
      </c>
      <c r="L584" s="95">
        <v>-75.45</v>
      </c>
      <c r="M584" s="96"/>
    </row>
    <row r="585" spans="1:13">
      <c r="A585" s="88">
        <v>10</v>
      </c>
      <c r="B585" s="90" t="s">
        <v>2975</v>
      </c>
      <c r="C585" s="91" t="s">
        <v>2976</v>
      </c>
      <c r="D585" s="92">
        <v>28</v>
      </c>
      <c r="E585" s="260"/>
      <c r="F585" s="199"/>
      <c r="G585" s="199"/>
      <c r="H585" s="269"/>
      <c r="I585" s="93">
        <v>0</v>
      </c>
      <c r="J585" s="183">
        <v>5</v>
      </c>
      <c r="K585" s="94">
        <v>-5</v>
      </c>
      <c r="L585" s="95">
        <v>-140</v>
      </c>
      <c r="M585" s="96"/>
    </row>
    <row r="586" spans="1:13">
      <c r="A586" s="88">
        <v>10</v>
      </c>
      <c r="B586" s="90" t="s">
        <v>2977</v>
      </c>
      <c r="C586" s="91" t="s">
        <v>2978</v>
      </c>
      <c r="D586" s="92">
        <v>252</v>
      </c>
      <c r="E586" s="260"/>
      <c r="F586" s="199"/>
      <c r="G586" s="199"/>
      <c r="H586" s="269"/>
      <c r="I586" s="93">
        <v>0</v>
      </c>
      <c r="J586" s="183">
        <v>2</v>
      </c>
      <c r="K586" s="94">
        <v>-2</v>
      </c>
      <c r="L586" s="95">
        <v>-504</v>
      </c>
      <c r="M586" s="96"/>
    </row>
    <row r="587" spans="1:13">
      <c r="A587" s="88">
        <v>10</v>
      </c>
      <c r="B587" s="90" t="s">
        <v>3008</v>
      </c>
      <c r="C587" s="91" t="s">
        <v>3009</v>
      </c>
      <c r="D587" s="92">
        <v>11.17</v>
      </c>
      <c r="E587" s="260">
        <v>54</v>
      </c>
      <c r="F587" s="199"/>
      <c r="G587" s="199"/>
      <c r="H587" s="269">
        <v>10</v>
      </c>
      <c r="I587" s="93">
        <v>44</v>
      </c>
      <c r="J587" s="183">
        <v>54</v>
      </c>
      <c r="K587" s="94">
        <v>-10</v>
      </c>
      <c r="L587" s="95">
        <v>-111.69999999999993</v>
      </c>
      <c r="M587" s="278" t="s">
        <v>5196</v>
      </c>
    </row>
    <row r="588" spans="1:13">
      <c r="A588" s="88">
        <v>10</v>
      </c>
      <c r="B588" s="90" t="s">
        <v>3014</v>
      </c>
      <c r="C588" s="91" t="s">
        <v>3015</v>
      </c>
      <c r="D588" s="92">
        <v>25.45</v>
      </c>
      <c r="E588" s="260">
        <v>22</v>
      </c>
      <c r="F588" s="199"/>
      <c r="G588" s="199"/>
      <c r="H588" s="269">
        <v>1</v>
      </c>
      <c r="I588" s="93">
        <v>21</v>
      </c>
      <c r="J588" s="183">
        <v>23</v>
      </c>
      <c r="K588" s="94">
        <v>-2</v>
      </c>
      <c r="L588" s="95">
        <v>-50.900000000000091</v>
      </c>
      <c r="M588" s="278" t="s">
        <v>5219</v>
      </c>
    </row>
    <row r="589" spans="1:13">
      <c r="A589" s="88">
        <v>10</v>
      </c>
      <c r="B589" s="90" t="s">
        <v>3020</v>
      </c>
      <c r="C589" s="91" t="s">
        <v>3021</v>
      </c>
      <c r="D589" s="92">
        <v>5.41</v>
      </c>
      <c r="E589" s="260">
        <v>3</v>
      </c>
      <c r="F589" s="199"/>
      <c r="G589" s="199"/>
      <c r="H589" s="269">
        <v>3</v>
      </c>
      <c r="I589" s="93">
        <v>0</v>
      </c>
      <c r="J589" s="183">
        <v>2</v>
      </c>
      <c r="K589" s="94">
        <v>-2</v>
      </c>
      <c r="L589" s="95">
        <v>-10.82</v>
      </c>
      <c r="M589" s="278" t="s">
        <v>5217</v>
      </c>
    </row>
    <row r="590" spans="1:13" ht="30">
      <c r="A590" s="88">
        <v>10</v>
      </c>
      <c r="B590" s="90" t="s">
        <v>3030</v>
      </c>
      <c r="C590" s="91" t="s">
        <v>3031</v>
      </c>
      <c r="D590" s="92">
        <v>5.41</v>
      </c>
      <c r="E590" s="260">
        <v>108</v>
      </c>
      <c r="F590" s="199"/>
      <c r="G590" s="199"/>
      <c r="H590" s="269"/>
      <c r="I590" s="93">
        <v>108</v>
      </c>
      <c r="J590" s="183">
        <v>109</v>
      </c>
      <c r="K590" s="94">
        <v>-1</v>
      </c>
      <c r="L590" s="95">
        <v>-5.4100000000000819</v>
      </c>
      <c r="M590" s="96"/>
    </row>
    <row r="591" spans="1:13">
      <c r="A591" s="88">
        <v>10</v>
      </c>
      <c r="B591" s="90" t="s">
        <v>3032</v>
      </c>
      <c r="C591" s="91" t="s">
        <v>3033</v>
      </c>
      <c r="D591" s="92">
        <v>6.37</v>
      </c>
      <c r="E591" s="260">
        <v>102</v>
      </c>
      <c r="F591" s="199"/>
      <c r="G591" s="199"/>
      <c r="H591" s="269">
        <v>73</v>
      </c>
      <c r="I591" s="93">
        <v>29</v>
      </c>
      <c r="J591" s="183">
        <v>54</v>
      </c>
      <c r="K591" s="94">
        <v>-25</v>
      </c>
      <c r="L591" s="95">
        <v>-159.25000000000003</v>
      </c>
      <c r="M591" s="278" t="s">
        <v>5234</v>
      </c>
    </row>
    <row r="592" spans="1:13" ht="30">
      <c r="A592" s="88">
        <v>10</v>
      </c>
      <c r="B592" s="90" t="s">
        <v>3034</v>
      </c>
      <c r="C592" s="91" t="s">
        <v>3035</v>
      </c>
      <c r="D592" s="92">
        <v>5.41</v>
      </c>
      <c r="E592" s="260">
        <v>196</v>
      </c>
      <c r="F592" s="199"/>
      <c r="G592" s="199"/>
      <c r="H592" s="269"/>
      <c r="I592" s="93">
        <v>196</v>
      </c>
      <c r="J592" s="183">
        <v>199</v>
      </c>
      <c r="K592" s="94">
        <v>-3</v>
      </c>
      <c r="L592" s="95">
        <v>-16.229999999999791</v>
      </c>
      <c r="M592" s="96"/>
    </row>
    <row r="593" spans="1:13">
      <c r="A593" s="88">
        <v>10</v>
      </c>
      <c r="B593" s="90" t="s">
        <v>3036</v>
      </c>
      <c r="C593" s="91" t="s">
        <v>3037</v>
      </c>
      <c r="D593" s="92">
        <v>6.37</v>
      </c>
      <c r="E593" s="260">
        <v>654</v>
      </c>
      <c r="F593" s="199"/>
      <c r="G593" s="199"/>
      <c r="H593" s="269">
        <v>32</v>
      </c>
      <c r="I593" s="93">
        <v>622</v>
      </c>
      <c r="J593" s="183">
        <v>648</v>
      </c>
      <c r="K593" s="94">
        <v>-26</v>
      </c>
      <c r="L593" s="95">
        <v>-165.62000000000035</v>
      </c>
      <c r="M593" s="278" t="s">
        <v>5238</v>
      </c>
    </row>
    <row r="594" spans="1:13" ht="30">
      <c r="A594" s="88">
        <v>10</v>
      </c>
      <c r="B594" s="90" t="s">
        <v>3038</v>
      </c>
      <c r="C594" s="91" t="s">
        <v>3039</v>
      </c>
      <c r="D594" s="92">
        <v>6.37</v>
      </c>
      <c r="E594" s="260">
        <v>120</v>
      </c>
      <c r="F594" s="199"/>
      <c r="G594" s="199"/>
      <c r="H594" s="269">
        <v>60</v>
      </c>
      <c r="I594" s="93">
        <v>60</v>
      </c>
      <c r="J594" s="183">
        <v>120</v>
      </c>
      <c r="K594" s="94">
        <v>-60</v>
      </c>
      <c r="L594" s="95">
        <v>-382.2</v>
      </c>
      <c r="M594" s="278" t="s">
        <v>5233</v>
      </c>
    </row>
    <row r="595" spans="1:13">
      <c r="A595" s="88">
        <v>10</v>
      </c>
      <c r="B595" s="90" t="s">
        <v>3042</v>
      </c>
      <c r="C595" s="91" t="s">
        <v>3043</v>
      </c>
      <c r="D595" s="92">
        <v>6.37</v>
      </c>
      <c r="E595" s="260"/>
      <c r="F595" s="199"/>
      <c r="G595" s="199"/>
      <c r="H595" s="269">
        <v>60</v>
      </c>
      <c r="I595" s="93">
        <v>-60</v>
      </c>
      <c r="J595" s="183"/>
      <c r="K595" s="94">
        <v>-60</v>
      </c>
      <c r="L595" s="95">
        <v>-382.2</v>
      </c>
      <c r="M595" s="278" t="s">
        <v>5233</v>
      </c>
    </row>
    <row r="596" spans="1:13" ht="30">
      <c r="A596" s="88">
        <v>10</v>
      </c>
      <c r="B596" s="90" t="s">
        <v>3044</v>
      </c>
      <c r="C596" s="91" t="s">
        <v>3045</v>
      </c>
      <c r="D596" s="92">
        <v>6.37</v>
      </c>
      <c r="E596" s="260">
        <v>704</v>
      </c>
      <c r="F596" s="199"/>
      <c r="G596" s="199"/>
      <c r="H596" s="269">
        <v>119</v>
      </c>
      <c r="I596" s="93">
        <v>585</v>
      </c>
      <c r="J596" s="183">
        <v>690</v>
      </c>
      <c r="K596" s="94">
        <v>-105</v>
      </c>
      <c r="L596" s="95">
        <v>-668.84999999999991</v>
      </c>
      <c r="M596" s="278" t="s">
        <v>5236</v>
      </c>
    </row>
    <row r="597" spans="1:13">
      <c r="A597" s="88">
        <v>10</v>
      </c>
      <c r="B597" s="90" t="s">
        <v>3048</v>
      </c>
      <c r="C597" s="91" t="s">
        <v>3049</v>
      </c>
      <c r="D597" s="92">
        <v>6.37</v>
      </c>
      <c r="E597" s="260">
        <v>954</v>
      </c>
      <c r="F597" s="199"/>
      <c r="G597" s="199"/>
      <c r="H597" s="269">
        <v>25</v>
      </c>
      <c r="I597" s="93">
        <v>929</v>
      </c>
      <c r="J597" s="183">
        <v>955</v>
      </c>
      <c r="K597" s="94">
        <v>-26</v>
      </c>
      <c r="L597" s="95">
        <v>-165.61999999999989</v>
      </c>
      <c r="M597" s="278" t="s">
        <v>5199</v>
      </c>
    </row>
    <row r="598" spans="1:13">
      <c r="A598" s="88">
        <v>10</v>
      </c>
      <c r="B598" s="90" t="s">
        <v>3050</v>
      </c>
      <c r="C598" s="91" t="s">
        <v>3051</v>
      </c>
      <c r="D598" s="92">
        <v>6.37</v>
      </c>
      <c r="E598" s="260">
        <v>367</v>
      </c>
      <c r="F598" s="199"/>
      <c r="G598" s="199"/>
      <c r="H598" s="269">
        <v>155</v>
      </c>
      <c r="I598" s="93">
        <v>212</v>
      </c>
      <c r="J598" s="183">
        <v>312</v>
      </c>
      <c r="K598" s="94">
        <v>-100</v>
      </c>
      <c r="L598" s="95">
        <v>-637</v>
      </c>
      <c r="M598" s="278" t="s">
        <v>5235</v>
      </c>
    </row>
    <row r="599" spans="1:13" ht="30">
      <c r="A599" s="88">
        <v>10</v>
      </c>
      <c r="B599" s="90" t="s">
        <v>3070</v>
      </c>
      <c r="C599" s="91" t="s">
        <v>3071</v>
      </c>
      <c r="D599" s="92">
        <v>14.43</v>
      </c>
      <c r="E599" s="260">
        <v>136</v>
      </c>
      <c r="F599" s="199"/>
      <c r="G599" s="199"/>
      <c r="H599" s="269">
        <v>12</v>
      </c>
      <c r="I599" s="93">
        <v>124</v>
      </c>
      <c r="J599" s="183">
        <v>154</v>
      </c>
      <c r="K599" s="94">
        <v>-30</v>
      </c>
      <c r="L599" s="95">
        <v>-432.89999999999986</v>
      </c>
      <c r="M599" s="96"/>
    </row>
    <row r="600" spans="1:13" ht="30">
      <c r="A600" s="88">
        <v>10</v>
      </c>
      <c r="B600" s="90" t="s">
        <v>3072</v>
      </c>
      <c r="C600" s="91" t="s">
        <v>3073</v>
      </c>
      <c r="D600" s="92">
        <v>14.43</v>
      </c>
      <c r="E600" s="260"/>
      <c r="F600" s="199"/>
      <c r="G600" s="199"/>
      <c r="H600" s="269">
        <v>30</v>
      </c>
      <c r="I600" s="93">
        <v>-30</v>
      </c>
      <c r="J600" s="183"/>
      <c r="K600" s="94">
        <v>-30</v>
      </c>
      <c r="L600" s="95">
        <v>-432.9</v>
      </c>
      <c r="M600" s="278" t="s">
        <v>5254</v>
      </c>
    </row>
    <row r="601" spans="1:13" ht="30">
      <c r="A601" s="88">
        <v>10</v>
      </c>
      <c r="B601" s="90" t="s">
        <v>3085</v>
      </c>
      <c r="C601" s="91" t="s">
        <v>3086</v>
      </c>
      <c r="D601" s="92">
        <v>18.600000000000001</v>
      </c>
      <c r="E601" s="260">
        <v>58</v>
      </c>
      <c r="F601" s="199"/>
      <c r="G601" s="199"/>
      <c r="H601" s="269">
        <v>32</v>
      </c>
      <c r="I601" s="93">
        <v>26</v>
      </c>
      <c r="J601" s="183">
        <v>50</v>
      </c>
      <c r="K601" s="94">
        <v>-24</v>
      </c>
      <c r="L601" s="95">
        <v>-446.40000000000009</v>
      </c>
      <c r="M601" s="278" t="s">
        <v>5261</v>
      </c>
    </row>
    <row r="602" spans="1:13" ht="30">
      <c r="A602" s="88">
        <v>10</v>
      </c>
      <c r="B602" s="90" t="s">
        <v>3089</v>
      </c>
      <c r="C602" s="91" t="s">
        <v>3090</v>
      </c>
      <c r="D602" s="92">
        <v>5.67</v>
      </c>
      <c r="E602" s="260">
        <v>372</v>
      </c>
      <c r="F602" s="199"/>
      <c r="G602" s="199"/>
      <c r="H602" s="269">
        <v>1</v>
      </c>
      <c r="I602" s="93">
        <v>371</v>
      </c>
      <c r="J602" s="183">
        <v>372</v>
      </c>
      <c r="K602" s="94">
        <v>-1</v>
      </c>
      <c r="L602" s="95">
        <v>-5.669999999999618</v>
      </c>
      <c r="M602" s="96"/>
    </row>
    <row r="603" spans="1:13" ht="30">
      <c r="A603" s="88">
        <v>10</v>
      </c>
      <c r="B603" s="90" t="s">
        <v>3093</v>
      </c>
      <c r="C603" s="91" t="s">
        <v>3094</v>
      </c>
      <c r="D603" s="92">
        <v>5</v>
      </c>
      <c r="E603" s="260">
        <v>126</v>
      </c>
      <c r="F603" s="199"/>
      <c r="G603" s="199"/>
      <c r="H603" s="269">
        <v>4</v>
      </c>
      <c r="I603" s="93">
        <v>122</v>
      </c>
      <c r="J603" s="183">
        <v>130</v>
      </c>
      <c r="K603" s="94">
        <v>-8</v>
      </c>
      <c r="L603" s="95">
        <v>-40</v>
      </c>
      <c r="M603" s="96"/>
    </row>
    <row r="604" spans="1:13">
      <c r="A604" s="88">
        <v>10</v>
      </c>
      <c r="B604" s="90" t="s">
        <v>3103</v>
      </c>
      <c r="C604" s="91" t="s">
        <v>3104</v>
      </c>
      <c r="D604" s="92">
        <v>7.59</v>
      </c>
      <c r="E604" s="260">
        <v>72</v>
      </c>
      <c r="F604" s="199"/>
      <c r="G604" s="199"/>
      <c r="H604" s="269">
        <v>15</v>
      </c>
      <c r="I604" s="93">
        <v>57</v>
      </c>
      <c r="J604" s="183">
        <v>72</v>
      </c>
      <c r="K604" s="94">
        <v>-15</v>
      </c>
      <c r="L604" s="95">
        <v>-113.85000000000002</v>
      </c>
      <c r="M604" s="278" t="s">
        <v>5215</v>
      </c>
    </row>
    <row r="605" spans="1:13">
      <c r="A605" s="88">
        <v>10</v>
      </c>
      <c r="B605" s="90" t="s">
        <v>3105</v>
      </c>
      <c r="C605" s="91" t="s">
        <v>3106</v>
      </c>
      <c r="D605" s="92">
        <v>39.880000000000003</v>
      </c>
      <c r="E605" s="260">
        <v>11</v>
      </c>
      <c r="F605" s="199"/>
      <c r="G605" s="199"/>
      <c r="H605" s="269">
        <v>12</v>
      </c>
      <c r="I605" s="93">
        <v>-1</v>
      </c>
      <c r="J605" s="183">
        <v>10</v>
      </c>
      <c r="K605" s="94">
        <v>-11</v>
      </c>
      <c r="L605" s="95">
        <v>-438.68</v>
      </c>
      <c r="M605" s="278" t="s">
        <v>5185</v>
      </c>
    </row>
    <row r="606" spans="1:13">
      <c r="A606" s="88">
        <v>10</v>
      </c>
      <c r="B606" s="90" t="s">
        <v>3107</v>
      </c>
      <c r="C606" s="91" t="s">
        <v>3108</v>
      </c>
      <c r="D606" s="92">
        <v>15.15</v>
      </c>
      <c r="E606" s="260">
        <v>61</v>
      </c>
      <c r="F606" s="199"/>
      <c r="G606" s="199"/>
      <c r="H606" s="269">
        <v>31</v>
      </c>
      <c r="I606" s="93">
        <v>30</v>
      </c>
      <c r="J606" s="183">
        <v>54</v>
      </c>
      <c r="K606" s="94">
        <v>-24</v>
      </c>
      <c r="L606" s="95">
        <v>-363.6</v>
      </c>
      <c r="M606" s="278" t="s">
        <v>5214</v>
      </c>
    </row>
    <row r="607" spans="1:13">
      <c r="A607" s="88">
        <v>10</v>
      </c>
      <c r="B607" s="90" t="s">
        <v>3109</v>
      </c>
      <c r="C607" s="91" t="s">
        <v>3110</v>
      </c>
      <c r="D607" s="92">
        <v>23.38</v>
      </c>
      <c r="E607" s="260">
        <v>87</v>
      </c>
      <c r="F607" s="199"/>
      <c r="G607" s="199"/>
      <c r="H607" s="269">
        <v>18</v>
      </c>
      <c r="I607" s="93">
        <v>69</v>
      </c>
      <c r="J607" s="183">
        <v>92</v>
      </c>
      <c r="K607" s="94">
        <v>-23</v>
      </c>
      <c r="L607" s="95">
        <v>-537.74</v>
      </c>
      <c r="M607" s="278" t="s">
        <v>5213</v>
      </c>
    </row>
    <row r="608" spans="1:13" ht="30">
      <c r="A608" s="88">
        <v>10</v>
      </c>
      <c r="B608" s="90" t="s">
        <v>3117</v>
      </c>
      <c r="C608" s="91" t="s">
        <v>3118</v>
      </c>
      <c r="D608" s="92">
        <v>38.01</v>
      </c>
      <c r="E608" s="260">
        <v>130</v>
      </c>
      <c r="F608" s="199"/>
      <c r="G608" s="199"/>
      <c r="H608" s="269">
        <v>12</v>
      </c>
      <c r="I608" s="93">
        <v>118</v>
      </c>
      <c r="J608" s="183">
        <v>147</v>
      </c>
      <c r="K608" s="94">
        <v>-29</v>
      </c>
      <c r="L608" s="95">
        <v>-1102.29</v>
      </c>
      <c r="M608" s="96"/>
    </row>
    <row r="609" spans="1:13" ht="30">
      <c r="A609" s="88">
        <v>10</v>
      </c>
      <c r="B609" s="90" t="s">
        <v>3119</v>
      </c>
      <c r="C609" s="91" t="s">
        <v>3120</v>
      </c>
      <c r="D609" s="92">
        <v>65.989999999999995</v>
      </c>
      <c r="E609" s="260">
        <v>19</v>
      </c>
      <c r="F609" s="199"/>
      <c r="G609" s="199"/>
      <c r="H609" s="269">
        <v>20</v>
      </c>
      <c r="I609" s="93">
        <v>-1</v>
      </c>
      <c r="J609" s="183">
        <v>6</v>
      </c>
      <c r="K609" s="94">
        <v>-7</v>
      </c>
      <c r="L609" s="95">
        <v>-461.92999999999995</v>
      </c>
      <c r="M609" s="278" t="s">
        <v>5216</v>
      </c>
    </row>
    <row r="610" spans="1:13" ht="30">
      <c r="A610" s="88">
        <v>10</v>
      </c>
      <c r="B610" s="90" t="s">
        <v>3121</v>
      </c>
      <c r="C610" s="91" t="s">
        <v>3122</v>
      </c>
      <c r="D610" s="92">
        <v>11.32</v>
      </c>
      <c r="E610" s="260">
        <v>25</v>
      </c>
      <c r="F610" s="199"/>
      <c r="G610" s="199"/>
      <c r="H610" s="269">
        <v>10</v>
      </c>
      <c r="I610" s="93">
        <v>15</v>
      </c>
      <c r="J610" s="183">
        <v>25</v>
      </c>
      <c r="K610" s="94">
        <v>-10</v>
      </c>
      <c r="L610" s="95">
        <v>-113.19999999999999</v>
      </c>
      <c r="M610" s="278" t="s">
        <v>5196</v>
      </c>
    </row>
    <row r="611" spans="1:13">
      <c r="A611" s="88">
        <v>11</v>
      </c>
      <c r="B611" s="90" t="s">
        <v>3150</v>
      </c>
      <c r="C611" s="91" t="s">
        <v>3151</v>
      </c>
      <c r="D611" s="92">
        <v>75</v>
      </c>
      <c r="E611" s="260"/>
      <c r="F611" s="199"/>
      <c r="G611" s="199"/>
      <c r="H611" s="269"/>
      <c r="I611" s="93">
        <v>0</v>
      </c>
      <c r="J611" s="183">
        <v>8</v>
      </c>
      <c r="K611" s="94">
        <v>-8</v>
      </c>
      <c r="L611" s="95">
        <v>-600</v>
      </c>
      <c r="M611" s="96" t="s">
        <v>821</v>
      </c>
    </row>
    <row r="612" spans="1:13" ht="30">
      <c r="A612" s="88">
        <v>11</v>
      </c>
      <c r="B612" s="90" t="s">
        <v>3174</v>
      </c>
      <c r="C612" s="91" t="s">
        <v>3175</v>
      </c>
      <c r="D612" s="92">
        <v>224</v>
      </c>
      <c r="E612" s="260"/>
      <c r="F612" s="199"/>
      <c r="G612" s="199"/>
      <c r="H612" s="269"/>
      <c r="I612" s="93">
        <v>0</v>
      </c>
      <c r="J612" s="183">
        <v>3</v>
      </c>
      <c r="K612" s="94">
        <v>-3</v>
      </c>
      <c r="L612" s="95">
        <v>-672</v>
      </c>
      <c r="M612" s="96"/>
    </row>
    <row r="613" spans="1:13" ht="30">
      <c r="A613" s="88">
        <v>11</v>
      </c>
      <c r="B613" s="90" t="s">
        <v>3176</v>
      </c>
      <c r="C613" s="91" t="s">
        <v>3177</v>
      </c>
      <c r="D613" s="92">
        <v>224</v>
      </c>
      <c r="E613" s="260"/>
      <c r="F613" s="199"/>
      <c r="G613" s="199"/>
      <c r="H613" s="269"/>
      <c r="I613" s="93">
        <v>0</v>
      </c>
      <c r="J613" s="183">
        <v>3</v>
      </c>
      <c r="K613" s="94">
        <v>-3</v>
      </c>
      <c r="L613" s="95">
        <v>-672</v>
      </c>
      <c r="M613" s="96"/>
    </row>
    <row r="614" spans="1:13" ht="30">
      <c r="A614" s="88">
        <v>11</v>
      </c>
      <c r="B614" s="90" t="s">
        <v>3178</v>
      </c>
      <c r="C614" s="91" t="s">
        <v>3179</v>
      </c>
      <c r="D614" s="92">
        <v>224</v>
      </c>
      <c r="E614" s="260"/>
      <c r="F614" s="199"/>
      <c r="G614" s="199"/>
      <c r="H614" s="269"/>
      <c r="I614" s="93">
        <v>0</v>
      </c>
      <c r="J614" s="183">
        <v>1</v>
      </c>
      <c r="K614" s="94">
        <v>-1</v>
      </c>
      <c r="L614" s="95">
        <v>-224</v>
      </c>
      <c r="M614" s="96"/>
    </row>
    <row r="615" spans="1:13" ht="30">
      <c r="A615" s="88">
        <v>11</v>
      </c>
      <c r="B615" s="90" t="s">
        <v>3180</v>
      </c>
      <c r="C615" s="91" t="s">
        <v>3181</v>
      </c>
      <c r="D615" s="92">
        <v>224</v>
      </c>
      <c r="E615" s="260"/>
      <c r="F615" s="199"/>
      <c r="G615" s="199"/>
      <c r="H615" s="269"/>
      <c r="I615" s="93">
        <v>0</v>
      </c>
      <c r="J615" s="183">
        <v>3</v>
      </c>
      <c r="K615" s="94">
        <v>-3</v>
      </c>
      <c r="L615" s="95">
        <v>-672</v>
      </c>
      <c r="M615" s="96"/>
    </row>
    <row r="616" spans="1:13" ht="30">
      <c r="A616" s="88">
        <v>11</v>
      </c>
      <c r="B616" s="90" t="s">
        <v>3182</v>
      </c>
      <c r="C616" s="91" t="s">
        <v>3183</v>
      </c>
      <c r="D616" s="92">
        <v>224</v>
      </c>
      <c r="E616" s="260"/>
      <c r="F616" s="199"/>
      <c r="G616" s="199"/>
      <c r="H616" s="269"/>
      <c r="I616" s="93">
        <v>0</v>
      </c>
      <c r="J616" s="183">
        <v>3</v>
      </c>
      <c r="K616" s="94">
        <v>-3</v>
      </c>
      <c r="L616" s="95">
        <v>-672</v>
      </c>
      <c r="M616" s="96"/>
    </row>
    <row r="617" spans="1:13" ht="30">
      <c r="A617" s="88">
        <v>11</v>
      </c>
      <c r="B617" s="90" t="s">
        <v>3184</v>
      </c>
      <c r="C617" s="91" t="s">
        <v>3185</v>
      </c>
      <c r="D617" s="92">
        <v>224</v>
      </c>
      <c r="E617" s="260"/>
      <c r="F617" s="199"/>
      <c r="G617" s="199"/>
      <c r="H617" s="269"/>
      <c r="I617" s="93">
        <v>0</v>
      </c>
      <c r="J617" s="183">
        <v>2</v>
      </c>
      <c r="K617" s="94">
        <v>-2</v>
      </c>
      <c r="L617" s="95">
        <v>-448</v>
      </c>
      <c r="M617" s="96"/>
    </row>
    <row r="618" spans="1:13" ht="30">
      <c r="A618" s="88">
        <v>11</v>
      </c>
      <c r="B618" s="90" t="s">
        <v>3186</v>
      </c>
      <c r="C618" s="91" t="s">
        <v>3187</v>
      </c>
      <c r="D618" s="92">
        <v>224</v>
      </c>
      <c r="E618" s="260"/>
      <c r="F618" s="199"/>
      <c r="G618" s="199"/>
      <c r="H618" s="269"/>
      <c r="I618" s="93">
        <v>0</v>
      </c>
      <c r="J618" s="183">
        <v>2</v>
      </c>
      <c r="K618" s="94">
        <v>-2</v>
      </c>
      <c r="L618" s="95">
        <v>-448</v>
      </c>
      <c r="M618" s="96"/>
    </row>
    <row r="619" spans="1:13" ht="30">
      <c r="A619" s="88">
        <v>11</v>
      </c>
      <c r="B619" s="90" t="s">
        <v>3188</v>
      </c>
      <c r="C619" s="91" t="s">
        <v>3189</v>
      </c>
      <c r="D619" s="92">
        <v>224</v>
      </c>
      <c r="E619" s="260"/>
      <c r="F619" s="199"/>
      <c r="G619" s="199"/>
      <c r="H619" s="269"/>
      <c r="I619" s="93">
        <v>0</v>
      </c>
      <c r="J619" s="183">
        <v>3</v>
      </c>
      <c r="K619" s="94">
        <v>-3</v>
      </c>
      <c r="L619" s="95">
        <v>-672</v>
      </c>
      <c r="M619" s="96"/>
    </row>
    <row r="620" spans="1:13" ht="30">
      <c r="A620" s="88">
        <v>11</v>
      </c>
      <c r="B620" s="90" t="s">
        <v>3190</v>
      </c>
      <c r="C620" s="91" t="s">
        <v>3191</v>
      </c>
      <c r="D620" s="92">
        <v>224</v>
      </c>
      <c r="E620" s="260"/>
      <c r="F620" s="199"/>
      <c r="G620" s="199"/>
      <c r="H620" s="269"/>
      <c r="I620" s="93">
        <v>0</v>
      </c>
      <c r="J620" s="183">
        <v>2</v>
      </c>
      <c r="K620" s="94">
        <v>-2</v>
      </c>
      <c r="L620" s="95">
        <v>-448</v>
      </c>
      <c r="M620" s="96"/>
    </row>
    <row r="621" spans="1:13" ht="30">
      <c r="A621" s="88">
        <v>11</v>
      </c>
      <c r="B621" s="90" t="s">
        <v>3192</v>
      </c>
      <c r="C621" s="91" t="s">
        <v>3193</v>
      </c>
      <c r="D621" s="92">
        <v>203</v>
      </c>
      <c r="E621" s="260"/>
      <c r="F621" s="199"/>
      <c r="G621" s="199"/>
      <c r="H621" s="269"/>
      <c r="I621" s="93">
        <v>0</v>
      </c>
      <c r="J621" s="183">
        <v>2</v>
      </c>
      <c r="K621" s="94">
        <v>-2</v>
      </c>
      <c r="L621" s="95">
        <v>-406</v>
      </c>
      <c r="M621" s="96"/>
    </row>
    <row r="622" spans="1:13" ht="30">
      <c r="A622" s="88">
        <v>11</v>
      </c>
      <c r="B622" s="90" t="s">
        <v>3194</v>
      </c>
      <c r="C622" s="91" t="s">
        <v>3195</v>
      </c>
      <c r="D622" s="92">
        <v>203</v>
      </c>
      <c r="E622" s="260"/>
      <c r="F622" s="199"/>
      <c r="G622" s="199"/>
      <c r="H622" s="269"/>
      <c r="I622" s="93">
        <v>0</v>
      </c>
      <c r="J622" s="183">
        <v>1</v>
      </c>
      <c r="K622" s="94">
        <v>-1</v>
      </c>
      <c r="L622" s="95">
        <v>-203</v>
      </c>
      <c r="M622" s="96"/>
    </row>
    <row r="623" spans="1:13" ht="30">
      <c r="A623" s="88">
        <v>11</v>
      </c>
      <c r="B623" s="90" t="s">
        <v>3196</v>
      </c>
      <c r="C623" s="91" t="s">
        <v>3197</v>
      </c>
      <c r="D623" s="92">
        <v>203</v>
      </c>
      <c r="E623" s="260"/>
      <c r="F623" s="199"/>
      <c r="G623" s="199"/>
      <c r="H623" s="269"/>
      <c r="I623" s="93">
        <v>0</v>
      </c>
      <c r="J623" s="183">
        <v>2</v>
      </c>
      <c r="K623" s="94">
        <v>-2</v>
      </c>
      <c r="L623" s="95">
        <v>-406</v>
      </c>
      <c r="M623" s="96"/>
    </row>
    <row r="624" spans="1:13" ht="30">
      <c r="A624" s="88">
        <v>11</v>
      </c>
      <c r="B624" s="90" t="s">
        <v>3198</v>
      </c>
      <c r="C624" s="91" t="s">
        <v>3199</v>
      </c>
      <c r="D624" s="92">
        <v>210</v>
      </c>
      <c r="E624" s="260"/>
      <c r="F624" s="199"/>
      <c r="G624" s="199"/>
      <c r="H624" s="269"/>
      <c r="I624" s="93">
        <v>0</v>
      </c>
      <c r="J624" s="183">
        <v>1</v>
      </c>
      <c r="K624" s="94">
        <v>-1</v>
      </c>
      <c r="L624" s="95">
        <v>-210</v>
      </c>
      <c r="M624" s="96"/>
    </row>
    <row r="625" spans="1:13" ht="30">
      <c r="A625" s="88">
        <v>11</v>
      </c>
      <c r="B625" s="90" t="s">
        <v>3200</v>
      </c>
      <c r="C625" s="91" t="s">
        <v>3201</v>
      </c>
      <c r="D625" s="92">
        <v>210</v>
      </c>
      <c r="E625" s="260"/>
      <c r="F625" s="199"/>
      <c r="G625" s="199"/>
      <c r="H625" s="269"/>
      <c r="I625" s="93">
        <v>0</v>
      </c>
      <c r="J625" s="183">
        <v>1</v>
      </c>
      <c r="K625" s="94">
        <v>-1</v>
      </c>
      <c r="L625" s="95">
        <v>-210</v>
      </c>
      <c r="M625" s="96"/>
    </row>
    <row r="626" spans="1:13">
      <c r="A626" s="88">
        <v>11</v>
      </c>
      <c r="B626" s="90" t="s">
        <v>3202</v>
      </c>
      <c r="C626" s="91" t="s">
        <v>3203</v>
      </c>
      <c r="D626" s="92">
        <v>112</v>
      </c>
      <c r="E626" s="260">
        <v>2</v>
      </c>
      <c r="F626" s="199"/>
      <c r="G626" s="199"/>
      <c r="H626" s="269"/>
      <c r="I626" s="93">
        <v>2</v>
      </c>
      <c r="J626" s="183">
        <v>3</v>
      </c>
      <c r="K626" s="94">
        <v>-1</v>
      </c>
      <c r="L626" s="95">
        <v>-112</v>
      </c>
      <c r="M626" s="96"/>
    </row>
    <row r="627" spans="1:13">
      <c r="A627" s="88">
        <v>11</v>
      </c>
      <c r="B627" s="90" t="s">
        <v>3377</v>
      </c>
      <c r="C627" s="91" t="s">
        <v>3378</v>
      </c>
      <c r="D627" s="92">
        <v>130</v>
      </c>
      <c r="E627" s="260"/>
      <c r="F627" s="199"/>
      <c r="G627" s="199"/>
      <c r="H627" s="269"/>
      <c r="I627" s="93">
        <v>0</v>
      </c>
      <c r="J627" s="183">
        <v>1</v>
      </c>
      <c r="K627" s="94">
        <v>-1</v>
      </c>
      <c r="L627" s="95">
        <v>-130</v>
      </c>
      <c r="M627" s="96"/>
    </row>
    <row r="628" spans="1:13">
      <c r="A628" s="88">
        <v>11</v>
      </c>
      <c r="B628" s="90" t="s">
        <v>3398</v>
      </c>
      <c r="C628" s="91" t="s">
        <v>3399</v>
      </c>
      <c r="D628" s="92">
        <v>90</v>
      </c>
      <c r="E628" s="260">
        <v>7</v>
      </c>
      <c r="F628" s="199">
        <v>60</v>
      </c>
      <c r="G628" s="199"/>
      <c r="H628" s="269">
        <v>47</v>
      </c>
      <c r="I628" s="93">
        <v>20</v>
      </c>
      <c r="J628" s="183">
        <v>22</v>
      </c>
      <c r="K628" s="94">
        <v>-2</v>
      </c>
      <c r="L628" s="95">
        <v>-180</v>
      </c>
      <c r="M628" s="96"/>
    </row>
    <row r="629" spans="1:13" ht="30">
      <c r="A629" s="88">
        <v>12</v>
      </c>
      <c r="B629" s="90" t="s">
        <v>3489</v>
      </c>
      <c r="C629" s="91" t="s">
        <v>3490</v>
      </c>
      <c r="D629" s="92">
        <v>37.869999999999997</v>
      </c>
      <c r="E629" s="260">
        <v>12</v>
      </c>
      <c r="F629" s="199"/>
      <c r="G629" s="199">
        <v>1</v>
      </c>
      <c r="H629" s="269"/>
      <c r="I629" s="93">
        <v>11</v>
      </c>
      <c r="J629" s="183">
        <v>30</v>
      </c>
      <c r="K629" s="94">
        <v>-19</v>
      </c>
      <c r="L629" s="95">
        <v>-719.53</v>
      </c>
      <c r="M629" s="96"/>
    </row>
    <row r="630" spans="1:13" ht="30">
      <c r="A630" s="88">
        <v>12</v>
      </c>
      <c r="B630" s="90" t="s">
        <v>3491</v>
      </c>
      <c r="C630" s="91" t="s">
        <v>3492</v>
      </c>
      <c r="D630" s="92">
        <v>41.67</v>
      </c>
      <c r="E630" s="260">
        <v>27</v>
      </c>
      <c r="F630" s="199"/>
      <c r="G630" s="199">
        <v>36</v>
      </c>
      <c r="H630" s="269"/>
      <c r="I630" s="93">
        <v>-9</v>
      </c>
      <c r="J630" s="183">
        <v>9</v>
      </c>
      <c r="K630" s="94">
        <v>-18</v>
      </c>
      <c r="L630" s="95">
        <v>-750.06000000000006</v>
      </c>
      <c r="M630" s="96"/>
    </row>
    <row r="631" spans="1:13" ht="30">
      <c r="A631" s="88">
        <v>12</v>
      </c>
      <c r="B631" s="90" t="s">
        <v>3521</v>
      </c>
      <c r="C631" s="91" t="s">
        <v>3522</v>
      </c>
      <c r="D631" s="92">
        <v>27.3</v>
      </c>
      <c r="E631" s="260">
        <v>24</v>
      </c>
      <c r="F631" s="199">
        <v>24</v>
      </c>
      <c r="G631" s="199">
        <v>20</v>
      </c>
      <c r="H631" s="269">
        <v>1</v>
      </c>
      <c r="I631" s="93">
        <v>27</v>
      </c>
      <c r="J631" s="183">
        <v>30</v>
      </c>
      <c r="K631" s="94">
        <v>-3</v>
      </c>
      <c r="L631" s="95">
        <v>-81.899999999999977</v>
      </c>
      <c r="M631" s="96"/>
    </row>
    <row r="632" spans="1:13">
      <c r="A632" s="88">
        <v>12</v>
      </c>
      <c r="B632" s="90" t="s">
        <v>3533</v>
      </c>
      <c r="C632" s="91" t="s">
        <v>3534</v>
      </c>
      <c r="D632" s="92">
        <v>18.2</v>
      </c>
      <c r="E632" s="260">
        <v>9</v>
      </c>
      <c r="F632" s="199"/>
      <c r="G632" s="199"/>
      <c r="H632" s="269">
        <v>4</v>
      </c>
      <c r="I632" s="93">
        <v>5</v>
      </c>
      <c r="J632" s="183">
        <v>9</v>
      </c>
      <c r="K632" s="94">
        <v>-4</v>
      </c>
      <c r="L632" s="95">
        <v>-72.799999999999983</v>
      </c>
      <c r="M632" s="96"/>
    </row>
    <row r="633" spans="1:13">
      <c r="A633" s="88">
        <v>12</v>
      </c>
      <c r="B633" s="90" t="s">
        <v>3565</v>
      </c>
      <c r="C633" s="91" t="s">
        <v>3566</v>
      </c>
      <c r="D633" s="92">
        <v>250</v>
      </c>
      <c r="E633" s="260"/>
      <c r="F633" s="199"/>
      <c r="G633" s="199"/>
      <c r="H633" s="269"/>
      <c r="I633" s="93">
        <v>0</v>
      </c>
      <c r="J633" s="183">
        <v>2</v>
      </c>
      <c r="K633" s="94">
        <v>-2</v>
      </c>
      <c r="L633" s="95">
        <v>-500</v>
      </c>
      <c r="M633" s="96"/>
    </row>
    <row r="634" spans="1:13">
      <c r="A634" s="88">
        <v>12</v>
      </c>
      <c r="B634" s="106" t="s">
        <v>3573</v>
      </c>
      <c r="C634" s="91" t="s">
        <v>3574</v>
      </c>
      <c r="D634" s="92">
        <v>22.7</v>
      </c>
      <c r="E634" s="260">
        <v>11</v>
      </c>
      <c r="F634" s="199"/>
      <c r="G634" s="199">
        <v>12</v>
      </c>
      <c r="H634" s="269"/>
      <c r="I634" s="93">
        <v>-1</v>
      </c>
      <c r="J634" s="183"/>
      <c r="K634" s="94">
        <v>-1</v>
      </c>
      <c r="L634" s="95">
        <v>-22.7</v>
      </c>
      <c r="M634" s="96"/>
    </row>
    <row r="635" spans="1:13" ht="30">
      <c r="A635" s="88">
        <v>12</v>
      </c>
      <c r="B635" s="90" t="s">
        <v>3579</v>
      </c>
      <c r="C635" s="91" t="s">
        <v>3580</v>
      </c>
      <c r="D635" s="92">
        <v>23.21</v>
      </c>
      <c r="E635" s="260"/>
      <c r="F635" s="199">
        <v>24</v>
      </c>
      <c r="G635" s="199"/>
      <c r="H635" s="269">
        <v>6</v>
      </c>
      <c r="I635" s="93">
        <v>18</v>
      </c>
      <c r="J635" s="183">
        <v>45</v>
      </c>
      <c r="K635" s="94">
        <v>-27</v>
      </c>
      <c r="L635" s="95">
        <v>-626.67000000000007</v>
      </c>
      <c r="M635" s="96"/>
    </row>
    <row r="636" spans="1:13">
      <c r="A636" s="88">
        <v>13</v>
      </c>
      <c r="B636" s="90" t="s">
        <v>3586</v>
      </c>
      <c r="C636" s="91" t="s">
        <v>3587</v>
      </c>
      <c r="D636" s="92">
        <v>12.25</v>
      </c>
      <c r="E636" s="260">
        <v>19</v>
      </c>
      <c r="F636" s="199">
        <v>600</v>
      </c>
      <c r="G636" s="199"/>
      <c r="H636" s="269">
        <v>2</v>
      </c>
      <c r="I636" s="93">
        <v>617</v>
      </c>
      <c r="J636" s="183">
        <v>716</v>
      </c>
      <c r="K636" s="94">
        <v>-99</v>
      </c>
      <c r="L636" s="95">
        <v>-1212.75</v>
      </c>
      <c r="M636" s="96"/>
    </row>
    <row r="637" spans="1:13">
      <c r="A637" s="88">
        <v>13</v>
      </c>
      <c r="B637" s="90" t="s">
        <v>3605</v>
      </c>
      <c r="C637" s="91" t="s">
        <v>3606</v>
      </c>
      <c r="D637" s="92">
        <v>58.58</v>
      </c>
      <c r="E637" s="260">
        <v>2</v>
      </c>
      <c r="F637" s="199"/>
      <c r="G637" s="199"/>
      <c r="H637" s="269"/>
      <c r="I637" s="93">
        <v>2</v>
      </c>
      <c r="J637" s="183">
        <v>4</v>
      </c>
      <c r="K637" s="94">
        <v>-2</v>
      </c>
      <c r="L637" s="95">
        <v>-117.16</v>
      </c>
      <c r="M637" s="96"/>
    </row>
    <row r="638" spans="1:13">
      <c r="A638" s="88">
        <v>13</v>
      </c>
      <c r="B638" s="90" t="s">
        <v>3653</v>
      </c>
      <c r="C638" s="91" t="s">
        <v>3654</v>
      </c>
      <c r="D638" s="92">
        <v>9.17</v>
      </c>
      <c r="E638" s="260"/>
      <c r="F638" s="199"/>
      <c r="G638" s="199"/>
      <c r="H638" s="269">
        <v>11</v>
      </c>
      <c r="I638" s="93">
        <v>-11</v>
      </c>
      <c r="J638" s="183">
        <v>45</v>
      </c>
      <c r="K638" s="94">
        <v>-56</v>
      </c>
      <c r="L638" s="95">
        <v>-513.52</v>
      </c>
      <c r="M638" s="96"/>
    </row>
    <row r="639" spans="1:13" ht="30">
      <c r="A639" s="88">
        <v>13</v>
      </c>
      <c r="B639" s="90" t="s">
        <v>3666</v>
      </c>
      <c r="C639" s="91" t="s">
        <v>3667</v>
      </c>
      <c r="D639" s="92">
        <v>28.89</v>
      </c>
      <c r="E639" s="260"/>
      <c r="F639" s="199"/>
      <c r="G639" s="199"/>
      <c r="H639" s="269">
        <v>4</v>
      </c>
      <c r="I639" s="93">
        <v>-4</v>
      </c>
      <c r="J639" s="183"/>
      <c r="K639" s="94">
        <v>-4</v>
      </c>
      <c r="L639" s="95">
        <v>-115.56</v>
      </c>
      <c r="M639" s="278" t="s">
        <v>5210</v>
      </c>
    </row>
    <row r="640" spans="1:13">
      <c r="A640" s="88">
        <v>13</v>
      </c>
      <c r="B640" s="90" t="s">
        <v>3700</v>
      </c>
      <c r="C640" s="91" t="s">
        <v>3701</v>
      </c>
      <c r="D640" s="92">
        <v>78</v>
      </c>
      <c r="E640" s="260"/>
      <c r="F640" s="199"/>
      <c r="G640" s="199"/>
      <c r="H640" s="269"/>
      <c r="I640" s="93">
        <v>0</v>
      </c>
      <c r="J640" s="183">
        <v>5</v>
      </c>
      <c r="K640" s="94">
        <v>-5</v>
      </c>
      <c r="L640" s="95">
        <v>-390</v>
      </c>
      <c r="M640" s="96"/>
    </row>
    <row r="641" spans="1:13">
      <c r="A641" s="88">
        <v>13</v>
      </c>
      <c r="B641" s="90" t="s">
        <v>3704</v>
      </c>
      <c r="C641" s="91" t="s">
        <v>5179</v>
      </c>
      <c r="D641" s="92">
        <v>102.08</v>
      </c>
      <c r="E641" s="260"/>
      <c r="F641" s="199"/>
      <c r="G641" s="199"/>
      <c r="H641" s="269"/>
      <c r="I641" s="93">
        <v>0</v>
      </c>
      <c r="J641" s="183">
        <v>18</v>
      </c>
      <c r="K641" s="94">
        <v>-18</v>
      </c>
      <c r="L641" s="95">
        <v>-1837.44</v>
      </c>
      <c r="M641" s="96"/>
    </row>
    <row r="642" spans="1:13">
      <c r="A642" s="88">
        <v>13</v>
      </c>
      <c r="B642" s="90" t="s">
        <v>3707</v>
      </c>
      <c r="C642" s="91" t="s">
        <v>3708</v>
      </c>
      <c r="D642" s="92">
        <v>38.85</v>
      </c>
      <c r="E642" s="260"/>
      <c r="F642" s="199"/>
      <c r="G642" s="199"/>
      <c r="H642" s="269"/>
      <c r="I642" s="93">
        <v>0</v>
      </c>
      <c r="J642" s="183">
        <v>85</v>
      </c>
      <c r="K642" s="94">
        <v>-85</v>
      </c>
      <c r="L642" s="95">
        <v>-3302.25</v>
      </c>
      <c r="M642" s="96"/>
    </row>
    <row r="643" spans="1:13" ht="30">
      <c r="A643" s="88">
        <v>13</v>
      </c>
      <c r="B643" s="90" t="s">
        <v>3713</v>
      </c>
      <c r="C643" s="91" t="s">
        <v>3714</v>
      </c>
      <c r="D643" s="92">
        <v>75</v>
      </c>
      <c r="E643" s="260"/>
      <c r="F643" s="199"/>
      <c r="G643" s="199"/>
      <c r="H643" s="269"/>
      <c r="I643" s="93">
        <v>0</v>
      </c>
      <c r="J643" s="183">
        <v>1</v>
      </c>
      <c r="K643" s="94">
        <v>-1</v>
      </c>
      <c r="L643" s="95">
        <v>-75</v>
      </c>
      <c r="M643" s="96"/>
    </row>
    <row r="644" spans="1:13" ht="30">
      <c r="A644" s="88">
        <v>13</v>
      </c>
      <c r="B644" s="90" t="s">
        <v>3717</v>
      </c>
      <c r="C644" s="91" t="s">
        <v>3718</v>
      </c>
      <c r="D644" s="92">
        <v>75</v>
      </c>
      <c r="E644" s="260"/>
      <c r="F644" s="199"/>
      <c r="G644" s="199"/>
      <c r="H644" s="269"/>
      <c r="I644" s="93">
        <v>0</v>
      </c>
      <c r="J644" s="183">
        <v>1</v>
      </c>
      <c r="K644" s="94">
        <v>-1</v>
      </c>
      <c r="L644" s="95">
        <v>-75</v>
      </c>
      <c r="M644" s="96"/>
    </row>
    <row r="645" spans="1:13" ht="30">
      <c r="A645" s="88">
        <v>13</v>
      </c>
      <c r="B645" s="90" t="s">
        <v>3721</v>
      </c>
      <c r="C645" s="91" t="s">
        <v>3722</v>
      </c>
      <c r="D645" s="92">
        <v>23.13</v>
      </c>
      <c r="E645" s="260">
        <v>10</v>
      </c>
      <c r="F645" s="199"/>
      <c r="G645" s="199"/>
      <c r="H645" s="269">
        <v>3</v>
      </c>
      <c r="I645" s="93">
        <v>7</v>
      </c>
      <c r="J645" s="183">
        <v>8</v>
      </c>
      <c r="K645" s="94">
        <v>-1</v>
      </c>
      <c r="L645" s="95">
        <v>-23.129999999999995</v>
      </c>
      <c r="M645" s="278" t="s">
        <v>5217</v>
      </c>
    </row>
    <row r="646" spans="1:13" ht="30">
      <c r="A646" s="88">
        <v>13</v>
      </c>
      <c r="B646" s="90" t="s">
        <v>3745</v>
      </c>
      <c r="C646" s="91" t="s">
        <v>3746</v>
      </c>
      <c r="D646" s="92">
        <v>24.38</v>
      </c>
      <c r="E646" s="260"/>
      <c r="F646" s="199"/>
      <c r="G646" s="199"/>
      <c r="H646" s="269"/>
      <c r="I646" s="93">
        <v>0</v>
      </c>
      <c r="J646" s="183">
        <v>32</v>
      </c>
      <c r="K646" s="94">
        <v>-32</v>
      </c>
      <c r="L646" s="95">
        <v>-780.16</v>
      </c>
      <c r="M646" s="96"/>
    </row>
    <row r="647" spans="1:13">
      <c r="A647" s="88">
        <v>14</v>
      </c>
      <c r="B647" s="90" t="s">
        <v>3755</v>
      </c>
      <c r="C647" s="91" t="s">
        <v>3756</v>
      </c>
      <c r="D647" s="92">
        <v>30.25</v>
      </c>
      <c r="E647" s="260">
        <v>11</v>
      </c>
      <c r="F647" s="199"/>
      <c r="G647" s="199"/>
      <c r="H647" s="269">
        <v>1</v>
      </c>
      <c r="I647" s="93">
        <v>10</v>
      </c>
      <c r="J647" s="183">
        <v>22</v>
      </c>
      <c r="K647" s="94">
        <v>-12</v>
      </c>
      <c r="L647" s="95">
        <v>-363</v>
      </c>
      <c r="M647" s="96"/>
    </row>
    <row r="648" spans="1:13" ht="30">
      <c r="A648" s="88">
        <v>14</v>
      </c>
      <c r="B648" s="90" t="s">
        <v>3769</v>
      </c>
      <c r="C648" s="91" t="s">
        <v>3770</v>
      </c>
      <c r="D648" s="92">
        <v>4.4800000000000004</v>
      </c>
      <c r="E648" s="260"/>
      <c r="F648" s="199"/>
      <c r="G648" s="199"/>
      <c r="H648" s="269">
        <v>1</v>
      </c>
      <c r="I648" s="93">
        <v>-1</v>
      </c>
      <c r="J648" s="183"/>
      <c r="K648" s="94">
        <v>-1</v>
      </c>
      <c r="L648" s="95">
        <v>-4.4800000000000004</v>
      </c>
      <c r="M648" s="278" t="s">
        <v>5218</v>
      </c>
    </row>
    <row r="649" spans="1:13">
      <c r="A649" s="88">
        <v>14</v>
      </c>
      <c r="B649" s="90" t="s">
        <v>3777</v>
      </c>
      <c r="C649" s="91" t="s">
        <v>3778</v>
      </c>
      <c r="D649" s="92">
        <v>20</v>
      </c>
      <c r="E649" s="260"/>
      <c r="F649" s="199"/>
      <c r="G649" s="199"/>
      <c r="H649" s="269">
        <v>1</v>
      </c>
      <c r="I649" s="93">
        <v>-1</v>
      </c>
      <c r="J649" s="183"/>
      <c r="K649" s="94">
        <v>-1</v>
      </c>
      <c r="L649" s="95">
        <v>-20</v>
      </c>
      <c r="M649" s="96"/>
    </row>
    <row r="650" spans="1:13">
      <c r="A650" s="88">
        <v>14</v>
      </c>
      <c r="B650" s="90" t="s">
        <v>3799</v>
      </c>
      <c r="C650" s="91" t="s">
        <v>3800</v>
      </c>
      <c r="D650" s="92">
        <v>0</v>
      </c>
      <c r="E650" s="260"/>
      <c r="F650" s="199"/>
      <c r="G650" s="199"/>
      <c r="H650" s="269"/>
      <c r="I650" s="93">
        <v>0</v>
      </c>
      <c r="J650" s="183">
        <v>19</v>
      </c>
      <c r="K650" s="94">
        <v>-19</v>
      </c>
      <c r="L650" s="95">
        <v>0</v>
      </c>
      <c r="M650" s="96"/>
    </row>
    <row r="651" spans="1:13" ht="30">
      <c r="A651" s="88">
        <v>14</v>
      </c>
      <c r="B651" s="90" t="s">
        <v>4357</v>
      </c>
      <c r="C651" s="91" t="s">
        <v>4359</v>
      </c>
      <c r="D651" s="92">
        <v>14.8158333333333</v>
      </c>
      <c r="E651" s="260"/>
      <c r="F651" s="199">
        <v>12</v>
      </c>
      <c r="G651" s="199"/>
      <c r="H651" s="269">
        <v>7</v>
      </c>
      <c r="I651" s="93">
        <v>5</v>
      </c>
      <c r="J651" s="183">
        <v>12</v>
      </c>
      <c r="K651" s="94">
        <v>-7</v>
      </c>
      <c r="L651" s="95">
        <v>-103.7108333333331</v>
      </c>
      <c r="M651" s="96"/>
    </row>
    <row r="652" spans="1:13">
      <c r="A652" s="88">
        <v>14</v>
      </c>
      <c r="B652" s="90" t="s">
        <v>3803</v>
      </c>
      <c r="C652" s="91" t="s">
        <v>3804</v>
      </c>
      <c r="D652" s="92">
        <v>0.76</v>
      </c>
      <c r="E652" s="260"/>
      <c r="F652" s="199">
        <v>50</v>
      </c>
      <c r="G652" s="199"/>
      <c r="H652" s="269">
        <v>29</v>
      </c>
      <c r="I652" s="93">
        <v>21</v>
      </c>
      <c r="J652" s="183">
        <v>28</v>
      </c>
      <c r="K652" s="94">
        <v>-7</v>
      </c>
      <c r="L652" s="95">
        <v>-5.32</v>
      </c>
      <c r="M652" s="96"/>
    </row>
    <row r="653" spans="1:13">
      <c r="A653" s="88">
        <v>14</v>
      </c>
      <c r="B653" s="90" t="s">
        <v>4861</v>
      </c>
      <c r="C653" s="91" t="s">
        <v>4863</v>
      </c>
      <c r="D653" s="92">
        <v>3.21875</v>
      </c>
      <c r="E653" s="260"/>
      <c r="F653" s="199">
        <v>16</v>
      </c>
      <c r="G653" s="199"/>
      <c r="H653" s="269">
        <v>4</v>
      </c>
      <c r="I653" s="93">
        <v>12</v>
      </c>
      <c r="J653" s="183">
        <v>16</v>
      </c>
      <c r="K653" s="94">
        <v>-4</v>
      </c>
      <c r="L653" s="95">
        <v>-12.875</v>
      </c>
      <c r="M653" s="96"/>
    </row>
    <row r="654" spans="1:13">
      <c r="A654" s="88">
        <v>14</v>
      </c>
      <c r="B654" s="90" t="s">
        <v>3805</v>
      </c>
      <c r="C654" s="91" t="s">
        <v>3806</v>
      </c>
      <c r="D654" s="92">
        <v>10.7</v>
      </c>
      <c r="E654" s="260">
        <v>1</v>
      </c>
      <c r="F654" s="199"/>
      <c r="G654" s="199"/>
      <c r="H654" s="269"/>
      <c r="I654" s="93">
        <v>1</v>
      </c>
      <c r="J654" s="183">
        <v>13</v>
      </c>
      <c r="K654" s="94">
        <v>-12</v>
      </c>
      <c r="L654" s="95">
        <v>-128.4</v>
      </c>
      <c r="M654" s="96"/>
    </row>
    <row r="655" spans="1:13">
      <c r="A655" s="88">
        <v>14</v>
      </c>
      <c r="B655" s="90" t="s">
        <v>3813</v>
      </c>
      <c r="C655" s="91" t="s">
        <v>3814</v>
      </c>
      <c r="D655" s="92">
        <v>25</v>
      </c>
      <c r="E655" s="260">
        <v>201</v>
      </c>
      <c r="F655" s="199"/>
      <c r="G655" s="199"/>
      <c r="H655" s="269"/>
      <c r="I655" s="93">
        <v>201</v>
      </c>
      <c r="J655" s="183">
        <v>202</v>
      </c>
      <c r="K655" s="94">
        <v>-1</v>
      </c>
      <c r="L655" s="95">
        <v>-25</v>
      </c>
      <c r="M655" s="96"/>
    </row>
    <row r="656" spans="1:13">
      <c r="A656" s="88">
        <v>15</v>
      </c>
      <c r="B656" s="90" t="s">
        <v>3848</v>
      </c>
      <c r="C656" s="91" t="s">
        <v>3849</v>
      </c>
      <c r="D656" s="92">
        <v>6</v>
      </c>
      <c r="E656" s="260">
        <v>14</v>
      </c>
      <c r="F656" s="199"/>
      <c r="G656" s="199"/>
      <c r="H656" s="269"/>
      <c r="I656" s="93">
        <v>14</v>
      </c>
      <c r="J656" s="183">
        <v>27</v>
      </c>
      <c r="K656" s="94">
        <v>-13</v>
      </c>
      <c r="L656" s="95">
        <v>-78</v>
      </c>
      <c r="M656" s="96"/>
    </row>
    <row r="657" spans="1:13">
      <c r="A657" s="88">
        <v>15</v>
      </c>
      <c r="B657" s="90" t="s">
        <v>3850</v>
      </c>
      <c r="C657" s="91" t="s">
        <v>3851</v>
      </c>
      <c r="D657" s="92">
        <v>6</v>
      </c>
      <c r="E657" s="260">
        <v>1</v>
      </c>
      <c r="F657" s="199"/>
      <c r="G657" s="199"/>
      <c r="H657" s="269"/>
      <c r="I657" s="93">
        <v>1</v>
      </c>
      <c r="J657" s="183">
        <v>122</v>
      </c>
      <c r="K657" s="94">
        <v>-121</v>
      </c>
      <c r="L657" s="95">
        <v>-726</v>
      </c>
      <c r="M657" s="96"/>
    </row>
    <row r="658" spans="1:13">
      <c r="A658" s="88">
        <v>15</v>
      </c>
      <c r="B658" s="90" t="s">
        <v>3852</v>
      </c>
      <c r="C658" s="91" t="s">
        <v>3853</v>
      </c>
      <c r="D658" s="92">
        <v>8</v>
      </c>
      <c r="E658" s="260"/>
      <c r="F658" s="199"/>
      <c r="G658" s="199"/>
      <c r="H658" s="269"/>
      <c r="I658" s="93">
        <v>0</v>
      </c>
      <c r="J658" s="183">
        <v>38</v>
      </c>
      <c r="K658" s="94">
        <v>-38</v>
      </c>
      <c r="L658" s="95">
        <v>-304</v>
      </c>
      <c r="M658" s="96"/>
    </row>
    <row r="659" spans="1:13">
      <c r="A659" s="88">
        <v>15</v>
      </c>
      <c r="B659" s="90" t="s">
        <v>3870</v>
      </c>
      <c r="C659" s="91" t="s">
        <v>3871</v>
      </c>
      <c r="D659" s="92">
        <v>140</v>
      </c>
      <c r="E659" s="260">
        <v>5</v>
      </c>
      <c r="F659" s="199"/>
      <c r="G659" s="199"/>
      <c r="H659" s="269"/>
      <c r="I659" s="93">
        <v>5</v>
      </c>
      <c r="J659" s="183">
        <v>8</v>
      </c>
      <c r="K659" s="94">
        <v>-3</v>
      </c>
      <c r="L659" s="95">
        <v>-420</v>
      </c>
      <c r="M659" s="96" t="s">
        <v>3872</v>
      </c>
    </row>
    <row r="660" spans="1:13" ht="30">
      <c r="A660" s="88">
        <v>18</v>
      </c>
      <c r="B660" s="90" t="s">
        <v>3913</v>
      </c>
      <c r="C660" s="91" t="s">
        <v>3914</v>
      </c>
      <c r="D660" s="92">
        <v>168</v>
      </c>
      <c r="E660" s="260">
        <v>5</v>
      </c>
      <c r="F660" s="199"/>
      <c r="G660" s="199"/>
      <c r="H660" s="269"/>
      <c r="I660" s="93">
        <v>5</v>
      </c>
      <c r="J660" s="183">
        <v>12</v>
      </c>
      <c r="K660" s="94">
        <v>-7</v>
      </c>
      <c r="L660" s="95">
        <v>-1176</v>
      </c>
      <c r="M660" s="96"/>
    </row>
    <row r="661" spans="1:13">
      <c r="A661" s="88">
        <v>23</v>
      </c>
      <c r="B661" s="90" t="s">
        <v>3932</v>
      </c>
      <c r="C661" s="91" t="s">
        <v>3933</v>
      </c>
      <c r="D661" s="92">
        <v>3</v>
      </c>
      <c r="E661" s="260">
        <v>12</v>
      </c>
      <c r="F661" s="199"/>
      <c r="G661" s="199"/>
      <c r="H661" s="269"/>
      <c r="I661" s="93">
        <v>12</v>
      </c>
      <c r="J661" s="183">
        <v>15</v>
      </c>
      <c r="K661" s="94">
        <v>-3</v>
      </c>
      <c r="L661" s="95">
        <v>-9</v>
      </c>
      <c r="M661" s="96"/>
    </row>
    <row r="662" spans="1:13">
      <c r="A662" s="88">
        <v>23</v>
      </c>
      <c r="B662" s="90" t="s">
        <v>3944</v>
      </c>
      <c r="C662" s="91" t="s">
        <v>3945</v>
      </c>
      <c r="D662" s="92">
        <v>7</v>
      </c>
      <c r="E662" s="260">
        <v>24</v>
      </c>
      <c r="F662" s="199"/>
      <c r="G662" s="199"/>
      <c r="H662" s="269"/>
      <c r="I662" s="93">
        <v>24</v>
      </c>
      <c r="J662" s="183">
        <v>25</v>
      </c>
      <c r="K662" s="94">
        <v>-1</v>
      </c>
      <c r="L662" s="95">
        <v>-7</v>
      </c>
      <c r="M662" s="96"/>
    </row>
    <row r="663" spans="1:13">
      <c r="A663" s="88">
        <v>23</v>
      </c>
      <c r="B663" s="90" t="s">
        <v>3952</v>
      </c>
      <c r="C663" s="91" t="s">
        <v>3953</v>
      </c>
      <c r="D663" s="92">
        <v>13</v>
      </c>
      <c r="E663" s="260">
        <v>6</v>
      </c>
      <c r="F663" s="199"/>
      <c r="G663" s="199"/>
      <c r="H663" s="269"/>
      <c r="I663" s="93">
        <v>6</v>
      </c>
      <c r="J663" s="183">
        <v>8</v>
      </c>
      <c r="K663" s="94">
        <v>-2</v>
      </c>
      <c r="L663" s="95">
        <v>-26</v>
      </c>
      <c r="M663" s="96"/>
    </row>
    <row r="664" spans="1:13">
      <c r="A664" s="88">
        <v>23</v>
      </c>
      <c r="B664" s="90" t="s">
        <v>3958</v>
      </c>
      <c r="C664" s="91" t="s">
        <v>3959</v>
      </c>
      <c r="D664" s="92">
        <v>5</v>
      </c>
      <c r="E664" s="260">
        <v>20</v>
      </c>
      <c r="F664" s="199"/>
      <c r="G664" s="199"/>
      <c r="H664" s="269">
        <v>1</v>
      </c>
      <c r="I664" s="93">
        <v>19</v>
      </c>
      <c r="J664" s="183">
        <v>20</v>
      </c>
      <c r="K664" s="94">
        <v>-1</v>
      </c>
      <c r="L664" s="95">
        <v>-5</v>
      </c>
      <c r="M664" s="96"/>
    </row>
    <row r="665" spans="1:13" ht="30">
      <c r="A665" s="112"/>
      <c r="B665" s="116" t="s">
        <v>4945</v>
      </c>
      <c r="C665" s="115" t="s">
        <v>4946</v>
      </c>
      <c r="D665" s="92">
        <v>64.98</v>
      </c>
      <c r="E665" s="260"/>
      <c r="F665" s="199">
        <v>1</v>
      </c>
      <c r="G665" s="199"/>
      <c r="H665" s="269">
        <v>1</v>
      </c>
      <c r="I665" s="93">
        <v>0</v>
      </c>
      <c r="J665" s="183">
        <v>3</v>
      </c>
      <c r="K665" s="94">
        <v>-3</v>
      </c>
      <c r="L665" s="95">
        <v>-194.94</v>
      </c>
      <c r="M665" s="278" t="s">
        <v>5218</v>
      </c>
    </row>
    <row r="666" spans="1:13">
      <c r="A666" s="117"/>
      <c r="B666" s="119" t="s">
        <v>4005</v>
      </c>
      <c r="C666" s="120" t="s">
        <v>5180</v>
      </c>
      <c r="D666" s="121">
        <v>5.64</v>
      </c>
      <c r="E666" s="260"/>
      <c r="F666" s="199"/>
      <c r="G666" s="199"/>
      <c r="H666" s="269"/>
      <c r="I666" s="93">
        <v>0</v>
      </c>
      <c r="J666" s="183">
        <v>5</v>
      </c>
      <c r="K666" s="94">
        <v>-5</v>
      </c>
      <c r="L666" s="95">
        <v>-28.2</v>
      </c>
      <c r="M666" s="122"/>
    </row>
    <row r="667" spans="1:13">
      <c r="A667" s="117"/>
      <c r="B667" s="191" t="s">
        <v>4040</v>
      </c>
      <c r="C667" s="192" t="s">
        <v>4041</v>
      </c>
      <c r="D667" s="130">
        <v>0</v>
      </c>
      <c r="E667" s="261"/>
      <c r="F667" s="271"/>
      <c r="G667" s="271"/>
      <c r="H667" s="270"/>
      <c r="I667" s="93">
        <v>0</v>
      </c>
      <c r="J667" s="183">
        <v>14</v>
      </c>
      <c r="K667" s="94">
        <v>-14</v>
      </c>
      <c r="L667" s="95">
        <v>0</v>
      </c>
      <c r="M667" s="131"/>
    </row>
    <row r="668" spans="1:13">
      <c r="A668" s="88"/>
      <c r="B668" s="80" t="s">
        <v>4047</v>
      </c>
      <c r="C668" s="91" t="s">
        <v>4048</v>
      </c>
      <c r="D668" s="92">
        <v>50.8</v>
      </c>
      <c r="E668" s="260">
        <v>2</v>
      </c>
      <c r="F668" s="199"/>
      <c r="G668" s="199"/>
      <c r="H668" s="269">
        <v>7</v>
      </c>
      <c r="I668" s="93">
        <v>-5</v>
      </c>
      <c r="J668" s="183">
        <v>11</v>
      </c>
      <c r="K668" s="94">
        <v>-16</v>
      </c>
      <c r="L668" s="95">
        <v>-812.8</v>
      </c>
      <c r="M668" s="96"/>
    </row>
    <row r="669" spans="1:13">
      <c r="A669" s="88"/>
      <c r="B669" s="80" t="s">
        <v>4055</v>
      </c>
      <c r="C669" s="107" t="s">
        <v>4056</v>
      </c>
      <c r="D669" s="133">
        <v>1160.3499999999999</v>
      </c>
      <c r="E669" s="260">
        <v>1</v>
      </c>
      <c r="F669" s="199">
        <v>8</v>
      </c>
      <c r="G669" s="199"/>
      <c r="H669" s="269">
        <v>2</v>
      </c>
      <c r="I669" s="93">
        <v>7</v>
      </c>
      <c r="J669" s="183">
        <v>14</v>
      </c>
      <c r="K669" s="94">
        <v>-7</v>
      </c>
      <c r="L669" s="95">
        <v>-8122.4499999999989</v>
      </c>
      <c r="M669" s="96"/>
    </row>
    <row r="670" spans="1:13">
      <c r="A670" s="88"/>
      <c r="B670" s="80" t="s">
        <v>4061</v>
      </c>
      <c r="C670" s="107" t="s">
        <v>4062</v>
      </c>
      <c r="D670" s="132">
        <v>89.91</v>
      </c>
      <c r="E670" s="260">
        <v>1</v>
      </c>
      <c r="F670" s="199">
        <v>6</v>
      </c>
      <c r="G670" s="199"/>
      <c r="H670" s="269">
        <v>4</v>
      </c>
      <c r="I670" s="93">
        <v>3</v>
      </c>
      <c r="J670" s="183">
        <v>6</v>
      </c>
      <c r="K670" s="94">
        <v>-3</v>
      </c>
      <c r="L670" s="95">
        <v>-269.73</v>
      </c>
      <c r="M670" s="278" t="s">
        <v>5231</v>
      </c>
    </row>
    <row r="671" spans="1:13">
      <c r="A671" s="88"/>
      <c r="B671" s="80" t="s">
        <v>4067</v>
      </c>
      <c r="C671" s="107" t="s">
        <v>4068</v>
      </c>
      <c r="D671" s="132">
        <v>8.15</v>
      </c>
      <c r="E671" s="260">
        <v>2</v>
      </c>
      <c r="F671" s="199"/>
      <c r="G671" s="199"/>
      <c r="H671" s="269">
        <v>3</v>
      </c>
      <c r="I671" s="93">
        <v>-1</v>
      </c>
      <c r="J671" s="183"/>
      <c r="K671" s="94">
        <v>-1</v>
      </c>
      <c r="L671" s="95">
        <v>-8.15</v>
      </c>
      <c r="M671" s="96"/>
    </row>
    <row r="672" spans="1:13">
      <c r="A672" s="88"/>
      <c r="B672" s="134" t="s">
        <v>4071</v>
      </c>
      <c r="C672" s="107" t="s">
        <v>4073</v>
      </c>
      <c r="D672" s="132">
        <v>6.03</v>
      </c>
      <c r="E672" s="260"/>
      <c r="F672" s="199"/>
      <c r="G672" s="199"/>
      <c r="H672" s="269">
        <v>5</v>
      </c>
      <c r="I672" s="93">
        <v>-5</v>
      </c>
      <c r="J672" s="183"/>
      <c r="K672" s="94">
        <v>-5</v>
      </c>
      <c r="L672" s="95">
        <v>-30.150000000000002</v>
      </c>
      <c r="M672" s="96"/>
    </row>
    <row r="673" spans="1:13">
      <c r="A673" s="88"/>
      <c r="B673" s="80" t="s">
        <v>4074</v>
      </c>
      <c r="C673" s="107" t="s">
        <v>4075</v>
      </c>
      <c r="D673" s="133">
        <v>0.76</v>
      </c>
      <c r="E673" s="260"/>
      <c r="F673" s="199">
        <v>11</v>
      </c>
      <c r="G673" s="199"/>
      <c r="H673" s="269">
        <v>72</v>
      </c>
      <c r="I673" s="93">
        <v>-61</v>
      </c>
      <c r="J673" s="183"/>
      <c r="K673" s="94">
        <v>-61</v>
      </c>
      <c r="L673" s="95">
        <v>-46.36</v>
      </c>
      <c r="M673" s="96"/>
    </row>
    <row r="674" spans="1:13">
      <c r="A674" s="88"/>
      <c r="B674" s="80" t="s">
        <v>4103</v>
      </c>
      <c r="C674" s="107" t="s">
        <v>4104</v>
      </c>
      <c r="D674" s="133">
        <v>118.1579</v>
      </c>
      <c r="E674" s="260">
        <v>16</v>
      </c>
      <c r="F674" s="199"/>
      <c r="G674" s="199"/>
      <c r="H674" s="269">
        <v>12</v>
      </c>
      <c r="I674" s="93">
        <v>4</v>
      </c>
      <c r="J674" s="183">
        <v>5</v>
      </c>
      <c r="K674" s="94">
        <v>-1</v>
      </c>
      <c r="L674" s="95">
        <v>-118.15789999999998</v>
      </c>
      <c r="M674" s="96"/>
    </row>
    <row r="675" spans="1:13">
      <c r="K675" s="290">
        <f>SUM(K305:K674)</f>
        <v>-5233</v>
      </c>
      <c r="L675" s="290">
        <f>SUM(L305:L674)</f>
        <v>-137859.25373333332</v>
      </c>
      <c r="M675"/>
    </row>
  </sheetData>
  <pageMargins left="0.7" right="0.7" top="0.75" bottom="0.75" header="0.3" footer="0.3"/>
  <pageSetup paperSize="14" scale="54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EF64-F895-4B25-B301-5CF3EBBED73D}">
  <sheetPr>
    <tabColor rgb="FFFFC000"/>
  </sheetPr>
  <dimension ref="A1:L155"/>
  <sheetViews>
    <sheetView topLeftCell="A77" workbookViewId="0">
      <selection activeCell="B88" sqref="B88"/>
    </sheetView>
  </sheetViews>
  <sheetFormatPr defaultRowHeight="15"/>
  <cols>
    <col min="1" max="1" width="16.28515625" customWidth="1"/>
    <col min="2" max="2" width="19" customWidth="1"/>
    <col min="3" max="3" width="17.5703125" customWidth="1"/>
    <col min="4" max="4" width="44" customWidth="1"/>
  </cols>
  <sheetData>
    <row r="1" spans="1:12" ht="26.25" thickBot="1">
      <c r="A1" s="216" t="s">
        <v>4140</v>
      </c>
      <c r="B1" s="217" t="s">
        <v>4142</v>
      </c>
      <c r="C1" s="217" t="s">
        <v>4240</v>
      </c>
      <c r="D1" s="217" t="s">
        <v>4241</v>
      </c>
      <c r="E1" s="217" t="s">
        <v>4242</v>
      </c>
      <c r="F1" s="217" t="s">
        <v>4243</v>
      </c>
      <c r="G1" s="218" t="s">
        <v>4244</v>
      </c>
      <c r="H1" s="218" t="s">
        <v>4245</v>
      </c>
      <c r="I1" s="240" t="s">
        <v>4950</v>
      </c>
      <c r="J1" s="234" t="s">
        <v>4951</v>
      </c>
      <c r="K1" s="235" t="s">
        <v>4952</v>
      </c>
      <c r="L1" s="235" t="s">
        <v>4953</v>
      </c>
    </row>
    <row r="2" spans="1:12">
      <c r="A2" s="301">
        <v>46190</v>
      </c>
      <c r="B2" s="302" t="s">
        <v>1338</v>
      </c>
      <c r="C2" s="302" t="s">
        <v>4637</v>
      </c>
      <c r="D2" s="303" t="s">
        <v>1339</v>
      </c>
      <c r="E2" s="302">
        <v>10</v>
      </c>
      <c r="F2" s="304">
        <v>47.73</v>
      </c>
      <c r="G2" s="304">
        <v>55</v>
      </c>
      <c r="H2" s="305"/>
      <c r="I2" s="306">
        <v>550</v>
      </c>
      <c r="J2" s="306">
        <v>0</v>
      </c>
      <c r="K2" s="306">
        <f t="shared" ref="K2:K65" si="0">H2+I2-J2</f>
        <v>550</v>
      </c>
      <c r="L2" s="307">
        <f t="shared" ref="L2:L65" si="1">E2*F2</f>
        <v>477.29999999999995</v>
      </c>
    </row>
    <row r="3" spans="1:12">
      <c r="A3" s="301">
        <v>46190</v>
      </c>
      <c r="B3" s="302" t="s">
        <v>1942</v>
      </c>
      <c r="C3" s="302" t="s">
        <v>4637</v>
      </c>
      <c r="D3" s="303" t="s">
        <v>1943</v>
      </c>
      <c r="E3" s="302">
        <v>15</v>
      </c>
      <c r="F3" s="304">
        <v>10</v>
      </c>
      <c r="G3" s="304">
        <v>12.5</v>
      </c>
      <c r="H3" s="305"/>
      <c r="I3" s="306">
        <v>187.5</v>
      </c>
      <c r="J3" s="306">
        <v>0</v>
      </c>
      <c r="K3" s="306">
        <f t="shared" si="0"/>
        <v>187.5</v>
      </c>
      <c r="L3" s="307">
        <f t="shared" si="1"/>
        <v>150</v>
      </c>
    </row>
    <row r="4" spans="1:12">
      <c r="A4" s="301">
        <v>46190</v>
      </c>
      <c r="B4" s="302" t="s">
        <v>1999</v>
      </c>
      <c r="C4" s="302" t="s">
        <v>4637</v>
      </c>
      <c r="D4" s="303" t="s">
        <v>2000</v>
      </c>
      <c r="E4" s="302">
        <v>3</v>
      </c>
      <c r="F4" s="304">
        <v>34.880000000000003</v>
      </c>
      <c r="G4" s="304">
        <v>40.25</v>
      </c>
      <c r="H4" s="305"/>
      <c r="I4" s="306">
        <v>120.75</v>
      </c>
      <c r="J4" s="306">
        <v>0</v>
      </c>
      <c r="K4" s="306">
        <f t="shared" si="0"/>
        <v>120.75</v>
      </c>
      <c r="L4" s="307">
        <f t="shared" si="1"/>
        <v>104.64000000000001</v>
      </c>
    </row>
    <row r="5" spans="1:12">
      <c r="A5" s="301">
        <v>46190</v>
      </c>
      <c r="B5" s="302" t="s">
        <v>2019</v>
      </c>
      <c r="C5" s="302" t="s">
        <v>4637</v>
      </c>
      <c r="D5" s="303" t="s">
        <v>2020</v>
      </c>
      <c r="E5" s="302">
        <v>24</v>
      </c>
      <c r="F5" s="304">
        <v>6.02</v>
      </c>
      <c r="G5" s="304">
        <v>7.25</v>
      </c>
      <c r="H5" s="305"/>
      <c r="I5" s="306">
        <v>174</v>
      </c>
      <c r="J5" s="306">
        <v>0</v>
      </c>
      <c r="K5" s="306">
        <f t="shared" si="0"/>
        <v>174</v>
      </c>
      <c r="L5" s="307">
        <f t="shared" si="1"/>
        <v>144.47999999999999</v>
      </c>
    </row>
    <row r="6" spans="1:12">
      <c r="A6" s="301">
        <v>46190</v>
      </c>
      <c r="B6" s="302" t="s">
        <v>2017</v>
      </c>
      <c r="C6" s="302" t="s">
        <v>4637</v>
      </c>
      <c r="D6" s="303" t="s">
        <v>2018</v>
      </c>
      <c r="E6" s="302">
        <v>24</v>
      </c>
      <c r="F6" s="304">
        <v>6.02</v>
      </c>
      <c r="G6" s="304">
        <v>7.25</v>
      </c>
      <c r="H6" s="305"/>
      <c r="I6" s="306">
        <v>174</v>
      </c>
      <c r="J6" s="306">
        <v>0</v>
      </c>
      <c r="K6" s="306">
        <f t="shared" si="0"/>
        <v>174</v>
      </c>
      <c r="L6" s="307">
        <f t="shared" si="1"/>
        <v>144.47999999999999</v>
      </c>
    </row>
    <row r="7" spans="1:12">
      <c r="A7" s="301">
        <v>46190</v>
      </c>
      <c r="B7" s="302" t="s">
        <v>1993</v>
      </c>
      <c r="C7" s="302" t="s">
        <v>4637</v>
      </c>
      <c r="D7" s="303" t="s">
        <v>1994</v>
      </c>
      <c r="E7" s="302">
        <v>24</v>
      </c>
      <c r="F7" s="304">
        <v>6.02</v>
      </c>
      <c r="G7" s="304">
        <v>7.25</v>
      </c>
      <c r="H7" s="305"/>
      <c r="I7" s="306">
        <v>174</v>
      </c>
      <c r="J7" s="306">
        <v>0</v>
      </c>
      <c r="K7" s="306">
        <f t="shared" si="0"/>
        <v>174</v>
      </c>
      <c r="L7" s="307">
        <f t="shared" si="1"/>
        <v>144.47999999999999</v>
      </c>
    </row>
    <row r="8" spans="1:12">
      <c r="A8" s="301">
        <v>46190</v>
      </c>
      <c r="B8" s="302" t="s">
        <v>1930</v>
      </c>
      <c r="C8" s="302" t="s">
        <v>4637</v>
      </c>
      <c r="D8" s="303" t="s">
        <v>1931</v>
      </c>
      <c r="E8" s="302">
        <v>10</v>
      </c>
      <c r="F8" s="304">
        <v>32.86</v>
      </c>
      <c r="G8" s="304">
        <v>38</v>
      </c>
      <c r="H8" s="305"/>
      <c r="I8" s="306">
        <v>380</v>
      </c>
      <c r="J8" s="306">
        <v>0</v>
      </c>
      <c r="K8" s="306">
        <f t="shared" si="0"/>
        <v>380</v>
      </c>
      <c r="L8" s="307">
        <f t="shared" si="1"/>
        <v>328.6</v>
      </c>
    </row>
    <row r="9" spans="1:12">
      <c r="A9" s="301">
        <v>46190</v>
      </c>
      <c r="B9" s="302" t="s">
        <v>1932</v>
      </c>
      <c r="C9" s="302" t="s">
        <v>4637</v>
      </c>
      <c r="D9" s="303" t="s">
        <v>1933</v>
      </c>
      <c r="E9" s="302">
        <v>6</v>
      </c>
      <c r="F9" s="304">
        <v>65.95</v>
      </c>
      <c r="G9" s="304">
        <v>76</v>
      </c>
      <c r="H9" s="305"/>
      <c r="I9" s="306">
        <v>456</v>
      </c>
      <c r="J9" s="306">
        <v>0</v>
      </c>
      <c r="K9" s="306">
        <f t="shared" si="0"/>
        <v>456</v>
      </c>
      <c r="L9" s="307">
        <f t="shared" si="1"/>
        <v>395.70000000000005</v>
      </c>
    </row>
    <row r="10" spans="1:12">
      <c r="A10" s="301">
        <v>46190</v>
      </c>
      <c r="B10" s="302" t="s">
        <v>1499</v>
      </c>
      <c r="C10" s="302" t="s">
        <v>4637</v>
      </c>
      <c r="D10" s="303" t="s">
        <v>1500</v>
      </c>
      <c r="E10" s="302">
        <v>10</v>
      </c>
      <c r="F10" s="304">
        <v>25.8</v>
      </c>
      <c r="G10" s="304">
        <v>29.75</v>
      </c>
      <c r="H10" s="305"/>
      <c r="I10" s="306">
        <v>297.5</v>
      </c>
      <c r="J10" s="306">
        <v>0</v>
      </c>
      <c r="K10" s="306">
        <f t="shared" si="0"/>
        <v>297.5</v>
      </c>
      <c r="L10" s="307">
        <f t="shared" si="1"/>
        <v>258</v>
      </c>
    </row>
    <row r="11" spans="1:12">
      <c r="A11" s="301">
        <v>46190</v>
      </c>
      <c r="B11" s="302" t="s">
        <v>2686</v>
      </c>
      <c r="C11" s="302" t="s">
        <v>4637</v>
      </c>
      <c r="D11" s="303" t="s">
        <v>2687</v>
      </c>
      <c r="E11" s="302">
        <v>5</v>
      </c>
      <c r="F11" s="304">
        <v>63.95</v>
      </c>
      <c r="G11" s="304">
        <v>73.75</v>
      </c>
      <c r="H11" s="305"/>
      <c r="I11" s="306">
        <v>368.75</v>
      </c>
      <c r="J11" s="306">
        <v>0</v>
      </c>
      <c r="K11" s="306">
        <f t="shared" si="0"/>
        <v>368.75</v>
      </c>
      <c r="L11" s="307">
        <f t="shared" si="1"/>
        <v>319.75</v>
      </c>
    </row>
    <row r="12" spans="1:12">
      <c r="A12" s="301">
        <v>46190</v>
      </c>
      <c r="B12" s="302" t="s">
        <v>2682</v>
      </c>
      <c r="C12" s="302" t="s">
        <v>4637</v>
      </c>
      <c r="D12" s="303" t="s">
        <v>2683</v>
      </c>
      <c r="E12" s="302">
        <v>10</v>
      </c>
      <c r="F12" s="304">
        <v>63.95</v>
      </c>
      <c r="G12" s="304">
        <v>73.75</v>
      </c>
      <c r="H12" s="305"/>
      <c r="I12" s="306">
        <v>737.5</v>
      </c>
      <c r="J12" s="306">
        <v>0</v>
      </c>
      <c r="K12" s="306">
        <f t="shared" si="0"/>
        <v>737.5</v>
      </c>
      <c r="L12" s="307">
        <f t="shared" si="1"/>
        <v>639.5</v>
      </c>
    </row>
    <row r="13" spans="1:12">
      <c r="A13" s="301">
        <v>46190</v>
      </c>
      <c r="B13" s="302" t="s">
        <v>1511</v>
      </c>
      <c r="C13" s="302" t="s">
        <v>4637</v>
      </c>
      <c r="D13" s="303" t="s">
        <v>1512</v>
      </c>
      <c r="E13" s="302">
        <v>12</v>
      </c>
      <c r="F13" s="304">
        <v>29.17</v>
      </c>
      <c r="G13" s="304">
        <v>33.75</v>
      </c>
      <c r="H13" s="305"/>
      <c r="I13" s="306">
        <v>405</v>
      </c>
      <c r="J13" s="306">
        <v>0</v>
      </c>
      <c r="K13" s="306">
        <f t="shared" si="0"/>
        <v>405</v>
      </c>
      <c r="L13" s="307">
        <f t="shared" si="1"/>
        <v>350.04</v>
      </c>
    </row>
    <row r="14" spans="1:12">
      <c r="A14" s="301">
        <v>46190</v>
      </c>
      <c r="B14" s="302" t="s">
        <v>2393</v>
      </c>
      <c r="C14" s="302" t="s">
        <v>4637</v>
      </c>
      <c r="D14" s="303" t="s">
        <v>2394</v>
      </c>
      <c r="E14" s="302">
        <v>6</v>
      </c>
      <c r="F14" s="304">
        <v>7.3</v>
      </c>
      <c r="G14" s="304">
        <v>8.5</v>
      </c>
      <c r="H14" s="305"/>
      <c r="I14" s="306">
        <v>51</v>
      </c>
      <c r="J14" s="306">
        <v>0</v>
      </c>
      <c r="K14" s="306">
        <f t="shared" si="0"/>
        <v>51</v>
      </c>
      <c r="L14" s="307">
        <f t="shared" si="1"/>
        <v>43.8</v>
      </c>
    </row>
    <row r="15" spans="1:12">
      <c r="A15" s="301">
        <v>46190</v>
      </c>
      <c r="B15" s="302" t="s">
        <v>2391</v>
      </c>
      <c r="C15" s="302" t="s">
        <v>4637</v>
      </c>
      <c r="D15" s="303" t="s">
        <v>2392</v>
      </c>
      <c r="E15" s="302">
        <v>4</v>
      </c>
      <c r="F15" s="304">
        <v>6.92</v>
      </c>
      <c r="G15" s="304">
        <v>7.75</v>
      </c>
      <c r="H15" s="305"/>
      <c r="I15" s="306">
        <v>31</v>
      </c>
      <c r="J15" s="306">
        <v>0</v>
      </c>
      <c r="K15" s="306">
        <f t="shared" si="0"/>
        <v>31</v>
      </c>
      <c r="L15" s="307">
        <f t="shared" si="1"/>
        <v>27.68</v>
      </c>
    </row>
    <row r="16" spans="1:12">
      <c r="A16" s="301">
        <v>46190</v>
      </c>
      <c r="B16" s="302" t="s">
        <v>2648</v>
      </c>
      <c r="C16" s="302" t="s">
        <v>4637</v>
      </c>
      <c r="D16" s="303" t="s">
        <v>2649</v>
      </c>
      <c r="E16" s="302">
        <v>17</v>
      </c>
      <c r="F16" s="304">
        <v>17.059999999999999</v>
      </c>
      <c r="G16" s="304">
        <v>19.75</v>
      </c>
      <c r="H16" s="305"/>
      <c r="I16" s="306">
        <v>335.75</v>
      </c>
      <c r="J16" s="306">
        <v>0</v>
      </c>
      <c r="K16" s="306">
        <f t="shared" si="0"/>
        <v>335.75</v>
      </c>
      <c r="L16" s="307">
        <f t="shared" si="1"/>
        <v>290.02</v>
      </c>
    </row>
    <row r="17" spans="1:12">
      <c r="A17" s="301">
        <v>46190</v>
      </c>
      <c r="B17" s="302" t="s">
        <v>3008</v>
      </c>
      <c r="C17" s="302" t="s">
        <v>4637</v>
      </c>
      <c r="D17" s="303" t="s">
        <v>3009</v>
      </c>
      <c r="E17" s="302">
        <v>10</v>
      </c>
      <c r="F17" s="304">
        <v>11.17</v>
      </c>
      <c r="G17" s="304">
        <v>13</v>
      </c>
      <c r="H17" s="305"/>
      <c r="I17" s="306">
        <v>130</v>
      </c>
      <c r="J17" s="306">
        <v>0</v>
      </c>
      <c r="K17" s="306">
        <f t="shared" si="0"/>
        <v>130</v>
      </c>
      <c r="L17" s="307">
        <f t="shared" si="1"/>
        <v>111.7</v>
      </c>
    </row>
    <row r="18" spans="1:12">
      <c r="A18" s="301">
        <v>46190</v>
      </c>
      <c r="B18" s="302" t="s">
        <v>3052</v>
      </c>
      <c r="C18" s="302" t="s">
        <v>4637</v>
      </c>
      <c r="D18" s="303" t="s">
        <v>3053</v>
      </c>
      <c r="E18" s="302">
        <v>3</v>
      </c>
      <c r="F18" s="304">
        <v>37.5</v>
      </c>
      <c r="G18" s="304">
        <v>43.25</v>
      </c>
      <c r="H18" s="305"/>
      <c r="I18" s="306">
        <v>129.75</v>
      </c>
      <c r="J18" s="306">
        <v>0</v>
      </c>
      <c r="K18" s="306">
        <f t="shared" si="0"/>
        <v>129.75</v>
      </c>
      <c r="L18" s="307">
        <f t="shared" si="1"/>
        <v>112.5</v>
      </c>
    </row>
    <row r="19" spans="1:12">
      <c r="A19" s="301">
        <v>46190</v>
      </c>
      <c r="B19" s="302" t="s">
        <v>3038</v>
      </c>
      <c r="C19" s="302" t="s">
        <v>4637</v>
      </c>
      <c r="D19" s="303" t="s">
        <v>3039</v>
      </c>
      <c r="E19" s="302">
        <v>60</v>
      </c>
      <c r="F19" s="304">
        <v>6.37</v>
      </c>
      <c r="G19" s="304">
        <v>7.5</v>
      </c>
      <c r="H19" s="305"/>
      <c r="I19" s="306">
        <v>450</v>
      </c>
      <c r="J19" s="306">
        <v>0</v>
      </c>
      <c r="K19" s="306">
        <f t="shared" si="0"/>
        <v>450</v>
      </c>
      <c r="L19" s="307">
        <f t="shared" si="1"/>
        <v>382.2</v>
      </c>
    </row>
    <row r="20" spans="1:12">
      <c r="A20" s="301">
        <v>46190</v>
      </c>
      <c r="B20" s="302" t="s">
        <v>3048</v>
      </c>
      <c r="C20" s="302" t="s">
        <v>4637</v>
      </c>
      <c r="D20" s="303" t="s">
        <v>3049</v>
      </c>
      <c r="E20" s="302">
        <v>22</v>
      </c>
      <c r="F20" s="304">
        <v>6.37</v>
      </c>
      <c r="G20" s="304">
        <v>7.5</v>
      </c>
      <c r="H20" s="305"/>
      <c r="I20" s="306">
        <v>165</v>
      </c>
      <c r="J20" s="306">
        <v>0</v>
      </c>
      <c r="K20" s="306">
        <f t="shared" si="0"/>
        <v>165</v>
      </c>
      <c r="L20" s="307">
        <f t="shared" si="1"/>
        <v>140.14000000000001</v>
      </c>
    </row>
    <row r="21" spans="1:12">
      <c r="A21" s="301">
        <v>46190</v>
      </c>
      <c r="B21" s="302" t="s">
        <v>630</v>
      </c>
      <c r="C21" s="302" t="s">
        <v>4637</v>
      </c>
      <c r="D21" s="303" t="s">
        <v>631</v>
      </c>
      <c r="E21" s="302">
        <v>15</v>
      </c>
      <c r="F21" s="304">
        <v>7.62</v>
      </c>
      <c r="G21" s="304">
        <v>8.75</v>
      </c>
      <c r="H21" s="305"/>
      <c r="I21" s="306">
        <v>131.25</v>
      </c>
      <c r="J21" s="306">
        <v>0</v>
      </c>
      <c r="K21" s="306">
        <f t="shared" si="0"/>
        <v>131.25</v>
      </c>
      <c r="L21" s="307">
        <f t="shared" si="1"/>
        <v>114.3</v>
      </c>
    </row>
    <row r="22" spans="1:12">
      <c r="A22" s="301">
        <v>46190</v>
      </c>
      <c r="B22" s="302" t="s">
        <v>2479</v>
      </c>
      <c r="C22" s="302" t="s">
        <v>4637</v>
      </c>
      <c r="D22" s="303" t="s">
        <v>2480</v>
      </c>
      <c r="E22" s="302">
        <v>2</v>
      </c>
      <c r="F22" s="304">
        <v>227.85</v>
      </c>
      <c r="G22" s="304">
        <v>262.25</v>
      </c>
      <c r="H22" s="305"/>
      <c r="I22" s="306">
        <v>524.5</v>
      </c>
      <c r="J22" s="306">
        <v>0</v>
      </c>
      <c r="K22" s="306">
        <f t="shared" si="0"/>
        <v>524.5</v>
      </c>
      <c r="L22" s="307">
        <f t="shared" si="1"/>
        <v>455.7</v>
      </c>
    </row>
    <row r="23" spans="1:12">
      <c r="A23" s="301">
        <v>46190</v>
      </c>
      <c r="B23" s="302" t="s">
        <v>2459</v>
      </c>
      <c r="C23" s="302" t="s">
        <v>4637</v>
      </c>
      <c r="D23" s="303" t="s">
        <v>2460</v>
      </c>
      <c r="E23" s="302">
        <v>2</v>
      </c>
      <c r="F23" s="304">
        <v>209.3</v>
      </c>
      <c r="G23" s="304">
        <v>257.25</v>
      </c>
      <c r="H23" s="305"/>
      <c r="I23" s="306">
        <v>514.5</v>
      </c>
      <c r="J23" s="306">
        <v>0</v>
      </c>
      <c r="K23" s="306">
        <f t="shared" si="0"/>
        <v>514.5</v>
      </c>
      <c r="L23" s="307">
        <f t="shared" si="1"/>
        <v>418.6</v>
      </c>
    </row>
    <row r="24" spans="1:12">
      <c r="A24" s="301">
        <v>46190</v>
      </c>
      <c r="B24" s="302" t="s">
        <v>2467</v>
      </c>
      <c r="C24" s="302" t="s">
        <v>4637</v>
      </c>
      <c r="D24" s="303" t="s">
        <v>2468</v>
      </c>
      <c r="E24" s="302">
        <v>2</v>
      </c>
      <c r="F24" s="304">
        <v>190.8</v>
      </c>
      <c r="G24" s="304">
        <v>234.5</v>
      </c>
      <c r="H24" s="305"/>
      <c r="I24" s="306">
        <v>469</v>
      </c>
      <c r="J24" s="306">
        <v>0</v>
      </c>
      <c r="K24" s="306">
        <f t="shared" si="0"/>
        <v>469</v>
      </c>
      <c r="L24" s="307">
        <f t="shared" si="1"/>
        <v>381.6</v>
      </c>
    </row>
    <row r="25" spans="1:12">
      <c r="A25" s="301">
        <v>46190</v>
      </c>
      <c r="B25" s="302" t="s">
        <v>2473</v>
      </c>
      <c r="C25" s="302" t="s">
        <v>4637</v>
      </c>
      <c r="D25" s="303" t="s">
        <v>2474</v>
      </c>
      <c r="E25" s="302">
        <v>3</v>
      </c>
      <c r="F25" s="304">
        <v>246.35</v>
      </c>
      <c r="G25" s="304">
        <v>283</v>
      </c>
      <c r="H25" s="305"/>
      <c r="I25" s="306">
        <v>849</v>
      </c>
      <c r="J25" s="306">
        <v>0</v>
      </c>
      <c r="K25" s="306">
        <f t="shared" si="0"/>
        <v>849</v>
      </c>
      <c r="L25" s="307">
        <f t="shared" si="1"/>
        <v>739.05</v>
      </c>
    </row>
    <row r="26" spans="1:12">
      <c r="A26" s="301">
        <v>46190</v>
      </c>
      <c r="B26" s="302" t="s">
        <v>2471</v>
      </c>
      <c r="C26" s="302" t="s">
        <v>4637</v>
      </c>
      <c r="D26" s="303" t="s">
        <v>2472</v>
      </c>
      <c r="E26" s="302">
        <v>2</v>
      </c>
      <c r="F26" s="304">
        <v>82.1</v>
      </c>
      <c r="G26" s="304">
        <v>94.5</v>
      </c>
      <c r="H26" s="305"/>
      <c r="I26" s="306">
        <v>189</v>
      </c>
      <c r="J26" s="306">
        <v>0</v>
      </c>
      <c r="K26" s="306">
        <f t="shared" si="0"/>
        <v>189</v>
      </c>
      <c r="L26" s="307">
        <f t="shared" si="1"/>
        <v>164.2</v>
      </c>
    </row>
    <row r="27" spans="1:12">
      <c r="A27" s="301">
        <v>46190</v>
      </c>
      <c r="B27" s="302" t="s">
        <v>2696</v>
      </c>
      <c r="C27" s="302" t="s">
        <v>4637</v>
      </c>
      <c r="D27" s="303" t="s">
        <v>2697</v>
      </c>
      <c r="E27" s="302">
        <v>6</v>
      </c>
      <c r="F27" s="304">
        <v>53.55</v>
      </c>
      <c r="G27" s="304">
        <v>61.75</v>
      </c>
      <c r="H27" s="305"/>
      <c r="I27" s="306">
        <v>370.5</v>
      </c>
      <c r="J27" s="306">
        <v>0</v>
      </c>
      <c r="K27" s="306">
        <f t="shared" si="0"/>
        <v>370.5</v>
      </c>
      <c r="L27" s="307">
        <f t="shared" si="1"/>
        <v>321.29999999999995</v>
      </c>
    </row>
    <row r="28" spans="1:12">
      <c r="A28" s="301">
        <v>46190</v>
      </c>
      <c r="B28" s="302" t="s">
        <v>2698</v>
      </c>
      <c r="C28" s="302" t="s">
        <v>4637</v>
      </c>
      <c r="D28" s="303" t="s">
        <v>2699</v>
      </c>
      <c r="E28" s="302">
        <v>6</v>
      </c>
      <c r="F28" s="304">
        <v>46.5</v>
      </c>
      <c r="G28" s="304">
        <v>53.5</v>
      </c>
      <c r="H28" s="305"/>
      <c r="I28" s="306">
        <v>321</v>
      </c>
      <c r="J28" s="306">
        <v>0</v>
      </c>
      <c r="K28" s="306">
        <f t="shared" si="0"/>
        <v>321</v>
      </c>
      <c r="L28" s="307">
        <f t="shared" si="1"/>
        <v>279</v>
      </c>
    </row>
    <row r="29" spans="1:12">
      <c r="A29" s="301">
        <v>46190</v>
      </c>
      <c r="B29" s="302" t="s">
        <v>2413</v>
      </c>
      <c r="C29" s="302" t="s">
        <v>4637</v>
      </c>
      <c r="D29" s="303" t="s">
        <v>2414</v>
      </c>
      <c r="E29" s="302">
        <v>6</v>
      </c>
      <c r="F29" s="304">
        <v>45.36</v>
      </c>
      <c r="G29" s="304">
        <v>53.25</v>
      </c>
      <c r="H29" s="305"/>
      <c r="I29" s="306">
        <v>319.5</v>
      </c>
      <c r="J29" s="306">
        <v>0</v>
      </c>
      <c r="K29" s="306">
        <f t="shared" si="0"/>
        <v>319.5</v>
      </c>
      <c r="L29" s="307">
        <f t="shared" si="1"/>
        <v>272.15999999999997</v>
      </c>
    </row>
    <row r="30" spans="1:12">
      <c r="A30" s="301">
        <v>46190</v>
      </c>
      <c r="B30" s="302" t="s">
        <v>2403</v>
      </c>
      <c r="C30" s="302" t="s">
        <v>4637</v>
      </c>
      <c r="D30" s="303" t="s">
        <v>2404</v>
      </c>
      <c r="E30" s="302">
        <v>6</v>
      </c>
      <c r="F30" s="304">
        <v>31.15</v>
      </c>
      <c r="G30" s="304">
        <v>36</v>
      </c>
      <c r="H30" s="305"/>
      <c r="I30" s="306">
        <v>216</v>
      </c>
      <c r="J30" s="306">
        <v>0</v>
      </c>
      <c r="K30" s="306">
        <f t="shared" si="0"/>
        <v>216</v>
      </c>
      <c r="L30" s="307">
        <f t="shared" si="1"/>
        <v>186.89999999999998</v>
      </c>
    </row>
    <row r="31" spans="1:12">
      <c r="A31" s="301">
        <v>46190</v>
      </c>
      <c r="B31" s="302" t="s">
        <v>2399</v>
      </c>
      <c r="C31" s="302" t="s">
        <v>4637</v>
      </c>
      <c r="D31" s="303" t="s">
        <v>2400</v>
      </c>
      <c r="E31" s="302">
        <v>6</v>
      </c>
      <c r="F31" s="304">
        <v>57.1</v>
      </c>
      <c r="G31" s="304">
        <v>65.75</v>
      </c>
      <c r="H31" s="305"/>
      <c r="I31" s="306">
        <v>394.5</v>
      </c>
      <c r="J31" s="306">
        <v>0</v>
      </c>
      <c r="K31" s="306">
        <f t="shared" si="0"/>
        <v>394.5</v>
      </c>
      <c r="L31" s="307">
        <f t="shared" si="1"/>
        <v>342.6</v>
      </c>
    </row>
    <row r="32" spans="1:12">
      <c r="A32" s="301">
        <v>46190</v>
      </c>
      <c r="B32" s="302" t="s">
        <v>2740</v>
      </c>
      <c r="C32" s="302" t="s">
        <v>4637</v>
      </c>
      <c r="D32" s="303" t="s">
        <v>2741</v>
      </c>
      <c r="E32" s="302">
        <v>7</v>
      </c>
      <c r="F32" s="304">
        <v>56.66</v>
      </c>
      <c r="G32" s="304">
        <v>65.25</v>
      </c>
      <c r="H32" s="305"/>
      <c r="I32" s="306">
        <v>456.75</v>
      </c>
      <c r="J32" s="306">
        <v>0</v>
      </c>
      <c r="K32" s="306">
        <f t="shared" si="0"/>
        <v>456.75</v>
      </c>
      <c r="L32" s="307">
        <f t="shared" si="1"/>
        <v>396.62</v>
      </c>
    </row>
    <row r="33" spans="1:12">
      <c r="A33" s="301">
        <v>46190</v>
      </c>
      <c r="B33" s="302" t="s">
        <v>2283</v>
      </c>
      <c r="C33" s="302" t="s">
        <v>4637</v>
      </c>
      <c r="D33" s="303" t="s">
        <v>2284</v>
      </c>
      <c r="E33" s="302">
        <v>4</v>
      </c>
      <c r="F33" s="304">
        <v>67.88</v>
      </c>
      <c r="G33" s="304">
        <v>78.25</v>
      </c>
      <c r="H33" s="305"/>
      <c r="I33" s="306">
        <v>313</v>
      </c>
      <c r="J33" s="306">
        <v>0</v>
      </c>
      <c r="K33" s="306">
        <f t="shared" si="0"/>
        <v>313</v>
      </c>
      <c r="L33" s="307">
        <f t="shared" si="1"/>
        <v>271.52</v>
      </c>
    </row>
    <row r="34" spans="1:12">
      <c r="A34" s="301">
        <v>46190</v>
      </c>
      <c r="B34" s="302" t="s">
        <v>2287</v>
      </c>
      <c r="C34" s="302" t="s">
        <v>4637</v>
      </c>
      <c r="D34" s="303" t="s">
        <v>2288</v>
      </c>
      <c r="E34" s="302">
        <v>6</v>
      </c>
      <c r="F34" s="304">
        <v>67.88</v>
      </c>
      <c r="G34" s="304">
        <v>78.25</v>
      </c>
      <c r="H34" s="305"/>
      <c r="I34" s="306">
        <v>469.5</v>
      </c>
      <c r="J34" s="306">
        <v>0</v>
      </c>
      <c r="K34" s="306">
        <f t="shared" si="0"/>
        <v>469.5</v>
      </c>
      <c r="L34" s="307">
        <f t="shared" si="1"/>
        <v>407.28</v>
      </c>
    </row>
    <row r="35" spans="1:12">
      <c r="A35" s="301">
        <v>46190</v>
      </c>
      <c r="B35" s="302" t="s">
        <v>2275</v>
      </c>
      <c r="C35" s="302" t="s">
        <v>4637</v>
      </c>
      <c r="D35" s="303" t="s">
        <v>2276</v>
      </c>
      <c r="E35" s="302">
        <v>84</v>
      </c>
      <c r="F35" s="304">
        <v>8.77</v>
      </c>
      <c r="G35" s="304">
        <v>10.25</v>
      </c>
      <c r="H35" s="305"/>
      <c r="I35" s="306">
        <v>861</v>
      </c>
      <c r="J35" s="306">
        <v>0</v>
      </c>
      <c r="K35" s="306">
        <f t="shared" si="0"/>
        <v>861</v>
      </c>
      <c r="L35" s="307">
        <f t="shared" si="1"/>
        <v>736.68</v>
      </c>
    </row>
    <row r="36" spans="1:12">
      <c r="A36" s="301">
        <v>46190</v>
      </c>
      <c r="B36" s="302" t="s">
        <v>2285</v>
      </c>
      <c r="C36" s="302" t="s">
        <v>4637</v>
      </c>
      <c r="D36" s="303" t="s">
        <v>2286</v>
      </c>
      <c r="E36" s="302">
        <v>48</v>
      </c>
      <c r="F36" s="304">
        <v>6.17</v>
      </c>
      <c r="G36" s="304">
        <v>7.25</v>
      </c>
      <c r="H36" s="305"/>
      <c r="I36" s="306">
        <v>348</v>
      </c>
      <c r="J36" s="306">
        <v>0</v>
      </c>
      <c r="K36" s="306">
        <f t="shared" si="0"/>
        <v>348</v>
      </c>
      <c r="L36" s="307">
        <f t="shared" si="1"/>
        <v>296.15999999999997</v>
      </c>
    </row>
    <row r="37" spans="1:12">
      <c r="A37" s="301">
        <v>46190</v>
      </c>
      <c r="B37" s="302" t="s">
        <v>2726</v>
      </c>
      <c r="C37" s="302" t="s">
        <v>4637</v>
      </c>
      <c r="D37" s="303" t="s">
        <v>2727</v>
      </c>
      <c r="E37" s="302">
        <v>64</v>
      </c>
      <c r="F37" s="304">
        <v>4.5</v>
      </c>
      <c r="G37" s="304">
        <v>6</v>
      </c>
      <c r="H37" s="305"/>
      <c r="I37" s="306">
        <v>384</v>
      </c>
      <c r="J37" s="306">
        <v>0</v>
      </c>
      <c r="K37" s="306">
        <f t="shared" si="0"/>
        <v>384</v>
      </c>
      <c r="L37" s="307">
        <f t="shared" si="1"/>
        <v>288</v>
      </c>
    </row>
    <row r="38" spans="1:12">
      <c r="A38" s="301">
        <v>46190</v>
      </c>
      <c r="B38" s="302" t="s">
        <v>2646</v>
      </c>
      <c r="C38" s="302" t="s">
        <v>4637</v>
      </c>
      <c r="D38" s="303" t="s">
        <v>2647</v>
      </c>
      <c r="E38" s="302">
        <v>12</v>
      </c>
      <c r="F38" s="304">
        <v>20.48</v>
      </c>
      <c r="G38" s="304">
        <v>23.75</v>
      </c>
      <c r="H38" s="305"/>
      <c r="I38" s="306">
        <v>285</v>
      </c>
      <c r="J38" s="306">
        <v>0</v>
      </c>
      <c r="K38" s="306">
        <f t="shared" si="0"/>
        <v>285</v>
      </c>
      <c r="L38" s="307">
        <f t="shared" si="1"/>
        <v>245.76</v>
      </c>
    </row>
    <row r="39" spans="1:12">
      <c r="A39" s="301">
        <v>46190</v>
      </c>
      <c r="B39" s="302" t="s">
        <v>2368</v>
      </c>
      <c r="C39" s="302" t="s">
        <v>4637</v>
      </c>
      <c r="D39" s="303" t="s">
        <v>2369</v>
      </c>
      <c r="E39" s="302">
        <v>12</v>
      </c>
      <c r="F39" s="304">
        <v>10.95</v>
      </c>
      <c r="G39" s="304">
        <v>12.75</v>
      </c>
      <c r="H39" s="305"/>
      <c r="I39" s="306">
        <v>153</v>
      </c>
      <c r="J39" s="306">
        <v>0</v>
      </c>
      <c r="K39" s="306">
        <f t="shared" si="0"/>
        <v>153</v>
      </c>
      <c r="L39" s="307">
        <f t="shared" si="1"/>
        <v>131.39999999999998</v>
      </c>
    </row>
    <row r="40" spans="1:12">
      <c r="A40" s="301">
        <v>46190</v>
      </c>
      <c r="B40" s="302" t="s">
        <v>2195</v>
      </c>
      <c r="C40" s="302" t="s">
        <v>4637</v>
      </c>
      <c r="D40" s="303" t="s">
        <v>2196</v>
      </c>
      <c r="E40" s="302">
        <v>12</v>
      </c>
      <c r="F40" s="304">
        <v>16.32</v>
      </c>
      <c r="G40" s="304">
        <v>19</v>
      </c>
      <c r="H40" s="305"/>
      <c r="I40" s="306">
        <v>228</v>
      </c>
      <c r="J40" s="306">
        <v>0</v>
      </c>
      <c r="K40" s="306">
        <f t="shared" si="0"/>
        <v>228</v>
      </c>
      <c r="L40" s="307">
        <f t="shared" si="1"/>
        <v>195.84</v>
      </c>
    </row>
    <row r="41" spans="1:12">
      <c r="A41" s="301">
        <v>46190</v>
      </c>
      <c r="B41" s="302" t="s">
        <v>2249</v>
      </c>
      <c r="C41" s="302" t="s">
        <v>4637</v>
      </c>
      <c r="D41" s="303" t="s">
        <v>2250</v>
      </c>
      <c r="E41" s="302">
        <v>36</v>
      </c>
      <c r="F41" s="304">
        <v>8.3000000000000007</v>
      </c>
      <c r="G41" s="304">
        <v>9.75</v>
      </c>
      <c r="H41" s="305"/>
      <c r="I41" s="306">
        <v>351</v>
      </c>
      <c r="J41" s="306">
        <v>0</v>
      </c>
      <c r="K41" s="306">
        <f t="shared" si="0"/>
        <v>351</v>
      </c>
      <c r="L41" s="307">
        <f t="shared" si="1"/>
        <v>298.8</v>
      </c>
    </row>
    <row r="42" spans="1:12">
      <c r="A42" s="301">
        <v>46190</v>
      </c>
      <c r="B42" s="302" t="s">
        <v>484</v>
      </c>
      <c r="C42" s="302" t="s">
        <v>4637</v>
      </c>
      <c r="D42" s="303" t="s">
        <v>485</v>
      </c>
      <c r="E42" s="302">
        <v>20</v>
      </c>
      <c r="F42" s="304">
        <v>19.100000000000001</v>
      </c>
      <c r="G42" s="304">
        <v>22</v>
      </c>
      <c r="H42" s="305"/>
      <c r="I42" s="306">
        <v>440</v>
      </c>
      <c r="J42" s="306">
        <v>0</v>
      </c>
      <c r="K42" s="306">
        <f t="shared" si="0"/>
        <v>440</v>
      </c>
      <c r="L42" s="307">
        <f t="shared" si="1"/>
        <v>382</v>
      </c>
    </row>
    <row r="43" spans="1:12">
      <c r="A43" s="301">
        <v>46190</v>
      </c>
      <c r="B43" s="302" t="s">
        <v>1612</v>
      </c>
      <c r="C43" s="302" t="s">
        <v>4637</v>
      </c>
      <c r="D43" s="303" t="s">
        <v>1613</v>
      </c>
      <c r="E43" s="302">
        <v>15</v>
      </c>
      <c r="F43" s="304">
        <v>13.1</v>
      </c>
      <c r="G43" s="304">
        <v>15</v>
      </c>
      <c r="H43" s="305"/>
      <c r="I43" s="306">
        <v>225</v>
      </c>
      <c r="J43" s="306">
        <v>0</v>
      </c>
      <c r="K43" s="306">
        <f t="shared" si="0"/>
        <v>225</v>
      </c>
      <c r="L43" s="307">
        <f t="shared" si="1"/>
        <v>196.5</v>
      </c>
    </row>
    <row r="44" spans="1:12">
      <c r="A44" s="301">
        <v>46190</v>
      </c>
      <c r="B44" s="302" t="s">
        <v>1607</v>
      </c>
      <c r="C44" s="302" t="s">
        <v>4637</v>
      </c>
      <c r="D44" s="303" t="s">
        <v>1608</v>
      </c>
      <c r="E44" s="302">
        <v>15</v>
      </c>
      <c r="F44" s="304">
        <v>13.1</v>
      </c>
      <c r="G44" s="304">
        <v>15</v>
      </c>
      <c r="H44" s="305"/>
      <c r="I44" s="306">
        <v>225</v>
      </c>
      <c r="J44" s="306">
        <v>0</v>
      </c>
      <c r="K44" s="306">
        <f t="shared" si="0"/>
        <v>225</v>
      </c>
      <c r="L44" s="307">
        <f t="shared" si="1"/>
        <v>196.5</v>
      </c>
    </row>
    <row r="45" spans="1:12">
      <c r="A45" s="301">
        <v>46190</v>
      </c>
      <c r="B45" s="302" t="s">
        <v>1603</v>
      </c>
      <c r="C45" s="302" t="s">
        <v>4637</v>
      </c>
      <c r="D45" s="303" t="s">
        <v>1604</v>
      </c>
      <c r="E45" s="302">
        <v>15</v>
      </c>
      <c r="F45" s="304">
        <v>10.15</v>
      </c>
      <c r="G45" s="304">
        <v>11.75</v>
      </c>
      <c r="H45" s="305"/>
      <c r="I45" s="306">
        <v>176.25</v>
      </c>
      <c r="J45" s="306">
        <v>0</v>
      </c>
      <c r="K45" s="306">
        <f t="shared" si="0"/>
        <v>176.25</v>
      </c>
      <c r="L45" s="307">
        <f t="shared" si="1"/>
        <v>152.25</v>
      </c>
    </row>
    <row r="46" spans="1:12">
      <c r="A46" s="301">
        <v>46190</v>
      </c>
      <c r="B46" s="302" t="s">
        <v>1570</v>
      </c>
      <c r="C46" s="302" t="s">
        <v>4637</v>
      </c>
      <c r="D46" s="303" t="s">
        <v>1571</v>
      </c>
      <c r="E46" s="302">
        <v>15</v>
      </c>
      <c r="F46" s="304">
        <v>18.5</v>
      </c>
      <c r="G46" s="304">
        <v>21.5</v>
      </c>
      <c r="H46" s="305"/>
      <c r="I46" s="306">
        <v>322.5</v>
      </c>
      <c r="J46" s="306">
        <v>0</v>
      </c>
      <c r="K46" s="306">
        <f t="shared" si="0"/>
        <v>322.5</v>
      </c>
      <c r="L46" s="307">
        <f t="shared" si="1"/>
        <v>277.5</v>
      </c>
    </row>
    <row r="47" spans="1:12">
      <c r="A47" s="301">
        <v>46190</v>
      </c>
      <c r="B47" s="302" t="s">
        <v>830</v>
      </c>
      <c r="C47" s="302" t="s">
        <v>4637</v>
      </c>
      <c r="D47" s="303" t="s">
        <v>831</v>
      </c>
      <c r="E47" s="302">
        <v>3</v>
      </c>
      <c r="F47" s="304">
        <v>85.9</v>
      </c>
      <c r="G47" s="304">
        <v>99</v>
      </c>
      <c r="H47" s="305"/>
      <c r="I47" s="306">
        <v>297</v>
      </c>
      <c r="J47" s="306">
        <v>0</v>
      </c>
      <c r="K47" s="306">
        <f t="shared" si="0"/>
        <v>297</v>
      </c>
      <c r="L47" s="307">
        <f t="shared" si="1"/>
        <v>257.70000000000005</v>
      </c>
    </row>
    <row r="48" spans="1:12">
      <c r="A48" s="301">
        <v>46190</v>
      </c>
      <c r="B48" s="302" t="s">
        <v>941</v>
      </c>
      <c r="C48" s="302" t="s">
        <v>4637</v>
      </c>
      <c r="D48" s="303" t="s">
        <v>942</v>
      </c>
      <c r="E48" s="302">
        <v>3</v>
      </c>
      <c r="F48" s="304">
        <v>56.71</v>
      </c>
      <c r="G48" s="304">
        <v>65.25</v>
      </c>
      <c r="H48" s="305"/>
      <c r="I48" s="306">
        <v>195.75</v>
      </c>
      <c r="J48" s="306">
        <v>0</v>
      </c>
      <c r="K48" s="306">
        <f t="shared" si="0"/>
        <v>195.75</v>
      </c>
      <c r="L48" s="307">
        <f t="shared" si="1"/>
        <v>170.13</v>
      </c>
    </row>
    <row r="49" spans="1:12">
      <c r="A49" s="301">
        <v>46190</v>
      </c>
      <c r="B49" s="302" t="s">
        <v>1049</v>
      </c>
      <c r="C49" s="302" t="s">
        <v>4637</v>
      </c>
      <c r="D49" s="303" t="s">
        <v>1050</v>
      </c>
      <c r="E49" s="302">
        <v>3</v>
      </c>
      <c r="F49" s="304">
        <v>59.51</v>
      </c>
      <c r="G49" s="304">
        <v>68.5</v>
      </c>
      <c r="H49" s="305"/>
      <c r="I49" s="306">
        <v>205.5</v>
      </c>
      <c r="J49" s="306">
        <v>0</v>
      </c>
      <c r="K49" s="306">
        <f t="shared" si="0"/>
        <v>205.5</v>
      </c>
      <c r="L49" s="307">
        <f t="shared" si="1"/>
        <v>178.53</v>
      </c>
    </row>
    <row r="50" spans="1:12">
      <c r="A50" s="301">
        <v>46190</v>
      </c>
      <c r="B50" s="302" t="s">
        <v>1047</v>
      </c>
      <c r="C50" s="302" t="s">
        <v>4637</v>
      </c>
      <c r="D50" s="303" t="s">
        <v>1048</v>
      </c>
      <c r="E50" s="302">
        <v>1</v>
      </c>
      <c r="F50" s="304">
        <v>59.51</v>
      </c>
      <c r="G50" s="304">
        <v>68.5</v>
      </c>
      <c r="H50" s="305"/>
      <c r="I50" s="306">
        <v>68.5</v>
      </c>
      <c r="J50" s="306">
        <v>0</v>
      </c>
      <c r="K50" s="306">
        <f t="shared" si="0"/>
        <v>68.5</v>
      </c>
      <c r="L50" s="307">
        <f t="shared" si="1"/>
        <v>59.51</v>
      </c>
    </row>
    <row r="51" spans="1:12">
      <c r="A51" s="301">
        <v>46190</v>
      </c>
      <c r="B51" s="302" t="s">
        <v>2571</v>
      </c>
      <c r="C51" s="302" t="s">
        <v>4637</v>
      </c>
      <c r="D51" s="303" t="s">
        <v>2572</v>
      </c>
      <c r="E51" s="302">
        <v>1</v>
      </c>
      <c r="F51" s="304">
        <v>80.150000000000006</v>
      </c>
      <c r="G51" s="304">
        <v>92.25</v>
      </c>
      <c r="H51" s="305"/>
      <c r="I51" s="306">
        <v>92.25</v>
      </c>
      <c r="J51" s="306">
        <v>0</v>
      </c>
      <c r="K51" s="306">
        <f t="shared" si="0"/>
        <v>92.25</v>
      </c>
      <c r="L51" s="307">
        <f t="shared" si="1"/>
        <v>80.150000000000006</v>
      </c>
    </row>
    <row r="52" spans="1:12">
      <c r="A52" s="301">
        <v>46190</v>
      </c>
      <c r="B52" s="302" t="s">
        <v>807</v>
      </c>
      <c r="C52" s="302" t="s">
        <v>4637</v>
      </c>
      <c r="D52" s="303" t="s">
        <v>808</v>
      </c>
      <c r="E52" s="302">
        <v>2</v>
      </c>
      <c r="F52" s="304">
        <v>61.5</v>
      </c>
      <c r="G52" s="304">
        <v>70.75</v>
      </c>
      <c r="H52" s="305"/>
      <c r="I52" s="306">
        <v>141.5</v>
      </c>
      <c r="J52" s="306">
        <v>0</v>
      </c>
      <c r="K52" s="306">
        <f t="shared" si="0"/>
        <v>141.5</v>
      </c>
      <c r="L52" s="307">
        <f t="shared" si="1"/>
        <v>123</v>
      </c>
    </row>
    <row r="53" spans="1:12">
      <c r="A53" s="301">
        <v>46190</v>
      </c>
      <c r="B53" s="302" t="s">
        <v>850</v>
      </c>
      <c r="C53" s="302" t="s">
        <v>4637</v>
      </c>
      <c r="D53" s="303" t="s">
        <v>851</v>
      </c>
      <c r="E53" s="302">
        <v>5</v>
      </c>
      <c r="F53" s="304">
        <v>56.5</v>
      </c>
      <c r="G53" s="304">
        <v>63</v>
      </c>
      <c r="H53" s="305"/>
      <c r="I53" s="306">
        <v>315</v>
      </c>
      <c r="J53" s="306">
        <v>0</v>
      </c>
      <c r="K53" s="306">
        <f t="shared" si="0"/>
        <v>315</v>
      </c>
      <c r="L53" s="307">
        <f t="shared" si="1"/>
        <v>282.5</v>
      </c>
    </row>
    <row r="54" spans="1:12">
      <c r="A54" s="301">
        <v>46190</v>
      </c>
      <c r="B54" s="302" t="s">
        <v>1086</v>
      </c>
      <c r="C54" s="302" t="s">
        <v>4637</v>
      </c>
      <c r="D54" s="303" t="s">
        <v>1087</v>
      </c>
      <c r="E54" s="302">
        <v>5</v>
      </c>
      <c r="F54" s="304"/>
      <c r="G54" s="304">
        <v>73.25</v>
      </c>
      <c r="H54" s="305"/>
      <c r="I54" s="306">
        <v>366.25</v>
      </c>
      <c r="J54" s="306">
        <v>0</v>
      </c>
      <c r="K54" s="306">
        <f t="shared" si="0"/>
        <v>366.25</v>
      </c>
      <c r="L54" s="307">
        <f t="shared" si="1"/>
        <v>0</v>
      </c>
    </row>
    <row r="55" spans="1:12">
      <c r="A55" s="301">
        <v>46190</v>
      </c>
      <c r="B55" s="302" t="s">
        <v>1269</v>
      </c>
      <c r="C55" s="302" t="s">
        <v>4637</v>
      </c>
      <c r="D55" s="303" t="s">
        <v>1270</v>
      </c>
      <c r="E55" s="302">
        <v>3</v>
      </c>
      <c r="F55" s="304">
        <v>34.270000000000003</v>
      </c>
      <c r="G55" s="304">
        <v>39.5</v>
      </c>
      <c r="H55" s="305"/>
      <c r="I55" s="306">
        <v>118.5</v>
      </c>
      <c r="J55" s="306">
        <v>0</v>
      </c>
      <c r="K55" s="306">
        <f t="shared" si="0"/>
        <v>118.5</v>
      </c>
      <c r="L55" s="307">
        <f t="shared" si="1"/>
        <v>102.81</v>
      </c>
    </row>
    <row r="56" spans="1:12">
      <c r="A56" s="301">
        <v>46190</v>
      </c>
      <c r="B56" s="302" t="s">
        <v>1160</v>
      </c>
      <c r="C56" s="302" t="s">
        <v>4637</v>
      </c>
      <c r="D56" s="303" t="s">
        <v>1161</v>
      </c>
      <c r="E56" s="302">
        <v>2</v>
      </c>
      <c r="F56" s="304">
        <v>34.270000000000003</v>
      </c>
      <c r="G56" s="304">
        <v>39.5</v>
      </c>
      <c r="H56" s="305"/>
      <c r="I56" s="306">
        <v>79</v>
      </c>
      <c r="J56" s="306">
        <v>0</v>
      </c>
      <c r="K56" s="306">
        <f t="shared" si="0"/>
        <v>79</v>
      </c>
      <c r="L56" s="307">
        <f t="shared" si="1"/>
        <v>68.540000000000006</v>
      </c>
    </row>
    <row r="57" spans="1:12">
      <c r="A57" s="301">
        <v>46190</v>
      </c>
      <c r="B57" s="302" t="s">
        <v>1162</v>
      </c>
      <c r="C57" s="302" t="s">
        <v>4637</v>
      </c>
      <c r="D57" s="303" t="s">
        <v>1163</v>
      </c>
      <c r="E57" s="302">
        <v>1</v>
      </c>
      <c r="F57" s="304">
        <v>34.270000000000003</v>
      </c>
      <c r="G57" s="304">
        <v>39.5</v>
      </c>
      <c r="H57" s="305"/>
      <c r="I57" s="306">
        <v>39.5</v>
      </c>
      <c r="J57" s="306">
        <v>0</v>
      </c>
      <c r="K57" s="306">
        <f t="shared" si="0"/>
        <v>39.5</v>
      </c>
      <c r="L57" s="307">
        <f t="shared" si="1"/>
        <v>34.270000000000003</v>
      </c>
    </row>
    <row r="58" spans="1:12">
      <c r="A58" s="301">
        <v>46190</v>
      </c>
      <c r="B58" s="302" t="s">
        <v>1125</v>
      </c>
      <c r="C58" s="302" t="s">
        <v>4637</v>
      </c>
      <c r="D58" s="303" t="s">
        <v>1126</v>
      </c>
      <c r="E58" s="302">
        <v>3</v>
      </c>
      <c r="F58" s="304">
        <v>36.11</v>
      </c>
      <c r="G58" s="304">
        <v>41.75</v>
      </c>
      <c r="H58" s="305"/>
      <c r="I58" s="306">
        <v>125.25</v>
      </c>
      <c r="J58" s="306">
        <v>0</v>
      </c>
      <c r="K58" s="306">
        <f t="shared" si="0"/>
        <v>125.25</v>
      </c>
      <c r="L58" s="307">
        <f t="shared" si="1"/>
        <v>108.33</v>
      </c>
    </row>
    <row r="59" spans="1:12">
      <c r="A59" s="301">
        <v>46190</v>
      </c>
      <c r="B59" s="302" t="s">
        <v>1232</v>
      </c>
      <c r="C59" s="302" t="s">
        <v>4637</v>
      </c>
      <c r="D59" s="303" t="s">
        <v>1233</v>
      </c>
      <c r="E59" s="302">
        <v>3</v>
      </c>
      <c r="F59" s="304">
        <v>38</v>
      </c>
      <c r="G59" s="304">
        <v>43.75</v>
      </c>
      <c r="H59" s="305"/>
      <c r="I59" s="306">
        <v>131.25</v>
      </c>
      <c r="J59" s="306">
        <v>0</v>
      </c>
      <c r="K59" s="306">
        <f t="shared" si="0"/>
        <v>131.25</v>
      </c>
      <c r="L59" s="307">
        <f t="shared" si="1"/>
        <v>114</v>
      </c>
    </row>
    <row r="60" spans="1:12">
      <c r="A60" s="301">
        <v>46190</v>
      </c>
      <c r="B60" s="302" t="s">
        <v>1216</v>
      </c>
      <c r="C60" s="302" t="s">
        <v>4637</v>
      </c>
      <c r="D60" s="303" t="s">
        <v>1217</v>
      </c>
      <c r="E60" s="302">
        <v>2</v>
      </c>
      <c r="F60" s="304">
        <v>38</v>
      </c>
      <c r="G60" s="304">
        <v>43.75</v>
      </c>
      <c r="H60" s="305"/>
      <c r="I60" s="306">
        <v>87.5</v>
      </c>
      <c r="J60" s="306">
        <v>0</v>
      </c>
      <c r="K60" s="306">
        <f t="shared" si="0"/>
        <v>87.5</v>
      </c>
      <c r="L60" s="307">
        <f t="shared" si="1"/>
        <v>76</v>
      </c>
    </row>
    <row r="61" spans="1:12">
      <c r="A61" s="301">
        <v>46190</v>
      </c>
      <c r="B61" s="302" t="s">
        <v>1219</v>
      </c>
      <c r="C61" s="302" t="s">
        <v>4637</v>
      </c>
      <c r="D61" s="303" t="s">
        <v>1220</v>
      </c>
      <c r="E61" s="302">
        <v>2</v>
      </c>
      <c r="F61" s="304">
        <v>38</v>
      </c>
      <c r="G61" s="304">
        <v>43.75</v>
      </c>
      <c r="H61" s="305"/>
      <c r="I61" s="306">
        <v>87.5</v>
      </c>
      <c r="J61" s="306">
        <v>0</v>
      </c>
      <c r="K61" s="306">
        <f t="shared" si="0"/>
        <v>87.5</v>
      </c>
      <c r="L61" s="307">
        <f t="shared" si="1"/>
        <v>76</v>
      </c>
    </row>
    <row r="62" spans="1:12">
      <c r="A62" s="301">
        <v>46190</v>
      </c>
      <c r="B62" s="302" t="s">
        <v>1206</v>
      </c>
      <c r="C62" s="302" t="s">
        <v>4637</v>
      </c>
      <c r="D62" s="303" t="s">
        <v>1207</v>
      </c>
      <c r="E62" s="302">
        <v>1</v>
      </c>
      <c r="F62" s="304">
        <v>58.14</v>
      </c>
      <c r="G62" s="304">
        <v>67</v>
      </c>
      <c r="H62" s="305"/>
      <c r="I62" s="306">
        <v>67</v>
      </c>
      <c r="J62" s="306">
        <v>0</v>
      </c>
      <c r="K62" s="306">
        <f t="shared" si="0"/>
        <v>67</v>
      </c>
      <c r="L62" s="307">
        <f t="shared" si="1"/>
        <v>58.14</v>
      </c>
    </row>
    <row r="63" spans="1:12">
      <c r="A63" s="301">
        <v>46190</v>
      </c>
      <c r="B63" s="302" t="s">
        <v>1198</v>
      </c>
      <c r="C63" s="302" t="s">
        <v>4637</v>
      </c>
      <c r="D63" s="303" t="s">
        <v>1199</v>
      </c>
      <c r="E63" s="302">
        <v>2</v>
      </c>
      <c r="F63" s="304">
        <v>34.270000000000003</v>
      </c>
      <c r="G63" s="304">
        <v>39.5</v>
      </c>
      <c r="H63" s="305"/>
      <c r="I63" s="306">
        <v>79</v>
      </c>
      <c r="J63" s="306">
        <v>0</v>
      </c>
      <c r="K63" s="306">
        <f t="shared" si="0"/>
        <v>79</v>
      </c>
      <c r="L63" s="307">
        <f t="shared" si="1"/>
        <v>68.540000000000006</v>
      </c>
    </row>
    <row r="64" spans="1:12">
      <c r="A64" s="301">
        <v>46190</v>
      </c>
      <c r="B64" s="302" t="s">
        <v>1353</v>
      </c>
      <c r="C64" s="302" t="s">
        <v>4637</v>
      </c>
      <c r="D64" s="303" t="s">
        <v>1354</v>
      </c>
      <c r="E64" s="302">
        <v>61</v>
      </c>
      <c r="F64" s="304">
        <v>12.66</v>
      </c>
      <c r="G64" s="304">
        <v>14.25</v>
      </c>
      <c r="H64" s="305"/>
      <c r="I64" s="306">
        <v>869.25</v>
      </c>
      <c r="J64" s="306">
        <v>0</v>
      </c>
      <c r="K64" s="306">
        <f t="shared" si="0"/>
        <v>869.25</v>
      </c>
      <c r="L64" s="307">
        <f t="shared" si="1"/>
        <v>772.26</v>
      </c>
    </row>
    <row r="65" spans="1:12">
      <c r="A65" s="301">
        <v>46190</v>
      </c>
      <c r="B65" s="302" t="s">
        <v>1292</v>
      </c>
      <c r="C65" s="302" t="s">
        <v>4637</v>
      </c>
      <c r="D65" s="303" t="s">
        <v>1293</v>
      </c>
      <c r="E65" s="302">
        <v>28</v>
      </c>
      <c r="F65" s="304">
        <v>7.85</v>
      </c>
      <c r="G65" s="304">
        <v>12</v>
      </c>
      <c r="H65" s="305"/>
      <c r="I65" s="306">
        <v>336</v>
      </c>
      <c r="J65" s="306">
        <v>0</v>
      </c>
      <c r="K65" s="306">
        <f t="shared" si="0"/>
        <v>336</v>
      </c>
      <c r="L65" s="307">
        <f t="shared" si="1"/>
        <v>219.79999999999998</v>
      </c>
    </row>
    <row r="66" spans="1:12">
      <c r="A66" s="301">
        <v>46190</v>
      </c>
      <c r="B66" s="302" t="s">
        <v>534</v>
      </c>
      <c r="C66" s="302" t="s">
        <v>4637</v>
      </c>
      <c r="D66" s="303" t="s">
        <v>535</v>
      </c>
      <c r="E66" s="302">
        <v>10</v>
      </c>
      <c r="F66" s="304">
        <v>17.649999999999999</v>
      </c>
      <c r="G66" s="304">
        <v>18.75</v>
      </c>
      <c r="H66" s="305"/>
      <c r="I66" s="306">
        <v>187.5</v>
      </c>
      <c r="J66" s="306">
        <v>0</v>
      </c>
      <c r="K66" s="306">
        <f t="shared" ref="K66:K129" si="2">H66+I66-J66</f>
        <v>187.5</v>
      </c>
      <c r="L66" s="307">
        <f t="shared" ref="L66:L129" si="3">E66*F66</f>
        <v>176.5</v>
      </c>
    </row>
    <row r="67" spans="1:12">
      <c r="A67" s="301">
        <v>46190</v>
      </c>
      <c r="B67" s="302" t="s">
        <v>528</v>
      </c>
      <c r="C67" s="302" t="s">
        <v>4637</v>
      </c>
      <c r="D67" s="303" t="s">
        <v>529</v>
      </c>
      <c r="E67" s="302">
        <v>10</v>
      </c>
      <c r="F67" s="304">
        <v>17.649999999999999</v>
      </c>
      <c r="G67" s="304">
        <v>18.75</v>
      </c>
      <c r="H67" s="305"/>
      <c r="I67" s="306">
        <v>187.5</v>
      </c>
      <c r="J67" s="306">
        <v>0</v>
      </c>
      <c r="K67" s="306">
        <f t="shared" si="2"/>
        <v>187.5</v>
      </c>
      <c r="L67" s="307">
        <f t="shared" si="3"/>
        <v>176.5</v>
      </c>
    </row>
    <row r="68" spans="1:12">
      <c r="A68" s="301">
        <v>46190</v>
      </c>
      <c r="B68" s="302" t="s">
        <v>1529</v>
      </c>
      <c r="C68" s="302" t="s">
        <v>4637</v>
      </c>
      <c r="D68" s="303" t="s">
        <v>1530</v>
      </c>
      <c r="E68" s="302">
        <v>25</v>
      </c>
      <c r="F68" s="304">
        <v>8.75</v>
      </c>
      <c r="G68" s="304">
        <v>10.25</v>
      </c>
      <c r="H68" s="305"/>
      <c r="I68" s="306">
        <v>256.25</v>
      </c>
      <c r="J68" s="306">
        <v>0</v>
      </c>
      <c r="K68" s="306">
        <f t="shared" si="2"/>
        <v>256.25</v>
      </c>
      <c r="L68" s="307">
        <f t="shared" si="3"/>
        <v>218.75</v>
      </c>
    </row>
    <row r="69" spans="1:12">
      <c r="A69" s="301">
        <v>46190</v>
      </c>
      <c r="B69" s="302" t="s">
        <v>728</v>
      </c>
      <c r="C69" s="302" t="s">
        <v>4637</v>
      </c>
      <c r="D69" s="303" t="s">
        <v>729</v>
      </c>
      <c r="E69" s="302">
        <v>10</v>
      </c>
      <c r="F69" s="304">
        <v>22.68</v>
      </c>
      <c r="G69" s="304">
        <v>26.25</v>
      </c>
      <c r="H69" s="305"/>
      <c r="I69" s="306">
        <v>262.5</v>
      </c>
      <c r="J69" s="306">
        <v>0</v>
      </c>
      <c r="K69" s="306">
        <f t="shared" si="2"/>
        <v>262.5</v>
      </c>
      <c r="L69" s="307">
        <f t="shared" si="3"/>
        <v>226.8</v>
      </c>
    </row>
    <row r="70" spans="1:12">
      <c r="A70" s="301">
        <v>46190</v>
      </c>
      <c r="B70" s="302" t="s">
        <v>645</v>
      </c>
      <c r="C70" s="302" t="s">
        <v>4637</v>
      </c>
      <c r="D70" s="303" t="s">
        <v>646</v>
      </c>
      <c r="E70" s="302">
        <v>6</v>
      </c>
      <c r="F70" s="304">
        <v>37.950000000000003</v>
      </c>
      <c r="G70" s="304">
        <v>43.75</v>
      </c>
      <c r="H70" s="305"/>
      <c r="I70" s="306">
        <v>262.5</v>
      </c>
      <c r="J70" s="306">
        <v>0</v>
      </c>
      <c r="K70" s="306">
        <f t="shared" si="2"/>
        <v>262.5</v>
      </c>
      <c r="L70" s="307">
        <f t="shared" si="3"/>
        <v>227.70000000000002</v>
      </c>
    </row>
    <row r="71" spans="1:12">
      <c r="A71" s="301">
        <v>46190</v>
      </c>
      <c r="B71" s="302" t="s">
        <v>674</v>
      </c>
      <c r="C71" s="302" t="s">
        <v>4637</v>
      </c>
      <c r="D71" s="303" t="s">
        <v>675</v>
      </c>
      <c r="E71" s="302">
        <v>6</v>
      </c>
      <c r="F71" s="304">
        <v>37.950000000000003</v>
      </c>
      <c r="G71" s="304">
        <v>43.75</v>
      </c>
      <c r="H71" s="305"/>
      <c r="I71" s="306">
        <v>262.5</v>
      </c>
      <c r="J71" s="306">
        <v>0</v>
      </c>
      <c r="K71" s="306">
        <f t="shared" si="2"/>
        <v>262.5</v>
      </c>
      <c r="L71" s="307">
        <f t="shared" si="3"/>
        <v>227.70000000000002</v>
      </c>
    </row>
    <row r="72" spans="1:12">
      <c r="A72" s="301">
        <v>46190</v>
      </c>
      <c r="B72" s="302" t="s">
        <v>1561</v>
      </c>
      <c r="C72" s="302" t="s">
        <v>4637</v>
      </c>
      <c r="D72" s="303" t="s">
        <v>1562</v>
      </c>
      <c r="E72" s="302">
        <v>15</v>
      </c>
      <c r="F72" s="304">
        <v>18.5</v>
      </c>
      <c r="G72" s="304">
        <v>21.5</v>
      </c>
      <c r="H72" s="305"/>
      <c r="I72" s="306">
        <v>322.5</v>
      </c>
      <c r="J72" s="306">
        <v>0</v>
      </c>
      <c r="K72" s="306">
        <f t="shared" si="2"/>
        <v>322.5</v>
      </c>
      <c r="L72" s="307">
        <f t="shared" si="3"/>
        <v>277.5</v>
      </c>
    </row>
    <row r="73" spans="1:12">
      <c r="A73" s="301">
        <v>46190</v>
      </c>
      <c r="B73" s="302" t="s">
        <v>1770</v>
      </c>
      <c r="C73" s="302" t="s">
        <v>4637</v>
      </c>
      <c r="D73" s="303" t="s">
        <v>1771</v>
      </c>
      <c r="E73" s="302">
        <v>4</v>
      </c>
      <c r="F73" s="304">
        <v>35.549999999999997</v>
      </c>
      <c r="G73" s="304">
        <v>41</v>
      </c>
      <c r="H73" s="305"/>
      <c r="I73" s="306">
        <v>164</v>
      </c>
      <c r="J73" s="306">
        <v>0</v>
      </c>
      <c r="K73" s="306">
        <f t="shared" si="2"/>
        <v>164</v>
      </c>
      <c r="L73" s="307">
        <f t="shared" si="3"/>
        <v>142.19999999999999</v>
      </c>
    </row>
    <row r="74" spans="1:12">
      <c r="A74" s="301">
        <v>46190</v>
      </c>
      <c r="B74" s="302" t="s">
        <v>1795</v>
      </c>
      <c r="C74" s="302" t="s">
        <v>4637</v>
      </c>
      <c r="D74" s="303" t="s">
        <v>1796</v>
      </c>
      <c r="E74" s="302">
        <v>10</v>
      </c>
      <c r="F74" s="304">
        <v>32.840000000000003</v>
      </c>
      <c r="G74" s="304">
        <v>38</v>
      </c>
      <c r="H74" s="305"/>
      <c r="I74" s="306">
        <v>380</v>
      </c>
      <c r="J74" s="306">
        <v>0</v>
      </c>
      <c r="K74" s="306">
        <f t="shared" si="2"/>
        <v>380</v>
      </c>
      <c r="L74" s="307">
        <f t="shared" si="3"/>
        <v>328.40000000000003</v>
      </c>
    </row>
    <row r="75" spans="1:12">
      <c r="A75" s="301">
        <v>46190</v>
      </c>
      <c r="B75" s="302" t="s">
        <v>4061</v>
      </c>
      <c r="C75" s="302" t="s">
        <v>4637</v>
      </c>
      <c r="D75" s="303" t="s">
        <v>4062</v>
      </c>
      <c r="E75" s="302">
        <v>2</v>
      </c>
      <c r="F75" s="304">
        <v>89.91</v>
      </c>
      <c r="G75" s="304">
        <v>103.5</v>
      </c>
      <c r="H75" s="305"/>
      <c r="I75" s="306">
        <v>207</v>
      </c>
      <c r="J75" s="306">
        <v>0</v>
      </c>
      <c r="K75" s="306">
        <f t="shared" si="2"/>
        <v>207</v>
      </c>
      <c r="L75" s="307">
        <f t="shared" si="3"/>
        <v>179.82</v>
      </c>
    </row>
    <row r="76" spans="1:12">
      <c r="A76" s="301">
        <v>46190</v>
      </c>
      <c r="B76" s="302" t="s">
        <v>1791</v>
      </c>
      <c r="C76" s="302" t="s">
        <v>4637</v>
      </c>
      <c r="D76" s="303" t="s">
        <v>1792</v>
      </c>
      <c r="E76" s="302">
        <v>20</v>
      </c>
      <c r="F76" s="304">
        <v>12.39</v>
      </c>
      <c r="G76" s="304">
        <v>14.25</v>
      </c>
      <c r="H76" s="305"/>
      <c r="I76" s="306">
        <v>285</v>
      </c>
      <c r="J76" s="306">
        <v>0</v>
      </c>
      <c r="K76" s="306">
        <f t="shared" si="2"/>
        <v>285</v>
      </c>
      <c r="L76" s="307">
        <f t="shared" si="3"/>
        <v>247.8</v>
      </c>
    </row>
    <row r="77" spans="1:12">
      <c r="A77" s="301">
        <v>46190</v>
      </c>
      <c r="B77" s="302" t="s">
        <v>1768</v>
      </c>
      <c r="C77" s="302" t="s">
        <v>4637</v>
      </c>
      <c r="D77" s="303" t="s">
        <v>1769</v>
      </c>
      <c r="E77" s="302">
        <v>6</v>
      </c>
      <c r="F77" s="304">
        <v>12.39</v>
      </c>
      <c r="G77" s="304">
        <v>14.5</v>
      </c>
      <c r="H77" s="305"/>
      <c r="I77" s="306">
        <v>87</v>
      </c>
      <c r="J77" s="306">
        <v>0</v>
      </c>
      <c r="K77" s="306">
        <f t="shared" si="2"/>
        <v>87</v>
      </c>
      <c r="L77" s="307">
        <f t="shared" si="3"/>
        <v>74.34</v>
      </c>
    </row>
    <row r="78" spans="1:12">
      <c r="A78" s="301">
        <v>46190</v>
      </c>
      <c r="B78" s="302" t="s">
        <v>1776</v>
      </c>
      <c r="C78" s="302" t="s">
        <v>4637</v>
      </c>
      <c r="D78" s="303" t="s">
        <v>1777</v>
      </c>
      <c r="E78" s="302">
        <v>6</v>
      </c>
      <c r="F78" s="304">
        <v>12.39</v>
      </c>
      <c r="G78" s="304">
        <v>14.5</v>
      </c>
      <c r="H78" s="305"/>
      <c r="I78" s="306">
        <v>87</v>
      </c>
      <c r="J78" s="306">
        <v>0</v>
      </c>
      <c r="K78" s="306">
        <f t="shared" si="2"/>
        <v>87</v>
      </c>
      <c r="L78" s="307">
        <f t="shared" si="3"/>
        <v>74.34</v>
      </c>
    </row>
    <row r="79" spans="1:12">
      <c r="A79" s="301">
        <v>46190</v>
      </c>
      <c r="B79" s="302" t="s">
        <v>3085</v>
      </c>
      <c r="C79" s="302" t="s">
        <v>4637</v>
      </c>
      <c r="D79" s="303" t="s">
        <v>3086</v>
      </c>
      <c r="E79" s="302">
        <v>24</v>
      </c>
      <c r="F79" s="304">
        <v>18.98</v>
      </c>
      <c r="G79" s="304">
        <v>22</v>
      </c>
      <c r="H79" s="305"/>
      <c r="I79" s="306">
        <v>528</v>
      </c>
      <c r="J79" s="306">
        <v>0</v>
      </c>
      <c r="K79" s="306">
        <f t="shared" si="2"/>
        <v>528</v>
      </c>
      <c r="L79" s="307">
        <f t="shared" si="3"/>
        <v>455.52</v>
      </c>
    </row>
    <row r="80" spans="1:12">
      <c r="A80" s="301">
        <v>46190</v>
      </c>
      <c r="B80" s="302" t="s">
        <v>2021</v>
      </c>
      <c r="C80" s="302" t="s">
        <v>4637</v>
      </c>
      <c r="D80" s="303" t="s">
        <v>2022</v>
      </c>
      <c r="E80" s="302">
        <v>12</v>
      </c>
      <c r="F80" s="304">
        <v>86.29</v>
      </c>
      <c r="G80" s="304">
        <v>99.25</v>
      </c>
      <c r="H80" s="305"/>
      <c r="I80" s="306">
        <v>1191</v>
      </c>
      <c r="J80" s="306">
        <v>0</v>
      </c>
      <c r="K80" s="306">
        <f t="shared" si="2"/>
        <v>1191</v>
      </c>
      <c r="L80" s="307">
        <f t="shared" si="3"/>
        <v>1035.48</v>
      </c>
    </row>
    <row r="81" spans="1:12">
      <c r="A81" s="301">
        <v>46190</v>
      </c>
      <c r="B81" s="302" t="s">
        <v>3105</v>
      </c>
      <c r="C81" s="302" t="s">
        <v>4637</v>
      </c>
      <c r="D81" s="303" t="s">
        <v>3106</v>
      </c>
      <c r="E81" s="302">
        <v>6</v>
      </c>
      <c r="F81" s="304">
        <v>39.880000000000003</v>
      </c>
      <c r="G81" s="304">
        <v>46</v>
      </c>
      <c r="H81" s="305"/>
      <c r="I81" s="306">
        <v>276</v>
      </c>
      <c r="J81" s="306">
        <v>0</v>
      </c>
      <c r="K81" s="306">
        <f t="shared" si="2"/>
        <v>276</v>
      </c>
      <c r="L81" s="307">
        <f t="shared" si="3"/>
        <v>239.28000000000003</v>
      </c>
    </row>
    <row r="82" spans="1:12">
      <c r="A82" s="301">
        <v>46190</v>
      </c>
      <c r="B82" s="302" t="s">
        <v>3109</v>
      </c>
      <c r="C82" s="302" t="s">
        <v>4637</v>
      </c>
      <c r="D82" s="303" t="s">
        <v>3110</v>
      </c>
      <c r="E82" s="302">
        <v>15</v>
      </c>
      <c r="F82" s="304">
        <v>23.15</v>
      </c>
      <c r="G82" s="304">
        <v>27</v>
      </c>
      <c r="H82" s="305"/>
      <c r="I82" s="306">
        <v>405</v>
      </c>
      <c r="J82" s="306">
        <v>0</v>
      </c>
      <c r="K82" s="306">
        <f t="shared" si="2"/>
        <v>405</v>
      </c>
      <c r="L82" s="307">
        <f t="shared" si="3"/>
        <v>347.25</v>
      </c>
    </row>
    <row r="83" spans="1:12">
      <c r="A83" s="301">
        <v>46190</v>
      </c>
      <c r="B83" s="302" t="s">
        <v>3107</v>
      </c>
      <c r="C83" s="302" t="s">
        <v>4637</v>
      </c>
      <c r="D83" s="303" t="s">
        <v>3108</v>
      </c>
      <c r="E83" s="302">
        <v>20</v>
      </c>
      <c r="F83" s="304">
        <v>15.2</v>
      </c>
      <c r="G83" s="304">
        <v>17.5</v>
      </c>
      <c r="H83" s="305"/>
      <c r="I83" s="306">
        <v>350</v>
      </c>
      <c r="J83" s="306">
        <v>0</v>
      </c>
      <c r="K83" s="306">
        <f t="shared" si="2"/>
        <v>350</v>
      </c>
      <c r="L83" s="307">
        <f t="shared" si="3"/>
        <v>304</v>
      </c>
    </row>
    <row r="84" spans="1:12">
      <c r="A84" s="301">
        <v>46190</v>
      </c>
      <c r="B84" s="302" t="s">
        <v>3119</v>
      </c>
      <c r="C84" s="302" t="s">
        <v>4637</v>
      </c>
      <c r="D84" s="303" t="s">
        <v>3120</v>
      </c>
      <c r="E84" s="302">
        <v>6</v>
      </c>
      <c r="F84" s="304">
        <v>65.989999999999995</v>
      </c>
      <c r="G84" s="304">
        <v>76.75</v>
      </c>
      <c r="H84" s="305"/>
      <c r="I84" s="306">
        <v>460.5</v>
      </c>
      <c r="J84" s="306">
        <v>0</v>
      </c>
      <c r="K84" s="306">
        <f t="shared" si="2"/>
        <v>460.5</v>
      </c>
      <c r="L84" s="307">
        <f t="shared" si="3"/>
        <v>395.93999999999994</v>
      </c>
    </row>
    <row r="85" spans="1:12">
      <c r="A85" s="301">
        <v>46190</v>
      </c>
      <c r="B85" s="302" t="s">
        <v>3117</v>
      </c>
      <c r="C85" s="302" t="s">
        <v>4637</v>
      </c>
      <c r="D85" s="303" t="s">
        <v>3118</v>
      </c>
      <c r="E85" s="302">
        <v>10</v>
      </c>
      <c r="F85" s="304">
        <v>37.64</v>
      </c>
      <c r="G85" s="304">
        <v>43.75</v>
      </c>
      <c r="H85" s="305"/>
      <c r="I85" s="306">
        <v>437.5</v>
      </c>
      <c r="J85" s="306">
        <v>0</v>
      </c>
      <c r="K85" s="306">
        <f t="shared" si="2"/>
        <v>437.5</v>
      </c>
      <c r="L85" s="307">
        <f t="shared" si="3"/>
        <v>376.4</v>
      </c>
    </row>
    <row r="86" spans="1:12">
      <c r="A86" s="301">
        <v>46190</v>
      </c>
      <c r="B86" s="302" t="s">
        <v>3103</v>
      </c>
      <c r="C86" s="302" t="s">
        <v>4637</v>
      </c>
      <c r="D86" s="303" t="s">
        <v>3104</v>
      </c>
      <c r="E86" s="302">
        <v>15</v>
      </c>
      <c r="F86" s="304">
        <v>9.0299999999999994</v>
      </c>
      <c r="G86" s="304">
        <v>10.38</v>
      </c>
      <c r="H86" s="305"/>
      <c r="I86" s="306">
        <v>155.70000000000002</v>
      </c>
      <c r="J86" s="306">
        <v>0</v>
      </c>
      <c r="K86" s="306">
        <f t="shared" si="2"/>
        <v>155.70000000000002</v>
      </c>
      <c r="L86" s="307">
        <f t="shared" si="3"/>
        <v>135.44999999999999</v>
      </c>
    </row>
    <row r="87" spans="1:12">
      <c r="A87" s="301">
        <v>46190</v>
      </c>
      <c r="B87" s="302" t="s">
        <v>3050</v>
      </c>
      <c r="C87" s="302" t="s">
        <v>4637</v>
      </c>
      <c r="D87" s="303" t="s">
        <v>3051</v>
      </c>
      <c r="E87" s="302">
        <v>107</v>
      </c>
      <c r="F87" s="304">
        <v>6.38</v>
      </c>
      <c r="G87" s="304">
        <v>7.5</v>
      </c>
      <c r="H87" s="305"/>
      <c r="I87" s="306">
        <v>802.5</v>
      </c>
      <c r="J87" s="306">
        <v>0</v>
      </c>
      <c r="K87" s="306">
        <f t="shared" si="2"/>
        <v>802.5</v>
      </c>
      <c r="L87" s="307">
        <f t="shared" si="3"/>
        <v>682.66</v>
      </c>
    </row>
    <row r="88" spans="1:12">
      <c r="A88" s="301">
        <v>46190</v>
      </c>
      <c r="B88" s="302" t="s">
        <v>3032</v>
      </c>
      <c r="C88" s="302" t="s">
        <v>4637</v>
      </c>
      <c r="D88" s="303" t="s">
        <v>3033</v>
      </c>
      <c r="E88" s="302">
        <v>30</v>
      </c>
      <c r="F88" s="304">
        <v>6.38</v>
      </c>
      <c r="G88" s="304">
        <v>7.5</v>
      </c>
      <c r="H88" s="305"/>
      <c r="I88" s="306">
        <v>225</v>
      </c>
      <c r="J88" s="306">
        <v>0</v>
      </c>
      <c r="K88" s="306">
        <f t="shared" si="2"/>
        <v>225</v>
      </c>
      <c r="L88" s="307">
        <f t="shared" si="3"/>
        <v>191.4</v>
      </c>
    </row>
    <row r="89" spans="1:12">
      <c r="A89" s="301">
        <v>46190</v>
      </c>
      <c r="B89" s="302" t="s">
        <v>3044</v>
      </c>
      <c r="C89" s="302" t="s">
        <v>4637</v>
      </c>
      <c r="D89" s="303" t="s">
        <v>3045</v>
      </c>
      <c r="E89" s="302">
        <v>102</v>
      </c>
      <c r="F89" s="304">
        <v>6.37</v>
      </c>
      <c r="G89" s="304">
        <v>7.5</v>
      </c>
      <c r="H89" s="305"/>
      <c r="I89" s="306">
        <v>765</v>
      </c>
      <c r="J89" s="306">
        <v>0</v>
      </c>
      <c r="K89" s="306">
        <f t="shared" si="2"/>
        <v>765</v>
      </c>
      <c r="L89" s="307">
        <f t="shared" si="3"/>
        <v>649.74</v>
      </c>
    </row>
    <row r="90" spans="1:12">
      <c r="A90" s="301">
        <v>46190</v>
      </c>
      <c r="B90" s="302" t="s">
        <v>3036</v>
      </c>
      <c r="C90" s="302" t="s">
        <v>4637</v>
      </c>
      <c r="D90" s="303" t="s">
        <v>3037</v>
      </c>
      <c r="E90" s="302">
        <v>30</v>
      </c>
      <c r="F90" s="304">
        <v>6.37</v>
      </c>
      <c r="G90" s="304">
        <v>7.5</v>
      </c>
      <c r="H90" s="305"/>
      <c r="I90" s="306">
        <v>225</v>
      </c>
      <c r="J90" s="306">
        <v>0</v>
      </c>
      <c r="K90" s="306">
        <f t="shared" si="2"/>
        <v>225</v>
      </c>
      <c r="L90" s="307">
        <f t="shared" si="3"/>
        <v>191.1</v>
      </c>
    </row>
    <row r="91" spans="1:12">
      <c r="A91" s="301">
        <v>46190</v>
      </c>
      <c r="B91" s="302" t="s">
        <v>3072</v>
      </c>
      <c r="C91" s="302" t="s">
        <v>4637</v>
      </c>
      <c r="D91" s="303" t="s">
        <v>3073</v>
      </c>
      <c r="E91" s="302">
        <v>30</v>
      </c>
      <c r="F91" s="304">
        <v>14.43</v>
      </c>
      <c r="G91" s="304">
        <v>16.75</v>
      </c>
      <c r="H91" s="305"/>
      <c r="I91" s="306">
        <v>502.5</v>
      </c>
      <c r="J91" s="306">
        <v>0</v>
      </c>
      <c r="K91" s="306">
        <f t="shared" si="2"/>
        <v>502.5</v>
      </c>
      <c r="L91" s="307">
        <f t="shared" si="3"/>
        <v>432.9</v>
      </c>
    </row>
    <row r="92" spans="1:12">
      <c r="A92" s="301">
        <v>46190</v>
      </c>
      <c r="B92" s="302" t="s">
        <v>2809</v>
      </c>
      <c r="C92" s="302" t="s">
        <v>4637</v>
      </c>
      <c r="D92" s="303" t="s">
        <v>2810</v>
      </c>
      <c r="E92" s="302">
        <v>30</v>
      </c>
      <c r="F92" s="304">
        <v>14.42</v>
      </c>
      <c r="G92" s="304">
        <v>16.75</v>
      </c>
      <c r="H92" s="305"/>
      <c r="I92" s="306">
        <v>502.5</v>
      </c>
      <c r="J92" s="306">
        <v>0</v>
      </c>
      <c r="K92" s="306">
        <f t="shared" si="2"/>
        <v>502.5</v>
      </c>
      <c r="L92" s="307">
        <f t="shared" si="3"/>
        <v>432.6</v>
      </c>
    </row>
    <row r="93" spans="1:12">
      <c r="A93" s="301">
        <v>46190</v>
      </c>
      <c r="B93" s="302" t="s">
        <v>3121</v>
      </c>
      <c r="C93" s="302" t="s">
        <v>4637</v>
      </c>
      <c r="D93" s="303" t="s">
        <v>3122</v>
      </c>
      <c r="E93" s="302">
        <v>10</v>
      </c>
      <c r="F93" s="304">
        <v>11.32</v>
      </c>
      <c r="G93" s="304">
        <v>13.25</v>
      </c>
      <c r="H93" s="305"/>
      <c r="I93" s="306">
        <v>132.5</v>
      </c>
      <c r="J93" s="306">
        <v>0</v>
      </c>
      <c r="K93" s="306">
        <f t="shared" si="2"/>
        <v>132.5</v>
      </c>
      <c r="L93" s="307">
        <f t="shared" si="3"/>
        <v>113.2</v>
      </c>
    </row>
    <row r="94" spans="1:12">
      <c r="A94" s="301">
        <v>46190</v>
      </c>
      <c r="B94" s="302" t="s">
        <v>3042</v>
      </c>
      <c r="C94" s="302" t="s">
        <v>4637</v>
      </c>
      <c r="D94" s="303" t="s">
        <v>3043</v>
      </c>
      <c r="E94" s="302">
        <v>60</v>
      </c>
      <c r="F94" s="304">
        <v>6.38</v>
      </c>
      <c r="G94" s="304">
        <v>7.5</v>
      </c>
      <c r="H94" s="305"/>
      <c r="I94" s="306">
        <v>450</v>
      </c>
      <c r="J94" s="306">
        <v>0</v>
      </c>
      <c r="K94" s="306">
        <f t="shared" si="2"/>
        <v>450</v>
      </c>
      <c r="L94" s="307">
        <f t="shared" si="3"/>
        <v>382.8</v>
      </c>
    </row>
    <row r="95" spans="1:12">
      <c r="A95" s="301">
        <v>46190</v>
      </c>
      <c r="B95" s="302" t="s">
        <v>653</v>
      </c>
      <c r="C95" s="302" t="s">
        <v>4637</v>
      </c>
      <c r="D95" s="303" t="s">
        <v>654</v>
      </c>
      <c r="E95" s="302">
        <v>30</v>
      </c>
      <c r="F95" s="304">
        <v>6.18</v>
      </c>
      <c r="G95" s="304">
        <v>7.5</v>
      </c>
      <c r="H95" s="305"/>
      <c r="I95" s="306">
        <v>225</v>
      </c>
      <c r="J95" s="306">
        <v>0</v>
      </c>
      <c r="K95" s="306">
        <f t="shared" si="2"/>
        <v>225</v>
      </c>
      <c r="L95" s="307">
        <f t="shared" si="3"/>
        <v>185.39999999999998</v>
      </c>
    </row>
    <row r="96" spans="1:12">
      <c r="A96" s="301">
        <v>46190</v>
      </c>
      <c r="B96" s="302" t="s">
        <v>797</v>
      </c>
      <c r="C96" s="302" t="s">
        <v>4637</v>
      </c>
      <c r="D96" s="303" t="s">
        <v>798</v>
      </c>
      <c r="E96" s="302">
        <v>16</v>
      </c>
      <c r="F96" s="304">
        <v>6.31</v>
      </c>
      <c r="G96" s="304">
        <v>7.5</v>
      </c>
      <c r="H96" s="305"/>
      <c r="I96" s="306">
        <v>120</v>
      </c>
      <c r="J96" s="306">
        <v>0</v>
      </c>
      <c r="K96" s="306">
        <f t="shared" si="2"/>
        <v>120</v>
      </c>
      <c r="L96" s="307">
        <f t="shared" si="3"/>
        <v>100.96</v>
      </c>
    </row>
    <row r="97" spans="1:12">
      <c r="A97" s="301">
        <v>46190</v>
      </c>
      <c r="B97" s="302" t="s">
        <v>703</v>
      </c>
      <c r="C97" s="302" t="s">
        <v>4637</v>
      </c>
      <c r="D97" s="303" t="s">
        <v>704</v>
      </c>
      <c r="E97" s="302">
        <v>15</v>
      </c>
      <c r="F97" s="304">
        <v>15.12</v>
      </c>
      <c r="G97" s="304">
        <v>17.5</v>
      </c>
      <c r="H97" s="305"/>
      <c r="I97" s="306">
        <v>262.5</v>
      </c>
      <c r="J97" s="306">
        <v>0</v>
      </c>
      <c r="K97" s="306">
        <f t="shared" si="2"/>
        <v>262.5</v>
      </c>
      <c r="L97" s="307">
        <f t="shared" si="3"/>
        <v>226.79999999999998</v>
      </c>
    </row>
    <row r="98" spans="1:12">
      <c r="A98" s="301">
        <v>46190</v>
      </c>
      <c r="B98" s="302" t="s">
        <v>688</v>
      </c>
      <c r="C98" s="302" t="s">
        <v>4637</v>
      </c>
      <c r="D98" s="303" t="s">
        <v>689</v>
      </c>
      <c r="E98" s="302">
        <v>35</v>
      </c>
      <c r="F98" s="304">
        <v>6.18</v>
      </c>
      <c r="G98" s="304">
        <v>7.25</v>
      </c>
      <c r="H98" s="305"/>
      <c r="I98" s="306">
        <v>253.75</v>
      </c>
      <c r="J98" s="306">
        <v>0</v>
      </c>
      <c r="K98" s="306">
        <f t="shared" si="2"/>
        <v>253.75</v>
      </c>
      <c r="L98" s="307">
        <f t="shared" si="3"/>
        <v>216.29999999999998</v>
      </c>
    </row>
    <row r="99" spans="1:12">
      <c r="A99" s="301">
        <v>46190</v>
      </c>
      <c r="B99" s="302" t="s">
        <v>639</v>
      </c>
      <c r="C99" s="302" t="s">
        <v>4637</v>
      </c>
      <c r="D99" s="303" t="s">
        <v>640</v>
      </c>
      <c r="E99" s="302">
        <v>8</v>
      </c>
      <c r="F99" s="304">
        <v>33.1</v>
      </c>
      <c r="G99" s="304">
        <v>38.25</v>
      </c>
      <c r="H99" s="305"/>
      <c r="I99" s="306">
        <v>306</v>
      </c>
      <c r="J99" s="306">
        <v>0</v>
      </c>
      <c r="K99" s="306">
        <f t="shared" si="2"/>
        <v>306</v>
      </c>
      <c r="L99" s="307">
        <f t="shared" si="3"/>
        <v>264.8</v>
      </c>
    </row>
    <row r="100" spans="1:12">
      <c r="A100" s="301">
        <v>46190</v>
      </c>
      <c r="B100" s="302" t="s">
        <v>709</v>
      </c>
      <c r="C100" s="302" t="s">
        <v>4637</v>
      </c>
      <c r="D100" s="303" t="s">
        <v>710</v>
      </c>
      <c r="E100" s="302">
        <v>10</v>
      </c>
      <c r="F100" s="304">
        <v>31.6</v>
      </c>
      <c r="G100" s="304">
        <v>36.5</v>
      </c>
      <c r="H100" s="305"/>
      <c r="I100" s="306">
        <v>365</v>
      </c>
      <c r="J100" s="306">
        <v>0</v>
      </c>
      <c r="K100" s="306">
        <f t="shared" si="2"/>
        <v>365</v>
      </c>
      <c r="L100" s="307">
        <f t="shared" si="3"/>
        <v>316</v>
      </c>
    </row>
    <row r="101" spans="1:12">
      <c r="A101" s="301">
        <v>46190</v>
      </c>
      <c r="B101" s="302" t="s">
        <v>719</v>
      </c>
      <c r="C101" s="302" t="s">
        <v>4637</v>
      </c>
      <c r="D101" s="303" t="s">
        <v>720</v>
      </c>
      <c r="E101" s="302">
        <v>15</v>
      </c>
      <c r="F101" s="304">
        <v>15.65</v>
      </c>
      <c r="G101" s="304">
        <v>18</v>
      </c>
      <c r="H101" s="305"/>
      <c r="I101" s="306">
        <v>270</v>
      </c>
      <c r="J101" s="306">
        <v>0</v>
      </c>
      <c r="K101" s="306">
        <f t="shared" si="2"/>
        <v>270</v>
      </c>
      <c r="L101" s="307">
        <f t="shared" si="3"/>
        <v>234.75</v>
      </c>
    </row>
    <row r="102" spans="1:12">
      <c r="A102" s="301">
        <v>46190</v>
      </c>
      <c r="B102" s="302" t="s">
        <v>637</v>
      </c>
      <c r="C102" s="302" t="s">
        <v>4637</v>
      </c>
      <c r="D102" s="303" t="s">
        <v>638</v>
      </c>
      <c r="E102" s="302">
        <v>15</v>
      </c>
      <c r="F102" s="304">
        <v>15.35</v>
      </c>
      <c r="G102" s="304">
        <v>17.75</v>
      </c>
      <c r="H102" s="305"/>
      <c r="I102" s="306">
        <v>266.25</v>
      </c>
      <c r="J102" s="306">
        <v>0</v>
      </c>
      <c r="K102" s="306">
        <f t="shared" si="2"/>
        <v>266.25</v>
      </c>
      <c r="L102" s="307">
        <f t="shared" si="3"/>
        <v>230.25</v>
      </c>
    </row>
    <row r="103" spans="1:12">
      <c r="A103" s="301">
        <v>46190</v>
      </c>
      <c r="B103" s="302" t="s">
        <v>715</v>
      </c>
      <c r="C103" s="302" t="s">
        <v>4637</v>
      </c>
      <c r="D103" s="303" t="s">
        <v>716</v>
      </c>
      <c r="E103" s="302">
        <v>15</v>
      </c>
      <c r="F103" s="304">
        <v>15.12</v>
      </c>
      <c r="G103" s="304">
        <v>17.5</v>
      </c>
      <c r="H103" s="305"/>
      <c r="I103" s="306">
        <v>262.5</v>
      </c>
      <c r="J103" s="306">
        <v>0</v>
      </c>
      <c r="K103" s="306">
        <f t="shared" si="2"/>
        <v>262.5</v>
      </c>
      <c r="L103" s="307">
        <f t="shared" si="3"/>
        <v>226.79999999999998</v>
      </c>
    </row>
    <row r="104" spans="1:12">
      <c r="A104" s="301">
        <v>46190</v>
      </c>
      <c r="B104" s="302" t="s">
        <v>553</v>
      </c>
      <c r="C104" s="302" t="s">
        <v>4637</v>
      </c>
      <c r="D104" s="303" t="s">
        <v>554</v>
      </c>
      <c r="E104" s="302">
        <v>5</v>
      </c>
      <c r="F104" s="304">
        <v>22.19</v>
      </c>
      <c r="G104" s="304">
        <v>25.75</v>
      </c>
      <c r="H104" s="305"/>
      <c r="I104" s="306">
        <v>128.75</v>
      </c>
      <c r="J104" s="306">
        <v>0</v>
      </c>
      <c r="K104" s="306">
        <f t="shared" si="2"/>
        <v>128.75</v>
      </c>
      <c r="L104" s="307">
        <f t="shared" si="3"/>
        <v>110.95</v>
      </c>
    </row>
    <row r="105" spans="1:12">
      <c r="A105" s="301">
        <v>46190</v>
      </c>
      <c r="B105" s="302" t="s">
        <v>536</v>
      </c>
      <c r="C105" s="302" t="s">
        <v>4637</v>
      </c>
      <c r="D105" s="303" t="s">
        <v>537</v>
      </c>
      <c r="E105" s="302">
        <v>35</v>
      </c>
      <c r="F105" s="304">
        <v>6.71</v>
      </c>
      <c r="G105" s="304">
        <v>7.75</v>
      </c>
      <c r="H105" s="305"/>
      <c r="I105" s="306">
        <v>271.25</v>
      </c>
      <c r="J105" s="306">
        <v>0</v>
      </c>
      <c r="K105" s="306">
        <f t="shared" si="2"/>
        <v>271.25</v>
      </c>
      <c r="L105" s="307">
        <f t="shared" si="3"/>
        <v>234.85</v>
      </c>
    </row>
    <row r="106" spans="1:12">
      <c r="A106" s="301">
        <v>46190</v>
      </c>
      <c r="B106" s="302" t="s">
        <v>721</v>
      </c>
      <c r="C106" s="302" t="s">
        <v>4637</v>
      </c>
      <c r="D106" s="303" t="s">
        <v>722</v>
      </c>
      <c r="E106" s="302">
        <v>10</v>
      </c>
      <c r="F106" s="304">
        <v>34.47</v>
      </c>
      <c r="G106" s="304">
        <v>39.75</v>
      </c>
      <c r="H106" s="305"/>
      <c r="I106" s="306">
        <v>397.5</v>
      </c>
      <c r="J106" s="306">
        <v>0</v>
      </c>
      <c r="K106" s="306">
        <f t="shared" si="2"/>
        <v>397.5</v>
      </c>
      <c r="L106" s="307">
        <f t="shared" si="3"/>
        <v>344.7</v>
      </c>
    </row>
    <row r="107" spans="1:12">
      <c r="A107" s="301">
        <v>46190</v>
      </c>
      <c r="B107" s="302" t="s">
        <v>713</v>
      </c>
      <c r="C107" s="302" t="s">
        <v>4637</v>
      </c>
      <c r="D107" s="303" t="s">
        <v>714</v>
      </c>
      <c r="E107" s="302">
        <v>20</v>
      </c>
      <c r="F107" s="304">
        <v>31.6</v>
      </c>
      <c r="G107" s="304">
        <v>36.5</v>
      </c>
      <c r="H107" s="305"/>
      <c r="I107" s="306">
        <v>730</v>
      </c>
      <c r="J107" s="306">
        <v>0</v>
      </c>
      <c r="K107" s="306">
        <f t="shared" si="2"/>
        <v>730</v>
      </c>
      <c r="L107" s="307">
        <f t="shared" si="3"/>
        <v>632</v>
      </c>
    </row>
    <row r="108" spans="1:12">
      <c r="A108" s="301">
        <v>46190</v>
      </c>
      <c r="B108" s="302" t="s">
        <v>519</v>
      </c>
      <c r="C108" s="302" t="s">
        <v>4637</v>
      </c>
      <c r="D108" s="303" t="s">
        <v>520</v>
      </c>
      <c r="E108" s="302">
        <v>20</v>
      </c>
      <c r="F108" s="304">
        <v>6.83</v>
      </c>
      <c r="G108" s="304">
        <v>7.75</v>
      </c>
      <c r="H108" s="305"/>
      <c r="I108" s="306">
        <v>155</v>
      </c>
      <c r="J108" s="306">
        <v>0</v>
      </c>
      <c r="K108" s="306">
        <f t="shared" si="2"/>
        <v>155</v>
      </c>
      <c r="L108" s="307">
        <f t="shared" si="3"/>
        <v>136.6</v>
      </c>
    </row>
    <row r="109" spans="1:12">
      <c r="A109" s="301">
        <v>46190</v>
      </c>
      <c r="B109" s="302" t="s">
        <v>972</v>
      </c>
      <c r="C109" s="302" t="s">
        <v>4637</v>
      </c>
      <c r="D109" s="303" t="s">
        <v>973</v>
      </c>
      <c r="E109" s="302">
        <v>13</v>
      </c>
      <c r="F109" s="304">
        <v>6.8</v>
      </c>
      <c r="G109" s="304">
        <v>8</v>
      </c>
      <c r="H109" s="305"/>
      <c r="I109" s="306">
        <v>104</v>
      </c>
      <c r="J109" s="306">
        <v>0</v>
      </c>
      <c r="K109" s="306">
        <f t="shared" si="2"/>
        <v>104</v>
      </c>
      <c r="L109" s="307">
        <f t="shared" si="3"/>
        <v>88.399999999999991</v>
      </c>
    </row>
    <row r="110" spans="1:12">
      <c r="A110" s="301">
        <v>46190</v>
      </c>
      <c r="B110" s="302" t="s">
        <v>532</v>
      </c>
      <c r="C110" s="302" t="s">
        <v>4637</v>
      </c>
      <c r="D110" s="303" t="s">
        <v>533</v>
      </c>
      <c r="E110" s="302">
        <v>10</v>
      </c>
      <c r="F110" s="304">
        <v>18.649999999999999</v>
      </c>
      <c r="G110" s="304">
        <v>21.5</v>
      </c>
      <c r="H110" s="305"/>
      <c r="I110" s="306">
        <v>215</v>
      </c>
      <c r="J110" s="306">
        <v>0</v>
      </c>
      <c r="K110" s="306">
        <f t="shared" si="2"/>
        <v>215</v>
      </c>
      <c r="L110" s="307">
        <f t="shared" si="3"/>
        <v>186.5</v>
      </c>
    </row>
    <row r="111" spans="1:12">
      <c r="A111" s="301">
        <v>46190</v>
      </c>
      <c r="B111" s="302" t="s">
        <v>970</v>
      </c>
      <c r="C111" s="302" t="s">
        <v>4637</v>
      </c>
      <c r="D111" s="303" t="s">
        <v>971</v>
      </c>
      <c r="E111" s="302">
        <v>20</v>
      </c>
      <c r="F111" s="304">
        <v>6.8</v>
      </c>
      <c r="G111" s="304">
        <v>8</v>
      </c>
      <c r="H111" s="305"/>
      <c r="I111" s="306">
        <v>160</v>
      </c>
      <c r="J111" s="306">
        <v>0</v>
      </c>
      <c r="K111" s="306">
        <f t="shared" si="2"/>
        <v>160</v>
      </c>
      <c r="L111" s="307">
        <f t="shared" si="3"/>
        <v>136</v>
      </c>
    </row>
    <row r="112" spans="1:12">
      <c r="A112" s="301">
        <v>46190</v>
      </c>
      <c r="B112" s="302" t="s">
        <v>628</v>
      </c>
      <c r="C112" s="302" t="s">
        <v>4637</v>
      </c>
      <c r="D112" s="303" t="s">
        <v>629</v>
      </c>
      <c r="E112" s="302">
        <v>24</v>
      </c>
      <c r="F112" s="304">
        <v>5.47</v>
      </c>
      <c r="G112" s="304">
        <v>6.5</v>
      </c>
      <c r="H112" s="305"/>
      <c r="I112" s="306">
        <v>156</v>
      </c>
      <c r="J112" s="306">
        <v>0</v>
      </c>
      <c r="K112" s="306">
        <f t="shared" si="2"/>
        <v>156</v>
      </c>
      <c r="L112" s="307">
        <f t="shared" si="3"/>
        <v>131.28</v>
      </c>
    </row>
    <row r="113" spans="1:12">
      <c r="A113" s="301">
        <v>46190</v>
      </c>
      <c r="B113" s="302" t="s">
        <v>1336</v>
      </c>
      <c r="C113" s="302" t="s">
        <v>4637</v>
      </c>
      <c r="D113" s="303" t="s">
        <v>1337</v>
      </c>
      <c r="E113" s="302">
        <v>48</v>
      </c>
      <c r="F113" s="304">
        <v>24.35</v>
      </c>
      <c r="G113" s="304">
        <v>28</v>
      </c>
      <c r="H113" s="305"/>
      <c r="I113" s="306">
        <v>1344</v>
      </c>
      <c r="J113" s="306">
        <v>0</v>
      </c>
      <c r="K113" s="306">
        <f t="shared" si="2"/>
        <v>1344</v>
      </c>
      <c r="L113" s="307">
        <f t="shared" si="3"/>
        <v>1168.8000000000002</v>
      </c>
    </row>
    <row r="114" spans="1:12">
      <c r="A114" s="301">
        <v>46190</v>
      </c>
      <c r="B114" s="302" t="s">
        <v>1331</v>
      </c>
      <c r="C114" s="302" t="s">
        <v>4637</v>
      </c>
      <c r="D114" s="303" t="s">
        <v>1332</v>
      </c>
      <c r="E114" s="302">
        <v>2</v>
      </c>
      <c r="F114" s="304"/>
      <c r="G114" s="304">
        <v>56.25</v>
      </c>
      <c r="H114" s="305"/>
      <c r="I114" s="306">
        <f>E114*G114</f>
        <v>112.5</v>
      </c>
      <c r="J114" s="306">
        <v>0</v>
      </c>
      <c r="K114" s="306">
        <f t="shared" si="2"/>
        <v>112.5</v>
      </c>
      <c r="L114" s="307">
        <f>E114*F114</f>
        <v>0</v>
      </c>
    </row>
    <row r="115" spans="1:12">
      <c r="A115" s="301">
        <v>46190</v>
      </c>
      <c r="B115" s="302" t="s">
        <v>1331</v>
      </c>
      <c r="C115" s="302" t="s">
        <v>4637</v>
      </c>
      <c r="D115" s="303" t="s">
        <v>1332</v>
      </c>
      <c r="E115" s="302">
        <v>4</v>
      </c>
      <c r="F115" s="304">
        <v>48.8</v>
      </c>
      <c r="G115" s="304">
        <v>56.25</v>
      </c>
      <c r="H115" s="305"/>
      <c r="I115" s="306">
        <f>E115*G115</f>
        <v>225</v>
      </c>
      <c r="J115" s="306">
        <v>0</v>
      </c>
      <c r="K115" s="306">
        <f t="shared" si="2"/>
        <v>225</v>
      </c>
      <c r="L115" s="307">
        <f t="shared" si="3"/>
        <v>195.2</v>
      </c>
    </row>
    <row r="116" spans="1:12">
      <c r="A116" s="301">
        <v>46190</v>
      </c>
      <c r="B116" s="302" t="s">
        <v>1333</v>
      </c>
      <c r="C116" s="302" t="s">
        <v>4637</v>
      </c>
      <c r="D116" s="303" t="s">
        <v>1334</v>
      </c>
      <c r="E116" s="302">
        <v>10</v>
      </c>
      <c r="F116" s="304">
        <v>94.58</v>
      </c>
      <c r="G116" s="304">
        <v>109</v>
      </c>
      <c r="H116" s="305"/>
      <c r="I116" s="306">
        <v>1090</v>
      </c>
      <c r="J116" s="306">
        <v>0</v>
      </c>
      <c r="K116" s="306">
        <f t="shared" si="2"/>
        <v>1090</v>
      </c>
      <c r="L116" s="307">
        <f t="shared" si="3"/>
        <v>945.8</v>
      </c>
    </row>
    <row r="117" spans="1:12">
      <c r="A117" s="301">
        <v>46190</v>
      </c>
      <c r="B117" s="302" t="s">
        <v>1327</v>
      </c>
      <c r="C117" s="302" t="s">
        <v>4637</v>
      </c>
      <c r="D117" s="303" t="s">
        <v>1328</v>
      </c>
      <c r="E117" s="302">
        <v>6</v>
      </c>
      <c r="F117" s="304">
        <v>96.67</v>
      </c>
      <c r="G117" s="304">
        <v>111.25</v>
      </c>
      <c r="H117" s="305"/>
      <c r="I117" s="306">
        <v>667.5</v>
      </c>
      <c r="J117" s="306">
        <v>0</v>
      </c>
      <c r="K117" s="306">
        <f t="shared" si="2"/>
        <v>667.5</v>
      </c>
      <c r="L117" s="307">
        <f t="shared" si="3"/>
        <v>580.02</v>
      </c>
    </row>
    <row r="118" spans="1:12">
      <c r="A118" s="301">
        <v>46190</v>
      </c>
      <c r="B118" s="302" t="s">
        <v>1538</v>
      </c>
      <c r="C118" s="302" t="s">
        <v>4637</v>
      </c>
      <c r="D118" s="303" t="s">
        <v>1539</v>
      </c>
      <c r="E118" s="302">
        <v>3</v>
      </c>
      <c r="F118" s="304">
        <v>21.5</v>
      </c>
      <c r="G118" s="304">
        <v>24.75</v>
      </c>
      <c r="H118" s="305"/>
      <c r="I118" s="306">
        <v>74.25</v>
      </c>
      <c r="J118" s="306">
        <v>0</v>
      </c>
      <c r="K118" s="306">
        <f t="shared" si="2"/>
        <v>74.25</v>
      </c>
      <c r="L118" s="307">
        <f t="shared" si="3"/>
        <v>64.5</v>
      </c>
    </row>
    <row r="119" spans="1:12">
      <c r="A119" s="301">
        <v>46190</v>
      </c>
      <c r="B119" s="302" t="s">
        <v>1550</v>
      </c>
      <c r="C119" s="302" t="s">
        <v>4637</v>
      </c>
      <c r="D119" s="303" t="s">
        <v>1551</v>
      </c>
      <c r="E119" s="302">
        <v>2</v>
      </c>
      <c r="F119" s="304">
        <v>21.5</v>
      </c>
      <c r="G119" s="304">
        <v>24.75</v>
      </c>
      <c r="H119" s="305"/>
      <c r="I119" s="306">
        <v>49.5</v>
      </c>
      <c r="J119" s="306">
        <v>0</v>
      </c>
      <c r="K119" s="306">
        <f t="shared" si="2"/>
        <v>49.5</v>
      </c>
      <c r="L119" s="307">
        <f t="shared" si="3"/>
        <v>43</v>
      </c>
    </row>
    <row r="120" spans="1:12">
      <c r="A120" s="301">
        <v>46190</v>
      </c>
      <c r="B120" s="302" t="s">
        <v>1534</v>
      </c>
      <c r="C120" s="302" t="s">
        <v>4637</v>
      </c>
      <c r="D120" s="303" t="s">
        <v>1535</v>
      </c>
      <c r="E120" s="302">
        <v>3</v>
      </c>
      <c r="F120" s="304">
        <v>21.5</v>
      </c>
      <c r="G120" s="304">
        <v>24.75</v>
      </c>
      <c r="H120" s="305"/>
      <c r="I120" s="306">
        <v>74.25</v>
      </c>
      <c r="J120" s="306">
        <v>0</v>
      </c>
      <c r="K120" s="306">
        <f t="shared" si="2"/>
        <v>74.25</v>
      </c>
      <c r="L120" s="307">
        <f t="shared" si="3"/>
        <v>64.5</v>
      </c>
    </row>
    <row r="121" spans="1:12">
      <c r="A121" s="301">
        <v>46190</v>
      </c>
      <c r="B121" s="302" t="s">
        <v>1547</v>
      </c>
      <c r="C121" s="302" t="s">
        <v>4637</v>
      </c>
      <c r="D121" s="303" t="s">
        <v>1548</v>
      </c>
      <c r="E121" s="302">
        <v>3</v>
      </c>
      <c r="F121" s="304">
        <v>21.5</v>
      </c>
      <c r="G121" s="304">
        <v>24.75</v>
      </c>
      <c r="H121" s="305"/>
      <c r="I121" s="306">
        <v>74.25</v>
      </c>
      <c r="J121" s="306">
        <v>0</v>
      </c>
      <c r="K121" s="306">
        <f t="shared" si="2"/>
        <v>74.25</v>
      </c>
      <c r="L121" s="307">
        <f t="shared" si="3"/>
        <v>64.5</v>
      </c>
    </row>
    <row r="122" spans="1:12">
      <c r="A122" s="301">
        <v>46190</v>
      </c>
      <c r="B122" s="302" t="s">
        <v>1585</v>
      </c>
      <c r="C122" s="302" t="s">
        <v>4637</v>
      </c>
      <c r="D122" s="303" t="s">
        <v>1586</v>
      </c>
      <c r="E122" s="302">
        <v>6</v>
      </c>
      <c r="F122" s="304">
        <v>23.32</v>
      </c>
      <c r="G122" s="304">
        <v>27</v>
      </c>
      <c r="H122" s="305"/>
      <c r="I122" s="306">
        <v>162</v>
      </c>
      <c r="J122" s="306">
        <v>0</v>
      </c>
      <c r="K122" s="306">
        <f t="shared" si="2"/>
        <v>162</v>
      </c>
      <c r="L122" s="307">
        <f t="shared" si="3"/>
        <v>139.92000000000002</v>
      </c>
    </row>
    <row r="123" spans="1:12">
      <c r="A123" s="301">
        <v>46190</v>
      </c>
      <c r="B123" s="302" t="s">
        <v>1587</v>
      </c>
      <c r="C123" s="302" t="s">
        <v>4637</v>
      </c>
      <c r="D123" s="303" t="s">
        <v>1588</v>
      </c>
      <c r="E123" s="302">
        <v>6</v>
      </c>
      <c r="F123" s="304">
        <v>20.55</v>
      </c>
      <c r="G123" s="304">
        <v>23.75</v>
      </c>
      <c r="H123" s="305"/>
      <c r="I123" s="306">
        <v>142.5</v>
      </c>
      <c r="J123" s="306">
        <v>0</v>
      </c>
      <c r="K123" s="306">
        <f t="shared" si="2"/>
        <v>142.5</v>
      </c>
      <c r="L123" s="307">
        <f t="shared" si="3"/>
        <v>123.30000000000001</v>
      </c>
    </row>
    <row r="124" spans="1:12">
      <c r="A124" s="301">
        <v>46190</v>
      </c>
      <c r="B124" s="302" t="s">
        <v>1599</v>
      </c>
      <c r="C124" s="302" t="s">
        <v>4637</v>
      </c>
      <c r="D124" s="303" t="s">
        <v>1600</v>
      </c>
      <c r="E124" s="302">
        <v>6</v>
      </c>
      <c r="F124" s="304">
        <v>21.17</v>
      </c>
      <c r="G124" s="304">
        <v>24.5</v>
      </c>
      <c r="H124" s="305"/>
      <c r="I124" s="306">
        <v>147</v>
      </c>
      <c r="J124" s="306">
        <v>0</v>
      </c>
      <c r="K124" s="306">
        <f t="shared" si="2"/>
        <v>147</v>
      </c>
      <c r="L124" s="307">
        <f t="shared" si="3"/>
        <v>127.02000000000001</v>
      </c>
    </row>
    <row r="125" spans="1:12">
      <c r="A125" s="301">
        <v>46190</v>
      </c>
      <c r="B125" s="302" t="s">
        <v>1597</v>
      </c>
      <c r="C125" s="302" t="s">
        <v>4637</v>
      </c>
      <c r="D125" s="303" t="s">
        <v>1598</v>
      </c>
      <c r="E125" s="302">
        <v>6</v>
      </c>
      <c r="F125" s="304">
        <v>21.17</v>
      </c>
      <c r="G125" s="304">
        <v>24.5</v>
      </c>
      <c r="H125" s="305"/>
      <c r="I125" s="306">
        <v>147</v>
      </c>
      <c r="J125" s="306">
        <v>0</v>
      </c>
      <c r="K125" s="306">
        <f t="shared" si="2"/>
        <v>147</v>
      </c>
      <c r="L125" s="307">
        <f t="shared" si="3"/>
        <v>127.02000000000001</v>
      </c>
    </row>
    <row r="126" spans="1:12">
      <c r="A126" s="301">
        <v>46190</v>
      </c>
      <c r="B126" s="302" t="s">
        <v>1581</v>
      </c>
      <c r="C126" s="302" t="s">
        <v>4637</v>
      </c>
      <c r="D126" s="303" t="s">
        <v>1582</v>
      </c>
      <c r="E126" s="302">
        <v>6</v>
      </c>
      <c r="F126" s="304">
        <v>20.55</v>
      </c>
      <c r="G126" s="304">
        <v>23.75</v>
      </c>
      <c r="H126" s="305"/>
      <c r="I126" s="306">
        <v>142.5</v>
      </c>
      <c r="J126" s="306">
        <v>0</v>
      </c>
      <c r="K126" s="306">
        <f t="shared" si="2"/>
        <v>142.5</v>
      </c>
      <c r="L126" s="307">
        <f t="shared" si="3"/>
        <v>123.30000000000001</v>
      </c>
    </row>
    <row r="127" spans="1:12">
      <c r="A127" s="301">
        <v>46190</v>
      </c>
      <c r="B127" s="302" t="s">
        <v>1838</v>
      </c>
      <c r="C127" s="302" t="s">
        <v>4637</v>
      </c>
      <c r="D127" s="303" t="s">
        <v>1839</v>
      </c>
      <c r="E127" s="302">
        <v>5</v>
      </c>
      <c r="F127" s="304">
        <v>61.5</v>
      </c>
      <c r="G127" s="304">
        <v>66.5</v>
      </c>
      <c r="H127" s="305"/>
      <c r="I127" s="306">
        <v>332.5</v>
      </c>
      <c r="J127" s="306">
        <v>0</v>
      </c>
      <c r="K127" s="306">
        <f t="shared" si="2"/>
        <v>332.5</v>
      </c>
      <c r="L127" s="307">
        <f t="shared" si="3"/>
        <v>307.5</v>
      </c>
    </row>
    <row r="128" spans="1:12">
      <c r="A128" s="301">
        <v>46190</v>
      </c>
      <c r="B128" s="302" t="s">
        <v>1840</v>
      </c>
      <c r="C128" s="302" t="s">
        <v>4637</v>
      </c>
      <c r="D128" s="303" t="s">
        <v>1841</v>
      </c>
      <c r="E128" s="302">
        <v>10</v>
      </c>
      <c r="F128" s="304">
        <v>29.95</v>
      </c>
      <c r="G128" s="304">
        <v>34.5</v>
      </c>
      <c r="H128" s="305"/>
      <c r="I128" s="306">
        <v>345</v>
      </c>
      <c r="J128" s="306">
        <v>0</v>
      </c>
      <c r="K128" s="306">
        <f t="shared" si="2"/>
        <v>345</v>
      </c>
      <c r="L128" s="307">
        <f t="shared" si="3"/>
        <v>299.5</v>
      </c>
    </row>
    <row r="129" spans="1:12">
      <c r="A129" s="301">
        <v>46190</v>
      </c>
      <c r="B129" s="302" t="s">
        <v>1817</v>
      </c>
      <c r="C129" s="302" t="s">
        <v>4637</v>
      </c>
      <c r="D129" s="303" t="s">
        <v>1818</v>
      </c>
      <c r="E129" s="302">
        <v>6</v>
      </c>
      <c r="F129" s="304">
        <v>60.45</v>
      </c>
      <c r="G129" s="304">
        <v>69.75</v>
      </c>
      <c r="H129" s="305"/>
      <c r="I129" s="306">
        <v>418.5</v>
      </c>
      <c r="J129" s="306">
        <v>0</v>
      </c>
      <c r="K129" s="306">
        <f t="shared" si="2"/>
        <v>418.5</v>
      </c>
      <c r="L129" s="307">
        <f t="shared" si="3"/>
        <v>362.70000000000005</v>
      </c>
    </row>
    <row r="130" spans="1:12">
      <c r="A130" s="301">
        <v>46190</v>
      </c>
      <c r="B130" s="302" t="s">
        <v>1829</v>
      </c>
      <c r="C130" s="302" t="s">
        <v>4637</v>
      </c>
      <c r="D130" s="303" t="s">
        <v>1830</v>
      </c>
      <c r="E130" s="302">
        <v>4</v>
      </c>
      <c r="F130" s="304">
        <v>58.57</v>
      </c>
      <c r="G130" s="304">
        <v>67.5</v>
      </c>
      <c r="H130" s="305"/>
      <c r="I130" s="306">
        <v>270</v>
      </c>
      <c r="J130" s="306">
        <v>0</v>
      </c>
      <c r="K130" s="306">
        <f t="shared" ref="K130:K155" si="4">H130+I130-J130</f>
        <v>270</v>
      </c>
      <c r="L130" s="307">
        <f t="shared" ref="L130:L155" si="5">E130*F130</f>
        <v>234.28</v>
      </c>
    </row>
    <row r="131" spans="1:12">
      <c r="A131" s="301">
        <v>46190</v>
      </c>
      <c r="B131" s="302" t="s">
        <v>2003</v>
      </c>
      <c r="C131" s="302" t="s">
        <v>4637</v>
      </c>
      <c r="D131" s="303" t="s">
        <v>2004</v>
      </c>
      <c r="E131" s="302">
        <v>6</v>
      </c>
      <c r="F131" s="304">
        <v>35.39</v>
      </c>
      <c r="G131" s="304">
        <v>40.75</v>
      </c>
      <c r="H131" s="305"/>
      <c r="I131" s="306">
        <v>244.5</v>
      </c>
      <c r="J131" s="306">
        <v>0</v>
      </c>
      <c r="K131" s="306">
        <f t="shared" si="4"/>
        <v>244.5</v>
      </c>
      <c r="L131" s="307">
        <f t="shared" si="5"/>
        <v>212.34</v>
      </c>
    </row>
    <row r="132" spans="1:12">
      <c r="A132" s="301">
        <v>46190</v>
      </c>
      <c r="B132" s="302" t="s">
        <v>1898</v>
      </c>
      <c r="C132" s="302" t="s">
        <v>4637</v>
      </c>
      <c r="D132" s="303" t="s">
        <v>1899</v>
      </c>
      <c r="E132" s="302">
        <v>4</v>
      </c>
      <c r="F132" s="304">
        <v>23.92</v>
      </c>
      <c r="G132" s="304">
        <v>27.75</v>
      </c>
      <c r="H132" s="305"/>
      <c r="I132" s="306">
        <v>111</v>
      </c>
      <c r="J132" s="306">
        <v>0</v>
      </c>
      <c r="K132" s="306">
        <f t="shared" si="4"/>
        <v>111</v>
      </c>
      <c r="L132" s="307">
        <f t="shared" si="5"/>
        <v>95.68</v>
      </c>
    </row>
    <row r="133" spans="1:12">
      <c r="A133" s="301">
        <v>46190</v>
      </c>
      <c r="B133" s="302" t="s">
        <v>1902</v>
      </c>
      <c r="C133" s="302" t="s">
        <v>4637</v>
      </c>
      <c r="D133" s="303" t="s">
        <v>1903</v>
      </c>
      <c r="E133" s="302">
        <v>5</v>
      </c>
      <c r="F133" s="304">
        <v>60.9</v>
      </c>
      <c r="G133" s="304">
        <v>70.25</v>
      </c>
      <c r="H133" s="305"/>
      <c r="I133" s="306">
        <v>351.25</v>
      </c>
      <c r="J133" s="306">
        <v>0</v>
      </c>
      <c r="K133" s="306">
        <f t="shared" si="4"/>
        <v>351.25</v>
      </c>
      <c r="L133" s="307">
        <f t="shared" si="5"/>
        <v>304.5</v>
      </c>
    </row>
    <row r="134" spans="1:12">
      <c r="A134" s="301">
        <v>46190</v>
      </c>
      <c r="B134" s="302" t="s">
        <v>2055</v>
      </c>
      <c r="C134" s="302" t="s">
        <v>4637</v>
      </c>
      <c r="D134" s="303" t="s">
        <v>2056</v>
      </c>
      <c r="E134" s="302">
        <v>24</v>
      </c>
      <c r="F134" s="304">
        <v>5.61</v>
      </c>
      <c r="G134" s="304">
        <v>6.5</v>
      </c>
      <c r="H134" s="305"/>
      <c r="I134" s="306">
        <v>156</v>
      </c>
      <c r="J134" s="306">
        <v>0</v>
      </c>
      <c r="K134" s="306">
        <f t="shared" si="4"/>
        <v>156</v>
      </c>
      <c r="L134" s="307">
        <f t="shared" si="5"/>
        <v>134.64000000000001</v>
      </c>
    </row>
    <row r="135" spans="1:12">
      <c r="A135" s="301">
        <v>46190</v>
      </c>
      <c r="B135" s="302" t="s">
        <v>1507</v>
      </c>
      <c r="C135" s="302" t="s">
        <v>4637</v>
      </c>
      <c r="D135" s="303" t="s">
        <v>1508</v>
      </c>
      <c r="E135" s="302">
        <v>3</v>
      </c>
      <c r="F135" s="304">
        <v>129.1</v>
      </c>
      <c r="G135" s="304">
        <v>148.5</v>
      </c>
      <c r="H135" s="305"/>
      <c r="I135" s="306">
        <v>445.5</v>
      </c>
      <c r="J135" s="306">
        <v>0</v>
      </c>
      <c r="K135" s="306">
        <f t="shared" si="4"/>
        <v>445.5</v>
      </c>
      <c r="L135" s="307">
        <f t="shared" si="5"/>
        <v>387.29999999999995</v>
      </c>
    </row>
    <row r="136" spans="1:12">
      <c r="A136" s="301">
        <v>46190</v>
      </c>
      <c r="B136" s="302" t="s">
        <v>1999</v>
      </c>
      <c r="C136" s="302" t="s">
        <v>4637</v>
      </c>
      <c r="D136" s="303" t="s">
        <v>2000</v>
      </c>
      <c r="E136" s="302">
        <v>3</v>
      </c>
      <c r="F136" s="304">
        <v>34.880000000000003</v>
      </c>
      <c r="G136" s="304">
        <v>40.25</v>
      </c>
      <c r="H136" s="305"/>
      <c r="I136" s="306">
        <v>120.75</v>
      </c>
      <c r="J136" s="306">
        <v>0</v>
      </c>
      <c r="K136" s="306">
        <f t="shared" si="4"/>
        <v>120.75</v>
      </c>
      <c r="L136" s="307">
        <f t="shared" si="5"/>
        <v>104.64000000000001</v>
      </c>
    </row>
    <row r="137" spans="1:12">
      <c r="A137" s="301">
        <v>46190</v>
      </c>
      <c r="B137" s="302" t="s">
        <v>1930</v>
      </c>
      <c r="C137" s="302" t="s">
        <v>4637</v>
      </c>
      <c r="D137" s="303" t="s">
        <v>1931</v>
      </c>
      <c r="E137" s="302">
        <v>5</v>
      </c>
      <c r="F137" s="304">
        <v>32.86</v>
      </c>
      <c r="G137" s="304">
        <v>38</v>
      </c>
      <c r="H137" s="305"/>
      <c r="I137" s="306">
        <v>190</v>
      </c>
      <c r="J137" s="306">
        <v>0</v>
      </c>
      <c r="K137" s="306">
        <f t="shared" si="4"/>
        <v>190</v>
      </c>
      <c r="L137" s="307">
        <f t="shared" si="5"/>
        <v>164.3</v>
      </c>
    </row>
    <row r="138" spans="1:12">
      <c r="A138" s="301">
        <v>46190</v>
      </c>
      <c r="B138" s="302" t="s">
        <v>1932</v>
      </c>
      <c r="C138" s="302" t="s">
        <v>4637</v>
      </c>
      <c r="D138" s="303" t="s">
        <v>1933</v>
      </c>
      <c r="E138" s="302">
        <v>6</v>
      </c>
      <c r="F138" s="304">
        <v>65.95</v>
      </c>
      <c r="G138" s="304">
        <v>76</v>
      </c>
      <c r="H138" s="305"/>
      <c r="I138" s="306">
        <v>456</v>
      </c>
      <c r="J138" s="306">
        <v>0</v>
      </c>
      <c r="K138" s="306">
        <f t="shared" si="4"/>
        <v>456</v>
      </c>
      <c r="L138" s="307">
        <f t="shared" si="5"/>
        <v>395.70000000000005</v>
      </c>
    </row>
    <row r="139" spans="1:12">
      <c r="A139" s="301">
        <v>46190</v>
      </c>
      <c r="B139" s="302" t="s">
        <v>1689</v>
      </c>
      <c r="C139" s="302" t="s">
        <v>4637</v>
      </c>
      <c r="D139" s="303" t="s">
        <v>1690</v>
      </c>
      <c r="E139" s="302">
        <v>2</v>
      </c>
      <c r="F139" s="304">
        <v>29.25</v>
      </c>
      <c r="G139" s="304">
        <v>33.75</v>
      </c>
      <c r="H139" s="305"/>
      <c r="I139" s="306">
        <v>67.5</v>
      </c>
      <c r="J139" s="306">
        <v>0</v>
      </c>
      <c r="K139" s="306">
        <f t="shared" si="4"/>
        <v>67.5</v>
      </c>
      <c r="L139" s="307">
        <f t="shared" si="5"/>
        <v>58.5</v>
      </c>
    </row>
    <row r="140" spans="1:12">
      <c r="A140" s="301">
        <v>46190</v>
      </c>
      <c r="B140" s="302" t="s">
        <v>2108</v>
      </c>
      <c r="C140" s="302" t="s">
        <v>4637</v>
      </c>
      <c r="D140" s="303" t="s">
        <v>2109</v>
      </c>
      <c r="E140" s="302">
        <v>4</v>
      </c>
      <c r="F140" s="304">
        <v>26</v>
      </c>
      <c r="G140" s="304">
        <v>30.5</v>
      </c>
      <c r="H140" s="305"/>
      <c r="I140" s="306">
        <v>122</v>
      </c>
      <c r="J140" s="306">
        <v>0</v>
      </c>
      <c r="K140" s="306">
        <f t="shared" si="4"/>
        <v>122</v>
      </c>
      <c r="L140" s="307">
        <f t="shared" si="5"/>
        <v>104</v>
      </c>
    </row>
    <row r="141" spans="1:12">
      <c r="A141" s="301">
        <v>46190</v>
      </c>
      <c r="B141" s="302" t="s">
        <v>1691</v>
      </c>
      <c r="C141" s="302" t="s">
        <v>4637</v>
      </c>
      <c r="D141" s="303" t="s">
        <v>1692</v>
      </c>
      <c r="E141" s="302">
        <v>15</v>
      </c>
      <c r="F141" s="304">
        <v>20.75</v>
      </c>
      <c r="G141" s="304">
        <v>24.25</v>
      </c>
      <c r="H141" s="305"/>
      <c r="I141" s="306">
        <v>363.75</v>
      </c>
      <c r="J141" s="306">
        <v>0</v>
      </c>
      <c r="K141" s="306">
        <f t="shared" si="4"/>
        <v>363.75</v>
      </c>
      <c r="L141" s="307">
        <f t="shared" si="5"/>
        <v>311.25</v>
      </c>
    </row>
    <row r="142" spans="1:12">
      <c r="A142" s="301">
        <v>46190</v>
      </c>
      <c r="B142" s="302" t="s">
        <v>1866</v>
      </c>
      <c r="C142" s="302" t="s">
        <v>4637</v>
      </c>
      <c r="D142" s="303" t="s">
        <v>1867</v>
      </c>
      <c r="E142" s="302">
        <v>3</v>
      </c>
      <c r="F142" s="304">
        <v>39.5</v>
      </c>
      <c r="G142" s="304">
        <v>45.5</v>
      </c>
      <c r="H142" s="305"/>
      <c r="I142" s="306">
        <v>136.5</v>
      </c>
      <c r="J142" s="306">
        <v>0</v>
      </c>
      <c r="K142" s="306">
        <f t="shared" si="4"/>
        <v>136.5</v>
      </c>
      <c r="L142" s="307">
        <f t="shared" si="5"/>
        <v>118.5</v>
      </c>
    </row>
    <row r="143" spans="1:12">
      <c r="A143" s="301">
        <v>46190</v>
      </c>
      <c r="B143" s="302" t="s">
        <v>1868</v>
      </c>
      <c r="C143" s="302" t="s">
        <v>4637</v>
      </c>
      <c r="D143" s="303" t="s">
        <v>1869</v>
      </c>
      <c r="E143" s="302">
        <v>4</v>
      </c>
      <c r="F143" s="304">
        <v>38.75</v>
      </c>
      <c r="G143" s="304">
        <v>44.75</v>
      </c>
      <c r="H143" s="305"/>
      <c r="I143" s="306">
        <v>179</v>
      </c>
      <c r="J143" s="306">
        <v>0</v>
      </c>
      <c r="K143" s="306">
        <f t="shared" si="4"/>
        <v>179</v>
      </c>
      <c r="L143" s="307">
        <f t="shared" si="5"/>
        <v>155</v>
      </c>
    </row>
    <row r="144" spans="1:12">
      <c r="A144" s="301">
        <v>46190</v>
      </c>
      <c r="B144" s="302" t="s">
        <v>1872</v>
      </c>
      <c r="C144" s="302" t="s">
        <v>4637</v>
      </c>
      <c r="D144" s="303" t="s">
        <v>1873</v>
      </c>
      <c r="E144" s="302">
        <v>3</v>
      </c>
      <c r="F144" s="304">
        <v>51.5</v>
      </c>
      <c r="G144" s="304">
        <v>59.25</v>
      </c>
      <c r="H144" s="305"/>
      <c r="I144" s="306">
        <v>177.75</v>
      </c>
      <c r="J144" s="306">
        <v>0</v>
      </c>
      <c r="K144" s="306">
        <f t="shared" si="4"/>
        <v>177.75</v>
      </c>
      <c r="L144" s="307">
        <f t="shared" si="5"/>
        <v>154.5</v>
      </c>
    </row>
    <row r="145" spans="1:12">
      <c r="A145" s="301">
        <v>46190</v>
      </c>
      <c r="B145" s="302" t="s">
        <v>1934</v>
      </c>
      <c r="C145" s="302" t="s">
        <v>4637</v>
      </c>
      <c r="D145" s="303" t="s">
        <v>1935</v>
      </c>
      <c r="E145" s="302">
        <v>15</v>
      </c>
      <c r="F145" s="304">
        <v>13.56</v>
      </c>
      <c r="G145" s="304">
        <v>15.75</v>
      </c>
      <c r="H145" s="305"/>
      <c r="I145" s="306">
        <v>236.25</v>
      </c>
      <c r="J145" s="306">
        <v>0</v>
      </c>
      <c r="K145" s="306">
        <f t="shared" si="4"/>
        <v>236.25</v>
      </c>
      <c r="L145" s="307">
        <f t="shared" si="5"/>
        <v>203.4</v>
      </c>
    </row>
    <row r="146" spans="1:12">
      <c r="A146" s="301">
        <v>46190</v>
      </c>
      <c r="B146" s="302" t="s">
        <v>1942</v>
      </c>
      <c r="C146" s="302" t="s">
        <v>4637</v>
      </c>
      <c r="D146" s="303" t="s">
        <v>1943</v>
      </c>
      <c r="E146" s="302">
        <v>5</v>
      </c>
      <c r="F146" s="304">
        <v>10</v>
      </c>
      <c r="G146" s="304">
        <v>12.5</v>
      </c>
      <c r="H146" s="305"/>
      <c r="I146" s="306">
        <v>62.5</v>
      </c>
      <c r="J146" s="306">
        <v>0</v>
      </c>
      <c r="K146" s="306">
        <f t="shared" si="4"/>
        <v>62.5</v>
      </c>
      <c r="L146" s="307">
        <f t="shared" si="5"/>
        <v>50</v>
      </c>
    </row>
    <row r="147" spans="1:12">
      <c r="A147" s="301">
        <v>46190</v>
      </c>
      <c r="B147" s="302" t="s">
        <v>1497</v>
      </c>
      <c r="C147" s="302" t="s">
        <v>4637</v>
      </c>
      <c r="D147" s="303" t="s">
        <v>1498</v>
      </c>
      <c r="E147" s="302">
        <v>4</v>
      </c>
      <c r="F147" s="304">
        <v>48.6</v>
      </c>
      <c r="G147" s="304">
        <v>56</v>
      </c>
      <c r="H147" s="305"/>
      <c r="I147" s="306">
        <v>224</v>
      </c>
      <c r="J147" s="306">
        <v>0</v>
      </c>
      <c r="K147" s="306">
        <f t="shared" si="4"/>
        <v>224</v>
      </c>
      <c r="L147" s="307">
        <f t="shared" si="5"/>
        <v>194.4</v>
      </c>
    </row>
    <row r="148" spans="1:12">
      <c r="A148" s="301">
        <v>46190</v>
      </c>
      <c r="B148" s="302" t="s">
        <v>1811</v>
      </c>
      <c r="C148" s="302" t="s">
        <v>4637</v>
      </c>
      <c r="D148" s="303" t="s">
        <v>1812</v>
      </c>
      <c r="E148" s="302">
        <v>20</v>
      </c>
      <c r="F148" s="304">
        <v>24.24</v>
      </c>
      <c r="G148" s="304">
        <v>29.25</v>
      </c>
      <c r="H148" s="305"/>
      <c r="I148" s="306">
        <v>585</v>
      </c>
      <c r="J148" s="306">
        <v>0</v>
      </c>
      <c r="K148" s="306">
        <f t="shared" si="4"/>
        <v>585</v>
      </c>
      <c r="L148" s="307">
        <f t="shared" si="5"/>
        <v>484.79999999999995</v>
      </c>
    </row>
    <row r="149" spans="1:12">
      <c r="A149" s="301">
        <v>46190</v>
      </c>
      <c r="B149" s="302" t="s">
        <v>2447</v>
      </c>
      <c r="C149" s="302" t="s">
        <v>4637</v>
      </c>
      <c r="D149" s="303" t="s">
        <v>2448</v>
      </c>
      <c r="E149" s="302">
        <v>5</v>
      </c>
      <c r="F149" s="304">
        <v>70.7</v>
      </c>
      <c r="G149" s="304">
        <v>81.5</v>
      </c>
      <c r="H149" s="305"/>
      <c r="I149" s="306">
        <v>407.5</v>
      </c>
      <c r="J149" s="306">
        <v>0</v>
      </c>
      <c r="K149" s="306">
        <f t="shared" si="4"/>
        <v>407.5</v>
      </c>
      <c r="L149" s="307">
        <f t="shared" si="5"/>
        <v>353.5</v>
      </c>
    </row>
    <row r="150" spans="1:12">
      <c r="A150" s="301">
        <v>46190</v>
      </c>
      <c r="B150" s="302" t="s">
        <v>2732</v>
      </c>
      <c r="C150" s="302" t="s">
        <v>4637</v>
      </c>
      <c r="D150" s="303" t="s">
        <v>2733</v>
      </c>
      <c r="E150" s="302">
        <v>6</v>
      </c>
      <c r="F150" s="304">
        <v>45</v>
      </c>
      <c r="G150" s="304">
        <v>51.75</v>
      </c>
      <c r="H150" s="305"/>
      <c r="I150" s="306">
        <v>310.5</v>
      </c>
      <c r="J150" s="306">
        <v>0</v>
      </c>
      <c r="K150" s="306">
        <f t="shared" si="4"/>
        <v>310.5</v>
      </c>
      <c r="L150" s="307">
        <f t="shared" si="5"/>
        <v>270</v>
      </c>
    </row>
    <row r="151" spans="1:12">
      <c r="A151" s="301">
        <v>46190</v>
      </c>
      <c r="B151" s="302" t="s">
        <v>2443</v>
      </c>
      <c r="C151" s="302" t="s">
        <v>4637</v>
      </c>
      <c r="D151" s="303" t="s">
        <v>2444</v>
      </c>
      <c r="E151" s="302">
        <v>5</v>
      </c>
      <c r="F151" s="304">
        <v>27.9</v>
      </c>
      <c r="G151" s="304">
        <v>32.25</v>
      </c>
      <c r="H151" s="305"/>
      <c r="I151" s="306">
        <v>161.25</v>
      </c>
      <c r="J151" s="306">
        <v>0</v>
      </c>
      <c r="K151" s="306">
        <f t="shared" si="4"/>
        <v>161.25</v>
      </c>
      <c r="L151" s="307">
        <f t="shared" si="5"/>
        <v>139.5</v>
      </c>
    </row>
    <row r="152" spans="1:12">
      <c r="A152" s="301">
        <v>46190</v>
      </c>
      <c r="B152" s="302" t="s">
        <v>1701</v>
      </c>
      <c r="C152" s="302" t="s">
        <v>4637</v>
      </c>
      <c r="D152" s="303" t="s">
        <v>1702</v>
      </c>
      <c r="E152" s="302">
        <v>15</v>
      </c>
      <c r="F152" s="304">
        <v>35.43</v>
      </c>
      <c r="G152" s="304">
        <v>42.75</v>
      </c>
      <c r="H152" s="305"/>
      <c r="I152" s="306">
        <v>641.25</v>
      </c>
      <c r="J152" s="306">
        <v>0</v>
      </c>
      <c r="K152" s="306">
        <f t="shared" si="4"/>
        <v>641.25</v>
      </c>
      <c r="L152" s="307">
        <f t="shared" si="5"/>
        <v>531.45000000000005</v>
      </c>
    </row>
    <row r="153" spans="1:12">
      <c r="A153" s="301">
        <v>46190</v>
      </c>
      <c r="B153" s="302" t="s">
        <v>1127</v>
      </c>
      <c r="C153" s="302" t="s">
        <v>4637</v>
      </c>
      <c r="D153" s="303" t="s">
        <v>1128</v>
      </c>
      <c r="E153" s="302">
        <v>20</v>
      </c>
      <c r="F153" s="304">
        <v>7.28</v>
      </c>
      <c r="G153" s="304">
        <v>8.5</v>
      </c>
      <c r="H153" s="305"/>
      <c r="I153" s="306">
        <v>170</v>
      </c>
      <c r="J153" s="306">
        <v>0</v>
      </c>
      <c r="K153" s="306">
        <f t="shared" si="4"/>
        <v>170</v>
      </c>
      <c r="L153" s="307">
        <f t="shared" si="5"/>
        <v>145.6</v>
      </c>
    </row>
    <row r="154" spans="1:12">
      <c r="A154" s="301">
        <v>46190</v>
      </c>
      <c r="B154" s="302" t="s">
        <v>1787</v>
      </c>
      <c r="C154" s="302" t="s">
        <v>4637</v>
      </c>
      <c r="D154" s="303" t="s">
        <v>1788</v>
      </c>
      <c r="E154" s="302">
        <v>5</v>
      </c>
      <c r="F154" s="304">
        <v>35.549999999999997</v>
      </c>
      <c r="G154" s="304">
        <v>41</v>
      </c>
      <c r="H154" s="305"/>
      <c r="I154" s="306">
        <v>205</v>
      </c>
      <c r="J154" s="306">
        <v>0</v>
      </c>
      <c r="K154" s="306">
        <f t="shared" si="4"/>
        <v>205</v>
      </c>
      <c r="L154" s="307">
        <f t="shared" si="5"/>
        <v>177.75</v>
      </c>
    </row>
    <row r="155" spans="1:12">
      <c r="A155" s="301">
        <v>46190</v>
      </c>
      <c r="B155" s="302" t="s">
        <v>1801</v>
      </c>
      <c r="C155" s="302" t="s">
        <v>4637</v>
      </c>
      <c r="D155" s="303" t="s">
        <v>1802</v>
      </c>
      <c r="E155" s="302">
        <v>6</v>
      </c>
      <c r="F155" s="304">
        <v>32.18</v>
      </c>
      <c r="G155" s="304">
        <v>41</v>
      </c>
      <c r="H155" s="305"/>
      <c r="I155" s="306">
        <v>246</v>
      </c>
      <c r="J155" s="306">
        <v>4362.01</v>
      </c>
      <c r="K155" s="306">
        <f t="shared" si="4"/>
        <v>-4116.01</v>
      </c>
      <c r="L155" s="307">
        <f t="shared" si="5"/>
        <v>193.07999999999998</v>
      </c>
    </row>
  </sheetData>
  <autoFilter ref="A1:L155" xr:uid="{52CBEF64-F895-4B25-B301-5CF3EBBED73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642-28F3-4BCD-A3CB-04070708321C}">
  <sheetPr>
    <tabColor rgb="FF92D050"/>
  </sheetPr>
  <dimension ref="A1:J178"/>
  <sheetViews>
    <sheetView topLeftCell="A139" zoomScale="80" workbookViewId="0">
      <selection activeCell="F133" sqref="F133"/>
    </sheetView>
  </sheetViews>
  <sheetFormatPr defaultRowHeight="15"/>
  <cols>
    <col min="1" max="1" width="10.7109375" customWidth="1"/>
    <col min="2" max="2" width="39.85546875" customWidth="1"/>
    <col min="3" max="3" width="17.140625" customWidth="1"/>
    <col min="4" max="4" width="10.7109375" style="4" hidden="1" customWidth="1"/>
    <col min="5" max="5" width="38.42578125" style="181" customWidth="1"/>
    <col min="6" max="6" width="10.7109375" style="4" customWidth="1"/>
    <col min="7" max="8" width="10.7109375" customWidth="1"/>
    <col min="9" max="9" width="11.5703125" customWidth="1"/>
    <col min="10" max="10" width="18.28515625" style="181" customWidth="1"/>
  </cols>
  <sheetData>
    <row r="1" spans="1:9">
      <c r="A1" s="354" t="s">
        <v>4954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5" t="str">
        <f>PRINTING!B2</f>
        <v>AS OF JUNE 2026</v>
      </c>
      <c r="B2" s="355"/>
      <c r="C2" s="355"/>
      <c r="D2" s="355"/>
      <c r="E2" s="355"/>
      <c r="F2" s="355"/>
      <c r="G2" s="355"/>
      <c r="H2" s="355"/>
      <c r="I2" s="355"/>
    </row>
    <row r="3" spans="1:9">
      <c r="A3" s="248" t="s">
        <v>4140</v>
      </c>
      <c r="B3" s="249" t="s">
        <v>13</v>
      </c>
      <c r="C3" s="258" t="s">
        <v>3</v>
      </c>
      <c r="D3" s="249" t="s">
        <v>4955</v>
      </c>
      <c r="E3" s="249" t="s">
        <v>4241</v>
      </c>
      <c r="F3" s="246" t="s">
        <v>4956</v>
      </c>
      <c r="G3" s="245" t="s">
        <v>4168</v>
      </c>
      <c r="H3" s="245" t="s">
        <v>4957</v>
      </c>
      <c r="I3" s="245" t="s">
        <v>4958</v>
      </c>
    </row>
    <row r="4" spans="1:9" ht="15.75" customHeight="1">
      <c r="A4" s="250">
        <v>46182</v>
      </c>
      <c r="B4" s="242" t="s">
        <v>4959</v>
      </c>
      <c r="C4" s="259" t="s">
        <v>2817</v>
      </c>
      <c r="D4" s="243">
        <v>2002</v>
      </c>
      <c r="E4" s="251" t="s">
        <v>2818</v>
      </c>
      <c r="F4" s="243">
        <v>8</v>
      </c>
      <c r="G4" s="242" t="s">
        <v>4144</v>
      </c>
      <c r="H4" s="244">
        <v>360.65</v>
      </c>
      <c r="I4" s="244">
        <f>F4*H4</f>
        <v>2885.2</v>
      </c>
    </row>
    <row r="5" spans="1:9" ht="15.75" customHeight="1">
      <c r="A5" s="241">
        <v>46182</v>
      </c>
      <c r="B5" s="242" t="s">
        <v>4959</v>
      </c>
      <c r="C5" s="259" t="s">
        <v>2821</v>
      </c>
      <c r="D5" s="243">
        <v>2002</v>
      </c>
      <c r="E5" s="251" t="s">
        <v>4960</v>
      </c>
      <c r="F5" s="243">
        <v>8</v>
      </c>
      <c r="G5" s="242" t="s">
        <v>4144</v>
      </c>
      <c r="H5" s="244">
        <v>333.8</v>
      </c>
      <c r="I5" s="244">
        <f t="shared" ref="I5:I68" si="0">F5*H5</f>
        <v>2670.4</v>
      </c>
    </row>
    <row r="6" spans="1:9" ht="15.75" customHeight="1">
      <c r="A6" s="241">
        <v>46182</v>
      </c>
      <c r="B6" s="242" t="s">
        <v>4959</v>
      </c>
      <c r="C6" s="259" t="s">
        <v>2368</v>
      </c>
      <c r="D6" s="243">
        <v>2002</v>
      </c>
      <c r="E6" s="251" t="s">
        <v>2369</v>
      </c>
      <c r="F6" s="243">
        <v>36</v>
      </c>
      <c r="G6" s="242" t="s">
        <v>4144</v>
      </c>
      <c r="H6" s="244">
        <v>10.95</v>
      </c>
      <c r="I6" s="244">
        <f t="shared" si="0"/>
        <v>394.2</v>
      </c>
    </row>
    <row r="7" spans="1:9" ht="15.75" customHeight="1">
      <c r="A7" s="241">
        <v>46182</v>
      </c>
      <c r="B7" s="242" t="s">
        <v>4959</v>
      </c>
      <c r="C7" s="259" t="s">
        <v>1752</v>
      </c>
      <c r="D7" s="243">
        <v>2002</v>
      </c>
      <c r="E7" s="251" t="s">
        <v>1753</v>
      </c>
      <c r="F7" s="243">
        <v>16</v>
      </c>
      <c r="G7" s="242" t="s">
        <v>4144</v>
      </c>
      <c r="H7" s="244">
        <v>132.80000000000001</v>
      </c>
      <c r="I7" s="244">
        <f t="shared" si="0"/>
        <v>2124.8000000000002</v>
      </c>
    </row>
    <row r="8" spans="1:9">
      <c r="A8" s="241">
        <v>46182</v>
      </c>
      <c r="B8" s="242" t="s">
        <v>4148</v>
      </c>
      <c r="C8" s="259" t="s">
        <v>4063</v>
      </c>
      <c r="D8" s="243">
        <v>2003</v>
      </c>
      <c r="E8" s="251" t="s">
        <v>4064</v>
      </c>
      <c r="F8" s="243">
        <v>1</v>
      </c>
      <c r="G8" s="242" t="s">
        <v>4144</v>
      </c>
      <c r="H8" s="244">
        <v>723.8</v>
      </c>
      <c r="I8" s="244">
        <f t="shared" si="0"/>
        <v>723.8</v>
      </c>
    </row>
    <row r="9" spans="1:9">
      <c r="A9" s="241">
        <v>46182</v>
      </c>
      <c r="B9" s="242" t="s">
        <v>4148</v>
      </c>
      <c r="C9" s="259" t="s">
        <v>793</v>
      </c>
      <c r="D9" s="243">
        <v>2003</v>
      </c>
      <c r="E9" s="251" t="s">
        <v>794</v>
      </c>
      <c r="F9" s="243">
        <v>7</v>
      </c>
      <c r="G9" s="242" t="s">
        <v>4144</v>
      </c>
      <c r="H9" s="244">
        <v>59.5</v>
      </c>
      <c r="I9" s="244">
        <f t="shared" si="0"/>
        <v>416.5</v>
      </c>
    </row>
    <row r="10" spans="1:9">
      <c r="A10" s="241">
        <v>46182</v>
      </c>
      <c r="B10" s="242" t="s">
        <v>4148</v>
      </c>
      <c r="C10" s="259" t="s">
        <v>1013</v>
      </c>
      <c r="D10" s="243">
        <v>2003</v>
      </c>
      <c r="E10" s="251" t="s">
        <v>1014</v>
      </c>
      <c r="F10" s="243">
        <v>6</v>
      </c>
      <c r="G10" s="242" t="s">
        <v>4144</v>
      </c>
      <c r="H10" s="244">
        <v>58.8</v>
      </c>
      <c r="I10" s="244">
        <f t="shared" si="0"/>
        <v>352.79999999999995</v>
      </c>
    </row>
    <row r="11" spans="1:9">
      <c r="A11" s="241">
        <v>46182</v>
      </c>
      <c r="B11" s="242" t="s">
        <v>4148</v>
      </c>
      <c r="C11" s="259" t="s">
        <v>3988</v>
      </c>
      <c r="D11" s="243">
        <v>2003</v>
      </c>
      <c r="E11" s="251" t="s">
        <v>4188</v>
      </c>
      <c r="F11" s="243">
        <v>3</v>
      </c>
      <c r="G11" s="242" t="s">
        <v>4144</v>
      </c>
      <c r="H11" s="244">
        <v>81.5</v>
      </c>
      <c r="I11" s="244">
        <f t="shared" si="0"/>
        <v>244.5</v>
      </c>
    </row>
    <row r="12" spans="1:9">
      <c r="A12" s="241">
        <v>46182</v>
      </c>
      <c r="B12" s="242" t="s">
        <v>4148</v>
      </c>
      <c r="C12" s="259" t="s">
        <v>1102</v>
      </c>
      <c r="D12" s="243">
        <v>2003</v>
      </c>
      <c r="E12" s="251" t="s">
        <v>1103</v>
      </c>
      <c r="F12" s="243">
        <v>6</v>
      </c>
      <c r="G12" s="242" t="s">
        <v>4144</v>
      </c>
      <c r="H12" s="244">
        <v>58.95</v>
      </c>
      <c r="I12" s="244">
        <f t="shared" si="0"/>
        <v>353.70000000000005</v>
      </c>
    </row>
    <row r="13" spans="1:9">
      <c r="A13" s="241">
        <v>46182</v>
      </c>
      <c r="B13" s="242" t="s">
        <v>4148</v>
      </c>
      <c r="C13" s="259" t="s">
        <v>996</v>
      </c>
      <c r="D13" s="243">
        <v>2003</v>
      </c>
      <c r="E13" s="251" t="s">
        <v>997</v>
      </c>
      <c r="F13" s="243">
        <v>3</v>
      </c>
      <c r="G13" s="242" t="s">
        <v>4144</v>
      </c>
      <c r="H13" s="244">
        <v>177.9</v>
      </c>
      <c r="I13" s="244">
        <f t="shared" si="0"/>
        <v>533.70000000000005</v>
      </c>
    </row>
    <row r="14" spans="1:9">
      <c r="A14" s="241">
        <v>46183</v>
      </c>
      <c r="B14" s="242" t="s">
        <v>4156</v>
      </c>
      <c r="C14" s="259" t="s">
        <v>1491</v>
      </c>
      <c r="D14" s="243">
        <v>2004</v>
      </c>
      <c r="E14" s="251" t="s">
        <v>1492</v>
      </c>
      <c r="F14" s="243">
        <v>16</v>
      </c>
      <c r="G14" s="242" t="s">
        <v>4144</v>
      </c>
      <c r="H14" s="244">
        <v>140</v>
      </c>
      <c r="I14" s="244">
        <f t="shared" si="0"/>
        <v>2240</v>
      </c>
    </row>
    <row r="15" spans="1:9">
      <c r="A15" s="241">
        <v>46183</v>
      </c>
      <c r="B15" s="242" t="s">
        <v>4143</v>
      </c>
      <c r="C15" s="259" t="s">
        <v>4055</v>
      </c>
      <c r="D15" s="243">
        <v>2005</v>
      </c>
      <c r="E15" s="251" t="s">
        <v>4056</v>
      </c>
      <c r="F15" s="243">
        <v>4</v>
      </c>
      <c r="G15" s="242" t="s">
        <v>4144</v>
      </c>
      <c r="H15" s="244">
        <v>1160.3525</v>
      </c>
      <c r="I15" s="244">
        <f t="shared" si="0"/>
        <v>4641.41</v>
      </c>
    </row>
    <row r="16" spans="1:9">
      <c r="A16" s="241">
        <v>46183</v>
      </c>
      <c r="B16" s="242" t="s">
        <v>4143</v>
      </c>
      <c r="C16" s="259" t="s">
        <v>4061</v>
      </c>
      <c r="D16" s="243">
        <v>2005</v>
      </c>
      <c r="E16" s="251" t="s">
        <v>4062</v>
      </c>
      <c r="F16" s="243">
        <v>6</v>
      </c>
      <c r="G16" s="242" t="s">
        <v>4144</v>
      </c>
      <c r="H16" s="244">
        <v>89.913333333333298</v>
      </c>
      <c r="I16" s="244">
        <f t="shared" si="0"/>
        <v>539.47999999999979</v>
      </c>
    </row>
    <row r="17" spans="1:9">
      <c r="A17" s="241">
        <v>46183</v>
      </c>
      <c r="B17" s="242" t="s">
        <v>4143</v>
      </c>
      <c r="C17" s="259" t="s">
        <v>2015</v>
      </c>
      <c r="D17" s="243">
        <v>2005</v>
      </c>
      <c r="E17" s="251" t="s">
        <v>2016</v>
      </c>
      <c r="F17" s="243">
        <v>6</v>
      </c>
      <c r="G17" s="242" t="s">
        <v>4144</v>
      </c>
      <c r="H17" s="244">
        <v>301.87</v>
      </c>
      <c r="I17" s="244">
        <f t="shared" si="0"/>
        <v>1811.22</v>
      </c>
    </row>
    <row r="18" spans="1:9">
      <c r="A18" s="241">
        <v>46183</v>
      </c>
      <c r="B18" s="242" t="s">
        <v>4143</v>
      </c>
      <c r="C18" s="259" t="s">
        <v>2019</v>
      </c>
      <c r="D18" s="243">
        <v>2005</v>
      </c>
      <c r="E18" s="251" t="s">
        <v>2020</v>
      </c>
      <c r="F18" s="243">
        <v>120</v>
      </c>
      <c r="G18" s="242" t="s">
        <v>4144</v>
      </c>
      <c r="H18" s="244">
        <v>6.0179999999999998</v>
      </c>
      <c r="I18" s="244">
        <f t="shared" si="0"/>
        <v>722.16</v>
      </c>
    </row>
    <row r="19" spans="1:9">
      <c r="A19" s="241">
        <v>46183</v>
      </c>
      <c r="B19" s="242" t="s">
        <v>4143</v>
      </c>
      <c r="C19" s="259" t="s">
        <v>2017</v>
      </c>
      <c r="D19" s="243">
        <v>2005</v>
      </c>
      <c r="E19" s="251" t="s">
        <v>2018</v>
      </c>
      <c r="F19" s="243">
        <v>120</v>
      </c>
      <c r="G19" s="242" t="s">
        <v>4144</v>
      </c>
      <c r="H19" s="244">
        <v>6.0179999999999998</v>
      </c>
      <c r="I19" s="244">
        <f t="shared" si="0"/>
        <v>722.16</v>
      </c>
    </row>
    <row r="20" spans="1:9">
      <c r="A20" s="241">
        <v>46183</v>
      </c>
      <c r="B20" s="242" t="s">
        <v>4143</v>
      </c>
      <c r="C20" s="259" t="s">
        <v>1997</v>
      </c>
      <c r="D20" s="243">
        <v>2005</v>
      </c>
      <c r="E20" s="251" t="s">
        <v>1998</v>
      </c>
      <c r="F20" s="243">
        <v>120</v>
      </c>
      <c r="G20" s="242" t="s">
        <v>4144</v>
      </c>
      <c r="H20" s="244">
        <v>6.0179999999999998</v>
      </c>
      <c r="I20" s="244">
        <f t="shared" si="0"/>
        <v>722.16</v>
      </c>
    </row>
    <row r="21" spans="1:9">
      <c r="A21" s="241">
        <v>46183</v>
      </c>
      <c r="B21" s="242" t="s">
        <v>4961</v>
      </c>
      <c r="C21" s="259" t="s">
        <v>894</v>
      </c>
      <c r="D21" s="243">
        <v>2006</v>
      </c>
      <c r="E21" s="251" t="s">
        <v>895</v>
      </c>
      <c r="F21" s="243">
        <v>1</v>
      </c>
      <c r="G21" s="242" t="s">
        <v>4147</v>
      </c>
      <c r="H21" s="244">
        <v>100</v>
      </c>
      <c r="I21" s="244">
        <f t="shared" si="0"/>
        <v>100</v>
      </c>
    </row>
    <row r="22" spans="1:9">
      <c r="A22" s="241">
        <v>46183</v>
      </c>
      <c r="B22" s="242" t="s">
        <v>4961</v>
      </c>
      <c r="C22" s="259" t="s">
        <v>892</v>
      </c>
      <c r="D22" s="243">
        <v>2006</v>
      </c>
      <c r="E22" s="251" t="s">
        <v>893</v>
      </c>
      <c r="F22" s="243">
        <v>1</v>
      </c>
      <c r="G22" s="242" t="s">
        <v>4147</v>
      </c>
      <c r="H22" s="244">
        <v>72.95</v>
      </c>
      <c r="I22" s="244">
        <f t="shared" si="0"/>
        <v>72.95</v>
      </c>
    </row>
    <row r="23" spans="1:9">
      <c r="A23" s="241">
        <v>46183</v>
      </c>
      <c r="B23" s="242" t="s">
        <v>4961</v>
      </c>
      <c r="C23" s="259" t="s">
        <v>4118</v>
      </c>
      <c r="D23" s="243">
        <v>2006</v>
      </c>
      <c r="E23" s="251" t="s">
        <v>4119</v>
      </c>
      <c r="F23" s="243">
        <v>1</v>
      </c>
      <c r="G23" s="242" t="s">
        <v>4147</v>
      </c>
      <c r="H23" s="244">
        <v>55.95</v>
      </c>
      <c r="I23" s="244">
        <f t="shared" si="0"/>
        <v>55.95</v>
      </c>
    </row>
    <row r="24" spans="1:9">
      <c r="A24" s="241">
        <v>46183</v>
      </c>
      <c r="B24" s="242" t="s">
        <v>4961</v>
      </c>
      <c r="C24" s="259" t="s">
        <v>906</v>
      </c>
      <c r="D24" s="243">
        <v>2006</v>
      </c>
      <c r="E24" s="251" t="s">
        <v>907</v>
      </c>
      <c r="F24" s="243">
        <v>2</v>
      </c>
      <c r="G24" s="242" t="s">
        <v>4147</v>
      </c>
      <c r="H24" s="244">
        <v>53.9</v>
      </c>
      <c r="I24" s="244">
        <f t="shared" si="0"/>
        <v>107.8</v>
      </c>
    </row>
    <row r="25" spans="1:9">
      <c r="A25" s="241">
        <v>46183</v>
      </c>
      <c r="B25" s="242" t="s">
        <v>4961</v>
      </c>
      <c r="C25" s="259" t="s">
        <v>904</v>
      </c>
      <c r="D25" s="243">
        <v>2006</v>
      </c>
      <c r="E25" s="251" t="s">
        <v>905</v>
      </c>
      <c r="F25" s="243">
        <v>1</v>
      </c>
      <c r="G25" s="242" t="s">
        <v>4144</v>
      </c>
      <c r="H25" s="244">
        <v>58.65</v>
      </c>
      <c r="I25" s="244">
        <f t="shared" si="0"/>
        <v>58.65</v>
      </c>
    </row>
    <row r="26" spans="1:9">
      <c r="A26" s="241">
        <v>46183</v>
      </c>
      <c r="B26" s="242" t="s">
        <v>4961</v>
      </c>
      <c r="C26" s="259" t="s">
        <v>894</v>
      </c>
      <c r="D26" s="243">
        <v>2006</v>
      </c>
      <c r="E26" s="251" t="s">
        <v>895</v>
      </c>
      <c r="F26" s="243">
        <v>1</v>
      </c>
      <c r="G26" s="242" t="s">
        <v>4147</v>
      </c>
      <c r="H26" s="244">
        <v>100</v>
      </c>
      <c r="I26" s="244">
        <f t="shared" si="0"/>
        <v>100</v>
      </c>
    </row>
    <row r="27" spans="1:9">
      <c r="A27" s="241">
        <v>46183</v>
      </c>
      <c r="B27" s="242" t="s">
        <v>4961</v>
      </c>
      <c r="C27" s="259" t="s">
        <v>880</v>
      </c>
      <c r="D27" s="243">
        <v>2006</v>
      </c>
      <c r="E27" s="251" t="s">
        <v>881</v>
      </c>
      <c r="F27" s="243">
        <v>1</v>
      </c>
      <c r="G27" s="242" t="s">
        <v>4147</v>
      </c>
      <c r="H27" s="244">
        <v>65</v>
      </c>
      <c r="I27" s="244">
        <f t="shared" si="0"/>
        <v>65</v>
      </c>
    </row>
    <row r="28" spans="1:9">
      <c r="A28" s="241">
        <v>46183</v>
      </c>
      <c r="B28" s="242" t="s">
        <v>4961</v>
      </c>
      <c r="C28" s="259" t="s">
        <v>900</v>
      </c>
      <c r="D28" s="243">
        <v>2006</v>
      </c>
      <c r="E28" s="251" t="s">
        <v>901</v>
      </c>
      <c r="F28" s="243">
        <v>2</v>
      </c>
      <c r="G28" s="242" t="s">
        <v>4144</v>
      </c>
      <c r="H28" s="244">
        <v>41.15</v>
      </c>
      <c r="I28" s="244">
        <f t="shared" si="0"/>
        <v>82.3</v>
      </c>
    </row>
    <row r="29" spans="1:9">
      <c r="A29" s="241">
        <v>46183</v>
      </c>
      <c r="B29" s="242" t="s">
        <v>4961</v>
      </c>
      <c r="C29" s="259" t="s">
        <v>888</v>
      </c>
      <c r="D29" s="243">
        <v>2006</v>
      </c>
      <c r="E29" s="251" t="s">
        <v>889</v>
      </c>
      <c r="F29" s="243">
        <v>4</v>
      </c>
      <c r="G29" s="242" t="s">
        <v>4147</v>
      </c>
      <c r="H29" s="244">
        <v>84.8</v>
      </c>
      <c r="I29" s="244">
        <f t="shared" si="0"/>
        <v>339.2</v>
      </c>
    </row>
    <row r="30" spans="1:9">
      <c r="A30" s="241">
        <v>46183</v>
      </c>
      <c r="B30" s="242" t="s">
        <v>4962</v>
      </c>
      <c r="C30" s="259" t="s">
        <v>3398</v>
      </c>
      <c r="D30" s="243">
        <v>2006</v>
      </c>
      <c r="E30" s="251" t="s">
        <v>3399</v>
      </c>
      <c r="F30" s="243">
        <v>20</v>
      </c>
      <c r="G30" s="242" t="s">
        <v>4144</v>
      </c>
      <c r="H30" s="244">
        <v>90</v>
      </c>
      <c r="I30" s="244">
        <f t="shared" si="0"/>
        <v>1800</v>
      </c>
    </row>
    <row r="31" spans="1:9">
      <c r="A31" s="241">
        <v>46183</v>
      </c>
      <c r="B31" s="242" t="s">
        <v>4962</v>
      </c>
      <c r="C31" s="259" t="s">
        <v>701</v>
      </c>
      <c r="D31" s="243">
        <v>2006</v>
      </c>
      <c r="E31" s="251" t="s">
        <v>702</v>
      </c>
      <c r="F31" s="243">
        <v>5</v>
      </c>
      <c r="G31" s="242" t="s">
        <v>4144</v>
      </c>
      <c r="H31" s="244">
        <v>60</v>
      </c>
      <c r="I31" s="244">
        <f t="shared" si="0"/>
        <v>300</v>
      </c>
    </row>
    <row r="32" spans="1:9">
      <c r="A32" s="241">
        <v>46184</v>
      </c>
      <c r="B32" s="242" t="s">
        <v>4963</v>
      </c>
      <c r="C32" s="259" t="s">
        <v>4984</v>
      </c>
      <c r="D32" s="243">
        <v>2007</v>
      </c>
      <c r="E32" s="251" t="s">
        <v>4964</v>
      </c>
      <c r="F32" s="243">
        <v>24</v>
      </c>
      <c r="G32" s="242" t="s">
        <v>4144</v>
      </c>
      <c r="H32" s="244">
        <v>35.350833333333298</v>
      </c>
      <c r="I32" s="244">
        <f t="shared" si="0"/>
        <v>848.41999999999916</v>
      </c>
    </row>
    <row r="33" spans="1:9">
      <c r="A33" s="241">
        <v>46184</v>
      </c>
      <c r="B33" s="242" t="s">
        <v>4963</v>
      </c>
      <c r="C33" s="259" t="s">
        <v>1261</v>
      </c>
      <c r="D33" s="243">
        <v>2007</v>
      </c>
      <c r="E33" s="251" t="s">
        <v>1262</v>
      </c>
      <c r="F33" s="243">
        <v>12</v>
      </c>
      <c r="G33" s="242" t="s">
        <v>4144</v>
      </c>
      <c r="H33" s="244">
        <v>14.31</v>
      </c>
      <c r="I33" s="244">
        <f t="shared" si="0"/>
        <v>171.72</v>
      </c>
    </row>
    <row r="34" spans="1:9">
      <c r="A34" s="241">
        <v>46184</v>
      </c>
      <c r="B34" s="242" t="s">
        <v>4963</v>
      </c>
      <c r="C34" s="259" t="s">
        <v>4720</v>
      </c>
      <c r="D34" s="243">
        <v>2007</v>
      </c>
      <c r="E34" s="251" t="s">
        <v>4965</v>
      </c>
      <c r="F34" s="243">
        <v>24</v>
      </c>
      <c r="G34" s="242" t="s">
        <v>4144</v>
      </c>
      <c r="H34" s="244">
        <v>50.88</v>
      </c>
      <c r="I34" s="244">
        <f t="shared" si="0"/>
        <v>1221.1200000000001</v>
      </c>
    </row>
    <row r="35" spans="1:9">
      <c r="A35" s="241">
        <v>46184</v>
      </c>
      <c r="B35" s="242" t="s">
        <v>4963</v>
      </c>
      <c r="C35" s="259" t="s">
        <v>4705</v>
      </c>
      <c r="D35" s="243">
        <v>2007</v>
      </c>
      <c r="E35" s="251" t="s">
        <v>4966</v>
      </c>
      <c r="F35" s="243">
        <v>24</v>
      </c>
      <c r="G35" s="242" t="s">
        <v>4144</v>
      </c>
      <c r="H35" s="244">
        <v>50.88</v>
      </c>
      <c r="I35" s="244">
        <f t="shared" si="0"/>
        <v>1221.1200000000001</v>
      </c>
    </row>
    <row r="36" spans="1:9">
      <c r="A36" s="241">
        <v>46184</v>
      </c>
      <c r="B36" s="242" t="s">
        <v>4963</v>
      </c>
      <c r="C36" s="259" t="s">
        <v>4879</v>
      </c>
      <c r="D36" s="243">
        <v>2007</v>
      </c>
      <c r="E36" s="251" t="s">
        <v>4880</v>
      </c>
      <c r="F36" s="243">
        <v>12</v>
      </c>
      <c r="G36" s="242" t="s">
        <v>4144</v>
      </c>
      <c r="H36" s="244">
        <v>79.947500000000005</v>
      </c>
      <c r="I36" s="244">
        <f t="shared" si="0"/>
        <v>959.37000000000012</v>
      </c>
    </row>
    <row r="37" spans="1:9">
      <c r="A37" s="241">
        <v>46184</v>
      </c>
      <c r="B37" s="242" t="s">
        <v>4963</v>
      </c>
      <c r="C37" s="259" t="s">
        <v>1176</v>
      </c>
      <c r="D37" s="243">
        <v>2007</v>
      </c>
      <c r="E37" s="251" t="s">
        <v>1177</v>
      </c>
      <c r="F37" s="243">
        <v>24</v>
      </c>
      <c r="G37" s="242" t="s">
        <v>4144</v>
      </c>
      <c r="H37" s="244">
        <v>22.185833333333299</v>
      </c>
      <c r="I37" s="244">
        <f t="shared" si="0"/>
        <v>532.45999999999913</v>
      </c>
    </row>
    <row r="38" spans="1:9">
      <c r="A38" s="241">
        <v>46184</v>
      </c>
      <c r="B38" s="242" t="s">
        <v>4963</v>
      </c>
      <c r="C38" s="259" t="s">
        <v>4595</v>
      </c>
      <c r="D38" s="243">
        <v>2007</v>
      </c>
      <c r="E38" s="251" t="s">
        <v>4596</v>
      </c>
      <c r="F38" s="243">
        <v>24</v>
      </c>
      <c r="G38" s="242" t="s">
        <v>4144</v>
      </c>
      <c r="H38" s="244">
        <v>22.185833333333299</v>
      </c>
      <c r="I38" s="244">
        <f t="shared" si="0"/>
        <v>532.45999999999913</v>
      </c>
    </row>
    <row r="39" spans="1:9">
      <c r="A39" s="241">
        <v>46184</v>
      </c>
      <c r="B39" s="242" t="s">
        <v>4963</v>
      </c>
      <c r="C39" s="259" t="s">
        <v>1174</v>
      </c>
      <c r="D39" s="243">
        <v>2007</v>
      </c>
      <c r="E39" s="251" t="s">
        <v>1175</v>
      </c>
      <c r="F39" s="243">
        <v>24</v>
      </c>
      <c r="G39" s="242" t="s">
        <v>4144</v>
      </c>
      <c r="H39" s="244">
        <v>23.6325</v>
      </c>
      <c r="I39" s="244">
        <f t="shared" si="0"/>
        <v>567.18000000000006</v>
      </c>
    </row>
    <row r="40" spans="1:9">
      <c r="A40" s="241">
        <v>46184</v>
      </c>
      <c r="B40" s="242" t="s">
        <v>4963</v>
      </c>
      <c r="C40" s="259" t="s">
        <v>1166</v>
      </c>
      <c r="D40" s="243">
        <v>2007</v>
      </c>
      <c r="E40" s="251" t="s">
        <v>1167</v>
      </c>
      <c r="F40" s="243">
        <v>24</v>
      </c>
      <c r="G40" s="242" t="s">
        <v>4144</v>
      </c>
      <c r="H40" s="244">
        <v>22.185833333333299</v>
      </c>
      <c r="I40" s="244">
        <f t="shared" si="0"/>
        <v>532.45999999999913</v>
      </c>
    </row>
    <row r="41" spans="1:9">
      <c r="A41" s="241">
        <v>46184</v>
      </c>
      <c r="B41" s="242" t="s">
        <v>4963</v>
      </c>
      <c r="C41" s="259" t="s">
        <v>1188</v>
      </c>
      <c r="D41" s="243">
        <v>2007</v>
      </c>
      <c r="E41" s="251" t="s">
        <v>1189</v>
      </c>
      <c r="F41" s="243">
        <v>10</v>
      </c>
      <c r="G41" s="242" t="s">
        <v>4144</v>
      </c>
      <c r="H41" s="244">
        <v>29.902999999999999</v>
      </c>
      <c r="I41" s="244">
        <f t="shared" si="0"/>
        <v>299.02999999999997</v>
      </c>
    </row>
    <row r="42" spans="1:9">
      <c r="A42" s="241">
        <v>46184</v>
      </c>
      <c r="B42" s="242" t="s">
        <v>4963</v>
      </c>
      <c r="C42" s="259" t="s">
        <v>1186</v>
      </c>
      <c r="D42" s="243">
        <v>2007</v>
      </c>
      <c r="E42" s="251" t="s">
        <v>1187</v>
      </c>
      <c r="F42" s="243">
        <v>10</v>
      </c>
      <c r="G42" s="242" t="s">
        <v>4144</v>
      </c>
      <c r="H42" s="244">
        <v>33.761000000000003</v>
      </c>
      <c r="I42" s="244">
        <f t="shared" si="0"/>
        <v>337.61</v>
      </c>
    </row>
    <row r="43" spans="1:9">
      <c r="A43" s="241">
        <v>46184</v>
      </c>
      <c r="B43" s="242" t="s">
        <v>4963</v>
      </c>
      <c r="C43" s="259" t="s">
        <v>1259</v>
      </c>
      <c r="D43" s="243">
        <v>2007</v>
      </c>
      <c r="E43" s="251" t="s">
        <v>1260</v>
      </c>
      <c r="F43" s="243">
        <v>12</v>
      </c>
      <c r="G43" s="242" t="s">
        <v>4144</v>
      </c>
      <c r="H43" s="244">
        <v>58.8408333333333</v>
      </c>
      <c r="I43" s="244">
        <f t="shared" si="0"/>
        <v>706.08999999999958</v>
      </c>
    </row>
    <row r="44" spans="1:9">
      <c r="A44" s="241">
        <v>46184</v>
      </c>
      <c r="B44" s="242" t="s">
        <v>4963</v>
      </c>
      <c r="C44" s="259" t="s">
        <v>1148</v>
      </c>
      <c r="D44" s="243">
        <v>2007</v>
      </c>
      <c r="E44" s="251" t="s">
        <v>1149</v>
      </c>
      <c r="F44" s="243">
        <v>8</v>
      </c>
      <c r="G44" s="242" t="s">
        <v>4144</v>
      </c>
      <c r="H44" s="244">
        <v>109.965</v>
      </c>
      <c r="I44" s="244">
        <f t="shared" si="0"/>
        <v>879.72</v>
      </c>
    </row>
    <row r="45" spans="1:9">
      <c r="A45" s="241">
        <v>46191</v>
      </c>
      <c r="B45" s="242" t="s">
        <v>4967</v>
      </c>
      <c r="C45" s="259">
        <v>999055</v>
      </c>
      <c r="D45" s="243">
        <v>2012</v>
      </c>
      <c r="E45" s="251" t="s">
        <v>4077</v>
      </c>
      <c r="F45" s="243">
        <v>4</v>
      </c>
      <c r="G45" s="242" t="s">
        <v>4144</v>
      </c>
      <c r="H45" s="244">
        <v>3500</v>
      </c>
      <c r="I45" s="244">
        <f t="shared" si="0"/>
        <v>14000</v>
      </c>
    </row>
    <row r="46" spans="1:9">
      <c r="A46" s="241">
        <v>46191</v>
      </c>
      <c r="B46" s="242" t="s">
        <v>4153</v>
      </c>
      <c r="C46" s="259" t="s">
        <v>4985</v>
      </c>
      <c r="D46" s="243">
        <v>2013</v>
      </c>
      <c r="E46" s="251" t="s">
        <v>4968</v>
      </c>
      <c r="F46" s="243">
        <v>12</v>
      </c>
      <c r="G46" s="242" t="s">
        <v>4147</v>
      </c>
      <c r="H46" s="244">
        <v>60.28</v>
      </c>
      <c r="I46" s="244">
        <f t="shared" si="0"/>
        <v>723.36</v>
      </c>
    </row>
    <row r="47" spans="1:9">
      <c r="A47" s="241">
        <v>46191</v>
      </c>
      <c r="B47" s="242" t="s">
        <v>4153</v>
      </c>
      <c r="C47" s="259" t="s">
        <v>4986</v>
      </c>
      <c r="D47" s="243">
        <v>2013</v>
      </c>
      <c r="E47" s="251" t="s">
        <v>4969</v>
      </c>
      <c r="F47" s="243">
        <v>12</v>
      </c>
      <c r="G47" s="242" t="s">
        <v>4147</v>
      </c>
      <c r="H47" s="244">
        <v>65.77</v>
      </c>
      <c r="I47" s="244">
        <f t="shared" si="0"/>
        <v>789.24</v>
      </c>
    </row>
    <row r="48" spans="1:9">
      <c r="A48" s="241">
        <v>46191</v>
      </c>
      <c r="B48" s="242" t="s">
        <v>4153</v>
      </c>
      <c r="C48" s="259" t="s">
        <v>4753</v>
      </c>
      <c r="D48" s="243">
        <v>2013</v>
      </c>
      <c r="E48" s="251" t="s">
        <v>4755</v>
      </c>
      <c r="F48" s="243">
        <v>12</v>
      </c>
      <c r="G48" s="242" t="s">
        <v>4147</v>
      </c>
      <c r="H48" s="244">
        <v>71.25</v>
      </c>
      <c r="I48" s="244">
        <f t="shared" si="0"/>
        <v>855</v>
      </c>
    </row>
    <row r="49" spans="1:9">
      <c r="A49" s="241">
        <v>46191</v>
      </c>
      <c r="B49" s="242" t="s">
        <v>4153</v>
      </c>
      <c r="C49" s="259" t="s">
        <v>4987</v>
      </c>
      <c r="D49" s="243">
        <v>2013</v>
      </c>
      <c r="E49" s="251" t="s">
        <v>4970</v>
      </c>
      <c r="F49" s="243">
        <v>4</v>
      </c>
      <c r="G49" s="242" t="s">
        <v>4144</v>
      </c>
      <c r="H49" s="244">
        <v>261.51</v>
      </c>
      <c r="I49" s="244">
        <f t="shared" si="0"/>
        <v>1046.04</v>
      </c>
    </row>
    <row r="50" spans="1:9">
      <c r="A50" s="241">
        <v>46191</v>
      </c>
      <c r="B50" s="242" t="s">
        <v>4153</v>
      </c>
      <c r="C50" s="259" t="s">
        <v>4988</v>
      </c>
      <c r="D50" s="243">
        <v>2013</v>
      </c>
      <c r="E50" s="251" t="s">
        <v>4971</v>
      </c>
      <c r="F50" s="243">
        <v>4</v>
      </c>
      <c r="G50" s="242" t="s">
        <v>4144</v>
      </c>
      <c r="H50" s="244">
        <v>180.86</v>
      </c>
      <c r="I50" s="244">
        <f t="shared" si="0"/>
        <v>723.44</v>
      </c>
    </row>
    <row r="51" spans="1:9">
      <c r="A51" s="241">
        <v>46191</v>
      </c>
      <c r="B51" s="242" t="s">
        <v>4153</v>
      </c>
      <c r="C51" s="259" t="s">
        <v>4772</v>
      </c>
      <c r="D51" s="243">
        <v>2013</v>
      </c>
      <c r="E51" s="251" t="s">
        <v>4774</v>
      </c>
      <c r="F51" s="243">
        <v>4</v>
      </c>
      <c r="G51" s="242" t="s">
        <v>4144</v>
      </c>
      <c r="H51" s="244">
        <v>197.3</v>
      </c>
      <c r="I51" s="244">
        <f t="shared" si="0"/>
        <v>789.2</v>
      </c>
    </row>
    <row r="52" spans="1:9">
      <c r="A52" s="241">
        <v>46191</v>
      </c>
      <c r="B52" s="242" t="s">
        <v>4153</v>
      </c>
      <c r="C52" s="259" t="s">
        <v>4641</v>
      </c>
      <c r="D52" s="243">
        <v>2013</v>
      </c>
      <c r="E52" s="251" t="s">
        <v>4643</v>
      </c>
      <c r="F52" s="243">
        <v>4</v>
      </c>
      <c r="G52" s="242" t="s">
        <v>4144</v>
      </c>
      <c r="H52" s="244">
        <v>213.74</v>
      </c>
      <c r="I52" s="244">
        <f t="shared" si="0"/>
        <v>854.96</v>
      </c>
    </row>
    <row r="53" spans="1:9">
      <c r="A53" s="241">
        <v>46191</v>
      </c>
      <c r="B53" s="242" t="s">
        <v>4153</v>
      </c>
      <c r="C53" s="259" t="s">
        <v>2491</v>
      </c>
      <c r="D53" s="243">
        <v>2013</v>
      </c>
      <c r="E53" s="251" t="s">
        <v>4972</v>
      </c>
      <c r="F53" s="243">
        <v>4</v>
      </c>
      <c r="G53" s="242" t="s">
        <v>4144</v>
      </c>
      <c r="H53" s="244">
        <v>230.19</v>
      </c>
      <c r="I53" s="244">
        <f t="shared" si="0"/>
        <v>920.76</v>
      </c>
    </row>
    <row r="54" spans="1:9">
      <c r="A54" s="241">
        <v>46191</v>
      </c>
      <c r="B54" s="242" t="s">
        <v>4153</v>
      </c>
      <c r="C54" s="259" t="s">
        <v>4989</v>
      </c>
      <c r="D54" s="243">
        <v>2013</v>
      </c>
      <c r="E54" s="251" t="s">
        <v>4973</v>
      </c>
      <c r="F54" s="243">
        <v>12</v>
      </c>
      <c r="G54" s="242" t="s">
        <v>4147</v>
      </c>
      <c r="H54" s="244">
        <v>87.17</v>
      </c>
      <c r="I54" s="244">
        <f t="shared" si="0"/>
        <v>1046.04</v>
      </c>
    </row>
    <row r="55" spans="1:9">
      <c r="A55" s="241">
        <v>46191</v>
      </c>
      <c r="B55" s="242" t="s">
        <v>4153</v>
      </c>
      <c r="C55" s="259" t="s">
        <v>4990</v>
      </c>
      <c r="D55" s="243">
        <v>2013</v>
      </c>
      <c r="E55" s="251" t="s">
        <v>4974</v>
      </c>
      <c r="F55" s="243">
        <v>24</v>
      </c>
      <c r="G55" s="242" t="s">
        <v>4147</v>
      </c>
      <c r="H55" s="244">
        <v>8.75</v>
      </c>
      <c r="I55" s="244">
        <f t="shared" si="0"/>
        <v>210</v>
      </c>
    </row>
    <row r="56" spans="1:9">
      <c r="A56" s="241">
        <v>46191</v>
      </c>
      <c r="B56" s="242" t="s">
        <v>4153</v>
      </c>
      <c r="C56" s="259" t="s">
        <v>4660</v>
      </c>
      <c r="D56" s="243">
        <v>2013</v>
      </c>
      <c r="E56" s="251" t="s">
        <v>4661</v>
      </c>
      <c r="F56" s="243">
        <v>24</v>
      </c>
      <c r="G56" s="242" t="s">
        <v>4144</v>
      </c>
      <c r="H56" s="244">
        <v>14.5</v>
      </c>
      <c r="I56" s="244">
        <f t="shared" si="0"/>
        <v>348</v>
      </c>
    </row>
    <row r="57" spans="1:9">
      <c r="A57" s="241">
        <v>46192</v>
      </c>
      <c r="B57" s="242" t="s">
        <v>4146</v>
      </c>
      <c r="C57" s="259" t="s">
        <v>888</v>
      </c>
      <c r="D57" s="243">
        <v>2016</v>
      </c>
      <c r="E57" s="251" t="s">
        <v>889</v>
      </c>
      <c r="F57" s="243">
        <v>3</v>
      </c>
      <c r="G57" s="242" t="s">
        <v>4144</v>
      </c>
      <c r="H57" s="244">
        <v>84.8</v>
      </c>
      <c r="I57" s="244">
        <f t="shared" si="0"/>
        <v>254.39999999999998</v>
      </c>
    </row>
    <row r="58" spans="1:9">
      <c r="A58" s="241">
        <v>46192</v>
      </c>
      <c r="B58" s="242" t="s">
        <v>4146</v>
      </c>
      <c r="C58" s="259" t="s">
        <v>894</v>
      </c>
      <c r="D58" s="243">
        <v>2016</v>
      </c>
      <c r="E58" s="251" t="s">
        <v>895</v>
      </c>
      <c r="F58" s="243">
        <v>1</v>
      </c>
      <c r="G58" s="242" t="s">
        <v>4144</v>
      </c>
      <c r="H58" s="244">
        <v>100</v>
      </c>
      <c r="I58" s="244">
        <f t="shared" si="0"/>
        <v>100</v>
      </c>
    </row>
    <row r="59" spans="1:9">
      <c r="A59" s="241">
        <v>46192</v>
      </c>
      <c r="B59" s="242" t="s">
        <v>4146</v>
      </c>
      <c r="C59" s="259" t="s">
        <v>892</v>
      </c>
      <c r="D59" s="243">
        <v>2016</v>
      </c>
      <c r="E59" s="251" t="s">
        <v>893</v>
      </c>
      <c r="F59" s="243">
        <v>1</v>
      </c>
      <c r="G59" s="242" t="s">
        <v>4144</v>
      </c>
      <c r="H59" s="244">
        <v>72.95</v>
      </c>
      <c r="I59" s="244">
        <f t="shared" si="0"/>
        <v>72.95</v>
      </c>
    </row>
    <row r="60" spans="1:9">
      <c r="A60" s="241">
        <v>46192</v>
      </c>
      <c r="B60" s="242" t="s">
        <v>4146</v>
      </c>
      <c r="C60" s="259" t="s">
        <v>880</v>
      </c>
      <c r="D60" s="243">
        <v>2016</v>
      </c>
      <c r="E60" s="251" t="s">
        <v>881</v>
      </c>
      <c r="F60" s="243">
        <v>1</v>
      </c>
      <c r="G60" s="242" t="s">
        <v>4144</v>
      </c>
      <c r="H60" s="244">
        <v>65</v>
      </c>
      <c r="I60" s="244">
        <f t="shared" si="0"/>
        <v>65</v>
      </c>
    </row>
    <row r="61" spans="1:9">
      <c r="A61" s="241">
        <v>46192</v>
      </c>
      <c r="B61" s="242" t="s">
        <v>4146</v>
      </c>
      <c r="C61" s="259" t="s">
        <v>906</v>
      </c>
      <c r="D61" s="243">
        <v>2016</v>
      </c>
      <c r="E61" s="251" t="s">
        <v>907</v>
      </c>
      <c r="F61" s="243">
        <v>2</v>
      </c>
      <c r="G61" s="242" t="s">
        <v>4144</v>
      </c>
      <c r="H61" s="244">
        <v>53.9</v>
      </c>
      <c r="I61" s="244">
        <f t="shared" si="0"/>
        <v>107.8</v>
      </c>
    </row>
    <row r="62" spans="1:9">
      <c r="A62" s="241">
        <v>46192</v>
      </c>
      <c r="B62" s="242" t="s">
        <v>4146</v>
      </c>
      <c r="C62" s="259" t="s">
        <v>880</v>
      </c>
      <c r="D62" s="243">
        <v>2016</v>
      </c>
      <c r="E62" s="251" t="s">
        <v>881</v>
      </c>
      <c r="F62" s="243">
        <v>2</v>
      </c>
      <c r="G62" s="242" t="s">
        <v>4144</v>
      </c>
      <c r="H62" s="244">
        <v>65</v>
      </c>
      <c r="I62" s="244">
        <f t="shared" si="0"/>
        <v>130</v>
      </c>
    </row>
    <row r="63" spans="1:9">
      <c r="A63" s="241">
        <v>46192</v>
      </c>
      <c r="B63" s="242" t="s">
        <v>4146</v>
      </c>
      <c r="C63" s="259" t="s">
        <v>888</v>
      </c>
      <c r="D63" s="243">
        <v>2016</v>
      </c>
      <c r="E63" s="251" t="s">
        <v>889</v>
      </c>
      <c r="F63" s="243">
        <v>3</v>
      </c>
      <c r="G63" s="242" t="s">
        <v>4144</v>
      </c>
      <c r="H63" s="244">
        <v>84.8</v>
      </c>
      <c r="I63" s="244">
        <f t="shared" si="0"/>
        <v>254.39999999999998</v>
      </c>
    </row>
    <row r="64" spans="1:9">
      <c r="A64" s="241">
        <v>46192</v>
      </c>
      <c r="B64" s="242" t="s">
        <v>4146</v>
      </c>
      <c r="C64" s="259" t="s">
        <v>886</v>
      </c>
      <c r="D64" s="243">
        <v>2016</v>
      </c>
      <c r="E64" s="251" t="s">
        <v>887</v>
      </c>
      <c r="F64" s="243">
        <v>1</v>
      </c>
      <c r="G64" s="242" t="s">
        <v>4144</v>
      </c>
      <c r="H64" s="244">
        <v>58.45</v>
      </c>
      <c r="I64" s="244">
        <f t="shared" si="0"/>
        <v>58.45</v>
      </c>
    </row>
    <row r="65" spans="1:9" ht="15.75">
      <c r="A65" s="241">
        <v>46196</v>
      </c>
      <c r="B65" s="242" t="s">
        <v>4143</v>
      </c>
      <c r="C65" s="259" t="s">
        <v>4055</v>
      </c>
      <c r="D65" s="252">
        <v>2018</v>
      </c>
      <c r="E65" s="251" t="s">
        <v>4056</v>
      </c>
      <c r="F65" s="253">
        <v>4</v>
      </c>
      <c r="G65" s="242" t="s">
        <v>4144</v>
      </c>
      <c r="H65" s="244">
        <v>1160.3499999999999</v>
      </c>
      <c r="I65" s="244">
        <f t="shared" si="0"/>
        <v>4641.3999999999996</v>
      </c>
    </row>
    <row r="66" spans="1:9" ht="15.75">
      <c r="A66" s="241">
        <v>46196</v>
      </c>
      <c r="B66" s="242" t="s">
        <v>4143</v>
      </c>
      <c r="C66" s="259" t="s">
        <v>2001</v>
      </c>
      <c r="D66" s="252">
        <v>2018</v>
      </c>
      <c r="E66" s="251" t="s">
        <v>2002</v>
      </c>
      <c r="F66" s="253">
        <v>24</v>
      </c>
      <c r="G66" s="242" t="s">
        <v>4144</v>
      </c>
      <c r="H66" s="244">
        <v>51.97</v>
      </c>
      <c r="I66" s="244">
        <f t="shared" si="0"/>
        <v>1247.28</v>
      </c>
    </row>
    <row r="67" spans="1:9" ht="15.75">
      <c r="A67" s="241">
        <v>46196</v>
      </c>
      <c r="B67" s="242" t="s">
        <v>4143</v>
      </c>
      <c r="C67" s="259" t="s">
        <v>1997</v>
      </c>
      <c r="D67" s="252">
        <v>2018</v>
      </c>
      <c r="E67" s="251" t="s">
        <v>1998</v>
      </c>
      <c r="F67" s="253">
        <v>120</v>
      </c>
      <c r="G67" s="242" t="s">
        <v>4144</v>
      </c>
      <c r="H67" s="244">
        <v>6.12</v>
      </c>
      <c r="I67" s="244">
        <f t="shared" si="0"/>
        <v>734.4</v>
      </c>
    </row>
    <row r="68" spans="1:9" ht="15.75">
      <c r="A68" s="241">
        <v>46196</v>
      </c>
      <c r="B68" s="242" t="s">
        <v>4975</v>
      </c>
      <c r="C68" s="259" t="s">
        <v>1458</v>
      </c>
      <c r="D68" s="252">
        <v>2019</v>
      </c>
      <c r="E68" s="251" t="s">
        <v>1459</v>
      </c>
      <c r="F68" s="253">
        <v>504</v>
      </c>
      <c r="G68" s="242" t="s">
        <v>4144</v>
      </c>
      <c r="H68" s="244">
        <v>8.5782299999999996</v>
      </c>
      <c r="I68" s="244">
        <f t="shared" si="0"/>
        <v>4323.4279200000001</v>
      </c>
    </row>
    <row r="69" spans="1:9" ht="15.75">
      <c r="A69" s="241">
        <v>46196</v>
      </c>
      <c r="B69" s="242" t="s">
        <v>4975</v>
      </c>
      <c r="C69" s="259" t="s">
        <v>1399</v>
      </c>
      <c r="D69" s="252">
        <v>2019</v>
      </c>
      <c r="E69" s="251" t="s">
        <v>1400</v>
      </c>
      <c r="F69" s="253">
        <v>5</v>
      </c>
      <c r="G69" s="242" t="s">
        <v>4144</v>
      </c>
      <c r="H69" s="244">
        <v>200.03</v>
      </c>
      <c r="I69" s="244">
        <f t="shared" ref="I69:I132" si="1">F69*H69</f>
        <v>1000.15</v>
      </c>
    </row>
    <row r="70" spans="1:9" ht="15.75">
      <c r="A70" s="241">
        <v>46196</v>
      </c>
      <c r="B70" s="242" t="s">
        <v>4975</v>
      </c>
      <c r="C70" s="259" t="s">
        <v>2073</v>
      </c>
      <c r="D70" s="252">
        <v>2019</v>
      </c>
      <c r="E70" s="251" t="s">
        <v>2074</v>
      </c>
      <c r="F70" s="253">
        <v>24</v>
      </c>
      <c r="G70" s="242" t="s">
        <v>4144</v>
      </c>
      <c r="H70" s="244">
        <v>67.289580000000001</v>
      </c>
      <c r="I70" s="244">
        <f t="shared" si="1"/>
        <v>1614.94992</v>
      </c>
    </row>
    <row r="71" spans="1:9" ht="15.75">
      <c r="A71" s="241">
        <v>46196</v>
      </c>
      <c r="B71" s="242" t="s">
        <v>4975</v>
      </c>
      <c r="C71" s="259" t="s">
        <v>1443</v>
      </c>
      <c r="D71" s="252">
        <v>2019</v>
      </c>
      <c r="E71" s="251" t="s">
        <v>1444</v>
      </c>
      <c r="F71" s="253">
        <v>192</v>
      </c>
      <c r="G71" s="242" t="s">
        <v>4144</v>
      </c>
      <c r="H71" s="244">
        <v>10.64</v>
      </c>
      <c r="I71" s="244">
        <f t="shared" si="1"/>
        <v>2042.88</v>
      </c>
    </row>
    <row r="72" spans="1:9" ht="15.75">
      <c r="A72" s="241">
        <v>46196</v>
      </c>
      <c r="B72" s="242" t="s">
        <v>4975</v>
      </c>
      <c r="C72" s="259" t="s">
        <v>4991</v>
      </c>
      <c r="D72" s="252">
        <v>2019</v>
      </c>
      <c r="E72" s="251" t="s">
        <v>4976</v>
      </c>
      <c r="F72" s="253">
        <v>96</v>
      </c>
      <c r="G72" s="242" t="s">
        <v>4144</v>
      </c>
      <c r="H72" s="244">
        <v>10.64</v>
      </c>
      <c r="I72" s="244">
        <f t="shared" si="1"/>
        <v>1021.44</v>
      </c>
    </row>
    <row r="73" spans="1:9" ht="15.75">
      <c r="A73" s="241">
        <v>46196</v>
      </c>
      <c r="B73" s="242" t="s">
        <v>4146</v>
      </c>
      <c r="C73" s="259" t="s">
        <v>888</v>
      </c>
      <c r="D73" s="252">
        <v>2020</v>
      </c>
      <c r="E73" s="251" t="s">
        <v>889</v>
      </c>
      <c r="F73" s="253">
        <v>1</v>
      </c>
      <c r="G73" s="242" t="s">
        <v>4147</v>
      </c>
      <c r="H73" s="244">
        <v>84.8</v>
      </c>
      <c r="I73" s="244">
        <f t="shared" si="1"/>
        <v>84.8</v>
      </c>
    </row>
    <row r="74" spans="1:9" ht="15.75">
      <c r="A74" s="241">
        <v>46196</v>
      </c>
      <c r="B74" s="242" t="s">
        <v>4146</v>
      </c>
      <c r="C74" s="259" t="s">
        <v>906</v>
      </c>
      <c r="D74" s="252">
        <v>2020</v>
      </c>
      <c r="E74" s="251" t="s">
        <v>907</v>
      </c>
      <c r="F74" s="253">
        <v>1</v>
      </c>
      <c r="G74" s="242" t="s">
        <v>4147</v>
      </c>
      <c r="H74" s="244">
        <v>53.9</v>
      </c>
      <c r="I74" s="244">
        <f t="shared" si="1"/>
        <v>53.9</v>
      </c>
    </row>
    <row r="75" spans="1:9" ht="15.75">
      <c r="A75" s="241">
        <v>46196</v>
      </c>
      <c r="B75" s="242" t="s">
        <v>4962</v>
      </c>
      <c r="C75" s="259" t="s">
        <v>701</v>
      </c>
      <c r="D75" s="252">
        <v>2020</v>
      </c>
      <c r="E75" s="251" t="s">
        <v>702</v>
      </c>
      <c r="F75" s="253">
        <v>10</v>
      </c>
      <c r="G75" s="242" t="s">
        <v>4147</v>
      </c>
      <c r="H75" s="244">
        <v>60</v>
      </c>
      <c r="I75" s="244">
        <f t="shared" si="1"/>
        <v>600</v>
      </c>
    </row>
    <row r="76" spans="1:9" ht="15.75">
      <c r="A76" s="241">
        <v>46196</v>
      </c>
      <c r="B76" s="242" t="s">
        <v>4962</v>
      </c>
      <c r="C76" s="259" t="s">
        <v>3398</v>
      </c>
      <c r="D76" s="254">
        <v>2020</v>
      </c>
      <c r="E76" s="251" t="s">
        <v>3399</v>
      </c>
      <c r="F76" s="253">
        <v>20</v>
      </c>
      <c r="G76" s="242" t="s">
        <v>4147</v>
      </c>
      <c r="H76" s="244">
        <v>90</v>
      </c>
      <c r="I76" s="244">
        <f t="shared" si="1"/>
        <v>1800</v>
      </c>
    </row>
    <row r="77" spans="1:9">
      <c r="A77" s="241">
        <v>46198</v>
      </c>
      <c r="B77" s="242" t="s">
        <v>4160</v>
      </c>
      <c r="C77" s="259" t="s">
        <v>1732</v>
      </c>
      <c r="D77" s="243">
        <v>2021</v>
      </c>
      <c r="E77" s="251" t="s">
        <v>1733</v>
      </c>
      <c r="F77" s="243">
        <v>48</v>
      </c>
      <c r="G77" s="242" t="s">
        <v>4144</v>
      </c>
      <c r="H77" s="244">
        <v>53.81</v>
      </c>
      <c r="I77" s="244">
        <f t="shared" si="1"/>
        <v>2582.88</v>
      </c>
    </row>
    <row r="78" spans="1:9">
      <c r="A78" s="241">
        <v>46199</v>
      </c>
      <c r="B78" s="242" t="s">
        <v>4977</v>
      </c>
      <c r="C78" s="259" t="s">
        <v>1697</v>
      </c>
      <c r="D78" s="243">
        <v>2022</v>
      </c>
      <c r="E78" s="251" t="s">
        <v>1698</v>
      </c>
      <c r="F78" s="243">
        <v>48</v>
      </c>
      <c r="G78" s="242" t="s">
        <v>4144</v>
      </c>
      <c r="H78" s="244">
        <v>44.864375000000003</v>
      </c>
      <c r="I78" s="244">
        <f t="shared" si="1"/>
        <v>2153.4900000000002</v>
      </c>
    </row>
    <row r="79" spans="1:9">
      <c r="A79" s="241">
        <v>46199</v>
      </c>
      <c r="B79" s="242" t="s">
        <v>4978</v>
      </c>
      <c r="C79" s="259" t="s">
        <v>2346</v>
      </c>
      <c r="D79" s="243">
        <v>2023</v>
      </c>
      <c r="E79" s="251" t="s">
        <v>2347</v>
      </c>
      <c r="F79" s="243">
        <v>12</v>
      </c>
      <c r="G79" s="242" t="s">
        <v>4144</v>
      </c>
      <c r="H79" s="244">
        <v>83.548333333333304</v>
      </c>
      <c r="I79" s="244">
        <f t="shared" si="1"/>
        <v>1002.5799999999997</v>
      </c>
    </row>
    <row r="80" spans="1:9">
      <c r="A80" s="241">
        <v>46199</v>
      </c>
      <c r="B80" s="242" t="s">
        <v>4978</v>
      </c>
      <c r="C80" s="259" t="s">
        <v>4992</v>
      </c>
      <c r="D80" s="243">
        <v>2023</v>
      </c>
      <c r="E80" s="251" t="s">
        <v>4979</v>
      </c>
      <c r="F80" s="243">
        <v>12</v>
      </c>
      <c r="G80" s="242" t="s">
        <v>4144</v>
      </c>
      <c r="H80" s="244">
        <v>90.688333333333304</v>
      </c>
      <c r="I80" s="244">
        <f t="shared" si="1"/>
        <v>1088.2599999999998</v>
      </c>
    </row>
    <row r="81" spans="1:9">
      <c r="A81" s="241">
        <v>46199</v>
      </c>
      <c r="B81" s="242" t="s">
        <v>4978</v>
      </c>
      <c r="C81" s="259" t="s">
        <v>2348</v>
      </c>
      <c r="D81" s="243">
        <v>2023</v>
      </c>
      <c r="E81" s="251" t="s">
        <v>2349</v>
      </c>
      <c r="F81" s="243">
        <v>15</v>
      </c>
      <c r="G81" s="242" t="s">
        <v>4144</v>
      </c>
      <c r="H81" s="244">
        <v>529.58399999999995</v>
      </c>
      <c r="I81" s="244">
        <f t="shared" si="1"/>
        <v>7943.7599999999993</v>
      </c>
    </row>
    <row r="82" spans="1:9">
      <c r="A82" s="241">
        <v>46196</v>
      </c>
      <c r="B82" s="242" t="s">
        <v>4159</v>
      </c>
      <c r="C82" s="259" t="s">
        <v>838</v>
      </c>
      <c r="D82" s="243">
        <v>2017</v>
      </c>
      <c r="E82" s="251" t="s">
        <v>839</v>
      </c>
      <c r="F82" s="243">
        <v>6</v>
      </c>
      <c r="G82" s="242" t="s">
        <v>4144</v>
      </c>
      <c r="H82" s="244">
        <v>68.543999999999997</v>
      </c>
      <c r="I82" s="244">
        <f t="shared" si="1"/>
        <v>411.26400000000001</v>
      </c>
    </row>
    <row r="83" spans="1:9">
      <c r="A83" s="241">
        <v>46196</v>
      </c>
      <c r="B83" s="242" t="s">
        <v>4159</v>
      </c>
      <c r="C83" s="259" t="s">
        <v>832</v>
      </c>
      <c r="D83" s="243">
        <v>2017</v>
      </c>
      <c r="E83" s="251" t="s">
        <v>833</v>
      </c>
      <c r="F83" s="243">
        <v>6</v>
      </c>
      <c r="G83" s="242" t="s">
        <v>4144</v>
      </c>
      <c r="H83" s="244">
        <v>68.543999999999997</v>
      </c>
      <c r="I83" s="244">
        <f t="shared" si="1"/>
        <v>411.26400000000001</v>
      </c>
    </row>
    <row r="84" spans="1:9">
      <c r="A84" s="241">
        <v>46196</v>
      </c>
      <c r="B84" s="242" t="s">
        <v>4159</v>
      </c>
      <c r="C84" s="259" t="s">
        <v>1049</v>
      </c>
      <c r="D84" s="243">
        <v>2017</v>
      </c>
      <c r="E84" s="251" t="s">
        <v>1050</v>
      </c>
      <c r="F84" s="243">
        <v>6</v>
      </c>
      <c r="G84" s="242" t="s">
        <v>4147</v>
      </c>
      <c r="H84" s="244">
        <v>59.505600000000001</v>
      </c>
      <c r="I84" s="244">
        <f t="shared" si="1"/>
        <v>357.03359999999998</v>
      </c>
    </row>
    <row r="85" spans="1:9">
      <c r="A85" s="241">
        <v>46196</v>
      </c>
      <c r="B85" s="242" t="s">
        <v>4159</v>
      </c>
      <c r="C85" s="259" t="s">
        <v>828</v>
      </c>
      <c r="D85" s="243">
        <v>2017</v>
      </c>
      <c r="E85" s="251" t="s">
        <v>829</v>
      </c>
      <c r="F85" s="243">
        <v>25</v>
      </c>
      <c r="G85" s="242" t="s">
        <v>4144</v>
      </c>
      <c r="H85" s="244">
        <v>7.4816000000000003</v>
      </c>
      <c r="I85" s="244">
        <f t="shared" si="1"/>
        <v>187.04000000000002</v>
      </c>
    </row>
    <row r="86" spans="1:9">
      <c r="A86" s="241">
        <v>46196</v>
      </c>
      <c r="B86" s="242" t="s">
        <v>4159</v>
      </c>
      <c r="C86" s="259" t="s">
        <v>789</v>
      </c>
      <c r="D86" s="243">
        <v>2017</v>
      </c>
      <c r="E86" s="251" t="s">
        <v>790</v>
      </c>
      <c r="F86" s="243">
        <v>25</v>
      </c>
      <c r="G86" s="242" t="s">
        <v>4144</v>
      </c>
      <c r="H86" s="244">
        <v>7.4816000000000003</v>
      </c>
      <c r="I86" s="244">
        <f t="shared" si="1"/>
        <v>187.04000000000002</v>
      </c>
    </row>
    <row r="87" spans="1:9">
      <c r="A87" s="241">
        <v>46196</v>
      </c>
      <c r="B87" s="242" t="s">
        <v>4159</v>
      </c>
      <c r="C87" s="259" t="s">
        <v>984</v>
      </c>
      <c r="D87" s="243">
        <v>2017</v>
      </c>
      <c r="E87" s="251" t="s">
        <v>985</v>
      </c>
      <c r="F87" s="243">
        <v>25</v>
      </c>
      <c r="G87" s="242" t="s">
        <v>4144</v>
      </c>
      <c r="H87" s="244">
        <v>7.4816000000000003</v>
      </c>
      <c r="I87" s="244">
        <f t="shared" si="1"/>
        <v>187.04000000000002</v>
      </c>
    </row>
    <row r="88" spans="1:9">
      <c r="A88" s="241">
        <v>46196</v>
      </c>
      <c r="B88" s="242" t="s">
        <v>4159</v>
      </c>
      <c r="C88" s="259" t="s">
        <v>986</v>
      </c>
      <c r="D88" s="243">
        <v>2017</v>
      </c>
      <c r="E88" s="251" t="s">
        <v>987</v>
      </c>
      <c r="F88" s="243">
        <v>25</v>
      </c>
      <c r="G88" s="242" t="s">
        <v>4144</v>
      </c>
      <c r="H88" s="244">
        <v>7.4143999999999997</v>
      </c>
      <c r="I88" s="244">
        <f t="shared" si="1"/>
        <v>185.35999999999999</v>
      </c>
    </row>
    <row r="89" spans="1:9">
      <c r="A89" s="241">
        <v>46196</v>
      </c>
      <c r="B89" s="242" t="s">
        <v>4159</v>
      </c>
      <c r="C89" s="259" t="s">
        <v>1593</v>
      </c>
      <c r="D89" s="243">
        <v>2017</v>
      </c>
      <c r="E89" s="251" t="s">
        <v>1594</v>
      </c>
      <c r="F89" s="243">
        <v>48</v>
      </c>
      <c r="G89" s="242" t="s">
        <v>4144</v>
      </c>
      <c r="H89" s="244">
        <v>21.8817666666666</v>
      </c>
      <c r="I89" s="244">
        <f t="shared" si="1"/>
        <v>1050.3247999999967</v>
      </c>
    </row>
    <row r="90" spans="1:9">
      <c r="A90" s="241">
        <v>46196</v>
      </c>
      <c r="B90" s="242" t="s">
        <v>4159</v>
      </c>
      <c r="C90" s="259" t="s">
        <v>1597</v>
      </c>
      <c r="D90" s="243">
        <v>2017</v>
      </c>
      <c r="E90" s="251" t="s">
        <v>1598</v>
      </c>
      <c r="F90" s="243">
        <v>48</v>
      </c>
      <c r="G90" s="242" t="s">
        <v>4144</v>
      </c>
      <c r="H90" s="244">
        <v>21.8817666666666</v>
      </c>
      <c r="I90" s="244">
        <f t="shared" si="1"/>
        <v>1050.3247999999967</v>
      </c>
    </row>
    <row r="91" spans="1:9">
      <c r="A91" s="241">
        <v>46196</v>
      </c>
      <c r="B91" s="242" t="s">
        <v>4159</v>
      </c>
      <c r="C91" s="259" t="s">
        <v>1591</v>
      </c>
      <c r="D91" s="243">
        <v>2017</v>
      </c>
      <c r="E91" s="251" t="s">
        <v>1592</v>
      </c>
      <c r="F91" s="243">
        <v>48</v>
      </c>
      <c r="G91" s="242" t="s">
        <v>4144</v>
      </c>
      <c r="H91" s="244">
        <v>21.8817666666666</v>
      </c>
      <c r="I91" s="244">
        <f t="shared" si="1"/>
        <v>1050.3247999999967</v>
      </c>
    </row>
    <row r="92" spans="1:9">
      <c r="A92" s="241">
        <v>46196</v>
      </c>
      <c r="B92" s="242" t="s">
        <v>4159</v>
      </c>
      <c r="C92" s="259" t="s">
        <v>1599</v>
      </c>
      <c r="D92" s="243">
        <v>2017</v>
      </c>
      <c r="E92" s="251" t="s">
        <v>1600</v>
      </c>
      <c r="F92" s="243">
        <v>48</v>
      </c>
      <c r="G92" s="242" t="s">
        <v>4144</v>
      </c>
      <c r="H92" s="244">
        <v>21.8817666666666</v>
      </c>
      <c r="I92" s="244">
        <f t="shared" si="1"/>
        <v>1050.3247999999967</v>
      </c>
    </row>
    <row r="93" spans="1:9">
      <c r="A93" s="241">
        <v>46196</v>
      </c>
      <c r="B93" s="242" t="s">
        <v>4159</v>
      </c>
      <c r="C93" s="259" t="s">
        <v>1589</v>
      </c>
      <c r="D93" s="243">
        <v>2017</v>
      </c>
      <c r="E93" s="251" t="s">
        <v>1590</v>
      </c>
      <c r="F93" s="243">
        <v>48</v>
      </c>
      <c r="G93" s="242" t="s">
        <v>4144</v>
      </c>
      <c r="H93" s="244">
        <v>24.038466666666601</v>
      </c>
      <c r="I93" s="244">
        <f t="shared" si="1"/>
        <v>1153.8463999999967</v>
      </c>
    </row>
    <row r="94" spans="1:9">
      <c r="A94" s="241">
        <v>46196</v>
      </c>
      <c r="B94" s="242" t="s">
        <v>4159</v>
      </c>
      <c r="C94" s="259" t="s">
        <v>4848</v>
      </c>
      <c r="D94" s="243">
        <v>2017</v>
      </c>
      <c r="E94" s="251" t="s">
        <v>4849</v>
      </c>
      <c r="F94" s="243">
        <v>240</v>
      </c>
      <c r="G94" s="242" t="s">
        <v>4147</v>
      </c>
      <c r="H94" s="244">
        <v>9.2592733333333292</v>
      </c>
      <c r="I94" s="244">
        <f t="shared" si="1"/>
        <v>2222.2255999999988</v>
      </c>
    </row>
    <row r="95" spans="1:9">
      <c r="A95" s="241">
        <v>46196</v>
      </c>
      <c r="B95" s="242" t="s">
        <v>4159</v>
      </c>
      <c r="C95" s="259" t="s">
        <v>1343</v>
      </c>
      <c r="D95" s="243">
        <v>2017</v>
      </c>
      <c r="E95" s="251" t="s">
        <v>1344</v>
      </c>
      <c r="F95" s="243">
        <v>231</v>
      </c>
      <c r="G95" s="242" t="s">
        <v>4144</v>
      </c>
      <c r="H95" s="244">
        <v>11.0272969696969</v>
      </c>
      <c r="I95" s="244">
        <f t="shared" si="1"/>
        <v>2547.3055999999838</v>
      </c>
    </row>
    <row r="96" spans="1:9">
      <c r="A96" s="241">
        <v>46196</v>
      </c>
      <c r="B96" s="242" t="s">
        <v>4159</v>
      </c>
      <c r="C96" s="259" t="s">
        <v>536</v>
      </c>
      <c r="D96" s="243">
        <v>2017</v>
      </c>
      <c r="E96" s="251" t="s">
        <v>537</v>
      </c>
      <c r="F96" s="243">
        <v>100</v>
      </c>
      <c r="G96" s="242" t="s">
        <v>4144</v>
      </c>
      <c r="H96" s="244">
        <v>7.056</v>
      </c>
      <c r="I96" s="244">
        <f t="shared" si="1"/>
        <v>705.6</v>
      </c>
    </row>
    <row r="97" spans="1:9">
      <c r="A97" s="241">
        <v>46196</v>
      </c>
      <c r="B97" s="242" t="s">
        <v>4159</v>
      </c>
      <c r="C97" s="259" t="s">
        <v>614</v>
      </c>
      <c r="D97" s="243">
        <v>2017</v>
      </c>
      <c r="E97" s="251" t="s">
        <v>615</v>
      </c>
      <c r="F97" s="243">
        <v>80</v>
      </c>
      <c r="G97" s="242" t="s">
        <v>4144</v>
      </c>
      <c r="H97" s="244">
        <v>16.576000000000001</v>
      </c>
      <c r="I97" s="244">
        <f t="shared" si="1"/>
        <v>1326.08</v>
      </c>
    </row>
    <row r="98" spans="1:9">
      <c r="A98" s="241">
        <v>46196</v>
      </c>
      <c r="B98" s="242" t="s">
        <v>4159</v>
      </c>
      <c r="C98" s="259" t="s">
        <v>3586</v>
      </c>
      <c r="D98" s="243">
        <v>2017</v>
      </c>
      <c r="E98" s="251" t="s">
        <v>3587</v>
      </c>
      <c r="F98" s="243">
        <v>600</v>
      </c>
      <c r="G98" s="242" t="s">
        <v>4144</v>
      </c>
      <c r="H98" s="244">
        <v>13.2001333333333</v>
      </c>
      <c r="I98" s="244">
        <f t="shared" si="1"/>
        <v>7920.0799999999799</v>
      </c>
    </row>
    <row r="99" spans="1:9">
      <c r="A99" s="241">
        <v>46202</v>
      </c>
      <c r="B99" s="242" t="s">
        <v>4154</v>
      </c>
      <c r="C99" s="259" t="s">
        <v>3545</v>
      </c>
      <c r="D99" s="243">
        <v>2026</v>
      </c>
      <c r="E99" s="251" t="s">
        <v>3546</v>
      </c>
      <c r="F99" s="243">
        <v>1</v>
      </c>
      <c r="G99" s="242" t="s">
        <v>4144</v>
      </c>
      <c r="H99" s="244">
        <v>97.355999999999995</v>
      </c>
      <c r="I99" s="244">
        <f t="shared" si="1"/>
        <v>97.355999999999995</v>
      </c>
    </row>
    <row r="100" spans="1:9">
      <c r="A100" s="241">
        <v>46202</v>
      </c>
      <c r="B100" s="242" t="s">
        <v>4154</v>
      </c>
      <c r="C100" s="259" t="s">
        <v>3549</v>
      </c>
      <c r="D100" s="243">
        <v>2026</v>
      </c>
      <c r="E100" s="251" t="s">
        <v>3550</v>
      </c>
      <c r="F100" s="243">
        <v>1</v>
      </c>
      <c r="G100" s="242" t="s">
        <v>4144</v>
      </c>
      <c r="H100" s="244">
        <v>97.355999999999995</v>
      </c>
      <c r="I100" s="244">
        <f t="shared" si="1"/>
        <v>97.355999999999995</v>
      </c>
    </row>
    <row r="101" spans="1:9">
      <c r="A101" s="241">
        <v>46202</v>
      </c>
      <c r="B101" s="242" t="s">
        <v>4154</v>
      </c>
      <c r="C101" s="259" t="s">
        <v>3547</v>
      </c>
      <c r="D101" s="243">
        <v>2026</v>
      </c>
      <c r="E101" s="251" t="s">
        <v>3548</v>
      </c>
      <c r="F101" s="243">
        <v>1</v>
      </c>
      <c r="G101" s="242" t="s">
        <v>4144</v>
      </c>
      <c r="H101" s="244">
        <v>97.355999999999995</v>
      </c>
      <c r="I101" s="244">
        <f t="shared" si="1"/>
        <v>97.355999999999995</v>
      </c>
    </row>
    <row r="102" spans="1:9">
      <c r="A102" s="241">
        <v>46202</v>
      </c>
      <c r="B102" s="242" t="s">
        <v>4154</v>
      </c>
      <c r="C102" s="259" t="s">
        <v>3521</v>
      </c>
      <c r="D102" s="243">
        <v>2026</v>
      </c>
      <c r="E102" s="251" t="s">
        <v>3522</v>
      </c>
      <c r="F102" s="243">
        <v>24</v>
      </c>
      <c r="G102" s="242" t="s">
        <v>4144</v>
      </c>
      <c r="H102" s="244">
        <v>27.846</v>
      </c>
      <c r="I102" s="244">
        <f t="shared" si="1"/>
        <v>668.30399999999997</v>
      </c>
    </row>
    <row r="103" spans="1:9">
      <c r="A103" s="241">
        <v>46202</v>
      </c>
      <c r="B103" s="242" t="s">
        <v>4154</v>
      </c>
      <c r="C103" s="259" t="s">
        <v>3525</v>
      </c>
      <c r="D103" s="243">
        <v>2026</v>
      </c>
      <c r="E103" s="251" t="s">
        <v>3526</v>
      </c>
      <c r="F103" s="243">
        <v>24</v>
      </c>
      <c r="G103" s="242" t="s">
        <v>4144</v>
      </c>
      <c r="H103" s="244">
        <v>27.846</v>
      </c>
      <c r="I103" s="244">
        <f t="shared" si="1"/>
        <v>668.30399999999997</v>
      </c>
    </row>
    <row r="104" spans="1:9">
      <c r="A104" s="241">
        <v>46202</v>
      </c>
      <c r="B104" s="242" t="s">
        <v>4154</v>
      </c>
      <c r="C104" s="259" t="s">
        <v>3519</v>
      </c>
      <c r="D104" s="243">
        <v>2026</v>
      </c>
      <c r="E104" s="251" t="s">
        <v>3520</v>
      </c>
      <c r="F104" s="243">
        <v>24</v>
      </c>
      <c r="G104" s="242" t="s">
        <v>4144</v>
      </c>
      <c r="H104" s="244">
        <v>20.399799999999999</v>
      </c>
      <c r="I104" s="244">
        <f t="shared" si="1"/>
        <v>489.59519999999998</v>
      </c>
    </row>
    <row r="105" spans="1:9">
      <c r="A105" s="241">
        <v>46202</v>
      </c>
      <c r="B105" s="242" t="s">
        <v>4154</v>
      </c>
      <c r="C105" s="259" t="s">
        <v>3527</v>
      </c>
      <c r="D105" s="243">
        <v>2026</v>
      </c>
      <c r="E105" s="251" t="s">
        <v>3528</v>
      </c>
      <c r="F105" s="243">
        <v>24</v>
      </c>
      <c r="G105" s="242" t="s">
        <v>4144</v>
      </c>
      <c r="H105" s="244">
        <v>20.399799999999999</v>
      </c>
      <c r="I105" s="244">
        <f t="shared" si="1"/>
        <v>489.59519999999998</v>
      </c>
    </row>
    <row r="106" spans="1:9">
      <c r="A106" s="241">
        <v>46202</v>
      </c>
      <c r="B106" s="255" t="s">
        <v>4154</v>
      </c>
      <c r="C106" s="259" t="s">
        <v>3517</v>
      </c>
      <c r="D106" s="243">
        <v>2026</v>
      </c>
      <c r="E106" s="251" t="s">
        <v>3518</v>
      </c>
      <c r="F106" s="243">
        <v>24</v>
      </c>
      <c r="G106" s="242" t="s">
        <v>4144</v>
      </c>
      <c r="H106" s="244">
        <v>20.399799999999999</v>
      </c>
      <c r="I106" s="244">
        <f t="shared" si="1"/>
        <v>489.59519999999998</v>
      </c>
    </row>
    <row r="107" spans="1:9">
      <c r="A107" s="241">
        <v>46202</v>
      </c>
      <c r="B107" s="242" t="s">
        <v>4154</v>
      </c>
      <c r="C107" s="259" t="s">
        <v>3537</v>
      </c>
      <c r="D107" s="243">
        <v>2026</v>
      </c>
      <c r="E107" s="251" t="s">
        <v>3538</v>
      </c>
      <c r="F107" s="243">
        <v>16</v>
      </c>
      <c r="G107" s="242" t="s">
        <v>4144</v>
      </c>
      <c r="H107" s="244">
        <v>23.154599999999999</v>
      </c>
      <c r="I107" s="244">
        <f t="shared" si="1"/>
        <v>370.47359999999998</v>
      </c>
    </row>
    <row r="108" spans="1:9">
      <c r="A108" s="241">
        <v>46202</v>
      </c>
      <c r="B108" s="242" t="s">
        <v>4154</v>
      </c>
      <c r="C108" s="259" t="s">
        <v>3531</v>
      </c>
      <c r="D108" s="243">
        <v>2026</v>
      </c>
      <c r="E108" s="251" t="s">
        <v>3532</v>
      </c>
      <c r="F108" s="243">
        <v>16</v>
      </c>
      <c r="G108" s="242" t="s">
        <v>4144</v>
      </c>
      <c r="H108" s="244">
        <v>18.564</v>
      </c>
      <c r="I108" s="244">
        <f t="shared" si="1"/>
        <v>297.024</v>
      </c>
    </row>
    <row r="109" spans="1:9">
      <c r="A109" s="241">
        <v>46202</v>
      </c>
      <c r="B109" s="242" t="s">
        <v>4154</v>
      </c>
      <c r="C109" s="259" t="s">
        <v>4171</v>
      </c>
      <c r="D109" s="243">
        <v>2026</v>
      </c>
      <c r="E109" s="251" t="s">
        <v>4172</v>
      </c>
      <c r="F109" s="243">
        <v>30</v>
      </c>
      <c r="G109" s="242" t="s">
        <v>4144</v>
      </c>
      <c r="H109" s="244">
        <v>9.2717299999999998</v>
      </c>
      <c r="I109" s="244">
        <f t="shared" si="1"/>
        <v>278.15190000000001</v>
      </c>
    </row>
    <row r="110" spans="1:9">
      <c r="A110" s="241">
        <v>46202</v>
      </c>
      <c r="B110" s="255" t="s">
        <v>4154</v>
      </c>
      <c r="C110" s="259" t="s">
        <v>3511</v>
      </c>
      <c r="D110" s="243">
        <v>2026</v>
      </c>
      <c r="E110" s="251" t="s">
        <v>3512</v>
      </c>
      <c r="F110" s="243">
        <v>30</v>
      </c>
      <c r="G110" s="242" t="s">
        <v>4144</v>
      </c>
      <c r="H110" s="244">
        <v>9.2810000000000006</v>
      </c>
      <c r="I110" s="244">
        <f t="shared" si="1"/>
        <v>278.43</v>
      </c>
    </row>
    <row r="111" spans="1:9">
      <c r="A111" s="241">
        <v>46202</v>
      </c>
      <c r="B111" s="242" t="s">
        <v>4154</v>
      </c>
      <c r="C111" s="259" t="s">
        <v>4370</v>
      </c>
      <c r="D111" s="243">
        <v>2026</v>
      </c>
      <c r="E111" s="251" t="s">
        <v>4372</v>
      </c>
      <c r="F111" s="243">
        <v>30</v>
      </c>
      <c r="G111" s="242" t="s">
        <v>4144</v>
      </c>
      <c r="H111" s="244">
        <v>9.2810000000000006</v>
      </c>
      <c r="I111" s="244">
        <f t="shared" si="1"/>
        <v>278.43</v>
      </c>
    </row>
    <row r="112" spans="1:9">
      <c r="A112" s="241">
        <v>46202</v>
      </c>
      <c r="B112" s="255" t="s">
        <v>4154</v>
      </c>
      <c r="C112" s="259" t="s">
        <v>4525</v>
      </c>
      <c r="D112" s="243">
        <v>2026</v>
      </c>
      <c r="E112" s="251" t="s">
        <v>4527</v>
      </c>
      <c r="F112" s="243">
        <v>24</v>
      </c>
      <c r="G112" s="242" t="s">
        <v>4144</v>
      </c>
      <c r="H112" s="244">
        <v>20.399000000000001</v>
      </c>
      <c r="I112" s="244">
        <f t="shared" si="1"/>
        <v>489.57600000000002</v>
      </c>
    </row>
    <row r="113" spans="1:9">
      <c r="A113" s="241">
        <v>46202</v>
      </c>
      <c r="B113" s="242" t="s">
        <v>4154</v>
      </c>
      <c r="C113" s="259" t="s">
        <v>3579</v>
      </c>
      <c r="D113" s="243">
        <v>2026</v>
      </c>
      <c r="E113" s="251" t="s">
        <v>3580</v>
      </c>
      <c r="F113" s="243">
        <v>24</v>
      </c>
      <c r="G113" s="242" t="s">
        <v>4144</v>
      </c>
      <c r="H113" s="244">
        <v>23.204999999999998</v>
      </c>
      <c r="I113" s="244">
        <f t="shared" si="1"/>
        <v>556.91999999999996</v>
      </c>
    </row>
    <row r="114" spans="1:9">
      <c r="A114" s="241">
        <v>46202</v>
      </c>
      <c r="B114" s="242" t="s">
        <v>4154</v>
      </c>
      <c r="C114" s="259" t="s">
        <v>4993</v>
      </c>
      <c r="D114" s="243">
        <v>2026</v>
      </c>
      <c r="E114" s="251" t="s">
        <v>4980</v>
      </c>
      <c r="F114" s="243">
        <v>2</v>
      </c>
      <c r="G114" s="242" t="s">
        <v>4144</v>
      </c>
      <c r="H114" s="244">
        <v>97.355999999999995</v>
      </c>
      <c r="I114" s="244">
        <f t="shared" si="1"/>
        <v>194.71199999999999</v>
      </c>
    </row>
    <row r="115" spans="1:9">
      <c r="A115" s="241">
        <v>46202</v>
      </c>
      <c r="B115" s="242" t="s">
        <v>4154</v>
      </c>
      <c r="C115" s="259" t="s">
        <v>3545</v>
      </c>
      <c r="D115" s="243">
        <v>2026</v>
      </c>
      <c r="E115" s="251" t="s">
        <v>3546</v>
      </c>
      <c r="F115" s="243">
        <v>2</v>
      </c>
      <c r="G115" s="242" t="s">
        <v>4144</v>
      </c>
      <c r="H115" s="244">
        <v>97.355999999999995</v>
      </c>
      <c r="I115" s="244">
        <f t="shared" si="1"/>
        <v>194.71199999999999</v>
      </c>
    </row>
    <row r="116" spans="1:9">
      <c r="A116" s="241">
        <v>46202</v>
      </c>
      <c r="B116" s="242" t="s">
        <v>4154</v>
      </c>
      <c r="C116" s="259" t="s">
        <v>3547</v>
      </c>
      <c r="D116" s="243">
        <v>2026</v>
      </c>
      <c r="E116" s="251" t="s">
        <v>3548</v>
      </c>
      <c r="F116" s="243">
        <v>2</v>
      </c>
      <c r="G116" s="242" t="s">
        <v>4144</v>
      </c>
      <c r="H116" s="244">
        <v>97.355999999999995</v>
      </c>
      <c r="I116" s="244">
        <f t="shared" si="1"/>
        <v>194.71199999999999</v>
      </c>
    </row>
    <row r="117" spans="1:9">
      <c r="A117" s="241">
        <v>46202</v>
      </c>
      <c r="B117" s="242" t="s">
        <v>4154</v>
      </c>
      <c r="C117" s="259" t="s">
        <v>4994</v>
      </c>
      <c r="D117" s="243">
        <v>2026</v>
      </c>
      <c r="E117" s="251" t="s">
        <v>4981</v>
      </c>
      <c r="F117" s="243">
        <v>2</v>
      </c>
      <c r="G117" s="242" t="s">
        <v>4144</v>
      </c>
      <c r="H117" s="244">
        <v>115.87</v>
      </c>
      <c r="I117" s="244">
        <f t="shared" si="1"/>
        <v>231.74</v>
      </c>
    </row>
    <row r="118" spans="1:9">
      <c r="A118" s="241">
        <v>46202</v>
      </c>
      <c r="B118" s="242" t="s">
        <v>4154</v>
      </c>
      <c r="C118" s="259" t="s">
        <v>3549</v>
      </c>
      <c r="D118" s="243">
        <v>2026</v>
      </c>
      <c r="E118" s="251" t="s">
        <v>3550</v>
      </c>
      <c r="F118" s="243">
        <v>2</v>
      </c>
      <c r="G118" s="242" t="s">
        <v>4144</v>
      </c>
      <c r="H118" s="244">
        <v>97.355999999999995</v>
      </c>
      <c r="I118" s="244">
        <f t="shared" si="1"/>
        <v>194.71199999999999</v>
      </c>
    </row>
    <row r="119" spans="1:9">
      <c r="A119" s="241">
        <v>46202</v>
      </c>
      <c r="B119" s="242" t="s">
        <v>4154</v>
      </c>
      <c r="C119" s="259" t="s">
        <v>4155</v>
      </c>
      <c r="D119" s="243">
        <v>2026</v>
      </c>
      <c r="E119" s="251" t="s">
        <v>4131</v>
      </c>
      <c r="F119" s="243">
        <v>2</v>
      </c>
      <c r="G119" s="242" t="s">
        <v>4144</v>
      </c>
      <c r="H119" s="244">
        <v>115.87</v>
      </c>
      <c r="I119" s="244">
        <f t="shared" si="1"/>
        <v>231.74</v>
      </c>
    </row>
    <row r="120" spans="1:9">
      <c r="A120" s="241">
        <v>46202</v>
      </c>
      <c r="B120" s="255" t="s">
        <v>4154</v>
      </c>
      <c r="C120" s="259" t="s">
        <v>3541</v>
      </c>
      <c r="D120" s="243">
        <v>2026</v>
      </c>
      <c r="E120" s="251" t="s">
        <v>3542</v>
      </c>
      <c r="F120" s="243">
        <v>2</v>
      </c>
      <c r="G120" s="242" t="s">
        <v>4144</v>
      </c>
      <c r="H120" s="244">
        <v>115.875</v>
      </c>
      <c r="I120" s="244">
        <f t="shared" si="1"/>
        <v>231.75</v>
      </c>
    </row>
    <row r="121" spans="1:9">
      <c r="A121" s="241">
        <v>46202</v>
      </c>
      <c r="B121" s="242" t="s">
        <v>4154</v>
      </c>
      <c r="C121" s="259" t="s">
        <v>3525</v>
      </c>
      <c r="D121" s="243">
        <v>2026</v>
      </c>
      <c r="E121" s="251" t="s">
        <v>3526</v>
      </c>
      <c r="F121" s="243">
        <v>24</v>
      </c>
      <c r="G121" s="242" t="s">
        <v>4144</v>
      </c>
      <c r="H121" s="244">
        <v>27.85</v>
      </c>
      <c r="I121" s="244">
        <f t="shared" si="1"/>
        <v>668.40000000000009</v>
      </c>
    </row>
    <row r="122" spans="1:9">
      <c r="A122" s="241">
        <v>46203</v>
      </c>
      <c r="B122" s="242" t="s">
        <v>4146</v>
      </c>
      <c r="C122" s="259" t="s">
        <v>886</v>
      </c>
      <c r="D122" s="243">
        <v>2027</v>
      </c>
      <c r="E122" s="251" t="s">
        <v>887</v>
      </c>
      <c r="F122" s="243">
        <v>1</v>
      </c>
      <c r="G122" s="242" t="s">
        <v>4144</v>
      </c>
      <c r="H122" s="244">
        <v>58.45</v>
      </c>
      <c r="I122" s="244">
        <f t="shared" si="1"/>
        <v>58.45</v>
      </c>
    </row>
    <row r="123" spans="1:9">
      <c r="A123" s="241">
        <v>46203</v>
      </c>
      <c r="B123" s="242" t="s">
        <v>4146</v>
      </c>
      <c r="C123" s="259" t="s">
        <v>888</v>
      </c>
      <c r="D123" s="243">
        <v>2027</v>
      </c>
      <c r="E123" s="251" t="s">
        <v>889</v>
      </c>
      <c r="F123" s="243">
        <v>2</v>
      </c>
      <c r="G123" s="242" t="s">
        <v>4144</v>
      </c>
      <c r="H123" s="244">
        <v>84.8</v>
      </c>
      <c r="I123" s="244">
        <f t="shared" si="1"/>
        <v>169.6</v>
      </c>
    </row>
    <row r="124" spans="1:9">
      <c r="A124" s="241">
        <v>46203</v>
      </c>
      <c r="B124" s="242" t="s">
        <v>4146</v>
      </c>
      <c r="C124" s="259" t="s">
        <v>878</v>
      </c>
      <c r="D124" s="243">
        <v>2027</v>
      </c>
      <c r="E124" s="251" t="s">
        <v>879</v>
      </c>
      <c r="F124" s="243">
        <v>3</v>
      </c>
      <c r="G124" s="242" t="s">
        <v>4144</v>
      </c>
      <c r="H124" s="244">
        <v>40.950000000000003</v>
      </c>
      <c r="I124" s="244">
        <f t="shared" si="1"/>
        <v>122.85000000000001</v>
      </c>
    </row>
    <row r="125" spans="1:9">
      <c r="A125" s="241">
        <v>46203</v>
      </c>
      <c r="B125" s="242" t="s">
        <v>4962</v>
      </c>
      <c r="C125" s="259" t="s">
        <v>3398</v>
      </c>
      <c r="D125" s="243">
        <v>2027</v>
      </c>
      <c r="E125" s="251" t="s">
        <v>3399</v>
      </c>
      <c r="F125" s="243">
        <v>20</v>
      </c>
      <c r="G125" s="242" t="s">
        <v>4144</v>
      </c>
      <c r="H125" s="244">
        <v>90</v>
      </c>
      <c r="I125" s="244">
        <f t="shared" si="1"/>
        <v>1800</v>
      </c>
    </row>
    <row r="126" spans="1:9">
      <c r="A126" s="241">
        <v>46203</v>
      </c>
      <c r="B126" s="242" t="s">
        <v>4962</v>
      </c>
      <c r="C126" s="259" t="s">
        <v>701</v>
      </c>
      <c r="D126" s="243">
        <v>2027</v>
      </c>
      <c r="E126" s="251" t="s">
        <v>702</v>
      </c>
      <c r="F126" s="243">
        <v>6</v>
      </c>
      <c r="G126" s="242" t="s">
        <v>4144</v>
      </c>
      <c r="H126" s="244">
        <v>60</v>
      </c>
      <c r="I126" s="244">
        <f t="shared" si="1"/>
        <v>360</v>
      </c>
    </row>
    <row r="127" spans="1:9">
      <c r="A127" s="241">
        <v>46203</v>
      </c>
      <c r="B127" s="242" t="s">
        <v>4161</v>
      </c>
      <c r="C127" s="259" t="s">
        <v>931</v>
      </c>
      <c r="D127" s="243">
        <v>2027</v>
      </c>
      <c r="E127" s="251" t="s">
        <v>932</v>
      </c>
      <c r="F127" s="243">
        <v>5</v>
      </c>
      <c r="G127" s="242" t="s">
        <v>4144</v>
      </c>
      <c r="H127" s="244">
        <v>57.4</v>
      </c>
      <c r="I127" s="244">
        <f t="shared" si="1"/>
        <v>287</v>
      </c>
    </row>
    <row r="128" spans="1:9">
      <c r="A128" s="241">
        <v>46203</v>
      </c>
      <c r="B128" s="242" t="s">
        <v>4161</v>
      </c>
      <c r="C128" s="259" t="s">
        <v>4995</v>
      </c>
      <c r="D128" s="243">
        <v>2027</v>
      </c>
      <c r="E128" s="251" t="s">
        <v>4982</v>
      </c>
      <c r="F128" s="243">
        <v>6</v>
      </c>
      <c r="G128" s="242" t="s">
        <v>4144</v>
      </c>
      <c r="H128" s="244">
        <v>61.75</v>
      </c>
      <c r="I128" s="244">
        <f t="shared" si="1"/>
        <v>370.5</v>
      </c>
    </row>
    <row r="129" spans="1:9">
      <c r="A129" s="241">
        <v>46203</v>
      </c>
      <c r="B129" s="242" t="s">
        <v>4161</v>
      </c>
      <c r="C129" s="259" t="s">
        <v>817</v>
      </c>
      <c r="D129" s="243">
        <v>2027</v>
      </c>
      <c r="E129" s="251" t="s">
        <v>818</v>
      </c>
      <c r="F129" s="243">
        <v>6</v>
      </c>
      <c r="G129" s="242" t="s">
        <v>4144</v>
      </c>
      <c r="H129" s="244">
        <v>61.5</v>
      </c>
      <c r="I129" s="244">
        <f t="shared" si="1"/>
        <v>369</v>
      </c>
    </row>
    <row r="130" spans="1:9">
      <c r="A130" s="241">
        <v>46203</v>
      </c>
      <c r="B130" s="255" t="s">
        <v>4161</v>
      </c>
      <c r="C130" s="259" t="s">
        <v>809</v>
      </c>
      <c r="D130" s="243">
        <v>2027</v>
      </c>
      <c r="E130" s="251" t="s">
        <v>810</v>
      </c>
      <c r="F130" s="243">
        <v>10</v>
      </c>
      <c r="G130" s="242" t="s">
        <v>4144</v>
      </c>
      <c r="H130" s="244">
        <v>44.8</v>
      </c>
      <c r="I130" s="244">
        <f t="shared" si="1"/>
        <v>448</v>
      </c>
    </row>
    <row r="131" spans="1:9">
      <c r="A131" s="241">
        <v>46203</v>
      </c>
      <c r="B131" s="242" t="s">
        <v>4161</v>
      </c>
      <c r="C131" s="259" t="s">
        <v>4996</v>
      </c>
      <c r="D131" s="243">
        <v>2027</v>
      </c>
      <c r="E131" s="251" t="s">
        <v>4983</v>
      </c>
      <c r="F131" s="243">
        <v>6</v>
      </c>
      <c r="G131" s="242" t="s">
        <v>4144</v>
      </c>
      <c r="H131" s="244">
        <v>61.5</v>
      </c>
      <c r="I131" s="244">
        <f t="shared" si="1"/>
        <v>369</v>
      </c>
    </row>
    <row r="132" spans="1:9">
      <c r="A132" s="241">
        <v>46203</v>
      </c>
      <c r="B132" s="242" t="s">
        <v>4161</v>
      </c>
      <c r="C132" s="259" t="s">
        <v>4908</v>
      </c>
      <c r="D132" s="243">
        <v>2027</v>
      </c>
      <c r="E132" s="251" t="s">
        <v>4909</v>
      </c>
      <c r="F132" s="243">
        <v>10</v>
      </c>
      <c r="G132" s="242" t="s">
        <v>4144</v>
      </c>
      <c r="H132" s="244">
        <v>25</v>
      </c>
      <c r="I132" s="244">
        <f t="shared" si="1"/>
        <v>250</v>
      </c>
    </row>
    <row r="133" spans="1:9">
      <c r="A133" s="241"/>
      <c r="B133" s="255"/>
      <c r="C133" s="255"/>
      <c r="D133" s="243"/>
      <c r="E133" s="251"/>
      <c r="F133" s="273">
        <f>SUM(F4:F132)</f>
        <v>4042</v>
      </c>
      <c r="G133" s="243"/>
      <c r="H133" s="256">
        <f t="shared" ref="H133:I133" si="2">SUM(H4:H132)</f>
        <v>15456.592618636361</v>
      </c>
      <c r="I133" s="256">
        <f t="shared" si="2"/>
        <v>125669.26133999992</v>
      </c>
    </row>
    <row r="134" spans="1:9">
      <c r="A134" s="213"/>
      <c r="B134" s="38"/>
      <c r="C134" s="38"/>
      <c r="D134" s="212"/>
      <c r="E134" s="247"/>
      <c r="F134" s="212"/>
      <c r="G134" s="38"/>
    </row>
    <row r="135" spans="1:9">
      <c r="A135" s="213"/>
      <c r="B135" s="38"/>
      <c r="C135" s="38"/>
      <c r="D135" s="212"/>
      <c r="E135" s="247"/>
      <c r="F135" s="212"/>
      <c r="G135" s="38"/>
    </row>
    <row r="136" spans="1:9">
      <c r="A136" s="213"/>
      <c r="B136" s="38"/>
      <c r="C136" s="38"/>
      <c r="D136" s="212"/>
      <c r="E136" s="247"/>
      <c r="F136" s="212"/>
      <c r="G136" s="38"/>
    </row>
    <row r="137" spans="1:9">
      <c r="A137" s="213"/>
      <c r="B137" s="38"/>
      <c r="C137" s="38"/>
      <c r="D137" s="212"/>
      <c r="E137" s="247"/>
      <c r="F137" s="212"/>
      <c r="G137" s="38"/>
    </row>
    <row r="138" spans="1:9">
      <c r="A138" s="213"/>
      <c r="B138" s="214"/>
      <c r="C138" s="214"/>
      <c r="D138" s="212"/>
      <c r="E138" s="247"/>
      <c r="F138" s="212"/>
      <c r="G138" s="38"/>
    </row>
    <row r="139" spans="1:9">
      <c r="A139" s="213"/>
      <c r="B139" s="38"/>
      <c r="C139" s="38"/>
      <c r="D139" s="212"/>
      <c r="E139" s="247"/>
      <c r="F139" s="212"/>
      <c r="G139" s="38"/>
    </row>
    <row r="140" spans="1:9">
      <c r="A140" s="213"/>
      <c r="B140" s="38"/>
      <c r="C140" s="38"/>
      <c r="D140" s="212"/>
      <c r="E140" s="247"/>
      <c r="F140" s="212"/>
      <c r="G140" s="38"/>
    </row>
    <row r="141" spans="1:9">
      <c r="A141" s="213"/>
      <c r="B141" s="38"/>
      <c r="C141" s="38"/>
      <c r="D141" s="212"/>
      <c r="E141" s="247"/>
      <c r="F141" s="212"/>
      <c r="G141" s="38"/>
    </row>
    <row r="142" spans="1:9">
      <c r="A142" s="213"/>
      <c r="B142" s="214"/>
      <c r="C142" s="214"/>
      <c r="D142" s="212"/>
      <c r="E142" s="247"/>
      <c r="F142" s="212"/>
      <c r="G142" s="38"/>
    </row>
    <row r="143" spans="1:9">
      <c r="A143" s="213"/>
      <c r="B143" s="38"/>
      <c r="C143" s="38"/>
      <c r="D143" s="212"/>
      <c r="E143" s="247"/>
      <c r="F143" s="212"/>
      <c r="G143" s="38"/>
    </row>
    <row r="144" spans="1:9">
      <c r="A144" s="213"/>
      <c r="B144" s="214"/>
      <c r="C144" s="214"/>
      <c r="D144" s="212"/>
      <c r="E144" s="247"/>
      <c r="F144" s="212"/>
      <c r="G144" s="38"/>
    </row>
    <row r="145" spans="1:7">
      <c r="A145" s="213"/>
      <c r="B145" s="38"/>
      <c r="C145" s="38"/>
      <c r="D145" s="212"/>
      <c r="E145" s="247"/>
      <c r="F145" s="212"/>
      <c r="G145" s="38"/>
    </row>
    <row r="146" spans="1:7">
      <c r="A146" s="213"/>
      <c r="B146" s="38"/>
      <c r="C146" s="38"/>
      <c r="D146" s="212"/>
      <c r="E146" s="247"/>
      <c r="F146" s="212"/>
      <c r="G146" s="38"/>
    </row>
    <row r="147" spans="1:7">
      <c r="A147" s="213"/>
      <c r="B147" s="38"/>
      <c r="C147" s="38"/>
      <c r="D147" s="212"/>
      <c r="E147" s="247"/>
      <c r="F147" s="212"/>
      <c r="G147" s="38"/>
    </row>
    <row r="148" spans="1:7">
      <c r="A148" s="213"/>
      <c r="B148" s="38"/>
      <c r="C148" s="38"/>
      <c r="D148" s="212"/>
      <c r="E148" s="247"/>
      <c r="F148" s="212"/>
      <c r="G148" s="38"/>
    </row>
    <row r="149" spans="1:7">
      <c r="A149" s="213"/>
      <c r="B149" s="38"/>
      <c r="C149" s="38"/>
      <c r="D149" s="212"/>
      <c r="E149" s="247"/>
      <c r="F149" s="212"/>
      <c r="G149" s="38"/>
    </row>
    <row r="150" spans="1:7">
      <c r="A150" s="213"/>
      <c r="B150" s="38"/>
      <c r="C150" s="38"/>
      <c r="D150" s="212"/>
      <c r="E150" s="247"/>
      <c r="F150" s="212"/>
      <c r="G150" s="38"/>
    </row>
    <row r="151" spans="1:7">
      <c r="A151" s="213"/>
      <c r="B151" s="38"/>
      <c r="C151" s="38"/>
      <c r="D151" s="212"/>
      <c r="E151" s="247"/>
      <c r="F151" s="212"/>
      <c r="G151" s="38"/>
    </row>
    <row r="152" spans="1:7">
      <c r="A152" s="213"/>
      <c r="B152" s="38"/>
      <c r="C152" s="38"/>
      <c r="D152" s="212"/>
      <c r="E152" s="247"/>
      <c r="F152" s="212"/>
      <c r="G152" s="38"/>
    </row>
    <row r="153" spans="1:7">
      <c r="A153" s="213"/>
      <c r="B153" s="38"/>
      <c r="C153" s="38"/>
      <c r="D153" s="212"/>
      <c r="E153" s="247"/>
      <c r="F153" s="212"/>
      <c r="G153" s="38"/>
    </row>
    <row r="154" spans="1:7">
      <c r="A154" s="213"/>
      <c r="B154" s="38"/>
      <c r="C154" s="38"/>
      <c r="D154" s="212"/>
      <c r="E154" s="247"/>
      <c r="F154" s="212"/>
      <c r="G154" s="38"/>
    </row>
    <row r="155" spans="1:7">
      <c r="A155" s="213"/>
      <c r="B155" s="38"/>
      <c r="C155" s="38"/>
      <c r="D155" s="212"/>
      <c r="E155" s="247"/>
      <c r="F155" s="212"/>
      <c r="G155" s="38"/>
    </row>
    <row r="156" spans="1:7">
      <c r="A156" s="213"/>
      <c r="B156" s="38"/>
      <c r="C156" s="38"/>
      <c r="D156" s="212"/>
      <c r="E156" s="247"/>
      <c r="F156" s="212"/>
      <c r="G156" s="38"/>
    </row>
    <row r="157" spans="1:7">
      <c r="A157" s="213"/>
      <c r="B157" s="38"/>
      <c r="C157" s="38"/>
      <c r="D157" s="212"/>
      <c r="E157" s="247"/>
      <c r="F157" s="212"/>
      <c r="G157" s="38"/>
    </row>
    <row r="158" spans="1:7">
      <c r="A158" s="213"/>
      <c r="B158" s="38"/>
      <c r="C158" s="38"/>
      <c r="D158" s="212"/>
      <c r="E158" s="247"/>
      <c r="F158" s="212"/>
      <c r="G158" s="38"/>
    </row>
    <row r="159" spans="1:7">
      <c r="A159" s="213"/>
      <c r="B159" s="214"/>
      <c r="C159" s="214"/>
      <c r="D159" s="212"/>
      <c r="E159" s="247"/>
      <c r="F159" s="212"/>
      <c r="G159" s="38"/>
    </row>
    <row r="160" spans="1:7">
      <c r="A160" s="213"/>
      <c r="B160" s="38"/>
      <c r="C160" s="38"/>
      <c r="D160" s="212"/>
      <c r="E160" s="247"/>
      <c r="F160" s="212"/>
      <c r="G160" s="38"/>
    </row>
    <row r="161" spans="1:7">
      <c r="A161" s="213"/>
      <c r="B161" s="38"/>
      <c r="C161" s="38"/>
      <c r="D161" s="212"/>
      <c r="E161" s="247"/>
      <c r="F161" s="212"/>
      <c r="G161" s="38"/>
    </row>
    <row r="162" spans="1:7">
      <c r="A162" s="213"/>
      <c r="B162" s="38"/>
      <c r="C162" s="38"/>
      <c r="D162" s="212"/>
      <c r="E162" s="247"/>
      <c r="F162" s="212"/>
      <c r="G162" s="38"/>
    </row>
    <row r="163" spans="1:7">
      <c r="A163" s="213"/>
      <c r="B163" s="38"/>
      <c r="C163" s="38"/>
      <c r="D163" s="212"/>
      <c r="E163" s="247"/>
      <c r="F163" s="212"/>
      <c r="G163" s="38"/>
    </row>
    <row r="164" spans="1:7">
      <c r="A164" s="213"/>
      <c r="B164" s="38"/>
      <c r="C164" s="38"/>
      <c r="D164" s="212"/>
      <c r="E164" s="247"/>
      <c r="F164" s="212"/>
      <c r="G164" s="38"/>
    </row>
    <row r="165" spans="1:7">
      <c r="A165" s="213"/>
      <c r="B165" s="38"/>
      <c r="C165" s="38"/>
      <c r="D165" s="212"/>
      <c r="E165" s="247"/>
      <c r="F165" s="212"/>
      <c r="G165" s="38"/>
    </row>
    <row r="166" spans="1:7">
      <c r="A166" s="213"/>
      <c r="B166" s="38"/>
      <c r="C166" s="38"/>
      <c r="D166" s="212"/>
      <c r="E166" s="247"/>
      <c r="F166" s="212"/>
      <c r="G166" s="38"/>
    </row>
    <row r="167" spans="1:7">
      <c r="A167" s="213"/>
      <c r="B167" s="214"/>
      <c r="C167" s="214"/>
      <c r="D167" s="212"/>
      <c r="E167" s="247"/>
      <c r="F167" s="212"/>
      <c r="G167" s="38"/>
    </row>
    <row r="168" spans="1:7">
      <c r="A168" s="213"/>
      <c r="B168" s="38"/>
      <c r="C168" s="38"/>
      <c r="D168" s="212"/>
      <c r="E168" s="247"/>
      <c r="F168" s="212"/>
      <c r="G168" s="38"/>
    </row>
    <row r="169" spans="1:7">
      <c r="A169" s="213"/>
      <c r="B169" s="38"/>
      <c r="C169" s="38"/>
      <c r="D169" s="212"/>
      <c r="E169" s="247"/>
      <c r="F169" s="212"/>
      <c r="G169" s="38"/>
    </row>
    <row r="170" spans="1:7">
      <c r="A170" s="213"/>
      <c r="B170" s="38"/>
      <c r="C170" s="38"/>
      <c r="D170" s="212"/>
      <c r="E170" s="247"/>
      <c r="F170" s="212"/>
      <c r="G170" s="38"/>
    </row>
    <row r="171" spans="1:7">
      <c r="A171" s="213"/>
      <c r="B171" s="38"/>
      <c r="C171" s="38"/>
      <c r="D171" s="212"/>
      <c r="E171" s="247"/>
      <c r="F171" s="212"/>
      <c r="G171" s="38"/>
    </row>
    <row r="172" spans="1:7">
      <c r="A172" s="215"/>
      <c r="B172" s="38"/>
      <c r="C172" s="38"/>
      <c r="D172" s="212"/>
      <c r="E172" s="247"/>
      <c r="F172" s="212"/>
      <c r="G172" s="38"/>
    </row>
    <row r="173" spans="1:7">
      <c r="A173" s="213"/>
      <c r="B173" s="214"/>
      <c r="C173" s="214"/>
      <c r="D173" s="212"/>
      <c r="E173" s="247"/>
      <c r="F173" s="212"/>
      <c r="G173" s="38"/>
    </row>
    <row r="174" spans="1:7">
      <c r="A174" s="213"/>
      <c r="B174" s="38"/>
      <c r="C174" s="38"/>
      <c r="D174" s="212"/>
      <c r="E174" s="247"/>
      <c r="F174" s="212"/>
      <c r="G174" s="38"/>
    </row>
    <row r="175" spans="1:7">
      <c r="A175" s="213"/>
      <c r="B175" s="214"/>
      <c r="C175" s="214"/>
      <c r="D175" s="212"/>
      <c r="E175" s="247"/>
      <c r="F175" s="212"/>
      <c r="G175" s="38"/>
    </row>
    <row r="176" spans="1:7">
      <c r="A176" s="213"/>
      <c r="B176" s="38"/>
      <c r="C176" s="38"/>
      <c r="D176" s="212"/>
      <c r="E176" s="247"/>
      <c r="F176" s="212"/>
      <c r="G176" s="38"/>
    </row>
    <row r="177" spans="1:7">
      <c r="A177" s="38"/>
      <c r="B177" s="38"/>
      <c r="C177" s="38"/>
      <c r="D177" s="212"/>
      <c r="E177" s="247"/>
      <c r="F177" s="212"/>
      <c r="G177" s="38"/>
    </row>
    <row r="178" spans="1:7">
      <c r="A178" s="38"/>
      <c r="B178" s="38"/>
      <c r="C178" s="38"/>
      <c r="D178" s="212"/>
      <c r="E178" s="247"/>
      <c r="F178" s="212"/>
      <c r="G178" s="38"/>
    </row>
  </sheetData>
  <autoFilter ref="A3:J133" xr:uid="{9BC14642-28F3-4BCD-A3CB-04070708321C}"/>
  <mergeCells count="2">
    <mergeCell ref="A1:I1"/>
    <mergeCell ref="A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87C8-997F-498A-86CA-06EE5D12682E}">
  <sheetPr>
    <tabColor rgb="FF92D050"/>
  </sheetPr>
  <dimension ref="A1:F75"/>
  <sheetViews>
    <sheetView topLeftCell="A10" workbookViewId="0">
      <selection activeCell="E30" sqref="E30"/>
    </sheetView>
  </sheetViews>
  <sheetFormatPr defaultRowHeight="15"/>
  <cols>
    <col min="1" max="1" width="13.140625" style="175" customWidth="1"/>
    <col min="2" max="2" width="22" customWidth="1"/>
    <col min="3" max="3" width="17.5703125" customWidth="1"/>
    <col min="4" max="4" width="43.28515625" customWidth="1"/>
    <col min="5" max="5" width="10" style="4" customWidth="1"/>
  </cols>
  <sheetData>
    <row r="1" spans="1:6">
      <c r="A1" s="354" t="s">
        <v>4166</v>
      </c>
      <c r="B1" s="354"/>
      <c r="C1" s="354"/>
      <c r="D1" s="354"/>
      <c r="E1" s="354"/>
    </row>
    <row r="2" spans="1:6">
      <c r="A2" s="354" t="str">
        <f>PRINTING!B2</f>
        <v>AS OF JUNE 2026</v>
      </c>
      <c r="B2" s="354"/>
      <c r="C2" s="354"/>
      <c r="D2" s="354"/>
      <c r="E2" s="354"/>
    </row>
    <row r="3" spans="1:6" s="4" customFormat="1">
      <c r="A3" s="173" t="s">
        <v>4140</v>
      </c>
      <c r="B3" s="174" t="s">
        <v>4141</v>
      </c>
      <c r="C3" s="174" t="s">
        <v>3</v>
      </c>
      <c r="D3" s="174" t="s">
        <v>4142</v>
      </c>
      <c r="E3" s="174" t="s">
        <v>481</v>
      </c>
      <c r="F3" s="174" t="s">
        <v>4168</v>
      </c>
    </row>
    <row r="4" spans="1:6">
      <c r="A4" s="175">
        <v>46178</v>
      </c>
      <c r="B4" s="257" t="s">
        <v>4159</v>
      </c>
      <c r="C4" t="s">
        <v>3789</v>
      </c>
      <c r="D4" t="s">
        <v>3790</v>
      </c>
      <c r="E4" s="4">
        <v>50</v>
      </c>
      <c r="F4" s="266" t="s">
        <v>5169</v>
      </c>
    </row>
    <row r="5" spans="1:6">
      <c r="A5" s="175">
        <v>46178</v>
      </c>
      <c r="B5" t="s">
        <v>4159</v>
      </c>
      <c r="C5" t="s">
        <v>3779</v>
      </c>
      <c r="D5" t="s">
        <v>3780</v>
      </c>
      <c r="E5" s="4">
        <v>50</v>
      </c>
      <c r="F5" s="266" t="s">
        <v>5169</v>
      </c>
    </row>
    <row r="6" spans="1:6">
      <c r="A6" s="175">
        <v>46178</v>
      </c>
      <c r="B6" s="257" t="s">
        <v>4148</v>
      </c>
      <c r="C6" t="s">
        <v>4363</v>
      </c>
      <c r="D6" t="s">
        <v>4364</v>
      </c>
      <c r="E6" s="4">
        <v>10</v>
      </c>
      <c r="F6" s="266" t="s">
        <v>5169</v>
      </c>
    </row>
    <row r="7" spans="1:6">
      <c r="A7" s="175">
        <v>46178</v>
      </c>
      <c r="B7" s="257" t="s">
        <v>4148</v>
      </c>
      <c r="C7" t="s">
        <v>4357</v>
      </c>
      <c r="D7" t="s">
        <v>4359</v>
      </c>
      <c r="E7" s="4">
        <v>12</v>
      </c>
      <c r="F7" s="266" t="s">
        <v>5169</v>
      </c>
    </row>
    <row r="8" spans="1:6">
      <c r="A8" s="175">
        <v>46182</v>
      </c>
      <c r="B8" s="257" t="s">
        <v>4148</v>
      </c>
      <c r="C8" t="s">
        <v>4071</v>
      </c>
      <c r="D8" t="s">
        <v>4072</v>
      </c>
      <c r="E8" s="4">
        <v>10</v>
      </c>
      <c r="F8" s="266" t="s">
        <v>5169</v>
      </c>
    </row>
    <row r="9" spans="1:6">
      <c r="A9" s="175">
        <v>46182</v>
      </c>
      <c r="B9" s="257" t="s">
        <v>4148</v>
      </c>
      <c r="C9" t="s">
        <v>4501</v>
      </c>
      <c r="D9" t="s">
        <v>4073</v>
      </c>
      <c r="E9" s="4">
        <v>10</v>
      </c>
      <c r="F9" s="266" t="s">
        <v>5169</v>
      </c>
    </row>
    <row r="10" spans="1:6">
      <c r="A10" s="175">
        <v>46182</v>
      </c>
      <c r="B10" s="257" t="s">
        <v>4148</v>
      </c>
      <c r="C10" t="s">
        <v>1041</v>
      </c>
      <c r="D10" t="s">
        <v>1042</v>
      </c>
      <c r="E10" s="4">
        <v>10</v>
      </c>
      <c r="F10" s="266" t="s">
        <v>5169</v>
      </c>
    </row>
    <row r="11" spans="1:6">
      <c r="A11" s="175">
        <v>46182</v>
      </c>
      <c r="B11" s="257" t="s">
        <v>4148</v>
      </c>
      <c r="C11" t="s">
        <v>4423</v>
      </c>
      <c r="D11" t="s">
        <v>4425</v>
      </c>
      <c r="E11" s="4">
        <v>10</v>
      </c>
      <c r="F11" s="266" t="s">
        <v>5169</v>
      </c>
    </row>
    <row r="12" spans="1:6">
      <c r="A12" s="175">
        <v>46183</v>
      </c>
      <c r="B12" s="257" t="s">
        <v>4146</v>
      </c>
      <c r="C12" t="s">
        <v>4065</v>
      </c>
      <c r="D12" t="s">
        <v>4066</v>
      </c>
      <c r="E12" s="4">
        <v>10</v>
      </c>
      <c r="F12" s="266" t="s">
        <v>5169</v>
      </c>
    </row>
    <row r="13" spans="1:6">
      <c r="A13" s="175">
        <v>46190</v>
      </c>
      <c r="B13" s="257" t="s">
        <v>4161</v>
      </c>
      <c r="C13" t="s">
        <v>4645</v>
      </c>
      <c r="D13" t="s">
        <v>4647</v>
      </c>
      <c r="E13" s="4">
        <v>10</v>
      </c>
      <c r="F13" s="266" t="s">
        <v>5169</v>
      </c>
    </row>
    <row r="14" spans="1:6">
      <c r="A14" s="175">
        <v>46190</v>
      </c>
      <c r="B14" s="257" t="s">
        <v>4161</v>
      </c>
      <c r="C14" s="99" t="s">
        <v>4633</v>
      </c>
      <c r="D14" t="s">
        <v>4635</v>
      </c>
      <c r="E14" s="4">
        <v>10</v>
      </c>
      <c r="F14" s="266" t="s">
        <v>5169</v>
      </c>
    </row>
    <row r="15" spans="1:6">
      <c r="A15" s="175">
        <v>46190</v>
      </c>
      <c r="B15" s="257" t="s">
        <v>4161</v>
      </c>
      <c r="C15" t="s">
        <v>4649</v>
      </c>
      <c r="D15" t="s">
        <v>4651</v>
      </c>
      <c r="E15" s="4">
        <v>50</v>
      </c>
      <c r="F15" s="266" t="s">
        <v>5169</v>
      </c>
    </row>
    <row r="16" spans="1:6">
      <c r="A16" s="175">
        <v>46190</v>
      </c>
      <c r="B16" s="257" t="s">
        <v>4161</v>
      </c>
      <c r="C16" t="s">
        <v>3803</v>
      </c>
      <c r="D16" t="s">
        <v>3804</v>
      </c>
      <c r="E16" s="4">
        <v>50</v>
      </c>
      <c r="F16" s="266" t="s">
        <v>5169</v>
      </c>
    </row>
    <row r="17" spans="1:6">
      <c r="A17" s="175">
        <v>46192</v>
      </c>
      <c r="B17" s="257" t="s">
        <v>4146</v>
      </c>
      <c r="C17" t="s">
        <v>4065</v>
      </c>
      <c r="D17" t="s">
        <v>4066</v>
      </c>
      <c r="E17" s="4">
        <v>20</v>
      </c>
      <c r="F17" s="266" t="s">
        <v>5169</v>
      </c>
    </row>
    <row r="18" spans="1:6">
      <c r="A18" s="265">
        <v>46197</v>
      </c>
      <c r="B18" s="257" t="s">
        <v>4161</v>
      </c>
      <c r="C18" t="s">
        <v>4861</v>
      </c>
      <c r="D18" t="s">
        <v>4863</v>
      </c>
      <c r="E18" s="4">
        <v>16</v>
      </c>
      <c r="F18" s="266" t="s">
        <v>5169</v>
      </c>
    </row>
    <row r="19" spans="1:6">
      <c r="A19" s="175">
        <v>46197</v>
      </c>
      <c r="B19" s="257" t="s">
        <v>4148</v>
      </c>
      <c r="C19" t="s">
        <v>4071</v>
      </c>
      <c r="D19" t="s">
        <v>4072</v>
      </c>
      <c r="E19" s="4">
        <v>10</v>
      </c>
      <c r="F19" s="266" t="s">
        <v>5169</v>
      </c>
    </row>
    <row r="20" spans="1:6">
      <c r="A20" s="175">
        <v>46197</v>
      </c>
      <c r="B20" s="257" t="s">
        <v>4148</v>
      </c>
      <c r="C20" t="s">
        <v>4822</v>
      </c>
      <c r="D20" t="s">
        <v>4824</v>
      </c>
      <c r="E20" s="4">
        <v>10</v>
      </c>
      <c r="F20" s="266" t="s">
        <v>5169</v>
      </c>
    </row>
    <row r="21" spans="1:6">
      <c r="A21" s="265" t="s">
        <v>5170</v>
      </c>
    </row>
    <row r="22" spans="1:6">
      <c r="C22" t="s">
        <v>4945</v>
      </c>
      <c r="D22" t="s">
        <v>4946</v>
      </c>
      <c r="E22" s="4">
        <v>1</v>
      </c>
    </row>
    <row r="23" spans="1:6">
      <c r="C23" t="s">
        <v>4948</v>
      </c>
      <c r="D23" t="s">
        <v>4949</v>
      </c>
      <c r="E23" s="4">
        <v>1</v>
      </c>
    </row>
    <row r="24" spans="1:6">
      <c r="C24" t="s">
        <v>977</v>
      </c>
      <c r="D24" t="s">
        <v>978</v>
      </c>
      <c r="E24" s="4">
        <v>1</v>
      </c>
    </row>
    <row r="25" spans="1:6">
      <c r="C25" t="s">
        <v>4074</v>
      </c>
      <c r="D25" t="s">
        <v>4075</v>
      </c>
      <c r="E25" s="4">
        <v>11</v>
      </c>
    </row>
    <row r="26" spans="1:6">
      <c r="C26" t="s">
        <v>754</v>
      </c>
      <c r="D26" t="s">
        <v>755</v>
      </c>
      <c r="E26" s="4">
        <v>48</v>
      </c>
    </row>
    <row r="27" spans="1:6">
      <c r="C27" t="s">
        <v>4002</v>
      </c>
      <c r="D27" t="s">
        <v>4944</v>
      </c>
      <c r="E27" s="4">
        <v>1</v>
      </c>
    </row>
    <row r="28" spans="1:6">
      <c r="C28" t="s">
        <v>4943</v>
      </c>
      <c r="D28" t="s">
        <v>4001</v>
      </c>
      <c r="E28" s="4">
        <v>1</v>
      </c>
    </row>
    <row r="29" spans="1:6">
      <c r="C29" t="s">
        <v>4042</v>
      </c>
      <c r="D29" t="s">
        <v>4947</v>
      </c>
      <c r="E29" s="4">
        <v>4</v>
      </c>
    </row>
    <row r="30" spans="1:6">
      <c r="B30" s="99"/>
      <c r="E30" s="272">
        <f>SUM(E4:E29)</f>
        <v>416</v>
      </c>
    </row>
    <row r="32" spans="1:6">
      <c r="B32" s="99"/>
    </row>
    <row r="50" spans="2:6">
      <c r="B50" s="99"/>
    </row>
    <row r="57" spans="2:6">
      <c r="B57" s="99"/>
    </row>
    <row r="59" spans="2:6">
      <c r="B59" s="99"/>
    </row>
    <row r="64" spans="2:6" ht="18.75">
      <c r="D64" s="177"/>
      <c r="E64" s="178"/>
      <c r="F64" s="179"/>
    </row>
    <row r="65" spans="2:6" ht="18.75">
      <c r="D65" s="177"/>
      <c r="E65" s="178"/>
      <c r="F65" s="179"/>
    </row>
    <row r="66" spans="2:6" ht="18.75">
      <c r="D66" s="177"/>
      <c r="E66" s="178"/>
      <c r="F66" s="179"/>
    </row>
    <row r="67" spans="2:6" ht="18.75">
      <c r="D67" s="177"/>
      <c r="E67" s="178"/>
      <c r="F67" s="179"/>
    </row>
    <row r="68" spans="2:6" ht="18.75">
      <c r="D68" s="177"/>
      <c r="E68" s="178"/>
      <c r="F68" s="179"/>
    </row>
    <row r="69" spans="2:6" ht="18.75">
      <c r="C69" s="176"/>
      <c r="D69" s="177"/>
      <c r="E69" s="178"/>
      <c r="F69" s="179"/>
    </row>
    <row r="70" spans="2:6" ht="18.75">
      <c r="B70" s="99"/>
      <c r="C70" s="176"/>
      <c r="D70" s="177"/>
      <c r="E70" s="178"/>
      <c r="F70" s="179"/>
    </row>
    <row r="71" spans="2:6" ht="18.75">
      <c r="C71" s="176"/>
      <c r="D71" s="177"/>
      <c r="E71" s="178"/>
      <c r="F71" s="179"/>
    </row>
    <row r="72" spans="2:6" ht="18.75">
      <c r="C72" s="176"/>
      <c r="D72" s="177"/>
      <c r="E72" s="178"/>
      <c r="F72" s="179"/>
    </row>
    <row r="73" spans="2:6" ht="18.75">
      <c r="C73" s="176"/>
      <c r="D73" s="177"/>
      <c r="E73" s="178"/>
      <c r="F73" s="179"/>
    </row>
    <row r="74" spans="2:6" ht="18.75">
      <c r="C74" s="176"/>
      <c r="D74" s="177"/>
      <c r="E74" s="178"/>
      <c r="F74" s="179"/>
    </row>
    <row r="75" spans="2:6" ht="18.75">
      <c r="C75" s="180"/>
      <c r="D75" s="177"/>
      <c r="E75" s="178"/>
      <c r="F75" s="179"/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38C4-00BF-477B-94F6-3868DFC4C2F3}">
  <sheetPr>
    <tabColor rgb="FFFF0000"/>
  </sheetPr>
  <dimension ref="A1:F94"/>
  <sheetViews>
    <sheetView topLeftCell="A32" workbookViewId="0">
      <selection activeCell="E94" sqref="E94"/>
    </sheetView>
  </sheetViews>
  <sheetFormatPr defaultRowHeight="15"/>
  <cols>
    <col min="1" max="1" width="13.140625" style="175" customWidth="1"/>
    <col min="2" max="2" width="22" customWidth="1"/>
    <col min="3" max="3" width="17.5703125" customWidth="1"/>
    <col min="4" max="4" width="43.28515625" customWidth="1"/>
    <col min="5" max="5" width="10" style="4" customWidth="1"/>
  </cols>
  <sheetData>
    <row r="1" spans="1:6">
      <c r="A1" s="352" t="s">
        <v>4167</v>
      </c>
      <c r="B1" s="352"/>
      <c r="C1" s="352"/>
      <c r="D1" s="352"/>
      <c r="E1" s="352"/>
      <c r="F1" s="352"/>
    </row>
    <row r="2" spans="1:6">
      <c r="A2" s="352" t="str">
        <f>PRINTING!B2</f>
        <v>AS OF JUNE 2026</v>
      </c>
      <c r="B2" s="352"/>
      <c r="C2" s="352"/>
      <c r="D2" s="352"/>
      <c r="E2" s="352"/>
      <c r="F2" s="352"/>
    </row>
    <row r="3" spans="1:6">
      <c r="A3" s="264" t="s">
        <v>4166</v>
      </c>
      <c r="B3" s="263"/>
      <c r="C3" s="263"/>
      <c r="D3" s="263"/>
      <c r="E3" s="263"/>
      <c r="F3" s="38"/>
    </row>
    <row r="4" spans="1:6" s="4" customFormat="1">
      <c r="A4" s="173" t="s">
        <v>4140</v>
      </c>
      <c r="B4" s="174" t="s">
        <v>4141</v>
      </c>
      <c r="C4" s="174" t="s">
        <v>3</v>
      </c>
      <c r="D4" s="174" t="s">
        <v>4142</v>
      </c>
      <c r="E4" s="174" t="s">
        <v>481</v>
      </c>
      <c r="F4" s="174" t="s">
        <v>4168</v>
      </c>
    </row>
    <row r="5" spans="1:6">
      <c r="A5" s="265">
        <v>46178</v>
      </c>
      <c r="B5" s="257" t="s">
        <v>4159</v>
      </c>
      <c r="C5" t="s">
        <v>1214</v>
      </c>
      <c r="D5" t="s">
        <v>1215</v>
      </c>
      <c r="E5" s="4">
        <v>1</v>
      </c>
      <c r="F5" s="266" t="s">
        <v>5168</v>
      </c>
    </row>
    <row r="6" spans="1:6">
      <c r="A6" s="265">
        <v>46178</v>
      </c>
      <c r="B6" s="257" t="s">
        <v>4159</v>
      </c>
      <c r="C6" t="s">
        <v>1152</v>
      </c>
      <c r="D6" t="s">
        <v>1153</v>
      </c>
      <c r="E6" s="4">
        <v>1</v>
      </c>
      <c r="F6" s="266" t="s">
        <v>5168</v>
      </c>
    </row>
    <row r="7" spans="1:6">
      <c r="A7" s="265">
        <v>46178</v>
      </c>
      <c r="B7" t="s">
        <v>4148</v>
      </c>
      <c r="C7" t="s">
        <v>1096</v>
      </c>
      <c r="D7" t="s">
        <v>1097</v>
      </c>
      <c r="E7" s="4">
        <v>1</v>
      </c>
      <c r="F7" s="266" t="s">
        <v>5168</v>
      </c>
    </row>
    <row r="8" spans="1:6">
      <c r="A8" s="265">
        <v>46178</v>
      </c>
      <c r="B8" s="99" t="s">
        <v>4148</v>
      </c>
      <c r="C8" t="s">
        <v>996</v>
      </c>
      <c r="D8" t="s">
        <v>997</v>
      </c>
      <c r="E8" s="4">
        <v>1</v>
      </c>
      <c r="F8" s="266" t="s">
        <v>5168</v>
      </c>
    </row>
    <row r="9" spans="1:6">
      <c r="A9" s="175">
        <v>46182</v>
      </c>
      <c r="B9" s="257" t="s">
        <v>4148</v>
      </c>
      <c r="C9" t="s">
        <v>1090</v>
      </c>
      <c r="D9" t="s">
        <v>1091</v>
      </c>
      <c r="E9" s="4">
        <v>1</v>
      </c>
      <c r="F9" s="266" t="s">
        <v>5168</v>
      </c>
    </row>
    <row r="10" spans="1:6">
      <c r="A10" s="175">
        <v>46182</v>
      </c>
      <c r="B10" s="257" t="s">
        <v>4148</v>
      </c>
      <c r="C10" t="s">
        <v>1096</v>
      </c>
      <c r="D10" t="s">
        <v>1097</v>
      </c>
      <c r="E10" s="4">
        <v>1</v>
      </c>
      <c r="F10" s="266" t="s">
        <v>5168</v>
      </c>
    </row>
    <row r="11" spans="1:6">
      <c r="A11" s="175">
        <v>46182</v>
      </c>
      <c r="B11" s="257" t="s">
        <v>4148</v>
      </c>
      <c r="C11" t="s">
        <v>1092</v>
      </c>
      <c r="D11" t="s">
        <v>1093</v>
      </c>
      <c r="E11" s="4">
        <v>1</v>
      </c>
      <c r="F11" s="266" t="s">
        <v>5168</v>
      </c>
    </row>
    <row r="12" spans="1:6">
      <c r="A12" s="175">
        <v>46182</v>
      </c>
      <c r="B12" s="257" t="s">
        <v>4148</v>
      </c>
      <c r="C12" t="s">
        <v>1098</v>
      </c>
      <c r="D12" t="s">
        <v>1099</v>
      </c>
      <c r="E12" s="4">
        <v>1</v>
      </c>
      <c r="F12" s="266" t="s">
        <v>5168</v>
      </c>
    </row>
    <row r="13" spans="1:6">
      <c r="A13" s="175">
        <v>46183</v>
      </c>
      <c r="B13" s="257" t="s">
        <v>4146</v>
      </c>
      <c r="C13" t="s">
        <v>876</v>
      </c>
      <c r="D13" t="s">
        <v>877</v>
      </c>
      <c r="E13" s="4">
        <v>1</v>
      </c>
      <c r="F13" s="266" t="s">
        <v>5168</v>
      </c>
    </row>
    <row r="14" spans="1:6">
      <c r="A14" s="175">
        <v>46190</v>
      </c>
      <c r="B14" s="257" t="s">
        <v>4161</v>
      </c>
      <c r="C14" t="s">
        <v>815</v>
      </c>
      <c r="D14" t="s">
        <v>816</v>
      </c>
      <c r="E14" s="4">
        <v>1</v>
      </c>
      <c r="F14" s="266" t="s">
        <v>5168</v>
      </c>
    </row>
    <row r="15" spans="1:6">
      <c r="A15" s="175">
        <v>46190</v>
      </c>
      <c r="B15" s="257" t="s">
        <v>4161</v>
      </c>
      <c r="C15" s="99" t="s">
        <v>807</v>
      </c>
      <c r="D15" t="s">
        <v>808</v>
      </c>
      <c r="E15" s="4">
        <v>1</v>
      </c>
      <c r="F15" s="266" t="s">
        <v>5168</v>
      </c>
    </row>
    <row r="16" spans="1:6">
      <c r="A16" s="175">
        <v>46190</v>
      </c>
      <c r="B16" s="257" t="s">
        <v>4161</v>
      </c>
      <c r="C16" t="s">
        <v>1263</v>
      </c>
      <c r="D16" t="s">
        <v>1264</v>
      </c>
      <c r="E16" s="4">
        <v>1</v>
      </c>
      <c r="F16" s="266" t="s">
        <v>5168</v>
      </c>
    </row>
    <row r="17" spans="1:6">
      <c r="A17" s="175">
        <v>46190</v>
      </c>
      <c r="B17" s="257" t="s">
        <v>4161</v>
      </c>
      <c r="C17" t="s">
        <v>1265</v>
      </c>
      <c r="D17" t="s">
        <v>1266</v>
      </c>
      <c r="E17" s="4">
        <v>1</v>
      </c>
      <c r="F17" s="266" t="s">
        <v>5168</v>
      </c>
    </row>
    <row r="18" spans="1:6">
      <c r="A18" s="175">
        <v>46192</v>
      </c>
      <c r="B18" s="257" t="s">
        <v>4146</v>
      </c>
      <c r="C18" t="s">
        <v>876</v>
      </c>
      <c r="D18" t="s">
        <v>877</v>
      </c>
      <c r="E18" s="4">
        <v>2</v>
      </c>
      <c r="F18" s="266" t="s">
        <v>4147</v>
      </c>
    </row>
    <row r="19" spans="1:6">
      <c r="A19" s="265">
        <v>46197</v>
      </c>
      <c r="B19" s="257" t="s">
        <v>4161</v>
      </c>
      <c r="C19" t="s">
        <v>4057</v>
      </c>
      <c r="D19" t="s">
        <v>4058</v>
      </c>
      <c r="E19" s="4">
        <v>2</v>
      </c>
      <c r="F19" s="266" t="s">
        <v>4147</v>
      </c>
    </row>
    <row r="20" spans="1:6">
      <c r="A20" s="175">
        <v>46197</v>
      </c>
      <c r="B20" s="257" t="s">
        <v>4148</v>
      </c>
      <c r="C20" t="s">
        <v>1084</v>
      </c>
      <c r="D20" t="s">
        <v>1085</v>
      </c>
      <c r="E20" s="4">
        <v>1</v>
      </c>
      <c r="F20" s="266" t="s">
        <v>5168</v>
      </c>
    </row>
    <row r="21" spans="1:6">
      <c r="A21" s="175">
        <v>46197</v>
      </c>
      <c r="B21" s="257" t="s">
        <v>4148</v>
      </c>
      <c r="C21" t="s">
        <v>1090</v>
      </c>
      <c r="D21" t="s">
        <v>1091</v>
      </c>
      <c r="E21" s="4">
        <v>1</v>
      </c>
      <c r="F21" s="266" t="s">
        <v>5168</v>
      </c>
    </row>
    <row r="22" spans="1:6">
      <c r="B22" s="99"/>
    </row>
    <row r="23" spans="1:6">
      <c r="A23" s="268" t="s">
        <v>5171</v>
      </c>
      <c r="C23" s="257" t="s">
        <v>4139</v>
      </c>
    </row>
    <row r="24" spans="1:6">
      <c r="A24" s="175">
        <v>46178</v>
      </c>
      <c r="B24" s="257" t="s">
        <v>4959</v>
      </c>
      <c r="C24" t="s">
        <v>2815</v>
      </c>
      <c r="D24" t="s">
        <v>2816</v>
      </c>
      <c r="E24" s="4">
        <v>1</v>
      </c>
    </row>
    <row r="25" spans="1:6">
      <c r="C25" t="s">
        <v>2819</v>
      </c>
      <c r="D25" t="s">
        <v>2820</v>
      </c>
      <c r="E25" s="4">
        <v>1</v>
      </c>
    </row>
    <row r="26" spans="1:6">
      <c r="C26" t="s">
        <v>2817</v>
      </c>
      <c r="D26" t="s">
        <v>2818</v>
      </c>
      <c r="E26" s="4">
        <v>4</v>
      </c>
    </row>
    <row r="27" spans="1:6">
      <c r="C27" t="s">
        <v>2821</v>
      </c>
      <c r="D27" t="s">
        <v>4960</v>
      </c>
      <c r="E27" s="4">
        <v>5</v>
      </c>
    </row>
    <row r="28" spans="1:6">
      <c r="A28" s="175">
        <v>46182</v>
      </c>
      <c r="B28" s="257" t="s">
        <v>4146</v>
      </c>
      <c r="C28" t="s">
        <v>892</v>
      </c>
      <c r="D28" t="s">
        <v>893</v>
      </c>
      <c r="E28" s="4">
        <v>1</v>
      </c>
    </row>
    <row r="29" spans="1:6">
      <c r="C29" t="s">
        <v>890</v>
      </c>
      <c r="D29" t="s">
        <v>891</v>
      </c>
      <c r="E29" s="4">
        <v>1</v>
      </c>
    </row>
    <row r="30" spans="1:6">
      <c r="C30" t="s">
        <v>4118</v>
      </c>
      <c r="D30" t="s">
        <v>4119</v>
      </c>
      <c r="E30" s="4">
        <v>1</v>
      </c>
    </row>
    <row r="31" spans="1:6">
      <c r="C31" t="s">
        <v>900</v>
      </c>
      <c r="D31" t="s">
        <v>901</v>
      </c>
      <c r="E31" s="4">
        <v>2</v>
      </c>
    </row>
    <row r="32" spans="1:6">
      <c r="B32" s="99"/>
      <c r="C32" t="s">
        <v>910</v>
      </c>
      <c r="D32" t="s">
        <v>911</v>
      </c>
      <c r="E32" s="4">
        <v>1</v>
      </c>
    </row>
    <row r="33" spans="2:5">
      <c r="C33" t="s">
        <v>4118</v>
      </c>
      <c r="D33" t="s">
        <v>4119</v>
      </c>
      <c r="E33" s="4">
        <v>1</v>
      </c>
    </row>
    <row r="34" spans="2:5">
      <c r="B34" s="99"/>
      <c r="C34" t="s">
        <v>904</v>
      </c>
      <c r="D34" t="s">
        <v>905</v>
      </c>
      <c r="E34" s="4">
        <v>1</v>
      </c>
    </row>
    <row r="35" spans="2:5">
      <c r="B35" s="257" t="s">
        <v>5172</v>
      </c>
      <c r="C35" t="s">
        <v>3577</v>
      </c>
      <c r="D35" t="s">
        <v>3578</v>
      </c>
      <c r="E35" s="4">
        <v>9</v>
      </c>
    </row>
    <row r="36" spans="2:5">
      <c r="C36" t="s">
        <v>3503</v>
      </c>
      <c r="D36" t="s">
        <v>3504</v>
      </c>
      <c r="E36" s="4">
        <v>2</v>
      </c>
    </row>
    <row r="37" spans="2:5">
      <c r="C37" t="s">
        <v>3509</v>
      </c>
      <c r="D37" t="s">
        <v>3510</v>
      </c>
      <c r="E37" s="4">
        <v>7</v>
      </c>
    </row>
    <row r="38" spans="2:5">
      <c r="C38" t="s">
        <v>3507</v>
      </c>
      <c r="D38" t="s">
        <v>3508</v>
      </c>
      <c r="E38" s="4">
        <v>5</v>
      </c>
    </row>
    <row r="39" spans="2:5">
      <c r="C39" t="s">
        <v>3525</v>
      </c>
      <c r="D39" t="s">
        <v>3526</v>
      </c>
      <c r="E39" s="4">
        <v>14</v>
      </c>
    </row>
    <row r="40" spans="2:5">
      <c r="C40" t="s">
        <v>3521</v>
      </c>
      <c r="D40" t="s">
        <v>3522</v>
      </c>
      <c r="E40" s="4">
        <v>20</v>
      </c>
    </row>
    <row r="41" spans="2:5">
      <c r="C41" t="s">
        <v>3517</v>
      </c>
      <c r="D41" t="s">
        <v>3518</v>
      </c>
      <c r="E41" s="4">
        <v>29</v>
      </c>
    </row>
    <row r="42" spans="2:5">
      <c r="C42" t="s">
        <v>3519</v>
      </c>
      <c r="D42" t="s">
        <v>3520</v>
      </c>
      <c r="E42" s="4">
        <v>6</v>
      </c>
    </row>
    <row r="43" spans="2:5">
      <c r="C43" t="s">
        <v>3527</v>
      </c>
      <c r="D43" t="s">
        <v>3528</v>
      </c>
      <c r="E43" s="4">
        <v>16</v>
      </c>
    </row>
    <row r="44" spans="2:5">
      <c r="C44" t="s">
        <v>3573</v>
      </c>
      <c r="D44" t="s">
        <v>3574</v>
      </c>
      <c r="E44" s="4">
        <v>12</v>
      </c>
    </row>
    <row r="45" spans="2:5">
      <c r="C45" t="s">
        <v>3491</v>
      </c>
      <c r="D45" t="s">
        <v>3492</v>
      </c>
      <c r="E45" s="4">
        <v>36</v>
      </c>
    </row>
    <row r="46" spans="2:5">
      <c r="C46" t="s">
        <v>3487</v>
      </c>
      <c r="D46" t="s">
        <v>3488</v>
      </c>
      <c r="E46" s="4">
        <v>36</v>
      </c>
    </row>
    <row r="47" spans="2:5">
      <c r="C47" t="s">
        <v>3569</v>
      </c>
      <c r="D47" t="s">
        <v>3570</v>
      </c>
      <c r="E47" s="4">
        <v>1</v>
      </c>
    </row>
    <row r="48" spans="2:5">
      <c r="C48" t="s">
        <v>3559</v>
      </c>
      <c r="D48" t="s">
        <v>3560</v>
      </c>
      <c r="E48" s="4">
        <v>1</v>
      </c>
    </row>
    <row r="49" spans="2:6">
      <c r="C49" t="s">
        <v>3513</v>
      </c>
      <c r="D49" t="s">
        <v>3514</v>
      </c>
      <c r="E49" s="4">
        <v>1</v>
      </c>
    </row>
    <row r="50" spans="2:6">
      <c r="C50" t="s">
        <v>3515</v>
      </c>
      <c r="D50" t="s">
        <v>3516</v>
      </c>
      <c r="E50" s="4">
        <v>8</v>
      </c>
    </row>
    <row r="51" spans="2:6">
      <c r="B51" s="257" t="s">
        <v>4153</v>
      </c>
      <c r="C51" t="s">
        <v>2463</v>
      </c>
      <c r="D51" t="s">
        <v>2464</v>
      </c>
      <c r="E51" s="4">
        <v>76</v>
      </c>
    </row>
    <row r="52" spans="2:6">
      <c r="C52" t="s">
        <v>1464</v>
      </c>
      <c r="D52" t="s">
        <v>1465</v>
      </c>
      <c r="E52" s="4">
        <v>1</v>
      </c>
    </row>
    <row r="53" spans="2:6">
      <c r="C53" t="s">
        <v>2487</v>
      </c>
      <c r="D53" t="s">
        <v>2488</v>
      </c>
      <c r="E53" s="4">
        <v>21</v>
      </c>
    </row>
    <row r="54" spans="2:6">
      <c r="C54" t="s">
        <v>2481</v>
      </c>
      <c r="D54" t="s">
        <v>2482</v>
      </c>
      <c r="E54" s="4">
        <v>1</v>
      </c>
    </row>
    <row r="55" spans="2:6">
      <c r="C55" t="s">
        <v>2461</v>
      </c>
      <c r="D55" t="s">
        <v>2462</v>
      </c>
      <c r="E55" s="4">
        <v>1</v>
      </c>
    </row>
    <row r="56" spans="2:6">
      <c r="C56" t="s">
        <v>2471</v>
      </c>
      <c r="D56" t="s">
        <v>2472</v>
      </c>
      <c r="E56" s="4">
        <v>6</v>
      </c>
    </row>
    <row r="57" spans="2:6">
      <c r="C57" t="s">
        <v>2485</v>
      </c>
      <c r="D57" t="s">
        <v>2486</v>
      </c>
      <c r="E57" s="4">
        <v>4</v>
      </c>
    </row>
    <row r="58" spans="2:6">
      <c r="B58" s="99"/>
      <c r="C58" t="s">
        <v>2483</v>
      </c>
      <c r="D58" t="s">
        <v>2484</v>
      </c>
      <c r="E58" s="4">
        <v>2</v>
      </c>
    </row>
    <row r="59" spans="2:6">
      <c r="C59" t="s">
        <v>2475</v>
      </c>
      <c r="D59" t="s">
        <v>2476</v>
      </c>
      <c r="E59" s="4">
        <v>1</v>
      </c>
    </row>
    <row r="60" spans="2:6">
      <c r="B60" s="257" t="s">
        <v>4160</v>
      </c>
      <c r="C60" t="s">
        <v>1712</v>
      </c>
      <c r="D60" t="s">
        <v>1713</v>
      </c>
      <c r="E60" s="4">
        <v>5</v>
      </c>
    </row>
    <row r="61" spans="2:6">
      <c r="C61" t="s">
        <v>1714</v>
      </c>
      <c r="D61" t="s">
        <v>1715</v>
      </c>
      <c r="E61" s="4">
        <v>1</v>
      </c>
    </row>
    <row r="62" spans="2:6">
      <c r="B62" s="257" t="s">
        <v>4159</v>
      </c>
      <c r="C62" t="s">
        <v>1152</v>
      </c>
      <c r="D62" t="s">
        <v>1153</v>
      </c>
      <c r="E62" s="4">
        <v>15</v>
      </c>
    </row>
    <row r="63" spans="2:6">
      <c r="C63" t="s">
        <v>1216</v>
      </c>
      <c r="D63" t="s">
        <v>1217</v>
      </c>
      <c r="E63" s="4">
        <v>8</v>
      </c>
    </row>
    <row r="64" spans="2:6" ht="15.75">
      <c r="C64" t="s">
        <v>1155</v>
      </c>
      <c r="D64" s="177" t="s">
        <v>1156</v>
      </c>
      <c r="E64" s="4">
        <v>11</v>
      </c>
      <c r="F64" s="179"/>
    </row>
    <row r="65" spans="2:6" ht="15.75">
      <c r="C65" t="s">
        <v>1219</v>
      </c>
      <c r="D65" s="177" t="s">
        <v>1220</v>
      </c>
      <c r="E65" s="4">
        <v>8</v>
      </c>
      <c r="F65" s="179"/>
    </row>
    <row r="66" spans="2:6" ht="15.75">
      <c r="C66" t="s">
        <v>1271</v>
      </c>
      <c r="D66" s="177" t="s">
        <v>1272</v>
      </c>
      <c r="E66" s="4">
        <v>11</v>
      </c>
      <c r="F66" s="179"/>
    </row>
    <row r="67" spans="2:6" ht="15.75">
      <c r="C67" t="s">
        <v>1225</v>
      </c>
      <c r="D67" s="177" t="s">
        <v>1226</v>
      </c>
      <c r="E67" s="4">
        <v>1</v>
      </c>
      <c r="F67" s="179"/>
    </row>
    <row r="68" spans="2:6" ht="15.75">
      <c r="C68" s="176" t="s">
        <v>1274</v>
      </c>
      <c r="D68" s="177" t="s">
        <v>1275</v>
      </c>
      <c r="E68" s="4">
        <v>5</v>
      </c>
      <c r="F68" s="179"/>
    </row>
    <row r="69" spans="2:6" ht="15.75">
      <c r="B69" s="99"/>
      <c r="C69" s="176" t="s">
        <v>1612</v>
      </c>
      <c r="D69" s="177" t="s">
        <v>1613</v>
      </c>
      <c r="E69" s="4">
        <v>2</v>
      </c>
      <c r="F69" s="179"/>
    </row>
    <row r="70" spans="2:6" ht="15.75">
      <c r="C70" s="176" t="s">
        <v>1612</v>
      </c>
      <c r="D70" s="177" t="s">
        <v>1613</v>
      </c>
      <c r="E70" s="4">
        <v>17</v>
      </c>
      <c r="F70" s="179"/>
    </row>
    <row r="71" spans="2:6" ht="15.75">
      <c r="C71" s="176" t="s">
        <v>1599</v>
      </c>
      <c r="D71" s="177" t="s">
        <v>1600</v>
      </c>
      <c r="E71" s="4">
        <v>36</v>
      </c>
      <c r="F71" s="179"/>
    </row>
    <row r="72" spans="2:6" ht="15.75">
      <c r="C72" s="176" t="s">
        <v>1605</v>
      </c>
      <c r="D72" s="177" t="s">
        <v>1606</v>
      </c>
      <c r="E72" s="4">
        <v>36</v>
      </c>
      <c r="F72" s="179"/>
    </row>
    <row r="73" spans="2:6" ht="15.75">
      <c r="C73" s="176" t="s">
        <v>1593</v>
      </c>
      <c r="D73" s="177" t="s">
        <v>1594</v>
      </c>
      <c r="E73" s="4">
        <v>17</v>
      </c>
      <c r="F73" s="179"/>
    </row>
    <row r="74" spans="2:6" ht="15.75">
      <c r="C74" s="180" t="s">
        <v>1583</v>
      </c>
      <c r="D74" s="177" t="s">
        <v>1584</v>
      </c>
      <c r="E74" s="4">
        <v>7</v>
      </c>
      <c r="F74" s="179"/>
    </row>
    <row r="75" spans="2:6">
      <c r="C75" t="s">
        <v>1343</v>
      </c>
      <c r="D75" t="s">
        <v>1344</v>
      </c>
      <c r="E75" s="4">
        <v>104</v>
      </c>
    </row>
    <row r="76" spans="2:6">
      <c r="C76" t="s">
        <v>4848</v>
      </c>
      <c r="D76" t="s">
        <v>4849</v>
      </c>
      <c r="E76" s="4">
        <v>117</v>
      </c>
    </row>
    <row r="77" spans="2:6">
      <c r="C77" t="s">
        <v>1320</v>
      </c>
      <c r="D77" t="s">
        <v>1321</v>
      </c>
      <c r="E77" s="4">
        <v>152</v>
      </c>
    </row>
    <row r="78" spans="2:6">
      <c r="C78" t="s">
        <v>538</v>
      </c>
      <c r="D78" t="s">
        <v>539</v>
      </c>
      <c r="E78" s="4">
        <v>27</v>
      </c>
    </row>
    <row r="79" spans="2:6">
      <c r="C79" t="s">
        <v>986</v>
      </c>
      <c r="D79" t="s">
        <v>987</v>
      </c>
      <c r="E79" s="4">
        <v>4</v>
      </c>
    </row>
    <row r="80" spans="2:6">
      <c r="C80" t="s">
        <v>828</v>
      </c>
      <c r="D80" t="s">
        <v>829</v>
      </c>
      <c r="E80" s="4">
        <v>8</v>
      </c>
    </row>
    <row r="81" spans="2:5">
      <c r="C81" t="s">
        <v>542</v>
      </c>
      <c r="D81" t="s">
        <v>543</v>
      </c>
      <c r="E81" s="4">
        <v>1</v>
      </c>
    </row>
    <row r="82" spans="2:5">
      <c r="C82" t="s">
        <v>982</v>
      </c>
      <c r="D82" t="s">
        <v>983</v>
      </c>
      <c r="E82" s="4">
        <v>2</v>
      </c>
    </row>
    <row r="83" spans="2:5">
      <c r="C83">
        <v>87608</v>
      </c>
      <c r="D83" s="257" t="s">
        <v>975</v>
      </c>
      <c r="E83" s="4">
        <v>1</v>
      </c>
    </row>
    <row r="84" spans="2:5">
      <c r="C84" t="s">
        <v>832</v>
      </c>
      <c r="D84" t="s">
        <v>833</v>
      </c>
      <c r="E84" s="4">
        <v>2</v>
      </c>
    </row>
    <row r="85" spans="2:5">
      <c r="C85" t="s">
        <v>939</v>
      </c>
      <c r="D85" t="s">
        <v>940</v>
      </c>
      <c r="E85" s="4">
        <v>3</v>
      </c>
    </row>
    <row r="86" spans="2:5">
      <c r="C86" t="s">
        <v>834</v>
      </c>
      <c r="D86" t="s">
        <v>835</v>
      </c>
      <c r="E86" s="4">
        <v>4</v>
      </c>
    </row>
    <row r="87" spans="2:5">
      <c r="C87" t="s">
        <v>838</v>
      </c>
      <c r="D87" t="s">
        <v>839</v>
      </c>
      <c r="E87" s="4">
        <v>2</v>
      </c>
    </row>
    <row r="88" spans="2:5">
      <c r="C88" t="s">
        <v>1222</v>
      </c>
      <c r="D88" t="s">
        <v>1223</v>
      </c>
      <c r="E88" s="4">
        <v>3</v>
      </c>
    </row>
    <row r="89" spans="2:5">
      <c r="B89" s="257" t="s">
        <v>5173</v>
      </c>
      <c r="C89" t="s">
        <v>1340</v>
      </c>
      <c r="D89" t="s">
        <v>1341</v>
      </c>
      <c r="E89" s="4">
        <v>120</v>
      </c>
    </row>
    <row r="90" spans="2:5">
      <c r="B90" s="257" t="s">
        <v>4160</v>
      </c>
      <c r="C90" t="s">
        <v>1036</v>
      </c>
      <c r="D90" t="s">
        <v>1037</v>
      </c>
      <c r="E90" s="4">
        <v>2</v>
      </c>
    </row>
    <row r="91" spans="2:5">
      <c r="B91" s="257" t="s">
        <v>4146</v>
      </c>
      <c r="C91" t="s">
        <v>906</v>
      </c>
      <c r="D91" t="s">
        <v>907</v>
      </c>
      <c r="E91" s="4">
        <v>1</v>
      </c>
    </row>
    <row r="92" spans="2:5">
      <c r="C92" t="s">
        <v>906</v>
      </c>
      <c r="D92" t="s">
        <v>907</v>
      </c>
      <c r="E92" s="4">
        <v>2</v>
      </c>
    </row>
    <row r="93" spans="2:5">
      <c r="C93" t="s">
        <v>904</v>
      </c>
      <c r="D93" t="s">
        <v>905</v>
      </c>
      <c r="E93" s="4">
        <v>1</v>
      </c>
    </row>
    <row r="94" spans="2:5">
      <c r="E94" s="274">
        <f>SUM(E5:E93)</f>
        <v>1090</v>
      </c>
    </row>
  </sheetData>
  <autoFilter ref="A4:F21" xr:uid="{014B38C4-00BF-477B-94F6-3868DFC4C2F3}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PRINTING</vt:lpstr>
      <vt:lpstr>VB-3</vt:lpstr>
      <vt:lpstr>CONVIE - final</vt:lpstr>
      <vt:lpstr>VB-final</vt:lpstr>
      <vt:lpstr>JUNE SALES-</vt:lpstr>
      <vt:lpstr>VARIANCE-checking</vt:lpstr>
      <vt:lpstr>KINALANGUYAN</vt:lpstr>
      <vt:lpstr>PURCHASES+</vt:lpstr>
      <vt:lpstr>RETAIL+</vt:lpstr>
      <vt:lpstr>PULL OUT-</vt:lpstr>
      <vt:lpstr>'CONVIE - final'!Print_Area</vt:lpstr>
      <vt:lpstr>PRINTING!Print_Area</vt:lpstr>
      <vt:lpstr>'VARIANCE-checking'!Print_Area</vt:lpstr>
      <vt:lpstr>'VB-3'!Print_Area</vt:lpstr>
      <vt:lpstr>'VB-final'!Print_Area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Angelika Manucot</cp:lastModifiedBy>
  <cp:lastPrinted>2026-08-11T03:35:36Z</cp:lastPrinted>
  <dcterms:created xsi:type="dcterms:W3CDTF">2022-09-19T06:35:00Z</dcterms:created>
  <dcterms:modified xsi:type="dcterms:W3CDTF">2026-08-11T03:42:14Z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7B89EFFD48E1435BB2F96505029CE542_12</vt:lpwstr>
  </property>
  <property fmtid="{D5CDD505-2E9C-101B-9397-08002B2CF9AE}" pid="3" name="KSOProductBuildVer">
    <vt:lpwstr>1033-12.2.0.18607</vt:lpwstr>
  </property>
</Properties>
</file>