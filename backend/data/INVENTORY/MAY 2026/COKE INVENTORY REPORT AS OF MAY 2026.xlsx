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D:\CHARISSE\INVENTORY REPORTS\2026\"/>
    </mc:Choice>
  </mc:AlternateContent>
  <xr:revisionPtr revIDLastSave="0" documentId="13_ncr:1_{D447C54F-F585-459A-A449-C0F0489FCAB4}" xr6:coauthVersionLast="47" xr6:coauthVersionMax="47" xr10:uidLastSave="{00000000-0000-0000-0000-000000000000}"/>
  <bookViews>
    <workbookView xWindow="-120" yWindow="-120" windowWidth="29040" windowHeight="15840" tabRatio="552" xr2:uid="{00000000-000D-0000-FFFF-FFFF00000000}"/>
  </bookViews>
  <sheets>
    <sheet name="COCA COLA" sheetId="19" r:id="rId1"/>
    <sheet name="beginning inv-APR 2026" sheetId="32" r:id="rId2"/>
    <sheet name="ending inv" sheetId="33" r:id="rId3"/>
    <sheet name="VB" sheetId="20" r:id="rId4"/>
  </sheets>
  <definedNames>
    <definedName name="_xlnm._FilterDatabase" localSheetId="0" hidden="1">'COCA COLA'!$B$5:$T$71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3" i="20" l="1"/>
  <c r="S32" i="20"/>
  <c r="E19" i="20"/>
  <c r="U44" i="20"/>
  <c r="U45" i="20"/>
  <c r="U46" i="20"/>
  <c r="U47" i="20"/>
  <c r="U48" i="20"/>
  <c r="U49" i="20"/>
  <c r="U50" i="20"/>
  <c r="U51" i="20"/>
  <c r="U52" i="20"/>
  <c r="U53" i="20"/>
  <c r="U43" i="20"/>
  <c r="E43" i="20"/>
  <c r="E44" i="20"/>
  <c r="E45" i="20"/>
  <c r="E46" i="20"/>
  <c r="E47" i="20"/>
  <c r="E48" i="20"/>
  <c r="E49" i="20"/>
  <c r="E42" i="20"/>
  <c r="T54" i="20"/>
  <c r="D50" i="20"/>
  <c r="U54" i="20" l="1"/>
  <c r="E50" i="20"/>
  <c r="P53" i="33"/>
  <c r="M53" i="33"/>
  <c r="J53" i="33"/>
  <c r="G53" i="33"/>
  <c r="D53" i="33"/>
  <c r="Q53" i="33" s="1"/>
  <c r="S53" i="33" s="1"/>
  <c r="P52" i="33"/>
  <c r="Q52" i="33" s="1"/>
  <c r="S52" i="33" s="1"/>
  <c r="M52" i="33"/>
  <c r="J52" i="33"/>
  <c r="G52" i="33"/>
  <c r="D52" i="33"/>
  <c r="N51" i="33"/>
  <c r="P51" i="33" s="1"/>
  <c r="M51" i="33"/>
  <c r="J51" i="33"/>
  <c r="G51" i="33"/>
  <c r="D51" i="33"/>
  <c r="B51" i="33"/>
  <c r="P50" i="33"/>
  <c r="N50" i="33"/>
  <c r="M50" i="33"/>
  <c r="J50" i="33"/>
  <c r="G50" i="33"/>
  <c r="B50" i="33"/>
  <c r="D50" i="33" s="1"/>
  <c r="Q50" i="33" s="1"/>
  <c r="S50" i="33" s="1"/>
  <c r="Q49" i="33"/>
  <c r="S49" i="33" s="1"/>
  <c r="P49" i="33"/>
  <c r="M49" i="33"/>
  <c r="K49" i="33"/>
  <c r="J49" i="33"/>
  <c r="G49" i="33"/>
  <c r="D49" i="33"/>
  <c r="P48" i="33"/>
  <c r="M48" i="33"/>
  <c r="J48" i="33"/>
  <c r="G48" i="33"/>
  <c r="B48" i="33"/>
  <c r="D48" i="33" s="1"/>
  <c r="Q48" i="33" s="1"/>
  <c r="S48" i="33" s="1"/>
  <c r="P47" i="33"/>
  <c r="M47" i="33"/>
  <c r="K47" i="33"/>
  <c r="J47" i="33"/>
  <c r="G47" i="33"/>
  <c r="B47" i="33"/>
  <c r="D47" i="33" s="1"/>
  <c r="Q47" i="33" s="1"/>
  <c r="S47" i="33" s="1"/>
  <c r="P46" i="33"/>
  <c r="K46" i="33"/>
  <c r="M46" i="33" s="1"/>
  <c r="H46" i="33"/>
  <c r="J46" i="33" s="1"/>
  <c r="E46" i="33"/>
  <c r="G46" i="33" s="1"/>
  <c r="D46" i="33"/>
  <c r="Q46" i="33" s="1"/>
  <c r="S46" i="33" s="1"/>
  <c r="Q45" i="33"/>
  <c r="S45" i="33" s="1"/>
  <c r="P45" i="33"/>
  <c r="M45" i="33"/>
  <c r="J45" i="33"/>
  <c r="G45" i="33"/>
  <c r="D45" i="33"/>
  <c r="P44" i="33"/>
  <c r="M44" i="33"/>
  <c r="I44" i="33"/>
  <c r="J44" i="33" s="1"/>
  <c r="H44" i="33"/>
  <c r="G44" i="33"/>
  <c r="B44" i="33"/>
  <c r="D44" i="33" s="1"/>
  <c r="Q44" i="33" s="1"/>
  <c r="S44" i="33" s="1"/>
  <c r="P43" i="33"/>
  <c r="L43" i="33"/>
  <c r="M43" i="33" s="1"/>
  <c r="I43" i="33"/>
  <c r="H43" i="33"/>
  <c r="J43" i="33" s="1"/>
  <c r="E43" i="33"/>
  <c r="G43" i="33" s="1"/>
  <c r="B43" i="33"/>
  <c r="D43" i="33" s="1"/>
  <c r="P42" i="33"/>
  <c r="L42" i="33"/>
  <c r="K42" i="33"/>
  <c r="M42" i="33" s="1"/>
  <c r="J42" i="33"/>
  <c r="G42" i="33"/>
  <c r="E42" i="33"/>
  <c r="D42" i="33"/>
  <c r="Q42" i="33" s="1"/>
  <c r="S42" i="33" s="1"/>
  <c r="B42" i="33"/>
  <c r="P41" i="33"/>
  <c r="M41" i="33"/>
  <c r="J41" i="33"/>
  <c r="G41" i="33"/>
  <c r="D41" i="33"/>
  <c r="Q40" i="33"/>
  <c r="S40" i="33" s="1"/>
  <c r="P40" i="33"/>
  <c r="M40" i="33"/>
  <c r="J40" i="33"/>
  <c r="G40" i="33"/>
  <c r="D40" i="33"/>
  <c r="P39" i="33"/>
  <c r="M39" i="33"/>
  <c r="J39" i="33"/>
  <c r="G39" i="33"/>
  <c r="D39" i="33"/>
  <c r="Q39" i="33" s="1"/>
  <c r="S39" i="33" s="1"/>
  <c r="P38" i="33"/>
  <c r="M38" i="33"/>
  <c r="J38" i="33"/>
  <c r="G38" i="33"/>
  <c r="D38" i="33"/>
  <c r="Q38" i="33" s="1"/>
  <c r="S38" i="33" s="1"/>
  <c r="P37" i="33"/>
  <c r="M37" i="33"/>
  <c r="J37" i="33"/>
  <c r="G37" i="33"/>
  <c r="D37" i="33"/>
  <c r="B37" i="33"/>
  <c r="P36" i="33"/>
  <c r="M36" i="33"/>
  <c r="I36" i="33"/>
  <c r="H36" i="33"/>
  <c r="J36" i="33" s="1"/>
  <c r="G36" i="33"/>
  <c r="D36" i="33"/>
  <c r="Q36" i="33" s="1"/>
  <c r="S36" i="33" s="1"/>
  <c r="B36" i="33"/>
  <c r="P35" i="33"/>
  <c r="M35" i="33"/>
  <c r="J35" i="33"/>
  <c r="G35" i="33"/>
  <c r="D35" i="33"/>
  <c r="Q35" i="33" s="1"/>
  <c r="S35" i="33" s="1"/>
  <c r="P34" i="33"/>
  <c r="M34" i="33"/>
  <c r="Q34" i="33" s="1"/>
  <c r="S34" i="33" s="1"/>
  <c r="J34" i="33"/>
  <c r="G34" i="33"/>
  <c r="D34" i="33"/>
  <c r="P33" i="33"/>
  <c r="M33" i="33"/>
  <c r="J33" i="33"/>
  <c r="G33" i="33"/>
  <c r="D33" i="33"/>
  <c r="Q33" i="33" s="1"/>
  <c r="S33" i="33" s="1"/>
  <c r="P32" i="33"/>
  <c r="M32" i="33"/>
  <c r="J32" i="33"/>
  <c r="G32" i="33"/>
  <c r="D32" i="33"/>
  <c r="Q32" i="33" s="1"/>
  <c r="S32" i="33" s="1"/>
  <c r="P31" i="33"/>
  <c r="M31" i="33"/>
  <c r="J31" i="33"/>
  <c r="G31" i="33"/>
  <c r="Q31" i="33" s="1"/>
  <c r="S31" i="33" s="1"/>
  <c r="D31" i="33"/>
  <c r="P30" i="33"/>
  <c r="M30" i="33"/>
  <c r="J30" i="33"/>
  <c r="G30" i="33"/>
  <c r="D30" i="33"/>
  <c r="Q30" i="33" s="1"/>
  <c r="S30" i="33" s="1"/>
  <c r="P29" i="33"/>
  <c r="M29" i="33"/>
  <c r="Q29" i="33" s="1"/>
  <c r="S29" i="33" s="1"/>
  <c r="J29" i="33"/>
  <c r="G29" i="33"/>
  <c r="D29" i="33"/>
  <c r="P28" i="33"/>
  <c r="M28" i="33"/>
  <c r="J28" i="33"/>
  <c r="G28" i="33"/>
  <c r="D28" i="33"/>
  <c r="Q28" i="33" s="1"/>
  <c r="S28" i="33" s="1"/>
  <c r="Q27" i="33"/>
  <c r="S27" i="33" s="1"/>
  <c r="P27" i="33"/>
  <c r="M27" i="33"/>
  <c r="J27" i="33"/>
  <c r="G27" i="33"/>
  <c r="D27" i="33"/>
  <c r="P26" i="33"/>
  <c r="M26" i="33"/>
  <c r="J26" i="33"/>
  <c r="G26" i="33"/>
  <c r="D26" i="33"/>
  <c r="Q26" i="33" s="1"/>
  <c r="S26" i="33" s="1"/>
  <c r="P25" i="33"/>
  <c r="M25" i="33"/>
  <c r="J25" i="33"/>
  <c r="G25" i="33"/>
  <c r="D25" i="33"/>
  <c r="Q25" i="33" s="1"/>
  <c r="S25" i="33" s="1"/>
  <c r="P24" i="33"/>
  <c r="M24" i="33"/>
  <c r="J24" i="33"/>
  <c r="Q24" i="33" s="1"/>
  <c r="S24" i="33" s="1"/>
  <c r="G24" i="33"/>
  <c r="D24" i="33"/>
  <c r="P23" i="33"/>
  <c r="M23" i="33"/>
  <c r="J23" i="33"/>
  <c r="G23" i="33"/>
  <c r="B23" i="33"/>
  <c r="D23" i="33" s="1"/>
  <c r="Q23" i="33" s="1"/>
  <c r="S23" i="33" s="1"/>
  <c r="P22" i="33"/>
  <c r="M22" i="33"/>
  <c r="J22" i="33"/>
  <c r="E22" i="33"/>
  <c r="G22" i="33" s="1"/>
  <c r="B22" i="33"/>
  <c r="D22" i="33" s="1"/>
  <c r="Q22" i="33" s="1"/>
  <c r="S22" i="33" s="1"/>
  <c r="P21" i="33"/>
  <c r="L21" i="33"/>
  <c r="M21" i="33" s="1"/>
  <c r="K21" i="33"/>
  <c r="I21" i="33"/>
  <c r="J21" i="33" s="1"/>
  <c r="G21" i="33"/>
  <c r="D21" i="33"/>
  <c r="B21" i="33"/>
  <c r="P20" i="33"/>
  <c r="M20" i="33"/>
  <c r="J20" i="33"/>
  <c r="G20" i="33"/>
  <c r="D20" i="33"/>
  <c r="P19" i="33"/>
  <c r="M19" i="33"/>
  <c r="J19" i="33"/>
  <c r="G19" i="33"/>
  <c r="D19" i="33"/>
  <c r="Q19" i="33" s="1"/>
  <c r="S19" i="33" s="1"/>
  <c r="P18" i="33"/>
  <c r="M18" i="33"/>
  <c r="Q18" i="33" s="1"/>
  <c r="S18" i="33" s="1"/>
  <c r="J18" i="33"/>
  <c r="G18" i="33"/>
  <c r="D18" i="33"/>
  <c r="P17" i="33"/>
  <c r="M17" i="33"/>
  <c r="J17" i="33"/>
  <c r="G17" i="33"/>
  <c r="D17" i="33"/>
  <c r="Q17" i="33" s="1"/>
  <c r="S17" i="33" s="1"/>
  <c r="Q16" i="33"/>
  <c r="S16" i="33" s="1"/>
  <c r="P16" i="33"/>
  <c r="M16" i="33"/>
  <c r="J16" i="33"/>
  <c r="G16" i="33"/>
  <c r="D16" i="33"/>
  <c r="P15" i="33"/>
  <c r="M15" i="33"/>
  <c r="J15" i="33"/>
  <c r="G15" i="33"/>
  <c r="D15" i="33"/>
  <c r="Q15" i="33" s="1"/>
  <c r="S15" i="33" s="1"/>
  <c r="P14" i="33"/>
  <c r="M14" i="33"/>
  <c r="J14" i="33"/>
  <c r="G14" i="33"/>
  <c r="D14" i="33"/>
  <c r="Q14" i="33" s="1"/>
  <c r="S14" i="33" s="1"/>
  <c r="P13" i="33"/>
  <c r="M13" i="33"/>
  <c r="J13" i="33"/>
  <c r="G13" i="33"/>
  <c r="D13" i="33"/>
  <c r="B13" i="33"/>
  <c r="P12" i="33"/>
  <c r="M12" i="33"/>
  <c r="J12" i="33"/>
  <c r="G12" i="33"/>
  <c r="B12" i="33"/>
  <c r="D12" i="33" s="1"/>
  <c r="P11" i="33"/>
  <c r="M11" i="33"/>
  <c r="J11" i="33"/>
  <c r="G11" i="33"/>
  <c r="D11" i="33"/>
  <c r="Q11" i="33" s="1"/>
  <c r="S11" i="33" s="1"/>
  <c r="P10" i="33"/>
  <c r="K10" i="33"/>
  <c r="M10" i="33" s="1"/>
  <c r="J10" i="33"/>
  <c r="G10" i="33"/>
  <c r="D10" i="33"/>
  <c r="B10" i="33"/>
  <c r="P9" i="33"/>
  <c r="M9" i="33"/>
  <c r="J9" i="33"/>
  <c r="G9" i="33"/>
  <c r="B9" i="33"/>
  <c r="D9" i="33" s="1"/>
  <c r="Q9" i="33" s="1"/>
  <c r="S9" i="33" s="1"/>
  <c r="P8" i="33"/>
  <c r="M8" i="33"/>
  <c r="J8" i="33"/>
  <c r="G8" i="33"/>
  <c r="D8" i="33"/>
  <c r="Q8" i="33" s="1"/>
  <c r="S8" i="33" s="1"/>
  <c r="P7" i="33"/>
  <c r="M7" i="33"/>
  <c r="J7" i="33"/>
  <c r="E7" i="33"/>
  <c r="G7" i="33" s="1"/>
  <c r="Q7" i="33" s="1"/>
  <c r="D7" i="33"/>
  <c r="B7" i="33"/>
  <c r="Q13" i="33" l="1"/>
  <c r="S13" i="33" s="1"/>
  <c r="Q12" i="33"/>
  <c r="S12" i="33" s="1"/>
  <c r="Q10" i="33"/>
  <c r="S10" i="33" s="1"/>
  <c r="Q41" i="33"/>
  <c r="S41" i="33" s="1"/>
  <c r="Q20" i="33"/>
  <c r="S20" i="33" s="1"/>
  <c r="Q37" i="33"/>
  <c r="S37" i="33" s="1"/>
  <c r="Q43" i="33"/>
  <c r="S43" i="33" s="1"/>
  <c r="S7" i="33"/>
  <c r="Q51" i="33"/>
  <c r="S51" i="33" s="1"/>
  <c r="Q21" i="33"/>
  <c r="S21" i="33" s="1"/>
  <c r="S54" i="33" l="1"/>
  <c r="Q54" i="33"/>
  <c r="V53" i="32" l="1"/>
  <c r="S53" i="32"/>
  <c r="P53" i="32"/>
  <c r="M53" i="32"/>
  <c r="J53" i="32"/>
  <c r="G53" i="32"/>
  <c r="D53" i="32"/>
  <c r="W53" i="32" s="1"/>
  <c r="Y53" i="32" s="1"/>
  <c r="V52" i="32"/>
  <c r="S52" i="32"/>
  <c r="P52" i="32"/>
  <c r="M52" i="32"/>
  <c r="J52" i="32"/>
  <c r="G52" i="32"/>
  <c r="D52" i="32"/>
  <c r="W52" i="32" s="1"/>
  <c r="Y52" i="32" s="1"/>
  <c r="T51" i="32"/>
  <c r="V51" i="32" s="1"/>
  <c r="W51" i="32" s="1"/>
  <c r="Y51" i="32" s="1"/>
  <c r="S51" i="32"/>
  <c r="P51" i="32"/>
  <c r="M51" i="32"/>
  <c r="J51" i="32"/>
  <c r="G51" i="32"/>
  <c r="D51" i="32"/>
  <c r="T50" i="32"/>
  <c r="V50" i="32" s="1"/>
  <c r="S50" i="32"/>
  <c r="P50" i="32"/>
  <c r="M50" i="32"/>
  <c r="J50" i="32"/>
  <c r="G50" i="32"/>
  <c r="D50" i="32"/>
  <c r="V49" i="32"/>
  <c r="Q49" i="32"/>
  <c r="S49" i="32" s="1"/>
  <c r="P49" i="32"/>
  <c r="M49" i="32"/>
  <c r="J49" i="32"/>
  <c r="G49" i="32"/>
  <c r="D49" i="32"/>
  <c r="W49" i="32" s="1"/>
  <c r="Y49" i="32" s="1"/>
  <c r="V48" i="32"/>
  <c r="S48" i="32"/>
  <c r="Q48" i="32"/>
  <c r="P48" i="32"/>
  <c r="M48" i="32"/>
  <c r="J48" i="32"/>
  <c r="G48" i="32"/>
  <c r="D48" i="32"/>
  <c r="W48" i="32" s="1"/>
  <c r="Y48" i="32" s="1"/>
  <c r="V47" i="32"/>
  <c r="S47" i="32"/>
  <c r="Q47" i="32"/>
  <c r="P47" i="32"/>
  <c r="M47" i="32"/>
  <c r="J47" i="32"/>
  <c r="G47" i="32"/>
  <c r="D47" i="32"/>
  <c r="W47" i="32" s="1"/>
  <c r="Y47" i="32" s="1"/>
  <c r="W46" i="32"/>
  <c r="Y46" i="32" s="1"/>
  <c r="V46" i="32"/>
  <c r="S46" i="32"/>
  <c r="P46" i="32"/>
  <c r="M46" i="32"/>
  <c r="J46" i="32"/>
  <c r="G46" i="32"/>
  <c r="D46" i="32"/>
  <c r="V45" i="32"/>
  <c r="Q45" i="32"/>
  <c r="S45" i="32" s="1"/>
  <c r="W45" i="32" s="1"/>
  <c r="Y45" i="32" s="1"/>
  <c r="P45" i="32"/>
  <c r="M45" i="32"/>
  <c r="J45" i="32"/>
  <c r="G45" i="32"/>
  <c r="D45" i="32"/>
  <c r="V44" i="32"/>
  <c r="R44" i="32"/>
  <c r="S44" i="32" s="1"/>
  <c r="P44" i="32"/>
  <c r="M44" i="32"/>
  <c r="J44" i="32"/>
  <c r="G44" i="32"/>
  <c r="C44" i="32"/>
  <c r="D44" i="32" s="1"/>
  <c r="V43" i="32"/>
  <c r="R43" i="32"/>
  <c r="Q43" i="32"/>
  <c r="S43" i="32" s="1"/>
  <c r="P43" i="32"/>
  <c r="M43" i="32"/>
  <c r="J43" i="32"/>
  <c r="G43" i="32"/>
  <c r="C43" i="32"/>
  <c r="D43" i="32" s="1"/>
  <c r="W43" i="32" s="1"/>
  <c r="Y43" i="32" s="1"/>
  <c r="V42" i="32"/>
  <c r="R42" i="32"/>
  <c r="Q42" i="32"/>
  <c r="S42" i="32" s="1"/>
  <c r="P42" i="32"/>
  <c r="M42" i="32"/>
  <c r="H42" i="32"/>
  <c r="J42" i="32" s="1"/>
  <c r="G42" i="32"/>
  <c r="D42" i="32"/>
  <c r="B42" i="32"/>
  <c r="V41" i="32"/>
  <c r="S41" i="32"/>
  <c r="P41" i="32"/>
  <c r="M41" i="32"/>
  <c r="J41" i="32"/>
  <c r="G41" i="32"/>
  <c r="D41" i="32"/>
  <c r="W41" i="32" s="1"/>
  <c r="Y41" i="32" s="1"/>
  <c r="V40" i="32"/>
  <c r="S40" i="32"/>
  <c r="P40" i="32"/>
  <c r="M40" i="32"/>
  <c r="J40" i="32"/>
  <c r="G40" i="32"/>
  <c r="W40" i="32" s="1"/>
  <c r="Y40" i="32" s="1"/>
  <c r="D40" i="32"/>
  <c r="V39" i="32"/>
  <c r="S39" i="32"/>
  <c r="P39" i="32"/>
  <c r="M39" i="32"/>
  <c r="J39" i="32"/>
  <c r="G39" i="32"/>
  <c r="D39" i="32"/>
  <c r="W39" i="32" s="1"/>
  <c r="Y39" i="32" s="1"/>
  <c r="W38" i="32"/>
  <c r="Y38" i="32" s="1"/>
  <c r="V38" i="32"/>
  <c r="S38" i="32"/>
  <c r="P38" i="32"/>
  <c r="M38" i="32"/>
  <c r="J38" i="32"/>
  <c r="G38" i="32"/>
  <c r="D38" i="32"/>
  <c r="B38" i="32"/>
  <c r="V37" i="32"/>
  <c r="S37" i="32"/>
  <c r="P37" i="32"/>
  <c r="M37" i="32"/>
  <c r="J37" i="32"/>
  <c r="G37" i="32"/>
  <c r="D37" i="32"/>
  <c r="W37" i="32" s="1"/>
  <c r="Y37" i="32" s="1"/>
  <c r="V36" i="32"/>
  <c r="S36" i="32"/>
  <c r="P36" i="32"/>
  <c r="M36" i="32"/>
  <c r="J36" i="32"/>
  <c r="G36" i="32"/>
  <c r="D36" i="32"/>
  <c r="W36" i="32" s="1"/>
  <c r="Y36" i="32" s="1"/>
  <c r="B36" i="32"/>
  <c r="V35" i="32"/>
  <c r="S35" i="32"/>
  <c r="P35" i="32"/>
  <c r="M35" i="32"/>
  <c r="J35" i="32"/>
  <c r="G35" i="32"/>
  <c r="D35" i="32"/>
  <c r="W35" i="32" s="1"/>
  <c r="Y35" i="32" s="1"/>
  <c r="W34" i="32"/>
  <c r="Y34" i="32" s="1"/>
  <c r="V34" i="32"/>
  <c r="S34" i="32"/>
  <c r="Q34" i="32"/>
  <c r="P34" i="32"/>
  <c r="M34" i="32"/>
  <c r="J34" i="32"/>
  <c r="G34" i="32"/>
  <c r="D34" i="32"/>
  <c r="W33" i="32"/>
  <c r="Y33" i="32" s="1"/>
  <c r="V33" i="32"/>
  <c r="S33" i="32"/>
  <c r="P33" i="32"/>
  <c r="M33" i="32"/>
  <c r="J33" i="32"/>
  <c r="G33" i="32"/>
  <c r="D33" i="32"/>
  <c r="V32" i="32"/>
  <c r="S32" i="32"/>
  <c r="P32" i="32"/>
  <c r="M32" i="32"/>
  <c r="J32" i="32"/>
  <c r="G32" i="32"/>
  <c r="D32" i="32"/>
  <c r="W32" i="32" s="1"/>
  <c r="Y32" i="32" s="1"/>
  <c r="V31" i="32"/>
  <c r="S31" i="32"/>
  <c r="P31" i="32"/>
  <c r="M31" i="32"/>
  <c r="J31" i="32"/>
  <c r="G31" i="32"/>
  <c r="D31" i="32"/>
  <c r="W31" i="32" s="1"/>
  <c r="Y31" i="32" s="1"/>
  <c r="V30" i="32"/>
  <c r="S30" i="32"/>
  <c r="P30" i="32"/>
  <c r="M30" i="32"/>
  <c r="J30" i="32"/>
  <c r="G30" i="32"/>
  <c r="D30" i="32"/>
  <c r="W30" i="32" s="1"/>
  <c r="Y30" i="32" s="1"/>
  <c r="W29" i="32"/>
  <c r="Y29" i="32" s="1"/>
  <c r="V29" i="32"/>
  <c r="S29" i="32"/>
  <c r="P29" i="32"/>
  <c r="M29" i="32"/>
  <c r="J29" i="32"/>
  <c r="G29" i="32"/>
  <c r="D29" i="32"/>
  <c r="V28" i="32"/>
  <c r="S28" i="32"/>
  <c r="P28" i="32"/>
  <c r="M28" i="32"/>
  <c r="J28" i="32"/>
  <c r="G28" i="32"/>
  <c r="D28" i="32"/>
  <c r="W28" i="32" s="1"/>
  <c r="Y28" i="32" s="1"/>
  <c r="B28" i="32"/>
  <c r="V27" i="32"/>
  <c r="S27" i="32"/>
  <c r="P27" i="32"/>
  <c r="M27" i="32"/>
  <c r="J27" i="32"/>
  <c r="G27" i="32"/>
  <c r="D27" i="32"/>
  <c r="W27" i="32" s="1"/>
  <c r="Y27" i="32" s="1"/>
  <c r="V26" i="32"/>
  <c r="S26" i="32"/>
  <c r="P26" i="32"/>
  <c r="M26" i="32"/>
  <c r="J26" i="32"/>
  <c r="G26" i="32"/>
  <c r="B26" i="32"/>
  <c r="D26" i="32" s="1"/>
  <c r="W26" i="32" s="1"/>
  <c r="Y26" i="32" s="1"/>
  <c r="W25" i="32"/>
  <c r="Y25" i="32" s="1"/>
  <c r="V25" i="32"/>
  <c r="S25" i="32"/>
  <c r="P25" i="32"/>
  <c r="M25" i="32"/>
  <c r="J25" i="32"/>
  <c r="G25" i="32"/>
  <c r="D25" i="32"/>
  <c r="V24" i="32"/>
  <c r="S24" i="32"/>
  <c r="P24" i="32"/>
  <c r="W24" i="32" s="1"/>
  <c r="Y24" i="32" s="1"/>
  <c r="M24" i="32"/>
  <c r="J24" i="32"/>
  <c r="G24" i="32"/>
  <c r="D24" i="32"/>
  <c r="V23" i="32"/>
  <c r="S23" i="32"/>
  <c r="P23" i="32"/>
  <c r="M23" i="32"/>
  <c r="J23" i="32"/>
  <c r="G23" i="32"/>
  <c r="B23" i="32"/>
  <c r="D23" i="32" s="1"/>
  <c r="W23" i="32" s="1"/>
  <c r="Y23" i="32" s="1"/>
  <c r="V22" i="32"/>
  <c r="R22" i="32"/>
  <c r="Q22" i="32"/>
  <c r="S22" i="32" s="1"/>
  <c r="P22" i="32"/>
  <c r="M22" i="32"/>
  <c r="J22" i="32"/>
  <c r="G22" i="32"/>
  <c r="B22" i="32"/>
  <c r="D22" i="32" s="1"/>
  <c r="W22" i="32" s="1"/>
  <c r="Y22" i="32" s="1"/>
  <c r="V21" i="32"/>
  <c r="R21" i="32"/>
  <c r="Q21" i="32"/>
  <c r="S21" i="32" s="1"/>
  <c r="P21" i="32"/>
  <c r="M21" i="32"/>
  <c r="J21" i="32"/>
  <c r="G21" i="32"/>
  <c r="B21" i="32"/>
  <c r="D21" i="32" s="1"/>
  <c r="W21" i="32" s="1"/>
  <c r="Y21" i="32" s="1"/>
  <c r="V20" i="32"/>
  <c r="S20" i="32"/>
  <c r="P20" i="32"/>
  <c r="M20" i="32"/>
  <c r="J20" i="32"/>
  <c r="G20" i="32"/>
  <c r="D20" i="32"/>
  <c r="W20" i="32" s="1"/>
  <c r="Y20" i="32" s="1"/>
  <c r="V19" i="32"/>
  <c r="S19" i="32"/>
  <c r="P19" i="32"/>
  <c r="M19" i="32"/>
  <c r="J19" i="32"/>
  <c r="G19" i="32"/>
  <c r="D19" i="32"/>
  <c r="W19" i="32" s="1"/>
  <c r="Y19" i="32" s="1"/>
  <c r="W18" i="32"/>
  <c r="Y18" i="32" s="1"/>
  <c r="V18" i="32"/>
  <c r="S18" i="32"/>
  <c r="P18" i="32"/>
  <c r="M18" i="32"/>
  <c r="J18" i="32"/>
  <c r="G18" i="32"/>
  <c r="D18" i="32"/>
  <c r="V17" i="32"/>
  <c r="S17" i="32"/>
  <c r="P17" i="32"/>
  <c r="M17" i="32"/>
  <c r="J17" i="32"/>
  <c r="G17" i="32"/>
  <c r="D17" i="32"/>
  <c r="W17" i="32" s="1"/>
  <c r="Y17" i="32" s="1"/>
  <c r="V16" i="32"/>
  <c r="S16" i="32"/>
  <c r="P16" i="32"/>
  <c r="M16" i="32"/>
  <c r="J16" i="32"/>
  <c r="G16" i="32"/>
  <c r="D16" i="32"/>
  <c r="W16" i="32" s="1"/>
  <c r="Y16" i="32" s="1"/>
  <c r="V15" i="32"/>
  <c r="S15" i="32"/>
  <c r="P15" i="32"/>
  <c r="M15" i="32"/>
  <c r="J15" i="32"/>
  <c r="G15" i="32"/>
  <c r="D15" i="32"/>
  <c r="W15" i="32" s="1"/>
  <c r="Y15" i="32" s="1"/>
  <c r="W14" i="32"/>
  <c r="Y14" i="32" s="1"/>
  <c r="V14" i="32"/>
  <c r="S14" i="32"/>
  <c r="P14" i="32"/>
  <c r="M14" i="32"/>
  <c r="J14" i="32"/>
  <c r="G14" i="32"/>
  <c r="D14" i="32"/>
  <c r="V13" i="32"/>
  <c r="S13" i="32"/>
  <c r="P13" i="32"/>
  <c r="M13" i="32"/>
  <c r="J13" i="32"/>
  <c r="G13" i="32"/>
  <c r="D13" i="32"/>
  <c r="W13" i="32" s="1"/>
  <c r="Y13" i="32" s="1"/>
  <c r="V12" i="32"/>
  <c r="S12" i="32"/>
  <c r="P12" i="32"/>
  <c r="M12" i="32"/>
  <c r="J12" i="32"/>
  <c r="G12" i="32"/>
  <c r="D12" i="32"/>
  <c r="V11" i="32"/>
  <c r="W11" i="32" s="1"/>
  <c r="M11" i="32"/>
  <c r="J11" i="32"/>
  <c r="G11" i="32"/>
  <c r="D11" i="32"/>
  <c r="T10" i="32"/>
  <c r="V10" i="32" s="1"/>
  <c r="Q10" i="32"/>
  <c r="S10" i="32" s="1"/>
  <c r="P10" i="32"/>
  <c r="M10" i="32"/>
  <c r="J10" i="32"/>
  <c r="G10" i="32"/>
  <c r="B10" i="32"/>
  <c r="D10" i="32" s="1"/>
  <c r="V9" i="32"/>
  <c r="S9" i="32"/>
  <c r="P9" i="32"/>
  <c r="M9" i="32"/>
  <c r="J9" i="32"/>
  <c r="G9" i="32"/>
  <c r="B9" i="32"/>
  <c r="D9" i="32" s="1"/>
  <c r="W9" i="32" s="1"/>
  <c r="Y9" i="32" s="1"/>
  <c r="V8" i="32"/>
  <c r="S8" i="32"/>
  <c r="P8" i="32"/>
  <c r="M8" i="32"/>
  <c r="J8" i="32"/>
  <c r="G8" i="32"/>
  <c r="D8" i="32"/>
  <c r="W8" i="32" s="1"/>
  <c r="Y8" i="32" s="1"/>
  <c r="V7" i="32"/>
  <c r="S7" i="32"/>
  <c r="R7" i="32"/>
  <c r="P7" i="32"/>
  <c r="M7" i="32"/>
  <c r="J7" i="32"/>
  <c r="G7" i="32"/>
  <c r="B7" i="32"/>
  <c r="D7" i="32" s="1"/>
  <c r="W7" i="32" s="1"/>
  <c r="H10" i="19"/>
  <c r="O48" i="19"/>
  <c r="I66" i="19"/>
  <c r="S66" i="19"/>
  <c r="L53" i="19"/>
  <c r="P53" i="19" s="1"/>
  <c r="L54" i="19"/>
  <c r="N54" i="19" s="1"/>
  <c r="O33" i="19"/>
  <c r="M13" i="19"/>
  <c r="O59" i="19"/>
  <c r="L59" i="19"/>
  <c r="N59" i="19" s="1"/>
  <c r="O53" i="19"/>
  <c r="O58" i="19"/>
  <c r="L58" i="19"/>
  <c r="P58" i="19" s="1"/>
  <c r="O50" i="19"/>
  <c r="L50" i="19"/>
  <c r="P50" i="19" s="1"/>
  <c r="O29" i="19"/>
  <c r="L29" i="19"/>
  <c r="N29" i="19" s="1"/>
  <c r="O14" i="19"/>
  <c r="L14" i="19"/>
  <c r="N14" i="19" s="1"/>
  <c r="L9" i="19"/>
  <c r="N9" i="19" s="1"/>
  <c r="L10" i="19"/>
  <c r="N10" i="19" s="1"/>
  <c r="O9" i="19"/>
  <c r="O10" i="19"/>
  <c r="O36" i="19"/>
  <c r="O37" i="19"/>
  <c r="O38" i="19"/>
  <c r="L36" i="19"/>
  <c r="P36" i="19" s="1"/>
  <c r="L37" i="19"/>
  <c r="N37" i="19" s="1"/>
  <c r="O6" i="19"/>
  <c r="O7" i="19"/>
  <c r="O8" i="19"/>
  <c r="O11" i="19"/>
  <c r="O12" i="19"/>
  <c r="O13" i="19"/>
  <c r="O15" i="19"/>
  <c r="O16" i="19"/>
  <c r="O17" i="19"/>
  <c r="O18" i="19"/>
  <c r="O19" i="19"/>
  <c r="O20" i="19"/>
  <c r="O21" i="19"/>
  <c r="O22" i="19"/>
  <c r="O23" i="19"/>
  <c r="O24" i="19"/>
  <c r="O25" i="19"/>
  <c r="O26" i="19"/>
  <c r="O27" i="19"/>
  <c r="O28" i="19"/>
  <c r="O30" i="19"/>
  <c r="O31" i="19"/>
  <c r="O32" i="19"/>
  <c r="O34" i="19"/>
  <c r="O35" i="19"/>
  <c r="O39" i="19"/>
  <c r="O40" i="19"/>
  <c r="O41" i="19"/>
  <c r="O42" i="19"/>
  <c r="O43" i="19"/>
  <c r="O44" i="19"/>
  <c r="O45" i="19"/>
  <c r="O46" i="19"/>
  <c r="O47" i="19"/>
  <c r="O49" i="19"/>
  <c r="O51" i="19"/>
  <c r="O52" i="19"/>
  <c r="O54" i="19"/>
  <c r="O55" i="19"/>
  <c r="O56" i="19"/>
  <c r="O57" i="19"/>
  <c r="O60" i="19"/>
  <c r="O61" i="19"/>
  <c r="O62" i="19"/>
  <c r="O63" i="19"/>
  <c r="O64" i="19"/>
  <c r="O65" i="19"/>
  <c r="L25" i="19"/>
  <c r="N25" i="19" s="1"/>
  <c r="L7" i="19"/>
  <c r="N7" i="19" s="1"/>
  <c r="L8" i="19"/>
  <c r="P8" i="19" s="1"/>
  <c r="L11" i="19"/>
  <c r="N11" i="19" s="1"/>
  <c r="L12" i="19"/>
  <c r="P12" i="19" s="1"/>
  <c r="L13" i="19"/>
  <c r="P13" i="19" s="1"/>
  <c r="L15" i="19"/>
  <c r="N15" i="19" s="1"/>
  <c r="L16" i="19"/>
  <c r="N16" i="19" s="1"/>
  <c r="L17" i="19"/>
  <c r="P17" i="19" s="1"/>
  <c r="L18" i="19"/>
  <c r="P18" i="19" s="1"/>
  <c r="L19" i="19"/>
  <c r="N19" i="19" s="1"/>
  <c r="L20" i="19"/>
  <c r="N20" i="19" s="1"/>
  <c r="L21" i="19"/>
  <c r="P21" i="19" s="1"/>
  <c r="L22" i="19"/>
  <c r="P22" i="19" s="1"/>
  <c r="L23" i="19"/>
  <c r="N23" i="19" s="1"/>
  <c r="L24" i="19"/>
  <c r="P24" i="19" s="1"/>
  <c r="L26" i="19"/>
  <c r="N26" i="19" s="1"/>
  <c r="L27" i="19"/>
  <c r="N27" i="19" s="1"/>
  <c r="L28" i="19"/>
  <c r="N28" i="19" s="1"/>
  <c r="L30" i="19"/>
  <c r="P30" i="19" s="1"/>
  <c r="L31" i="19"/>
  <c r="P31" i="19" s="1"/>
  <c r="L32" i="19"/>
  <c r="N32" i="19" s="1"/>
  <c r="L33" i="19"/>
  <c r="N33" i="19" s="1"/>
  <c r="L34" i="19"/>
  <c r="P34" i="19" s="1"/>
  <c r="L35" i="19"/>
  <c r="P35" i="19" s="1"/>
  <c r="L38" i="19"/>
  <c r="N38" i="19" s="1"/>
  <c r="L39" i="19"/>
  <c r="P39" i="19" s="1"/>
  <c r="L40" i="19"/>
  <c r="N40" i="19" s="1"/>
  <c r="L41" i="19"/>
  <c r="N41" i="19" s="1"/>
  <c r="L42" i="19"/>
  <c r="N42" i="19" s="1"/>
  <c r="L43" i="19"/>
  <c r="P43" i="19" s="1"/>
  <c r="L44" i="19"/>
  <c r="P44" i="19" s="1"/>
  <c r="L45" i="19"/>
  <c r="N45" i="19" s="1"/>
  <c r="L46" i="19"/>
  <c r="N46" i="19" s="1"/>
  <c r="L47" i="19"/>
  <c r="P47" i="19" s="1"/>
  <c r="L48" i="19"/>
  <c r="L49" i="19"/>
  <c r="N49" i="19" s="1"/>
  <c r="L51" i="19"/>
  <c r="N51" i="19" s="1"/>
  <c r="L52" i="19"/>
  <c r="N52" i="19" s="1"/>
  <c r="L55" i="19"/>
  <c r="N55" i="19" s="1"/>
  <c r="L56" i="19"/>
  <c r="N56" i="19" s="1"/>
  <c r="L57" i="19"/>
  <c r="P57" i="19" s="1"/>
  <c r="L60" i="19"/>
  <c r="P60" i="19" s="1"/>
  <c r="L61" i="19"/>
  <c r="N61" i="19" s="1"/>
  <c r="L62" i="19"/>
  <c r="N62" i="19" s="1"/>
  <c r="L63" i="19"/>
  <c r="P63" i="19" s="1"/>
  <c r="L64" i="19"/>
  <c r="P64" i="19" s="1"/>
  <c r="L65" i="19"/>
  <c r="N65" i="19" s="1"/>
  <c r="O66" i="19" l="1"/>
  <c r="D70" i="19" s="1"/>
  <c r="W12" i="32"/>
  <c r="Y12" i="32" s="1"/>
  <c r="W42" i="32"/>
  <c r="Y42" i="32" s="1"/>
  <c r="W50" i="32"/>
  <c r="Y50" i="32" s="1"/>
  <c r="W10" i="32"/>
  <c r="Y10" i="32" s="1"/>
  <c r="Y7" i="32"/>
  <c r="Y54" i="32" s="1"/>
  <c r="W44" i="32"/>
  <c r="Y44" i="32" s="1"/>
  <c r="P48" i="19"/>
  <c r="N53" i="19"/>
  <c r="Q29" i="19"/>
  <c r="Q26" i="19"/>
  <c r="Q59" i="19"/>
  <c r="Q56" i="19"/>
  <c r="Q42" i="19"/>
  <c r="N58" i="19"/>
  <c r="Q58" i="19" s="1"/>
  <c r="P59" i="19"/>
  <c r="Q38" i="19"/>
  <c r="Q10" i="19"/>
  <c r="N50" i="19"/>
  <c r="Q50" i="19" s="1"/>
  <c r="Q9" i="19"/>
  <c r="Q53" i="19"/>
  <c r="Q14" i="19"/>
  <c r="P29" i="19"/>
  <c r="P14" i="19"/>
  <c r="P10" i="19"/>
  <c r="P9" i="19"/>
  <c r="Q7" i="19"/>
  <c r="Q32" i="19"/>
  <c r="Q37" i="19"/>
  <c r="Q25" i="19"/>
  <c r="Q27" i="19"/>
  <c r="Q55" i="19"/>
  <c r="Q41" i="19"/>
  <c r="Q46" i="19"/>
  <c r="Q61" i="19"/>
  <c r="Q45" i="19"/>
  <c r="Q16" i="19"/>
  <c r="Q40" i="19"/>
  <c r="P42" i="19"/>
  <c r="N39" i="19"/>
  <c r="Q39" i="19" s="1"/>
  <c r="P28" i="19"/>
  <c r="Q49" i="19"/>
  <c r="Q20" i="19"/>
  <c r="Q33" i="19"/>
  <c r="Q15" i="19"/>
  <c r="Q51" i="19"/>
  <c r="Q65" i="19"/>
  <c r="Q62" i="19"/>
  <c r="Q28" i="19"/>
  <c r="Q23" i="19"/>
  <c r="Q19" i="19"/>
  <c r="Q54" i="19"/>
  <c r="Q11" i="19"/>
  <c r="Q52" i="19"/>
  <c r="P16" i="19"/>
  <c r="P37" i="19"/>
  <c r="P56" i="19"/>
  <c r="P38" i="19"/>
  <c r="N36" i="19"/>
  <c r="Q36" i="19" s="1"/>
  <c r="P55" i="19"/>
  <c r="P41" i="19"/>
  <c r="P27" i="19"/>
  <c r="P7" i="19"/>
  <c r="P62" i="19"/>
  <c r="P54" i="19"/>
  <c r="P46" i="19"/>
  <c r="P40" i="19"/>
  <c r="P33" i="19"/>
  <c r="P26" i="19"/>
  <c r="P20" i="19"/>
  <c r="P15" i="19"/>
  <c r="N12" i="19"/>
  <c r="Q12" i="19" s="1"/>
  <c r="P61" i="19"/>
  <c r="P52" i="19"/>
  <c r="P45" i="19"/>
  <c r="P32" i="19"/>
  <c r="P25" i="19"/>
  <c r="P19" i="19"/>
  <c r="P51" i="19"/>
  <c r="P11" i="19"/>
  <c r="P65" i="19"/>
  <c r="P49" i="19"/>
  <c r="P23" i="19"/>
  <c r="N13" i="19"/>
  <c r="Q13" i="19" s="1"/>
  <c r="N47" i="19"/>
  <c r="Q47" i="19" s="1"/>
  <c r="N18" i="19"/>
  <c r="Q18" i="19" s="1"/>
  <c r="N44" i="19"/>
  <c r="Q44" i="19" s="1"/>
  <c r="N48" i="19"/>
  <c r="Q48" i="19" s="1"/>
  <c r="N64" i="19"/>
  <c r="Q64" i="19" s="1"/>
  <c r="N60" i="19"/>
  <c r="Q60" i="19" s="1"/>
  <c r="N35" i="19"/>
  <c r="Q35" i="19" s="1"/>
  <c r="N31" i="19"/>
  <c r="Q31" i="19" s="1"/>
  <c r="T66" i="19" s="1"/>
  <c r="N21" i="19"/>
  <c r="Q21" i="19" s="1"/>
  <c r="N63" i="19"/>
  <c r="Q63" i="19" s="1"/>
  <c r="N34" i="19"/>
  <c r="Q34" i="19" s="1"/>
  <c r="N8" i="19"/>
  <c r="Q8" i="19" s="1"/>
  <c r="N22" i="19"/>
  <c r="Q22" i="19" s="1"/>
  <c r="N24" i="19"/>
  <c r="Q24" i="19" s="1"/>
  <c r="N57" i="19"/>
  <c r="Q57" i="19" s="1"/>
  <c r="N43" i="19"/>
  <c r="Q43" i="19" s="1"/>
  <c r="N30" i="19"/>
  <c r="Q30" i="19" s="1"/>
  <c r="N17" i="19"/>
  <c r="Q17" i="19" s="1"/>
  <c r="W54" i="32" l="1"/>
  <c r="H66" i="19"/>
  <c r="D34" i="20" l="1"/>
  <c r="K50" i="20"/>
  <c r="J50" i="20"/>
  <c r="I31" i="20"/>
  <c r="M32" i="20"/>
  <c r="N32" i="20"/>
  <c r="M33" i="20"/>
  <c r="N33" i="20"/>
  <c r="M16" i="20"/>
  <c r="L6" i="19"/>
  <c r="N6" i="19" l="1"/>
  <c r="Q6" i="19" s="1"/>
  <c r="P6" i="19"/>
  <c r="P66" i="19" s="1"/>
  <c r="M9" i="20" l="1"/>
  <c r="M26" i="20"/>
  <c r="N26" i="20"/>
  <c r="M27" i="20"/>
  <c r="N27" i="20"/>
  <c r="M30" i="20"/>
  <c r="N30" i="20"/>
  <c r="N31" i="20"/>
  <c r="N25" i="20"/>
  <c r="M25" i="20"/>
  <c r="M7" i="20"/>
  <c r="N7" i="20"/>
  <c r="M8" i="20"/>
  <c r="N8" i="20"/>
  <c r="N9" i="20"/>
  <c r="M10" i="20"/>
  <c r="N10" i="20"/>
  <c r="M11" i="20"/>
  <c r="N11" i="20"/>
  <c r="M12" i="20"/>
  <c r="N12" i="20"/>
  <c r="N16" i="20"/>
  <c r="M17" i="20"/>
  <c r="N17" i="20"/>
  <c r="M18" i="20"/>
  <c r="N18" i="20"/>
  <c r="N6" i="20"/>
  <c r="M6" i="20"/>
  <c r="M31" i="20"/>
  <c r="M19" i="20" l="1"/>
  <c r="D19" i="20" l="1"/>
  <c r="E34" i="20"/>
  <c r="L34" i="20" l="1"/>
  <c r="K34" i="20"/>
  <c r="L19" i="20"/>
  <c r="K19" i="20"/>
  <c r="K66" i="19"/>
  <c r="J66" i="19"/>
  <c r="N34" i="20" l="1"/>
  <c r="M34" i="20"/>
  <c r="N19" i="20"/>
  <c r="N20" i="20" s="1"/>
  <c r="L66" i="19"/>
  <c r="E69" i="19" s="1"/>
  <c r="N35" i="20" l="1"/>
  <c r="N66" i="19"/>
  <c r="D69" i="19" s="1"/>
  <c r="M66" i="19"/>
  <c r="E70" i="19" l="1"/>
  <c r="E71" i="19" s="1"/>
  <c r="D71" i="19"/>
  <c r="Q6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M5" authorId="0" shapeId="0" xr:uid="{00000000-0006-0000-0300-000001000000}">
      <text>
        <r>
          <rPr>
            <b/>
            <sz val="9"/>
            <rFont val="Tahoma"/>
            <family val="2"/>
          </rPr>
          <t>audit:</t>
        </r>
        <r>
          <rPr>
            <sz val="9"/>
            <rFont val="Tahoma"/>
            <family val="2"/>
          </rPr>
          <t xml:space="preserve">
REFER TO FORM NO.1</t>
        </r>
      </text>
    </comment>
    <comment ref="B77" authorId="0" shapeId="0" xr:uid="{00000000-0006-0000-0300-000002000000}">
      <text>
        <r>
          <rPr>
            <b/>
            <sz val="9"/>
            <rFont val="Tahoma"/>
            <family val="2"/>
          </rPr>
          <t>audit:</t>
        </r>
        <r>
          <rPr>
            <sz val="9"/>
            <rFont val="Tahoma"/>
            <family val="2"/>
          </rPr>
          <t xml:space="preserve">
Inventory Controller</t>
        </r>
      </text>
    </comment>
    <comment ref="E77" authorId="0" shapeId="0" xr:uid="{00000000-0006-0000-0300-000003000000}">
      <text>
        <r>
          <rPr>
            <b/>
            <sz val="9"/>
            <rFont val="Tahoma"/>
            <family val="2"/>
          </rPr>
          <t>audit:</t>
        </r>
        <r>
          <rPr>
            <sz val="9"/>
            <rFont val="Tahoma"/>
            <family val="2"/>
          </rPr>
          <t xml:space="preserve">
Bookkeeper</t>
        </r>
      </text>
    </comment>
    <comment ref="I77" authorId="0" shapeId="0" xr:uid="{00000000-0006-0000-0300-000004000000}">
      <text>
        <r>
          <rPr>
            <b/>
            <sz val="9"/>
            <rFont val="Tahoma"/>
            <family val="2"/>
          </rPr>
          <t>audit:</t>
        </r>
        <r>
          <rPr>
            <sz val="9"/>
            <rFont val="Tahoma"/>
            <family val="2"/>
          </rPr>
          <t xml:space="preserve">
Store Supervisor / Operations Head</t>
        </r>
      </text>
    </comment>
    <comment ref="B83" authorId="0" shapeId="0" xr:uid="{00000000-0006-0000-0300-000005000000}">
      <text>
        <r>
          <rPr>
            <b/>
            <sz val="9"/>
            <rFont val="Tahoma"/>
            <family val="2"/>
          </rPr>
          <t>audit:</t>
        </r>
        <r>
          <rPr>
            <sz val="9"/>
            <rFont val="Tahoma"/>
            <family val="2"/>
          </rPr>
          <t xml:space="preserve">
GM</t>
        </r>
      </text>
    </comment>
    <comment ref="I83" authorId="0" shapeId="0" xr:uid="{00000000-0006-0000-0300-000006000000}">
      <text>
        <r>
          <rPr>
            <b/>
            <sz val="9"/>
            <rFont val="Tahoma"/>
            <family val="2"/>
          </rPr>
          <t>audit:</t>
        </r>
        <r>
          <rPr>
            <sz val="9"/>
            <rFont val="Tahoma"/>
            <family val="2"/>
          </rPr>
          <t xml:space="preserve">
GM</t>
        </r>
      </text>
    </comment>
  </commentList>
</comments>
</file>

<file path=xl/sharedStrings.xml><?xml version="1.0" encoding="utf-8"?>
<sst xmlns="http://schemas.openxmlformats.org/spreadsheetml/2006/main" count="554" uniqueCount="243">
  <si>
    <t>INVENTORY REPORT</t>
  </si>
  <si>
    <t>SHELF NO.</t>
  </si>
  <si>
    <t>SHELF DESCRIPTION</t>
  </si>
  <si>
    <t>BARCODE</t>
  </si>
  <si>
    <t>PRODUCT NAME</t>
  </si>
  <si>
    <t>UNIT COST</t>
  </si>
  <si>
    <t>ACTUAL INVENTORY</t>
  </si>
  <si>
    <t>VARIANCE - QUANTITY</t>
  </si>
  <si>
    <t>VARIANCE - COST</t>
  </si>
  <si>
    <t>REMARKS / CAUSE OF VARIANCE</t>
  </si>
  <si>
    <t>TOTAL</t>
  </si>
  <si>
    <t>PARTICULARS</t>
  </si>
  <si>
    <t>TOTAL COST</t>
  </si>
  <si>
    <t>TOTAL QUANTITY</t>
  </si>
  <si>
    <t>ACTION PLAN ON THE DEVIATION</t>
  </si>
  <si>
    <t>RECORD</t>
  </si>
  <si>
    <t>VARIANCE</t>
  </si>
  <si>
    <t>PREPARED BY:</t>
  </si>
  <si>
    <t>CHECKED BY:</t>
  </si>
  <si>
    <t>CHARISSE DELOS AMA</t>
  </si>
  <si>
    <t>JENNY-LYN R. GANIGAN</t>
  </si>
  <si>
    <t>OPERATION - UNIT HEAD</t>
  </si>
  <si>
    <t>RECOMMENDING APPROVAL BY:</t>
  </si>
  <si>
    <t>APPROVED BY:</t>
  </si>
  <si>
    <t>JASPER D. SANTOS</t>
  </si>
  <si>
    <t>GENERAL MANAGER</t>
  </si>
  <si>
    <t>OVER</t>
  </si>
  <si>
    <t>RETURN</t>
  </si>
  <si>
    <t>SHORT</t>
  </si>
  <si>
    <t>COCA COLA</t>
  </si>
  <si>
    <t>BEGINNING INVENTORY</t>
  </si>
  <si>
    <t>PURCHASES</t>
  </si>
  <si>
    <t>SALES</t>
  </si>
  <si>
    <t>CONSIGNMENT</t>
  </si>
  <si>
    <t>COCA-COLA PRODUCT</t>
  </si>
  <si>
    <t>4801981116072</t>
  </si>
  <si>
    <t>COKE 1.5LX12</t>
  </si>
  <si>
    <t>8881234567836</t>
  </si>
  <si>
    <t>COKE 237ML</t>
  </si>
  <si>
    <t>4801981110001</t>
  </si>
  <si>
    <t>COKE IN CAN ORIGINAL FLAVOR 330ML</t>
  </si>
  <si>
    <t>888123456781314</t>
  </si>
  <si>
    <t>COKE KASALO 750ML</t>
  </si>
  <si>
    <t>4801981118502</t>
  </si>
  <si>
    <t>COKE MISMO 295ML</t>
  </si>
  <si>
    <t>4801981116645</t>
  </si>
  <si>
    <t>COKE NO SUGAR 1.5L</t>
  </si>
  <si>
    <t>888123456781133</t>
  </si>
  <si>
    <t>COKE SWAKTO 200ML</t>
  </si>
  <si>
    <t>4801981127184</t>
  </si>
  <si>
    <t>COKE SWAKTO ZERO SUGAR 200ML</t>
  </si>
  <si>
    <t>4801981025640</t>
  </si>
  <si>
    <t>COKE ZERO IN CAN 320ML</t>
  </si>
  <si>
    <t>4801981195244</t>
  </si>
  <si>
    <t>FUZE TEA LEMON 230ML</t>
  </si>
  <si>
    <t>4801981164851</t>
  </si>
  <si>
    <t>MINUTE MAID APPLE JUICE 200ML</t>
  </si>
  <si>
    <t>4801981164868</t>
  </si>
  <si>
    <t>MINUTE MAID ORANGE JUICE 200ML</t>
  </si>
  <si>
    <t>4801981195329</t>
  </si>
  <si>
    <t xml:space="preserve">NUTRI BOOST CHOCOLATE MILK 6X4 110ML </t>
  </si>
  <si>
    <t>4801981195336</t>
  </si>
  <si>
    <t>NUTRI BOOST STRAWBERRY 6X4 110ML</t>
  </si>
  <si>
    <t>4801981116171</t>
  </si>
  <si>
    <t>ROYAL 1.5LX12</t>
  </si>
  <si>
    <t>8881234567835</t>
  </si>
  <si>
    <t>ROYAL 237ML</t>
  </si>
  <si>
    <t>4801981110100</t>
  </si>
  <si>
    <t>ROYAL IN CAN 330ML</t>
  </si>
  <si>
    <t>4801981116270</t>
  </si>
  <si>
    <t>4801981105205</t>
  </si>
  <si>
    <t>SPRITE 237ML</t>
  </si>
  <si>
    <t>888123456781401</t>
  </si>
  <si>
    <t>SPRITE 750ML</t>
  </si>
  <si>
    <t>4801981010202</t>
  </si>
  <si>
    <t>SPRITE IN CAN 330ML</t>
  </si>
  <si>
    <t>4801981119981</t>
  </si>
  <si>
    <t>WILKINS 1L</t>
  </si>
  <si>
    <t>4801981126866</t>
  </si>
  <si>
    <t>WILKINS 330ML</t>
  </si>
  <si>
    <t>4801981107971</t>
  </si>
  <si>
    <t>WILKINS 500ML</t>
  </si>
  <si>
    <t>WILKINS 5L</t>
  </si>
  <si>
    <t>4801981164714</t>
  </si>
  <si>
    <t>WILKINS 7L</t>
  </si>
  <si>
    <t xml:space="preserve"> </t>
  </si>
  <si>
    <r>
      <rPr>
        <b/>
        <sz val="12"/>
        <color theme="1"/>
        <rFont val="Calibri"/>
        <family val="2"/>
        <scheme val="minor"/>
      </rPr>
      <t>Note:</t>
    </r>
    <r>
      <rPr>
        <sz val="12"/>
        <color theme="1"/>
        <rFont val="Calibri"/>
        <family val="2"/>
        <scheme val="minor"/>
      </rPr>
      <t xml:space="preserve"> </t>
    </r>
  </si>
  <si>
    <t>The quantity of 2,520 pieces of Wilkins330x30 has been deducted to the record per accpos instead of the requested adjustment of Wilkins330x12 with the quantity of 2,592 pieces as it was the product that has been received in the warehouse.</t>
  </si>
  <si>
    <t>CONFORMED BY:</t>
  </si>
  <si>
    <t>SKU</t>
  </si>
  <si>
    <t>LOAD IN/OUT</t>
  </si>
  <si>
    <t>COST</t>
  </si>
  <si>
    <t>WAREHOUSE</t>
  </si>
  <si>
    <t>T1</t>
  </si>
  <si>
    <t>T2</t>
  </si>
  <si>
    <t>Case</t>
  </si>
  <si>
    <t>Pieces</t>
  </si>
  <si>
    <t>Total</t>
  </si>
  <si>
    <t>KASALO COKE</t>
  </si>
  <si>
    <t>KASALO ROYAL</t>
  </si>
  <si>
    <t>KASALO SPRITE</t>
  </si>
  <si>
    <t>MISMO COKE</t>
  </si>
  <si>
    <t>MISMO ROYAL</t>
  </si>
  <si>
    <t>MISMO SPRITE</t>
  </si>
  <si>
    <t>MISMO SPRITE LEMON</t>
  </si>
  <si>
    <t>MISMO ROYAL LEMON</t>
  </si>
  <si>
    <t>IN CAN COKE</t>
  </si>
  <si>
    <t>IN CAN ROYAL</t>
  </si>
  <si>
    <t>IN CAN SPRITE</t>
  </si>
  <si>
    <t>IN CAN COKE ZERO</t>
  </si>
  <si>
    <t>1.5 COKE</t>
  </si>
  <si>
    <t>1.5 ROYAL</t>
  </si>
  <si>
    <t>1.5 SPRITE</t>
  </si>
  <si>
    <t>1.5 COKE ZERO</t>
  </si>
  <si>
    <t>MINUTE MAID ORANGE</t>
  </si>
  <si>
    <t>MINUTE MAID APPLE</t>
  </si>
  <si>
    <t>PREDATOR</t>
  </si>
  <si>
    <t>WILKINS 330</t>
  </si>
  <si>
    <t>WILKINS 500</t>
  </si>
  <si>
    <t>237ML COKE</t>
  </si>
  <si>
    <t>237ML ROYAL</t>
  </si>
  <si>
    <t>237ML SPRITE</t>
  </si>
  <si>
    <t>237ML ROYAL LEMON</t>
  </si>
  <si>
    <t>SWAKTO COKE</t>
  </si>
  <si>
    <t>SWAKTO ROYAL</t>
  </si>
  <si>
    <t>SWAKTO SPRITE</t>
  </si>
  <si>
    <t>SWAKTO COKE ZERO</t>
  </si>
  <si>
    <t>NUTRIBOOST CHOCOX24</t>
  </si>
  <si>
    <t>NUTRIBOOST STRAWBX24</t>
  </si>
  <si>
    <t>JACK AND COKE IN CAN</t>
  </si>
  <si>
    <t>FUZE TEA</t>
  </si>
  <si>
    <t>ACTUAL COUNT</t>
  </si>
  <si>
    <t>BAD ORDER</t>
  </si>
  <si>
    <t>VARIANCE BREAKDOWN (COKE-TALAVERA)</t>
  </si>
  <si>
    <t>CS</t>
  </si>
  <si>
    <t>PC</t>
  </si>
  <si>
    <t>MINUTE MAID MANGO</t>
  </si>
  <si>
    <t>WILKINS 330X12</t>
  </si>
  <si>
    <t>COCA COLA - TALAVERA</t>
  </si>
  <si>
    <t>MINUTE MAID PINEAPPLE</t>
  </si>
  <si>
    <t>T3</t>
  </si>
  <si>
    <t>CONSOLIDATED</t>
  </si>
  <si>
    <t>ENDING INVENTORY SUMMARY</t>
  </si>
  <si>
    <t>WH2</t>
  </si>
  <si>
    <t>ACCOUNTING SUPERVISOR</t>
  </si>
  <si>
    <t>TERESITA B. OLAR</t>
  </si>
  <si>
    <t>FINANCE, ACCTG &amp; ADMIN MANAGER/OPERATIONS MANAGER</t>
  </si>
  <si>
    <t>KATHERINE DC. SANTOS     /     MICHAEL S. GUTIERREZ</t>
  </si>
  <si>
    <t>MISMO ROYAL STRAWBERRY</t>
  </si>
  <si>
    <t>1.5 COKE LITE</t>
  </si>
  <si>
    <t>MINUTE MAID ORANGE 250ML</t>
  </si>
  <si>
    <t>WILKINS DISTLED 1L</t>
  </si>
  <si>
    <t>APRIL 2026</t>
  </si>
  <si>
    <t>ACTING BOOKKEEPER</t>
  </si>
  <si>
    <t>8881234567888</t>
  </si>
  <si>
    <t>8881234567890</t>
  </si>
  <si>
    <t>8881234567891</t>
  </si>
  <si>
    <t>4801981091348</t>
  </si>
  <si>
    <t>8881234567837</t>
  </si>
  <si>
    <t>8881234567876</t>
  </si>
  <si>
    <t>8881234567877</t>
  </si>
  <si>
    <t>8881234567896</t>
  </si>
  <si>
    <t>8881234567892</t>
  </si>
  <si>
    <t>8881234567880</t>
  </si>
  <si>
    <t>8881234567844</t>
  </si>
  <si>
    <t>888038</t>
  </si>
  <si>
    <t>4801981190119</t>
  </si>
  <si>
    <t>4897036694404</t>
  </si>
  <si>
    <t>8881234567853</t>
  </si>
  <si>
    <t>4801981091355</t>
  </si>
  <si>
    <t>8881234567878</t>
  </si>
  <si>
    <t>8881234567850</t>
  </si>
  <si>
    <t>8881234567898</t>
  </si>
  <si>
    <t>8881234567894</t>
  </si>
  <si>
    <t>8881234567885</t>
  </si>
  <si>
    <t>4801981097081</t>
  </si>
  <si>
    <t>8881234567902</t>
  </si>
  <si>
    <t>4801981091362</t>
  </si>
  <si>
    <t>8881234567839</t>
  </si>
  <si>
    <t>8881234567879</t>
  </si>
  <si>
    <t>8881234567899</t>
  </si>
  <si>
    <t>8881234567895</t>
  </si>
  <si>
    <t>8881234567846</t>
  </si>
  <si>
    <t>8881234567887</t>
  </si>
  <si>
    <t>4801981092376</t>
  </si>
  <si>
    <t>COKE 237ML - 2</t>
  </si>
  <si>
    <t>COKE KASALO 750ML-3</t>
  </si>
  <si>
    <t>COKE ZERO MISMO 290ML</t>
  </si>
  <si>
    <t>PREDATOR ENERGY 245ML</t>
  </si>
  <si>
    <t>ROYAL 1.5L - 2</t>
  </si>
  <si>
    <t>ROYAL KASALO 750ML-3</t>
  </si>
  <si>
    <t>ROYAL TRU STRBY MISMO 250ML</t>
  </si>
  <si>
    <t>SPRITE KASALO 750ML-3</t>
  </si>
  <si>
    <t>WILKINS 330MLX12</t>
  </si>
  <si>
    <t>MISMO COKE ZERO</t>
  </si>
  <si>
    <t>1L COKE</t>
  </si>
  <si>
    <t>1L ROYAL</t>
  </si>
  <si>
    <t>1L SPRITE</t>
  </si>
  <si>
    <t>MAY 2026</t>
  </si>
  <si>
    <t>AS OF MAY 2026</t>
  </si>
  <si>
    <t>8881234567897</t>
  </si>
  <si>
    <t>4801981097876</t>
  </si>
  <si>
    <t>4801981098927</t>
  </si>
  <si>
    <t>COKE 1.5L - 3</t>
  </si>
  <si>
    <t>COKE 1L</t>
  </si>
  <si>
    <t>COKE IN CAN ORIGINAL FLAVOR 330ML - 2</t>
  </si>
  <si>
    <t>COKE IN CAN ZERO 320ML - 2</t>
  </si>
  <si>
    <t>COKE MISMO 290ML - 3</t>
  </si>
  <si>
    <t>COKE SWAKTO 190ML - 3</t>
  </si>
  <si>
    <t>COKE SWAKTO ZERO SUGAR 190ML</t>
  </si>
  <si>
    <t>COKE SWAKTO ZERO SUGAR 190ML - 2</t>
  </si>
  <si>
    <t>COKE ZERO MISMO 290ML - 2</t>
  </si>
  <si>
    <t>FREE - WILKINS 330MLX12</t>
  </si>
  <si>
    <t>NUTRI BOOST CHOCOLATE MILK 6X4 110ML - 2</t>
  </si>
  <si>
    <t>ROYAL 1.5L - 3</t>
  </si>
  <si>
    <t>ROYAL 1L</t>
  </si>
  <si>
    <t>ROYAL 237ML TALL</t>
  </si>
  <si>
    <t>ROYAL IN CAN 330ML - 2</t>
  </si>
  <si>
    <t>ROYAL LEMON 237ML - 2</t>
  </si>
  <si>
    <t>ROYAL MISMO 250ML - 3</t>
  </si>
  <si>
    <t>ROYAL SWAKTO 190ML - 3</t>
  </si>
  <si>
    <t>ROYAL TRU GRAPE MISMO 250ML</t>
  </si>
  <si>
    <t>ROYAL TRU LYCHEE MISMO 250ML</t>
  </si>
  <si>
    <t>SPRITE 1.5L</t>
  </si>
  <si>
    <t>SPRITE 1.5L - 3</t>
  </si>
  <si>
    <t>SPRITE 1L</t>
  </si>
  <si>
    <t>SPRITE 1L - 2</t>
  </si>
  <si>
    <t>SPRITE 237ML TALL</t>
  </si>
  <si>
    <t>SPRITE IN CAN 330ML - 2</t>
  </si>
  <si>
    <t>SPRITE MISMO 290ML - 3</t>
  </si>
  <si>
    <t>SPRITE SWAKTO 190ML - 3</t>
  </si>
  <si>
    <t>SRP</t>
  </si>
  <si>
    <t>ENDING INVENTORY-MANUAL</t>
  </si>
  <si>
    <t>TOTAL COST - MANUAL</t>
  </si>
  <si>
    <t>TOTAL COST - ACTUAL</t>
  </si>
  <si>
    <t>VARIANCE - QUANTITY     (ACTUAL VS. MANUAL)</t>
  </si>
  <si>
    <t>VARIANCE - COST     (ACTUAL VS. MANUAL)</t>
  </si>
  <si>
    <t>COOP</t>
  </si>
  <si>
    <t>COKE 237ML TALL</t>
  </si>
  <si>
    <t>SPRITE 237ML - 2</t>
  </si>
  <si>
    <t>SPRITE SWAKTO 190ML - 2</t>
  </si>
  <si>
    <t>MISMO ROYAL TRU GRAPE</t>
  </si>
  <si>
    <t>MISMO ROYAL TRU LYCHEE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</si>
</sst>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9"/>
      <color theme="1"/>
      <name val="Calibri"/>
      <family val="2"/>
      <scheme val="minor"/>
    </font>
    <font>
      <sz val="11"/>
      <color indexed="8"/>
      <name val="Calibri"/>
      <family val="2"/>
      <scheme val="minor"/>
    </font>
    <font>
      <sz val="8"/>
      <color theme="1"/>
      <name val="Calibri"/>
      <family val="2"/>
      <scheme val="minor"/>
    </font>
    <font>
      <b/>
      <i/>
      <sz val="11"/>
      <color theme="1"/>
      <name val="Calibri"/>
      <family val="2"/>
      <scheme val="minor"/>
    </font>
    <font>
      <b/>
      <sz val="12"/>
      <color theme="1"/>
      <name val="Calibri"/>
      <family val="2"/>
      <scheme val="minor"/>
    </font>
    <font>
      <sz val="11"/>
      <color indexed="8"/>
      <name val="Calibri"/>
      <family val="2"/>
    </font>
    <font>
      <b/>
      <sz val="10"/>
      <color theme="1"/>
      <name val="Calibri"/>
      <family val="2"/>
      <scheme val="minor"/>
    </font>
    <font>
      <sz val="12"/>
      <color theme="1"/>
      <name val="Calibri"/>
      <family val="2"/>
      <scheme val="minor"/>
    </font>
    <font>
      <sz val="9"/>
      <name val="Tahoma"/>
      <family val="2"/>
    </font>
    <font>
      <b/>
      <sz val="9"/>
      <name val="Tahoma"/>
      <family val="2"/>
    </font>
    <font>
      <sz val="11"/>
      <color theme="1"/>
      <name val="Calibri"/>
      <family val="2"/>
      <scheme val="minor"/>
    </font>
    <font>
      <b/>
      <sz val="8"/>
      <color theme="1"/>
      <name val="Calibri"/>
      <family val="2"/>
      <scheme val="minor"/>
    </font>
    <font>
      <b/>
      <sz val="11"/>
      <color theme="1"/>
      <name val="Calibri"/>
      <family val="2"/>
      <scheme val="minor"/>
    </font>
    <font>
      <b/>
      <sz val="14"/>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0070C0"/>
        <bgColor indexed="64"/>
      </patternFill>
    </fill>
    <fill>
      <patternFill patternType="solid">
        <fgColor theme="5" tint="0.59999389629810485"/>
        <bgColor indexed="64"/>
      </patternFill>
    </fill>
    <fill>
      <patternFill patternType="solid">
        <fgColor rgb="FFFF99CC"/>
        <bgColor indexed="64"/>
      </patternFill>
    </fill>
    <fill>
      <patternFill patternType="solid">
        <fgColor theme="8"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s>
  <cellStyleXfs count="8">
    <xf numFmtId="0" fontId="0" fillId="0" borderId="0"/>
    <xf numFmtId="43" fontId="18"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0" fontId="2"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70">
    <xf numFmtId="0" fontId="0" fillId="0" borderId="0" xfId="0"/>
    <xf numFmtId="0" fontId="0" fillId="0" borderId="0" xfId="0" applyAlignment="1">
      <alignment horizontal="center" vertical="center" wrapText="1"/>
    </xf>
    <xf numFmtId="0" fontId="0" fillId="0" borderId="0" xfId="0" applyAlignment="1">
      <alignment vertical="center"/>
    </xf>
    <xf numFmtId="0" fontId="8" fillId="2" borderId="1" xfId="0" applyFont="1" applyFill="1" applyBorder="1" applyAlignment="1">
      <alignment horizontal="center" vertical="center" wrapText="1"/>
    </xf>
    <xf numFmtId="0" fontId="11" fillId="0" borderId="0" xfId="0" applyFont="1"/>
    <xf numFmtId="2" fontId="11" fillId="0" borderId="0" xfId="0" applyNumberFormat="1" applyFont="1"/>
    <xf numFmtId="0" fontId="6" fillId="0" borderId="3" xfId="0" applyFont="1" applyBorder="1" applyAlignment="1">
      <alignment horizontal="center"/>
    </xf>
    <xf numFmtId="0" fontId="0" fillId="0" borderId="0" xfId="0" applyAlignment="1">
      <alignment horizontal="center"/>
    </xf>
    <xf numFmtId="2" fontId="0" fillId="0" borderId="0" xfId="0" applyNumberFormat="1"/>
    <xf numFmtId="43" fontId="0" fillId="0" borderId="0" xfId="1" applyFont="1"/>
    <xf numFmtId="41" fontId="0" fillId="0" borderId="0" xfId="0" applyNumberFormat="1" applyAlignment="1">
      <alignment horizontal="center"/>
    </xf>
    <xf numFmtId="0" fontId="6" fillId="0" borderId="0" xfId="0" applyFont="1"/>
    <xf numFmtId="0" fontId="7" fillId="0" borderId="0" xfId="0" applyFont="1"/>
    <xf numFmtId="43" fontId="8" fillId="2" borderId="1" xfId="1" applyFont="1" applyFill="1" applyBorder="1" applyAlignment="1">
      <alignment horizontal="center" vertical="center" wrapText="1"/>
    </xf>
    <xf numFmtId="164" fontId="0" fillId="3" borderId="1" xfId="1" applyNumberFormat="1" applyFont="1" applyFill="1" applyBorder="1" applyAlignment="1">
      <alignment horizontal="center" vertical="center"/>
    </xf>
    <xf numFmtId="43" fontId="0" fillId="3" borderId="1" xfId="1" applyFont="1" applyFill="1" applyBorder="1" applyAlignment="1">
      <alignment horizontal="center" vertical="center"/>
    </xf>
    <xf numFmtId="0" fontId="8" fillId="2" borderId="1" xfId="0" applyFont="1" applyFill="1" applyBorder="1" applyAlignment="1">
      <alignment horizontal="center"/>
    </xf>
    <xf numFmtId="0" fontId="0" fillId="0" borderId="0" xfId="0" applyAlignment="1">
      <alignment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43" fontId="13" fillId="3" borderId="1" xfId="1" applyFont="1" applyFill="1" applyBorder="1" applyAlignment="1">
      <alignment horizontal="right" vertical="center" wrapText="1"/>
    </xf>
    <xf numFmtId="0" fontId="0" fillId="2" borderId="1" xfId="0" applyFill="1" applyBorder="1"/>
    <xf numFmtId="164" fontId="0" fillId="2" borderId="1" xfId="1" applyNumberFormat="1" applyFont="1" applyFill="1" applyBorder="1"/>
    <xf numFmtId="43" fontId="0" fillId="2" borderId="1" xfId="1" applyFont="1" applyFill="1" applyBorder="1"/>
    <xf numFmtId="164" fontId="0" fillId="0" borderId="0" xfId="1" applyNumberFormat="1" applyFont="1" applyFill="1" applyBorder="1"/>
    <xf numFmtId="43" fontId="0" fillId="0" borderId="0" xfId="1" applyFont="1" applyFill="1" applyBorder="1"/>
    <xf numFmtId="164" fontId="0" fillId="0" borderId="0" xfId="1" applyNumberFormat="1" applyFont="1"/>
    <xf numFmtId="43" fontId="8" fillId="2" borderId="1" xfId="0" applyNumberFormat="1" applyFont="1" applyFill="1" applyBorder="1" applyAlignment="1">
      <alignment horizontal="center" vertical="center" wrapText="1"/>
    </xf>
    <xf numFmtId="164" fontId="8" fillId="2" borderId="1" xfId="1" applyNumberFormat="1" applyFont="1" applyFill="1" applyBorder="1" applyAlignment="1">
      <alignment horizontal="center" vertical="center" wrapText="1"/>
    </xf>
    <xf numFmtId="0" fontId="6" fillId="2" borderId="2" xfId="0" applyFont="1" applyFill="1" applyBorder="1"/>
    <xf numFmtId="164" fontId="0" fillId="2" borderId="2" xfId="1" applyNumberFormat="1" applyFont="1" applyFill="1" applyBorder="1"/>
    <xf numFmtId="164" fontId="11" fillId="0" borderId="0" xfId="1" applyNumberFormat="1" applyFont="1"/>
    <xf numFmtId="43" fontId="0" fillId="2" borderId="2" xfId="1" applyFont="1" applyFill="1" applyBorder="1"/>
    <xf numFmtId="0" fontId="0" fillId="2" borderId="2" xfId="0" applyFill="1" applyBorder="1"/>
    <xf numFmtId="43" fontId="0" fillId="0" borderId="0" xfId="0" applyNumberFormat="1" applyAlignment="1">
      <alignment horizontal="center"/>
    </xf>
    <xf numFmtId="0" fontId="0" fillId="3" borderId="1" xfId="0" applyFill="1" applyBorder="1" applyAlignment="1">
      <alignment horizontal="center" vertical="center" wrapText="1"/>
    </xf>
    <xf numFmtId="0" fontId="9" fillId="3" borderId="1" xfId="0" applyFont="1" applyFill="1" applyBorder="1" applyAlignment="1">
      <alignment vertical="center" wrapText="1"/>
    </xf>
    <xf numFmtId="164" fontId="13" fillId="3" borderId="1" xfId="1" applyNumberFormat="1" applyFont="1" applyFill="1" applyBorder="1" applyAlignment="1">
      <alignment horizontal="center" vertical="center" wrapText="1"/>
    </xf>
    <xf numFmtId="43" fontId="0" fillId="3" borderId="1" xfId="1" applyFont="1" applyFill="1" applyBorder="1" applyAlignment="1">
      <alignment horizontal="center" vertical="center" wrapText="1"/>
    </xf>
    <xf numFmtId="0" fontId="8" fillId="2" borderId="1" xfId="0" applyFont="1" applyFill="1" applyBorder="1"/>
    <xf numFmtId="43" fontId="0" fillId="0" borderId="1" xfId="0" applyNumberFormat="1" applyBorder="1" applyAlignment="1">
      <alignment horizontal="center" vertical="center"/>
    </xf>
    <xf numFmtId="41" fontId="0" fillId="0" borderId="1" xfId="0" applyNumberFormat="1" applyBorder="1"/>
    <xf numFmtId="0" fontId="10" fillId="0" borderId="1" xfId="0" applyFont="1" applyBorder="1"/>
    <xf numFmtId="43" fontId="6" fillId="2" borderId="1" xfId="0" applyNumberFormat="1" applyFont="1" applyFill="1" applyBorder="1" applyAlignment="1">
      <alignment horizontal="center" vertical="center"/>
    </xf>
    <xf numFmtId="41" fontId="6" fillId="2" borderId="1" xfId="0" applyNumberFormat="1" applyFont="1" applyFill="1" applyBorder="1"/>
    <xf numFmtId="1" fontId="8" fillId="2" borderId="1" xfId="0"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wrapText="1"/>
    </xf>
    <xf numFmtId="0" fontId="0" fillId="2" borderId="0" xfId="0" applyFill="1"/>
    <xf numFmtId="0" fontId="0" fillId="5" borderId="0" xfId="0" applyFill="1" applyAlignment="1">
      <alignment horizontal="center"/>
    </xf>
    <xf numFmtId="0" fontId="0" fillId="6" borderId="0" xfId="0" applyFill="1" applyAlignment="1">
      <alignment horizontal="center"/>
    </xf>
    <xf numFmtId="0" fontId="6" fillId="0" borderId="0" xfId="0" applyFont="1" applyAlignment="1">
      <alignment horizontal="center"/>
    </xf>
    <xf numFmtId="0" fontId="6" fillId="6" borderId="0" xfId="0" applyFont="1" applyFill="1" applyAlignment="1">
      <alignment horizontal="center"/>
    </xf>
    <xf numFmtId="0" fontId="0" fillId="9" borderId="1" xfId="0" applyFill="1" applyBorder="1" applyAlignment="1">
      <alignment horizontal="center"/>
    </xf>
    <xf numFmtId="0" fontId="0" fillId="7" borderId="1" xfId="0" applyFill="1" applyBorder="1" applyAlignment="1">
      <alignment horizontal="left"/>
    </xf>
    <xf numFmtId="41" fontId="0" fillId="0" borderId="1" xfId="0" applyNumberFormat="1" applyBorder="1" applyAlignment="1">
      <alignment horizontal="center"/>
    </xf>
    <xf numFmtId="41" fontId="0" fillId="6" borderId="1" xfId="0" applyNumberFormat="1" applyFill="1" applyBorder="1" applyAlignment="1">
      <alignment horizontal="center"/>
    </xf>
    <xf numFmtId="164" fontId="0" fillId="0" borderId="0" xfId="1" applyNumberFormat="1" applyFont="1" applyAlignment="1">
      <alignment horizontal="center"/>
    </xf>
    <xf numFmtId="0" fontId="7" fillId="0" borderId="0" xfId="0" applyFont="1" applyAlignment="1">
      <alignment vertical="center" wrapText="1"/>
    </xf>
    <xf numFmtId="0" fontId="7" fillId="0" borderId="0" xfId="0" applyFont="1" applyAlignment="1">
      <alignment horizontal="center" vertical="center" wrapText="1"/>
    </xf>
    <xf numFmtId="0" fontId="0" fillId="0" borderId="0" xfId="0" applyAlignment="1">
      <alignment horizontal="left"/>
    </xf>
    <xf numFmtId="2" fontId="8" fillId="2" borderId="1" xfId="0" applyNumberFormat="1" applyFont="1" applyFill="1" applyBorder="1" applyAlignment="1">
      <alignment horizontal="center" vertical="center" wrapText="1"/>
    </xf>
    <xf numFmtId="2" fontId="0" fillId="2" borderId="2" xfId="0" applyNumberFormat="1" applyFill="1" applyBorder="1"/>
    <xf numFmtId="164" fontId="0" fillId="2" borderId="2" xfId="1" applyNumberFormat="1" applyFont="1" applyFill="1" applyBorder="1" applyAlignment="1">
      <alignment horizontal="center"/>
    </xf>
    <xf numFmtId="0" fontId="15" fillId="0" borderId="0" xfId="0" applyFont="1" applyAlignment="1">
      <alignment vertical="center" wrapText="1"/>
    </xf>
    <xf numFmtId="0" fontId="15" fillId="0" borderId="0" xfId="0" applyFont="1" applyAlignment="1">
      <alignment horizontal="center" vertical="center" wrapText="1"/>
    </xf>
    <xf numFmtId="0" fontId="8" fillId="0" borderId="0" xfId="0" applyFont="1"/>
    <xf numFmtId="0" fontId="0" fillId="3" borderId="1" xfId="0" applyFill="1" applyBorder="1" applyAlignment="1">
      <alignment vertical="center" wrapText="1"/>
    </xf>
    <xf numFmtId="164" fontId="15" fillId="0" borderId="0" xfId="1" applyNumberFormat="1" applyFont="1" applyAlignment="1">
      <alignment vertical="center" wrapText="1"/>
    </xf>
    <xf numFmtId="43" fontId="15" fillId="0" borderId="0" xfId="1" applyFont="1" applyAlignment="1">
      <alignment vertical="center" wrapText="1"/>
    </xf>
    <xf numFmtId="43" fontId="0" fillId="0" borderId="0" xfId="1" applyFont="1" applyAlignment="1">
      <alignment horizontal="center"/>
    </xf>
    <xf numFmtId="43" fontId="13" fillId="3" borderId="1" xfId="1" applyFont="1" applyFill="1" applyBorder="1" applyAlignment="1">
      <alignment horizontal="right" vertical="center"/>
    </xf>
    <xf numFmtId="164" fontId="0" fillId="2" borderId="1" xfId="1" applyNumberFormat="1" applyFont="1" applyFill="1" applyBorder="1" applyAlignment="1"/>
    <xf numFmtId="43" fontId="0" fillId="2" borderId="1" xfId="1" applyFont="1" applyFill="1" applyBorder="1" applyAlignment="1"/>
    <xf numFmtId="0" fontId="19" fillId="2" borderId="1" xfId="0" applyFont="1" applyFill="1" applyBorder="1" applyAlignment="1">
      <alignment horizontal="center" vertical="center"/>
    </xf>
    <xf numFmtId="43" fontId="19" fillId="2" borderId="1" xfId="0" applyNumberFormat="1" applyFont="1" applyFill="1" applyBorder="1" applyAlignment="1">
      <alignment horizontal="center" vertical="center"/>
    </xf>
    <xf numFmtId="1" fontId="13" fillId="3" borderId="1" xfId="0" applyNumberFormat="1" applyFont="1" applyFill="1" applyBorder="1" applyAlignment="1">
      <alignment horizontal="center" vertical="center" wrapText="1"/>
    </xf>
    <xf numFmtId="43" fontId="19" fillId="2" borderId="1" xfId="1" applyFont="1" applyFill="1" applyBorder="1" applyAlignment="1">
      <alignment horizontal="center" vertical="center"/>
    </xf>
    <xf numFmtId="43" fontId="20" fillId="2" borderId="1" xfId="1" applyFont="1" applyFill="1" applyBorder="1"/>
    <xf numFmtId="0" fontId="8" fillId="0" borderId="0" xfId="0" applyFont="1" applyAlignment="1">
      <alignment horizontal="left"/>
    </xf>
    <xf numFmtId="43" fontId="20" fillId="0" borderId="0" xfId="1" applyFont="1" applyFill="1" applyBorder="1"/>
    <xf numFmtId="1" fontId="19" fillId="2" borderId="14" xfId="0" applyNumberFormat="1" applyFont="1" applyFill="1" applyBorder="1" applyAlignment="1">
      <alignment horizontal="center" vertical="center" wrapText="1"/>
    </xf>
    <xf numFmtId="0" fontId="19" fillId="2" borderId="14" xfId="0" applyFont="1" applyFill="1" applyBorder="1" applyAlignment="1">
      <alignment horizontal="center" vertical="center" wrapText="1"/>
    </xf>
    <xf numFmtId="43" fontId="19" fillId="2" borderId="14" xfId="0" applyNumberFormat="1" applyFont="1" applyFill="1" applyBorder="1" applyAlignment="1">
      <alignment horizontal="center" vertical="center" wrapText="1"/>
    </xf>
    <xf numFmtId="0" fontId="21" fillId="0" borderId="0" xfId="0" applyFont="1" applyAlignment="1">
      <alignment horizontal="center"/>
    </xf>
    <xf numFmtId="17" fontId="8" fillId="0" borderId="0" xfId="0" quotePrefix="1" applyNumberFormat="1" applyFont="1" applyAlignment="1">
      <alignment horizontal="left"/>
    </xf>
    <xf numFmtId="0" fontId="15" fillId="0" borderId="0" xfId="0" applyFont="1" applyAlignment="1">
      <alignment horizontal="left" vertical="center" wrapText="1"/>
    </xf>
    <xf numFmtId="43" fontId="13" fillId="3" borderId="1" xfId="1" applyFont="1" applyFill="1" applyBorder="1" applyAlignment="1">
      <alignment vertical="center"/>
    </xf>
    <xf numFmtId="164" fontId="13" fillId="4" borderId="1" xfId="1" applyNumberFormat="1" applyFont="1" applyFill="1" applyBorder="1" applyAlignment="1">
      <alignment horizontal="center" vertical="center" wrapText="1"/>
    </xf>
    <xf numFmtId="164" fontId="9" fillId="13" borderId="1" xfId="1" applyNumberFormat="1" applyFont="1" applyFill="1" applyBorder="1" applyAlignment="1">
      <alignment horizontal="center" vertical="center" wrapText="1"/>
    </xf>
    <xf numFmtId="164" fontId="0" fillId="14" borderId="1" xfId="1" applyNumberFormat="1" applyFont="1" applyFill="1" applyBorder="1" applyAlignment="1">
      <alignment horizontal="center" vertical="center" wrapText="1"/>
    </xf>
    <xf numFmtId="43" fontId="0" fillId="14" borderId="1" xfId="1" applyFont="1" applyFill="1" applyBorder="1" applyAlignment="1">
      <alignment horizontal="center" vertical="center" wrapText="1"/>
    </xf>
    <xf numFmtId="43" fontId="0" fillId="3" borderId="1" xfId="1" applyFont="1" applyFill="1" applyBorder="1" applyAlignment="1"/>
    <xf numFmtId="0" fontId="3" fillId="3" borderId="1" xfId="0" applyFont="1" applyFill="1" applyBorder="1" applyAlignment="1">
      <alignment vertical="center" wrapText="1"/>
    </xf>
    <xf numFmtId="43" fontId="0" fillId="0" borderId="0" xfId="1" applyFont="1" applyAlignment="1">
      <alignment horizontal="center" vertical="center" wrapText="1"/>
    </xf>
    <xf numFmtId="43" fontId="0" fillId="15" borderId="0" xfId="1" applyFont="1" applyFill="1" applyAlignment="1">
      <alignment horizontal="center"/>
    </xf>
    <xf numFmtId="0" fontId="13" fillId="3" borderId="6" xfId="0" applyFont="1" applyFill="1" applyBorder="1" applyAlignment="1">
      <alignment horizontal="center" vertical="center" wrapText="1"/>
    </xf>
    <xf numFmtId="1" fontId="13" fillId="3" borderId="6" xfId="0" applyNumberFormat="1" applyFont="1" applyFill="1" applyBorder="1" applyAlignment="1">
      <alignment horizontal="center" vertical="center" wrapText="1"/>
    </xf>
    <xf numFmtId="0" fontId="0" fillId="2" borderId="6" xfId="0" applyFill="1" applyBorder="1"/>
    <xf numFmtId="0" fontId="8" fillId="0" borderId="0" xfId="0" applyFont="1" applyAlignment="1">
      <alignment horizontal="center" vertical="center" wrapText="1"/>
    </xf>
    <xf numFmtId="43" fontId="0" fillId="0" borderId="0" xfId="0" applyNumberFormat="1"/>
    <xf numFmtId="43" fontId="0" fillId="0" borderId="0" xfId="6" applyFont="1"/>
    <xf numFmtId="164" fontId="0" fillId="0" borderId="1" xfId="6" applyNumberFormat="1" applyFont="1" applyFill="1" applyBorder="1" applyAlignment="1">
      <alignment horizontal="center"/>
    </xf>
    <xf numFmtId="164" fontId="0" fillId="10" borderId="1" xfId="6" applyNumberFormat="1" applyFont="1" applyFill="1" applyBorder="1" applyAlignment="1">
      <alignment horizontal="center"/>
    </xf>
    <xf numFmtId="164" fontId="0" fillId="15" borderId="1" xfId="6" applyNumberFormat="1" applyFont="1" applyFill="1" applyBorder="1" applyAlignment="1">
      <alignment horizontal="center"/>
    </xf>
    <xf numFmtId="164" fontId="0" fillId="0" borderId="1" xfId="6" applyNumberFormat="1" applyFont="1" applyBorder="1" applyAlignment="1">
      <alignment horizontal="center"/>
    </xf>
    <xf numFmtId="164" fontId="0" fillId="10" borderId="2" xfId="6" applyNumberFormat="1" applyFont="1" applyFill="1" applyBorder="1" applyAlignment="1">
      <alignment horizontal="center"/>
    </xf>
    <xf numFmtId="164" fontId="0" fillId="0" borderId="0" xfId="6" applyNumberFormat="1" applyFont="1" applyFill="1" applyBorder="1" applyAlignment="1">
      <alignment horizontal="center"/>
    </xf>
    <xf numFmtId="164" fontId="0" fillId="0" borderId="0" xfId="6" applyNumberFormat="1" applyFont="1" applyBorder="1" applyAlignment="1">
      <alignment horizontal="center"/>
    </xf>
    <xf numFmtId="164" fontId="0" fillId="0" borderId="0" xfId="6" applyNumberFormat="1" applyFont="1" applyAlignment="1">
      <alignment horizontal="center"/>
    </xf>
    <xf numFmtId="164" fontId="0" fillId="12" borderId="0" xfId="6" applyNumberFormat="1" applyFont="1" applyFill="1" applyAlignment="1">
      <alignment horizontal="center"/>
    </xf>
    <xf numFmtId="164" fontId="0" fillId="0" borderId="0" xfId="6" applyNumberFormat="1" applyFont="1" applyFill="1" applyAlignment="1">
      <alignment horizontal="center"/>
    </xf>
    <xf numFmtId="43" fontId="0" fillId="0" borderId="0" xfId="7" applyFont="1"/>
    <xf numFmtId="164" fontId="0" fillId="0" borderId="1" xfId="7" applyNumberFormat="1" applyFont="1" applyFill="1" applyBorder="1" applyAlignment="1">
      <alignment horizontal="center"/>
    </xf>
    <xf numFmtId="164" fontId="0" fillId="10" borderId="1" xfId="7" applyNumberFormat="1" applyFont="1" applyFill="1" applyBorder="1" applyAlignment="1">
      <alignment horizontal="center"/>
    </xf>
    <xf numFmtId="164" fontId="0" fillId="11" borderId="1" xfId="7" applyNumberFormat="1" applyFont="1" applyFill="1" applyBorder="1" applyAlignment="1">
      <alignment horizontal="center"/>
    </xf>
    <xf numFmtId="164" fontId="0" fillId="0" borderId="1" xfId="7" applyNumberFormat="1" applyFont="1" applyBorder="1" applyAlignment="1">
      <alignment horizontal="center"/>
    </xf>
    <xf numFmtId="164" fontId="0" fillId="10" borderId="2" xfId="7" applyNumberFormat="1" applyFont="1" applyFill="1" applyBorder="1" applyAlignment="1">
      <alignment horizontal="center"/>
    </xf>
    <xf numFmtId="164" fontId="0" fillId="0" borderId="0" xfId="7" applyNumberFormat="1" applyFont="1" applyFill="1" applyBorder="1" applyAlignment="1">
      <alignment horizontal="center"/>
    </xf>
    <xf numFmtId="164" fontId="0" fillId="0" borderId="0" xfId="7" applyNumberFormat="1" applyFont="1" applyBorder="1" applyAlignment="1">
      <alignment horizontal="center"/>
    </xf>
    <xf numFmtId="164" fontId="0" fillId="0" borderId="0" xfId="7" applyNumberFormat="1" applyFont="1" applyAlignment="1">
      <alignment horizontal="center"/>
    </xf>
    <xf numFmtId="164" fontId="0" fillId="12" borderId="0" xfId="7" applyNumberFormat="1" applyFont="1" applyFill="1" applyAlignment="1">
      <alignment horizontal="center"/>
    </xf>
    <xf numFmtId="164" fontId="0" fillId="0" borderId="0" xfId="7" applyNumberFormat="1" applyFont="1" applyFill="1" applyAlignment="1">
      <alignment horizontal="center"/>
    </xf>
    <xf numFmtId="0" fontId="15" fillId="0" borderId="0" xfId="0" applyFont="1" applyAlignment="1">
      <alignment horizontal="left" vertical="center" wrapText="1"/>
    </xf>
    <xf numFmtId="0" fontId="6" fillId="0" borderId="3" xfId="0" applyFont="1" applyBorder="1" applyAlignment="1">
      <alignment horizontal="center"/>
    </xf>
    <xf numFmtId="0" fontId="0" fillId="0" borderId="4" xfId="0" applyBorder="1" applyAlignment="1">
      <alignment horizontal="center"/>
    </xf>
    <xf numFmtId="0" fontId="7" fillId="0" borderId="0" xfId="0" applyFont="1" applyAlignment="1">
      <alignment horizontal="center" vertical="center"/>
    </xf>
    <xf numFmtId="0" fontId="8" fillId="4" borderId="5" xfId="0" applyFont="1" applyFill="1" applyBorder="1" applyAlignment="1">
      <alignment horizontal="center"/>
    </xf>
    <xf numFmtId="0" fontId="8" fillId="4" borderId="7" xfId="0" applyFont="1" applyFill="1" applyBorder="1" applyAlignment="1">
      <alignment horizontal="center"/>
    </xf>
    <xf numFmtId="0" fontId="8" fillId="4" borderId="6" xfId="0" applyFont="1" applyFill="1" applyBorder="1" applyAlignment="1">
      <alignment horizontal="center"/>
    </xf>
    <xf numFmtId="0" fontId="10" fillId="0" borderId="5" xfId="0" applyFont="1" applyBorder="1" applyAlignment="1">
      <alignment horizontal="left"/>
    </xf>
    <xf numFmtId="0" fontId="10" fillId="0" borderId="6" xfId="0" applyFont="1" applyBorder="1" applyAlignment="1">
      <alignment horizontal="left"/>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xf>
    <xf numFmtId="0" fontId="6" fillId="7"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6" fillId="8" borderId="5"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1" xfId="0" applyFont="1" applyFill="1" applyBorder="1" applyAlignment="1">
      <alignment horizontal="center" vertical="center"/>
    </xf>
    <xf numFmtId="43" fontId="0" fillId="0" borderId="9" xfId="6" applyFont="1" applyBorder="1" applyAlignment="1">
      <alignment horizontal="center" vertical="center"/>
    </xf>
    <xf numFmtId="43" fontId="0" fillId="0" borderId="0" xfId="6" applyFont="1" applyAlignment="1">
      <alignment horizontal="center" vertical="center" wrapText="1"/>
    </xf>
    <xf numFmtId="0" fontId="0" fillId="8" borderId="1" xfId="0" applyFill="1" applyBorder="1" applyAlignment="1">
      <alignment horizontal="center"/>
    </xf>
    <xf numFmtId="0" fontId="6" fillId="8" borderId="1" xfId="0" applyFont="1" applyFill="1" applyBorder="1" applyAlignment="1">
      <alignment horizontal="center"/>
    </xf>
    <xf numFmtId="0" fontId="0" fillId="0" borderId="0" xfId="0" applyAlignment="1">
      <alignment horizontal="left"/>
    </xf>
    <xf numFmtId="43" fontId="0" fillId="0" borderId="9" xfId="7" applyFont="1" applyBorder="1" applyAlignment="1">
      <alignment horizontal="center" vertical="center"/>
    </xf>
    <xf numFmtId="43" fontId="0" fillId="0" borderId="0" xfId="7" applyFont="1" applyAlignment="1">
      <alignment horizontal="center" vertical="center" wrapText="1"/>
    </xf>
    <xf numFmtId="1" fontId="19" fillId="2" borderId="14" xfId="0" applyNumberFormat="1" applyFont="1" applyFill="1" applyBorder="1" applyAlignment="1">
      <alignment horizontal="center" vertical="center" wrapText="1"/>
    </xf>
    <xf numFmtId="1" fontId="19" fillId="2" borderId="2" xfId="0" applyNumberFormat="1"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2" borderId="2" xfId="0" applyFont="1" applyFill="1" applyBorder="1" applyAlignment="1">
      <alignment horizontal="center" vertical="center" wrapText="1"/>
    </xf>
    <xf numFmtId="43" fontId="19" fillId="2" borderId="14" xfId="0" applyNumberFormat="1" applyFont="1" applyFill="1" applyBorder="1" applyAlignment="1">
      <alignment horizontal="center" vertical="center" wrapText="1"/>
    </xf>
    <xf numFmtId="43" fontId="19" fillId="2" borderId="2" xfId="0" applyNumberFormat="1" applyFont="1" applyFill="1" applyBorder="1" applyAlignment="1">
      <alignment horizontal="center" vertical="center" wrapText="1"/>
    </xf>
    <xf numFmtId="0" fontId="21" fillId="2" borderId="0" xfId="0" applyFont="1" applyFill="1" applyAlignment="1">
      <alignment horizontal="center"/>
    </xf>
    <xf numFmtId="1" fontId="19" fillId="2" borderId="11" xfId="0" applyNumberFormat="1" applyFont="1" applyFill="1" applyBorder="1" applyAlignment="1">
      <alignment horizontal="center" vertical="center"/>
    </xf>
    <xf numFmtId="1" fontId="19" fillId="2" borderId="13" xfId="0" applyNumberFormat="1" applyFont="1" applyFill="1" applyBorder="1" applyAlignment="1">
      <alignment horizontal="center" vertical="center"/>
    </xf>
    <xf numFmtId="0" fontId="19" fillId="2" borderId="14" xfId="0" applyFont="1" applyFill="1" applyBorder="1" applyAlignment="1">
      <alignment horizontal="center" vertical="center"/>
    </xf>
    <xf numFmtId="0" fontId="19" fillId="2" borderId="2" xfId="0" applyFont="1" applyFill="1" applyBorder="1" applyAlignment="1">
      <alignment horizontal="center" vertical="center"/>
    </xf>
    <xf numFmtId="43" fontId="19"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43" fontId="19" fillId="2" borderId="1" xfId="1" applyFont="1" applyFill="1" applyBorder="1" applyAlignment="1">
      <alignment horizontal="center" vertical="center" wrapText="1"/>
    </xf>
    <xf numFmtId="0" fontId="11" fillId="0" borderId="0" xfId="0" applyFont="1" applyAlignment="1">
      <alignment horizontal="left"/>
    </xf>
    <xf numFmtId="1"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cellXfs>
  <cellStyles count="8">
    <cellStyle name="Comma" xfId="1" builtinId="3"/>
    <cellStyle name="Comma 2" xfId="2" xr:uid="{5D2B6CBC-FF3B-4ABB-98A0-17508C781F70}"/>
    <cellStyle name="Comma 3" xfId="3" xr:uid="{DEC7EA3F-38C0-424E-9D93-5468E70CD097}"/>
    <cellStyle name="Comma 3 2" xfId="7" xr:uid="{AAB94F35-01A0-4CE0-8A79-136869243879}"/>
    <cellStyle name="Comma 4" xfId="5" xr:uid="{12120947-6CA9-4E7F-BBEC-89EA5A9F4B63}"/>
    <cellStyle name="Comma 5" xfId="6" xr:uid="{25DBEAB7-1FB4-4AD4-8BEF-EEB249BC91B5}"/>
    <cellStyle name="Normal" xfId="0" builtinId="0"/>
    <cellStyle name="Normal 2" xfId="4" xr:uid="{5E5A18C2-151C-4DD7-9B71-13FCCBB5BBA6}"/>
  </cellStyles>
  <dxfs count="0"/>
  <tableStyles count="0" defaultTableStyle="TableStyleMedium2" defaultPivotStyle="PivotStyleLight16"/>
  <colors>
    <mruColors>
      <color rgb="FFFF99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B1:T93"/>
  <sheetViews>
    <sheetView tabSelected="1" zoomScale="85" zoomScaleNormal="85" workbookViewId="0">
      <pane xSplit="7" ySplit="5" topLeftCell="H53" activePane="bottomRight" state="frozen"/>
      <selection pane="topRight" activeCell="H1" sqref="H1"/>
      <selection pane="bottomLeft" activeCell="A6" sqref="A6"/>
      <selection pane="bottomRight" activeCell="B1" sqref="B1:R86"/>
    </sheetView>
  </sheetViews>
  <sheetFormatPr defaultColWidth="9" defaultRowHeight="15"/>
  <cols>
    <col min="3" max="3" width="20.5703125" customWidth="1"/>
    <col min="4" max="4" width="17" bestFit="1" customWidth="1"/>
    <col min="5" max="5" width="41.85546875" bestFit="1" customWidth="1"/>
    <col min="6" max="7" width="7.42578125" style="8" customWidth="1"/>
    <col min="8" max="8" width="12.5703125" style="56" bestFit="1" customWidth="1"/>
    <col min="9" max="9" width="14" style="56" customWidth="1"/>
    <col min="10" max="11" width="10.42578125" style="56" customWidth="1"/>
    <col min="12" max="12" width="12.7109375" style="56" customWidth="1"/>
    <col min="13" max="13" width="12.42578125" style="26" customWidth="1"/>
    <col min="14" max="15" width="14.140625" style="9" customWidth="1"/>
    <col min="16" max="16" width="23.42578125" style="26" customWidth="1"/>
    <col min="17" max="17" width="23.42578125" style="9" customWidth="1"/>
    <col min="18" max="18" width="17.85546875" bestFit="1" customWidth="1"/>
    <col min="19" max="19" width="13.42578125" style="9" customWidth="1"/>
    <col min="20" max="20" width="13.5703125" style="9" customWidth="1"/>
  </cols>
  <sheetData>
    <row r="1" spans="2:20">
      <c r="B1" s="11" t="s">
        <v>0</v>
      </c>
    </row>
    <row r="2" spans="2:20">
      <c r="B2" s="11" t="s">
        <v>199</v>
      </c>
    </row>
    <row r="3" spans="2:20">
      <c r="B3" s="12" t="s">
        <v>29</v>
      </c>
    </row>
    <row r="5" spans="2:20" s="1" customFormat="1" ht="37.5" customHeight="1">
      <c r="B5" s="3" t="s">
        <v>1</v>
      </c>
      <c r="C5" s="3" t="s">
        <v>2</v>
      </c>
      <c r="D5" s="3" t="s">
        <v>3</v>
      </c>
      <c r="E5" s="3" t="s">
        <v>4</v>
      </c>
      <c r="F5" s="60" t="s">
        <v>5</v>
      </c>
      <c r="G5" s="60" t="s">
        <v>231</v>
      </c>
      <c r="H5" s="28" t="s">
        <v>30</v>
      </c>
      <c r="I5" s="28" t="s">
        <v>31</v>
      </c>
      <c r="J5" s="28" t="s">
        <v>32</v>
      </c>
      <c r="K5" s="28" t="s">
        <v>27</v>
      </c>
      <c r="L5" s="28" t="s">
        <v>232</v>
      </c>
      <c r="M5" s="28" t="s">
        <v>6</v>
      </c>
      <c r="N5" s="13" t="s">
        <v>233</v>
      </c>
      <c r="O5" s="13" t="s">
        <v>234</v>
      </c>
      <c r="P5" s="28" t="s">
        <v>235</v>
      </c>
      <c r="Q5" s="13" t="s">
        <v>236</v>
      </c>
      <c r="R5" s="3" t="s">
        <v>9</v>
      </c>
      <c r="S5" s="93" t="s">
        <v>28</v>
      </c>
      <c r="T5" s="93" t="s">
        <v>26</v>
      </c>
    </row>
    <row r="6" spans="2:20" ht="18" customHeight="1">
      <c r="B6" s="35">
        <v>24</v>
      </c>
      <c r="C6" s="36" t="s">
        <v>34</v>
      </c>
      <c r="D6" s="18" t="s">
        <v>154</v>
      </c>
      <c r="E6" s="19" t="s">
        <v>203</v>
      </c>
      <c r="F6" s="86">
        <v>59.17</v>
      </c>
      <c r="G6" s="86">
        <v>61</v>
      </c>
      <c r="H6" s="37">
        <v>3220</v>
      </c>
      <c r="I6" s="37">
        <v>3600</v>
      </c>
      <c r="J6" s="37">
        <v>3011</v>
      </c>
      <c r="K6" s="37"/>
      <c r="L6" s="87">
        <f>H6+I6-J6-K6</f>
        <v>3809</v>
      </c>
      <c r="M6" s="88">
        <v>3671</v>
      </c>
      <c r="N6" s="38">
        <f>F6*L6</f>
        <v>225378.53</v>
      </c>
      <c r="O6" s="38">
        <f t="shared" ref="O6:O37" si="0">F6*M6</f>
        <v>217213.07</v>
      </c>
      <c r="P6" s="89">
        <f t="shared" ref="P6:P37" si="1">L6-M6</f>
        <v>138</v>
      </c>
      <c r="Q6" s="90">
        <f t="shared" ref="Q6:Q37" si="2">N6-O6</f>
        <v>8165.4599999999919</v>
      </c>
      <c r="R6" s="92"/>
      <c r="S6" s="69"/>
      <c r="T6" s="69"/>
    </row>
    <row r="7" spans="2:20" ht="18" customHeight="1">
      <c r="B7" s="35">
        <v>24</v>
      </c>
      <c r="C7" s="36" t="s">
        <v>34</v>
      </c>
      <c r="D7" s="18" t="s">
        <v>157</v>
      </c>
      <c r="E7" s="19" t="s">
        <v>204</v>
      </c>
      <c r="F7" s="86">
        <v>36</v>
      </c>
      <c r="G7" s="86">
        <v>37.33</v>
      </c>
      <c r="H7" s="37">
        <v>268</v>
      </c>
      <c r="I7" s="37">
        <v>120</v>
      </c>
      <c r="J7" s="37">
        <v>268</v>
      </c>
      <c r="K7" s="37"/>
      <c r="L7" s="87">
        <f t="shared" ref="L7:L65" si="3">H7+I7-J7-K7</f>
        <v>120</v>
      </c>
      <c r="M7" s="88">
        <v>120</v>
      </c>
      <c r="N7" s="38">
        <f>F7*L7</f>
        <v>4320</v>
      </c>
      <c r="O7" s="38">
        <f t="shared" si="0"/>
        <v>4320</v>
      </c>
      <c r="P7" s="89">
        <f t="shared" si="1"/>
        <v>0</v>
      </c>
      <c r="Q7" s="90">
        <f t="shared" si="2"/>
        <v>0</v>
      </c>
      <c r="R7" s="66"/>
      <c r="S7" s="34"/>
      <c r="T7" s="69"/>
    </row>
    <row r="8" spans="2:20" ht="18" customHeight="1">
      <c r="B8" s="35">
        <v>24</v>
      </c>
      <c r="C8" s="36" t="s">
        <v>34</v>
      </c>
      <c r="D8" s="18" t="s">
        <v>37</v>
      </c>
      <c r="E8" s="19" t="s">
        <v>38</v>
      </c>
      <c r="F8" s="91">
        <v>7.67</v>
      </c>
      <c r="G8" s="91">
        <v>8.17</v>
      </c>
      <c r="H8" s="37"/>
      <c r="I8" s="37">
        <v>45696</v>
      </c>
      <c r="J8" s="37">
        <v>512</v>
      </c>
      <c r="K8" s="37"/>
      <c r="L8" s="87">
        <f t="shared" si="3"/>
        <v>45184</v>
      </c>
      <c r="M8" s="88">
        <v>45184</v>
      </c>
      <c r="N8" s="38">
        <f>F8*L8</f>
        <v>346561.27999999997</v>
      </c>
      <c r="O8" s="38">
        <f t="shared" si="0"/>
        <v>346561.27999999997</v>
      </c>
      <c r="P8" s="89">
        <f t="shared" si="1"/>
        <v>0</v>
      </c>
      <c r="Q8" s="90">
        <f t="shared" si="2"/>
        <v>0</v>
      </c>
      <c r="R8" s="66"/>
      <c r="S8" s="34"/>
      <c r="T8" s="69"/>
    </row>
    <row r="9" spans="2:20" ht="18" customHeight="1">
      <c r="B9" s="35">
        <v>24</v>
      </c>
      <c r="C9" s="36" t="s">
        <v>34</v>
      </c>
      <c r="D9" s="18" t="s">
        <v>158</v>
      </c>
      <c r="E9" s="19" t="s">
        <v>185</v>
      </c>
      <c r="F9" s="91">
        <v>6.88</v>
      </c>
      <c r="G9" s="91">
        <v>7.54</v>
      </c>
      <c r="H9" s="37">
        <v>8538</v>
      </c>
      <c r="I9" s="37"/>
      <c r="J9" s="37">
        <v>8538</v>
      </c>
      <c r="K9" s="37"/>
      <c r="L9" s="87">
        <f t="shared" si="3"/>
        <v>0</v>
      </c>
      <c r="M9" s="88"/>
      <c r="N9" s="38">
        <f>F9*L9</f>
        <v>0</v>
      </c>
      <c r="O9" s="38">
        <f t="shared" si="0"/>
        <v>0</v>
      </c>
      <c r="P9" s="89">
        <f t="shared" si="1"/>
        <v>0</v>
      </c>
      <c r="Q9" s="90">
        <f t="shared" si="2"/>
        <v>0</v>
      </c>
      <c r="R9" s="66"/>
      <c r="S9" s="34"/>
      <c r="T9" s="69"/>
    </row>
    <row r="10" spans="2:20" ht="18" customHeight="1">
      <c r="B10" s="35">
        <v>24</v>
      </c>
      <c r="C10" s="36" t="s">
        <v>34</v>
      </c>
      <c r="D10" s="75">
        <v>8881234567884</v>
      </c>
      <c r="E10" s="19" t="s">
        <v>238</v>
      </c>
      <c r="F10" s="91">
        <v>7.0416666670000003</v>
      </c>
      <c r="G10" s="91">
        <v>8.17</v>
      </c>
      <c r="H10" s="37">
        <f>21054+23</f>
        <v>21077</v>
      </c>
      <c r="I10" s="37"/>
      <c r="J10" s="37">
        <v>19858</v>
      </c>
      <c r="K10" s="37"/>
      <c r="L10" s="87">
        <f t="shared" si="3"/>
        <v>1219</v>
      </c>
      <c r="M10" s="88">
        <v>1262</v>
      </c>
      <c r="N10" s="38">
        <f>F10*L10</f>
        <v>8583.791667073001</v>
      </c>
      <c r="O10" s="38">
        <f t="shared" si="0"/>
        <v>8886.5833337540007</v>
      </c>
      <c r="P10" s="89">
        <f t="shared" si="1"/>
        <v>-43</v>
      </c>
      <c r="Q10" s="90">
        <f t="shared" si="2"/>
        <v>-302.7916666809997</v>
      </c>
      <c r="R10" s="92"/>
      <c r="S10" s="69"/>
      <c r="T10" s="69"/>
    </row>
    <row r="11" spans="2:20" ht="18" customHeight="1">
      <c r="B11" s="35">
        <v>24</v>
      </c>
      <c r="C11" s="36" t="s">
        <v>34</v>
      </c>
      <c r="D11" s="18" t="s">
        <v>159</v>
      </c>
      <c r="E11" s="19" t="s">
        <v>205</v>
      </c>
      <c r="F11" s="86">
        <v>31.25</v>
      </c>
      <c r="G11" s="86">
        <v>31.92</v>
      </c>
      <c r="H11" s="37">
        <v>288</v>
      </c>
      <c r="I11" s="37"/>
      <c r="J11" s="37"/>
      <c r="K11" s="37"/>
      <c r="L11" s="87">
        <f t="shared" si="3"/>
        <v>288</v>
      </c>
      <c r="M11" s="88">
        <v>288</v>
      </c>
      <c r="N11" s="38">
        <f t="shared" ref="N11:N35" si="4">F11*L11</f>
        <v>9000</v>
      </c>
      <c r="O11" s="38">
        <f t="shared" si="0"/>
        <v>9000</v>
      </c>
      <c r="P11" s="89">
        <f t="shared" si="1"/>
        <v>0</v>
      </c>
      <c r="Q11" s="90">
        <f t="shared" si="2"/>
        <v>0</v>
      </c>
      <c r="R11" s="66"/>
      <c r="S11" s="34"/>
      <c r="T11" s="69"/>
    </row>
    <row r="12" spans="2:20" ht="18" customHeight="1">
      <c r="B12" s="35">
        <v>24</v>
      </c>
      <c r="C12" s="36" t="s">
        <v>34</v>
      </c>
      <c r="D12" s="18" t="s">
        <v>160</v>
      </c>
      <c r="E12" s="19" t="s">
        <v>206</v>
      </c>
      <c r="F12" s="86">
        <v>31.25</v>
      </c>
      <c r="G12" s="86">
        <v>31.92</v>
      </c>
      <c r="H12" s="37">
        <v>408</v>
      </c>
      <c r="I12" s="37"/>
      <c r="J12" s="37"/>
      <c r="K12" s="37"/>
      <c r="L12" s="87">
        <f t="shared" si="3"/>
        <v>408</v>
      </c>
      <c r="M12" s="88">
        <v>408</v>
      </c>
      <c r="N12" s="38">
        <f t="shared" si="4"/>
        <v>12750</v>
      </c>
      <c r="O12" s="38">
        <f t="shared" si="0"/>
        <v>12750</v>
      </c>
      <c r="P12" s="89">
        <f t="shared" si="1"/>
        <v>0</v>
      </c>
      <c r="Q12" s="90">
        <f t="shared" si="2"/>
        <v>0</v>
      </c>
      <c r="R12" s="66"/>
      <c r="S12" s="69"/>
      <c r="T12" s="69"/>
    </row>
    <row r="13" spans="2:20" ht="18" customHeight="1">
      <c r="B13" s="35">
        <v>24</v>
      </c>
      <c r="C13" s="36" t="s">
        <v>34</v>
      </c>
      <c r="D13" s="18" t="s">
        <v>41</v>
      </c>
      <c r="E13" s="19" t="s">
        <v>42</v>
      </c>
      <c r="F13" s="86">
        <v>22.33</v>
      </c>
      <c r="G13" s="86">
        <v>23.58</v>
      </c>
      <c r="H13" s="37"/>
      <c r="I13" s="37">
        <v>21588</v>
      </c>
      <c r="J13" s="37">
        <v>36</v>
      </c>
      <c r="K13" s="37"/>
      <c r="L13" s="87">
        <f t="shared" si="3"/>
        <v>21552</v>
      </c>
      <c r="M13" s="88">
        <f>21569-17</f>
        <v>21552</v>
      </c>
      <c r="N13" s="38">
        <f t="shared" si="4"/>
        <v>481256.16</v>
      </c>
      <c r="O13" s="38">
        <f t="shared" si="0"/>
        <v>481256.16</v>
      </c>
      <c r="P13" s="89">
        <f t="shared" si="1"/>
        <v>0</v>
      </c>
      <c r="Q13" s="90">
        <f t="shared" si="2"/>
        <v>0</v>
      </c>
      <c r="R13" s="66"/>
      <c r="S13" s="34"/>
      <c r="T13" s="69"/>
    </row>
    <row r="14" spans="2:20" ht="18" customHeight="1">
      <c r="B14" s="35">
        <v>24</v>
      </c>
      <c r="C14" s="36" t="s">
        <v>34</v>
      </c>
      <c r="D14" s="75">
        <v>8881234567881</v>
      </c>
      <c r="E14" s="19" t="s">
        <v>186</v>
      </c>
      <c r="F14" s="86">
        <v>21.333333329999999</v>
      </c>
      <c r="G14" s="86">
        <v>23.58</v>
      </c>
      <c r="H14" s="37">
        <v>533</v>
      </c>
      <c r="I14" s="37"/>
      <c r="J14" s="37">
        <v>516</v>
      </c>
      <c r="K14" s="37"/>
      <c r="L14" s="87">
        <f t="shared" si="3"/>
        <v>17</v>
      </c>
      <c r="M14" s="88">
        <v>17</v>
      </c>
      <c r="N14" s="38">
        <f t="shared" si="4"/>
        <v>362.66666660999999</v>
      </c>
      <c r="O14" s="38">
        <f t="shared" si="0"/>
        <v>362.66666660999999</v>
      </c>
      <c r="P14" s="89">
        <f t="shared" si="1"/>
        <v>0</v>
      </c>
      <c r="Q14" s="90">
        <f>N14-O14</f>
        <v>0</v>
      </c>
      <c r="R14" s="92"/>
      <c r="S14" s="69"/>
      <c r="T14" s="69"/>
    </row>
    <row r="15" spans="2:20" ht="18" customHeight="1">
      <c r="B15" s="35">
        <v>24</v>
      </c>
      <c r="C15" s="36" t="s">
        <v>34</v>
      </c>
      <c r="D15" s="18" t="s">
        <v>161</v>
      </c>
      <c r="E15" s="19" t="s">
        <v>207</v>
      </c>
      <c r="F15" s="86">
        <v>15.92</v>
      </c>
      <c r="G15" s="86">
        <v>16.329999999999998</v>
      </c>
      <c r="H15" s="37">
        <v>22824</v>
      </c>
      <c r="I15" s="37">
        <v>12288</v>
      </c>
      <c r="J15" s="37">
        <v>14700</v>
      </c>
      <c r="K15" s="37"/>
      <c r="L15" s="87">
        <f t="shared" si="3"/>
        <v>20412</v>
      </c>
      <c r="M15" s="88">
        <v>20412</v>
      </c>
      <c r="N15" s="38">
        <f t="shared" si="4"/>
        <v>324959.03999999998</v>
      </c>
      <c r="O15" s="38">
        <f t="shared" si="0"/>
        <v>324959.03999999998</v>
      </c>
      <c r="P15" s="89">
        <f t="shared" si="1"/>
        <v>0</v>
      </c>
      <c r="Q15" s="90">
        <f t="shared" si="2"/>
        <v>0</v>
      </c>
      <c r="R15" s="66"/>
      <c r="S15" s="34"/>
      <c r="T15" s="69"/>
    </row>
    <row r="16" spans="2:20" ht="18" customHeight="1">
      <c r="B16" s="35">
        <v>24</v>
      </c>
      <c r="C16" s="36" t="s">
        <v>34</v>
      </c>
      <c r="D16" s="18" t="s">
        <v>162</v>
      </c>
      <c r="E16" s="19" t="s">
        <v>208</v>
      </c>
      <c r="F16" s="86">
        <v>11.58</v>
      </c>
      <c r="G16" s="86">
        <v>12</v>
      </c>
      <c r="H16" s="37">
        <v>14484</v>
      </c>
      <c r="I16" s="37"/>
      <c r="J16" s="37">
        <v>4248</v>
      </c>
      <c r="K16" s="37"/>
      <c r="L16" s="87">
        <f t="shared" si="3"/>
        <v>10236</v>
      </c>
      <c r="M16" s="88">
        <v>11016</v>
      </c>
      <c r="N16" s="38">
        <f t="shared" si="4"/>
        <v>118532.88</v>
      </c>
      <c r="O16" s="38">
        <f t="shared" si="0"/>
        <v>127565.28</v>
      </c>
      <c r="P16" s="89">
        <f t="shared" si="1"/>
        <v>-780</v>
      </c>
      <c r="Q16" s="90">
        <f t="shared" si="2"/>
        <v>-9032.3999999999942</v>
      </c>
      <c r="R16" s="66"/>
      <c r="S16" s="34"/>
      <c r="T16" s="69"/>
    </row>
    <row r="17" spans="2:20" ht="18" customHeight="1">
      <c r="B17" s="35">
        <v>24</v>
      </c>
      <c r="C17" s="36" t="s">
        <v>34</v>
      </c>
      <c r="D17" s="18" t="s">
        <v>49</v>
      </c>
      <c r="E17" s="19" t="s">
        <v>209</v>
      </c>
      <c r="F17" s="86">
        <v>11.58</v>
      </c>
      <c r="G17" s="86">
        <v>12</v>
      </c>
      <c r="H17" s="37"/>
      <c r="I17" s="37">
        <v>240</v>
      </c>
      <c r="J17" s="37"/>
      <c r="K17" s="37"/>
      <c r="L17" s="87">
        <f t="shared" si="3"/>
        <v>240</v>
      </c>
      <c r="M17" s="88">
        <v>240</v>
      </c>
      <c r="N17" s="38">
        <f t="shared" si="4"/>
        <v>2779.2</v>
      </c>
      <c r="O17" s="38">
        <f t="shared" si="0"/>
        <v>2779.2</v>
      </c>
      <c r="P17" s="89">
        <f t="shared" si="1"/>
        <v>0</v>
      </c>
      <c r="Q17" s="90">
        <f t="shared" si="2"/>
        <v>0</v>
      </c>
      <c r="R17" s="66"/>
      <c r="S17" s="7"/>
      <c r="T17" s="69"/>
    </row>
    <row r="18" spans="2:20" ht="18" customHeight="1">
      <c r="B18" s="35">
        <v>24</v>
      </c>
      <c r="C18" s="36" t="s">
        <v>34</v>
      </c>
      <c r="D18" s="18" t="s">
        <v>164</v>
      </c>
      <c r="E18" s="19" t="s">
        <v>210</v>
      </c>
      <c r="F18" s="86">
        <v>11.5</v>
      </c>
      <c r="G18" s="86">
        <v>12</v>
      </c>
      <c r="H18" s="37">
        <v>444</v>
      </c>
      <c r="I18" s="37"/>
      <c r="J18" s="37"/>
      <c r="K18" s="37"/>
      <c r="L18" s="87">
        <f t="shared" si="3"/>
        <v>444</v>
      </c>
      <c r="M18" s="88">
        <v>444</v>
      </c>
      <c r="N18" s="38">
        <f t="shared" si="4"/>
        <v>5106</v>
      </c>
      <c r="O18" s="38">
        <f t="shared" si="0"/>
        <v>5106</v>
      </c>
      <c r="P18" s="89">
        <f t="shared" si="1"/>
        <v>0</v>
      </c>
      <c r="Q18" s="90">
        <f t="shared" si="2"/>
        <v>0</v>
      </c>
      <c r="R18" s="66"/>
      <c r="S18" s="7"/>
      <c r="T18" s="69"/>
    </row>
    <row r="19" spans="2:20" ht="18" customHeight="1">
      <c r="B19" s="35">
        <v>24</v>
      </c>
      <c r="C19" s="36" t="s">
        <v>34</v>
      </c>
      <c r="D19" s="18" t="s">
        <v>163</v>
      </c>
      <c r="E19" s="19" t="s">
        <v>187</v>
      </c>
      <c r="F19" s="86">
        <v>15.83</v>
      </c>
      <c r="G19" s="86">
        <v>16.329999999999998</v>
      </c>
      <c r="H19" s="37">
        <v>72</v>
      </c>
      <c r="I19" s="37"/>
      <c r="J19" s="37">
        <v>60</v>
      </c>
      <c r="K19" s="37"/>
      <c r="L19" s="87">
        <f t="shared" si="3"/>
        <v>12</v>
      </c>
      <c r="M19" s="88"/>
      <c r="N19" s="38">
        <f t="shared" si="4"/>
        <v>189.96</v>
      </c>
      <c r="O19" s="38">
        <f t="shared" si="0"/>
        <v>0</v>
      </c>
      <c r="P19" s="89">
        <f t="shared" si="1"/>
        <v>12</v>
      </c>
      <c r="Q19" s="90">
        <f t="shared" si="2"/>
        <v>189.96</v>
      </c>
      <c r="R19" s="66"/>
      <c r="S19" s="7"/>
      <c r="T19" s="69"/>
    </row>
    <row r="20" spans="2:20" ht="18" customHeight="1">
      <c r="B20" s="35">
        <v>24</v>
      </c>
      <c r="C20" s="36" t="s">
        <v>34</v>
      </c>
      <c r="D20" s="18" t="s">
        <v>200</v>
      </c>
      <c r="E20" s="19" t="s">
        <v>211</v>
      </c>
      <c r="F20" s="86">
        <v>15.92</v>
      </c>
      <c r="G20" s="86">
        <v>16.329999999999998</v>
      </c>
      <c r="H20" s="37"/>
      <c r="I20" s="37">
        <v>600</v>
      </c>
      <c r="J20" s="37"/>
      <c r="K20" s="37"/>
      <c r="L20" s="87">
        <f t="shared" si="3"/>
        <v>600</v>
      </c>
      <c r="M20" s="88">
        <v>600</v>
      </c>
      <c r="N20" s="38">
        <f t="shared" si="4"/>
        <v>9552</v>
      </c>
      <c r="O20" s="38">
        <f t="shared" si="0"/>
        <v>9552</v>
      </c>
      <c r="P20" s="89">
        <f t="shared" si="1"/>
        <v>0</v>
      </c>
      <c r="Q20" s="90">
        <f t="shared" si="2"/>
        <v>0</v>
      </c>
      <c r="R20" s="66"/>
      <c r="S20" s="7"/>
      <c r="T20" s="69"/>
    </row>
    <row r="21" spans="2:20" ht="18" customHeight="1">
      <c r="B21" s="35">
        <v>24</v>
      </c>
      <c r="C21" s="36" t="s">
        <v>34</v>
      </c>
      <c r="D21" s="18" t="s">
        <v>165</v>
      </c>
      <c r="E21" s="19" t="s">
        <v>212</v>
      </c>
      <c r="F21" s="86">
        <v>0</v>
      </c>
      <c r="G21" s="86">
        <v>7.25</v>
      </c>
      <c r="H21" s="37"/>
      <c r="I21" s="37"/>
      <c r="J21" s="37"/>
      <c r="K21" s="37"/>
      <c r="L21" s="87">
        <f t="shared" si="3"/>
        <v>0</v>
      </c>
      <c r="M21" s="88"/>
      <c r="N21" s="38">
        <f t="shared" si="4"/>
        <v>0</v>
      </c>
      <c r="O21" s="38">
        <f t="shared" si="0"/>
        <v>0</v>
      </c>
      <c r="P21" s="89">
        <f t="shared" si="1"/>
        <v>0</v>
      </c>
      <c r="Q21" s="90">
        <f t="shared" si="2"/>
        <v>0</v>
      </c>
      <c r="R21" s="66"/>
      <c r="S21" s="7"/>
      <c r="T21" s="69"/>
    </row>
    <row r="22" spans="2:20" ht="18" customHeight="1">
      <c r="B22" s="35">
        <v>24</v>
      </c>
      <c r="C22" s="36" t="s">
        <v>34</v>
      </c>
      <c r="D22" s="18" t="s">
        <v>53</v>
      </c>
      <c r="E22" s="19" t="s">
        <v>54</v>
      </c>
      <c r="F22" s="86">
        <v>11.42</v>
      </c>
      <c r="G22" s="86">
        <v>12.25</v>
      </c>
      <c r="H22" s="37">
        <v>240</v>
      </c>
      <c r="I22" s="37"/>
      <c r="J22" s="37"/>
      <c r="K22" s="37"/>
      <c r="L22" s="87">
        <f t="shared" si="3"/>
        <v>240</v>
      </c>
      <c r="M22" s="88">
        <v>240</v>
      </c>
      <c r="N22" s="38">
        <f t="shared" si="4"/>
        <v>2740.8</v>
      </c>
      <c r="O22" s="38">
        <f t="shared" si="0"/>
        <v>2740.8</v>
      </c>
      <c r="P22" s="89">
        <f t="shared" si="1"/>
        <v>0</v>
      </c>
      <c r="Q22" s="90">
        <f t="shared" si="2"/>
        <v>0</v>
      </c>
      <c r="R22" s="66"/>
      <c r="S22" s="34"/>
      <c r="T22" s="69"/>
    </row>
    <row r="23" spans="2:20" ht="18" customHeight="1">
      <c r="B23" s="35">
        <v>24</v>
      </c>
      <c r="C23" s="36" t="s">
        <v>34</v>
      </c>
      <c r="D23" s="18" t="s">
        <v>55</v>
      </c>
      <c r="E23" s="19" t="s">
        <v>56</v>
      </c>
      <c r="F23" s="86">
        <v>8.4</v>
      </c>
      <c r="G23" s="86">
        <v>8.8000000000000007</v>
      </c>
      <c r="H23" s="37">
        <v>370</v>
      </c>
      <c r="I23" s="37"/>
      <c r="J23" s="37">
        <v>370</v>
      </c>
      <c r="K23" s="37"/>
      <c r="L23" s="87">
        <f t="shared" si="3"/>
        <v>0</v>
      </c>
      <c r="M23" s="88">
        <v>50</v>
      </c>
      <c r="N23" s="38">
        <f t="shared" si="4"/>
        <v>0</v>
      </c>
      <c r="O23" s="38">
        <f t="shared" si="0"/>
        <v>420</v>
      </c>
      <c r="P23" s="89">
        <f t="shared" si="1"/>
        <v>-50</v>
      </c>
      <c r="Q23" s="90">
        <f t="shared" si="2"/>
        <v>-420</v>
      </c>
      <c r="R23" s="66"/>
      <c r="S23" s="7"/>
      <c r="T23" s="69"/>
    </row>
    <row r="24" spans="2:20" ht="24" customHeight="1">
      <c r="B24" s="35">
        <v>24</v>
      </c>
      <c r="C24" s="36" t="s">
        <v>34</v>
      </c>
      <c r="D24" s="18" t="s">
        <v>57</v>
      </c>
      <c r="E24" s="19" t="s">
        <v>58</v>
      </c>
      <c r="F24" s="86">
        <v>8.4</v>
      </c>
      <c r="G24" s="86">
        <v>8.8000000000000007</v>
      </c>
      <c r="H24" s="37">
        <v>390</v>
      </c>
      <c r="I24" s="37"/>
      <c r="J24" s="37">
        <v>330</v>
      </c>
      <c r="K24" s="37"/>
      <c r="L24" s="87">
        <f t="shared" si="3"/>
        <v>60</v>
      </c>
      <c r="M24" s="88">
        <v>30</v>
      </c>
      <c r="N24" s="38">
        <f t="shared" si="4"/>
        <v>504</v>
      </c>
      <c r="O24" s="38">
        <f t="shared" si="0"/>
        <v>252</v>
      </c>
      <c r="P24" s="89">
        <f t="shared" si="1"/>
        <v>30</v>
      </c>
      <c r="Q24" s="90">
        <f t="shared" si="2"/>
        <v>252</v>
      </c>
      <c r="R24" s="66"/>
      <c r="S24" s="69"/>
      <c r="T24" s="69"/>
    </row>
    <row r="25" spans="2:20" ht="18" customHeight="1">
      <c r="B25" s="35">
        <v>24</v>
      </c>
      <c r="C25" s="36" t="s">
        <v>34</v>
      </c>
      <c r="D25" s="18" t="s">
        <v>59</v>
      </c>
      <c r="E25" s="19" t="s">
        <v>60</v>
      </c>
      <c r="F25" s="86">
        <v>11.2</v>
      </c>
      <c r="G25" s="86">
        <v>11.58</v>
      </c>
      <c r="H25" s="37">
        <v>1398</v>
      </c>
      <c r="I25" s="37"/>
      <c r="J25" s="37"/>
      <c r="K25" s="37"/>
      <c r="L25" s="87">
        <f>H25+I25-J25-K25</f>
        <v>1398</v>
      </c>
      <c r="M25" s="88">
        <v>1926</v>
      </c>
      <c r="N25" s="38">
        <f t="shared" si="4"/>
        <v>15657.599999999999</v>
      </c>
      <c r="O25" s="38">
        <f t="shared" si="0"/>
        <v>21571.199999999997</v>
      </c>
      <c r="P25" s="89">
        <f t="shared" si="1"/>
        <v>-528</v>
      </c>
      <c r="Q25" s="90">
        <f t="shared" si="2"/>
        <v>-5913.5999999999985</v>
      </c>
      <c r="R25" s="66"/>
      <c r="S25" s="7"/>
      <c r="T25" s="69"/>
    </row>
    <row r="26" spans="2:20" ht="18" customHeight="1">
      <c r="B26" s="35">
        <v>24</v>
      </c>
      <c r="C26" s="36" t="s">
        <v>34</v>
      </c>
      <c r="D26" s="18" t="s">
        <v>166</v>
      </c>
      <c r="E26" s="19" t="s">
        <v>213</v>
      </c>
      <c r="F26" s="86">
        <v>11.33</v>
      </c>
      <c r="G26" s="86">
        <v>11.58</v>
      </c>
      <c r="H26" s="37"/>
      <c r="I26" s="37"/>
      <c r="J26" s="37"/>
      <c r="K26" s="37"/>
      <c r="L26" s="87">
        <f t="shared" si="3"/>
        <v>0</v>
      </c>
      <c r="M26" s="88"/>
      <c r="N26" s="38">
        <f t="shared" si="4"/>
        <v>0</v>
      </c>
      <c r="O26" s="38">
        <f t="shared" si="0"/>
        <v>0</v>
      </c>
      <c r="P26" s="89">
        <f t="shared" si="1"/>
        <v>0</v>
      </c>
      <c r="Q26" s="90">
        <f t="shared" si="2"/>
        <v>0</v>
      </c>
      <c r="R26" s="66"/>
      <c r="S26" s="34"/>
      <c r="T26" s="69"/>
    </row>
    <row r="27" spans="2:20" ht="18" customHeight="1">
      <c r="B27" s="35">
        <v>24</v>
      </c>
      <c r="C27" s="36" t="s">
        <v>34</v>
      </c>
      <c r="D27" s="18" t="s">
        <v>61</v>
      </c>
      <c r="E27" s="19" t="s">
        <v>62</v>
      </c>
      <c r="F27" s="86">
        <v>11.2</v>
      </c>
      <c r="G27" s="86">
        <v>11.58</v>
      </c>
      <c r="H27" s="37">
        <v>1524</v>
      </c>
      <c r="I27" s="37"/>
      <c r="J27" s="37"/>
      <c r="K27" s="37"/>
      <c r="L27" s="87">
        <f t="shared" si="3"/>
        <v>1524</v>
      </c>
      <c r="M27" s="88">
        <v>1554</v>
      </c>
      <c r="N27" s="38">
        <f t="shared" si="4"/>
        <v>17068.8</v>
      </c>
      <c r="O27" s="38">
        <f t="shared" si="0"/>
        <v>17404.8</v>
      </c>
      <c r="P27" s="89">
        <f t="shared" si="1"/>
        <v>-30</v>
      </c>
      <c r="Q27" s="90">
        <f>N27-O27</f>
        <v>-336</v>
      </c>
      <c r="R27" s="66"/>
      <c r="S27" s="7"/>
      <c r="T27" s="69"/>
    </row>
    <row r="28" spans="2:20" ht="18" customHeight="1">
      <c r="B28" s="35">
        <v>24</v>
      </c>
      <c r="C28" s="36" t="s">
        <v>34</v>
      </c>
      <c r="D28" s="18" t="s">
        <v>167</v>
      </c>
      <c r="E28" s="19" t="s">
        <v>188</v>
      </c>
      <c r="F28" s="86">
        <v>11.33</v>
      </c>
      <c r="G28" s="86">
        <v>12</v>
      </c>
      <c r="H28" s="37">
        <v>1020</v>
      </c>
      <c r="I28" s="37"/>
      <c r="J28" s="37"/>
      <c r="K28" s="37"/>
      <c r="L28" s="87">
        <f t="shared" si="3"/>
        <v>1020</v>
      </c>
      <c r="M28" s="88">
        <v>1020</v>
      </c>
      <c r="N28" s="38">
        <f t="shared" si="4"/>
        <v>11556.6</v>
      </c>
      <c r="O28" s="38">
        <f t="shared" si="0"/>
        <v>11556.6</v>
      </c>
      <c r="P28" s="89">
        <f t="shared" si="1"/>
        <v>0</v>
      </c>
      <c r="Q28" s="90">
        <f t="shared" si="2"/>
        <v>0</v>
      </c>
      <c r="R28" s="66"/>
      <c r="S28" s="7"/>
      <c r="T28" s="69"/>
    </row>
    <row r="29" spans="2:20" ht="18" customHeight="1">
      <c r="B29" s="35">
        <v>24</v>
      </c>
      <c r="C29" s="36" t="s">
        <v>34</v>
      </c>
      <c r="D29" s="18" t="s">
        <v>168</v>
      </c>
      <c r="E29" s="19" t="s">
        <v>189</v>
      </c>
      <c r="F29" s="86">
        <v>58.67</v>
      </c>
      <c r="G29" s="86">
        <v>60</v>
      </c>
      <c r="H29" s="37">
        <v>164</v>
      </c>
      <c r="I29" s="37"/>
      <c r="J29" s="37">
        <v>164</v>
      </c>
      <c r="K29" s="37"/>
      <c r="L29" s="87">
        <f t="shared" si="3"/>
        <v>0</v>
      </c>
      <c r="M29" s="88"/>
      <c r="N29" s="38">
        <f t="shared" si="4"/>
        <v>0</v>
      </c>
      <c r="O29" s="38">
        <f t="shared" si="0"/>
        <v>0</v>
      </c>
      <c r="P29" s="89">
        <f t="shared" si="1"/>
        <v>0</v>
      </c>
      <c r="Q29" s="90">
        <f t="shared" si="2"/>
        <v>0</v>
      </c>
      <c r="R29" s="66"/>
      <c r="S29" s="7"/>
      <c r="T29" s="69"/>
    </row>
    <row r="30" spans="2:20" ht="18" customHeight="1">
      <c r="B30" s="35">
        <v>24</v>
      </c>
      <c r="C30" s="36" t="s">
        <v>34</v>
      </c>
      <c r="D30" s="18" t="s">
        <v>155</v>
      </c>
      <c r="E30" s="19" t="s">
        <v>214</v>
      </c>
      <c r="F30" s="86">
        <v>59.17</v>
      </c>
      <c r="G30" s="86">
        <v>61</v>
      </c>
      <c r="H30" s="37">
        <v>1417</v>
      </c>
      <c r="I30" s="37"/>
      <c r="J30" s="37">
        <v>239</v>
      </c>
      <c r="K30" s="37"/>
      <c r="L30" s="87">
        <f t="shared" si="3"/>
        <v>1178</v>
      </c>
      <c r="M30" s="88">
        <v>1190</v>
      </c>
      <c r="N30" s="38">
        <f t="shared" si="4"/>
        <v>69702.259999999995</v>
      </c>
      <c r="O30" s="38">
        <f t="shared" si="0"/>
        <v>70412.3</v>
      </c>
      <c r="P30" s="89">
        <f t="shared" si="1"/>
        <v>-12</v>
      </c>
      <c r="Q30" s="90">
        <f t="shared" si="2"/>
        <v>-710.04000000000815</v>
      </c>
      <c r="R30" s="66"/>
      <c r="S30" s="69"/>
      <c r="T30" s="69"/>
    </row>
    <row r="31" spans="2:20" ht="18" customHeight="1">
      <c r="B31" s="35">
        <v>24</v>
      </c>
      <c r="C31" s="36" t="s">
        <v>34</v>
      </c>
      <c r="D31" s="18" t="s">
        <v>169</v>
      </c>
      <c r="E31" s="19" t="s">
        <v>215</v>
      </c>
      <c r="F31" s="86">
        <v>36</v>
      </c>
      <c r="G31" s="86">
        <v>37.33</v>
      </c>
      <c r="H31" s="37">
        <v>84</v>
      </c>
      <c r="I31" s="37"/>
      <c r="J31" s="37">
        <v>71</v>
      </c>
      <c r="K31" s="37"/>
      <c r="L31" s="87">
        <f t="shared" si="3"/>
        <v>13</v>
      </c>
      <c r="M31" s="88">
        <v>12</v>
      </c>
      <c r="N31" s="38">
        <f t="shared" si="4"/>
        <v>468</v>
      </c>
      <c r="O31" s="38">
        <f t="shared" si="0"/>
        <v>432</v>
      </c>
      <c r="P31" s="89">
        <f t="shared" si="1"/>
        <v>1</v>
      </c>
      <c r="Q31" s="90">
        <f t="shared" si="2"/>
        <v>36</v>
      </c>
      <c r="R31" s="66"/>
      <c r="S31" s="7"/>
      <c r="T31" s="69"/>
    </row>
    <row r="32" spans="2:20" ht="18" customHeight="1">
      <c r="B32" s="35">
        <v>24</v>
      </c>
      <c r="C32" s="36" t="s">
        <v>34</v>
      </c>
      <c r="D32" s="18" t="s">
        <v>65</v>
      </c>
      <c r="E32" s="19" t="s">
        <v>66</v>
      </c>
      <c r="F32" s="91">
        <v>7.67</v>
      </c>
      <c r="G32" s="91">
        <v>8.17</v>
      </c>
      <c r="H32" s="37"/>
      <c r="I32" s="37">
        <v>4032</v>
      </c>
      <c r="J32" s="37"/>
      <c r="K32" s="37"/>
      <c r="L32" s="87">
        <f t="shared" si="3"/>
        <v>4032</v>
      </c>
      <c r="M32" s="88">
        <v>4032</v>
      </c>
      <c r="N32" s="38">
        <f t="shared" si="4"/>
        <v>30925.439999999999</v>
      </c>
      <c r="O32" s="38">
        <f t="shared" si="0"/>
        <v>30925.439999999999</v>
      </c>
      <c r="P32" s="89">
        <f t="shared" si="1"/>
        <v>0</v>
      </c>
      <c r="Q32" s="90">
        <f t="shared" si="2"/>
        <v>0</v>
      </c>
      <c r="R32" s="66"/>
      <c r="S32" s="7"/>
      <c r="T32" s="69"/>
    </row>
    <row r="33" spans="2:20" ht="18" customHeight="1">
      <c r="B33" s="35">
        <v>24</v>
      </c>
      <c r="C33" s="36" t="s">
        <v>34</v>
      </c>
      <c r="D33" s="18" t="s">
        <v>174</v>
      </c>
      <c r="E33" s="19" t="s">
        <v>216</v>
      </c>
      <c r="F33" s="86">
        <v>7.04</v>
      </c>
      <c r="G33" s="86">
        <v>8.17</v>
      </c>
      <c r="H33" s="37">
        <v>9974</v>
      </c>
      <c r="I33" s="37"/>
      <c r="J33" s="37">
        <v>6390</v>
      </c>
      <c r="K33" s="37"/>
      <c r="L33" s="87">
        <f t="shared" si="3"/>
        <v>3584</v>
      </c>
      <c r="M33" s="88">
        <v>3612</v>
      </c>
      <c r="N33" s="38">
        <f t="shared" si="4"/>
        <v>25231.360000000001</v>
      </c>
      <c r="O33" s="38">
        <f t="shared" si="0"/>
        <v>25428.48</v>
      </c>
      <c r="P33" s="89">
        <f t="shared" si="1"/>
        <v>-28</v>
      </c>
      <c r="Q33" s="90">
        <f t="shared" si="2"/>
        <v>-197.11999999999898</v>
      </c>
      <c r="R33" s="66"/>
      <c r="S33" s="7"/>
      <c r="T33" s="69"/>
    </row>
    <row r="34" spans="2:20" ht="18" customHeight="1">
      <c r="B34" s="35">
        <v>24</v>
      </c>
      <c r="C34" s="36" t="s">
        <v>34</v>
      </c>
      <c r="D34" s="18" t="s">
        <v>67</v>
      </c>
      <c r="E34" s="19" t="s">
        <v>68</v>
      </c>
      <c r="F34" s="86">
        <v>30.25</v>
      </c>
      <c r="G34" s="86">
        <v>31.92</v>
      </c>
      <c r="H34" s="37"/>
      <c r="I34" s="37"/>
      <c r="J34" s="37"/>
      <c r="K34" s="37"/>
      <c r="L34" s="87">
        <f t="shared" si="3"/>
        <v>0</v>
      </c>
      <c r="M34" s="88"/>
      <c r="N34" s="38">
        <f t="shared" si="4"/>
        <v>0</v>
      </c>
      <c r="O34" s="38">
        <f t="shared" si="0"/>
        <v>0</v>
      </c>
      <c r="P34" s="89">
        <f t="shared" si="1"/>
        <v>0</v>
      </c>
      <c r="Q34" s="90">
        <f t="shared" si="2"/>
        <v>0</v>
      </c>
      <c r="R34" s="66"/>
      <c r="S34" s="7"/>
      <c r="T34" s="69"/>
    </row>
    <row r="35" spans="2:20" ht="18" customHeight="1">
      <c r="B35" s="35">
        <v>24</v>
      </c>
      <c r="C35" s="36" t="s">
        <v>34</v>
      </c>
      <c r="D35" s="18" t="s">
        <v>170</v>
      </c>
      <c r="E35" s="19" t="s">
        <v>217</v>
      </c>
      <c r="F35" s="86">
        <v>31.25</v>
      </c>
      <c r="G35" s="86">
        <v>31.92</v>
      </c>
      <c r="H35" s="37">
        <v>96</v>
      </c>
      <c r="I35" s="37"/>
      <c r="J35" s="37"/>
      <c r="K35" s="37"/>
      <c r="L35" s="87">
        <f t="shared" si="3"/>
        <v>96</v>
      </c>
      <c r="M35" s="88">
        <v>96</v>
      </c>
      <c r="N35" s="38">
        <f t="shared" si="4"/>
        <v>3000</v>
      </c>
      <c r="O35" s="38">
        <f t="shared" si="0"/>
        <v>3000</v>
      </c>
      <c r="P35" s="89">
        <f t="shared" si="1"/>
        <v>0</v>
      </c>
      <c r="Q35" s="90">
        <f t="shared" si="2"/>
        <v>0</v>
      </c>
      <c r="R35" s="66"/>
      <c r="S35" s="7"/>
      <c r="T35" s="69"/>
    </row>
    <row r="36" spans="2:20" ht="18" customHeight="1">
      <c r="B36" s="35">
        <v>24</v>
      </c>
      <c r="C36" s="36" t="s">
        <v>34</v>
      </c>
      <c r="D36" s="75">
        <v>8881234567882</v>
      </c>
      <c r="E36" s="19" t="s">
        <v>190</v>
      </c>
      <c r="F36" s="86">
        <v>21.333333329999999</v>
      </c>
      <c r="G36" s="86">
        <v>23.58</v>
      </c>
      <c r="H36" s="37">
        <v>1750</v>
      </c>
      <c r="I36" s="37"/>
      <c r="J36" s="37">
        <v>1908</v>
      </c>
      <c r="K36" s="37"/>
      <c r="L36" s="87">
        <f t="shared" si="3"/>
        <v>-158</v>
      </c>
      <c r="M36" s="88">
        <v>25</v>
      </c>
      <c r="N36" s="38">
        <f>F36*L36</f>
        <v>-3370.66666614</v>
      </c>
      <c r="O36" s="38">
        <f t="shared" si="0"/>
        <v>533.33333325000001</v>
      </c>
      <c r="P36" s="89">
        <f t="shared" si="1"/>
        <v>-183</v>
      </c>
      <c r="Q36" s="90">
        <f t="shared" si="2"/>
        <v>-3903.9999993900001</v>
      </c>
      <c r="R36" s="92"/>
      <c r="S36" s="69"/>
      <c r="T36" s="69"/>
    </row>
    <row r="37" spans="2:20" ht="18" customHeight="1">
      <c r="B37" s="35">
        <v>24</v>
      </c>
      <c r="C37" s="36" t="s">
        <v>34</v>
      </c>
      <c r="D37" s="18" t="s">
        <v>171</v>
      </c>
      <c r="E37" s="19" t="s">
        <v>218</v>
      </c>
      <c r="F37" s="86">
        <v>6.88</v>
      </c>
      <c r="G37" s="86">
        <v>8.17</v>
      </c>
      <c r="H37" s="37">
        <v>3491</v>
      </c>
      <c r="I37" s="37"/>
      <c r="J37" s="37">
        <v>120</v>
      </c>
      <c r="K37" s="37"/>
      <c r="L37" s="87">
        <f t="shared" si="3"/>
        <v>3371</v>
      </c>
      <c r="M37" s="88">
        <v>3371</v>
      </c>
      <c r="N37" s="38">
        <f>F37*L37</f>
        <v>23192.48</v>
      </c>
      <c r="O37" s="38">
        <f t="shared" si="0"/>
        <v>23192.48</v>
      </c>
      <c r="P37" s="89">
        <f t="shared" si="1"/>
        <v>0</v>
      </c>
      <c r="Q37" s="90">
        <f t="shared" si="2"/>
        <v>0</v>
      </c>
      <c r="R37" s="66"/>
      <c r="S37" s="69"/>
      <c r="T37" s="69"/>
    </row>
    <row r="38" spans="2:20" ht="18" customHeight="1">
      <c r="B38" s="35">
        <v>24</v>
      </c>
      <c r="C38" s="36" t="s">
        <v>34</v>
      </c>
      <c r="D38" s="18" t="s">
        <v>172</v>
      </c>
      <c r="E38" s="19" t="s">
        <v>219</v>
      </c>
      <c r="F38" s="86">
        <v>15.92</v>
      </c>
      <c r="G38" s="86">
        <v>16.329999999999998</v>
      </c>
      <c r="H38" s="37">
        <v>2496</v>
      </c>
      <c r="I38" s="37">
        <v>3264</v>
      </c>
      <c r="J38" s="37">
        <v>2256</v>
      </c>
      <c r="K38" s="37"/>
      <c r="L38" s="87">
        <f t="shared" si="3"/>
        <v>3504</v>
      </c>
      <c r="M38" s="88">
        <v>3384</v>
      </c>
      <c r="N38" s="38">
        <f>F38*L38</f>
        <v>55783.68</v>
      </c>
      <c r="O38" s="38">
        <f t="shared" ref="O38:O65" si="5">F38*M38</f>
        <v>53873.279999999999</v>
      </c>
      <c r="P38" s="89">
        <f t="shared" ref="P38:P65" si="6">L38-M38</f>
        <v>120</v>
      </c>
      <c r="Q38" s="90">
        <f t="shared" ref="Q38:Q65" si="7">N38-O38</f>
        <v>1910.4000000000015</v>
      </c>
      <c r="R38" s="66"/>
      <c r="S38" s="7"/>
      <c r="T38" s="69"/>
    </row>
    <row r="39" spans="2:20" ht="18" customHeight="1">
      <c r="B39" s="35">
        <v>24</v>
      </c>
      <c r="C39" s="36" t="s">
        <v>34</v>
      </c>
      <c r="D39" s="18" t="s">
        <v>172</v>
      </c>
      <c r="E39" s="19" t="s">
        <v>219</v>
      </c>
      <c r="F39" s="86">
        <v>15.92</v>
      </c>
      <c r="G39" s="86">
        <v>16.329999999999998</v>
      </c>
      <c r="H39" s="37"/>
      <c r="I39" s="37"/>
      <c r="J39" s="37"/>
      <c r="K39" s="37"/>
      <c r="L39" s="87">
        <f t="shared" si="3"/>
        <v>0</v>
      </c>
      <c r="M39" s="88"/>
      <c r="N39" s="38">
        <f t="shared" ref="N39:N65" si="8">F39*L39</f>
        <v>0</v>
      </c>
      <c r="O39" s="38">
        <f t="shared" si="5"/>
        <v>0</v>
      </c>
      <c r="P39" s="89">
        <f t="shared" si="6"/>
        <v>0</v>
      </c>
      <c r="Q39" s="90">
        <f t="shared" si="7"/>
        <v>0</v>
      </c>
      <c r="R39" s="66"/>
      <c r="S39" s="34"/>
      <c r="T39" s="69"/>
    </row>
    <row r="40" spans="2:20" ht="18" customHeight="1">
      <c r="B40" s="35">
        <v>24</v>
      </c>
      <c r="C40" s="36" t="s">
        <v>34</v>
      </c>
      <c r="D40" s="18" t="s">
        <v>173</v>
      </c>
      <c r="E40" s="19" t="s">
        <v>220</v>
      </c>
      <c r="F40" s="86">
        <v>11.58</v>
      </c>
      <c r="G40" s="86">
        <v>12</v>
      </c>
      <c r="H40" s="37">
        <v>4212</v>
      </c>
      <c r="I40" s="37"/>
      <c r="J40" s="37">
        <v>1680</v>
      </c>
      <c r="K40" s="37"/>
      <c r="L40" s="87">
        <f t="shared" si="3"/>
        <v>2532</v>
      </c>
      <c r="M40" s="88">
        <v>2568</v>
      </c>
      <c r="N40" s="38">
        <f t="shared" si="8"/>
        <v>29320.560000000001</v>
      </c>
      <c r="O40" s="38">
        <f t="shared" si="5"/>
        <v>29737.439999999999</v>
      </c>
      <c r="P40" s="89">
        <f t="shared" si="6"/>
        <v>-36</v>
      </c>
      <c r="Q40" s="90">
        <f t="shared" si="7"/>
        <v>-416.87999999999738</v>
      </c>
      <c r="R40" s="66"/>
      <c r="S40" s="7"/>
      <c r="T40" s="69"/>
    </row>
    <row r="41" spans="2:20" ht="18" customHeight="1">
      <c r="B41" s="35">
        <v>24</v>
      </c>
      <c r="C41" s="36" t="s">
        <v>34</v>
      </c>
      <c r="D41" s="18" t="s">
        <v>201</v>
      </c>
      <c r="E41" s="19" t="s">
        <v>221</v>
      </c>
      <c r="F41" s="86">
        <v>15.92</v>
      </c>
      <c r="G41" s="86">
        <v>16.329999999999998</v>
      </c>
      <c r="H41" s="37"/>
      <c r="I41" s="37">
        <v>60</v>
      </c>
      <c r="J41" s="37"/>
      <c r="K41" s="37"/>
      <c r="L41" s="87">
        <f t="shared" si="3"/>
        <v>60</v>
      </c>
      <c r="M41" s="88">
        <v>60</v>
      </c>
      <c r="N41" s="38">
        <f t="shared" si="8"/>
        <v>955.2</v>
      </c>
      <c r="O41" s="38">
        <f t="shared" si="5"/>
        <v>955.2</v>
      </c>
      <c r="P41" s="89">
        <f t="shared" si="6"/>
        <v>0</v>
      </c>
      <c r="Q41" s="90">
        <f t="shared" si="7"/>
        <v>0</v>
      </c>
      <c r="R41" s="66"/>
      <c r="S41" s="34"/>
      <c r="T41" s="69"/>
    </row>
    <row r="42" spans="2:20" ht="18" customHeight="1">
      <c r="B42" s="35">
        <v>24</v>
      </c>
      <c r="C42" s="36" t="s">
        <v>34</v>
      </c>
      <c r="D42" s="75" t="s">
        <v>202</v>
      </c>
      <c r="E42" s="19" t="s">
        <v>222</v>
      </c>
      <c r="F42" s="86">
        <v>15.92</v>
      </c>
      <c r="G42" s="86">
        <v>16.329999999999998</v>
      </c>
      <c r="H42" s="37"/>
      <c r="I42" s="37">
        <v>60</v>
      </c>
      <c r="J42" s="37"/>
      <c r="K42" s="37"/>
      <c r="L42" s="87">
        <f t="shared" si="3"/>
        <v>60</v>
      </c>
      <c r="M42" s="88">
        <v>60</v>
      </c>
      <c r="N42" s="38">
        <f t="shared" si="8"/>
        <v>955.2</v>
      </c>
      <c r="O42" s="38">
        <f t="shared" si="5"/>
        <v>955.2</v>
      </c>
      <c r="P42" s="89">
        <f t="shared" si="6"/>
        <v>0</v>
      </c>
      <c r="Q42" s="90">
        <f t="shared" si="7"/>
        <v>0</v>
      </c>
      <c r="R42" s="66"/>
      <c r="S42" s="34"/>
      <c r="T42" s="69"/>
    </row>
    <row r="43" spans="2:20" ht="18" customHeight="1">
      <c r="B43" s="35">
        <v>24</v>
      </c>
      <c r="C43" s="36" t="s">
        <v>34</v>
      </c>
      <c r="D43" s="75" t="s">
        <v>175</v>
      </c>
      <c r="E43" s="19" t="s">
        <v>191</v>
      </c>
      <c r="F43" s="86">
        <v>15.33</v>
      </c>
      <c r="G43" s="86">
        <v>16.329999999999998</v>
      </c>
      <c r="H43" s="37">
        <v>156</v>
      </c>
      <c r="I43" s="37"/>
      <c r="J43" s="37"/>
      <c r="K43" s="37"/>
      <c r="L43" s="87">
        <f t="shared" si="3"/>
        <v>156</v>
      </c>
      <c r="M43" s="88">
        <v>156</v>
      </c>
      <c r="N43" s="38">
        <f t="shared" si="8"/>
        <v>2391.48</v>
      </c>
      <c r="O43" s="38">
        <f t="shared" si="5"/>
        <v>2391.48</v>
      </c>
      <c r="P43" s="89">
        <f t="shared" si="6"/>
        <v>0</v>
      </c>
      <c r="Q43" s="90">
        <f t="shared" si="7"/>
        <v>0</v>
      </c>
      <c r="R43" s="66"/>
      <c r="S43" s="7"/>
      <c r="T43" s="69"/>
    </row>
    <row r="44" spans="2:20" ht="18" customHeight="1">
      <c r="B44" s="35">
        <v>24</v>
      </c>
      <c r="C44" s="36" t="s">
        <v>34</v>
      </c>
      <c r="D44" s="75" t="s">
        <v>69</v>
      </c>
      <c r="E44" s="19" t="s">
        <v>223</v>
      </c>
      <c r="F44" s="91">
        <v>59.17</v>
      </c>
      <c r="G44" s="91">
        <v>61</v>
      </c>
      <c r="H44" s="37">
        <v>819</v>
      </c>
      <c r="I44" s="37">
        <v>600</v>
      </c>
      <c r="J44" s="37">
        <v>550</v>
      </c>
      <c r="K44" s="37"/>
      <c r="L44" s="87">
        <f t="shared" si="3"/>
        <v>869</v>
      </c>
      <c r="M44" s="88">
        <v>819</v>
      </c>
      <c r="N44" s="38">
        <f t="shared" si="8"/>
        <v>51418.73</v>
      </c>
      <c r="O44" s="38">
        <f t="shared" si="5"/>
        <v>48460.23</v>
      </c>
      <c r="P44" s="89">
        <f t="shared" si="6"/>
        <v>50</v>
      </c>
      <c r="Q44" s="90">
        <f t="shared" si="7"/>
        <v>2958.5</v>
      </c>
      <c r="R44" s="66"/>
      <c r="S44" s="69"/>
      <c r="T44" s="69"/>
    </row>
    <row r="45" spans="2:20" ht="18" customHeight="1">
      <c r="B45" s="35">
        <v>24</v>
      </c>
      <c r="C45" s="36" t="s">
        <v>34</v>
      </c>
      <c r="D45" s="18" t="s">
        <v>156</v>
      </c>
      <c r="E45" s="19" t="s">
        <v>224</v>
      </c>
      <c r="F45" s="86">
        <v>59.17</v>
      </c>
      <c r="G45" s="86">
        <v>61</v>
      </c>
      <c r="H45" s="37"/>
      <c r="I45" s="37">
        <v>600</v>
      </c>
      <c r="J45" s="37"/>
      <c r="K45" s="37"/>
      <c r="L45" s="87">
        <f t="shared" si="3"/>
        <v>600</v>
      </c>
      <c r="M45" s="88">
        <v>600</v>
      </c>
      <c r="N45" s="38">
        <f t="shared" si="8"/>
        <v>35502</v>
      </c>
      <c r="O45" s="38">
        <f t="shared" si="5"/>
        <v>35502</v>
      </c>
      <c r="P45" s="89">
        <f t="shared" si="6"/>
        <v>0</v>
      </c>
      <c r="Q45" s="90">
        <f t="shared" si="7"/>
        <v>0</v>
      </c>
      <c r="R45" s="66"/>
      <c r="S45" s="34"/>
      <c r="T45" s="69"/>
    </row>
    <row r="46" spans="2:20" ht="18" customHeight="1">
      <c r="B46" s="35">
        <v>24</v>
      </c>
      <c r="C46" s="36" t="s">
        <v>34</v>
      </c>
      <c r="D46" s="18" t="s">
        <v>156</v>
      </c>
      <c r="E46" s="19" t="s">
        <v>224</v>
      </c>
      <c r="F46" s="86">
        <v>59.17</v>
      </c>
      <c r="G46" s="86">
        <v>61</v>
      </c>
      <c r="H46" s="37"/>
      <c r="I46" s="37"/>
      <c r="J46" s="37"/>
      <c r="K46" s="37"/>
      <c r="L46" s="87">
        <f t="shared" si="3"/>
        <v>0</v>
      </c>
      <c r="M46" s="88"/>
      <c r="N46" s="38">
        <f t="shared" si="8"/>
        <v>0</v>
      </c>
      <c r="O46" s="38">
        <f t="shared" si="5"/>
        <v>0</v>
      </c>
      <c r="P46" s="89">
        <f t="shared" si="6"/>
        <v>0</v>
      </c>
      <c r="Q46" s="90">
        <f t="shared" si="7"/>
        <v>0</v>
      </c>
      <c r="R46" s="66"/>
      <c r="S46" s="34"/>
      <c r="T46" s="69"/>
    </row>
    <row r="47" spans="2:20" ht="18" customHeight="1">
      <c r="B47" s="35">
        <v>24</v>
      </c>
      <c r="C47" s="36" t="s">
        <v>34</v>
      </c>
      <c r="D47" s="18" t="s">
        <v>177</v>
      </c>
      <c r="E47" s="19" t="s">
        <v>225</v>
      </c>
      <c r="F47" s="86">
        <v>36</v>
      </c>
      <c r="G47" s="86">
        <v>37.33</v>
      </c>
      <c r="H47" s="37">
        <v>12</v>
      </c>
      <c r="I47" s="37"/>
      <c r="J47" s="37">
        <v>12</v>
      </c>
      <c r="K47" s="37"/>
      <c r="L47" s="87">
        <f t="shared" si="3"/>
        <v>0</v>
      </c>
      <c r="M47" s="88"/>
      <c r="N47" s="38">
        <f t="shared" si="8"/>
        <v>0</v>
      </c>
      <c r="O47" s="38">
        <f t="shared" si="5"/>
        <v>0</v>
      </c>
      <c r="P47" s="89">
        <f t="shared" si="6"/>
        <v>0</v>
      </c>
      <c r="Q47" s="90">
        <f t="shared" si="7"/>
        <v>0</v>
      </c>
      <c r="R47" s="66"/>
      <c r="S47" s="34"/>
      <c r="T47" s="69"/>
    </row>
    <row r="48" spans="2:20" ht="18" customHeight="1">
      <c r="B48" s="35">
        <v>24</v>
      </c>
      <c r="C48" s="36" t="s">
        <v>34</v>
      </c>
      <c r="D48" s="18" t="s">
        <v>176</v>
      </c>
      <c r="E48" s="19" t="s">
        <v>226</v>
      </c>
      <c r="F48" s="86">
        <v>36.5</v>
      </c>
      <c r="G48" s="86">
        <v>37.33</v>
      </c>
      <c r="H48" s="37">
        <v>187</v>
      </c>
      <c r="I48" s="37"/>
      <c r="J48" s="37">
        <v>69</v>
      </c>
      <c r="K48" s="37"/>
      <c r="L48" s="87">
        <f t="shared" si="3"/>
        <v>118</v>
      </c>
      <c r="M48" s="88">
        <v>117</v>
      </c>
      <c r="N48" s="38">
        <f t="shared" si="8"/>
        <v>4307</v>
      </c>
      <c r="O48" s="38">
        <f t="shared" si="5"/>
        <v>4270.5</v>
      </c>
      <c r="P48" s="89">
        <f t="shared" si="6"/>
        <v>1</v>
      </c>
      <c r="Q48" s="90">
        <f t="shared" si="7"/>
        <v>36.5</v>
      </c>
      <c r="R48" s="66"/>
      <c r="S48" s="34"/>
      <c r="T48" s="69"/>
    </row>
    <row r="49" spans="2:20" ht="18" customHeight="1">
      <c r="B49" s="35">
        <v>24</v>
      </c>
      <c r="C49" s="36" t="s">
        <v>34</v>
      </c>
      <c r="D49" s="18" t="s">
        <v>70</v>
      </c>
      <c r="E49" s="19" t="s">
        <v>71</v>
      </c>
      <c r="F49" s="86">
        <v>7.67</v>
      </c>
      <c r="G49" s="86">
        <v>8.17</v>
      </c>
      <c r="H49" s="37"/>
      <c r="I49" s="37">
        <v>4032</v>
      </c>
      <c r="J49" s="37"/>
      <c r="K49" s="37"/>
      <c r="L49" s="87">
        <f t="shared" si="3"/>
        <v>4032</v>
      </c>
      <c r="M49" s="88">
        <v>4366</v>
      </c>
      <c r="N49" s="38">
        <f t="shared" si="8"/>
        <v>30925.439999999999</v>
      </c>
      <c r="O49" s="38">
        <f t="shared" si="5"/>
        <v>33487.22</v>
      </c>
      <c r="P49" s="89">
        <f t="shared" si="6"/>
        <v>-334</v>
      </c>
      <c r="Q49" s="90">
        <f t="shared" si="7"/>
        <v>-2561.7800000000025</v>
      </c>
      <c r="R49" s="66"/>
      <c r="S49" s="7"/>
      <c r="T49" s="69"/>
    </row>
    <row r="50" spans="2:20" ht="18" customHeight="1">
      <c r="B50" s="35">
        <v>24</v>
      </c>
      <c r="C50" s="36" t="s">
        <v>34</v>
      </c>
      <c r="D50" s="18" t="s">
        <v>178</v>
      </c>
      <c r="E50" s="19" t="s">
        <v>239</v>
      </c>
      <c r="F50" s="86">
        <v>6.88</v>
      </c>
      <c r="G50" s="86">
        <v>7.54</v>
      </c>
      <c r="H50" s="37">
        <v>1410</v>
      </c>
      <c r="I50" s="37"/>
      <c r="J50" s="37">
        <v>1410</v>
      </c>
      <c r="K50" s="37"/>
      <c r="L50" s="87">
        <f t="shared" si="3"/>
        <v>0</v>
      </c>
      <c r="M50" s="88"/>
      <c r="N50" s="38">
        <f t="shared" si="8"/>
        <v>0</v>
      </c>
      <c r="O50" s="38">
        <f t="shared" si="5"/>
        <v>0</v>
      </c>
      <c r="P50" s="89">
        <f t="shared" si="6"/>
        <v>0</v>
      </c>
      <c r="Q50" s="90">
        <f t="shared" si="7"/>
        <v>0</v>
      </c>
      <c r="R50" s="66"/>
      <c r="S50" s="7"/>
      <c r="T50" s="69"/>
    </row>
    <row r="51" spans="2:20" ht="18" customHeight="1">
      <c r="B51" s="35">
        <v>24</v>
      </c>
      <c r="C51" s="36" t="s">
        <v>34</v>
      </c>
      <c r="D51" s="18" t="s">
        <v>183</v>
      </c>
      <c r="E51" s="19" t="s">
        <v>227</v>
      </c>
      <c r="F51" s="86">
        <v>7.04</v>
      </c>
      <c r="G51" s="86">
        <v>8.17</v>
      </c>
      <c r="H51" s="37">
        <v>12375</v>
      </c>
      <c r="I51" s="37"/>
      <c r="J51" s="37">
        <v>4680</v>
      </c>
      <c r="K51" s="37"/>
      <c r="L51" s="87">
        <f t="shared" si="3"/>
        <v>7695</v>
      </c>
      <c r="M51" s="88">
        <v>7695</v>
      </c>
      <c r="N51" s="38">
        <f t="shared" si="8"/>
        <v>54172.800000000003</v>
      </c>
      <c r="O51" s="38">
        <f t="shared" si="5"/>
        <v>54172.800000000003</v>
      </c>
      <c r="P51" s="89">
        <f t="shared" si="6"/>
        <v>0</v>
      </c>
      <c r="Q51" s="90">
        <f t="shared" si="7"/>
        <v>0</v>
      </c>
      <c r="R51" s="66"/>
      <c r="S51" s="7"/>
      <c r="T51" s="69"/>
    </row>
    <row r="52" spans="2:20" ht="18" customHeight="1">
      <c r="B52" s="35">
        <v>24</v>
      </c>
      <c r="C52" s="36" t="s">
        <v>34</v>
      </c>
      <c r="D52" s="18" t="s">
        <v>72</v>
      </c>
      <c r="E52" s="19" t="s">
        <v>73</v>
      </c>
      <c r="F52" s="86">
        <v>22.33</v>
      </c>
      <c r="G52" s="86">
        <v>23.58</v>
      </c>
      <c r="H52" s="37">
        <v>2041</v>
      </c>
      <c r="I52" s="37">
        <v>1800</v>
      </c>
      <c r="J52" s="37">
        <v>1842</v>
      </c>
      <c r="K52" s="37"/>
      <c r="L52" s="87">
        <f t="shared" si="3"/>
        <v>1999</v>
      </c>
      <c r="M52" s="88">
        <v>1813</v>
      </c>
      <c r="N52" s="38">
        <f t="shared" si="8"/>
        <v>44637.67</v>
      </c>
      <c r="O52" s="38">
        <f t="shared" si="5"/>
        <v>40484.289999999994</v>
      </c>
      <c r="P52" s="89">
        <f t="shared" si="6"/>
        <v>186</v>
      </c>
      <c r="Q52" s="90">
        <f t="shared" si="7"/>
        <v>4153.3800000000047</v>
      </c>
      <c r="R52" s="66"/>
      <c r="S52" s="69"/>
      <c r="T52" s="69"/>
    </row>
    <row r="53" spans="2:20" ht="18" customHeight="1">
      <c r="B53" s="35">
        <v>24</v>
      </c>
      <c r="C53" s="36" t="s">
        <v>34</v>
      </c>
      <c r="D53" s="75">
        <v>8881234567883</v>
      </c>
      <c r="E53" s="19" t="s">
        <v>192</v>
      </c>
      <c r="F53" s="86">
        <v>21.333333329999999</v>
      </c>
      <c r="G53" s="86">
        <v>23.58</v>
      </c>
      <c r="H53" s="37"/>
      <c r="I53" s="37"/>
      <c r="J53" s="37"/>
      <c r="K53" s="37"/>
      <c r="L53" s="87">
        <f t="shared" si="3"/>
        <v>0</v>
      </c>
      <c r="M53" s="88"/>
      <c r="N53" s="38">
        <f t="shared" si="8"/>
        <v>0</v>
      </c>
      <c r="O53" s="38">
        <f t="shared" si="5"/>
        <v>0</v>
      </c>
      <c r="P53" s="89">
        <f t="shared" si="6"/>
        <v>0</v>
      </c>
      <c r="Q53" s="90">
        <f t="shared" si="7"/>
        <v>0</v>
      </c>
      <c r="R53" s="92"/>
      <c r="S53" s="69"/>
      <c r="T53" s="69"/>
    </row>
    <row r="54" spans="2:20" ht="18" customHeight="1">
      <c r="B54" s="35">
        <v>24</v>
      </c>
      <c r="C54" s="36" t="s">
        <v>34</v>
      </c>
      <c r="D54" s="18" t="s">
        <v>74</v>
      </c>
      <c r="E54" s="19" t="s">
        <v>75</v>
      </c>
      <c r="F54" s="86">
        <v>30.25</v>
      </c>
      <c r="G54" s="86">
        <v>31.92</v>
      </c>
      <c r="H54" s="37"/>
      <c r="I54" s="37"/>
      <c r="J54" s="37"/>
      <c r="K54" s="37"/>
      <c r="L54" s="87">
        <f t="shared" si="3"/>
        <v>0</v>
      </c>
      <c r="M54" s="88"/>
      <c r="N54" s="38">
        <f t="shared" si="8"/>
        <v>0</v>
      </c>
      <c r="O54" s="38">
        <f t="shared" si="5"/>
        <v>0</v>
      </c>
      <c r="P54" s="89">
        <f t="shared" si="6"/>
        <v>0</v>
      </c>
      <c r="Q54" s="90">
        <f t="shared" si="7"/>
        <v>0</v>
      </c>
      <c r="R54" s="66"/>
      <c r="S54" s="7"/>
      <c r="T54" s="69"/>
    </row>
    <row r="55" spans="2:20" ht="18" customHeight="1">
      <c r="B55" s="35">
        <v>24</v>
      </c>
      <c r="C55" s="36" t="s">
        <v>34</v>
      </c>
      <c r="D55" s="18" t="s">
        <v>179</v>
      </c>
      <c r="E55" s="19" t="s">
        <v>228</v>
      </c>
      <c r="F55" s="86">
        <v>31.25</v>
      </c>
      <c r="G55" s="86">
        <v>31.92</v>
      </c>
      <c r="H55" s="37">
        <v>120</v>
      </c>
      <c r="I55" s="37"/>
      <c r="J55" s="37"/>
      <c r="K55" s="37"/>
      <c r="L55" s="87">
        <f t="shared" si="3"/>
        <v>120</v>
      </c>
      <c r="M55" s="88">
        <v>120</v>
      </c>
      <c r="N55" s="38">
        <f t="shared" si="8"/>
        <v>3750</v>
      </c>
      <c r="O55" s="38">
        <f t="shared" si="5"/>
        <v>3750</v>
      </c>
      <c r="P55" s="89">
        <f t="shared" si="6"/>
        <v>0</v>
      </c>
      <c r="Q55" s="90">
        <f t="shared" si="7"/>
        <v>0</v>
      </c>
      <c r="R55" s="66"/>
      <c r="S55" s="7"/>
      <c r="T55" s="69"/>
    </row>
    <row r="56" spans="2:20" ht="18" customHeight="1">
      <c r="B56" s="35">
        <v>24</v>
      </c>
      <c r="C56" s="36" t="s">
        <v>34</v>
      </c>
      <c r="D56" s="18" t="s">
        <v>180</v>
      </c>
      <c r="E56" s="19" t="s">
        <v>229</v>
      </c>
      <c r="F56" s="86">
        <v>15.92</v>
      </c>
      <c r="G56" s="86">
        <v>16.329999999999998</v>
      </c>
      <c r="H56" s="37">
        <v>2319</v>
      </c>
      <c r="I56" s="37"/>
      <c r="J56" s="37">
        <v>2268</v>
      </c>
      <c r="K56" s="37"/>
      <c r="L56" s="87">
        <f t="shared" si="3"/>
        <v>51</v>
      </c>
      <c r="M56" s="88">
        <v>51</v>
      </c>
      <c r="N56" s="38">
        <f t="shared" si="8"/>
        <v>811.92</v>
      </c>
      <c r="O56" s="38">
        <f t="shared" si="5"/>
        <v>811.92</v>
      </c>
      <c r="P56" s="89">
        <f t="shared" si="6"/>
        <v>0</v>
      </c>
      <c r="Q56" s="90">
        <f t="shared" si="7"/>
        <v>0</v>
      </c>
      <c r="R56" s="66"/>
      <c r="S56" s="7"/>
      <c r="T56" s="69"/>
    </row>
    <row r="57" spans="2:20" ht="18" customHeight="1">
      <c r="B57" s="35">
        <v>24</v>
      </c>
      <c r="C57" s="36" t="s">
        <v>34</v>
      </c>
      <c r="D57" s="18" t="s">
        <v>180</v>
      </c>
      <c r="E57" s="19" t="s">
        <v>229</v>
      </c>
      <c r="F57" s="86">
        <v>15.92</v>
      </c>
      <c r="G57" s="86">
        <v>16.329999999999998</v>
      </c>
      <c r="H57" s="37"/>
      <c r="I57" s="37"/>
      <c r="J57" s="37"/>
      <c r="K57" s="37"/>
      <c r="L57" s="87">
        <f t="shared" si="3"/>
        <v>0</v>
      </c>
      <c r="M57" s="88"/>
      <c r="N57" s="38">
        <f t="shared" si="8"/>
        <v>0</v>
      </c>
      <c r="O57" s="38">
        <f t="shared" si="5"/>
        <v>0</v>
      </c>
      <c r="P57" s="89">
        <f t="shared" si="6"/>
        <v>0</v>
      </c>
      <c r="Q57" s="90">
        <f t="shared" si="7"/>
        <v>0</v>
      </c>
      <c r="R57" s="66"/>
      <c r="S57" s="7"/>
      <c r="T57" s="69"/>
    </row>
    <row r="58" spans="2:20" ht="18" customHeight="1">
      <c r="B58" s="35">
        <v>24</v>
      </c>
      <c r="C58" s="36" t="s">
        <v>34</v>
      </c>
      <c r="D58" s="75">
        <v>8881234567899</v>
      </c>
      <c r="E58" s="19" t="s">
        <v>229</v>
      </c>
      <c r="F58" s="86">
        <v>15.9166666666666</v>
      </c>
      <c r="G58" s="86">
        <v>16.329999999999998</v>
      </c>
      <c r="H58" s="37"/>
      <c r="I58" s="37">
        <v>3072</v>
      </c>
      <c r="J58" s="37"/>
      <c r="K58" s="37"/>
      <c r="L58" s="87">
        <f t="shared" si="3"/>
        <v>3072</v>
      </c>
      <c r="M58" s="88">
        <v>3072</v>
      </c>
      <c r="N58" s="38">
        <f t="shared" si="8"/>
        <v>48895.999999999796</v>
      </c>
      <c r="O58" s="38">
        <f t="shared" si="5"/>
        <v>48895.999999999796</v>
      </c>
      <c r="P58" s="89">
        <f t="shared" si="6"/>
        <v>0</v>
      </c>
      <c r="Q58" s="90">
        <f t="shared" si="7"/>
        <v>0</v>
      </c>
      <c r="R58" s="66"/>
      <c r="S58" s="7"/>
      <c r="T58" s="69"/>
    </row>
    <row r="59" spans="2:20" ht="18" customHeight="1">
      <c r="B59" s="35">
        <v>24</v>
      </c>
      <c r="C59" s="36" t="s">
        <v>34</v>
      </c>
      <c r="D59" s="75" t="s">
        <v>182</v>
      </c>
      <c r="E59" s="19" t="s">
        <v>240</v>
      </c>
      <c r="F59" s="86">
        <v>11.5</v>
      </c>
      <c r="G59" s="86">
        <v>12</v>
      </c>
      <c r="H59" s="37">
        <v>300</v>
      </c>
      <c r="I59" s="37"/>
      <c r="J59" s="37">
        <v>300</v>
      </c>
      <c r="K59" s="37"/>
      <c r="L59" s="87">
        <f t="shared" si="3"/>
        <v>0</v>
      </c>
      <c r="M59" s="88"/>
      <c r="N59" s="38">
        <f t="shared" si="8"/>
        <v>0</v>
      </c>
      <c r="O59" s="38">
        <f t="shared" si="5"/>
        <v>0</v>
      </c>
      <c r="P59" s="89">
        <f t="shared" si="6"/>
        <v>0</v>
      </c>
      <c r="Q59" s="90">
        <f t="shared" si="7"/>
        <v>0</v>
      </c>
      <c r="R59" s="66"/>
      <c r="S59" s="7"/>
      <c r="T59" s="69"/>
    </row>
    <row r="60" spans="2:20" ht="18" customHeight="1">
      <c r="B60" s="35">
        <v>24</v>
      </c>
      <c r="C60" s="36" t="s">
        <v>34</v>
      </c>
      <c r="D60" s="18" t="s">
        <v>181</v>
      </c>
      <c r="E60" s="19" t="s">
        <v>230</v>
      </c>
      <c r="F60" s="86">
        <v>11.58</v>
      </c>
      <c r="G60" s="86">
        <v>12</v>
      </c>
      <c r="H60" s="37">
        <v>4416</v>
      </c>
      <c r="I60" s="37"/>
      <c r="J60" s="37">
        <v>1188</v>
      </c>
      <c r="K60" s="37"/>
      <c r="L60" s="87">
        <f t="shared" si="3"/>
        <v>3228</v>
      </c>
      <c r="M60" s="88">
        <v>3348</v>
      </c>
      <c r="N60" s="38">
        <f t="shared" si="8"/>
        <v>37380.239999999998</v>
      </c>
      <c r="O60" s="38">
        <f t="shared" si="5"/>
        <v>38769.840000000004</v>
      </c>
      <c r="P60" s="89">
        <f t="shared" si="6"/>
        <v>-120</v>
      </c>
      <c r="Q60" s="90">
        <f t="shared" si="7"/>
        <v>-1389.6000000000058</v>
      </c>
      <c r="R60" s="66"/>
      <c r="S60" s="7"/>
      <c r="T60" s="69"/>
    </row>
    <row r="61" spans="2:20" ht="18" customHeight="1">
      <c r="B61" s="35">
        <v>24</v>
      </c>
      <c r="C61" s="36" t="s">
        <v>34</v>
      </c>
      <c r="D61" s="18" t="s">
        <v>76</v>
      </c>
      <c r="E61" s="19" t="s">
        <v>77</v>
      </c>
      <c r="F61" s="86">
        <v>14.58</v>
      </c>
      <c r="G61" s="86">
        <v>16.75</v>
      </c>
      <c r="H61" s="37">
        <v>1549</v>
      </c>
      <c r="I61" s="37"/>
      <c r="J61" s="37">
        <v>348</v>
      </c>
      <c r="K61" s="37"/>
      <c r="L61" s="87">
        <f t="shared" si="3"/>
        <v>1201</v>
      </c>
      <c r="M61" s="88">
        <v>1187</v>
      </c>
      <c r="N61" s="38">
        <f t="shared" si="8"/>
        <v>17510.580000000002</v>
      </c>
      <c r="O61" s="38">
        <f t="shared" si="5"/>
        <v>17306.46</v>
      </c>
      <c r="P61" s="89">
        <f t="shared" si="6"/>
        <v>14</v>
      </c>
      <c r="Q61" s="90">
        <f t="shared" si="7"/>
        <v>204.12000000000262</v>
      </c>
      <c r="R61" s="66"/>
      <c r="S61" s="69"/>
      <c r="T61" s="69"/>
    </row>
    <row r="62" spans="2:20" ht="18" customHeight="1">
      <c r="B62" s="35">
        <v>24</v>
      </c>
      <c r="C62" s="36" t="s">
        <v>34</v>
      </c>
      <c r="D62" s="18" t="s">
        <v>78</v>
      </c>
      <c r="E62" s="19" t="s">
        <v>79</v>
      </c>
      <c r="F62" s="86">
        <v>6.67</v>
      </c>
      <c r="G62" s="86">
        <v>7.37</v>
      </c>
      <c r="H62" s="37">
        <v>10560</v>
      </c>
      <c r="I62" s="37"/>
      <c r="J62" s="37">
        <v>972</v>
      </c>
      <c r="K62" s="37">
        <v>2520</v>
      </c>
      <c r="L62" s="87">
        <f t="shared" si="3"/>
        <v>7068</v>
      </c>
      <c r="M62" s="88">
        <v>7107</v>
      </c>
      <c r="N62" s="38">
        <f t="shared" si="8"/>
        <v>47143.56</v>
      </c>
      <c r="O62" s="38">
        <f t="shared" si="5"/>
        <v>47403.69</v>
      </c>
      <c r="P62" s="89">
        <f t="shared" si="6"/>
        <v>-39</v>
      </c>
      <c r="Q62" s="90">
        <f t="shared" si="7"/>
        <v>-260.13000000000466</v>
      </c>
      <c r="R62" s="66"/>
      <c r="S62" s="34"/>
      <c r="T62" s="69"/>
    </row>
    <row r="63" spans="2:20" ht="18" customHeight="1">
      <c r="B63" s="35">
        <v>24</v>
      </c>
      <c r="C63" s="36" t="s">
        <v>34</v>
      </c>
      <c r="D63" s="18" t="s">
        <v>184</v>
      </c>
      <c r="E63" s="19" t="s">
        <v>193</v>
      </c>
      <c r="F63" s="86">
        <v>6.54</v>
      </c>
      <c r="G63" s="86">
        <v>7.25</v>
      </c>
      <c r="H63" s="37">
        <v>2868</v>
      </c>
      <c r="I63" s="37"/>
      <c r="J63" s="37">
        <v>12</v>
      </c>
      <c r="K63" s="37"/>
      <c r="L63" s="87">
        <f t="shared" si="3"/>
        <v>2856</v>
      </c>
      <c r="M63" s="88">
        <v>2880</v>
      </c>
      <c r="N63" s="38">
        <f t="shared" si="8"/>
        <v>18678.240000000002</v>
      </c>
      <c r="O63" s="38">
        <f t="shared" si="5"/>
        <v>18835.2</v>
      </c>
      <c r="P63" s="89">
        <f t="shared" si="6"/>
        <v>-24</v>
      </c>
      <c r="Q63" s="90">
        <f t="shared" si="7"/>
        <v>-156.95999999999913</v>
      </c>
      <c r="R63" s="66"/>
      <c r="S63" s="7"/>
      <c r="T63" s="69"/>
    </row>
    <row r="64" spans="2:20" ht="18" customHeight="1">
      <c r="B64" s="35">
        <v>24</v>
      </c>
      <c r="C64" s="36" t="s">
        <v>34</v>
      </c>
      <c r="D64" s="18" t="s">
        <v>80</v>
      </c>
      <c r="E64" s="19" t="s">
        <v>81</v>
      </c>
      <c r="F64" s="86">
        <v>8.7100000000000009</v>
      </c>
      <c r="G64" s="86">
        <v>9.58</v>
      </c>
      <c r="H64" s="37">
        <v>14235</v>
      </c>
      <c r="I64" s="37"/>
      <c r="J64" s="37">
        <v>1272</v>
      </c>
      <c r="K64" s="37">
        <v>1872</v>
      </c>
      <c r="L64" s="87">
        <f t="shared" si="3"/>
        <v>11091</v>
      </c>
      <c r="M64" s="88">
        <v>11091</v>
      </c>
      <c r="N64" s="38">
        <f t="shared" si="8"/>
        <v>96602.610000000015</v>
      </c>
      <c r="O64" s="38">
        <f t="shared" si="5"/>
        <v>96602.610000000015</v>
      </c>
      <c r="P64" s="89">
        <f t="shared" si="6"/>
        <v>0</v>
      </c>
      <c r="Q64" s="90">
        <f t="shared" si="7"/>
        <v>0</v>
      </c>
      <c r="R64" s="66"/>
      <c r="S64" s="34"/>
      <c r="T64" s="69"/>
    </row>
    <row r="65" spans="2:20" ht="18" customHeight="1">
      <c r="B65" s="35">
        <v>24</v>
      </c>
      <c r="C65" s="36" t="s">
        <v>34</v>
      </c>
      <c r="D65" s="18" t="s">
        <v>83</v>
      </c>
      <c r="E65" s="19" t="s">
        <v>84</v>
      </c>
      <c r="F65" s="86">
        <v>74.67</v>
      </c>
      <c r="G65" s="86">
        <v>80</v>
      </c>
      <c r="H65" s="37">
        <v>13</v>
      </c>
      <c r="I65" s="37"/>
      <c r="J65" s="37"/>
      <c r="K65" s="37"/>
      <c r="L65" s="87">
        <f t="shared" si="3"/>
        <v>13</v>
      </c>
      <c r="M65" s="88">
        <v>13</v>
      </c>
      <c r="N65" s="38">
        <f t="shared" si="8"/>
        <v>970.71</v>
      </c>
      <c r="O65" s="38">
        <f t="shared" si="5"/>
        <v>970.71</v>
      </c>
      <c r="P65" s="89">
        <f t="shared" si="6"/>
        <v>0</v>
      </c>
      <c r="Q65" s="90">
        <f t="shared" si="7"/>
        <v>0</v>
      </c>
      <c r="R65" s="66"/>
      <c r="S65" s="34"/>
      <c r="T65" s="69"/>
    </row>
    <row r="66" spans="2:20">
      <c r="B66" s="29" t="s">
        <v>10</v>
      </c>
      <c r="C66" s="29"/>
      <c r="D66" s="33"/>
      <c r="E66" s="33"/>
      <c r="F66" s="61"/>
      <c r="G66" s="61"/>
      <c r="H66" s="62">
        <f t="shared" ref="H66:O66" si="9">SUM(H6:H65)</f>
        <v>154162</v>
      </c>
      <c r="I66" s="62">
        <f>SUM(I6:I65)</f>
        <v>101652</v>
      </c>
      <c r="J66" s="62">
        <f t="shared" si="9"/>
        <v>80198</v>
      </c>
      <c r="K66" s="62">
        <f t="shared" si="9"/>
        <v>4392</v>
      </c>
      <c r="L66" s="62">
        <f t="shared" si="9"/>
        <v>171224</v>
      </c>
      <c r="M66" s="62">
        <f t="shared" si="9"/>
        <v>172879</v>
      </c>
      <c r="N66" s="32">
        <f t="shared" si="9"/>
        <v>2328121.8016675431</v>
      </c>
      <c r="O66" s="32">
        <f t="shared" si="9"/>
        <v>2335816.7833336135</v>
      </c>
      <c r="P66" s="30">
        <f>SUM(P6:P65)</f>
        <v>-1655</v>
      </c>
      <c r="Q66" s="32">
        <f>SUM(Q6:Q65)</f>
        <v>-7694.9816660710076</v>
      </c>
      <c r="R66" s="33"/>
      <c r="S66" s="94">
        <f>SUM(S6:S65)</f>
        <v>0</v>
      </c>
      <c r="T66" s="94">
        <f>SUM(T6:T65)</f>
        <v>0</v>
      </c>
    </row>
    <row r="67" spans="2:20">
      <c r="H67" s="56" t="s">
        <v>85</v>
      </c>
      <c r="S67" s="34"/>
    </row>
    <row r="68" spans="2:20" ht="15" customHeight="1">
      <c r="B68" s="39" t="s">
        <v>11</v>
      </c>
      <c r="C68" s="39"/>
      <c r="D68" s="3" t="s">
        <v>12</v>
      </c>
      <c r="E68" s="16" t="s">
        <v>13</v>
      </c>
      <c r="F68" s="126" t="s">
        <v>14</v>
      </c>
      <c r="G68" s="127"/>
      <c r="H68" s="127"/>
      <c r="I68" s="127"/>
      <c r="J68" s="127"/>
      <c r="K68" s="128"/>
      <c r="L68" s="65"/>
      <c r="M68" s="65"/>
      <c r="N68" s="65"/>
      <c r="P68" s="67"/>
      <c r="Q68" s="68"/>
      <c r="R68" s="63"/>
      <c r="S68" s="63"/>
      <c r="T68" s="68"/>
    </row>
    <row r="69" spans="2:20" ht="15" customHeight="1">
      <c r="B69" s="129" t="s">
        <v>15</v>
      </c>
      <c r="C69" s="130"/>
      <c r="D69" s="40">
        <f>N66</f>
        <v>2328121.8016675431</v>
      </c>
      <c r="E69" s="41">
        <f>L66</f>
        <v>171224</v>
      </c>
      <c r="F69" s="131"/>
      <c r="G69" s="132"/>
      <c r="H69" s="132"/>
      <c r="I69" s="132"/>
      <c r="J69" s="132"/>
      <c r="K69" s="133"/>
      <c r="L69" s="2"/>
      <c r="M69" s="2"/>
      <c r="N69" s="2"/>
      <c r="P69" s="67"/>
      <c r="Q69" s="68"/>
      <c r="R69" s="63"/>
      <c r="S69" s="63"/>
      <c r="T69" s="68"/>
    </row>
    <row r="70" spans="2:20" ht="15" customHeight="1">
      <c r="B70" s="42" t="s">
        <v>6</v>
      </c>
      <c r="C70" s="42"/>
      <c r="D70" s="40">
        <f>O66</f>
        <v>2335816.7833336135</v>
      </c>
      <c r="E70" s="41">
        <f>M66</f>
        <v>172879</v>
      </c>
      <c r="F70" s="134"/>
      <c r="G70" s="135"/>
      <c r="H70" s="135"/>
      <c r="I70" s="135"/>
      <c r="J70" s="135"/>
      <c r="K70" s="136"/>
      <c r="L70" s="2"/>
      <c r="M70" s="2"/>
      <c r="N70" s="2"/>
      <c r="P70" s="67"/>
      <c r="Q70" s="68"/>
      <c r="R70" s="63"/>
      <c r="S70" s="63"/>
      <c r="T70" s="68"/>
    </row>
    <row r="71" spans="2:20" ht="15" customHeight="1">
      <c r="B71" s="39" t="s">
        <v>16</v>
      </c>
      <c r="C71" s="39"/>
      <c r="D71" s="43">
        <f>D69-D70</f>
        <v>-7694.9816660704091</v>
      </c>
      <c r="E71" s="44">
        <f>E69-E70</f>
        <v>-1655</v>
      </c>
      <c r="F71" s="137"/>
      <c r="G71" s="138"/>
      <c r="H71" s="138"/>
      <c r="I71" s="138"/>
      <c r="J71" s="138"/>
      <c r="K71" s="139"/>
      <c r="L71" s="2"/>
      <c r="M71" s="2"/>
      <c r="N71" s="2"/>
      <c r="P71" s="67"/>
      <c r="Q71" s="68"/>
      <c r="R71" s="63"/>
      <c r="S71" s="63"/>
      <c r="T71" s="68"/>
    </row>
    <row r="73" spans="2:20" ht="15.75" hidden="1" customHeight="1">
      <c r="B73" s="63" t="s">
        <v>86</v>
      </c>
      <c r="C73" s="63" t="s">
        <v>87</v>
      </c>
      <c r="D73" s="63"/>
      <c r="E73" s="63"/>
      <c r="F73" s="63"/>
      <c r="G73" s="63"/>
      <c r="H73" s="64"/>
      <c r="I73" s="64"/>
      <c r="J73" s="64"/>
      <c r="K73" s="64"/>
      <c r="L73" s="64"/>
      <c r="M73" s="63"/>
      <c r="N73" s="63"/>
      <c r="S73"/>
    </row>
    <row r="74" spans="2:20" ht="15" hidden="1" customHeight="1">
      <c r="C74" s="63"/>
      <c r="D74" s="63"/>
      <c r="E74" s="63"/>
      <c r="F74" s="63"/>
      <c r="G74" s="63"/>
      <c r="H74" s="64"/>
      <c r="I74" s="64"/>
      <c r="J74" s="64"/>
      <c r="K74" s="64"/>
      <c r="L74" s="64"/>
      <c r="M74" s="63"/>
      <c r="N74" s="63"/>
      <c r="S74"/>
    </row>
    <row r="75" spans="2:20" ht="15" hidden="1" customHeight="1">
      <c r="S75"/>
    </row>
    <row r="76" spans="2:20" ht="15" hidden="1" customHeight="1">
      <c r="S76"/>
    </row>
    <row r="77" spans="2:20">
      <c r="B77" s="4" t="s">
        <v>17</v>
      </c>
      <c r="C77" s="4"/>
      <c r="D77" s="4"/>
      <c r="E77" s="4" t="s">
        <v>18</v>
      </c>
      <c r="F77" s="5"/>
      <c r="G77" s="5"/>
      <c r="I77" s="31" t="s">
        <v>88</v>
      </c>
      <c r="J77" s="9"/>
    </row>
    <row r="78" spans="2:20">
      <c r="B78" s="4"/>
      <c r="C78" s="4"/>
      <c r="D78" s="4"/>
      <c r="E78" s="4"/>
      <c r="F78" s="5"/>
      <c r="G78" s="5"/>
      <c r="I78" s="31"/>
      <c r="J78" s="9"/>
    </row>
    <row r="79" spans="2:20">
      <c r="B79" s="123" t="s">
        <v>19</v>
      </c>
      <c r="C79" s="123"/>
      <c r="E79" s="6" t="s">
        <v>145</v>
      </c>
      <c r="F79" s="11"/>
      <c r="G79" s="11"/>
      <c r="I79" s="123" t="s">
        <v>20</v>
      </c>
      <c r="J79" s="123"/>
      <c r="K79" s="123"/>
      <c r="O79" s="11"/>
    </row>
    <row r="80" spans="2:20">
      <c r="B80" s="124" t="s">
        <v>153</v>
      </c>
      <c r="C80" s="124"/>
      <c r="E80" s="7" t="s">
        <v>144</v>
      </c>
      <c r="F80"/>
      <c r="G80"/>
      <c r="H80"/>
      <c r="I80" s="124" t="s">
        <v>21</v>
      </c>
      <c r="J80" s="124"/>
      <c r="K80" s="124"/>
      <c r="O80"/>
    </row>
    <row r="81" spans="2:18">
      <c r="I81" s="26"/>
      <c r="J81" s="9"/>
    </row>
    <row r="82" spans="2:18">
      <c r="I82" s="26"/>
      <c r="J82" s="9"/>
    </row>
    <row r="83" spans="2:18">
      <c r="B83" s="4" t="s">
        <v>22</v>
      </c>
      <c r="C83" s="8"/>
      <c r="I83" s="31" t="s">
        <v>23</v>
      </c>
      <c r="J83" s="9"/>
    </row>
    <row r="84" spans="2:18">
      <c r="B84" s="4"/>
      <c r="C84" s="8"/>
      <c r="I84" s="31"/>
      <c r="J84" s="9"/>
    </row>
    <row r="85" spans="2:18">
      <c r="B85" s="123" t="s">
        <v>147</v>
      </c>
      <c r="C85" s="123"/>
      <c r="D85" s="123"/>
      <c r="E85" s="123"/>
      <c r="I85" s="123" t="s">
        <v>24</v>
      </c>
      <c r="J85" s="123"/>
      <c r="K85" s="123"/>
      <c r="O85" s="11"/>
      <c r="R85" s="125"/>
    </row>
    <row r="86" spans="2:18">
      <c r="B86" s="124" t="s">
        <v>146</v>
      </c>
      <c r="C86" s="124"/>
      <c r="D86" s="124"/>
      <c r="E86" s="124"/>
      <c r="I86" s="140" t="s">
        <v>25</v>
      </c>
      <c r="J86" s="140"/>
      <c r="K86" s="140"/>
      <c r="O86"/>
      <c r="R86" s="125"/>
    </row>
    <row r="90" spans="2:18" ht="15.75">
      <c r="B90" s="122"/>
      <c r="C90" s="122"/>
      <c r="D90" s="122"/>
      <c r="E90" s="122"/>
      <c r="F90" s="122"/>
      <c r="G90" s="85"/>
    </row>
    <row r="91" spans="2:18" ht="15.75">
      <c r="B91" s="122"/>
      <c r="C91" s="122"/>
      <c r="D91" s="122"/>
      <c r="E91" s="122"/>
      <c r="F91" s="122"/>
      <c r="G91" s="85"/>
    </row>
    <row r="92" spans="2:18" ht="15.75">
      <c r="B92" s="122"/>
      <c r="C92" s="122"/>
      <c r="D92" s="122"/>
      <c r="E92" s="122"/>
      <c r="F92" s="122"/>
      <c r="G92" s="85"/>
    </row>
    <row r="93" spans="2:18" ht="15.75">
      <c r="B93" s="122"/>
      <c r="C93" s="122"/>
      <c r="D93" s="122"/>
      <c r="E93" s="122"/>
      <c r="F93" s="122"/>
      <c r="G93" s="85"/>
    </row>
  </sheetData>
  <autoFilter ref="B5:T71" xr:uid="{00000000-0001-0000-0300-000000000000}"/>
  <mergeCells count="13">
    <mergeCell ref="B90:F93"/>
    <mergeCell ref="B85:E85"/>
    <mergeCell ref="B86:E86"/>
    <mergeCell ref="R85:R86"/>
    <mergeCell ref="F68:K68"/>
    <mergeCell ref="B69:C69"/>
    <mergeCell ref="B79:C79"/>
    <mergeCell ref="B80:C80"/>
    <mergeCell ref="F69:K71"/>
    <mergeCell ref="I79:K79"/>
    <mergeCell ref="I80:K80"/>
    <mergeCell ref="I85:K85"/>
    <mergeCell ref="I86:K86"/>
  </mergeCells>
  <printOptions horizontalCentered="1"/>
  <pageMargins left="0.5" right="0.5" top="0.35" bottom="0.25" header="0.3" footer="0.17"/>
  <pageSetup paperSize="256" scale="51"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C3B8-4E1C-4911-B8CD-55BCE1FEC958}">
  <sheetPr>
    <tabColor theme="5" tint="-0.249977111117893"/>
    <pageSetUpPr fitToPage="1"/>
  </sheetPr>
  <dimension ref="A1:CG86"/>
  <sheetViews>
    <sheetView zoomScaleNormal="100" workbookViewId="0">
      <pane xSplit="1" ySplit="6" topLeftCell="B43" activePane="bottomRight" state="frozen"/>
      <selection pane="topRight" activeCell="B1" sqref="B1"/>
      <selection pane="bottomLeft" activeCell="A7" sqref="A7"/>
      <selection pane="bottomRight" activeCell="A23" sqref="A23:XFD23"/>
    </sheetView>
  </sheetViews>
  <sheetFormatPr defaultColWidth="9" defaultRowHeight="15"/>
  <cols>
    <col min="1" max="1" width="23.85546875" customWidth="1"/>
    <col min="2" max="3" width="6.85546875" style="7" customWidth="1"/>
    <col min="4" max="4" width="9" style="48"/>
    <col min="5" max="6" width="6.85546875" style="49" customWidth="1"/>
    <col min="7" max="7" width="7.28515625" style="49" bestFit="1" customWidth="1"/>
    <col min="8" max="9" width="6.85546875" style="49" customWidth="1"/>
    <col min="10" max="10" width="7.28515625" style="49" bestFit="1" customWidth="1"/>
    <col min="11" max="13" width="7.28515625" style="49" customWidth="1"/>
    <col min="14" max="15" width="6.85546875" style="49" hidden="1" customWidth="1"/>
    <col min="16" max="16" width="5.7109375" style="49" hidden="1" customWidth="1"/>
    <col min="17" max="18" width="6.85546875" style="49" customWidth="1"/>
    <col min="19" max="19" width="7" style="49" bestFit="1" customWidth="1"/>
    <col min="20" max="21" width="6.85546875" style="49" customWidth="1"/>
    <col min="22" max="22" width="7.28515625" style="49" bestFit="1" customWidth="1"/>
    <col min="23" max="23" width="9.28515625" style="7" bestFit="1" customWidth="1"/>
    <col min="24" max="24" width="9" style="100"/>
    <col min="25" max="25" width="13.42578125" style="100" customWidth="1"/>
  </cols>
  <sheetData>
    <row r="1" spans="1:85" ht="15" customHeight="1">
      <c r="A1" s="65" t="s">
        <v>138</v>
      </c>
      <c r="B1" s="50"/>
      <c r="C1" s="50"/>
      <c r="D1" s="51"/>
    </row>
    <row r="2" spans="1:85" ht="13.5" customHeight="1">
      <c r="A2" s="78" t="s">
        <v>142</v>
      </c>
      <c r="B2" s="50"/>
      <c r="C2" s="50"/>
      <c r="D2" s="51"/>
    </row>
    <row r="3" spans="1:85" ht="12" customHeight="1">
      <c r="A3" s="84" t="s">
        <v>152</v>
      </c>
      <c r="D3" s="49"/>
    </row>
    <row r="4" spans="1:85" ht="23.25" customHeight="1">
      <c r="A4" s="141" t="s">
        <v>89</v>
      </c>
      <c r="B4" s="142" t="s">
        <v>131</v>
      </c>
      <c r="C4" s="142"/>
      <c r="D4" s="142"/>
      <c r="E4" s="143" t="s">
        <v>90</v>
      </c>
      <c r="F4" s="144"/>
      <c r="G4" s="144"/>
      <c r="H4" s="144"/>
      <c r="I4" s="144"/>
      <c r="J4" s="144"/>
      <c r="K4" s="144"/>
      <c r="L4" s="144"/>
      <c r="M4" s="144"/>
      <c r="N4" s="144"/>
      <c r="O4" s="144"/>
      <c r="P4" s="144"/>
      <c r="Q4" s="145" t="s">
        <v>132</v>
      </c>
      <c r="R4" s="145"/>
      <c r="S4" s="145"/>
      <c r="T4" s="145" t="s">
        <v>33</v>
      </c>
      <c r="U4" s="145"/>
      <c r="V4" s="145"/>
      <c r="W4" s="145" t="s">
        <v>10</v>
      </c>
      <c r="X4" s="146" t="s">
        <v>91</v>
      </c>
      <c r="Y4" s="147" t="s">
        <v>12</v>
      </c>
    </row>
    <row r="5" spans="1:85">
      <c r="A5" s="141"/>
      <c r="B5" s="148" t="s">
        <v>92</v>
      </c>
      <c r="C5" s="148"/>
      <c r="D5" s="148"/>
      <c r="E5" s="149" t="s">
        <v>93</v>
      </c>
      <c r="F5" s="149"/>
      <c r="G5" s="149"/>
      <c r="H5" s="149" t="s">
        <v>94</v>
      </c>
      <c r="I5" s="149"/>
      <c r="J5" s="149"/>
      <c r="K5" s="149" t="s">
        <v>140</v>
      </c>
      <c r="L5" s="149"/>
      <c r="M5" s="149"/>
      <c r="N5" s="149" t="s">
        <v>143</v>
      </c>
      <c r="O5" s="149"/>
      <c r="P5" s="149"/>
      <c r="Q5" s="145"/>
      <c r="R5" s="145"/>
      <c r="S5" s="145"/>
      <c r="T5" s="145"/>
      <c r="U5" s="145"/>
      <c r="V5" s="145"/>
      <c r="W5" s="145"/>
      <c r="X5" s="146"/>
      <c r="Y5" s="147"/>
    </row>
    <row r="6" spans="1:85">
      <c r="A6" s="141"/>
      <c r="B6" s="52" t="s">
        <v>95</v>
      </c>
      <c r="C6" s="52" t="s">
        <v>96</v>
      </c>
      <c r="D6" s="52" t="s">
        <v>97</v>
      </c>
      <c r="E6" s="52" t="s">
        <v>95</v>
      </c>
      <c r="F6" s="52" t="s">
        <v>96</v>
      </c>
      <c r="G6" s="52" t="s">
        <v>97</v>
      </c>
      <c r="H6" s="52" t="s">
        <v>95</v>
      </c>
      <c r="I6" s="52" t="s">
        <v>96</v>
      </c>
      <c r="J6" s="52" t="s">
        <v>97</v>
      </c>
      <c r="K6" s="52" t="s">
        <v>95</v>
      </c>
      <c r="L6" s="52" t="s">
        <v>96</v>
      </c>
      <c r="M6" s="52" t="s">
        <v>97</v>
      </c>
      <c r="N6" s="52" t="s">
        <v>95</v>
      </c>
      <c r="O6" s="52" t="s">
        <v>96</v>
      </c>
      <c r="P6" s="52" t="s">
        <v>97</v>
      </c>
      <c r="Q6" s="52" t="s">
        <v>95</v>
      </c>
      <c r="R6" s="52" t="s">
        <v>96</v>
      </c>
      <c r="S6" s="52" t="s">
        <v>97</v>
      </c>
      <c r="T6" s="52" t="s">
        <v>95</v>
      </c>
      <c r="U6" s="52" t="s">
        <v>96</v>
      </c>
      <c r="V6" s="52" t="s">
        <v>97</v>
      </c>
      <c r="W6" s="145"/>
      <c r="X6" s="146"/>
      <c r="Y6" s="147"/>
    </row>
    <row r="7" spans="1:85" s="47" customFormat="1" ht="17.100000000000001" customHeight="1">
      <c r="A7" s="53" t="s">
        <v>98</v>
      </c>
      <c r="B7" s="101">
        <f>38+2+1</f>
        <v>41</v>
      </c>
      <c r="C7" s="101">
        <v>12</v>
      </c>
      <c r="D7" s="102">
        <f>B7*12+C7</f>
        <v>504</v>
      </c>
      <c r="E7" s="54">
        <v>1</v>
      </c>
      <c r="F7" s="55"/>
      <c r="G7" s="102">
        <f>E7*12+F7</f>
        <v>12</v>
      </c>
      <c r="H7" s="54"/>
      <c r="I7" s="55"/>
      <c r="J7" s="102">
        <f>H7*12+I7</f>
        <v>0</v>
      </c>
      <c r="K7" s="54"/>
      <c r="L7" s="55"/>
      <c r="M7" s="102">
        <f>K7*12+L7</f>
        <v>0</v>
      </c>
      <c r="N7" s="54"/>
      <c r="O7" s="55"/>
      <c r="P7" s="102">
        <f>N7*12+O7</f>
        <v>0</v>
      </c>
      <c r="Q7" s="54"/>
      <c r="R7" s="55">
        <f>9+8</f>
        <v>17</v>
      </c>
      <c r="S7" s="102">
        <f>Q7*12+R7</f>
        <v>17</v>
      </c>
      <c r="T7" s="101"/>
      <c r="U7" s="101"/>
      <c r="V7" s="102">
        <f>T7*12+U7</f>
        <v>0</v>
      </c>
      <c r="W7" s="103">
        <f>D7+G7+J7+M7+P7+S7+V7</f>
        <v>533</v>
      </c>
      <c r="X7" s="100"/>
      <c r="Y7" s="100">
        <f>W7*X7</f>
        <v>0</v>
      </c>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row>
    <row r="8" spans="1:85" s="47" customFormat="1" ht="17.100000000000001" customHeight="1">
      <c r="A8" s="53" t="s">
        <v>99</v>
      </c>
      <c r="B8" s="101">
        <v>135</v>
      </c>
      <c r="C8" s="101">
        <v>6</v>
      </c>
      <c r="D8" s="102">
        <f t="shared" ref="D8:D16" si="0">B8*12+C8</f>
        <v>1626</v>
      </c>
      <c r="E8" s="54">
        <v>6</v>
      </c>
      <c r="F8" s="55"/>
      <c r="G8" s="102">
        <f t="shared" ref="G8:G16" si="1">E8*12+F8</f>
        <v>72</v>
      </c>
      <c r="H8" s="54">
        <v>3</v>
      </c>
      <c r="I8" s="55">
        <v>6</v>
      </c>
      <c r="J8" s="102">
        <f t="shared" ref="J8:J16" si="2">H8*12+I8</f>
        <v>42</v>
      </c>
      <c r="K8" s="54"/>
      <c r="L8" s="55"/>
      <c r="M8" s="102">
        <f t="shared" ref="M8:M16" si="3">K8*12+L8</f>
        <v>0</v>
      </c>
      <c r="N8" s="54"/>
      <c r="O8" s="55"/>
      <c r="P8" s="102">
        <f t="shared" ref="P8:P16" si="4">N8*12+O8</f>
        <v>0</v>
      </c>
      <c r="Q8" s="54"/>
      <c r="R8" s="55">
        <v>10</v>
      </c>
      <c r="S8" s="102">
        <f t="shared" ref="S8:S16" si="5">Q8*12+R8</f>
        <v>10</v>
      </c>
      <c r="T8" s="101"/>
      <c r="U8" s="101"/>
      <c r="V8" s="102">
        <f t="shared" ref="V8:V16" si="6">T8*12+U8</f>
        <v>0</v>
      </c>
      <c r="W8" s="103">
        <f t="shared" ref="W8:W53" si="7">D8+G8+J8+M8+P8+S8+V8</f>
        <v>1750</v>
      </c>
      <c r="X8" s="100"/>
      <c r="Y8" s="100">
        <f t="shared" ref="Y8:Y53" si="8">W8*X8</f>
        <v>0</v>
      </c>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row>
    <row r="9" spans="1:85" s="47" customFormat="1" ht="17.100000000000001" customHeight="1">
      <c r="A9" s="53" t="s">
        <v>100</v>
      </c>
      <c r="B9" s="101">
        <f>140+29</f>
        <v>169</v>
      </c>
      <c r="C9" s="101">
        <v>6</v>
      </c>
      <c r="D9" s="102">
        <f t="shared" si="0"/>
        <v>2034</v>
      </c>
      <c r="E9" s="54"/>
      <c r="F9" s="55"/>
      <c r="G9" s="102">
        <f t="shared" si="1"/>
        <v>0</v>
      </c>
      <c r="H9" s="54"/>
      <c r="I9" s="55">
        <v>6</v>
      </c>
      <c r="J9" s="102">
        <f t="shared" si="2"/>
        <v>6</v>
      </c>
      <c r="K9" s="54"/>
      <c r="L9" s="55"/>
      <c r="M9" s="102">
        <f t="shared" si="3"/>
        <v>0</v>
      </c>
      <c r="N9" s="54"/>
      <c r="O9" s="55"/>
      <c r="P9" s="102">
        <f t="shared" si="4"/>
        <v>0</v>
      </c>
      <c r="Q9" s="54"/>
      <c r="R9" s="55">
        <v>1</v>
      </c>
      <c r="S9" s="102">
        <f t="shared" si="5"/>
        <v>1</v>
      </c>
      <c r="T9" s="101"/>
      <c r="U9" s="101"/>
      <c r="V9" s="102">
        <f t="shared" si="6"/>
        <v>0</v>
      </c>
      <c r="W9" s="103">
        <f t="shared" si="7"/>
        <v>2041</v>
      </c>
      <c r="X9" s="100"/>
      <c r="Y9" s="100">
        <f t="shared" si="8"/>
        <v>0</v>
      </c>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row>
    <row r="10" spans="1:85" ht="17.100000000000001" customHeight="1">
      <c r="A10" s="53" t="s">
        <v>101</v>
      </c>
      <c r="B10" s="101">
        <f>1536+219+19+1</f>
        <v>1775</v>
      </c>
      <c r="C10" s="101"/>
      <c r="D10" s="102">
        <f t="shared" si="0"/>
        <v>21300</v>
      </c>
      <c r="E10" s="54">
        <v>39</v>
      </c>
      <c r="F10" s="55"/>
      <c r="G10" s="102">
        <f t="shared" si="1"/>
        <v>468</v>
      </c>
      <c r="H10" s="54"/>
      <c r="I10" s="55"/>
      <c r="J10" s="102">
        <f t="shared" si="2"/>
        <v>0</v>
      </c>
      <c r="K10" s="54">
        <v>23</v>
      </c>
      <c r="L10" s="55"/>
      <c r="M10" s="102">
        <f t="shared" si="3"/>
        <v>276</v>
      </c>
      <c r="N10" s="54"/>
      <c r="O10" s="55"/>
      <c r="P10" s="102">
        <f t="shared" si="4"/>
        <v>0</v>
      </c>
      <c r="Q10" s="54">
        <f>3+10+2</f>
        <v>15</v>
      </c>
      <c r="R10" s="55"/>
      <c r="S10" s="102">
        <f t="shared" si="5"/>
        <v>180</v>
      </c>
      <c r="T10" s="101">
        <f>50</f>
        <v>50</v>
      </c>
      <c r="U10" s="101"/>
      <c r="V10" s="102">
        <f t="shared" si="6"/>
        <v>600</v>
      </c>
      <c r="W10" s="103">
        <f t="shared" si="7"/>
        <v>22824</v>
      </c>
      <c r="Y10" s="100">
        <f t="shared" si="8"/>
        <v>0</v>
      </c>
    </row>
    <row r="11" spans="1:85" ht="17.100000000000001" customHeight="1">
      <c r="A11" s="53" t="s">
        <v>194</v>
      </c>
      <c r="B11" s="101">
        <v>5</v>
      </c>
      <c r="C11" s="101"/>
      <c r="D11" s="102">
        <f t="shared" si="0"/>
        <v>60</v>
      </c>
      <c r="E11" s="54"/>
      <c r="F11" s="55"/>
      <c r="G11" s="102">
        <f t="shared" si="1"/>
        <v>0</v>
      </c>
      <c r="H11" s="54">
        <v>1</v>
      </c>
      <c r="I11" s="55"/>
      <c r="J11" s="102">
        <f t="shared" si="2"/>
        <v>12</v>
      </c>
      <c r="K11" s="54"/>
      <c r="L11" s="55"/>
      <c r="M11" s="102">
        <f t="shared" si="3"/>
        <v>0</v>
      </c>
      <c r="N11" s="54"/>
      <c r="O11" s="55"/>
      <c r="P11" s="102"/>
      <c r="Q11" s="54"/>
      <c r="R11" s="55"/>
      <c r="S11" s="102"/>
      <c r="T11" s="101"/>
      <c r="U11" s="101"/>
      <c r="V11" s="102">
        <f t="shared" si="6"/>
        <v>0</v>
      </c>
      <c r="W11" s="103">
        <f t="shared" si="7"/>
        <v>72</v>
      </c>
    </row>
    <row r="12" spans="1:85" ht="17.100000000000001" customHeight="1">
      <c r="A12" s="53" t="s">
        <v>102</v>
      </c>
      <c r="B12" s="101">
        <v>163</v>
      </c>
      <c r="C12" s="101"/>
      <c r="D12" s="102">
        <f t="shared" si="0"/>
        <v>1956</v>
      </c>
      <c r="E12" s="54">
        <v>7</v>
      </c>
      <c r="F12" s="55"/>
      <c r="G12" s="102">
        <f t="shared" si="1"/>
        <v>84</v>
      </c>
      <c r="H12" s="54"/>
      <c r="I12" s="55"/>
      <c r="J12" s="102">
        <f t="shared" si="2"/>
        <v>0</v>
      </c>
      <c r="K12" s="54">
        <v>19</v>
      </c>
      <c r="L12" s="55"/>
      <c r="M12" s="102">
        <f t="shared" si="3"/>
        <v>228</v>
      </c>
      <c r="N12" s="54"/>
      <c r="O12" s="55"/>
      <c r="P12" s="102">
        <f t="shared" si="4"/>
        <v>0</v>
      </c>
      <c r="Q12" s="54">
        <v>9</v>
      </c>
      <c r="R12" s="55"/>
      <c r="S12" s="102">
        <f t="shared" si="5"/>
        <v>108</v>
      </c>
      <c r="T12" s="101">
        <v>10</v>
      </c>
      <c r="U12" s="101"/>
      <c r="V12" s="102">
        <f t="shared" si="6"/>
        <v>120</v>
      </c>
      <c r="W12" s="103">
        <f t="shared" si="7"/>
        <v>2496</v>
      </c>
      <c r="Y12" s="100">
        <f t="shared" si="8"/>
        <v>0</v>
      </c>
    </row>
    <row r="13" spans="1:85" ht="17.100000000000001" customHeight="1">
      <c r="A13" s="53" t="s">
        <v>103</v>
      </c>
      <c r="B13" s="101">
        <v>147</v>
      </c>
      <c r="C13" s="101"/>
      <c r="D13" s="102">
        <f t="shared" si="0"/>
        <v>1764</v>
      </c>
      <c r="E13" s="54">
        <v>22</v>
      </c>
      <c r="F13" s="55"/>
      <c r="G13" s="102">
        <f t="shared" si="1"/>
        <v>264</v>
      </c>
      <c r="H13" s="54"/>
      <c r="I13" s="55"/>
      <c r="J13" s="102">
        <f t="shared" si="2"/>
        <v>0</v>
      </c>
      <c r="K13" s="54">
        <v>19</v>
      </c>
      <c r="L13" s="55"/>
      <c r="M13" s="102">
        <f t="shared" si="3"/>
        <v>228</v>
      </c>
      <c r="N13" s="54"/>
      <c r="O13" s="55"/>
      <c r="P13" s="102">
        <f t="shared" si="4"/>
        <v>0</v>
      </c>
      <c r="Q13" s="54">
        <v>5</v>
      </c>
      <c r="R13" s="55">
        <v>3</v>
      </c>
      <c r="S13" s="102">
        <f t="shared" si="5"/>
        <v>63</v>
      </c>
      <c r="T13" s="101"/>
      <c r="U13" s="101"/>
      <c r="V13" s="102">
        <f t="shared" si="6"/>
        <v>0</v>
      </c>
      <c r="W13" s="103">
        <f t="shared" si="7"/>
        <v>2319</v>
      </c>
      <c r="Y13" s="100">
        <f t="shared" si="8"/>
        <v>0</v>
      </c>
    </row>
    <row r="14" spans="1:85" ht="17.100000000000001" customHeight="1">
      <c r="A14" s="53" t="s">
        <v>104</v>
      </c>
      <c r="B14" s="101"/>
      <c r="C14" s="101"/>
      <c r="D14" s="102">
        <f t="shared" si="0"/>
        <v>0</v>
      </c>
      <c r="E14" s="54"/>
      <c r="F14" s="55"/>
      <c r="G14" s="102">
        <f t="shared" si="1"/>
        <v>0</v>
      </c>
      <c r="H14" s="54"/>
      <c r="I14" s="55"/>
      <c r="J14" s="102">
        <f t="shared" si="2"/>
        <v>0</v>
      </c>
      <c r="K14" s="54"/>
      <c r="L14" s="55"/>
      <c r="M14" s="102">
        <f t="shared" si="3"/>
        <v>0</v>
      </c>
      <c r="N14" s="54"/>
      <c r="O14" s="55"/>
      <c r="P14" s="102">
        <f t="shared" si="4"/>
        <v>0</v>
      </c>
      <c r="Q14" s="54"/>
      <c r="R14" s="55"/>
      <c r="S14" s="102">
        <f t="shared" si="5"/>
        <v>0</v>
      </c>
      <c r="T14" s="101"/>
      <c r="U14" s="101"/>
      <c r="V14" s="102">
        <f t="shared" si="6"/>
        <v>0</v>
      </c>
      <c r="W14" s="103">
        <f t="shared" si="7"/>
        <v>0</v>
      </c>
      <c r="Y14" s="100">
        <f t="shared" si="8"/>
        <v>0</v>
      </c>
    </row>
    <row r="15" spans="1:85" ht="17.100000000000001" customHeight="1">
      <c r="A15" s="53" t="s">
        <v>105</v>
      </c>
      <c r="B15" s="101"/>
      <c r="C15" s="101"/>
      <c r="D15" s="102">
        <f t="shared" si="0"/>
        <v>0</v>
      </c>
      <c r="E15" s="54"/>
      <c r="F15" s="55"/>
      <c r="G15" s="102">
        <f t="shared" si="1"/>
        <v>0</v>
      </c>
      <c r="H15" s="54"/>
      <c r="I15" s="55"/>
      <c r="J15" s="102">
        <f t="shared" si="2"/>
        <v>0</v>
      </c>
      <c r="K15" s="54"/>
      <c r="L15" s="55"/>
      <c r="M15" s="102">
        <f t="shared" si="3"/>
        <v>0</v>
      </c>
      <c r="N15" s="54"/>
      <c r="O15" s="55"/>
      <c r="P15" s="102">
        <f t="shared" si="4"/>
        <v>0</v>
      </c>
      <c r="Q15" s="54"/>
      <c r="R15" s="55"/>
      <c r="S15" s="102">
        <f t="shared" si="5"/>
        <v>0</v>
      </c>
      <c r="T15" s="101"/>
      <c r="U15" s="101"/>
      <c r="V15" s="102">
        <f t="shared" si="6"/>
        <v>0</v>
      </c>
      <c r="W15" s="103">
        <f t="shared" si="7"/>
        <v>0</v>
      </c>
      <c r="Y15" s="100">
        <f t="shared" si="8"/>
        <v>0</v>
      </c>
    </row>
    <row r="16" spans="1:85" s="47" customFormat="1" ht="17.100000000000001" customHeight="1">
      <c r="A16" s="53" t="s">
        <v>148</v>
      </c>
      <c r="B16" s="101"/>
      <c r="C16" s="101"/>
      <c r="D16" s="102">
        <f t="shared" si="0"/>
        <v>0</v>
      </c>
      <c r="E16" s="54"/>
      <c r="F16" s="55"/>
      <c r="G16" s="102">
        <f t="shared" si="1"/>
        <v>0</v>
      </c>
      <c r="H16" s="54"/>
      <c r="I16" s="55"/>
      <c r="J16" s="102">
        <f t="shared" si="2"/>
        <v>0</v>
      </c>
      <c r="K16" s="54"/>
      <c r="L16" s="55"/>
      <c r="M16" s="102">
        <f t="shared" si="3"/>
        <v>0</v>
      </c>
      <c r="N16" s="54"/>
      <c r="O16" s="55"/>
      <c r="P16" s="102">
        <f t="shared" si="4"/>
        <v>0</v>
      </c>
      <c r="Q16" s="54">
        <v>7</v>
      </c>
      <c r="R16" s="55"/>
      <c r="S16" s="102">
        <f t="shared" si="5"/>
        <v>84</v>
      </c>
      <c r="T16" s="101">
        <v>6</v>
      </c>
      <c r="U16" s="101"/>
      <c r="V16" s="102">
        <f t="shared" si="6"/>
        <v>72</v>
      </c>
      <c r="W16" s="103">
        <f t="shared" si="7"/>
        <v>156</v>
      </c>
      <c r="X16" s="100"/>
      <c r="Y16" s="100">
        <f t="shared" si="8"/>
        <v>0</v>
      </c>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row>
    <row r="17" spans="1:85" ht="17.100000000000001" customHeight="1">
      <c r="A17" s="53" t="s">
        <v>106</v>
      </c>
      <c r="B17" s="101">
        <v>12</v>
      </c>
      <c r="C17" s="101"/>
      <c r="D17" s="102">
        <f t="shared" ref="D17:D20" si="9">B17*24+C17</f>
        <v>288</v>
      </c>
      <c r="E17" s="54"/>
      <c r="F17" s="55"/>
      <c r="G17" s="102">
        <f t="shared" ref="G17:G20" si="10">E17*24+F17</f>
        <v>0</v>
      </c>
      <c r="H17" s="54"/>
      <c r="I17" s="55"/>
      <c r="J17" s="102">
        <f t="shared" ref="J17:J20" si="11">H17*24+I17</f>
        <v>0</v>
      </c>
      <c r="K17" s="54"/>
      <c r="L17" s="55"/>
      <c r="M17" s="102">
        <f t="shared" ref="M17:M20" si="12">K17*24+L17</f>
        <v>0</v>
      </c>
      <c r="N17" s="54"/>
      <c r="O17" s="55"/>
      <c r="P17" s="102">
        <f t="shared" ref="P17:P20" si="13">N17*24+O17</f>
        <v>0</v>
      </c>
      <c r="Q17" s="54"/>
      <c r="R17" s="55"/>
      <c r="S17" s="102">
        <f t="shared" ref="S17:S20" si="14">Q17*24+R17</f>
        <v>0</v>
      </c>
      <c r="T17" s="101"/>
      <c r="U17" s="101"/>
      <c r="V17" s="102">
        <f t="shared" ref="V17:V20" si="15">T17*24+U17</f>
        <v>0</v>
      </c>
      <c r="W17" s="103">
        <f t="shared" si="7"/>
        <v>288</v>
      </c>
      <c r="Y17" s="100">
        <f t="shared" si="8"/>
        <v>0</v>
      </c>
    </row>
    <row r="18" spans="1:85" ht="17.100000000000001" customHeight="1">
      <c r="A18" s="53" t="s">
        <v>107</v>
      </c>
      <c r="B18" s="101">
        <v>4</v>
      </c>
      <c r="C18" s="101"/>
      <c r="D18" s="102">
        <f t="shared" si="9"/>
        <v>96</v>
      </c>
      <c r="E18" s="54"/>
      <c r="F18" s="55"/>
      <c r="G18" s="102">
        <f t="shared" si="10"/>
        <v>0</v>
      </c>
      <c r="H18" s="54"/>
      <c r="I18" s="55"/>
      <c r="J18" s="102">
        <f t="shared" si="11"/>
        <v>0</v>
      </c>
      <c r="K18" s="54"/>
      <c r="L18" s="55"/>
      <c r="M18" s="102">
        <f t="shared" si="12"/>
        <v>0</v>
      </c>
      <c r="N18" s="54"/>
      <c r="O18" s="55"/>
      <c r="P18" s="102">
        <f t="shared" si="13"/>
        <v>0</v>
      </c>
      <c r="Q18" s="54"/>
      <c r="R18" s="55"/>
      <c r="S18" s="102">
        <f t="shared" si="14"/>
        <v>0</v>
      </c>
      <c r="T18" s="101"/>
      <c r="U18" s="101"/>
      <c r="V18" s="102">
        <f t="shared" si="15"/>
        <v>0</v>
      </c>
      <c r="W18" s="103">
        <f t="shared" si="7"/>
        <v>96</v>
      </c>
      <c r="Y18" s="100">
        <f t="shared" si="8"/>
        <v>0</v>
      </c>
    </row>
    <row r="19" spans="1:85" s="47" customFormat="1" ht="17.100000000000001" customHeight="1">
      <c r="A19" s="53" t="s">
        <v>108</v>
      </c>
      <c r="B19" s="101">
        <v>5</v>
      </c>
      <c r="C19" s="101"/>
      <c r="D19" s="102">
        <f t="shared" si="9"/>
        <v>120</v>
      </c>
      <c r="E19" s="54"/>
      <c r="F19" s="55"/>
      <c r="G19" s="102">
        <f t="shared" si="10"/>
        <v>0</v>
      </c>
      <c r="H19" s="54"/>
      <c r="I19" s="55"/>
      <c r="J19" s="102">
        <f t="shared" si="11"/>
        <v>0</v>
      </c>
      <c r="K19" s="54"/>
      <c r="L19" s="55"/>
      <c r="M19" s="102">
        <f t="shared" si="12"/>
        <v>0</v>
      </c>
      <c r="N19" s="54"/>
      <c r="O19" s="55"/>
      <c r="P19" s="102">
        <f t="shared" si="13"/>
        <v>0</v>
      </c>
      <c r="Q19" s="54"/>
      <c r="R19" s="55"/>
      <c r="S19" s="102">
        <f t="shared" si="14"/>
        <v>0</v>
      </c>
      <c r="T19" s="101"/>
      <c r="U19" s="101"/>
      <c r="V19" s="102">
        <f t="shared" si="15"/>
        <v>0</v>
      </c>
      <c r="W19" s="103">
        <f t="shared" si="7"/>
        <v>120</v>
      </c>
      <c r="X19" s="100"/>
      <c r="Y19" s="100">
        <f t="shared" si="8"/>
        <v>0</v>
      </c>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row>
    <row r="20" spans="1:85" s="47" customFormat="1" ht="17.100000000000001" customHeight="1">
      <c r="A20" s="53" t="s">
        <v>109</v>
      </c>
      <c r="B20" s="101">
        <v>17</v>
      </c>
      <c r="C20" s="101"/>
      <c r="D20" s="102">
        <f t="shared" si="9"/>
        <v>408</v>
      </c>
      <c r="E20" s="54"/>
      <c r="F20" s="55"/>
      <c r="G20" s="102">
        <f t="shared" si="10"/>
        <v>0</v>
      </c>
      <c r="H20" s="54"/>
      <c r="I20" s="55"/>
      <c r="J20" s="102">
        <f t="shared" si="11"/>
        <v>0</v>
      </c>
      <c r="K20" s="54"/>
      <c r="L20" s="55"/>
      <c r="M20" s="102">
        <f t="shared" si="12"/>
        <v>0</v>
      </c>
      <c r="N20" s="54"/>
      <c r="O20" s="55"/>
      <c r="P20" s="102">
        <f t="shared" si="13"/>
        <v>0</v>
      </c>
      <c r="Q20" s="54"/>
      <c r="R20" s="55"/>
      <c r="S20" s="102">
        <f t="shared" si="14"/>
        <v>0</v>
      </c>
      <c r="T20" s="101"/>
      <c r="U20" s="101"/>
      <c r="V20" s="102">
        <f t="shared" si="15"/>
        <v>0</v>
      </c>
      <c r="W20" s="103">
        <f t="shared" si="7"/>
        <v>408</v>
      </c>
      <c r="X20" s="100"/>
      <c r="Y20" s="100">
        <f t="shared" si="8"/>
        <v>0</v>
      </c>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row>
    <row r="21" spans="1:85" s="47" customFormat="1" ht="17.100000000000001" customHeight="1">
      <c r="A21" s="53" t="s">
        <v>110</v>
      </c>
      <c r="B21" s="101">
        <f>200+32+3</f>
        <v>235</v>
      </c>
      <c r="C21" s="101"/>
      <c r="D21" s="102">
        <f>B21*12+C21</f>
        <v>2820</v>
      </c>
      <c r="E21" s="54">
        <v>2</v>
      </c>
      <c r="F21" s="55">
        <v>6</v>
      </c>
      <c r="G21" s="102">
        <f>E21*12+F21</f>
        <v>30</v>
      </c>
      <c r="H21" s="54">
        <v>11</v>
      </c>
      <c r="I21" s="55">
        <v>1</v>
      </c>
      <c r="J21" s="102">
        <f>H21*12+I21</f>
        <v>133</v>
      </c>
      <c r="K21" s="54">
        <v>8</v>
      </c>
      <c r="L21" s="55"/>
      <c r="M21" s="102">
        <f>K21*12+L21</f>
        <v>96</v>
      </c>
      <c r="N21" s="54"/>
      <c r="O21" s="55"/>
      <c r="P21" s="102">
        <f>N21*12+O21</f>
        <v>0</v>
      </c>
      <c r="Q21" s="54">
        <f>1</f>
        <v>1</v>
      </c>
      <c r="R21" s="55">
        <f>1+1+4+3</f>
        <v>9</v>
      </c>
      <c r="S21" s="102">
        <f>Q21*12+R21</f>
        <v>21</v>
      </c>
      <c r="T21" s="101">
        <v>10</v>
      </c>
      <c r="U21" s="101"/>
      <c r="V21" s="102">
        <f>T21*12+U21</f>
        <v>120</v>
      </c>
      <c r="W21" s="103">
        <f t="shared" si="7"/>
        <v>3220</v>
      </c>
      <c r="X21" s="100"/>
      <c r="Y21" s="100">
        <f t="shared" si="8"/>
        <v>0</v>
      </c>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row>
    <row r="22" spans="1:85" s="47" customFormat="1" ht="17.100000000000001" customHeight="1">
      <c r="A22" s="53" t="s">
        <v>111</v>
      </c>
      <c r="B22" s="101">
        <f>15+44+50</f>
        <v>109</v>
      </c>
      <c r="C22" s="101"/>
      <c r="D22" s="102">
        <f t="shared" ref="D22:D28" si="16">B22*12+C22</f>
        <v>1308</v>
      </c>
      <c r="E22" s="54">
        <v>2</v>
      </c>
      <c r="F22" s="55">
        <v>6</v>
      </c>
      <c r="G22" s="102">
        <f t="shared" ref="G22:G28" si="17">E22*12+F22</f>
        <v>30</v>
      </c>
      <c r="H22" s="54"/>
      <c r="I22" s="55"/>
      <c r="J22" s="102">
        <f t="shared" ref="J22:J28" si="18">H22*12+I22</f>
        <v>0</v>
      </c>
      <c r="K22" s="54"/>
      <c r="L22" s="55"/>
      <c r="M22" s="102">
        <f t="shared" ref="M22:M28" si="19">K22*12+L22</f>
        <v>0</v>
      </c>
      <c r="N22" s="54"/>
      <c r="O22" s="55"/>
      <c r="P22" s="102">
        <f t="shared" ref="P22:P28" si="20">N22*12+O22</f>
        <v>0</v>
      </c>
      <c r="Q22" s="54">
        <f>2+15</f>
        <v>17</v>
      </c>
      <c r="R22" s="55">
        <f>11+4</f>
        <v>15</v>
      </c>
      <c r="S22" s="102">
        <f t="shared" ref="S22:S28" si="21">Q22*12+R22</f>
        <v>219</v>
      </c>
      <c r="T22" s="101">
        <v>2</v>
      </c>
      <c r="U22" s="101"/>
      <c r="V22" s="102">
        <f t="shared" ref="V22:V28" si="22">T22*12+U22</f>
        <v>24</v>
      </c>
      <c r="W22" s="103">
        <f t="shared" si="7"/>
        <v>1581</v>
      </c>
      <c r="X22" s="100"/>
      <c r="Y22" s="100">
        <f t="shared" si="8"/>
        <v>0</v>
      </c>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row>
    <row r="23" spans="1:85" s="47" customFormat="1" ht="17.100000000000001" customHeight="1">
      <c r="A23" s="53" t="s">
        <v>112</v>
      </c>
      <c r="B23" s="101">
        <f>17+41</f>
        <v>58</v>
      </c>
      <c r="C23" s="101"/>
      <c r="D23" s="102">
        <f t="shared" si="16"/>
        <v>696</v>
      </c>
      <c r="E23" s="54">
        <v>1</v>
      </c>
      <c r="F23" s="55">
        <v>4</v>
      </c>
      <c r="G23" s="102">
        <f t="shared" si="17"/>
        <v>16</v>
      </c>
      <c r="H23" s="54"/>
      <c r="I23" s="55"/>
      <c r="J23" s="102">
        <f t="shared" si="18"/>
        <v>0</v>
      </c>
      <c r="K23" s="54">
        <v>4</v>
      </c>
      <c r="L23" s="55"/>
      <c r="M23" s="102">
        <f t="shared" si="19"/>
        <v>48</v>
      </c>
      <c r="N23" s="54"/>
      <c r="O23" s="55"/>
      <c r="P23" s="102">
        <f t="shared" si="20"/>
        <v>0</v>
      </c>
      <c r="Q23" s="54"/>
      <c r="R23" s="55">
        <v>11</v>
      </c>
      <c r="S23" s="102">
        <f t="shared" si="21"/>
        <v>11</v>
      </c>
      <c r="T23" s="101">
        <v>4</v>
      </c>
      <c r="U23" s="101"/>
      <c r="V23" s="102">
        <f t="shared" si="22"/>
        <v>48</v>
      </c>
      <c r="W23" s="103">
        <f t="shared" si="7"/>
        <v>819</v>
      </c>
      <c r="X23" s="100"/>
      <c r="Y23" s="100">
        <f t="shared" si="8"/>
        <v>0</v>
      </c>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row>
    <row r="24" spans="1:85" s="47" customFormat="1" ht="17.100000000000001" customHeight="1">
      <c r="A24" s="53" t="s">
        <v>113</v>
      </c>
      <c r="B24" s="101"/>
      <c r="C24" s="101"/>
      <c r="D24" s="102">
        <f t="shared" si="16"/>
        <v>0</v>
      </c>
      <c r="E24" s="54"/>
      <c r="F24" s="55"/>
      <c r="G24" s="102">
        <f t="shared" si="17"/>
        <v>0</v>
      </c>
      <c r="H24" s="54"/>
      <c r="I24" s="55"/>
      <c r="J24" s="102">
        <f t="shared" si="18"/>
        <v>0</v>
      </c>
      <c r="K24" s="54"/>
      <c r="L24" s="55"/>
      <c r="M24" s="102">
        <f t="shared" si="19"/>
        <v>0</v>
      </c>
      <c r="N24" s="54"/>
      <c r="O24" s="55"/>
      <c r="P24" s="102">
        <f t="shared" si="20"/>
        <v>0</v>
      </c>
      <c r="Q24" s="54"/>
      <c r="R24" s="55"/>
      <c r="S24" s="102">
        <f t="shared" si="21"/>
        <v>0</v>
      </c>
      <c r="T24" s="101"/>
      <c r="U24" s="101"/>
      <c r="V24" s="102">
        <f t="shared" si="22"/>
        <v>0</v>
      </c>
      <c r="W24" s="103">
        <f t="shared" si="7"/>
        <v>0</v>
      </c>
      <c r="X24" s="100"/>
      <c r="Y24" s="100">
        <f t="shared" si="8"/>
        <v>0</v>
      </c>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row>
    <row r="25" spans="1:85" ht="17.100000000000001" customHeight="1">
      <c r="A25" s="53" t="s">
        <v>149</v>
      </c>
      <c r="B25" s="101"/>
      <c r="C25" s="101"/>
      <c r="D25" s="102">
        <f t="shared" si="16"/>
        <v>0</v>
      </c>
      <c r="E25" s="54"/>
      <c r="F25" s="55"/>
      <c r="G25" s="102">
        <f t="shared" si="17"/>
        <v>0</v>
      </c>
      <c r="H25" s="54"/>
      <c r="I25" s="55"/>
      <c r="J25" s="102">
        <f t="shared" si="18"/>
        <v>0</v>
      </c>
      <c r="K25" s="54"/>
      <c r="L25" s="55"/>
      <c r="M25" s="102">
        <f t="shared" si="19"/>
        <v>0</v>
      </c>
      <c r="N25" s="54"/>
      <c r="O25" s="55"/>
      <c r="P25" s="102">
        <f t="shared" si="20"/>
        <v>0</v>
      </c>
      <c r="Q25" s="54"/>
      <c r="R25" s="55"/>
      <c r="S25" s="102">
        <f t="shared" si="21"/>
        <v>0</v>
      </c>
      <c r="T25" s="101"/>
      <c r="U25" s="101"/>
      <c r="V25" s="102">
        <f t="shared" si="22"/>
        <v>0</v>
      </c>
      <c r="W25" s="103">
        <f t="shared" si="7"/>
        <v>0</v>
      </c>
      <c r="Y25" s="100">
        <f t="shared" si="8"/>
        <v>0</v>
      </c>
    </row>
    <row r="26" spans="1:85" ht="17.100000000000001" customHeight="1">
      <c r="A26" s="53" t="s">
        <v>195</v>
      </c>
      <c r="B26" s="101">
        <f>6+11</f>
        <v>17</v>
      </c>
      <c r="C26" s="101"/>
      <c r="D26" s="102">
        <f t="shared" si="16"/>
        <v>204</v>
      </c>
      <c r="E26" s="54">
        <v>4</v>
      </c>
      <c r="F26" s="55">
        <v>4</v>
      </c>
      <c r="G26" s="102">
        <f t="shared" si="17"/>
        <v>52</v>
      </c>
      <c r="H26" s="54">
        <v>1</v>
      </c>
      <c r="I26" s="55"/>
      <c r="J26" s="102">
        <f t="shared" si="18"/>
        <v>12</v>
      </c>
      <c r="K26" s="54"/>
      <c r="L26" s="55"/>
      <c r="M26" s="102">
        <f t="shared" si="19"/>
        <v>0</v>
      </c>
      <c r="N26" s="54"/>
      <c r="O26" s="55"/>
      <c r="P26" s="102">
        <f t="shared" si="20"/>
        <v>0</v>
      </c>
      <c r="Q26" s="54"/>
      <c r="R26" s="55"/>
      <c r="S26" s="102">
        <f t="shared" si="21"/>
        <v>0</v>
      </c>
      <c r="T26" s="101"/>
      <c r="U26" s="101"/>
      <c r="V26" s="102">
        <f t="shared" si="22"/>
        <v>0</v>
      </c>
      <c r="W26" s="103">
        <f t="shared" si="7"/>
        <v>268</v>
      </c>
      <c r="Y26" s="100">
        <f t="shared" si="8"/>
        <v>0</v>
      </c>
    </row>
    <row r="27" spans="1:85" ht="17.100000000000001" customHeight="1">
      <c r="A27" s="53" t="s">
        <v>196</v>
      </c>
      <c r="B27" s="101">
        <v>4</v>
      </c>
      <c r="C27" s="101"/>
      <c r="D27" s="102">
        <f t="shared" si="16"/>
        <v>48</v>
      </c>
      <c r="E27" s="54">
        <v>1</v>
      </c>
      <c r="F27" s="55">
        <v>4</v>
      </c>
      <c r="G27" s="102">
        <f t="shared" si="17"/>
        <v>16</v>
      </c>
      <c r="H27" s="54">
        <v>1</v>
      </c>
      <c r="I27" s="55">
        <v>8</v>
      </c>
      <c r="J27" s="102">
        <f t="shared" si="18"/>
        <v>20</v>
      </c>
      <c r="K27" s="54"/>
      <c r="L27" s="55"/>
      <c r="M27" s="102">
        <f t="shared" si="19"/>
        <v>0</v>
      </c>
      <c r="N27" s="54"/>
      <c r="O27" s="55"/>
      <c r="P27" s="102">
        <f t="shared" si="20"/>
        <v>0</v>
      </c>
      <c r="Q27" s="54"/>
      <c r="R27" s="55"/>
      <c r="S27" s="102">
        <f t="shared" si="21"/>
        <v>0</v>
      </c>
      <c r="T27" s="101"/>
      <c r="U27" s="101"/>
      <c r="V27" s="102">
        <f t="shared" si="22"/>
        <v>0</v>
      </c>
      <c r="W27" s="103">
        <f t="shared" si="7"/>
        <v>84</v>
      </c>
      <c r="Y27" s="100">
        <f t="shared" si="8"/>
        <v>0</v>
      </c>
    </row>
    <row r="28" spans="1:85" ht="17.100000000000001" customHeight="1">
      <c r="A28" s="53" t="s">
        <v>197</v>
      </c>
      <c r="B28" s="101">
        <f>11+4</f>
        <v>15</v>
      </c>
      <c r="C28" s="101"/>
      <c r="D28" s="102">
        <f t="shared" si="16"/>
        <v>180</v>
      </c>
      <c r="E28" s="54"/>
      <c r="F28" s="55">
        <v>3</v>
      </c>
      <c r="G28" s="102">
        <f t="shared" si="17"/>
        <v>3</v>
      </c>
      <c r="H28" s="54">
        <v>1</v>
      </c>
      <c r="I28" s="55">
        <v>4</v>
      </c>
      <c r="J28" s="102">
        <f t="shared" si="18"/>
        <v>16</v>
      </c>
      <c r="K28" s="54"/>
      <c r="L28" s="55"/>
      <c r="M28" s="102">
        <f t="shared" si="19"/>
        <v>0</v>
      </c>
      <c r="N28" s="54"/>
      <c r="O28" s="55"/>
      <c r="P28" s="102">
        <f t="shared" si="20"/>
        <v>0</v>
      </c>
      <c r="Q28" s="54"/>
      <c r="R28" s="55"/>
      <c r="S28" s="102">
        <f t="shared" si="21"/>
        <v>0</v>
      </c>
      <c r="T28" s="101"/>
      <c r="U28" s="101"/>
      <c r="V28" s="102">
        <f t="shared" si="22"/>
        <v>0</v>
      </c>
      <c r="W28" s="103">
        <f t="shared" si="7"/>
        <v>199</v>
      </c>
      <c r="Y28" s="100">
        <f t="shared" si="8"/>
        <v>0</v>
      </c>
    </row>
    <row r="29" spans="1:85" ht="17.100000000000001" customHeight="1">
      <c r="A29" s="53" t="s">
        <v>114</v>
      </c>
      <c r="B29" s="101">
        <v>30</v>
      </c>
      <c r="C29" s="101"/>
      <c r="D29" s="102">
        <f>B29*10+C29</f>
        <v>300</v>
      </c>
      <c r="E29" s="54">
        <v>1</v>
      </c>
      <c r="F29" s="55"/>
      <c r="G29" s="102">
        <f>E29*10+F29</f>
        <v>10</v>
      </c>
      <c r="H29" s="54">
        <v>3</v>
      </c>
      <c r="I29" s="55"/>
      <c r="J29" s="102">
        <f>H29*10+I29</f>
        <v>30</v>
      </c>
      <c r="K29" s="54"/>
      <c r="L29" s="55"/>
      <c r="M29" s="102">
        <f>K29*10+L29</f>
        <v>0</v>
      </c>
      <c r="N29" s="54"/>
      <c r="O29" s="55"/>
      <c r="P29" s="102">
        <f>N29*10+O29</f>
        <v>0</v>
      </c>
      <c r="Q29" s="54"/>
      <c r="R29" s="55"/>
      <c r="S29" s="102">
        <f>Q29*10+R29</f>
        <v>0</v>
      </c>
      <c r="T29" s="101">
        <v>5</v>
      </c>
      <c r="U29" s="101"/>
      <c r="V29" s="102">
        <f>T29*10+U29</f>
        <v>50</v>
      </c>
      <c r="W29" s="103">
        <f t="shared" si="7"/>
        <v>390</v>
      </c>
      <c r="Y29" s="100">
        <f t="shared" si="8"/>
        <v>0</v>
      </c>
    </row>
    <row r="30" spans="1:85" ht="17.100000000000001" customHeight="1">
      <c r="A30" s="53" t="s">
        <v>115</v>
      </c>
      <c r="B30" s="101">
        <v>30</v>
      </c>
      <c r="C30" s="101"/>
      <c r="D30" s="102">
        <f t="shared" ref="D30:D32" si="23">B30*10+C30</f>
        <v>300</v>
      </c>
      <c r="E30" s="54">
        <v>3</v>
      </c>
      <c r="F30" s="55"/>
      <c r="G30" s="102">
        <f t="shared" ref="G30:G32" si="24">E30*10+F30</f>
        <v>30</v>
      </c>
      <c r="H30" s="54">
        <v>2</v>
      </c>
      <c r="I30" s="55"/>
      <c r="J30" s="102">
        <f t="shared" ref="J30:J32" si="25">H30*10+I30</f>
        <v>20</v>
      </c>
      <c r="K30" s="54"/>
      <c r="L30" s="55"/>
      <c r="M30" s="102">
        <f t="shared" ref="M30:M32" si="26">K30*10+L30</f>
        <v>0</v>
      </c>
      <c r="N30" s="54"/>
      <c r="O30" s="55"/>
      <c r="P30" s="102">
        <f t="shared" ref="P30:P32" si="27">N30*10+O30</f>
        <v>0</v>
      </c>
      <c r="Q30" s="54"/>
      <c r="R30" s="55"/>
      <c r="S30" s="102">
        <f t="shared" ref="S30:S32" si="28">Q30*10+R30</f>
        <v>0</v>
      </c>
      <c r="T30" s="101">
        <v>2</v>
      </c>
      <c r="U30" s="101"/>
      <c r="V30" s="102">
        <f t="shared" ref="V30:V32" si="29">T30*10+U30</f>
        <v>20</v>
      </c>
      <c r="W30" s="103">
        <f t="shared" si="7"/>
        <v>370</v>
      </c>
      <c r="Y30" s="100">
        <f t="shared" si="8"/>
        <v>0</v>
      </c>
    </row>
    <row r="31" spans="1:85" ht="17.100000000000001" customHeight="1">
      <c r="A31" s="53" t="s">
        <v>136</v>
      </c>
      <c r="B31" s="101"/>
      <c r="C31" s="101"/>
      <c r="D31" s="102">
        <f t="shared" si="23"/>
        <v>0</v>
      </c>
      <c r="E31" s="54"/>
      <c r="F31" s="55"/>
      <c r="G31" s="102">
        <f t="shared" si="24"/>
        <v>0</v>
      </c>
      <c r="H31" s="54"/>
      <c r="I31" s="55"/>
      <c r="J31" s="102">
        <f t="shared" si="25"/>
        <v>0</v>
      </c>
      <c r="K31" s="54"/>
      <c r="L31" s="55"/>
      <c r="M31" s="102">
        <f t="shared" si="26"/>
        <v>0</v>
      </c>
      <c r="N31" s="54"/>
      <c r="O31" s="55"/>
      <c r="P31" s="102">
        <f t="shared" si="27"/>
        <v>0</v>
      </c>
      <c r="Q31" s="54"/>
      <c r="R31" s="55"/>
      <c r="S31" s="102">
        <f t="shared" si="28"/>
        <v>0</v>
      </c>
      <c r="T31" s="101"/>
      <c r="U31" s="101"/>
      <c r="V31" s="102">
        <f t="shared" si="29"/>
        <v>0</v>
      </c>
      <c r="W31" s="103">
        <f t="shared" si="7"/>
        <v>0</v>
      </c>
      <c r="Y31" s="100">
        <f t="shared" si="8"/>
        <v>0</v>
      </c>
    </row>
    <row r="32" spans="1:85" ht="17.100000000000001" customHeight="1">
      <c r="A32" s="53" t="s">
        <v>139</v>
      </c>
      <c r="B32" s="101"/>
      <c r="C32" s="101"/>
      <c r="D32" s="102">
        <f t="shared" si="23"/>
        <v>0</v>
      </c>
      <c r="E32" s="54"/>
      <c r="F32" s="55"/>
      <c r="G32" s="102">
        <f t="shared" si="24"/>
        <v>0</v>
      </c>
      <c r="H32" s="54"/>
      <c r="I32" s="55"/>
      <c r="J32" s="102">
        <f t="shared" si="25"/>
        <v>0</v>
      </c>
      <c r="K32" s="54"/>
      <c r="L32" s="55"/>
      <c r="M32" s="102">
        <f t="shared" si="26"/>
        <v>0</v>
      </c>
      <c r="N32" s="54"/>
      <c r="O32" s="55"/>
      <c r="P32" s="102">
        <f t="shared" si="27"/>
        <v>0</v>
      </c>
      <c r="Q32" s="54"/>
      <c r="R32" s="55"/>
      <c r="S32" s="102">
        <f t="shared" si="28"/>
        <v>0</v>
      </c>
      <c r="T32" s="101"/>
      <c r="U32" s="101"/>
      <c r="V32" s="102">
        <f t="shared" si="29"/>
        <v>0</v>
      </c>
      <c r="W32" s="103">
        <f t="shared" si="7"/>
        <v>0</v>
      </c>
      <c r="Y32" s="100">
        <f>W32*X32</f>
        <v>0</v>
      </c>
    </row>
    <row r="33" spans="1:85" ht="17.100000000000001" customHeight="1">
      <c r="A33" s="53" t="s">
        <v>150</v>
      </c>
      <c r="B33" s="101"/>
      <c r="C33" s="101"/>
      <c r="D33" s="102">
        <f>B33*12+C33</f>
        <v>0</v>
      </c>
      <c r="E33" s="54"/>
      <c r="F33" s="55"/>
      <c r="G33" s="102">
        <f>E33*12+F33</f>
        <v>0</v>
      </c>
      <c r="H33" s="54"/>
      <c r="I33" s="55"/>
      <c r="J33" s="102">
        <f>H33*12+I33</f>
        <v>0</v>
      </c>
      <c r="K33" s="54"/>
      <c r="L33" s="55"/>
      <c r="M33" s="102">
        <f>K33*12+L33</f>
        <v>0</v>
      </c>
      <c r="N33" s="54"/>
      <c r="O33" s="55"/>
      <c r="P33" s="102">
        <f>N33*12+O33</f>
        <v>0</v>
      </c>
      <c r="Q33" s="54"/>
      <c r="R33" s="55"/>
      <c r="S33" s="102">
        <f>Q33*12+R33</f>
        <v>0</v>
      </c>
      <c r="T33" s="101"/>
      <c r="U33" s="101"/>
      <c r="V33" s="102">
        <f>T33*12+U33</f>
        <v>0</v>
      </c>
      <c r="W33" s="103">
        <f t="shared" si="7"/>
        <v>0</v>
      </c>
      <c r="Y33" s="100">
        <f t="shared" si="8"/>
        <v>0</v>
      </c>
    </row>
    <row r="34" spans="1:85" s="47" customFormat="1" ht="17.100000000000001" customHeight="1">
      <c r="A34" s="53" t="s">
        <v>116</v>
      </c>
      <c r="B34" s="101"/>
      <c r="C34" s="101"/>
      <c r="D34" s="102">
        <f>B34*12+C34</f>
        <v>0</v>
      </c>
      <c r="E34" s="54"/>
      <c r="F34" s="55"/>
      <c r="G34" s="102">
        <f>E34*12+F34</f>
        <v>0</v>
      </c>
      <c r="H34" s="54"/>
      <c r="I34" s="55"/>
      <c r="J34" s="102">
        <f>H34*12+I34</f>
        <v>0</v>
      </c>
      <c r="K34" s="54">
        <v>5</v>
      </c>
      <c r="L34" s="55"/>
      <c r="M34" s="102">
        <f>K34*12+L34</f>
        <v>60</v>
      </c>
      <c r="N34" s="54"/>
      <c r="O34" s="55"/>
      <c r="P34" s="102">
        <f>N34*12+O34</f>
        <v>0</v>
      </c>
      <c r="Q34" s="54">
        <f>25+35</f>
        <v>60</v>
      </c>
      <c r="R34" s="55"/>
      <c r="S34" s="102">
        <f>Q34*12+R34</f>
        <v>720</v>
      </c>
      <c r="T34" s="101">
        <v>20</v>
      </c>
      <c r="U34" s="101"/>
      <c r="V34" s="102">
        <f>T34*12+U34</f>
        <v>240</v>
      </c>
      <c r="W34" s="103">
        <f t="shared" si="7"/>
        <v>1020</v>
      </c>
      <c r="X34" s="100"/>
      <c r="Y34" s="100">
        <f t="shared" si="8"/>
        <v>0</v>
      </c>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s="47" customFormat="1" ht="17.100000000000001" customHeight="1">
      <c r="A35" s="53" t="s">
        <v>137</v>
      </c>
      <c r="B35" s="101">
        <v>208</v>
      </c>
      <c r="C35" s="101"/>
      <c r="D35" s="102">
        <f>B35*12+C35</f>
        <v>2496</v>
      </c>
      <c r="E35" s="54"/>
      <c r="F35" s="55"/>
      <c r="G35" s="102">
        <f>E35*12+F35</f>
        <v>0</v>
      </c>
      <c r="H35" s="54"/>
      <c r="I35" s="55"/>
      <c r="J35" s="102">
        <f>H35*12+I35</f>
        <v>0</v>
      </c>
      <c r="K35" s="54"/>
      <c r="L35" s="55"/>
      <c r="M35" s="102">
        <f>K35*12+L35</f>
        <v>0</v>
      </c>
      <c r="N35" s="54"/>
      <c r="O35" s="55"/>
      <c r="P35" s="102">
        <f>N35*12+O35</f>
        <v>0</v>
      </c>
      <c r="Q35" s="54">
        <v>31</v>
      </c>
      <c r="R35" s="55"/>
      <c r="S35" s="102">
        <f>Q35*12+R35</f>
        <v>372</v>
      </c>
      <c r="T35" s="101"/>
      <c r="U35" s="101"/>
      <c r="V35" s="102">
        <f>T35*12+U35</f>
        <v>0</v>
      </c>
      <c r="W35" s="103">
        <f t="shared" si="7"/>
        <v>2868</v>
      </c>
      <c r="X35" s="100"/>
      <c r="Y35" s="100">
        <f t="shared" si="8"/>
        <v>0</v>
      </c>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7.100000000000001" customHeight="1">
      <c r="A36" s="53" t="s">
        <v>117</v>
      </c>
      <c r="B36" s="101">
        <f>263+1</f>
        <v>264</v>
      </c>
      <c r="C36" s="101"/>
      <c r="D36" s="102">
        <f>B36*30+C36</f>
        <v>7920</v>
      </c>
      <c r="E36" s="54">
        <v>2</v>
      </c>
      <c r="F36" s="55"/>
      <c r="G36" s="102">
        <f>E36*30+F36</f>
        <v>60</v>
      </c>
      <c r="H36" s="54">
        <v>2</v>
      </c>
      <c r="I36" s="55"/>
      <c r="J36" s="102">
        <f>H36*30+I36</f>
        <v>60</v>
      </c>
      <c r="K36" s="54"/>
      <c r="L36" s="55"/>
      <c r="M36" s="102">
        <f>K36*30+L36</f>
        <v>0</v>
      </c>
      <c r="N36" s="54"/>
      <c r="O36" s="55"/>
      <c r="P36" s="102">
        <f>N36*30+O36</f>
        <v>0</v>
      </c>
      <c r="Q36" s="54">
        <v>84</v>
      </c>
      <c r="R36" s="55"/>
      <c r="S36" s="102">
        <f>Q36*30+R36</f>
        <v>2520</v>
      </c>
      <c r="T36" s="101"/>
      <c r="U36" s="101"/>
      <c r="V36" s="102">
        <f>T36*30+U36</f>
        <v>0</v>
      </c>
      <c r="W36" s="103">
        <f t="shared" si="7"/>
        <v>10560</v>
      </c>
      <c r="Y36" s="100">
        <f t="shared" si="8"/>
        <v>0</v>
      </c>
    </row>
    <row r="37" spans="1:85" s="47" customFormat="1" ht="17.100000000000001" customHeight="1">
      <c r="A37" s="53" t="s">
        <v>118</v>
      </c>
      <c r="B37" s="101">
        <v>509</v>
      </c>
      <c r="C37" s="101"/>
      <c r="D37" s="102">
        <f>B37*24+C37</f>
        <v>12216</v>
      </c>
      <c r="E37" s="54">
        <v>5</v>
      </c>
      <c r="F37" s="55"/>
      <c r="G37" s="102">
        <f>E37*24+F37</f>
        <v>120</v>
      </c>
      <c r="H37" s="54">
        <v>1</v>
      </c>
      <c r="I37" s="55"/>
      <c r="J37" s="102">
        <f>H37*24+I37</f>
        <v>24</v>
      </c>
      <c r="K37" s="54"/>
      <c r="L37" s="55"/>
      <c r="M37" s="102">
        <f>K37*24+L37</f>
        <v>0</v>
      </c>
      <c r="N37" s="54"/>
      <c r="O37" s="55"/>
      <c r="P37" s="102">
        <f>N37*24+O37</f>
        <v>0</v>
      </c>
      <c r="Q37" s="54">
        <v>78</v>
      </c>
      <c r="R37" s="55">
        <v>3</v>
      </c>
      <c r="S37" s="102">
        <f>Q37*24+R37</f>
        <v>1875</v>
      </c>
      <c r="T37" s="101"/>
      <c r="U37" s="101"/>
      <c r="V37" s="102">
        <f>T37*24+U37</f>
        <v>0</v>
      </c>
      <c r="W37" s="103">
        <f>D37+G37+J37+M37+P37+S37+V37</f>
        <v>14235</v>
      </c>
      <c r="X37" s="100"/>
      <c r="Y37" s="100">
        <f t="shared" si="8"/>
        <v>0</v>
      </c>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s="47" customFormat="1" ht="17.100000000000001" customHeight="1">
      <c r="A38" s="53" t="s">
        <v>77</v>
      </c>
      <c r="B38" s="101">
        <f>75+50</f>
        <v>125</v>
      </c>
      <c r="C38" s="101"/>
      <c r="D38" s="102">
        <f>B38*12+C38</f>
        <v>1500</v>
      </c>
      <c r="E38" s="54"/>
      <c r="F38" s="55"/>
      <c r="G38" s="102">
        <f>E38*12+F38</f>
        <v>0</v>
      </c>
      <c r="H38" s="54">
        <v>2</v>
      </c>
      <c r="I38" s="55"/>
      <c r="J38" s="102">
        <f>H38*12+I38</f>
        <v>24</v>
      </c>
      <c r="K38" s="54"/>
      <c r="L38" s="55"/>
      <c r="M38" s="102">
        <f>K38*12+L38</f>
        <v>0</v>
      </c>
      <c r="N38" s="54"/>
      <c r="O38" s="55"/>
      <c r="P38" s="102">
        <f>N38*12+O38</f>
        <v>0</v>
      </c>
      <c r="Q38" s="54">
        <v>2</v>
      </c>
      <c r="R38" s="55">
        <v>1</v>
      </c>
      <c r="S38" s="102">
        <f>Q38*12+R38</f>
        <v>25</v>
      </c>
      <c r="T38" s="101"/>
      <c r="U38" s="101"/>
      <c r="V38" s="102">
        <f>T38*12+U38</f>
        <v>0</v>
      </c>
      <c r="W38" s="103">
        <f t="shared" si="7"/>
        <v>1549</v>
      </c>
      <c r="X38" s="100"/>
      <c r="Y38" s="100">
        <f t="shared" si="8"/>
        <v>0</v>
      </c>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s="47" customFormat="1" ht="17.100000000000001" customHeight="1">
      <c r="A39" s="53" t="s">
        <v>151</v>
      </c>
      <c r="B39" s="101"/>
      <c r="C39" s="101"/>
      <c r="D39" s="102">
        <f>B39*12+C39</f>
        <v>0</v>
      </c>
      <c r="E39" s="54"/>
      <c r="F39" s="55"/>
      <c r="G39" s="102">
        <f>E39*12+F39</f>
        <v>0</v>
      </c>
      <c r="H39" s="54"/>
      <c r="I39" s="55"/>
      <c r="J39" s="102">
        <f>H39*12+I39</f>
        <v>0</v>
      </c>
      <c r="K39" s="54"/>
      <c r="L39" s="55"/>
      <c r="M39" s="102">
        <f>K39*12+L39</f>
        <v>0</v>
      </c>
      <c r="N39" s="54"/>
      <c r="O39" s="55"/>
      <c r="P39" s="102">
        <f>N39*12+O39</f>
        <v>0</v>
      </c>
      <c r="Q39" s="54"/>
      <c r="R39" s="55"/>
      <c r="S39" s="102">
        <f>Q39*12+R39</f>
        <v>0</v>
      </c>
      <c r="T39" s="101"/>
      <c r="U39" s="101"/>
      <c r="V39" s="102">
        <f>T39*12+U39</f>
        <v>0</v>
      </c>
      <c r="W39" s="103">
        <f t="shared" si="7"/>
        <v>0</v>
      </c>
      <c r="X39" s="100"/>
      <c r="Y39" s="100">
        <f t="shared" si="8"/>
        <v>0</v>
      </c>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s="47" customFormat="1" ht="17.100000000000001" customHeight="1">
      <c r="A40" s="53" t="s">
        <v>82</v>
      </c>
      <c r="B40" s="101"/>
      <c r="C40" s="101"/>
      <c r="D40" s="102">
        <f>B40*4+C40</f>
        <v>0</v>
      </c>
      <c r="E40" s="54"/>
      <c r="F40" s="55"/>
      <c r="G40" s="102">
        <f>E40*4+F40</f>
        <v>0</v>
      </c>
      <c r="H40" s="54"/>
      <c r="I40" s="55"/>
      <c r="J40" s="102">
        <f>H40*4+I40</f>
        <v>0</v>
      </c>
      <c r="K40" s="54"/>
      <c r="L40" s="55"/>
      <c r="M40" s="102">
        <f>K40*4+L40</f>
        <v>0</v>
      </c>
      <c r="N40" s="54"/>
      <c r="O40" s="55"/>
      <c r="P40" s="102">
        <f>N40*4+O40</f>
        <v>0</v>
      </c>
      <c r="Q40" s="54"/>
      <c r="R40" s="55"/>
      <c r="S40" s="102">
        <f>Q40*4+R40</f>
        <v>0</v>
      </c>
      <c r="T40" s="101"/>
      <c r="U40" s="101"/>
      <c r="V40" s="102">
        <f>T40*4+U40</f>
        <v>0</v>
      </c>
      <c r="W40" s="103">
        <f t="shared" si="7"/>
        <v>0</v>
      </c>
      <c r="X40" s="100"/>
      <c r="Y40" s="100">
        <f t="shared" si="8"/>
        <v>0</v>
      </c>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s="47" customFormat="1" ht="17.100000000000001" customHeight="1">
      <c r="A41" s="53" t="s">
        <v>84</v>
      </c>
      <c r="B41" s="101"/>
      <c r="C41" s="101"/>
      <c r="D41" s="102">
        <f>B41*3+C41</f>
        <v>0</v>
      </c>
      <c r="E41" s="54"/>
      <c r="F41" s="55"/>
      <c r="G41" s="102">
        <f>E41*3+F41</f>
        <v>0</v>
      </c>
      <c r="H41" s="54"/>
      <c r="I41" s="55"/>
      <c r="J41" s="102">
        <f>H41*3+I41</f>
        <v>0</v>
      </c>
      <c r="K41" s="54"/>
      <c r="L41" s="55"/>
      <c r="M41" s="102">
        <f>K41*3+L41</f>
        <v>0</v>
      </c>
      <c r="N41" s="54"/>
      <c r="O41" s="55"/>
      <c r="P41" s="102">
        <f>N41*3+O41</f>
        <v>0</v>
      </c>
      <c r="Q41" s="54">
        <v>4</v>
      </c>
      <c r="R41" s="55">
        <v>1</v>
      </c>
      <c r="S41" s="102">
        <f>Q41*3+R41</f>
        <v>13</v>
      </c>
      <c r="T41" s="101"/>
      <c r="U41" s="101"/>
      <c r="V41" s="102">
        <f>T41*3+U41</f>
        <v>0</v>
      </c>
      <c r="W41" s="103">
        <f t="shared" si="7"/>
        <v>13</v>
      </c>
      <c r="X41" s="100"/>
      <c r="Y41" s="100">
        <f t="shared" si="8"/>
        <v>0</v>
      </c>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s="47" customFormat="1" ht="17.100000000000001" customHeight="1">
      <c r="A42" s="53" t="s">
        <v>119</v>
      </c>
      <c r="B42" s="101">
        <f>3+1120+37+49+1</f>
        <v>1210</v>
      </c>
      <c r="C42" s="101">
        <v>8</v>
      </c>
      <c r="D42" s="102">
        <f>B42*24+C42</f>
        <v>29048</v>
      </c>
      <c r="E42" s="54"/>
      <c r="F42" s="55"/>
      <c r="G42" s="102">
        <f>E42*24+F42</f>
        <v>0</v>
      </c>
      <c r="H42" s="54">
        <f>19+2</f>
        <v>21</v>
      </c>
      <c r="I42" s="55">
        <v>12</v>
      </c>
      <c r="J42" s="102">
        <f>H42*24+I42</f>
        <v>516</v>
      </c>
      <c r="K42" s="54"/>
      <c r="L42" s="55"/>
      <c r="M42" s="102">
        <f>K42*24+L42</f>
        <v>0</v>
      </c>
      <c r="N42" s="54"/>
      <c r="O42" s="55"/>
      <c r="P42" s="102">
        <f>N42*24+O42</f>
        <v>0</v>
      </c>
      <c r="Q42" s="54">
        <f>1</f>
        <v>1</v>
      </c>
      <c r="R42" s="55">
        <f>4+2+21</f>
        <v>27</v>
      </c>
      <c r="S42" s="102">
        <f>Q42*24+R42</f>
        <v>51</v>
      </c>
      <c r="T42" s="101"/>
      <c r="U42" s="101"/>
      <c r="V42" s="102">
        <f>T42*24+U42</f>
        <v>0</v>
      </c>
      <c r="W42" s="103">
        <f t="shared" si="7"/>
        <v>29615</v>
      </c>
      <c r="X42" s="100"/>
      <c r="Y42" s="100">
        <f t="shared" si="8"/>
        <v>0</v>
      </c>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7.100000000000001" customHeight="1">
      <c r="A43" s="53" t="s">
        <v>120</v>
      </c>
      <c r="B43" s="101">
        <v>398</v>
      </c>
      <c r="C43" s="101">
        <f>12+7+12</f>
        <v>31</v>
      </c>
      <c r="D43" s="102">
        <f t="shared" ref="D43:D45" si="30">B43*24+C43</f>
        <v>9583</v>
      </c>
      <c r="E43" s="54">
        <v>14</v>
      </c>
      <c r="F43" s="55">
        <v>12</v>
      </c>
      <c r="G43" s="102">
        <f t="shared" ref="G43:G45" si="31">E43*24+F43</f>
        <v>348</v>
      </c>
      <c r="H43" s="54"/>
      <c r="I43" s="55"/>
      <c r="J43" s="102">
        <f t="shared" ref="J43:J45" si="32">H43*24+I43</f>
        <v>0</v>
      </c>
      <c r="K43" s="54"/>
      <c r="L43" s="55"/>
      <c r="M43" s="102">
        <f t="shared" ref="M43:M45" si="33">K43*24+L43</f>
        <v>0</v>
      </c>
      <c r="N43" s="54"/>
      <c r="O43" s="55"/>
      <c r="P43" s="102">
        <f t="shared" ref="P43:P45" si="34">N43*24+O43</f>
        <v>0</v>
      </c>
      <c r="Q43" s="54">
        <f>1</f>
        <v>1</v>
      </c>
      <c r="R43" s="55">
        <f>1+10+8</f>
        <v>19</v>
      </c>
      <c r="S43" s="102">
        <f t="shared" ref="S43:S45" si="35">Q43*24+R43</f>
        <v>43</v>
      </c>
      <c r="T43" s="101"/>
      <c r="U43" s="101"/>
      <c r="V43" s="102">
        <f t="shared" ref="V43:V45" si="36">T43*24+U43</f>
        <v>0</v>
      </c>
      <c r="W43" s="103">
        <f t="shared" si="7"/>
        <v>9974</v>
      </c>
      <c r="Y43" s="100">
        <f t="shared" si="8"/>
        <v>0</v>
      </c>
    </row>
    <row r="44" spans="1:85" ht="17.100000000000001" customHeight="1">
      <c r="A44" s="53" t="s">
        <v>121</v>
      </c>
      <c r="B44" s="101">
        <v>553</v>
      </c>
      <c r="C44" s="101">
        <f>12+12</f>
        <v>24</v>
      </c>
      <c r="D44" s="102">
        <f t="shared" si="30"/>
        <v>13296</v>
      </c>
      <c r="E44" s="54">
        <v>18</v>
      </c>
      <c r="F44" s="55"/>
      <c r="G44" s="102">
        <f t="shared" si="31"/>
        <v>432</v>
      </c>
      <c r="H44" s="54">
        <v>1</v>
      </c>
      <c r="I44" s="55">
        <v>12</v>
      </c>
      <c r="J44" s="102">
        <f t="shared" si="32"/>
        <v>36</v>
      </c>
      <c r="K44" s="54"/>
      <c r="L44" s="55"/>
      <c r="M44" s="102">
        <f t="shared" si="33"/>
        <v>0</v>
      </c>
      <c r="N44" s="54"/>
      <c r="O44" s="55"/>
      <c r="P44" s="102">
        <f t="shared" si="34"/>
        <v>0</v>
      </c>
      <c r="Q44" s="54"/>
      <c r="R44" s="55">
        <f>9+12</f>
        <v>21</v>
      </c>
      <c r="S44" s="102">
        <f t="shared" si="35"/>
        <v>21</v>
      </c>
      <c r="T44" s="101"/>
      <c r="U44" s="101"/>
      <c r="V44" s="102">
        <f t="shared" si="36"/>
        <v>0</v>
      </c>
      <c r="W44" s="103">
        <f t="shared" si="7"/>
        <v>13785</v>
      </c>
      <c r="Y44" s="100">
        <f t="shared" si="8"/>
        <v>0</v>
      </c>
    </row>
    <row r="45" spans="1:85" ht="17.100000000000001" customHeight="1">
      <c r="A45" s="53" t="s">
        <v>122</v>
      </c>
      <c r="B45" s="101"/>
      <c r="C45" s="101"/>
      <c r="D45" s="102">
        <f t="shared" si="30"/>
        <v>0</v>
      </c>
      <c r="E45" s="54">
        <v>2</v>
      </c>
      <c r="F45" s="55"/>
      <c r="G45" s="102">
        <f t="shared" si="31"/>
        <v>48</v>
      </c>
      <c r="H45" s="54"/>
      <c r="I45" s="55"/>
      <c r="J45" s="102">
        <f t="shared" si="32"/>
        <v>0</v>
      </c>
      <c r="K45" s="54"/>
      <c r="L45" s="55"/>
      <c r="M45" s="102">
        <f t="shared" si="33"/>
        <v>0</v>
      </c>
      <c r="N45" s="54"/>
      <c r="O45" s="55"/>
      <c r="P45" s="102">
        <f t="shared" si="34"/>
        <v>0</v>
      </c>
      <c r="Q45" s="54">
        <f>56+56+18+11+2</f>
        <v>143</v>
      </c>
      <c r="R45" s="55">
        <v>11</v>
      </c>
      <c r="S45" s="102">
        <f t="shared" si="35"/>
        <v>3443</v>
      </c>
      <c r="T45" s="101"/>
      <c r="U45" s="101"/>
      <c r="V45" s="102">
        <f t="shared" si="36"/>
        <v>0</v>
      </c>
      <c r="W45" s="103">
        <f t="shared" si="7"/>
        <v>3491</v>
      </c>
      <c r="Y45" s="100">
        <f t="shared" si="8"/>
        <v>0</v>
      </c>
    </row>
    <row r="46" spans="1:85" ht="17.100000000000001" customHeight="1">
      <c r="A46" s="53" t="s">
        <v>123</v>
      </c>
      <c r="B46" s="101">
        <v>1056</v>
      </c>
      <c r="C46" s="101"/>
      <c r="D46" s="102">
        <f>B46*12+C46</f>
        <v>12672</v>
      </c>
      <c r="E46" s="55">
        <v>28</v>
      </c>
      <c r="F46" s="55"/>
      <c r="G46" s="102">
        <f>E46*12+F46</f>
        <v>336</v>
      </c>
      <c r="H46" s="54"/>
      <c r="I46" s="55"/>
      <c r="J46" s="102">
        <f>H46*12+I46</f>
        <v>0</v>
      </c>
      <c r="K46" s="55">
        <v>47</v>
      </c>
      <c r="L46" s="55"/>
      <c r="M46" s="102">
        <f>K46*12+L46</f>
        <v>564</v>
      </c>
      <c r="N46" s="55"/>
      <c r="O46" s="55"/>
      <c r="P46" s="102">
        <f>N46*12+O46</f>
        <v>0</v>
      </c>
      <c r="Q46" s="55">
        <v>2</v>
      </c>
      <c r="R46" s="55"/>
      <c r="S46" s="102">
        <f>Q46*12+R46</f>
        <v>24</v>
      </c>
      <c r="T46" s="101">
        <v>74</v>
      </c>
      <c r="U46" s="101"/>
      <c r="V46" s="102">
        <f>T46*12+U46</f>
        <v>888</v>
      </c>
      <c r="W46" s="103">
        <f t="shared" si="7"/>
        <v>14484</v>
      </c>
      <c r="Y46" s="100">
        <f t="shared" si="8"/>
        <v>0</v>
      </c>
    </row>
    <row r="47" spans="1:85" ht="17.100000000000001" customHeight="1">
      <c r="A47" s="53" t="s">
        <v>124</v>
      </c>
      <c r="B47" s="101">
        <v>269</v>
      </c>
      <c r="C47" s="101"/>
      <c r="D47" s="102">
        <f t="shared" ref="D47:D49" si="37">B47*12+C47</f>
        <v>3228</v>
      </c>
      <c r="E47" s="55">
        <v>18</v>
      </c>
      <c r="F47" s="55"/>
      <c r="G47" s="102">
        <f t="shared" ref="G47:G49" si="38">E47*12+F47</f>
        <v>216</v>
      </c>
      <c r="H47" s="54"/>
      <c r="I47" s="55"/>
      <c r="J47" s="102">
        <f t="shared" ref="J47:J49" si="39">H47*12+I47</f>
        <v>0</v>
      </c>
      <c r="K47" s="55">
        <v>19</v>
      </c>
      <c r="L47" s="55"/>
      <c r="M47" s="102">
        <f t="shared" ref="M47:M49" si="40">K47*12+L47</f>
        <v>228</v>
      </c>
      <c r="N47" s="55"/>
      <c r="O47" s="55"/>
      <c r="P47" s="102">
        <f t="shared" ref="P47:P49" si="41">N47*12+O47</f>
        <v>0</v>
      </c>
      <c r="Q47" s="55">
        <f>1+3+41</f>
        <v>45</v>
      </c>
      <c r="R47" s="55"/>
      <c r="S47" s="102">
        <f t="shared" ref="S47:S49" si="42">Q47*12+R47</f>
        <v>540</v>
      </c>
      <c r="T47" s="101"/>
      <c r="U47" s="101"/>
      <c r="V47" s="102">
        <f t="shared" ref="V47:V49" si="43">T47*12+U47</f>
        <v>0</v>
      </c>
      <c r="W47" s="103">
        <f t="shared" si="7"/>
        <v>4212</v>
      </c>
      <c r="Y47" s="100">
        <f t="shared" si="8"/>
        <v>0</v>
      </c>
    </row>
    <row r="48" spans="1:85" ht="17.100000000000001" customHeight="1">
      <c r="A48" s="53" t="s">
        <v>125</v>
      </c>
      <c r="B48" s="104">
        <v>282</v>
      </c>
      <c r="C48" s="104"/>
      <c r="D48" s="102">
        <f t="shared" si="37"/>
        <v>3384</v>
      </c>
      <c r="E48" s="55">
        <v>20</v>
      </c>
      <c r="F48" s="55"/>
      <c r="G48" s="102">
        <f t="shared" si="38"/>
        <v>240</v>
      </c>
      <c r="H48" s="54">
        <v>5</v>
      </c>
      <c r="I48" s="55"/>
      <c r="J48" s="102">
        <f t="shared" si="39"/>
        <v>60</v>
      </c>
      <c r="K48" s="55">
        <v>19</v>
      </c>
      <c r="L48" s="55"/>
      <c r="M48" s="102">
        <f t="shared" si="40"/>
        <v>228</v>
      </c>
      <c r="N48" s="55"/>
      <c r="O48" s="55"/>
      <c r="P48" s="102">
        <f t="shared" si="41"/>
        <v>0</v>
      </c>
      <c r="Q48" s="55">
        <f>2+65</f>
        <v>67</v>
      </c>
      <c r="R48" s="55"/>
      <c r="S48" s="102">
        <f t="shared" si="42"/>
        <v>804</v>
      </c>
      <c r="T48" s="101"/>
      <c r="U48" s="101"/>
      <c r="V48" s="102">
        <f t="shared" si="43"/>
        <v>0</v>
      </c>
      <c r="W48" s="103">
        <f t="shared" si="7"/>
        <v>4716</v>
      </c>
      <c r="Y48" s="100">
        <f t="shared" si="8"/>
        <v>0</v>
      </c>
    </row>
    <row r="49" spans="1:27" ht="17.100000000000001" customHeight="1">
      <c r="A49" s="53" t="s">
        <v>126</v>
      </c>
      <c r="B49" s="104"/>
      <c r="C49" s="104"/>
      <c r="D49" s="102">
        <f t="shared" si="37"/>
        <v>0</v>
      </c>
      <c r="E49" s="55"/>
      <c r="F49" s="55"/>
      <c r="G49" s="102">
        <f t="shared" si="38"/>
        <v>0</v>
      </c>
      <c r="H49" s="54"/>
      <c r="I49" s="55"/>
      <c r="J49" s="102">
        <f t="shared" si="39"/>
        <v>0</v>
      </c>
      <c r="K49" s="55"/>
      <c r="L49" s="55"/>
      <c r="M49" s="102">
        <f t="shared" si="40"/>
        <v>0</v>
      </c>
      <c r="N49" s="55"/>
      <c r="O49" s="55"/>
      <c r="P49" s="102">
        <f t="shared" si="41"/>
        <v>0</v>
      </c>
      <c r="Q49" s="55">
        <f>23+14</f>
        <v>37</v>
      </c>
      <c r="R49" s="55"/>
      <c r="S49" s="102">
        <f t="shared" si="42"/>
        <v>444</v>
      </c>
      <c r="T49" s="101"/>
      <c r="U49" s="101"/>
      <c r="V49" s="102">
        <f t="shared" si="43"/>
        <v>0</v>
      </c>
      <c r="W49" s="103">
        <f t="shared" si="7"/>
        <v>444</v>
      </c>
      <c r="Y49" s="100">
        <f t="shared" si="8"/>
        <v>0</v>
      </c>
    </row>
    <row r="50" spans="1:27" ht="17.100000000000001" customHeight="1">
      <c r="A50" s="53" t="s">
        <v>127</v>
      </c>
      <c r="B50" s="104">
        <v>2</v>
      </c>
      <c r="C50" s="104">
        <v>12</v>
      </c>
      <c r="D50" s="105">
        <f>B50*24+C50</f>
        <v>60</v>
      </c>
      <c r="E50" s="55"/>
      <c r="F50" s="55"/>
      <c r="G50" s="105">
        <f>E50*24+F50</f>
        <v>0</v>
      </c>
      <c r="H50" s="54"/>
      <c r="I50" s="55"/>
      <c r="J50" s="105">
        <f>H50*24+I50</f>
        <v>0</v>
      </c>
      <c r="K50" s="55"/>
      <c r="L50" s="55"/>
      <c r="M50" s="105">
        <f>K50*24+L50</f>
        <v>0</v>
      </c>
      <c r="N50" s="55"/>
      <c r="O50" s="55"/>
      <c r="P50" s="105">
        <f>N50*24+O50</f>
        <v>0</v>
      </c>
      <c r="Q50" s="55"/>
      <c r="R50" s="55">
        <v>18</v>
      </c>
      <c r="S50" s="105">
        <f>Q50*24+R50</f>
        <v>18</v>
      </c>
      <c r="T50" s="101">
        <f>20+20+15</f>
        <v>55</v>
      </c>
      <c r="U50" s="101"/>
      <c r="V50" s="105">
        <f>T50*24+U50</f>
        <v>1320</v>
      </c>
      <c r="W50" s="103">
        <f t="shared" si="7"/>
        <v>1398</v>
      </c>
      <c r="Y50" s="100">
        <f t="shared" si="8"/>
        <v>0</v>
      </c>
    </row>
    <row r="51" spans="1:27" ht="17.100000000000001" customHeight="1">
      <c r="A51" s="53" t="s">
        <v>128</v>
      </c>
      <c r="B51" s="104">
        <v>54</v>
      </c>
      <c r="C51" s="104">
        <v>18</v>
      </c>
      <c r="D51" s="102">
        <f>B51*24+C51</f>
        <v>1314</v>
      </c>
      <c r="E51" s="55">
        <v>1</v>
      </c>
      <c r="F51" s="55"/>
      <c r="G51" s="102">
        <f>E51*24+F51</f>
        <v>24</v>
      </c>
      <c r="H51" s="54"/>
      <c r="I51" s="55">
        <v>12</v>
      </c>
      <c r="J51" s="102">
        <f>H51*24+I51</f>
        <v>12</v>
      </c>
      <c r="K51" s="55"/>
      <c r="L51" s="55"/>
      <c r="M51" s="102">
        <f>K51*24+L51</f>
        <v>0</v>
      </c>
      <c r="N51" s="55"/>
      <c r="O51" s="55"/>
      <c r="P51" s="102">
        <f>N51*24+O51</f>
        <v>0</v>
      </c>
      <c r="Q51" s="55">
        <v>1</v>
      </c>
      <c r="R51" s="55">
        <v>6</v>
      </c>
      <c r="S51" s="102">
        <f>Q51*24+R51</f>
        <v>30</v>
      </c>
      <c r="T51" s="101">
        <f>1+5</f>
        <v>6</v>
      </c>
      <c r="U51" s="101"/>
      <c r="V51" s="102">
        <f>T51*24+U51</f>
        <v>144</v>
      </c>
      <c r="W51" s="103">
        <f t="shared" si="7"/>
        <v>1524</v>
      </c>
      <c r="Y51" s="100">
        <f t="shared" si="8"/>
        <v>0</v>
      </c>
    </row>
    <row r="52" spans="1:27" ht="17.100000000000001" customHeight="1">
      <c r="A52" s="53" t="s">
        <v>129</v>
      </c>
      <c r="B52" s="104"/>
      <c r="C52" s="104"/>
      <c r="D52" s="102">
        <f>B52*12+C52</f>
        <v>0</v>
      </c>
      <c r="E52" s="55"/>
      <c r="F52" s="55"/>
      <c r="G52" s="102">
        <f>E52*12+F52</f>
        <v>0</v>
      </c>
      <c r="H52" s="54"/>
      <c r="I52" s="55"/>
      <c r="J52" s="102">
        <f>H52*12+I52</f>
        <v>0</v>
      </c>
      <c r="K52" s="55"/>
      <c r="L52" s="55"/>
      <c r="M52" s="102">
        <f>K52*12+L52</f>
        <v>0</v>
      </c>
      <c r="N52" s="55"/>
      <c r="O52" s="55"/>
      <c r="P52" s="102">
        <f>N52*12+O52</f>
        <v>0</v>
      </c>
      <c r="Q52" s="55"/>
      <c r="R52" s="55"/>
      <c r="S52" s="102">
        <f>Q52*12+R52</f>
        <v>0</v>
      </c>
      <c r="T52" s="101"/>
      <c r="U52" s="101"/>
      <c r="V52" s="102">
        <f>T52*12+U52</f>
        <v>0</v>
      </c>
      <c r="W52" s="103">
        <f t="shared" si="7"/>
        <v>0</v>
      </c>
      <c r="Y52" s="100">
        <f t="shared" si="8"/>
        <v>0</v>
      </c>
    </row>
    <row r="53" spans="1:27" ht="17.100000000000001" customHeight="1">
      <c r="A53" s="53" t="s">
        <v>130</v>
      </c>
      <c r="B53" s="104"/>
      <c r="C53" s="104"/>
      <c r="D53" s="102">
        <f>B53*12+C53</f>
        <v>0</v>
      </c>
      <c r="E53" s="55"/>
      <c r="F53" s="55"/>
      <c r="G53" s="102">
        <f>E53*12+F53</f>
        <v>0</v>
      </c>
      <c r="H53" s="54"/>
      <c r="I53" s="55"/>
      <c r="J53" s="102">
        <f>H53*12+I53</f>
        <v>0</v>
      </c>
      <c r="K53" s="55"/>
      <c r="L53" s="55"/>
      <c r="M53" s="102">
        <f>K53*12+L53</f>
        <v>0</v>
      </c>
      <c r="N53" s="55"/>
      <c r="O53" s="55"/>
      <c r="P53" s="102">
        <f>N53*12+O53</f>
        <v>0</v>
      </c>
      <c r="Q53" s="55"/>
      <c r="R53" s="55"/>
      <c r="S53" s="102">
        <f>Q53*12+R53</f>
        <v>0</v>
      </c>
      <c r="T53" s="101">
        <v>20</v>
      </c>
      <c r="U53" s="101"/>
      <c r="V53" s="102">
        <f>T53*12+U53</f>
        <v>240</v>
      </c>
      <c r="W53" s="103">
        <f t="shared" si="7"/>
        <v>240</v>
      </c>
      <c r="Y53" s="100">
        <f t="shared" si="8"/>
        <v>0</v>
      </c>
      <c r="AA53" t="s">
        <v>85</v>
      </c>
    </row>
    <row r="54" spans="1:27">
      <c r="B54" s="106"/>
      <c r="C54" s="106"/>
      <c r="D54" s="106"/>
      <c r="E54" s="107"/>
      <c r="F54" s="107"/>
      <c r="G54" s="107"/>
      <c r="H54" s="107"/>
      <c r="I54" s="107"/>
      <c r="J54" s="107"/>
      <c r="K54" s="107"/>
      <c r="L54" s="107"/>
      <c r="M54" s="107"/>
      <c r="N54" s="107"/>
      <c r="O54" s="107"/>
      <c r="P54" s="107"/>
      <c r="Q54" s="107"/>
      <c r="R54" s="107"/>
      <c r="S54" s="107"/>
      <c r="T54" s="107"/>
      <c r="U54" s="108"/>
      <c r="V54" s="108"/>
      <c r="W54" s="109">
        <f>SUM(W7:W53)</f>
        <v>154162</v>
      </c>
      <c r="X54" s="110"/>
      <c r="Y54" s="109">
        <f>SUM(Y7:Y53)</f>
        <v>0</v>
      </c>
    </row>
    <row r="55" spans="1:27" ht="15" customHeight="1">
      <c r="A55" s="57"/>
      <c r="B55" s="57"/>
      <c r="C55" s="57"/>
      <c r="D55" s="106"/>
      <c r="E55" s="57"/>
      <c r="F55" s="57"/>
      <c r="G55" s="57"/>
      <c r="H55" s="57"/>
      <c r="I55" s="57"/>
      <c r="J55" s="57"/>
      <c r="K55" s="57"/>
      <c r="L55" s="57"/>
      <c r="M55" s="57"/>
      <c r="N55" s="57"/>
      <c r="O55" s="57"/>
      <c r="P55" s="57"/>
      <c r="Q55" s="58"/>
      <c r="R55" s="58"/>
      <c r="S55" s="58"/>
      <c r="T55" s="58"/>
      <c r="U55" s="58"/>
      <c r="V55" s="58"/>
      <c r="W55" s="110"/>
    </row>
    <row r="56" spans="1:27">
      <c r="A56" s="57"/>
      <c r="B56" s="57"/>
      <c r="C56" s="57"/>
      <c r="D56" s="106"/>
      <c r="E56" s="57"/>
      <c r="F56" s="57"/>
      <c r="G56" s="57"/>
      <c r="H56" s="57"/>
      <c r="I56" s="57"/>
      <c r="J56" s="57"/>
      <c r="K56" s="57"/>
      <c r="L56" s="57"/>
      <c r="M56" s="57"/>
      <c r="N56" s="57"/>
      <c r="O56" s="57"/>
      <c r="P56" s="57"/>
      <c r="Q56" s="58"/>
      <c r="R56" s="58"/>
      <c r="S56" s="58"/>
      <c r="T56" s="58"/>
      <c r="U56" s="58"/>
      <c r="V56" s="58"/>
      <c r="W56" s="110"/>
    </row>
    <row r="57" spans="1:27">
      <c r="A57" s="58"/>
      <c r="B57" s="58"/>
      <c r="C57" s="58"/>
      <c r="D57" s="106"/>
      <c r="E57" s="58"/>
      <c r="F57" s="58"/>
      <c r="G57" s="58"/>
      <c r="H57" s="58"/>
      <c r="I57" s="58"/>
      <c r="J57" s="58"/>
      <c r="K57" s="58"/>
      <c r="L57" s="58"/>
      <c r="M57" s="58"/>
      <c r="N57" s="58"/>
      <c r="O57" s="58"/>
      <c r="P57" s="58"/>
      <c r="Q57" s="58"/>
      <c r="R57" s="58"/>
      <c r="S57" s="58"/>
      <c r="T57" s="58"/>
      <c r="U57" s="58"/>
      <c r="V57" s="58"/>
      <c r="W57" s="110"/>
    </row>
    <row r="58" spans="1:27">
      <c r="B58" s="10"/>
      <c r="C58" s="10"/>
      <c r="D58" s="10"/>
      <c r="E58" s="10"/>
      <c r="F58" s="10"/>
      <c r="G58" s="10"/>
      <c r="H58" s="10"/>
      <c r="I58" s="10"/>
      <c r="J58" s="10"/>
      <c r="K58" s="10"/>
      <c r="L58" s="10"/>
      <c r="M58" s="10"/>
      <c r="N58" s="10"/>
      <c r="O58" s="10"/>
      <c r="P58" s="10"/>
      <c r="Q58" s="10"/>
      <c r="R58" s="10"/>
      <c r="S58" s="10"/>
      <c r="T58" s="10"/>
      <c r="U58" s="10"/>
      <c r="V58" s="10"/>
      <c r="W58" s="10"/>
    </row>
    <row r="59" spans="1:27">
      <c r="A59" s="59"/>
      <c r="B59" s="150"/>
      <c r="C59" s="150"/>
      <c r="D59" s="7"/>
      <c r="E59" s="7"/>
      <c r="F59" s="7"/>
      <c r="G59" s="150"/>
      <c r="H59" s="150"/>
      <c r="I59" s="150"/>
      <c r="J59" s="7"/>
      <c r="K59" s="7"/>
      <c r="L59" s="7"/>
      <c r="M59" s="7"/>
      <c r="N59" s="7"/>
      <c r="O59" s="7"/>
      <c r="P59" s="7"/>
      <c r="Q59" s="7"/>
      <c r="R59" s="7"/>
      <c r="S59" s="7"/>
      <c r="T59" s="7"/>
      <c r="U59" s="7"/>
      <c r="V59" s="7"/>
    </row>
    <row r="60" spans="1:27">
      <c r="D60" s="7"/>
      <c r="E60" s="7"/>
      <c r="F60" s="7"/>
      <c r="G60" s="7"/>
      <c r="H60" s="7"/>
      <c r="I60" s="7"/>
      <c r="J60" s="7"/>
      <c r="K60" s="7"/>
      <c r="L60" s="7"/>
      <c r="M60" s="7"/>
      <c r="N60" s="7"/>
      <c r="O60" s="7"/>
      <c r="P60" s="7"/>
      <c r="Q60" s="7"/>
      <c r="R60" s="7"/>
      <c r="S60" s="7"/>
      <c r="T60" s="7"/>
      <c r="U60" s="7"/>
      <c r="V60" s="7"/>
    </row>
    <row r="61" spans="1:27">
      <c r="A61" s="59"/>
      <c r="B61" s="150"/>
      <c r="C61" s="150"/>
      <c r="D61" s="150"/>
      <c r="E61" s="7"/>
      <c r="F61" s="7"/>
      <c r="G61" s="150"/>
      <c r="H61" s="150"/>
      <c r="I61" s="150"/>
      <c r="J61" s="150"/>
      <c r="K61" s="59"/>
      <c r="L61" s="59"/>
      <c r="M61" s="59"/>
      <c r="N61" s="7"/>
      <c r="O61" s="7"/>
      <c r="P61" s="7"/>
      <c r="Q61" s="7"/>
      <c r="R61" s="7"/>
      <c r="S61" s="7"/>
      <c r="T61" s="7"/>
      <c r="U61" s="7"/>
      <c r="V61" s="7"/>
    </row>
    <row r="62" spans="1:27">
      <c r="D62" s="7"/>
      <c r="E62" s="7"/>
      <c r="F62" s="7"/>
      <c r="G62" s="150"/>
      <c r="H62" s="150"/>
      <c r="I62" s="150"/>
      <c r="J62" s="7"/>
      <c r="K62" s="7"/>
      <c r="L62" s="7"/>
      <c r="M62" s="7"/>
      <c r="N62" s="7"/>
      <c r="O62" s="7"/>
      <c r="P62" s="7"/>
      <c r="Q62" s="7"/>
      <c r="R62" s="7"/>
      <c r="S62" s="7"/>
      <c r="T62" s="7"/>
      <c r="U62" s="7"/>
      <c r="V62" s="7"/>
    </row>
    <row r="63" spans="1:27">
      <c r="D63" s="7"/>
      <c r="E63" s="7"/>
      <c r="F63" s="7"/>
      <c r="G63" s="7"/>
      <c r="H63" s="7"/>
      <c r="I63" s="7"/>
      <c r="J63" s="7"/>
      <c r="K63" s="7"/>
      <c r="L63" s="7"/>
      <c r="M63" s="7"/>
      <c r="N63" s="7"/>
      <c r="O63" s="7"/>
      <c r="P63" s="7"/>
      <c r="Q63" s="7"/>
      <c r="R63" s="7"/>
      <c r="S63" s="7"/>
      <c r="T63" s="7"/>
      <c r="U63" s="7"/>
      <c r="V63" s="7"/>
    </row>
    <row r="64" spans="1:27">
      <c r="D64" s="7"/>
      <c r="E64" s="7"/>
      <c r="F64" s="7"/>
      <c r="G64" s="7"/>
      <c r="H64" s="7"/>
      <c r="I64" s="7"/>
      <c r="J64" s="7"/>
      <c r="K64" s="7"/>
      <c r="L64" s="7"/>
      <c r="M64" s="7"/>
      <c r="N64" s="7"/>
      <c r="O64" s="7"/>
      <c r="P64" s="7"/>
      <c r="Q64" s="7"/>
      <c r="R64" s="7"/>
      <c r="S64" s="7"/>
      <c r="T64" s="7"/>
      <c r="U64" s="7"/>
      <c r="V64" s="7"/>
    </row>
    <row r="65" spans="1:22">
      <c r="D65" s="7"/>
      <c r="E65" s="7"/>
      <c r="F65" s="7"/>
      <c r="G65" s="7"/>
      <c r="H65" s="7"/>
      <c r="I65" s="7"/>
      <c r="J65" s="7"/>
      <c r="K65" s="7"/>
      <c r="L65" s="7"/>
      <c r="M65" s="7"/>
      <c r="N65" s="7"/>
      <c r="O65" s="7"/>
      <c r="P65" s="7"/>
      <c r="Q65" s="7"/>
      <c r="R65" s="7"/>
      <c r="S65" s="7"/>
      <c r="T65" s="7"/>
      <c r="U65" s="7"/>
      <c r="V65" s="7"/>
    </row>
    <row r="66" spans="1:22">
      <c r="B66" s="106"/>
      <c r="C66" s="106"/>
      <c r="D66" s="106"/>
      <c r="E66" s="7"/>
      <c r="F66" s="7"/>
      <c r="G66" s="7"/>
      <c r="H66" s="7"/>
      <c r="I66" s="7"/>
      <c r="J66" s="7"/>
      <c r="K66" s="7"/>
      <c r="L66" s="7"/>
      <c r="M66" s="7"/>
      <c r="N66" s="7"/>
      <c r="O66" s="7"/>
      <c r="P66" s="7"/>
      <c r="Q66" s="7"/>
      <c r="R66" s="7"/>
      <c r="S66" s="7"/>
      <c r="T66" s="7"/>
      <c r="U66" s="7"/>
      <c r="V66" s="7"/>
    </row>
    <row r="67" spans="1:22">
      <c r="A67" s="57"/>
      <c r="B67" s="57"/>
      <c r="C67" s="57"/>
      <c r="D67" s="106"/>
      <c r="E67" s="7"/>
      <c r="F67" s="7"/>
      <c r="G67" s="7"/>
      <c r="H67" s="7"/>
      <c r="I67" s="7"/>
      <c r="J67" s="7"/>
      <c r="K67" s="7"/>
      <c r="L67" s="7"/>
      <c r="M67" s="7"/>
      <c r="N67" s="7"/>
      <c r="O67" s="7"/>
      <c r="P67" s="7"/>
      <c r="Q67" s="7"/>
      <c r="R67" s="7"/>
      <c r="S67" s="7"/>
      <c r="T67" s="7"/>
      <c r="U67" s="7"/>
      <c r="V67" s="7"/>
    </row>
    <row r="68" spans="1:22">
      <c r="A68" s="57"/>
      <c r="B68" s="57"/>
      <c r="C68" s="57"/>
      <c r="D68" s="106"/>
      <c r="E68" s="7"/>
      <c r="F68" s="7"/>
      <c r="G68" s="7"/>
      <c r="H68" s="7"/>
      <c r="I68" s="7"/>
      <c r="J68" s="7"/>
      <c r="K68" s="7"/>
      <c r="L68" s="7"/>
      <c r="M68" s="7"/>
      <c r="N68" s="7"/>
      <c r="O68" s="7"/>
      <c r="P68" s="7"/>
      <c r="Q68" s="7"/>
      <c r="R68" s="7"/>
      <c r="S68" s="7"/>
      <c r="T68" s="7"/>
      <c r="U68" s="7"/>
      <c r="V68" s="7"/>
    </row>
    <row r="69" spans="1:22">
      <c r="A69" s="58"/>
      <c r="B69" s="58"/>
      <c r="C69" s="58"/>
      <c r="D69" s="106"/>
      <c r="E69" s="7"/>
      <c r="F69" s="7"/>
      <c r="G69" s="7"/>
      <c r="H69" s="7"/>
      <c r="I69" s="7"/>
      <c r="J69" s="7"/>
      <c r="K69" s="7"/>
      <c r="L69" s="7"/>
      <c r="M69" s="7"/>
      <c r="N69" s="7"/>
      <c r="O69" s="7"/>
      <c r="P69" s="7"/>
      <c r="Q69" s="7"/>
      <c r="R69" s="7"/>
      <c r="S69" s="7"/>
      <c r="T69" s="7"/>
      <c r="U69" s="7"/>
      <c r="V69" s="7"/>
    </row>
    <row r="70" spans="1:22">
      <c r="D70" s="7"/>
      <c r="E70" s="7"/>
      <c r="F70" s="7"/>
      <c r="G70" s="7"/>
      <c r="H70" s="7"/>
      <c r="I70" s="7"/>
      <c r="J70" s="7"/>
      <c r="K70" s="7"/>
      <c r="L70" s="7"/>
      <c r="M70" s="7"/>
      <c r="N70" s="7"/>
      <c r="O70" s="7"/>
      <c r="P70" s="7"/>
      <c r="Q70" s="7"/>
      <c r="R70" s="7"/>
      <c r="S70" s="7"/>
      <c r="T70" s="7"/>
      <c r="U70" s="7"/>
      <c r="V70" s="7"/>
    </row>
    <row r="71" spans="1:22">
      <c r="D71" s="7"/>
      <c r="E71" s="7"/>
      <c r="F71" s="7"/>
      <c r="G71" s="7"/>
      <c r="H71" s="7"/>
      <c r="I71" s="7"/>
      <c r="J71" s="7"/>
      <c r="K71" s="7"/>
      <c r="L71" s="7"/>
      <c r="M71" s="7"/>
      <c r="N71" s="7"/>
      <c r="O71" s="7"/>
      <c r="P71" s="7"/>
      <c r="Q71" s="7"/>
      <c r="R71" s="7"/>
      <c r="S71" s="7"/>
      <c r="T71" s="7"/>
      <c r="U71" s="7"/>
      <c r="V71" s="7"/>
    </row>
    <row r="72" spans="1:22">
      <c r="D72" s="7"/>
      <c r="E72" s="7"/>
      <c r="F72" s="7"/>
      <c r="G72" s="7"/>
      <c r="H72" s="7"/>
      <c r="I72" s="7"/>
      <c r="J72" s="7"/>
      <c r="K72" s="7"/>
      <c r="L72" s="7"/>
      <c r="M72" s="7"/>
      <c r="N72" s="7"/>
      <c r="O72" s="7"/>
      <c r="P72" s="7"/>
      <c r="Q72" s="7"/>
      <c r="R72" s="7"/>
      <c r="S72" s="7"/>
      <c r="T72" s="7"/>
      <c r="U72" s="7"/>
      <c r="V72" s="7"/>
    </row>
    <row r="73" spans="1:22">
      <c r="D73" s="7"/>
      <c r="E73" s="7"/>
      <c r="F73" s="7"/>
      <c r="G73" s="7"/>
      <c r="H73" s="7"/>
      <c r="I73" s="7"/>
      <c r="J73" s="7"/>
      <c r="K73" s="7"/>
      <c r="L73" s="7"/>
      <c r="M73" s="7"/>
      <c r="N73" s="7"/>
      <c r="O73" s="7"/>
      <c r="P73" s="7"/>
      <c r="Q73" s="7"/>
      <c r="R73" s="7"/>
      <c r="S73" s="7"/>
      <c r="T73" s="7"/>
      <c r="U73" s="7"/>
      <c r="V73" s="7"/>
    </row>
    <row r="74" spans="1:22">
      <c r="D74" s="7"/>
      <c r="E74" s="7"/>
      <c r="F74" s="7"/>
      <c r="G74" s="7"/>
      <c r="H74" s="7"/>
      <c r="I74" s="7"/>
      <c r="J74" s="7"/>
      <c r="K74" s="7"/>
      <c r="L74" s="7"/>
      <c r="M74" s="7"/>
      <c r="N74" s="7"/>
      <c r="O74" s="7"/>
      <c r="P74" s="7"/>
      <c r="Q74" s="7"/>
      <c r="R74" s="7"/>
      <c r="S74" s="7"/>
      <c r="T74" s="7"/>
      <c r="U74" s="7"/>
      <c r="V74" s="7"/>
    </row>
    <row r="75" spans="1:22">
      <c r="D75" s="7"/>
      <c r="E75" s="7"/>
      <c r="F75" s="7"/>
      <c r="G75" s="7"/>
      <c r="H75" s="7"/>
      <c r="I75" s="7"/>
      <c r="J75" s="7"/>
      <c r="K75" s="7"/>
      <c r="L75" s="7"/>
      <c r="M75" s="7"/>
      <c r="N75" s="7"/>
      <c r="O75" s="7"/>
      <c r="P75" s="7"/>
      <c r="Q75" s="7"/>
      <c r="R75" s="7"/>
      <c r="S75" s="7"/>
      <c r="T75" s="7"/>
      <c r="U75" s="7"/>
      <c r="V75" s="7"/>
    </row>
    <row r="76" spans="1:22">
      <c r="D76" s="7"/>
      <c r="E76" s="7"/>
      <c r="F76" s="7"/>
      <c r="G76" s="7"/>
      <c r="H76" s="7"/>
      <c r="I76" s="7"/>
      <c r="J76" s="7"/>
      <c r="K76" s="7"/>
      <c r="L76" s="7"/>
      <c r="M76" s="7"/>
      <c r="N76" s="7"/>
      <c r="O76" s="7"/>
      <c r="P76" s="7"/>
      <c r="Q76" s="7"/>
      <c r="R76" s="7"/>
      <c r="S76" s="7"/>
      <c r="T76" s="7"/>
      <c r="U76" s="7"/>
      <c r="V76" s="7"/>
    </row>
    <row r="77" spans="1:22">
      <c r="D77" s="7"/>
      <c r="E77" s="7"/>
      <c r="F77" s="7"/>
      <c r="G77" s="7"/>
      <c r="H77" s="7"/>
      <c r="I77" s="7"/>
      <c r="J77" s="7"/>
      <c r="K77" s="7"/>
      <c r="L77" s="7"/>
      <c r="M77" s="7"/>
      <c r="N77" s="7"/>
      <c r="O77" s="7"/>
      <c r="P77" s="7"/>
      <c r="Q77" s="7"/>
      <c r="R77" s="7"/>
      <c r="S77" s="7"/>
      <c r="T77" s="7"/>
      <c r="U77" s="7"/>
      <c r="V77" s="7"/>
    </row>
    <row r="78" spans="1:22">
      <c r="D78" s="7"/>
      <c r="E78" s="7"/>
      <c r="F78" s="7"/>
      <c r="G78" s="7"/>
      <c r="H78" s="7"/>
      <c r="I78" s="7"/>
      <c r="J78" s="7"/>
      <c r="K78" s="7"/>
      <c r="L78" s="7"/>
      <c r="M78" s="7"/>
      <c r="N78" s="7"/>
      <c r="O78" s="7"/>
      <c r="P78" s="7"/>
      <c r="Q78" s="7"/>
      <c r="R78" s="7"/>
      <c r="S78" s="7"/>
      <c r="T78" s="7"/>
      <c r="U78" s="7"/>
      <c r="V78" s="7"/>
    </row>
    <row r="79" spans="1:22">
      <c r="D79" s="7"/>
      <c r="E79" s="7"/>
      <c r="F79" s="7"/>
      <c r="G79" s="7"/>
      <c r="H79" s="7"/>
      <c r="I79" s="7"/>
      <c r="J79" s="7"/>
      <c r="K79" s="7"/>
      <c r="L79" s="7"/>
      <c r="M79" s="7"/>
      <c r="N79" s="7"/>
      <c r="O79" s="7"/>
      <c r="P79" s="7"/>
      <c r="Q79" s="7"/>
      <c r="R79" s="7"/>
      <c r="S79" s="7"/>
      <c r="T79" s="7"/>
      <c r="U79" s="7"/>
      <c r="V79" s="7"/>
    </row>
    <row r="80" spans="1:22">
      <c r="D80" s="7"/>
      <c r="E80" s="7"/>
      <c r="F80" s="7"/>
      <c r="G80" s="7"/>
      <c r="H80" s="7"/>
      <c r="I80" s="7"/>
      <c r="J80" s="7"/>
      <c r="K80" s="7"/>
      <c r="L80" s="7"/>
      <c r="M80" s="7"/>
      <c r="N80" s="7"/>
      <c r="O80" s="7"/>
      <c r="P80" s="7"/>
      <c r="Q80" s="7"/>
      <c r="R80" s="7"/>
      <c r="S80" s="7"/>
      <c r="T80" s="7"/>
      <c r="U80" s="7"/>
      <c r="V80" s="7"/>
    </row>
    <row r="81" spans="4:22">
      <c r="D81" s="7"/>
      <c r="E81" s="7"/>
      <c r="F81" s="7"/>
      <c r="G81" s="7"/>
      <c r="H81" s="7"/>
      <c r="I81" s="7"/>
      <c r="J81" s="7"/>
      <c r="K81" s="7"/>
      <c r="L81" s="7"/>
      <c r="M81" s="7"/>
      <c r="N81" s="7"/>
      <c r="O81" s="7"/>
      <c r="P81" s="7"/>
      <c r="Q81" s="7"/>
      <c r="R81" s="7"/>
      <c r="S81" s="7"/>
      <c r="T81" s="7"/>
      <c r="U81" s="7"/>
      <c r="V81" s="7"/>
    </row>
    <row r="82" spans="4:22">
      <c r="D82" s="7"/>
      <c r="E82" s="7"/>
      <c r="F82" s="7"/>
      <c r="G82" s="7"/>
      <c r="H82" s="7"/>
      <c r="I82" s="7"/>
      <c r="J82" s="7"/>
      <c r="K82" s="7"/>
      <c r="L82" s="7"/>
      <c r="M82" s="7"/>
      <c r="N82" s="7"/>
      <c r="O82" s="7"/>
      <c r="P82" s="7"/>
      <c r="Q82" s="7"/>
      <c r="R82" s="7"/>
      <c r="S82" s="7"/>
      <c r="T82" s="7"/>
      <c r="U82" s="7"/>
      <c r="V82" s="7"/>
    </row>
    <row r="83" spans="4:22">
      <c r="D83" s="7"/>
      <c r="E83" s="7"/>
      <c r="F83" s="7"/>
      <c r="G83" s="7"/>
      <c r="H83" s="7"/>
      <c r="I83" s="7"/>
      <c r="J83" s="7"/>
      <c r="K83" s="7"/>
      <c r="L83" s="7"/>
      <c r="M83" s="7"/>
      <c r="N83" s="7"/>
      <c r="O83" s="7"/>
      <c r="P83" s="7"/>
      <c r="Q83" s="7"/>
      <c r="R83" s="7"/>
      <c r="S83" s="7"/>
      <c r="T83" s="7"/>
      <c r="U83" s="7"/>
      <c r="V83" s="7"/>
    </row>
    <row r="84" spans="4:22">
      <c r="D84" s="7"/>
      <c r="E84" s="7"/>
      <c r="F84" s="7"/>
      <c r="G84" s="7"/>
      <c r="H84" s="7"/>
      <c r="I84" s="7"/>
      <c r="J84" s="7"/>
      <c r="K84" s="7"/>
      <c r="L84" s="7"/>
      <c r="M84" s="7"/>
      <c r="N84" s="7"/>
      <c r="O84" s="7"/>
      <c r="P84" s="7"/>
      <c r="Q84" s="7"/>
      <c r="R84" s="7"/>
      <c r="S84" s="7"/>
      <c r="T84" s="7"/>
      <c r="U84" s="7"/>
      <c r="V84" s="7"/>
    </row>
    <row r="85" spans="4:22">
      <c r="D85" s="7"/>
      <c r="E85" s="7"/>
      <c r="F85" s="7"/>
      <c r="G85" s="7"/>
      <c r="H85" s="7"/>
      <c r="I85" s="7"/>
      <c r="J85" s="7"/>
      <c r="K85" s="7"/>
      <c r="L85" s="7"/>
      <c r="M85" s="7"/>
      <c r="N85" s="7"/>
      <c r="O85" s="7"/>
      <c r="P85" s="7"/>
      <c r="Q85" s="7"/>
      <c r="R85" s="7"/>
      <c r="S85" s="7"/>
      <c r="T85" s="7"/>
      <c r="U85" s="7"/>
      <c r="V85" s="7"/>
    </row>
    <row r="86" spans="4:22">
      <c r="D86" s="7"/>
      <c r="E86" s="7"/>
      <c r="F86" s="7"/>
      <c r="G86" s="7"/>
      <c r="H86" s="7"/>
      <c r="I86" s="7"/>
      <c r="J86" s="7"/>
      <c r="K86" s="7"/>
      <c r="L86" s="7"/>
      <c r="M86" s="7"/>
      <c r="N86" s="7"/>
      <c r="O86" s="7"/>
      <c r="P86" s="7"/>
      <c r="Q86" s="7"/>
      <c r="R86" s="7"/>
      <c r="S86" s="7"/>
      <c r="T86" s="7"/>
      <c r="U86" s="7"/>
      <c r="V86" s="7"/>
    </row>
  </sheetData>
  <mergeCells count="18">
    <mergeCell ref="B59:C59"/>
    <mergeCell ref="G59:I59"/>
    <mergeCell ref="B61:D61"/>
    <mergeCell ref="G61:J61"/>
    <mergeCell ref="G62:I62"/>
    <mergeCell ref="X4:X6"/>
    <mergeCell ref="Y4:Y6"/>
    <mergeCell ref="B5:D5"/>
    <mergeCell ref="E5:G5"/>
    <mergeCell ref="H5:J5"/>
    <mergeCell ref="K5:M5"/>
    <mergeCell ref="N5:P5"/>
    <mergeCell ref="W4:W6"/>
    <mergeCell ref="A4:A6"/>
    <mergeCell ref="B4:D4"/>
    <mergeCell ref="E4:P4"/>
    <mergeCell ref="Q4:S5"/>
    <mergeCell ref="T4:V5"/>
  </mergeCells>
  <pageMargins left="0.25" right="0.25" top="0.37" bottom="0.28999999999999998" header="0.3" footer="0.3"/>
  <pageSetup scale="66" fitToHeight="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3169-DC9D-4A56-B9BF-645FB15A85FC}">
  <sheetPr>
    <tabColor theme="5" tint="-0.249977111117893"/>
    <pageSetUpPr fitToPage="1"/>
  </sheetPr>
  <dimension ref="A1:CA86"/>
  <sheetViews>
    <sheetView workbookViewId="0">
      <pane xSplit="1" ySplit="6" topLeftCell="B30" activePane="bottomRight" state="frozen"/>
      <selection pane="topRight" activeCell="B1" sqref="B1"/>
      <selection pane="bottomLeft" activeCell="A7" sqref="A7"/>
      <selection pane="bottomRight" sqref="A1:Q54"/>
    </sheetView>
  </sheetViews>
  <sheetFormatPr defaultColWidth="9" defaultRowHeight="15"/>
  <cols>
    <col min="1" max="1" width="23.85546875" customWidth="1"/>
    <col min="2" max="3" width="6.85546875" style="7" customWidth="1"/>
    <col min="4" max="4" width="9" style="48"/>
    <col min="5" max="6" width="6.85546875" style="49" customWidth="1"/>
    <col min="7" max="7" width="7.28515625" style="49" bestFit="1" customWidth="1"/>
    <col min="8" max="9" width="6.85546875" style="49" customWidth="1"/>
    <col min="10" max="10" width="7.28515625" style="49" bestFit="1" customWidth="1"/>
    <col min="11" max="12" width="6.85546875" style="49" customWidth="1"/>
    <col min="13" max="13" width="7" style="49" bestFit="1" customWidth="1"/>
    <col min="14" max="15" width="6.85546875" style="49" customWidth="1"/>
    <col min="16" max="16" width="7.28515625" style="49" bestFit="1" customWidth="1"/>
    <col min="17" max="17" width="9.28515625" style="7" bestFit="1" customWidth="1"/>
    <col min="18" max="18" width="9" style="111"/>
    <col min="19" max="19" width="13.42578125" style="111" customWidth="1"/>
  </cols>
  <sheetData>
    <row r="1" spans="1:79" ht="15" customHeight="1">
      <c r="A1" s="65" t="s">
        <v>138</v>
      </c>
      <c r="B1" s="50"/>
      <c r="C1" s="50"/>
      <c r="D1" s="51"/>
    </row>
    <row r="2" spans="1:79" ht="13.5" customHeight="1">
      <c r="A2" s="78" t="s">
        <v>142</v>
      </c>
      <c r="B2" s="50"/>
      <c r="C2" s="50"/>
      <c r="D2" s="51"/>
    </row>
    <row r="3" spans="1:79" ht="12" customHeight="1">
      <c r="A3" s="84" t="s">
        <v>198</v>
      </c>
      <c r="D3" s="49"/>
    </row>
    <row r="4" spans="1:79" ht="23.25" customHeight="1">
      <c r="A4" s="141" t="s">
        <v>89</v>
      </c>
      <c r="B4" s="142" t="s">
        <v>131</v>
      </c>
      <c r="C4" s="142"/>
      <c r="D4" s="142"/>
      <c r="E4" s="143" t="s">
        <v>90</v>
      </c>
      <c r="F4" s="144"/>
      <c r="G4" s="144"/>
      <c r="H4" s="144"/>
      <c r="I4" s="144"/>
      <c r="J4" s="144"/>
      <c r="K4" s="145" t="s">
        <v>132</v>
      </c>
      <c r="L4" s="145"/>
      <c r="M4" s="145"/>
      <c r="N4" s="145" t="s">
        <v>33</v>
      </c>
      <c r="O4" s="145"/>
      <c r="P4" s="145"/>
      <c r="Q4" s="145" t="s">
        <v>10</v>
      </c>
      <c r="R4" s="151" t="s">
        <v>91</v>
      </c>
      <c r="S4" s="152" t="s">
        <v>12</v>
      </c>
    </row>
    <row r="5" spans="1:79">
      <c r="A5" s="141"/>
      <c r="B5" s="148" t="s">
        <v>92</v>
      </c>
      <c r="C5" s="148"/>
      <c r="D5" s="148"/>
      <c r="E5" s="149" t="s">
        <v>93</v>
      </c>
      <c r="F5" s="149"/>
      <c r="G5" s="149"/>
      <c r="H5" s="149" t="s">
        <v>237</v>
      </c>
      <c r="I5" s="149"/>
      <c r="J5" s="149"/>
      <c r="K5" s="145"/>
      <c r="L5" s="145"/>
      <c r="M5" s="145"/>
      <c r="N5" s="145"/>
      <c r="O5" s="145"/>
      <c r="P5" s="145"/>
      <c r="Q5" s="145"/>
      <c r="R5" s="151"/>
      <c r="S5" s="152"/>
    </row>
    <row r="6" spans="1:79">
      <c r="A6" s="141"/>
      <c r="B6" s="52" t="s">
        <v>95</v>
      </c>
      <c r="C6" s="52" t="s">
        <v>96</v>
      </c>
      <c r="D6" s="52" t="s">
        <v>97</v>
      </c>
      <c r="E6" s="52" t="s">
        <v>95</v>
      </c>
      <c r="F6" s="52" t="s">
        <v>96</v>
      </c>
      <c r="G6" s="52" t="s">
        <v>97</v>
      </c>
      <c r="H6" s="52" t="s">
        <v>95</v>
      </c>
      <c r="I6" s="52" t="s">
        <v>96</v>
      </c>
      <c r="J6" s="52" t="s">
        <v>97</v>
      </c>
      <c r="K6" s="52" t="s">
        <v>95</v>
      </c>
      <c r="L6" s="52" t="s">
        <v>96</v>
      </c>
      <c r="M6" s="52" t="s">
        <v>97</v>
      </c>
      <c r="N6" s="52" t="s">
        <v>95</v>
      </c>
      <c r="O6" s="52" t="s">
        <v>96</v>
      </c>
      <c r="P6" s="52" t="s">
        <v>97</v>
      </c>
      <c r="Q6" s="145"/>
      <c r="R6" s="151"/>
      <c r="S6" s="152"/>
    </row>
    <row r="7" spans="1:79" s="47" customFormat="1" ht="17.100000000000001" customHeight="1">
      <c r="A7" s="53" t="s">
        <v>98</v>
      </c>
      <c r="B7" s="112">
        <f>25+1+155+150+120+1170</f>
        <v>1621</v>
      </c>
      <c r="C7" s="112"/>
      <c r="D7" s="113">
        <f>B7*12+C7</f>
        <v>19452</v>
      </c>
      <c r="E7" s="54">
        <f>90+85</f>
        <v>175</v>
      </c>
      <c r="F7" s="55"/>
      <c r="G7" s="113">
        <f>E7*12+F7</f>
        <v>2100</v>
      </c>
      <c r="H7" s="54"/>
      <c r="I7" s="55"/>
      <c r="J7" s="113">
        <f>H7*12+I7</f>
        <v>0</v>
      </c>
      <c r="K7" s="54"/>
      <c r="L7" s="55">
        <v>17</v>
      </c>
      <c r="M7" s="113">
        <f>K7*12+L7</f>
        <v>17</v>
      </c>
      <c r="N7" s="112"/>
      <c r="O7" s="112"/>
      <c r="P7" s="113">
        <f>N7*12+O7</f>
        <v>0</v>
      </c>
      <c r="Q7" s="114">
        <f>D7+G7+J7+M7+P7</f>
        <v>21569</v>
      </c>
      <c r="R7" s="111"/>
      <c r="S7" s="111">
        <f>Q7*R7</f>
        <v>0</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7" customFormat="1" ht="17.100000000000001" customHeight="1">
      <c r="A8" s="53" t="s">
        <v>99</v>
      </c>
      <c r="B8" s="112"/>
      <c r="C8" s="112">
        <v>10</v>
      </c>
      <c r="D8" s="113">
        <f t="shared" ref="D8:D16" si="0">B8*12+C8</f>
        <v>10</v>
      </c>
      <c r="E8" s="54"/>
      <c r="F8" s="55"/>
      <c r="G8" s="113">
        <f t="shared" ref="G8:G16" si="1">E8*12+F8</f>
        <v>0</v>
      </c>
      <c r="H8" s="54"/>
      <c r="I8" s="55"/>
      <c r="J8" s="113">
        <f t="shared" ref="J8:J16" si="2">H8*12+I8</f>
        <v>0</v>
      </c>
      <c r="K8" s="54"/>
      <c r="L8" s="55">
        <v>15</v>
      </c>
      <c r="M8" s="113">
        <f t="shared" ref="M8:M16" si="3">K8*12+L8</f>
        <v>15</v>
      </c>
      <c r="N8" s="112"/>
      <c r="O8" s="112"/>
      <c r="P8" s="113">
        <f t="shared" ref="P8:P16" si="4">N8*12+O8</f>
        <v>0</v>
      </c>
      <c r="Q8" s="114">
        <f t="shared" ref="Q8:Q53" si="5">D8+G8+J8+M8+P8</f>
        <v>25</v>
      </c>
      <c r="R8" s="111"/>
      <c r="S8" s="111">
        <f t="shared" ref="S8:S53" si="6">Q8*R8</f>
        <v>0</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row>
    <row r="9" spans="1:79" s="47" customFormat="1" ht="17.100000000000001" customHeight="1">
      <c r="A9" s="53" t="s">
        <v>100</v>
      </c>
      <c r="B9" s="112">
        <f>145</f>
        <v>145</v>
      </c>
      <c r="C9" s="112">
        <v>10</v>
      </c>
      <c r="D9" s="113">
        <f t="shared" si="0"/>
        <v>1750</v>
      </c>
      <c r="E9" s="54">
        <v>5</v>
      </c>
      <c r="F9" s="55"/>
      <c r="G9" s="113">
        <f t="shared" si="1"/>
        <v>60</v>
      </c>
      <c r="H9" s="54"/>
      <c r="I9" s="55"/>
      <c r="J9" s="113">
        <f t="shared" si="2"/>
        <v>0</v>
      </c>
      <c r="K9" s="54"/>
      <c r="L9" s="55">
        <v>3</v>
      </c>
      <c r="M9" s="113">
        <f t="shared" si="3"/>
        <v>3</v>
      </c>
      <c r="N9" s="112"/>
      <c r="O9" s="112"/>
      <c r="P9" s="113">
        <f t="shared" si="4"/>
        <v>0</v>
      </c>
      <c r="Q9" s="114">
        <f t="shared" si="5"/>
        <v>1813</v>
      </c>
      <c r="R9" s="111"/>
      <c r="S9" s="111">
        <f t="shared" si="6"/>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ht="17.100000000000001" customHeight="1">
      <c r="A10" s="53" t="s">
        <v>101</v>
      </c>
      <c r="B10" s="112">
        <f>1024+535+20</f>
        <v>1579</v>
      </c>
      <c r="C10" s="112"/>
      <c r="D10" s="113">
        <f t="shared" si="0"/>
        <v>18948</v>
      </c>
      <c r="E10" s="54">
        <v>41</v>
      </c>
      <c r="F10" s="55"/>
      <c r="G10" s="113">
        <f t="shared" si="1"/>
        <v>492</v>
      </c>
      <c r="H10" s="54">
        <v>5</v>
      </c>
      <c r="I10" s="55"/>
      <c r="J10" s="113">
        <f t="shared" si="2"/>
        <v>60</v>
      </c>
      <c r="K10" s="54">
        <f>3+10+3+2+8</f>
        <v>26</v>
      </c>
      <c r="L10" s="55"/>
      <c r="M10" s="113">
        <f t="shared" si="3"/>
        <v>312</v>
      </c>
      <c r="N10" s="112">
        <v>50</v>
      </c>
      <c r="O10" s="112"/>
      <c r="P10" s="113">
        <f t="shared" si="4"/>
        <v>600</v>
      </c>
      <c r="Q10" s="114">
        <f t="shared" si="5"/>
        <v>20412</v>
      </c>
      <c r="S10" s="111">
        <f t="shared" si="6"/>
        <v>0</v>
      </c>
    </row>
    <row r="11" spans="1:79" ht="17.100000000000001" customHeight="1">
      <c r="A11" s="53" t="s">
        <v>194</v>
      </c>
      <c r="B11" s="112">
        <v>50</v>
      </c>
      <c r="C11" s="112"/>
      <c r="D11" s="113">
        <f t="shared" si="0"/>
        <v>600</v>
      </c>
      <c r="E11" s="54"/>
      <c r="F11" s="55"/>
      <c r="G11" s="113">
        <f t="shared" si="1"/>
        <v>0</v>
      </c>
      <c r="H11" s="54"/>
      <c r="I11" s="55"/>
      <c r="J11" s="113">
        <f t="shared" si="2"/>
        <v>0</v>
      </c>
      <c r="K11" s="54"/>
      <c r="L11" s="55"/>
      <c r="M11" s="113">
        <f t="shared" si="3"/>
        <v>0</v>
      </c>
      <c r="N11" s="112"/>
      <c r="O11" s="112"/>
      <c r="P11" s="113">
        <f t="shared" si="4"/>
        <v>0</v>
      </c>
      <c r="Q11" s="114">
        <f t="shared" si="5"/>
        <v>600</v>
      </c>
      <c r="S11" s="111">
        <f t="shared" si="6"/>
        <v>0</v>
      </c>
    </row>
    <row r="12" spans="1:79" ht="17.100000000000001" customHeight="1">
      <c r="A12" s="53" t="s">
        <v>102</v>
      </c>
      <c r="B12" s="112">
        <f>225+10</f>
        <v>235</v>
      </c>
      <c r="C12" s="112"/>
      <c r="D12" s="113">
        <f t="shared" si="0"/>
        <v>2820</v>
      </c>
      <c r="E12" s="54">
        <v>28</v>
      </c>
      <c r="F12" s="55"/>
      <c r="G12" s="113">
        <f t="shared" si="1"/>
        <v>336</v>
      </c>
      <c r="H12" s="54"/>
      <c r="I12" s="55"/>
      <c r="J12" s="113">
        <f t="shared" si="2"/>
        <v>0</v>
      </c>
      <c r="K12" s="54">
        <v>9</v>
      </c>
      <c r="L12" s="55"/>
      <c r="M12" s="113">
        <f t="shared" si="3"/>
        <v>108</v>
      </c>
      <c r="N12" s="112">
        <v>10</v>
      </c>
      <c r="O12" s="112"/>
      <c r="P12" s="113">
        <f t="shared" si="4"/>
        <v>120</v>
      </c>
      <c r="Q12" s="114">
        <f t="shared" si="5"/>
        <v>3384</v>
      </c>
      <c r="S12" s="111">
        <f t="shared" si="6"/>
        <v>0</v>
      </c>
    </row>
    <row r="13" spans="1:79" ht="17.100000000000001" customHeight="1">
      <c r="A13" s="53" t="s">
        <v>103</v>
      </c>
      <c r="B13" s="112">
        <f>219+10</f>
        <v>229</v>
      </c>
      <c r="C13" s="112"/>
      <c r="D13" s="113">
        <f t="shared" si="0"/>
        <v>2748</v>
      </c>
      <c r="E13" s="54">
        <v>25</v>
      </c>
      <c r="F13" s="55"/>
      <c r="G13" s="113">
        <f t="shared" si="1"/>
        <v>300</v>
      </c>
      <c r="H13" s="54"/>
      <c r="I13" s="55"/>
      <c r="J13" s="113">
        <f t="shared" si="2"/>
        <v>0</v>
      </c>
      <c r="K13" s="54">
        <v>6</v>
      </c>
      <c r="L13" s="55">
        <v>3</v>
      </c>
      <c r="M13" s="113">
        <f t="shared" si="3"/>
        <v>75</v>
      </c>
      <c r="N13" s="112"/>
      <c r="O13" s="112"/>
      <c r="P13" s="113">
        <f t="shared" si="4"/>
        <v>0</v>
      </c>
      <c r="Q13" s="114">
        <f t="shared" si="5"/>
        <v>3123</v>
      </c>
      <c r="S13" s="111">
        <f t="shared" si="6"/>
        <v>0</v>
      </c>
    </row>
    <row r="14" spans="1:79" ht="17.100000000000001" customHeight="1">
      <c r="A14" s="53" t="s">
        <v>241</v>
      </c>
      <c r="B14" s="112">
        <v>5</v>
      </c>
      <c r="C14" s="112"/>
      <c r="D14" s="113">
        <f t="shared" si="0"/>
        <v>60</v>
      </c>
      <c r="E14" s="54"/>
      <c r="F14" s="55"/>
      <c r="G14" s="113">
        <f t="shared" si="1"/>
        <v>0</v>
      </c>
      <c r="H14" s="54"/>
      <c r="I14" s="55"/>
      <c r="J14" s="113">
        <f t="shared" si="2"/>
        <v>0</v>
      </c>
      <c r="K14" s="54"/>
      <c r="L14" s="55"/>
      <c r="M14" s="113">
        <f t="shared" si="3"/>
        <v>0</v>
      </c>
      <c r="N14" s="112"/>
      <c r="O14" s="112"/>
      <c r="P14" s="113">
        <f t="shared" si="4"/>
        <v>0</v>
      </c>
      <c r="Q14" s="114">
        <f t="shared" si="5"/>
        <v>60</v>
      </c>
      <c r="S14" s="111">
        <f t="shared" si="6"/>
        <v>0</v>
      </c>
    </row>
    <row r="15" spans="1:79" ht="17.100000000000001" customHeight="1">
      <c r="A15" s="53" t="s">
        <v>242</v>
      </c>
      <c r="B15" s="112">
        <v>5</v>
      </c>
      <c r="C15" s="112"/>
      <c r="D15" s="113">
        <f t="shared" si="0"/>
        <v>60</v>
      </c>
      <c r="E15" s="54"/>
      <c r="F15" s="55"/>
      <c r="G15" s="113">
        <f t="shared" si="1"/>
        <v>0</v>
      </c>
      <c r="H15" s="54"/>
      <c r="I15" s="55"/>
      <c r="J15" s="113">
        <f t="shared" si="2"/>
        <v>0</v>
      </c>
      <c r="K15" s="54"/>
      <c r="L15" s="55"/>
      <c r="M15" s="113">
        <f t="shared" si="3"/>
        <v>0</v>
      </c>
      <c r="N15" s="112"/>
      <c r="O15" s="112"/>
      <c r="P15" s="113">
        <f t="shared" si="4"/>
        <v>0</v>
      </c>
      <c r="Q15" s="114">
        <f t="shared" si="5"/>
        <v>60</v>
      </c>
      <c r="S15" s="111">
        <f t="shared" si="6"/>
        <v>0</v>
      </c>
    </row>
    <row r="16" spans="1:79" s="47" customFormat="1" ht="17.100000000000001" customHeight="1">
      <c r="A16" s="53" t="s">
        <v>148</v>
      </c>
      <c r="B16" s="112"/>
      <c r="C16" s="112"/>
      <c r="D16" s="113">
        <f t="shared" si="0"/>
        <v>0</v>
      </c>
      <c r="E16" s="54"/>
      <c r="F16" s="55"/>
      <c r="G16" s="113">
        <f t="shared" si="1"/>
        <v>0</v>
      </c>
      <c r="H16" s="54"/>
      <c r="I16" s="55"/>
      <c r="J16" s="113">
        <f t="shared" si="2"/>
        <v>0</v>
      </c>
      <c r="K16" s="54">
        <v>7</v>
      </c>
      <c r="L16" s="55"/>
      <c r="M16" s="113">
        <f t="shared" si="3"/>
        <v>84</v>
      </c>
      <c r="N16" s="112">
        <v>6</v>
      </c>
      <c r="O16" s="112"/>
      <c r="P16" s="113">
        <f t="shared" si="4"/>
        <v>72</v>
      </c>
      <c r="Q16" s="114">
        <f t="shared" si="5"/>
        <v>156</v>
      </c>
      <c r="R16" s="111"/>
      <c r="S16" s="111">
        <f t="shared" si="6"/>
        <v>0</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ht="17.100000000000001" customHeight="1">
      <c r="A17" s="53" t="s">
        <v>106</v>
      </c>
      <c r="B17" s="112">
        <v>12</v>
      </c>
      <c r="C17" s="112"/>
      <c r="D17" s="113">
        <f t="shared" ref="D17:D20" si="7">B17*24+C17</f>
        <v>288</v>
      </c>
      <c r="E17" s="54"/>
      <c r="F17" s="55"/>
      <c r="G17" s="113">
        <f t="shared" ref="G17:G20" si="8">E17*24+F17</f>
        <v>0</v>
      </c>
      <c r="H17" s="54"/>
      <c r="I17" s="55"/>
      <c r="J17" s="113">
        <f t="shared" ref="J17:J20" si="9">H17*24+I17</f>
        <v>0</v>
      </c>
      <c r="K17" s="54"/>
      <c r="L17" s="55"/>
      <c r="M17" s="113">
        <f t="shared" ref="M17:M20" si="10">K17*24+L17</f>
        <v>0</v>
      </c>
      <c r="N17" s="112"/>
      <c r="O17" s="112"/>
      <c r="P17" s="113">
        <f t="shared" ref="P17:P20" si="11">N17*24+O17</f>
        <v>0</v>
      </c>
      <c r="Q17" s="114">
        <f t="shared" si="5"/>
        <v>288</v>
      </c>
      <c r="S17" s="111">
        <f t="shared" si="6"/>
        <v>0</v>
      </c>
    </row>
    <row r="18" spans="1:79" ht="17.100000000000001" customHeight="1">
      <c r="A18" s="53" t="s">
        <v>107</v>
      </c>
      <c r="B18" s="112">
        <v>4</v>
      </c>
      <c r="C18" s="112"/>
      <c r="D18" s="113">
        <f t="shared" si="7"/>
        <v>96</v>
      </c>
      <c r="E18" s="54"/>
      <c r="F18" s="55"/>
      <c r="G18" s="113">
        <f t="shared" si="8"/>
        <v>0</v>
      </c>
      <c r="H18" s="54"/>
      <c r="I18" s="55"/>
      <c r="J18" s="113">
        <f t="shared" si="9"/>
        <v>0</v>
      </c>
      <c r="K18" s="54"/>
      <c r="L18" s="55"/>
      <c r="M18" s="113">
        <f t="shared" si="10"/>
        <v>0</v>
      </c>
      <c r="N18" s="112"/>
      <c r="O18" s="112"/>
      <c r="P18" s="113">
        <f t="shared" si="11"/>
        <v>0</v>
      </c>
      <c r="Q18" s="114">
        <f t="shared" si="5"/>
        <v>96</v>
      </c>
      <c r="S18" s="111">
        <f t="shared" si="6"/>
        <v>0</v>
      </c>
    </row>
    <row r="19" spans="1:79" s="47" customFormat="1" ht="17.100000000000001" customHeight="1">
      <c r="A19" s="53" t="s">
        <v>108</v>
      </c>
      <c r="B19" s="112">
        <v>5</v>
      </c>
      <c r="C19" s="112"/>
      <c r="D19" s="113">
        <f t="shared" si="7"/>
        <v>120</v>
      </c>
      <c r="E19" s="54"/>
      <c r="F19" s="55"/>
      <c r="G19" s="113">
        <f t="shared" si="8"/>
        <v>0</v>
      </c>
      <c r="H19" s="54"/>
      <c r="I19" s="55"/>
      <c r="J19" s="113">
        <f t="shared" si="9"/>
        <v>0</v>
      </c>
      <c r="K19" s="54"/>
      <c r="L19" s="55"/>
      <c r="M19" s="113">
        <f t="shared" si="10"/>
        <v>0</v>
      </c>
      <c r="N19" s="112"/>
      <c r="O19" s="112"/>
      <c r="P19" s="113">
        <f t="shared" si="11"/>
        <v>0</v>
      </c>
      <c r="Q19" s="114">
        <f t="shared" si="5"/>
        <v>120</v>
      </c>
      <c r="R19" s="111"/>
      <c r="S19" s="111">
        <f t="shared" si="6"/>
        <v>0</v>
      </c>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7" customFormat="1" ht="17.100000000000001" customHeight="1">
      <c r="A20" s="53" t="s">
        <v>109</v>
      </c>
      <c r="B20" s="112">
        <v>16</v>
      </c>
      <c r="C20" s="112"/>
      <c r="D20" s="113">
        <f t="shared" si="7"/>
        <v>384</v>
      </c>
      <c r="E20" s="54"/>
      <c r="F20" s="55"/>
      <c r="G20" s="113">
        <f t="shared" si="8"/>
        <v>0</v>
      </c>
      <c r="H20" s="54">
        <v>1</v>
      </c>
      <c r="I20" s="55"/>
      <c r="J20" s="113">
        <f t="shared" si="9"/>
        <v>24</v>
      </c>
      <c r="K20" s="54"/>
      <c r="L20" s="55"/>
      <c r="M20" s="113">
        <f t="shared" si="10"/>
        <v>0</v>
      </c>
      <c r="N20" s="112"/>
      <c r="O20" s="112"/>
      <c r="P20" s="113">
        <f t="shared" si="11"/>
        <v>0</v>
      </c>
      <c r="Q20" s="114">
        <f t="shared" si="5"/>
        <v>408</v>
      </c>
      <c r="R20" s="111"/>
      <c r="S20" s="111">
        <f t="shared" si="6"/>
        <v>0</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row>
    <row r="21" spans="1:79" s="47" customFormat="1" ht="17.100000000000001" customHeight="1">
      <c r="A21" s="53" t="s">
        <v>110</v>
      </c>
      <c r="B21" s="112">
        <f>29+250+8</f>
        <v>287</v>
      </c>
      <c r="C21" s="112"/>
      <c r="D21" s="113">
        <f>B21*12+C21</f>
        <v>3444</v>
      </c>
      <c r="E21" s="54">
        <v>12</v>
      </c>
      <c r="F21" s="55"/>
      <c r="G21" s="113">
        <f>E21*12+F21</f>
        <v>144</v>
      </c>
      <c r="H21" s="54"/>
      <c r="I21" s="55">
        <f>3+14+6+1</f>
        <v>24</v>
      </c>
      <c r="J21" s="113">
        <f>H21*12+I21</f>
        <v>24</v>
      </c>
      <c r="K21" s="54">
        <f>1+1+1+1</f>
        <v>4</v>
      </c>
      <c r="L21" s="55">
        <f>2+4+2+3</f>
        <v>11</v>
      </c>
      <c r="M21" s="113">
        <f>K21*12+L21</f>
        <v>59</v>
      </c>
      <c r="N21" s="112"/>
      <c r="O21" s="112"/>
      <c r="P21" s="113">
        <f>N21*12+O21</f>
        <v>0</v>
      </c>
      <c r="Q21" s="114">
        <f t="shared" si="5"/>
        <v>3671</v>
      </c>
      <c r="R21" s="111"/>
      <c r="S21" s="111">
        <f t="shared" si="6"/>
        <v>0</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row>
    <row r="22" spans="1:79" s="47" customFormat="1" ht="17.100000000000001" customHeight="1">
      <c r="A22" s="53" t="s">
        <v>111</v>
      </c>
      <c r="B22" s="112">
        <f>50+24+1</f>
        <v>75</v>
      </c>
      <c r="C22" s="112">
        <v>6</v>
      </c>
      <c r="D22" s="113">
        <f t="shared" ref="D22:D28" si="12">B22*12+C22</f>
        <v>906</v>
      </c>
      <c r="E22" s="54">
        <f>3+2</f>
        <v>5</v>
      </c>
      <c r="F22" s="55">
        <v>3</v>
      </c>
      <c r="G22" s="113">
        <f t="shared" ref="G22:G28" si="13">E22*12+F22</f>
        <v>63</v>
      </c>
      <c r="H22" s="54"/>
      <c r="I22" s="55"/>
      <c r="J22" s="113">
        <f t="shared" ref="J22:J28" si="14">H22*12+I22</f>
        <v>0</v>
      </c>
      <c r="K22" s="54">
        <v>18</v>
      </c>
      <c r="L22" s="55">
        <v>5</v>
      </c>
      <c r="M22" s="113">
        <f t="shared" ref="M22:M28" si="15">K22*12+L22</f>
        <v>221</v>
      </c>
      <c r="N22" s="112"/>
      <c r="O22" s="112"/>
      <c r="P22" s="113">
        <f t="shared" ref="P22:P28" si="16">N22*12+O22</f>
        <v>0</v>
      </c>
      <c r="Q22" s="114">
        <f t="shared" si="5"/>
        <v>1190</v>
      </c>
      <c r="R22" s="111"/>
      <c r="S22" s="111">
        <f t="shared" si="6"/>
        <v>0</v>
      </c>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47" customFormat="1" ht="17.100000000000001" customHeight="1">
      <c r="A23" s="53" t="s">
        <v>112</v>
      </c>
      <c r="B23" s="112">
        <f>60+50+1</f>
        <v>111</v>
      </c>
      <c r="C23" s="112"/>
      <c r="D23" s="113">
        <f t="shared" si="12"/>
        <v>1332</v>
      </c>
      <c r="E23" s="54">
        <v>3</v>
      </c>
      <c r="F23" s="55">
        <v>6</v>
      </c>
      <c r="G23" s="113">
        <f t="shared" si="13"/>
        <v>42</v>
      </c>
      <c r="H23" s="54">
        <v>1</v>
      </c>
      <c r="I23" s="55">
        <v>20</v>
      </c>
      <c r="J23" s="113">
        <f t="shared" si="14"/>
        <v>32</v>
      </c>
      <c r="K23" s="54">
        <v>1</v>
      </c>
      <c r="L23" s="55">
        <v>1</v>
      </c>
      <c r="M23" s="113">
        <f t="shared" si="15"/>
        <v>13</v>
      </c>
      <c r="N23" s="112"/>
      <c r="O23" s="112"/>
      <c r="P23" s="113">
        <f t="shared" si="16"/>
        <v>0</v>
      </c>
      <c r="Q23" s="114">
        <f t="shared" si="5"/>
        <v>1419</v>
      </c>
      <c r="R23" s="111"/>
      <c r="S23" s="111">
        <f t="shared" si="6"/>
        <v>0</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7" customFormat="1" ht="17.100000000000001" customHeight="1">
      <c r="A24" s="53" t="s">
        <v>113</v>
      </c>
      <c r="B24" s="112"/>
      <c r="C24" s="112"/>
      <c r="D24" s="113">
        <f t="shared" si="12"/>
        <v>0</v>
      </c>
      <c r="E24" s="54"/>
      <c r="F24" s="55"/>
      <c r="G24" s="113">
        <f t="shared" si="13"/>
        <v>0</v>
      </c>
      <c r="H24" s="54"/>
      <c r="I24" s="55"/>
      <c r="J24" s="113">
        <f t="shared" si="14"/>
        <v>0</v>
      </c>
      <c r="K24" s="54"/>
      <c r="L24" s="55"/>
      <c r="M24" s="113">
        <f t="shared" si="15"/>
        <v>0</v>
      </c>
      <c r="N24" s="112"/>
      <c r="O24" s="112"/>
      <c r="P24" s="113">
        <f t="shared" si="16"/>
        <v>0</v>
      </c>
      <c r="Q24" s="114">
        <f t="shared" si="5"/>
        <v>0</v>
      </c>
      <c r="R24" s="111"/>
      <c r="S24" s="111">
        <f t="shared" si="6"/>
        <v>0</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ht="17.100000000000001" customHeight="1">
      <c r="A25" s="53" t="s">
        <v>149</v>
      </c>
      <c r="B25" s="112"/>
      <c r="C25" s="112"/>
      <c r="D25" s="113">
        <f t="shared" si="12"/>
        <v>0</v>
      </c>
      <c r="E25" s="54"/>
      <c r="F25" s="55"/>
      <c r="G25" s="113">
        <f t="shared" si="13"/>
        <v>0</v>
      </c>
      <c r="H25" s="54"/>
      <c r="I25" s="55"/>
      <c r="J25" s="113">
        <f t="shared" si="14"/>
        <v>0</v>
      </c>
      <c r="K25" s="54"/>
      <c r="L25" s="55"/>
      <c r="M25" s="113">
        <f t="shared" si="15"/>
        <v>0</v>
      </c>
      <c r="N25" s="112"/>
      <c r="O25" s="112"/>
      <c r="P25" s="113">
        <f t="shared" si="16"/>
        <v>0</v>
      </c>
      <c r="Q25" s="114">
        <f t="shared" si="5"/>
        <v>0</v>
      </c>
      <c r="S25" s="111">
        <f t="shared" si="6"/>
        <v>0</v>
      </c>
    </row>
    <row r="26" spans="1:79" ht="17.100000000000001" customHeight="1">
      <c r="A26" s="53" t="s">
        <v>195</v>
      </c>
      <c r="B26" s="112">
        <v>10</v>
      </c>
      <c r="C26" s="112"/>
      <c r="D26" s="113">
        <f t="shared" si="12"/>
        <v>120</v>
      </c>
      <c r="E26" s="54"/>
      <c r="F26" s="55"/>
      <c r="G26" s="113">
        <f t="shared" si="13"/>
        <v>0</v>
      </c>
      <c r="H26" s="54"/>
      <c r="I26" s="55"/>
      <c r="J26" s="113">
        <f t="shared" si="14"/>
        <v>0</v>
      </c>
      <c r="K26" s="54"/>
      <c r="L26" s="55"/>
      <c r="M26" s="113">
        <f t="shared" si="15"/>
        <v>0</v>
      </c>
      <c r="N26" s="112"/>
      <c r="O26" s="112"/>
      <c r="P26" s="113">
        <f t="shared" si="16"/>
        <v>0</v>
      </c>
      <c r="Q26" s="114">
        <f t="shared" si="5"/>
        <v>120</v>
      </c>
      <c r="S26" s="111">
        <f t="shared" si="6"/>
        <v>0</v>
      </c>
    </row>
    <row r="27" spans="1:79" ht="17.100000000000001" customHeight="1">
      <c r="A27" s="53" t="s">
        <v>196</v>
      </c>
      <c r="B27" s="112"/>
      <c r="C27" s="112"/>
      <c r="D27" s="113">
        <f t="shared" si="12"/>
        <v>0</v>
      </c>
      <c r="E27" s="54">
        <v>1</v>
      </c>
      <c r="F27" s="55"/>
      <c r="G27" s="113">
        <f t="shared" si="13"/>
        <v>12</v>
      </c>
      <c r="H27" s="54"/>
      <c r="I27" s="55"/>
      <c r="J27" s="113">
        <f t="shared" si="14"/>
        <v>0</v>
      </c>
      <c r="K27" s="54"/>
      <c r="L27" s="55"/>
      <c r="M27" s="113">
        <f t="shared" si="15"/>
        <v>0</v>
      </c>
      <c r="N27" s="112"/>
      <c r="O27" s="112"/>
      <c r="P27" s="113">
        <f t="shared" si="16"/>
        <v>0</v>
      </c>
      <c r="Q27" s="114">
        <f t="shared" si="5"/>
        <v>12</v>
      </c>
      <c r="S27" s="111">
        <f t="shared" si="6"/>
        <v>0</v>
      </c>
    </row>
    <row r="28" spans="1:79" ht="17.100000000000001" customHeight="1">
      <c r="A28" s="53" t="s">
        <v>197</v>
      </c>
      <c r="B28" s="112">
        <v>9</v>
      </c>
      <c r="C28" s="112"/>
      <c r="D28" s="113">
        <f t="shared" si="12"/>
        <v>108</v>
      </c>
      <c r="E28" s="54"/>
      <c r="F28" s="55">
        <v>9</v>
      </c>
      <c r="G28" s="113">
        <f t="shared" si="13"/>
        <v>9</v>
      </c>
      <c r="H28" s="54"/>
      <c r="I28" s="55"/>
      <c r="J28" s="113">
        <f t="shared" si="14"/>
        <v>0</v>
      </c>
      <c r="K28" s="54"/>
      <c r="L28" s="55"/>
      <c r="M28" s="113">
        <f t="shared" si="15"/>
        <v>0</v>
      </c>
      <c r="N28" s="112"/>
      <c r="O28" s="112"/>
      <c r="P28" s="113">
        <f t="shared" si="16"/>
        <v>0</v>
      </c>
      <c r="Q28" s="114">
        <f t="shared" si="5"/>
        <v>117</v>
      </c>
      <c r="S28" s="111">
        <f t="shared" si="6"/>
        <v>0</v>
      </c>
    </row>
    <row r="29" spans="1:79" ht="17.100000000000001" customHeight="1">
      <c r="A29" s="53" t="s">
        <v>114</v>
      </c>
      <c r="B29" s="112">
        <v>3</v>
      </c>
      <c r="C29" s="112"/>
      <c r="D29" s="113">
        <f>B29*10+C29</f>
        <v>30</v>
      </c>
      <c r="E29" s="54"/>
      <c r="F29" s="55"/>
      <c r="G29" s="113">
        <f>E29*10+F29</f>
        <v>0</v>
      </c>
      <c r="H29" s="54"/>
      <c r="I29" s="55"/>
      <c r="J29" s="113">
        <f>H29*10+I29</f>
        <v>0</v>
      </c>
      <c r="K29" s="54"/>
      <c r="L29" s="55"/>
      <c r="M29" s="113">
        <f>K29*10+L29</f>
        <v>0</v>
      </c>
      <c r="N29" s="112"/>
      <c r="O29" s="112"/>
      <c r="P29" s="113">
        <f>N29*10+O29</f>
        <v>0</v>
      </c>
      <c r="Q29" s="114">
        <f t="shared" si="5"/>
        <v>30</v>
      </c>
      <c r="S29" s="111">
        <f t="shared" si="6"/>
        <v>0</v>
      </c>
    </row>
    <row r="30" spans="1:79" ht="17.100000000000001" customHeight="1">
      <c r="A30" s="53" t="s">
        <v>115</v>
      </c>
      <c r="B30" s="112">
        <v>3</v>
      </c>
      <c r="C30" s="112"/>
      <c r="D30" s="113">
        <f t="shared" ref="D30:D32" si="17">B30*10+C30</f>
        <v>30</v>
      </c>
      <c r="E30" s="54"/>
      <c r="F30" s="55"/>
      <c r="G30" s="113">
        <f t="shared" ref="G30:G32" si="18">E30*10+F30</f>
        <v>0</v>
      </c>
      <c r="H30" s="54">
        <v>2</v>
      </c>
      <c r="I30" s="55"/>
      <c r="J30" s="113">
        <f t="shared" ref="J30:J32" si="19">H30*10+I30</f>
        <v>20</v>
      </c>
      <c r="K30" s="54"/>
      <c r="L30" s="55"/>
      <c r="M30" s="113">
        <f t="shared" ref="M30:M32" si="20">K30*10+L30</f>
        <v>0</v>
      </c>
      <c r="N30" s="112"/>
      <c r="O30" s="112"/>
      <c r="P30" s="113">
        <f t="shared" ref="P30:P32" si="21">N30*10+O30</f>
        <v>0</v>
      </c>
      <c r="Q30" s="114">
        <f t="shared" si="5"/>
        <v>50</v>
      </c>
      <c r="S30" s="111">
        <f t="shared" si="6"/>
        <v>0</v>
      </c>
    </row>
    <row r="31" spans="1:79" ht="17.100000000000001" customHeight="1">
      <c r="A31" s="53" t="s">
        <v>136</v>
      </c>
      <c r="B31" s="112"/>
      <c r="C31" s="112"/>
      <c r="D31" s="113">
        <f t="shared" si="17"/>
        <v>0</v>
      </c>
      <c r="E31" s="54"/>
      <c r="F31" s="55"/>
      <c r="G31" s="113">
        <f t="shared" si="18"/>
        <v>0</v>
      </c>
      <c r="H31" s="54"/>
      <c r="I31" s="55"/>
      <c r="J31" s="113">
        <f t="shared" si="19"/>
        <v>0</v>
      </c>
      <c r="K31" s="54"/>
      <c r="L31" s="55"/>
      <c r="M31" s="113">
        <f t="shared" si="20"/>
        <v>0</v>
      </c>
      <c r="N31" s="112"/>
      <c r="O31" s="112"/>
      <c r="P31" s="113">
        <f t="shared" si="21"/>
        <v>0</v>
      </c>
      <c r="Q31" s="114">
        <f t="shared" si="5"/>
        <v>0</v>
      </c>
      <c r="S31" s="111">
        <f t="shared" si="6"/>
        <v>0</v>
      </c>
    </row>
    <row r="32" spans="1:79" ht="17.100000000000001" customHeight="1">
      <c r="A32" s="53" t="s">
        <v>139</v>
      </c>
      <c r="B32" s="112"/>
      <c r="C32" s="112"/>
      <c r="D32" s="113">
        <f t="shared" si="17"/>
        <v>0</v>
      </c>
      <c r="E32" s="54"/>
      <c r="F32" s="55"/>
      <c r="G32" s="113">
        <f t="shared" si="18"/>
        <v>0</v>
      </c>
      <c r="H32" s="54"/>
      <c r="I32" s="55"/>
      <c r="J32" s="113">
        <f t="shared" si="19"/>
        <v>0</v>
      </c>
      <c r="K32" s="54"/>
      <c r="L32" s="55"/>
      <c r="M32" s="113">
        <f t="shared" si="20"/>
        <v>0</v>
      </c>
      <c r="N32" s="112"/>
      <c r="O32" s="112"/>
      <c r="P32" s="113">
        <f t="shared" si="21"/>
        <v>0</v>
      </c>
      <c r="Q32" s="114">
        <f t="shared" si="5"/>
        <v>0</v>
      </c>
      <c r="S32" s="111">
        <f t="shared" si="6"/>
        <v>0</v>
      </c>
    </row>
    <row r="33" spans="1:79" ht="17.100000000000001" customHeight="1">
      <c r="A33" s="53" t="s">
        <v>150</v>
      </c>
      <c r="B33" s="112"/>
      <c r="C33" s="112"/>
      <c r="D33" s="113">
        <f>B33*12+C33</f>
        <v>0</v>
      </c>
      <c r="E33" s="54"/>
      <c r="F33" s="55"/>
      <c r="G33" s="113">
        <f>E33*12+F33</f>
        <v>0</v>
      </c>
      <c r="H33" s="54"/>
      <c r="I33" s="55"/>
      <c r="J33" s="113">
        <f>H33*12+I33</f>
        <v>0</v>
      </c>
      <c r="K33" s="54"/>
      <c r="L33" s="55"/>
      <c r="M33" s="113">
        <f>K33*12+L33</f>
        <v>0</v>
      </c>
      <c r="N33" s="112"/>
      <c r="O33" s="112"/>
      <c r="P33" s="113">
        <f>N33*12+O33</f>
        <v>0</v>
      </c>
      <c r="Q33" s="114">
        <f t="shared" si="5"/>
        <v>0</v>
      </c>
      <c r="S33" s="111">
        <f t="shared" si="6"/>
        <v>0</v>
      </c>
    </row>
    <row r="34" spans="1:79" s="47" customFormat="1" ht="17.100000000000001" customHeight="1">
      <c r="A34" s="53" t="s">
        <v>116</v>
      </c>
      <c r="B34" s="112"/>
      <c r="C34" s="112"/>
      <c r="D34" s="113">
        <f>B34*12+C34</f>
        <v>0</v>
      </c>
      <c r="E34" s="54"/>
      <c r="F34" s="55"/>
      <c r="G34" s="113">
        <f>E34*12+F34</f>
        <v>0</v>
      </c>
      <c r="H34" s="54"/>
      <c r="I34" s="55"/>
      <c r="J34" s="113">
        <f>H34*12+I34</f>
        <v>0</v>
      </c>
      <c r="K34" s="54">
        <v>65</v>
      </c>
      <c r="L34" s="55"/>
      <c r="M34" s="113">
        <f>K34*12+L34</f>
        <v>780</v>
      </c>
      <c r="N34" s="112">
        <v>20</v>
      </c>
      <c r="O34" s="112"/>
      <c r="P34" s="113">
        <f>N34*12+O34</f>
        <v>240</v>
      </c>
      <c r="Q34" s="114">
        <f t="shared" si="5"/>
        <v>1020</v>
      </c>
      <c r="R34" s="111"/>
      <c r="S34" s="111">
        <f t="shared" si="6"/>
        <v>0</v>
      </c>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row>
    <row r="35" spans="1:79" s="47" customFormat="1" ht="17.100000000000001" customHeight="1">
      <c r="A35" s="53" t="s">
        <v>137</v>
      </c>
      <c r="B35" s="112">
        <v>208</v>
      </c>
      <c r="C35" s="112"/>
      <c r="D35" s="113">
        <f>B35*12+C35</f>
        <v>2496</v>
      </c>
      <c r="E35" s="54"/>
      <c r="F35" s="55"/>
      <c r="G35" s="113">
        <f>E35*12+F35</f>
        <v>0</v>
      </c>
      <c r="H35" s="54">
        <v>1</v>
      </c>
      <c r="I35" s="55"/>
      <c r="J35" s="113">
        <f>H35*12+I35</f>
        <v>12</v>
      </c>
      <c r="K35" s="54">
        <v>31</v>
      </c>
      <c r="L35" s="55"/>
      <c r="M35" s="113">
        <f>K35*12+L35</f>
        <v>372</v>
      </c>
      <c r="N35" s="112"/>
      <c r="O35" s="112"/>
      <c r="P35" s="113">
        <f>N35*12+O35</f>
        <v>0</v>
      </c>
      <c r="Q35" s="114">
        <f t="shared" si="5"/>
        <v>2880</v>
      </c>
      <c r="R35" s="111"/>
      <c r="S35" s="111">
        <f t="shared" si="6"/>
        <v>0</v>
      </c>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ht="17.100000000000001" customHeight="1">
      <c r="A36" s="53" t="s">
        <v>117</v>
      </c>
      <c r="B36" s="112">
        <f>1+3+168+49</f>
        <v>221</v>
      </c>
      <c r="C36" s="112"/>
      <c r="D36" s="113">
        <f>B36*30+C36</f>
        <v>6630</v>
      </c>
      <c r="E36" s="54">
        <v>4</v>
      </c>
      <c r="F36" s="55"/>
      <c r="G36" s="113">
        <f>E36*30+F36</f>
        <v>120</v>
      </c>
      <c r="H36" s="54">
        <f>1+1+8</f>
        <v>10</v>
      </c>
      <c r="I36" s="55">
        <f>54+3</f>
        <v>57</v>
      </c>
      <c r="J36" s="113">
        <f>H36*30+I36</f>
        <v>357</v>
      </c>
      <c r="K36" s="54"/>
      <c r="L36" s="55"/>
      <c r="M36" s="113">
        <f>K36*30+L36</f>
        <v>0</v>
      </c>
      <c r="N36" s="112"/>
      <c r="O36" s="112"/>
      <c r="P36" s="113">
        <f>N36*30+O36</f>
        <v>0</v>
      </c>
      <c r="Q36" s="114">
        <f t="shared" si="5"/>
        <v>7107</v>
      </c>
      <c r="S36" s="111">
        <f t="shared" si="6"/>
        <v>0</v>
      </c>
    </row>
    <row r="37" spans="1:79" s="47" customFormat="1" ht="17.100000000000001" customHeight="1">
      <c r="A37" s="53" t="s">
        <v>118</v>
      </c>
      <c r="B37" s="112">
        <f>390+58</f>
        <v>448</v>
      </c>
      <c r="C37" s="112"/>
      <c r="D37" s="113">
        <f>B37*24+C37</f>
        <v>10752</v>
      </c>
      <c r="E37" s="54">
        <v>12</v>
      </c>
      <c r="F37" s="55"/>
      <c r="G37" s="113">
        <f>E37*24+F37</f>
        <v>288</v>
      </c>
      <c r="H37" s="54"/>
      <c r="I37" s="55">
        <v>51</v>
      </c>
      <c r="J37" s="113">
        <f>H37*24+I37</f>
        <v>51</v>
      </c>
      <c r="K37" s="54"/>
      <c r="L37" s="55"/>
      <c r="M37" s="113">
        <f>K37*24+L37</f>
        <v>0</v>
      </c>
      <c r="N37" s="112"/>
      <c r="O37" s="112"/>
      <c r="P37" s="113">
        <f>N37*24+O37</f>
        <v>0</v>
      </c>
      <c r="Q37" s="114">
        <f t="shared" si="5"/>
        <v>11091</v>
      </c>
      <c r="R37" s="111"/>
      <c r="S37" s="111">
        <f t="shared" si="6"/>
        <v>0</v>
      </c>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row>
    <row r="38" spans="1:79" s="47" customFormat="1" ht="17.100000000000001" customHeight="1">
      <c r="A38" s="53" t="s">
        <v>77</v>
      </c>
      <c r="B38" s="112">
        <v>92</v>
      </c>
      <c r="C38" s="112"/>
      <c r="D38" s="113">
        <f>B38*12+C38</f>
        <v>1104</v>
      </c>
      <c r="E38" s="54">
        <v>2</v>
      </c>
      <c r="F38" s="55"/>
      <c r="G38" s="113">
        <f>E38*12+F38</f>
        <v>24</v>
      </c>
      <c r="H38" s="54">
        <v>2</v>
      </c>
      <c r="I38" s="55">
        <v>11</v>
      </c>
      <c r="J38" s="113">
        <f>H38*12+I38</f>
        <v>35</v>
      </c>
      <c r="K38" s="54">
        <v>2</v>
      </c>
      <c r="L38" s="55"/>
      <c r="M38" s="113">
        <f>K38*12+L38</f>
        <v>24</v>
      </c>
      <c r="N38" s="112"/>
      <c r="O38" s="112"/>
      <c r="P38" s="113">
        <f>N38*12+O38</f>
        <v>0</v>
      </c>
      <c r="Q38" s="114">
        <f t="shared" si="5"/>
        <v>1187</v>
      </c>
      <c r="R38" s="111"/>
      <c r="S38" s="111">
        <f t="shared" si="6"/>
        <v>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spans="1:79" s="47" customFormat="1" ht="17.100000000000001" customHeight="1">
      <c r="A39" s="53" t="s">
        <v>151</v>
      </c>
      <c r="B39" s="112"/>
      <c r="C39" s="112"/>
      <c r="D39" s="113">
        <f>B39*12+C39</f>
        <v>0</v>
      </c>
      <c r="E39" s="54"/>
      <c r="F39" s="55"/>
      <c r="G39" s="113">
        <f>E39*12+F39</f>
        <v>0</v>
      </c>
      <c r="H39" s="54"/>
      <c r="I39" s="55"/>
      <c r="J39" s="113">
        <f>H39*12+I39</f>
        <v>0</v>
      </c>
      <c r="K39" s="54"/>
      <c r="L39" s="55"/>
      <c r="M39" s="113">
        <f>K39*12+L39</f>
        <v>0</v>
      </c>
      <c r="N39" s="112"/>
      <c r="O39" s="112"/>
      <c r="P39" s="113">
        <f>N39*12+O39</f>
        <v>0</v>
      </c>
      <c r="Q39" s="114">
        <f t="shared" si="5"/>
        <v>0</v>
      </c>
      <c r="R39" s="111"/>
      <c r="S39" s="111">
        <f t="shared" si="6"/>
        <v>0</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s="47" customFormat="1" ht="17.100000000000001" customHeight="1">
      <c r="A40" s="53" t="s">
        <v>82</v>
      </c>
      <c r="B40" s="112"/>
      <c r="C40" s="112"/>
      <c r="D40" s="113">
        <f>B40*4+C40</f>
        <v>0</v>
      </c>
      <c r="E40" s="54"/>
      <c r="F40" s="55"/>
      <c r="G40" s="113">
        <f>E40*4+F40</f>
        <v>0</v>
      </c>
      <c r="H40" s="54"/>
      <c r="I40" s="55"/>
      <c r="J40" s="113">
        <f>H40*4+I40</f>
        <v>0</v>
      </c>
      <c r="K40" s="54"/>
      <c r="L40" s="55"/>
      <c r="M40" s="113">
        <f>K40*4+L40</f>
        <v>0</v>
      </c>
      <c r="N40" s="112"/>
      <c r="O40" s="112"/>
      <c r="P40" s="113">
        <f>N40*4+O40</f>
        <v>0</v>
      </c>
      <c r="Q40" s="114">
        <f t="shared" si="5"/>
        <v>0</v>
      </c>
      <c r="R40" s="111"/>
      <c r="S40" s="111">
        <f t="shared" si="6"/>
        <v>0</v>
      </c>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spans="1:79" s="47" customFormat="1" ht="17.100000000000001" customHeight="1">
      <c r="A41" s="53" t="s">
        <v>84</v>
      </c>
      <c r="B41" s="112"/>
      <c r="C41" s="112"/>
      <c r="D41" s="113">
        <f>B41*3+C41</f>
        <v>0</v>
      </c>
      <c r="E41" s="54"/>
      <c r="F41" s="55"/>
      <c r="G41" s="113">
        <f>E41*3+F41</f>
        <v>0</v>
      </c>
      <c r="H41" s="54"/>
      <c r="I41" s="55"/>
      <c r="J41" s="113">
        <f>H41*3+I41</f>
        <v>0</v>
      </c>
      <c r="K41" s="54">
        <v>4</v>
      </c>
      <c r="L41" s="55">
        <v>1</v>
      </c>
      <c r="M41" s="113">
        <f>K41*3+L41</f>
        <v>13</v>
      </c>
      <c r="N41" s="112"/>
      <c r="O41" s="112"/>
      <c r="P41" s="113">
        <f>N41*3+O41</f>
        <v>0</v>
      </c>
      <c r="Q41" s="114">
        <f t="shared" si="5"/>
        <v>13</v>
      </c>
      <c r="R41" s="111"/>
      <c r="S41" s="111">
        <f t="shared" si="6"/>
        <v>0</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spans="1:79" s="47" customFormat="1" ht="17.100000000000001" customHeight="1">
      <c r="A42" s="53" t="s">
        <v>119</v>
      </c>
      <c r="B42" s="112">
        <f>1+1680+207</f>
        <v>1888</v>
      </c>
      <c r="C42" s="112"/>
      <c r="D42" s="113">
        <f>B42*24+C42</f>
        <v>45312</v>
      </c>
      <c r="E42" s="54">
        <f>17+20</f>
        <v>37</v>
      </c>
      <c r="F42" s="55"/>
      <c r="G42" s="113">
        <f>E42*24+F42</f>
        <v>888</v>
      </c>
      <c r="H42" s="54">
        <v>4</v>
      </c>
      <c r="I42" s="55">
        <v>76</v>
      </c>
      <c r="J42" s="113">
        <f>H42*24+I42</f>
        <v>172</v>
      </c>
      <c r="K42" s="54">
        <f>1+1</f>
        <v>2</v>
      </c>
      <c r="L42" s="55">
        <f>1+8+9+8</f>
        <v>26</v>
      </c>
      <c r="M42" s="113">
        <f>K42*24+L42</f>
        <v>74</v>
      </c>
      <c r="N42" s="112"/>
      <c r="O42" s="112"/>
      <c r="P42" s="113">
        <f>N42*24+O42</f>
        <v>0</v>
      </c>
      <c r="Q42" s="114">
        <f t="shared" si="5"/>
        <v>46446</v>
      </c>
      <c r="R42" s="111"/>
      <c r="S42" s="111">
        <f t="shared" si="6"/>
        <v>0</v>
      </c>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ht="17.100000000000001" customHeight="1">
      <c r="A43" s="53" t="s">
        <v>120</v>
      </c>
      <c r="B43" s="112">
        <f>19+280</f>
        <v>299</v>
      </c>
      <c r="C43" s="112"/>
      <c r="D43" s="113">
        <f t="shared" ref="D43:D45" si="22">B43*24+C43</f>
        <v>7176</v>
      </c>
      <c r="E43" s="54">
        <f>6+5</f>
        <v>11</v>
      </c>
      <c r="F43" s="55"/>
      <c r="G43" s="113">
        <f t="shared" ref="G43:G45" si="23">E43*24+F43</f>
        <v>264</v>
      </c>
      <c r="H43" s="54">
        <f>1+5</f>
        <v>6</v>
      </c>
      <c r="I43" s="55">
        <f>19+12+8</f>
        <v>39</v>
      </c>
      <c r="J43" s="113">
        <f t="shared" ref="J43:J45" si="24">H43*24+I43</f>
        <v>183</v>
      </c>
      <c r="K43" s="54"/>
      <c r="L43" s="55">
        <f>11+7+3</f>
        <v>21</v>
      </c>
      <c r="M43" s="113">
        <f t="shared" ref="M43:M45" si="25">K43*24+L43</f>
        <v>21</v>
      </c>
      <c r="N43" s="112"/>
      <c r="O43" s="112"/>
      <c r="P43" s="113">
        <f t="shared" ref="P43:P45" si="26">N43*24+O43</f>
        <v>0</v>
      </c>
      <c r="Q43" s="114">
        <f t="shared" si="5"/>
        <v>7644</v>
      </c>
      <c r="S43" s="111">
        <f t="shared" si="6"/>
        <v>0</v>
      </c>
    </row>
    <row r="44" spans="1:79" ht="17.100000000000001" customHeight="1">
      <c r="A44" s="53" t="s">
        <v>121</v>
      </c>
      <c r="B44" s="112">
        <f>56+336+55+26</f>
        <v>473</v>
      </c>
      <c r="C44" s="112"/>
      <c r="D44" s="113">
        <f t="shared" si="22"/>
        <v>11352</v>
      </c>
      <c r="E44" s="54">
        <v>11</v>
      </c>
      <c r="F44" s="55"/>
      <c r="G44" s="113">
        <f t="shared" si="23"/>
        <v>264</v>
      </c>
      <c r="H44" s="54">
        <f>4</f>
        <v>4</v>
      </c>
      <c r="I44" s="55">
        <f>16+12+12+22</f>
        <v>62</v>
      </c>
      <c r="J44" s="113">
        <f t="shared" si="24"/>
        <v>158</v>
      </c>
      <c r="K44" s="54">
        <v>11</v>
      </c>
      <c r="L44" s="55">
        <v>23</v>
      </c>
      <c r="M44" s="113">
        <f t="shared" si="25"/>
        <v>287</v>
      </c>
      <c r="N44" s="112"/>
      <c r="O44" s="112"/>
      <c r="P44" s="113">
        <f t="shared" si="26"/>
        <v>0</v>
      </c>
      <c r="Q44" s="114">
        <f t="shared" si="5"/>
        <v>12061</v>
      </c>
      <c r="S44" s="111">
        <f t="shared" si="6"/>
        <v>0</v>
      </c>
    </row>
    <row r="45" spans="1:79" ht="17.100000000000001" customHeight="1">
      <c r="A45" s="53" t="s">
        <v>122</v>
      </c>
      <c r="B45" s="112"/>
      <c r="C45" s="112"/>
      <c r="D45" s="113">
        <f t="shared" si="22"/>
        <v>0</v>
      </c>
      <c r="E45" s="54">
        <v>4</v>
      </c>
      <c r="F45" s="55"/>
      <c r="G45" s="113">
        <f t="shared" si="23"/>
        <v>96</v>
      </c>
      <c r="H45" s="54"/>
      <c r="I45" s="55"/>
      <c r="J45" s="113">
        <f t="shared" si="24"/>
        <v>0</v>
      </c>
      <c r="K45" s="54">
        <v>136</v>
      </c>
      <c r="L45" s="55">
        <v>11</v>
      </c>
      <c r="M45" s="113">
        <f t="shared" si="25"/>
        <v>3275</v>
      </c>
      <c r="N45" s="112"/>
      <c r="O45" s="112"/>
      <c r="P45" s="113">
        <f t="shared" si="26"/>
        <v>0</v>
      </c>
      <c r="Q45" s="114">
        <f t="shared" si="5"/>
        <v>3371</v>
      </c>
      <c r="S45" s="111">
        <f t="shared" si="6"/>
        <v>0</v>
      </c>
    </row>
    <row r="46" spans="1:79" ht="17.100000000000001" customHeight="1">
      <c r="A46" s="53" t="s">
        <v>123</v>
      </c>
      <c r="B46" s="112">
        <v>844</v>
      </c>
      <c r="C46" s="112"/>
      <c r="D46" s="113">
        <f>B46*12+C46</f>
        <v>10128</v>
      </c>
      <c r="E46" s="55">
        <f>24+20</f>
        <v>44</v>
      </c>
      <c r="F46" s="55"/>
      <c r="G46" s="113">
        <f>E46*12+F46</f>
        <v>528</v>
      </c>
      <c r="H46" s="54">
        <f>10+2+4+2+10</f>
        <v>28</v>
      </c>
      <c r="I46" s="55"/>
      <c r="J46" s="113">
        <f>H46*12+I46</f>
        <v>336</v>
      </c>
      <c r="K46" s="55">
        <f>2</f>
        <v>2</v>
      </c>
      <c r="L46" s="55"/>
      <c r="M46" s="113">
        <f>K46*12+L46</f>
        <v>24</v>
      </c>
      <c r="N46" s="112"/>
      <c r="O46" s="112"/>
      <c r="P46" s="113">
        <f>N46*12+O46</f>
        <v>0</v>
      </c>
      <c r="Q46" s="114">
        <f t="shared" si="5"/>
        <v>11016</v>
      </c>
      <c r="S46" s="111">
        <f t="shared" si="6"/>
        <v>0</v>
      </c>
    </row>
    <row r="47" spans="1:79" ht="17.100000000000001" customHeight="1">
      <c r="A47" s="53" t="s">
        <v>124</v>
      </c>
      <c r="B47" s="112">
        <f>2+140+5</f>
        <v>147</v>
      </c>
      <c r="C47" s="112"/>
      <c r="D47" s="113">
        <f t="shared" ref="D47:D49" si="27">B47*12+C47</f>
        <v>1764</v>
      </c>
      <c r="E47" s="55">
        <v>12</v>
      </c>
      <c r="F47" s="55"/>
      <c r="G47" s="113">
        <f t="shared" ref="G47:G49" si="28">E47*12+F47</f>
        <v>144</v>
      </c>
      <c r="H47" s="54">
        <v>8</v>
      </c>
      <c r="I47" s="55"/>
      <c r="J47" s="113">
        <f t="shared" ref="J47:J49" si="29">H47*12+I47</f>
        <v>96</v>
      </c>
      <c r="K47" s="55">
        <f>41+1+3+2</f>
        <v>47</v>
      </c>
      <c r="L47" s="55"/>
      <c r="M47" s="113">
        <f t="shared" ref="M47:M49" si="30">K47*12+L47</f>
        <v>564</v>
      </c>
      <c r="N47" s="112"/>
      <c r="O47" s="112"/>
      <c r="P47" s="113">
        <f t="shared" ref="P47:P49" si="31">N47*12+O47</f>
        <v>0</v>
      </c>
      <c r="Q47" s="114">
        <f t="shared" si="5"/>
        <v>2568</v>
      </c>
      <c r="S47" s="111">
        <f t="shared" si="6"/>
        <v>0</v>
      </c>
    </row>
    <row r="48" spans="1:79" ht="17.100000000000001" customHeight="1">
      <c r="A48" s="53" t="s">
        <v>125</v>
      </c>
      <c r="B48" s="115">
        <f>4+22+2+184</f>
        <v>212</v>
      </c>
      <c r="C48" s="115"/>
      <c r="D48" s="113">
        <f t="shared" si="27"/>
        <v>2544</v>
      </c>
      <c r="E48" s="55"/>
      <c r="F48" s="55"/>
      <c r="G48" s="113">
        <f t="shared" si="28"/>
        <v>0</v>
      </c>
      <c r="H48" s="54"/>
      <c r="I48" s="55"/>
      <c r="J48" s="113">
        <f t="shared" si="29"/>
        <v>0</v>
      </c>
      <c r="K48" s="55">
        <v>67</v>
      </c>
      <c r="L48" s="55"/>
      <c r="M48" s="113">
        <f t="shared" si="30"/>
        <v>804</v>
      </c>
      <c r="N48" s="112"/>
      <c r="O48" s="112"/>
      <c r="P48" s="113">
        <f t="shared" si="31"/>
        <v>0</v>
      </c>
      <c r="Q48" s="114">
        <f t="shared" si="5"/>
        <v>3348</v>
      </c>
      <c r="S48" s="111">
        <f t="shared" si="6"/>
        <v>0</v>
      </c>
    </row>
    <row r="49" spans="1:19" ht="17.100000000000001" customHeight="1">
      <c r="A49" s="53" t="s">
        <v>126</v>
      </c>
      <c r="B49" s="115">
        <v>20</v>
      </c>
      <c r="C49" s="115"/>
      <c r="D49" s="113">
        <f t="shared" si="27"/>
        <v>240</v>
      </c>
      <c r="E49" s="55"/>
      <c r="F49" s="55"/>
      <c r="G49" s="113">
        <f t="shared" si="28"/>
        <v>0</v>
      </c>
      <c r="H49" s="54"/>
      <c r="I49" s="55"/>
      <c r="J49" s="113">
        <f t="shared" si="29"/>
        <v>0</v>
      </c>
      <c r="K49" s="55">
        <f>23+14</f>
        <v>37</v>
      </c>
      <c r="L49" s="55"/>
      <c r="M49" s="113">
        <f t="shared" si="30"/>
        <v>444</v>
      </c>
      <c r="N49" s="112"/>
      <c r="O49" s="112"/>
      <c r="P49" s="113">
        <f t="shared" si="31"/>
        <v>0</v>
      </c>
      <c r="Q49" s="114">
        <f t="shared" si="5"/>
        <v>684</v>
      </c>
      <c r="S49" s="111">
        <f t="shared" si="6"/>
        <v>0</v>
      </c>
    </row>
    <row r="50" spans="1:19" ht="17.100000000000001" customHeight="1">
      <c r="A50" s="53" t="s">
        <v>127</v>
      </c>
      <c r="B50" s="115">
        <f>17+4</f>
        <v>21</v>
      </c>
      <c r="C50" s="115">
        <v>12</v>
      </c>
      <c r="D50" s="116">
        <f>B50*24+C50</f>
        <v>516</v>
      </c>
      <c r="E50" s="55"/>
      <c r="F50" s="55"/>
      <c r="G50" s="116">
        <f>E50*24+F50</f>
        <v>0</v>
      </c>
      <c r="H50" s="54">
        <v>3</v>
      </c>
      <c r="I50" s="55"/>
      <c r="J50" s="116">
        <f>H50*24+I50</f>
        <v>72</v>
      </c>
      <c r="K50" s="55"/>
      <c r="L50" s="55">
        <v>18</v>
      </c>
      <c r="M50" s="116">
        <f>K50*24+L50</f>
        <v>18</v>
      </c>
      <c r="N50" s="112">
        <f>20+20+15</f>
        <v>55</v>
      </c>
      <c r="O50" s="112"/>
      <c r="P50" s="116">
        <f>N50*24+O50</f>
        <v>1320</v>
      </c>
      <c r="Q50" s="114">
        <f t="shared" si="5"/>
        <v>1926</v>
      </c>
      <c r="S50" s="111">
        <f t="shared" si="6"/>
        <v>0</v>
      </c>
    </row>
    <row r="51" spans="1:19" ht="17.100000000000001" customHeight="1">
      <c r="A51" s="53" t="s">
        <v>128</v>
      </c>
      <c r="B51" s="115">
        <f>53+3</f>
        <v>56</v>
      </c>
      <c r="C51" s="115">
        <v>12</v>
      </c>
      <c r="D51" s="113">
        <f>B51*24+C51</f>
        <v>1356</v>
      </c>
      <c r="E51" s="55"/>
      <c r="F51" s="55"/>
      <c r="G51" s="113">
        <f>E51*24+F51</f>
        <v>0</v>
      </c>
      <c r="H51" s="54">
        <v>1</v>
      </c>
      <c r="I51" s="55"/>
      <c r="J51" s="113">
        <f>H51*24+I51</f>
        <v>24</v>
      </c>
      <c r="K51" s="55">
        <v>1</v>
      </c>
      <c r="L51" s="55">
        <v>6</v>
      </c>
      <c r="M51" s="113">
        <f>K51*24+L51</f>
        <v>30</v>
      </c>
      <c r="N51" s="112">
        <f>1+5</f>
        <v>6</v>
      </c>
      <c r="O51" s="112"/>
      <c r="P51" s="113">
        <f>N51*24+O51</f>
        <v>144</v>
      </c>
      <c r="Q51" s="114">
        <f t="shared" si="5"/>
        <v>1554</v>
      </c>
      <c r="S51" s="111">
        <f t="shared" si="6"/>
        <v>0</v>
      </c>
    </row>
    <row r="52" spans="1:19" ht="17.100000000000001" customHeight="1">
      <c r="A52" s="53" t="s">
        <v>129</v>
      </c>
      <c r="B52" s="115"/>
      <c r="C52" s="115"/>
      <c r="D52" s="113">
        <f>B52*12+C52</f>
        <v>0</v>
      </c>
      <c r="E52" s="55"/>
      <c r="F52" s="55"/>
      <c r="G52" s="113">
        <f>E52*12+F52</f>
        <v>0</v>
      </c>
      <c r="H52" s="54"/>
      <c r="I52" s="55"/>
      <c r="J52" s="113">
        <f>H52*12+I52</f>
        <v>0</v>
      </c>
      <c r="K52" s="55"/>
      <c r="L52" s="55"/>
      <c r="M52" s="113">
        <f>K52*12+L52</f>
        <v>0</v>
      </c>
      <c r="N52" s="112"/>
      <c r="O52" s="112"/>
      <c r="P52" s="113">
        <f>N52*12+O52</f>
        <v>0</v>
      </c>
      <c r="Q52" s="114">
        <f t="shared" si="5"/>
        <v>0</v>
      </c>
      <c r="S52" s="111">
        <f t="shared" si="6"/>
        <v>0</v>
      </c>
    </row>
    <row r="53" spans="1:19" ht="17.100000000000001" customHeight="1">
      <c r="A53" s="53" t="s">
        <v>130</v>
      </c>
      <c r="B53" s="115"/>
      <c r="C53" s="115"/>
      <c r="D53" s="113">
        <f>B53*12+C53</f>
        <v>0</v>
      </c>
      <c r="E53" s="55"/>
      <c r="F53" s="55"/>
      <c r="G53" s="113">
        <f>E53*12+F53</f>
        <v>0</v>
      </c>
      <c r="H53" s="54"/>
      <c r="I53" s="55"/>
      <c r="J53" s="113">
        <f>H53*12+I53</f>
        <v>0</v>
      </c>
      <c r="K53" s="55"/>
      <c r="L53" s="55"/>
      <c r="M53" s="113">
        <f>K53*12+L53</f>
        <v>0</v>
      </c>
      <c r="N53" s="112">
        <v>20</v>
      </c>
      <c r="O53" s="112"/>
      <c r="P53" s="113">
        <f>N53*12+O53</f>
        <v>240</v>
      </c>
      <c r="Q53" s="114">
        <f t="shared" si="5"/>
        <v>240</v>
      </c>
      <c r="S53" s="111">
        <f t="shared" si="6"/>
        <v>0</v>
      </c>
    </row>
    <row r="54" spans="1:19">
      <c r="B54" s="117"/>
      <c r="C54" s="117"/>
      <c r="D54" s="117"/>
      <c r="E54" s="118"/>
      <c r="F54" s="118"/>
      <c r="G54" s="118"/>
      <c r="H54" s="118"/>
      <c r="I54" s="118"/>
      <c r="J54" s="118"/>
      <c r="K54" s="118"/>
      <c r="L54" s="118"/>
      <c r="M54" s="118"/>
      <c r="N54" s="118"/>
      <c r="O54" s="119"/>
      <c r="P54" s="119"/>
      <c r="Q54" s="120">
        <f>SUM(Q7:Q53)</f>
        <v>172879</v>
      </c>
      <c r="R54" s="121"/>
      <c r="S54" s="120">
        <f>SUM(S7:S53)</f>
        <v>0</v>
      </c>
    </row>
    <row r="55" spans="1:19" ht="15" customHeight="1">
      <c r="A55" s="57"/>
      <c r="B55" s="57"/>
      <c r="C55" s="57"/>
      <c r="D55" s="117"/>
      <c r="E55" s="57"/>
      <c r="F55" s="57"/>
      <c r="G55" s="57"/>
      <c r="H55" s="57"/>
      <c r="I55" s="57"/>
      <c r="J55" s="57"/>
      <c r="K55" s="58"/>
      <c r="L55" s="58"/>
      <c r="M55" s="58"/>
      <c r="N55" s="58"/>
      <c r="O55" s="58"/>
      <c r="P55" s="58"/>
      <c r="Q55" s="121"/>
    </row>
    <row r="56" spans="1:19">
      <c r="A56" s="57"/>
      <c r="B56" s="57"/>
      <c r="C56" s="57"/>
      <c r="D56" s="117"/>
      <c r="E56" s="57"/>
      <c r="F56" s="57"/>
      <c r="G56" s="57"/>
      <c r="H56" s="57"/>
      <c r="I56" s="57"/>
      <c r="J56" s="57"/>
      <c r="K56" s="58"/>
      <c r="L56" s="58"/>
      <c r="M56" s="58"/>
      <c r="N56" s="58"/>
      <c r="O56" s="58"/>
      <c r="P56" s="58"/>
      <c r="Q56" s="121"/>
    </row>
    <row r="57" spans="1:19">
      <c r="A57" s="58"/>
      <c r="B57" s="58"/>
      <c r="C57" s="58"/>
      <c r="D57" s="117"/>
      <c r="E57" s="58"/>
      <c r="F57" s="58"/>
      <c r="G57" s="58"/>
      <c r="H57" s="58"/>
      <c r="I57" s="58"/>
      <c r="J57" s="58"/>
      <c r="K57" s="58"/>
      <c r="L57" s="58"/>
      <c r="M57" s="58"/>
      <c r="N57" s="58"/>
      <c r="O57" s="58"/>
      <c r="P57" s="58"/>
      <c r="Q57" s="121"/>
    </row>
    <row r="58" spans="1:19">
      <c r="B58" s="10"/>
      <c r="C58" s="10"/>
      <c r="D58" s="10"/>
      <c r="E58" s="10"/>
      <c r="F58" s="10"/>
      <c r="G58" s="10"/>
      <c r="H58" s="10"/>
      <c r="I58" s="10"/>
      <c r="J58" s="10"/>
      <c r="K58" s="10"/>
      <c r="L58" s="10"/>
      <c r="M58" s="10"/>
      <c r="N58" s="10"/>
      <c r="O58" s="10"/>
      <c r="P58" s="10"/>
      <c r="Q58" s="10"/>
    </row>
    <row r="59" spans="1:19">
      <c r="A59" s="59"/>
      <c r="B59" s="150"/>
      <c r="C59" s="150"/>
      <c r="D59" s="7"/>
      <c r="E59" s="7"/>
      <c r="F59" s="7"/>
      <c r="G59" s="150"/>
      <c r="H59" s="150"/>
      <c r="I59" s="150"/>
      <c r="J59" s="7"/>
      <c r="K59" s="7"/>
      <c r="L59" s="7"/>
      <c r="M59" s="7"/>
      <c r="N59" s="7"/>
      <c r="O59" s="7"/>
      <c r="P59" s="7"/>
    </row>
    <row r="60" spans="1:19">
      <c r="D60" s="7"/>
      <c r="E60" s="7"/>
      <c r="F60" s="7"/>
      <c r="G60" s="7"/>
      <c r="H60" s="7"/>
      <c r="I60" s="7"/>
      <c r="J60" s="7"/>
      <c r="K60" s="7"/>
      <c r="L60" s="7"/>
      <c r="M60" s="7"/>
      <c r="N60" s="7"/>
      <c r="O60" s="7"/>
      <c r="P60" s="7"/>
    </row>
    <row r="61" spans="1:19">
      <c r="A61" s="59"/>
      <c r="B61" s="150"/>
      <c r="C61" s="150"/>
      <c r="D61" s="150"/>
      <c r="E61" s="7"/>
      <c r="F61" s="7"/>
      <c r="G61" s="150"/>
      <c r="H61" s="150"/>
      <c r="I61" s="150"/>
      <c r="J61" s="150"/>
      <c r="K61" s="7"/>
      <c r="L61" s="7"/>
      <c r="M61" s="7"/>
      <c r="N61" s="7"/>
      <c r="O61" s="7"/>
      <c r="P61" s="7"/>
    </row>
    <row r="62" spans="1:19">
      <c r="D62" s="7"/>
      <c r="E62" s="7"/>
      <c r="F62" s="7"/>
      <c r="G62" s="150"/>
      <c r="H62" s="150"/>
      <c r="I62" s="150"/>
      <c r="J62" s="7"/>
      <c r="K62" s="7"/>
      <c r="L62" s="7"/>
      <c r="M62" s="7"/>
      <c r="N62" s="7"/>
      <c r="O62" s="7"/>
      <c r="P62" s="7"/>
    </row>
    <row r="63" spans="1:19">
      <c r="D63" s="7"/>
      <c r="E63" s="7"/>
      <c r="F63" s="7"/>
      <c r="G63" s="7"/>
      <c r="H63" s="7"/>
      <c r="I63" s="7"/>
      <c r="J63" s="7"/>
      <c r="K63" s="7"/>
      <c r="L63" s="7"/>
      <c r="M63" s="7"/>
      <c r="N63" s="7"/>
      <c r="O63" s="7"/>
      <c r="P63" s="7"/>
    </row>
    <row r="64" spans="1:19">
      <c r="D64" s="7"/>
      <c r="E64" s="7"/>
      <c r="F64" s="7"/>
      <c r="G64" s="7"/>
      <c r="H64" s="7"/>
      <c r="I64" s="7"/>
      <c r="J64" s="7"/>
      <c r="K64" s="7"/>
      <c r="L64" s="7"/>
      <c r="M64" s="7"/>
      <c r="N64" s="7"/>
      <c r="O64" s="7"/>
      <c r="P64" s="7"/>
    </row>
    <row r="65" spans="1:19" s="7" customFormat="1">
      <c r="A65"/>
      <c r="R65" s="111"/>
      <c r="S65" s="111"/>
    </row>
    <row r="66" spans="1:19" s="7" customFormat="1">
      <c r="A66"/>
      <c r="B66" s="117"/>
      <c r="C66" s="117"/>
      <c r="D66" s="117"/>
      <c r="R66" s="111"/>
      <c r="S66" s="111"/>
    </row>
    <row r="67" spans="1:19" s="7" customFormat="1">
      <c r="A67" s="57"/>
      <c r="B67" s="57"/>
      <c r="C67" s="57"/>
      <c r="D67" s="117"/>
      <c r="R67" s="111"/>
      <c r="S67" s="111"/>
    </row>
    <row r="68" spans="1:19" s="7" customFormat="1">
      <c r="A68" s="57"/>
      <c r="B68" s="57"/>
      <c r="C68" s="57"/>
      <c r="D68" s="117"/>
      <c r="R68" s="111"/>
      <c r="S68" s="111"/>
    </row>
    <row r="69" spans="1:19" s="7" customFormat="1">
      <c r="A69" s="58"/>
      <c r="B69" s="58"/>
      <c r="C69" s="58"/>
      <c r="D69" s="117"/>
      <c r="R69" s="111"/>
      <c r="S69" s="111"/>
    </row>
    <row r="70" spans="1:19" s="7" customFormat="1">
      <c r="A70"/>
      <c r="R70" s="111"/>
      <c r="S70" s="111"/>
    </row>
    <row r="71" spans="1:19" s="7" customFormat="1">
      <c r="A71"/>
      <c r="R71" s="111"/>
      <c r="S71" s="111"/>
    </row>
    <row r="72" spans="1:19" s="7" customFormat="1">
      <c r="A72"/>
      <c r="R72" s="111"/>
      <c r="S72" s="111"/>
    </row>
    <row r="73" spans="1:19" s="7" customFormat="1">
      <c r="A73"/>
      <c r="R73" s="111"/>
      <c r="S73" s="111"/>
    </row>
    <row r="74" spans="1:19" s="7" customFormat="1">
      <c r="A74"/>
      <c r="R74" s="111"/>
      <c r="S74" s="111"/>
    </row>
    <row r="75" spans="1:19" s="7" customFormat="1">
      <c r="A75"/>
      <c r="R75" s="111"/>
      <c r="S75" s="111"/>
    </row>
    <row r="76" spans="1:19" s="7" customFormat="1">
      <c r="A76"/>
      <c r="R76" s="111"/>
      <c r="S76" s="111"/>
    </row>
    <row r="77" spans="1:19" s="7" customFormat="1">
      <c r="A77"/>
      <c r="R77" s="111"/>
      <c r="S77" s="111"/>
    </row>
    <row r="78" spans="1:19" s="7" customFormat="1">
      <c r="A78"/>
      <c r="R78" s="111"/>
      <c r="S78" s="111"/>
    </row>
    <row r="79" spans="1:19" s="7" customFormat="1">
      <c r="A79"/>
      <c r="R79" s="111"/>
      <c r="S79" s="111"/>
    </row>
    <row r="80" spans="1:19" s="7" customFormat="1">
      <c r="A80"/>
      <c r="R80" s="111"/>
      <c r="S80" s="111"/>
    </row>
    <row r="81" spans="18:19" s="7" customFormat="1">
      <c r="R81" s="111"/>
      <c r="S81" s="111"/>
    </row>
    <row r="82" spans="18:19" s="7" customFormat="1">
      <c r="R82" s="111"/>
      <c r="S82" s="111"/>
    </row>
    <row r="83" spans="18:19" s="7" customFormat="1">
      <c r="R83" s="111"/>
      <c r="S83" s="111"/>
    </row>
    <row r="84" spans="18:19" s="7" customFormat="1">
      <c r="R84" s="111"/>
      <c r="S84" s="111"/>
    </row>
    <row r="85" spans="18:19" s="7" customFormat="1">
      <c r="R85" s="111"/>
      <c r="S85" s="111"/>
    </row>
    <row r="86" spans="18:19" s="7" customFormat="1">
      <c r="R86" s="111"/>
      <c r="S86" s="111"/>
    </row>
  </sheetData>
  <mergeCells count="16">
    <mergeCell ref="B61:D61"/>
    <mergeCell ref="G61:J61"/>
    <mergeCell ref="G62:I62"/>
    <mergeCell ref="R4:R6"/>
    <mergeCell ref="S4:S6"/>
    <mergeCell ref="B5:D5"/>
    <mergeCell ref="E5:G5"/>
    <mergeCell ref="H5:J5"/>
    <mergeCell ref="B59:C59"/>
    <mergeCell ref="G59:I59"/>
    <mergeCell ref="Q4:Q6"/>
    <mergeCell ref="A4:A6"/>
    <mergeCell ref="B4:D4"/>
    <mergeCell ref="E4:J4"/>
    <mergeCell ref="K4:M5"/>
    <mergeCell ref="N4:P5"/>
  </mergeCells>
  <pageMargins left="0.25" right="0.25" top="0.75" bottom="0.75" header="0.3" footer="0.3"/>
  <pageSetup scale="6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U54"/>
  <sheetViews>
    <sheetView topLeftCell="A13" zoomScale="85" zoomScaleNormal="85" workbookViewId="0">
      <selection activeCell="S34" sqref="S34"/>
    </sheetView>
  </sheetViews>
  <sheetFormatPr defaultColWidth="9" defaultRowHeight="15"/>
  <cols>
    <col min="1" max="1" width="17.28515625" customWidth="1"/>
    <col min="2" max="2" width="39.140625" customWidth="1"/>
    <col min="4" max="4" width="11.7109375" customWidth="1"/>
    <col min="5" max="5" width="12.7109375" customWidth="1"/>
    <col min="6" max="6" width="17.85546875" bestFit="1" customWidth="1"/>
    <col min="7" max="7" width="16.42578125" hidden="1" customWidth="1"/>
    <col min="8" max="8" width="38.28515625" hidden="1" customWidth="1"/>
    <col min="9" max="9" width="8.85546875" hidden="1" customWidth="1"/>
    <col min="10" max="10" width="12.140625" hidden="1" customWidth="1"/>
    <col min="11" max="11" width="14" hidden="1" customWidth="1"/>
    <col min="12" max="12" width="8.85546875" hidden="1" customWidth="1"/>
    <col min="13" max="14" width="11.28515625" style="9" hidden="1" customWidth="1"/>
    <col min="17" max="17" width="17.42578125" customWidth="1"/>
    <col min="18" max="18" width="33.140625" customWidth="1"/>
    <col min="19" max="19" width="12.28515625" bestFit="1" customWidth="1"/>
    <col min="20" max="20" width="23.5703125" bestFit="1" customWidth="1"/>
    <col min="21" max="21" width="19" bestFit="1" customWidth="1"/>
  </cols>
  <sheetData>
    <row r="1" spans="1:14">
      <c r="A1" s="167" t="s">
        <v>133</v>
      </c>
      <c r="B1" s="167"/>
      <c r="G1" s="167" t="s">
        <v>133</v>
      </c>
      <c r="H1" s="167"/>
    </row>
    <row r="3" spans="1:14">
      <c r="A3" s="11" t="s">
        <v>26</v>
      </c>
      <c r="G3" s="11" t="s">
        <v>26</v>
      </c>
    </row>
    <row r="4" spans="1:14" s="17" customFormat="1" ht="23.25" customHeight="1">
      <c r="A4" s="153" t="s">
        <v>3</v>
      </c>
      <c r="B4" s="155" t="s">
        <v>4</v>
      </c>
      <c r="C4" s="157" t="s">
        <v>5</v>
      </c>
      <c r="D4" s="155" t="s">
        <v>7</v>
      </c>
      <c r="E4" s="155" t="s">
        <v>8</v>
      </c>
      <c r="G4" s="168" t="s">
        <v>3</v>
      </c>
      <c r="H4" s="169" t="s">
        <v>4</v>
      </c>
      <c r="I4" s="164" t="s">
        <v>5</v>
      </c>
      <c r="J4" s="164"/>
      <c r="K4" s="165" t="s">
        <v>7</v>
      </c>
      <c r="L4" s="165"/>
      <c r="M4" s="166" t="s">
        <v>8</v>
      </c>
      <c r="N4" s="166"/>
    </row>
    <row r="5" spans="1:14" ht="13.5" customHeight="1">
      <c r="A5" s="154"/>
      <c r="B5" s="156"/>
      <c r="C5" s="158"/>
      <c r="D5" s="156"/>
      <c r="E5" s="156"/>
      <c r="G5" s="168"/>
      <c r="H5" s="169"/>
      <c r="I5" s="74" t="s">
        <v>134</v>
      </c>
      <c r="J5" s="74" t="s">
        <v>135</v>
      </c>
      <c r="K5" s="73" t="s">
        <v>134</v>
      </c>
      <c r="L5" s="73" t="s">
        <v>135</v>
      </c>
      <c r="M5" s="76" t="s">
        <v>134</v>
      </c>
      <c r="N5" s="76" t="s">
        <v>135</v>
      </c>
    </row>
    <row r="6" spans="1:14" ht="18" customHeight="1">
      <c r="A6" s="75">
        <v>8881234567884</v>
      </c>
      <c r="B6" s="19" t="s">
        <v>238</v>
      </c>
      <c r="C6" s="20">
        <v>7.0416666670000003</v>
      </c>
      <c r="D6" s="46">
        <v>-43</v>
      </c>
      <c r="E6" s="38">
        <v>-302.7916666809997</v>
      </c>
      <c r="G6" s="18" t="s">
        <v>35</v>
      </c>
      <c r="H6" s="19" t="s">
        <v>36</v>
      </c>
      <c r="I6" s="70">
        <v>692</v>
      </c>
      <c r="J6" s="20">
        <v>57.67</v>
      </c>
      <c r="K6" s="14">
        <v>-1</v>
      </c>
      <c r="L6" s="14">
        <v>-4</v>
      </c>
      <c r="M6" s="15">
        <f>I6*K6</f>
        <v>-692</v>
      </c>
      <c r="N6" s="15">
        <f>J6*L6</f>
        <v>-230.68</v>
      </c>
    </row>
    <row r="7" spans="1:14" ht="18" customHeight="1">
      <c r="A7" s="75" t="s">
        <v>162</v>
      </c>
      <c r="B7" s="19" t="s">
        <v>208</v>
      </c>
      <c r="C7" s="20">
        <v>11.58</v>
      </c>
      <c r="D7" s="46">
        <v>-780</v>
      </c>
      <c r="E7" s="38">
        <v>-9032.3999999999942</v>
      </c>
      <c r="G7" s="18" t="s">
        <v>37</v>
      </c>
      <c r="H7" s="19" t="s">
        <v>38</v>
      </c>
      <c r="I7" s="70">
        <v>159</v>
      </c>
      <c r="J7" s="20">
        <v>6.63</v>
      </c>
      <c r="K7" s="14">
        <v>-1</v>
      </c>
      <c r="L7" s="14">
        <v>-2</v>
      </c>
      <c r="M7" s="15">
        <f t="shared" ref="M7:M18" si="0">I7*K7</f>
        <v>-159</v>
      </c>
      <c r="N7" s="15">
        <f t="shared" ref="N7:N18" si="1">J7*L7</f>
        <v>-13.26</v>
      </c>
    </row>
    <row r="8" spans="1:14" ht="18" customHeight="1">
      <c r="A8" s="75" t="s">
        <v>55</v>
      </c>
      <c r="B8" s="19" t="s">
        <v>56</v>
      </c>
      <c r="C8" s="20">
        <v>8.4</v>
      </c>
      <c r="D8" s="46">
        <v>-50</v>
      </c>
      <c r="E8" s="38">
        <v>-420</v>
      </c>
      <c r="G8" s="18" t="s">
        <v>41</v>
      </c>
      <c r="H8" s="19" t="s">
        <v>42</v>
      </c>
      <c r="I8" s="70">
        <v>246</v>
      </c>
      <c r="J8" s="20">
        <v>20.5</v>
      </c>
      <c r="K8" s="14">
        <v>-1</v>
      </c>
      <c r="L8" s="14">
        <v>-9</v>
      </c>
      <c r="M8" s="15">
        <f t="shared" si="0"/>
        <v>-246</v>
      </c>
      <c r="N8" s="15">
        <f t="shared" si="1"/>
        <v>-184.5</v>
      </c>
    </row>
    <row r="9" spans="1:14" ht="18" customHeight="1">
      <c r="A9" s="75" t="s">
        <v>59</v>
      </c>
      <c r="B9" s="19" t="s">
        <v>60</v>
      </c>
      <c r="C9" s="20">
        <v>11.2</v>
      </c>
      <c r="D9" s="46">
        <v>-528</v>
      </c>
      <c r="E9" s="38">
        <v>-5913.5999999999985</v>
      </c>
      <c r="G9" s="18" t="s">
        <v>43</v>
      </c>
      <c r="H9" s="19" t="s">
        <v>44</v>
      </c>
      <c r="I9" s="70">
        <v>184</v>
      </c>
      <c r="J9" s="20">
        <v>15.33</v>
      </c>
      <c r="K9" s="14">
        <v>-10</v>
      </c>
      <c r="L9" s="14"/>
      <c r="M9" s="15">
        <f t="shared" si="0"/>
        <v>-1840</v>
      </c>
      <c r="N9" s="15">
        <f t="shared" si="1"/>
        <v>0</v>
      </c>
    </row>
    <row r="10" spans="1:14" ht="18" customHeight="1">
      <c r="A10" s="75" t="s">
        <v>61</v>
      </c>
      <c r="B10" s="19" t="s">
        <v>62</v>
      </c>
      <c r="C10" s="20">
        <v>11.2</v>
      </c>
      <c r="D10" s="46">
        <v>-30</v>
      </c>
      <c r="E10" s="38">
        <v>-336</v>
      </c>
      <c r="G10" s="18" t="s">
        <v>49</v>
      </c>
      <c r="H10" s="19" t="s">
        <v>50</v>
      </c>
      <c r="I10" s="70">
        <v>126</v>
      </c>
      <c r="J10" s="20">
        <v>10.5</v>
      </c>
      <c r="K10" s="14">
        <v>-14</v>
      </c>
      <c r="L10" s="14"/>
      <c r="M10" s="15">
        <f t="shared" si="0"/>
        <v>-1764</v>
      </c>
      <c r="N10" s="15">
        <f t="shared" si="1"/>
        <v>0</v>
      </c>
    </row>
    <row r="11" spans="1:14" ht="18" customHeight="1">
      <c r="A11" s="75" t="s">
        <v>155</v>
      </c>
      <c r="B11" s="19" t="s">
        <v>214</v>
      </c>
      <c r="C11" s="20">
        <v>59.17</v>
      </c>
      <c r="D11" s="46">
        <v>-12</v>
      </c>
      <c r="E11" s="38">
        <v>-710.04000000000815</v>
      </c>
      <c r="G11" s="18" t="s">
        <v>51</v>
      </c>
      <c r="H11" s="19" t="s">
        <v>52</v>
      </c>
      <c r="I11" s="70">
        <v>726</v>
      </c>
      <c r="J11" s="20">
        <v>30.25</v>
      </c>
      <c r="K11" s="14">
        <v>-1</v>
      </c>
      <c r="L11" s="14"/>
      <c r="M11" s="15">
        <f t="shared" si="0"/>
        <v>-726</v>
      </c>
      <c r="N11" s="15">
        <f t="shared" si="1"/>
        <v>0</v>
      </c>
    </row>
    <row r="12" spans="1:14" ht="18" customHeight="1">
      <c r="A12" s="75" t="s">
        <v>174</v>
      </c>
      <c r="B12" s="19" t="s">
        <v>216</v>
      </c>
      <c r="C12" s="20">
        <v>7.04</v>
      </c>
      <c r="D12" s="46">
        <v>-28</v>
      </c>
      <c r="E12" s="38">
        <v>-197.11999999999898</v>
      </c>
      <c r="G12" s="18" t="s">
        <v>61</v>
      </c>
      <c r="H12" s="19" t="s">
        <v>62</v>
      </c>
      <c r="I12" s="70">
        <v>268.8</v>
      </c>
      <c r="J12" s="20">
        <v>11.2</v>
      </c>
      <c r="K12" s="14">
        <v>-19</v>
      </c>
      <c r="L12" s="14">
        <v>-18</v>
      </c>
      <c r="M12" s="15">
        <f t="shared" si="0"/>
        <v>-5107.2</v>
      </c>
      <c r="N12" s="15">
        <f t="shared" si="1"/>
        <v>-201.6</v>
      </c>
    </row>
    <row r="13" spans="1:14" ht="18" customHeight="1">
      <c r="A13" s="75">
        <v>8881234567882</v>
      </c>
      <c r="B13" s="19" t="s">
        <v>190</v>
      </c>
      <c r="C13" s="20">
        <v>21.333333329999999</v>
      </c>
      <c r="D13" s="46">
        <v>-183</v>
      </c>
      <c r="E13" s="38">
        <v>-3903.9999993900001</v>
      </c>
      <c r="G13" s="18"/>
      <c r="H13" s="19"/>
      <c r="I13" s="70"/>
      <c r="J13" s="20"/>
      <c r="K13" s="14"/>
      <c r="L13" s="14"/>
      <c r="M13" s="15"/>
      <c r="N13" s="15"/>
    </row>
    <row r="14" spans="1:14" ht="18" customHeight="1">
      <c r="A14" s="75" t="s">
        <v>173</v>
      </c>
      <c r="B14" s="19" t="s">
        <v>220</v>
      </c>
      <c r="C14" s="20">
        <v>11.58</v>
      </c>
      <c r="D14" s="46">
        <v>-36</v>
      </c>
      <c r="E14" s="38">
        <v>-416.87999999999738</v>
      </c>
      <c r="G14" s="18"/>
      <c r="H14" s="19"/>
      <c r="I14" s="70"/>
      <c r="J14" s="20"/>
      <c r="K14" s="14"/>
      <c r="L14" s="14"/>
      <c r="M14" s="15"/>
      <c r="N14" s="15"/>
    </row>
    <row r="15" spans="1:14" ht="18" customHeight="1">
      <c r="A15" s="75" t="s">
        <v>70</v>
      </c>
      <c r="B15" s="19" t="s">
        <v>71</v>
      </c>
      <c r="C15" s="20">
        <v>7.67</v>
      </c>
      <c r="D15" s="46">
        <v>-334</v>
      </c>
      <c r="E15" s="38">
        <v>-2561.7800000000025</v>
      </c>
      <c r="G15" s="18"/>
      <c r="H15" s="19"/>
      <c r="I15" s="70"/>
      <c r="J15" s="20"/>
      <c r="K15" s="14"/>
      <c r="L15" s="14"/>
      <c r="M15" s="15"/>
      <c r="N15" s="15"/>
    </row>
    <row r="16" spans="1:14" ht="18" customHeight="1">
      <c r="A16" s="75" t="s">
        <v>181</v>
      </c>
      <c r="B16" s="19" t="s">
        <v>230</v>
      </c>
      <c r="C16" s="20">
        <v>11.58</v>
      </c>
      <c r="D16" s="46">
        <v>-120</v>
      </c>
      <c r="E16" s="38">
        <v>-1389.6000000000058</v>
      </c>
      <c r="G16" s="18" t="s">
        <v>63</v>
      </c>
      <c r="H16" s="19" t="s">
        <v>64</v>
      </c>
      <c r="I16" s="70">
        <v>692</v>
      </c>
      <c r="J16" s="20">
        <v>57.67</v>
      </c>
      <c r="K16" s="14">
        <v>-8</v>
      </c>
      <c r="L16" s="14">
        <v>-5</v>
      </c>
      <c r="M16" s="15">
        <f>I16*K16</f>
        <v>-5536</v>
      </c>
      <c r="N16" s="15">
        <f t="shared" si="1"/>
        <v>-288.35000000000002</v>
      </c>
    </row>
    <row r="17" spans="1:19" ht="18" customHeight="1">
      <c r="A17" s="75" t="s">
        <v>78</v>
      </c>
      <c r="B17" s="19" t="s">
        <v>79</v>
      </c>
      <c r="C17" s="20">
        <v>6.67</v>
      </c>
      <c r="D17" s="46">
        <v>-39</v>
      </c>
      <c r="E17" s="38">
        <v>-260.13000000000466</v>
      </c>
      <c r="G17" s="18" t="s">
        <v>65</v>
      </c>
      <c r="H17" s="19" t="s">
        <v>66</v>
      </c>
      <c r="I17" s="70">
        <v>159</v>
      </c>
      <c r="J17" s="20">
        <v>6.63</v>
      </c>
      <c r="K17" s="14">
        <v>-4</v>
      </c>
      <c r="L17" s="14">
        <v>-23</v>
      </c>
      <c r="M17" s="15">
        <f t="shared" si="0"/>
        <v>-636</v>
      </c>
      <c r="N17" s="15">
        <f t="shared" si="1"/>
        <v>-152.49</v>
      </c>
    </row>
    <row r="18" spans="1:19" ht="18" customHeight="1">
      <c r="A18" s="75" t="s">
        <v>184</v>
      </c>
      <c r="B18" s="19" t="s">
        <v>193</v>
      </c>
      <c r="C18" s="20">
        <v>6.54</v>
      </c>
      <c r="D18" s="46">
        <v>-24</v>
      </c>
      <c r="E18" s="38">
        <v>-156.95999999999913</v>
      </c>
      <c r="G18" s="18" t="s">
        <v>67</v>
      </c>
      <c r="H18" s="19" t="s">
        <v>68</v>
      </c>
      <c r="I18" s="70">
        <v>726</v>
      </c>
      <c r="J18" s="20">
        <v>30.25</v>
      </c>
      <c r="K18" s="14">
        <v>-2</v>
      </c>
      <c r="L18" s="14"/>
      <c r="M18" s="15">
        <f t="shared" si="0"/>
        <v>-1452</v>
      </c>
      <c r="N18" s="15">
        <f t="shared" si="1"/>
        <v>0</v>
      </c>
    </row>
    <row r="19" spans="1:19" ht="18" customHeight="1">
      <c r="A19" s="21"/>
      <c r="B19" s="21"/>
      <c r="C19" s="21"/>
      <c r="D19" s="22">
        <f>SUM(D6:D18)</f>
        <v>-2207</v>
      </c>
      <c r="E19" s="23">
        <f>SUM(E6:E18)</f>
        <v>-25601.301666071009</v>
      </c>
      <c r="G19" s="21"/>
      <c r="H19" s="21"/>
      <c r="I19" s="21"/>
      <c r="J19" s="21"/>
      <c r="K19" s="71">
        <f>SUM(K6:K18)</f>
        <v>-61</v>
      </c>
      <c r="L19" s="71">
        <f>SUM(L6:L18)</f>
        <v>-61</v>
      </c>
      <c r="M19" s="72">
        <f>SUM(M6:M18)</f>
        <v>-18158.2</v>
      </c>
      <c r="N19" s="72">
        <f>SUM(N6:N18)</f>
        <v>-1070.8800000000001</v>
      </c>
      <c r="R19" s="99"/>
    </row>
    <row r="20" spans="1:19" ht="18" customHeight="1">
      <c r="D20" s="24"/>
      <c r="E20" s="25"/>
      <c r="N20" s="77">
        <f>M19+N19</f>
        <v>-19229.080000000002</v>
      </c>
    </row>
    <row r="21" spans="1:19" ht="18" customHeight="1">
      <c r="D21" s="24"/>
      <c r="E21" s="25"/>
      <c r="N21" s="79"/>
    </row>
    <row r="22" spans="1:19">
      <c r="G22" s="11" t="s">
        <v>28</v>
      </c>
    </row>
    <row r="23" spans="1:19">
      <c r="A23" s="11" t="s">
        <v>28</v>
      </c>
      <c r="G23" s="160" t="s">
        <v>3</v>
      </c>
      <c r="H23" s="162" t="s">
        <v>4</v>
      </c>
      <c r="I23" s="164" t="s">
        <v>5</v>
      </c>
      <c r="J23" s="164"/>
      <c r="K23" s="165" t="s">
        <v>7</v>
      </c>
      <c r="L23" s="165"/>
      <c r="M23" s="166" t="s">
        <v>8</v>
      </c>
      <c r="N23" s="166"/>
    </row>
    <row r="24" spans="1:19" ht="24">
      <c r="A24" s="45" t="s">
        <v>3</v>
      </c>
      <c r="B24" s="3" t="s">
        <v>4</v>
      </c>
      <c r="C24" s="27" t="s">
        <v>5</v>
      </c>
      <c r="D24" s="3" t="s">
        <v>7</v>
      </c>
      <c r="E24" s="3" t="s">
        <v>8</v>
      </c>
      <c r="F24" s="98"/>
      <c r="G24" s="161"/>
      <c r="H24" s="163"/>
      <c r="I24" s="74" t="s">
        <v>134</v>
      </c>
      <c r="J24" s="74" t="s">
        <v>135</v>
      </c>
      <c r="K24" s="73" t="s">
        <v>134</v>
      </c>
      <c r="L24" s="73" t="s">
        <v>135</v>
      </c>
      <c r="M24" s="76" t="s">
        <v>134</v>
      </c>
      <c r="N24" s="76" t="s">
        <v>135</v>
      </c>
    </row>
    <row r="25" spans="1:19" ht="21" customHeight="1">
      <c r="A25" s="75" t="s">
        <v>154</v>
      </c>
      <c r="B25" s="19" t="s">
        <v>203</v>
      </c>
      <c r="C25" s="20">
        <v>59.17</v>
      </c>
      <c r="D25" s="46">
        <v>138</v>
      </c>
      <c r="E25" s="38">
        <v>8165.4599999999919</v>
      </c>
      <c r="G25" s="95" t="s">
        <v>39</v>
      </c>
      <c r="H25" s="19" t="s">
        <v>40</v>
      </c>
      <c r="I25" s="70">
        <v>726</v>
      </c>
      <c r="J25" s="20">
        <v>30.25</v>
      </c>
      <c r="K25" s="14">
        <v>3</v>
      </c>
      <c r="L25" s="14"/>
      <c r="M25" s="15">
        <f>I25*K25</f>
        <v>2178</v>
      </c>
      <c r="N25" s="15">
        <f>J25*L25</f>
        <v>0</v>
      </c>
    </row>
    <row r="26" spans="1:19" ht="21.75" customHeight="1">
      <c r="A26" s="75" t="s">
        <v>163</v>
      </c>
      <c r="B26" s="19" t="s">
        <v>187</v>
      </c>
      <c r="C26" s="20">
        <v>15.83</v>
      </c>
      <c r="D26" s="46">
        <v>12</v>
      </c>
      <c r="E26" s="38">
        <v>189.96</v>
      </c>
      <c r="G26" s="95" t="s">
        <v>45</v>
      </c>
      <c r="H26" s="19" t="s">
        <v>46</v>
      </c>
      <c r="I26" s="70">
        <v>692</v>
      </c>
      <c r="J26" s="20">
        <v>57.67</v>
      </c>
      <c r="K26" s="14"/>
      <c r="L26" s="14">
        <v>1</v>
      </c>
      <c r="M26" s="15">
        <f t="shared" ref="M26:M31" si="2">I26*K26</f>
        <v>0</v>
      </c>
      <c r="N26" s="15">
        <f t="shared" ref="N26:N31" si="3">J26*L26</f>
        <v>57.67</v>
      </c>
    </row>
    <row r="27" spans="1:19" ht="15" customHeight="1">
      <c r="A27" s="75" t="s">
        <v>57</v>
      </c>
      <c r="B27" s="19" t="s">
        <v>58</v>
      </c>
      <c r="C27" s="20">
        <v>8.4</v>
      </c>
      <c r="D27" s="46">
        <v>30</v>
      </c>
      <c r="E27" s="38">
        <v>252</v>
      </c>
      <c r="G27" s="95" t="s">
        <v>47</v>
      </c>
      <c r="H27" s="19" t="s">
        <v>48</v>
      </c>
      <c r="I27" s="70">
        <v>126</v>
      </c>
      <c r="J27" s="20">
        <v>10.5</v>
      </c>
      <c r="K27" s="14">
        <v>6</v>
      </c>
      <c r="L27" s="14"/>
      <c r="M27" s="15">
        <f t="shared" si="2"/>
        <v>756</v>
      </c>
      <c r="N27" s="15">
        <f t="shared" si="3"/>
        <v>0</v>
      </c>
    </row>
    <row r="28" spans="1:19" ht="15" customHeight="1">
      <c r="A28" s="75" t="s">
        <v>169</v>
      </c>
      <c r="B28" s="19" t="s">
        <v>215</v>
      </c>
      <c r="C28" s="20">
        <v>36</v>
      </c>
      <c r="D28" s="46">
        <v>1</v>
      </c>
      <c r="E28" s="38">
        <v>36</v>
      </c>
      <c r="G28" s="95"/>
      <c r="H28" s="19"/>
      <c r="I28" s="70"/>
      <c r="J28" s="20"/>
      <c r="K28" s="14"/>
      <c r="L28" s="14"/>
      <c r="M28" s="15"/>
      <c r="N28" s="15"/>
    </row>
    <row r="29" spans="1:19" ht="15" customHeight="1">
      <c r="A29" s="75" t="s">
        <v>172</v>
      </c>
      <c r="B29" s="19" t="s">
        <v>219</v>
      </c>
      <c r="C29" s="20">
        <v>15.92</v>
      </c>
      <c r="D29" s="46">
        <v>120</v>
      </c>
      <c r="E29" s="38">
        <v>1910.4000000000015</v>
      </c>
      <c r="G29" s="95"/>
      <c r="H29" s="19"/>
      <c r="I29" s="70"/>
      <c r="J29" s="20"/>
      <c r="K29" s="14"/>
      <c r="L29" s="14"/>
      <c r="M29" s="15"/>
      <c r="N29" s="15"/>
    </row>
    <row r="30" spans="1:19" ht="15" customHeight="1">
      <c r="A30" s="75" t="s">
        <v>69</v>
      </c>
      <c r="B30" s="19" t="s">
        <v>223</v>
      </c>
      <c r="C30" s="20">
        <v>59.17</v>
      </c>
      <c r="D30" s="46">
        <v>50</v>
      </c>
      <c r="E30" s="38">
        <v>2958.5</v>
      </c>
      <c r="G30" s="95" t="s">
        <v>53</v>
      </c>
      <c r="H30" s="19" t="s">
        <v>54</v>
      </c>
      <c r="I30" s="70">
        <v>137</v>
      </c>
      <c r="J30" s="20">
        <v>11.42</v>
      </c>
      <c r="K30" s="14">
        <v>4</v>
      </c>
      <c r="L30" s="14">
        <v>1</v>
      </c>
      <c r="M30" s="15">
        <f t="shared" si="2"/>
        <v>548</v>
      </c>
      <c r="N30" s="15">
        <f t="shared" si="3"/>
        <v>11.42</v>
      </c>
    </row>
    <row r="31" spans="1:19" ht="15" customHeight="1">
      <c r="A31" s="75" t="s">
        <v>176</v>
      </c>
      <c r="B31" s="19" t="s">
        <v>226</v>
      </c>
      <c r="C31" s="20">
        <v>36.5</v>
      </c>
      <c r="D31" s="46">
        <v>1</v>
      </c>
      <c r="E31" s="38">
        <v>36.5</v>
      </c>
      <c r="G31" s="96" t="s">
        <v>55</v>
      </c>
      <c r="H31" s="19" t="s">
        <v>56</v>
      </c>
      <c r="I31" s="70">
        <f>J31*10</f>
        <v>85</v>
      </c>
      <c r="J31" s="20">
        <v>8.5</v>
      </c>
      <c r="K31" s="14">
        <v>1</v>
      </c>
      <c r="L31" s="14"/>
      <c r="M31" s="15">
        <f t="shared" si="2"/>
        <v>85</v>
      </c>
      <c r="N31" s="15">
        <f t="shared" si="3"/>
        <v>0</v>
      </c>
    </row>
    <row r="32" spans="1:19" ht="15" customHeight="1">
      <c r="A32" s="75" t="s">
        <v>72</v>
      </c>
      <c r="B32" s="19" t="s">
        <v>73</v>
      </c>
      <c r="C32" s="20">
        <v>22.33</v>
      </c>
      <c r="D32" s="46">
        <v>186</v>
      </c>
      <c r="E32" s="38">
        <v>4153.3800000000047</v>
      </c>
      <c r="G32" s="95" t="s">
        <v>57</v>
      </c>
      <c r="H32" s="19" t="s">
        <v>58</v>
      </c>
      <c r="I32" s="70">
        <v>85</v>
      </c>
      <c r="J32" s="20">
        <v>8.5</v>
      </c>
      <c r="K32" s="14">
        <v>1</v>
      </c>
      <c r="L32" s="14"/>
      <c r="M32" s="15">
        <f t="shared" ref="M32:M33" si="4">I32*K32</f>
        <v>85</v>
      </c>
      <c r="N32" s="15">
        <f t="shared" ref="N32:N33" si="5">J32*L32</f>
        <v>0</v>
      </c>
      <c r="S32">
        <f>327-552</f>
        <v>-225</v>
      </c>
    </row>
    <row r="33" spans="1:21" ht="15" customHeight="1">
      <c r="A33" s="75" t="s">
        <v>76</v>
      </c>
      <c r="B33" s="19" t="s">
        <v>77</v>
      </c>
      <c r="C33" s="20">
        <v>14.58</v>
      </c>
      <c r="D33" s="46">
        <v>14</v>
      </c>
      <c r="E33" s="38">
        <v>204.12000000000262</v>
      </c>
      <c r="G33" s="95" t="s">
        <v>59</v>
      </c>
      <c r="H33" s="19" t="s">
        <v>60</v>
      </c>
      <c r="I33" s="70">
        <v>268.8</v>
      </c>
      <c r="J33" s="20">
        <v>11.2</v>
      </c>
      <c r="K33" s="14">
        <v>5</v>
      </c>
      <c r="L33" s="14"/>
      <c r="M33" s="15">
        <f t="shared" si="4"/>
        <v>1344</v>
      </c>
      <c r="N33" s="15">
        <f t="shared" si="5"/>
        <v>0</v>
      </c>
      <c r="S33">
        <f>2207-1982</f>
        <v>225</v>
      </c>
    </row>
    <row r="34" spans="1:21">
      <c r="A34" s="33"/>
      <c r="B34" s="33"/>
      <c r="C34" s="33"/>
      <c r="D34" s="30">
        <f>SUM(D25:D33)</f>
        <v>552</v>
      </c>
      <c r="E34" s="23">
        <f>SUM(E25:E33)</f>
        <v>17906.32</v>
      </c>
      <c r="G34" s="97"/>
      <c r="H34" s="21"/>
      <c r="I34" s="21"/>
      <c r="J34" s="21"/>
      <c r="K34" s="71">
        <f>SUM(K25:K33)</f>
        <v>20</v>
      </c>
      <c r="L34" s="71">
        <f>SUM(L25:L33)</f>
        <v>2</v>
      </c>
      <c r="M34" s="72">
        <f>SUM(M25:M33)</f>
        <v>4996</v>
      </c>
      <c r="N34" s="72">
        <f>SUM(N25:N33)</f>
        <v>69.09</v>
      </c>
    </row>
    <row r="35" spans="1:21">
      <c r="F35" s="99"/>
      <c r="N35" s="77">
        <f>M34+N34</f>
        <v>5065.09</v>
      </c>
    </row>
    <row r="37" spans="1:21" ht="18.75">
      <c r="G37" s="83"/>
      <c r="H37" s="83"/>
      <c r="I37" s="83"/>
      <c r="J37" s="83"/>
      <c r="K37" s="83"/>
    </row>
    <row r="38" spans="1:21" ht="18.75">
      <c r="A38" s="159" t="s">
        <v>141</v>
      </c>
      <c r="B38" s="159"/>
      <c r="C38" s="159"/>
      <c r="D38" s="159"/>
      <c r="E38" s="159"/>
      <c r="F38" s="159"/>
      <c r="G38" s="159"/>
      <c r="H38" s="159"/>
      <c r="I38" s="159"/>
      <c r="J38" s="159"/>
      <c r="K38" s="159"/>
    </row>
    <row r="39" spans="1:21" ht="18.75">
      <c r="F39" s="83"/>
    </row>
    <row r="40" spans="1:21">
      <c r="A40" s="11" t="s">
        <v>28</v>
      </c>
      <c r="G40" s="11" t="s">
        <v>26</v>
      </c>
      <c r="Q40" s="11" t="s">
        <v>26</v>
      </c>
    </row>
    <row r="41" spans="1:21" ht="24">
      <c r="A41" s="45" t="s">
        <v>3</v>
      </c>
      <c r="B41" s="3" t="s">
        <v>4</v>
      </c>
      <c r="C41" s="27" t="s">
        <v>5</v>
      </c>
      <c r="D41" s="3" t="s">
        <v>7</v>
      </c>
      <c r="E41" s="3" t="s">
        <v>8</v>
      </c>
      <c r="G41" s="80" t="s">
        <v>3</v>
      </c>
      <c r="H41" s="81" t="s">
        <v>4</v>
      </c>
      <c r="I41" s="82" t="s">
        <v>5</v>
      </c>
      <c r="J41" s="81" t="s">
        <v>7</v>
      </c>
      <c r="K41" s="81" t="s">
        <v>8</v>
      </c>
      <c r="Q41" s="153" t="s">
        <v>3</v>
      </c>
      <c r="R41" s="155" t="s">
        <v>4</v>
      </c>
      <c r="S41" s="157" t="s">
        <v>5</v>
      </c>
      <c r="T41" s="155" t="s">
        <v>7</v>
      </c>
      <c r="U41" s="155" t="s">
        <v>8</v>
      </c>
    </row>
    <row r="42" spans="1:21">
      <c r="A42" s="75" t="s">
        <v>154</v>
      </c>
      <c r="B42" s="19" t="s">
        <v>203</v>
      </c>
      <c r="C42" s="20">
        <v>59.17</v>
      </c>
      <c r="D42" s="46">
        <v>126</v>
      </c>
      <c r="E42" s="38">
        <f>C42*D42</f>
        <v>7455.42</v>
      </c>
      <c r="G42" s="18"/>
      <c r="H42" s="19"/>
      <c r="I42" s="20"/>
      <c r="J42" s="46"/>
      <c r="K42" s="38"/>
      <c r="Q42" s="154"/>
      <c r="R42" s="156"/>
      <c r="S42" s="158"/>
      <c r="T42" s="156"/>
      <c r="U42" s="156"/>
    </row>
    <row r="43" spans="1:21">
      <c r="A43" s="75" t="s">
        <v>163</v>
      </c>
      <c r="B43" s="19" t="s">
        <v>187</v>
      </c>
      <c r="C43" s="20">
        <v>15.83</v>
      </c>
      <c r="D43" s="46">
        <v>12</v>
      </c>
      <c r="E43" s="38">
        <f t="shared" ref="E43:E49" si="6">C43*D43</f>
        <v>189.96</v>
      </c>
      <c r="G43" s="18"/>
      <c r="H43" s="19"/>
      <c r="I43" s="20"/>
      <c r="J43" s="46"/>
      <c r="K43" s="38"/>
      <c r="Q43" s="75">
        <v>8881234567884</v>
      </c>
      <c r="R43" s="19" t="s">
        <v>238</v>
      </c>
      <c r="S43" s="20">
        <v>7.0416666670000003</v>
      </c>
      <c r="T43" s="46">
        <v>-43</v>
      </c>
      <c r="U43" s="38">
        <f>T43*S43</f>
        <v>-302.79166668100004</v>
      </c>
    </row>
    <row r="44" spans="1:21">
      <c r="A44" s="75" t="s">
        <v>169</v>
      </c>
      <c r="B44" s="19" t="s">
        <v>215</v>
      </c>
      <c r="C44" s="20">
        <v>36</v>
      </c>
      <c r="D44" s="46">
        <v>1</v>
      </c>
      <c r="E44" s="38">
        <f t="shared" si="6"/>
        <v>36</v>
      </c>
      <c r="G44" s="18"/>
      <c r="H44" s="19"/>
      <c r="I44" s="20"/>
      <c r="J44" s="46"/>
      <c r="K44" s="38"/>
      <c r="Q44" s="75" t="s">
        <v>162</v>
      </c>
      <c r="R44" s="19" t="s">
        <v>208</v>
      </c>
      <c r="S44" s="20">
        <v>11.58</v>
      </c>
      <c r="T44" s="46">
        <v>-780</v>
      </c>
      <c r="U44" s="38">
        <f t="shared" ref="U44:U53" si="7">T44*S44</f>
        <v>-9032.4</v>
      </c>
    </row>
    <row r="45" spans="1:21">
      <c r="A45" s="75" t="s">
        <v>172</v>
      </c>
      <c r="B45" s="19" t="s">
        <v>219</v>
      </c>
      <c r="C45" s="20">
        <v>15.92</v>
      </c>
      <c r="D45" s="46">
        <v>120</v>
      </c>
      <c r="E45" s="38">
        <f t="shared" si="6"/>
        <v>1910.4</v>
      </c>
      <c r="G45" s="18"/>
      <c r="H45" s="19"/>
      <c r="I45" s="20"/>
      <c r="J45" s="46"/>
      <c r="K45" s="38"/>
      <c r="Q45" s="75" t="s">
        <v>55</v>
      </c>
      <c r="R45" s="19" t="s">
        <v>56</v>
      </c>
      <c r="S45" s="20">
        <v>8.4</v>
      </c>
      <c r="T45" s="46">
        <v>-20</v>
      </c>
      <c r="U45" s="38">
        <f t="shared" si="7"/>
        <v>-168</v>
      </c>
    </row>
    <row r="46" spans="1:21" ht="30">
      <c r="A46" s="75" t="s">
        <v>69</v>
      </c>
      <c r="B46" s="19" t="s">
        <v>223</v>
      </c>
      <c r="C46" s="20">
        <v>59.17</v>
      </c>
      <c r="D46" s="46">
        <v>50</v>
      </c>
      <c r="E46" s="38">
        <f t="shared" si="6"/>
        <v>2958.5</v>
      </c>
      <c r="G46" s="18"/>
      <c r="H46" s="19"/>
      <c r="I46" s="20"/>
      <c r="J46" s="46"/>
      <c r="K46" s="38"/>
      <c r="Q46" s="75" t="s">
        <v>59</v>
      </c>
      <c r="R46" s="19" t="s">
        <v>60</v>
      </c>
      <c r="S46" s="20">
        <v>11.2</v>
      </c>
      <c r="T46" s="46">
        <v>-528</v>
      </c>
      <c r="U46" s="38">
        <f t="shared" si="7"/>
        <v>-5913.5999999999995</v>
      </c>
    </row>
    <row r="47" spans="1:21" ht="30">
      <c r="A47" s="75" t="s">
        <v>176</v>
      </c>
      <c r="B47" s="19" t="s">
        <v>226</v>
      </c>
      <c r="C47" s="20">
        <v>36.5</v>
      </c>
      <c r="D47" s="46">
        <v>1</v>
      </c>
      <c r="E47" s="38">
        <f t="shared" si="6"/>
        <v>36.5</v>
      </c>
      <c r="G47" s="18"/>
      <c r="H47" s="19"/>
      <c r="I47" s="20"/>
      <c r="J47" s="46"/>
      <c r="K47" s="38"/>
      <c r="Q47" s="75" t="s">
        <v>61</v>
      </c>
      <c r="R47" s="19" t="s">
        <v>62</v>
      </c>
      <c r="S47" s="20">
        <v>11.2</v>
      </c>
      <c r="T47" s="46">
        <v>-30</v>
      </c>
      <c r="U47" s="38">
        <f t="shared" si="7"/>
        <v>-336</v>
      </c>
    </row>
    <row r="48" spans="1:21">
      <c r="A48" s="75" t="s">
        <v>72</v>
      </c>
      <c r="B48" s="19" t="s">
        <v>73</v>
      </c>
      <c r="C48" s="20">
        <v>22.33</v>
      </c>
      <c r="D48" s="46">
        <v>3</v>
      </c>
      <c r="E48" s="38">
        <f t="shared" si="6"/>
        <v>66.989999999999995</v>
      </c>
      <c r="G48" s="18"/>
      <c r="H48" s="19"/>
      <c r="I48" s="20"/>
      <c r="J48" s="46"/>
      <c r="K48" s="38"/>
      <c r="Q48" s="75" t="s">
        <v>174</v>
      </c>
      <c r="R48" s="19" t="s">
        <v>216</v>
      </c>
      <c r="S48" s="20">
        <v>7.04</v>
      </c>
      <c r="T48" s="46">
        <v>-28</v>
      </c>
      <c r="U48" s="38">
        <f t="shared" si="7"/>
        <v>-197.12</v>
      </c>
    </row>
    <row r="49" spans="1:21">
      <c r="A49" s="75" t="s">
        <v>76</v>
      </c>
      <c r="B49" s="19" t="s">
        <v>77</v>
      </c>
      <c r="C49" s="20">
        <v>14.58</v>
      </c>
      <c r="D49" s="46">
        <v>14</v>
      </c>
      <c r="E49" s="38">
        <f t="shared" si="6"/>
        <v>204.12</v>
      </c>
      <c r="G49" s="75"/>
      <c r="H49" s="19"/>
      <c r="I49" s="20"/>
      <c r="J49" s="46"/>
      <c r="K49" s="38"/>
      <c r="Q49" s="75" t="s">
        <v>173</v>
      </c>
      <c r="R49" s="19" t="s">
        <v>220</v>
      </c>
      <c r="S49" s="20">
        <v>11.58</v>
      </c>
      <c r="T49" s="46">
        <v>-36</v>
      </c>
      <c r="U49" s="38">
        <f t="shared" si="7"/>
        <v>-416.88</v>
      </c>
    </row>
    <row r="50" spans="1:21">
      <c r="A50" s="33"/>
      <c r="B50" s="33"/>
      <c r="C50" s="33"/>
      <c r="D50" s="30">
        <f>SUM(D42:D49)</f>
        <v>327</v>
      </c>
      <c r="E50" s="23">
        <f>SUM(E42:E49)</f>
        <v>12857.890000000001</v>
      </c>
      <c r="G50" s="21"/>
      <c r="H50" s="21"/>
      <c r="I50" s="21"/>
      <c r="J50" s="22">
        <f>SUM(J42:J49)</f>
        <v>0</v>
      </c>
      <c r="K50" s="23">
        <f>SUM(K42:K49)</f>
        <v>0</v>
      </c>
      <c r="Q50" s="75" t="s">
        <v>70</v>
      </c>
      <c r="R50" s="19" t="s">
        <v>71</v>
      </c>
      <c r="S50" s="20">
        <v>7.67</v>
      </c>
      <c r="T50" s="46">
        <v>-334</v>
      </c>
      <c r="U50" s="38">
        <f t="shared" si="7"/>
        <v>-2561.7800000000002</v>
      </c>
    </row>
    <row r="51" spans="1:21">
      <c r="Q51" s="75" t="s">
        <v>181</v>
      </c>
      <c r="R51" s="19" t="s">
        <v>230</v>
      </c>
      <c r="S51" s="20">
        <v>11.58</v>
      </c>
      <c r="T51" s="46">
        <v>-120</v>
      </c>
      <c r="U51" s="38">
        <f t="shared" si="7"/>
        <v>-1389.6</v>
      </c>
    </row>
    <row r="52" spans="1:21">
      <c r="Q52" s="75" t="s">
        <v>78</v>
      </c>
      <c r="R52" s="19" t="s">
        <v>79</v>
      </c>
      <c r="S52" s="20">
        <v>6.67</v>
      </c>
      <c r="T52" s="46">
        <v>-39</v>
      </c>
      <c r="U52" s="38">
        <f t="shared" si="7"/>
        <v>-260.13</v>
      </c>
    </row>
    <row r="53" spans="1:21">
      <c r="Q53" s="75" t="s">
        <v>184</v>
      </c>
      <c r="R53" s="19" t="s">
        <v>193</v>
      </c>
      <c r="S53" s="20">
        <v>6.54</v>
      </c>
      <c r="T53" s="46">
        <v>-24</v>
      </c>
      <c r="U53" s="38">
        <f t="shared" si="7"/>
        <v>-156.96</v>
      </c>
    </row>
    <row r="54" spans="1:21">
      <c r="Q54" s="21"/>
      <c r="R54" s="21"/>
      <c r="S54" s="21"/>
      <c r="T54" s="22">
        <f>SUM(T43:T53)</f>
        <v>-1982</v>
      </c>
      <c r="U54" s="23">
        <f>SUM(U43:U53)</f>
        <v>-20735.261666680995</v>
      </c>
    </row>
  </sheetData>
  <mergeCells count="23">
    <mergeCell ref="M23:N23"/>
    <mergeCell ref="A1:B1"/>
    <mergeCell ref="E4:E5"/>
    <mergeCell ref="G1:H1"/>
    <mergeCell ref="M4:N4"/>
    <mergeCell ref="I4:J4"/>
    <mergeCell ref="G4:G5"/>
    <mergeCell ref="H4:H5"/>
    <mergeCell ref="K4:L4"/>
    <mergeCell ref="D4:D5"/>
    <mergeCell ref="C4:C5"/>
    <mergeCell ref="B4:B5"/>
    <mergeCell ref="A4:A5"/>
    <mergeCell ref="A38:K38"/>
    <mergeCell ref="G23:G24"/>
    <mergeCell ref="H23:H24"/>
    <mergeCell ref="I23:J23"/>
    <mergeCell ref="K23:L23"/>
    <mergeCell ref="Q41:Q42"/>
    <mergeCell ref="R41:R42"/>
    <mergeCell ref="S41:S42"/>
    <mergeCell ref="T41:T42"/>
    <mergeCell ref="U41:U42"/>
  </mergeCells>
  <pageMargins left="0.7" right="0.7" top="0.75" bottom="0.75" header="0.3" footer="0.3"/>
  <pageSetup paperSize="14"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COCA COLA</vt:lpstr>
      <vt:lpstr>beginning inv-APR 2026</vt:lpstr>
      <vt:lpstr>ending inv</vt:lpstr>
      <vt:lpstr>VB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ampcdt2</dc:creator>
  <cp:lastModifiedBy>AMPC-Nerissa Duldulao</cp:lastModifiedBy>
  <cp:lastPrinted>2026-06-30T07:03:01Z</cp:lastPrinted>
  <dcterms:created xsi:type="dcterms:W3CDTF">2022-09-19T06:35:00Z</dcterms:created>
  <dcterms:modified xsi:type="dcterms:W3CDTF">2026-06-30T07:05:02Z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7B89EFFD48E1435BB2F96505029CE542_12</vt:lpwstr>
  </property>
  <property fmtid="{D5CDD505-2E9C-101B-9397-08002B2CF9AE}" pid="3" name="KSOProductBuildVer">
    <vt:lpwstr>1033-12.2.0.18607</vt:lpwstr>
  </property>
</Properties>
</file>