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2 - INVENTORY FILES\02 - INVENTORY REPORTS\2026\05. INVENTORY REPORT - MAY 2026\"/>
    </mc:Choice>
  </mc:AlternateContent>
  <xr:revisionPtr revIDLastSave="0" documentId="13_ncr:1_{A63D233E-C37E-49E5-AB08-F398704B7E84}" xr6:coauthVersionLast="47" xr6:coauthVersionMax="47" xr10:uidLastSave="{00000000-0000-0000-0000-000000000000}"/>
  <bookViews>
    <workbookView xWindow="-120" yWindow="-120" windowWidth="20730" windowHeight="11160" tabRatio="552" activeTab="3" xr2:uid="{00000000-000D-0000-FFFF-FFFF00000000}"/>
  </bookViews>
  <sheets>
    <sheet name="PRINTING" sheetId="5" r:id="rId1"/>
    <sheet name="VB-3" sheetId="15" r:id="rId2"/>
    <sheet name="CONVIE-NOT FINAL" sheetId="1" r:id="rId3"/>
    <sheet name="VB-1" sheetId="14" r:id="rId4"/>
  </sheets>
  <definedNames>
    <definedName name="_xlnm._FilterDatabase" localSheetId="2" hidden="1">'CONVIE-NOT FINAL'!$B$5:$M$1703</definedName>
    <definedName name="_xlnm._FilterDatabase" localSheetId="0" hidden="1">PRINTING!$B$5:$X$221</definedName>
    <definedName name="_xlnm.Print_Area" localSheetId="0">PRINTING!$A$1:$M$238</definedName>
    <definedName name="_xlnm.Print_Area" localSheetId="3">'VB-1'!$A$1:$L$1239</definedName>
    <definedName name="_xlnm.Print_Area" localSheetId="1">'VB-3'!$A$1:$L$78</definedName>
  </definedNames>
  <calcPr calcId="181029"/>
</workbook>
</file>

<file path=xl/calcChain.xml><?xml version="1.0" encoding="utf-8"?>
<calcChain xmlns="http://schemas.openxmlformats.org/spreadsheetml/2006/main">
  <c r="F1238" i="14" l="1"/>
  <c r="G1238" i="14"/>
  <c r="H1238" i="14"/>
  <c r="I1238" i="14"/>
  <c r="J1238" i="14"/>
  <c r="E1238" i="14"/>
  <c r="H882" i="1"/>
  <c r="H878" i="1"/>
  <c r="H1268" i="1"/>
  <c r="H1299" i="1"/>
  <c r="H1306" i="1"/>
  <c r="H1291" i="1"/>
  <c r="H1292" i="1"/>
  <c r="H1289" i="1"/>
  <c r="H1288" i="1"/>
  <c r="H1287" i="1"/>
  <c r="H1110" i="1"/>
  <c r="H1104" i="1"/>
  <c r="H1102" i="1"/>
  <c r="H1103" i="1"/>
  <c r="H1266" i="1"/>
  <c r="H1265" i="1"/>
  <c r="H1256" i="1"/>
  <c r="H1254" i="1"/>
  <c r="H1260" i="1"/>
  <c r="H1255" i="1"/>
  <c r="H1261" i="1"/>
  <c r="H1081" i="1"/>
  <c r="H1082" i="1"/>
  <c r="H1080" i="1"/>
  <c r="H1244" i="1"/>
  <c r="H1237" i="1"/>
  <c r="H1042" i="1"/>
  <c r="H1011" i="1"/>
  <c r="H1010" i="1"/>
  <c r="H1222" i="1"/>
  <c r="H1219" i="1"/>
  <c r="H957" i="1"/>
  <c r="H936" i="1"/>
  <c r="H935" i="1"/>
  <c r="H934" i="1"/>
  <c r="H1194" i="1"/>
  <c r="H1183" i="1"/>
  <c r="H1182" i="1"/>
  <c r="H903" i="1"/>
  <c r="H895" i="1"/>
  <c r="H1178" i="1"/>
  <c r="H1180" i="1"/>
  <c r="H1174" i="1"/>
  <c r="H887" i="1"/>
  <c r="H1632" i="1"/>
  <c r="H857" i="1"/>
  <c r="H861" i="1"/>
  <c r="H1165" i="1"/>
  <c r="H1163" i="1"/>
  <c r="H1150" i="1"/>
  <c r="H1138" i="1"/>
  <c r="H1139" i="1"/>
  <c r="H720" i="1" l="1"/>
  <c r="H596" i="1"/>
  <c r="H474" i="1"/>
  <c r="H437" i="1"/>
  <c r="H427" i="1"/>
  <c r="H422" i="1"/>
  <c r="H423" i="1"/>
  <c r="H444" i="1"/>
  <c r="H442" i="1"/>
  <c r="H85" i="1"/>
  <c r="H1019" i="1"/>
  <c r="H267" i="1"/>
  <c r="H601" i="1"/>
  <c r="H604" i="1"/>
  <c r="H823" i="1"/>
  <c r="H824" i="1"/>
  <c r="H504" i="1"/>
  <c r="H46" i="1"/>
  <c r="H571" i="1"/>
  <c r="H569" i="1"/>
  <c r="H572" i="1"/>
  <c r="H602" i="1"/>
  <c r="H326" i="1"/>
  <c r="H1529" i="1"/>
  <c r="H287" i="1"/>
  <c r="H527" i="1"/>
  <c r="H475" i="1"/>
  <c r="H913" i="1"/>
  <c r="H1060" i="1"/>
  <c r="H321" i="1"/>
  <c r="H66" i="1"/>
  <c r="H498" i="1"/>
  <c r="H27" i="1"/>
  <c r="H60" i="1"/>
  <c r="H925" i="1"/>
  <c r="H460" i="1"/>
  <c r="H345" i="1"/>
  <c r="H1547" i="1"/>
  <c r="H1546" i="1"/>
  <c r="H711" i="1"/>
  <c r="H246" i="1"/>
  <c r="H294" i="1"/>
  <c r="H727" i="1"/>
  <c r="H8" i="1"/>
  <c r="H1084" i="1"/>
  <c r="H1029" i="1"/>
  <c r="H1083" i="1"/>
  <c r="H879" i="1"/>
  <c r="H1140" i="1"/>
  <c r="H1297" i="1"/>
  <c r="H584" i="1"/>
  <c r="H180" i="1"/>
  <c r="H603" i="1"/>
  <c r="H372" i="1"/>
  <c r="H529" i="1"/>
  <c r="H531" i="1"/>
  <c r="H516" i="1"/>
  <c r="H515" i="1"/>
  <c r="H1537" i="1"/>
  <c r="H1543" i="1"/>
  <c r="H1539" i="1"/>
  <c r="H1544" i="1"/>
  <c r="H1531" i="1"/>
  <c r="H90" i="1"/>
  <c r="H716" i="1"/>
  <c r="H761" i="1"/>
  <c r="H43" i="1"/>
  <c r="H17" i="1"/>
  <c r="H47" i="1"/>
  <c r="H41" i="1"/>
  <c r="H88" i="1"/>
  <c r="H87" i="1"/>
  <c r="H104" i="1"/>
  <c r="H105" i="1"/>
  <c r="H92" i="1"/>
  <c r="H77" i="1"/>
  <c r="H74" i="1"/>
  <c r="H473" i="1"/>
  <c r="H503" i="1"/>
  <c r="H509" i="1"/>
  <c r="H514" i="1"/>
  <c r="H1596" i="1"/>
  <c r="H1670" i="1"/>
  <c r="H1640" i="1"/>
  <c r="H1614" i="1"/>
  <c r="H1552" i="1"/>
  <c r="H1551" i="1"/>
  <c r="H1542" i="1"/>
  <c r="H1500" i="1"/>
  <c r="J1500" i="1" s="1"/>
  <c r="H1497" i="1"/>
  <c r="J1497" i="1" s="1"/>
  <c r="H1496" i="1"/>
  <c r="J1496" i="1" s="1"/>
  <c r="H1495" i="1"/>
  <c r="K1495" i="1" s="1"/>
  <c r="H1483" i="1"/>
  <c r="K1483" i="1" s="1"/>
  <c r="H1481" i="1"/>
  <c r="J1481" i="1" s="1"/>
  <c r="H1285" i="1"/>
  <c r="H1193" i="1"/>
  <c r="H1185" i="1"/>
  <c r="H1179" i="1"/>
  <c r="H1173" i="1"/>
  <c r="H1164" i="1"/>
  <c r="H1036" i="1"/>
  <c r="H1035" i="1"/>
  <c r="H1034" i="1"/>
  <c r="H971" i="1"/>
  <c r="H939" i="1"/>
  <c r="G846" i="1"/>
  <c r="H451" i="1"/>
  <c r="H452" i="1"/>
  <c r="H752" i="1"/>
  <c r="H747" i="1"/>
  <c r="H742" i="1"/>
  <c r="H741" i="1"/>
  <c r="H703" i="1"/>
  <c r="H592" i="1"/>
  <c r="H588" i="1"/>
  <c r="H552" i="1"/>
  <c r="H547" i="1"/>
  <c r="H466" i="1"/>
  <c r="H435" i="1"/>
  <c r="H434" i="1"/>
  <c r="H339" i="1"/>
  <c r="H296" i="1"/>
  <c r="H164" i="1"/>
  <c r="H140" i="1"/>
  <c r="H131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H221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6" i="5"/>
  <c r="J6" i="5"/>
  <c r="I1580" i="1"/>
  <c r="I1475" i="1"/>
  <c r="J1511" i="1"/>
  <c r="K1511" i="1"/>
  <c r="J1510" i="1"/>
  <c r="K1510" i="1"/>
  <c r="J1509" i="1"/>
  <c r="K1509" i="1"/>
  <c r="J1508" i="1"/>
  <c r="K1508" i="1"/>
  <c r="J1507" i="1"/>
  <c r="K1507" i="1"/>
  <c r="J1506" i="1"/>
  <c r="K1506" i="1"/>
  <c r="J1505" i="1"/>
  <c r="K1505" i="1"/>
  <c r="J1504" i="1"/>
  <c r="K1504" i="1"/>
  <c r="J1503" i="1"/>
  <c r="K1503" i="1"/>
  <c r="J1502" i="1"/>
  <c r="K1502" i="1"/>
  <c r="J1501" i="1"/>
  <c r="K1501" i="1"/>
  <c r="J1499" i="1"/>
  <c r="K1499" i="1"/>
  <c r="J1498" i="1"/>
  <c r="K1498" i="1"/>
  <c r="K1496" i="1"/>
  <c r="J1495" i="1"/>
  <c r="J1494" i="1"/>
  <c r="K1494" i="1"/>
  <c r="J1493" i="1"/>
  <c r="K1493" i="1"/>
  <c r="J1492" i="1"/>
  <c r="K1492" i="1"/>
  <c r="J1491" i="1"/>
  <c r="K1491" i="1"/>
  <c r="J1490" i="1"/>
  <c r="K1490" i="1"/>
  <c r="J1489" i="1"/>
  <c r="K1489" i="1"/>
  <c r="J1488" i="1"/>
  <c r="K1488" i="1"/>
  <c r="J1487" i="1"/>
  <c r="K1487" i="1"/>
  <c r="J1486" i="1"/>
  <c r="K1486" i="1"/>
  <c r="J1485" i="1"/>
  <c r="K1485" i="1"/>
  <c r="J1484" i="1"/>
  <c r="K1484" i="1"/>
  <c r="J1483" i="1"/>
  <c r="J1482" i="1"/>
  <c r="K1482" i="1"/>
  <c r="J1480" i="1"/>
  <c r="K1480" i="1"/>
  <c r="J1479" i="1"/>
  <c r="K1479" i="1"/>
  <c r="J1478" i="1"/>
  <c r="K1478" i="1"/>
  <c r="J1477" i="1"/>
  <c r="K1477" i="1"/>
  <c r="J1476" i="1"/>
  <c r="K1476" i="1"/>
  <c r="J1475" i="1"/>
  <c r="K1475" i="1"/>
  <c r="J1474" i="1"/>
  <c r="K1474" i="1"/>
  <c r="J1473" i="1"/>
  <c r="K1473" i="1"/>
  <c r="J1472" i="1"/>
  <c r="K1472" i="1"/>
  <c r="J1471" i="1"/>
  <c r="K1471" i="1"/>
  <c r="J1470" i="1"/>
  <c r="K1470" i="1"/>
  <c r="J1469" i="1"/>
  <c r="K1469" i="1"/>
  <c r="J1468" i="1"/>
  <c r="K1468" i="1"/>
  <c r="J1467" i="1"/>
  <c r="K1467" i="1"/>
  <c r="J1466" i="1"/>
  <c r="K1466" i="1"/>
  <c r="J1465" i="1"/>
  <c r="K1465" i="1"/>
  <c r="J1464" i="1"/>
  <c r="K1464" i="1"/>
  <c r="J1463" i="1"/>
  <c r="K1463" i="1"/>
  <c r="J1462" i="1"/>
  <c r="K1462" i="1"/>
  <c r="J1461" i="1"/>
  <c r="K1461" i="1"/>
  <c r="J1460" i="1"/>
  <c r="K1460" i="1"/>
  <c r="J1459" i="1"/>
  <c r="K1459" i="1"/>
  <c r="J1458" i="1"/>
  <c r="K1458" i="1"/>
  <c r="J1457" i="1"/>
  <c r="K1457" i="1"/>
  <c r="J1456" i="1"/>
  <c r="K1456" i="1"/>
  <c r="K1497" i="1" l="1"/>
  <c r="K1500" i="1"/>
  <c r="K1481" i="1"/>
  <c r="L40" i="1"/>
  <c r="L32" i="1"/>
  <c r="L23" i="1"/>
  <c r="L24" i="1"/>
  <c r="L36" i="1"/>
  <c r="L28" i="1"/>
  <c r="L41" i="1"/>
  <c r="L37" i="1"/>
  <c r="L29" i="1"/>
  <c r="L25" i="1"/>
  <c r="L38" i="1"/>
  <c r="L34" i="1"/>
  <c r="L30" i="1"/>
  <c r="L26" i="1"/>
  <c r="L33" i="1"/>
  <c r="L39" i="1"/>
  <c r="L35" i="1"/>
  <c r="L31" i="1"/>
  <c r="L27" i="1"/>
  <c r="L1475" i="1"/>
  <c r="I221" i="5"/>
  <c r="I1256" i="1"/>
  <c r="J1256" i="1"/>
  <c r="K1256" i="1"/>
  <c r="L1256" i="1" l="1"/>
  <c r="I1254" i="1" l="1"/>
  <c r="J1254" i="1"/>
  <c r="K1254" i="1"/>
  <c r="I1255" i="1"/>
  <c r="J1255" i="1"/>
  <c r="K1255" i="1"/>
  <c r="I1257" i="1"/>
  <c r="J1257" i="1"/>
  <c r="K1257" i="1"/>
  <c r="I1258" i="1"/>
  <c r="J1258" i="1"/>
  <c r="K1258" i="1"/>
  <c r="I1259" i="1"/>
  <c r="J1259" i="1"/>
  <c r="K1259" i="1"/>
  <c r="I1260" i="1"/>
  <c r="J1260" i="1"/>
  <c r="K1260" i="1"/>
  <c r="I1261" i="1"/>
  <c r="J1261" i="1"/>
  <c r="K1261" i="1"/>
  <c r="I1262" i="1"/>
  <c r="J1262" i="1"/>
  <c r="K1262" i="1"/>
  <c r="I1263" i="1"/>
  <c r="J1263" i="1"/>
  <c r="K1263" i="1"/>
  <c r="I1264" i="1"/>
  <c r="J1264" i="1"/>
  <c r="K1264" i="1"/>
  <c r="I1265" i="1"/>
  <c r="J1265" i="1"/>
  <c r="K1265" i="1"/>
  <c r="I1266" i="1"/>
  <c r="J1266" i="1"/>
  <c r="K1266" i="1"/>
  <c r="I1267" i="1"/>
  <c r="J1267" i="1"/>
  <c r="K1267" i="1"/>
  <c r="I1268" i="1"/>
  <c r="J1268" i="1"/>
  <c r="K1268" i="1"/>
  <c r="I1269" i="1"/>
  <c r="J1269" i="1"/>
  <c r="K1269" i="1"/>
  <c r="I1270" i="1"/>
  <c r="J1270" i="1"/>
  <c r="K1270" i="1"/>
  <c r="I1271" i="1"/>
  <c r="J1271" i="1"/>
  <c r="K1271" i="1"/>
  <c r="I1272" i="1"/>
  <c r="J1272" i="1"/>
  <c r="K1272" i="1"/>
  <c r="I1273" i="1"/>
  <c r="J1273" i="1"/>
  <c r="K1273" i="1"/>
  <c r="I1274" i="1"/>
  <c r="J1274" i="1"/>
  <c r="K1274" i="1"/>
  <c r="I1275" i="1"/>
  <c r="J1275" i="1"/>
  <c r="K1275" i="1"/>
  <c r="I1276" i="1"/>
  <c r="J1276" i="1"/>
  <c r="K1276" i="1"/>
  <c r="I1277" i="1"/>
  <c r="J1277" i="1"/>
  <c r="K1277" i="1"/>
  <c r="I1278" i="1"/>
  <c r="J1278" i="1"/>
  <c r="K1278" i="1"/>
  <c r="I1279" i="1"/>
  <c r="J1279" i="1"/>
  <c r="K1279" i="1"/>
  <c r="I1280" i="1"/>
  <c r="J1280" i="1"/>
  <c r="K1280" i="1"/>
  <c r="I1281" i="1"/>
  <c r="J1281" i="1"/>
  <c r="K1281" i="1"/>
  <c r="I1282" i="1"/>
  <c r="J1282" i="1"/>
  <c r="K1282" i="1"/>
  <c r="I1283" i="1"/>
  <c r="J1283" i="1"/>
  <c r="K1283" i="1"/>
  <c r="I1284" i="1"/>
  <c r="J1284" i="1"/>
  <c r="K1284" i="1"/>
  <c r="I1285" i="1"/>
  <c r="J1285" i="1"/>
  <c r="K1285" i="1"/>
  <c r="I1286" i="1"/>
  <c r="J1286" i="1"/>
  <c r="K1286" i="1"/>
  <c r="I1287" i="1"/>
  <c r="J1287" i="1"/>
  <c r="K1287" i="1"/>
  <c r="I1288" i="1"/>
  <c r="J1288" i="1"/>
  <c r="K1288" i="1"/>
  <c r="I1289" i="1"/>
  <c r="J1289" i="1"/>
  <c r="K1289" i="1"/>
  <c r="I1290" i="1"/>
  <c r="J1290" i="1"/>
  <c r="K1290" i="1"/>
  <c r="I1291" i="1"/>
  <c r="J1291" i="1"/>
  <c r="K1291" i="1"/>
  <c r="I1292" i="1"/>
  <c r="J1292" i="1"/>
  <c r="K1292" i="1"/>
  <c r="I1293" i="1"/>
  <c r="J1293" i="1"/>
  <c r="K1293" i="1"/>
  <c r="I1294" i="1"/>
  <c r="J1294" i="1"/>
  <c r="K1294" i="1"/>
  <c r="I1295" i="1"/>
  <c r="J1295" i="1"/>
  <c r="K1295" i="1"/>
  <c r="I1296" i="1"/>
  <c r="J1296" i="1"/>
  <c r="K1296" i="1"/>
  <c r="I1297" i="1"/>
  <c r="J1297" i="1"/>
  <c r="K1297" i="1"/>
  <c r="I1298" i="1"/>
  <c r="J1298" i="1"/>
  <c r="K1298" i="1"/>
  <c r="I1299" i="1"/>
  <c r="J1299" i="1"/>
  <c r="K1299" i="1"/>
  <c r="I1300" i="1"/>
  <c r="J1300" i="1"/>
  <c r="K1300" i="1"/>
  <c r="I1301" i="1"/>
  <c r="J1301" i="1"/>
  <c r="K1301" i="1"/>
  <c r="I1302" i="1"/>
  <c r="J1302" i="1"/>
  <c r="K1302" i="1"/>
  <c r="I1303" i="1"/>
  <c r="J1303" i="1"/>
  <c r="K1303" i="1"/>
  <c r="I1304" i="1"/>
  <c r="J1304" i="1"/>
  <c r="K1304" i="1"/>
  <c r="I1305" i="1"/>
  <c r="J1305" i="1"/>
  <c r="K1305" i="1"/>
  <c r="I1306" i="1"/>
  <c r="J1306" i="1"/>
  <c r="K1306" i="1"/>
  <c r="I1307" i="1"/>
  <c r="J1307" i="1"/>
  <c r="K1307" i="1"/>
  <c r="I1308" i="1"/>
  <c r="J1308" i="1"/>
  <c r="K1308" i="1"/>
  <c r="I1309" i="1"/>
  <c r="J1309" i="1"/>
  <c r="K1309" i="1"/>
  <c r="I1310" i="1"/>
  <c r="J1310" i="1"/>
  <c r="K1310" i="1"/>
  <c r="I1311" i="1"/>
  <c r="J1311" i="1"/>
  <c r="K1311" i="1"/>
  <c r="I1312" i="1"/>
  <c r="J1312" i="1"/>
  <c r="K1312" i="1"/>
  <c r="I1313" i="1"/>
  <c r="J1313" i="1"/>
  <c r="K1313" i="1"/>
  <c r="I1314" i="1"/>
  <c r="J1314" i="1"/>
  <c r="K1314" i="1"/>
  <c r="I1315" i="1"/>
  <c r="J1315" i="1"/>
  <c r="K1315" i="1"/>
  <c r="I1316" i="1"/>
  <c r="J1316" i="1"/>
  <c r="K1316" i="1"/>
  <c r="I1317" i="1"/>
  <c r="J1317" i="1"/>
  <c r="K1317" i="1"/>
  <c r="I1318" i="1"/>
  <c r="J1318" i="1"/>
  <c r="K1318" i="1"/>
  <c r="I1319" i="1"/>
  <c r="J1319" i="1"/>
  <c r="K1319" i="1"/>
  <c r="I1320" i="1"/>
  <c r="J1320" i="1"/>
  <c r="K1320" i="1"/>
  <c r="I1321" i="1"/>
  <c r="J1321" i="1"/>
  <c r="K1321" i="1"/>
  <c r="I1322" i="1"/>
  <c r="J1322" i="1"/>
  <c r="K1322" i="1"/>
  <c r="I1323" i="1"/>
  <c r="J1323" i="1"/>
  <c r="K1323" i="1"/>
  <c r="I1324" i="1"/>
  <c r="J1324" i="1"/>
  <c r="K1324" i="1"/>
  <c r="I1325" i="1"/>
  <c r="J1325" i="1"/>
  <c r="K1325" i="1"/>
  <c r="I1326" i="1"/>
  <c r="J1326" i="1"/>
  <c r="K1326" i="1"/>
  <c r="I1327" i="1"/>
  <c r="J1327" i="1"/>
  <c r="K1327" i="1"/>
  <c r="I1328" i="1"/>
  <c r="J1328" i="1"/>
  <c r="K1328" i="1"/>
  <c r="I1329" i="1"/>
  <c r="J1329" i="1"/>
  <c r="K1329" i="1"/>
  <c r="I1330" i="1"/>
  <c r="J1330" i="1"/>
  <c r="K1330" i="1"/>
  <c r="I1331" i="1"/>
  <c r="J1331" i="1"/>
  <c r="K1331" i="1"/>
  <c r="I1332" i="1"/>
  <c r="J1332" i="1"/>
  <c r="K1332" i="1"/>
  <c r="I1333" i="1"/>
  <c r="J1333" i="1"/>
  <c r="K1333" i="1"/>
  <c r="I1334" i="1"/>
  <c r="J1334" i="1"/>
  <c r="K1334" i="1"/>
  <c r="I1335" i="1"/>
  <c r="J1335" i="1"/>
  <c r="K1335" i="1"/>
  <c r="I1336" i="1"/>
  <c r="J1336" i="1"/>
  <c r="K1336" i="1"/>
  <c r="I1337" i="1"/>
  <c r="J1337" i="1"/>
  <c r="K1337" i="1"/>
  <c r="I1338" i="1"/>
  <c r="J1338" i="1"/>
  <c r="K1338" i="1"/>
  <c r="I1339" i="1"/>
  <c r="J1339" i="1"/>
  <c r="K1339" i="1"/>
  <c r="I1340" i="1"/>
  <c r="J1340" i="1"/>
  <c r="K1340" i="1"/>
  <c r="I1341" i="1"/>
  <c r="J1341" i="1"/>
  <c r="K1341" i="1"/>
  <c r="I1342" i="1"/>
  <c r="J1342" i="1"/>
  <c r="K1342" i="1"/>
  <c r="I1343" i="1"/>
  <c r="J1343" i="1"/>
  <c r="K1343" i="1"/>
  <c r="I1344" i="1"/>
  <c r="J1344" i="1"/>
  <c r="K1344" i="1"/>
  <c r="I1345" i="1"/>
  <c r="J1345" i="1"/>
  <c r="K1345" i="1"/>
  <c r="I1346" i="1"/>
  <c r="J1346" i="1"/>
  <c r="K1346" i="1"/>
  <c r="I1347" i="1"/>
  <c r="J1347" i="1"/>
  <c r="K1347" i="1"/>
  <c r="I1348" i="1"/>
  <c r="J1348" i="1"/>
  <c r="K1348" i="1"/>
  <c r="I1349" i="1"/>
  <c r="J1349" i="1"/>
  <c r="K1349" i="1"/>
  <c r="I1350" i="1"/>
  <c r="J1350" i="1"/>
  <c r="K1350" i="1"/>
  <c r="I1351" i="1"/>
  <c r="J1351" i="1"/>
  <c r="K1351" i="1"/>
  <c r="I1352" i="1"/>
  <c r="J1352" i="1"/>
  <c r="K1352" i="1"/>
  <c r="I1353" i="1"/>
  <c r="J1353" i="1"/>
  <c r="K1353" i="1"/>
  <c r="I1354" i="1"/>
  <c r="J1354" i="1"/>
  <c r="K1354" i="1"/>
  <c r="I1355" i="1"/>
  <c r="J1355" i="1"/>
  <c r="K1355" i="1"/>
  <c r="G221" i="5"/>
  <c r="K6" i="5"/>
  <c r="J7" i="5"/>
  <c r="K7" i="5"/>
  <c r="J8" i="5"/>
  <c r="K8" i="5"/>
  <c r="J9" i="5"/>
  <c r="K9" i="5"/>
  <c r="J10" i="5"/>
  <c r="K10" i="5"/>
  <c r="J11" i="5"/>
  <c r="K11" i="5"/>
  <c r="J12" i="5"/>
  <c r="K12" i="5"/>
  <c r="J13" i="5"/>
  <c r="K13" i="5"/>
  <c r="J14" i="5"/>
  <c r="K14" i="5"/>
  <c r="J15" i="5"/>
  <c r="K15" i="5"/>
  <c r="J16" i="5"/>
  <c r="K16" i="5"/>
  <c r="J17" i="5"/>
  <c r="K17" i="5"/>
  <c r="J18" i="5"/>
  <c r="K18" i="5"/>
  <c r="J19" i="5"/>
  <c r="K19" i="5"/>
  <c r="J20" i="5"/>
  <c r="K20" i="5"/>
  <c r="J21" i="5"/>
  <c r="K21" i="5"/>
  <c r="J22" i="5"/>
  <c r="K22" i="5"/>
  <c r="J23" i="5"/>
  <c r="K23" i="5"/>
  <c r="J24" i="5"/>
  <c r="K24" i="5"/>
  <c r="J25" i="5"/>
  <c r="K25" i="5"/>
  <c r="J26" i="5"/>
  <c r="K26" i="5"/>
  <c r="J27" i="5"/>
  <c r="K27" i="5"/>
  <c r="J28" i="5"/>
  <c r="K28" i="5"/>
  <c r="J29" i="5"/>
  <c r="K29" i="5"/>
  <c r="J30" i="5"/>
  <c r="K30" i="5"/>
  <c r="J31" i="5"/>
  <c r="K31" i="5"/>
  <c r="J32" i="5"/>
  <c r="K32" i="5"/>
  <c r="K33" i="5"/>
  <c r="J34" i="5"/>
  <c r="K34" i="5"/>
  <c r="J35" i="5"/>
  <c r="K35" i="5"/>
  <c r="J36" i="5"/>
  <c r="K36" i="5"/>
  <c r="J37" i="5"/>
  <c r="K37" i="5"/>
  <c r="J38" i="5"/>
  <c r="K38" i="5"/>
  <c r="J39" i="5"/>
  <c r="K39" i="5"/>
  <c r="J40" i="5"/>
  <c r="K40" i="5"/>
  <c r="J41" i="5"/>
  <c r="K41" i="5"/>
  <c r="J42" i="5"/>
  <c r="K42" i="5"/>
  <c r="J43" i="5"/>
  <c r="K43" i="5"/>
  <c r="J44" i="5"/>
  <c r="K44" i="5"/>
  <c r="J45" i="5"/>
  <c r="K45" i="5"/>
  <c r="J46" i="5"/>
  <c r="K46" i="5"/>
  <c r="J47" i="5"/>
  <c r="K47" i="5"/>
  <c r="J48" i="5"/>
  <c r="K48" i="5"/>
  <c r="J49" i="5"/>
  <c r="K49" i="5"/>
  <c r="J50" i="5"/>
  <c r="K50" i="5"/>
  <c r="J51" i="5"/>
  <c r="K51" i="5"/>
  <c r="J52" i="5"/>
  <c r="K52" i="5"/>
  <c r="J53" i="5"/>
  <c r="K53" i="5"/>
  <c r="J54" i="5"/>
  <c r="K54" i="5"/>
  <c r="J55" i="5"/>
  <c r="K55" i="5"/>
  <c r="J56" i="5"/>
  <c r="K56" i="5"/>
  <c r="J57" i="5"/>
  <c r="K57" i="5"/>
  <c r="J58" i="5"/>
  <c r="K58" i="5"/>
  <c r="J59" i="5"/>
  <c r="K59" i="5"/>
  <c r="J60" i="5"/>
  <c r="K60" i="5"/>
  <c r="J61" i="5"/>
  <c r="K61" i="5"/>
  <c r="J62" i="5"/>
  <c r="K62" i="5"/>
  <c r="J63" i="5"/>
  <c r="K63" i="5"/>
  <c r="J64" i="5"/>
  <c r="K64" i="5"/>
  <c r="J65" i="5"/>
  <c r="K65" i="5"/>
  <c r="J66" i="5"/>
  <c r="K66" i="5"/>
  <c r="J67" i="5"/>
  <c r="K67" i="5"/>
  <c r="J68" i="5"/>
  <c r="K68" i="5"/>
  <c r="J69" i="5"/>
  <c r="K69" i="5"/>
  <c r="J70" i="5"/>
  <c r="K70" i="5"/>
  <c r="J71" i="5"/>
  <c r="K71" i="5"/>
  <c r="J72" i="5"/>
  <c r="K72" i="5"/>
  <c r="J73" i="5"/>
  <c r="K73" i="5"/>
  <c r="J74" i="5"/>
  <c r="K74" i="5"/>
  <c r="J75" i="5"/>
  <c r="K75" i="5"/>
  <c r="J76" i="5"/>
  <c r="K76" i="5"/>
  <c r="J77" i="5"/>
  <c r="K77" i="5"/>
  <c r="J78" i="5"/>
  <c r="K78" i="5"/>
  <c r="J79" i="5"/>
  <c r="K79" i="5"/>
  <c r="J80" i="5"/>
  <c r="K80" i="5"/>
  <c r="J81" i="5"/>
  <c r="K81" i="5"/>
  <c r="J82" i="5"/>
  <c r="K82" i="5"/>
  <c r="J83" i="5"/>
  <c r="K83" i="5"/>
  <c r="J84" i="5"/>
  <c r="K84" i="5"/>
  <c r="J85" i="5"/>
  <c r="K85" i="5"/>
  <c r="J86" i="5"/>
  <c r="K86" i="5"/>
  <c r="J87" i="5"/>
  <c r="K87" i="5"/>
  <c r="J88" i="5"/>
  <c r="K88" i="5"/>
  <c r="J89" i="5"/>
  <c r="K89" i="5"/>
  <c r="J90" i="5"/>
  <c r="K90" i="5"/>
  <c r="J91" i="5"/>
  <c r="K91" i="5"/>
  <c r="J92" i="5"/>
  <c r="K92" i="5"/>
  <c r="J93" i="5"/>
  <c r="K93" i="5"/>
  <c r="J94" i="5"/>
  <c r="K94" i="5"/>
  <c r="J95" i="5"/>
  <c r="K95" i="5"/>
  <c r="J96" i="5"/>
  <c r="K96" i="5"/>
  <c r="J97" i="5"/>
  <c r="K97" i="5"/>
  <c r="J98" i="5"/>
  <c r="K98" i="5"/>
  <c r="J99" i="5"/>
  <c r="K99" i="5"/>
  <c r="J100" i="5"/>
  <c r="K100" i="5"/>
  <c r="J101" i="5"/>
  <c r="K101" i="5"/>
  <c r="J102" i="5"/>
  <c r="K102" i="5"/>
  <c r="J103" i="5"/>
  <c r="K103" i="5"/>
  <c r="J104" i="5"/>
  <c r="K104" i="5"/>
  <c r="J105" i="5"/>
  <c r="K105" i="5"/>
  <c r="J106" i="5"/>
  <c r="K106" i="5"/>
  <c r="J107" i="5"/>
  <c r="K107" i="5"/>
  <c r="J108" i="5"/>
  <c r="K108" i="5"/>
  <c r="J109" i="5"/>
  <c r="K109" i="5"/>
  <c r="J110" i="5"/>
  <c r="K110" i="5"/>
  <c r="J111" i="5"/>
  <c r="K111" i="5"/>
  <c r="J112" i="5"/>
  <c r="K112" i="5"/>
  <c r="J113" i="5"/>
  <c r="K113" i="5"/>
  <c r="J114" i="5"/>
  <c r="K114" i="5"/>
  <c r="J115" i="5"/>
  <c r="K115" i="5"/>
  <c r="J116" i="5"/>
  <c r="K116" i="5"/>
  <c r="J117" i="5"/>
  <c r="K117" i="5"/>
  <c r="J118" i="5"/>
  <c r="K118" i="5"/>
  <c r="J119" i="5"/>
  <c r="K119" i="5"/>
  <c r="J120" i="5"/>
  <c r="K120" i="5"/>
  <c r="J121" i="5"/>
  <c r="K121" i="5"/>
  <c r="J122" i="5"/>
  <c r="K122" i="5"/>
  <c r="J123" i="5"/>
  <c r="K123" i="5"/>
  <c r="J124" i="5"/>
  <c r="K124" i="5"/>
  <c r="J125" i="5"/>
  <c r="K125" i="5"/>
  <c r="J126" i="5"/>
  <c r="K126" i="5"/>
  <c r="J127" i="5"/>
  <c r="K127" i="5"/>
  <c r="J128" i="5"/>
  <c r="K128" i="5"/>
  <c r="J129" i="5"/>
  <c r="K129" i="5"/>
  <c r="J130" i="5"/>
  <c r="K130" i="5"/>
  <c r="J131" i="5"/>
  <c r="K131" i="5"/>
  <c r="J132" i="5"/>
  <c r="K132" i="5"/>
  <c r="J133" i="5"/>
  <c r="K133" i="5"/>
  <c r="J134" i="5"/>
  <c r="K134" i="5"/>
  <c r="J135" i="5"/>
  <c r="K135" i="5"/>
  <c r="J136" i="5"/>
  <c r="K136" i="5"/>
  <c r="J137" i="5"/>
  <c r="K137" i="5"/>
  <c r="J138" i="5"/>
  <c r="K138" i="5"/>
  <c r="J139" i="5"/>
  <c r="K139" i="5"/>
  <c r="J140" i="5"/>
  <c r="K140" i="5"/>
  <c r="J141" i="5"/>
  <c r="K141" i="5"/>
  <c r="J142" i="5"/>
  <c r="K142" i="5"/>
  <c r="J143" i="5"/>
  <c r="K143" i="5"/>
  <c r="J144" i="5"/>
  <c r="K144" i="5"/>
  <c r="J145" i="5"/>
  <c r="K145" i="5"/>
  <c r="J146" i="5"/>
  <c r="K146" i="5"/>
  <c r="J147" i="5"/>
  <c r="K147" i="5"/>
  <c r="J148" i="5"/>
  <c r="K148" i="5"/>
  <c r="J149" i="5"/>
  <c r="K149" i="5"/>
  <c r="J150" i="5"/>
  <c r="K150" i="5"/>
  <c r="J151" i="5"/>
  <c r="K151" i="5"/>
  <c r="J152" i="5"/>
  <c r="K152" i="5"/>
  <c r="J153" i="5"/>
  <c r="K153" i="5"/>
  <c r="J154" i="5"/>
  <c r="K154" i="5"/>
  <c r="J155" i="5"/>
  <c r="K155" i="5"/>
  <c r="J156" i="5"/>
  <c r="K156" i="5"/>
  <c r="J157" i="5"/>
  <c r="K157" i="5"/>
  <c r="J158" i="5"/>
  <c r="K158" i="5"/>
  <c r="J159" i="5"/>
  <c r="K159" i="5"/>
  <c r="J160" i="5"/>
  <c r="K160" i="5"/>
  <c r="J161" i="5"/>
  <c r="K161" i="5"/>
  <c r="J162" i="5"/>
  <c r="K162" i="5"/>
  <c r="J163" i="5"/>
  <c r="K163" i="5"/>
  <c r="J164" i="5"/>
  <c r="K164" i="5"/>
  <c r="J165" i="5"/>
  <c r="K165" i="5"/>
  <c r="J166" i="5"/>
  <c r="K166" i="5"/>
  <c r="J167" i="5"/>
  <c r="K167" i="5"/>
  <c r="J168" i="5"/>
  <c r="K168" i="5"/>
  <c r="J169" i="5"/>
  <c r="K169" i="5"/>
  <c r="J170" i="5"/>
  <c r="K170" i="5"/>
  <c r="J171" i="5"/>
  <c r="K171" i="5"/>
  <c r="J172" i="5"/>
  <c r="K172" i="5"/>
  <c r="J173" i="5"/>
  <c r="K173" i="5"/>
  <c r="J174" i="5"/>
  <c r="K174" i="5"/>
  <c r="J175" i="5"/>
  <c r="K175" i="5"/>
  <c r="J176" i="5"/>
  <c r="K176" i="5"/>
  <c r="J177" i="5"/>
  <c r="K177" i="5"/>
  <c r="J178" i="5"/>
  <c r="K178" i="5"/>
  <c r="J179" i="5"/>
  <c r="K179" i="5"/>
  <c r="J180" i="5"/>
  <c r="K180" i="5"/>
  <c r="J181" i="5"/>
  <c r="K181" i="5"/>
  <c r="J182" i="5"/>
  <c r="K182" i="5"/>
  <c r="J183" i="5"/>
  <c r="K183" i="5"/>
  <c r="J184" i="5"/>
  <c r="K184" i="5"/>
  <c r="J185" i="5"/>
  <c r="K185" i="5"/>
  <c r="J186" i="5"/>
  <c r="K186" i="5"/>
  <c r="J187" i="5"/>
  <c r="K187" i="5"/>
  <c r="J188" i="5"/>
  <c r="K188" i="5"/>
  <c r="J189" i="5"/>
  <c r="K189" i="5"/>
  <c r="J190" i="5"/>
  <c r="K190" i="5"/>
  <c r="J191" i="5"/>
  <c r="K191" i="5"/>
  <c r="J192" i="5"/>
  <c r="K192" i="5"/>
  <c r="J193" i="5"/>
  <c r="K193" i="5"/>
  <c r="J194" i="5"/>
  <c r="K194" i="5"/>
  <c r="J195" i="5"/>
  <c r="K195" i="5"/>
  <c r="J196" i="5"/>
  <c r="K196" i="5"/>
  <c r="J197" i="5"/>
  <c r="K197" i="5"/>
  <c r="J198" i="5"/>
  <c r="K198" i="5"/>
  <c r="J199" i="5"/>
  <c r="K199" i="5"/>
  <c r="J200" i="5"/>
  <c r="K200" i="5"/>
  <c r="J201" i="5"/>
  <c r="K201" i="5"/>
  <c r="J202" i="5"/>
  <c r="K202" i="5"/>
  <c r="J203" i="5"/>
  <c r="K203" i="5"/>
  <c r="J204" i="5"/>
  <c r="K204" i="5"/>
  <c r="J205" i="5"/>
  <c r="K205" i="5"/>
  <c r="J206" i="5"/>
  <c r="K206" i="5"/>
  <c r="J207" i="5"/>
  <c r="K207" i="5"/>
  <c r="J208" i="5"/>
  <c r="L208" i="5" s="1"/>
  <c r="K208" i="5"/>
  <c r="J209" i="5"/>
  <c r="K209" i="5"/>
  <c r="J210" i="5"/>
  <c r="K210" i="5"/>
  <c r="J211" i="5"/>
  <c r="K211" i="5"/>
  <c r="J212" i="5"/>
  <c r="L212" i="5" s="1"/>
  <c r="K212" i="5"/>
  <c r="J213" i="5"/>
  <c r="K213" i="5"/>
  <c r="J214" i="5"/>
  <c r="K214" i="5"/>
  <c r="J215" i="5"/>
  <c r="K215" i="5"/>
  <c r="J216" i="5"/>
  <c r="L216" i="5" s="1"/>
  <c r="K216" i="5"/>
  <c r="J217" i="5"/>
  <c r="K217" i="5"/>
  <c r="J218" i="5"/>
  <c r="K218" i="5"/>
  <c r="J219" i="5"/>
  <c r="K219" i="5"/>
  <c r="J220" i="5"/>
  <c r="L220" i="5" s="1"/>
  <c r="K220" i="5"/>
  <c r="L1331" i="1" l="1"/>
  <c r="L1327" i="1"/>
  <c r="L1323" i="1"/>
  <c r="L1319" i="1"/>
  <c r="L1315" i="1"/>
  <c r="L1311" i="1"/>
  <c r="L1307" i="1"/>
  <c r="L1303" i="1"/>
  <c r="L1296" i="1"/>
  <c r="L1292" i="1"/>
  <c r="L1288" i="1"/>
  <c r="L1284" i="1"/>
  <c r="L1280" i="1"/>
  <c r="L1276" i="1"/>
  <c r="L1272" i="1"/>
  <c r="L1260" i="1"/>
  <c r="L1254" i="1"/>
  <c r="L166" i="5"/>
  <c r="L150" i="5"/>
  <c r="L146" i="5"/>
  <c r="L142" i="5"/>
  <c r="L138" i="5"/>
  <c r="L134" i="5"/>
  <c r="L130" i="5"/>
  <c r="L126" i="5"/>
  <c r="L122" i="5"/>
  <c r="L119" i="5"/>
  <c r="L115" i="5"/>
  <c r="L111" i="5"/>
  <c r="L107" i="5"/>
  <c r="L103" i="5"/>
  <c r="L99" i="5"/>
  <c r="L95" i="5"/>
  <c r="L91" i="5"/>
  <c r="L87" i="5"/>
  <c r="L83" i="5"/>
  <c r="L76" i="5"/>
  <c r="L72" i="5"/>
  <c r="L68" i="5"/>
  <c r="L64" i="5"/>
  <c r="L60" i="5"/>
  <c r="L56" i="5"/>
  <c r="L52" i="5"/>
  <c r="L48" i="5"/>
  <c r="L44" i="5"/>
  <c r="L40" i="5"/>
  <c r="L36" i="5"/>
  <c r="L169" i="5"/>
  <c r="L32" i="5"/>
  <c r="L28" i="5"/>
  <c r="L24" i="5"/>
  <c r="L20" i="5"/>
  <c r="L16" i="5"/>
  <c r="L12" i="5"/>
  <c r="L8" i="5"/>
  <c r="L1354" i="1"/>
  <c r="L1350" i="1"/>
  <c r="L1346" i="1"/>
  <c r="L1342" i="1"/>
  <c r="L1340" i="1"/>
  <c r="L1333" i="1"/>
  <c r="L1329" i="1"/>
  <c r="L1325" i="1"/>
  <c r="L1321" i="1"/>
  <c r="L1317" i="1"/>
  <c r="L1313" i="1"/>
  <c r="L1309" i="1"/>
  <c r="L1305" i="1"/>
  <c r="L1301" i="1"/>
  <c r="L1298" i="1"/>
  <c r="L1294" i="1"/>
  <c r="L1290" i="1"/>
  <c r="L1286" i="1"/>
  <c r="L1282" i="1"/>
  <c r="L1274" i="1"/>
  <c r="L1270" i="1"/>
  <c r="L1268" i="1"/>
  <c r="L1265" i="1"/>
  <c r="L1262" i="1"/>
  <c r="L1352" i="1"/>
  <c r="L1348" i="1"/>
  <c r="L1344" i="1"/>
  <c r="L1336" i="1"/>
  <c r="L1338" i="1"/>
  <c r="L1334" i="1"/>
  <c r="L1279" i="1"/>
  <c r="L1275" i="1"/>
  <c r="L1271" i="1"/>
  <c r="L1353" i="1"/>
  <c r="L1349" i="1"/>
  <c r="L1345" i="1"/>
  <c r="L1341" i="1"/>
  <c r="L1337" i="1"/>
  <c r="L1332" i="1"/>
  <c r="L1328" i="1"/>
  <c r="L1324" i="1"/>
  <c r="L1320" i="1"/>
  <c r="L1316" i="1"/>
  <c r="L1312" i="1"/>
  <c r="L1308" i="1"/>
  <c r="L1304" i="1"/>
  <c r="L1300" i="1"/>
  <c r="L1297" i="1"/>
  <c r="L1293" i="1"/>
  <c r="L1289" i="1"/>
  <c r="L1285" i="1"/>
  <c r="L1281" i="1"/>
  <c r="L1277" i="1"/>
  <c r="L1273" i="1"/>
  <c r="L1269" i="1"/>
  <c r="L1267" i="1"/>
  <c r="L1264" i="1"/>
  <c r="L1261" i="1"/>
  <c r="L1257" i="1"/>
  <c r="L1255" i="1"/>
  <c r="L1278" i="1"/>
  <c r="L1258" i="1"/>
  <c r="L1355" i="1"/>
  <c r="L1351" i="1"/>
  <c r="L1347" i="1"/>
  <c r="L1343" i="1"/>
  <c r="L1339" i="1"/>
  <c r="L1335" i="1"/>
  <c r="L1330" i="1"/>
  <c r="L1326" i="1"/>
  <c r="L1322" i="1"/>
  <c r="L1318" i="1"/>
  <c r="L1314" i="1"/>
  <c r="L1310" i="1"/>
  <c r="L1306" i="1"/>
  <c r="L1302" i="1"/>
  <c r="L1299" i="1"/>
  <c r="L1295" i="1"/>
  <c r="L1291" i="1"/>
  <c r="L1287" i="1"/>
  <c r="L1283" i="1"/>
  <c r="L1266" i="1"/>
  <c r="L1263" i="1"/>
  <c r="L1259" i="1"/>
  <c r="L171" i="5"/>
  <c r="L168" i="5"/>
  <c r="L164" i="5"/>
  <c r="L160" i="5"/>
  <c r="L156" i="5"/>
  <c r="L152" i="5"/>
  <c r="L219" i="5"/>
  <c r="L218" i="5"/>
  <c r="L217" i="5"/>
  <c r="L215" i="5"/>
  <c r="L214" i="5"/>
  <c r="L213" i="5"/>
  <c r="L211" i="5"/>
  <c r="L210" i="5"/>
  <c r="L209" i="5"/>
  <c r="L207" i="5"/>
  <c r="L206" i="5"/>
  <c r="L205" i="5"/>
  <c r="L202" i="5"/>
  <c r="L198" i="5"/>
  <c r="L194" i="5"/>
  <c r="L190" i="5"/>
  <c r="L186" i="5"/>
  <c r="L182" i="5"/>
  <c r="L178" i="5"/>
  <c r="L174" i="5"/>
  <c r="L167" i="5"/>
  <c r="L151" i="5"/>
  <c r="L203" i="5"/>
  <c r="L199" i="5"/>
  <c r="L195" i="5"/>
  <c r="L191" i="5"/>
  <c r="L187" i="5"/>
  <c r="L183" i="5"/>
  <c r="L179" i="5"/>
  <c r="L175" i="5"/>
  <c r="L172" i="5"/>
  <c r="L165" i="5"/>
  <c r="L161" i="5"/>
  <c r="L157" i="5"/>
  <c r="L153" i="5"/>
  <c r="L147" i="5"/>
  <c r="L143" i="5"/>
  <c r="L139" i="5"/>
  <c r="L135" i="5"/>
  <c r="L131" i="5"/>
  <c r="L127" i="5"/>
  <c r="L123" i="5"/>
  <c r="L116" i="5"/>
  <c r="L112" i="5"/>
  <c r="L108" i="5"/>
  <c r="L104" i="5"/>
  <c r="L100" i="5"/>
  <c r="L96" i="5"/>
  <c r="L92" i="5"/>
  <c r="L88" i="5"/>
  <c r="L84" i="5"/>
  <c r="L80" i="5"/>
  <c r="L77" i="5"/>
  <c r="L73" i="5"/>
  <c r="L69" i="5"/>
  <c r="L65" i="5"/>
  <c r="L61" i="5"/>
  <c r="L57" i="5"/>
  <c r="L53" i="5"/>
  <c r="L49" i="5"/>
  <c r="L45" i="5"/>
  <c r="L41" i="5"/>
  <c r="L37" i="5"/>
  <c r="J33" i="5"/>
  <c r="L33" i="5" s="1"/>
  <c r="L29" i="5"/>
  <c r="L25" i="5"/>
  <c r="L21" i="5"/>
  <c r="L17" i="5"/>
  <c r="L13" i="5"/>
  <c r="L9" i="5"/>
  <c r="L162" i="5"/>
  <c r="L158" i="5"/>
  <c r="L154" i="5"/>
  <c r="L148" i="5"/>
  <c r="L144" i="5"/>
  <c r="L140" i="5"/>
  <c r="L136" i="5"/>
  <c r="L132" i="5"/>
  <c r="L128" i="5"/>
  <c r="L124" i="5"/>
  <c r="L120" i="5"/>
  <c r="L117" i="5"/>
  <c r="L109" i="5"/>
  <c r="L105" i="5"/>
  <c r="L101" i="5"/>
  <c r="L97" i="5"/>
  <c r="L93" i="5"/>
  <c r="L89" i="5"/>
  <c r="L163" i="5"/>
  <c r="L159" i="5"/>
  <c r="L155" i="5"/>
  <c r="L149" i="5"/>
  <c r="L145" i="5"/>
  <c r="L141" i="5"/>
  <c r="L137" i="5"/>
  <c r="L133" i="5"/>
  <c r="L129" i="5"/>
  <c r="L125" i="5"/>
  <c r="L121" i="5"/>
  <c r="L118" i="5"/>
  <c r="L114" i="5"/>
  <c r="L110" i="5"/>
  <c r="L106" i="5"/>
  <c r="L102" i="5"/>
  <c r="L98" i="5"/>
  <c r="L94" i="5"/>
  <c r="L90" i="5"/>
  <c r="L113" i="5"/>
  <c r="L188" i="5"/>
  <c r="L176" i="5"/>
  <c r="L200" i="5"/>
  <c r="L196" i="5"/>
  <c r="L192" i="5"/>
  <c r="L184" i="5"/>
  <c r="L180" i="5"/>
  <c r="L201" i="5"/>
  <c r="L197" i="5"/>
  <c r="L193" i="5"/>
  <c r="L189" i="5"/>
  <c r="L185" i="5"/>
  <c r="L181" i="5"/>
  <c r="L177" i="5"/>
  <c r="L173" i="5"/>
  <c r="L170" i="5"/>
  <c r="L85" i="5"/>
  <c r="L81" i="5"/>
  <c r="L74" i="5"/>
  <c r="L70" i="5"/>
  <c r="L66" i="5"/>
  <c r="L62" i="5"/>
  <c r="L58" i="5"/>
  <c r="L54" i="5"/>
  <c r="L50" i="5"/>
  <c r="L46" i="5"/>
  <c r="L42" i="5"/>
  <c r="L38" i="5"/>
  <c r="L34" i="5"/>
  <c r="L30" i="5"/>
  <c r="L26" i="5"/>
  <c r="L22" i="5"/>
  <c r="L18" i="5"/>
  <c r="L14" i="5"/>
  <c r="L10" i="5"/>
  <c r="L86" i="5"/>
  <c r="L82" i="5"/>
  <c r="L78" i="5"/>
  <c r="L75" i="5"/>
  <c r="L71" i="5"/>
  <c r="L67" i="5"/>
  <c r="L63" i="5"/>
  <c r="L59" i="5"/>
  <c r="L55" i="5"/>
  <c r="L51" i="5"/>
  <c r="L47" i="5"/>
  <c r="L43" i="5"/>
  <c r="L39" i="5"/>
  <c r="L35" i="5"/>
  <c r="L31" i="5"/>
  <c r="L27" i="5"/>
  <c r="L23" i="5"/>
  <c r="L19" i="5"/>
  <c r="L15" i="5"/>
  <c r="L11" i="5"/>
  <c r="L7" i="5"/>
  <c r="L79" i="5"/>
  <c r="L204" i="5"/>
  <c r="L6" i="5"/>
  <c r="J170" i="14"/>
  <c r="I170" i="14"/>
  <c r="H1703" i="1"/>
  <c r="G1703" i="1"/>
  <c r="I626" i="1" l="1"/>
  <c r="J626" i="1"/>
  <c r="K626" i="1"/>
  <c r="L626" i="1" l="1"/>
  <c r="J7" i="1" l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7" i="1"/>
  <c r="K597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6" i="1"/>
  <c r="K696" i="1"/>
  <c r="J697" i="1"/>
  <c r="K697" i="1"/>
  <c r="J698" i="1"/>
  <c r="K698" i="1"/>
  <c r="J699" i="1"/>
  <c r="K699" i="1"/>
  <c r="J700" i="1"/>
  <c r="K700" i="1"/>
  <c r="J701" i="1"/>
  <c r="K701" i="1"/>
  <c r="J702" i="1"/>
  <c r="K702" i="1"/>
  <c r="J703" i="1"/>
  <c r="K703" i="1"/>
  <c r="J704" i="1"/>
  <c r="K704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2" i="1"/>
  <c r="K712" i="1"/>
  <c r="J713" i="1"/>
  <c r="K713" i="1"/>
  <c r="J714" i="1"/>
  <c r="K714" i="1"/>
  <c r="J715" i="1"/>
  <c r="K715" i="1"/>
  <c r="J716" i="1"/>
  <c r="K716" i="1"/>
  <c r="J717" i="1"/>
  <c r="K717" i="1"/>
  <c r="J718" i="1"/>
  <c r="K718" i="1"/>
  <c r="J719" i="1"/>
  <c r="K719" i="1"/>
  <c r="J720" i="1"/>
  <c r="K720" i="1"/>
  <c r="J721" i="1"/>
  <c r="K721" i="1"/>
  <c r="J722" i="1"/>
  <c r="K72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1" i="1"/>
  <c r="K731" i="1"/>
  <c r="J732" i="1"/>
  <c r="K732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67" i="1"/>
  <c r="K767" i="1"/>
  <c r="J768" i="1"/>
  <c r="K768" i="1"/>
  <c r="J769" i="1"/>
  <c r="K769" i="1"/>
  <c r="J770" i="1"/>
  <c r="K770" i="1"/>
  <c r="J771" i="1"/>
  <c r="K771" i="1"/>
  <c r="J772" i="1"/>
  <c r="K772" i="1"/>
  <c r="J773" i="1"/>
  <c r="K773" i="1"/>
  <c r="J774" i="1"/>
  <c r="K774" i="1"/>
  <c r="J775" i="1"/>
  <c r="K775" i="1"/>
  <c r="J776" i="1"/>
  <c r="K776" i="1"/>
  <c r="J777" i="1"/>
  <c r="K777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J791" i="1"/>
  <c r="K791" i="1"/>
  <c r="J792" i="1"/>
  <c r="K792" i="1"/>
  <c r="J793" i="1"/>
  <c r="K793" i="1"/>
  <c r="J794" i="1"/>
  <c r="K794" i="1"/>
  <c r="J795" i="1"/>
  <c r="K795" i="1"/>
  <c r="J796" i="1"/>
  <c r="K796" i="1"/>
  <c r="J797" i="1"/>
  <c r="K797" i="1"/>
  <c r="J798" i="1"/>
  <c r="K798" i="1"/>
  <c r="J799" i="1"/>
  <c r="K799" i="1"/>
  <c r="J800" i="1"/>
  <c r="K800" i="1"/>
  <c r="J801" i="1"/>
  <c r="K801" i="1"/>
  <c r="J802" i="1"/>
  <c r="K802" i="1"/>
  <c r="J803" i="1"/>
  <c r="K803" i="1"/>
  <c r="J804" i="1"/>
  <c r="K804" i="1"/>
  <c r="J805" i="1"/>
  <c r="K805" i="1"/>
  <c r="J806" i="1"/>
  <c r="K806" i="1"/>
  <c r="J807" i="1"/>
  <c r="K807" i="1"/>
  <c r="J808" i="1"/>
  <c r="K808" i="1"/>
  <c r="J809" i="1"/>
  <c r="K809" i="1"/>
  <c r="J810" i="1"/>
  <c r="K810" i="1"/>
  <c r="J811" i="1"/>
  <c r="K811" i="1"/>
  <c r="J812" i="1"/>
  <c r="K812" i="1"/>
  <c r="J813" i="1"/>
  <c r="K813" i="1"/>
  <c r="J814" i="1"/>
  <c r="K814" i="1"/>
  <c r="J815" i="1"/>
  <c r="K815" i="1"/>
  <c r="J816" i="1"/>
  <c r="K816" i="1"/>
  <c r="J817" i="1"/>
  <c r="K817" i="1"/>
  <c r="J818" i="1"/>
  <c r="K818" i="1"/>
  <c r="J819" i="1"/>
  <c r="K819" i="1"/>
  <c r="J820" i="1"/>
  <c r="K820" i="1"/>
  <c r="J821" i="1"/>
  <c r="K821" i="1"/>
  <c r="J822" i="1"/>
  <c r="K822" i="1"/>
  <c r="J823" i="1"/>
  <c r="K823" i="1"/>
  <c r="J824" i="1"/>
  <c r="K824" i="1"/>
  <c r="J825" i="1"/>
  <c r="K825" i="1"/>
  <c r="J826" i="1"/>
  <c r="K826" i="1"/>
  <c r="J827" i="1"/>
  <c r="K827" i="1"/>
  <c r="J828" i="1"/>
  <c r="K828" i="1"/>
  <c r="J829" i="1"/>
  <c r="K829" i="1"/>
  <c r="J830" i="1"/>
  <c r="K830" i="1"/>
  <c r="J831" i="1"/>
  <c r="K831" i="1"/>
  <c r="J832" i="1"/>
  <c r="K832" i="1"/>
  <c r="J833" i="1"/>
  <c r="K833" i="1"/>
  <c r="J834" i="1"/>
  <c r="K834" i="1"/>
  <c r="J835" i="1"/>
  <c r="K835" i="1"/>
  <c r="J836" i="1"/>
  <c r="K836" i="1"/>
  <c r="J837" i="1"/>
  <c r="K837" i="1"/>
  <c r="J838" i="1"/>
  <c r="K838" i="1"/>
  <c r="J839" i="1"/>
  <c r="K839" i="1"/>
  <c r="J840" i="1"/>
  <c r="K840" i="1"/>
  <c r="J841" i="1"/>
  <c r="K841" i="1"/>
  <c r="J842" i="1"/>
  <c r="K842" i="1"/>
  <c r="J843" i="1"/>
  <c r="K843" i="1"/>
  <c r="J844" i="1"/>
  <c r="K844" i="1"/>
  <c r="J845" i="1"/>
  <c r="K845" i="1"/>
  <c r="J846" i="1"/>
  <c r="K846" i="1"/>
  <c r="J847" i="1"/>
  <c r="K847" i="1"/>
  <c r="J848" i="1"/>
  <c r="K848" i="1"/>
  <c r="J849" i="1"/>
  <c r="K849" i="1"/>
  <c r="J850" i="1"/>
  <c r="K850" i="1"/>
  <c r="J851" i="1"/>
  <c r="K851" i="1"/>
  <c r="J852" i="1"/>
  <c r="K852" i="1"/>
  <c r="J853" i="1"/>
  <c r="K853" i="1"/>
  <c r="J854" i="1"/>
  <c r="K854" i="1"/>
  <c r="J855" i="1"/>
  <c r="K855" i="1"/>
  <c r="J856" i="1"/>
  <c r="K856" i="1"/>
  <c r="J857" i="1"/>
  <c r="K857" i="1"/>
  <c r="J858" i="1"/>
  <c r="K858" i="1"/>
  <c r="J859" i="1"/>
  <c r="K859" i="1"/>
  <c r="J860" i="1"/>
  <c r="K860" i="1"/>
  <c r="J861" i="1"/>
  <c r="K861" i="1"/>
  <c r="J862" i="1"/>
  <c r="K862" i="1"/>
  <c r="J863" i="1"/>
  <c r="K863" i="1"/>
  <c r="J864" i="1"/>
  <c r="K864" i="1"/>
  <c r="J865" i="1"/>
  <c r="K865" i="1"/>
  <c r="J866" i="1"/>
  <c r="K866" i="1"/>
  <c r="J867" i="1"/>
  <c r="K867" i="1"/>
  <c r="J868" i="1"/>
  <c r="K868" i="1"/>
  <c r="J869" i="1"/>
  <c r="K869" i="1"/>
  <c r="J870" i="1"/>
  <c r="K870" i="1"/>
  <c r="J871" i="1"/>
  <c r="K871" i="1"/>
  <c r="J872" i="1"/>
  <c r="K872" i="1"/>
  <c r="J873" i="1"/>
  <c r="K873" i="1"/>
  <c r="J874" i="1"/>
  <c r="K874" i="1"/>
  <c r="J875" i="1"/>
  <c r="K875" i="1"/>
  <c r="J876" i="1"/>
  <c r="K876" i="1"/>
  <c r="J877" i="1"/>
  <c r="K877" i="1"/>
  <c r="J878" i="1"/>
  <c r="K878" i="1"/>
  <c r="J879" i="1"/>
  <c r="K879" i="1"/>
  <c r="J880" i="1"/>
  <c r="K880" i="1"/>
  <c r="J881" i="1"/>
  <c r="K881" i="1"/>
  <c r="J882" i="1"/>
  <c r="K882" i="1"/>
  <c r="J883" i="1"/>
  <c r="K883" i="1"/>
  <c r="J884" i="1"/>
  <c r="K884" i="1"/>
  <c r="J885" i="1"/>
  <c r="K885" i="1"/>
  <c r="J886" i="1"/>
  <c r="K886" i="1"/>
  <c r="J887" i="1"/>
  <c r="K887" i="1"/>
  <c r="J888" i="1"/>
  <c r="K888" i="1"/>
  <c r="J889" i="1"/>
  <c r="K889" i="1"/>
  <c r="J890" i="1"/>
  <c r="K890" i="1"/>
  <c r="J891" i="1"/>
  <c r="K891" i="1"/>
  <c r="J892" i="1"/>
  <c r="K892" i="1"/>
  <c r="J893" i="1"/>
  <c r="K893" i="1"/>
  <c r="J894" i="1"/>
  <c r="K894" i="1"/>
  <c r="J895" i="1"/>
  <c r="K895" i="1"/>
  <c r="J896" i="1"/>
  <c r="K896" i="1"/>
  <c r="J897" i="1"/>
  <c r="K897" i="1"/>
  <c r="J898" i="1"/>
  <c r="K898" i="1"/>
  <c r="J899" i="1"/>
  <c r="K899" i="1"/>
  <c r="J900" i="1"/>
  <c r="K900" i="1"/>
  <c r="J901" i="1"/>
  <c r="K901" i="1"/>
  <c r="J902" i="1"/>
  <c r="K902" i="1"/>
  <c r="J903" i="1"/>
  <c r="K903" i="1"/>
  <c r="J904" i="1"/>
  <c r="K904" i="1"/>
  <c r="J905" i="1"/>
  <c r="K905" i="1"/>
  <c r="J906" i="1"/>
  <c r="K906" i="1"/>
  <c r="J907" i="1"/>
  <c r="K907" i="1"/>
  <c r="J908" i="1"/>
  <c r="K908" i="1"/>
  <c r="J909" i="1"/>
  <c r="K909" i="1"/>
  <c r="J910" i="1"/>
  <c r="K910" i="1"/>
  <c r="J911" i="1"/>
  <c r="K911" i="1"/>
  <c r="J912" i="1"/>
  <c r="K912" i="1"/>
  <c r="J913" i="1"/>
  <c r="K913" i="1"/>
  <c r="J914" i="1"/>
  <c r="K914" i="1"/>
  <c r="J915" i="1"/>
  <c r="K915" i="1"/>
  <c r="J916" i="1"/>
  <c r="K916" i="1"/>
  <c r="J917" i="1"/>
  <c r="K917" i="1"/>
  <c r="J918" i="1"/>
  <c r="K918" i="1"/>
  <c r="J919" i="1"/>
  <c r="K919" i="1"/>
  <c r="J920" i="1"/>
  <c r="K920" i="1"/>
  <c r="J921" i="1"/>
  <c r="K921" i="1"/>
  <c r="J922" i="1"/>
  <c r="K922" i="1"/>
  <c r="J923" i="1"/>
  <c r="K923" i="1"/>
  <c r="J924" i="1"/>
  <c r="K924" i="1"/>
  <c r="J925" i="1"/>
  <c r="K925" i="1"/>
  <c r="J926" i="1"/>
  <c r="K926" i="1"/>
  <c r="J927" i="1"/>
  <c r="K927" i="1"/>
  <c r="J928" i="1"/>
  <c r="K928" i="1"/>
  <c r="J929" i="1"/>
  <c r="K929" i="1"/>
  <c r="J930" i="1"/>
  <c r="K930" i="1"/>
  <c r="J931" i="1"/>
  <c r="K931" i="1"/>
  <c r="J932" i="1"/>
  <c r="K932" i="1"/>
  <c r="J933" i="1"/>
  <c r="K933" i="1"/>
  <c r="J934" i="1"/>
  <c r="K934" i="1"/>
  <c r="J935" i="1"/>
  <c r="K935" i="1"/>
  <c r="J936" i="1"/>
  <c r="K936" i="1"/>
  <c r="J937" i="1"/>
  <c r="K937" i="1"/>
  <c r="J938" i="1"/>
  <c r="K938" i="1"/>
  <c r="J939" i="1"/>
  <c r="K939" i="1"/>
  <c r="J940" i="1"/>
  <c r="K940" i="1"/>
  <c r="J941" i="1"/>
  <c r="K941" i="1"/>
  <c r="J942" i="1"/>
  <c r="K942" i="1"/>
  <c r="J943" i="1"/>
  <c r="K943" i="1"/>
  <c r="J944" i="1"/>
  <c r="K944" i="1"/>
  <c r="J945" i="1"/>
  <c r="K945" i="1"/>
  <c r="J946" i="1"/>
  <c r="K946" i="1"/>
  <c r="J947" i="1"/>
  <c r="K947" i="1"/>
  <c r="J948" i="1"/>
  <c r="K948" i="1"/>
  <c r="J949" i="1"/>
  <c r="K949" i="1"/>
  <c r="J950" i="1"/>
  <c r="K950" i="1"/>
  <c r="J951" i="1"/>
  <c r="K951" i="1"/>
  <c r="J952" i="1"/>
  <c r="K952" i="1"/>
  <c r="J953" i="1"/>
  <c r="K953" i="1"/>
  <c r="J954" i="1"/>
  <c r="K954" i="1"/>
  <c r="J955" i="1"/>
  <c r="K955" i="1"/>
  <c r="J956" i="1"/>
  <c r="K956" i="1"/>
  <c r="J957" i="1"/>
  <c r="K957" i="1"/>
  <c r="J958" i="1"/>
  <c r="K958" i="1"/>
  <c r="J959" i="1"/>
  <c r="K959" i="1"/>
  <c r="J960" i="1"/>
  <c r="K960" i="1"/>
  <c r="J961" i="1"/>
  <c r="K961" i="1"/>
  <c r="J962" i="1"/>
  <c r="K962" i="1"/>
  <c r="J963" i="1"/>
  <c r="K963" i="1"/>
  <c r="J964" i="1"/>
  <c r="K964" i="1"/>
  <c r="J965" i="1"/>
  <c r="K965" i="1"/>
  <c r="J966" i="1"/>
  <c r="K966" i="1"/>
  <c r="J967" i="1"/>
  <c r="K967" i="1"/>
  <c r="J968" i="1"/>
  <c r="K968" i="1"/>
  <c r="J969" i="1"/>
  <c r="K969" i="1"/>
  <c r="J970" i="1"/>
  <c r="K970" i="1"/>
  <c r="J971" i="1"/>
  <c r="K971" i="1"/>
  <c r="J972" i="1"/>
  <c r="K972" i="1"/>
  <c r="J973" i="1"/>
  <c r="K973" i="1"/>
  <c r="J974" i="1"/>
  <c r="K974" i="1"/>
  <c r="J975" i="1"/>
  <c r="K975" i="1"/>
  <c r="J976" i="1"/>
  <c r="K976" i="1"/>
  <c r="J977" i="1"/>
  <c r="K977" i="1"/>
  <c r="J978" i="1"/>
  <c r="K978" i="1"/>
  <c r="J979" i="1"/>
  <c r="K979" i="1"/>
  <c r="J980" i="1"/>
  <c r="K980" i="1"/>
  <c r="J981" i="1"/>
  <c r="K981" i="1"/>
  <c r="J982" i="1"/>
  <c r="K982" i="1"/>
  <c r="J983" i="1"/>
  <c r="K983" i="1"/>
  <c r="J984" i="1"/>
  <c r="K984" i="1"/>
  <c r="J985" i="1"/>
  <c r="K985" i="1"/>
  <c r="J986" i="1"/>
  <c r="K986" i="1"/>
  <c r="J987" i="1"/>
  <c r="K987" i="1"/>
  <c r="J988" i="1"/>
  <c r="K988" i="1"/>
  <c r="J989" i="1"/>
  <c r="K989" i="1"/>
  <c r="J990" i="1"/>
  <c r="K990" i="1"/>
  <c r="J991" i="1"/>
  <c r="K991" i="1"/>
  <c r="J992" i="1"/>
  <c r="K992" i="1"/>
  <c r="J993" i="1"/>
  <c r="K993" i="1"/>
  <c r="J994" i="1"/>
  <c r="K994" i="1"/>
  <c r="J995" i="1"/>
  <c r="K995" i="1"/>
  <c r="J996" i="1"/>
  <c r="K996" i="1"/>
  <c r="J997" i="1"/>
  <c r="K997" i="1"/>
  <c r="J998" i="1"/>
  <c r="K998" i="1"/>
  <c r="J999" i="1"/>
  <c r="K999" i="1"/>
  <c r="J1000" i="1"/>
  <c r="K1000" i="1"/>
  <c r="J1001" i="1"/>
  <c r="K1001" i="1"/>
  <c r="J1002" i="1"/>
  <c r="K1002" i="1"/>
  <c r="J1003" i="1"/>
  <c r="K1003" i="1"/>
  <c r="J1004" i="1"/>
  <c r="K1004" i="1"/>
  <c r="J1005" i="1"/>
  <c r="K1005" i="1"/>
  <c r="J1006" i="1"/>
  <c r="K1006" i="1"/>
  <c r="J1007" i="1"/>
  <c r="K1007" i="1"/>
  <c r="J1008" i="1"/>
  <c r="K1008" i="1"/>
  <c r="J1009" i="1"/>
  <c r="K1009" i="1"/>
  <c r="J1010" i="1"/>
  <c r="K1010" i="1"/>
  <c r="J1011" i="1"/>
  <c r="K1011" i="1"/>
  <c r="J1012" i="1"/>
  <c r="K1012" i="1"/>
  <c r="J1013" i="1"/>
  <c r="K1013" i="1"/>
  <c r="J1014" i="1"/>
  <c r="K1014" i="1"/>
  <c r="J1015" i="1"/>
  <c r="K1015" i="1"/>
  <c r="J1016" i="1"/>
  <c r="K1016" i="1"/>
  <c r="J1017" i="1"/>
  <c r="K1017" i="1"/>
  <c r="J1018" i="1"/>
  <c r="K1018" i="1"/>
  <c r="J1019" i="1"/>
  <c r="K1019" i="1"/>
  <c r="J1020" i="1"/>
  <c r="K1020" i="1"/>
  <c r="J1021" i="1"/>
  <c r="K1021" i="1"/>
  <c r="J1022" i="1"/>
  <c r="K1022" i="1"/>
  <c r="J1023" i="1"/>
  <c r="K1023" i="1"/>
  <c r="J1024" i="1"/>
  <c r="K1024" i="1"/>
  <c r="J1025" i="1"/>
  <c r="K1025" i="1"/>
  <c r="J1026" i="1"/>
  <c r="K1026" i="1"/>
  <c r="J1027" i="1"/>
  <c r="K1027" i="1"/>
  <c r="J1028" i="1"/>
  <c r="K1028" i="1"/>
  <c r="J1029" i="1"/>
  <c r="K1029" i="1"/>
  <c r="J1030" i="1"/>
  <c r="K1030" i="1"/>
  <c r="J1031" i="1"/>
  <c r="K1031" i="1"/>
  <c r="J1032" i="1"/>
  <c r="K1032" i="1"/>
  <c r="J1033" i="1"/>
  <c r="K1033" i="1"/>
  <c r="J1034" i="1"/>
  <c r="K1034" i="1"/>
  <c r="J1035" i="1"/>
  <c r="K1035" i="1"/>
  <c r="J1036" i="1"/>
  <c r="K1036" i="1"/>
  <c r="J1037" i="1"/>
  <c r="K1037" i="1"/>
  <c r="J1038" i="1"/>
  <c r="K1038" i="1"/>
  <c r="J1039" i="1"/>
  <c r="K1039" i="1"/>
  <c r="J1040" i="1"/>
  <c r="K1040" i="1"/>
  <c r="J1041" i="1"/>
  <c r="K1041" i="1"/>
  <c r="J1042" i="1"/>
  <c r="K1042" i="1"/>
  <c r="J1043" i="1"/>
  <c r="K1043" i="1"/>
  <c r="J1044" i="1"/>
  <c r="K1044" i="1"/>
  <c r="J1045" i="1"/>
  <c r="K1045" i="1"/>
  <c r="J1046" i="1"/>
  <c r="K1046" i="1"/>
  <c r="J1047" i="1"/>
  <c r="K1047" i="1"/>
  <c r="J1048" i="1"/>
  <c r="K1048" i="1"/>
  <c r="J1049" i="1"/>
  <c r="K1049" i="1"/>
  <c r="J1050" i="1"/>
  <c r="K1050" i="1"/>
  <c r="J1051" i="1"/>
  <c r="K1051" i="1"/>
  <c r="J1052" i="1"/>
  <c r="K1052" i="1"/>
  <c r="J1053" i="1"/>
  <c r="K1053" i="1"/>
  <c r="J1054" i="1"/>
  <c r="K1054" i="1"/>
  <c r="J1055" i="1"/>
  <c r="K1055" i="1"/>
  <c r="J1056" i="1"/>
  <c r="K1056" i="1"/>
  <c r="J1057" i="1"/>
  <c r="K1057" i="1"/>
  <c r="J1058" i="1"/>
  <c r="K1058" i="1"/>
  <c r="J1059" i="1"/>
  <c r="K1059" i="1"/>
  <c r="J1060" i="1"/>
  <c r="K1060" i="1"/>
  <c r="J1061" i="1"/>
  <c r="K1061" i="1"/>
  <c r="J1062" i="1"/>
  <c r="K1062" i="1"/>
  <c r="J1063" i="1"/>
  <c r="K1063" i="1"/>
  <c r="J1064" i="1"/>
  <c r="K1064" i="1"/>
  <c r="J1065" i="1"/>
  <c r="K1065" i="1"/>
  <c r="J1066" i="1"/>
  <c r="K1066" i="1"/>
  <c r="J1067" i="1"/>
  <c r="K1067" i="1"/>
  <c r="J1068" i="1"/>
  <c r="K1068" i="1"/>
  <c r="J1069" i="1"/>
  <c r="K1069" i="1"/>
  <c r="J1070" i="1"/>
  <c r="K1070" i="1"/>
  <c r="J1071" i="1"/>
  <c r="K1071" i="1"/>
  <c r="J1072" i="1"/>
  <c r="K1072" i="1"/>
  <c r="J1073" i="1"/>
  <c r="K1073" i="1"/>
  <c r="J1074" i="1"/>
  <c r="K1074" i="1"/>
  <c r="J1075" i="1"/>
  <c r="K1075" i="1"/>
  <c r="J1076" i="1"/>
  <c r="K1076" i="1"/>
  <c r="J1077" i="1"/>
  <c r="K1077" i="1"/>
  <c r="J1078" i="1"/>
  <c r="K1078" i="1"/>
  <c r="J1079" i="1"/>
  <c r="K1079" i="1"/>
  <c r="J1080" i="1"/>
  <c r="K1080" i="1"/>
  <c r="J1081" i="1"/>
  <c r="K1081" i="1"/>
  <c r="J1082" i="1"/>
  <c r="K1082" i="1"/>
  <c r="J1083" i="1"/>
  <c r="K1083" i="1"/>
  <c r="J1084" i="1"/>
  <c r="K1084" i="1"/>
  <c r="J1085" i="1"/>
  <c r="K1085" i="1"/>
  <c r="J1086" i="1"/>
  <c r="K1086" i="1"/>
  <c r="J1087" i="1"/>
  <c r="K1087" i="1"/>
  <c r="J1088" i="1"/>
  <c r="K1088" i="1"/>
  <c r="J1089" i="1"/>
  <c r="K1089" i="1"/>
  <c r="J1090" i="1"/>
  <c r="K1090" i="1"/>
  <c r="J1091" i="1"/>
  <c r="K1091" i="1"/>
  <c r="J1092" i="1"/>
  <c r="K1092" i="1"/>
  <c r="J1093" i="1"/>
  <c r="K1093" i="1"/>
  <c r="J1094" i="1"/>
  <c r="K1094" i="1"/>
  <c r="J1095" i="1"/>
  <c r="K1095" i="1"/>
  <c r="J1096" i="1"/>
  <c r="K1096" i="1"/>
  <c r="J1097" i="1"/>
  <c r="K1097" i="1"/>
  <c r="J1098" i="1"/>
  <c r="K1098" i="1"/>
  <c r="J1099" i="1"/>
  <c r="K1099" i="1"/>
  <c r="J1100" i="1"/>
  <c r="K1100" i="1"/>
  <c r="J1101" i="1"/>
  <c r="K1101" i="1"/>
  <c r="J1102" i="1"/>
  <c r="K1102" i="1"/>
  <c r="J1103" i="1"/>
  <c r="K1103" i="1"/>
  <c r="J1104" i="1"/>
  <c r="K1104" i="1"/>
  <c r="J1105" i="1"/>
  <c r="K1105" i="1"/>
  <c r="J1106" i="1"/>
  <c r="K1106" i="1"/>
  <c r="J1107" i="1"/>
  <c r="K1107" i="1"/>
  <c r="J1108" i="1"/>
  <c r="K1108" i="1"/>
  <c r="J1109" i="1"/>
  <c r="K1109" i="1"/>
  <c r="J1110" i="1"/>
  <c r="K1110" i="1"/>
  <c r="J1111" i="1"/>
  <c r="K1111" i="1"/>
  <c r="J1112" i="1"/>
  <c r="K1112" i="1"/>
  <c r="J1113" i="1"/>
  <c r="K1113" i="1"/>
  <c r="J1114" i="1"/>
  <c r="K1114" i="1"/>
  <c r="J1115" i="1"/>
  <c r="K1115" i="1"/>
  <c r="J1116" i="1"/>
  <c r="K1116" i="1"/>
  <c r="J1117" i="1"/>
  <c r="K1117" i="1"/>
  <c r="J1118" i="1"/>
  <c r="K1118" i="1"/>
  <c r="J1119" i="1"/>
  <c r="K1119" i="1"/>
  <c r="J1120" i="1"/>
  <c r="K1120" i="1"/>
  <c r="J1121" i="1"/>
  <c r="K1121" i="1"/>
  <c r="J1122" i="1"/>
  <c r="K1122" i="1"/>
  <c r="J1123" i="1"/>
  <c r="K1123" i="1"/>
  <c r="J1124" i="1"/>
  <c r="K1124" i="1"/>
  <c r="J1125" i="1"/>
  <c r="K1125" i="1"/>
  <c r="J1126" i="1"/>
  <c r="K1126" i="1"/>
  <c r="J1127" i="1"/>
  <c r="K1127" i="1"/>
  <c r="J1128" i="1"/>
  <c r="K1128" i="1"/>
  <c r="J1129" i="1"/>
  <c r="K1129" i="1"/>
  <c r="J1130" i="1"/>
  <c r="K1130" i="1"/>
  <c r="J1131" i="1"/>
  <c r="K1131" i="1"/>
  <c r="J1132" i="1"/>
  <c r="K1132" i="1"/>
  <c r="J1133" i="1"/>
  <c r="K1133" i="1"/>
  <c r="J1134" i="1"/>
  <c r="K1134" i="1"/>
  <c r="J1135" i="1"/>
  <c r="K1135" i="1"/>
  <c r="J1136" i="1"/>
  <c r="K1136" i="1"/>
  <c r="J1137" i="1"/>
  <c r="K1137" i="1"/>
  <c r="J1138" i="1"/>
  <c r="K1138" i="1"/>
  <c r="J1139" i="1"/>
  <c r="K1139" i="1"/>
  <c r="J1140" i="1"/>
  <c r="K1140" i="1"/>
  <c r="J1141" i="1"/>
  <c r="K1141" i="1"/>
  <c r="J1142" i="1"/>
  <c r="K1142" i="1"/>
  <c r="J1143" i="1"/>
  <c r="K1143" i="1"/>
  <c r="J1144" i="1"/>
  <c r="K1144" i="1"/>
  <c r="J1145" i="1"/>
  <c r="K1145" i="1"/>
  <c r="J1146" i="1"/>
  <c r="K1146" i="1"/>
  <c r="J1147" i="1"/>
  <c r="K1147" i="1"/>
  <c r="J1148" i="1"/>
  <c r="K1148" i="1"/>
  <c r="J1149" i="1"/>
  <c r="K1149" i="1"/>
  <c r="J1150" i="1"/>
  <c r="K1150" i="1"/>
  <c r="J1151" i="1"/>
  <c r="K1151" i="1"/>
  <c r="J1152" i="1"/>
  <c r="K1152" i="1"/>
  <c r="J1153" i="1"/>
  <c r="K1153" i="1"/>
  <c r="J1154" i="1"/>
  <c r="K1154" i="1"/>
  <c r="J1155" i="1"/>
  <c r="K1155" i="1"/>
  <c r="J1156" i="1"/>
  <c r="K1156" i="1"/>
  <c r="J1157" i="1"/>
  <c r="K1157" i="1"/>
  <c r="J1158" i="1"/>
  <c r="K1158" i="1"/>
  <c r="J1159" i="1"/>
  <c r="K1159" i="1"/>
  <c r="J1160" i="1"/>
  <c r="K1160" i="1"/>
  <c r="J1161" i="1"/>
  <c r="K1161" i="1"/>
  <c r="J1162" i="1"/>
  <c r="K1162" i="1"/>
  <c r="J1163" i="1"/>
  <c r="K1163" i="1"/>
  <c r="J1164" i="1"/>
  <c r="K1164" i="1"/>
  <c r="J1165" i="1"/>
  <c r="K1165" i="1"/>
  <c r="J1166" i="1"/>
  <c r="K1166" i="1"/>
  <c r="J1167" i="1"/>
  <c r="K1167" i="1"/>
  <c r="J1168" i="1"/>
  <c r="K1168" i="1"/>
  <c r="J1169" i="1"/>
  <c r="K1169" i="1"/>
  <c r="J1170" i="1"/>
  <c r="K1170" i="1"/>
  <c r="J1171" i="1"/>
  <c r="K1171" i="1"/>
  <c r="J1172" i="1"/>
  <c r="K1172" i="1"/>
  <c r="J1173" i="1"/>
  <c r="K1173" i="1"/>
  <c r="J1174" i="1"/>
  <c r="K1174" i="1"/>
  <c r="J1175" i="1"/>
  <c r="K1175" i="1"/>
  <c r="J1176" i="1"/>
  <c r="K1176" i="1"/>
  <c r="J1177" i="1"/>
  <c r="K1177" i="1"/>
  <c r="J1178" i="1"/>
  <c r="K1178" i="1"/>
  <c r="J1179" i="1"/>
  <c r="K1179" i="1"/>
  <c r="J1180" i="1"/>
  <c r="K1180" i="1"/>
  <c r="J1181" i="1"/>
  <c r="K1181" i="1"/>
  <c r="J1182" i="1"/>
  <c r="K1182" i="1"/>
  <c r="J1183" i="1"/>
  <c r="K1183" i="1"/>
  <c r="J1184" i="1"/>
  <c r="K1184" i="1"/>
  <c r="J1185" i="1"/>
  <c r="K1185" i="1"/>
  <c r="J1186" i="1"/>
  <c r="K1186" i="1"/>
  <c r="J1187" i="1"/>
  <c r="K1187" i="1"/>
  <c r="J1188" i="1"/>
  <c r="K1188" i="1"/>
  <c r="J1189" i="1"/>
  <c r="K1189" i="1"/>
  <c r="J1190" i="1"/>
  <c r="K1190" i="1"/>
  <c r="J1191" i="1"/>
  <c r="K1191" i="1"/>
  <c r="J1192" i="1"/>
  <c r="K1192" i="1"/>
  <c r="J1193" i="1"/>
  <c r="K1193" i="1"/>
  <c r="J1194" i="1"/>
  <c r="K1194" i="1"/>
  <c r="J1195" i="1"/>
  <c r="K1195" i="1"/>
  <c r="J1196" i="1"/>
  <c r="K1196" i="1"/>
  <c r="J1197" i="1"/>
  <c r="K1197" i="1"/>
  <c r="J1198" i="1"/>
  <c r="K1198" i="1"/>
  <c r="J1199" i="1"/>
  <c r="K1199" i="1"/>
  <c r="J1200" i="1"/>
  <c r="K1200" i="1"/>
  <c r="J1201" i="1"/>
  <c r="K1201" i="1"/>
  <c r="J1202" i="1"/>
  <c r="K1202" i="1"/>
  <c r="J1203" i="1"/>
  <c r="K1203" i="1"/>
  <c r="J1204" i="1"/>
  <c r="K1204" i="1"/>
  <c r="J1205" i="1"/>
  <c r="K1205" i="1"/>
  <c r="J1206" i="1"/>
  <c r="K1206" i="1"/>
  <c r="J1207" i="1"/>
  <c r="K1207" i="1"/>
  <c r="J1208" i="1"/>
  <c r="K1208" i="1"/>
  <c r="J1209" i="1"/>
  <c r="K1209" i="1"/>
  <c r="J1210" i="1"/>
  <c r="K1210" i="1"/>
  <c r="J1211" i="1"/>
  <c r="K1211" i="1"/>
  <c r="J1212" i="1"/>
  <c r="K1212" i="1"/>
  <c r="J1213" i="1"/>
  <c r="K1213" i="1"/>
  <c r="J1214" i="1"/>
  <c r="K1214" i="1"/>
  <c r="J1215" i="1"/>
  <c r="K1215" i="1"/>
  <c r="J1216" i="1"/>
  <c r="K1216" i="1"/>
  <c r="J1217" i="1"/>
  <c r="K1217" i="1"/>
  <c r="J1218" i="1"/>
  <c r="K1218" i="1"/>
  <c r="J1219" i="1"/>
  <c r="K1219" i="1"/>
  <c r="J1220" i="1"/>
  <c r="K1220" i="1"/>
  <c r="J1221" i="1"/>
  <c r="K1221" i="1"/>
  <c r="J1222" i="1"/>
  <c r="K1222" i="1"/>
  <c r="J1223" i="1"/>
  <c r="K1223" i="1"/>
  <c r="J1224" i="1"/>
  <c r="K1224" i="1"/>
  <c r="J1225" i="1"/>
  <c r="K1225" i="1"/>
  <c r="J1226" i="1"/>
  <c r="K1226" i="1"/>
  <c r="J1227" i="1"/>
  <c r="K1227" i="1"/>
  <c r="J1228" i="1"/>
  <c r="K1228" i="1"/>
  <c r="J1229" i="1"/>
  <c r="K1229" i="1"/>
  <c r="J1230" i="1"/>
  <c r="K1230" i="1"/>
  <c r="J1231" i="1"/>
  <c r="K1231" i="1"/>
  <c r="J1232" i="1"/>
  <c r="K1232" i="1"/>
  <c r="J1233" i="1"/>
  <c r="K1233" i="1"/>
  <c r="J1234" i="1"/>
  <c r="K1234" i="1"/>
  <c r="J1235" i="1"/>
  <c r="K1235" i="1"/>
  <c r="J1236" i="1"/>
  <c r="K1236" i="1"/>
  <c r="J1237" i="1"/>
  <c r="K1237" i="1"/>
  <c r="J1238" i="1"/>
  <c r="K1238" i="1"/>
  <c r="J1239" i="1"/>
  <c r="K1239" i="1"/>
  <c r="J1240" i="1"/>
  <c r="K1240" i="1"/>
  <c r="J1241" i="1"/>
  <c r="K1241" i="1"/>
  <c r="J1242" i="1"/>
  <c r="K1242" i="1"/>
  <c r="J1243" i="1"/>
  <c r="K1243" i="1"/>
  <c r="J1244" i="1"/>
  <c r="K1244" i="1"/>
  <c r="J1245" i="1"/>
  <c r="K1245" i="1"/>
  <c r="J1246" i="1"/>
  <c r="K1246" i="1"/>
  <c r="J1247" i="1"/>
  <c r="K1247" i="1"/>
  <c r="J1248" i="1"/>
  <c r="K1248" i="1"/>
  <c r="J1249" i="1"/>
  <c r="K1249" i="1"/>
  <c r="J1250" i="1"/>
  <c r="K1250" i="1"/>
  <c r="J1251" i="1"/>
  <c r="K1251" i="1"/>
  <c r="J1252" i="1"/>
  <c r="K1252" i="1"/>
  <c r="J1253" i="1"/>
  <c r="K1253" i="1"/>
  <c r="J1356" i="1"/>
  <c r="K1356" i="1"/>
  <c r="J1357" i="1"/>
  <c r="K1357" i="1"/>
  <c r="J1358" i="1"/>
  <c r="K1358" i="1"/>
  <c r="J1359" i="1"/>
  <c r="K1359" i="1"/>
  <c r="J1360" i="1"/>
  <c r="K1360" i="1"/>
  <c r="J1361" i="1"/>
  <c r="K1361" i="1"/>
  <c r="J1362" i="1"/>
  <c r="K1362" i="1"/>
  <c r="J1363" i="1"/>
  <c r="K1363" i="1"/>
  <c r="J1364" i="1"/>
  <c r="K1364" i="1"/>
  <c r="J1365" i="1"/>
  <c r="K1365" i="1"/>
  <c r="J1366" i="1"/>
  <c r="K1366" i="1"/>
  <c r="J1367" i="1"/>
  <c r="K1367" i="1"/>
  <c r="J1368" i="1"/>
  <c r="K1368" i="1"/>
  <c r="J1369" i="1"/>
  <c r="K1369" i="1"/>
  <c r="J1370" i="1"/>
  <c r="K1370" i="1"/>
  <c r="J1371" i="1"/>
  <c r="K1371" i="1"/>
  <c r="J1372" i="1"/>
  <c r="K1372" i="1"/>
  <c r="J1373" i="1"/>
  <c r="K1373" i="1"/>
  <c r="J1374" i="1"/>
  <c r="K1374" i="1"/>
  <c r="J1375" i="1"/>
  <c r="K1375" i="1"/>
  <c r="J1376" i="1"/>
  <c r="K1376" i="1"/>
  <c r="J1377" i="1"/>
  <c r="K1377" i="1"/>
  <c r="J1378" i="1"/>
  <c r="K1378" i="1"/>
  <c r="J1379" i="1"/>
  <c r="K1379" i="1"/>
  <c r="J1380" i="1"/>
  <c r="K1380" i="1"/>
  <c r="J1381" i="1"/>
  <c r="K1381" i="1"/>
  <c r="J1382" i="1"/>
  <c r="K1382" i="1"/>
  <c r="J1383" i="1"/>
  <c r="K1383" i="1"/>
  <c r="J1384" i="1"/>
  <c r="K1384" i="1"/>
  <c r="J1385" i="1"/>
  <c r="K1385" i="1"/>
  <c r="J1386" i="1"/>
  <c r="K1386" i="1"/>
  <c r="J1387" i="1"/>
  <c r="K1387" i="1"/>
  <c r="J1388" i="1"/>
  <c r="K1388" i="1"/>
  <c r="J1389" i="1"/>
  <c r="K1389" i="1"/>
  <c r="J1390" i="1"/>
  <c r="K1390" i="1"/>
  <c r="J1391" i="1"/>
  <c r="K1391" i="1"/>
  <c r="J1392" i="1"/>
  <c r="K1392" i="1"/>
  <c r="J1393" i="1"/>
  <c r="K1393" i="1"/>
  <c r="J1394" i="1"/>
  <c r="K1394" i="1"/>
  <c r="J1395" i="1"/>
  <c r="K1395" i="1"/>
  <c r="J1396" i="1"/>
  <c r="K1396" i="1"/>
  <c r="J1397" i="1"/>
  <c r="K1397" i="1"/>
  <c r="J1398" i="1"/>
  <c r="K1398" i="1"/>
  <c r="J1399" i="1"/>
  <c r="K1399" i="1"/>
  <c r="J1400" i="1"/>
  <c r="K1400" i="1"/>
  <c r="J1401" i="1"/>
  <c r="K1401" i="1"/>
  <c r="J1402" i="1"/>
  <c r="K1402" i="1"/>
  <c r="J1403" i="1"/>
  <c r="K1403" i="1"/>
  <c r="J1404" i="1"/>
  <c r="K1404" i="1"/>
  <c r="J1405" i="1"/>
  <c r="K1405" i="1"/>
  <c r="J1406" i="1"/>
  <c r="K1406" i="1"/>
  <c r="J1407" i="1"/>
  <c r="K1407" i="1"/>
  <c r="J1408" i="1"/>
  <c r="K1408" i="1"/>
  <c r="J1409" i="1"/>
  <c r="K1409" i="1"/>
  <c r="J1410" i="1"/>
  <c r="K1410" i="1"/>
  <c r="J1411" i="1"/>
  <c r="K1411" i="1"/>
  <c r="J1412" i="1"/>
  <c r="K1412" i="1"/>
  <c r="J1413" i="1"/>
  <c r="K1413" i="1"/>
  <c r="J1414" i="1"/>
  <c r="K1414" i="1"/>
  <c r="J1415" i="1"/>
  <c r="K1415" i="1"/>
  <c r="J1416" i="1"/>
  <c r="K1416" i="1"/>
  <c r="J1417" i="1"/>
  <c r="K1417" i="1"/>
  <c r="J1418" i="1"/>
  <c r="K1418" i="1"/>
  <c r="J1419" i="1"/>
  <c r="K1419" i="1"/>
  <c r="J1420" i="1"/>
  <c r="K1420" i="1"/>
  <c r="J1421" i="1"/>
  <c r="K1421" i="1"/>
  <c r="J1422" i="1"/>
  <c r="K1422" i="1"/>
  <c r="J1423" i="1"/>
  <c r="K1423" i="1"/>
  <c r="J1424" i="1"/>
  <c r="K1424" i="1"/>
  <c r="J1425" i="1"/>
  <c r="K1425" i="1"/>
  <c r="J1426" i="1"/>
  <c r="K1426" i="1"/>
  <c r="J1427" i="1"/>
  <c r="K1427" i="1"/>
  <c r="J1428" i="1"/>
  <c r="K1428" i="1"/>
  <c r="J1429" i="1"/>
  <c r="K1429" i="1"/>
  <c r="J1430" i="1"/>
  <c r="K1430" i="1"/>
  <c r="J1431" i="1"/>
  <c r="K1431" i="1"/>
  <c r="J1432" i="1"/>
  <c r="K1432" i="1"/>
  <c r="J1433" i="1"/>
  <c r="K1433" i="1"/>
  <c r="J1434" i="1"/>
  <c r="K1434" i="1"/>
  <c r="J1435" i="1"/>
  <c r="K1435" i="1"/>
  <c r="J1436" i="1"/>
  <c r="K1436" i="1"/>
  <c r="J1437" i="1"/>
  <c r="K1437" i="1"/>
  <c r="J1438" i="1"/>
  <c r="K1438" i="1"/>
  <c r="J1439" i="1"/>
  <c r="K1439" i="1"/>
  <c r="J1440" i="1"/>
  <c r="K1440" i="1"/>
  <c r="J1441" i="1"/>
  <c r="K1441" i="1"/>
  <c r="J1442" i="1"/>
  <c r="K1442" i="1"/>
  <c r="J1443" i="1"/>
  <c r="K1443" i="1"/>
  <c r="J1444" i="1"/>
  <c r="K1444" i="1"/>
  <c r="J1445" i="1"/>
  <c r="K1445" i="1"/>
  <c r="J1446" i="1"/>
  <c r="K1446" i="1"/>
  <c r="J1447" i="1"/>
  <c r="K1447" i="1"/>
  <c r="J1448" i="1"/>
  <c r="K1448" i="1"/>
  <c r="J1449" i="1"/>
  <c r="K1449" i="1"/>
  <c r="J1450" i="1"/>
  <c r="K1450" i="1"/>
  <c r="J1451" i="1"/>
  <c r="K1451" i="1"/>
  <c r="J1452" i="1"/>
  <c r="K1452" i="1"/>
  <c r="J1453" i="1"/>
  <c r="K1453" i="1"/>
  <c r="J1454" i="1"/>
  <c r="K1454" i="1"/>
  <c r="J1455" i="1"/>
  <c r="K1455" i="1"/>
  <c r="J1512" i="1"/>
  <c r="K1512" i="1"/>
  <c r="J1513" i="1"/>
  <c r="K1513" i="1"/>
  <c r="J1514" i="1"/>
  <c r="K1514" i="1"/>
  <c r="J1515" i="1"/>
  <c r="K1515" i="1"/>
  <c r="J1516" i="1"/>
  <c r="K1516" i="1"/>
  <c r="J1517" i="1"/>
  <c r="K1517" i="1"/>
  <c r="J1518" i="1"/>
  <c r="K1518" i="1"/>
  <c r="J1519" i="1"/>
  <c r="K1519" i="1"/>
  <c r="J1520" i="1"/>
  <c r="K1520" i="1"/>
  <c r="J1521" i="1"/>
  <c r="K1521" i="1"/>
  <c r="J1522" i="1"/>
  <c r="K1522" i="1"/>
  <c r="J1523" i="1"/>
  <c r="K1523" i="1"/>
  <c r="J1524" i="1"/>
  <c r="K1524" i="1"/>
  <c r="J1525" i="1"/>
  <c r="K1525" i="1"/>
  <c r="J1526" i="1"/>
  <c r="K1526" i="1"/>
  <c r="J1527" i="1"/>
  <c r="K1527" i="1"/>
  <c r="J1528" i="1"/>
  <c r="K1528" i="1"/>
  <c r="J1529" i="1"/>
  <c r="K1529" i="1"/>
  <c r="J1530" i="1"/>
  <c r="K1530" i="1"/>
  <c r="J1531" i="1"/>
  <c r="K1531" i="1"/>
  <c r="J1532" i="1"/>
  <c r="K1532" i="1"/>
  <c r="J1533" i="1"/>
  <c r="K1533" i="1"/>
  <c r="J1534" i="1"/>
  <c r="K1534" i="1"/>
  <c r="J1535" i="1"/>
  <c r="K1535" i="1"/>
  <c r="J1536" i="1"/>
  <c r="K1536" i="1"/>
  <c r="J1537" i="1"/>
  <c r="K1537" i="1"/>
  <c r="J1538" i="1"/>
  <c r="K1538" i="1"/>
  <c r="J1539" i="1"/>
  <c r="K1539" i="1"/>
  <c r="J1540" i="1"/>
  <c r="K1540" i="1"/>
  <c r="J1541" i="1"/>
  <c r="K1541" i="1"/>
  <c r="J1542" i="1"/>
  <c r="K1542" i="1"/>
  <c r="J1543" i="1"/>
  <c r="K1543" i="1"/>
  <c r="J1544" i="1"/>
  <c r="K1544" i="1"/>
  <c r="J1545" i="1"/>
  <c r="K1545" i="1"/>
  <c r="J1546" i="1"/>
  <c r="K1546" i="1"/>
  <c r="J1547" i="1"/>
  <c r="K1547" i="1"/>
  <c r="J1548" i="1"/>
  <c r="K1548" i="1"/>
  <c r="J1549" i="1"/>
  <c r="K1549" i="1"/>
  <c r="J1550" i="1"/>
  <c r="K1550" i="1"/>
  <c r="J1551" i="1"/>
  <c r="K1551" i="1"/>
  <c r="J1552" i="1"/>
  <c r="K1552" i="1"/>
  <c r="J1553" i="1"/>
  <c r="K1553" i="1"/>
  <c r="J1554" i="1"/>
  <c r="K1554" i="1"/>
  <c r="J1555" i="1"/>
  <c r="K1555" i="1"/>
  <c r="J1556" i="1"/>
  <c r="K1556" i="1"/>
  <c r="J1557" i="1"/>
  <c r="K1557" i="1"/>
  <c r="J1558" i="1"/>
  <c r="K1558" i="1"/>
  <c r="J1559" i="1"/>
  <c r="K1559" i="1"/>
  <c r="J1560" i="1"/>
  <c r="K1560" i="1"/>
  <c r="J1561" i="1"/>
  <c r="K1561" i="1"/>
  <c r="J1562" i="1"/>
  <c r="K1562" i="1"/>
  <c r="J1563" i="1"/>
  <c r="K1563" i="1"/>
  <c r="J1564" i="1"/>
  <c r="K1564" i="1"/>
  <c r="J1565" i="1"/>
  <c r="K1565" i="1"/>
  <c r="J1566" i="1"/>
  <c r="K1566" i="1"/>
  <c r="J1567" i="1"/>
  <c r="K1567" i="1"/>
  <c r="J1568" i="1"/>
  <c r="K1568" i="1"/>
  <c r="J1569" i="1"/>
  <c r="K1569" i="1"/>
  <c r="J1570" i="1"/>
  <c r="K1570" i="1"/>
  <c r="J1571" i="1"/>
  <c r="K1571" i="1"/>
  <c r="J1572" i="1"/>
  <c r="K1572" i="1"/>
  <c r="J1573" i="1"/>
  <c r="K1573" i="1"/>
  <c r="J1574" i="1"/>
  <c r="K1574" i="1"/>
  <c r="J1575" i="1"/>
  <c r="K1575" i="1"/>
  <c r="J1576" i="1"/>
  <c r="K1576" i="1"/>
  <c r="J1577" i="1"/>
  <c r="K1577" i="1"/>
  <c r="J1578" i="1"/>
  <c r="K1578" i="1"/>
  <c r="J1579" i="1"/>
  <c r="K1579" i="1"/>
  <c r="J1580" i="1"/>
  <c r="K1580" i="1"/>
  <c r="J1581" i="1"/>
  <c r="K1581" i="1"/>
  <c r="J1582" i="1"/>
  <c r="K1582" i="1"/>
  <c r="J1583" i="1"/>
  <c r="K1583" i="1"/>
  <c r="J1584" i="1"/>
  <c r="K1584" i="1"/>
  <c r="J1585" i="1"/>
  <c r="K1585" i="1"/>
  <c r="J1586" i="1"/>
  <c r="K1586" i="1"/>
  <c r="J1587" i="1"/>
  <c r="K1587" i="1"/>
  <c r="J1588" i="1"/>
  <c r="K1588" i="1"/>
  <c r="J1589" i="1"/>
  <c r="K1589" i="1"/>
  <c r="J1590" i="1"/>
  <c r="K1590" i="1"/>
  <c r="J1591" i="1"/>
  <c r="K1591" i="1"/>
  <c r="J1592" i="1"/>
  <c r="K1592" i="1"/>
  <c r="J1593" i="1"/>
  <c r="K1593" i="1"/>
  <c r="J1594" i="1"/>
  <c r="K1594" i="1"/>
  <c r="J1595" i="1"/>
  <c r="K1595" i="1"/>
  <c r="J1596" i="1"/>
  <c r="K1596" i="1"/>
  <c r="J1597" i="1"/>
  <c r="K1597" i="1"/>
  <c r="J1598" i="1"/>
  <c r="K1598" i="1"/>
  <c r="J1599" i="1"/>
  <c r="K1599" i="1"/>
  <c r="J1600" i="1"/>
  <c r="K1600" i="1"/>
  <c r="J1601" i="1"/>
  <c r="K1601" i="1"/>
  <c r="J1602" i="1"/>
  <c r="K1602" i="1"/>
  <c r="J1603" i="1"/>
  <c r="K1603" i="1"/>
  <c r="J1604" i="1"/>
  <c r="K1604" i="1"/>
  <c r="J1605" i="1"/>
  <c r="K1605" i="1"/>
  <c r="J1606" i="1"/>
  <c r="K1606" i="1"/>
  <c r="J1607" i="1"/>
  <c r="K1607" i="1"/>
  <c r="J1608" i="1"/>
  <c r="K1608" i="1"/>
  <c r="J1609" i="1"/>
  <c r="K1609" i="1"/>
  <c r="J1610" i="1"/>
  <c r="K1610" i="1"/>
  <c r="J1611" i="1"/>
  <c r="K1611" i="1"/>
  <c r="J1612" i="1"/>
  <c r="K1612" i="1"/>
  <c r="J1613" i="1"/>
  <c r="K1613" i="1"/>
  <c r="J1614" i="1"/>
  <c r="K1614" i="1"/>
  <c r="J1615" i="1"/>
  <c r="K1615" i="1"/>
  <c r="J1616" i="1"/>
  <c r="K1616" i="1"/>
  <c r="J1617" i="1"/>
  <c r="K1617" i="1"/>
  <c r="J1618" i="1"/>
  <c r="K1618" i="1"/>
  <c r="J1619" i="1"/>
  <c r="K1619" i="1"/>
  <c r="J1620" i="1"/>
  <c r="K1620" i="1"/>
  <c r="J1621" i="1"/>
  <c r="K1621" i="1"/>
  <c r="J1622" i="1"/>
  <c r="K1622" i="1"/>
  <c r="J1623" i="1"/>
  <c r="K1623" i="1"/>
  <c r="J1624" i="1"/>
  <c r="K1624" i="1"/>
  <c r="J1625" i="1"/>
  <c r="K1625" i="1"/>
  <c r="J1626" i="1"/>
  <c r="K1626" i="1"/>
  <c r="J1627" i="1"/>
  <c r="K1627" i="1"/>
  <c r="J1628" i="1"/>
  <c r="K1628" i="1"/>
  <c r="J1629" i="1"/>
  <c r="K1629" i="1"/>
  <c r="J1630" i="1"/>
  <c r="K1630" i="1"/>
  <c r="J1631" i="1"/>
  <c r="K1631" i="1"/>
  <c r="J1632" i="1"/>
  <c r="K1632" i="1"/>
  <c r="J1633" i="1"/>
  <c r="K1633" i="1"/>
  <c r="J1634" i="1"/>
  <c r="K1634" i="1"/>
  <c r="J1635" i="1"/>
  <c r="K1635" i="1"/>
  <c r="J1636" i="1"/>
  <c r="K1636" i="1"/>
  <c r="J1637" i="1"/>
  <c r="K1637" i="1"/>
  <c r="J1638" i="1"/>
  <c r="K1638" i="1"/>
  <c r="J1639" i="1"/>
  <c r="K1639" i="1"/>
  <c r="J1640" i="1"/>
  <c r="K1640" i="1"/>
  <c r="J1641" i="1"/>
  <c r="K1641" i="1"/>
  <c r="J1642" i="1"/>
  <c r="K1642" i="1"/>
  <c r="J1643" i="1"/>
  <c r="K1643" i="1"/>
  <c r="J1644" i="1"/>
  <c r="K1644" i="1"/>
  <c r="J1645" i="1"/>
  <c r="K1645" i="1"/>
  <c r="J1646" i="1"/>
  <c r="K1646" i="1"/>
  <c r="J1647" i="1"/>
  <c r="K1647" i="1"/>
  <c r="J1648" i="1"/>
  <c r="K1648" i="1"/>
  <c r="J1649" i="1"/>
  <c r="K1649" i="1"/>
  <c r="J1650" i="1"/>
  <c r="K1650" i="1"/>
  <c r="J1651" i="1"/>
  <c r="K1651" i="1"/>
  <c r="J1652" i="1"/>
  <c r="K1652" i="1"/>
  <c r="J1653" i="1"/>
  <c r="K1653" i="1"/>
  <c r="J1654" i="1"/>
  <c r="K1654" i="1"/>
  <c r="J1655" i="1"/>
  <c r="K1655" i="1"/>
  <c r="J1656" i="1"/>
  <c r="K1656" i="1"/>
  <c r="J1657" i="1"/>
  <c r="K1657" i="1"/>
  <c r="J1658" i="1"/>
  <c r="K1658" i="1"/>
  <c r="J1659" i="1"/>
  <c r="K1659" i="1"/>
  <c r="J1660" i="1"/>
  <c r="K1660" i="1"/>
  <c r="J1661" i="1"/>
  <c r="K1661" i="1"/>
  <c r="J1662" i="1"/>
  <c r="K1662" i="1"/>
  <c r="J1663" i="1"/>
  <c r="K1663" i="1"/>
  <c r="J1664" i="1"/>
  <c r="K1664" i="1"/>
  <c r="J1665" i="1"/>
  <c r="K1665" i="1"/>
  <c r="J1666" i="1"/>
  <c r="K1666" i="1"/>
  <c r="J1667" i="1"/>
  <c r="K1667" i="1"/>
  <c r="J1668" i="1"/>
  <c r="K1668" i="1"/>
  <c r="J1669" i="1"/>
  <c r="K1669" i="1"/>
  <c r="J1670" i="1"/>
  <c r="K1670" i="1"/>
  <c r="J1671" i="1"/>
  <c r="K1671" i="1"/>
  <c r="J1672" i="1"/>
  <c r="K1672" i="1"/>
  <c r="J1673" i="1"/>
  <c r="K1673" i="1"/>
  <c r="J1674" i="1"/>
  <c r="K1674" i="1"/>
  <c r="J1675" i="1"/>
  <c r="K1675" i="1"/>
  <c r="J1676" i="1"/>
  <c r="K1676" i="1"/>
  <c r="J1677" i="1"/>
  <c r="K1677" i="1"/>
  <c r="J1678" i="1"/>
  <c r="K1678" i="1"/>
  <c r="J1679" i="1"/>
  <c r="K1679" i="1"/>
  <c r="J1680" i="1"/>
  <c r="K1680" i="1"/>
  <c r="J1681" i="1"/>
  <c r="K1681" i="1"/>
  <c r="J1682" i="1"/>
  <c r="K1682" i="1"/>
  <c r="J1683" i="1"/>
  <c r="K1683" i="1"/>
  <c r="J1684" i="1"/>
  <c r="K1684" i="1"/>
  <c r="J1685" i="1"/>
  <c r="K1685" i="1"/>
  <c r="J1686" i="1"/>
  <c r="K1686" i="1"/>
  <c r="J1687" i="1"/>
  <c r="K1687" i="1"/>
  <c r="J1688" i="1"/>
  <c r="K1688" i="1"/>
  <c r="J1689" i="1"/>
  <c r="K1689" i="1"/>
  <c r="J1690" i="1"/>
  <c r="K1690" i="1"/>
  <c r="J1691" i="1"/>
  <c r="K1691" i="1"/>
  <c r="J1692" i="1"/>
  <c r="K1692" i="1"/>
  <c r="J1693" i="1"/>
  <c r="K1693" i="1"/>
  <c r="J1694" i="1"/>
  <c r="K1694" i="1"/>
  <c r="J1695" i="1"/>
  <c r="K1695" i="1"/>
  <c r="J1696" i="1"/>
  <c r="K1696" i="1"/>
  <c r="J1697" i="1"/>
  <c r="K1697" i="1"/>
  <c r="J1698" i="1"/>
  <c r="K1698" i="1"/>
  <c r="J1699" i="1"/>
  <c r="K1699" i="1"/>
  <c r="J1700" i="1"/>
  <c r="K1700" i="1"/>
  <c r="J1701" i="1"/>
  <c r="K1701" i="1"/>
  <c r="J1702" i="1"/>
  <c r="K1702" i="1"/>
  <c r="J76" i="15" l="1"/>
  <c r="I76" i="15"/>
  <c r="I43" i="15"/>
  <c r="J221" i="5" l="1"/>
  <c r="K221" i="5"/>
  <c r="I6" i="1"/>
  <c r="J6" i="1"/>
  <c r="J1703" i="1" s="1"/>
  <c r="D1707" i="1" s="1"/>
  <c r="K6" i="1"/>
  <c r="K1703" i="1" s="1"/>
  <c r="I7" i="1"/>
  <c r="L7" i="1" s="1"/>
  <c r="I8" i="1"/>
  <c r="L8" i="1" s="1"/>
  <c r="I9" i="1"/>
  <c r="L9" i="1" s="1"/>
  <c r="I10" i="1"/>
  <c r="L10" i="1" s="1"/>
  <c r="I11" i="1"/>
  <c r="L11" i="1" s="1"/>
  <c r="I12" i="1"/>
  <c r="L12" i="1" s="1"/>
  <c r="I13" i="1"/>
  <c r="L13" i="1" s="1"/>
  <c r="I14" i="1"/>
  <c r="L14" i="1" s="1"/>
  <c r="I15" i="1"/>
  <c r="L15" i="1" s="1"/>
  <c r="I16" i="1"/>
  <c r="L16" i="1" s="1"/>
  <c r="I17" i="1"/>
  <c r="L17" i="1" s="1"/>
  <c r="I18" i="1"/>
  <c r="L18" i="1" s="1"/>
  <c r="I19" i="1"/>
  <c r="L19" i="1" s="1"/>
  <c r="I20" i="1"/>
  <c r="L20" i="1" s="1"/>
  <c r="I21" i="1"/>
  <c r="L21" i="1" s="1"/>
  <c r="I22" i="1"/>
  <c r="L22" i="1" s="1"/>
  <c r="I42" i="1"/>
  <c r="L42" i="1" s="1"/>
  <c r="I43" i="1"/>
  <c r="L43" i="1" s="1"/>
  <c r="I44" i="1"/>
  <c r="L44" i="1" s="1"/>
  <c r="I45" i="1"/>
  <c r="L45" i="1" s="1"/>
  <c r="I46" i="1"/>
  <c r="L46" i="1" s="1"/>
  <c r="I47" i="1"/>
  <c r="L47" i="1" s="1"/>
  <c r="I48" i="1"/>
  <c r="L48" i="1" s="1"/>
  <c r="I49" i="1"/>
  <c r="L49" i="1" s="1"/>
  <c r="I50" i="1"/>
  <c r="L50" i="1" s="1"/>
  <c r="I51" i="1"/>
  <c r="L51" i="1" s="1"/>
  <c r="I52" i="1"/>
  <c r="L52" i="1" s="1"/>
  <c r="I53" i="1"/>
  <c r="L53" i="1" s="1"/>
  <c r="I54" i="1"/>
  <c r="L54" i="1" s="1"/>
  <c r="I55" i="1"/>
  <c r="L55" i="1" s="1"/>
  <c r="I56" i="1"/>
  <c r="L56" i="1" s="1"/>
  <c r="I57" i="1"/>
  <c r="L57" i="1" s="1"/>
  <c r="I58" i="1"/>
  <c r="L58" i="1" s="1"/>
  <c r="I59" i="1"/>
  <c r="L59" i="1" s="1"/>
  <c r="I60" i="1"/>
  <c r="L60" i="1" s="1"/>
  <c r="I61" i="1"/>
  <c r="L61" i="1" s="1"/>
  <c r="I62" i="1"/>
  <c r="L62" i="1" s="1"/>
  <c r="I63" i="1"/>
  <c r="L63" i="1" s="1"/>
  <c r="I64" i="1"/>
  <c r="L64" i="1" s="1"/>
  <c r="I65" i="1"/>
  <c r="L65" i="1" s="1"/>
  <c r="I66" i="1"/>
  <c r="L66" i="1" s="1"/>
  <c r="I67" i="1"/>
  <c r="L67" i="1" s="1"/>
  <c r="I68" i="1"/>
  <c r="L68" i="1" s="1"/>
  <c r="I69" i="1"/>
  <c r="L69" i="1" s="1"/>
  <c r="I70" i="1"/>
  <c r="L70" i="1" s="1"/>
  <c r="I71" i="1"/>
  <c r="L71" i="1" s="1"/>
  <c r="I72" i="1"/>
  <c r="L72" i="1" s="1"/>
  <c r="I73" i="1"/>
  <c r="L73" i="1" s="1"/>
  <c r="I74" i="1"/>
  <c r="L74" i="1" s="1"/>
  <c r="I75" i="1"/>
  <c r="L75" i="1" s="1"/>
  <c r="I76" i="1"/>
  <c r="L76" i="1" s="1"/>
  <c r="I77" i="1"/>
  <c r="L77" i="1" s="1"/>
  <c r="I78" i="1"/>
  <c r="L78" i="1" s="1"/>
  <c r="I79" i="1"/>
  <c r="L79" i="1" s="1"/>
  <c r="I80" i="1"/>
  <c r="L80" i="1" s="1"/>
  <c r="I81" i="1"/>
  <c r="L81" i="1" s="1"/>
  <c r="I82" i="1"/>
  <c r="L82" i="1" s="1"/>
  <c r="I83" i="1"/>
  <c r="L83" i="1" s="1"/>
  <c r="I84" i="1"/>
  <c r="L84" i="1" s="1"/>
  <c r="I85" i="1"/>
  <c r="L85" i="1" s="1"/>
  <c r="I86" i="1"/>
  <c r="L86" i="1" s="1"/>
  <c r="I87" i="1"/>
  <c r="L87" i="1" s="1"/>
  <c r="I88" i="1"/>
  <c r="L88" i="1" s="1"/>
  <c r="I89" i="1"/>
  <c r="L89" i="1" s="1"/>
  <c r="I90" i="1"/>
  <c r="L90" i="1" s="1"/>
  <c r="I91" i="1"/>
  <c r="L91" i="1" s="1"/>
  <c r="I92" i="1"/>
  <c r="L92" i="1" s="1"/>
  <c r="I93" i="1"/>
  <c r="L93" i="1" s="1"/>
  <c r="I94" i="1"/>
  <c r="L94" i="1" s="1"/>
  <c r="I95" i="1"/>
  <c r="L95" i="1" s="1"/>
  <c r="I96" i="1"/>
  <c r="L96" i="1" s="1"/>
  <c r="I97" i="1"/>
  <c r="L97" i="1" s="1"/>
  <c r="I98" i="1"/>
  <c r="L98" i="1" s="1"/>
  <c r="I99" i="1"/>
  <c r="L99" i="1" s="1"/>
  <c r="I100" i="1"/>
  <c r="L100" i="1" s="1"/>
  <c r="I101" i="1"/>
  <c r="L101" i="1" s="1"/>
  <c r="I102" i="1"/>
  <c r="L102" i="1" s="1"/>
  <c r="I103" i="1"/>
  <c r="L103" i="1" s="1"/>
  <c r="I104" i="1"/>
  <c r="L104" i="1" s="1"/>
  <c r="I105" i="1"/>
  <c r="L105" i="1" s="1"/>
  <c r="I106" i="1"/>
  <c r="L106" i="1" s="1"/>
  <c r="I107" i="1"/>
  <c r="L107" i="1" s="1"/>
  <c r="I108" i="1"/>
  <c r="L108" i="1" s="1"/>
  <c r="I109" i="1"/>
  <c r="L109" i="1" s="1"/>
  <c r="I110" i="1"/>
  <c r="L110" i="1" s="1"/>
  <c r="I111" i="1"/>
  <c r="L111" i="1" s="1"/>
  <c r="I112" i="1"/>
  <c r="L112" i="1" s="1"/>
  <c r="I113" i="1"/>
  <c r="L113" i="1" s="1"/>
  <c r="I114" i="1"/>
  <c r="L114" i="1" s="1"/>
  <c r="I115" i="1"/>
  <c r="L115" i="1" s="1"/>
  <c r="I116" i="1"/>
  <c r="L116" i="1" s="1"/>
  <c r="I117" i="1"/>
  <c r="L117" i="1" s="1"/>
  <c r="I118" i="1"/>
  <c r="L118" i="1" s="1"/>
  <c r="I119" i="1"/>
  <c r="L119" i="1" s="1"/>
  <c r="I120" i="1"/>
  <c r="L120" i="1" s="1"/>
  <c r="I121" i="1"/>
  <c r="L121" i="1" s="1"/>
  <c r="I122" i="1"/>
  <c r="L122" i="1" s="1"/>
  <c r="I123" i="1"/>
  <c r="L123" i="1" s="1"/>
  <c r="I124" i="1"/>
  <c r="L124" i="1" s="1"/>
  <c r="I125" i="1"/>
  <c r="L125" i="1" s="1"/>
  <c r="I126" i="1"/>
  <c r="L126" i="1" s="1"/>
  <c r="I127" i="1"/>
  <c r="L127" i="1" s="1"/>
  <c r="I128" i="1"/>
  <c r="L128" i="1" s="1"/>
  <c r="I129" i="1"/>
  <c r="L129" i="1" s="1"/>
  <c r="I130" i="1"/>
  <c r="L130" i="1" s="1"/>
  <c r="I131" i="1"/>
  <c r="L131" i="1" s="1"/>
  <c r="I132" i="1"/>
  <c r="L132" i="1" s="1"/>
  <c r="I133" i="1"/>
  <c r="L133" i="1" s="1"/>
  <c r="I134" i="1"/>
  <c r="L134" i="1" s="1"/>
  <c r="I135" i="1"/>
  <c r="L135" i="1" s="1"/>
  <c r="I136" i="1"/>
  <c r="L136" i="1" s="1"/>
  <c r="I137" i="1"/>
  <c r="L137" i="1" s="1"/>
  <c r="I138" i="1"/>
  <c r="L138" i="1" s="1"/>
  <c r="I139" i="1"/>
  <c r="L139" i="1" s="1"/>
  <c r="I140" i="1"/>
  <c r="L140" i="1" s="1"/>
  <c r="I141" i="1"/>
  <c r="L141" i="1" s="1"/>
  <c r="I142" i="1"/>
  <c r="L142" i="1" s="1"/>
  <c r="I143" i="1"/>
  <c r="L143" i="1" s="1"/>
  <c r="I144" i="1"/>
  <c r="L144" i="1" s="1"/>
  <c r="I145" i="1"/>
  <c r="L145" i="1" s="1"/>
  <c r="I146" i="1"/>
  <c r="L146" i="1" s="1"/>
  <c r="I147" i="1"/>
  <c r="L147" i="1" s="1"/>
  <c r="I148" i="1"/>
  <c r="L148" i="1" s="1"/>
  <c r="I149" i="1"/>
  <c r="L149" i="1" s="1"/>
  <c r="I150" i="1"/>
  <c r="L150" i="1" s="1"/>
  <c r="I151" i="1"/>
  <c r="L151" i="1" s="1"/>
  <c r="I152" i="1"/>
  <c r="L152" i="1" s="1"/>
  <c r="I153" i="1"/>
  <c r="L153" i="1" s="1"/>
  <c r="I154" i="1"/>
  <c r="L154" i="1" s="1"/>
  <c r="I155" i="1"/>
  <c r="L155" i="1" s="1"/>
  <c r="I156" i="1"/>
  <c r="L156" i="1" s="1"/>
  <c r="I157" i="1"/>
  <c r="L157" i="1" s="1"/>
  <c r="I158" i="1"/>
  <c r="L158" i="1" s="1"/>
  <c r="I159" i="1"/>
  <c r="L159" i="1" s="1"/>
  <c r="I160" i="1"/>
  <c r="L160" i="1" s="1"/>
  <c r="I161" i="1"/>
  <c r="L161" i="1" s="1"/>
  <c r="I162" i="1"/>
  <c r="L162" i="1" s="1"/>
  <c r="I163" i="1"/>
  <c r="L163" i="1" s="1"/>
  <c r="I164" i="1"/>
  <c r="L164" i="1" s="1"/>
  <c r="I165" i="1"/>
  <c r="L165" i="1" s="1"/>
  <c r="I166" i="1"/>
  <c r="L166" i="1" s="1"/>
  <c r="I167" i="1"/>
  <c r="L167" i="1" s="1"/>
  <c r="I168" i="1"/>
  <c r="L168" i="1" s="1"/>
  <c r="I169" i="1"/>
  <c r="L169" i="1" s="1"/>
  <c r="I170" i="1"/>
  <c r="L170" i="1" s="1"/>
  <c r="I171" i="1"/>
  <c r="L171" i="1" s="1"/>
  <c r="I172" i="1"/>
  <c r="L172" i="1" s="1"/>
  <c r="I173" i="1"/>
  <c r="L173" i="1" s="1"/>
  <c r="I174" i="1"/>
  <c r="L174" i="1" s="1"/>
  <c r="I175" i="1"/>
  <c r="L175" i="1" s="1"/>
  <c r="I176" i="1"/>
  <c r="L176" i="1" s="1"/>
  <c r="I177" i="1"/>
  <c r="L177" i="1" s="1"/>
  <c r="I178" i="1"/>
  <c r="L178" i="1" s="1"/>
  <c r="I179" i="1"/>
  <c r="L179" i="1" s="1"/>
  <c r="I180" i="1"/>
  <c r="L180" i="1" s="1"/>
  <c r="I181" i="1"/>
  <c r="L181" i="1" s="1"/>
  <c r="I182" i="1"/>
  <c r="L182" i="1" s="1"/>
  <c r="I183" i="1"/>
  <c r="L183" i="1" s="1"/>
  <c r="I184" i="1"/>
  <c r="L184" i="1" s="1"/>
  <c r="I185" i="1"/>
  <c r="L185" i="1" s="1"/>
  <c r="I186" i="1"/>
  <c r="L186" i="1" s="1"/>
  <c r="I187" i="1"/>
  <c r="L187" i="1" s="1"/>
  <c r="I188" i="1"/>
  <c r="L188" i="1" s="1"/>
  <c r="I189" i="1"/>
  <c r="L189" i="1" s="1"/>
  <c r="I190" i="1"/>
  <c r="L190" i="1" s="1"/>
  <c r="I191" i="1"/>
  <c r="L191" i="1" s="1"/>
  <c r="I192" i="1"/>
  <c r="L192" i="1" s="1"/>
  <c r="I193" i="1"/>
  <c r="L193" i="1" s="1"/>
  <c r="I194" i="1"/>
  <c r="L194" i="1" s="1"/>
  <c r="I195" i="1"/>
  <c r="L195" i="1" s="1"/>
  <c r="I196" i="1"/>
  <c r="L196" i="1" s="1"/>
  <c r="I197" i="1"/>
  <c r="L197" i="1" s="1"/>
  <c r="I198" i="1"/>
  <c r="L198" i="1" s="1"/>
  <c r="I199" i="1"/>
  <c r="L199" i="1" s="1"/>
  <c r="I200" i="1"/>
  <c r="L200" i="1" s="1"/>
  <c r="I201" i="1"/>
  <c r="L201" i="1" s="1"/>
  <c r="I202" i="1"/>
  <c r="L202" i="1" s="1"/>
  <c r="I203" i="1"/>
  <c r="L203" i="1" s="1"/>
  <c r="I204" i="1"/>
  <c r="L204" i="1" s="1"/>
  <c r="I205" i="1"/>
  <c r="L205" i="1" s="1"/>
  <c r="I206" i="1"/>
  <c r="L206" i="1" s="1"/>
  <c r="I207" i="1"/>
  <c r="L207" i="1" s="1"/>
  <c r="I208" i="1"/>
  <c r="L208" i="1" s="1"/>
  <c r="I209" i="1"/>
  <c r="L209" i="1" s="1"/>
  <c r="I210" i="1"/>
  <c r="L210" i="1" s="1"/>
  <c r="I211" i="1"/>
  <c r="L211" i="1" s="1"/>
  <c r="I212" i="1"/>
  <c r="L212" i="1" s="1"/>
  <c r="I213" i="1"/>
  <c r="L213" i="1" s="1"/>
  <c r="I214" i="1"/>
  <c r="L214" i="1" s="1"/>
  <c r="I215" i="1"/>
  <c r="L215" i="1" s="1"/>
  <c r="I216" i="1"/>
  <c r="L216" i="1" s="1"/>
  <c r="I217" i="1"/>
  <c r="L217" i="1" s="1"/>
  <c r="I218" i="1"/>
  <c r="L218" i="1" s="1"/>
  <c r="I219" i="1"/>
  <c r="L219" i="1" s="1"/>
  <c r="I220" i="1"/>
  <c r="L220" i="1" s="1"/>
  <c r="I221" i="1"/>
  <c r="L221" i="1" s="1"/>
  <c r="I222" i="1"/>
  <c r="L222" i="1" s="1"/>
  <c r="I223" i="1"/>
  <c r="L223" i="1" s="1"/>
  <c r="I224" i="1"/>
  <c r="L224" i="1" s="1"/>
  <c r="I225" i="1"/>
  <c r="L225" i="1" s="1"/>
  <c r="I226" i="1"/>
  <c r="L226" i="1" s="1"/>
  <c r="I227" i="1"/>
  <c r="L227" i="1" s="1"/>
  <c r="I228" i="1"/>
  <c r="L228" i="1" s="1"/>
  <c r="I229" i="1"/>
  <c r="L229" i="1" s="1"/>
  <c r="I230" i="1"/>
  <c r="L230" i="1" s="1"/>
  <c r="I231" i="1"/>
  <c r="L231" i="1" s="1"/>
  <c r="I232" i="1"/>
  <c r="L232" i="1" s="1"/>
  <c r="I233" i="1"/>
  <c r="L233" i="1" s="1"/>
  <c r="I234" i="1"/>
  <c r="L234" i="1" s="1"/>
  <c r="I235" i="1"/>
  <c r="L235" i="1" s="1"/>
  <c r="I236" i="1"/>
  <c r="L236" i="1" s="1"/>
  <c r="I237" i="1"/>
  <c r="L237" i="1" s="1"/>
  <c r="I238" i="1"/>
  <c r="L238" i="1" s="1"/>
  <c r="I239" i="1"/>
  <c r="L239" i="1" s="1"/>
  <c r="I240" i="1"/>
  <c r="L240" i="1" s="1"/>
  <c r="I241" i="1"/>
  <c r="L241" i="1" s="1"/>
  <c r="I242" i="1"/>
  <c r="L242" i="1" s="1"/>
  <c r="I243" i="1"/>
  <c r="L243" i="1" s="1"/>
  <c r="I244" i="1"/>
  <c r="L244" i="1" s="1"/>
  <c r="I245" i="1"/>
  <c r="L245" i="1" s="1"/>
  <c r="I246" i="1"/>
  <c r="L246" i="1" s="1"/>
  <c r="I247" i="1"/>
  <c r="L247" i="1" s="1"/>
  <c r="I248" i="1"/>
  <c r="L248" i="1" s="1"/>
  <c r="I249" i="1"/>
  <c r="L249" i="1" s="1"/>
  <c r="I250" i="1"/>
  <c r="L250" i="1" s="1"/>
  <c r="I251" i="1"/>
  <c r="L251" i="1" s="1"/>
  <c r="I252" i="1"/>
  <c r="L252" i="1" s="1"/>
  <c r="I253" i="1"/>
  <c r="L253" i="1" s="1"/>
  <c r="I254" i="1"/>
  <c r="L254" i="1" s="1"/>
  <c r="I255" i="1"/>
  <c r="L255" i="1" s="1"/>
  <c r="I256" i="1"/>
  <c r="L256" i="1" s="1"/>
  <c r="I257" i="1"/>
  <c r="L257" i="1" s="1"/>
  <c r="I258" i="1"/>
  <c r="L258" i="1" s="1"/>
  <c r="I259" i="1"/>
  <c r="L259" i="1" s="1"/>
  <c r="I260" i="1"/>
  <c r="L260" i="1" s="1"/>
  <c r="I261" i="1"/>
  <c r="L261" i="1" s="1"/>
  <c r="I262" i="1"/>
  <c r="L262" i="1" s="1"/>
  <c r="I263" i="1"/>
  <c r="L263" i="1" s="1"/>
  <c r="I264" i="1"/>
  <c r="L264" i="1" s="1"/>
  <c r="I265" i="1"/>
  <c r="L265" i="1" s="1"/>
  <c r="I266" i="1"/>
  <c r="L266" i="1" s="1"/>
  <c r="I267" i="1"/>
  <c r="L267" i="1" s="1"/>
  <c r="I268" i="1"/>
  <c r="L268" i="1" s="1"/>
  <c r="I269" i="1"/>
  <c r="L269" i="1" s="1"/>
  <c r="I270" i="1"/>
  <c r="L270" i="1" s="1"/>
  <c r="I271" i="1"/>
  <c r="L271" i="1" s="1"/>
  <c r="I272" i="1"/>
  <c r="L272" i="1" s="1"/>
  <c r="I273" i="1"/>
  <c r="L273" i="1" s="1"/>
  <c r="I274" i="1"/>
  <c r="L274" i="1" s="1"/>
  <c r="I275" i="1"/>
  <c r="L275" i="1" s="1"/>
  <c r="I276" i="1"/>
  <c r="L276" i="1" s="1"/>
  <c r="I277" i="1"/>
  <c r="L277" i="1" s="1"/>
  <c r="I278" i="1"/>
  <c r="L278" i="1" s="1"/>
  <c r="I279" i="1"/>
  <c r="L279" i="1" s="1"/>
  <c r="I280" i="1"/>
  <c r="L280" i="1" s="1"/>
  <c r="I281" i="1"/>
  <c r="L281" i="1" s="1"/>
  <c r="I282" i="1"/>
  <c r="L282" i="1" s="1"/>
  <c r="I283" i="1"/>
  <c r="L283" i="1" s="1"/>
  <c r="I284" i="1"/>
  <c r="L284" i="1" s="1"/>
  <c r="I285" i="1"/>
  <c r="L285" i="1" s="1"/>
  <c r="I286" i="1"/>
  <c r="L286" i="1" s="1"/>
  <c r="I287" i="1"/>
  <c r="L287" i="1" s="1"/>
  <c r="I288" i="1"/>
  <c r="L288" i="1" s="1"/>
  <c r="I289" i="1"/>
  <c r="L289" i="1" s="1"/>
  <c r="I290" i="1"/>
  <c r="L290" i="1" s="1"/>
  <c r="I291" i="1"/>
  <c r="L291" i="1" s="1"/>
  <c r="I292" i="1"/>
  <c r="L292" i="1" s="1"/>
  <c r="I293" i="1"/>
  <c r="L293" i="1" s="1"/>
  <c r="I294" i="1"/>
  <c r="L294" i="1" s="1"/>
  <c r="I295" i="1"/>
  <c r="L295" i="1" s="1"/>
  <c r="I296" i="1"/>
  <c r="L296" i="1" s="1"/>
  <c r="I297" i="1"/>
  <c r="L297" i="1" s="1"/>
  <c r="I298" i="1"/>
  <c r="L298" i="1" s="1"/>
  <c r="I299" i="1"/>
  <c r="L299" i="1" s="1"/>
  <c r="I300" i="1"/>
  <c r="L300" i="1" s="1"/>
  <c r="I301" i="1"/>
  <c r="L301" i="1" s="1"/>
  <c r="I302" i="1"/>
  <c r="L302" i="1" s="1"/>
  <c r="I303" i="1"/>
  <c r="L303" i="1" s="1"/>
  <c r="I304" i="1"/>
  <c r="L304" i="1" s="1"/>
  <c r="I305" i="1"/>
  <c r="L305" i="1" s="1"/>
  <c r="I306" i="1"/>
  <c r="L306" i="1" s="1"/>
  <c r="I307" i="1"/>
  <c r="L307" i="1" s="1"/>
  <c r="I308" i="1"/>
  <c r="L308" i="1" s="1"/>
  <c r="I309" i="1"/>
  <c r="L309" i="1" s="1"/>
  <c r="I310" i="1"/>
  <c r="L310" i="1" s="1"/>
  <c r="I311" i="1"/>
  <c r="L311" i="1" s="1"/>
  <c r="I312" i="1"/>
  <c r="L312" i="1" s="1"/>
  <c r="I313" i="1"/>
  <c r="L313" i="1" s="1"/>
  <c r="I314" i="1"/>
  <c r="L314" i="1" s="1"/>
  <c r="I315" i="1"/>
  <c r="L315" i="1" s="1"/>
  <c r="I316" i="1"/>
  <c r="L316" i="1" s="1"/>
  <c r="I317" i="1"/>
  <c r="L317" i="1" s="1"/>
  <c r="I318" i="1"/>
  <c r="L318" i="1" s="1"/>
  <c r="I319" i="1"/>
  <c r="L319" i="1" s="1"/>
  <c r="I320" i="1"/>
  <c r="L320" i="1" s="1"/>
  <c r="I321" i="1"/>
  <c r="L321" i="1" s="1"/>
  <c r="I322" i="1"/>
  <c r="L322" i="1" s="1"/>
  <c r="I323" i="1"/>
  <c r="L323" i="1" s="1"/>
  <c r="I324" i="1"/>
  <c r="L324" i="1" s="1"/>
  <c r="I325" i="1"/>
  <c r="L325" i="1" s="1"/>
  <c r="I326" i="1"/>
  <c r="L326" i="1" s="1"/>
  <c r="I327" i="1"/>
  <c r="L327" i="1" s="1"/>
  <c r="I328" i="1"/>
  <c r="L328" i="1" s="1"/>
  <c r="I329" i="1"/>
  <c r="L329" i="1" s="1"/>
  <c r="I330" i="1"/>
  <c r="L330" i="1" s="1"/>
  <c r="I331" i="1"/>
  <c r="L331" i="1" s="1"/>
  <c r="I332" i="1"/>
  <c r="L332" i="1" s="1"/>
  <c r="I333" i="1"/>
  <c r="L333" i="1" s="1"/>
  <c r="I334" i="1"/>
  <c r="L334" i="1" s="1"/>
  <c r="I335" i="1"/>
  <c r="L335" i="1" s="1"/>
  <c r="I336" i="1"/>
  <c r="L336" i="1" s="1"/>
  <c r="I337" i="1"/>
  <c r="L337" i="1" s="1"/>
  <c r="I338" i="1"/>
  <c r="L338" i="1" s="1"/>
  <c r="I339" i="1"/>
  <c r="L339" i="1" s="1"/>
  <c r="I340" i="1"/>
  <c r="L340" i="1" s="1"/>
  <c r="I341" i="1"/>
  <c r="L341" i="1" s="1"/>
  <c r="I342" i="1"/>
  <c r="L342" i="1" s="1"/>
  <c r="I343" i="1"/>
  <c r="L343" i="1" s="1"/>
  <c r="I344" i="1"/>
  <c r="L344" i="1" s="1"/>
  <c r="I345" i="1"/>
  <c r="L345" i="1" s="1"/>
  <c r="I346" i="1"/>
  <c r="L346" i="1" s="1"/>
  <c r="I347" i="1"/>
  <c r="L347" i="1" s="1"/>
  <c r="I348" i="1"/>
  <c r="L348" i="1" s="1"/>
  <c r="I349" i="1"/>
  <c r="L349" i="1" s="1"/>
  <c r="I350" i="1"/>
  <c r="L350" i="1" s="1"/>
  <c r="I351" i="1"/>
  <c r="L351" i="1" s="1"/>
  <c r="I352" i="1"/>
  <c r="L352" i="1" s="1"/>
  <c r="I353" i="1"/>
  <c r="L353" i="1" s="1"/>
  <c r="I354" i="1"/>
  <c r="L354" i="1" s="1"/>
  <c r="I355" i="1"/>
  <c r="L355" i="1" s="1"/>
  <c r="I356" i="1"/>
  <c r="L356" i="1" s="1"/>
  <c r="I357" i="1"/>
  <c r="L357" i="1" s="1"/>
  <c r="I358" i="1"/>
  <c r="L358" i="1" s="1"/>
  <c r="I359" i="1"/>
  <c r="L359" i="1" s="1"/>
  <c r="I360" i="1"/>
  <c r="L360" i="1" s="1"/>
  <c r="I361" i="1"/>
  <c r="L361" i="1" s="1"/>
  <c r="I362" i="1"/>
  <c r="L362" i="1" s="1"/>
  <c r="I363" i="1"/>
  <c r="L363" i="1" s="1"/>
  <c r="I364" i="1"/>
  <c r="L364" i="1" s="1"/>
  <c r="I365" i="1"/>
  <c r="L365" i="1" s="1"/>
  <c r="I366" i="1"/>
  <c r="L366" i="1" s="1"/>
  <c r="I367" i="1"/>
  <c r="L367" i="1" s="1"/>
  <c r="I368" i="1"/>
  <c r="L368" i="1" s="1"/>
  <c r="I369" i="1"/>
  <c r="L369" i="1" s="1"/>
  <c r="I370" i="1"/>
  <c r="L370" i="1" s="1"/>
  <c r="I371" i="1"/>
  <c r="L371" i="1" s="1"/>
  <c r="I372" i="1"/>
  <c r="L372" i="1" s="1"/>
  <c r="I373" i="1"/>
  <c r="L373" i="1" s="1"/>
  <c r="I374" i="1"/>
  <c r="L374" i="1" s="1"/>
  <c r="I375" i="1"/>
  <c r="L375" i="1" s="1"/>
  <c r="I376" i="1"/>
  <c r="L376" i="1" s="1"/>
  <c r="I377" i="1"/>
  <c r="L377" i="1" s="1"/>
  <c r="I378" i="1"/>
  <c r="L378" i="1" s="1"/>
  <c r="I379" i="1"/>
  <c r="L379" i="1" s="1"/>
  <c r="I380" i="1"/>
  <c r="L380" i="1" s="1"/>
  <c r="I381" i="1"/>
  <c r="L381" i="1" s="1"/>
  <c r="I382" i="1"/>
  <c r="L382" i="1" s="1"/>
  <c r="I383" i="1"/>
  <c r="L383" i="1" s="1"/>
  <c r="I384" i="1"/>
  <c r="L384" i="1" s="1"/>
  <c r="I385" i="1"/>
  <c r="L385" i="1" s="1"/>
  <c r="I386" i="1"/>
  <c r="L386" i="1" s="1"/>
  <c r="I387" i="1"/>
  <c r="L387" i="1" s="1"/>
  <c r="I388" i="1"/>
  <c r="L388" i="1" s="1"/>
  <c r="I389" i="1"/>
  <c r="L389" i="1" s="1"/>
  <c r="I390" i="1"/>
  <c r="L390" i="1" s="1"/>
  <c r="I391" i="1"/>
  <c r="L391" i="1" s="1"/>
  <c r="I392" i="1"/>
  <c r="L392" i="1" s="1"/>
  <c r="I393" i="1"/>
  <c r="L393" i="1" s="1"/>
  <c r="I394" i="1"/>
  <c r="L394" i="1" s="1"/>
  <c r="I395" i="1"/>
  <c r="L395" i="1" s="1"/>
  <c r="I396" i="1"/>
  <c r="L396" i="1" s="1"/>
  <c r="I397" i="1"/>
  <c r="L397" i="1" s="1"/>
  <c r="I398" i="1"/>
  <c r="L398" i="1" s="1"/>
  <c r="I399" i="1"/>
  <c r="L399" i="1" s="1"/>
  <c r="I400" i="1"/>
  <c r="L400" i="1" s="1"/>
  <c r="I401" i="1"/>
  <c r="L401" i="1" s="1"/>
  <c r="I402" i="1"/>
  <c r="L402" i="1" s="1"/>
  <c r="I403" i="1"/>
  <c r="L403" i="1" s="1"/>
  <c r="I404" i="1"/>
  <c r="L404" i="1" s="1"/>
  <c r="I405" i="1"/>
  <c r="L405" i="1" s="1"/>
  <c r="I406" i="1"/>
  <c r="L406" i="1" s="1"/>
  <c r="I407" i="1"/>
  <c r="L407" i="1" s="1"/>
  <c r="I408" i="1"/>
  <c r="L408" i="1" s="1"/>
  <c r="I409" i="1"/>
  <c r="L409" i="1" s="1"/>
  <c r="I410" i="1"/>
  <c r="L410" i="1" s="1"/>
  <c r="I411" i="1"/>
  <c r="L411" i="1" s="1"/>
  <c r="I412" i="1"/>
  <c r="L412" i="1" s="1"/>
  <c r="I413" i="1"/>
  <c r="L413" i="1" s="1"/>
  <c r="I414" i="1"/>
  <c r="L414" i="1" s="1"/>
  <c r="I415" i="1"/>
  <c r="L415" i="1" s="1"/>
  <c r="I416" i="1"/>
  <c r="L416" i="1" s="1"/>
  <c r="I417" i="1"/>
  <c r="L417" i="1" s="1"/>
  <c r="I418" i="1"/>
  <c r="L418" i="1" s="1"/>
  <c r="I419" i="1"/>
  <c r="L419" i="1" s="1"/>
  <c r="I420" i="1"/>
  <c r="L420" i="1" s="1"/>
  <c r="I421" i="1"/>
  <c r="L421" i="1" s="1"/>
  <c r="I422" i="1"/>
  <c r="L422" i="1" s="1"/>
  <c r="I423" i="1"/>
  <c r="L423" i="1" s="1"/>
  <c r="I424" i="1"/>
  <c r="L424" i="1" s="1"/>
  <c r="I425" i="1"/>
  <c r="L425" i="1" s="1"/>
  <c r="I426" i="1"/>
  <c r="L426" i="1" s="1"/>
  <c r="I427" i="1"/>
  <c r="L427" i="1" s="1"/>
  <c r="I428" i="1"/>
  <c r="L428" i="1" s="1"/>
  <c r="I429" i="1"/>
  <c r="L429" i="1" s="1"/>
  <c r="I430" i="1"/>
  <c r="L430" i="1" s="1"/>
  <c r="I431" i="1"/>
  <c r="L431" i="1" s="1"/>
  <c r="I432" i="1"/>
  <c r="L432" i="1" s="1"/>
  <c r="I433" i="1"/>
  <c r="L433" i="1" s="1"/>
  <c r="I434" i="1"/>
  <c r="L434" i="1" s="1"/>
  <c r="I435" i="1"/>
  <c r="L435" i="1" s="1"/>
  <c r="I436" i="1"/>
  <c r="L436" i="1" s="1"/>
  <c r="I437" i="1"/>
  <c r="L437" i="1" s="1"/>
  <c r="I438" i="1"/>
  <c r="L438" i="1" s="1"/>
  <c r="I439" i="1"/>
  <c r="L439" i="1" s="1"/>
  <c r="I440" i="1"/>
  <c r="L440" i="1" s="1"/>
  <c r="I441" i="1"/>
  <c r="L441" i="1" s="1"/>
  <c r="I442" i="1"/>
  <c r="L442" i="1" s="1"/>
  <c r="I443" i="1"/>
  <c r="L443" i="1" s="1"/>
  <c r="I444" i="1"/>
  <c r="L444" i="1" s="1"/>
  <c r="I445" i="1"/>
  <c r="L445" i="1" s="1"/>
  <c r="I446" i="1"/>
  <c r="L446" i="1" s="1"/>
  <c r="I447" i="1"/>
  <c r="L447" i="1" s="1"/>
  <c r="I448" i="1"/>
  <c r="L448" i="1" s="1"/>
  <c r="I449" i="1"/>
  <c r="L449" i="1" s="1"/>
  <c r="I450" i="1"/>
  <c r="L450" i="1" s="1"/>
  <c r="I451" i="1"/>
  <c r="L451" i="1" s="1"/>
  <c r="I452" i="1"/>
  <c r="L452" i="1" s="1"/>
  <c r="I453" i="1"/>
  <c r="L453" i="1" s="1"/>
  <c r="I454" i="1"/>
  <c r="L454" i="1" s="1"/>
  <c r="I455" i="1"/>
  <c r="L455" i="1" s="1"/>
  <c r="I456" i="1"/>
  <c r="L456" i="1" s="1"/>
  <c r="I457" i="1"/>
  <c r="L457" i="1" s="1"/>
  <c r="I458" i="1"/>
  <c r="L458" i="1" s="1"/>
  <c r="I459" i="1"/>
  <c r="L459" i="1" s="1"/>
  <c r="I460" i="1"/>
  <c r="L460" i="1" s="1"/>
  <c r="I461" i="1"/>
  <c r="L461" i="1" s="1"/>
  <c r="I462" i="1"/>
  <c r="L462" i="1" s="1"/>
  <c r="I463" i="1"/>
  <c r="L463" i="1" s="1"/>
  <c r="I464" i="1"/>
  <c r="L464" i="1" s="1"/>
  <c r="I465" i="1"/>
  <c r="L465" i="1" s="1"/>
  <c r="I466" i="1"/>
  <c r="L466" i="1" s="1"/>
  <c r="I467" i="1"/>
  <c r="L467" i="1" s="1"/>
  <c r="I468" i="1"/>
  <c r="L468" i="1" s="1"/>
  <c r="I469" i="1"/>
  <c r="L469" i="1" s="1"/>
  <c r="I470" i="1"/>
  <c r="L470" i="1" s="1"/>
  <c r="I471" i="1"/>
  <c r="L471" i="1" s="1"/>
  <c r="I472" i="1"/>
  <c r="L472" i="1" s="1"/>
  <c r="I473" i="1"/>
  <c r="L473" i="1" s="1"/>
  <c r="I474" i="1"/>
  <c r="L474" i="1" s="1"/>
  <c r="I475" i="1"/>
  <c r="L475" i="1" s="1"/>
  <c r="I476" i="1"/>
  <c r="L476" i="1" s="1"/>
  <c r="I477" i="1"/>
  <c r="L477" i="1" s="1"/>
  <c r="I478" i="1"/>
  <c r="L478" i="1" s="1"/>
  <c r="I479" i="1"/>
  <c r="L479" i="1" s="1"/>
  <c r="I480" i="1"/>
  <c r="L480" i="1" s="1"/>
  <c r="I481" i="1"/>
  <c r="L481" i="1" s="1"/>
  <c r="I482" i="1"/>
  <c r="L482" i="1" s="1"/>
  <c r="I483" i="1"/>
  <c r="L483" i="1" s="1"/>
  <c r="I484" i="1"/>
  <c r="L484" i="1" s="1"/>
  <c r="I485" i="1"/>
  <c r="L485" i="1" s="1"/>
  <c r="I486" i="1"/>
  <c r="L486" i="1" s="1"/>
  <c r="I487" i="1"/>
  <c r="L487" i="1" s="1"/>
  <c r="I488" i="1"/>
  <c r="L488" i="1" s="1"/>
  <c r="I489" i="1"/>
  <c r="L489" i="1" s="1"/>
  <c r="I490" i="1"/>
  <c r="L490" i="1" s="1"/>
  <c r="I491" i="1"/>
  <c r="L491" i="1" s="1"/>
  <c r="I492" i="1"/>
  <c r="L492" i="1" s="1"/>
  <c r="I493" i="1"/>
  <c r="L493" i="1" s="1"/>
  <c r="I494" i="1"/>
  <c r="L494" i="1" s="1"/>
  <c r="I495" i="1"/>
  <c r="L495" i="1" s="1"/>
  <c r="I496" i="1"/>
  <c r="L496" i="1" s="1"/>
  <c r="I497" i="1"/>
  <c r="L497" i="1" s="1"/>
  <c r="I498" i="1"/>
  <c r="L498" i="1" s="1"/>
  <c r="I499" i="1"/>
  <c r="L499" i="1" s="1"/>
  <c r="I500" i="1"/>
  <c r="L500" i="1" s="1"/>
  <c r="I501" i="1"/>
  <c r="L501" i="1" s="1"/>
  <c r="I502" i="1"/>
  <c r="L502" i="1" s="1"/>
  <c r="I503" i="1"/>
  <c r="L503" i="1" s="1"/>
  <c r="I504" i="1"/>
  <c r="L504" i="1" s="1"/>
  <c r="I505" i="1"/>
  <c r="L505" i="1" s="1"/>
  <c r="I506" i="1"/>
  <c r="L506" i="1" s="1"/>
  <c r="I507" i="1"/>
  <c r="L507" i="1" s="1"/>
  <c r="I508" i="1"/>
  <c r="L508" i="1" s="1"/>
  <c r="I509" i="1"/>
  <c r="L509" i="1" s="1"/>
  <c r="I510" i="1"/>
  <c r="L510" i="1" s="1"/>
  <c r="I511" i="1"/>
  <c r="L511" i="1" s="1"/>
  <c r="I512" i="1"/>
  <c r="L512" i="1" s="1"/>
  <c r="I513" i="1"/>
  <c r="L513" i="1" s="1"/>
  <c r="I514" i="1"/>
  <c r="L514" i="1" s="1"/>
  <c r="I515" i="1"/>
  <c r="L515" i="1" s="1"/>
  <c r="I516" i="1"/>
  <c r="L516" i="1" s="1"/>
  <c r="I517" i="1"/>
  <c r="L517" i="1" s="1"/>
  <c r="I518" i="1"/>
  <c r="L518" i="1" s="1"/>
  <c r="I519" i="1"/>
  <c r="L519" i="1" s="1"/>
  <c r="I520" i="1"/>
  <c r="L520" i="1" s="1"/>
  <c r="I521" i="1"/>
  <c r="L521" i="1" s="1"/>
  <c r="I522" i="1"/>
  <c r="L522" i="1" s="1"/>
  <c r="I523" i="1"/>
  <c r="L523" i="1" s="1"/>
  <c r="I524" i="1"/>
  <c r="L524" i="1" s="1"/>
  <c r="I525" i="1"/>
  <c r="L525" i="1" s="1"/>
  <c r="I526" i="1"/>
  <c r="L526" i="1" s="1"/>
  <c r="I527" i="1"/>
  <c r="L527" i="1" s="1"/>
  <c r="I528" i="1"/>
  <c r="L528" i="1" s="1"/>
  <c r="I529" i="1"/>
  <c r="L529" i="1" s="1"/>
  <c r="I530" i="1"/>
  <c r="L530" i="1" s="1"/>
  <c r="I531" i="1"/>
  <c r="L531" i="1" s="1"/>
  <c r="I532" i="1"/>
  <c r="L532" i="1" s="1"/>
  <c r="I533" i="1"/>
  <c r="L533" i="1" s="1"/>
  <c r="I534" i="1"/>
  <c r="L534" i="1" s="1"/>
  <c r="I535" i="1"/>
  <c r="L535" i="1" s="1"/>
  <c r="I536" i="1"/>
  <c r="L536" i="1" s="1"/>
  <c r="I537" i="1"/>
  <c r="L537" i="1" s="1"/>
  <c r="I538" i="1"/>
  <c r="L538" i="1" s="1"/>
  <c r="I539" i="1"/>
  <c r="L539" i="1" s="1"/>
  <c r="I540" i="1"/>
  <c r="L540" i="1" s="1"/>
  <c r="I541" i="1"/>
  <c r="L541" i="1" s="1"/>
  <c r="I542" i="1"/>
  <c r="L542" i="1" s="1"/>
  <c r="I543" i="1"/>
  <c r="L543" i="1" s="1"/>
  <c r="I544" i="1"/>
  <c r="L544" i="1" s="1"/>
  <c r="I545" i="1"/>
  <c r="L545" i="1" s="1"/>
  <c r="I546" i="1"/>
  <c r="L546" i="1" s="1"/>
  <c r="I547" i="1"/>
  <c r="L547" i="1" s="1"/>
  <c r="I548" i="1"/>
  <c r="L548" i="1" s="1"/>
  <c r="I549" i="1"/>
  <c r="L549" i="1" s="1"/>
  <c r="I550" i="1"/>
  <c r="L550" i="1" s="1"/>
  <c r="I551" i="1"/>
  <c r="L551" i="1" s="1"/>
  <c r="I552" i="1"/>
  <c r="L552" i="1" s="1"/>
  <c r="I553" i="1"/>
  <c r="L553" i="1" s="1"/>
  <c r="I554" i="1"/>
  <c r="L554" i="1" s="1"/>
  <c r="I555" i="1"/>
  <c r="L555" i="1" s="1"/>
  <c r="I556" i="1"/>
  <c r="L556" i="1" s="1"/>
  <c r="I557" i="1"/>
  <c r="L557" i="1" s="1"/>
  <c r="I558" i="1"/>
  <c r="L558" i="1" s="1"/>
  <c r="I559" i="1"/>
  <c r="L559" i="1" s="1"/>
  <c r="I560" i="1"/>
  <c r="L560" i="1" s="1"/>
  <c r="I561" i="1"/>
  <c r="L561" i="1" s="1"/>
  <c r="I562" i="1"/>
  <c r="L562" i="1" s="1"/>
  <c r="I563" i="1"/>
  <c r="L563" i="1" s="1"/>
  <c r="I564" i="1"/>
  <c r="L564" i="1" s="1"/>
  <c r="I565" i="1"/>
  <c r="L565" i="1" s="1"/>
  <c r="I566" i="1"/>
  <c r="L566" i="1" s="1"/>
  <c r="I567" i="1"/>
  <c r="L567" i="1" s="1"/>
  <c r="I568" i="1"/>
  <c r="L568" i="1" s="1"/>
  <c r="I569" i="1"/>
  <c r="L569" i="1" s="1"/>
  <c r="I570" i="1"/>
  <c r="L570" i="1" s="1"/>
  <c r="I571" i="1"/>
  <c r="L571" i="1" s="1"/>
  <c r="I572" i="1"/>
  <c r="L572" i="1" s="1"/>
  <c r="I573" i="1"/>
  <c r="L573" i="1" s="1"/>
  <c r="I574" i="1"/>
  <c r="L574" i="1" s="1"/>
  <c r="I575" i="1"/>
  <c r="L575" i="1" s="1"/>
  <c r="I576" i="1"/>
  <c r="L576" i="1" s="1"/>
  <c r="I577" i="1"/>
  <c r="L577" i="1" s="1"/>
  <c r="I578" i="1"/>
  <c r="L578" i="1" s="1"/>
  <c r="I579" i="1"/>
  <c r="L579" i="1" s="1"/>
  <c r="I580" i="1"/>
  <c r="L580" i="1" s="1"/>
  <c r="I581" i="1"/>
  <c r="L581" i="1" s="1"/>
  <c r="I582" i="1"/>
  <c r="L582" i="1" s="1"/>
  <c r="I583" i="1"/>
  <c r="L583" i="1" s="1"/>
  <c r="I584" i="1"/>
  <c r="L584" i="1" s="1"/>
  <c r="I585" i="1"/>
  <c r="L585" i="1" s="1"/>
  <c r="I586" i="1"/>
  <c r="L586" i="1" s="1"/>
  <c r="I587" i="1"/>
  <c r="L587" i="1" s="1"/>
  <c r="I588" i="1"/>
  <c r="L588" i="1" s="1"/>
  <c r="I589" i="1"/>
  <c r="L589" i="1" s="1"/>
  <c r="I590" i="1"/>
  <c r="L590" i="1" s="1"/>
  <c r="I591" i="1"/>
  <c r="L591" i="1" s="1"/>
  <c r="I592" i="1"/>
  <c r="L592" i="1" s="1"/>
  <c r="I593" i="1"/>
  <c r="L593" i="1" s="1"/>
  <c r="I594" i="1"/>
  <c r="L594" i="1" s="1"/>
  <c r="I595" i="1"/>
  <c r="L595" i="1" s="1"/>
  <c r="I596" i="1"/>
  <c r="L596" i="1" s="1"/>
  <c r="I597" i="1"/>
  <c r="L597" i="1" s="1"/>
  <c r="I598" i="1"/>
  <c r="L598" i="1" s="1"/>
  <c r="I599" i="1"/>
  <c r="L599" i="1" s="1"/>
  <c r="I600" i="1"/>
  <c r="L600" i="1" s="1"/>
  <c r="I601" i="1"/>
  <c r="L601" i="1" s="1"/>
  <c r="I602" i="1"/>
  <c r="L602" i="1" s="1"/>
  <c r="I603" i="1"/>
  <c r="L603" i="1" s="1"/>
  <c r="I604" i="1"/>
  <c r="L604" i="1" s="1"/>
  <c r="I605" i="1"/>
  <c r="L605" i="1" s="1"/>
  <c r="I606" i="1"/>
  <c r="L606" i="1" s="1"/>
  <c r="I607" i="1"/>
  <c r="L607" i="1" s="1"/>
  <c r="I608" i="1"/>
  <c r="L608" i="1" s="1"/>
  <c r="I609" i="1"/>
  <c r="L609" i="1" s="1"/>
  <c r="I610" i="1"/>
  <c r="L610" i="1" s="1"/>
  <c r="I611" i="1"/>
  <c r="L611" i="1" s="1"/>
  <c r="I612" i="1"/>
  <c r="L612" i="1" s="1"/>
  <c r="I613" i="1"/>
  <c r="L613" i="1" s="1"/>
  <c r="I614" i="1"/>
  <c r="L614" i="1" s="1"/>
  <c r="I615" i="1"/>
  <c r="L615" i="1" s="1"/>
  <c r="I616" i="1"/>
  <c r="L616" i="1" s="1"/>
  <c r="I617" i="1"/>
  <c r="L617" i="1" s="1"/>
  <c r="I619" i="1"/>
  <c r="L619" i="1" s="1"/>
  <c r="I620" i="1"/>
  <c r="L620" i="1" s="1"/>
  <c r="I621" i="1"/>
  <c r="L621" i="1" s="1"/>
  <c r="I622" i="1"/>
  <c r="L622" i="1" s="1"/>
  <c r="I623" i="1"/>
  <c r="L623" i="1" s="1"/>
  <c r="I624" i="1"/>
  <c r="L624" i="1" s="1"/>
  <c r="I625" i="1"/>
  <c r="L625" i="1" s="1"/>
  <c r="I627" i="1"/>
  <c r="L627" i="1" s="1"/>
  <c r="I628" i="1"/>
  <c r="L628" i="1" s="1"/>
  <c r="I629" i="1"/>
  <c r="L629" i="1" s="1"/>
  <c r="I630" i="1"/>
  <c r="L630" i="1" s="1"/>
  <c r="I631" i="1"/>
  <c r="L631" i="1" s="1"/>
  <c r="I632" i="1"/>
  <c r="L632" i="1" s="1"/>
  <c r="I633" i="1"/>
  <c r="L633" i="1" s="1"/>
  <c r="I634" i="1"/>
  <c r="L634" i="1" s="1"/>
  <c r="I635" i="1"/>
  <c r="L635" i="1" s="1"/>
  <c r="I636" i="1"/>
  <c r="L636" i="1" s="1"/>
  <c r="I637" i="1"/>
  <c r="L637" i="1" s="1"/>
  <c r="I638" i="1"/>
  <c r="L638" i="1" s="1"/>
  <c r="I639" i="1"/>
  <c r="L639" i="1" s="1"/>
  <c r="I640" i="1"/>
  <c r="L640" i="1" s="1"/>
  <c r="I641" i="1"/>
  <c r="L641" i="1" s="1"/>
  <c r="I642" i="1"/>
  <c r="L642" i="1" s="1"/>
  <c r="I643" i="1"/>
  <c r="L643" i="1" s="1"/>
  <c r="I644" i="1"/>
  <c r="L644" i="1" s="1"/>
  <c r="I645" i="1"/>
  <c r="L645" i="1" s="1"/>
  <c r="I646" i="1"/>
  <c r="L646" i="1" s="1"/>
  <c r="I647" i="1"/>
  <c r="L647" i="1" s="1"/>
  <c r="I648" i="1"/>
  <c r="L648" i="1" s="1"/>
  <c r="I649" i="1"/>
  <c r="L649" i="1" s="1"/>
  <c r="I650" i="1"/>
  <c r="L650" i="1" s="1"/>
  <c r="I651" i="1"/>
  <c r="L651" i="1" s="1"/>
  <c r="I652" i="1"/>
  <c r="L652" i="1" s="1"/>
  <c r="I653" i="1"/>
  <c r="L653" i="1" s="1"/>
  <c r="I654" i="1"/>
  <c r="L654" i="1" s="1"/>
  <c r="I655" i="1"/>
  <c r="L655" i="1" s="1"/>
  <c r="I656" i="1"/>
  <c r="L656" i="1" s="1"/>
  <c r="I657" i="1"/>
  <c r="L657" i="1" s="1"/>
  <c r="I658" i="1"/>
  <c r="L658" i="1" s="1"/>
  <c r="I659" i="1"/>
  <c r="L659" i="1" s="1"/>
  <c r="I660" i="1"/>
  <c r="L660" i="1" s="1"/>
  <c r="I661" i="1"/>
  <c r="L661" i="1" s="1"/>
  <c r="I662" i="1"/>
  <c r="L662" i="1" s="1"/>
  <c r="I663" i="1"/>
  <c r="L663" i="1" s="1"/>
  <c r="I664" i="1"/>
  <c r="L664" i="1" s="1"/>
  <c r="I665" i="1"/>
  <c r="L665" i="1" s="1"/>
  <c r="I666" i="1"/>
  <c r="L666" i="1" s="1"/>
  <c r="I667" i="1"/>
  <c r="L667" i="1" s="1"/>
  <c r="I668" i="1"/>
  <c r="L668" i="1" s="1"/>
  <c r="I669" i="1"/>
  <c r="L669" i="1" s="1"/>
  <c r="I670" i="1"/>
  <c r="L670" i="1" s="1"/>
  <c r="I671" i="1"/>
  <c r="L671" i="1" s="1"/>
  <c r="I672" i="1"/>
  <c r="L672" i="1" s="1"/>
  <c r="I673" i="1"/>
  <c r="L673" i="1" s="1"/>
  <c r="I674" i="1"/>
  <c r="L674" i="1" s="1"/>
  <c r="I675" i="1"/>
  <c r="L675" i="1" s="1"/>
  <c r="I676" i="1"/>
  <c r="L676" i="1" s="1"/>
  <c r="I677" i="1"/>
  <c r="L677" i="1" s="1"/>
  <c r="I678" i="1"/>
  <c r="L678" i="1" s="1"/>
  <c r="I679" i="1"/>
  <c r="L679" i="1" s="1"/>
  <c r="I680" i="1"/>
  <c r="L680" i="1" s="1"/>
  <c r="I681" i="1"/>
  <c r="L681" i="1" s="1"/>
  <c r="I682" i="1"/>
  <c r="L682" i="1" s="1"/>
  <c r="I683" i="1"/>
  <c r="L683" i="1" s="1"/>
  <c r="I684" i="1"/>
  <c r="L684" i="1" s="1"/>
  <c r="I685" i="1"/>
  <c r="L685" i="1" s="1"/>
  <c r="I686" i="1"/>
  <c r="L686" i="1" s="1"/>
  <c r="I687" i="1"/>
  <c r="L687" i="1" s="1"/>
  <c r="I688" i="1"/>
  <c r="L688" i="1" s="1"/>
  <c r="I689" i="1"/>
  <c r="L689" i="1" s="1"/>
  <c r="I690" i="1"/>
  <c r="L690" i="1" s="1"/>
  <c r="I691" i="1"/>
  <c r="L691" i="1" s="1"/>
  <c r="I692" i="1"/>
  <c r="L692" i="1" s="1"/>
  <c r="I693" i="1"/>
  <c r="L693" i="1" s="1"/>
  <c r="I694" i="1"/>
  <c r="L694" i="1" s="1"/>
  <c r="I695" i="1"/>
  <c r="L695" i="1" s="1"/>
  <c r="I696" i="1"/>
  <c r="L696" i="1" s="1"/>
  <c r="I697" i="1"/>
  <c r="L697" i="1" s="1"/>
  <c r="I698" i="1"/>
  <c r="L698" i="1" s="1"/>
  <c r="I699" i="1"/>
  <c r="L699" i="1" s="1"/>
  <c r="I700" i="1"/>
  <c r="L700" i="1" s="1"/>
  <c r="I701" i="1"/>
  <c r="L701" i="1" s="1"/>
  <c r="I702" i="1"/>
  <c r="L702" i="1" s="1"/>
  <c r="I703" i="1"/>
  <c r="L703" i="1" s="1"/>
  <c r="I704" i="1"/>
  <c r="L704" i="1" s="1"/>
  <c r="I705" i="1"/>
  <c r="L705" i="1" s="1"/>
  <c r="I706" i="1"/>
  <c r="L706" i="1" s="1"/>
  <c r="I707" i="1"/>
  <c r="L707" i="1" s="1"/>
  <c r="I708" i="1"/>
  <c r="L708" i="1" s="1"/>
  <c r="I709" i="1"/>
  <c r="L709" i="1" s="1"/>
  <c r="I710" i="1"/>
  <c r="L710" i="1" s="1"/>
  <c r="I711" i="1"/>
  <c r="L711" i="1" s="1"/>
  <c r="I712" i="1"/>
  <c r="L712" i="1" s="1"/>
  <c r="I713" i="1"/>
  <c r="L713" i="1" s="1"/>
  <c r="I714" i="1"/>
  <c r="L714" i="1" s="1"/>
  <c r="I715" i="1"/>
  <c r="L715" i="1" s="1"/>
  <c r="I716" i="1"/>
  <c r="L716" i="1" s="1"/>
  <c r="I717" i="1"/>
  <c r="L717" i="1" s="1"/>
  <c r="I718" i="1"/>
  <c r="L718" i="1" s="1"/>
  <c r="I719" i="1"/>
  <c r="L719" i="1" s="1"/>
  <c r="I720" i="1"/>
  <c r="L720" i="1" s="1"/>
  <c r="I721" i="1"/>
  <c r="L721" i="1" s="1"/>
  <c r="I722" i="1"/>
  <c r="L722" i="1" s="1"/>
  <c r="I723" i="1"/>
  <c r="L723" i="1" s="1"/>
  <c r="I724" i="1"/>
  <c r="L724" i="1" s="1"/>
  <c r="I725" i="1"/>
  <c r="L725" i="1" s="1"/>
  <c r="I726" i="1"/>
  <c r="L726" i="1" s="1"/>
  <c r="I727" i="1"/>
  <c r="L727" i="1" s="1"/>
  <c r="I728" i="1"/>
  <c r="L728" i="1" s="1"/>
  <c r="I729" i="1"/>
  <c r="L729" i="1" s="1"/>
  <c r="I730" i="1"/>
  <c r="L730" i="1" s="1"/>
  <c r="I731" i="1"/>
  <c r="L731" i="1" s="1"/>
  <c r="I732" i="1"/>
  <c r="L732" i="1" s="1"/>
  <c r="I733" i="1"/>
  <c r="L733" i="1" s="1"/>
  <c r="I734" i="1"/>
  <c r="L734" i="1" s="1"/>
  <c r="I735" i="1"/>
  <c r="L735" i="1" s="1"/>
  <c r="I736" i="1"/>
  <c r="L736" i="1" s="1"/>
  <c r="I737" i="1"/>
  <c r="L737" i="1" s="1"/>
  <c r="I738" i="1"/>
  <c r="L738" i="1" s="1"/>
  <c r="I739" i="1"/>
  <c r="L739" i="1" s="1"/>
  <c r="I740" i="1"/>
  <c r="L740" i="1" s="1"/>
  <c r="I741" i="1"/>
  <c r="L741" i="1" s="1"/>
  <c r="I742" i="1"/>
  <c r="L742" i="1" s="1"/>
  <c r="I743" i="1"/>
  <c r="L743" i="1" s="1"/>
  <c r="I744" i="1"/>
  <c r="L744" i="1" s="1"/>
  <c r="I745" i="1"/>
  <c r="L745" i="1" s="1"/>
  <c r="I746" i="1"/>
  <c r="L746" i="1" s="1"/>
  <c r="I747" i="1"/>
  <c r="L747" i="1" s="1"/>
  <c r="I748" i="1"/>
  <c r="L748" i="1" s="1"/>
  <c r="I749" i="1"/>
  <c r="L749" i="1" s="1"/>
  <c r="I750" i="1"/>
  <c r="L750" i="1" s="1"/>
  <c r="I751" i="1"/>
  <c r="L751" i="1" s="1"/>
  <c r="I752" i="1"/>
  <c r="L752" i="1" s="1"/>
  <c r="I753" i="1"/>
  <c r="L753" i="1" s="1"/>
  <c r="I754" i="1"/>
  <c r="L754" i="1" s="1"/>
  <c r="I755" i="1"/>
  <c r="L755" i="1" s="1"/>
  <c r="I756" i="1"/>
  <c r="L756" i="1" s="1"/>
  <c r="I757" i="1"/>
  <c r="L757" i="1" s="1"/>
  <c r="I758" i="1"/>
  <c r="L758" i="1" s="1"/>
  <c r="I759" i="1"/>
  <c r="L759" i="1" s="1"/>
  <c r="I760" i="1"/>
  <c r="L760" i="1" s="1"/>
  <c r="I761" i="1"/>
  <c r="L761" i="1" s="1"/>
  <c r="I762" i="1"/>
  <c r="L762" i="1" s="1"/>
  <c r="I763" i="1"/>
  <c r="L763" i="1" s="1"/>
  <c r="I764" i="1"/>
  <c r="L764" i="1" s="1"/>
  <c r="I765" i="1"/>
  <c r="L765" i="1" s="1"/>
  <c r="I766" i="1"/>
  <c r="L766" i="1" s="1"/>
  <c r="I767" i="1"/>
  <c r="L767" i="1" s="1"/>
  <c r="I768" i="1"/>
  <c r="L768" i="1" s="1"/>
  <c r="I769" i="1"/>
  <c r="L769" i="1" s="1"/>
  <c r="I770" i="1"/>
  <c r="L770" i="1" s="1"/>
  <c r="I771" i="1"/>
  <c r="L771" i="1" s="1"/>
  <c r="I772" i="1"/>
  <c r="L772" i="1" s="1"/>
  <c r="I773" i="1"/>
  <c r="L773" i="1" s="1"/>
  <c r="I774" i="1"/>
  <c r="L774" i="1" s="1"/>
  <c r="I775" i="1"/>
  <c r="L775" i="1" s="1"/>
  <c r="I776" i="1"/>
  <c r="L776" i="1" s="1"/>
  <c r="I777" i="1"/>
  <c r="L777" i="1" s="1"/>
  <c r="I778" i="1"/>
  <c r="L778" i="1" s="1"/>
  <c r="I779" i="1"/>
  <c r="L779" i="1" s="1"/>
  <c r="I780" i="1"/>
  <c r="L780" i="1" s="1"/>
  <c r="I781" i="1"/>
  <c r="L781" i="1" s="1"/>
  <c r="I782" i="1"/>
  <c r="L782" i="1" s="1"/>
  <c r="I783" i="1"/>
  <c r="L783" i="1" s="1"/>
  <c r="I784" i="1"/>
  <c r="L784" i="1" s="1"/>
  <c r="I785" i="1"/>
  <c r="L785" i="1" s="1"/>
  <c r="I786" i="1"/>
  <c r="L786" i="1" s="1"/>
  <c r="I787" i="1"/>
  <c r="L787" i="1" s="1"/>
  <c r="I788" i="1"/>
  <c r="L788" i="1" s="1"/>
  <c r="I789" i="1"/>
  <c r="L789" i="1" s="1"/>
  <c r="I790" i="1"/>
  <c r="L790" i="1" s="1"/>
  <c r="I791" i="1"/>
  <c r="L791" i="1" s="1"/>
  <c r="I792" i="1"/>
  <c r="L792" i="1" s="1"/>
  <c r="I793" i="1"/>
  <c r="L793" i="1" s="1"/>
  <c r="I794" i="1"/>
  <c r="L794" i="1" s="1"/>
  <c r="I795" i="1"/>
  <c r="L795" i="1" s="1"/>
  <c r="I796" i="1"/>
  <c r="L796" i="1" s="1"/>
  <c r="I797" i="1"/>
  <c r="L797" i="1" s="1"/>
  <c r="I798" i="1"/>
  <c r="L798" i="1" s="1"/>
  <c r="I799" i="1"/>
  <c r="L799" i="1" s="1"/>
  <c r="I800" i="1"/>
  <c r="L800" i="1" s="1"/>
  <c r="I801" i="1"/>
  <c r="L801" i="1" s="1"/>
  <c r="I802" i="1"/>
  <c r="L802" i="1" s="1"/>
  <c r="I803" i="1"/>
  <c r="L803" i="1" s="1"/>
  <c r="I804" i="1"/>
  <c r="L804" i="1" s="1"/>
  <c r="I805" i="1"/>
  <c r="L805" i="1" s="1"/>
  <c r="I806" i="1"/>
  <c r="L806" i="1" s="1"/>
  <c r="I807" i="1"/>
  <c r="L807" i="1" s="1"/>
  <c r="I808" i="1"/>
  <c r="L808" i="1" s="1"/>
  <c r="I809" i="1"/>
  <c r="L809" i="1" s="1"/>
  <c r="I810" i="1"/>
  <c r="L810" i="1" s="1"/>
  <c r="I811" i="1"/>
  <c r="L811" i="1" s="1"/>
  <c r="I812" i="1"/>
  <c r="L812" i="1" s="1"/>
  <c r="I813" i="1"/>
  <c r="L813" i="1" s="1"/>
  <c r="I814" i="1"/>
  <c r="L814" i="1" s="1"/>
  <c r="I815" i="1"/>
  <c r="L815" i="1" s="1"/>
  <c r="I816" i="1"/>
  <c r="L816" i="1" s="1"/>
  <c r="I817" i="1"/>
  <c r="L817" i="1" s="1"/>
  <c r="I818" i="1"/>
  <c r="L818" i="1" s="1"/>
  <c r="I819" i="1"/>
  <c r="L819" i="1" s="1"/>
  <c r="I820" i="1"/>
  <c r="L820" i="1" s="1"/>
  <c r="I821" i="1"/>
  <c r="L821" i="1" s="1"/>
  <c r="I822" i="1"/>
  <c r="L822" i="1" s="1"/>
  <c r="I823" i="1"/>
  <c r="L823" i="1" s="1"/>
  <c r="I824" i="1"/>
  <c r="L824" i="1" s="1"/>
  <c r="I825" i="1"/>
  <c r="L825" i="1" s="1"/>
  <c r="I826" i="1"/>
  <c r="L826" i="1" s="1"/>
  <c r="I827" i="1"/>
  <c r="L827" i="1" s="1"/>
  <c r="I828" i="1"/>
  <c r="L828" i="1" s="1"/>
  <c r="I829" i="1"/>
  <c r="L829" i="1" s="1"/>
  <c r="I830" i="1"/>
  <c r="L830" i="1" s="1"/>
  <c r="I831" i="1"/>
  <c r="L831" i="1" s="1"/>
  <c r="I832" i="1"/>
  <c r="L832" i="1" s="1"/>
  <c r="I833" i="1"/>
  <c r="L833" i="1" s="1"/>
  <c r="I834" i="1"/>
  <c r="L834" i="1" s="1"/>
  <c r="I835" i="1"/>
  <c r="L835" i="1" s="1"/>
  <c r="I836" i="1"/>
  <c r="L836" i="1" s="1"/>
  <c r="I837" i="1"/>
  <c r="L837" i="1" s="1"/>
  <c r="I838" i="1"/>
  <c r="L838" i="1" s="1"/>
  <c r="I839" i="1"/>
  <c r="L839" i="1" s="1"/>
  <c r="I840" i="1"/>
  <c r="L840" i="1" s="1"/>
  <c r="I841" i="1"/>
  <c r="L841" i="1" s="1"/>
  <c r="I842" i="1"/>
  <c r="L842" i="1" s="1"/>
  <c r="I843" i="1"/>
  <c r="L843" i="1" s="1"/>
  <c r="I844" i="1"/>
  <c r="L844" i="1" s="1"/>
  <c r="I845" i="1"/>
  <c r="L845" i="1" s="1"/>
  <c r="I846" i="1"/>
  <c r="L846" i="1" s="1"/>
  <c r="I847" i="1"/>
  <c r="L847" i="1" s="1"/>
  <c r="I848" i="1"/>
  <c r="L848" i="1" s="1"/>
  <c r="I849" i="1"/>
  <c r="L849" i="1" s="1"/>
  <c r="I850" i="1"/>
  <c r="L850" i="1" s="1"/>
  <c r="I851" i="1"/>
  <c r="L851" i="1" s="1"/>
  <c r="I852" i="1"/>
  <c r="L852" i="1" s="1"/>
  <c r="I853" i="1"/>
  <c r="L853" i="1" s="1"/>
  <c r="I854" i="1"/>
  <c r="L854" i="1" s="1"/>
  <c r="I855" i="1"/>
  <c r="L855" i="1" s="1"/>
  <c r="I856" i="1"/>
  <c r="L856" i="1" s="1"/>
  <c r="I857" i="1"/>
  <c r="L857" i="1" s="1"/>
  <c r="I858" i="1"/>
  <c r="L858" i="1" s="1"/>
  <c r="I859" i="1"/>
  <c r="L859" i="1" s="1"/>
  <c r="I860" i="1"/>
  <c r="L860" i="1" s="1"/>
  <c r="I861" i="1"/>
  <c r="L861" i="1" s="1"/>
  <c r="I862" i="1"/>
  <c r="L862" i="1" s="1"/>
  <c r="I863" i="1"/>
  <c r="L863" i="1" s="1"/>
  <c r="I864" i="1"/>
  <c r="L864" i="1" s="1"/>
  <c r="I865" i="1"/>
  <c r="L865" i="1" s="1"/>
  <c r="I866" i="1"/>
  <c r="L866" i="1" s="1"/>
  <c r="I867" i="1"/>
  <c r="L867" i="1" s="1"/>
  <c r="I868" i="1"/>
  <c r="L868" i="1" s="1"/>
  <c r="I869" i="1"/>
  <c r="L869" i="1" s="1"/>
  <c r="I870" i="1"/>
  <c r="L870" i="1" s="1"/>
  <c r="I871" i="1"/>
  <c r="L871" i="1" s="1"/>
  <c r="I872" i="1"/>
  <c r="L872" i="1" s="1"/>
  <c r="I873" i="1"/>
  <c r="L873" i="1" s="1"/>
  <c r="I874" i="1"/>
  <c r="L874" i="1" s="1"/>
  <c r="I875" i="1"/>
  <c r="L875" i="1" s="1"/>
  <c r="I876" i="1"/>
  <c r="L876" i="1" s="1"/>
  <c r="I877" i="1"/>
  <c r="L877" i="1" s="1"/>
  <c r="I878" i="1"/>
  <c r="L878" i="1" s="1"/>
  <c r="I879" i="1"/>
  <c r="L879" i="1" s="1"/>
  <c r="I880" i="1"/>
  <c r="L880" i="1" s="1"/>
  <c r="I881" i="1"/>
  <c r="L881" i="1" s="1"/>
  <c r="I882" i="1"/>
  <c r="L882" i="1" s="1"/>
  <c r="I883" i="1"/>
  <c r="L883" i="1" s="1"/>
  <c r="I884" i="1"/>
  <c r="L884" i="1" s="1"/>
  <c r="I885" i="1"/>
  <c r="L885" i="1" s="1"/>
  <c r="I886" i="1"/>
  <c r="L886" i="1" s="1"/>
  <c r="I887" i="1"/>
  <c r="L887" i="1" s="1"/>
  <c r="I888" i="1"/>
  <c r="L888" i="1" s="1"/>
  <c r="I889" i="1"/>
  <c r="L889" i="1" s="1"/>
  <c r="I890" i="1"/>
  <c r="L890" i="1" s="1"/>
  <c r="I891" i="1"/>
  <c r="L891" i="1" s="1"/>
  <c r="I892" i="1"/>
  <c r="L892" i="1" s="1"/>
  <c r="I893" i="1"/>
  <c r="L893" i="1" s="1"/>
  <c r="I894" i="1"/>
  <c r="L894" i="1" s="1"/>
  <c r="I895" i="1"/>
  <c r="L895" i="1" s="1"/>
  <c r="I896" i="1"/>
  <c r="L896" i="1" s="1"/>
  <c r="I897" i="1"/>
  <c r="L897" i="1" s="1"/>
  <c r="I898" i="1"/>
  <c r="L898" i="1" s="1"/>
  <c r="I899" i="1"/>
  <c r="L899" i="1" s="1"/>
  <c r="I900" i="1"/>
  <c r="L900" i="1" s="1"/>
  <c r="I901" i="1"/>
  <c r="L901" i="1" s="1"/>
  <c r="I902" i="1"/>
  <c r="L902" i="1" s="1"/>
  <c r="I903" i="1"/>
  <c r="L903" i="1" s="1"/>
  <c r="I904" i="1"/>
  <c r="L904" i="1" s="1"/>
  <c r="I905" i="1"/>
  <c r="L905" i="1" s="1"/>
  <c r="I906" i="1"/>
  <c r="L906" i="1" s="1"/>
  <c r="I907" i="1"/>
  <c r="L907" i="1" s="1"/>
  <c r="I908" i="1"/>
  <c r="L908" i="1" s="1"/>
  <c r="I909" i="1"/>
  <c r="L909" i="1" s="1"/>
  <c r="I910" i="1"/>
  <c r="L910" i="1" s="1"/>
  <c r="I911" i="1"/>
  <c r="L911" i="1" s="1"/>
  <c r="I912" i="1"/>
  <c r="L912" i="1" s="1"/>
  <c r="I913" i="1"/>
  <c r="L913" i="1" s="1"/>
  <c r="I914" i="1"/>
  <c r="L914" i="1" s="1"/>
  <c r="I915" i="1"/>
  <c r="L915" i="1" s="1"/>
  <c r="I916" i="1"/>
  <c r="L916" i="1" s="1"/>
  <c r="I917" i="1"/>
  <c r="L917" i="1" s="1"/>
  <c r="I918" i="1"/>
  <c r="L918" i="1" s="1"/>
  <c r="I919" i="1"/>
  <c r="L919" i="1" s="1"/>
  <c r="I920" i="1"/>
  <c r="L920" i="1" s="1"/>
  <c r="I921" i="1"/>
  <c r="L921" i="1" s="1"/>
  <c r="I922" i="1"/>
  <c r="L922" i="1" s="1"/>
  <c r="I923" i="1"/>
  <c r="L923" i="1" s="1"/>
  <c r="I924" i="1"/>
  <c r="L924" i="1" s="1"/>
  <c r="I925" i="1"/>
  <c r="L925" i="1" s="1"/>
  <c r="I926" i="1"/>
  <c r="L926" i="1" s="1"/>
  <c r="I927" i="1"/>
  <c r="L927" i="1" s="1"/>
  <c r="I928" i="1"/>
  <c r="L928" i="1" s="1"/>
  <c r="I929" i="1"/>
  <c r="L929" i="1" s="1"/>
  <c r="I930" i="1"/>
  <c r="L930" i="1" s="1"/>
  <c r="I931" i="1"/>
  <c r="L931" i="1" s="1"/>
  <c r="I932" i="1"/>
  <c r="L932" i="1" s="1"/>
  <c r="I933" i="1"/>
  <c r="L933" i="1" s="1"/>
  <c r="I934" i="1"/>
  <c r="L934" i="1" s="1"/>
  <c r="I935" i="1"/>
  <c r="L935" i="1" s="1"/>
  <c r="I936" i="1"/>
  <c r="L936" i="1" s="1"/>
  <c r="I937" i="1"/>
  <c r="L937" i="1" s="1"/>
  <c r="I938" i="1"/>
  <c r="L938" i="1" s="1"/>
  <c r="I939" i="1"/>
  <c r="L939" i="1" s="1"/>
  <c r="I940" i="1"/>
  <c r="L940" i="1" s="1"/>
  <c r="I941" i="1"/>
  <c r="L941" i="1" s="1"/>
  <c r="I942" i="1"/>
  <c r="L942" i="1" s="1"/>
  <c r="I943" i="1"/>
  <c r="L943" i="1" s="1"/>
  <c r="I944" i="1"/>
  <c r="L944" i="1" s="1"/>
  <c r="I945" i="1"/>
  <c r="L945" i="1" s="1"/>
  <c r="I946" i="1"/>
  <c r="L946" i="1" s="1"/>
  <c r="I947" i="1"/>
  <c r="L947" i="1" s="1"/>
  <c r="I948" i="1"/>
  <c r="L948" i="1" s="1"/>
  <c r="I949" i="1"/>
  <c r="L949" i="1" s="1"/>
  <c r="I950" i="1"/>
  <c r="L950" i="1" s="1"/>
  <c r="I951" i="1"/>
  <c r="L951" i="1" s="1"/>
  <c r="I952" i="1"/>
  <c r="L952" i="1" s="1"/>
  <c r="I953" i="1"/>
  <c r="L953" i="1" s="1"/>
  <c r="I954" i="1"/>
  <c r="L954" i="1" s="1"/>
  <c r="I955" i="1"/>
  <c r="L955" i="1" s="1"/>
  <c r="I956" i="1"/>
  <c r="L956" i="1" s="1"/>
  <c r="I957" i="1"/>
  <c r="L957" i="1" s="1"/>
  <c r="I958" i="1"/>
  <c r="L958" i="1" s="1"/>
  <c r="I959" i="1"/>
  <c r="L959" i="1" s="1"/>
  <c r="I960" i="1"/>
  <c r="L960" i="1" s="1"/>
  <c r="I961" i="1"/>
  <c r="L961" i="1" s="1"/>
  <c r="I962" i="1"/>
  <c r="L962" i="1" s="1"/>
  <c r="I963" i="1"/>
  <c r="L963" i="1" s="1"/>
  <c r="I964" i="1"/>
  <c r="L964" i="1" s="1"/>
  <c r="I965" i="1"/>
  <c r="L965" i="1" s="1"/>
  <c r="I966" i="1"/>
  <c r="L966" i="1" s="1"/>
  <c r="I967" i="1"/>
  <c r="L967" i="1" s="1"/>
  <c r="I968" i="1"/>
  <c r="L968" i="1" s="1"/>
  <c r="I969" i="1"/>
  <c r="L969" i="1" s="1"/>
  <c r="I970" i="1"/>
  <c r="L970" i="1" s="1"/>
  <c r="I971" i="1"/>
  <c r="L971" i="1" s="1"/>
  <c r="I972" i="1"/>
  <c r="L972" i="1" s="1"/>
  <c r="I973" i="1"/>
  <c r="L973" i="1" s="1"/>
  <c r="I974" i="1"/>
  <c r="L974" i="1" s="1"/>
  <c r="I975" i="1"/>
  <c r="L975" i="1" s="1"/>
  <c r="I976" i="1"/>
  <c r="L976" i="1" s="1"/>
  <c r="I977" i="1"/>
  <c r="L977" i="1" s="1"/>
  <c r="I978" i="1"/>
  <c r="L978" i="1" s="1"/>
  <c r="I979" i="1"/>
  <c r="L979" i="1" s="1"/>
  <c r="I980" i="1"/>
  <c r="L980" i="1" s="1"/>
  <c r="I981" i="1"/>
  <c r="L981" i="1" s="1"/>
  <c r="I982" i="1"/>
  <c r="L982" i="1" s="1"/>
  <c r="I983" i="1"/>
  <c r="L983" i="1" s="1"/>
  <c r="I984" i="1"/>
  <c r="L984" i="1" s="1"/>
  <c r="I985" i="1"/>
  <c r="L985" i="1" s="1"/>
  <c r="I986" i="1"/>
  <c r="L986" i="1" s="1"/>
  <c r="I987" i="1"/>
  <c r="L987" i="1" s="1"/>
  <c r="I988" i="1"/>
  <c r="L988" i="1" s="1"/>
  <c r="I989" i="1"/>
  <c r="L989" i="1" s="1"/>
  <c r="I990" i="1"/>
  <c r="L990" i="1" s="1"/>
  <c r="I991" i="1"/>
  <c r="L991" i="1" s="1"/>
  <c r="I992" i="1"/>
  <c r="L992" i="1" s="1"/>
  <c r="I993" i="1"/>
  <c r="L993" i="1" s="1"/>
  <c r="I994" i="1"/>
  <c r="L994" i="1" s="1"/>
  <c r="I995" i="1"/>
  <c r="L995" i="1" s="1"/>
  <c r="I996" i="1"/>
  <c r="L996" i="1" s="1"/>
  <c r="I997" i="1"/>
  <c r="L997" i="1" s="1"/>
  <c r="I998" i="1"/>
  <c r="L998" i="1" s="1"/>
  <c r="I999" i="1"/>
  <c r="L999" i="1" s="1"/>
  <c r="I1000" i="1"/>
  <c r="L1000" i="1" s="1"/>
  <c r="I1001" i="1"/>
  <c r="L1001" i="1" s="1"/>
  <c r="I1002" i="1"/>
  <c r="L1002" i="1" s="1"/>
  <c r="I1003" i="1"/>
  <c r="L1003" i="1" s="1"/>
  <c r="I1004" i="1"/>
  <c r="L1004" i="1" s="1"/>
  <c r="I1005" i="1"/>
  <c r="L1005" i="1" s="1"/>
  <c r="I1006" i="1"/>
  <c r="L1006" i="1" s="1"/>
  <c r="I1007" i="1"/>
  <c r="L1007" i="1" s="1"/>
  <c r="I1008" i="1"/>
  <c r="L1008" i="1" s="1"/>
  <c r="I1009" i="1"/>
  <c r="L1009" i="1" s="1"/>
  <c r="I1010" i="1"/>
  <c r="L1010" i="1" s="1"/>
  <c r="I1011" i="1"/>
  <c r="L1011" i="1" s="1"/>
  <c r="I1012" i="1"/>
  <c r="L1012" i="1" s="1"/>
  <c r="I1013" i="1"/>
  <c r="L1013" i="1" s="1"/>
  <c r="I1014" i="1"/>
  <c r="L1014" i="1" s="1"/>
  <c r="I1015" i="1"/>
  <c r="L1015" i="1" s="1"/>
  <c r="I1016" i="1"/>
  <c r="L1016" i="1" s="1"/>
  <c r="I1017" i="1"/>
  <c r="L1017" i="1" s="1"/>
  <c r="I1018" i="1"/>
  <c r="L1018" i="1" s="1"/>
  <c r="I1019" i="1"/>
  <c r="L1019" i="1" s="1"/>
  <c r="I1020" i="1"/>
  <c r="L1020" i="1" s="1"/>
  <c r="I1021" i="1"/>
  <c r="L1021" i="1" s="1"/>
  <c r="I1022" i="1"/>
  <c r="L1022" i="1" s="1"/>
  <c r="I1023" i="1"/>
  <c r="L1023" i="1" s="1"/>
  <c r="I1024" i="1"/>
  <c r="L1024" i="1" s="1"/>
  <c r="I1025" i="1"/>
  <c r="L1025" i="1" s="1"/>
  <c r="I1026" i="1"/>
  <c r="L1026" i="1" s="1"/>
  <c r="I1027" i="1"/>
  <c r="L1027" i="1" s="1"/>
  <c r="I1028" i="1"/>
  <c r="L1028" i="1" s="1"/>
  <c r="I1029" i="1"/>
  <c r="L1029" i="1" s="1"/>
  <c r="I1030" i="1"/>
  <c r="L1030" i="1" s="1"/>
  <c r="I1031" i="1"/>
  <c r="L1031" i="1" s="1"/>
  <c r="I1032" i="1"/>
  <c r="L1032" i="1" s="1"/>
  <c r="I1033" i="1"/>
  <c r="L1033" i="1" s="1"/>
  <c r="I1034" i="1"/>
  <c r="L1034" i="1" s="1"/>
  <c r="I1035" i="1"/>
  <c r="L1035" i="1" s="1"/>
  <c r="I1036" i="1"/>
  <c r="L1036" i="1" s="1"/>
  <c r="I1037" i="1"/>
  <c r="L1037" i="1" s="1"/>
  <c r="I1038" i="1"/>
  <c r="L1038" i="1" s="1"/>
  <c r="I1039" i="1"/>
  <c r="L1039" i="1" s="1"/>
  <c r="I1040" i="1"/>
  <c r="L1040" i="1" s="1"/>
  <c r="I1041" i="1"/>
  <c r="L1041" i="1" s="1"/>
  <c r="I1042" i="1"/>
  <c r="L1042" i="1" s="1"/>
  <c r="I1043" i="1"/>
  <c r="L1043" i="1" s="1"/>
  <c r="I1044" i="1"/>
  <c r="L1044" i="1" s="1"/>
  <c r="I1045" i="1"/>
  <c r="L1045" i="1" s="1"/>
  <c r="I1046" i="1"/>
  <c r="L1046" i="1" s="1"/>
  <c r="I1047" i="1"/>
  <c r="L1047" i="1" s="1"/>
  <c r="I1048" i="1"/>
  <c r="L1048" i="1" s="1"/>
  <c r="I1049" i="1"/>
  <c r="L1049" i="1" s="1"/>
  <c r="I1050" i="1"/>
  <c r="L1050" i="1" s="1"/>
  <c r="I1051" i="1"/>
  <c r="L1051" i="1" s="1"/>
  <c r="I1052" i="1"/>
  <c r="L1052" i="1" s="1"/>
  <c r="I1053" i="1"/>
  <c r="L1053" i="1" s="1"/>
  <c r="I1054" i="1"/>
  <c r="L1054" i="1" s="1"/>
  <c r="I1055" i="1"/>
  <c r="L1055" i="1" s="1"/>
  <c r="I1056" i="1"/>
  <c r="L1056" i="1" s="1"/>
  <c r="I1057" i="1"/>
  <c r="L1057" i="1" s="1"/>
  <c r="I1058" i="1"/>
  <c r="L1058" i="1" s="1"/>
  <c r="I1059" i="1"/>
  <c r="L1059" i="1" s="1"/>
  <c r="I1060" i="1"/>
  <c r="L1060" i="1" s="1"/>
  <c r="I1061" i="1"/>
  <c r="L1061" i="1" s="1"/>
  <c r="I1062" i="1"/>
  <c r="L1062" i="1" s="1"/>
  <c r="I1063" i="1"/>
  <c r="L1063" i="1" s="1"/>
  <c r="I1064" i="1"/>
  <c r="L1064" i="1" s="1"/>
  <c r="I1065" i="1"/>
  <c r="L1065" i="1" s="1"/>
  <c r="I1066" i="1"/>
  <c r="L1066" i="1" s="1"/>
  <c r="I1067" i="1"/>
  <c r="L1067" i="1" s="1"/>
  <c r="I1068" i="1"/>
  <c r="L1068" i="1" s="1"/>
  <c r="I1069" i="1"/>
  <c r="L1069" i="1" s="1"/>
  <c r="I1070" i="1"/>
  <c r="L1070" i="1" s="1"/>
  <c r="I1071" i="1"/>
  <c r="L1071" i="1" s="1"/>
  <c r="I1072" i="1"/>
  <c r="L1072" i="1" s="1"/>
  <c r="I1073" i="1"/>
  <c r="L1073" i="1" s="1"/>
  <c r="I1074" i="1"/>
  <c r="L1074" i="1" s="1"/>
  <c r="I1075" i="1"/>
  <c r="L1075" i="1" s="1"/>
  <c r="I1076" i="1"/>
  <c r="L1076" i="1" s="1"/>
  <c r="I1077" i="1"/>
  <c r="L1077" i="1" s="1"/>
  <c r="I1078" i="1"/>
  <c r="L1078" i="1" s="1"/>
  <c r="I1079" i="1"/>
  <c r="L1079" i="1" s="1"/>
  <c r="I1080" i="1"/>
  <c r="L1080" i="1" s="1"/>
  <c r="I1081" i="1"/>
  <c r="L1081" i="1" s="1"/>
  <c r="I1082" i="1"/>
  <c r="L1082" i="1" s="1"/>
  <c r="I1083" i="1"/>
  <c r="L1083" i="1" s="1"/>
  <c r="I1084" i="1"/>
  <c r="L1084" i="1" s="1"/>
  <c r="I1085" i="1"/>
  <c r="L1085" i="1" s="1"/>
  <c r="I1086" i="1"/>
  <c r="L1086" i="1" s="1"/>
  <c r="I1087" i="1"/>
  <c r="L1087" i="1" s="1"/>
  <c r="I1088" i="1"/>
  <c r="L1088" i="1" s="1"/>
  <c r="I1089" i="1"/>
  <c r="L1089" i="1" s="1"/>
  <c r="I1090" i="1"/>
  <c r="L1090" i="1" s="1"/>
  <c r="I1091" i="1"/>
  <c r="L1091" i="1" s="1"/>
  <c r="I1092" i="1"/>
  <c r="L1092" i="1" s="1"/>
  <c r="I1093" i="1"/>
  <c r="L1093" i="1" s="1"/>
  <c r="I1094" i="1"/>
  <c r="L1094" i="1" s="1"/>
  <c r="I1095" i="1"/>
  <c r="L1095" i="1" s="1"/>
  <c r="I1096" i="1"/>
  <c r="L1096" i="1" s="1"/>
  <c r="I1097" i="1"/>
  <c r="L1097" i="1" s="1"/>
  <c r="I1098" i="1"/>
  <c r="L1098" i="1" s="1"/>
  <c r="I1099" i="1"/>
  <c r="L1099" i="1" s="1"/>
  <c r="I1100" i="1"/>
  <c r="L1100" i="1" s="1"/>
  <c r="I1101" i="1"/>
  <c r="L1101" i="1" s="1"/>
  <c r="I1102" i="1"/>
  <c r="L1102" i="1" s="1"/>
  <c r="I1103" i="1"/>
  <c r="L1103" i="1" s="1"/>
  <c r="I1104" i="1"/>
  <c r="L1104" i="1" s="1"/>
  <c r="I1105" i="1"/>
  <c r="L1105" i="1" s="1"/>
  <c r="I1106" i="1"/>
  <c r="L1106" i="1" s="1"/>
  <c r="I1107" i="1"/>
  <c r="L1107" i="1" s="1"/>
  <c r="I1108" i="1"/>
  <c r="L1108" i="1" s="1"/>
  <c r="I1109" i="1"/>
  <c r="L1109" i="1" s="1"/>
  <c r="I1110" i="1"/>
  <c r="L1110" i="1" s="1"/>
  <c r="I1111" i="1"/>
  <c r="L1111" i="1" s="1"/>
  <c r="I1112" i="1"/>
  <c r="L1112" i="1" s="1"/>
  <c r="I1113" i="1"/>
  <c r="L1113" i="1" s="1"/>
  <c r="I1114" i="1"/>
  <c r="L1114" i="1" s="1"/>
  <c r="I1115" i="1"/>
  <c r="L1115" i="1" s="1"/>
  <c r="I1116" i="1"/>
  <c r="L1116" i="1" s="1"/>
  <c r="I1117" i="1"/>
  <c r="L1117" i="1" s="1"/>
  <c r="I1118" i="1"/>
  <c r="L1118" i="1" s="1"/>
  <c r="I1119" i="1"/>
  <c r="L1119" i="1" s="1"/>
  <c r="I1120" i="1"/>
  <c r="L1120" i="1" s="1"/>
  <c r="I1121" i="1"/>
  <c r="L1121" i="1" s="1"/>
  <c r="I1122" i="1"/>
  <c r="L1122" i="1" s="1"/>
  <c r="I1123" i="1"/>
  <c r="L1123" i="1" s="1"/>
  <c r="I1124" i="1"/>
  <c r="L1124" i="1" s="1"/>
  <c r="I1125" i="1"/>
  <c r="L1125" i="1" s="1"/>
  <c r="I1126" i="1"/>
  <c r="L1126" i="1" s="1"/>
  <c r="I1127" i="1"/>
  <c r="L1127" i="1" s="1"/>
  <c r="I1128" i="1"/>
  <c r="L1128" i="1" s="1"/>
  <c r="I1129" i="1"/>
  <c r="L1129" i="1" s="1"/>
  <c r="I1130" i="1"/>
  <c r="L1130" i="1" s="1"/>
  <c r="I1131" i="1"/>
  <c r="L1131" i="1" s="1"/>
  <c r="I1132" i="1"/>
  <c r="L1132" i="1" s="1"/>
  <c r="I1133" i="1"/>
  <c r="L1133" i="1" s="1"/>
  <c r="I1134" i="1"/>
  <c r="L1134" i="1" s="1"/>
  <c r="I1135" i="1"/>
  <c r="L1135" i="1" s="1"/>
  <c r="I1136" i="1"/>
  <c r="L1136" i="1" s="1"/>
  <c r="I1137" i="1"/>
  <c r="L1137" i="1" s="1"/>
  <c r="I1138" i="1"/>
  <c r="L1138" i="1" s="1"/>
  <c r="I1139" i="1"/>
  <c r="L1139" i="1" s="1"/>
  <c r="I1140" i="1"/>
  <c r="L1140" i="1" s="1"/>
  <c r="I1141" i="1"/>
  <c r="L1141" i="1" s="1"/>
  <c r="I1142" i="1"/>
  <c r="L1142" i="1" s="1"/>
  <c r="I1143" i="1"/>
  <c r="L1143" i="1" s="1"/>
  <c r="I1144" i="1"/>
  <c r="L1144" i="1" s="1"/>
  <c r="I1145" i="1"/>
  <c r="L1145" i="1" s="1"/>
  <c r="I1146" i="1"/>
  <c r="L1146" i="1" s="1"/>
  <c r="I1147" i="1"/>
  <c r="L1147" i="1" s="1"/>
  <c r="I1148" i="1"/>
  <c r="L1148" i="1" s="1"/>
  <c r="I1149" i="1"/>
  <c r="L1149" i="1" s="1"/>
  <c r="I1150" i="1"/>
  <c r="L1150" i="1" s="1"/>
  <c r="I1151" i="1"/>
  <c r="L1151" i="1" s="1"/>
  <c r="I1152" i="1"/>
  <c r="L1152" i="1" s="1"/>
  <c r="I1153" i="1"/>
  <c r="L1153" i="1" s="1"/>
  <c r="I1154" i="1"/>
  <c r="L1154" i="1" s="1"/>
  <c r="I1155" i="1"/>
  <c r="L1155" i="1" s="1"/>
  <c r="I1156" i="1"/>
  <c r="L1156" i="1" s="1"/>
  <c r="I1157" i="1"/>
  <c r="L1157" i="1" s="1"/>
  <c r="I1158" i="1"/>
  <c r="L1158" i="1" s="1"/>
  <c r="I1159" i="1"/>
  <c r="L1159" i="1" s="1"/>
  <c r="I1160" i="1"/>
  <c r="L1160" i="1" s="1"/>
  <c r="I1161" i="1"/>
  <c r="L1161" i="1" s="1"/>
  <c r="I1162" i="1"/>
  <c r="L1162" i="1" s="1"/>
  <c r="I1163" i="1"/>
  <c r="L1163" i="1" s="1"/>
  <c r="I1164" i="1"/>
  <c r="L1164" i="1" s="1"/>
  <c r="I1165" i="1"/>
  <c r="L1165" i="1" s="1"/>
  <c r="I1166" i="1"/>
  <c r="L1166" i="1" s="1"/>
  <c r="I1167" i="1"/>
  <c r="L1167" i="1" s="1"/>
  <c r="I1168" i="1"/>
  <c r="L1168" i="1" s="1"/>
  <c r="I1169" i="1"/>
  <c r="L1169" i="1" s="1"/>
  <c r="I1170" i="1"/>
  <c r="L1170" i="1" s="1"/>
  <c r="I1171" i="1"/>
  <c r="L1171" i="1" s="1"/>
  <c r="I1172" i="1"/>
  <c r="L1172" i="1" s="1"/>
  <c r="I1173" i="1"/>
  <c r="L1173" i="1" s="1"/>
  <c r="I1174" i="1"/>
  <c r="L1174" i="1" s="1"/>
  <c r="I1175" i="1"/>
  <c r="L1175" i="1" s="1"/>
  <c r="I1176" i="1"/>
  <c r="L1176" i="1" s="1"/>
  <c r="I1177" i="1"/>
  <c r="L1177" i="1" s="1"/>
  <c r="I1178" i="1"/>
  <c r="L1178" i="1" s="1"/>
  <c r="I1179" i="1"/>
  <c r="L1179" i="1" s="1"/>
  <c r="I1180" i="1"/>
  <c r="L1180" i="1" s="1"/>
  <c r="I1181" i="1"/>
  <c r="L1181" i="1" s="1"/>
  <c r="I1182" i="1"/>
  <c r="L1182" i="1" s="1"/>
  <c r="I1183" i="1"/>
  <c r="L1183" i="1" s="1"/>
  <c r="I1184" i="1"/>
  <c r="L1184" i="1" s="1"/>
  <c r="I1185" i="1"/>
  <c r="L1185" i="1" s="1"/>
  <c r="I1186" i="1"/>
  <c r="L1186" i="1" s="1"/>
  <c r="I1187" i="1"/>
  <c r="L1187" i="1" s="1"/>
  <c r="I1188" i="1"/>
  <c r="L1188" i="1" s="1"/>
  <c r="I1189" i="1"/>
  <c r="L1189" i="1" s="1"/>
  <c r="I1190" i="1"/>
  <c r="L1190" i="1" s="1"/>
  <c r="I1191" i="1"/>
  <c r="L1191" i="1" s="1"/>
  <c r="I1192" i="1"/>
  <c r="L1192" i="1" s="1"/>
  <c r="I1193" i="1"/>
  <c r="L1193" i="1" s="1"/>
  <c r="I1194" i="1"/>
  <c r="L1194" i="1" s="1"/>
  <c r="I1195" i="1"/>
  <c r="L1195" i="1" s="1"/>
  <c r="I1196" i="1"/>
  <c r="L1196" i="1" s="1"/>
  <c r="I1197" i="1"/>
  <c r="L1197" i="1" s="1"/>
  <c r="I1198" i="1"/>
  <c r="L1198" i="1" s="1"/>
  <c r="I1199" i="1"/>
  <c r="L1199" i="1" s="1"/>
  <c r="I1200" i="1"/>
  <c r="L1200" i="1" s="1"/>
  <c r="I1201" i="1"/>
  <c r="L1201" i="1" s="1"/>
  <c r="I1202" i="1"/>
  <c r="L1202" i="1" s="1"/>
  <c r="I1203" i="1"/>
  <c r="L1203" i="1" s="1"/>
  <c r="I1204" i="1"/>
  <c r="L1204" i="1" s="1"/>
  <c r="I1205" i="1"/>
  <c r="L1205" i="1" s="1"/>
  <c r="I1206" i="1"/>
  <c r="L1206" i="1" s="1"/>
  <c r="I1207" i="1"/>
  <c r="L1207" i="1" s="1"/>
  <c r="I1208" i="1"/>
  <c r="L1208" i="1" s="1"/>
  <c r="I1209" i="1"/>
  <c r="L1209" i="1" s="1"/>
  <c r="I1210" i="1"/>
  <c r="L1210" i="1" s="1"/>
  <c r="I1211" i="1"/>
  <c r="L1211" i="1" s="1"/>
  <c r="I1212" i="1"/>
  <c r="L1212" i="1" s="1"/>
  <c r="I1213" i="1"/>
  <c r="L1213" i="1" s="1"/>
  <c r="I1214" i="1"/>
  <c r="L1214" i="1" s="1"/>
  <c r="I1215" i="1"/>
  <c r="L1215" i="1" s="1"/>
  <c r="I1216" i="1"/>
  <c r="L1216" i="1" s="1"/>
  <c r="I1217" i="1"/>
  <c r="L1217" i="1" s="1"/>
  <c r="I1218" i="1"/>
  <c r="L1218" i="1" s="1"/>
  <c r="I1219" i="1"/>
  <c r="L1219" i="1" s="1"/>
  <c r="I1220" i="1"/>
  <c r="L1220" i="1" s="1"/>
  <c r="I1221" i="1"/>
  <c r="L1221" i="1" s="1"/>
  <c r="I1222" i="1"/>
  <c r="L1222" i="1" s="1"/>
  <c r="I1223" i="1"/>
  <c r="L1223" i="1" s="1"/>
  <c r="I1224" i="1"/>
  <c r="L1224" i="1" s="1"/>
  <c r="I1225" i="1"/>
  <c r="L1225" i="1" s="1"/>
  <c r="I1226" i="1"/>
  <c r="L1226" i="1" s="1"/>
  <c r="I1227" i="1"/>
  <c r="L1227" i="1" s="1"/>
  <c r="I1228" i="1"/>
  <c r="L1228" i="1" s="1"/>
  <c r="I1229" i="1"/>
  <c r="L1229" i="1" s="1"/>
  <c r="I1230" i="1"/>
  <c r="L1230" i="1" s="1"/>
  <c r="I1231" i="1"/>
  <c r="L1231" i="1" s="1"/>
  <c r="I1232" i="1"/>
  <c r="L1232" i="1" s="1"/>
  <c r="I1233" i="1"/>
  <c r="L1233" i="1" s="1"/>
  <c r="I1234" i="1"/>
  <c r="L1234" i="1" s="1"/>
  <c r="I1235" i="1"/>
  <c r="L1235" i="1" s="1"/>
  <c r="I1236" i="1"/>
  <c r="L1236" i="1" s="1"/>
  <c r="I1237" i="1"/>
  <c r="L1237" i="1" s="1"/>
  <c r="I1238" i="1"/>
  <c r="L1238" i="1" s="1"/>
  <c r="I1239" i="1"/>
  <c r="L1239" i="1" s="1"/>
  <c r="I1240" i="1"/>
  <c r="L1240" i="1" s="1"/>
  <c r="I1241" i="1"/>
  <c r="L1241" i="1" s="1"/>
  <c r="I1242" i="1"/>
  <c r="L1242" i="1" s="1"/>
  <c r="I1243" i="1"/>
  <c r="L1243" i="1" s="1"/>
  <c r="I1244" i="1"/>
  <c r="L1244" i="1" s="1"/>
  <c r="I1245" i="1"/>
  <c r="L1245" i="1" s="1"/>
  <c r="I1246" i="1"/>
  <c r="L1246" i="1" s="1"/>
  <c r="I1247" i="1"/>
  <c r="L1247" i="1" s="1"/>
  <c r="I1248" i="1"/>
  <c r="L1248" i="1" s="1"/>
  <c r="I1249" i="1"/>
  <c r="L1249" i="1" s="1"/>
  <c r="I1250" i="1"/>
  <c r="L1250" i="1" s="1"/>
  <c r="I1251" i="1"/>
  <c r="L1251" i="1" s="1"/>
  <c r="I1252" i="1"/>
  <c r="L1252" i="1" s="1"/>
  <c r="I1253" i="1"/>
  <c r="L1253" i="1" s="1"/>
  <c r="I1356" i="1"/>
  <c r="L1356" i="1" s="1"/>
  <c r="I1357" i="1"/>
  <c r="L1357" i="1" s="1"/>
  <c r="I1358" i="1"/>
  <c r="L1358" i="1" s="1"/>
  <c r="I1359" i="1"/>
  <c r="L1359" i="1" s="1"/>
  <c r="I1360" i="1"/>
  <c r="L1360" i="1" s="1"/>
  <c r="I1361" i="1"/>
  <c r="L1361" i="1" s="1"/>
  <c r="I1362" i="1"/>
  <c r="L1362" i="1" s="1"/>
  <c r="I1363" i="1"/>
  <c r="L1363" i="1" s="1"/>
  <c r="I1364" i="1"/>
  <c r="L1364" i="1" s="1"/>
  <c r="I1365" i="1"/>
  <c r="L1365" i="1" s="1"/>
  <c r="I1366" i="1"/>
  <c r="L1366" i="1" s="1"/>
  <c r="I1367" i="1"/>
  <c r="L1367" i="1" s="1"/>
  <c r="I1368" i="1"/>
  <c r="L1368" i="1" s="1"/>
  <c r="I1369" i="1"/>
  <c r="L1369" i="1" s="1"/>
  <c r="I1370" i="1"/>
  <c r="L1370" i="1" s="1"/>
  <c r="I1371" i="1"/>
  <c r="L1371" i="1" s="1"/>
  <c r="I1372" i="1"/>
  <c r="L1372" i="1" s="1"/>
  <c r="I1373" i="1"/>
  <c r="L1373" i="1" s="1"/>
  <c r="I1374" i="1"/>
  <c r="L1374" i="1" s="1"/>
  <c r="I1375" i="1"/>
  <c r="L1375" i="1" s="1"/>
  <c r="I1376" i="1"/>
  <c r="L1376" i="1" s="1"/>
  <c r="I1377" i="1"/>
  <c r="L1377" i="1" s="1"/>
  <c r="I1378" i="1"/>
  <c r="L1378" i="1" s="1"/>
  <c r="I1379" i="1"/>
  <c r="L1379" i="1" s="1"/>
  <c r="I1380" i="1"/>
  <c r="L1380" i="1" s="1"/>
  <c r="I1381" i="1"/>
  <c r="L1381" i="1" s="1"/>
  <c r="I1382" i="1"/>
  <c r="L1382" i="1" s="1"/>
  <c r="I1383" i="1"/>
  <c r="L1383" i="1" s="1"/>
  <c r="I1384" i="1"/>
  <c r="L1384" i="1" s="1"/>
  <c r="I1385" i="1"/>
  <c r="L1385" i="1" s="1"/>
  <c r="I1386" i="1"/>
  <c r="L1386" i="1" s="1"/>
  <c r="I1387" i="1"/>
  <c r="L1387" i="1" s="1"/>
  <c r="I1388" i="1"/>
  <c r="L1388" i="1" s="1"/>
  <c r="I1389" i="1"/>
  <c r="L1389" i="1" s="1"/>
  <c r="I1390" i="1"/>
  <c r="L1390" i="1" s="1"/>
  <c r="I1391" i="1"/>
  <c r="L1391" i="1" s="1"/>
  <c r="I1392" i="1"/>
  <c r="L1392" i="1" s="1"/>
  <c r="I1393" i="1"/>
  <c r="L1393" i="1" s="1"/>
  <c r="I1394" i="1"/>
  <c r="L1394" i="1" s="1"/>
  <c r="I1395" i="1"/>
  <c r="L1395" i="1" s="1"/>
  <c r="I1396" i="1"/>
  <c r="L1396" i="1" s="1"/>
  <c r="I1397" i="1"/>
  <c r="L1397" i="1" s="1"/>
  <c r="I1398" i="1"/>
  <c r="L1398" i="1" s="1"/>
  <c r="I1399" i="1"/>
  <c r="L1399" i="1" s="1"/>
  <c r="I1400" i="1"/>
  <c r="L1400" i="1" s="1"/>
  <c r="I1401" i="1"/>
  <c r="L1401" i="1" s="1"/>
  <c r="I1402" i="1"/>
  <c r="L1402" i="1" s="1"/>
  <c r="I1403" i="1"/>
  <c r="L1403" i="1" s="1"/>
  <c r="I1404" i="1"/>
  <c r="L1404" i="1" s="1"/>
  <c r="I1405" i="1"/>
  <c r="L1405" i="1" s="1"/>
  <c r="I1406" i="1"/>
  <c r="L1406" i="1" s="1"/>
  <c r="I1407" i="1"/>
  <c r="L1407" i="1" s="1"/>
  <c r="I1408" i="1"/>
  <c r="L1408" i="1" s="1"/>
  <c r="I1409" i="1"/>
  <c r="L1409" i="1" s="1"/>
  <c r="I1410" i="1"/>
  <c r="L1410" i="1" s="1"/>
  <c r="I1411" i="1"/>
  <c r="L1411" i="1" s="1"/>
  <c r="I1412" i="1"/>
  <c r="L1412" i="1" s="1"/>
  <c r="I1413" i="1"/>
  <c r="L1413" i="1" s="1"/>
  <c r="I1414" i="1"/>
  <c r="L1414" i="1" s="1"/>
  <c r="I1415" i="1"/>
  <c r="L1415" i="1" s="1"/>
  <c r="I1416" i="1"/>
  <c r="L1416" i="1" s="1"/>
  <c r="I1417" i="1"/>
  <c r="L1417" i="1" s="1"/>
  <c r="I1418" i="1"/>
  <c r="L1418" i="1" s="1"/>
  <c r="I1419" i="1"/>
  <c r="L1419" i="1" s="1"/>
  <c r="I1420" i="1"/>
  <c r="L1420" i="1" s="1"/>
  <c r="I1421" i="1"/>
  <c r="L1421" i="1" s="1"/>
  <c r="I1422" i="1"/>
  <c r="L1422" i="1" s="1"/>
  <c r="I1423" i="1"/>
  <c r="L1423" i="1" s="1"/>
  <c r="I1424" i="1"/>
  <c r="L1424" i="1" s="1"/>
  <c r="I1425" i="1"/>
  <c r="L1425" i="1" s="1"/>
  <c r="I1426" i="1"/>
  <c r="L1426" i="1" s="1"/>
  <c r="I1427" i="1"/>
  <c r="L1427" i="1" s="1"/>
  <c r="I1428" i="1"/>
  <c r="L1428" i="1" s="1"/>
  <c r="I1429" i="1"/>
  <c r="L1429" i="1" s="1"/>
  <c r="I1430" i="1"/>
  <c r="L1430" i="1" s="1"/>
  <c r="I1431" i="1"/>
  <c r="L1431" i="1" s="1"/>
  <c r="I1432" i="1"/>
  <c r="L1432" i="1" s="1"/>
  <c r="I1433" i="1"/>
  <c r="L1433" i="1" s="1"/>
  <c r="I1434" i="1"/>
  <c r="L1434" i="1" s="1"/>
  <c r="I1435" i="1"/>
  <c r="L1435" i="1" s="1"/>
  <c r="I1436" i="1"/>
  <c r="L1436" i="1" s="1"/>
  <c r="I1437" i="1"/>
  <c r="L1437" i="1" s="1"/>
  <c r="I1438" i="1"/>
  <c r="L1438" i="1" s="1"/>
  <c r="I1439" i="1"/>
  <c r="L1439" i="1" s="1"/>
  <c r="I1440" i="1"/>
  <c r="L1440" i="1" s="1"/>
  <c r="I1441" i="1"/>
  <c r="L1441" i="1" s="1"/>
  <c r="I1442" i="1"/>
  <c r="L1442" i="1" s="1"/>
  <c r="I1443" i="1"/>
  <c r="L1443" i="1" s="1"/>
  <c r="I1444" i="1"/>
  <c r="L1444" i="1" s="1"/>
  <c r="I1445" i="1"/>
  <c r="L1445" i="1" s="1"/>
  <c r="I1446" i="1"/>
  <c r="L1446" i="1" s="1"/>
  <c r="I1447" i="1"/>
  <c r="L1447" i="1" s="1"/>
  <c r="I1448" i="1"/>
  <c r="L1448" i="1" s="1"/>
  <c r="I1449" i="1"/>
  <c r="L1449" i="1" s="1"/>
  <c r="I1450" i="1"/>
  <c r="L1450" i="1" s="1"/>
  <c r="I1451" i="1"/>
  <c r="L1451" i="1" s="1"/>
  <c r="I1452" i="1"/>
  <c r="L1452" i="1" s="1"/>
  <c r="I1453" i="1"/>
  <c r="L1453" i="1" s="1"/>
  <c r="I1454" i="1"/>
  <c r="L1454" i="1" s="1"/>
  <c r="I1455" i="1"/>
  <c r="L1455" i="1" s="1"/>
  <c r="I1512" i="1"/>
  <c r="L1512" i="1" s="1"/>
  <c r="I1513" i="1"/>
  <c r="L1513" i="1" s="1"/>
  <c r="I1514" i="1"/>
  <c r="L1514" i="1" s="1"/>
  <c r="I1515" i="1"/>
  <c r="L1515" i="1" s="1"/>
  <c r="I1516" i="1"/>
  <c r="L1516" i="1" s="1"/>
  <c r="I1517" i="1"/>
  <c r="L1517" i="1" s="1"/>
  <c r="I1518" i="1"/>
  <c r="L1518" i="1" s="1"/>
  <c r="I1519" i="1"/>
  <c r="L1519" i="1" s="1"/>
  <c r="I1520" i="1"/>
  <c r="L1520" i="1" s="1"/>
  <c r="I1521" i="1"/>
  <c r="L1521" i="1" s="1"/>
  <c r="I1522" i="1"/>
  <c r="L1522" i="1" s="1"/>
  <c r="I1523" i="1"/>
  <c r="L1523" i="1" s="1"/>
  <c r="I1524" i="1"/>
  <c r="L1524" i="1" s="1"/>
  <c r="I1525" i="1"/>
  <c r="L1525" i="1" s="1"/>
  <c r="I1526" i="1"/>
  <c r="L1526" i="1" s="1"/>
  <c r="I1527" i="1"/>
  <c r="L1527" i="1" s="1"/>
  <c r="I1528" i="1"/>
  <c r="L1528" i="1" s="1"/>
  <c r="I1529" i="1"/>
  <c r="L1529" i="1" s="1"/>
  <c r="I1530" i="1"/>
  <c r="L1530" i="1" s="1"/>
  <c r="I1531" i="1"/>
  <c r="L1531" i="1" s="1"/>
  <c r="I1532" i="1"/>
  <c r="L1532" i="1" s="1"/>
  <c r="I1533" i="1"/>
  <c r="L1533" i="1" s="1"/>
  <c r="I1534" i="1"/>
  <c r="L1534" i="1" s="1"/>
  <c r="I1535" i="1"/>
  <c r="L1535" i="1" s="1"/>
  <c r="I1536" i="1"/>
  <c r="L1536" i="1" s="1"/>
  <c r="I1537" i="1"/>
  <c r="L1537" i="1" s="1"/>
  <c r="I1538" i="1"/>
  <c r="L1538" i="1" s="1"/>
  <c r="I1539" i="1"/>
  <c r="L1539" i="1" s="1"/>
  <c r="I1540" i="1"/>
  <c r="L1540" i="1" s="1"/>
  <c r="I1541" i="1"/>
  <c r="L1541" i="1" s="1"/>
  <c r="I1542" i="1"/>
  <c r="L1542" i="1" s="1"/>
  <c r="I1543" i="1"/>
  <c r="L1543" i="1" s="1"/>
  <c r="I1544" i="1"/>
  <c r="L1544" i="1" s="1"/>
  <c r="I1545" i="1"/>
  <c r="L1545" i="1" s="1"/>
  <c r="I1546" i="1"/>
  <c r="L1546" i="1" s="1"/>
  <c r="I1547" i="1"/>
  <c r="L1547" i="1" s="1"/>
  <c r="I1548" i="1"/>
  <c r="L1548" i="1" s="1"/>
  <c r="I1549" i="1"/>
  <c r="L1549" i="1" s="1"/>
  <c r="I1550" i="1"/>
  <c r="L1550" i="1" s="1"/>
  <c r="I1551" i="1"/>
  <c r="L1551" i="1" s="1"/>
  <c r="I1552" i="1"/>
  <c r="L1552" i="1" s="1"/>
  <c r="I1553" i="1"/>
  <c r="L1553" i="1" s="1"/>
  <c r="I1554" i="1"/>
  <c r="L1554" i="1" s="1"/>
  <c r="I1555" i="1"/>
  <c r="L1555" i="1" s="1"/>
  <c r="I1556" i="1"/>
  <c r="L1556" i="1" s="1"/>
  <c r="I1557" i="1"/>
  <c r="L1557" i="1" s="1"/>
  <c r="I1558" i="1"/>
  <c r="L1558" i="1" s="1"/>
  <c r="I1559" i="1"/>
  <c r="L1559" i="1" s="1"/>
  <c r="I1560" i="1"/>
  <c r="L1560" i="1" s="1"/>
  <c r="I1561" i="1"/>
  <c r="L1561" i="1" s="1"/>
  <c r="I1562" i="1"/>
  <c r="L1562" i="1" s="1"/>
  <c r="I1563" i="1"/>
  <c r="L1563" i="1" s="1"/>
  <c r="I1564" i="1"/>
  <c r="L1564" i="1" s="1"/>
  <c r="I1565" i="1"/>
  <c r="L1565" i="1" s="1"/>
  <c r="I1566" i="1"/>
  <c r="L1566" i="1" s="1"/>
  <c r="I1567" i="1"/>
  <c r="L1567" i="1" s="1"/>
  <c r="I1568" i="1"/>
  <c r="L1568" i="1" s="1"/>
  <c r="I1569" i="1"/>
  <c r="L1569" i="1" s="1"/>
  <c r="I1570" i="1"/>
  <c r="L1570" i="1" s="1"/>
  <c r="I1571" i="1"/>
  <c r="L1571" i="1" s="1"/>
  <c r="I1572" i="1"/>
  <c r="L1572" i="1" s="1"/>
  <c r="I1573" i="1"/>
  <c r="L1573" i="1" s="1"/>
  <c r="I1574" i="1"/>
  <c r="L1574" i="1" s="1"/>
  <c r="I1575" i="1"/>
  <c r="L1575" i="1" s="1"/>
  <c r="I1576" i="1"/>
  <c r="L1576" i="1" s="1"/>
  <c r="I1577" i="1"/>
  <c r="L1577" i="1" s="1"/>
  <c r="I1578" i="1"/>
  <c r="L1578" i="1" s="1"/>
  <c r="I1579" i="1"/>
  <c r="L1579" i="1" s="1"/>
  <c r="L1580" i="1"/>
  <c r="I1581" i="1"/>
  <c r="L1581" i="1" s="1"/>
  <c r="I1582" i="1"/>
  <c r="L1582" i="1" s="1"/>
  <c r="I1583" i="1"/>
  <c r="L1583" i="1" s="1"/>
  <c r="I1584" i="1"/>
  <c r="L1584" i="1" s="1"/>
  <c r="I1585" i="1"/>
  <c r="L1585" i="1" s="1"/>
  <c r="I1586" i="1"/>
  <c r="L1586" i="1" s="1"/>
  <c r="I1587" i="1"/>
  <c r="L1587" i="1" s="1"/>
  <c r="I1588" i="1"/>
  <c r="L1588" i="1" s="1"/>
  <c r="I1589" i="1"/>
  <c r="L1589" i="1" s="1"/>
  <c r="I1590" i="1"/>
  <c r="L1590" i="1" s="1"/>
  <c r="I1591" i="1"/>
  <c r="L1591" i="1" s="1"/>
  <c r="I1592" i="1"/>
  <c r="L1592" i="1" s="1"/>
  <c r="I1593" i="1"/>
  <c r="L1593" i="1" s="1"/>
  <c r="I1594" i="1"/>
  <c r="L1594" i="1" s="1"/>
  <c r="I1595" i="1"/>
  <c r="L1595" i="1" s="1"/>
  <c r="I1596" i="1"/>
  <c r="L1596" i="1" s="1"/>
  <c r="I1597" i="1"/>
  <c r="L1597" i="1" s="1"/>
  <c r="I1598" i="1"/>
  <c r="L1598" i="1" s="1"/>
  <c r="I1599" i="1"/>
  <c r="L1599" i="1" s="1"/>
  <c r="I1600" i="1"/>
  <c r="L1600" i="1" s="1"/>
  <c r="I1601" i="1"/>
  <c r="L1601" i="1" s="1"/>
  <c r="I1602" i="1"/>
  <c r="L1602" i="1" s="1"/>
  <c r="I1603" i="1"/>
  <c r="L1603" i="1" s="1"/>
  <c r="I1604" i="1"/>
  <c r="L1604" i="1" s="1"/>
  <c r="I1605" i="1"/>
  <c r="L1605" i="1" s="1"/>
  <c r="I1606" i="1"/>
  <c r="L1606" i="1" s="1"/>
  <c r="I1607" i="1"/>
  <c r="L1607" i="1" s="1"/>
  <c r="I1608" i="1"/>
  <c r="L1608" i="1" s="1"/>
  <c r="I1609" i="1"/>
  <c r="L1609" i="1" s="1"/>
  <c r="I1610" i="1"/>
  <c r="L1610" i="1" s="1"/>
  <c r="I1611" i="1"/>
  <c r="L1611" i="1" s="1"/>
  <c r="I1612" i="1"/>
  <c r="L1612" i="1" s="1"/>
  <c r="I1613" i="1"/>
  <c r="L1613" i="1" s="1"/>
  <c r="I1614" i="1"/>
  <c r="L1614" i="1" s="1"/>
  <c r="I1615" i="1"/>
  <c r="L1615" i="1" s="1"/>
  <c r="I1616" i="1"/>
  <c r="L1616" i="1" s="1"/>
  <c r="I1617" i="1"/>
  <c r="L1617" i="1" s="1"/>
  <c r="I1618" i="1"/>
  <c r="L1618" i="1" s="1"/>
  <c r="I1619" i="1"/>
  <c r="L1619" i="1" s="1"/>
  <c r="I1620" i="1"/>
  <c r="L1620" i="1" s="1"/>
  <c r="I1621" i="1"/>
  <c r="L1621" i="1" s="1"/>
  <c r="I1622" i="1"/>
  <c r="L1622" i="1" s="1"/>
  <c r="I1623" i="1"/>
  <c r="L1623" i="1" s="1"/>
  <c r="I1624" i="1"/>
  <c r="L1624" i="1" s="1"/>
  <c r="I1625" i="1"/>
  <c r="L1625" i="1" s="1"/>
  <c r="I1626" i="1"/>
  <c r="L1626" i="1" s="1"/>
  <c r="I1627" i="1"/>
  <c r="L1627" i="1" s="1"/>
  <c r="I1628" i="1"/>
  <c r="L1628" i="1" s="1"/>
  <c r="I1629" i="1"/>
  <c r="L1629" i="1" s="1"/>
  <c r="I1630" i="1"/>
  <c r="L1630" i="1" s="1"/>
  <c r="I1631" i="1"/>
  <c r="L1631" i="1" s="1"/>
  <c r="I1632" i="1"/>
  <c r="L1632" i="1" s="1"/>
  <c r="I1633" i="1"/>
  <c r="L1633" i="1" s="1"/>
  <c r="I1634" i="1"/>
  <c r="L1634" i="1" s="1"/>
  <c r="I1635" i="1"/>
  <c r="L1635" i="1" s="1"/>
  <c r="I1636" i="1"/>
  <c r="L1636" i="1" s="1"/>
  <c r="I1637" i="1"/>
  <c r="L1637" i="1" s="1"/>
  <c r="I1638" i="1"/>
  <c r="L1638" i="1" s="1"/>
  <c r="I1639" i="1"/>
  <c r="L1639" i="1" s="1"/>
  <c r="I1640" i="1"/>
  <c r="L1640" i="1" s="1"/>
  <c r="I1641" i="1"/>
  <c r="L1641" i="1" s="1"/>
  <c r="I1642" i="1"/>
  <c r="L1642" i="1" s="1"/>
  <c r="I1643" i="1"/>
  <c r="L1643" i="1" s="1"/>
  <c r="I1644" i="1"/>
  <c r="L1644" i="1" s="1"/>
  <c r="I1645" i="1"/>
  <c r="L1645" i="1" s="1"/>
  <c r="I1646" i="1"/>
  <c r="L1646" i="1" s="1"/>
  <c r="I1647" i="1"/>
  <c r="L1647" i="1" s="1"/>
  <c r="I1648" i="1"/>
  <c r="L1648" i="1" s="1"/>
  <c r="I1649" i="1"/>
  <c r="L1649" i="1" s="1"/>
  <c r="I1650" i="1"/>
  <c r="L1650" i="1" s="1"/>
  <c r="I1651" i="1"/>
  <c r="L1651" i="1" s="1"/>
  <c r="I1652" i="1"/>
  <c r="L1652" i="1" s="1"/>
  <c r="I1653" i="1"/>
  <c r="L1653" i="1" s="1"/>
  <c r="I1654" i="1"/>
  <c r="L1654" i="1" s="1"/>
  <c r="I1655" i="1"/>
  <c r="L1655" i="1" s="1"/>
  <c r="I1656" i="1"/>
  <c r="L1656" i="1" s="1"/>
  <c r="I1657" i="1"/>
  <c r="L1657" i="1" s="1"/>
  <c r="I1658" i="1"/>
  <c r="L1658" i="1" s="1"/>
  <c r="I1659" i="1"/>
  <c r="L1659" i="1" s="1"/>
  <c r="I1660" i="1"/>
  <c r="L1660" i="1" s="1"/>
  <c r="I1661" i="1"/>
  <c r="L1661" i="1" s="1"/>
  <c r="I1662" i="1"/>
  <c r="L1662" i="1" s="1"/>
  <c r="I1663" i="1"/>
  <c r="L1663" i="1" s="1"/>
  <c r="I1664" i="1"/>
  <c r="L1664" i="1" s="1"/>
  <c r="I1665" i="1"/>
  <c r="L1665" i="1" s="1"/>
  <c r="I1666" i="1"/>
  <c r="L1666" i="1" s="1"/>
  <c r="I1667" i="1"/>
  <c r="L1667" i="1" s="1"/>
  <c r="I1668" i="1"/>
  <c r="L1668" i="1" s="1"/>
  <c r="I1669" i="1"/>
  <c r="L1669" i="1" s="1"/>
  <c r="I1670" i="1"/>
  <c r="L1670" i="1" s="1"/>
  <c r="I1671" i="1"/>
  <c r="L1671" i="1" s="1"/>
  <c r="I1672" i="1"/>
  <c r="L1672" i="1" s="1"/>
  <c r="I1673" i="1"/>
  <c r="L1673" i="1" s="1"/>
  <c r="I1674" i="1"/>
  <c r="L1674" i="1" s="1"/>
  <c r="I1675" i="1"/>
  <c r="L1675" i="1" s="1"/>
  <c r="I1676" i="1"/>
  <c r="L1676" i="1" s="1"/>
  <c r="I1677" i="1"/>
  <c r="L1677" i="1" s="1"/>
  <c r="I1678" i="1"/>
  <c r="L1678" i="1" s="1"/>
  <c r="I1679" i="1"/>
  <c r="L1679" i="1" s="1"/>
  <c r="I1680" i="1"/>
  <c r="L1680" i="1" s="1"/>
  <c r="I1681" i="1"/>
  <c r="L1681" i="1" s="1"/>
  <c r="I1682" i="1"/>
  <c r="L1682" i="1" s="1"/>
  <c r="I1683" i="1"/>
  <c r="L1683" i="1" s="1"/>
  <c r="I1684" i="1"/>
  <c r="L1684" i="1" s="1"/>
  <c r="I1685" i="1"/>
  <c r="L1685" i="1" s="1"/>
  <c r="I1686" i="1"/>
  <c r="L1686" i="1" s="1"/>
  <c r="I1687" i="1"/>
  <c r="L1687" i="1" s="1"/>
  <c r="I1688" i="1"/>
  <c r="L1688" i="1" s="1"/>
  <c r="I1689" i="1"/>
  <c r="L1689" i="1" s="1"/>
  <c r="I1690" i="1"/>
  <c r="L1690" i="1" s="1"/>
  <c r="I1691" i="1"/>
  <c r="L1691" i="1" s="1"/>
  <c r="I1692" i="1"/>
  <c r="L1692" i="1" s="1"/>
  <c r="I1693" i="1"/>
  <c r="L1693" i="1" s="1"/>
  <c r="I1694" i="1"/>
  <c r="L1694" i="1" s="1"/>
  <c r="I1695" i="1"/>
  <c r="L1695" i="1" s="1"/>
  <c r="I1696" i="1"/>
  <c r="L1696" i="1" s="1"/>
  <c r="I1697" i="1"/>
  <c r="L1697" i="1" s="1"/>
  <c r="I1698" i="1"/>
  <c r="L1698" i="1" s="1"/>
  <c r="I1699" i="1"/>
  <c r="L1699" i="1" s="1"/>
  <c r="I1700" i="1"/>
  <c r="L1700" i="1" s="1"/>
  <c r="I1701" i="1"/>
  <c r="L1701" i="1" s="1"/>
  <c r="I1702" i="1"/>
  <c r="L1702" i="1" s="1"/>
  <c r="L6" i="1" l="1"/>
  <c r="I85" i="15" l="1"/>
  <c r="J85" i="15" l="1"/>
  <c r="E1707" i="1" l="1"/>
  <c r="B230" i="5" l="1"/>
  <c r="E225" i="5"/>
  <c r="E224" i="5"/>
  <c r="D224" i="5" l="1"/>
  <c r="E226" i="5"/>
  <c r="L221" i="5"/>
  <c r="D225" i="5"/>
  <c r="D226" i="5" l="1"/>
  <c r="J43" i="15" l="1"/>
  <c r="B2" i="14" l="1"/>
  <c r="B2" i="5" l="1"/>
  <c r="A2" i="15" s="1"/>
  <c r="I48" i="15" l="1"/>
  <c r="G48" i="15"/>
  <c r="H47" i="15"/>
  <c r="H48" i="15" s="1"/>
  <c r="E1706" i="1" l="1"/>
  <c r="E1708" i="1" s="1"/>
  <c r="I618" i="1"/>
  <c r="I1703" i="1" s="1"/>
  <c r="D1706" i="1" l="1"/>
  <c r="D1708" i="1" s="1"/>
  <c r="L618" i="1"/>
  <c r="L170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H5" authorId="0" shapeId="0" xr:uid="{6612966A-F802-4D33-B10F-29BEDCBFE4C9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B228" authorId="0" shapeId="0" xr:uid="{1F841CA2-44C8-4181-9FE8-ABD1B9583A25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Inventory Controller</t>
        </r>
      </text>
    </comment>
    <comment ref="E228" authorId="0" shapeId="0" xr:uid="{1694E2D4-3B2A-4A9A-BD9F-1C9A467FAA1A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Bookkeeper</t>
        </r>
      </text>
    </comment>
    <comment ref="H228" authorId="0" shapeId="0" xr:uid="{7E7874BE-C700-41FF-896C-944F2B0277A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Store Supervisor / Operations Head</t>
        </r>
      </text>
    </comment>
    <comment ref="B234" authorId="0" shapeId="0" xr:uid="{A987C9B6-D17C-4070-8BF3-83134CECD405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  <comment ref="H234" authorId="0" shapeId="0" xr:uid="{14752808-460A-477B-B9F1-1FBB2EEEC162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F4" authorId="0" shapeId="0" xr:uid="{1C2BF8CA-2B43-4D3E-B195-F86D5417C1CF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F50" authorId="0" shapeId="0" xr:uid="{5C8A5786-C019-40CE-A074-79F8F9E25302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F81" authorId="0" shapeId="0" xr:uid="{6C8599DB-F80B-4E57-8342-8B26BD6B5F1E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H5" authorId="0" shapeId="0" xr:uid="{EFCE3150-F9DD-424F-8F7C-057924A9948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B1710" authorId="0" shapeId="0" xr:uid="{00000000-0006-0000-0000-00000200000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Inventory Controller</t>
        </r>
      </text>
    </comment>
    <comment ref="E1710" authorId="0" shapeId="0" xr:uid="{00000000-0006-0000-0000-00000300000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Bookkeeper</t>
        </r>
      </text>
    </comment>
    <comment ref="G1710" authorId="0" shapeId="0" xr:uid="{00000000-0006-0000-0000-00000400000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Store Supervisor / Operations Head</t>
        </r>
      </text>
    </comment>
    <comment ref="B1716" authorId="0" shapeId="0" xr:uid="{00000000-0006-0000-0000-00000500000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  <comment ref="G1716" authorId="0" shapeId="0" xr:uid="{00000000-0006-0000-0000-00000600000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F4" authorId="0" shapeId="0" xr:uid="{4F2C8FB4-6CF3-4181-930F-606378FFE381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F173" authorId="0" shapeId="0" xr:uid="{C76565E2-AD5D-40EB-9E05-7CFB20982A9C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</commentList>
</comments>
</file>

<file path=xl/sharedStrings.xml><?xml version="1.0" encoding="utf-8"?>
<sst xmlns="http://schemas.openxmlformats.org/spreadsheetml/2006/main" count="11291" uniqueCount="4755">
  <si>
    <t>INVENTORY REPORT</t>
  </si>
  <si>
    <t>COOP STORE</t>
  </si>
  <si>
    <t>SHELF NO.</t>
  </si>
  <si>
    <t>SHELF DESCRIPTION</t>
  </si>
  <si>
    <t>BARCODE</t>
  </si>
  <si>
    <t>PRODUCT NAME</t>
  </si>
  <si>
    <t>UNIT COST</t>
  </si>
  <si>
    <t>QUANTITY PER RECORD/ACCPOS</t>
  </si>
  <si>
    <t>ACTUAL INVENTORY</t>
  </si>
  <si>
    <t>TOTAL COST - RECORD</t>
  </si>
  <si>
    <t>TOTAL COST - ACTUAL INVENTORY</t>
  </si>
  <si>
    <t>VARIANCE - QUANTITY</t>
  </si>
  <si>
    <t>VARIANCE - COST</t>
  </si>
  <si>
    <t>REMARKS / CAUSE OF VARIANCE</t>
  </si>
  <si>
    <t>TOTAL</t>
  </si>
  <si>
    <t>PARTICULARS</t>
  </si>
  <si>
    <t>TOTAL COST</t>
  </si>
  <si>
    <t>TOTAL QUANTITY</t>
  </si>
  <si>
    <t>ACTION PLAN ON THE DEVIATION</t>
  </si>
  <si>
    <t>RECORD</t>
  </si>
  <si>
    <t>VARIANCE</t>
  </si>
  <si>
    <t>PREPARED BY:</t>
  </si>
  <si>
    <t>CHECKED BY:</t>
  </si>
  <si>
    <t>COMFORMED BY:</t>
  </si>
  <si>
    <t>JENNY-LYN R. GANIGAN</t>
  </si>
  <si>
    <t>INVENTORY CONTROLLER</t>
  </si>
  <si>
    <t xml:space="preserve">               ACCOUNTANT    /    ACCOUNTING SUPERVISOR</t>
  </si>
  <si>
    <t>OPERATION - UNIT HEAD</t>
  </si>
  <si>
    <t>RECOMMENDING APPROVAL BY:</t>
  </si>
  <si>
    <t>APPROVED BY:</t>
  </si>
  <si>
    <t>JASPER D. SANTOS</t>
  </si>
  <si>
    <t>GENERAL MANAGER</t>
  </si>
  <si>
    <t>VARIANCE BREAKDOWN (CONVIE)</t>
  </si>
  <si>
    <t>OVER</t>
  </si>
  <si>
    <t>RETURN</t>
  </si>
  <si>
    <t>SHORT</t>
  </si>
  <si>
    <t>ACCOUNTANT    /    ACCOUNTING SUPERVISOR</t>
  </si>
  <si>
    <t>PRINTING</t>
  </si>
  <si>
    <t>BARCODE/ CONTROL NUMBER</t>
  </si>
  <si>
    <t>QUANTITY PER RECORD / ACCPOS</t>
  </si>
  <si>
    <t>OFFICE SUPPLIES</t>
  </si>
  <si>
    <t>MICHAEL PASCUA</t>
  </si>
  <si>
    <t>Overage will be adjusted to the system while shortage will be charge to the accountable staff/s.</t>
  </si>
  <si>
    <t>Overage will be adjusted to the system while shortage will be charged to the accountable staff.</t>
  </si>
  <si>
    <t>NERISSA C. DULDULAO   /   TERESITA B. OLAR</t>
  </si>
  <si>
    <t>ANGELIKA B. MANUCOT</t>
  </si>
  <si>
    <t>VARIANCE BREAKDOWN (PRINTING)</t>
  </si>
  <si>
    <t>CHIPS &amp; SNACK</t>
  </si>
  <si>
    <t>WINE &amp; ALCOHOLIC BEVERAGES</t>
  </si>
  <si>
    <t>BREAD &amp; BISCUIT</t>
  </si>
  <si>
    <t>CHOCOLATE &amp; CANDIES</t>
  </si>
  <si>
    <t>POWDERED MILK, JUICE &amp; COFFEE</t>
  </si>
  <si>
    <t>NOODLES</t>
  </si>
  <si>
    <t>SPREAD &amp; CANNED GOODS</t>
  </si>
  <si>
    <t>CONDIMENTS</t>
  </si>
  <si>
    <t>TOILETRIES &amp; PERSONAL HYGIENE</t>
  </si>
  <si>
    <t>HOUSEHOLD ITEMS</t>
  </si>
  <si>
    <t>CLIENTS PRODUCTS</t>
  </si>
  <si>
    <t>ICE CREAM</t>
  </si>
  <si>
    <t>RTD &amp; REFRI</t>
  </si>
  <si>
    <t>OVER THE COUNTER (OTC)</t>
  </si>
  <si>
    <t>OTHER PRODUCTS</t>
  </si>
  <si>
    <t>SUPER MORINGA PRODUCTS</t>
  </si>
  <si>
    <t>SCHOOL SUPPLIES</t>
  </si>
  <si>
    <t>SRP</t>
  </si>
  <si>
    <t xml:space="preserve">KATHERINE DC. SANTOS   </t>
  </si>
  <si>
    <t>FINANCE, ACCTG &amp; ADMIN MANAGER</t>
  </si>
  <si>
    <t>KATHERINE DC. SANTOS</t>
  </si>
  <si>
    <t>JAN. ACTUAL</t>
  </si>
  <si>
    <t>REMARKS</t>
  </si>
  <si>
    <t>70002</t>
  </si>
  <si>
    <t>PRINTING ADRITE RIBBON INK MEDIUM/BLACK</t>
  </si>
  <si>
    <t>70180</t>
  </si>
  <si>
    <t>PRINTING ADVENTURE PLASTIC ENVELOPE LONG</t>
  </si>
  <si>
    <t>70181</t>
  </si>
  <si>
    <t>PRINTING ADVENTURE PLASTIC ENVELOPE W/ HANDLE LONG</t>
  </si>
  <si>
    <t>70003</t>
  </si>
  <si>
    <t>PRINTING ARTLINE HIGHLIGHTER ORANGE</t>
  </si>
  <si>
    <t>70006</t>
  </si>
  <si>
    <t>PRINTING ASIAN COLOR BONDPAPER BLUE SHORT</t>
  </si>
  <si>
    <t>70007</t>
  </si>
  <si>
    <t>PRINTING ASIAN COLOR BONDPAPER PINK SHORT</t>
  </si>
  <si>
    <t>70008</t>
  </si>
  <si>
    <t>PRINTING ASSORTED PLASTIC SLIDING FOLDER LONG</t>
  </si>
  <si>
    <t>70009</t>
  </si>
  <si>
    <t>PRINTING ASSORTED PLASTIC SLIDING FOLDER SHORT</t>
  </si>
  <si>
    <t>70278</t>
  </si>
  <si>
    <t>PRINTING BALIK TANGKILIK CARD</t>
  </si>
  <si>
    <t>70010</t>
  </si>
  <si>
    <t>PRINTING BALLPEN HBW GREEN</t>
  </si>
  <si>
    <t>70011</t>
  </si>
  <si>
    <t>PRINTING BALLPEN HBW MATRIX BLUE</t>
  </si>
  <si>
    <t>70012</t>
  </si>
  <si>
    <t>PRINTING BALLPEN HBW MATRIX RED</t>
  </si>
  <si>
    <t>70314</t>
  </si>
  <si>
    <t>PRINTING BALLPEN HBW MATRIX RED - 2</t>
  </si>
  <si>
    <t>70013</t>
  </si>
  <si>
    <t>PRINTING BALLPEN PIANO BLACK</t>
  </si>
  <si>
    <t>70179</t>
  </si>
  <si>
    <t>PRINTING BEIFA PXSTICK BALLPEN BLACK</t>
  </si>
  <si>
    <t>70014</t>
  </si>
  <si>
    <t>PRINTING BINDER CLIPS 1 INCH</t>
  </si>
  <si>
    <t>70307</t>
  </si>
  <si>
    <t>PRINTING BINDER CLIPS 2 INCHES - 2</t>
  </si>
  <si>
    <t>70264</t>
  </si>
  <si>
    <t>PRINTING BLUE CAP W/ EMBROIDERY</t>
  </si>
  <si>
    <t>70016</t>
  </si>
  <si>
    <t xml:space="preserve">PRINTING BONUS LONG </t>
  </si>
  <si>
    <t>70017</t>
  </si>
  <si>
    <t>PRINTING BONUS SHORT</t>
  </si>
  <si>
    <t>70126</t>
  </si>
  <si>
    <t>PRINTING BP-S-F FINE BALLPEN BLUE</t>
  </si>
  <si>
    <t>70018</t>
  </si>
  <si>
    <t>PRINTING BROWN ENVELOPE LONG</t>
  </si>
  <si>
    <t>70021</t>
  </si>
  <si>
    <t xml:space="preserve">PRINTING BROWN ENVELOPE SHORT W/ ASKI LETTER HEAD </t>
  </si>
  <si>
    <t>70223</t>
  </si>
  <si>
    <t>PRINTING CALLING CARD</t>
  </si>
  <si>
    <t>70022</t>
  </si>
  <si>
    <t>PRINTING CASIO CALCULATOR</t>
  </si>
  <si>
    <t>70023</t>
  </si>
  <si>
    <t>PRINTING CATALOGUE ENVELOPE 1/2 SIZE</t>
  </si>
  <si>
    <t>70024</t>
  </si>
  <si>
    <t>PRINTING CATTLEYA NOTE LARGE</t>
  </si>
  <si>
    <t>70025</t>
  </si>
  <si>
    <t>PRINTING CATTLEYA NOTE MEDIUM</t>
  </si>
  <si>
    <t>70026</t>
  </si>
  <si>
    <t>PRINTING CATTLEYA NOTE SMALL</t>
  </si>
  <si>
    <t>70219</t>
  </si>
  <si>
    <t>PRINTING CDLM WHITE POLO SHIRT W/ EMBROIDERY</t>
  </si>
  <si>
    <t>70027</t>
  </si>
  <si>
    <t>PRINTING CLEAR FOLDER LONG</t>
  </si>
  <si>
    <t>70028</t>
  </si>
  <si>
    <t>PRINTING CLEAR FOLDER SHORT</t>
  </si>
  <si>
    <t>70170</t>
  </si>
  <si>
    <t>PRINTING CLIENTS ID</t>
  </si>
  <si>
    <t>70029</t>
  </si>
  <si>
    <t>PRINTING CLUB CARBON COPY Short</t>
  </si>
  <si>
    <t>70243</t>
  </si>
  <si>
    <t>PRINTING COKE RED T-SHIRT W/ DTF PRINT</t>
  </si>
  <si>
    <t>70030</t>
  </si>
  <si>
    <t>PRINTING COLORED BOND PAPER PINK LONG</t>
  </si>
  <si>
    <t>70031</t>
  </si>
  <si>
    <t>PRINTING COLORED PAPER ORANGE SHORT</t>
  </si>
  <si>
    <t>70033</t>
  </si>
  <si>
    <t xml:space="preserve">PRINTING COLUMNAR 12 COLUMNS </t>
  </si>
  <si>
    <t>70034</t>
  </si>
  <si>
    <t xml:space="preserve">PRINTING COLUMNAR 14 COLUMNS </t>
  </si>
  <si>
    <t>70035</t>
  </si>
  <si>
    <t>PRINTING COLUMNAR 16 COLUMNS</t>
  </si>
  <si>
    <t>70036</t>
  </si>
  <si>
    <t>PRINTING COLUMNAR 3 COLUMNS</t>
  </si>
  <si>
    <t>70037</t>
  </si>
  <si>
    <t>PRINTING COLUMNAR 8 COLUMNS</t>
  </si>
  <si>
    <t>70038</t>
  </si>
  <si>
    <t>PRINTING COMPOSITION NOTEBOOK</t>
  </si>
  <si>
    <t>70039</t>
  </si>
  <si>
    <t>PRINTING CONT. FORM 11X8 1/2 1 PLY</t>
  </si>
  <si>
    <t>70041</t>
  </si>
  <si>
    <t>PRINTING CONT. FORM 11X8 1/2 3 PLY</t>
  </si>
  <si>
    <t>70042</t>
  </si>
  <si>
    <t>PRINTING CONT. FORM 11X9 1/2 1 PLY</t>
  </si>
  <si>
    <t>70231</t>
  </si>
  <si>
    <t>PRINTING CONT. FORM 11X9 1/2 3 PLY</t>
  </si>
  <si>
    <t>70043</t>
  </si>
  <si>
    <t>PRINTING CONT. FORM CARBONLESS 11X9 1/2 2 PLY</t>
  </si>
  <si>
    <t>70044</t>
  </si>
  <si>
    <t>PRINTING CONT. FORM CARBONLESS 11X9 1/2 3 PLY</t>
  </si>
  <si>
    <t>70294</t>
  </si>
  <si>
    <t>PRINTING CORRECTION TAPE 10M</t>
  </si>
  <si>
    <t>70047</t>
  </si>
  <si>
    <t>PRINTING CRAYONS 16PCS</t>
  </si>
  <si>
    <t>70048</t>
  </si>
  <si>
    <t>PRINTING CRAYONS 24PCS</t>
  </si>
  <si>
    <t>70046</t>
  </si>
  <si>
    <t>PRINTING CRAYONS 8PCS</t>
  </si>
  <si>
    <t>70049</t>
  </si>
  <si>
    <t>PRINTING CREST REFILL RIBBON</t>
  </si>
  <si>
    <t>70268</t>
  </si>
  <si>
    <t>PRINTING CUTTER BLADE BIG</t>
  </si>
  <si>
    <t>70274</t>
  </si>
  <si>
    <t>PRINTING CUTTER HEAVY DUTY</t>
  </si>
  <si>
    <t>70051</t>
  </si>
  <si>
    <t>PRINTING DATE STAMP PAID</t>
  </si>
  <si>
    <t>70052</t>
  </si>
  <si>
    <t>PRINTING DATE STAMP RECEIVED</t>
  </si>
  <si>
    <t>70054</t>
  </si>
  <si>
    <t>PRINTING DOUBLE SIDED TAPE</t>
  </si>
  <si>
    <t>70055</t>
  </si>
  <si>
    <t>PRINTING DTR</t>
  </si>
  <si>
    <t>70269</t>
  </si>
  <si>
    <t>PRINTING ELMERS GLUE 130G</t>
  </si>
  <si>
    <t>70057</t>
  </si>
  <si>
    <t>PRINTING ELMERS GLUE ALL 40G</t>
  </si>
  <si>
    <t>70214</t>
  </si>
  <si>
    <t>PRINTING ENVELOPE 7 1/2</t>
  </si>
  <si>
    <t>70020</t>
  </si>
  <si>
    <t>PRINTING ENVELOPE LONG W/ ASKI LETTER HEAD</t>
  </si>
  <si>
    <t>70058</t>
  </si>
  <si>
    <t>PRINTING ERASER</t>
  </si>
  <si>
    <t>70060</t>
  </si>
  <si>
    <t>PRINTING EXPANDING ENVELOPE BROWN SHORT</t>
  </si>
  <si>
    <t>70061</t>
  </si>
  <si>
    <t>PRINTING EXPANDING ENVELOPE GREEN SHORT</t>
  </si>
  <si>
    <t>70063</t>
  </si>
  <si>
    <t>PRINTING EXPANDING ENVELOPE SHORT VIOLET</t>
  </si>
  <si>
    <t>70311</t>
  </si>
  <si>
    <t>PRINTING EXPANDING FOLDER GREEN LONG - 2</t>
  </si>
  <si>
    <t>70066</t>
  </si>
  <si>
    <t>PRINTING EXPANDING FOLDER GREEN SHORT</t>
  </si>
  <si>
    <t>70067</t>
  </si>
  <si>
    <t>PRINTING EXPANDING FOLDER LIGHT BLUE LONG</t>
  </si>
  <si>
    <t>70068</t>
  </si>
  <si>
    <t>PRINTING EXPANDING FOLDER ORANGE LONG</t>
  </si>
  <si>
    <t>70069</t>
  </si>
  <si>
    <t>PRINTING EXPANDING FOLDER PINK LONG</t>
  </si>
  <si>
    <t>70070</t>
  </si>
  <si>
    <t>PRINTING EXPANDING FOLDER PINK SHORT</t>
  </si>
  <si>
    <t>70297</t>
  </si>
  <si>
    <t>PRINTING EXPANDING FOLDER PINK SHORT - 2</t>
  </si>
  <si>
    <t>70071</t>
  </si>
  <si>
    <t>PRINTING EXPANDING FOLDER RED LONG</t>
  </si>
  <si>
    <t>70072</t>
  </si>
  <si>
    <t>PRINTING EXPANDING FOLDER RED SHORT</t>
  </si>
  <si>
    <t>70073</t>
  </si>
  <si>
    <t>PRINTING EXPANDING FOLDER ROYAL BLUE LONG</t>
  </si>
  <si>
    <t>70312</t>
  </si>
  <si>
    <t>PRINTING EXPANDING FOLDER ROYAL BLUE LONG - 2</t>
  </si>
  <si>
    <t>70313</t>
  </si>
  <si>
    <t>PRINTING EXPANDING FOLDER ROYAL BLUE SHORT - 2</t>
  </si>
  <si>
    <t>70074</t>
  </si>
  <si>
    <t>PRINTING EXPANDING FOLDER YELLOW LONG</t>
  </si>
  <si>
    <t>70077</t>
  </si>
  <si>
    <t>PRINTING FASTENER GATOR 8 1/2 SIZE</t>
  </si>
  <si>
    <t>70075</t>
  </si>
  <si>
    <t>PRINTING FASTENER HOT ARTS 70MM</t>
  </si>
  <si>
    <t>70234</t>
  </si>
  <si>
    <t>PRINTING FFNE POLO SHIRT M-2XL</t>
  </si>
  <si>
    <t>70249</t>
  </si>
  <si>
    <t>PRINTING FILE BOX</t>
  </si>
  <si>
    <t>70078</t>
  </si>
  <si>
    <t>PRINTING FILE RACK</t>
  </si>
  <si>
    <t>70079</t>
  </si>
  <si>
    <t>PRINTING FOLDER BROWN SHORT</t>
  </si>
  <si>
    <t>70080</t>
  </si>
  <si>
    <t>PRINTING FOLDER LONG BLUE</t>
  </si>
  <si>
    <t>70081</t>
  </si>
  <si>
    <t>PRINTING FOLDER LONG GREEN</t>
  </si>
  <si>
    <t>70266</t>
  </si>
  <si>
    <t>PRINTING FOLDER LONG ORANGE</t>
  </si>
  <si>
    <t>70082</t>
  </si>
  <si>
    <t>PRINTING FOLDER LONG PINK</t>
  </si>
  <si>
    <t>70083</t>
  </si>
  <si>
    <t>PRINTING FOLDER LONG RED</t>
  </si>
  <si>
    <t>70084</t>
  </si>
  <si>
    <t>PRINTING FOLDER LONG VIOLET</t>
  </si>
  <si>
    <t>70085</t>
  </si>
  <si>
    <t>PRINTING FOLDER LONG WHITE</t>
  </si>
  <si>
    <t>70086</t>
  </si>
  <si>
    <t>PRINTING FOLDER LONG YELLOW</t>
  </si>
  <si>
    <t>70087</t>
  </si>
  <si>
    <t>PRINTING FOLDER SHORT RED</t>
  </si>
  <si>
    <t>70088</t>
  </si>
  <si>
    <t>PRINTING FOLDER SHORT WHITE</t>
  </si>
  <si>
    <t>70089</t>
  </si>
  <si>
    <t>PRINTING FOLDER SHORT YELLOW</t>
  </si>
  <si>
    <t>70173</t>
  </si>
  <si>
    <t>PRINTING FORMS BONUS LONG</t>
  </si>
  <si>
    <t>70176</t>
  </si>
  <si>
    <t>PRINTING FORMS PERFECT PRINT LONG</t>
  </si>
  <si>
    <t>70175</t>
  </si>
  <si>
    <t>PRINTING FORMS PERFECT PRINT LONG B2B</t>
  </si>
  <si>
    <t>70239</t>
  </si>
  <si>
    <t>PRINTING FRAME 12X9</t>
  </si>
  <si>
    <t>70238</t>
  </si>
  <si>
    <t>PRINTING FRAME 18X24</t>
  </si>
  <si>
    <t>70090</t>
  </si>
  <si>
    <t>PRINTING FULLMARK INK FILM</t>
  </si>
  <si>
    <t>70306</t>
  </si>
  <si>
    <t>PRINTING GATOR CORRECTION TAPE</t>
  </si>
  <si>
    <t>70091</t>
  </si>
  <si>
    <t>PRINTING GATOR RUBBERBOND</t>
  </si>
  <si>
    <t>70092</t>
  </si>
  <si>
    <t>PRINTING GOLDEN LION RUBBERBOND</t>
  </si>
  <si>
    <t>70283</t>
  </si>
  <si>
    <t>PRINTING HBW MATRIX BLACK</t>
  </si>
  <si>
    <t>70093</t>
  </si>
  <si>
    <t>PRINTING HBW STAMP PAD INK - RED</t>
  </si>
  <si>
    <t>70143</t>
  </si>
  <si>
    <t>PRINTING HEAVY DUTY PUNCHER</t>
  </si>
  <si>
    <t>70198</t>
  </si>
  <si>
    <t>PRINTING INTERMEDIATE PAD</t>
  </si>
  <si>
    <t>70260</t>
  </si>
  <si>
    <t>PRINTING JACKET BURDA NAME ONLY</t>
  </si>
  <si>
    <t>70227</t>
  </si>
  <si>
    <t>PRINTING JACKET BURDA ONLY-FRONT&amp;BACK</t>
  </si>
  <si>
    <t>70094</t>
  </si>
  <si>
    <t>PRINTING JOURNAL</t>
  </si>
  <si>
    <t>70095</t>
  </si>
  <si>
    <t>PRINTING JOY CRAYONS BY 16</t>
  </si>
  <si>
    <t>70229</t>
  </si>
  <si>
    <t>PRINTING KOOPLYMPICS GRAY SHIRT</t>
  </si>
  <si>
    <t>70099</t>
  </si>
  <si>
    <t>PRINTING KRISTAL TYPEWRITING PAPER LONG</t>
  </si>
  <si>
    <t>70100</t>
  </si>
  <si>
    <t>PRINTING KRISTAL TYPEWRITING PAPER SHORT</t>
  </si>
  <si>
    <t>70259</t>
  </si>
  <si>
    <t>PRINTING LAMINATE FILM LETTER SIZE 250MIC</t>
  </si>
  <si>
    <t>70101</t>
  </si>
  <si>
    <t>PRINTING LAMINATING FILM</t>
  </si>
  <si>
    <t>70102</t>
  </si>
  <si>
    <t>PRINTING LAMINATING FILM SEAL PLUS</t>
  </si>
  <si>
    <t>70103</t>
  </si>
  <si>
    <t>PRINTING MAGIC TOUCH NOTEBOOK</t>
  </si>
  <si>
    <t>70104</t>
  </si>
  <si>
    <t>PRINTING MAGIC TOUCH NOTEBOOK GRADE 1</t>
  </si>
  <si>
    <t>70105</t>
  </si>
  <si>
    <t>PRINTING MARVY HIGHLIGHTER</t>
  </si>
  <si>
    <t>70106</t>
  </si>
  <si>
    <t>PRINTING MASKING TAPE</t>
  </si>
  <si>
    <t>70107</t>
  </si>
  <si>
    <t>PRINTING MATHEMATICS NOTEBOOK</t>
  </si>
  <si>
    <t>70233</t>
  </si>
  <si>
    <t>PRINTING MBA MUG WITH UV STICKER</t>
  </si>
  <si>
    <t>70108</t>
  </si>
  <si>
    <t>PRINTING MIMEO PAPER UNIVERSAL GROUND BONDPAPER</t>
  </si>
  <si>
    <t>70110</t>
  </si>
  <si>
    <t>PRINTING MY GEL REFILL 0.5</t>
  </si>
  <si>
    <t>70111</t>
  </si>
  <si>
    <t>PRINTING MY GEL REFILL 0.7</t>
  </si>
  <si>
    <t>70112</t>
  </si>
  <si>
    <t>PRINTING MY GEL SIGNPEN BLACK 0.5</t>
  </si>
  <si>
    <t>70113</t>
  </si>
  <si>
    <t>PRINTING MY GEL SIGNPEN BLACK 0.7</t>
  </si>
  <si>
    <t>70114</t>
  </si>
  <si>
    <t>PRINTING OFFICE PRO A4</t>
  </si>
  <si>
    <t>70116</t>
  </si>
  <si>
    <t>PRINTING OKI CARTRIDGE RIBBON</t>
  </si>
  <si>
    <t>70122</t>
  </si>
  <si>
    <t>PRINTING OLDTOWN CARBON PAPER LONG</t>
  </si>
  <si>
    <t>70193</t>
  </si>
  <si>
    <t>PRINTING PACKAGING TAPE CLEAR</t>
  </si>
  <si>
    <t>70194</t>
  </si>
  <si>
    <t>PRINTING PACKAGING TAPE TAN</t>
  </si>
  <si>
    <t>70195</t>
  </si>
  <si>
    <t>PRINTING PANDA SUPER BALLPEN BLACK</t>
  </si>
  <si>
    <t>70118</t>
  </si>
  <si>
    <t>PRINTING PAPER GRADE 1</t>
  </si>
  <si>
    <t>70119</t>
  </si>
  <si>
    <t>PRINTING PAPER GRADE 2</t>
  </si>
  <si>
    <t>70120</t>
  </si>
  <si>
    <t>PRINTING PAPER GRADE 3</t>
  </si>
  <si>
    <t>70121</t>
  </si>
  <si>
    <t>PRINTING PAPER GRADE 4</t>
  </si>
  <si>
    <t>70286</t>
  </si>
  <si>
    <t>PRINTING PERFECT PRINT A4</t>
  </si>
  <si>
    <t>70123</t>
  </si>
  <si>
    <t>PRINTING PERFECT PRINT LONG</t>
  </si>
  <si>
    <t>70124</t>
  </si>
  <si>
    <t>PRINTING PERFECT PRINT SHORT</t>
  </si>
  <si>
    <t>70125</t>
  </si>
  <si>
    <t>PRINTING PILOT BP-S-F FINE BALLPEN BLACK</t>
  </si>
  <si>
    <t>70127</t>
  </si>
  <si>
    <t>PRINTING PILOT MARKER BLACK</t>
  </si>
  <si>
    <t>70128</t>
  </si>
  <si>
    <t>PRINTING PILOT MARKER BLUE</t>
  </si>
  <si>
    <t>70129</t>
  </si>
  <si>
    <t>PRINTING PILOT MARKER RED</t>
  </si>
  <si>
    <t>70130</t>
  </si>
  <si>
    <t>PRINTING PILOT SUPER COLOR MARKER REFILL INK</t>
  </si>
  <si>
    <t>70131</t>
  </si>
  <si>
    <t>PRINTING PILOT WYTEBOARD MARKER BLACK</t>
  </si>
  <si>
    <t>70132</t>
  </si>
  <si>
    <t>PRINTING PILOT WYTEBOARD MARKER BLUE</t>
  </si>
  <si>
    <t>70133</t>
  </si>
  <si>
    <t>PRINTING PILOT WYTEBOARD MARKER RED</t>
  </si>
  <si>
    <t>70172</t>
  </si>
  <si>
    <t>PRINTING PLASTIC CASE OF CALLING CARDS</t>
  </si>
  <si>
    <t>70134</t>
  </si>
  <si>
    <t>PRINTING PLASTIC ENVELOPE SHORT</t>
  </si>
  <si>
    <t>70246</t>
  </si>
  <si>
    <t>PRINTING PLASTIC FOLDER GREEN LONG</t>
  </si>
  <si>
    <t>70135</t>
  </si>
  <si>
    <t>PRINTING PLASTIC FOLDER ORANGE LONG</t>
  </si>
  <si>
    <t>70136</t>
  </si>
  <si>
    <t>PRINTING PLASTIC FOLDER PINK LONG</t>
  </si>
  <si>
    <t>70137</t>
  </si>
  <si>
    <t>PRINTING PLASTIC FOLDER RED LONG</t>
  </si>
  <si>
    <t>70310</t>
  </si>
  <si>
    <t>PRINTING PLASTIC FOLDER YELLOW LONG - 2</t>
  </si>
  <si>
    <t>70237</t>
  </si>
  <si>
    <t>PRINTING POSTER 12X9</t>
  </si>
  <si>
    <t>70236</t>
  </si>
  <si>
    <t>PRINTING POSTER 18X24</t>
  </si>
  <si>
    <t>70140</t>
  </si>
  <si>
    <t>PRINTING PPC PAPER 70 GSM SHORT</t>
  </si>
  <si>
    <t>70197</t>
  </si>
  <si>
    <t>PRINTING PUSH PINS 50</t>
  </si>
  <si>
    <t>70171</t>
  </si>
  <si>
    <t>PRINTING PVC CARDS</t>
  </si>
  <si>
    <t>70265</t>
  </si>
  <si>
    <t>PRINTING ROLL UP STAND 3X7</t>
  </si>
  <si>
    <t>70144</t>
  </si>
  <si>
    <t>PRINTING RULER JOY</t>
  </si>
  <si>
    <t>70203</t>
  </si>
  <si>
    <t>PRINTING SAMPLE UNSTOPPABLE POLO SHIRT</t>
  </si>
  <si>
    <t>70145</t>
  </si>
  <si>
    <t>PRINTING SCISSOR</t>
  </si>
  <si>
    <t>70315</t>
  </si>
  <si>
    <t>PRINTING SCISSOR - 2</t>
  </si>
  <si>
    <t>70305</t>
  </si>
  <si>
    <t>PRINTING SCOTCH TAPE 1- 2</t>
  </si>
  <si>
    <t>70271</t>
  </si>
  <si>
    <t>PRINTING SHINY RECORD BOOK 150 PAGES</t>
  </si>
  <si>
    <t>70273</t>
  </si>
  <si>
    <t>PRINTING SHINY RECORD BOOK 500 PAGES</t>
  </si>
  <si>
    <t>70196</t>
  </si>
  <si>
    <t>PRINTING SOFTCARD ID HOLDER</t>
  </si>
  <si>
    <t>70149</t>
  </si>
  <si>
    <t>PRINTING SPIRAL WRITING NOTEBOOK</t>
  </si>
  <si>
    <t>70191</t>
  </si>
  <si>
    <t>PRINTING STABILO BOSS HIGHLIGHTER</t>
  </si>
  <si>
    <t>70150</t>
  </si>
  <si>
    <t>PRINTING STAINLESS FASTENER</t>
  </si>
  <si>
    <t>70004</t>
  </si>
  <si>
    <t>PRINTING STAMP PAD INK PURPLE</t>
  </si>
  <si>
    <t>70151</t>
  </si>
  <si>
    <t>PRINTING STAMP PAD NO. 3 VIOLET INK</t>
  </si>
  <si>
    <t>70153</t>
  </si>
  <si>
    <t>PRINTING STAPLE WIRE #35 MAX</t>
  </si>
  <si>
    <t>70295</t>
  </si>
  <si>
    <t>PRINTING STAPLE WIRE #35 MAX - 2</t>
  </si>
  <si>
    <t>70154</t>
  </si>
  <si>
    <t>PRINTING STAPLER HD-50R/ML</t>
  </si>
  <si>
    <t>70298</t>
  </si>
  <si>
    <t>PRINTING STAPLER HD-50R/ML W/ REMOVER</t>
  </si>
  <si>
    <t>70158</t>
  </si>
  <si>
    <t>PRINTING STICKER PAPER GLOSSY</t>
  </si>
  <si>
    <t>70270</t>
  </si>
  <si>
    <t>PRINTING STICKER PAPER MATTE</t>
  </si>
  <si>
    <t>70293</t>
  </si>
  <si>
    <t>PRINTING STICKY NOTE - 2</t>
  </si>
  <si>
    <t>70155</t>
  </si>
  <si>
    <t>PRINTING TAPE DISPENSER</t>
  </si>
  <si>
    <t>70230</t>
  </si>
  <si>
    <t>PRINTING TARPAULIN 1.5X2</t>
  </si>
  <si>
    <t>70182</t>
  </si>
  <si>
    <t>PRINTING TARPAULIN 1.5X2FT</t>
  </si>
  <si>
    <t>70255</t>
  </si>
  <si>
    <t>PRINTING TARPAULIN 12X18 W/ FRAME</t>
  </si>
  <si>
    <t>70235</t>
  </si>
  <si>
    <t>PRINTING TARPAULIN 1X2FT</t>
  </si>
  <si>
    <t>70183</t>
  </si>
  <si>
    <t>PRINTING TARPAULIN 3X6FT</t>
  </si>
  <si>
    <t>70156</t>
  </si>
  <si>
    <t>PRINTING UK OFFICE STAPLE WIRE #10</t>
  </si>
  <si>
    <t>70157</t>
  </si>
  <si>
    <t>PRINTING UK OFFICE STAPLER</t>
  </si>
  <si>
    <t>70160</t>
  </si>
  <si>
    <t>PRINTING VINYL PAPER CLIPS 33MM</t>
  </si>
  <si>
    <t>70316</t>
  </si>
  <si>
    <t>PRINTING VINYL PAPER CLIPS 33MM - 2</t>
  </si>
  <si>
    <t>70159</t>
  </si>
  <si>
    <t>PRINTING VINYL PAPER CLIPS 50MM</t>
  </si>
  <si>
    <t>70161</t>
  </si>
  <si>
    <t>PRINTING VISION RECORD BOOK TABLET SIZE 150</t>
  </si>
  <si>
    <t>70162</t>
  </si>
  <si>
    <t>PRINTING VISION RECORD BOOK TABLET SIZE 300</t>
  </si>
  <si>
    <t>70163</t>
  </si>
  <si>
    <t>PRINTING VISION RECORD BOOK TABLET SIZE 500</t>
  </si>
  <si>
    <t>70164</t>
  </si>
  <si>
    <t>PRINTING WATER WELL PASTE REDSTONE</t>
  </si>
  <si>
    <t>70165</t>
  </si>
  <si>
    <t>PRINTING WHITE ENVELOPE SOBRE INVITATION</t>
  </si>
  <si>
    <t>70166</t>
  </si>
  <si>
    <t>PRINTING WHITE ENVELOPE SOBRE LONG</t>
  </si>
  <si>
    <t>70167</t>
  </si>
  <si>
    <t>PRINTING WHITE ENVELOPE SOBRE SHORT</t>
  </si>
  <si>
    <t>70213</t>
  </si>
  <si>
    <t>PRINTING WINDOW ENVELOPE LONG</t>
  </si>
  <si>
    <t>70168</t>
  </si>
  <si>
    <t>PRINTING WORX BONDPAPER LONG</t>
  </si>
  <si>
    <t>70169</t>
  </si>
  <si>
    <t>PRINTING WORX BONDPAPER SHORT</t>
  </si>
  <si>
    <t>70199</t>
  </si>
  <si>
    <t>PRINTING YELLOW RULED PAD</t>
  </si>
  <si>
    <t>70212</t>
  </si>
  <si>
    <t>70318</t>
  </si>
  <si>
    <t>70319</t>
  </si>
  <si>
    <t>70323</t>
  </si>
  <si>
    <t>70322</t>
  </si>
  <si>
    <t>70174</t>
  </si>
  <si>
    <t>PRINTING ASKI MPC BOD &amp; GA TARPAULIN 1.5X2FT</t>
  </si>
  <si>
    <t>PRINTING BROWN ENVELOPE - SHORT</t>
  </si>
  <si>
    <t>PRINTING CATALOGUE ENVELOPE 1/2 SIZE -2</t>
  </si>
  <si>
    <t>PRINTING EXPANDING FOLDER  LONG-2</t>
  </si>
  <si>
    <t>PRINTING EXPANDING FOLDER PINK LONG -2</t>
  </si>
  <si>
    <t>PRINTING FORMS BONUS SHORT</t>
  </si>
  <si>
    <t>4800631001928</t>
  </si>
  <si>
    <t>4809011681392</t>
  </si>
  <si>
    <t>4809011681095</t>
  </si>
  <si>
    <t>4809011681507</t>
  </si>
  <si>
    <t>4800631681311</t>
  </si>
  <si>
    <t>4800631000419</t>
  </si>
  <si>
    <t>4809011681378</t>
  </si>
  <si>
    <t>4809011681194</t>
  </si>
  <si>
    <t>4800631000488</t>
  </si>
  <si>
    <t>4800631001867</t>
  </si>
  <si>
    <t>4800194104128</t>
  </si>
  <si>
    <t>4800216125919</t>
  </si>
  <si>
    <t>4800216121041</t>
  </si>
  <si>
    <t>4800216121058</t>
  </si>
  <si>
    <t>4800216121911</t>
  </si>
  <si>
    <t>4800216122437</t>
  </si>
  <si>
    <t>4800016115424</t>
  </si>
  <si>
    <t>4800016110535</t>
  </si>
  <si>
    <t>4800016110511</t>
  </si>
  <si>
    <t>4800016110542</t>
  </si>
  <si>
    <t>4800016110528</t>
  </si>
  <si>
    <t>4806505854423</t>
  </si>
  <si>
    <t>4806505854225</t>
  </si>
  <si>
    <t>4806505854232</t>
  </si>
  <si>
    <t>4806505854416</t>
  </si>
  <si>
    <t>4800016115011</t>
  </si>
  <si>
    <t>4800016115257</t>
  </si>
  <si>
    <t>4800016643095</t>
  </si>
  <si>
    <t>4800016642029</t>
  </si>
  <si>
    <t>4800194117326</t>
  </si>
  <si>
    <t>4800216110045</t>
  </si>
  <si>
    <t>4800216120013</t>
  </si>
  <si>
    <t>4800216110069</t>
  </si>
  <si>
    <t>4800216110014</t>
  </si>
  <si>
    <t>4800216126800</t>
  </si>
  <si>
    <t>4800194116114</t>
  </si>
  <si>
    <t>4800092772214</t>
  </si>
  <si>
    <t>4800092331909</t>
  </si>
  <si>
    <t>4800092330131</t>
  </si>
  <si>
    <t>4800092771187</t>
  </si>
  <si>
    <t>4800092771446</t>
  </si>
  <si>
    <t>4800016138515</t>
  </si>
  <si>
    <t>4800016138546</t>
  </si>
  <si>
    <t>4800016138560</t>
  </si>
  <si>
    <t>4800054111228</t>
  </si>
  <si>
    <t>4800054111280</t>
  </si>
  <si>
    <t>4800054124280</t>
  </si>
  <si>
    <t>4800054123221</t>
  </si>
  <si>
    <t>4800054123283</t>
  </si>
  <si>
    <t>4800054126284</t>
  </si>
  <si>
    <t>4800054113284</t>
  </si>
  <si>
    <t>4800054121227</t>
  </si>
  <si>
    <t>4800054121289</t>
  </si>
  <si>
    <t>4800054125225</t>
  </si>
  <si>
    <t>4800054125287</t>
  </si>
  <si>
    <t>4800054112225</t>
  </si>
  <si>
    <t>4800054112287</t>
  </si>
  <si>
    <t>4800054122224</t>
  </si>
  <si>
    <t>4800054122286</t>
  </si>
  <si>
    <t>4800016680540</t>
  </si>
  <si>
    <t>4800016680267</t>
  </si>
  <si>
    <t>4800194152839</t>
  </si>
  <si>
    <t>4800194179836</t>
  </si>
  <si>
    <t>4800194179904</t>
  </si>
  <si>
    <t>4800194152891</t>
  </si>
  <si>
    <t>4800016652035</t>
  </si>
  <si>
    <t>4800016666445</t>
  </si>
  <si>
    <t>4800016653094</t>
  </si>
  <si>
    <t>4800361028639</t>
  </si>
  <si>
    <t>4800016663802</t>
  </si>
  <si>
    <t>4800016663505</t>
  </si>
  <si>
    <t>4800194104913</t>
  </si>
  <si>
    <t>4800194150675</t>
  </si>
  <si>
    <t>4800194116084</t>
  </si>
  <si>
    <t>897399001028</t>
  </si>
  <si>
    <t>4800194104869</t>
  </si>
  <si>
    <t>4800194177863</t>
  </si>
  <si>
    <t>4800194116619</t>
  </si>
  <si>
    <t>4800194136648</t>
  </si>
  <si>
    <t>4800194179898</t>
  </si>
  <si>
    <t>4800194115247</t>
  </si>
  <si>
    <t>4800194104982</t>
  </si>
  <si>
    <t>4800194116466</t>
  </si>
  <si>
    <t>4800194114462</t>
  </si>
  <si>
    <t>4800194152327</t>
  </si>
  <si>
    <t>4800194152709</t>
  </si>
  <si>
    <t>4800194115063</t>
  </si>
  <si>
    <t>4800194104777</t>
  </si>
  <si>
    <t>4800194177771</t>
  </si>
  <si>
    <t>4800194131230</t>
  </si>
  <si>
    <t>4800194104968</t>
  </si>
  <si>
    <t>4800194177962</t>
  </si>
  <si>
    <t>4800194116169</t>
  </si>
  <si>
    <t>4800194178167</t>
  </si>
  <si>
    <t>4800194152679</t>
  </si>
  <si>
    <t>888123456782008</t>
  </si>
  <si>
    <t>4800016644801</t>
  </si>
  <si>
    <t>4800016644504</t>
  </si>
  <si>
    <t>4800016633782</t>
  </si>
  <si>
    <t>4800016633799</t>
  </si>
  <si>
    <t>4800016665271</t>
  </si>
  <si>
    <t>4800016671500</t>
  </si>
  <si>
    <t>4800016671807</t>
  </si>
  <si>
    <t>4800016635250</t>
  </si>
  <si>
    <t>4800016622533</t>
  </si>
  <si>
    <t>4800016625534</t>
  </si>
  <si>
    <t>4800194101783</t>
  </si>
  <si>
    <t>4800194101585</t>
  </si>
  <si>
    <t>4800016661099</t>
  </si>
  <si>
    <t>4800016661006</t>
  </si>
  <si>
    <t>4800194117180</t>
  </si>
  <si>
    <t>4800016138577</t>
  </si>
  <si>
    <t>4800016603259</t>
  </si>
  <si>
    <t>BOY BAWANG ASSORTED NUTS 85G</t>
  </si>
  <si>
    <t>BOY BAWANG CHILI CHEESE 100G</t>
  </si>
  <si>
    <t>BOY BAWANG CORNICK ADOBO 100G</t>
  </si>
  <si>
    <t>BOY BAWANG CORNICK BBQ FLAVOR 100G</t>
  </si>
  <si>
    <t>BOY BAWANG CORNICK LECHON MANOK FLAVOR</t>
  </si>
  <si>
    <t>BOY BAWANG CRACKER NUTS 85G</t>
  </si>
  <si>
    <t>BOY BAWANG GARLIC FLAVOR 100G</t>
  </si>
  <si>
    <t>BOY BAWANG HOT GARLIC 100G</t>
  </si>
  <si>
    <t>BOY BAWANG MIXED NUTS GARLIC FLAVOR 100G</t>
  </si>
  <si>
    <t>BOY BAWANG SNACK MIX W/ REAL GARLIC CHIPS 85G</t>
  </si>
  <si>
    <t>CHEEZ ON CHIPS CHEESE FLAVOR 22G</t>
  </si>
  <si>
    <t>CHEEZY CORN CRUNCH CHEESE 150G</t>
  </si>
  <si>
    <t>CHEEZY CORN CRUNCH CHEESE 24G</t>
  </si>
  <si>
    <t>CHEEZY CORN CRUNCH CHEESE 70G</t>
  </si>
  <si>
    <t>CHEEZY CORN CRUNCH RED HOT 22G</t>
  </si>
  <si>
    <t>CHEEZY CORN CRUNCH RED HOT 70G</t>
  </si>
  <si>
    <t>CHICHARRON NI MANG JUAN KLASIK CHICHARON 90G</t>
  </si>
  <si>
    <t>CHICHARRON NI MANG JUAN PAOMBONG 26G</t>
  </si>
  <si>
    <t>CHICHARRON NI MANG JUAN PAOMBONG 90G</t>
  </si>
  <si>
    <t>CHICHARRON NI MANG JUAN SUKAT SILI 26G</t>
  </si>
  <si>
    <t>CHICHARRON NI MANG JUAN SUKAT SILI 90G</t>
  </si>
  <si>
    <t>CHICK BOY CALIFORNIA CRUNCH ONION &amp; GARLIC FLAVOR 100G</t>
  </si>
  <si>
    <t>CHICK BOY CHEESE FLAVOR 100G</t>
  </si>
  <si>
    <t>CHICK BOY SWEET CORN FLAVOR 100G</t>
  </si>
  <si>
    <t>CHICK BOY TEXAS SMOKED BBQ FLAVOR 100G</t>
  </si>
  <si>
    <t>CHICKN SKIN NI MANG JUAN 17G</t>
  </si>
  <si>
    <t>CHICKN SKIN NI MANG JUAN 70G</t>
  </si>
  <si>
    <t>CHIPPY BBQ FLAVOR 110G</t>
  </si>
  <si>
    <t>CHIPPY BBQ FLAVOR 27G</t>
  </si>
  <si>
    <t>CHOCO FLAKES CEREALS 22G</t>
  </si>
  <si>
    <t>CLOVER CHEESE 145G</t>
  </si>
  <si>
    <t>CLOVER CHEESE 24G</t>
  </si>
  <si>
    <t>CLOVER CHIPS CHEESE 55G</t>
  </si>
  <si>
    <t>CLOVER CHIPS CHEESE 85G</t>
  </si>
  <si>
    <t>CLOVER CHIPS CHILI&amp;CHEESE 55G</t>
  </si>
  <si>
    <t>CORN OLE BARBECUE FLAVOR 22G</t>
  </si>
  <si>
    <t>CRISS CROSS CREAMY CHEESE 20G</t>
  </si>
  <si>
    <t>DING DONG MIXED NUTS HOT N SPICY 100G</t>
  </si>
  <si>
    <t>DING DONG MIXED NUTS PLAIN 100G</t>
  </si>
  <si>
    <t>FUNKY FRENCH FRY SNAX CHEESE FLAVOR 23G</t>
  </si>
  <si>
    <t>FUNKY FRENCH FRY SNAX SPAGHETTI FLAVOR 23G</t>
  </si>
  <si>
    <t>GG TORTILLOS BBQ FLAVOR 100G</t>
  </si>
  <si>
    <t>GG TORTILLOS CHEESE FLAVOR 100G</t>
  </si>
  <si>
    <t>GG TORTILLOS CHEESE FLAVOR 25G</t>
  </si>
  <si>
    <t>GROWERS GARLIC FLAVOR PEANUTS 30G</t>
  </si>
  <si>
    <t>GROWERS GARLIC FLAVOR PEANUTS 80G</t>
  </si>
  <si>
    <t>GROWERS GLAZED PILI NUTS 80G</t>
  </si>
  <si>
    <t>GROWERS MIX NUTS 34G</t>
  </si>
  <si>
    <t>GROWERS MIX NUTS 80G</t>
  </si>
  <si>
    <t>GROWERS ONION &amp; GARLIC ALMONDS 80G</t>
  </si>
  <si>
    <t>GROWERS ORIENTAL FLAVOR PEANUTS 80G</t>
  </si>
  <si>
    <t xml:space="preserve">GROWERS SALTED CASHEW NUTS </t>
  </si>
  <si>
    <t>GROWERS SALTED CASHEW NUTS 80G</t>
  </si>
  <si>
    <t>GROWERS SALTED PISTACHIO NUTS 28G</t>
  </si>
  <si>
    <t>GROWERS SALTED PISTACHIO NUTS 80G</t>
  </si>
  <si>
    <t>GROWERS SAVOURY HOT PEANUT 30G</t>
  </si>
  <si>
    <t>GROWERS SAVOURY HOT PEANUTS 80G</t>
  </si>
  <si>
    <t>GROWERS TOASTED CASHEW NUTS 28G</t>
  </si>
  <si>
    <t>GROWERS TOASTED CASHEW NUTS 80G</t>
  </si>
  <si>
    <t>HONEY BUTTER POTATO CHIPS 22G</t>
  </si>
  <si>
    <t>HONEY BUTTER POTATO CHIPS 60G</t>
  </si>
  <si>
    <t>MARTYS CHICKEN INASAL FLAVOR 26G</t>
  </si>
  <si>
    <t>MARTYS CRACKLIN CHICKEN INASAL FLAVOR 90G</t>
  </si>
  <si>
    <t>MARTYS CRACKLIN SALT &amp; VINEGAR 90G</t>
  </si>
  <si>
    <t>MARTYS SPICY VINEGAR 26G</t>
  </si>
  <si>
    <t>MR CHIPS NACHO CHEESE FLAVOR 26G</t>
  </si>
  <si>
    <t>MR. CHIPS MANAMIS MAIS 45G</t>
  </si>
  <si>
    <t>MR. CHIPS NACHO CHEESE FLAVOR 100G</t>
  </si>
  <si>
    <t>NESTLE KOKO KRUNCH 20G</t>
  </si>
  <si>
    <t>NOVA COUNTRY CHEDDAR 40G</t>
  </si>
  <si>
    <t>NOVA COUNTRY CHEDDAR 78G</t>
  </si>
  <si>
    <t>OHEYA CHEESE FLAVOR 28G</t>
  </si>
  <si>
    <t>OISHI CHOCO SPONGE CRUNCH 120G</t>
  </si>
  <si>
    <t>OISHI CRACKLINGS SALT &amp; VINEGAR 24G</t>
  </si>
  <si>
    <t>OISHI CRACKLINGS SALT &amp; VINEGAR 90G</t>
  </si>
  <si>
    <t>OISHI CRISPY PATATA 24G</t>
  </si>
  <si>
    <t>OISHI CRISPY PATATA 85G</t>
  </si>
  <si>
    <t>OISHI FISH CRACKERS 24G</t>
  </si>
  <si>
    <t>OISHI FISHDA FISH KROPECK 22G</t>
  </si>
  <si>
    <t>OISHI MARTYS CRACKLIN SPICY VINEGAR 90G</t>
  </si>
  <si>
    <t>OISHI MOBSTERS POPCORN CARAMEL &amp; CHEESE</t>
  </si>
  <si>
    <t>OISHI ONION RINGS 16G</t>
  </si>
  <si>
    <t>OISHI PILLOWS CHOCO FLAVOR 38G</t>
  </si>
  <si>
    <t>OISHI PILLOWS CHOCOLATE 150G</t>
  </si>
  <si>
    <t>OISHI PILLOWS UBE-FILLED CRACKERS 38G</t>
  </si>
  <si>
    <t>OISHI PODS PEA SNACK 28G</t>
  </si>
  <si>
    <t>OISHI POTATO CHIPS PLAIN SALTED 60G</t>
  </si>
  <si>
    <t>OISHI POTATO FRIES CHEESE FLAVOR 21G</t>
  </si>
  <si>
    <t>OISHI POTATO FRIES CHEESE FLAVOR 90G</t>
  </si>
  <si>
    <t>OISHI POTATO FRIES PLAIN 90G</t>
  </si>
  <si>
    <t>OISHI PRAWN CRACKERS SPICY FLAVOR 24G</t>
  </si>
  <si>
    <t>OISHI PRAWN CRACKERS SPICY FLAVOR 90G</t>
  </si>
  <si>
    <t>OISHI SPICY SEAFOOD 24G</t>
  </si>
  <si>
    <t>OISHI SPICY SEAFOOD CURLS 90G</t>
  </si>
  <si>
    <t>OISHI SPONGE CRUNCH 30G</t>
  </si>
  <si>
    <t>PANI CORNICK</t>
  </si>
  <si>
    <t>PIATTOS CHEESE 40G</t>
  </si>
  <si>
    <t>PIATTOS CHEESE 85G</t>
  </si>
  <si>
    <t>PIATTOS ROADHOUSE BARBECUE 40G</t>
  </si>
  <si>
    <t>PIATTOS ROADHOUSE BBQ 85G</t>
  </si>
  <si>
    <t>PIATTOS ROASTBEEF 40G</t>
  </si>
  <si>
    <t>PIATTOS SOUR CREAM &amp; ONION 85G</t>
  </si>
  <si>
    <t>PIATTOS SOUR CREAM AND ONION 40G</t>
  </si>
  <si>
    <t>PIC A BBQ OVERLOAD 90G</t>
  </si>
  <si>
    <t>POTATO CHIPS VCUT SPICY BBQ 25G</t>
  </si>
  <si>
    <t>POTATO CHIPS VCUT SPICY BBQ FLAVOR 60G</t>
  </si>
  <si>
    <t>POTATO CRISPS CHEESE FLAVOR 18G</t>
  </si>
  <si>
    <t>POTATO CRISPS CREAMY GARLIC FLAVOR 18G</t>
  </si>
  <si>
    <t>ROLLER COASTER CHEDDAR 85G</t>
  </si>
  <si>
    <t>ROLLER COASTER CHEDDAR CHEESE 24G</t>
  </si>
  <si>
    <t>SHOESTRING POTATOES PLAIN SALTED 20G</t>
  </si>
  <si>
    <t>TORTILLOS CHILI FLAVORED CORN SNACKS 100G</t>
  </si>
  <si>
    <t>VCUT CHEESE 25G</t>
  </si>
  <si>
    <t>18.53</t>
  </si>
  <si>
    <t>16.03</t>
  </si>
  <si>
    <t>17.95</t>
  </si>
  <si>
    <t>32.13</t>
  </si>
  <si>
    <t>6.18</t>
  </si>
  <si>
    <t>51.54</t>
  </si>
  <si>
    <t>7.40</t>
  </si>
  <si>
    <t>26.09</t>
  </si>
  <si>
    <t>27.50</t>
  </si>
  <si>
    <t>17.10</t>
  </si>
  <si>
    <t>6.72</t>
  </si>
  <si>
    <t>6.83</t>
  </si>
  <si>
    <t>19.40</t>
  </si>
  <si>
    <t>17.65</t>
  </si>
  <si>
    <t>6.71</t>
  </si>
  <si>
    <t>17.75</t>
  </si>
  <si>
    <t>18.03</t>
  </si>
  <si>
    <t>22.68</t>
  </si>
  <si>
    <t>23.07</t>
  </si>
  <si>
    <t>51.06</t>
  </si>
  <si>
    <t>7.51</t>
  </si>
  <si>
    <t>22.19</t>
  </si>
  <si>
    <t>31.96</t>
  </si>
  <si>
    <t>21.34</t>
  </si>
  <si>
    <t>5.66</t>
  </si>
  <si>
    <t>19.08</t>
  </si>
  <si>
    <t>23.48</t>
  </si>
  <si>
    <t>6.95</t>
  </si>
  <si>
    <t>12.69</t>
  </si>
  <si>
    <t>34.38</t>
  </si>
  <si>
    <t>99.04</t>
  </si>
  <si>
    <t>25.88</t>
  </si>
  <si>
    <t>61.50</t>
  </si>
  <si>
    <t>97.04</t>
  </si>
  <si>
    <t>36.58</t>
  </si>
  <si>
    <t>30.77</t>
  </si>
  <si>
    <t>90.42</t>
  </si>
  <si>
    <t>41.15</t>
  </si>
  <si>
    <t>114.79</t>
  </si>
  <si>
    <t>88.75</t>
  </si>
  <si>
    <t>15.68</t>
  </si>
  <si>
    <t>39.48</t>
  </si>
  <si>
    <t>19.75</t>
  </si>
  <si>
    <t>5.47</t>
  </si>
  <si>
    <t>7.62</t>
  </si>
  <si>
    <t>20.81</t>
  </si>
  <si>
    <t>11.78</t>
  </si>
  <si>
    <t>15.35</t>
  </si>
  <si>
    <t>32.47</t>
  </si>
  <si>
    <t>37.95</t>
  </si>
  <si>
    <t>21.97</t>
  </si>
  <si>
    <t>6.43</t>
  </si>
  <si>
    <t>15.75</t>
  </si>
  <si>
    <t>8.61</t>
  </si>
  <si>
    <t>30.75</t>
  </si>
  <si>
    <t>22.86</t>
  </si>
  <si>
    <t>60.00</t>
  </si>
  <si>
    <t>15.12</t>
  </si>
  <si>
    <t>31.60</t>
  </si>
  <si>
    <t>33.00</t>
  </si>
  <si>
    <t>31.55</t>
  </si>
  <si>
    <t>13.50</t>
  </si>
  <si>
    <t>15.13</t>
  </si>
  <si>
    <t>31.58</t>
  </si>
  <si>
    <t>15.65</t>
  </si>
  <si>
    <t>34.47</t>
  </si>
  <si>
    <t>2</t>
  </si>
  <si>
    <t>8410028900091</t>
  </si>
  <si>
    <t>8410028902477</t>
  </si>
  <si>
    <t>8410028901210</t>
  </si>
  <si>
    <t>8410028905041</t>
  </si>
  <si>
    <t>8809640030338</t>
  </si>
  <si>
    <t>8809640030659</t>
  </si>
  <si>
    <t>4800220608750</t>
  </si>
  <si>
    <t>4800142118283</t>
  </si>
  <si>
    <t>4800142110102</t>
  </si>
  <si>
    <t>4800142110089</t>
  </si>
  <si>
    <t>8410162100234</t>
  </si>
  <si>
    <t>4800130100030</t>
  </si>
  <si>
    <t>4800130100016</t>
  </si>
  <si>
    <t>4800130121097</t>
  </si>
  <si>
    <t>4800220646851</t>
  </si>
  <si>
    <t>4800220645854</t>
  </si>
  <si>
    <t>4800220604752</t>
  </si>
  <si>
    <t>8410028125906</t>
  </si>
  <si>
    <t>8410028901289</t>
  </si>
  <si>
    <t>ALFONSO I LIGHT 1L 25%VOL</t>
  </si>
  <si>
    <t>ALFONSO I LIGHT 500ML 25%VOL</t>
  </si>
  <si>
    <t>ALFONSO I PLATINUM 1L</t>
  </si>
  <si>
    <t>ALFONSO LIGHT 1L TRIPACK W/ POCARI</t>
  </si>
  <si>
    <t>CHINGU SOJU GRAPE 360ML</t>
  </si>
  <si>
    <t>CHINGU SOJU MANDARIN 360ML</t>
  </si>
  <si>
    <t>EMBASSY PREMIUM BLENDED WHISKY 750ML</t>
  </si>
  <si>
    <t>EMPERADOR DOUBLE LIGHT 750ML</t>
  </si>
  <si>
    <t>EMPERADOR LIGHT 1L</t>
  </si>
  <si>
    <t>EMPERADOR LIGHT 750ML</t>
  </si>
  <si>
    <t>FUNDADOR LIGHT 1L</t>
  </si>
  <si>
    <t>GINEBRA SAN MIGUEL 2X2 350ML</t>
  </si>
  <si>
    <t>GINEBRA SAN MIGUEL 4X4 700ML</t>
  </si>
  <si>
    <t>PRIMERA LIGHT PREMIUM SMOOTH BLEND 750ML</t>
  </si>
  <si>
    <t>TANDUAY FLAVORED MIXES DAIQUIRI 700ML</t>
  </si>
  <si>
    <t>TANDUAY FLAVORED MIXES DARK &amp; STORMY 700ML</t>
  </si>
  <si>
    <t>TANDUAY SELECT BLENDED RUM 700ML</t>
  </si>
  <si>
    <t>VINO FONTANA RED WINE 750ML</t>
  </si>
  <si>
    <t>VINO FONTANA SWEET RED 750ML</t>
  </si>
  <si>
    <t>273.00</t>
  </si>
  <si>
    <t>137.75</t>
  </si>
  <si>
    <t>326.42</t>
  </si>
  <si>
    <t>802.62</t>
  </si>
  <si>
    <t>85.00</t>
  </si>
  <si>
    <t>147.75</t>
  </si>
  <si>
    <t>121.00</t>
  </si>
  <si>
    <t>153.50</t>
  </si>
  <si>
    <t>117.50</t>
  </si>
  <si>
    <t>355.00</t>
  </si>
  <si>
    <t>160.00</t>
  </si>
  <si>
    <t>61.00</t>
  </si>
  <si>
    <t>68.00</t>
  </si>
  <si>
    <t>129.00</t>
  </si>
  <si>
    <t>99.50</t>
  </si>
  <si>
    <t>120.75</t>
  </si>
  <si>
    <t>249.83</t>
  </si>
  <si>
    <t>239.94</t>
  </si>
  <si>
    <t>4800016627279</t>
  </si>
  <si>
    <t>4807770100611</t>
  </si>
  <si>
    <t>4807770100536</t>
  </si>
  <si>
    <t>4807770100697</t>
  </si>
  <si>
    <t>4800194153683</t>
  </si>
  <si>
    <t>4800194173223</t>
  </si>
  <si>
    <t>4807770101717</t>
  </si>
  <si>
    <t>4807770100529</t>
  </si>
  <si>
    <t>4807770122170</t>
  </si>
  <si>
    <t>4800116077028</t>
  </si>
  <si>
    <t>4800116136022</t>
  </si>
  <si>
    <t>4800116135025</t>
  </si>
  <si>
    <t>4800116131027</t>
  </si>
  <si>
    <t>4800116099020</t>
  </si>
  <si>
    <t>4800116098023</t>
  </si>
  <si>
    <t>888123456781152</t>
  </si>
  <si>
    <t>4800552888004</t>
  </si>
  <si>
    <t>4800552888059</t>
  </si>
  <si>
    <t>4800552888080</t>
  </si>
  <si>
    <t>4800016627262</t>
  </si>
  <si>
    <t>4800016077074</t>
  </si>
  <si>
    <t>4800010075564</t>
  </si>
  <si>
    <t>4800016077531</t>
  </si>
  <si>
    <t>4800016077999</t>
  </si>
  <si>
    <t>4800010075526</t>
  </si>
  <si>
    <t>4800024583161</t>
  </si>
  <si>
    <t>4800024583178</t>
  </si>
  <si>
    <t>4806517040388</t>
  </si>
  <si>
    <t>4806517040104</t>
  </si>
  <si>
    <t>4806517040395</t>
  </si>
  <si>
    <t>750515017450</t>
  </si>
  <si>
    <t>750515017856</t>
  </si>
  <si>
    <t>750515017863</t>
  </si>
  <si>
    <t>4800092111792</t>
  </si>
  <si>
    <t>4806502725269</t>
  </si>
  <si>
    <t>4806502726532</t>
  </si>
  <si>
    <t>4806502726143</t>
  </si>
  <si>
    <t>4806502720189</t>
  </si>
  <si>
    <t>4806502720110</t>
  </si>
  <si>
    <t>4806502726129</t>
  </si>
  <si>
    <t>4806502721476</t>
  </si>
  <si>
    <t>4806502723777</t>
  </si>
  <si>
    <t>4806502720417</t>
  </si>
  <si>
    <t>4806502720615</t>
  </si>
  <si>
    <t>4806502720165</t>
  </si>
  <si>
    <t>4806502721452</t>
  </si>
  <si>
    <t>4806502720301</t>
  </si>
  <si>
    <t>4806502725894</t>
  </si>
  <si>
    <t>4806502725900</t>
  </si>
  <si>
    <t>4806502726907</t>
  </si>
  <si>
    <t>4806502727423</t>
  </si>
  <si>
    <t>4806502726914</t>
  </si>
  <si>
    <t>4806502726822</t>
  </si>
  <si>
    <t>4806502727546</t>
  </si>
  <si>
    <t>4806502725726</t>
  </si>
  <si>
    <t>4806502720011</t>
  </si>
  <si>
    <t>8993175560047</t>
  </si>
  <si>
    <t>8850338005206</t>
  </si>
  <si>
    <t>4800092111945</t>
  </si>
  <si>
    <t>4800092110528</t>
  </si>
  <si>
    <t>4800092112317</t>
  </si>
  <si>
    <t>4800092110511</t>
  </si>
  <si>
    <t>4800092110023</t>
  </si>
  <si>
    <t>4800016079559</t>
  </si>
  <si>
    <t>4806518846019</t>
  </si>
  <si>
    <t>4806518846040</t>
  </si>
  <si>
    <t>4806518846026</t>
  </si>
  <si>
    <t>4800129110163</t>
  </si>
  <si>
    <t>4800016112577</t>
  </si>
  <si>
    <t>4800016076947</t>
  </si>
  <si>
    <t>8998389121596</t>
  </si>
  <si>
    <t>8998389124184</t>
  </si>
  <si>
    <t>8998389121619</t>
  </si>
  <si>
    <t>8998389121626</t>
  </si>
  <si>
    <t>8998389124191</t>
  </si>
  <si>
    <t>4806018407475</t>
  </si>
  <si>
    <t>4809010626332</t>
  </si>
  <si>
    <t>4806018400988</t>
  </si>
  <si>
    <t>4806018403880</t>
  </si>
  <si>
    <t>4806018403866</t>
  </si>
  <si>
    <t>4806018403729</t>
  </si>
  <si>
    <t>750515021204</t>
  </si>
  <si>
    <t>750515018105</t>
  </si>
  <si>
    <t>4800016082979</t>
  </si>
  <si>
    <t>4800016083778</t>
  </si>
  <si>
    <t>4800016087622</t>
  </si>
  <si>
    <t>4800016087561</t>
  </si>
  <si>
    <t>4800016087585</t>
  </si>
  <si>
    <t>4800016627286</t>
  </si>
  <si>
    <t>4800016628283</t>
  </si>
  <si>
    <t>4807770122903</t>
  </si>
  <si>
    <t>4807770101694</t>
  </si>
  <si>
    <t>4807770122736</t>
  </si>
  <si>
    <t>4807770121333</t>
  </si>
  <si>
    <t>4807770121661</t>
  </si>
  <si>
    <t>4807770121364</t>
  </si>
  <si>
    <t>8993175544528</t>
  </si>
  <si>
    <t>4807770100703</t>
  </si>
  <si>
    <t>4807770101502</t>
  </si>
  <si>
    <t>4807770121203</t>
  </si>
  <si>
    <t>4807770101083</t>
  </si>
  <si>
    <t>4807770101854</t>
  </si>
  <si>
    <t>4807770100963</t>
  </si>
  <si>
    <t>4807770122934</t>
  </si>
  <si>
    <t>4807770121227</t>
  </si>
  <si>
    <t>4807770122477</t>
  </si>
  <si>
    <t>4807770120213</t>
  </si>
  <si>
    <t>4807770122644</t>
  </si>
  <si>
    <t>4807770122262</t>
  </si>
  <si>
    <t>4807770122460</t>
  </si>
  <si>
    <t>4807770120251</t>
  </si>
  <si>
    <t>4807770120237</t>
  </si>
  <si>
    <t>8992760223046</t>
  </si>
  <si>
    <t>8992760221066</t>
  </si>
  <si>
    <t>4800818806858</t>
  </si>
  <si>
    <t>750515031067</t>
  </si>
  <si>
    <t>8993175551069</t>
  </si>
  <si>
    <t>4800010075595</t>
  </si>
  <si>
    <t>4800010075601</t>
  </si>
  <si>
    <t>4800010075922</t>
  </si>
  <si>
    <t>4800016112386</t>
  </si>
  <si>
    <t>4800092110405</t>
  </si>
  <si>
    <t>4800092110030</t>
  </si>
  <si>
    <t>4800092112782</t>
  </si>
  <si>
    <t>4800092111822</t>
  </si>
  <si>
    <t>4800092115677</t>
  </si>
  <si>
    <t>4800092110016</t>
  </si>
  <si>
    <t>4800092111600</t>
  </si>
  <si>
    <t>4800092110047</t>
  </si>
  <si>
    <t>8993175538145</t>
  </si>
  <si>
    <t>8993175537131</t>
  </si>
  <si>
    <t>8993175539906</t>
  </si>
  <si>
    <t>8993175539241</t>
  </si>
  <si>
    <t>8993175540438</t>
  </si>
  <si>
    <t>750515030312</t>
  </si>
  <si>
    <t>750515031531</t>
  </si>
  <si>
    <t>750515018501</t>
  </si>
  <si>
    <t>750515018488</t>
  </si>
  <si>
    <t>750515030206</t>
  </si>
  <si>
    <t>750515031555</t>
  </si>
  <si>
    <t>750515030275</t>
  </si>
  <si>
    <t>750515030251</t>
  </si>
  <si>
    <t>750515031517</t>
  </si>
  <si>
    <t>4800631003205</t>
  </si>
  <si>
    <t>4807770120770</t>
  </si>
  <si>
    <t>4800116016027</t>
  </si>
  <si>
    <t>7622202046810</t>
  </si>
  <si>
    <t>7622202046780</t>
  </si>
  <si>
    <t>7622202336652</t>
  </si>
  <si>
    <t>7622202336713</t>
  </si>
  <si>
    <t>4800092115714</t>
  </si>
  <si>
    <t>4800016084065</t>
  </si>
  <si>
    <t>4800016084201</t>
  </si>
  <si>
    <t>BERRY KNOTS STRAW 28G</t>
  </si>
  <si>
    <t>BINGO DOUBLE CHOCO 280G</t>
  </si>
  <si>
    <t>BINGO ORANGE 280G</t>
  </si>
  <si>
    <t>BINGO VANILLA 280G</t>
  </si>
  <si>
    <t>BREAD PAN BUTTER 24G</t>
  </si>
  <si>
    <t>BREAD PAN CHEESE&amp;ONION 42G</t>
  </si>
  <si>
    <t>BREAD STIX 130G</t>
  </si>
  <si>
    <t>BUTTER COCONUT 168G</t>
  </si>
  <si>
    <t>BUTTER COCONUT 280G</t>
  </si>
  <si>
    <t>BUTTER CREAM CHOCOLATE CRACKERS 10X25G</t>
  </si>
  <si>
    <t>BUTTER CREAM CRACKERS CHEESE SPREAD 10X17G</t>
  </si>
  <si>
    <t>BUTTER CREAM CRACKERS CHOCOLATE SPREAD 10X17G</t>
  </si>
  <si>
    <t>BUTTER CREAM CRACKERS LECHE FLAN FLAVOR 10X25G</t>
  </si>
  <si>
    <t>BUTTER CREAM ENSAYMADA CRACKERS 10X25G</t>
  </si>
  <si>
    <t>BUTTER CREAM UBE CRACKERS 10X25G</t>
  </si>
  <si>
    <t>CAMPITAS SPECIAL URARO BISCUIT</t>
  </si>
  <si>
    <t>CHIPS DELIGHT CHOCOLATE CHIP COOKIES 200G</t>
  </si>
  <si>
    <t>CHIPS DELIGHT CHOCOLATE CHIP COOKIES 80G</t>
  </si>
  <si>
    <t>CHIPS DELIGHT PARTY PACK COOKIES 130G</t>
  </si>
  <si>
    <t>CHOCO KNOTS CHOCOLATE 28G</t>
  </si>
  <si>
    <t>CREAM O CHOCOLATE CHIP COOKIES 35GX10</t>
  </si>
  <si>
    <t>CREAM-O CHOCO FUDGE 300G</t>
  </si>
  <si>
    <t>CREAM-O COOKIES N CREAM 27GX10</t>
  </si>
  <si>
    <t>CREAM-O DOUBLE CHOCO CHIP COOKIES 36GX10</t>
  </si>
  <si>
    <t>CREAM-O VANILLA 300G</t>
  </si>
  <si>
    <t>DEL POTATO CRISP BISCUITS ORIGINAL 50G</t>
  </si>
  <si>
    <t>DEL POTATO CRISP BISCUITS SPICY 50G</t>
  </si>
  <si>
    <t>DELFI KNICK KNACKS CHOCOLATE 28G</t>
  </si>
  <si>
    <t>DELFI KNICK KNACKS DOUBLE CHOCO FLAVOR 62G</t>
  </si>
  <si>
    <t>DELFI KNICK KNACKS MILK FLAVOR 28G</t>
  </si>
  <si>
    <t>FITA CRACKERS 30GX10S</t>
  </si>
  <si>
    <t>FITA SPREADZ 10 SINGLE PACKS</t>
  </si>
  <si>
    <t>FITA SPREADZ TUNA 10 SINGLE PACKS</t>
  </si>
  <si>
    <t>FROOTEES STRAWBERRY 320G</t>
  </si>
  <si>
    <t>GAR AMAZING BLACK FOREST 400G</t>
  </si>
  <si>
    <t>GAR BANANA CHOCO MUFFIN 45G</t>
  </si>
  <si>
    <t>GAR BUTTER SUGAR CREAM ROLL 50G</t>
  </si>
  <si>
    <t>GAR BUTTER TOAST 2-SLICE PACK 50GX10</t>
  </si>
  <si>
    <t>GAR BUTTER TOAST 5-SLICE PACK 125G</t>
  </si>
  <si>
    <t>GAR CHEESE BUNS 250G</t>
  </si>
  <si>
    <t>GAR CHOCOLATE CHIP LOAF 400G</t>
  </si>
  <si>
    <t>GAR CHOCOLATE FILLED BUNS 75G</t>
  </si>
  <si>
    <t>GAR CLASSIC WHITE BREAD 400G</t>
  </si>
  <si>
    <t>GAR CLASSIC WHITE BREAD 600G REGULAR SLICE</t>
  </si>
  <si>
    <t>GAR DOUBLE DELIGHTS (UBE &amp; CHEESE) 400G</t>
  </si>
  <si>
    <t>GAR HIGH FIBER WHEAT BREAD 400G</t>
  </si>
  <si>
    <t>GAR HIGH FIBER WHEAT BREAD 600G</t>
  </si>
  <si>
    <t>GAR HIGH FIBER WHEAT RAISIN LOAF 400G</t>
  </si>
  <si>
    <t>GAR HIGH FIBER WHEAT RAISIN LOAF 600G</t>
  </si>
  <si>
    <t>GAR NEUBAKE CLASSIC WHITE BREAD SUPER SLICE 300G</t>
  </si>
  <si>
    <t>GAR NEUBAKE WHEATEN BREAD 480G</t>
  </si>
  <si>
    <t>GAR NEUBAKE WHEATEN BREAD SUPER SLICE 300G</t>
  </si>
  <si>
    <t>GAR NEUBAKE WHITE BREAD 450G</t>
  </si>
  <si>
    <t>GAR POCKET SANDWICH CHEESE 50G</t>
  </si>
  <si>
    <t>GAR SOFT DELIGHT PANDESAL 300G</t>
  </si>
  <si>
    <t>GAR TOASTIES BUTTER 10X25G</t>
  </si>
  <si>
    <t>GOGUMA LAVA WAFER 48G</t>
  </si>
  <si>
    <t>HALLS FRESH LIME 140G</t>
  </si>
  <si>
    <t>HANSEL BUTTER SANDWICH 320G</t>
  </si>
  <si>
    <t>HANSEL CHOCOLATE SANDWICH 10X31G</t>
  </si>
  <si>
    <t>HANSEL CRACKER 320G</t>
  </si>
  <si>
    <t>HANSEL MILK SANDWICH 31GX10</t>
  </si>
  <si>
    <t>HANSEL MOCHA SANDWICH 31GX10</t>
  </si>
  <si>
    <t>HELLO CHOCO COATED WAFER SANDWICH 15GX10</t>
  </si>
  <si>
    <t>HONEY HOUSE CLASSIC 220G</t>
  </si>
  <si>
    <t>HONEY HOUSE MINI 30X10S 25G</t>
  </si>
  <si>
    <t>HONEY HOUSE SOUR CREAM &amp; ONION 220G</t>
  </si>
  <si>
    <t>ICED GEM BISCUITS 12X30G</t>
  </si>
  <si>
    <t xml:space="preserve">JNJ CREAM-O CHOCOLATE CAKE SANDWICH W/ THICK VANILLA </t>
  </si>
  <si>
    <t>JNJ PRESTO CREAMS DOUBLE CHOCO SANDWICH COOKIES 300G</t>
  </si>
  <si>
    <t>KUKIS BUTTER 218G</t>
  </si>
  <si>
    <t>KUKIS KELAPA COCONUT 60G</t>
  </si>
  <si>
    <t>KUKIS MOCHACHINO 218G</t>
  </si>
  <si>
    <t>KUKIS SUSU VANILA 218G</t>
  </si>
  <si>
    <t>KUKIS SUSU VANILLA 60G</t>
  </si>
  <si>
    <t>LEMON SQUARE CHEESE CAKE 300G</t>
  </si>
  <si>
    <t>LEMON SQUARE CHEESE CAKE ORIGINAL 300G</t>
  </si>
  <si>
    <t>LS ASSORTED CUPCAKES 10X30G</t>
  </si>
  <si>
    <t>LS CHOOCHOO CHEESY MILK 380G</t>
  </si>
  <si>
    <t>LS CHOOCHOO VANILLA 38GX10</t>
  </si>
  <si>
    <t>LS WHATTA TOPS CHOCOLAHAT 350G</t>
  </si>
  <si>
    <t>M.Y. SAN GRAHAM CRACKERS 200G</t>
  </si>
  <si>
    <t>M.Y. SAN SKYFLAKES CRACKERS 850G</t>
  </si>
  <si>
    <t>MAGIC CHIPS BBQ FLAVOR 28G</t>
  </si>
  <si>
    <t>MAGIC CHIPS SOUR CREAM AND ONION 28G</t>
  </si>
  <si>
    <t>MAGIC CREAM BUTTER</t>
  </si>
  <si>
    <t>MAGIC CREAM CHOCOLATE 28GX10</t>
  </si>
  <si>
    <t>MAGIC CREAM CONDENSADA CREAM 28GX10</t>
  </si>
  <si>
    <t>MILKY KNOTS MILK 28G</t>
  </si>
  <si>
    <t>MINI CHOCO PRETZELS 28G</t>
  </si>
  <si>
    <t>MONDE BANANA BAR 10X20G</t>
  </si>
  <si>
    <t>MONDE BUTTER COCONUT 90G</t>
  </si>
  <si>
    <t>MONDE CHEESE BAR 230G</t>
  </si>
  <si>
    <t>MONDE SPECIAL MAMON CLASSIC 6X43G</t>
  </si>
  <si>
    <t>MONDE SPECIAL MAMON CLASSIC SAVER PACK 12X43G</t>
  </si>
  <si>
    <t>MONDE SPECIAL MAMON MOCHA 6X43G</t>
  </si>
  <si>
    <t>NEXTAR SOFT COOKIE CHOCOLATE 10X34G</t>
  </si>
  <si>
    <t>NISSIN BREAD STIX 20G</t>
  </si>
  <si>
    <t>NISSIN BREADSTIX 20G PACK</t>
  </si>
  <si>
    <t>NISSIN CHOCO WAFER STICK 280G</t>
  </si>
  <si>
    <t>NISSIN CUBEE WAFER VANILLA FUDGE FLAVOR 25G</t>
  </si>
  <si>
    <t>NISSIN EGGNOG COOKIES 18G</t>
  </si>
  <si>
    <t>NISSIN EGGNOG COOKIES 18G PACK</t>
  </si>
  <si>
    <t>NISSIN HAPPY SNACKIN TUB 700G</t>
  </si>
  <si>
    <t>NISSIN STRAWBERRY STICK WAFER 280G</t>
  </si>
  <si>
    <t>NISSIN WAFER CHEESE 50G</t>
  </si>
  <si>
    <t>NISSIN WAFER CHOCO 20X12G</t>
  </si>
  <si>
    <t>NISSIN WAFER CHOCO 50G</t>
  </si>
  <si>
    <t>NISSIN WAFER CHOCO KING SIZE 220G</t>
  </si>
  <si>
    <t>NISSIN WAFER PEANUT BUTTER 50G</t>
  </si>
  <si>
    <t>NISSIN WAFER VANILLA 20X12G</t>
  </si>
  <si>
    <t>NISSIN WAFER YUMMY BUTTER 20X12G</t>
  </si>
  <si>
    <t>OREO CHOCOLATE CREME 12X28.5G</t>
  </si>
  <si>
    <t>OREO VANILLA ORIGINAL 12X27.6G</t>
  </si>
  <si>
    <t>OTC CHOCQUIK COOKIE 25G</t>
  </si>
  <si>
    <t>OTC SKYFLAKES SWEET BUTTER 30G</t>
  </si>
  <si>
    <t>PINK LAVA WAFER ICE CRAMBLE 48G</t>
  </si>
  <si>
    <t>PRESTO CREAMS CHOCO VANILLA 300G</t>
  </si>
  <si>
    <t>PRESTO CREAMS CHOCOLATE 300G</t>
  </si>
  <si>
    <t>PRESTO CREAMS PEANUT BUTTER 300G</t>
  </si>
  <si>
    <t>QUAKE OVERLOAD CHOCO STRAWBERRY 10S</t>
  </si>
  <si>
    <t>REBISCO BUTTER 320G</t>
  </si>
  <si>
    <t>REBISCO CHOCO 320G</t>
  </si>
  <si>
    <t>REBISCO COMBI 300G</t>
  </si>
  <si>
    <t>REBISCO CRACKERS 330G</t>
  </si>
  <si>
    <t>REBISCO CRACKERS WITH HONEY BUTTER 320G</t>
  </si>
  <si>
    <t>REBISCO CREAM 300G</t>
  </si>
  <si>
    <t>REBISCO PEANUT BUTTER 320G</t>
  </si>
  <si>
    <t>REBISCO STRAWBERRY 320G</t>
  </si>
  <si>
    <t>RICHEESE CHEESE WAFER 52G</t>
  </si>
  <si>
    <t>RICHEESE WAFER 22G</t>
  </si>
  <si>
    <t>RICHOCO CHOCOLATE CREAM WAFER 10X20G</t>
  </si>
  <si>
    <t>RICHOCO WAFER CHOCOLATE 52G</t>
  </si>
  <si>
    <t>RICHOCO WHITE WAFER 50G</t>
  </si>
  <si>
    <t>SKYFLAKES CHEESE10S 250G</t>
  </si>
  <si>
    <t>SKYFLAKES CONDENSADA 30GX10S</t>
  </si>
  <si>
    <t>SKYFLAKES CRACKERS 25GX10S</t>
  </si>
  <si>
    <t>SKYFLAKES CRACKERS 25GX24S PACK</t>
  </si>
  <si>
    <t>SKYFLAKES GARLIC 10S 250G</t>
  </si>
  <si>
    <t>SKYFLAKES MANTIKILYA 30GX10S</t>
  </si>
  <si>
    <t>SKYFLAKES OAT FIBER CRACKERS 250G</t>
  </si>
  <si>
    <t>SKYFLAKES ONION&amp; CHIVES 10S</t>
  </si>
  <si>
    <t>SKYFLAKES TSOKOLATE 30GX10S</t>
  </si>
  <si>
    <t>SNB CHOCO CHIP COOKIES 500G</t>
  </si>
  <si>
    <t>SUMO MINI COOKIES&amp;CREAM 10X20G</t>
  </si>
  <si>
    <t>SUNFLOWER CREAM SANDWICH STRAWBERRY 10X27G</t>
  </si>
  <si>
    <t>TIGER BITES CHOCOLATE 10X18G</t>
  </si>
  <si>
    <t>TIGER BITES VANILLA  10PACKS</t>
  </si>
  <si>
    <t>TIGER SANDWICH COOKIES STRAWBERRY 9X35G</t>
  </si>
  <si>
    <t>TIGER SANDWICH COOKIES VANILLA 9X35G</t>
  </si>
  <si>
    <t>WAFER TIME CHOCOLATE 27GX10</t>
  </si>
  <si>
    <t>WAFRETS CHOCO BRIX 240G</t>
  </si>
  <si>
    <t>WAFRETS CHOCO VANILLA BRIX 24GX10</t>
  </si>
  <si>
    <t>7.06</t>
  </si>
  <si>
    <t>57.25</t>
  </si>
  <si>
    <t>59.50</t>
  </si>
  <si>
    <t>6.31</t>
  </si>
  <si>
    <t>10.75</t>
  </si>
  <si>
    <t>31.75</t>
  </si>
  <si>
    <t>37.80</t>
  </si>
  <si>
    <t>58.45</t>
  </si>
  <si>
    <t>41.20</t>
  </si>
  <si>
    <t>44.80</t>
  </si>
  <si>
    <t>35.00</t>
  </si>
  <si>
    <t>68.47</t>
  </si>
  <si>
    <t>30.04</t>
  </si>
  <si>
    <t>51.98</t>
  </si>
  <si>
    <t>54.05</t>
  </si>
  <si>
    <t>85.90</t>
  </si>
  <si>
    <t>68.54</t>
  </si>
  <si>
    <t>20.68</t>
  </si>
  <si>
    <t>8.53</t>
  </si>
  <si>
    <t>13.02</t>
  </si>
  <si>
    <t>8.20</t>
  </si>
  <si>
    <t>56.50</t>
  </si>
  <si>
    <t>62.75</t>
  </si>
  <si>
    <t>56.79</t>
  </si>
  <si>
    <t>113.65</t>
  </si>
  <si>
    <t>22.85</t>
  </si>
  <si>
    <t>23.90</t>
  </si>
  <si>
    <t>17.70</t>
  </si>
  <si>
    <t>169.10</t>
  </si>
  <si>
    <t>37.25</t>
  </si>
  <si>
    <t>65.00</t>
  </si>
  <si>
    <t>83.65</t>
  </si>
  <si>
    <t>19.55</t>
  </si>
  <si>
    <t>53.20</t>
  </si>
  <si>
    <t>73.20</t>
  </si>
  <si>
    <t>90.90</t>
  </si>
  <si>
    <t>100.00</t>
  </si>
  <si>
    <t>98.20</t>
  </si>
  <si>
    <t>97.95</t>
  </si>
  <si>
    <t>125.00</t>
  </si>
  <si>
    <t>35.45</t>
  </si>
  <si>
    <t>41.48</t>
  </si>
  <si>
    <t>74.55</t>
  </si>
  <si>
    <t>76.55</t>
  </si>
  <si>
    <t>81.85</t>
  </si>
  <si>
    <t>52.75</t>
  </si>
  <si>
    <t>53.65</t>
  </si>
  <si>
    <t>56.35</t>
  </si>
  <si>
    <t>49.10</t>
  </si>
  <si>
    <t>19.20</t>
  </si>
  <si>
    <t>68.30</t>
  </si>
  <si>
    <t>75.45</t>
  </si>
  <si>
    <t>75.00</t>
  </si>
  <si>
    <t>9.92</t>
  </si>
  <si>
    <t>41.46</t>
  </si>
  <si>
    <t>54.19</t>
  </si>
  <si>
    <t>49.65</t>
  </si>
  <si>
    <t>57.40</t>
  </si>
  <si>
    <t>53.15</t>
  </si>
  <si>
    <t>71.00</t>
  </si>
  <si>
    <t>78.29</t>
  </si>
  <si>
    <t>56.71</t>
  </si>
  <si>
    <t>40.06</t>
  </si>
  <si>
    <t>12.77</t>
  </si>
  <si>
    <t>71.50</t>
  </si>
  <si>
    <t>77.00</t>
  </si>
  <si>
    <t>72.42</t>
  </si>
  <si>
    <t>40.23</t>
  </si>
  <si>
    <t>183.75</t>
  </si>
  <si>
    <t>6.80</t>
  </si>
  <si>
    <t>53.87</t>
  </si>
  <si>
    <t>85.25</t>
  </si>
  <si>
    <t>21.25</t>
  </si>
  <si>
    <t>92.80</t>
  </si>
  <si>
    <t>177.90</t>
  </si>
  <si>
    <t>96.00</t>
  </si>
  <si>
    <t>83.00</t>
  </si>
  <si>
    <t>5.68</t>
  </si>
  <si>
    <t>58.80</t>
  </si>
  <si>
    <t>10.00</t>
  </si>
  <si>
    <t>5.88</t>
  </si>
  <si>
    <t>219.50</t>
  </si>
  <si>
    <t>12.25</t>
  </si>
  <si>
    <t>50.50</t>
  </si>
  <si>
    <t>67.28</t>
  </si>
  <si>
    <t>70.91</t>
  </si>
  <si>
    <t>5.36</t>
  </si>
  <si>
    <t>6.40</t>
  </si>
  <si>
    <t>59.51</t>
  </si>
  <si>
    <t>76.94</t>
  </si>
  <si>
    <t>60.50</t>
  </si>
  <si>
    <t>55.00</t>
  </si>
  <si>
    <t>60.25</t>
  </si>
  <si>
    <t>64.00</t>
  </si>
  <si>
    <t>57.95</t>
  </si>
  <si>
    <t>127.25</t>
  </si>
  <si>
    <t>64.90</t>
  </si>
  <si>
    <t>123.90</t>
  </si>
  <si>
    <t>58.95</t>
  </si>
  <si>
    <t>56.37</t>
  </si>
  <si>
    <t>68.56</t>
  </si>
  <si>
    <t>58.40</t>
  </si>
  <si>
    <t>8886001038011</t>
  </si>
  <si>
    <t>4800818809712</t>
  </si>
  <si>
    <t>4800092660788</t>
  </si>
  <si>
    <t>49814521</t>
  </si>
  <si>
    <t>8935001721680</t>
  </si>
  <si>
    <t>8935001722106</t>
  </si>
  <si>
    <t>8935001721673</t>
  </si>
  <si>
    <t>4800016964367</t>
  </si>
  <si>
    <t>4800010961447</t>
  </si>
  <si>
    <t>4800016963827</t>
  </si>
  <si>
    <t>4800818801389</t>
  </si>
  <si>
    <t>8991001661746</t>
  </si>
  <si>
    <t>4806533327128</t>
  </si>
  <si>
    <t>8991001661739</t>
  </si>
  <si>
    <t>4800016307041</t>
  </si>
  <si>
    <t>4800016307102</t>
  </si>
  <si>
    <t>4800818808630</t>
  </si>
  <si>
    <t>4800818808302</t>
  </si>
  <si>
    <t>4800818810817</t>
  </si>
  <si>
    <t>4800818809361</t>
  </si>
  <si>
    <t>4806517042153</t>
  </si>
  <si>
    <t>4806517042238</t>
  </si>
  <si>
    <t>4806517046830</t>
  </si>
  <si>
    <t>4806517042085</t>
  </si>
  <si>
    <t>4806517042009</t>
  </si>
  <si>
    <t>4806517042337</t>
  </si>
  <si>
    <t>4806517049114</t>
  </si>
  <si>
    <t>4806517042214</t>
  </si>
  <si>
    <t>4806533325254</t>
  </si>
  <si>
    <t>8991001111982</t>
  </si>
  <si>
    <t>4806533325179</t>
  </si>
  <si>
    <t>4800519880720</t>
  </si>
  <si>
    <t>8850338000553</t>
  </si>
  <si>
    <t>4800620114011</t>
  </si>
  <si>
    <t>4800818809750</t>
  </si>
  <si>
    <t>4800010042146</t>
  </si>
  <si>
    <t>8996001320136</t>
  </si>
  <si>
    <t>8996001320051</t>
  </si>
  <si>
    <t>4800818902017</t>
  </si>
  <si>
    <t>4800818901966</t>
  </si>
  <si>
    <t>4800818901980</t>
  </si>
  <si>
    <t>4800519181018</t>
  </si>
  <si>
    <t>4800016304019</t>
  </si>
  <si>
    <t>4800016303081</t>
  </si>
  <si>
    <t>4800016307010</t>
  </si>
  <si>
    <t>4800016306013</t>
  </si>
  <si>
    <t>4800016305016</t>
  </si>
  <si>
    <t>8935001727675</t>
  </si>
  <si>
    <t>4800214061271</t>
  </si>
  <si>
    <t>8935001727668</t>
  </si>
  <si>
    <t>4806526078037</t>
  </si>
  <si>
    <t>4800818809651</t>
  </si>
  <si>
    <t>4800103344218</t>
  </si>
  <si>
    <t>4800103343075</t>
  </si>
  <si>
    <t>4800010042085</t>
  </si>
  <si>
    <t>4800194107822</t>
  </si>
  <si>
    <t>4800818801884</t>
  </si>
  <si>
    <t>4800818801617</t>
  </si>
  <si>
    <t>4800818808906</t>
  </si>
  <si>
    <t>4800818837500</t>
  </si>
  <si>
    <t>8851096020012</t>
  </si>
  <si>
    <t>6914758001087</t>
  </si>
  <si>
    <t>6914758001117</t>
  </si>
  <si>
    <t>69025310</t>
  </si>
  <si>
    <t>4800620110051</t>
  </si>
  <si>
    <t>4806520150098</t>
  </si>
  <si>
    <t>6291003080722</t>
  </si>
  <si>
    <t>4800818809880</t>
  </si>
  <si>
    <t>4800016476013</t>
  </si>
  <si>
    <t>4800016475016</t>
  </si>
  <si>
    <t>BENGBENG 26.5G</t>
  </si>
  <si>
    <t>CHAMPI CHOCOFILLED CHEWY CHOCOLATE CANDY 165G</t>
  </si>
  <si>
    <t>CHOCO MUCHO WHITE CHOCOLATE 33G</t>
  </si>
  <si>
    <t>CHUPA CHUPS LOLLIPOPS FRUIT FLAVORED 12G</t>
  </si>
  <si>
    <t>CHUPA CHUPS MILKY STRAWBERRY&amp;CREAM LOLLIPOP 9.5G</t>
  </si>
  <si>
    <t>CHUPA CHUPS MINI MEGA LOLLIPOPS 10S</t>
  </si>
  <si>
    <t>CHUPAS CHUPS MILKY CARAMEL LOLLIPO 9.5G</t>
  </si>
  <si>
    <t>CLOUD 9 CHOCO FUDGE 28G</t>
  </si>
  <si>
    <t>CLOUD 9 CLASSIC 28G</t>
  </si>
  <si>
    <t>CLOUD 9 OVERLOAD 50G</t>
  </si>
  <si>
    <t>COLUM CIOCO LUV-LOV CHOCO WAFER BAR 20G</t>
  </si>
  <si>
    <t>DELFI TREASURES COOKIES N CREAM 4PCS</t>
  </si>
  <si>
    <t>DELFI TREASURES GOLDEN ALMOND 36G 2+1</t>
  </si>
  <si>
    <t>DELFI TREASURES GOLDEN ALMOND 4PCS</t>
  </si>
  <si>
    <t>DYNAMITE CHOCO MINT CANDY 200G</t>
  </si>
  <si>
    <t>DYNAMITE MELON MINT FLAVORED CANDY 200G</t>
  </si>
  <si>
    <t>FROOTY CHOCO POP 190G</t>
  </si>
  <si>
    <t>FRUTOS ASSORTED SOFT CHEWY CANDIES 180G</t>
  </si>
  <si>
    <t>FRUTOS CHEWY SAMPALOK 175G</t>
  </si>
  <si>
    <t>FRUTOS MINIBITS SOUR 10G</t>
  </si>
  <si>
    <t>GOYA BAR ALMONDS IN MILK CHOCOLATE 35G</t>
  </si>
  <si>
    <t>GOYA BAR COOKIES&amp;CREAM 38G</t>
  </si>
  <si>
    <t>GOYA BAR DARK CHOCO 35G BUY 2 FREE 1</t>
  </si>
  <si>
    <t>GOYA BAR DARK CHOCOLATE 30G</t>
  </si>
  <si>
    <t>GOYA BAR MILK CHOCOLATE 38G</t>
  </si>
  <si>
    <t>GOYA BAR RAISIN &amp; NUT 3X30G</t>
  </si>
  <si>
    <t>GOYA CHACHA MINIS TUBE 30G</t>
  </si>
  <si>
    <t>GOYA CREAM WHITE 35G BUY 2 TAKE 1</t>
  </si>
  <si>
    <t>GOYA TAKE IT 2F 2+1</t>
  </si>
  <si>
    <t>GOYA TAKE IT 4 FINGERS 35G</t>
  </si>
  <si>
    <t>GOYA TAKE IT 4F 2+1</t>
  </si>
  <si>
    <t>HALLOWEEN LONG LEGS MARSHMALLOWS 100G</t>
  </si>
  <si>
    <t>HALLS HONEY LEMON 140G</t>
  </si>
  <si>
    <t>HAWHAW MILK CANDY 140G.</t>
  </si>
  <si>
    <t>ICOOL MENTHOLATED GUM 182G</t>
  </si>
  <si>
    <t>JNJ NIPS MILK CHOCOLATE 40G</t>
  </si>
  <si>
    <t>KOPIKO CAPPUCCINO CANDY 175G</t>
  </si>
  <si>
    <t>KOPIKO COFFE CANDY 175G</t>
  </si>
  <si>
    <t>LUVLOV BUDDY BERRY MILK PACK 15PCSX15G</t>
  </si>
  <si>
    <t>LUVLOV BUDDY CHOCO ORANGE PACK(15PCS.X15G.)</t>
  </si>
  <si>
    <t>LUVLOV BUDDY MILK CHOCOLATE PACK (15PCS.X15G)</t>
  </si>
  <si>
    <t>MARSHIES VANILLA MARSHMALLOWS 40G</t>
  </si>
  <si>
    <t>MAXX CHERRY 200G</t>
  </si>
  <si>
    <t>MAXX DALANDAN ORANGE 200G</t>
  </si>
  <si>
    <t>MAXX EUCALYPTUS MENTHOL CANDY 200G</t>
  </si>
  <si>
    <t>MAXX HONEY LEMON 200G</t>
  </si>
  <si>
    <t>MAXX HONEY MANSI 200G</t>
  </si>
  <si>
    <t>MENTOS FRUIT FLAVOUR</t>
  </si>
  <si>
    <t>MENTOS MINT CANDY 50 PCS 135G</t>
  </si>
  <si>
    <t>MENTOS MINT FLAVOR 50+5 PCS.</t>
  </si>
  <si>
    <t>MINI CHOCO EGG 8G</t>
  </si>
  <si>
    <t>MONAMI STRAWBERRY AND CREAM 175G</t>
  </si>
  <si>
    <t>MR. BUKO</t>
  </si>
  <si>
    <t>MR. YEMA</t>
  </si>
  <si>
    <t>NIPS PEANUTS SNACK BAG 43GX16S</t>
  </si>
  <si>
    <t>O PUFF CHOCOLATE FILLED MARSHMALLOWS 24PCS</t>
  </si>
  <si>
    <t>POTCHI CHOCO MALLOWS PACK 24PCS.X3.5G</t>
  </si>
  <si>
    <t>POTCHI CHOCO PEACH MANGO MALLOWS PACK 24PCS.X3.5G</t>
  </si>
  <si>
    <t>POTCHI STRAWBERRY CREAM 135G</t>
  </si>
  <si>
    <t>POTCHI STRAWBERRY CREAM 50G</t>
  </si>
  <si>
    <t>PUSH POP LOLLIPOP 14G</t>
  </si>
  <si>
    <t>PUSH UP - JUMBO POP 30G</t>
  </si>
  <si>
    <t>PUSH UP - TRIPLE POWER POP 34G</t>
  </si>
  <si>
    <t>SNICKERS 20G</t>
  </si>
  <si>
    <t>SUPERLAMIG CANDY</t>
  </si>
  <si>
    <t>SUPERLAMIG PEPPERMINT 225G</t>
  </si>
  <si>
    <t>TIFFANY CREAM TOFFEE ASSORTED 300G</t>
  </si>
  <si>
    <t>VFRESH WINTER COOL GUM 165G</t>
  </si>
  <si>
    <t>X.O. BUTTER CARAMEL CANDY 175G</t>
  </si>
  <si>
    <t>X.O. COFFEE CANDY 175G</t>
  </si>
  <si>
    <t>7.50</t>
  </si>
  <si>
    <t>8.00</t>
  </si>
  <si>
    <t>36.11</t>
  </si>
  <si>
    <t>7.28</t>
  </si>
  <si>
    <t>8.38</t>
  </si>
  <si>
    <t>36.00</t>
  </si>
  <si>
    <t>107.50</t>
  </si>
  <si>
    <t>7.25</t>
  </si>
  <si>
    <t>7.70</t>
  </si>
  <si>
    <t>14.65</t>
  </si>
  <si>
    <t>5.81</t>
  </si>
  <si>
    <t>28.94</t>
  </si>
  <si>
    <t>67.52</t>
  </si>
  <si>
    <t>33.76</t>
  </si>
  <si>
    <t>38.00</t>
  </si>
  <si>
    <t>28.76</t>
  </si>
  <si>
    <t>34.27</t>
  </si>
  <si>
    <t>1.77</t>
  </si>
  <si>
    <t>20.26</t>
  </si>
  <si>
    <t>44.37</t>
  </si>
  <si>
    <t>47.27</t>
  </si>
  <si>
    <t>21.22</t>
  </si>
  <si>
    <t>25.72</t>
  </si>
  <si>
    <t>30.87</t>
  </si>
  <si>
    <t>27.49</t>
  </si>
  <si>
    <t>54.98</t>
  </si>
  <si>
    <t>32.67</t>
  </si>
  <si>
    <t>29.00</t>
  </si>
  <si>
    <t>15.50</t>
  </si>
  <si>
    <t>58.14</t>
  </si>
  <si>
    <t>10.09</t>
  </si>
  <si>
    <t>3.94</t>
  </si>
  <si>
    <t>31.52</t>
  </si>
  <si>
    <t>21.48</t>
  </si>
  <si>
    <t>23.97</t>
  </si>
  <si>
    <t>23.72</t>
  </si>
  <si>
    <t>11.32</t>
  </si>
  <si>
    <t>29.90</t>
  </si>
  <si>
    <t>46.30</t>
  </si>
  <si>
    <t>58.84</t>
  </si>
  <si>
    <t>13.77</t>
  </si>
  <si>
    <t>37.00</t>
  </si>
  <si>
    <t>42.00</t>
  </si>
  <si>
    <t>102.90</t>
  </si>
  <si>
    <t>4800575144583</t>
  </si>
  <si>
    <t>4800575144590</t>
  </si>
  <si>
    <t>4800575142633</t>
  </si>
  <si>
    <t>4800575230453</t>
  </si>
  <si>
    <t>4800575144613</t>
  </si>
  <si>
    <t>748485401492</t>
  </si>
  <si>
    <t>4800010008302</t>
  </si>
  <si>
    <t>4800818880803</t>
  </si>
  <si>
    <t>4800361420730</t>
  </si>
  <si>
    <t>888123456781921</t>
  </si>
  <si>
    <t>4800575144958</t>
  </si>
  <si>
    <t>4800016014499</t>
  </si>
  <si>
    <t>710535411928</t>
  </si>
  <si>
    <t>8996001440049</t>
  </si>
  <si>
    <t>8996001440124</t>
  </si>
  <si>
    <t>8996001603444</t>
  </si>
  <si>
    <t>4806538680051</t>
  </si>
  <si>
    <t>4806538680075</t>
  </si>
  <si>
    <t>4800016022258</t>
  </si>
  <si>
    <t>4800016012365</t>
  </si>
  <si>
    <t>4800016014482</t>
  </si>
  <si>
    <t>4800010012019</t>
  </si>
  <si>
    <t>4800010009767</t>
  </si>
  <si>
    <t>4800010012033</t>
  </si>
  <si>
    <t>4800016012280</t>
  </si>
  <si>
    <t>4800016012266</t>
  </si>
  <si>
    <t>4800016012273</t>
  </si>
  <si>
    <t>4800016022180</t>
  </si>
  <si>
    <t>4800016022265</t>
  </si>
  <si>
    <t>4800016024276</t>
  </si>
  <si>
    <t>4800016022449</t>
  </si>
  <si>
    <t>4806525940199</t>
  </si>
  <si>
    <t>8998666001702</t>
  </si>
  <si>
    <t>8998666001726</t>
  </si>
  <si>
    <t>8998666001719</t>
  </si>
  <si>
    <t>8998666002983</t>
  </si>
  <si>
    <t>8998666002792</t>
  </si>
  <si>
    <t>4800575141667</t>
  </si>
  <si>
    <t>4800575425019</t>
  </si>
  <si>
    <t>8888086021001</t>
  </si>
  <si>
    <t>4809013526325</t>
  </si>
  <si>
    <t>4809013526318</t>
  </si>
  <si>
    <t>4809013526356</t>
  </si>
  <si>
    <t>4809013526349</t>
  </si>
  <si>
    <t>888123456782011</t>
  </si>
  <si>
    <t>888123456781315</t>
  </si>
  <si>
    <t>888123456781526</t>
  </si>
  <si>
    <t>4800361388252</t>
  </si>
  <si>
    <t>4800361393669</t>
  </si>
  <si>
    <t>4800361425889</t>
  </si>
  <si>
    <t>4800361339186</t>
  </si>
  <si>
    <t>4800361393621</t>
  </si>
  <si>
    <t>4800361375146</t>
  </si>
  <si>
    <t>4800361393683</t>
  </si>
  <si>
    <t>4800361413992</t>
  </si>
  <si>
    <t>4800361423588</t>
  </si>
  <si>
    <t>4800361416726</t>
  </si>
  <si>
    <t>8801055709267</t>
  </si>
  <si>
    <t>4800361423601</t>
  </si>
  <si>
    <t>4800361415347</t>
  </si>
  <si>
    <t>4800361382083</t>
  </si>
  <si>
    <t>4800361379557</t>
  </si>
  <si>
    <t>4800361410892</t>
  </si>
  <si>
    <t>4800361388771</t>
  </si>
  <si>
    <t>4800361379373</t>
  </si>
  <si>
    <t>4800361396677</t>
  </si>
  <si>
    <t>4800361410816</t>
  </si>
  <si>
    <t>4800361420457</t>
  </si>
  <si>
    <t>4800361390804</t>
  </si>
  <si>
    <t>4800361393232</t>
  </si>
  <si>
    <t>4800361380737</t>
  </si>
  <si>
    <t>4800361000826</t>
  </si>
  <si>
    <t>4800361423052</t>
  </si>
  <si>
    <t>4800361348645</t>
  </si>
  <si>
    <t>4800274040018</t>
  </si>
  <si>
    <t>7622300858575</t>
  </si>
  <si>
    <t>7622300637996</t>
  </si>
  <si>
    <t>8850338027895</t>
  </si>
  <si>
    <t>7622300601782</t>
  </si>
  <si>
    <t>4808647310072</t>
  </si>
  <si>
    <t>7622300559991</t>
  </si>
  <si>
    <t>7622300601768</t>
  </si>
  <si>
    <t>7622210706768</t>
  </si>
  <si>
    <t>7622300638078</t>
  </si>
  <si>
    <t>ALASKA POWDERED MILK DRINK 150G</t>
  </si>
  <si>
    <t>ALASKA POWDERED MILK DRINK 300ML</t>
  </si>
  <si>
    <t>ALASKA POWDERED MILK DRINK 33G</t>
  </si>
  <si>
    <t>ALASKA POWDERED MILK DRINK 450G</t>
  </si>
  <si>
    <t>ALASKA POWDERED MILK DRINK 840G</t>
  </si>
  <si>
    <t>BIRCH TREE 33G</t>
  </si>
  <si>
    <t>BLEND 45 SOLUBLE COFFEE 25G</t>
  </si>
  <si>
    <t>CHOCQUIK CHOCOMALT POWDERED MILK DRINK 24G</t>
  </si>
  <si>
    <t>COFFEE-MATE 80G</t>
  </si>
  <si>
    <t>CONVIE EIGHT OCLOCK ORANGE</t>
  </si>
  <si>
    <t>COWBELL EVAPSARAP 360NL</t>
  </si>
  <si>
    <t>CREAM ALL COFFFEE CREAMER 80G</t>
  </si>
  <si>
    <t>DON FRANK AGAR-AGAR 1KG</t>
  </si>
  <si>
    <t>ENERGEN CEREAL DRINK CHOCOLATE 40G</t>
  </si>
  <si>
    <t>ENERGEN CEREAL DRINK VANILLA 40G</t>
  </si>
  <si>
    <t>ENERGEN CHAMPION TWINPACK 70G</t>
  </si>
  <si>
    <t>GAR COFFEE SMILE CAFE LATTE 25G</t>
  </si>
  <si>
    <t>GAR COFFEE SMILE MOCHA LATTE 25G</t>
  </si>
  <si>
    <t>GREAT TASTE CHOCO TWIN PACK 50G</t>
  </si>
  <si>
    <t>GREAT TASTE CLASSIC 2GX36</t>
  </si>
  <si>
    <t>GREAT TASTE CREAM ALL 5G STICKS X24X20</t>
  </si>
  <si>
    <t>GREAT TASTE GRANULES 100G</t>
  </si>
  <si>
    <t>GREAT TASTE GRANULES 25G</t>
  </si>
  <si>
    <t>GREAT TASTE GRANULES 50G</t>
  </si>
  <si>
    <t>GREAT TASTE PREMIUM 100G</t>
  </si>
  <si>
    <t>GREAT TASTE PREMIUM 25G</t>
  </si>
  <si>
    <t>GREAT TASTE PREMIUM 50G</t>
  </si>
  <si>
    <t>GREAT TASTE WHITE CREMA TWINPACK 50G</t>
  </si>
  <si>
    <t>GREAT TASTE WHITE TWIN PACK 50G</t>
  </si>
  <si>
    <t>GREAT TASTE WHITE TWIN PACK 50G BUY 10 GET 1 FREE</t>
  </si>
  <si>
    <t>GT BROWN BARAKO SACHET 30G</t>
  </si>
  <si>
    <t>KINGS FINEST GLUTINOUS RICE FLOUR 500G</t>
  </si>
  <si>
    <t>KOPIKO BLACK 3IN1 TWINPACK 60G</t>
  </si>
  <si>
    <t>KOPIKO BLANCA TWINPACK 52G</t>
  </si>
  <si>
    <t>KOPIKO BROWN COFFEE TWINPACK 53G</t>
  </si>
  <si>
    <t>KOPIKO CAFE MOCHA TWINPACK 51G</t>
  </si>
  <si>
    <t>KOPIKO CREAMY CARAMELO TWINPACK 50G</t>
  </si>
  <si>
    <t>KREMTOP COFFEE CREAMER 45OG</t>
  </si>
  <si>
    <t>KREMTOP COFFEE CREAMER 80G</t>
  </si>
  <si>
    <t>LIPTON YELLOW LABEL TEA 25X2G</t>
  </si>
  <si>
    <t>MR. GULAMAN GREEN 25G</t>
  </si>
  <si>
    <t>MR. GULAMAN RED 25G</t>
  </si>
  <si>
    <t>MR. GULAMAN WHITE 25G</t>
  </si>
  <si>
    <t>MR. GULAMAN YELLOW 25G</t>
  </si>
  <si>
    <t>MT. KALINGA DRIP COFEE 12PCSX10GRAMS</t>
  </si>
  <si>
    <t>MT. KALINGA GROUND COFFEE 200G</t>
  </si>
  <si>
    <t>MT. KALINGA GROUND COFFEE 400G</t>
  </si>
  <si>
    <t>NESCAFE CLASSIC 1.9GX48</t>
  </si>
  <si>
    <t>NESCAFE CLASSIC 200G</t>
  </si>
  <si>
    <t>NESCAFE CLASSIC 23G</t>
  </si>
  <si>
    <t>NESCAFE CLASSIC 25G</t>
  </si>
  <si>
    <t>NESCAFE CLASSIC DECAF 160G</t>
  </si>
  <si>
    <t>NESCAFE CLASSIC DECAF 20G</t>
  </si>
  <si>
    <t>NESCAFE CLASSIC RESEALABLE 100G</t>
  </si>
  <si>
    <t>NESCAFE CLASSIC RESEALABLE 50G</t>
  </si>
  <si>
    <t>NESCAFE CREAMY LATTE TWINPACK 55G</t>
  </si>
  <si>
    <t>NESCAFE CREAMY WHITE SUGAR FREE TWIN PACK 11.2 GRAMS</t>
  </si>
  <si>
    <t>NESCAFE CREAMY WHITE TWINPACK 58G</t>
  </si>
  <si>
    <t>NESCAFE GOLD INTENSE 100G</t>
  </si>
  <si>
    <t>NESCAFE ORIGINAL SUGAR FREE TWIN PACK 11.5 GRAMS</t>
  </si>
  <si>
    <t>NESCAFE ORIGINAL TWIN PACK 56G</t>
  </si>
  <si>
    <t>NESTEA APPLE BLACK TEA 25G</t>
  </si>
  <si>
    <t>NESTEA LEMON BLACK TEA 25G</t>
  </si>
  <si>
    <t>NESTLE BEARBRAND 300G</t>
  </si>
  <si>
    <t>NESTLE BEARBRAND 680G</t>
  </si>
  <si>
    <t>NESTLE BEARBRAND ADULT PLUS 300G</t>
  </si>
  <si>
    <t>NESTLE BEARBRAND ADULT SWAK PACK 33G</t>
  </si>
  <si>
    <t>NESTLE BEARBRAND SWAK PACK 33G</t>
  </si>
  <si>
    <t>NESTLE BLUE LEMONADE 200G</t>
  </si>
  <si>
    <t>NESTLE COFFEE MATE 170G</t>
  </si>
  <si>
    <t>NESTLE COFFEE MATE 250G</t>
  </si>
  <si>
    <t>NESTLE COFFEE MATE 450ML</t>
  </si>
  <si>
    <t>NESTLE COFFEE MATE 48X5G</t>
  </si>
  <si>
    <t>NESTLE LEMONADE CUCUMBER 200G</t>
  </si>
  <si>
    <t>NESTLE NESTOGEN 2 6-12MOS 340G</t>
  </si>
  <si>
    <t>QUAKER INSTANT OATMEAL 400G</t>
  </si>
  <si>
    <t>TANG DALANDAN 25G</t>
  </si>
  <si>
    <t>TANG GRAPES 25G</t>
  </si>
  <si>
    <t>TANG LYCHEE 19G</t>
  </si>
  <si>
    <t>TANG MANGO 20G</t>
  </si>
  <si>
    <t>TANG ORANGE 250G</t>
  </si>
  <si>
    <t>TANG ORANGE 25G</t>
  </si>
  <si>
    <t>TANG PINEAPPLE 25G</t>
  </si>
  <si>
    <t>TANG POMELO 19G</t>
  </si>
  <si>
    <t>TANG STRAWBERRY 25G</t>
  </si>
  <si>
    <t>35.88</t>
  </si>
  <si>
    <t>99.12</t>
  </si>
  <si>
    <t>139.44</t>
  </si>
  <si>
    <t>262.92</t>
  </si>
  <si>
    <t>8.63</t>
  </si>
  <si>
    <t>20.83</t>
  </si>
  <si>
    <t>7.04</t>
  </si>
  <si>
    <t>23.82</t>
  </si>
  <si>
    <t>30.45</t>
  </si>
  <si>
    <t>16.20</t>
  </si>
  <si>
    <t>521.00</t>
  </si>
  <si>
    <t>14.37</t>
  </si>
  <si>
    <t>6.65</t>
  </si>
  <si>
    <t>7.60</t>
  </si>
  <si>
    <t>11.76</t>
  </si>
  <si>
    <t>94.60</t>
  </si>
  <si>
    <t>39.28</t>
  </si>
  <si>
    <t>96.67</t>
  </si>
  <si>
    <t>24.86</t>
  </si>
  <si>
    <t>48.80</t>
  </si>
  <si>
    <t>94.58</t>
  </si>
  <si>
    <t>24.35</t>
  </si>
  <si>
    <t>47.73</t>
  </si>
  <si>
    <t>11.39</t>
  </si>
  <si>
    <t>115.70</t>
  </si>
  <si>
    <t>7.64</t>
  </si>
  <si>
    <t>38.57</t>
  </si>
  <si>
    <t>11.83</t>
  </si>
  <si>
    <t>12.56</t>
  </si>
  <si>
    <t>0.00</t>
  </si>
  <si>
    <t>12.66</t>
  </si>
  <si>
    <t>11.50</t>
  </si>
  <si>
    <t>11.20</t>
  </si>
  <si>
    <t>95.74</t>
  </si>
  <si>
    <t>19.64</t>
  </si>
  <si>
    <t>98.30</t>
  </si>
  <si>
    <t>13.10</t>
  </si>
  <si>
    <t>12.60</t>
  </si>
  <si>
    <t>250.00</t>
  </si>
  <si>
    <t>150.00</t>
  </si>
  <si>
    <t>300.00</t>
  </si>
  <si>
    <t>145.18</t>
  </si>
  <si>
    <t>200.03</t>
  </si>
  <si>
    <t>18.07</t>
  </si>
  <si>
    <t>21.88</t>
  </si>
  <si>
    <t>238.10</t>
  </si>
  <si>
    <t>30.48</t>
  </si>
  <si>
    <t>100.03</t>
  </si>
  <si>
    <t>50.43</t>
  </si>
  <si>
    <t>13.32</t>
  </si>
  <si>
    <t>13.21</t>
  </si>
  <si>
    <t>261.06</t>
  </si>
  <si>
    <t>18.57</t>
  </si>
  <si>
    <t>104.76</t>
  </si>
  <si>
    <t>237.14</t>
  </si>
  <si>
    <t>107.48</t>
  </si>
  <si>
    <t>16.25</t>
  </si>
  <si>
    <t>10.64</t>
  </si>
  <si>
    <t>202.00</t>
  </si>
  <si>
    <t>44.78</t>
  </si>
  <si>
    <t>61.93</t>
  </si>
  <si>
    <t>109.57</t>
  </si>
  <si>
    <t>90.94</t>
  </si>
  <si>
    <t>186.20</t>
  </si>
  <si>
    <t>69.46</t>
  </si>
  <si>
    <t>18.20</t>
  </si>
  <si>
    <t>17.81</t>
  </si>
  <si>
    <t>19.05</t>
  </si>
  <si>
    <t>174.78</t>
  </si>
  <si>
    <t>4806500470857</t>
  </si>
  <si>
    <t>4800024575722</t>
  </si>
  <si>
    <t>4806500473681</t>
  </si>
  <si>
    <t>4806500472622</t>
  </si>
  <si>
    <t>4806500472639</t>
  </si>
  <si>
    <t>888123456781868</t>
  </si>
  <si>
    <t>4800110069319</t>
  </si>
  <si>
    <t>4800110033402</t>
  </si>
  <si>
    <t>4800110060729</t>
  </si>
  <si>
    <t>4800110069227</t>
  </si>
  <si>
    <t>888123456781958</t>
  </si>
  <si>
    <t>4800528456282</t>
  </si>
  <si>
    <t>4800528456374</t>
  </si>
  <si>
    <t>4800110026497</t>
  </si>
  <si>
    <t>089686171679</t>
  </si>
  <si>
    <t>089686170726</t>
  </si>
  <si>
    <t>4806500670073</t>
  </si>
  <si>
    <t>4807770270017</t>
  </si>
  <si>
    <t>4807770270024</t>
  </si>
  <si>
    <t>4807770272943</t>
  </si>
  <si>
    <t>4807770271168</t>
  </si>
  <si>
    <t>4807770311871</t>
  </si>
  <si>
    <t>4807770271175</t>
  </si>
  <si>
    <t>4807770311864</t>
  </si>
  <si>
    <t>4807770311895</t>
  </si>
  <si>
    <t>4807770272653</t>
  </si>
  <si>
    <t>4807770273810</t>
  </si>
  <si>
    <t>4807770273612</t>
  </si>
  <si>
    <t>4807770270116</t>
  </si>
  <si>
    <t>4807770273100</t>
  </si>
  <si>
    <t>4807770272813</t>
  </si>
  <si>
    <t>4807770273698</t>
  </si>
  <si>
    <t>4807770274480</t>
  </si>
  <si>
    <t>4807770274305</t>
  </si>
  <si>
    <t>4807770274268</t>
  </si>
  <si>
    <t>4807770273674</t>
  </si>
  <si>
    <t>4807770274275</t>
  </si>
  <si>
    <t>4807770273711</t>
  </si>
  <si>
    <t>4807770274473</t>
  </si>
  <si>
    <t>4807770272097</t>
  </si>
  <si>
    <t>4800016552106</t>
  </si>
  <si>
    <t>4800016552274</t>
  </si>
  <si>
    <t>4800016561498</t>
  </si>
  <si>
    <t>4800016561184</t>
  </si>
  <si>
    <t>4800016561481</t>
  </si>
  <si>
    <t>4800016561443</t>
  </si>
  <si>
    <t>4800016552113</t>
  </si>
  <si>
    <t>4800016557217</t>
  </si>
  <si>
    <t>4800016560927</t>
  </si>
  <si>
    <t>4800016551857</t>
  </si>
  <si>
    <t>4800016557675</t>
  </si>
  <si>
    <t>4800016551581</t>
  </si>
  <si>
    <t>4800016561429</t>
  </si>
  <si>
    <t>4800016551598</t>
  </si>
  <si>
    <t>4800016561269</t>
  </si>
  <si>
    <t>4800016560910</t>
  </si>
  <si>
    <t>4800016553332</t>
  </si>
  <si>
    <t>4800016556517</t>
  </si>
  <si>
    <t>4800016555985</t>
  </si>
  <si>
    <t>4800016561436</t>
  </si>
  <si>
    <t>4800016556807</t>
  </si>
  <si>
    <t>4800030001055</t>
  </si>
  <si>
    <t>4806011812061</t>
  </si>
  <si>
    <t>DELICIOUS SULIT PLUS SPAGHETTI 800G</t>
  </si>
  <si>
    <t>DM PARTY COMBO PCK SWEET STYLE</t>
  </si>
  <si>
    <t>FAVORITO MACARONI 5KL</t>
  </si>
  <si>
    <t>FAVORITO PANCIT CANTON 200G</t>
  </si>
  <si>
    <t>FAVORITO PANCIT CANTON 400G</t>
  </si>
  <si>
    <t>FAVORITO RIDGE&amp;SHELL MACARONI 1/2</t>
  </si>
  <si>
    <t>FIESTA FILIPINO STYLE SPAGHETTI 2IN1 SPAGHETTI &amp; SAUCE</t>
  </si>
  <si>
    <t>FIESTA SPAGHETTI 800G</t>
  </si>
  <si>
    <t>FIESTA SPAGHETTI NOODLES 400G</t>
  </si>
  <si>
    <t>FIESTA SPAGHETTIPID SWEET STYLE SPAGHETTI AND SAUCE 1.6KG</t>
  </si>
  <si>
    <t>HAPPY ME INSTANT FRIED NOODLES ASSORTED 70G</t>
  </si>
  <si>
    <t>HOBE BIHON 454G</t>
  </si>
  <si>
    <t>HOBE SPECIAL PALABOK 454G</t>
  </si>
  <si>
    <t>HOMI NOODLES BEEF 55G</t>
  </si>
  <si>
    <t>INDOMIE MI GORENG HOT&amp;SPICY 80G</t>
  </si>
  <si>
    <t>INDOMIE MI GORENG STIR FRIED ORIGINAL 85G</t>
  </si>
  <si>
    <t>KOMEYA 3Q BIHON</t>
  </si>
  <si>
    <t>LM BEEF NA BEEF 55G</t>
  </si>
  <si>
    <t>LM CHICKEN 55G</t>
  </si>
  <si>
    <t>LM CUP SEAFOOD 40G</t>
  </si>
  <si>
    <t>LM GO CUP BATCHOY 40G</t>
  </si>
  <si>
    <t>LM GO CUP BATCHOY 40G W/ FREE SKYFLAKES</t>
  </si>
  <si>
    <t>LM GO CUP BULALO 40G</t>
  </si>
  <si>
    <t>LM GO CUP BULALO 40G W/ FREE SKYFLAKES</t>
  </si>
  <si>
    <t>LM GO CUP CHICKEN SOTANGHON 28G W/ SKYFLAKES</t>
  </si>
  <si>
    <t>LM GO CUP JJAMPPONG 40G W/ SKYFLAKES</t>
  </si>
  <si>
    <t>LM GO CUP SPICY BATCHOY 40G</t>
  </si>
  <si>
    <t>LM GO CUP SPICY BULALO 40G</t>
  </si>
  <si>
    <t>LM ITNOK CHICKEN 50G</t>
  </si>
  <si>
    <t>LM JJAMPONG FLAVOR 55G</t>
  </si>
  <si>
    <t>LM LA PAZ BATCHOY 55G</t>
  </si>
  <si>
    <t>LM PANCIT CANTON CHILIMANSI 80G</t>
  </si>
  <si>
    <t>LM PANCIT CANTON CHILIMANSI KASALO PACK 120G</t>
  </si>
  <si>
    <t>LM PANCIT CANTON EXTRA HOT CHILI 80G</t>
  </si>
  <si>
    <t>LM PANCIT CANTON EXTRA HOT CHILI KASALO PACK 120G</t>
  </si>
  <si>
    <t>LM PANCIT CANTON KALAMANSI 80G</t>
  </si>
  <si>
    <t>LM PANCIT CANTON KALAMANSI KASALO PACK 120G</t>
  </si>
  <si>
    <t>LM PANCIT CANTON SWEET &amp; SPICY 80G</t>
  </si>
  <si>
    <t>LM PANCIT CANTON SWEET &amp; SPICY KASALO PACK 120G</t>
  </si>
  <si>
    <t>LM SPICY BEEF 50G</t>
  </si>
  <si>
    <t>NISSIN CUP NOODLES BEEF 40G</t>
  </si>
  <si>
    <t>NISSIN CUP NOODLES BULALO 40G</t>
  </si>
  <si>
    <t>NISSIN CUP NOODLES CHEESY SEAFOOD 50G</t>
  </si>
  <si>
    <t>NISSIN CUP NOODLES CREAMY SEAFOOD 45G</t>
  </si>
  <si>
    <t>NISSIN CUP NOODLES HOT CHEESY SEAFOODS 50G</t>
  </si>
  <si>
    <t>NISSIN CUP NOODLES HOT CREAMY SEAFOOD 48G</t>
  </si>
  <si>
    <t>NISSIN CUP NOODLES SEAFOOD 40G</t>
  </si>
  <si>
    <t>NISSIN CUP NOODLES SOTANGHON 30G</t>
  </si>
  <si>
    <t>NISSIN CUP NOODLES SPICY HOT BEEF 45G</t>
  </si>
  <si>
    <t>NISSIN CUP NOODLES SPICY SEAFOOD 40G</t>
  </si>
  <si>
    <t>NISSIN INSTANT MAMI SEAFOOD 55G</t>
  </si>
  <si>
    <t>NISSIN RAMEN BEEF 55G</t>
  </si>
  <si>
    <t>NISSIN RAMEN CREAMY SEAFOOD 63G</t>
  </si>
  <si>
    <t>NISSIN RAMEN SEAFOOD 55G</t>
  </si>
  <si>
    <t>NISSIN RAMEN SPICY HOT BEEF 62G</t>
  </si>
  <si>
    <t>NISSIN RAMEN SPICY SEAFOOD 59G</t>
  </si>
  <si>
    <t>PAYLESS MAMI BEEF 55G</t>
  </si>
  <si>
    <t>PAYLESS PANCIT CANTON XTRA BIG CHILIMANSI 125G</t>
  </si>
  <si>
    <t>PAYLESS PANCIT CANTON XTRA BIG KALAMANSI 125G</t>
  </si>
  <si>
    <t>PAYLESS PANCIT CANTON XTRA BIG SWEET&amp;SPICY 130G</t>
  </si>
  <si>
    <t>PAYLESS PANCIT CANTON XTRA BIG XTRA HOT FLAVOR 125G</t>
  </si>
  <si>
    <t>SUNSHINE SPAGHETTI 400G</t>
  </si>
  <si>
    <t>SUPER Q GOLDEN BIHON 454G</t>
  </si>
  <si>
    <t>49.80</t>
  </si>
  <si>
    <t>140.00</t>
  </si>
  <si>
    <t>25.80</t>
  </si>
  <si>
    <t>26.20</t>
  </si>
  <si>
    <t>48.60</t>
  </si>
  <si>
    <t>100.30</t>
  </si>
  <si>
    <t>73.86</t>
  </si>
  <si>
    <t>39.85</t>
  </si>
  <si>
    <t>129.10</t>
  </si>
  <si>
    <t>10.50</t>
  </si>
  <si>
    <t>29.17</t>
  </si>
  <si>
    <t>32.00</t>
  </si>
  <si>
    <t>7.88</t>
  </si>
  <si>
    <t>15.20</t>
  </si>
  <si>
    <t>30.83</t>
  </si>
  <si>
    <t>8.75</t>
  </si>
  <si>
    <t>21.50</t>
  </si>
  <si>
    <t>25.50</t>
  </si>
  <si>
    <t>18.75</t>
  </si>
  <si>
    <t>15.00</t>
  </si>
  <si>
    <t>14.00</t>
  </si>
  <si>
    <t>18.50</t>
  </si>
  <si>
    <t>14.25</t>
  </si>
  <si>
    <t>18.35</t>
  </si>
  <si>
    <t>20.55</t>
  </si>
  <si>
    <t>23.32</t>
  </si>
  <si>
    <t>22.81</t>
  </si>
  <si>
    <t>21.17</t>
  </si>
  <si>
    <t>9.00</t>
  </si>
  <si>
    <t>10.15</t>
  </si>
  <si>
    <t>7.15</t>
  </si>
  <si>
    <t>16.85</t>
  </si>
  <si>
    <t>35.70</t>
  </si>
  <si>
    <t>34.00</t>
  </si>
  <si>
    <t>748485700014</t>
  </si>
  <si>
    <t>748485700021</t>
  </si>
  <si>
    <t>748485700038</t>
  </si>
  <si>
    <t>748485700045</t>
  </si>
  <si>
    <t>4800575110373</t>
  </si>
  <si>
    <t>4800575130302</t>
  </si>
  <si>
    <t>4800575140158</t>
  </si>
  <si>
    <t>4800575140370</t>
  </si>
  <si>
    <t>4800575241664</t>
  </si>
  <si>
    <t>4800575120303</t>
  </si>
  <si>
    <t>748485400808</t>
  </si>
  <si>
    <t>748485400716</t>
  </si>
  <si>
    <t>748485401225</t>
  </si>
  <si>
    <t>748485801803</t>
  </si>
  <si>
    <t>748485800431</t>
  </si>
  <si>
    <t>748485800011</t>
  </si>
  <si>
    <t>748485804057</t>
  </si>
  <si>
    <t>748485804064</t>
  </si>
  <si>
    <t>748485801490</t>
  </si>
  <si>
    <t>748485800233</t>
  </si>
  <si>
    <t>4800249909395</t>
  </si>
  <si>
    <t>4800249908848</t>
  </si>
  <si>
    <t>4800249908237</t>
  </si>
  <si>
    <t>4800249908657</t>
  </si>
  <si>
    <t>4800249908725</t>
  </si>
  <si>
    <t>4800249902068</t>
  </si>
  <si>
    <t>4800249909333</t>
  </si>
  <si>
    <t>748485100456</t>
  </si>
  <si>
    <t>748485100401</t>
  </si>
  <si>
    <t>748485100081</t>
  </si>
  <si>
    <t>748485102245</t>
  </si>
  <si>
    <t>748485100418</t>
  </si>
  <si>
    <t>748485100098</t>
  </si>
  <si>
    <t>7622300501549</t>
  </si>
  <si>
    <t>4808647010026</t>
  </si>
  <si>
    <t>4808647010033</t>
  </si>
  <si>
    <t>7622300501525</t>
  </si>
  <si>
    <t>4808647010057</t>
  </si>
  <si>
    <t>4800575144910</t>
  </si>
  <si>
    <t>4805358373037</t>
  </si>
  <si>
    <t>4800024550958</t>
  </si>
  <si>
    <t>4800024020642</t>
  </si>
  <si>
    <t>4800024012326</t>
  </si>
  <si>
    <t>4800024570611</t>
  </si>
  <si>
    <t>4800024011862</t>
  </si>
  <si>
    <t>9557727929202</t>
  </si>
  <si>
    <t>4808647020094</t>
  </si>
  <si>
    <t>4808647020100</t>
  </si>
  <si>
    <t>7622210278371</t>
  </si>
  <si>
    <t>7622210892126</t>
  </si>
  <si>
    <t>4806502727607</t>
  </si>
  <si>
    <t>4806517042597</t>
  </si>
  <si>
    <t>4800245888830</t>
  </si>
  <si>
    <t>4800245888854</t>
  </si>
  <si>
    <t>9780201679625</t>
  </si>
  <si>
    <t>9780201379617</t>
  </si>
  <si>
    <t>4806516761888</t>
  </si>
  <si>
    <t>9555513203017</t>
  </si>
  <si>
    <t>4806014000137</t>
  </si>
  <si>
    <t>4806014099230</t>
  </si>
  <si>
    <t>4806014099247</t>
  </si>
  <si>
    <t>4806014000762</t>
  </si>
  <si>
    <t>4800888607096</t>
  </si>
  <si>
    <t>4808680651002</t>
  </si>
  <si>
    <t>4808680022031</t>
  </si>
  <si>
    <t>4800888282767</t>
  </si>
  <si>
    <t>4800888607119</t>
  </si>
  <si>
    <t>4800888602275</t>
  </si>
  <si>
    <t>4808680022017</t>
  </si>
  <si>
    <t>4800888602282</t>
  </si>
  <si>
    <t>4808680022178</t>
  </si>
  <si>
    <t>4800888260987</t>
  </si>
  <si>
    <t>4808680651019</t>
  </si>
  <si>
    <t>4800888283092</t>
  </si>
  <si>
    <t>4800888607126</t>
  </si>
  <si>
    <t>4808680021508</t>
  </si>
  <si>
    <t>4808680021355</t>
  </si>
  <si>
    <t>4808680020877</t>
  </si>
  <si>
    <t>4808680020754</t>
  </si>
  <si>
    <t>748485801728</t>
  </si>
  <si>
    <t>6902131112925</t>
  </si>
  <si>
    <t>9555513211876</t>
  </si>
  <si>
    <t>4800134101019</t>
  </si>
  <si>
    <t>4800134101514</t>
  </si>
  <si>
    <t>4800134101521</t>
  </si>
  <si>
    <t>4800134103013</t>
  </si>
  <si>
    <t>4800134103020</t>
  </si>
  <si>
    <t>4800134101040</t>
  </si>
  <si>
    <t>4806504710119</t>
  </si>
  <si>
    <t>4806504710348</t>
  </si>
  <si>
    <t>4806504710355</t>
  </si>
  <si>
    <t>4806504710126</t>
  </si>
  <si>
    <t>4800056191013</t>
  </si>
  <si>
    <t>4800058123456</t>
  </si>
  <si>
    <t>4800022930325</t>
  </si>
  <si>
    <t>4805885172004</t>
  </si>
  <si>
    <t>4805885171007</t>
  </si>
  <si>
    <t>096785013038</t>
  </si>
  <si>
    <t>4800249010091</t>
  </si>
  <si>
    <t>4800249006636</t>
  </si>
  <si>
    <t>4800249006674</t>
  </si>
  <si>
    <t>4800249006599</t>
  </si>
  <si>
    <t>4800249006612</t>
  </si>
  <si>
    <t>4800249006650</t>
  </si>
  <si>
    <t>4800249008517</t>
  </si>
  <si>
    <t>4806513800252</t>
  </si>
  <si>
    <t>4800154011879</t>
  </si>
  <si>
    <t>072185407592</t>
  </si>
  <si>
    <t>4800024558268</t>
  </si>
  <si>
    <t>4801668606551</t>
  </si>
  <si>
    <t>4801668606575</t>
  </si>
  <si>
    <t>4801668606520</t>
  </si>
  <si>
    <t>4801668606544</t>
  </si>
  <si>
    <t>4800154156860</t>
  </si>
  <si>
    <t>4800154013057</t>
  </si>
  <si>
    <t>4800154263049</t>
  </si>
  <si>
    <t>4800154156884</t>
  </si>
  <si>
    <t>748485802060</t>
  </si>
  <si>
    <t>748485802077</t>
  </si>
  <si>
    <t>748485802084</t>
  </si>
  <si>
    <t>748485802220</t>
  </si>
  <si>
    <t>748485802381</t>
  </si>
  <si>
    <t>555 TUNA ADOBO 155G</t>
  </si>
  <si>
    <t>555 TUNA AFRITADA 155G</t>
  </si>
  <si>
    <t>555 TUNA CALDERETA 155G</t>
  </si>
  <si>
    <t>555 TUNA MECHADO 155G</t>
  </si>
  <si>
    <t>ALASKA CLASSIC EVAPORATED FILLED MILK 370ML</t>
  </si>
  <si>
    <t>ALASKA CONDENSADA 300ML</t>
  </si>
  <si>
    <t>ALASKA EVAPORADA CREAMER 140ML</t>
  </si>
  <si>
    <t>ALASKA EVAPORADA CREAMER 360ML</t>
  </si>
  <si>
    <t>ALASKA SWEETENED CONDENSED 377G BUY1TAKE1</t>
  </si>
  <si>
    <t>ALASKA SWEETENED CONDENSED MILK 300ML</t>
  </si>
  <si>
    <t>ANGEL CONDENSADA 380G</t>
  </si>
  <si>
    <t>ANGEL EVAPORADA 410ML</t>
  </si>
  <si>
    <t>ANGEL KREMDENSADA 410ML</t>
  </si>
  <si>
    <t>ARGENTINA CB 100G</t>
  </si>
  <si>
    <t>ARGENTINA CORN BEEF 150G</t>
  </si>
  <si>
    <t>ARGENTINA CORN BEEF 175G</t>
  </si>
  <si>
    <t>ARGENTINA GINILING 100G</t>
  </si>
  <si>
    <t>ARGENTINA GINILING 250G</t>
  </si>
  <si>
    <t>ARGENTINA MEAT LOAF 150G</t>
  </si>
  <si>
    <t>ARGENTINA MEAT LOAF 170G</t>
  </si>
  <si>
    <t>CDO KARNE NORTE CLASSIC GUISADO 100G</t>
  </si>
  <si>
    <t>CDO KARNE NORTE CLASSIC GUISADO 150G</t>
  </si>
  <si>
    <t>CDO KARNE NORTE CLASSIC GUISADO 175G</t>
  </si>
  <si>
    <t>CDO KARNE NORTE CLASSIC GUISADO 260G</t>
  </si>
  <si>
    <t>CDO MEAT LOAF 100G</t>
  </si>
  <si>
    <t>CDO MEAT LOAF 210G</t>
  </si>
  <si>
    <t>CDO MEAT LOAF CLASSIC 150G</t>
  </si>
  <si>
    <t>CENTURY TUNA CALDERETA 155G</t>
  </si>
  <si>
    <t>CENTURY TUNA FLAKES IN OIL 155G</t>
  </si>
  <si>
    <t>CENTURY TUNA FLAKES IN OIL 180G</t>
  </si>
  <si>
    <t>CENTURY TUNA FLAKES IN OIL 95G</t>
  </si>
  <si>
    <t>CENTURY TUNA HOT AND SPICY 155G</t>
  </si>
  <si>
    <t>CENTURY TUNA HOT AND SPICY 180G</t>
  </si>
  <si>
    <t>CHEEZ WHIZ ORIGINAL 115G</t>
  </si>
  <si>
    <t>CHEEZ WHIZ ORIGINAL 220G</t>
  </si>
  <si>
    <t>CHEEZ WHIZ ORIGINAL 440G</t>
  </si>
  <si>
    <t>CHEEZ WHIZ ORIGINAL 62G</t>
  </si>
  <si>
    <t>CHEEZ WHIZ PIMIENTO 220G</t>
  </si>
  <si>
    <t>COWBELL CONDENSARAP 374G</t>
  </si>
  <si>
    <t>DAILY QUEZO 165G</t>
  </si>
  <si>
    <t>DM FIESTA FRUIT COCKTAIL 1GAL</t>
  </si>
  <si>
    <t>DM PINEAPPLE CHUNKS 227G</t>
  </si>
  <si>
    <t>DM PINEAPPLE SLICES 137G</t>
  </si>
  <si>
    <t>DM PINEAPPLE TIDBITS 115G</t>
  </si>
  <si>
    <t>DM TIDBITS 822G</t>
  </si>
  <si>
    <t>DOREEN SWEETENED CONDENSED CREAMER 390G</t>
  </si>
  <si>
    <t>EDEN CHEESE ORIGINAL 160G</t>
  </si>
  <si>
    <t>EDEN CHEESE ORIGINAL 440G</t>
  </si>
  <si>
    <t>EDEN MAYO 220ML</t>
  </si>
  <si>
    <t>EDEN SULIT PACK ORIGINAL 45G</t>
  </si>
  <si>
    <t>GAR DELICIA MILKY CHOCOLATE SPREAD 200G</t>
  </si>
  <si>
    <t>GOYA SPREAD 350G BUY 2 SAVE</t>
  </si>
  <si>
    <t>HOKKAI MACKEREL 155G</t>
  </si>
  <si>
    <t>HOKKAI MACKEREL 425G</t>
  </si>
  <si>
    <t>HOME RECIPE - PEANUT BUTTER 250G</t>
  </si>
  <si>
    <t>HOME RECIPE - PEANUT BUTTER 560G</t>
  </si>
  <si>
    <t>JERSEY CONDESED MILK 390G</t>
  </si>
  <si>
    <t>JERSEY EVAPORADA 370ML</t>
  </si>
  <si>
    <t>JOLLY CREAM CORN 425G</t>
  </si>
  <si>
    <t>JOLLY GARBANZOS CHICK PEAS 225G</t>
  </si>
  <si>
    <t>JOLLY GARBANZOS CHICK PEAS 425G</t>
  </si>
  <si>
    <t>JOLLY MUSHROOMS WHOLE CHAMPIGNONS 400G</t>
  </si>
  <si>
    <t>LADYS CHOICE BACON SPREAD 27ML</t>
  </si>
  <si>
    <t>LADYS CHOICE BACON SPREAD SACHET 80ML</t>
  </si>
  <si>
    <t>LADYS CHOICE CHICKEN SPREAD 220ML</t>
  </si>
  <si>
    <t>LADYS CHOICE CHICKEN SPREAD 220ML W/ FREE C2 SOLO</t>
  </si>
  <si>
    <t>LADYS CHOICE CHICKEN SPREAD 27ML</t>
  </si>
  <si>
    <t>LADYS CHOICE CHICKEN SPREAD DOYPACK 220ML</t>
  </si>
  <si>
    <t>LADYS CHOICE CHICKEN SPREAD SACHET 80ML</t>
  </si>
  <si>
    <t>LADYS CHOICE HAM SPREAD 220ML</t>
  </si>
  <si>
    <t>LADYS CHOICE HAM SPREAD 27ML</t>
  </si>
  <si>
    <t>LADYS CHOICE HAM SPREAD 80ML</t>
  </si>
  <si>
    <t xml:space="preserve">LADYS CHOICE REAL MAYO W/ FREE PINEAPPLE TIDBITS </t>
  </si>
  <si>
    <t>LADYS CHOICE REAL MAYONNAISE 27ML</t>
  </si>
  <si>
    <t>LADYS CHOICE REAL MAYONNAISE 470ML</t>
  </si>
  <si>
    <t>LADYS CHOICE REAL MAYONNAISE SACHET 80ML</t>
  </si>
  <si>
    <t>LADYS CHOICE SANDWICH SPREAD 220ML</t>
  </si>
  <si>
    <t>LADYS CHOICE SANDWICH SPREAD SACHET 80ML</t>
  </si>
  <si>
    <t>LUCKY 7 CARNE NORTE 150G</t>
  </si>
  <si>
    <t>MALING CHICKEN LUNCHEON MEAT 397G</t>
  </si>
  <si>
    <t>MARIE CONDENSADA 380G</t>
  </si>
  <si>
    <t>MASTER GREEN IN RICHER TOMATO SAUCE 155G</t>
  </si>
  <si>
    <t>MASTER MACKEREL GREEN 155G</t>
  </si>
  <si>
    <t>MASTER MACKEREL RED 155G</t>
  </si>
  <si>
    <t>MASTER SARDINES GREEN 425G</t>
  </si>
  <si>
    <t>MASTER SARDINES RED IN TOMATO SAUCE 425G RED</t>
  </si>
  <si>
    <t>MASTER SARDINES WHITE NATURAL OIL 155G</t>
  </si>
  <si>
    <t>MEGA SARDINES GREEN 155G</t>
  </si>
  <si>
    <t>MEGA SARDINES IN TOMATO SAUCE 425G</t>
  </si>
  <si>
    <t>MEGA SARDINES IN TOMATO SAUCE CHILI 425G</t>
  </si>
  <si>
    <t>MEGA SARDINES RED 155G</t>
  </si>
  <si>
    <t>O.K. PROCESSED FILLED CHEESE SPREAD 200G</t>
  </si>
  <si>
    <t>PHILIPS SAUSAGE 70G</t>
  </si>
  <si>
    <t>PROMO LUCKY 7 CARNE NORTE 150G</t>
  </si>
  <si>
    <t>RENO LIVER SPREAD 230G</t>
  </si>
  <si>
    <t>RENO LIVER SPREAD 85G</t>
  </si>
  <si>
    <t>SABA PREMIUM MACKEREL IN NATURAL OIL 155G</t>
  </si>
  <si>
    <t>SM CHILI CORNED TUNA 100G</t>
  </si>
  <si>
    <t>SM CHILI CORNED TUNA 150G</t>
  </si>
  <si>
    <t>SM CHILI CORNED TUNA 180G</t>
  </si>
  <si>
    <t>SM PLAIN CORNED TUNA 100G</t>
  </si>
  <si>
    <t>SM PLAIN CORNED TUNA 150G</t>
  </si>
  <si>
    <t>SM PLAIN CORNED TUNA 180G</t>
  </si>
  <si>
    <t>SM PLAIN CORNED TUNA 85G</t>
  </si>
  <si>
    <t>TAI HING MUSHROOMS PIECES N STEMS 425G</t>
  </si>
  <si>
    <t>TIGABUNGA SQUID 155G</t>
  </si>
  <si>
    <t>TIGABUNGA SQUID 425G</t>
  </si>
  <si>
    <t>TODAYS MIXED FRUIT 836G</t>
  </si>
  <si>
    <t>UFC CORN KERNELS 425 GRAMS</t>
  </si>
  <si>
    <t>UFC CREAM STYLE CORN 425GRAMS</t>
  </si>
  <si>
    <t>UFC GREEN PEAS 400GRAMS</t>
  </si>
  <si>
    <t>UFC PIECES &amp; STEMS MUSHROOMS 400 GRAMS</t>
  </si>
  <si>
    <t>UNI-PACK SQUID IN NATURAL INK155G</t>
  </si>
  <si>
    <t>UNI-PAK MACKEREL IN NATURAL OIL 155G</t>
  </si>
  <si>
    <t>UNI-PAK MACKEREL IN NATURAL OIL 425G</t>
  </si>
  <si>
    <t>UNIPAK SQUID 425G</t>
  </si>
  <si>
    <t>WOW ULAM ADOBO 155G</t>
  </si>
  <si>
    <t>WOW ULAM AFRITADA 155</t>
  </si>
  <si>
    <t>WOW ULAM CALDERETA 155G</t>
  </si>
  <si>
    <t>WOW ULAM MECHADO 155G</t>
  </si>
  <si>
    <t>WOW ULAM MENUDO 155G</t>
  </si>
  <si>
    <t>27.25</t>
  </si>
  <si>
    <t>29.47</t>
  </si>
  <si>
    <t>56.31</t>
  </si>
  <si>
    <t>54.48</t>
  </si>
  <si>
    <t>19.06</t>
  </si>
  <si>
    <t>35.15</t>
  </si>
  <si>
    <t>134.53</t>
  </si>
  <si>
    <t>68.97</t>
  </si>
  <si>
    <t>50.48</t>
  </si>
  <si>
    <t>30.07</t>
  </si>
  <si>
    <t>59.55</t>
  </si>
  <si>
    <t>34.58</t>
  </si>
  <si>
    <t>38.81</t>
  </si>
  <si>
    <t>21.08</t>
  </si>
  <si>
    <t>43.56</t>
  </si>
  <si>
    <t>21.35</t>
  </si>
  <si>
    <t>24.69</t>
  </si>
  <si>
    <t>19.70</t>
  </si>
  <si>
    <t>28.50</t>
  </si>
  <si>
    <t>32.75</t>
  </si>
  <si>
    <t>44.44</t>
  </si>
  <si>
    <t>17.60</t>
  </si>
  <si>
    <t>29.25</t>
  </si>
  <si>
    <t>20.96</t>
  </si>
  <si>
    <t>34.48</t>
  </si>
  <si>
    <t>38.39</t>
  </si>
  <si>
    <t>45.28</t>
  </si>
  <si>
    <t>25.15</t>
  </si>
  <si>
    <t>35.43</t>
  </si>
  <si>
    <t>45.88</t>
  </si>
  <si>
    <t>43.34</t>
  </si>
  <si>
    <t>90.96</t>
  </si>
  <si>
    <t>176.20</t>
  </si>
  <si>
    <t>28.10</t>
  </si>
  <si>
    <t>95.24</t>
  </si>
  <si>
    <t>41.86</t>
  </si>
  <si>
    <t>35.38</t>
  </si>
  <si>
    <t>199.95</t>
  </si>
  <si>
    <t>28.86</t>
  </si>
  <si>
    <t>34.52</t>
  </si>
  <si>
    <t>15.91</t>
  </si>
  <si>
    <t>96.19</t>
  </si>
  <si>
    <t>44.79</t>
  </si>
  <si>
    <t>53.81</t>
  </si>
  <si>
    <t>138.10</t>
  </si>
  <si>
    <t>104.77</t>
  </si>
  <si>
    <t>15.72</t>
  </si>
  <si>
    <t>104.50</t>
  </si>
  <si>
    <t>307.71</t>
  </si>
  <si>
    <t>33.33</t>
  </si>
  <si>
    <t>71.13</t>
  </si>
  <si>
    <t>62.80</t>
  </si>
  <si>
    <t>125.50</t>
  </si>
  <si>
    <t>40.42</t>
  </si>
  <si>
    <t>30.85</t>
  </si>
  <si>
    <t>41.89</t>
  </si>
  <si>
    <t>24.25</t>
  </si>
  <si>
    <t>37.04</t>
  </si>
  <si>
    <t>53.26</t>
  </si>
  <si>
    <t>12.39</t>
  </si>
  <si>
    <t>35.55</t>
  </si>
  <si>
    <t>125.05</t>
  </si>
  <si>
    <t>97.21</t>
  </si>
  <si>
    <t>89.91</t>
  </si>
  <si>
    <t>232.05</t>
  </si>
  <si>
    <t>32.84</t>
  </si>
  <si>
    <t>93.84</t>
  </si>
  <si>
    <t>32.18</t>
  </si>
  <si>
    <t>22.45</t>
  </si>
  <si>
    <t>116.00</t>
  </si>
  <si>
    <t>24.24</t>
  </si>
  <si>
    <t>26.00</t>
  </si>
  <si>
    <t>60.45</t>
  </si>
  <si>
    <t>24.75</t>
  </si>
  <si>
    <t>59.30</t>
  </si>
  <si>
    <t>23.50</t>
  </si>
  <si>
    <t>24.77</t>
  </si>
  <si>
    <t>58.05</t>
  </si>
  <si>
    <t>58.57</t>
  </si>
  <si>
    <t>25.03</t>
  </si>
  <si>
    <t>46.77</t>
  </si>
  <si>
    <t>20.12</t>
  </si>
  <si>
    <t>53.66</t>
  </si>
  <si>
    <t>29.95</t>
  </si>
  <si>
    <t>37.41</t>
  </si>
  <si>
    <t>27.57</t>
  </si>
  <si>
    <t>38.90</t>
  </si>
  <si>
    <t>47.95</t>
  </si>
  <si>
    <t>46.00</t>
  </si>
  <si>
    <t>49.38</t>
  </si>
  <si>
    <t>45.83</t>
  </si>
  <si>
    <t>42.75</t>
  </si>
  <si>
    <t>93.55</t>
  </si>
  <si>
    <t>86.58</t>
  </si>
  <si>
    <t>39.50</t>
  </si>
  <si>
    <t>38.75</t>
  </si>
  <si>
    <t>35.75</t>
  </si>
  <si>
    <t>51.50</t>
  </si>
  <si>
    <t>41.72</t>
  </si>
  <si>
    <t>32.10</t>
  </si>
  <si>
    <t>71.06</t>
  </si>
  <si>
    <t>87.50</t>
  </si>
  <si>
    <t>22.59</t>
  </si>
  <si>
    <t>21.60</t>
  </si>
  <si>
    <t>4801958393109</t>
  </si>
  <si>
    <t>4801958390108</t>
  </si>
  <si>
    <t>4801958240007</t>
  </si>
  <si>
    <t>4801958300107</t>
  </si>
  <si>
    <t>4801958341100</t>
  </si>
  <si>
    <t>4801958310007</t>
  </si>
  <si>
    <t>4801958342008</t>
  </si>
  <si>
    <t>4801958250006</t>
  </si>
  <si>
    <t>4801958260005</t>
  </si>
  <si>
    <t>4801958146002</t>
  </si>
  <si>
    <t>4809014863702</t>
  </si>
  <si>
    <t>0745125096018</t>
  </si>
  <si>
    <t>0745125096032</t>
  </si>
  <si>
    <t>4806514650047</t>
  </si>
  <si>
    <t>4808647210099</t>
  </si>
  <si>
    <t>748485150079</t>
  </si>
  <si>
    <t>748485150093</t>
  </si>
  <si>
    <t>4801668600542</t>
  </si>
  <si>
    <t>4801668505045</t>
  </si>
  <si>
    <t>4801668505038</t>
  </si>
  <si>
    <t>4801668500224</t>
  </si>
  <si>
    <t>4801668602034</t>
  </si>
  <si>
    <t>4801668500262</t>
  </si>
  <si>
    <t>4801668100141</t>
  </si>
  <si>
    <t>4801668602027</t>
  </si>
  <si>
    <t>4801668601914</t>
  </si>
  <si>
    <t>4801668100103</t>
  </si>
  <si>
    <t>4800024575500</t>
  </si>
  <si>
    <t>4800024556165</t>
  </si>
  <si>
    <t>4800024580016</t>
  </si>
  <si>
    <t>4800024573544</t>
  </si>
  <si>
    <t>4800024556899</t>
  </si>
  <si>
    <t>4800024556929</t>
  </si>
  <si>
    <t>4800024555496</t>
  </si>
  <si>
    <t>4809012601122</t>
  </si>
  <si>
    <t>0710535411621</t>
  </si>
  <si>
    <t>4809012601146</t>
  </si>
  <si>
    <t>4806011900027</t>
  </si>
  <si>
    <t>6929537239889</t>
  </si>
  <si>
    <t>888123456782036</t>
  </si>
  <si>
    <t>4809011485099</t>
  </si>
  <si>
    <t>4809011485082</t>
  </si>
  <si>
    <t>4806014099285</t>
  </si>
  <si>
    <t>888123456782037</t>
  </si>
  <si>
    <t>4800888602732</t>
  </si>
  <si>
    <t>4808680210759</t>
  </si>
  <si>
    <t>4800888602718</t>
  </si>
  <si>
    <t>4800888285355</t>
  </si>
  <si>
    <t>4808680210957</t>
  </si>
  <si>
    <t>4808680211251</t>
  </si>
  <si>
    <t>4800888213082</t>
  </si>
  <si>
    <t>4808680221250</t>
  </si>
  <si>
    <t>4800888218377</t>
  </si>
  <si>
    <t>4800888218889</t>
  </si>
  <si>
    <t>4808680230764</t>
  </si>
  <si>
    <t>4808680230603</t>
  </si>
  <si>
    <t>4800888602725</t>
  </si>
  <si>
    <t>4800888607959</t>
  </si>
  <si>
    <t>4800888260451</t>
  </si>
  <si>
    <t>4800888603692</t>
  </si>
  <si>
    <t>4800888284211</t>
  </si>
  <si>
    <t>4800888600790</t>
  </si>
  <si>
    <t>888123456782032</t>
  </si>
  <si>
    <t>888123456782033</t>
  </si>
  <si>
    <t>48025522</t>
  </si>
  <si>
    <t>888123456781834</t>
  </si>
  <si>
    <t>4804888804189</t>
  </si>
  <si>
    <t>025407803603</t>
  </si>
  <si>
    <t>4806512022099</t>
  </si>
  <si>
    <t>025407803313</t>
  </si>
  <si>
    <t>025407805201</t>
  </si>
  <si>
    <t>4806512026387</t>
  </si>
  <si>
    <t>4804888809788</t>
  </si>
  <si>
    <t>4804888809474</t>
  </si>
  <si>
    <t>4806512023522</t>
  </si>
  <si>
    <t>025407806680</t>
  </si>
  <si>
    <t>4801668600641</t>
  </si>
  <si>
    <t>4801668100264</t>
  </si>
  <si>
    <t>4801668100288</t>
  </si>
  <si>
    <t>4809013526448</t>
  </si>
  <si>
    <t>4809013526271</t>
  </si>
  <si>
    <t>4806512023546</t>
  </si>
  <si>
    <t>4800361061322</t>
  </si>
  <si>
    <t>4800361419307</t>
  </si>
  <si>
    <t>888123456782038</t>
  </si>
  <si>
    <t>4800300200096</t>
  </si>
  <si>
    <t>4800300600094</t>
  </si>
  <si>
    <t>4800300100044</t>
  </si>
  <si>
    <t>4800300100020</t>
  </si>
  <si>
    <t>4800344010620</t>
  </si>
  <si>
    <t>4800344001628</t>
  </si>
  <si>
    <t>0000004789291</t>
  </si>
  <si>
    <t>4800024038548</t>
  </si>
  <si>
    <t>014285002789</t>
  </si>
  <si>
    <t>014285003045</t>
  </si>
  <si>
    <t>014285003656</t>
  </si>
  <si>
    <t>014285000068</t>
  </si>
  <si>
    <t>4801668601235</t>
  </si>
  <si>
    <t>888123456781555</t>
  </si>
  <si>
    <t>888123456781281</t>
  </si>
  <si>
    <t>888123456781554</t>
  </si>
  <si>
    <t>0891234568110</t>
  </si>
  <si>
    <t>888123456781843</t>
  </si>
  <si>
    <t>AJI CRISPY FRY BREADING MIX GARLIC 62G</t>
  </si>
  <si>
    <t>AJI CRISPY FRY BREADING MIX ORIGINAL 62G</t>
  </si>
  <si>
    <t>AJI-NO-MOTO UMAMI SEASONING 100G</t>
  </si>
  <si>
    <t>AJI-NO-MOTO UMAMI SEASONING 10GX18</t>
  </si>
  <si>
    <t>AJI-NO-MOTO UMAMI SEASONING 11GX12S</t>
  </si>
  <si>
    <t>AJI-NO-MOTO UMAMI SEASONING 1KG</t>
  </si>
  <si>
    <t>AJI-NO-MOTO UMAMI SEASONING 24G</t>
  </si>
  <si>
    <t>AJI-NO-MOTO UMAMI SEASONING 250G</t>
  </si>
  <si>
    <t>AJI-NO-MOTO UMAMI SEASONING 500G</t>
  </si>
  <si>
    <t>AJI-NO-MOTO UMAMI SEASONING 50G</t>
  </si>
  <si>
    <t>ALLYSSA PALM OIL 1L</t>
  </si>
  <si>
    <t>ALLYSSA SAVERS PATIS 1L</t>
  </si>
  <si>
    <t>ALLYSSA SAVERS SOY SAUCE 1L</t>
  </si>
  <si>
    <t>BUENAS KAONG 340G</t>
  </si>
  <si>
    <t>CALUMET BAKING POWDER 50G</t>
  </si>
  <si>
    <t>COCO MAMA FRESH GATA 200ML</t>
  </si>
  <si>
    <t>COCO MAMA FRESH GATA 400ML</t>
  </si>
  <si>
    <t>DATU PUTI PATIS 150ML</t>
  </si>
  <si>
    <t>DATU PUTI PATIS 1L</t>
  </si>
  <si>
    <t>DATU PUTI PATIS 350ML</t>
  </si>
  <si>
    <t>DATU PUTI SOY SAUCE 1L</t>
  </si>
  <si>
    <t>DATU PUTI SOY SAUCE 200ML</t>
  </si>
  <si>
    <t>DATU PUTI SOY SAUCE 350ML</t>
  </si>
  <si>
    <t>DATU PUTI VINEGAR 1L</t>
  </si>
  <si>
    <t>DATU PUTI VINEGAR 200ML</t>
  </si>
  <si>
    <t>DATU PUTI VINEGAR 3.785L</t>
  </si>
  <si>
    <t>DATU PUTI VINEGAR 350ML</t>
  </si>
  <si>
    <t>DM FILIPINO STYLE SPAGHETTI SAUCE 900G</t>
  </si>
  <si>
    <t>DM ORIGINAL STYLE TOMATO SAUCE 900G</t>
  </si>
  <si>
    <t>DM SPAGHETTI SAUCE FILIPINO STYLE 500G</t>
  </si>
  <si>
    <t>DM SWEET STYLE SPAGHETTI SAUCE 900G</t>
  </si>
  <si>
    <t>DM TOMATO PASTE 150G</t>
  </si>
  <si>
    <t>DM TOMATO SAUCE ORIG STYLE 250G</t>
  </si>
  <si>
    <t>DM TOMATO SAUCE ORIGINAL STYLE 200G</t>
  </si>
  <si>
    <t>DON FRANK BUKO PANDAN GULAMAN 24G</t>
  </si>
  <si>
    <t>DON FRANK GULAMAN FLOVORED 24G</t>
  </si>
  <si>
    <t>DON FRANK GULAMAN WHITE FLAVORED</t>
  </si>
  <si>
    <t>FIDEL IODIZED SALT 500 GRAMS</t>
  </si>
  <si>
    <t>FRIED GARLIC GRANULES 1KG</t>
  </si>
  <si>
    <t>HONEY MOON RICE MALAGKIT 1KG</t>
  </si>
  <si>
    <t>JES BAGOONG BIG</t>
  </si>
  <si>
    <t>JES BAGOONG SMALL</t>
  </si>
  <si>
    <t>JOLLY CANOLA OIL 1L DUO</t>
  </si>
  <si>
    <t>KINGS GLUTHINOUS FLOUR</t>
  </si>
  <si>
    <t>KNORR BEEF BROTH CUBE 10G</t>
  </si>
  <si>
    <t>KNORR CHICKEN &amp; CORN 60G</t>
  </si>
  <si>
    <t>KNORR CHICKEN BROTH CUBE 10G</t>
  </si>
  <si>
    <t>KNORR CHICKEN BROTH CUBE 10G 6+2</t>
  </si>
  <si>
    <t>KNORR CRAB &amp; CORN SOUP 60G</t>
  </si>
  <si>
    <t>KNORR CRAB N CORN SOUP MIX 40G</t>
  </si>
  <si>
    <t>KNORR CREAM OF MUSHROOM 38G</t>
  </si>
  <si>
    <t>KNORR CREAM OF MUSHROOM SOUP MIX 70G</t>
  </si>
  <si>
    <t>KNORR LIQUID SEASONING CHILI 130ML</t>
  </si>
  <si>
    <t>KNORR LIQUID SEASONING CHILI 25OML</t>
  </si>
  <si>
    <t>KNORR LIQUID SEASONING ORIGINAL 130ML</t>
  </si>
  <si>
    <t>KNORR LIQUID SEASONING ORIGINAL 1L</t>
  </si>
  <si>
    <t>KNORR PORK BROTH CUBE 10G</t>
  </si>
  <si>
    <t>KNORR SHRIMP BROTH CUBE 10G</t>
  </si>
  <si>
    <t>KNORR SINIGANG ORIGINAL 6X22G W/ FREE KOPIKO TP</t>
  </si>
  <si>
    <t>KNORR SINIGANG SA SAMPALOK MIX 11G</t>
  </si>
  <si>
    <t>KNORR SINIGANG SA SAMPALOK MIX 11G 12+1</t>
  </si>
  <si>
    <t>KNORR SINIGANG SA SAMPALOK MIX ORIG 22G</t>
  </si>
  <si>
    <t>LUISITA SUGAR WHITE 1/2</t>
  </si>
  <si>
    <t>LUISITA SUGAR WHITE 1/4</t>
  </si>
  <si>
    <t>MAGGI MAGIC SARAP 8G</t>
  </si>
  <si>
    <t>MAGGI MAGIC SARAP BUY 32 GET FREE 1 TOM YAM</t>
  </si>
  <si>
    <t>MAMA SITAS ACHUETE POWDER 10G</t>
  </si>
  <si>
    <t>MAMA SITAS CALDERETA SPICY SAUCE MIX 50G</t>
  </si>
  <si>
    <t>MAMA SITAS ILOCANO PINAPAITAN BITTER STEW MIX 40G</t>
  </si>
  <si>
    <t>MAMA SITAS KARE KARE PEANUT SAUCE MIX 57G</t>
  </si>
  <si>
    <t>MAMA SITAS MENUDO/AFRITADA MIX 30G</t>
  </si>
  <si>
    <t>MAMA SITAS ORIGINAL OYSTER SAUCE 60G</t>
  </si>
  <si>
    <t>MAMA SITAS OYSTER SAUCE 2KG</t>
  </si>
  <si>
    <t>MAMA SITAS OYSTER SAUCE 30G</t>
  </si>
  <si>
    <t>MAMA SITAS OYSTER SAUCE 90G</t>
  </si>
  <si>
    <t>MAMA SITAS PALABOK ORIENTAL GRAVY MIX 57G</t>
  </si>
  <si>
    <t>MANG TOMAS ALL AROUND SARSA 100G</t>
  </si>
  <si>
    <t>MANG TOMAS ALL AROUND SARSA 325G</t>
  </si>
  <si>
    <t>MANG TOMAS SIGA HOT AND SPICY 325G</t>
  </si>
  <si>
    <t>MR. GULAMAN BLACK 25G</t>
  </si>
  <si>
    <t>MR. GULAMAN BUKO PANDAN 24G</t>
  </si>
  <si>
    <t>MS BARBEQUE MARINADE 80ML</t>
  </si>
  <si>
    <t>NESTLE ALL PURPOSE CREAM 250ML</t>
  </si>
  <si>
    <t>NESTLE CARNATION CONDENSADA 300ML</t>
  </si>
  <si>
    <t>PALM OIL CONTAINER 1L</t>
  </si>
  <si>
    <t>QUEEN ALL PURPOSE FLOUR 400G</t>
  </si>
  <si>
    <t>QUEEN HOTCAKE MIX 400G</t>
  </si>
  <si>
    <t>QUEEN PURE CORN STARCH 1KG</t>
  </si>
  <si>
    <t>QUEEN PURE CORN STARCH 200G</t>
  </si>
  <si>
    <t>SILVER SWAN PATIS 1L</t>
  </si>
  <si>
    <t>SILVER SWAN SOY SAUCE 1L</t>
  </si>
  <si>
    <t>TAL PATIS REGULAR 1L</t>
  </si>
  <si>
    <t>TODAYS FRUIT COCKTAIL 1GAL</t>
  </si>
  <si>
    <t>UFC BANANA CATSUP 100G</t>
  </si>
  <si>
    <t>UFC BANANA CATSUP 1KG</t>
  </si>
  <si>
    <t>UFC BANANA CATSUP 200G</t>
  </si>
  <si>
    <t>UFC BANANA CATSUP 320G</t>
  </si>
  <si>
    <t>UFC CANOLA OIL 1L</t>
  </si>
  <si>
    <t>VICTORIA WASH SUGAR 1/2</t>
  </si>
  <si>
    <t>VICTORIA WASH SUGAR 1KG</t>
  </si>
  <si>
    <t>VICTORIA WHITE SUGAR 1/4</t>
  </si>
  <si>
    <t>WAMI FOODS BLACK PEPPER</t>
  </si>
  <si>
    <t>WASH SUGAR SACK</t>
  </si>
  <si>
    <t>15.39</t>
  </si>
  <si>
    <t>15.70</t>
  </si>
  <si>
    <t>23.92</t>
  </si>
  <si>
    <t>45.95</t>
  </si>
  <si>
    <t>60.90</t>
  </si>
  <si>
    <t>172.85</t>
  </si>
  <si>
    <t>6.10</t>
  </si>
  <si>
    <t>60.40</t>
  </si>
  <si>
    <t>110.50</t>
  </si>
  <si>
    <t>11.66</t>
  </si>
  <si>
    <t>76.17</t>
  </si>
  <si>
    <t>22.50</t>
  </si>
  <si>
    <t>65.08</t>
  </si>
  <si>
    <t>15.19</t>
  </si>
  <si>
    <t>65.95</t>
  </si>
  <si>
    <t>13.56</t>
  </si>
  <si>
    <t>71.75</t>
  </si>
  <si>
    <t>25.65</t>
  </si>
  <si>
    <t>51.00</t>
  </si>
  <si>
    <t>18.98</t>
  </si>
  <si>
    <t>41.25</t>
  </si>
  <si>
    <t>148.25</t>
  </si>
  <si>
    <t>16.60</t>
  </si>
  <si>
    <t>91.90</t>
  </si>
  <si>
    <t>90.24</t>
  </si>
  <si>
    <t>54.76</t>
  </si>
  <si>
    <t>94.76</t>
  </si>
  <si>
    <t>31.19</t>
  </si>
  <si>
    <t>26.43</t>
  </si>
  <si>
    <t>23.05</t>
  </si>
  <si>
    <t>21.43</t>
  </si>
  <si>
    <t>49.20</t>
  </si>
  <si>
    <t>16.88</t>
  </si>
  <si>
    <t>251.15</t>
  </si>
  <si>
    <t>6.02</t>
  </si>
  <si>
    <t>51.97</t>
  </si>
  <si>
    <t>34.88</t>
  </si>
  <si>
    <t>35.39</t>
  </si>
  <si>
    <t>60.64</t>
  </si>
  <si>
    <t>99.09</t>
  </si>
  <si>
    <t>56.54</t>
  </si>
  <si>
    <t>301.87</t>
  </si>
  <si>
    <t>86.29</t>
  </si>
  <si>
    <t>7.14</t>
  </si>
  <si>
    <t>82.62</t>
  </si>
  <si>
    <t>14.38</t>
  </si>
  <si>
    <t>27.84</t>
  </si>
  <si>
    <t>13.92</t>
  </si>
  <si>
    <t>4.74</t>
  </si>
  <si>
    <t>121.65</t>
  </si>
  <si>
    <t>20.80</t>
  </si>
  <si>
    <t>34.05</t>
  </si>
  <si>
    <t>36.66</t>
  </si>
  <si>
    <t>35.68</t>
  </si>
  <si>
    <t>31.04</t>
  </si>
  <si>
    <t>13.39</t>
  </si>
  <si>
    <t>362.50</t>
  </si>
  <si>
    <t>5.61</t>
  </si>
  <si>
    <t>21.67</t>
  </si>
  <si>
    <t>37.45</t>
  </si>
  <si>
    <t>11.02</t>
  </si>
  <si>
    <t>17.23</t>
  </si>
  <si>
    <t>17.62</t>
  </si>
  <si>
    <t>67.29</t>
  </si>
  <si>
    <t>64.49</t>
  </si>
  <si>
    <t>91.25</t>
  </si>
  <si>
    <t>66.75</t>
  </si>
  <si>
    <t>78.50</t>
  </si>
  <si>
    <t>120.00</t>
  </si>
  <si>
    <t>30.25</t>
  </si>
  <si>
    <t>63.20</t>
  </si>
  <si>
    <t>10.25</t>
  </si>
  <si>
    <t>17.50</t>
  </si>
  <si>
    <t>135.25</t>
  </si>
  <si>
    <t>31.50</t>
  </si>
  <si>
    <t>20.88</t>
  </si>
  <si>
    <t>17.90</t>
  </si>
  <si>
    <t>3,050.00</t>
  </si>
  <si>
    <t>888123456781807</t>
  </si>
  <si>
    <t>4800417005225</t>
  </si>
  <si>
    <t>4800417060415</t>
  </si>
  <si>
    <t>4800417064888</t>
  </si>
  <si>
    <t>4800417059549</t>
  </si>
  <si>
    <t>4800417059556</t>
  </si>
  <si>
    <t>4800417059563</t>
  </si>
  <si>
    <t>4800417059433</t>
  </si>
  <si>
    <t>4800417059495</t>
  </si>
  <si>
    <t>4800417059594</t>
  </si>
  <si>
    <t>4800417059488</t>
  </si>
  <si>
    <t>4800417059501</t>
  </si>
  <si>
    <t>4800417059518</t>
  </si>
  <si>
    <t>4800417059525</t>
  </si>
  <si>
    <t>4800417005249</t>
  </si>
  <si>
    <t>4800417005218</t>
  </si>
  <si>
    <t>4800417060590</t>
  </si>
  <si>
    <t>4800204002093</t>
  </si>
  <si>
    <t>4806525621340</t>
  </si>
  <si>
    <t>4806525621333</t>
  </si>
  <si>
    <t>4806525621098</t>
  </si>
  <si>
    <t>4806525621012</t>
  </si>
  <si>
    <t>4806525621005</t>
  </si>
  <si>
    <t>4806525621111</t>
  </si>
  <si>
    <t>4806525621036</t>
  </si>
  <si>
    <t>4806525621241</t>
  </si>
  <si>
    <t>4800011115061</t>
  </si>
  <si>
    <t>4800011782805</t>
  </si>
  <si>
    <t>4800011113968</t>
  </si>
  <si>
    <t>4800011113937</t>
  </si>
  <si>
    <t>4800011782737</t>
  </si>
  <si>
    <t>4809012634991</t>
  </si>
  <si>
    <t>4806516856157</t>
  </si>
  <si>
    <t>4801010361121</t>
  </si>
  <si>
    <t>4806506313882</t>
  </si>
  <si>
    <t>4800888141194</t>
  </si>
  <si>
    <t>4800067120989</t>
  </si>
  <si>
    <t>8934839125691</t>
  </si>
  <si>
    <t>4800888218315</t>
  </si>
  <si>
    <t>4800888147240</t>
  </si>
  <si>
    <t>8934839125677</t>
  </si>
  <si>
    <t>4800888147288</t>
  </si>
  <si>
    <t>8850006327357</t>
  </si>
  <si>
    <t>8850006344200</t>
  </si>
  <si>
    <t>8850006342213</t>
  </si>
  <si>
    <t>6920354832123</t>
  </si>
  <si>
    <t>4808888200583</t>
  </si>
  <si>
    <t>4808888201115</t>
  </si>
  <si>
    <t>8935102111335</t>
  </si>
  <si>
    <t>4808888892566</t>
  </si>
  <si>
    <t>6920354823985</t>
  </si>
  <si>
    <t>6920354826559</t>
  </si>
  <si>
    <t>8850006327449</t>
  </si>
  <si>
    <t>6920354824104</t>
  </si>
  <si>
    <t>8850006327432</t>
  </si>
  <si>
    <t>8850006327425</t>
  </si>
  <si>
    <t>8850006325216</t>
  </si>
  <si>
    <t>8850006302088</t>
  </si>
  <si>
    <t>8850006306246</t>
  </si>
  <si>
    <t>8850006306772</t>
  </si>
  <si>
    <t>8850006302132</t>
  </si>
  <si>
    <t>4808888892177</t>
  </si>
  <si>
    <t>8850006327456</t>
  </si>
  <si>
    <t>8850006325223</t>
  </si>
  <si>
    <t>6920354817724</t>
  </si>
  <si>
    <t>8935236000734</t>
  </si>
  <si>
    <t>8935236000093</t>
  </si>
  <si>
    <t>8850006327470</t>
  </si>
  <si>
    <t>8850006327463</t>
  </si>
  <si>
    <t>4800888283122</t>
  </si>
  <si>
    <t>4800888240064</t>
  </si>
  <si>
    <t>4800888283139</t>
  </si>
  <si>
    <t>4800888139276</t>
  </si>
  <si>
    <t>4800888181084</t>
  </si>
  <si>
    <t>4800888139306</t>
  </si>
  <si>
    <t>4800888181077</t>
  </si>
  <si>
    <t>4800888287496</t>
  </si>
  <si>
    <t>4800888181787</t>
  </si>
  <si>
    <t>4800888139283</t>
  </si>
  <si>
    <t>4800888206121</t>
  </si>
  <si>
    <t>4800417059570</t>
  </si>
  <si>
    <t>4806515163782</t>
  </si>
  <si>
    <t>4800888220493</t>
  </si>
  <si>
    <t>4800888206572</t>
  </si>
  <si>
    <t>4800888207869</t>
  </si>
  <si>
    <t>4800888190215</t>
  </si>
  <si>
    <t>4800888220509</t>
  </si>
  <si>
    <t>4800888217523</t>
  </si>
  <si>
    <t>4800888206565</t>
  </si>
  <si>
    <t>4800888154262</t>
  </si>
  <si>
    <t>4800888212900</t>
  </si>
  <si>
    <t>4800888217455</t>
  </si>
  <si>
    <t>4800888154255</t>
  </si>
  <si>
    <t>4800888190185</t>
  </si>
  <si>
    <t>4800888212917</t>
  </si>
  <si>
    <t>4800888217448</t>
  </si>
  <si>
    <t>4800488960348</t>
  </si>
  <si>
    <t>48038164</t>
  </si>
  <si>
    <t>4806502352724</t>
  </si>
  <si>
    <t>4902806015560</t>
  </si>
  <si>
    <t>4800047820250</t>
  </si>
  <si>
    <t>4800047865404</t>
  </si>
  <si>
    <t>4800047820465</t>
  </si>
  <si>
    <t>4800047820434</t>
  </si>
  <si>
    <t>4800047820182</t>
  </si>
  <si>
    <t>4800047820458</t>
  </si>
  <si>
    <t>4800047865183</t>
  </si>
  <si>
    <t>4987176092267</t>
  </si>
  <si>
    <t>4902430441896</t>
  </si>
  <si>
    <t>8888826019589</t>
  </si>
  <si>
    <t>4801234146078</t>
  </si>
  <si>
    <t>4800034015164</t>
  </si>
  <si>
    <t>4800034017267</t>
  </si>
  <si>
    <t>4800034606690</t>
  </si>
  <si>
    <t>4800034017243</t>
  </si>
  <si>
    <t>4800034606980</t>
  </si>
  <si>
    <t>4800034014440</t>
  </si>
  <si>
    <t>4800034014549</t>
  </si>
  <si>
    <t>4800034012446</t>
  </si>
  <si>
    <t>4800034012545</t>
  </si>
  <si>
    <t>4800034012347</t>
  </si>
  <si>
    <t>4902430411776</t>
  </si>
  <si>
    <t>4902430522809</t>
  </si>
  <si>
    <t>4902430736510</t>
  </si>
  <si>
    <t>4902430333597</t>
  </si>
  <si>
    <t>4902430698658</t>
  </si>
  <si>
    <t>9556006060308</t>
  </si>
  <si>
    <t>4801010121213</t>
  </si>
  <si>
    <t>4801010504207</t>
  </si>
  <si>
    <t>4801010504306</t>
  </si>
  <si>
    <t>48038065</t>
  </si>
  <si>
    <t>4801010503323</t>
  </si>
  <si>
    <t>4801010503224</t>
  </si>
  <si>
    <t>4801010501312</t>
  </si>
  <si>
    <t>48035996</t>
  </si>
  <si>
    <t>4801010501213</t>
  </si>
  <si>
    <t>4801010105206</t>
  </si>
  <si>
    <t>4801010105107</t>
  </si>
  <si>
    <t>4801010104209</t>
  </si>
  <si>
    <t>8850007011149</t>
  </si>
  <si>
    <t>48032742</t>
  </si>
  <si>
    <t>48033459</t>
  </si>
  <si>
    <t>4801010127215</t>
  </si>
  <si>
    <t>4800060254506</t>
  </si>
  <si>
    <t>4800060254803</t>
  </si>
  <si>
    <t>4800060031503</t>
  </si>
  <si>
    <t>4809012413039</t>
  </si>
  <si>
    <t>4800060254407</t>
  </si>
  <si>
    <t>4800060202101</t>
  </si>
  <si>
    <t>4809010120953</t>
  </si>
  <si>
    <t>4806520415227</t>
  </si>
  <si>
    <t>4809014128672</t>
  </si>
  <si>
    <t>4809013300215</t>
  </si>
  <si>
    <t>4806500805369</t>
  </si>
  <si>
    <t>4806500805260</t>
  </si>
  <si>
    <t>4806500805468</t>
  </si>
  <si>
    <t>4806500807325</t>
  </si>
  <si>
    <t>4806500807356</t>
  </si>
  <si>
    <t>4806500806311</t>
  </si>
  <si>
    <t>4806500807516</t>
  </si>
  <si>
    <t>4806500807226</t>
  </si>
  <si>
    <t>4806500807257</t>
  </si>
  <si>
    <t>4806500806212</t>
  </si>
  <si>
    <t>4806500807028</t>
  </si>
  <si>
    <t>4806500807554</t>
  </si>
  <si>
    <t>4806500807561</t>
  </si>
  <si>
    <t>4806500807424</t>
  </si>
  <si>
    <t>4806500807455</t>
  </si>
  <si>
    <t>4806500806410</t>
  </si>
  <si>
    <t>4806500807158</t>
  </si>
  <si>
    <t>4806500807127</t>
  </si>
  <si>
    <t>4806500807110</t>
  </si>
  <si>
    <t>4806500802528</t>
  </si>
  <si>
    <t>4806500802559</t>
  </si>
  <si>
    <t>4806789446826</t>
  </si>
  <si>
    <t>4800888176882</t>
  </si>
  <si>
    <t>48038614</t>
  </si>
  <si>
    <t>4801010327103</t>
  </si>
  <si>
    <t>4801010342724</t>
  </si>
  <si>
    <t>8850007371397</t>
  </si>
  <si>
    <t>8850007371403</t>
  </si>
  <si>
    <t>4801010342717</t>
  </si>
  <si>
    <t>4806502352953</t>
  </si>
  <si>
    <t>4801010333913</t>
  </si>
  <si>
    <t>4005808324774</t>
  </si>
  <si>
    <t>4005808354016</t>
  </si>
  <si>
    <t>48038379</t>
  </si>
  <si>
    <t>48031813</t>
  </si>
  <si>
    <t>4801234130183</t>
  </si>
  <si>
    <t>4902430296847</t>
  </si>
  <si>
    <t>4902430349062</t>
  </si>
  <si>
    <t>4808888004594</t>
  </si>
  <si>
    <t>4808888004174</t>
  </si>
  <si>
    <t>8850006480724</t>
  </si>
  <si>
    <t>8850006943953</t>
  </si>
  <si>
    <t>8850006943960</t>
  </si>
  <si>
    <t>8850006943946</t>
  </si>
  <si>
    <t>4808888004167</t>
  </si>
  <si>
    <t>8850006493038</t>
  </si>
  <si>
    <t>4808888004181</t>
  </si>
  <si>
    <t>4902430698085</t>
  </si>
  <si>
    <t>4902430634014</t>
  </si>
  <si>
    <t>4902430698146</t>
  </si>
  <si>
    <t>4902430759960</t>
  </si>
  <si>
    <t>4800060084806</t>
  </si>
  <si>
    <t>4800060084905</t>
  </si>
  <si>
    <t>4800060084707</t>
  </si>
  <si>
    <t>4800060008475</t>
  </si>
  <si>
    <t>4800060080709</t>
  </si>
  <si>
    <t>4800060080808</t>
  </si>
  <si>
    <t>4800060075200</t>
  </si>
  <si>
    <t>4800060075408</t>
  </si>
  <si>
    <t>4800060906313</t>
  </si>
  <si>
    <t>4800060075507</t>
  </si>
  <si>
    <t>4800060906184</t>
  </si>
  <si>
    <t>4902430698078</t>
  </si>
  <si>
    <t>4902430754767</t>
  </si>
  <si>
    <t>4800888160027</t>
  </si>
  <si>
    <t>4800888143365</t>
  </si>
  <si>
    <t>4800888151117</t>
  </si>
  <si>
    <t>4800888151100</t>
  </si>
  <si>
    <t>4800888158888</t>
  </si>
  <si>
    <t>4800888150608</t>
  </si>
  <si>
    <t>4800888142672</t>
  </si>
  <si>
    <t>4902430160896</t>
  </si>
  <si>
    <t>4902430159258</t>
  </si>
  <si>
    <t>4902430373241</t>
  </si>
  <si>
    <t>4902430674034</t>
  </si>
  <si>
    <t>4902430935616</t>
  </si>
  <si>
    <t>4902430184298</t>
  </si>
  <si>
    <t>4902430495141</t>
  </si>
  <si>
    <t>4902430750547</t>
  </si>
  <si>
    <t>4902430897464</t>
  </si>
  <si>
    <t>4902430381772</t>
  </si>
  <si>
    <t>4902430803694</t>
  </si>
  <si>
    <t>4902430858540</t>
  </si>
  <si>
    <t>4902430803717</t>
  </si>
  <si>
    <t>4902430934800</t>
  </si>
  <si>
    <t>4902430222891</t>
  </si>
  <si>
    <t>4902430951357</t>
  </si>
  <si>
    <t>4902430945554</t>
  </si>
  <si>
    <t>4902430495073</t>
  </si>
  <si>
    <t>4987176026750</t>
  </si>
  <si>
    <t>4987176220653</t>
  </si>
  <si>
    <t>8935196503122</t>
  </si>
  <si>
    <t>4806502350546</t>
  </si>
  <si>
    <t>4806502352397</t>
  </si>
  <si>
    <t>4806507832214</t>
  </si>
  <si>
    <t>4806507832481</t>
  </si>
  <si>
    <t>4806506318849</t>
  </si>
  <si>
    <t>4806506318832</t>
  </si>
  <si>
    <t>4806506318856</t>
  </si>
  <si>
    <t>4806506318818</t>
  </si>
  <si>
    <t>4806506318955</t>
  </si>
  <si>
    <t>4806506318863</t>
  </si>
  <si>
    <t>4806506318900</t>
  </si>
  <si>
    <t>4806506318917</t>
  </si>
  <si>
    <t>4806506318870</t>
  </si>
  <si>
    <t>4806506318764</t>
  </si>
  <si>
    <t>4806506318894</t>
  </si>
  <si>
    <t>4806506311079</t>
  </si>
  <si>
    <t>4806506318887</t>
  </si>
  <si>
    <t>4800119221107</t>
  </si>
  <si>
    <t>4800119221091</t>
  </si>
  <si>
    <t>4800888194268</t>
  </si>
  <si>
    <t>4800888169709</t>
  </si>
  <si>
    <t>4800888207234</t>
  </si>
  <si>
    <t>4800888169716</t>
  </si>
  <si>
    <t>4800888209634</t>
  </si>
  <si>
    <t>4800888214133</t>
  </si>
  <si>
    <t>4800888209658</t>
  </si>
  <si>
    <t>8850006593356</t>
  </si>
  <si>
    <t>8850006590355</t>
  </si>
  <si>
    <t>8850006590362</t>
  </si>
  <si>
    <t>8850006590379</t>
  </si>
  <si>
    <t>4800012211482</t>
  </si>
  <si>
    <t>4806502359228</t>
  </si>
  <si>
    <t>4800888206084</t>
  </si>
  <si>
    <t>4806506315541</t>
  </si>
  <si>
    <t>4806506315534</t>
  </si>
  <si>
    <t>4806506315565</t>
  </si>
  <si>
    <t>4806506315527</t>
  </si>
  <si>
    <t>4806519892312</t>
  </si>
  <si>
    <t>4806519891261</t>
  </si>
  <si>
    <t>4806519890981</t>
  </si>
  <si>
    <t>4806519891551</t>
  </si>
  <si>
    <t>4806519890530</t>
  </si>
  <si>
    <t>4806519890554</t>
  </si>
  <si>
    <t>4806519890233</t>
  </si>
  <si>
    <t>4800888158475</t>
  </si>
  <si>
    <t>4987176600769</t>
  </si>
  <si>
    <t>4987176600776</t>
  </si>
  <si>
    <t>4800888250438</t>
  </si>
  <si>
    <t>4800888230485</t>
  </si>
  <si>
    <t>4800888230461</t>
  </si>
  <si>
    <t>4800045410316</t>
  </si>
  <si>
    <t>ALCOLUXX ISOPROPYL ALCOHOL ALCORADE 70% SOLUTION 500ML</t>
  </si>
  <si>
    <t>BENCH ATLANTIS 75ML</t>
  </si>
  <si>
    <t>BENCH CLAY DOH 4G</t>
  </si>
  <si>
    <t>BENCH DAILY SCENT BUBBLE POP 125ML</t>
  </si>
  <si>
    <t>BENCH DAILY SCENT COLOGNE HAPPY HOUR 125ML</t>
  </si>
  <si>
    <t>BENCH DAILY SCENT COLOGNE INDIAN SUMMER 125ML</t>
  </si>
  <si>
    <t>BENCH DAILY SCENT COLOGNE LAZY AFTERNOON 125ML</t>
  </si>
  <si>
    <t>BENCH DAILY SCENT COLOGNE LAZY AFTERNOON 50ML</t>
  </si>
  <si>
    <t>BENCH DAILY SCENT COLOGNE LAZY AFTERNOON 75ML</t>
  </si>
  <si>
    <t>BENCH DAILY SCENT COLOGNE SUNDAY MORNING 125ML</t>
  </si>
  <si>
    <t>BENCH DAILY SCENT INDIAN SUMMER 75ML</t>
  </si>
  <si>
    <t>BENCH DAILY SCENT NINE TO MINE 75ML</t>
  </si>
  <si>
    <t>BENCH DAILY SCENT SPRING BREAK 75ML</t>
  </si>
  <si>
    <t>BENCH DAILY SCENT SUNDAY MORNING 75ML</t>
  </si>
  <si>
    <t>BENCH EIGHT BODY SPRAY 100ML</t>
  </si>
  <si>
    <t>BENCH EIGHT BODY SPRAY 75ML</t>
  </si>
  <si>
    <t>BENCH SO INLOVE 50ML</t>
  </si>
  <si>
    <t>BETADINE WOUND SOLUTION 7.5ML</t>
  </si>
  <si>
    <t>BEYBIKO BABY WIPES FLORAL BLOSSOM 80+20WIPES</t>
  </si>
  <si>
    <t>BEYBIKO BABY WIPES UNSCENTED 80WIPES+20FREE</t>
  </si>
  <si>
    <t>BEYBIKO DIAPERS MEDIUM 12S</t>
  </si>
  <si>
    <t>BEYBIKO DIAPERS MEDIUM 30S</t>
  </si>
  <si>
    <t>BEYBIKO DIAPERS SMALL 30S</t>
  </si>
  <si>
    <t>BEYBIKO DIAPERS XL 12S</t>
  </si>
  <si>
    <t>BEYBIKO DIAPERS XL 30S</t>
  </si>
  <si>
    <t>BEYBIKO PANTS DIAPERS XL 24S</t>
  </si>
  <si>
    <t>BIODERM SOAP BLOOM (PINK) 135G</t>
  </si>
  <si>
    <t>BIODERM SOAP BLOOM (PINK) 60G</t>
  </si>
  <si>
    <t>BIODERM SOAP COOLNESS (BLUE) 135G</t>
  </si>
  <si>
    <t>BIODERM SOAP COOLNESS (BLUE) 60G</t>
  </si>
  <si>
    <t>BIODERM SOAP FRESHEN (GREEN) 60G</t>
  </si>
  <si>
    <t>BLEST FACIAL TISSUE 80SHEET</t>
  </si>
  <si>
    <t>BODY TREATS HAND SOAP MELON SCENTED 750ML</t>
  </si>
  <si>
    <t>CAREFREE SUPER DRY LINERS 15S</t>
  </si>
  <si>
    <t>CHERUB SCENTED WIPES 15S</t>
  </si>
  <si>
    <t>CLEAR COMPLETE SOFT CARE 13ML</t>
  </si>
  <si>
    <t>CLIO TOOTHBRUSH ALL AROUND BUY 2 TAKE 1 FREE</t>
  </si>
  <si>
    <t>CLOSE UP ALL DAY FRESHNESS 2X120G TWIN PACK</t>
  </si>
  <si>
    <t>CLOSE UP BLUE (11+1)</t>
  </si>
  <si>
    <t>CLOSE UP MENTHOL FRESH 2X11G</t>
  </si>
  <si>
    <t>CLOSE UP MENTHOL FRESH TWIN PACK 2X120G</t>
  </si>
  <si>
    <t>CLOSE UP RED HOT TWIN PACK 10G</t>
  </si>
  <si>
    <t>COLGATE BUBBLE FRUIT FLAVOR BARBIE 40G</t>
  </si>
  <si>
    <t>COLGATE BUBBLE FRUIT FLAVOR BATMAN 40G</t>
  </si>
  <si>
    <t>COLGATE BUBBLE FRUIT FLAVOR MINIONS BOX 40G</t>
  </si>
  <si>
    <t>COLGATE CHARCOAL CLEAN 20G</t>
  </si>
  <si>
    <t>COLGATE CLASSIC CHILD BRUSH</t>
  </si>
  <si>
    <t>COLGATE CLASSIC DEEP CLEAN TOOTHBRUSH</t>
  </si>
  <si>
    <t>COLGATE CLASSIC TOOTHBRUSH MEDIUM 2S</t>
  </si>
  <si>
    <t>COLGATE COOL MENTHOL FRESH 20G BUY 11 GET 1 FREE</t>
  </si>
  <si>
    <t>COLGATE FRESH CONFIDENCE COOL MENTHOL FRESH 2X175G</t>
  </si>
  <si>
    <t>COLGATE FRESH CONFIDENCE PEPPERMINT ICE 120GX2</t>
  </si>
  <si>
    <t>COLGATE FRESH CONFIDENCE SPICY FRESH 2X175G</t>
  </si>
  <si>
    <t>COLGATE FRESH CONFIDENCE W/ COOLING CRYSTALS</t>
  </si>
  <si>
    <t>COLGATE MAXIMUM CAVITY PROTECTION 2X132G</t>
  </si>
  <si>
    <t>COLGATE MAXIMUM CAVITY PROTECTION 2X195G</t>
  </si>
  <si>
    <t>COLGATE ORIGINAL TWINPACK 24G</t>
  </si>
  <si>
    <t>COLGATE PLAX FRESHMINT SPLASH 250ML</t>
  </si>
  <si>
    <t>COLGATE PLAX ICE INFINITY 250ML</t>
  </si>
  <si>
    <t>COLGATE PLAX ICE INFINITY 60ML</t>
  </si>
  <si>
    <t>COLGATE PLAX PEPPERMINT FRESH 250ML</t>
  </si>
  <si>
    <t>COLGATE SPICY FRESH 20G BUY 11 GET 1 FREE</t>
  </si>
  <si>
    <t>COLGATE SPICY FRESH 2X120G</t>
  </si>
  <si>
    <t>COLGATE SPICY FRESH TWINPACK 22G</t>
  </si>
  <si>
    <t>COLGATE STRAWBERRY FLAVOR 2-5YO 40G</t>
  </si>
  <si>
    <t>COLGATE SUPER FLEXI TOOTHBRUSH BLACK</t>
  </si>
  <si>
    <t>COLGATE SUPER FLEXI TOOTHBRUSH WHITE</t>
  </si>
  <si>
    <t>COLGATE TRIPLE ACTION 2X120G</t>
  </si>
  <si>
    <t>COLGATE TRIPLE ACTION 2X175G</t>
  </si>
  <si>
    <t xml:space="preserve">CREAM SILK HAIR FALL DEFENSE 2 WASH PACK 22ML </t>
  </si>
  <si>
    <t>CREAM SILK KERATIN DAMAGE REPAIR 18ML</t>
  </si>
  <si>
    <t>CREAM SILK STANDOUT STRAIGHT 2 WASH PACK 22ML</t>
  </si>
  <si>
    <t>CREAMSILK CONDITIONER BLUE 11ML</t>
  </si>
  <si>
    <t>CREAMSILK CONDITIONER GREEN 11ML 11+1</t>
  </si>
  <si>
    <t>CREAMSILK CONDITIONER PINK 12ML</t>
  </si>
  <si>
    <t>CREAMSILK CONDITIONER PINK BUY 11 GET 1 FREE 12ML</t>
  </si>
  <si>
    <t>CREAMSILK CONDITIONER PINK BUY 11 GET 1 FREE 22ML</t>
  </si>
  <si>
    <t>CREAMSILK DAMAGE CONTROL 11ML 11+1</t>
  </si>
  <si>
    <t>CREAMSILK GREEN 11ML</t>
  </si>
  <si>
    <t>CREAMSILK TRIPLE KERATIN RESCUE ULTIMATE STRAIGHT 10ML</t>
  </si>
  <si>
    <t>DAILY SCENT COLOGNE NINE TO MINE 125ML</t>
  </si>
  <si>
    <t>DEOPLUS TAWAS POWDER 50G</t>
  </si>
  <si>
    <t>DOVE BEAUTY BAR 3X135G</t>
  </si>
  <si>
    <t xml:space="preserve">DOVE CONDITIONER SERUM HAIR FALL RESCUE 10ML </t>
  </si>
  <si>
    <t>DOVE DERMA CARE SCALP SOOTING MOISTURE 10ML</t>
  </si>
  <si>
    <t>DOVE OXYGEN &amp; NOURISHMENT</t>
  </si>
  <si>
    <t>DOVE PINK BEAUTY BAR 3X135G</t>
  </si>
  <si>
    <t>DOVE SERUM CONDITIONER AMINO RESTORE 10ML</t>
  </si>
  <si>
    <t>DOVE SERUM CONDITIONER KERATIN REPAIR 10ML</t>
  </si>
  <si>
    <t>DOVE SHAMPOO INTENSE REPAIR 10ML</t>
  </si>
  <si>
    <t>DOVE SHAMPOO INTENSE REPAIR 12ML</t>
  </si>
  <si>
    <t>DOVE SHAMPOO INTENSE REPAIR 12ML BUY 11 GET 1 FREE</t>
  </si>
  <si>
    <t>DOVE SHAMPOO NOURISHING OIL CARE 12ML</t>
  </si>
  <si>
    <t>DOVE SHAMPOO OXYGEN &amp; NOURISHMENT 10ML</t>
  </si>
  <si>
    <t>DOVE SHAMPOO STRAIGHT &amp; SILKY 12ML</t>
  </si>
  <si>
    <t>DOVE SHAMPOO STRAIGHT &amp; SILKY 12ML BUY 11 GET 1 FREE</t>
  </si>
  <si>
    <t>EQ PANTS XL 24S</t>
  </si>
  <si>
    <t>ESKINOL FACIAL CLEANSER SPOT LESS WHITE W/ CALAMANSI 75ML</t>
  </si>
  <si>
    <t xml:space="preserve">FEMME COTTON PADS </t>
  </si>
  <si>
    <t>GATSBY STYLING WAX MAT&amp;HARD 3G</t>
  </si>
  <si>
    <t>GC ALCOHOL W/ MOISTURIZER 70% 60ML</t>
  </si>
  <si>
    <t>GC BSOAP CLEAR RADIANCE 125G</t>
  </si>
  <si>
    <t>GC ETHYL ALCOHOL 70% 3785ML</t>
  </si>
  <si>
    <t>GC ISOP ALCOHOL 70% PUMP 1000ML</t>
  </si>
  <si>
    <t>GC ISOP ALCOHOL W/ MOIST 70% 500ML</t>
  </si>
  <si>
    <t>GC ISOPROPYL ALCOHOL W/ MOIST 70% 3785ML</t>
  </si>
  <si>
    <t>GC TOTAL DEFENSE ANTIBAC SANITIZER 5IN1 250ML</t>
  </si>
  <si>
    <t>GILLETE BLUE 2 FLEXI</t>
  </si>
  <si>
    <t>GILLETE RUBIE II</t>
  </si>
  <si>
    <t>GILLETTTE BLUE II PLUS</t>
  </si>
  <si>
    <t>GLADE SG FRESH LEMON 180G VALUE PACK</t>
  </si>
  <si>
    <t>HAPEE ECO TUBE-WHITENING 150G</t>
  </si>
  <si>
    <t>HAPEE EXPLOSIVE MENTHOL RED 150G</t>
  </si>
  <si>
    <t>HAPEE EXPLOSIVE MENTHOL RED 30G 11+1</t>
  </si>
  <si>
    <t>HAPEE EXPLOSIVE MENTHOL RED 55G</t>
  </si>
  <si>
    <t>HAPEE EXPLOSIVE MENTHOL RED SULIT DOBLE PACK 2X140ML</t>
  </si>
  <si>
    <t>HAPEE KIDDIE APPLE CRUNCH 62G(50ML)</t>
  </si>
  <si>
    <t>HAPEE KIDDIE JUICY GRAPES 62G(50ML)</t>
  </si>
  <si>
    <t>HAPEE KIDDIE ORANGE SQUEEZE 62G(50ML)</t>
  </si>
  <si>
    <t>HAPEE KIDDIE STRAWBERRY BLOOM 62G(50ML)</t>
  </si>
  <si>
    <t>HAPEE KIDDIE TUTTIFRUTTI 62G(50ML)</t>
  </si>
  <si>
    <t>HEAD &amp; SHOULDER ANTI-DANDRUFF COOL MENTHOL 330ML</t>
  </si>
  <si>
    <t>HEAD &amp; SHOULDER ANTI-DANDRUFF SHAMPOO ULTRA MEN COOL MENTHOL 12ML</t>
  </si>
  <si>
    <t>HEAD &amp; SHOULDERS ANTI DANDRUFF 12ML</t>
  </si>
  <si>
    <t>HEAD&amp;SHOULDER SHAMPOO COOL MENTHOL TRIPACK 12ML</t>
  </si>
  <si>
    <t>HEAD&amp;SHOULDER SHAMPOO SMOOTH N SILKY TRIPACK 12ML</t>
  </si>
  <si>
    <t>JB BATH MILK + RICE 100ML</t>
  </si>
  <si>
    <t>JB COLOGNE REGULAR BLUE 50ML</t>
  </si>
  <si>
    <t>JB OIL ALOE VERA &amp; VIT E 50ML</t>
  </si>
  <si>
    <t>JB OIL ALOE VERA &amp; VITAMIN E 125ML</t>
  </si>
  <si>
    <t>JB OIL ALOE VERA &amp; VITAMIN E 25ML</t>
  </si>
  <si>
    <t>JB OIL LITE 125ML</t>
  </si>
  <si>
    <t>JB OIL LITE 50ML</t>
  </si>
  <si>
    <t>JB OIL REGULAR 125ML</t>
  </si>
  <si>
    <t>JB OIL REGULAR 25ML</t>
  </si>
  <si>
    <t>JB OIL REGULAR 50ML</t>
  </si>
  <si>
    <t>JB POWDER BLOSSOMS PINK 100G</t>
  </si>
  <si>
    <t>JB POWDER BLOSSOMS PINK 50G</t>
  </si>
  <si>
    <t>JB POWDER MILK + RICE 100G</t>
  </si>
  <si>
    <t>JB POWDER WHITE 200G</t>
  </si>
  <si>
    <t>JB POWDER WHITE 25G</t>
  </si>
  <si>
    <t>JB POWDER WHITE 50G</t>
  </si>
  <si>
    <t>JOHNSONS BABY COLOGNE HEAVEN 50ML</t>
  </si>
  <si>
    <t>JOY EXTRA BATHROOM TISSUE 1ROLL</t>
  </si>
  <si>
    <t>JOY EXTRA BATHROOM TISSUE 2 PLY 12 ROLLS</t>
  </si>
  <si>
    <t xml:space="preserve">JOY KITCHEN TOWELS TWIN PACK 2-PLY </t>
  </si>
  <si>
    <t>KATINKO OINTMENT 30G</t>
  </si>
  <si>
    <t>KLEENEX ULTIMATE CLEAN 12R 3PLY</t>
  </si>
  <si>
    <t>KLEENEX ULTRA STYLE 200 SHEETS 2-PLY</t>
  </si>
  <si>
    <t>KOJIC &amp; GLUTATHIONE ORIGINAL SOAP 135G</t>
  </si>
  <si>
    <t>KOJIC SAN NIACINAMIDE SOAP 100G</t>
  </si>
  <si>
    <t>KOJIE SAN SKIN LIGHTENING SOAP 3X65G</t>
  </si>
  <si>
    <t>KOJIE SAN SKIN LIGHTENING SOAP CLASSIC 65G</t>
  </si>
  <si>
    <t>MAGIC COLOR BABY DIAPER LARGE 40S</t>
  </si>
  <si>
    <t>MAGIC COLOR BABY DIAPER MEDIUM 45S</t>
  </si>
  <si>
    <t>MAGIC COLOR BABY DIAPER XLARGE 40S</t>
  </si>
  <si>
    <t>MAGIC DRI BLUE LARGE 10S</t>
  </si>
  <si>
    <t>MAGIC DRI BLUE LARGE 30PCS+4FREE</t>
  </si>
  <si>
    <t>MAGIC DRI BLUE LARGE 4S</t>
  </si>
  <si>
    <t>MAGIC DRI CLOTHLIKE XXL 4S</t>
  </si>
  <si>
    <t>MAGIC DRI GREEN MEDIUM 10S</t>
  </si>
  <si>
    <t>MAGIC DRI GREEN MEDIUM 30PCS+4FREE</t>
  </si>
  <si>
    <t>MAGIC DRI GREEN MEDIUM 4S</t>
  </si>
  <si>
    <t>MAGIC DRI ORANGE XXL 10S</t>
  </si>
  <si>
    <t>MAGIC DRI ORANGE XXL 30PCS+4FREE</t>
  </si>
  <si>
    <t>MAGIC DRI ORANGE XXL 45PCS+6FREE</t>
  </si>
  <si>
    <t>MAGIC DRI PINK XL 10S</t>
  </si>
  <si>
    <t>MAGIC DRI PINK XL 30PCS+4FREE</t>
  </si>
  <si>
    <t>MAGIC DRI PINK XL 4S</t>
  </si>
  <si>
    <t>MAGIC DRI YELLOW NB-SMALL 30PCS+4FREE</t>
  </si>
  <si>
    <t>MAGIC DRI YELLOW SMALL 10S</t>
  </si>
  <si>
    <t>MAGIC DRI YELLOW SMALL 4S</t>
  </si>
  <si>
    <t>MAGIC PANTS PULL-UPS XXL 10S</t>
  </si>
  <si>
    <t>MAGIC PANTS PULL-UPS XXL 30S</t>
  </si>
  <si>
    <t>MASTER CLEANSER ACTIVE BRIGHTENING 70ML</t>
  </si>
  <si>
    <t>MASTER CLEANSER BRIGHTENING PLUS 70ML</t>
  </si>
  <si>
    <t>MASTER CLEANSER OIL CONTROL 70ML</t>
  </si>
  <si>
    <t>MODESS ALL NIGHT W/ WINGS 4S</t>
  </si>
  <si>
    <t>MODESS REGULAR NON WING 9+1 PADS</t>
  </si>
  <si>
    <t>MODESS REGULAR NON-WING 8S</t>
  </si>
  <si>
    <t>MODESS REGULAR W/ WINGS 8S</t>
  </si>
  <si>
    <t>MODESS REGULAR W/ WINGS 9+1 PADS</t>
  </si>
  <si>
    <t xml:space="preserve">NATURALE TISSUE PCF 800S </t>
  </si>
  <si>
    <t>NEGOSYO PACK (MODESS NW12S+2JBP 25G)</t>
  </si>
  <si>
    <t>NIVEA INTENSIVE MOISTURE BODY MILK LOTION 125ML</t>
  </si>
  <si>
    <t>NIVEA WHITE &amp; REPAIR UV BODY LOTION 125ML</t>
  </si>
  <si>
    <t>OFF FOR KIDS 6ML</t>
  </si>
  <si>
    <t>OFF OVERTIME INSECT REPELLENT LOTION 6ML</t>
  </si>
  <si>
    <t>OFF OVERTIME LOTION 100ML</t>
  </si>
  <si>
    <t>OLAY NATURAL AURA ALL IN ONE RADIANCE DAY CREAM 7.5G</t>
  </si>
  <si>
    <t xml:space="preserve">ORAL B TOOTHBRUSH SHINY CLEAN  </t>
  </si>
  <si>
    <t>PALMOLIVE BLUE BUY 11 GET 1 FREE</t>
  </si>
  <si>
    <t>PALMOLIVE GREEN BUY 11 GET 1 FREE</t>
  </si>
  <si>
    <t>PALMOLIVE HEALTHYSHINE 15ML</t>
  </si>
  <si>
    <t>PALMOLIVE NATURALS HYDRATING GLOW SOAP BUY 6 GET 1 FREE</t>
  </si>
  <si>
    <t>PALMOLIVE NATURALS WHITE SOAP BUY 6 GET 1 FREE</t>
  </si>
  <si>
    <t>PALMOLIVE NATURALS WHITE W/ PAPAYA SOAP BUY 6 GET 1 FREE</t>
  </si>
  <si>
    <t>PALMOLIVE PINK BUY 11 GET1 FREE</t>
  </si>
  <si>
    <t>PALMOLIVE ULTRA SMOOTH 15ML</t>
  </si>
  <si>
    <t>PALMOLIVE VIOLET BUY 11 GET 1 FREE</t>
  </si>
  <si>
    <t>PANTENE HAIR FALL CONTROL SHAMPOO 12ML</t>
  </si>
  <si>
    <t>PANTENE HAIR FALL CONTROL SUPPLEMENT CONDITIONER 13ML</t>
  </si>
  <si>
    <t>PANTENE SHAMPOO TOTAL DAMAGE CARE 15ML</t>
  </si>
  <si>
    <t>PANTENE SILKY SMOOTH CARE SHAMPOO 12ML</t>
  </si>
  <si>
    <t>PURITY COTTON BALLS 140S</t>
  </si>
  <si>
    <t>PURITY COTTON BALLS 300S</t>
  </si>
  <si>
    <t>PURITY COTTON BALLS 30S</t>
  </si>
  <si>
    <t>PURITY COTTON BALLS 50S</t>
  </si>
  <si>
    <t>PURITY COTTON BUDS 190+10 TIPS</t>
  </si>
  <si>
    <t>PURITY COTTON BUDS 400 TIPS</t>
  </si>
  <si>
    <t>PURITY COTTON ROLL 10G</t>
  </si>
  <si>
    <t>PURITY COTTON ROLL 45G</t>
  </si>
  <si>
    <t>PURITY COTTON ROLL NEGOSYO PACK</t>
  </si>
  <si>
    <t>PURITY COTTON ROLLS 90G</t>
  </si>
  <si>
    <t>PURITY MINI COTTON BUDS 300S</t>
  </si>
  <si>
    <t>REJOICE SHAMPOO FRAGRANT RICH 16ML</t>
  </si>
  <si>
    <t>REJOICE SHAMPOO PERFUME SMOOTH 16ML</t>
  </si>
  <si>
    <t>REXONA MEN DEO LOTION ICE COOL 3ML</t>
  </si>
  <si>
    <t>REXONA MEN DEO-ROLL ON ICE COOL 25ML</t>
  </si>
  <si>
    <t>REXONA QUANTUM DRY</t>
  </si>
  <si>
    <t>REXONA WOMEN DEO LOTION PASSION 3ML</t>
  </si>
  <si>
    <t>REXONA WOMEN DEO LOTION POWDER DRY 3ML</t>
  </si>
  <si>
    <t>REXONA WOMEN DEO-LOTION SHOWER CLEAN</t>
  </si>
  <si>
    <t>REXONA WOMEN DEO-ROLL ON PASSION 25ML</t>
  </si>
  <si>
    <t>SAFEGUARD BAR WHITE 130GX3X24</t>
  </si>
  <si>
    <t>SAFEGUARD BAR WHITE SANGRIA 3X85G</t>
  </si>
  <si>
    <t>SAFEGUARD BODY WASH 200ML</t>
  </si>
  <si>
    <t>SAFEGUARD FLORAL PINK SAVING PACK 175G</t>
  </si>
  <si>
    <t>SAFEGUARD FLORAL PINK W/ ALOE 130G</t>
  </si>
  <si>
    <t>SAFEGUARD FLORAL PINK W/ ALOE 3X 85G</t>
  </si>
  <si>
    <t>SAFEGUARD FLORAL PINK W/ ALOE 90G</t>
  </si>
  <si>
    <t>SAFEGUARD FRESH GREEN 3X175G</t>
  </si>
  <si>
    <t>SAFEGUARD HAND SANITIZER 50ML</t>
  </si>
  <si>
    <t>SAFEGUARD IVORY WHITE CARE 60G</t>
  </si>
  <si>
    <t xml:space="preserve">SAFEGUARD LEMON FRESH </t>
  </si>
  <si>
    <t>SAFEGUARD LEMON FRESH 3X130G</t>
  </si>
  <si>
    <t>SAFEGUARD LEMON FRESH 3X85G</t>
  </si>
  <si>
    <t>SAFEGUARD PURE WHITE 130G</t>
  </si>
  <si>
    <t>SAFEGUARD PURE WHITE SUPER SAVINGS PACK 175G</t>
  </si>
  <si>
    <t>SAFEGUARD SOAP BAR FLORAL PINK 60G</t>
  </si>
  <si>
    <t>SAFEGUARD SOAP BAR PURE WHITE 60G</t>
  </si>
  <si>
    <t>SAFEGUARD SOAP BAR PURE WHITE BOX 90G</t>
  </si>
  <si>
    <t>SAFEGUARD WHITE 90G</t>
  </si>
  <si>
    <t>SAFEGUARD WHITE CAMELLIA 55G</t>
  </si>
  <si>
    <t>SALONPAS 10 PATCHES</t>
  </si>
  <si>
    <t>SANICARE 12R 600SHTS 3PLY</t>
  </si>
  <si>
    <t>SANICARE CLEANSING WIPES 15S</t>
  </si>
  <si>
    <t>SILKA GREEN PAPAYA 65G</t>
  </si>
  <si>
    <t>SILKA PAPAYA 65G</t>
  </si>
  <si>
    <t>SISTERS 8PADS DAY MAXI REGULAR FLOW NON-WINGS</t>
  </si>
  <si>
    <t>SISTERS 8PADS DAY MAXI REGULAR FLOW W/ WINGS</t>
  </si>
  <si>
    <t>SISTERS 8PADS NIGHT PLUS HEAVY FLOW W/ WINGS</t>
  </si>
  <si>
    <t>SISTERS BUDGET PACK W/ WINGS 12 PADS</t>
  </si>
  <si>
    <t>SISTERS DAY MAXI W/O WINGS 8 PADS</t>
  </si>
  <si>
    <t>SISTERS NIGHT PLUS W/ WINGS 8+1 PAD</t>
  </si>
  <si>
    <t>SISTERS OVERNIGHT DRY W/ WINGS 4+1PAD</t>
  </si>
  <si>
    <t>SISTERS PANTYLINERS 20+2 LINERS</t>
  </si>
  <si>
    <t>SISTERS PANTYLINERS 8LINERS</t>
  </si>
  <si>
    <t>SISTERS PANTYLINERS MEGA PACK 36+4LINERS</t>
  </si>
  <si>
    <t>SISTERS SULIT PACK 12PADS SILK FLOSS NO WINGS</t>
  </si>
  <si>
    <t>SISTERS SULIT SAVINGS PACK</t>
  </si>
  <si>
    <t>SISTERS ULTRA THIN 6 PADS</t>
  </si>
  <si>
    <t>SKIN WHITE PAPAYA MILK SPF10 200ML</t>
  </si>
  <si>
    <t>SKIN WHITE WHITENING LOTION PAPAYA MILK SPF 10 100ML</t>
  </si>
  <si>
    <t>SUNSILK GREEN (11+1)</t>
  </si>
  <si>
    <t>SUNSILK GREEN 15ML</t>
  </si>
  <si>
    <t>SUNSILK PINK (11+1)</t>
  </si>
  <si>
    <t>SUNSILK PINK 15ML</t>
  </si>
  <si>
    <t>SUNSILK SHAMPOO COCONUT HYDRATION 11ML</t>
  </si>
  <si>
    <t>SUNSILK SHAMPOO SAKURA &amp; RASPBERRY RADIANCE 11ML</t>
  </si>
  <si>
    <t>SUNSILK SHAMPOO WATERMELON FRESHNESS 11ML</t>
  </si>
  <si>
    <t>TC SAKURA SCENT WHITE 100G</t>
  </si>
  <si>
    <t>TENDER CARE BABY POWDER CLASSIC MILD 100G</t>
  </si>
  <si>
    <t>TENDER CARE BABY POWDER CLASSIC MILD 50G</t>
  </si>
  <si>
    <t>TENDER CARE BABY POWDER PINK SOFT 100G</t>
  </si>
  <si>
    <t>TENDER CARE BABY POWDER PINK SOFT 50G</t>
  </si>
  <si>
    <t>TILES &amp; BOWL CLEANER 250ML</t>
  </si>
  <si>
    <t>TISYU CORELESS 10S 30G</t>
  </si>
  <si>
    <t>TRI-KERATIN REP SHINE 10ML</t>
  </si>
  <si>
    <t>TWINS LAMPEIN L 15+1</t>
  </si>
  <si>
    <t>TWINS LAMPEIN PANTS MEDIUM 15S+1</t>
  </si>
  <si>
    <t>TWINS LAMPEIN PANTS XXL 15S+1</t>
  </si>
  <si>
    <t>TWINS LAMPEIN PANTS XXXL 15S+1</t>
  </si>
  <si>
    <t>UNI KERATIN BRAZILIAN HAIR TREATMENT COLLAGEN 20G 11+1</t>
  </si>
  <si>
    <t>UNI KERATIN BRAZILIAN HAIR TREATMENT GOLD 20G 11+1</t>
  </si>
  <si>
    <t>UNI KERATIN DETOX &amp; NOURISH GOLD 20G</t>
  </si>
  <si>
    <t>UNI KERATIN GOLD BRAZILIAN DETOX &amp; NOURISH SHAMPOO</t>
  </si>
  <si>
    <t>UNI KERATIN HAIR REBORN TREATMENT ALOE VERA 20G</t>
  </si>
  <si>
    <t>UNI KERATIN MOROCCO ORGAN OIL 20G</t>
  </si>
  <si>
    <t>UNI KOJIC WHITENING BEAUTY SOAP TWINPACK 90GX2</t>
  </si>
  <si>
    <t>VASELINE SOFT &amp; SMOOTH 16ML</t>
  </si>
  <si>
    <t>VICKS VAPORUB CAMPHOR MINI PACK 5G</t>
  </si>
  <si>
    <t>VICKS VAPORUB POCKET PACK 10G</t>
  </si>
  <si>
    <t>VITAKERATIN BRAZILIAN STRAIGHT 24ML 11+1</t>
  </si>
  <si>
    <t>VITAKERATIN COLOR SHINE 24ML</t>
  </si>
  <si>
    <t>VITAKERATIN DEEP REPAIR 24ML</t>
  </si>
  <si>
    <t>WHITE ROSE KOJIC WHITENING SOAP 60G</t>
  </si>
  <si>
    <t>88.00</t>
  </si>
  <si>
    <t>4.96</t>
  </si>
  <si>
    <t>54.00</t>
  </si>
  <si>
    <t>27.00</t>
  </si>
  <si>
    <t>115.00</t>
  </si>
  <si>
    <t>36.74</t>
  </si>
  <si>
    <t>68.64</t>
  </si>
  <si>
    <t>169.42</t>
  </si>
  <si>
    <t>143.00</t>
  </si>
  <si>
    <t>83.46</t>
  </si>
  <si>
    <t>206.23</t>
  </si>
  <si>
    <t>185.74</t>
  </si>
  <si>
    <t>41.06</t>
  </si>
  <si>
    <t>16.32</t>
  </si>
  <si>
    <t>15.90</t>
  </si>
  <si>
    <t>8.45</t>
  </si>
  <si>
    <t>24.50</t>
  </si>
  <si>
    <t>22.75</t>
  </si>
  <si>
    <t>5.46</t>
  </si>
  <si>
    <t>47.00</t>
  </si>
  <si>
    <t>125.26</t>
  </si>
  <si>
    <t>83.05</t>
  </si>
  <si>
    <t>7.75</t>
  </si>
  <si>
    <t>121.38</t>
  </si>
  <si>
    <t>53.57</t>
  </si>
  <si>
    <t>9.17</t>
  </si>
  <si>
    <t>12.67</t>
  </si>
  <si>
    <t>30.20</t>
  </si>
  <si>
    <t>91.50</t>
  </si>
  <si>
    <t>152.00</t>
  </si>
  <si>
    <t>133.00</t>
  </si>
  <si>
    <t>171.00</t>
  </si>
  <si>
    <t>8.30</t>
  </si>
  <si>
    <t>120.10</t>
  </si>
  <si>
    <t>28.97</t>
  </si>
  <si>
    <t>45.00</t>
  </si>
  <si>
    <t>23.10</t>
  </si>
  <si>
    <t>16.10</t>
  </si>
  <si>
    <t>157.00</t>
  </si>
  <si>
    <t>177.00</t>
  </si>
  <si>
    <t>8.77</t>
  </si>
  <si>
    <t>6.12</t>
  </si>
  <si>
    <t>6.05</t>
  </si>
  <si>
    <t>67.88</t>
  </si>
  <si>
    <t>6.17</t>
  </si>
  <si>
    <t>96.49</t>
  </si>
  <si>
    <t>62.15</t>
  </si>
  <si>
    <t>6.15</t>
  </si>
  <si>
    <t>49.75</t>
  </si>
  <si>
    <t>13.55</t>
  </si>
  <si>
    <t>184.98</t>
  </si>
  <si>
    <t>6.35</t>
  </si>
  <si>
    <t>4.80</t>
  </si>
  <si>
    <t>5.30</t>
  </si>
  <si>
    <t>6.48</t>
  </si>
  <si>
    <t>4.30</t>
  </si>
  <si>
    <t>5.10</t>
  </si>
  <si>
    <t>57.22</t>
  </si>
  <si>
    <t>5.20</t>
  </si>
  <si>
    <t>5.92</t>
  </si>
  <si>
    <t>63.95</t>
  </si>
  <si>
    <t>186.43</t>
  </si>
  <si>
    <t>42.74</t>
  </si>
  <si>
    <t>26.25</t>
  </si>
  <si>
    <t>3.75</t>
  </si>
  <si>
    <t>19.67</t>
  </si>
  <si>
    <t>30.96</t>
  </si>
  <si>
    <t>551.66</t>
  </si>
  <si>
    <t>171.82</t>
  </si>
  <si>
    <t>84.36</t>
  </si>
  <si>
    <t>529.58</t>
  </si>
  <si>
    <t>54.38</t>
  </si>
  <si>
    <t>31.05</t>
  </si>
  <si>
    <t>27.90</t>
  </si>
  <si>
    <t>267.00</t>
  </si>
  <si>
    <t>51.30</t>
  </si>
  <si>
    <t>51.55</t>
  </si>
  <si>
    <t>61.75</t>
  </si>
  <si>
    <t>10.20</t>
  </si>
  <si>
    <t>46.45</t>
  </si>
  <si>
    <t>232.89</t>
  </si>
  <si>
    <t>6.82</t>
  </si>
  <si>
    <t>5.03</t>
  </si>
  <si>
    <t>6.92</t>
  </si>
  <si>
    <t>6.59</t>
  </si>
  <si>
    <t>47.50</t>
  </si>
  <si>
    <t>39.20</t>
  </si>
  <si>
    <t>57.10</t>
  </si>
  <si>
    <t>108.55</t>
  </si>
  <si>
    <t>31.15</t>
  </si>
  <si>
    <t>93.75</t>
  </si>
  <si>
    <t>47.10</t>
  </si>
  <si>
    <t>81.35</t>
  </si>
  <si>
    <t>24.08</t>
  </si>
  <si>
    <t>46.23</t>
  </si>
  <si>
    <t>49.95</t>
  </si>
  <si>
    <t>27.95</t>
  </si>
  <si>
    <t>57.85</t>
  </si>
  <si>
    <t>94.70</t>
  </si>
  <si>
    <t>13.95</t>
  </si>
  <si>
    <t>24.00</t>
  </si>
  <si>
    <t>15.46</t>
  </si>
  <si>
    <t>117.91</t>
  </si>
  <si>
    <t>69.65</t>
  </si>
  <si>
    <t>292.89</t>
  </si>
  <si>
    <t>63.14</t>
  </si>
  <si>
    <t>71.65</t>
  </si>
  <si>
    <t>70.70</t>
  </si>
  <si>
    <t>62.45</t>
  </si>
  <si>
    <t>347.05</t>
  </si>
  <si>
    <t>318.10</t>
  </si>
  <si>
    <t>375.95</t>
  </si>
  <si>
    <t>70.40</t>
  </si>
  <si>
    <t>209.30</t>
  </si>
  <si>
    <t>28.40</t>
  </si>
  <si>
    <t>37.42</t>
  </si>
  <si>
    <t>64.20</t>
  </si>
  <si>
    <t>190.80</t>
  </si>
  <si>
    <t>25.95</t>
  </si>
  <si>
    <t>82.10</t>
  </si>
  <si>
    <t>246.35</t>
  </si>
  <si>
    <t>394.75</t>
  </si>
  <si>
    <t>76.60</t>
  </si>
  <si>
    <t>227.85</t>
  </si>
  <si>
    <t>30.90</t>
  </si>
  <si>
    <t>172.30</t>
  </si>
  <si>
    <t>78.40</t>
  </si>
  <si>
    <t>235.25</t>
  </si>
  <si>
    <t>45.40</t>
  </si>
  <si>
    <t>49.25</t>
  </si>
  <si>
    <t>37.50</t>
  </si>
  <si>
    <t>110.66</t>
  </si>
  <si>
    <t>139.53</t>
  </si>
  <si>
    <t>8.60</t>
  </si>
  <si>
    <t>147.95</t>
  </si>
  <si>
    <t>12.59</t>
  </si>
  <si>
    <t>18.62</t>
  </si>
  <si>
    <t>57.77</t>
  </si>
  <si>
    <t>5.59</t>
  </si>
  <si>
    <t>84.25</t>
  </si>
  <si>
    <t>5.25</t>
  </si>
  <si>
    <t>6.63</t>
  </si>
  <si>
    <t>6.97</t>
  </si>
  <si>
    <t>7.71</t>
  </si>
  <si>
    <t>5.73</t>
  </si>
  <si>
    <t>5.74</t>
  </si>
  <si>
    <t>43.23</t>
  </si>
  <si>
    <t>79.42</t>
  </si>
  <si>
    <t>14.81</t>
  </si>
  <si>
    <t>24.04</t>
  </si>
  <si>
    <t>30.24</t>
  </si>
  <si>
    <t>58.77</t>
  </si>
  <si>
    <t>6.68</t>
  </si>
  <si>
    <t>29.39</t>
  </si>
  <si>
    <t>80.15</t>
  </si>
  <si>
    <t>55.37</t>
  </si>
  <si>
    <t>42.26</t>
  </si>
  <si>
    <t>5.79</t>
  </si>
  <si>
    <t>4.70</t>
  </si>
  <si>
    <t>6.73</t>
  </si>
  <si>
    <t>64.97</t>
  </si>
  <si>
    <t>6.60</t>
  </si>
  <si>
    <t>64.98</t>
  </si>
  <si>
    <t>121.12</t>
  </si>
  <si>
    <t>81.39</t>
  </si>
  <si>
    <t>75.47</t>
  </si>
  <si>
    <t>55.86</t>
  </si>
  <si>
    <t>47.20</t>
  </si>
  <si>
    <t>79.22</t>
  </si>
  <si>
    <t>36.84</t>
  </si>
  <si>
    <t>180.11</t>
  </si>
  <si>
    <t>61.83</t>
  </si>
  <si>
    <t>18.64</t>
  </si>
  <si>
    <t>20.57</t>
  </si>
  <si>
    <t>167.11</t>
  </si>
  <si>
    <t>19.61</t>
  </si>
  <si>
    <t>28.17</t>
  </si>
  <si>
    <t>19.60</t>
  </si>
  <si>
    <t>60.75</t>
  </si>
  <si>
    <t>279.75</t>
  </si>
  <si>
    <t>20.48</t>
  </si>
  <si>
    <t>17.06</t>
  </si>
  <si>
    <t>20.75</t>
  </si>
  <si>
    <t>23.75</t>
  </si>
  <si>
    <t>23.00</t>
  </si>
  <si>
    <t>30.00</t>
  </si>
  <si>
    <t>18.25</t>
  </si>
  <si>
    <t>26.50</t>
  </si>
  <si>
    <t>9.50</t>
  </si>
  <si>
    <t>31.25</t>
  </si>
  <si>
    <t>127.35</t>
  </si>
  <si>
    <t>71.30</t>
  </si>
  <si>
    <t>53.55</t>
  </si>
  <si>
    <t>46.50</t>
  </si>
  <si>
    <t>39.35</t>
  </si>
  <si>
    <t>58.00</t>
  </si>
  <si>
    <t>115.50</t>
  </si>
  <si>
    <t>132.00</t>
  </si>
  <si>
    <t>143.25</t>
  </si>
  <si>
    <t>66.00</t>
  </si>
  <si>
    <t>6.00</t>
  </si>
  <si>
    <t>4.50</t>
  </si>
  <si>
    <t>5.00</t>
  </si>
  <si>
    <t>4.35</t>
  </si>
  <si>
    <t>26.86</t>
  </si>
  <si>
    <t>46.08</t>
  </si>
  <si>
    <t>56.66</t>
  </si>
  <si>
    <t>5.15</t>
  </si>
  <si>
    <t>25.00</t>
  </si>
  <si>
    <t>4809014971230</t>
  </si>
  <si>
    <t>4800603124044</t>
  </si>
  <si>
    <t>888123456781619</t>
  </si>
  <si>
    <t>4800067600665</t>
  </si>
  <si>
    <t>4800067600658</t>
  </si>
  <si>
    <t>4800067600511</t>
  </si>
  <si>
    <t>4800067600139</t>
  </si>
  <si>
    <t>4800067600481</t>
  </si>
  <si>
    <t>4800067600351</t>
  </si>
  <si>
    <t>4800067600702</t>
  </si>
  <si>
    <t>4800067600108</t>
  </si>
  <si>
    <t>4800067608159</t>
  </si>
  <si>
    <t>4800067608074</t>
  </si>
  <si>
    <t>4800067600726</t>
  </si>
  <si>
    <t>4800067600184</t>
  </si>
  <si>
    <t>4800067600566</t>
  </si>
  <si>
    <t>4800067600740</t>
  </si>
  <si>
    <t>4800067600580</t>
  </si>
  <si>
    <t>4800067600405</t>
  </si>
  <si>
    <t>4800067600764</t>
  </si>
  <si>
    <t>4800067600603</t>
  </si>
  <si>
    <t>4800067608654</t>
  </si>
  <si>
    <t>4987176116833</t>
  </si>
  <si>
    <t>4902430473521</t>
  </si>
  <si>
    <t>4902430583169</t>
  </si>
  <si>
    <t>4902430583183</t>
  </si>
  <si>
    <t>4987176116635</t>
  </si>
  <si>
    <t>4987176067029</t>
  </si>
  <si>
    <t>5020144226734</t>
  </si>
  <si>
    <t>4801234134426</t>
  </si>
  <si>
    <t>4801234108021</t>
  </si>
  <si>
    <t>4801234107727</t>
  </si>
  <si>
    <t>4801234108229</t>
  </si>
  <si>
    <t>4801234107826</t>
  </si>
  <si>
    <t>00012</t>
  </si>
  <si>
    <t>00014</t>
  </si>
  <si>
    <t>888123456781864</t>
  </si>
  <si>
    <t>4800888207197</t>
  </si>
  <si>
    <t>4800888202765</t>
  </si>
  <si>
    <t>4800888208651</t>
  </si>
  <si>
    <t>4806501709239</t>
  </si>
  <si>
    <t>4806501709352</t>
  </si>
  <si>
    <t>4806501709307</t>
  </si>
  <si>
    <t>4806501707105</t>
  </si>
  <si>
    <t>4806501707136</t>
  </si>
  <si>
    <t>4806501707273</t>
  </si>
  <si>
    <t>4806501707112</t>
  </si>
  <si>
    <t>4806501707143</t>
  </si>
  <si>
    <t>4806501705309</t>
  </si>
  <si>
    <t>4806501708300</t>
  </si>
  <si>
    <t>4806501708508</t>
  </si>
  <si>
    <t>4806501708102</t>
  </si>
  <si>
    <t>4806501705002</t>
  </si>
  <si>
    <t>4806501703503</t>
  </si>
  <si>
    <t>4806502164112</t>
  </si>
  <si>
    <t>4806502161357</t>
  </si>
  <si>
    <t>4806502161340</t>
  </si>
  <si>
    <t>888123456781025</t>
  </si>
  <si>
    <t>4800034042610</t>
  </si>
  <si>
    <t>4800047841040</t>
  </si>
  <si>
    <t>4800047841378</t>
  </si>
  <si>
    <t>4800047847271</t>
  </si>
  <si>
    <t>4800047847240</t>
  </si>
  <si>
    <t>4800047847356</t>
  </si>
  <si>
    <t>4902430346184</t>
  </si>
  <si>
    <t>4902430344876</t>
  </si>
  <si>
    <t>4902430424264</t>
  </si>
  <si>
    <t>4902430873703</t>
  </si>
  <si>
    <t>4902430627528</t>
  </si>
  <si>
    <t>4902430452779</t>
  </si>
  <si>
    <t>4902430513074</t>
  </si>
  <si>
    <t>4902430729925</t>
  </si>
  <si>
    <t>4902430729901</t>
  </si>
  <si>
    <t>4902430622080</t>
  </si>
  <si>
    <t>4902430401845</t>
  </si>
  <si>
    <t>4902430453028</t>
  </si>
  <si>
    <t>4902430513081</t>
  </si>
  <si>
    <t>9555222610670</t>
  </si>
  <si>
    <t>9555222610649</t>
  </si>
  <si>
    <t>4800047865282</t>
  </si>
  <si>
    <t>4800047863134</t>
  </si>
  <si>
    <t>4800047865312</t>
  </si>
  <si>
    <t>4801234146061</t>
  </si>
  <si>
    <t>4801234141714</t>
  </si>
  <si>
    <t>4801234061418</t>
  </si>
  <si>
    <t>9555222605904</t>
  </si>
  <si>
    <t>9555222601463</t>
  </si>
  <si>
    <t>9555222605072</t>
  </si>
  <si>
    <t>4801234146085</t>
  </si>
  <si>
    <t>9555222610038</t>
  </si>
  <si>
    <t>4800067601723</t>
  </si>
  <si>
    <t>4800067601747</t>
  </si>
  <si>
    <t>4800314009708</t>
  </si>
  <si>
    <t>4806502359440</t>
  </si>
  <si>
    <t>4902430389556</t>
  </si>
  <si>
    <t>4902430434393</t>
  </si>
  <si>
    <t>4902430468732</t>
  </si>
  <si>
    <t>4902430389570</t>
  </si>
  <si>
    <t>4902430389563</t>
  </si>
  <si>
    <t>4902430389549</t>
  </si>
  <si>
    <t>4801234014421</t>
  </si>
  <si>
    <t>4801002036242</t>
  </si>
  <si>
    <t>888123456781919</t>
  </si>
  <si>
    <t>4809015059012</t>
  </si>
  <si>
    <t>6925162500158</t>
  </si>
  <si>
    <t>888123456781692</t>
  </si>
  <si>
    <t>4809014971087</t>
  </si>
  <si>
    <t>4809014971025</t>
  </si>
  <si>
    <t>4800374032135</t>
  </si>
  <si>
    <t>4801234056728</t>
  </si>
  <si>
    <t>4801234051235</t>
  </si>
  <si>
    <t>4902430803724</t>
  </si>
  <si>
    <t>4800314010124</t>
  </si>
  <si>
    <t>4800314007926</t>
  </si>
  <si>
    <t>4800314093813</t>
  </si>
  <si>
    <t>4800314000118</t>
  </si>
  <si>
    <t>888123456781481</t>
  </si>
  <si>
    <t>4806020440576</t>
  </si>
  <si>
    <t>4806020456355</t>
  </si>
  <si>
    <t>4806020440187</t>
  </si>
  <si>
    <t>4806020456362</t>
  </si>
  <si>
    <t>888123456781882</t>
  </si>
  <si>
    <t>888123456781883</t>
  </si>
  <si>
    <t>4800888136671</t>
  </si>
  <si>
    <t>4800888136688</t>
  </si>
  <si>
    <t>4800888190970</t>
  </si>
  <si>
    <t>4800888190987</t>
  </si>
  <si>
    <t>4800888136749</t>
  </si>
  <si>
    <t>4800888136770</t>
  </si>
  <si>
    <t>4800888157614</t>
  </si>
  <si>
    <t>8934868139362</t>
  </si>
  <si>
    <t>8934868094982</t>
  </si>
  <si>
    <t>8934868110170</t>
  </si>
  <si>
    <t>4800888287984</t>
  </si>
  <si>
    <t>8934868125211</t>
  </si>
  <si>
    <t>4800888151834</t>
  </si>
  <si>
    <t>8934868139393</t>
  </si>
  <si>
    <t>4800888218940</t>
  </si>
  <si>
    <t>4800888189806</t>
  </si>
  <si>
    <t>4800888221056</t>
  </si>
  <si>
    <t>4800888151827</t>
  </si>
  <si>
    <t>4800888199133</t>
  </si>
  <si>
    <t>4800888221049</t>
  </si>
  <si>
    <t>4800888183804</t>
  </si>
  <si>
    <t>4800888151841</t>
  </si>
  <si>
    <t>4809015002681</t>
  </si>
  <si>
    <t>4809015002773</t>
  </si>
  <si>
    <t>4809015002940</t>
  </si>
  <si>
    <t>4809015002988</t>
  </si>
  <si>
    <t>4809015002957</t>
  </si>
  <si>
    <t>4809015002995</t>
  </si>
  <si>
    <t>4902430800846</t>
  </si>
  <si>
    <t>4902430831406</t>
  </si>
  <si>
    <t>4902430831161</t>
  </si>
  <si>
    <t>4902430831338</t>
  </si>
  <si>
    <t>4902430899604</t>
  </si>
  <si>
    <t>888123456781722</t>
  </si>
  <si>
    <t>9551007000049</t>
  </si>
  <si>
    <t>4803746400013</t>
  </si>
  <si>
    <t>4803746332833</t>
  </si>
  <si>
    <t>6925419077969</t>
  </si>
  <si>
    <t>8998866801928</t>
  </si>
  <si>
    <t>8998866801614</t>
  </si>
  <si>
    <t>8998866619967</t>
  </si>
  <si>
    <t>8998866803564</t>
  </si>
  <si>
    <t>8998866616058</t>
  </si>
  <si>
    <t>8998866605076</t>
  </si>
  <si>
    <t>8998866800808</t>
  </si>
  <si>
    <t>4806519893449</t>
  </si>
  <si>
    <t>4800047840043</t>
  </si>
  <si>
    <t>4800047840012</t>
  </si>
  <si>
    <t>4800047840036</t>
  </si>
  <si>
    <t>4800047840029</t>
  </si>
  <si>
    <t>4800047840296</t>
  </si>
  <si>
    <t>4800047840272</t>
  </si>
  <si>
    <t>4800047841729</t>
  </si>
  <si>
    <t>4800047841712</t>
  </si>
  <si>
    <t>4800047841705</t>
  </si>
  <si>
    <t>4800047841781</t>
  </si>
  <si>
    <t>4800047847196</t>
  </si>
  <si>
    <t>4800047847219</t>
  </si>
  <si>
    <t>4800047847202</t>
  </si>
  <si>
    <t>ACTIVE LYSOL 250ML</t>
  </si>
  <si>
    <t>ACTIVE LYSOL 500ML</t>
  </si>
  <si>
    <t>ADVANCE POLISHING CAKE ALL PURPOSE CLEANER</t>
  </si>
  <si>
    <t>ALBATROS JASMINE 100G</t>
  </si>
  <si>
    <t>ALBATROSS APPLE 100G</t>
  </si>
  <si>
    <t>ALBATROSS APPLE 50G</t>
  </si>
  <si>
    <t>ALBATROSS APPLE REFILL 50G</t>
  </si>
  <si>
    <t>ALBATROSS JASMINE 50G</t>
  </si>
  <si>
    <t>ALBATROSS KIWI REFILL 100G</t>
  </si>
  <si>
    <t>ALBATROSS LEMON 100G</t>
  </si>
  <si>
    <t>ALBATROSS LEMON REFILL 50G</t>
  </si>
  <si>
    <t>ALBATROSS MELON 100G</t>
  </si>
  <si>
    <t>ALBATROSS MELON 50G</t>
  </si>
  <si>
    <t>ALBATROSS SAMBA 100G</t>
  </si>
  <si>
    <t>ALBATROSS SAMBA 50G</t>
  </si>
  <si>
    <t>ALBATROSS SAMPAGUITA 100G</t>
  </si>
  <si>
    <t>ALBATROSS SAMPAGUITA 50G</t>
  </si>
  <si>
    <t>ALBATROSS SAMPAGUITA REFILL 100G</t>
  </si>
  <si>
    <t>ALBATROSS STRAWBERRY 100G</t>
  </si>
  <si>
    <t>ALBATROSS STRAWBERRY 50G</t>
  </si>
  <si>
    <t>ALBATROSS SWEET MARMALADE REFILL 50G</t>
  </si>
  <si>
    <t>ARIEL POWDER SUNRISE FRESH 100G TRIPID PACK</t>
  </si>
  <si>
    <t>ARIEL POWDER SUNRISE FRESH 1410G</t>
  </si>
  <si>
    <t>ARIEL POWDER SUNRISE FRESH 70G</t>
  </si>
  <si>
    <t>ARIEL W/ DOWNY FLORAL PASSION 68G</t>
  </si>
  <si>
    <t>ARIEL W/ DOWNY FLORAL PASSION TRIPID PACK</t>
  </si>
  <si>
    <t>ARIEL WITH DOWNY + FRESH GARDEN BLOOM 70G</t>
  </si>
  <si>
    <t>ARMOR ALL GLASS CLEANER 500ML</t>
  </si>
  <si>
    <t>BAYGON MOSQUITO COIL SCENTED 12 COILS</t>
  </si>
  <si>
    <t>BAYGON MULTI INSECT KILLER KILLING ACTION 500ML</t>
  </si>
  <si>
    <t>BAYGON MULTI INSECT KILLER ODORLESS 500ML</t>
  </si>
  <si>
    <t>BAYGON MULTI INSECT KILLER WATERBASED 500ML</t>
  </si>
  <si>
    <t>BAYGON PROTECTOR 500ML</t>
  </si>
  <si>
    <t xml:space="preserve">BILAO #12	</t>
  </si>
  <si>
    <t xml:space="preserve">BILAO #14	</t>
  </si>
  <si>
    <t>BONG BLUE BABAD 4L</t>
  </si>
  <si>
    <t>BREEZE POWDER ACTIVBLEACH 70G 6+1</t>
  </si>
  <si>
    <t>BREEZE POWDER ROSE GOLD PERFUME 66G</t>
  </si>
  <si>
    <t>BREEZE POWDER ROSE GOLD PERFUME 66G 6+1</t>
  </si>
  <si>
    <t>CALLA POWDER W/ FABCON KALAMANSI MAGIC 45G</t>
  </si>
  <si>
    <t>CALLA POWDER W/ FABCON ROSE GARDEN 45G</t>
  </si>
  <si>
    <t>CALLA POWDER W/ FABCON SUMMER FRESH 45G</t>
  </si>
  <si>
    <t>CHAMPION BAR BLUE ORIGINAL 370G</t>
  </si>
  <si>
    <t>CHAMPION BAR CITRUS FRESH 370G</t>
  </si>
  <si>
    <t>CHAMPION BAR SUNNY FRESH SCENT 370G</t>
  </si>
  <si>
    <t>CHAMPION BAR SUPRA CLEAN 370G</t>
  </si>
  <si>
    <t>CHAMPION BAR W/ FABCON FLORAL SCENT 370G</t>
  </si>
  <si>
    <t>CHAMPION CITRUS FRESH DETERGENT POWDER 40G</t>
  </si>
  <si>
    <t>CHAMPION FABRICON BLUE SERENITY 28ML</t>
  </si>
  <si>
    <t>CHAMPION FABRICON FRESH DAY 28ML</t>
  </si>
  <si>
    <t>CHAMPION FABRICON PINK FRESH 28ML</t>
  </si>
  <si>
    <t>CHAMPION SUPRA CLEAN DETERGENT POWDER 40G</t>
  </si>
  <si>
    <t>CHAMPION TODO TIPID PACK WHITE 130G</t>
  </si>
  <si>
    <t>CHEERS PLATE 6PCS</t>
  </si>
  <si>
    <t>CHEERS TRASH BAGS MEDIUM 10S</t>
  </si>
  <si>
    <t>CHEERS TRASH BAGS SMALL 10S</t>
  </si>
  <si>
    <t>CONCRETE NEUTRALIZER 500ML</t>
  </si>
  <si>
    <t>DAZZ DISWASHING PASTE CALAMANSI 200G</t>
  </si>
  <si>
    <t>DEL FABCON BLOSSOM RUSH 22ML</t>
  </si>
  <si>
    <t>DEL FABCON LAVENDER BREEZE 22ML</t>
  </si>
  <si>
    <t>DEL FOREVER JOY FABRIC SOFTENER 26ML</t>
  </si>
  <si>
    <t>DEL FOREVER LOVE FABRIC SOFTENER 26ML</t>
  </si>
  <si>
    <t>DEL GENTLE PROTECT FABRIC SOFTENER 26ML</t>
  </si>
  <si>
    <t>DOWNY ANTIBAC 40ML</t>
  </si>
  <si>
    <t>DOWNY ANTIBAC SAFEGUARD 25ML</t>
  </si>
  <si>
    <t>DOWNY ANTIBAC TRIPID PACK 63ML</t>
  </si>
  <si>
    <t>DOWNY EXPERT KONTRA KULOB 23ML</t>
  </si>
  <si>
    <t>DOWNY FABRIC ANTIBAC 690ML</t>
  </si>
  <si>
    <t>DOWNY GARDEN BLOOM 800ML</t>
  </si>
  <si>
    <t>DOWNY GARDEN BLOOM TRIPID PACK 66ML</t>
  </si>
  <si>
    <t>DOWNY PARFUM COLL MYSTIQUE 20ML</t>
  </si>
  <si>
    <t>DOWNY PARFUM COLL PASSION 20ML</t>
  </si>
  <si>
    <t>DOWNY PARFUM PASSION 760ML</t>
  </si>
  <si>
    <t>DOWNY SUNRISE FRESH 25ML</t>
  </si>
  <si>
    <t>DOWNY SUNRISE FRESH 800ML</t>
  </si>
  <si>
    <t>DOWNY SUNRISE FRESH TRIPID PACK 66ML</t>
  </si>
  <si>
    <t>FAMILY GUARD DISINFECTANT FRAGRANCE FREE 155ML</t>
  </si>
  <si>
    <t>FAMILY GUARD DISINFECTANT FRAGRANCE FREE 280ML</t>
  </si>
  <si>
    <t>GC MOIST PROTECTION BAR AQUA CLEAN 125G</t>
  </si>
  <si>
    <t>GC MOIST PROTECTION BAR COOL MOUNTAIN 125G</t>
  </si>
  <si>
    <t>GC MOIST PROTECTION BAR PAPAYA &amp; HONEY 125G</t>
  </si>
  <si>
    <t>GLADE AIR FRESHENER FRESH LEMON VALUE PACK</t>
  </si>
  <si>
    <t>GLADE AIR FRESHENER MORNING FRESHNESS 320ML</t>
  </si>
  <si>
    <t>GLADE AIR FRESHENER ORANGE SQUEEZE 262G</t>
  </si>
  <si>
    <t>GLADE AIR FRESHENER PEONY AND BERRY BLISS 320ML</t>
  </si>
  <si>
    <t>GLADE AIR FRESHENER WILD LAVENDER 320ML</t>
  </si>
  <si>
    <t>GLADE SENSATIONS REFILLS-OCEAN ESCAPE 8G</t>
  </si>
  <si>
    <t>GLADE SG LAVENDER 180G VALUE PACK</t>
  </si>
  <si>
    <t>GLADE SG OCEAN ESCAPE 180G VALUE PACK</t>
  </si>
  <si>
    <t>GLEAM MURIATIC ACID 250ML</t>
  </si>
  <si>
    <t>GLEAM MURIATIC ACID 500ML</t>
  </si>
  <si>
    <t>HEAVY DUTY SCRUBBING PAD MINI</t>
  </si>
  <si>
    <t>JADE VALUE TABLE NAPKINS 1000S</t>
  </si>
  <si>
    <t>JOY DISHWASHING LIQUID ANTIBAC 36ML</t>
  </si>
  <si>
    <t>JOY DISHWASHING LIQUID KALAMANSI 18.5ML</t>
  </si>
  <si>
    <t>JOY DISHWASHING LIQUID KALAMANSI 540ML</t>
  </si>
  <si>
    <t>JOY DISHWASHING LIQUID LEMON 18.5ML</t>
  </si>
  <si>
    <t>JOY LEMON 40ML</t>
  </si>
  <si>
    <t>JOY SAFEGUARD ANTIBAC 17ML</t>
  </si>
  <si>
    <t>KIWI BROWN CREAM SACHET 5ML</t>
  </si>
  <si>
    <t>LYSOL ANTI-BACTERIAL HAND SOAP FRESH 225ML</t>
  </si>
  <si>
    <t>LYSOL DS FRESH BLOSSOM BUY 1 TAKE 1</t>
  </si>
  <si>
    <t>MAXGLOW GREEN 1L</t>
  </si>
  <si>
    <t>MOUSE TRAP</t>
  </si>
  <si>
    <t>MULTI SURFACE CLEANER &amp; DISINFECTANT APPLE GREEN</t>
  </si>
  <si>
    <t>MURIATIC ACID COMMERCIAL 1L</t>
  </si>
  <si>
    <t>MURIATIC ACID PURE 1L</t>
  </si>
  <si>
    <t>PIONEER MIGHTY BOND 1G</t>
  </si>
  <si>
    <t>PLEDGE LEMON 330ML</t>
  </si>
  <si>
    <t>PLEDGE ORANGE ENHANCING POLISH 330ML</t>
  </si>
  <si>
    <t>PR GAZ</t>
  </si>
  <si>
    <t>SAFEGUARD BAR LEMON 135G</t>
  </si>
  <si>
    <t xml:space="preserve">SCOTCH BRITE STAINLESS STEEL </t>
  </si>
  <si>
    <t>SCOTCH BRITE STAINLESS STEEL REGULAR</t>
  </si>
  <si>
    <t>SCOTCH BRITE TOUGH CLEAN SCRUB SPONGE 3 PACK</t>
  </si>
  <si>
    <t>SCOTH BRITE HEAVY DUTY SCRUB SPONGE TRIAL W/ MULTI-PURPOSE SPONGE TRIAL</t>
  </si>
  <si>
    <t>SET PR GAZ STOVE</t>
  </si>
  <si>
    <t>SPEED BABAD FRESH ROSES POWDER 55G</t>
  </si>
  <si>
    <t>SPEED BABAD KALAMANSI POWDER 55G</t>
  </si>
  <si>
    <t>SPEED BABAD POWER WHITETENER POWDER 55G</t>
  </si>
  <si>
    <t>SPEED BABAD SUN FLOWER BURST POWDER 55G</t>
  </si>
  <si>
    <t>SPEED KALAMANSI POWDER 55G BUY 6 +2FREE</t>
  </si>
  <si>
    <t>SPEED SUN FLOWER BURST POWDER 55G BUY 6 +2FREE</t>
  </si>
  <si>
    <t>SURF BAR BLOSSOM FRESH 120G</t>
  </si>
  <si>
    <t>SURF BAR BLOSSOM FRESH 380G</t>
  </si>
  <si>
    <t>SURF BAR CHERRY BLOSSOM 120G</t>
  </si>
  <si>
    <t>SURF BAR CHERRY BLOSSOM 380G</t>
  </si>
  <si>
    <t>SURF BAR OXYBUBBLES KALAMANSI 380G</t>
  </si>
  <si>
    <t>SURF BAR SUN FRESH 120G</t>
  </si>
  <si>
    <t>SURF FABCON BLOSSOM FRESH 25ML</t>
  </si>
  <si>
    <t>SURF FABCON CHARCOAL FRESH 25ML</t>
  </si>
  <si>
    <t>SURF FABCON FRENCH PERFUME 25ML</t>
  </si>
  <si>
    <t>SURF FABCON LUXE PERFUME 25ML</t>
  </si>
  <si>
    <t>SURF FABCON LUXE PERFUME 28ML BUY 5 GET 1 FREE</t>
  </si>
  <si>
    <t>SURF FABCON MAGICAL BLOOM 28ML</t>
  </si>
  <si>
    <t>SURF FABCON TAWAS 61G</t>
  </si>
  <si>
    <t>SURF FABCON W/ MINT EXTRACT 25ML</t>
  </si>
  <si>
    <t>SURF POWDER ANTIBACTERIAL 60G</t>
  </si>
  <si>
    <t>SURF POWDER CHERRY BLOSSOM 57G</t>
  </si>
  <si>
    <t>SURF POWDER CHERRY BLOSSOM 6+1</t>
  </si>
  <si>
    <t>SURF POWDER KALAMANSI 61G</t>
  </si>
  <si>
    <t>SURF POWDER PURPLE BLOSSOMS 57G</t>
  </si>
  <si>
    <t>SURF POWDER ROSE FRESH 6+1</t>
  </si>
  <si>
    <t>SURF POWDER ROSE FRESH 70G</t>
  </si>
  <si>
    <t>SURF POWDER SUN FRESH 65G</t>
  </si>
  <si>
    <t xml:space="preserve">TEMOX CHALK ROACH AND ANT KILLER </t>
  </si>
  <si>
    <t>TEMOX MULTI-INSECT KILLER BLUE 100ML</t>
  </si>
  <si>
    <t>TEMOX MULTI-INSECT KILLER BLUE 300ML</t>
  </si>
  <si>
    <t>TEMOX MULTI-INSECT KILLER BLUE 600ML</t>
  </si>
  <si>
    <t>TEMOX MULTI-INSECT KILLER WATER BASED 300ML</t>
  </si>
  <si>
    <t>TEMOX MULTI-INSECT KILLER WATER BASED 600ML</t>
  </si>
  <si>
    <t>TIDE BAR W/ DOWNY PERFUME FANTASY 130G</t>
  </si>
  <si>
    <t>TIDE PERFECT CLEAN ORIGINAL FRESH 74G</t>
  </si>
  <si>
    <t>TIDE PERFECT CLEAN W/ DOWNY GARDEN BLOOM 74G</t>
  </si>
  <si>
    <t>TIDE PERFECT CLEAN W/ DOWNY PERFUME FANTASY 64G</t>
  </si>
  <si>
    <t>TIDE SPARKLING FRESH POWER GEL 60G</t>
  </si>
  <si>
    <t>TOP BRIGHT DISWASHING LIQUID ANTIBAC</t>
  </si>
  <si>
    <t>TRAP-A-ROACH HOY HOY</t>
  </si>
  <si>
    <t>TUFF NATURALS LIQUID LAUNDRY DETERGENT 1000ML</t>
  </si>
  <si>
    <t>TUFF TOILET BOWL CLEANSER 1000ML</t>
  </si>
  <si>
    <t>WAWANG MOSQUITO COIL 10SPIRALES</t>
  </si>
  <si>
    <t>WINGS SOLVE BLOOMING GARDEN 60G</t>
  </si>
  <si>
    <t>WINGS SOLVE CALAMANSI CLEAN 65G</t>
  </si>
  <si>
    <t>WINGS SOLVE SUMMER SUNSHINE 65G</t>
  </si>
  <si>
    <t>WINGS TOTAL CARE LAVENDER DREAM 60G</t>
  </si>
  <si>
    <t>WINGS TOTAL CARE SAKURA ESSENCE 60G</t>
  </si>
  <si>
    <t>WINGS TOTAL CARE W/ LAUNDRY SANITIZER 60G</t>
  </si>
  <si>
    <t>WINGS TOTAL CARE W/ POWER BLEACH 60G</t>
  </si>
  <si>
    <t>YEN YEN FABCON BLUE 900ML</t>
  </si>
  <si>
    <t>ZONROX BLEACH ORIGINAL 100ML</t>
  </si>
  <si>
    <t>ZONROX BLEACH ORIGINAL 1L</t>
  </si>
  <si>
    <t>ZONROX BLEACH ORIGINAL 250ML</t>
  </si>
  <si>
    <t>ZONROX BLEACH ORIGINAL 500ML</t>
  </si>
  <si>
    <t>ZONROX BLEACH SCENTED LEMON 100ML</t>
  </si>
  <si>
    <t>ZONROX BLEACH SCENTED LEMON 500ML</t>
  </si>
  <si>
    <t>ZONROX COLORSAFE BLEACH BLOSSOM FRESH 225ML</t>
  </si>
  <si>
    <t>ZONROX COLORSAFE BLEACH BLOSSOM FRESH 450ML</t>
  </si>
  <si>
    <t>ZONROX COLORSAFE BLEACH BLOSSOM FRESH 900ML</t>
  </si>
  <si>
    <t>ZONROX COLORSAFE BLEACH BLOSSOM FRESH 95ML</t>
  </si>
  <si>
    <t>ZONROX GENTLE CLEAN BLEACH 225ML</t>
  </si>
  <si>
    <t>ZONROX GENTLE CLEAN BLEACH 900ML</t>
  </si>
  <si>
    <t>ZONROXGENTLE CLEAN BLEACH 450ML</t>
  </si>
  <si>
    <t>78.00</t>
  </si>
  <si>
    <t>43.50</t>
  </si>
  <si>
    <t>41.50</t>
  </si>
  <si>
    <t>206.95</t>
  </si>
  <si>
    <t>14.42</t>
  </si>
  <si>
    <t>14.91</t>
  </si>
  <si>
    <t>19.47</t>
  </si>
  <si>
    <t>279.34</t>
  </si>
  <si>
    <t>20.20</t>
  </si>
  <si>
    <t>296.10</t>
  </si>
  <si>
    <t>360.65</t>
  </si>
  <si>
    <t>327.25</t>
  </si>
  <si>
    <t>18.00</t>
  </si>
  <si>
    <t>21.00</t>
  </si>
  <si>
    <t>76.19</t>
  </si>
  <si>
    <t>12.70</t>
  </si>
  <si>
    <t>6.29</t>
  </si>
  <si>
    <t>22.09</t>
  </si>
  <si>
    <t>22.57</t>
  </si>
  <si>
    <t>24.42</t>
  </si>
  <si>
    <t>5.34</t>
  </si>
  <si>
    <t>5.02</t>
  </si>
  <si>
    <t>4.79</t>
  </si>
  <si>
    <t>44.36</t>
  </si>
  <si>
    <t>36.51</t>
  </si>
  <si>
    <t>19.66</t>
  </si>
  <si>
    <t>48.00</t>
  </si>
  <si>
    <t>3.72</t>
  </si>
  <si>
    <t>7.46</t>
  </si>
  <si>
    <t>13.87</t>
  </si>
  <si>
    <t>155.64</t>
  </si>
  <si>
    <t>160.51</t>
  </si>
  <si>
    <t>15.25</t>
  </si>
  <si>
    <t>152.97</t>
  </si>
  <si>
    <t>13.88</t>
  </si>
  <si>
    <t>158.25</t>
  </si>
  <si>
    <t>242.50</t>
  </si>
  <si>
    <t>34.73</t>
  </si>
  <si>
    <t>36.61</t>
  </si>
  <si>
    <t>350.45</t>
  </si>
  <si>
    <t>199.35</t>
  </si>
  <si>
    <t>88.10</t>
  </si>
  <si>
    <t>44.75</t>
  </si>
  <si>
    <t>9.47</t>
  </si>
  <si>
    <t>55.80</t>
  </si>
  <si>
    <t>11.10</t>
  </si>
  <si>
    <t>5.77</t>
  </si>
  <si>
    <t>144.31</t>
  </si>
  <si>
    <t>5.78</t>
  </si>
  <si>
    <t>7.20</t>
  </si>
  <si>
    <t>381.01</t>
  </si>
  <si>
    <t>28.75</t>
  </si>
  <si>
    <t>225.00</t>
  </si>
  <si>
    <t>72.00</t>
  </si>
  <si>
    <t>28.00</t>
  </si>
  <si>
    <t>252.00</t>
  </si>
  <si>
    <t>57.00</t>
  </si>
  <si>
    <t>49.00</t>
  </si>
  <si>
    <t>21.96</t>
  </si>
  <si>
    <t>37.93</t>
  </si>
  <si>
    <t>58.25</t>
  </si>
  <si>
    <t>36.75</t>
  </si>
  <si>
    <t>1,030.00</t>
  </si>
  <si>
    <t>4.85</t>
  </si>
  <si>
    <t>4.58</t>
  </si>
  <si>
    <t>27.45</t>
  </si>
  <si>
    <t>11.17</t>
  </si>
  <si>
    <t>25.45</t>
  </si>
  <si>
    <t>5.41</t>
  </si>
  <si>
    <t>27.03</t>
  </si>
  <si>
    <t>6.37</t>
  </si>
  <si>
    <t>60.95</t>
  </si>
  <si>
    <t>154.75</t>
  </si>
  <si>
    <t>265.00</t>
  </si>
  <si>
    <t>163.25</t>
  </si>
  <si>
    <t>276.95</t>
  </si>
  <si>
    <t>13.17</t>
  </si>
  <si>
    <t>13.96</t>
  </si>
  <si>
    <t>14.43</t>
  </si>
  <si>
    <t>11.29</t>
  </si>
  <si>
    <t>35.62</t>
  </si>
  <si>
    <t>200.00</t>
  </si>
  <si>
    <t>215.75</t>
  </si>
  <si>
    <t>5.67</t>
  </si>
  <si>
    <t>4.54</t>
  </si>
  <si>
    <t>43.00</t>
  </si>
  <si>
    <t>7.59</t>
  </si>
  <si>
    <t>9.03</t>
  </si>
  <si>
    <t>39.88</t>
  </si>
  <si>
    <t>15.15</t>
  </si>
  <si>
    <t>23.38</t>
  </si>
  <si>
    <t>23.15</t>
  </si>
  <si>
    <t>8.16</t>
  </si>
  <si>
    <t>20.91</t>
  </si>
  <si>
    <t>23.47</t>
  </si>
  <si>
    <t>38.01</t>
  </si>
  <si>
    <t>37.64</t>
  </si>
  <si>
    <t>65.99</t>
  </si>
  <si>
    <t>21.73</t>
  </si>
  <si>
    <t>51.92</t>
  </si>
  <si>
    <t>30.50</t>
  </si>
  <si>
    <t>888123456781983</t>
  </si>
  <si>
    <t>888123456781985</t>
  </si>
  <si>
    <t>888123456781986</t>
  </si>
  <si>
    <t>888123456781991</t>
  </si>
  <si>
    <t>888123456781992</t>
  </si>
  <si>
    <t>888123456781943</t>
  </si>
  <si>
    <t>888123456781941</t>
  </si>
  <si>
    <t>888123456781942</t>
  </si>
  <si>
    <t>888123456781939</t>
  </si>
  <si>
    <t>888123456781940</t>
  </si>
  <si>
    <t>0764460243888</t>
  </si>
  <si>
    <t>888123456782026</t>
  </si>
  <si>
    <t>888123456781960</t>
  </si>
  <si>
    <t>CLMA62611-2X-BLKCATN</t>
  </si>
  <si>
    <t>CLMA62511-S-GRYHBL</t>
  </si>
  <si>
    <t>OLFM10113-FLORA-L</t>
  </si>
  <si>
    <t>OLFM10113-FLORA-M</t>
  </si>
  <si>
    <t>OLFM10113-FLORA-S</t>
  </si>
  <si>
    <t>OLFM10113-FLORA-XL</t>
  </si>
  <si>
    <t>OLFM10313-AVAH-2X</t>
  </si>
  <si>
    <t>OLFM10313-AVAH-L</t>
  </si>
  <si>
    <t>OLFM10313-AVAH-M</t>
  </si>
  <si>
    <t>OLFM10313-AVAH-S</t>
  </si>
  <si>
    <t>OLFM10313-AVAH-XL</t>
  </si>
  <si>
    <t>OLFM10013-PAIGE-M</t>
  </si>
  <si>
    <t>OLFM10013-PAIGE-S</t>
  </si>
  <si>
    <t>OLFM10013-PAIGE-XL</t>
  </si>
  <si>
    <t>OLFM50011-WILLOW-M</t>
  </si>
  <si>
    <t>OLFM50011-WILLOW-S</t>
  </si>
  <si>
    <t>888123456781997</t>
  </si>
  <si>
    <t>888123456781998</t>
  </si>
  <si>
    <t>CLMP11516-2X-ASSTD-F</t>
  </si>
  <si>
    <t>CLMP80111-M-MDNTBLU</t>
  </si>
  <si>
    <t>CLMA60211-M-BLACK</t>
  </si>
  <si>
    <t>CLMA60211-S-BLACK</t>
  </si>
  <si>
    <t>CLMA60211-XL-BLACK</t>
  </si>
  <si>
    <t>CLMA63101-XL-NATURAL</t>
  </si>
  <si>
    <t>CLMA63111-L-BLACK</t>
  </si>
  <si>
    <t>CLMA63101-L-NATURAL</t>
  </si>
  <si>
    <t>CLMA63111-M-BLACK</t>
  </si>
  <si>
    <t>CLMA63101-M-NATURAL</t>
  </si>
  <si>
    <t>CLMA63111-S-BLACK</t>
  </si>
  <si>
    <t>CLMA63101-S-NATURAL</t>
  </si>
  <si>
    <t>CLMA63111-XL-BLACK</t>
  </si>
  <si>
    <t>CLMA63511-AIRE-L</t>
  </si>
  <si>
    <t>CLMA63511-AIRE-M</t>
  </si>
  <si>
    <t>CLMA63511-AIRE-XL</t>
  </si>
  <si>
    <t>DLBP31113-L-ASSTD</t>
  </si>
  <si>
    <t>DLBP31113-M-ASSTD</t>
  </si>
  <si>
    <t>DLBP10616-L-ASSTD-D</t>
  </si>
  <si>
    <t>DLBP10516-XL-ASSTD-C</t>
  </si>
  <si>
    <t>DLBP10516-M-ASSTD-C</t>
  </si>
  <si>
    <t>DLBP30813-L-ASSTD</t>
  </si>
  <si>
    <t>DLBP30813-M-ASSTD</t>
  </si>
  <si>
    <t>DLBP40003-L-WHITE</t>
  </si>
  <si>
    <t>DLBP90001-14-WHITE</t>
  </si>
  <si>
    <t>DLBP90001-16-WHITE</t>
  </si>
  <si>
    <t>DLBP80001-14-WHITE</t>
  </si>
  <si>
    <t>DLBP80001-16-WHITE</t>
  </si>
  <si>
    <t>DLBP80021-16-WHITE</t>
  </si>
  <si>
    <t>DLBP80021-14-WHITE</t>
  </si>
  <si>
    <t>DLBP80611-08-10-STGY</t>
  </si>
  <si>
    <t>DLBP80611-XS-S-CSBL</t>
  </si>
  <si>
    <t>DLBP80711-12-14-BLK</t>
  </si>
  <si>
    <t>DLBP71101-16-18-WHT</t>
  </si>
  <si>
    <t>DLBP80611-12-14-ISLANDGRN</t>
  </si>
  <si>
    <t>CLMP70101-M</t>
  </si>
  <si>
    <t>CLMI55011-L-AIRCOOL</t>
  </si>
  <si>
    <t>CLMP51811-2X-CHEKERD</t>
  </si>
  <si>
    <t>CLMP51811-S-CHEKERD</t>
  </si>
  <si>
    <t>CLMP51811-XL-CHEKERD</t>
  </si>
  <si>
    <t>CLMI54511-L-STLGREY</t>
  </si>
  <si>
    <t>CLMP54411-L-NVYPONY</t>
  </si>
  <si>
    <t>CLMP54411-M-NVYPONY</t>
  </si>
  <si>
    <t>CLMP54411-S-NVYPONY</t>
  </si>
  <si>
    <t>CLMP55411-RADIAN-L</t>
  </si>
  <si>
    <t>CLMP55411-RADIAN-M</t>
  </si>
  <si>
    <t>CLMP55411-RAVISH-M</t>
  </si>
  <si>
    <t>CLMP55411-RUSSET-L</t>
  </si>
  <si>
    <t>CLMP55411-RUSSET-M</t>
  </si>
  <si>
    <t>CLMP11516-L-ASSTD-F</t>
  </si>
  <si>
    <t>CLMP23613-DKNIGHT-2X</t>
  </si>
  <si>
    <t>CLMP23613-DKNIGHT-M</t>
  </si>
  <si>
    <t>CLMP23613-DKNIGHT-XL</t>
  </si>
  <si>
    <t>CLMP23713-ECLIPSE-L</t>
  </si>
  <si>
    <t>CLMP23713-ECLIPSE-M</t>
  </si>
  <si>
    <t>CLMP23013-JAXEN-L</t>
  </si>
  <si>
    <t>CLMP23013-JAXEN-M</t>
  </si>
  <si>
    <t>CLMP23113-TREVOR-L</t>
  </si>
  <si>
    <t>CLMP23113-TREVOR-M</t>
  </si>
  <si>
    <t>CLMP30813-L-ASSTD</t>
  </si>
  <si>
    <t>CLMP90101-L-WHITE</t>
  </si>
  <si>
    <t>CLMP30003-26-WHITE</t>
  </si>
  <si>
    <t>CLMP30003-30-WHITE</t>
  </si>
  <si>
    <t>CLMP30003-36-WHITE</t>
  </si>
  <si>
    <t>CLMP40103-L-WHITE</t>
  </si>
  <si>
    <t>CLMP30103-L-WHITE</t>
  </si>
  <si>
    <t>CLMP80101-L-WHITE</t>
  </si>
  <si>
    <t>CLMP80101-M-WHITE</t>
  </si>
  <si>
    <t>CLMP80111-L-MDNTBLU</t>
  </si>
  <si>
    <t>CLMP80101-XL-WHITE</t>
  </si>
  <si>
    <t>CLMP70301-M-WHITE</t>
  </si>
  <si>
    <t>CLMP80111-M-ISLNDGREEN</t>
  </si>
  <si>
    <t>CLMP70501-L-WHITE</t>
  </si>
  <si>
    <t>CLMP70501-M-WHITE</t>
  </si>
  <si>
    <t>CLMP70501-S-WHITE</t>
  </si>
  <si>
    <t>CLMP52811-L</t>
  </si>
  <si>
    <t>CLMP52811-M</t>
  </si>
  <si>
    <t>CLMP52811-S</t>
  </si>
  <si>
    <t>DLBP30003-16-WHITE</t>
  </si>
  <si>
    <t>DLBP30003-18-WHITE</t>
  </si>
  <si>
    <t>888123456781147</t>
  </si>
  <si>
    <t>888123456781144</t>
  </si>
  <si>
    <t>888123456781145</t>
  </si>
  <si>
    <t>CLMP80201-L-WHITE</t>
  </si>
  <si>
    <t>CLMP80201-S-WHITE</t>
  </si>
  <si>
    <t>CLMP80201-XL-WHITE</t>
  </si>
  <si>
    <t>888123456781610</t>
  </si>
  <si>
    <t>888123456781232</t>
  </si>
  <si>
    <t>888123456782025</t>
  </si>
  <si>
    <t>4806528710003</t>
  </si>
  <si>
    <t>4806528710027</t>
  </si>
  <si>
    <t>4806528710157</t>
  </si>
  <si>
    <t>4806528710102</t>
  </si>
  <si>
    <t>4806528710256</t>
  </si>
  <si>
    <t>4806528710201</t>
  </si>
  <si>
    <t>4806528710058</t>
  </si>
  <si>
    <t>888123456781304</t>
  </si>
  <si>
    <t>4800258485378</t>
  </si>
  <si>
    <t>888123456781970</t>
  </si>
  <si>
    <t>888123456781962</t>
  </si>
  <si>
    <t>888123456781938</t>
  </si>
  <si>
    <t>4800258485361</t>
  </si>
  <si>
    <t>888123456781999</t>
  </si>
  <si>
    <t>888123456782000</t>
  </si>
  <si>
    <t>888123456781971</t>
  </si>
  <si>
    <t>4800258476291</t>
  </si>
  <si>
    <t>4800258475874</t>
  </si>
  <si>
    <t>4800258477229</t>
  </si>
  <si>
    <t>4800258475843</t>
  </si>
  <si>
    <t>4800258475850</t>
  </si>
  <si>
    <t>888123456781936</t>
  </si>
  <si>
    <t>4800258475881</t>
  </si>
  <si>
    <t>4800258485255</t>
  </si>
  <si>
    <t>4800258481042</t>
  </si>
  <si>
    <t>4800258481035</t>
  </si>
  <si>
    <t>4800258481073</t>
  </si>
  <si>
    <t>4800258480991</t>
  </si>
  <si>
    <t>4800258480984</t>
  </si>
  <si>
    <t>4800258481028</t>
  </si>
  <si>
    <t>4800258489743</t>
  </si>
  <si>
    <t>4800258469774</t>
  </si>
  <si>
    <t>888123456781935</t>
  </si>
  <si>
    <t>4800258485231</t>
  </si>
  <si>
    <t>4800258480953</t>
  </si>
  <si>
    <t>4800258476307</t>
  </si>
  <si>
    <t>4800258469736</t>
  </si>
  <si>
    <t>4800258476314</t>
  </si>
  <si>
    <t>4800258479650</t>
  </si>
  <si>
    <t>4800258480977</t>
  </si>
  <si>
    <t>4800258479643</t>
  </si>
  <si>
    <t>4800258476321</t>
  </si>
  <si>
    <t>4800258476192</t>
  </si>
  <si>
    <t>888123456781514</t>
  </si>
  <si>
    <t>888123456781937</t>
  </si>
  <si>
    <t>4800258477243</t>
  </si>
  <si>
    <t>888123456781969</t>
  </si>
  <si>
    <t>4800258469750</t>
  </si>
  <si>
    <t>4800258469767</t>
  </si>
  <si>
    <t>4800258476338</t>
  </si>
  <si>
    <t>AEVA 001</t>
  </si>
  <si>
    <t>AEVA 003</t>
  </si>
  <si>
    <t>AEVA 004</t>
  </si>
  <si>
    <t>AEVA 005 - MINI</t>
  </si>
  <si>
    <t>AEVA 006 - W/ DESIGN SMALL</t>
  </si>
  <si>
    <t>AURORAS KIT TEA COFFEE PEANUT</t>
  </si>
  <si>
    <t>AURORAS KIT TEA HONEY PURO</t>
  </si>
  <si>
    <t>AURORAS KIT TEA PEANUT BUTTER CHIA SEED 340G</t>
  </si>
  <si>
    <t>AURORAS KIT TEA SUKANG ATSARA</t>
  </si>
  <si>
    <t>AURORAS KIT TEA SUKANG SINAMAK</t>
  </si>
  <si>
    <t>BIGAS MAIS CORN GRITS 1KL</t>
  </si>
  <si>
    <t>BUTCHERON MUSHROOM CHIPS</t>
  </si>
  <si>
    <t>CAPINTALAN FOOD PRODUCTS TURMERIC W/ LEMON GRASS 150G</t>
  </si>
  <si>
    <t>COMPRESSION SHORTS BLACK CATION 2X</t>
  </si>
  <si>
    <t>COMPRESSION SHORTS GRAYISH BLUE S</t>
  </si>
  <si>
    <t>FEM PANTY IG COTTON PRINTED-FLORA L</t>
  </si>
  <si>
    <t>FEM PANTY IG COTTON PRINTED-FLORA M</t>
  </si>
  <si>
    <t>FEM PANTY IG COTTON PRINTED-FLORA S</t>
  </si>
  <si>
    <t>FEM PANTY IG COTTON PRINTED-FLORA XL</t>
  </si>
  <si>
    <t>FEM PANTY OG BIKINI HIPSTER COTTON PLAIN-AVAH 2X</t>
  </si>
  <si>
    <t>FEM PANTY OG BIKINI HIPSTER COTTON PLAIN-AVAH L</t>
  </si>
  <si>
    <t>FEM PANTY OG BIKINI HIPSTER COTTON PLAIN-AVAH M</t>
  </si>
  <si>
    <t>FEM PANTY OG BIKINI HIPSTER COTTON PLAIN-AVAH S</t>
  </si>
  <si>
    <t>FEM PANTY OG BIKINI HIPSTER COTTON PLAIN-AVAH XL</t>
  </si>
  <si>
    <t>FEM PANTY OG COTTON PLAIN-PAIGE M</t>
  </si>
  <si>
    <t>FEM PANTY OG COTTON PLAIN-PAIGE S</t>
  </si>
  <si>
    <t>FEM PANTY OG COTTON PLAIN-PAIGE XL</t>
  </si>
  <si>
    <t>FEM SHORTS IG WOVEN 100% COTTON-ASSORTED PATTERN M</t>
  </si>
  <si>
    <t>FEM SHORTS IG WOVEN 100% COTTON-ASSORTED PATTERN S</t>
  </si>
  <si>
    <t>GARLIC MAYO 300G</t>
  </si>
  <si>
    <t>GARLIC MAYO 500G</t>
  </si>
  <si>
    <t>HANDFORD MENS BRIEFS IG BUY5+1FREE 2X</t>
  </si>
  <si>
    <t>HANDFORD MENS R-NECK SHIRT MODERN FIT SHORT SLEEVE MIDNIGHT BLUE M</t>
  </si>
  <si>
    <t>HANFORD ATHLETIC MENS SPANDEX SUPPORTER BRIEFS M</t>
  </si>
  <si>
    <t>HANFORD ATHLETIC MENS SPANDEX SUPPORTER BRIEFS S</t>
  </si>
  <si>
    <t>HANFORD ATHLETIC MENS SPANDEX SUPPORTER BRIEFS XL</t>
  </si>
  <si>
    <t>HANFORD ATHLETIC MENS SUPPORTER 3S</t>
  </si>
  <si>
    <t>HANFORD ATHLETIC MENS SUPPORTER 3S L</t>
  </si>
  <si>
    <t>HANFORD ATHLETIC MENS SUPPORTER 3S M</t>
  </si>
  <si>
    <t>HANFORD ATHLETIC MENS SUPPORTER 3S S</t>
  </si>
  <si>
    <t>HANFORD ATHLETIC MENS SUPPORTER 3S XL</t>
  </si>
  <si>
    <t>HANFORD ATHLETIC PRO COOL COMPRESSION SHORTS MESHPOUCH-AIRE L</t>
  </si>
  <si>
    <t>HANFORD ATHLETIC PRO COOL COMPRESSION SHORTS MESHPOUCH-AIRE M</t>
  </si>
  <si>
    <t>HANFORD ATHLETIC PRO COOL COMPRESSION SHORTS MESHPOUCH-AIRE XL</t>
  </si>
  <si>
    <t>HANFORD BOYS BRIEFS HIPSTER COMBI-CURTIS L</t>
  </si>
  <si>
    <t>HANFORD BOYS BRIEFS HIPSTER COMBI-CURTIS M</t>
  </si>
  <si>
    <t>HANFORD BOYS BRIEFS IG BUY5+1FREE L</t>
  </si>
  <si>
    <t>HANFORD BOYS BRIEFS IG BUY5+1FREE-MARSHAL XL</t>
  </si>
  <si>
    <t>HANFORD BOYS BRIEFS IG BUY5+1FREE-MARSHALL M</t>
  </si>
  <si>
    <t>HANFORD BOYS BRIEFS ORBIT L</t>
  </si>
  <si>
    <t>HANFORD BOYS BRIEFS ORBIT M</t>
  </si>
  <si>
    <t>HANFORD BOYS COMFORTER BRIEFS (LYCRA WAISTBAND) L</t>
  </si>
  <si>
    <t>HANFORD BOYS PREMIUM CAMISA SHIRT-SHORT SLEEVES 14</t>
  </si>
  <si>
    <t>HANFORD BOYS PREMIUM CAMISA SHIRT-SHORT SLEEVES 16</t>
  </si>
  <si>
    <t>HANFORD BOYS PREMIUM R-NECK SHIRT-SHIRT SLEEVES 14</t>
  </si>
  <si>
    <t>HANFORD BOYS PREMIUM R-NECK SHIRT-SHORT SLEEVES 16</t>
  </si>
  <si>
    <t>HANFORD BOYS PREMIUM V-NECK SHIRT-SHOR SLEEVES 16</t>
  </si>
  <si>
    <t>HANFORD BOYS PREMIUM V-NECK SHIRT-SHORT SLEEVES 14</t>
  </si>
  <si>
    <t>HANFORD BOYS SHIRT R-NECK STEEL GRAY 16-18</t>
  </si>
  <si>
    <t>HANFORD BOYS SHIRT R-NECK XS-S</t>
  </si>
  <si>
    <t>HANFORD BOYS SHIRT V-NECK 12-14</t>
  </si>
  <si>
    <t>HANFORD BOYS VEST R-NECK 20-22</t>
  </si>
  <si>
    <t>HANFORD COTTON R-NECK SHORT SLEEVE SHIRT ISLAND GREEN 12-14</t>
  </si>
  <si>
    <t>HANFORD COTTON RIB TANK WHITE M</t>
  </si>
  <si>
    <t>HANFORD ICE MENS BOXER VISCOSE SPANDEX MESH POUCH-AIRCOOL L</t>
  </si>
  <si>
    <t>HANFORD MEN SHORTS IG WOVEN 100% COTTON 2X</t>
  </si>
  <si>
    <t>HANFORD MEN SHORTS IG WOVEN 100% COTTON S</t>
  </si>
  <si>
    <t>HANFORD MEN SHORTS IG WOVEN 100% COTTON XL</t>
  </si>
  <si>
    <t>HANFORD MEN SHORTS WOVEN 100% C-BARKS STEEL GRAY L</t>
  </si>
  <si>
    <t>HANFORD MENS BOXER COTTON SPANDEX-KAYDEN L</t>
  </si>
  <si>
    <t>HANFORD MENS BOXER COTTON SPANDEX-KAYDEN M</t>
  </si>
  <si>
    <t>HANFORD MENS BOXER COTTON SPANDEX-KAYDEN S</t>
  </si>
  <si>
    <t>HANFORD MENS BOXER COTTON SPANDEX-RADIAN L</t>
  </si>
  <si>
    <t>HANFORD MENS BOXER COTTON SPANDEX-RADIAN M</t>
  </si>
  <si>
    <t>HANFORD MENS BOXER COTTON SPANDEX-RAVISH M</t>
  </si>
  <si>
    <t>HANFORD MENS BOXER COTTON SPANDEX-RUSSET L</t>
  </si>
  <si>
    <t>HANFORD MENS BOXER COTTON SPANDEX-RUSSET M</t>
  </si>
  <si>
    <t>HANFORD MENS BRIEFS IG BUY5+1FREE L</t>
  </si>
  <si>
    <t>HANFORD MENS BRIEFS OG-DARK KNIGHT 2X</t>
  </si>
  <si>
    <t>HANFORD MENS BRIEFS OG-DARK KNIGHT M</t>
  </si>
  <si>
    <t>HANFORD MENS BRIEFS OG-DARK KNIGHT XL</t>
  </si>
  <si>
    <t>HANFORD MENS BRIEFS OG-ECLIPSE L</t>
  </si>
  <si>
    <t>HANFORD MENS BRIEFS OG-ECLIPSE M</t>
  </si>
  <si>
    <t>HANFORD MENS BRIEFS OG-JAXEN L</t>
  </si>
  <si>
    <t>HANFORD MENS BRIEFS OG-JAXEN M</t>
  </si>
  <si>
    <t>HANFORD MENS BRIEFS OG-TREVOR L</t>
  </si>
  <si>
    <t>HANFORD MENS BRIEFS OG-TREVOR M</t>
  </si>
  <si>
    <t>HANFORD MENS BRIEFS-AXIS L</t>
  </si>
  <si>
    <t>HANFORD MENS CAMISA SHIRT REGULAR SHORT SLEEVE L</t>
  </si>
  <si>
    <t>HANFORD MENS CLASSIC BRIEFS 26</t>
  </si>
  <si>
    <t>HANFORD MENS CLASSIC BRIEFS 30</t>
  </si>
  <si>
    <t>HANFORD MENS CLASSIC BRIEFS 36</t>
  </si>
  <si>
    <t>HANFORD MENS COMFORTER BRIEFS L (LYCRA WAISTBAND)</t>
  </si>
  <si>
    <t>HANFORD MENS HIPSTER BRIEFS L</t>
  </si>
  <si>
    <t>HANFORD MENS R-NECK SHIRT MODERN FIT SHORT SLEEVE L</t>
  </si>
  <si>
    <t>HANFORD MENS R-NECK SHIRT MODERN FIT SHORT SLEEVE M</t>
  </si>
  <si>
    <t xml:space="preserve">HANFORD MENS R-NECK SHIRT MODERN FIT SHORT SLEEVE MIDNIGHT BLUE L </t>
  </si>
  <si>
    <t>HANFORD MENS R-NECK SHIRT MODERN FIT SHORT SLEEVE XL</t>
  </si>
  <si>
    <t>HANFORD MENS R-NECK VEST SHIRT MODERN FIT M</t>
  </si>
  <si>
    <t>HANFORD MENS SHIRT R-NECK MODERN FIT M ISLAND GREEN</t>
  </si>
  <si>
    <t>HANFORD MENS V-NECK VEST SHIRT MODERN FIT L</t>
  </si>
  <si>
    <t>HANFORD MENS V-NECK VEST SHIRT MODERN FIT M</t>
  </si>
  <si>
    <t>HANFORD MENS V-NECK VEST SHIRT MODERN FIT S</t>
  </si>
  <si>
    <t>HANFORD PREMIUM KNITTED AND WOVEN SHORTS L</t>
  </si>
  <si>
    <t>HANFORD PREMIUM KNITTED AND WOVEN SHORTS M</t>
  </si>
  <si>
    <t>HANFORD PREMIUM KNITTED AND WOVEN SHORTS S</t>
  </si>
  <si>
    <t>HANFORD TEENS BRIEFS-PREMIUM 16</t>
  </si>
  <si>
    <t>HANFORD TEENS BRIEFS-PREMIUM 18</t>
  </si>
  <si>
    <t>HCI ALLORIA BEAUTY SOAP 90G</t>
  </si>
  <si>
    <t>HCI ALLORIA HAND &amp; BODY LOTION 120ML</t>
  </si>
  <si>
    <t>HCI ALLORIA MINERAL SHAMPOO 250ML</t>
  </si>
  <si>
    <t>HM V-NECK SHIRT MODERN FIT SHORT SLEEVE L</t>
  </si>
  <si>
    <t>HM V-NECK SHIRT MODERN FIT SHORT SLEEVE S</t>
  </si>
  <si>
    <t>HM V-NECK SHIRT MODERN FIT SHORT SLEEVE XL</t>
  </si>
  <si>
    <t>KACHIMOGO FILIPINO STYLE KIMCHI</t>
  </si>
  <si>
    <t>MSC GUYABANO TEA 15 TEA BAGS</t>
  </si>
  <si>
    <t>MUSHARAP MUSHROOM CHIPS-2</t>
  </si>
  <si>
    <t>NLIGHTEN BODY CREAM 100G</t>
  </si>
  <si>
    <t>NLIGHTEN CC CUSHION 15G</t>
  </si>
  <si>
    <t>NLIGHTEN CLOUD CREAM</t>
  </si>
  <si>
    <t>NLIGHTEN EYE GEL 10G</t>
  </si>
  <si>
    <t>NLIGHTEN FACIAL CLEANSER 100ML</t>
  </si>
  <si>
    <t>NLIGHTEN O2 BUBBLE CLEANSER 70ML</t>
  </si>
  <si>
    <t>NLIGHTEN UNDERARM CREAM 30G</t>
  </si>
  <si>
    <t>PANI-PEANUT</t>
  </si>
  <si>
    <t>PETRICH ALL NATURAL PET POWDER FRESH 150ML</t>
  </si>
  <si>
    <t>PETRICH ALL NATURAL PET SHAMPOO W/ CONDITIONER POWDER FRESH 500ML</t>
  </si>
  <si>
    <t>PETRICH ALL NATURAL PET SHAMPOO W/ CONDITIONER SEA BREEZE 500ML</t>
  </si>
  <si>
    <t>PETRICH ALL NATURAL PET SOAP SEA BREEZE 100ML</t>
  </si>
  <si>
    <t>PETRICH ALL NATURAL PET SPRAY RASPBERRY 250ML</t>
  </si>
  <si>
    <t>PICKLED GARLIC 150G</t>
  </si>
  <si>
    <t>PICKLED GARLIC 325G</t>
  </si>
  <si>
    <t>PINECREST ALL NATURAL HAND SANITIZER 100ML</t>
  </si>
  <si>
    <t>PINECREST ALL NATURAL HAND SANITIZER 500ML</t>
  </si>
  <si>
    <t>PINECREST ALL NATURAL HANDWASH ALCOWASH 500ML</t>
  </si>
  <si>
    <t>PINECREST ALL NATURAL INSECT REPELLENT SPRAY 100ML</t>
  </si>
  <si>
    <t>PINECREST ALL NATURAL SANITIZING ALCOHOL 70% ETHYL 100ML</t>
  </si>
  <si>
    <t>PINECREST ALL NATURAL SANITIZING ALCOHOL 70% ETHYL 250ML</t>
  </si>
  <si>
    <t>PINECREST ALL NATURAL SANITIZING ALCOHOL 70% ETHYL 500ML</t>
  </si>
  <si>
    <t>PINECREST ALL NATURAL SANITIZING ALCOHOL 70% ETHYL 500ML PUMP</t>
  </si>
  <si>
    <t>PINECREST ORAGANIC SOAP SEAGRASS 100G</t>
  </si>
  <si>
    <t>PINECREST ORGANIC CONDITIONER GREEN TEA 250ML</t>
  </si>
  <si>
    <t>PINECREST ORGANIC CONDITIONER PURE MILK 250ML</t>
  </si>
  <si>
    <t>PINECREST ORGANIC CONDITIONER VIRGIN COCONUT 250ML</t>
  </si>
  <si>
    <t>PINECREST ORGANIC SHAMPOO GREEN TEA 250ML</t>
  </si>
  <si>
    <t>PINECREST ORGANIC SHAMPOO PURE MILK 250ML</t>
  </si>
  <si>
    <t>PINECREST ORGANIC SHAMPOO VIRGIN COCONUT 250ML</t>
  </si>
  <si>
    <t>PINECREST ORGANIC SOAP AMAZING GUAVA 100G</t>
  </si>
  <si>
    <t>PINECREST ORGANIC SOAP BAMBOO CHARCOAL 100G</t>
  </si>
  <si>
    <t>PINECREST ORGANIC SOAP CARROT TEEN 100G</t>
  </si>
  <si>
    <t>PINECREST ORGANIC SOAP COLLAGEN 100G</t>
  </si>
  <si>
    <t>PINECREST ORGANIC SOAP LAVENDER 100G</t>
  </si>
  <si>
    <t>PINECREST ORGANIC SOAP MINTY GREEN ANTIOXIDANT 100G</t>
  </si>
  <si>
    <t>PINECREST ORGANIC SOAP PAPAYA BRIGHT 100G</t>
  </si>
  <si>
    <t>PINECREST ORGANIC SOAP PURE MILK NOURISHING 100G</t>
  </si>
  <si>
    <t>PINECREST ORGANIC SOAP TRANSPARENT ALOE VERA 100G</t>
  </si>
  <si>
    <t>PINECREST ORGANIC SOAP TRANSPARENT CITRUS LEMON 100G</t>
  </si>
  <si>
    <t>PINECREST ORGANIC SOAP TRANSPARENT FROSTY BLAST 100G</t>
  </si>
  <si>
    <t>PINECREST ORGANIC SOAP VANILLA OATMEAL SKIN RENEWAL 100G</t>
  </si>
  <si>
    <t>PLANT WELL ORGANIC PLANT SUPPLEMENT READY TO SPRAY 500ML</t>
  </si>
  <si>
    <t>RED MUSHARAP MUSHROOM CHIPS</t>
  </si>
  <si>
    <t>SO SAFE ALL NATURAL DISHWASHING LIQUID 250ML</t>
  </si>
  <si>
    <t>SO SAFE ALL NATURAL MULTI-SURFACE DISINFECTANT CLEANER 500ML</t>
  </si>
  <si>
    <t>SO SAFE ALL NATURAL MULTIPURPOSE DISINFECTANT CLEANER 1LITER</t>
  </si>
  <si>
    <t>SO SAFE DISINFECTANT SPRAY 100ML</t>
  </si>
  <si>
    <t>SO SAFE DISINFECTANT SPRAY 250ML</t>
  </si>
  <si>
    <t>SO SAFE ORGANIC TOILET BOWL CLEANER 500ML</t>
  </si>
  <si>
    <t>180.00</t>
  </si>
  <si>
    <t>105.00</t>
  </si>
  <si>
    <t>293.83</t>
  </si>
  <si>
    <t>227.33</t>
  </si>
  <si>
    <t>224.00</t>
  </si>
  <si>
    <t>203.00</t>
  </si>
  <si>
    <t>210.00</t>
  </si>
  <si>
    <t>112.00</t>
  </si>
  <si>
    <t>144.00</t>
  </si>
  <si>
    <t>542.50</t>
  </si>
  <si>
    <t>230.83</t>
  </si>
  <si>
    <t>188.30</t>
  </si>
  <si>
    <t>153.83</t>
  </si>
  <si>
    <t>188.83</t>
  </si>
  <si>
    <t>279.30</t>
  </si>
  <si>
    <t>265.30</t>
  </si>
  <si>
    <t>434.00</t>
  </si>
  <si>
    <t>153.30</t>
  </si>
  <si>
    <t>167.30</t>
  </si>
  <si>
    <t>139.30</t>
  </si>
  <si>
    <t>157.33</t>
  </si>
  <si>
    <t>171.33</t>
  </si>
  <si>
    <t>244.83</t>
  </si>
  <si>
    <t>258.30</t>
  </si>
  <si>
    <t>244.30</t>
  </si>
  <si>
    <t>251.30</t>
  </si>
  <si>
    <t>181.83</t>
  </si>
  <si>
    <t>507.50</t>
  </si>
  <si>
    <t>321.30</t>
  </si>
  <si>
    <t>300.30</t>
  </si>
  <si>
    <t>300.83</t>
  </si>
  <si>
    <t>237.83</t>
  </si>
  <si>
    <t>314.83</t>
  </si>
  <si>
    <t>195.83</t>
  </si>
  <si>
    <t>174.83</t>
  </si>
  <si>
    <t>206.33</t>
  </si>
  <si>
    <t>272.30</t>
  </si>
  <si>
    <t>147.50</t>
  </si>
  <si>
    <t>287.50</t>
  </si>
  <si>
    <t>130.00</t>
  </si>
  <si>
    <t>1,215.00</t>
  </si>
  <si>
    <t>1,476.00</t>
  </si>
  <si>
    <t>985.50</t>
  </si>
  <si>
    <t>495.00</t>
  </si>
  <si>
    <t>90.00</t>
  </si>
  <si>
    <t>97.30</t>
  </si>
  <si>
    <t>184.00</t>
  </si>
  <si>
    <t>83.30</t>
  </si>
  <si>
    <t>62.30</t>
  </si>
  <si>
    <t>125.30</t>
  </si>
  <si>
    <t>181.30</t>
  </si>
  <si>
    <t>174.30</t>
  </si>
  <si>
    <t>69.30</t>
  </si>
  <si>
    <t>90.30</t>
  </si>
  <si>
    <t>110.00</t>
  </si>
  <si>
    <t>8999999035631</t>
  </si>
  <si>
    <t>888123456781567</t>
  </si>
  <si>
    <t>8999999035624</t>
  </si>
  <si>
    <t>4800086005610</t>
  </si>
  <si>
    <t>4800086049674</t>
  </si>
  <si>
    <t>4800086050328</t>
  </si>
  <si>
    <t>4800086044372</t>
  </si>
  <si>
    <t>4800086044365</t>
  </si>
  <si>
    <t>4800086045751</t>
  </si>
  <si>
    <t>4800086047472</t>
  </si>
  <si>
    <t>4800086040909</t>
  </si>
  <si>
    <t>4800086050649</t>
  </si>
  <si>
    <t>4800086134325</t>
  </si>
  <si>
    <t>4800086043306</t>
  </si>
  <si>
    <t>4800086046482</t>
  </si>
  <si>
    <t>4800086049551</t>
  </si>
  <si>
    <t>4800086045676</t>
  </si>
  <si>
    <t>4800086034670</t>
  </si>
  <si>
    <t>4800086047717</t>
  </si>
  <si>
    <t>4800086049230</t>
  </si>
  <si>
    <t>4800086049162</t>
  </si>
  <si>
    <t>4800086050120</t>
  </si>
  <si>
    <t>4800086051028</t>
  </si>
  <si>
    <t>4800086051035</t>
  </si>
  <si>
    <t>4800086043627</t>
  </si>
  <si>
    <t>4800086043603</t>
  </si>
  <si>
    <t>4800086043610</t>
  </si>
  <si>
    <t>4800086050847</t>
  </si>
  <si>
    <t>4800086050212</t>
  </si>
  <si>
    <t>4800086035929</t>
  </si>
  <si>
    <t>4800086040893</t>
  </si>
  <si>
    <t>4800086040879</t>
  </si>
  <si>
    <t>4800086045560</t>
  </si>
  <si>
    <t>4800086036186</t>
  </si>
  <si>
    <t>4800086040886</t>
  </si>
  <si>
    <t>4800086050663</t>
  </si>
  <si>
    <t>8851932478502</t>
  </si>
  <si>
    <t>MAGNUM MINI VANILLA ALMOND 45ML</t>
  </si>
  <si>
    <t>MAGNUM MINI VANILLA ALMOND 45ML RETAIL</t>
  </si>
  <si>
    <t>MAGNUM MINI VANILLA CLASSIC 45ML</t>
  </si>
  <si>
    <t>MAGNUM VANILLA ALMOND 80ML</t>
  </si>
  <si>
    <t>SEL 3IN1 CHOCO KESO UBE 750ML</t>
  </si>
  <si>
    <t>SEL 3IN1 UBE-MANGO-AVOCADO 750ML</t>
  </si>
  <si>
    <t>SEL BDAY BASO CHOCO 400ML</t>
  </si>
  <si>
    <t>SEL BDAY BASO UBE 400ML</t>
  </si>
  <si>
    <t>SEL BOOM BOOM CHOCOLATE 60ML</t>
  </si>
  <si>
    <t>SEL BOOM BOOM COOKIES &amp; CREAM 60ML</t>
  </si>
  <si>
    <t>SEL COFFEE CRUMBLE 750ML</t>
  </si>
  <si>
    <t>SEL CORNETTO APPLE CRUMBLE 110ML</t>
  </si>
  <si>
    <t>SEL CORNETTO CLASSIC CHOCO 110ML</t>
  </si>
  <si>
    <t>SEL CORNETTO COOKIES &amp; DREAM 110ML</t>
  </si>
  <si>
    <t>SEL CORNETTO DISC BLACK CHOCO COOKIE 115ML</t>
  </si>
  <si>
    <t>SEL CORNETTO DISC MATCHA CRUMBLE 115ML</t>
  </si>
  <si>
    <t>SEL CORNETTO DISC WHITE CHOCO COOKIES &amp; CREAM 115ML</t>
  </si>
  <si>
    <t>SEL CORNETTO VANILLA 110ML</t>
  </si>
  <si>
    <t>SEL CREAMDAE 3+1 CHOCO KESO UBE MANGO 1.5L</t>
  </si>
  <si>
    <t>SEL CREAMDAE CUPS MANGO 100ML</t>
  </si>
  <si>
    <t>SEL CREAMDAE STICK CHOCO MALLOW 60ML</t>
  </si>
  <si>
    <t>SEL CUPS DOUBLE CHOCO SUNDAE 100ML</t>
  </si>
  <si>
    <t>SEL NAMA CHOCOLATE 450ML</t>
  </si>
  <si>
    <t>SEL SHOYU CARAMEL 1.25L</t>
  </si>
  <si>
    <t>SEL SOLO PACK COOKIES &amp; CREAM 450ML</t>
  </si>
  <si>
    <t>SEL SOLO PACK DOUBLE DUTCH 450ML</t>
  </si>
  <si>
    <t>SEL SOLO PACK ROCKY ROAD 475ML</t>
  </si>
  <si>
    <t>SEL STRAW CHEESECAKE 450ML</t>
  </si>
  <si>
    <t>SEL SUP AVOCADO DREAM 1.3L</t>
  </si>
  <si>
    <t>SEL SUP COOKIES &amp; CREAM 1.5L</t>
  </si>
  <si>
    <t>SEL SUP COOKIES &amp; CREAM 750ML</t>
  </si>
  <si>
    <t>SEL SUP DOUBLE DUTCH 750ML</t>
  </si>
  <si>
    <t>SEL SUP PISTACHIO N CASHEW 1.3L</t>
  </si>
  <si>
    <t>SEL SUP ROCKY ROAD 1.3L</t>
  </si>
  <si>
    <t>SEL SUP ROCKY ROAD 750ML</t>
  </si>
  <si>
    <t>SELECTA BDAY 3+1 UBE MANGO AVO STRAW 1.25L</t>
  </si>
  <si>
    <t>WALLS BITES STRAW YOGHURT 14G</t>
  </si>
  <si>
    <t>41.67</t>
  </si>
  <si>
    <t>37.87</t>
  </si>
  <si>
    <t>54.56</t>
  </si>
  <si>
    <t>16.35</t>
  </si>
  <si>
    <t>9.10</t>
  </si>
  <si>
    <t>135.45</t>
  </si>
  <si>
    <t>140.90</t>
  </si>
  <si>
    <t>27.30</t>
  </si>
  <si>
    <t>22.70</t>
  </si>
  <si>
    <t>113.60</t>
  </si>
  <si>
    <t>95.45</t>
  </si>
  <si>
    <t>227.51</t>
  </si>
  <si>
    <t>231.80</t>
  </si>
  <si>
    <t>4800016052774</t>
  </si>
  <si>
    <t>4800016068010</t>
  </si>
  <si>
    <t>4800249004748</t>
  </si>
  <si>
    <t>4800014134083</t>
  </si>
  <si>
    <t>00005</t>
  </si>
  <si>
    <t>00048</t>
  </si>
  <si>
    <t>00002</t>
  </si>
  <si>
    <t>00032</t>
  </si>
  <si>
    <t>00041</t>
  </si>
  <si>
    <t>00019</t>
  </si>
  <si>
    <t>00042</t>
  </si>
  <si>
    <t>00044</t>
  </si>
  <si>
    <t>00018</t>
  </si>
  <si>
    <t>00036</t>
  </si>
  <si>
    <t>00015</t>
  </si>
  <si>
    <t>00047</t>
  </si>
  <si>
    <t>000014</t>
  </si>
  <si>
    <t>00013</t>
  </si>
  <si>
    <t>00010</t>
  </si>
  <si>
    <t>00009</t>
  </si>
  <si>
    <t>00028</t>
  </si>
  <si>
    <t>4800024587978</t>
  </si>
  <si>
    <t>4800024587985</t>
  </si>
  <si>
    <t>888123456781247</t>
  </si>
  <si>
    <t>4800024581105</t>
  </si>
  <si>
    <t>4800024562692</t>
  </si>
  <si>
    <t>888123456782018</t>
  </si>
  <si>
    <t>4800024572981</t>
  </si>
  <si>
    <t>8851717040245</t>
  </si>
  <si>
    <t>8851717200014</t>
  </si>
  <si>
    <t>8851717904967</t>
  </si>
  <si>
    <t>8851717905407</t>
  </si>
  <si>
    <t>8853002310385</t>
  </si>
  <si>
    <t>8853002310415</t>
  </si>
  <si>
    <t>8851717040030</t>
  </si>
  <si>
    <t>8851717200045</t>
  </si>
  <si>
    <t>8851717040023</t>
  </si>
  <si>
    <t>8851717200038</t>
  </si>
  <si>
    <t>8851717040016</t>
  </si>
  <si>
    <t>8851717200007</t>
  </si>
  <si>
    <t>8853002302038</t>
  </si>
  <si>
    <t>8853002303110</t>
  </si>
  <si>
    <t>5701215046832</t>
  </si>
  <si>
    <t>8410028903252</t>
  </si>
  <si>
    <t>4803925241130</t>
  </si>
  <si>
    <t>4803925350054</t>
  </si>
  <si>
    <t>4803925061141</t>
  </si>
  <si>
    <t>8992714073024</t>
  </si>
  <si>
    <t>888123456782020</t>
  </si>
  <si>
    <t>14809011294803</t>
  </si>
  <si>
    <t>4809014280646</t>
  </si>
  <si>
    <t>14809011294797</t>
  </si>
  <si>
    <t>4800016073632</t>
  </si>
  <si>
    <t>4800361331500</t>
  </si>
  <si>
    <t>4800361388313</t>
  </si>
  <si>
    <t>4800361395687</t>
  </si>
  <si>
    <t>4800313031106</t>
  </si>
  <si>
    <t>4800313030147</t>
  </si>
  <si>
    <t>888123456781812</t>
  </si>
  <si>
    <t>4800139030222</t>
  </si>
  <si>
    <t>4801032211138</t>
  </si>
  <si>
    <t>4801032741048</t>
  </si>
  <si>
    <t>4801032281049</t>
  </si>
  <si>
    <t>4801032111025</t>
  </si>
  <si>
    <t>4800220531355</t>
  </si>
  <si>
    <t>4804888889728</t>
  </si>
  <si>
    <t>C2 APPLE 1L</t>
  </si>
  <si>
    <t>C2 SOLO APPLE FLAVOR 230ML</t>
  </si>
  <si>
    <t>CDO FUNTASTYK YOUNG PORK TOCINO 225G</t>
  </si>
  <si>
    <t>COLT 45 500ML</t>
  </si>
  <si>
    <t>CONVIE COKE IN CAN ZERO SUGAR 320ML</t>
  </si>
  <si>
    <t>CONVIE COKE LIGHT 1.5</t>
  </si>
  <si>
    <t>CONVIE COKE SWAKTO ZERO SUGAR 200ML</t>
  </si>
  <si>
    <t>CONVIE COKE ZERO 1.5</t>
  </si>
  <si>
    <t>CONVIE M.M APPLE 200ML</t>
  </si>
  <si>
    <t>CONVIE NUTRI CHOCO 110MLX24</t>
  </si>
  <si>
    <t>CONVIE NUTRI STRAWBERRY 110MLX24</t>
  </si>
  <si>
    <t>CONVIE ROYAL 1.5</t>
  </si>
  <si>
    <t>CONVIE ROYAL LEMON 237ML</t>
  </si>
  <si>
    <t>CONVIE ROYAL MISMO 250ML</t>
  </si>
  <si>
    <t>CONVIE ROYAL STRAWBERRY MISMO</t>
  </si>
  <si>
    <t>CONVIE ROYAL SWAKTO 200ML</t>
  </si>
  <si>
    <t>CONVIE SPRITE 1.5</t>
  </si>
  <si>
    <t>CONVIE SPRITE MISMO 295ML</t>
  </si>
  <si>
    <t>CONVIE SPRITE SWAKTO 200ML</t>
  </si>
  <si>
    <t>CONVIE WILKINS 500ML</t>
  </si>
  <si>
    <t>DM FRUITY ZING APPLE-LYCHEE 330ML</t>
  </si>
  <si>
    <t>DM FRUITY ZING CALAMANSI-LEMON 330ML</t>
  </si>
  <si>
    <t>DM JUICE DRINK PINEAPPLE 100% W/ ACE</t>
  </si>
  <si>
    <t>DM JUICE DRINK PINEAPPLE ACE 6S</t>
  </si>
  <si>
    <t>DM PINEAPPLE JUICE ACE 100% 220ML-2</t>
  </si>
  <si>
    <t>DM PINEAPPLE JUICE ACE 220ML</t>
  </si>
  <si>
    <t>DM PINEAPPLE JUICE HEART SMART 240ML</t>
  </si>
  <si>
    <t>DUTCH MILL BLUEBERRY 180ML</t>
  </si>
  <si>
    <t>DUTCH MILL BLUEBERRY 90ML</t>
  </si>
  <si>
    <t>DUTCH MILL DELIGHT 100ML</t>
  </si>
  <si>
    <t>DUTCH MILL DELIGHT 400ML</t>
  </si>
  <si>
    <t>DUTCH MILL MANGO 180ML</t>
  </si>
  <si>
    <t>DUTCH MILL MANGO 90ML</t>
  </si>
  <si>
    <t>DUTCH MILL MIXED FRUITS 180ML</t>
  </si>
  <si>
    <t>DUTCH MILL MIXED FRUITS 90ML</t>
  </si>
  <si>
    <t>DUTCH MILL ORANGE 180ML</t>
  </si>
  <si>
    <t>DUTCH MILL ORANGE 90ML</t>
  </si>
  <si>
    <t>DUTCH MILL STRAWBERRY 180ML</t>
  </si>
  <si>
    <t>DUTCH MILL STRAWBERRY 90ML</t>
  </si>
  <si>
    <t>DUTCH MILL SUPERFRUITS 180ML</t>
  </si>
  <si>
    <t>DUTCH MILL SUPERFRUITS 90ML</t>
  </si>
  <si>
    <t>EMBORG FULL CREAM MILK 1L</t>
  </si>
  <si>
    <t>ESCOBAR LIGHT 1L</t>
  </si>
  <si>
    <t>GATORADE BLUE BOLT 1.5L</t>
  </si>
  <si>
    <t>GATORADE BLUE BOLT 350ML</t>
  </si>
  <si>
    <t>GATORADE BLUE BOLT 500ML</t>
  </si>
  <si>
    <t>GOODDAY CULTURED MILK DRINK STRAWBERRY 80ML</t>
  </si>
  <si>
    <t>JAMON DE BOLA-EXTRA 5PCS</t>
  </si>
  <si>
    <t>KOOLERS FUN DRINK APPLE 10X220ML</t>
  </si>
  <si>
    <t>KOOLERS FUN DRINK APPLE 220ML</t>
  </si>
  <si>
    <t>KOOLERS FUN DRINK ORANGE 10X220ML</t>
  </si>
  <si>
    <t>MINERAL WATER REFRESH 350ML</t>
  </si>
  <si>
    <t>NESTLE BEARBRAND STERILIZED 200ML</t>
  </si>
  <si>
    <t>NESTLE CHUCKIE 180ML</t>
  </si>
  <si>
    <t>NESTLE CHUCKIE BULILIT PACK 110ML</t>
  </si>
  <si>
    <t>PAMPANGAS BEST SKINLESS LONGANIZA 225G</t>
  </si>
  <si>
    <t>PAMPANGAS BEST TOCINO ORIGINAL 220G</t>
  </si>
  <si>
    <t>PUREFOODS FIESTA HAM PRE-SLICED</t>
  </si>
  <si>
    <t>RB GOKU GOKU JELLY DRINKS 230G</t>
  </si>
  <si>
    <t>RED HORSE BEER 1000ML</t>
  </si>
  <si>
    <t>SAN MIG LIGHT REGULAR FLAVOR 330ML</t>
  </si>
  <si>
    <t>SAN MIGUEL APPLE 330ML</t>
  </si>
  <si>
    <t>SAN MIGUEL PALE PILSEN 320ML</t>
  </si>
  <si>
    <t>TANDUAY ICE ALCOMIX ORIGINAL 330ML</t>
  </si>
  <si>
    <t>ZEST-O BIG ORANGE DRINK 250MLX10</t>
  </si>
  <si>
    <t>62.00</t>
  </si>
  <si>
    <t>59.58</t>
  </si>
  <si>
    <t>31.71</t>
  </si>
  <si>
    <t>58.58</t>
  </si>
  <si>
    <t>16.17</t>
  </si>
  <si>
    <t>10.83</t>
  </si>
  <si>
    <t>75.33</t>
  </si>
  <si>
    <t>8.80</t>
  </si>
  <si>
    <t>7.08</t>
  </si>
  <si>
    <t>15.67</t>
  </si>
  <si>
    <t>22.73</t>
  </si>
  <si>
    <t>30.14</t>
  </si>
  <si>
    <t>165.95</t>
  </si>
  <si>
    <t>28.89</t>
  </si>
  <si>
    <t>28.25</t>
  </si>
  <si>
    <t>30.79</t>
  </si>
  <si>
    <t>19.11</t>
  </si>
  <si>
    <t>10.65</t>
  </si>
  <si>
    <t>11.00</t>
  </si>
  <si>
    <t>102.08</t>
  </si>
  <si>
    <t>38.85</t>
  </si>
  <si>
    <t>9.91</t>
  </si>
  <si>
    <t>385.00</t>
  </si>
  <si>
    <t>5.50</t>
  </si>
  <si>
    <t>26.42</t>
  </si>
  <si>
    <t>57.97</t>
  </si>
  <si>
    <t>525.00</t>
  </si>
  <si>
    <t>11.90</t>
  </si>
  <si>
    <t>104.33</t>
  </si>
  <si>
    <t>41.88</t>
  </si>
  <si>
    <t>39.67</t>
  </si>
  <si>
    <t>40.50</t>
  </si>
  <si>
    <t>24.38</t>
  </si>
  <si>
    <t>888123456781081</t>
  </si>
  <si>
    <t>4809012413046</t>
  </si>
  <si>
    <t>48044295</t>
  </si>
  <si>
    <t>48041812</t>
  </si>
  <si>
    <t>8881234567826</t>
  </si>
  <si>
    <t>4800204002048</t>
  </si>
  <si>
    <t>888123456781205</t>
  </si>
  <si>
    <t>4800116135001</t>
  </si>
  <si>
    <t>8935001721550</t>
  </si>
  <si>
    <t>8935001721567</t>
  </si>
  <si>
    <t>888123456781387</t>
  </si>
  <si>
    <t>888123456781207</t>
  </si>
  <si>
    <t>888123456781549</t>
  </si>
  <si>
    <t>8881234567818</t>
  </si>
  <si>
    <t>4800042112138</t>
  </si>
  <si>
    <t>4806518844015</t>
  </si>
  <si>
    <t>4800818802010</t>
  </si>
  <si>
    <t>888123456781258</t>
  </si>
  <si>
    <t>8881234567829</t>
  </si>
  <si>
    <t>8881234567827</t>
  </si>
  <si>
    <t>888123456782003</t>
  </si>
  <si>
    <t>888123456781866</t>
  </si>
  <si>
    <t>4806515650305</t>
  </si>
  <si>
    <t>8998898101409</t>
  </si>
  <si>
    <t>888123456781608</t>
  </si>
  <si>
    <t>48040594</t>
  </si>
  <si>
    <t>GOLDEN DEER PLASTIC BAG MEDIUM</t>
  </si>
  <si>
    <t>KATINKO OINTMENT 10G</t>
  </si>
  <si>
    <t>MARLBORO RED PACK</t>
  </si>
  <si>
    <t>MIGHTY GREEN PACK</t>
  </si>
  <si>
    <t>OTC ALAXAN FR</t>
  </si>
  <si>
    <t>OTC BETADINE WOUND SOLUTION 15ML</t>
  </si>
  <si>
    <t>OTC BIOFLU</t>
  </si>
  <si>
    <t>OTC BUTTER CREAM CHOCOLATE SPREAD 17G</t>
  </si>
  <si>
    <t>OTC CHUPA CHUPS MILKY CARAMEL LOLLIPOP 9G</t>
  </si>
  <si>
    <t>OTC CHUPA CHUPS STRAWBERRY &amp; CREAM FLAVOR 9G</t>
  </si>
  <si>
    <t>OTC DIATABS</t>
  </si>
  <si>
    <t>OTC DOLFENAL</t>
  </si>
  <si>
    <t>OTC DYNAMITE CHOCO MINT RETAIL</t>
  </si>
  <si>
    <t>OTC EVEREADY SUPER HEAVY DUTY BATTERY BLACK AA 2S</t>
  </si>
  <si>
    <t>OTC EVEREADY SUPER HEAVY DUTY BATTERY BLACK AAA 2S</t>
  </si>
  <si>
    <t>OTC HONEY HOUSE CLASSIC</t>
  </si>
  <si>
    <t>OTC LUV LOV BERRY MILK</t>
  </si>
  <si>
    <t>OTC MAXX CHERRY</t>
  </si>
  <si>
    <t>OTC MED CARBO TUSERAN</t>
  </si>
  <si>
    <t>OTC MED PARACETAMOL NEOZEP</t>
  </si>
  <si>
    <t>OTC REXONA POWDER DRY</t>
  </si>
  <si>
    <t>OTC SOLMUX 500MG</t>
  </si>
  <si>
    <t>TAWAS PASTE BLUE 50G</t>
  </si>
  <si>
    <t>TOLAK ANGIN HERBAL MINT HONEY 15ML</t>
  </si>
  <si>
    <t>WASHABLE FACE MASK</t>
  </si>
  <si>
    <t>WINSTON RED PACK</t>
  </si>
  <si>
    <t>154.30</t>
  </si>
  <si>
    <t>125.70</t>
  </si>
  <si>
    <t>7.00</t>
  </si>
  <si>
    <t>66.89</t>
  </si>
  <si>
    <t>3.60</t>
  </si>
  <si>
    <t>20.00</t>
  </si>
  <si>
    <t>0.76</t>
  </si>
  <si>
    <t>35.50</t>
  </si>
  <si>
    <t>3.88</t>
  </si>
  <si>
    <t>10.70</t>
  </si>
  <si>
    <t>11.12</t>
  </si>
  <si>
    <t>4800067051443</t>
  </si>
  <si>
    <t>4800067048962</t>
  </si>
  <si>
    <t>0710535987874</t>
  </si>
  <si>
    <t>888123456781634</t>
  </si>
  <si>
    <t>888123456781863</t>
  </si>
  <si>
    <t>888123456781862</t>
  </si>
  <si>
    <t>4806502161364</t>
  </si>
  <si>
    <t>4806502161371</t>
  </si>
  <si>
    <t>888123456781291</t>
  </si>
  <si>
    <t>4800065113112</t>
  </si>
  <si>
    <t>4806523175838</t>
  </si>
  <si>
    <t>888123456781289</t>
  </si>
  <si>
    <t>888123456781288</t>
  </si>
  <si>
    <t>888123456781954</t>
  </si>
  <si>
    <t>888123456781953</t>
  </si>
  <si>
    <t>888123456781528</t>
  </si>
  <si>
    <t>888123456781577</t>
  </si>
  <si>
    <t>4800888606709</t>
  </si>
  <si>
    <t>888123456781793</t>
  </si>
  <si>
    <t>888123456781224</t>
  </si>
  <si>
    <t>888123456781779</t>
  </si>
  <si>
    <t>888123456781764</t>
  </si>
  <si>
    <t>888123456781913</t>
  </si>
  <si>
    <t>888123456781472</t>
  </si>
  <si>
    <t>888123456781285</t>
  </si>
  <si>
    <t>888123456781912</t>
  </si>
  <si>
    <t>888123456781235</t>
  </si>
  <si>
    <t>4806523176392</t>
  </si>
  <si>
    <t>4806535990016</t>
  </si>
  <si>
    <t>888123456781326</t>
  </si>
  <si>
    <t>888123456781638</t>
  </si>
  <si>
    <t>888123456781080</t>
  </si>
  <si>
    <t>888123456781201</t>
  </si>
  <si>
    <t>4800155010550</t>
  </si>
  <si>
    <t>888123456781806</t>
  </si>
  <si>
    <t>888123456781379</t>
  </si>
  <si>
    <t>4809014547473</t>
  </si>
  <si>
    <t>888123456781792</t>
  </si>
  <si>
    <t>4806525912271</t>
  </si>
  <si>
    <t>4806525912288</t>
  </si>
  <si>
    <t>BABYFLO BOTTLE NURSERY RHYME 8OZ</t>
  </si>
  <si>
    <t xml:space="preserve">BABYFLO BOTTLE PLAYTIME NURSERY 12 OZ </t>
  </si>
  <si>
    <t>BELLE MICROWAVE SAFE CONTAINERS 500ML 10S</t>
  </si>
  <si>
    <t>BEST SILICONE NIPPLE LARGE 6 MOS &amp; ABOVE</t>
  </si>
  <si>
    <t>BEST SILICONE NIPPLE MEDIUM 3 TO 7 MONTHS</t>
  </si>
  <si>
    <t>BEST SILICONE NIPPLE SMALL 0 TO 3 MONTHS</t>
  </si>
  <si>
    <t>CHEERS TRASH BAG LARGE 10 BAGS</t>
  </si>
  <si>
    <t>CHEERS TRASH BAG X-LARGE 10 BAGS</t>
  </si>
  <si>
    <t>CHICHARON</t>
  </si>
  <si>
    <t>COMMANDO SAFETY MATCHES 10S</t>
  </si>
  <si>
    <t>DIARY OF A PULUBI BOOK</t>
  </si>
  <si>
    <t>ECO BAG</t>
  </si>
  <si>
    <t>ECO BAG BLUE LARGE</t>
  </si>
  <si>
    <t>ECO BAG LARGE</t>
  </si>
  <si>
    <t>ECO BAG MEDIUM</t>
  </si>
  <si>
    <t>ECO BAG XL</t>
  </si>
  <si>
    <t xml:space="preserve">GAS LITE BBQ GRILL SET </t>
  </si>
  <si>
    <t>GERM KILL KIT 3000L</t>
  </si>
  <si>
    <t>GOLDEN DEER PLASTIC BAG LARGE</t>
  </si>
  <si>
    <t>GOLDEN DEER PLASTIC BAG MINI</t>
  </si>
  <si>
    <t>GOLDEN DEER PLASTIC BAG TINY</t>
  </si>
  <si>
    <t>HOUSEHOLD GLOVES LARGE</t>
  </si>
  <si>
    <t>JILLY TURMERIC GINGER TEA 150G</t>
  </si>
  <si>
    <t>MIKKO CLING WRAP</t>
  </si>
  <si>
    <t>MSC MALUNGAY TEA 15 TEA BAGS</t>
  </si>
  <si>
    <t>MSC PROMO PACK</t>
  </si>
  <si>
    <t>MSC RICE COFFEE 100G</t>
  </si>
  <si>
    <t>MY IPON DIARY BOOK</t>
  </si>
  <si>
    <t>ONE OPTI JUICE 30G</t>
  </si>
  <si>
    <t>PAPER CUPS 10 OZ</t>
  </si>
  <si>
    <t>PLASTIC BAG 5X10 1000S</t>
  </si>
  <si>
    <t>RC PLASTIC BAG MEDIUM</t>
  </si>
  <si>
    <t>ROLL X HD BAG 10X14</t>
  </si>
  <si>
    <t>ROYAL CLING WRAP</t>
  </si>
  <si>
    <t>SCENTED CANDLE ASSORTED</t>
  </si>
  <si>
    <t>SUKI CLING WRAP JUMBO</t>
  </si>
  <si>
    <t>SUNWAY MICROWAVABLE RECTANGLE 500ML</t>
  </si>
  <si>
    <t xml:space="preserve">SUPER STAR WHITE BUNDLE 20X30 </t>
  </si>
  <si>
    <t>TRIGEM MICROWAVABLE PLASTIC CONTAINER 750</t>
  </si>
  <si>
    <t>TRIGEM MICROWAVABLE PLASTIC CONTAINER RE1000 10S</t>
  </si>
  <si>
    <t>89.75</t>
  </si>
  <si>
    <t>130.75</t>
  </si>
  <si>
    <t>38.33</t>
  </si>
  <si>
    <t>16.95</t>
  </si>
  <si>
    <t>53.64</t>
  </si>
  <si>
    <t>80.90</t>
  </si>
  <si>
    <t>19.35</t>
  </si>
  <si>
    <t>1,900.00</t>
  </si>
  <si>
    <t>1,098.00</t>
  </si>
  <si>
    <t>320.00</t>
  </si>
  <si>
    <t>332.33</t>
  </si>
  <si>
    <t>290.00</t>
  </si>
  <si>
    <t>22.00</t>
  </si>
  <si>
    <t>4809015665916</t>
  </si>
  <si>
    <t>4809015665206</t>
  </si>
  <si>
    <t>4809015665954</t>
  </si>
  <si>
    <t>4809015665039</t>
  </si>
  <si>
    <t>4809015665961</t>
  </si>
  <si>
    <t>4809015665022</t>
  </si>
  <si>
    <t>888123456781560</t>
  </si>
  <si>
    <t>4809015665152</t>
  </si>
  <si>
    <t>4809015665305</t>
  </si>
  <si>
    <t>4809015665312</t>
  </si>
  <si>
    <t>SUPER MORINGA 7IN1 BOTANICAL LUYANG DILAW 60ML</t>
  </si>
  <si>
    <t>SUPER MORINGA CALMING OIL 10ML</t>
  </si>
  <si>
    <t>SUPER MORINGA GLUTA KOJIC 135G</t>
  </si>
  <si>
    <t>SUPER MORINGA GREEN COFFEE 10X21G</t>
  </si>
  <si>
    <t>SUPER MORINGA GUAVA &amp; TEA TREE SOAP 135G</t>
  </si>
  <si>
    <t>SUPER MORINGA HERBAL COFFEE 10X21G</t>
  </si>
  <si>
    <t>SUPER MORINGA HERBAL CREAM 25G</t>
  </si>
  <si>
    <t>SUPER MORINGA ISOPROPYL ALCOHOL 70% SOL 100ML</t>
  </si>
  <si>
    <t>SUPER MORINGA MOISTURIZING MASSAGE GEL</t>
  </si>
  <si>
    <t>SUPER MORINGA MOISTURIZING MASSAGE OIL 60ML</t>
  </si>
  <si>
    <t>84.00</t>
  </si>
  <si>
    <t>89.40</t>
  </si>
  <si>
    <t>168.00</t>
  </si>
  <si>
    <t>4806021302040</t>
  </si>
  <si>
    <t>4806021300053</t>
  </si>
  <si>
    <t>4806021316931</t>
  </si>
  <si>
    <t>200035</t>
  </si>
  <si>
    <t>200036</t>
  </si>
  <si>
    <t>200037</t>
  </si>
  <si>
    <t>200006</t>
  </si>
  <si>
    <t>200003</t>
  </si>
  <si>
    <t>200009</t>
  </si>
  <si>
    <t>200010</t>
  </si>
  <si>
    <t>4806021388082</t>
  </si>
  <si>
    <t>8802203648315</t>
  </si>
  <si>
    <t>200016</t>
  </si>
  <si>
    <t>200018</t>
  </si>
  <si>
    <t>200038</t>
  </si>
  <si>
    <t>200049</t>
  </si>
  <si>
    <t>6926341889729</t>
  </si>
  <si>
    <t>4806502211137</t>
  </si>
  <si>
    <t>200040</t>
  </si>
  <si>
    <t>200041</t>
  </si>
  <si>
    <t>8993242596726</t>
  </si>
  <si>
    <t>4902505088827</t>
  </si>
  <si>
    <t>200021</t>
  </si>
  <si>
    <t>200023</t>
  </si>
  <si>
    <t>200025</t>
  </si>
  <si>
    <t>6923980330124</t>
  </si>
  <si>
    <t>6925722100514</t>
  </si>
  <si>
    <t>2 HOLE JOY PUNCHER</t>
  </si>
  <si>
    <t>BINDER CLIP BIG</t>
  </si>
  <si>
    <t>BINDER CLIP SMALL</t>
  </si>
  <si>
    <t>BRITE FASTENER #8 1/2</t>
  </si>
  <si>
    <t>BROWN ENVELOPE - LONG</t>
  </si>
  <si>
    <t>BROWN ENVELOPE - SHORT</t>
  </si>
  <si>
    <t>COLORED FOLDER LONG - VIOLET</t>
  </si>
  <si>
    <t>COLORED FOLDER LONG - YELLOW</t>
  </si>
  <si>
    <t>COLORED FOLDER SHORT - RED</t>
  </si>
  <si>
    <t>COLORED FOLDER SHORT - YELLOW</t>
  </si>
  <si>
    <t>CORRECTION TAPE JOY</t>
  </si>
  <si>
    <t>DONG-A REFILL .7</t>
  </si>
  <si>
    <t>EXPANDING FOLDER SHORT - PINK</t>
  </si>
  <si>
    <t>EXPANDING FOLDER SHORT - ROYAL BLUE</t>
  </si>
  <si>
    <t>FOLDER WHITE - LONG 14PTS</t>
  </si>
  <si>
    <t>HBW MATRIX BALLPEN RED</t>
  </si>
  <si>
    <t xml:space="preserve">HBW STAMP PAD #3 </t>
  </si>
  <si>
    <t>MAX STAPLER W/ REMOVER</t>
  </si>
  <si>
    <t>OFFICE PRO - A4 SUBS 20</t>
  </si>
  <si>
    <t>PAID STAMP W/ DATE</t>
  </si>
  <si>
    <t>PAPER CLIP GATOR 50MM</t>
  </si>
  <si>
    <t>PERFECT PRINT BONDPAPER SHORT</t>
  </si>
  <si>
    <t>PILOT WYTEBORD MARKER BLACK</t>
  </si>
  <si>
    <t>PLASTIC FOLDER LONG - BLUE</t>
  </si>
  <si>
    <t>PLASTIC FOLDER LONG - PINK</t>
  </si>
  <si>
    <t>PLASTIC FOLDER LONG - RED</t>
  </si>
  <si>
    <t>PLASTIC FOLDER LONG - YELLOW</t>
  </si>
  <si>
    <t>RECEIVED STAMP W/ DATE</t>
  </si>
  <si>
    <t>STAPLE WIRE #10</t>
  </si>
  <si>
    <t xml:space="preserve">                                                                  </t>
  </si>
  <si>
    <t>AS OF MAY 2026</t>
  </si>
  <si>
    <t>70321</t>
  </si>
  <si>
    <t>PRINTING PLASTIC FOLDER GREEN LONG - 3</t>
  </si>
  <si>
    <t>4806526074305</t>
  </si>
  <si>
    <t>SUNFLOWER SEEDS 13GX20PCS</t>
  </si>
  <si>
    <t>19.46</t>
  </si>
  <si>
    <t>33.75</t>
  </si>
  <si>
    <t>18.65</t>
  </si>
  <si>
    <t>41.83</t>
  </si>
  <si>
    <t>33.10</t>
  </si>
  <si>
    <t>74.00</t>
  </si>
  <si>
    <t>4800116043023</t>
  </si>
  <si>
    <t>4806502720172</t>
  </si>
  <si>
    <t>4806502720080</t>
  </si>
  <si>
    <t>4800116054128</t>
  </si>
  <si>
    <t>4800116150028</t>
  </si>
  <si>
    <t>750515021358</t>
  </si>
  <si>
    <t>4807770122712</t>
  </si>
  <si>
    <t>BUTTER CREAM CRACKERS 10X25G</t>
  </si>
  <si>
    <t>GAR BUTTER TOAST 2-SLICE PACK 50G</t>
  </si>
  <si>
    <t>GAR PREMIUM PANDESAL 350G</t>
  </si>
  <si>
    <t>LOBO BISCUITS ORIGINAL</t>
  </si>
  <si>
    <t>LOBO SUPREME BISCUITS</t>
  </si>
  <si>
    <t>M.Y. SAN GRAHAMS CRUSHED HONEY GRAHAM CRACKERS 200G</t>
  </si>
  <si>
    <t>MONDE CHOCO PUFF 240G</t>
  </si>
  <si>
    <t>16.91</t>
  </si>
  <si>
    <t>58.85</t>
  </si>
  <si>
    <t>58.65</t>
  </si>
  <si>
    <t>84.80</t>
  </si>
  <si>
    <t>84.85</t>
  </si>
  <si>
    <t>84.55</t>
  </si>
  <si>
    <t>72.95</t>
  </si>
  <si>
    <t>53.90</t>
  </si>
  <si>
    <t>55.95</t>
  </si>
  <si>
    <t>28.85</t>
  </si>
  <si>
    <t>81.50</t>
  </si>
  <si>
    <t>4800139990212</t>
  </si>
  <si>
    <t>JELLIYUM ICE POP 8PCS</t>
  </si>
  <si>
    <t>25.75</t>
  </si>
  <si>
    <t>40.74</t>
  </si>
  <si>
    <t>4800361428408</t>
  </si>
  <si>
    <t>4800361393744</t>
  </si>
  <si>
    <t>4800361393645</t>
  </si>
  <si>
    <t>NESCAFE CLASSIC 48STCKS 91.2G</t>
  </si>
  <si>
    <t>NESCAFE CLASSIC DECAF 80G</t>
  </si>
  <si>
    <t>25.69</t>
  </si>
  <si>
    <t>127.18</t>
  </si>
  <si>
    <t>120.95</t>
  </si>
  <si>
    <t>4806500470352</t>
  </si>
  <si>
    <t>DELICIOUS SPAGHETTI 400G</t>
  </si>
  <si>
    <t>50.80</t>
  </si>
  <si>
    <t>4800888602268</t>
  </si>
  <si>
    <t>LADYS CHOICE REAL MAYONNAISE DOYPACK 220ML</t>
  </si>
  <si>
    <t>36.90</t>
  </si>
  <si>
    <t>35.48</t>
  </si>
  <si>
    <t>4808680021805</t>
  </si>
  <si>
    <t>4806512022051</t>
  </si>
  <si>
    <t>4804888804868</t>
  </si>
  <si>
    <t>LADYS CHOICE REAL MAYONNAISE 3.5L</t>
  </si>
  <si>
    <t>MAMA SITAS BARBECUE MARINADE 150ML</t>
  </si>
  <si>
    <t>MAMA SITAS OYSTER SAUCE 4.2KG</t>
  </si>
  <si>
    <t>32.86</t>
  </si>
  <si>
    <t>1,160.35</t>
  </si>
  <si>
    <t>32.76</t>
  </si>
  <si>
    <t>723.80</t>
  </si>
  <si>
    <t>4809010249845</t>
  </si>
  <si>
    <t>4806513103018</t>
  </si>
  <si>
    <t>4806513103353</t>
  </si>
  <si>
    <t>4806502359709</t>
  </si>
  <si>
    <t>HAILEYS TAWAS POWDER BRIGTENING 50G</t>
  </si>
  <si>
    <t>HAILEYS TAWAS POWDER SOFT &amp; SCENTED 50G</t>
  </si>
  <si>
    <t>HAILEYS TAWAS POWDER UNSCENTED 50G</t>
  </si>
  <si>
    <t>TISYU CORELESS TWIN 2PLY</t>
  </si>
  <si>
    <t>13.40</t>
  </si>
  <si>
    <t>13.15</t>
  </si>
  <si>
    <t>7.30</t>
  </si>
  <si>
    <t>64.58</t>
  </si>
  <si>
    <t>13.12</t>
  </si>
  <si>
    <t>DEL FABRIC SOFTENER BLOSSOM FRESH 1000ML</t>
  </si>
  <si>
    <t>DEL FABRIC SOFTENER LAVENDER BREEZE 1000ML</t>
  </si>
  <si>
    <t>DEL FABRIC SOFTENER SHOWER FRESH 1000ML</t>
  </si>
  <si>
    <t>DOWNY COTTON FRESH 24ML</t>
  </si>
  <si>
    <t>JOY KALAMANSI DISHWASHING LIQUID 540ML</t>
  </si>
  <si>
    <t>JOY KALAMANSI DISWASHING LIQUID 475ML</t>
  </si>
  <si>
    <t>JOY LEMON DISHWASHING LIQUID 540ML</t>
  </si>
  <si>
    <t>JOY LEMON DISWASHING LIQUID 475ML</t>
  </si>
  <si>
    <t xml:space="preserve">TIDE EXPERT CLEAN </t>
  </si>
  <si>
    <t>ZONROX MULTI CLEAN FLORAL BLAST 450ML</t>
  </si>
  <si>
    <t>4800047841408</t>
  </si>
  <si>
    <t>4800047841422</t>
  </si>
  <si>
    <t>4800047841415</t>
  </si>
  <si>
    <t>4987176363411</t>
  </si>
  <si>
    <t>4987176285232</t>
  </si>
  <si>
    <t>4987176361684</t>
  </si>
  <si>
    <t>4987176285249</t>
  </si>
  <si>
    <t>4987176361660</t>
  </si>
  <si>
    <t>4987176345684</t>
  </si>
  <si>
    <t>4800047847295</t>
  </si>
  <si>
    <t>140.67</t>
  </si>
  <si>
    <t>118.16</t>
  </si>
  <si>
    <t>109.83</t>
  </si>
  <si>
    <t>14.92</t>
  </si>
  <si>
    <t>72.45</t>
  </si>
  <si>
    <t>SEL CHOCO ALMOND FUDGE 475ML</t>
  </si>
  <si>
    <t>SEL SHOYU CARAMEL 450ML</t>
  </si>
  <si>
    <t>SELECTA COOKIES N CREAM 100ML</t>
  </si>
  <si>
    <t>69.51</t>
  </si>
  <si>
    <t>55.65</t>
  </si>
  <si>
    <t>97.36</t>
  </si>
  <si>
    <t>20.40</t>
  </si>
  <si>
    <t>115.88</t>
  </si>
  <si>
    <t>4800086046598</t>
  </si>
  <si>
    <t>4800086051042</t>
  </si>
  <si>
    <t>4800086049452</t>
  </si>
  <si>
    <t>9.38</t>
  </si>
  <si>
    <t>4809012413244</t>
  </si>
  <si>
    <t>4800116136008</t>
  </si>
  <si>
    <t>888123456781858</t>
  </si>
  <si>
    <t>4807770122705</t>
  </si>
  <si>
    <t>750515030152</t>
  </si>
  <si>
    <t>KATINKO OIL LINIMENT 10ML</t>
  </si>
  <si>
    <t>OTC BUTTER CREAM CHEESE SPREAD 17G</t>
  </si>
  <si>
    <t>OTC DYNAMITE MELON MINT RETAIL</t>
  </si>
  <si>
    <t>OTC MONDE CHOCO PUFF</t>
  </si>
  <si>
    <t>OTC SKYFLAKES GARLIC 25G</t>
  </si>
  <si>
    <t>42.87</t>
  </si>
  <si>
    <t>4.12</t>
  </si>
  <si>
    <t>8.15</t>
  </si>
  <si>
    <t>6.03</t>
  </si>
  <si>
    <t>4802870729288</t>
  </si>
  <si>
    <t>200022</t>
  </si>
  <si>
    <t>178.00</t>
  </si>
  <si>
    <t>3.00</t>
  </si>
  <si>
    <t>118.00</t>
  </si>
  <si>
    <t>4.00</t>
  </si>
  <si>
    <t>2.00</t>
  </si>
  <si>
    <t>13.00</t>
  </si>
  <si>
    <t>387.00</t>
  </si>
  <si>
    <t>166.00</t>
  </si>
  <si>
    <t>56.00</t>
  </si>
  <si>
    <t>CONVIE COKE IN CAN 320ML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</si>
</sst>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4" fillId="0" borderId="0">
      <alignment vertical="center"/>
    </xf>
    <xf numFmtId="0" fontId="34" fillId="0" borderId="0">
      <alignment vertical="center"/>
    </xf>
  </cellStyleXfs>
  <cellXfs count="172">
    <xf numFmtId="0" fontId="0" fillId="0" borderId="0" xfId="0"/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6" fillId="0" borderId="0" xfId="0" applyFont="1"/>
    <xf numFmtId="0" fontId="1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43" fontId="0" fillId="0" borderId="0" xfId="1" applyFont="1"/>
    <xf numFmtId="0" fontId="11" fillId="0" borderId="0" xfId="0" applyFont="1"/>
    <xf numFmtId="0" fontId="12" fillId="0" borderId="0" xfId="0" applyFont="1"/>
    <xf numFmtId="43" fontId="13" fillId="2" borderId="1" xfId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7" fillId="0" borderId="0" xfId="0" applyFont="1"/>
    <xf numFmtId="0" fontId="0" fillId="2" borderId="1" xfId="0" applyFill="1" applyBorder="1"/>
    <xf numFmtId="0" fontId="11" fillId="2" borderId="1" xfId="0" applyFont="1" applyFill="1" applyBorder="1"/>
    <xf numFmtId="43" fontId="11" fillId="2" borderId="1" xfId="1" applyFont="1" applyFill="1" applyBorder="1"/>
    <xf numFmtId="164" fontId="0" fillId="2" borderId="1" xfId="1" applyNumberFormat="1" applyFont="1" applyFill="1" applyBorder="1"/>
    <xf numFmtId="43" fontId="0" fillId="2" borderId="1" xfId="1" applyFont="1" applyFill="1" applyBorder="1"/>
    <xf numFmtId="164" fontId="0" fillId="0" borderId="0" xfId="0" applyNumberFormat="1"/>
    <xf numFmtId="164" fontId="0" fillId="0" borderId="0" xfId="1" applyNumberFormat="1" applyFont="1"/>
    <xf numFmtId="164" fontId="13" fillId="2" borderId="1" xfId="1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0" fontId="11" fillId="2" borderId="8" xfId="0" applyFont="1" applyFill="1" applyBorder="1"/>
    <xf numFmtId="0" fontId="11" fillId="2" borderId="3" xfId="0" applyFont="1" applyFill="1" applyBorder="1"/>
    <xf numFmtId="0" fontId="13" fillId="2" borderId="1" xfId="0" applyFont="1" applyFill="1" applyBorder="1"/>
    <xf numFmtId="43" fontId="0" fillId="0" borderId="1" xfId="0" applyNumberFormat="1" applyBorder="1" applyAlignment="1">
      <alignment horizontal="center" vertical="center"/>
    </xf>
    <xf numFmtId="41" fontId="0" fillId="0" borderId="1" xfId="0" applyNumberFormat="1" applyBorder="1"/>
    <xf numFmtId="43" fontId="11" fillId="2" borderId="1" xfId="0" applyNumberFormat="1" applyFont="1" applyFill="1" applyBorder="1" applyAlignment="1">
      <alignment horizontal="center" vertical="center"/>
    </xf>
    <xf numFmtId="41" fontId="11" fillId="2" borderId="1" xfId="0" applyNumberFormat="1" applyFont="1" applyFill="1" applyBorder="1"/>
    <xf numFmtId="0" fontId="0" fillId="2" borderId="2" xfId="0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164" fontId="0" fillId="2" borderId="2" xfId="1" applyNumberFormat="1" applyFont="1" applyFill="1" applyBorder="1" applyAlignment="1">
      <alignment horizontal="center"/>
    </xf>
    <xf numFmtId="0" fontId="18" fillId="0" borderId="0" xfId="0" applyFont="1" applyAlignment="1">
      <alignment wrapText="1"/>
    </xf>
    <xf numFmtId="1" fontId="0" fillId="2" borderId="2" xfId="0" applyNumberFormat="1" applyFill="1" applyBorder="1"/>
    <xf numFmtId="43" fontId="0" fillId="2" borderId="2" xfId="1" applyFont="1" applyFill="1" applyBorder="1" applyAlignment="1">
      <alignment horizontal="center"/>
    </xf>
    <xf numFmtId="0" fontId="20" fillId="0" borderId="0" xfId="0" applyFont="1" applyAlignment="1">
      <alignment horizontal="left" vertical="center"/>
    </xf>
    <xf numFmtId="164" fontId="0" fillId="0" borderId="0" xfId="1" applyNumberFormat="1" applyFont="1" applyAlignment="1">
      <alignment horizontal="center" vertical="center" wrapText="1"/>
    </xf>
    <xf numFmtId="0" fontId="18" fillId="0" borderId="5" xfId="0" applyFont="1" applyBorder="1"/>
    <xf numFmtId="0" fontId="18" fillId="0" borderId="1" xfId="0" applyFont="1" applyBorder="1"/>
    <xf numFmtId="0" fontId="13" fillId="2" borderId="5" xfId="0" applyFont="1" applyFill="1" applyBorder="1"/>
    <xf numFmtId="0" fontId="24" fillId="2" borderId="1" xfId="0" applyFont="1" applyFill="1" applyBorder="1" applyAlignment="1">
      <alignment horizontal="center" vertical="center" wrapText="1"/>
    </xf>
    <xf numFmtId="164" fontId="24" fillId="2" borderId="1" xfId="1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5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41" fontId="10" fillId="3" borderId="1" xfId="0" applyNumberFormat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165" fontId="13" fillId="2" borderId="1" xfId="1" applyNumberFormat="1" applyFont="1" applyFill="1" applyBorder="1" applyAlignment="1">
      <alignment horizontal="center" vertical="center" wrapText="1"/>
    </xf>
    <xf numFmtId="0" fontId="0" fillId="5" borderId="0" xfId="0" applyFill="1"/>
    <xf numFmtId="0" fontId="13" fillId="5" borderId="1" xfId="0" applyFont="1" applyFill="1" applyBorder="1" applyAlignment="1">
      <alignment horizontal="center" vertical="center" wrapText="1"/>
    </xf>
    <xf numFmtId="1" fontId="24" fillId="2" borderId="1" xfId="0" applyNumberFormat="1" applyFont="1" applyFill="1" applyBorder="1" applyAlignment="1">
      <alignment horizontal="center" vertical="center" wrapText="1"/>
    </xf>
    <xf numFmtId="43" fontId="24" fillId="2" borderId="1" xfId="1" applyFont="1" applyFill="1" applyBorder="1" applyAlignment="1">
      <alignment horizontal="center" vertical="center" wrapText="1"/>
    </xf>
    <xf numFmtId="43" fontId="25" fillId="3" borderId="1" xfId="1" applyFont="1" applyFill="1" applyBorder="1" applyAlignment="1">
      <alignment vertical="center"/>
    </xf>
    <xf numFmtId="0" fontId="18" fillId="0" borderId="0" xfId="0" applyFont="1" applyAlignment="1">
      <alignment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/>
    </xf>
    <xf numFmtId="0" fontId="16" fillId="0" borderId="0" xfId="0" applyFont="1" applyAlignment="1">
      <alignment horizontal="left"/>
    </xf>
    <xf numFmtId="165" fontId="16" fillId="0" borderId="0" xfId="1" applyNumberFormat="1" applyFont="1" applyAlignment="1">
      <alignment horizontal="center"/>
    </xf>
    <xf numFmtId="165" fontId="11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left" vertical="center" wrapText="1"/>
    </xf>
    <xf numFmtId="43" fontId="0" fillId="0" borderId="0" xfId="1" applyFont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3" fillId="2" borderId="6" xfId="0" applyFont="1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5" borderId="0" xfId="0" applyFill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164" fontId="16" fillId="0" borderId="0" xfId="1" applyNumberFormat="1" applyFont="1" applyAlignment="1">
      <alignment horizontal="center"/>
    </xf>
    <xf numFmtId="43" fontId="0" fillId="0" borderId="0" xfId="1" applyFont="1" applyAlignment="1">
      <alignment horizontal="center" vertical="center" wrapText="1"/>
    </xf>
    <xf numFmtId="43" fontId="0" fillId="0" borderId="0" xfId="1" applyFont="1" applyAlignment="1">
      <alignment horizontal="center"/>
    </xf>
    <xf numFmtId="43" fontId="11" fillId="2" borderId="2" xfId="1" applyFont="1" applyFill="1" applyBorder="1" applyAlignment="1">
      <alignment horizontal="center"/>
    </xf>
    <xf numFmtId="43" fontId="16" fillId="0" borderId="0" xfId="1" applyFont="1" applyAlignment="1">
      <alignment horizontal="center"/>
    </xf>
    <xf numFmtId="43" fontId="11" fillId="0" borderId="0" xfId="1" applyFont="1" applyAlignment="1">
      <alignment horizontal="center"/>
    </xf>
    <xf numFmtId="0" fontId="13" fillId="2" borderId="1" xfId="0" applyFont="1" applyFill="1" applyBorder="1" applyAlignment="1">
      <alignment wrapText="1"/>
    </xf>
    <xf numFmtId="41" fontId="0" fillId="0" borderId="1" xfId="0" applyNumberFormat="1" applyBorder="1" applyAlignment="1">
      <alignment wrapText="1"/>
    </xf>
    <xf numFmtId="41" fontId="11" fillId="2" borderId="1" xfId="0" applyNumberFormat="1" applyFont="1" applyFill="1" applyBorder="1" applyAlignment="1">
      <alignment wrapText="1"/>
    </xf>
    <xf numFmtId="0" fontId="16" fillId="0" borderId="0" xfId="0" applyFont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2" borderId="2" xfId="0" applyFont="1" applyFill="1" applyBorder="1" applyAlignment="1">
      <alignment horizontal="center"/>
    </xf>
    <xf numFmtId="0" fontId="18" fillId="5" borderId="0" xfId="0" applyFont="1" applyFill="1" applyAlignment="1">
      <alignment wrapText="1"/>
    </xf>
    <xf numFmtId="0" fontId="30" fillId="0" borderId="0" xfId="0" applyFont="1"/>
    <xf numFmtId="1" fontId="29" fillId="2" borderId="1" xfId="0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 wrapText="1"/>
    </xf>
    <xf numFmtId="164" fontId="29" fillId="2" borderId="1" xfId="1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wrapText="1"/>
    </xf>
    <xf numFmtId="165" fontId="11" fillId="2" borderId="2" xfId="1" applyNumberFormat="1" applyFont="1" applyFill="1" applyBorder="1" applyAlignment="1">
      <alignment horizontal="center"/>
    </xf>
    <xf numFmtId="164" fontId="11" fillId="2" borderId="2" xfId="1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26" fillId="5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11" fillId="2" borderId="1" xfId="0" applyNumberFormat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4" fillId="3" borderId="1" xfId="0" applyFont="1" applyFill="1" applyBorder="1" applyAlignment="1">
      <alignment vertical="center"/>
    </xf>
    <xf numFmtId="0" fontId="27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32" fillId="5" borderId="1" xfId="0" applyFont="1" applyFill="1" applyBorder="1" applyAlignment="1">
      <alignment horizontal="center" vertical="center" wrapText="1"/>
    </xf>
    <xf numFmtId="43" fontId="27" fillId="2" borderId="2" xfId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  <xf numFmtId="43" fontId="9" fillId="5" borderId="1" xfId="1" applyFont="1" applyFill="1" applyBorder="1" applyAlignment="1">
      <alignment horizontal="center" vertical="center" wrapText="1"/>
    </xf>
    <xf numFmtId="43" fontId="9" fillId="5" borderId="1" xfId="1" applyFont="1" applyFill="1" applyBorder="1" applyAlignment="1">
      <alignment horizontal="left" vertical="center" wrapText="1"/>
    </xf>
    <xf numFmtId="164" fontId="9" fillId="5" borderId="1" xfId="1" applyNumberFormat="1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43" fontId="9" fillId="3" borderId="1" xfId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5" fillId="5" borderId="1" xfId="1" applyNumberFormat="1" applyFont="1" applyFill="1" applyBorder="1" applyAlignment="1">
      <alignment horizontal="center" vertical="center" wrapText="1"/>
    </xf>
    <xf numFmtId="43" fontId="19" fillId="4" borderId="1" xfId="1" applyFont="1" applyFill="1" applyBorder="1" applyAlignment="1">
      <alignment horizontal="center" vertical="center" wrapText="1"/>
    </xf>
    <xf numFmtId="43" fontId="29" fillId="4" borderId="1" xfId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center"/>
    </xf>
    <xf numFmtId="43" fontId="4" fillId="4" borderId="1" xfId="1" applyFont="1" applyFill="1" applyBorder="1" applyAlignment="1">
      <alignment horizontal="center" vertical="center"/>
    </xf>
    <xf numFmtId="43" fontId="9" fillId="4" borderId="1" xfId="1" applyFont="1" applyFill="1" applyBorder="1" applyAlignment="1">
      <alignment horizontal="center" vertical="center"/>
    </xf>
    <xf numFmtId="43" fontId="11" fillId="4" borderId="1" xfId="1" applyFont="1" applyFill="1" applyBorder="1"/>
    <xf numFmtId="0" fontId="9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center" vertical="center"/>
    </xf>
    <xf numFmtId="43" fontId="9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11" fillId="6" borderId="2" xfId="1" applyNumberFormat="1" applyFont="1" applyFill="1" applyBorder="1" applyAlignment="1">
      <alignment horizontal="center"/>
    </xf>
    <xf numFmtId="0" fontId="18" fillId="2" borderId="0" xfId="0" applyFont="1" applyFill="1" applyAlignment="1">
      <alignment vertical="center" wrapText="1"/>
    </xf>
    <xf numFmtId="0" fontId="0" fillId="2" borderId="0" xfId="0" applyFill="1"/>
    <xf numFmtId="0" fontId="18" fillId="5" borderId="0" xfId="0" applyFont="1" applyFill="1" applyAlignment="1">
      <alignment vertical="center" wrapText="1"/>
    </xf>
    <xf numFmtId="0" fontId="31" fillId="5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4" fontId="14" fillId="5" borderId="1" xfId="0" applyNumberFormat="1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vertical="center"/>
    </xf>
    <xf numFmtId="0" fontId="28" fillId="5" borderId="0" xfId="0" applyFont="1" applyFill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9" fillId="2" borderId="1" xfId="1" applyNumberFormat="1" applyFont="1" applyFill="1" applyBorder="1" applyAlignment="1">
      <alignment horizontal="left" vertical="center" wrapText="1"/>
    </xf>
    <xf numFmtId="43" fontId="11" fillId="2" borderId="1" xfId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left" vertical="center" wrapText="1"/>
    </xf>
    <xf numFmtId="2" fontId="0" fillId="0" borderId="4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10" xfId="0" applyNumberFormat="1" applyBorder="1" applyAlignment="1">
      <alignment horizontal="left" vertical="center" wrapText="1"/>
    </xf>
    <xf numFmtId="2" fontId="0" fillId="0" borderId="3" xfId="0" applyNumberFormat="1" applyBorder="1" applyAlignment="1">
      <alignment horizontal="left" vertical="center" wrapText="1"/>
    </xf>
    <xf numFmtId="2" fontId="0" fillId="0" borderId="3" xfId="0" applyNumberFormat="1" applyBorder="1" applyAlignment="1">
      <alignment horizontal="center" vertical="center" wrapText="1"/>
    </xf>
    <xf numFmtId="2" fontId="0" fillId="0" borderId="11" xfId="0" applyNumberFormat="1" applyBorder="1" applyAlignment="1">
      <alignment horizontal="left" vertical="center" wrapText="1"/>
    </xf>
    <xf numFmtId="0" fontId="0" fillId="0" borderId="0" xfId="0" applyAlignment="1">
      <alignment horizontal="center"/>
    </xf>
    <xf numFmtId="2" fontId="13" fillId="4" borderId="7" xfId="0" applyNumberFormat="1" applyFont="1" applyFill="1" applyBorder="1" applyAlignment="1">
      <alignment horizontal="left"/>
    </xf>
    <xf numFmtId="2" fontId="13" fillId="4" borderId="7" xfId="0" applyNumberFormat="1" applyFont="1" applyFill="1" applyBorder="1" applyAlignment="1">
      <alignment horizontal="center"/>
    </xf>
    <xf numFmtId="2" fontId="13" fillId="4" borderId="6" xfId="0" applyNumberFormat="1" applyFont="1" applyFill="1" applyBorder="1" applyAlignment="1">
      <alignment horizontal="left"/>
    </xf>
    <xf numFmtId="0" fontId="13" fillId="4" borderId="7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5" fillId="0" borderId="5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2" fontId="27" fillId="0" borderId="4" xfId="0" applyNumberFormat="1" applyFont="1" applyBorder="1" applyAlignment="1">
      <alignment horizontal="center" vertical="center" wrapText="1"/>
    </xf>
    <xf numFmtId="2" fontId="27" fillId="0" borderId="9" xfId="0" applyNumberFormat="1" applyFont="1" applyBorder="1" applyAlignment="1">
      <alignment horizontal="center" vertical="center" wrapText="1"/>
    </xf>
    <xf numFmtId="2" fontId="27" fillId="0" borderId="0" xfId="0" applyNumberFormat="1" applyFont="1" applyAlignment="1">
      <alignment horizontal="center" vertical="center" wrapText="1"/>
    </xf>
    <xf numFmtId="2" fontId="27" fillId="0" borderId="10" xfId="0" applyNumberFormat="1" applyFont="1" applyBorder="1" applyAlignment="1">
      <alignment horizontal="center" vertical="center" wrapText="1"/>
    </xf>
    <xf numFmtId="2" fontId="27" fillId="0" borderId="3" xfId="0" applyNumberFormat="1" applyFont="1" applyBorder="1" applyAlignment="1">
      <alignment horizontal="center" vertical="center" wrapText="1"/>
    </xf>
    <xf numFmtId="2" fontId="27" fillId="0" borderId="1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/>
    </xf>
  </cellXfs>
  <cellStyles count="5">
    <cellStyle name="Comma" xfId="1" builtinId="3"/>
    <cellStyle name="Comma 2" xfId="2" xr:uid="{C73EC898-5921-4E60-921E-5A73125666E7}"/>
    <cellStyle name="Normal" xfId="0" builtinId="0"/>
    <cellStyle name="Normal 2" xfId="3" xr:uid="{A64D8179-2FE0-44B7-8F4E-74120B9D7E55}"/>
    <cellStyle name="Normal 2 2 2" xfId="4" xr:uid="{136F3F20-F751-4D5F-ACF0-AF39AA26E1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B1:M237"/>
  <sheetViews>
    <sheetView showGridLines="0" view="pageBreakPreview" zoomScale="85" zoomScaleNormal="100" zoomScaleSheetLayoutView="85" workbookViewId="0">
      <selection activeCell="H222" sqref="H222"/>
    </sheetView>
  </sheetViews>
  <sheetFormatPr defaultColWidth="9" defaultRowHeight="15"/>
  <cols>
    <col min="3" max="3" width="15.7109375" customWidth="1"/>
    <col min="4" max="4" width="16.28515625" style="5" customWidth="1"/>
    <col min="5" max="5" width="54" customWidth="1"/>
    <col min="6" max="6" width="9.42578125" style="74" customWidth="1"/>
    <col min="7" max="7" width="14.140625" style="32" customWidth="1"/>
    <col min="8" max="8" width="12.28515625" style="32" customWidth="1"/>
    <col min="9" max="9" width="14.85546875" style="7" customWidth="1"/>
    <col min="10" max="10" width="15.140625" style="7" customWidth="1"/>
    <col min="11" max="11" width="14.140625" style="20" customWidth="1"/>
    <col min="12" max="12" width="14.42578125" style="7" customWidth="1"/>
    <col min="13" max="13" width="23" style="5" customWidth="1"/>
  </cols>
  <sheetData>
    <row r="1" spans="2:13">
      <c r="B1" s="8" t="s">
        <v>0</v>
      </c>
    </row>
    <row r="2" spans="2:13">
      <c r="B2" s="8" t="str">
        <f>'CONVIE-NOT FINAL'!B2</f>
        <v>AS OF MAY 2026</v>
      </c>
    </row>
    <row r="3" spans="2:13">
      <c r="B3" s="9" t="s">
        <v>37</v>
      </c>
    </row>
    <row r="4" spans="2:13" ht="15" customHeight="1"/>
    <row r="5" spans="2:13" s="45" customFormat="1" ht="22.5">
      <c r="B5" s="43" t="s">
        <v>2</v>
      </c>
      <c r="C5" s="43" t="s">
        <v>3</v>
      </c>
      <c r="D5" s="43" t="s">
        <v>38</v>
      </c>
      <c r="E5" s="43" t="s">
        <v>5</v>
      </c>
      <c r="F5" s="55" t="s">
        <v>6</v>
      </c>
      <c r="G5" s="44" t="s">
        <v>39</v>
      </c>
      <c r="H5" s="44" t="s">
        <v>8</v>
      </c>
      <c r="I5" s="55" t="s">
        <v>9</v>
      </c>
      <c r="J5" s="55" t="s">
        <v>10</v>
      </c>
      <c r="K5" s="44" t="s">
        <v>11</v>
      </c>
      <c r="L5" s="55" t="s">
        <v>12</v>
      </c>
      <c r="M5" s="43" t="s">
        <v>13</v>
      </c>
    </row>
    <row r="6" spans="2:13" s="96" customFormat="1">
      <c r="B6" s="124">
        <v>20</v>
      </c>
      <c r="C6" s="125" t="s">
        <v>40</v>
      </c>
      <c r="D6" s="126" t="s">
        <v>70</v>
      </c>
      <c r="E6" s="125" t="s">
        <v>71</v>
      </c>
      <c r="F6" s="126">
        <v>13.5</v>
      </c>
      <c r="G6" s="126">
        <v>253</v>
      </c>
      <c r="H6" s="124">
        <v>253</v>
      </c>
      <c r="I6" s="125">
        <f>F6*G6</f>
        <v>3415.5</v>
      </c>
      <c r="J6" s="127">
        <f>F6*H6</f>
        <v>3415.5</v>
      </c>
      <c r="K6" s="127">
        <f t="shared" ref="K6:K69" si="0">G6-H6</f>
        <v>0</v>
      </c>
      <c r="L6" s="127">
        <f t="shared" ref="L6:L69" si="1">I6-J6</f>
        <v>0</v>
      </c>
      <c r="M6" s="124"/>
    </row>
    <row r="7" spans="2:13" s="96" customFormat="1">
      <c r="B7" s="124">
        <v>20</v>
      </c>
      <c r="C7" s="125" t="s">
        <v>40</v>
      </c>
      <c r="D7" s="126" t="s">
        <v>72</v>
      </c>
      <c r="E7" s="125" t="s">
        <v>73</v>
      </c>
      <c r="F7" s="126">
        <v>18</v>
      </c>
      <c r="G7" s="126">
        <v>53</v>
      </c>
      <c r="H7" s="124">
        <v>53</v>
      </c>
      <c r="I7" s="125">
        <f t="shared" ref="I7:I70" si="2">F7*G7</f>
        <v>954</v>
      </c>
      <c r="J7" s="127">
        <f t="shared" ref="J7:J69" si="3">F7*H7</f>
        <v>954</v>
      </c>
      <c r="K7" s="127">
        <f t="shared" si="0"/>
        <v>0</v>
      </c>
      <c r="L7" s="127">
        <f t="shared" si="1"/>
        <v>0</v>
      </c>
      <c r="M7" s="124"/>
    </row>
    <row r="8" spans="2:13" s="96" customFormat="1">
      <c r="B8" s="124">
        <v>20</v>
      </c>
      <c r="C8" s="125" t="s">
        <v>40</v>
      </c>
      <c r="D8" s="126" t="s">
        <v>74</v>
      </c>
      <c r="E8" s="125" t="s">
        <v>75</v>
      </c>
      <c r="F8" s="126">
        <v>45</v>
      </c>
      <c r="G8" s="126">
        <v>4</v>
      </c>
      <c r="H8" s="124">
        <v>4</v>
      </c>
      <c r="I8" s="125">
        <f t="shared" si="2"/>
        <v>180</v>
      </c>
      <c r="J8" s="127">
        <f t="shared" si="3"/>
        <v>180</v>
      </c>
      <c r="K8" s="127">
        <f t="shared" si="0"/>
        <v>0</v>
      </c>
      <c r="L8" s="127">
        <f t="shared" si="1"/>
        <v>0</v>
      </c>
      <c r="M8" s="124"/>
    </row>
    <row r="9" spans="2:13" s="96" customFormat="1">
      <c r="B9" s="124">
        <v>20</v>
      </c>
      <c r="C9" s="125" t="s">
        <v>40</v>
      </c>
      <c r="D9" s="126" t="s">
        <v>76</v>
      </c>
      <c r="E9" s="125" t="s">
        <v>77</v>
      </c>
      <c r="F9" s="126">
        <v>30</v>
      </c>
      <c r="G9" s="126">
        <v>5</v>
      </c>
      <c r="H9" s="124">
        <v>5</v>
      </c>
      <c r="I9" s="125">
        <f t="shared" si="2"/>
        <v>150</v>
      </c>
      <c r="J9" s="127">
        <f t="shared" si="3"/>
        <v>150</v>
      </c>
      <c r="K9" s="127">
        <f t="shared" si="0"/>
        <v>0</v>
      </c>
      <c r="L9" s="127">
        <f t="shared" si="1"/>
        <v>0</v>
      </c>
      <c r="M9" s="124"/>
    </row>
    <row r="10" spans="2:13" s="96" customFormat="1">
      <c r="B10" s="124">
        <v>20</v>
      </c>
      <c r="C10" s="125" t="s">
        <v>40</v>
      </c>
      <c r="D10" s="126" t="s">
        <v>78</v>
      </c>
      <c r="E10" s="125" t="s">
        <v>79</v>
      </c>
      <c r="F10" s="126">
        <v>120</v>
      </c>
      <c r="G10" s="126">
        <v>5</v>
      </c>
      <c r="H10" s="124">
        <v>5</v>
      </c>
      <c r="I10" s="125">
        <f t="shared" si="2"/>
        <v>600</v>
      </c>
      <c r="J10" s="127">
        <f t="shared" si="3"/>
        <v>600</v>
      </c>
      <c r="K10" s="127">
        <f t="shared" si="0"/>
        <v>0</v>
      </c>
      <c r="L10" s="127">
        <f t="shared" si="1"/>
        <v>0</v>
      </c>
      <c r="M10" s="124"/>
    </row>
    <row r="11" spans="2:13" s="96" customFormat="1">
      <c r="B11" s="124">
        <v>20</v>
      </c>
      <c r="C11" s="125" t="s">
        <v>40</v>
      </c>
      <c r="D11" s="126" t="s">
        <v>80</v>
      </c>
      <c r="E11" s="125" t="s">
        <v>81</v>
      </c>
      <c r="F11" s="126">
        <v>120</v>
      </c>
      <c r="G11" s="126">
        <v>3</v>
      </c>
      <c r="H11" s="124">
        <v>3</v>
      </c>
      <c r="I11" s="125">
        <f t="shared" si="2"/>
        <v>360</v>
      </c>
      <c r="J11" s="127">
        <f t="shared" si="3"/>
        <v>360</v>
      </c>
      <c r="K11" s="127">
        <f t="shared" si="0"/>
        <v>0</v>
      </c>
      <c r="L11" s="127">
        <f t="shared" si="1"/>
        <v>0</v>
      </c>
      <c r="M11" s="124"/>
    </row>
    <row r="12" spans="2:13" s="96" customFormat="1">
      <c r="B12" s="124">
        <v>20</v>
      </c>
      <c r="C12" s="125" t="s">
        <v>40</v>
      </c>
      <c r="D12" s="126" t="s">
        <v>486</v>
      </c>
      <c r="E12" s="125" t="s">
        <v>492</v>
      </c>
      <c r="F12" s="126">
        <v>36</v>
      </c>
      <c r="G12" s="126">
        <v>2</v>
      </c>
      <c r="H12" s="124">
        <v>2</v>
      </c>
      <c r="I12" s="125">
        <f t="shared" si="2"/>
        <v>72</v>
      </c>
      <c r="J12" s="127">
        <f t="shared" si="3"/>
        <v>72</v>
      </c>
      <c r="K12" s="127">
        <f t="shared" si="0"/>
        <v>0</v>
      </c>
      <c r="L12" s="127">
        <f t="shared" si="1"/>
        <v>0</v>
      </c>
      <c r="M12" s="124"/>
    </row>
    <row r="13" spans="2:13" s="96" customFormat="1">
      <c r="B13" s="124">
        <v>20</v>
      </c>
      <c r="C13" s="125" t="s">
        <v>40</v>
      </c>
      <c r="D13" s="126" t="s">
        <v>82</v>
      </c>
      <c r="E13" s="125" t="s">
        <v>83</v>
      </c>
      <c r="F13" s="126">
        <v>4</v>
      </c>
      <c r="G13" s="126">
        <v>27</v>
      </c>
      <c r="H13" s="124">
        <v>27</v>
      </c>
      <c r="I13" s="125">
        <f t="shared" si="2"/>
        <v>108</v>
      </c>
      <c r="J13" s="127">
        <f t="shared" si="3"/>
        <v>108</v>
      </c>
      <c r="K13" s="127">
        <f t="shared" si="0"/>
        <v>0</v>
      </c>
      <c r="L13" s="127">
        <f t="shared" si="1"/>
        <v>0</v>
      </c>
      <c r="M13" s="124"/>
    </row>
    <row r="14" spans="2:13" s="96" customFormat="1">
      <c r="B14" s="124">
        <v>20</v>
      </c>
      <c r="C14" s="125" t="s">
        <v>40</v>
      </c>
      <c r="D14" s="126" t="s">
        <v>84</v>
      </c>
      <c r="E14" s="125" t="s">
        <v>85</v>
      </c>
      <c r="F14" s="126">
        <v>3.75</v>
      </c>
      <c r="G14" s="126">
        <v>68</v>
      </c>
      <c r="H14" s="124">
        <v>68</v>
      </c>
      <c r="I14" s="125">
        <f t="shared" si="2"/>
        <v>255</v>
      </c>
      <c r="J14" s="127">
        <f t="shared" si="3"/>
        <v>255</v>
      </c>
      <c r="K14" s="127">
        <f t="shared" si="0"/>
        <v>0</v>
      </c>
      <c r="L14" s="127">
        <f t="shared" si="1"/>
        <v>0</v>
      </c>
      <c r="M14" s="124"/>
    </row>
    <row r="15" spans="2:13" s="96" customFormat="1">
      <c r="B15" s="124">
        <v>20</v>
      </c>
      <c r="C15" s="125" t="s">
        <v>40</v>
      </c>
      <c r="D15" s="126" t="s">
        <v>86</v>
      </c>
      <c r="E15" s="125" t="s">
        <v>87</v>
      </c>
      <c r="F15" s="126">
        <v>105</v>
      </c>
      <c r="G15" s="126">
        <v>157</v>
      </c>
      <c r="H15" s="124">
        <v>157</v>
      </c>
      <c r="I15" s="125">
        <f t="shared" si="2"/>
        <v>16485</v>
      </c>
      <c r="J15" s="127">
        <f t="shared" si="3"/>
        <v>16485</v>
      </c>
      <c r="K15" s="127">
        <f t="shared" si="0"/>
        <v>0</v>
      </c>
      <c r="L15" s="127">
        <f t="shared" si="1"/>
        <v>0</v>
      </c>
      <c r="M15" s="124"/>
    </row>
    <row r="16" spans="2:13" s="96" customFormat="1">
      <c r="B16" s="124">
        <v>20</v>
      </c>
      <c r="C16" s="125" t="s">
        <v>40</v>
      </c>
      <c r="D16" s="126" t="s">
        <v>88</v>
      </c>
      <c r="E16" s="125" t="s">
        <v>89</v>
      </c>
      <c r="F16" s="126">
        <v>3.5</v>
      </c>
      <c r="G16" s="126">
        <v>55</v>
      </c>
      <c r="H16" s="124">
        <v>55</v>
      </c>
      <c r="I16" s="125">
        <f t="shared" si="2"/>
        <v>192.5</v>
      </c>
      <c r="J16" s="127">
        <f t="shared" si="3"/>
        <v>192.5</v>
      </c>
      <c r="K16" s="127">
        <f t="shared" si="0"/>
        <v>0</v>
      </c>
      <c r="L16" s="127">
        <f t="shared" si="1"/>
        <v>0</v>
      </c>
      <c r="M16" s="124"/>
    </row>
    <row r="17" spans="2:13" s="96" customFormat="1">
      <c r="B17" s="124">
        <v>20</v>
      </c>
      <c r="C17" s="125" t="s">
        <v>40</v>
      </c>
      <c r="D17" s="126" t="s">
        <v>90</v>
      </c>
      <c r="E17" s="125" t="s">
        <v>91</v>
      </c>
      <c r="F17" s="126">
        <v>3.5</v>
      </c>
      <c r="G17" s="126">
        <v>1</v>
      </c>
      <c r="H17" s="124">
        <v>1</v>
      </c>
      <c r="I17" s="125">
        <f t="shared" si="2"/>
        <v>3.5</v>
      </c>
      <c r="J17" s="127">
        <f t="shared" si="3"/>
        <v>3.5</v>
      </c>
      <c r="K17" s="127">
        <f t="shared" si="0"/>
        <v>0</v>
      </c>
      <c r="L17" s="127">
        <f t="shared" si="1"/>
        <v>0</v>
      </c>
      <c r="M17" s="124"/>
    </row>
    <row r="18" spans="2:13" s="96" customFormat="1">
      <c r="B18" s="124">
        <v>20</v>
      </c>
      <c r="C18" s="125" t="s">
        <v>40</v>
      </c>
      <c r="D18" s="126" t="s">
        <v>92</v>
      </c>
      <c r="E18" s="125" t="s">
        <v>93</v>
      </c>
      <c r="F18" s="126">
        <v>3.5</v>
      </c>
      <c r="G18" s="126">
        <v>7</v>
      </c>
      <c r="H18" s="124">
        <v>7</v>
      </c>
      <c r="I18" s="125">
        <f t="shared" si="2"/>
        <v>24.5</v>
      </c>
      <c r="J18" s="127">
        <f t="shared" si="3"/>
        <v>24.5</v>
      </c>
      <c r="K18" s="127">
        <f t="shared" si="0"/>
        <v>0</v>
      </c>
      <c r="L18" s="127">
        <f t="shared" si="1"/>
        <v>0</v>
      </c>
      <c r="M18" s="124"/>
    </row>
    <row r="19" spans="2:13" s="96" customFormat="1">
      <c r="B19" s="124">
        <v>20</v>
      </c>
      <c r="C19" s="125" t="s">
        <v>40</v>
      </c>
      <c r="D19" s="126" t="s">
        <v>94</v>
      </c>
      <c r="E19" s="125" t="s">
        <v>95</v>
      </c>
      <c r="F19" s="126">
        <v>6</v>
      </c>
      <c r="G19" s="126">
        <v>35</v>
      </c>
      <c r="H19" s="124">
        <v>35</v>
      </c>
      <c r="I19" s="125">
        <f t="shared" si="2"/>
        <v>210</v>
      </c>
      <c r="J19" s="127">
        <f t="shared" si="3"/>
        <v>210</v>
      </c>
      <c r="K19" s="127">
        <f t="shared" si="0"/>
        <v>0</v>
      </c>
      <c r="L19" s="127">
        <f t="shared" si="1"/>
        <v>0</v>
      </c>
      <c r="M19" s="133"/>
    </row>
    <row r="20" spans="2:13" s="96" customFormat="1">
      <c r="B20" s="124">
        <v>20</v>
      </c>
      <c r="C20" s="125" t="s">
        <v>40</v>
      </c>
      <c r="D20" s="126" t="s">
        <v>96</v>
      </c>
      <c r="E20" s="125" t="s">
        <v>97</v>
      </c>
      <c r="F20" s="126">
        <v>4.25</v>
      </c>
      <c r="G20" s="126">
        <v>15</v>
      </c>
      <c r="H20" s="124">
        <v>15</v>
      </c>
      <c r="I20" s="125">
        <f t="shared" si="2"/>
        <v>63.75</v>
      </c>
      <c r="J20" s="127">
        <f t="shared" si="3"/>
        <v>63.75</v>
      </c>
      <c r="K20" s="127">
        <f t="shared" si="0"/>
        <v>0</v>
      </c>
      <c r="L20" s="127">
        <f t="shared" si="1"/>
        <v>0</v>
      </c>
      <c r="M20" s="124"/>
    </row>
    <row r="21" spans="2:13" s="96" customFormat="1">
      <c r="B21" s="124">
        <v>20</v>
      </c>
      <c r="C21" s="125" t="s">
        <v>40</v>
      </c>
      <c r="D21" s="126" t="s">
        <v>98</v>
      </c>
      <c r="E21" s="125" t="s">
        <v>99</v>
      </c>
      <c r="F21" s="126">
        <v>6</v>
      </c>
      <c r="G21" s="126">
        <v>48</v>
      </c>
      <c r="H21" s="124">
        <v>48</v>
      </c>
      <c r="I21" s="125">
        <f t="shared" si="2"/>
        <v>288</v>
      </c>
      <c r="J21" s="127">
        <f t="shared" si="3"/>
        <v>288</v>
      </c>
      <c r="K21" s="127">
        <f t="shared" si="0"/>
        <v>0</v>
      </c>
      <c r="L21" s="127">
        <f t="shared" si="1"/>
        <v>0</v>
      </c>
      <c r="M21" s="124"/>
    </row>
    <row r="22" spans="2:13" s="96" customFormat="1">
      <c r="B22" s="124">
        <v>20</v>
      </c>
      <c r="C22" s="125" t="s">
        <v>40</v>
      </c>
      <c r="D22" s="126" t="s">
        <v>100</v>
      </c>
      <c r="E22" s="125" t="s">
        <v>101</v>
      </c>
      <c r="F22" s="126">
        <v>1.54</v>
      </c>
      <c r="G22" s="126">
        <v>257</v>
      </c>
      <c r="H22" s="124">
        <v>257</v>
      </c>
      <c r="I22" s="125">
        <f t="shared" si="2"/>
        <v>395.78000000000003</v>
      </c>
      <c r="J22" s="127">
        <f t="shared" si="3"/>
        <v>395.78000000000003</v>
      </c>
      <c r="K22" s="127">
        <f t="shared" si="0"/>
        <v>0</v>
      </c>
      <c r="L22" s="127">
        <f t="shared" si="1"/>
        <v>0</v>
      </c>
      <c r="M22" s="124"/>
    </row>
    <row r="23" spans="2:13" s="96" customFormat="1">
      <c r="B23" s="124">
        <v>20</v>
      </c>
      <c r="C23" s="125" t="s">
        <v>40</v>
      </c>
      <c r="D23" s="126" t="s">
        <v>102</v>
      </c>
      <c r="E23" s="125" t="s">
        <v>103</v>
      </c>
      <c r="F23" s="126">
        <v>6</v>
      </c>
      <c r="G23" s="126">
        <v>216</v>
      </c>
      <c r="H23" s="134">
        <v>216</v>
      </c>
      <c r="I23" s="125">
        <f t="shared" si="2"/>
        <v>1296</v>
      </c>
      <c r="J23" s="127">
        <f t="shared" si="3"/>
        <v>1296</v>
      </c>
      <c r="K23" s="127">
        <f t="shared" si="0"/>
        <v>0</v>
      </c>
      <c r="L23" s="127">
        <f t="shared" si="1"/>
        <v>0</v>
      </c>
      <c r="M23" s="124"/>
    </row>
    <row r="24" spans="2:13" s="96" customFormat="1">
      <c r="B24" s="124">
        <v>20</v>
      </c>
      <c r="C24" s="125" t="s">
        <v>40</v>
      </c>
      <c r="D24" s="126" t="s">
        <v>104</v>
      </c>
      <c r="E24" s="125" t="s">
        <v>105</v>
      </c>
      <c r="F24" s="126">
        <v>145</v>
      </c>
      <c r="G24" s="126">
        <v>1</v>
      </c>
      <c r="H24" s="124">
        <v>1</v>
      </c>
      <c r="I24" s="125">
        <f t="shared" si="2"/>
        <v>145</v>
      </c>
      <c r="J24" s="127">
        <f t="shared" si="3"/>
        <v>145</v>
      </c>
      <c r="K24" s="127">
        <f t="shared" si="0"/>
        <v>0</v>
      </c>
      <c r="L24" s="127">
        <f t="shared" si="1"/>
        <v>0</v>
      </c>
      <c r="M24" s="124"/>
    </row>
    <row r="25" spans="2:13" s="96" customFormat="1">
      <c r="B25" s="124">
        <v>20</v>
      </c>
      <c r="C25" s="125" t="s">
        <v>40</v>
      </c>
      <c r="D25" s="126" t="s">
        <v>106</v>
      </c>
      <c r="E25" s="125" t="s">
        <v>107</v>
      </c>
      <c r="F25" s="126">
        <v>99.3</v>
      </c>
      <c r="G25" s="126">
        <v>154</v>
      </c>
      <c r="H25" s="124">
        <v>161</v>
      </c>
      <c r="I25" s="125">
        <f t="shared" si="2"/>
        <v>15292.199999999999</v>
      </c>
      <c r="J25" s="127">
        <f t="shared" si="3"/>
        <v>15987.3</v>
      </c>
      <c r="K25" s="127">
        <f t="shared" si="0"/>
        <v>-7</v>
      </c>
      <c r="L25" s="127">
        <f t="shared" si="1"/>
        <v>-695.10000000000036</v>
      </c>
      <c r="M25" s="124"/>
    </row>
    <row r="26" spans="2:13" s="96" customFormat="1">
      <c r="B26" s="124">
        <v>20</v>
      </c>
      <c r="C26" s="125" t="s">
        <v>40</v>
      </c>
      <c r="D26" s="126" t="s">
        <v>108</v>
      </c>
      <c r="E26" s="125" t="s">
        <v>109</v>
      </c>
      <c r="F26" s="126">
        <v>84</v>
      </c>
      <c r="G26" s="126">
        <v>142</v>
      </c>
      <c r="H26" s="124">
        <v>151</v>
      </c>
      <c r="I26" s="125">
        <f t="shared" si="2"/>
        <v>11928</v>
      </c>
      <c r="J26" s="127">
        <f t="shared" si="3"/>
        <v>12684</v>
      </c>
      <c r="K26" s="127">
        <f t="shared" si="0"/>
        <v>-9</v>
      </c>
      <c r="L26" s="127">
        <f t="shared" si="1"/>
        <v>-756</v>
      </c>
      <c r="M26" s="124"/>
    </row>
    <row r="27" spans="2:13" s="96" customFormat="1">
      <c r="B27" s="124">
        <v>20</v>
      </c>
      <c r="C27" s="125" t="s">
        <v>40</v>
      </c>
      <c r="D27" s="126" t="s">
        <v>110</v>
      </c>
      <c r="E27" s="125" t="s">
        <v>111</v>
      </c>
      <c r="F27" s="126">
        <v>17.75</v>
      </c>
      <c r="G27" s="126">
        <v>115</v>
      </c>
      <c r="H27" s="124">
        <v>115</v>
      </c>
      <c r="I27" s="125">
        <f t="shared" si="2"/>
        <v>2041.25</v>
      </c>
      <c r="J27" s="127">
        <f t="shared" si="3"/>
        <v>2041.25</v>
      </c>
      <c r="K27" s="127">
        <f t="shared" si="0"/>
        <v>0</v>
      </c>
      <c r="L27" s="127">
        <f t="shared" si="1"/>
        <v>0</v>
      </c>
      <c r="M27" s="124"/>
    </row>
    <row r="28" spans="2:13" s="96" customFormat="1">
      <c r="B28" s="124">
        <v>20</v>
      </c>
      <c r="C28" s="125" t="s">
        <v>40</v>
      </c>
      <c r="D28" s="126" t="s">
        <v>487</v>
      </c>
      <c r="E28" s="125" t="s">
        <v>493</v>
      </c>
      <c r="F28" s="126">
        <v>3.5</v>
      </c>
      <c r="G28" s="126">
        <v>1845</v>
      </c>
      <c r="H28" s="124">
        <v>1845</v>
      </c>
      <c r="I28" s="125">
        <f t="shared" si="2"/>
        <v>6457.5</v>
      </c>
      <c r="J28" s="127">
        <f t="shared" si="3"/>
        <v>6457.5</v>
      </c>
      <c r="K28" s="127">
        <f t="shared" si="0"/>
        <v>0</v>
      </c>
      <c r="L28" s="127">
        <f t="shared" si="1"/>
        <v>0</v>
      </c>
      <c r="M28" s="124"/>
    </row>
    <row r="29" spans="2:13" s="96" customFormat="1">
      <c r="B29" s="124">
        <v>20</v>
      </c>
      <c r="C29" s="125" t="s">
        <v>40</v>
      </c>
      <c r="D29" s="126" t="s">
        <v>112</v>
      </c>
      <c r="E29" s="125" t="s">
        <v>113</v>
      </c>
      <c r="F29" s="126">
        <v>4</v>
      </c>
      <c r="G29" s="126">
        <v>788</v>
      </c>
      <c r="H29" s="124">
        <v>850</v>
      </c>
      <c r="I29" s="125">
        <f t="shared" si="2"/>
        <v>3152</v>
      </c>
      <c r="J29" s="127">
        <f t="shared" si="3"/>
        <v>3400</v>
      </c>
      <c r="K29" s="127">
        <f t="shared" si="0"/>
        <v>-62</v>
      </c>
      <c r="L29" s="127">
        <f t="shared" si="1"/>
        <v>-248</v>
      </c>
      <c r="M29" s="124"/>
    </row>
    <row r="30" spans="2:13" s="96" customFormat="1">
      <c r="B30" s="124">
        <v>20</v>
      </c>
      <c r="C30" s="125" t="s">
        <v>40</v>
      </c>
      <c r="D30" s="126" t="s">
        <v>114</v>
      </c>
      <c r="E30" s="125" t="s">
        <v>115</v>
      </c>
      <c r="F30" s="126">
        <v>2.83</v>
      </c>
      <c r="G30" s="126">
        <v>740</v>
      </c>
      <c r="H30" s="124">
        <v>740</v>
      </c>
      <c r="I30" s="125">
        <f t="shared" si="2"/>
        <v>2094.2000000000003</v>
      </c>
      <c r="J30" s="127">
        <f t="shared" si="3"/>
        <v>2094.2000000000003</v>
      </c>
      <c r="K30" s="127">
        <f t="shared" si="0"/>
        <v>0</v>
      </c>
      <c r="L30" s="127">
        <f t="shared" si="1"/>
        <v>0</v>
      </c>
      <c r="M30" s="124"/>
    </row>
    <row r="31" spans="2:13" s="96" customFormat="1">
      <c r="B31" s="124">
        <v>20</v>
      </c>
      <c r="C31" s="125" t="s">
        <v>40</v>
      </c>
      <c r="D31" s="126" t="s">
        <v>116</v>
      </c>
      <c r="E31" s="125" t="s">
        <v>117</v>
      </c>
      <c r="F31" s="126">
        <v>2.5</v>
      </c>
      <c r="G31" s="126">
        <v>44</v>
      </c>
      <c r="H31" s="124">
        <v>44</v>
      </c>
      <c r="I31" s="125">
        <f t="shared" si="2"/>
        <v>110</v>
      </c>
      <c r="J31" s="127">
        <f t="shared" si="3"/>
        <v>110</v>
      </c>
      <c r="K31" s="127">
        <f t="shared" si="0"/>
        <v>0</v>
      </c>
      <c r="L31" s="127">
        <f t="shared" si="1"/>
        <v>0</v>
      </c>
      <c r="M31" s="124"/>
    </row>
    <row r="32" spans="2:13" s="96" customFormat="1">
      <c r="B32" s="124">
        <v>20</v>
      </c>
      <c r="C32" s="125" t="s">
        <v>40</v>
      </c>
      <c r="D32" s="126" t="s">
        <v>118</v>
      </c>
      <c r="E32" s="125" t="s">
        <v>119</v>
      </c>
      <c r="F32" s="126">
        <v>375</v>
      </c>
      <c r="G32" s="126">
        <v>10</v>
      </c>
      <c r="H32" s="124">
        <v>10</v>
      </c>
      <c r="I32" s="125">
        <f t="shared" si="2"/>
        <v>3750</v>
      </c>
      <c r="J32" s="127">
        <f t="shared" si="3"/>
        <v>3750</v>
      </c>
      <c r="K32" s="127">
        <f t="shared" si="0"/>
        <v>0</v>
      </c>
      <c r="L32" s="127">
        <f t="shared" si="1"/>
        <v>0</v>
      </c>
      <c r="M32" s="124"/>
    </row>
    <row r="33" spans="2:13" s="96" customFormat="1">
      <c r="B33" s="124">
        <v>20</v>
      </c>
      <c r="C33" s="125" t="s">
        <v>40</v>
      </c>
      <c r="D33" s="126" t="s">
        <v>120</v>
      </c>
      <c r="E33" s="125" t="s">
        <v>121</v>
      </c>
      <c r="F33" s="126">
        <v>1.56</v>
      </c>
      <c r="G33" s="126">
        <v>3</v>
      </c>
      <c r="H33" s="124">
        <v>3</v>
      </c>
      <c r="I33" s="125">
        <f t="shared" si="2"/>
        <v>4.68</v>
      </c>
      <c r="J33" s="127">
        <f t="shared" si="3"/>
        <v>4.68</v>
      </c>
      <c r="K33" s="127">
        <f t="shared" si="0"/>
        <v>0</v>
      </c>
      <c r="L33" s="127">
        <f t="shared" si="1"/>
        <v>0</v>
      </c>
      <c r="M33" s="124"/>
    </row>
    <row r="34" spans="2:13" s="96" customFormat="1">
      <c r="B34" s="124">
        <v>20</v>
      </c>
      <c r="C34" s="125" t="s">
        <v>40</v>
      </c>
      <c r="D34" s="126" t="s">
        <v>488</v>
      </c>
      <c r="E34" s="125" t="s">
        <v>494</v>
      </c>
      <c r="F34" s="126">
        <v>2</v>
      </c>
      <c r="G34" s="126">
        <v>800</v>
      </c>
      <c r="H34" s="124">
        <v>800</v>
      </c>
      <c r="I34" s="125">
        <f t="shared" si="2"/>
        <v>1600</v>
      </c>
      <c r="J34" s="127">
        <f t="shared" si="3"/>
        <v>1600</v>
      </c>
      <c r="K34" s="127">
        <f t="shared" si="0"/>
        <v>0</v>
      </c>
      <c r="L34" s="127">
        <f t="shared" si="1"/>
        <v>0</v>
      </c>
      <c r="M34" s="124"/>
    </row>
    <row r="35" spans="2:13" s="96" customFormat="1">
      <c r="B35" s="124">
        <v>20</v>
      </c>
      <c r="C35" s="125" t="s">
        <v>40</v>
      </c>
      <c r="D35" s="126" t="s">
        <v>122</v>
      </c>
      <c r="E35" s="125" t="s">
        <v>123</v>
      </c>
      <c r="F35" s="126">
        <v>9</v>
      </c>
      <c r="G35" s="126">
        <v>270</v>
      </c>
      <c r="H35" s="124">
        <v>270</v>
      </c>
      <c r="I35" s="125">
        <f t="shared" si="2"/>
        <v>2430</v>
      </c>
      <c r="J35" s="127">
        <f t="shared" si="3"/>
        <v>2430</v>
      </c>
      <c r="K35" s="127">
        <f t="shared" si="0"/>
        <v>0</v>
      </c>
      <c r="L35" s="127">
        <f t="shared" si="1"/>
        <v>0</v>
      </c>
      <c r="M35" s="124"/>
    </row>
    <row r="36" spans="2:13" s="96" customFormat="1">
      <c r="B36" s="124">
        <v>20</v>
      </c>
      <c r="C36" s="125" t="s">
        <v>40</v>
      </c>
      <c r="D36" s="126" t="s">
        <v>124</v>
      </c>
      <c r="E36" s="125" t="s">
        <v>125</v>
      </c>
      <c r="F36" s="126">
        <v>6</v>
      </c>
      <c r="G36" s="126">
        <v>131</v>
      </c>
      <c r="H36" s="124">
        <v>131</v>
      </c>
      <c r="I36" s="125">
        <f t="shared" si="2"/>
        <v>786</v>
      </c>
      <c r="J36" s="127">
        <f t="shared" si="3"/>
        <v>786</v>
      </c>
      <c r="K36" s="127">
        <f t="shared" si="0"/>
        <v>0</v>
      </c>
      <c r="L36" s="127">
        <f t="shared" si="1"/>
        <v>0</v>
      </c>
      <c r="M36" s="124"/>
    </row>
    <row r="37" spans="2:13" s="96" customFormat="1">
      <c r="B37" s="124">
        <v>20</v>
      </c>
      <c r="C37" s="125" t="s">
        <v>40</v>
      </c>
      <c r="D37" s="126" t="s">
        <v>126</v>
      </c>
      <c r="E37" s="125" t="s">
        <v>127</v>
      </c>
      <c r="F37" s="126">
        <v>4</v>
      </c>
      <c r="G37" s="126">
        <v>14</v>
      </c>
      <c r="H37" s="124">
        <v>14</v>
      </c>
      <c r="I37" s="125">
        <f t="shared" si="2"/>
        <v>56</v>
      </c>
      <c r="J37" s="127">
        <f t="shared" si="3"/>
        <v>56</v>
      </c>
      <c r="K37" s="127">
        <f t="shared" si="0"/>
        <v>0</v>
      </c>
      <c r="L37" s="127">
        <f t="shared" si="1"/>
        <v>0</v>
      </c>
      <c r="M37" s="124"/>
    </row>
    <row r="38" spans="2:13" s="96" customFormat="1">
      <c r="B38" s="124">
        <v>20</v>
      </c>
      <c r="C38" s="125" t="s">
        <v>40</v>
      </c>
      <c r="D38" s="126" t="s">
        <v>128</v>
      </c>
      <c r="E38" s="125" t="s">
        <v>129</v>
      </c>
      <c r="F38" s="126">
        <v>295</v>
      </c>
      <c r="G38" s="126">
        <v>1</v>
      </c>
      <c r="H38" s="124">
        <v>1</v>
      </c>
      <c r="I38" s="125">
        <f t="shared" si="2"/>
        <v>295</v>
      </c>
      <c r="J38" s="127">
        <f t="shared" si="3"/>
        <v>295</v>
      </c>
      <c r="K38" s="127">
        <f t="shared" si="0"/>
        <v>0</v>
      </c>
      <c r="L38" s="127">
        <f t="shared" si="1"/>
        <v>0</v>
      </c>
      <c r="M38" s="124"/>
    </row>
    <row r="39" spans="2:13" s="96" customFormat="1">
      <c r="B39" s="124">
        <v>20</v>
      </c>
      <c r="C39" s="125" t="s">
        <v>40</v>
      </c>
      <c r="D39" s="126" t="s">
        <v>130</v>
      </c>
      <c r="E39" s="125" t="s">
        <v>131</v>
      </c>
      <c r="F39" s="126">
        <v>12</v>
      </c>
      <c r="G39" s="126">
        <v>16</v>
      </c>
      <c r="H39" s="124">
        <v>16</v>
      </c>
      <c r="I39" s="125">
        <f t="shared" si="2"/>
        <v>192</v>
      </c>
      <c r="J39" s="127">
        <f t="shared" si="3"/>
        <v>192</v>
      </c>
      <c r="K39" s="127">
        <f t="shared" si="0"/>
        <v>0</v>
      </c>
      <c r="L39" s="127">
        <f t="shared" si="1"/>
        <v>0</v>
      </c>
      <c r="M39" s="128"/>
    </row>
    <row r="40" spans="2:13" s="96" customFormat="1">
      <c r="B40" s="124">
        <v>20</v>
      </c>
      <c r="C40" s="125" t="s">
        <v>40</v>
      </c>
      <c r="D40" s="126" t="s">
        <v>132</v>
      </c>
      <c r="E40" s="125" t="s">
        <v>133</v>
      </c>
      <c r="F40" s="126">
        <v>11</v>
      </c>
      <c r="G40" s="126">
        <v>1</v>
      </c>
      <c r="H40" s="124">
        <v>1</v>
      </c>
      <c r="I40" s="125">
        <f t="shared" si="2"/>
        <v>11</v>
      </c>
      <c r="J40" s="127">
        <f t="shared" si="3"/>
        <v>11</v>
      </c>
      <c r="K40" s="127">
        <f t="shared" si="0"/>
        <v>0</v>
      </c>
      <c r="L40" s="127">
        <f t="shared" si="1"/>
        <v>0</v>
      </c>
      <c r="M40" s="128"/>
    </row>
    <row r="41" spans="2:13" s="96" customFormat="1">
      <c r="B41" s="124">
        <v>20</v>
      </c>
      <c r="C41" s="125" t="s">
        <v>40</v>
      </c>
      <c r="D41" s="126" t="s">
        <v>134</v>
      </c>
      <c r="E41" s="125" t="s">
        <v>135</v>
      </c>
      <c r="F41" s="126">
        <v>1.5</v>
      </c>
      <c r="G41" s="126">
        <v>3650</v>
      </c>
      <c r="H41" s="124">
        <v>4000</v>
      </c>
      <c r="I41" s="125">
        <f t="shared" si="2"/>
        <v>5475</v>
      </c>
      <c r="J41" s="127">
        <f t="shared" si="3"/>
        <v>6000</v>
      </c>
      <c r="K41" s="127">
        <f t="shared" si="0"/>
        <v>-350</v>
      </c>
      <c r="L41" s="127">
        <f t="shared" si="1"/>
        <v>-525</v>
      </c>
      <c r="M41" s="124"/>
    </row>
    <row r="42" spans="2:13" s="96" customFormat="1">
      <c r="B42" s="124">
        <v>20</v>
      </c>
      <c r="C42" s="125" t="s">
        <v>40</v>
      </c>
      <c r="D42" s="126" t="s">
        <v>136</v>
      </c>
      <c r="E42" s="125" t="s">
        <v>137</v>
      </c>
      <c r="F42" s="126">
        <v>370</v>
      </c>
      <c r="G42" s="126">
        <v>1</v>
      </c>
      <c r="H42" s="124">
        <v>1</v>
      </c>
      <c r="I42" s="125">
        <f t="shared" si="2"/>
        <v>370</v>
      </c>
      <c r="J42" s="127">
        <f t="shared" si="3"/>
        <v>370</v>
      </c>
      <c r="K42" s="127">
        <f t="shared" si="0"/>
        <v>0</v>
      </c>
      <c r="L42" s="127">
        <f t="shared" si="1"/>
        <v>0</v>
      </c>
      <c r="M42" s="124"/>
    </row>
    <row r="43" spans="2:13" s="96" customFormat="1">
      <c r="B43" s="124">
        <v>20</v>
      </c>
      <c r="C43" s="125" t="s">
        <v>40</v>
      </c>
      <c r="D43" s="126" t="s">
        <v>138</v>
      </c>
      <c r="E43" s="125" t="s">
        <v>139</v>
      </c>
      <c r="F43" s="126">
        <v>146.5</v>
      </c>
      <c r="G43" s="126">
        <v>1</v>
      </c>
      <c r="H43" s="124">
        <v>1</v>
      </c>
      <c r="I43" s="125">
        <f t="shared" si="2"/>
        <v>146.5</v>
      </c>
      <c r="J43" s="127">
        <f t="shared" si="3"/>
        <v>146.5</v>
      </c>
      <c r="K43" s="127">
        <f t="shared" si="0"/>
        <v>0</v>
      </c>
      <c r="L43" s="127">
        <f t="shared" si="1"/>
        <v>0</v>
      </c>
      <c r="M43" s="124"/>
    </row>
    <row r="44" spans="2:13" s="96" customFormat="1">
      <c r="B44" s="124">
        <v>20</v>
      </c>
      <c r="C44" s="125" t="s">
        <v>40</v>
      </c>
      <c r="D44" s="126" t="s">
        <v>140</v>
      </c>
      <c r="E44" s="125" t="s">
        <v>141</v>
      </c>
      <c r="F44" s="126">
        <v>130</v>
      </c>
      <c r="G44" s="126">
        <v>1</v>
      </c>
      <c r="H44" s="124">
        <v>1</v>
      </c>
      <c r="I44" s="125">
        <f t="shared" si="2"/>
        <v>130</v>
      </c>
      <c r="J44" s="127">
        <f t="shared" si="3"/>
        <v>130</v>
      </c>
      <c r="K44" s="127">
        <f t="shared" si="0"/>
        <v>0</v>
      </c>
      <c r="L44" s="127">
        <f t="shared" si="1"/>
        <v>0</v>
      </c>
      <c r="M44" s="124"/>
    </row>
    <row r="45" spans="2:13" s="96" customFormat="1">
      <c r="B45" s="124">
        <v>20</v>
      </c>
      <c r="C45" s="125" t="s">
        <v>40</v>
      </c>
      <c r="D45" s="126" t="s">
        <v>142</v>
      </c>
      <c r="E45" s="125" t="s">
        <v>143</v>
      </c>
      <c r="F45" s="126">
        <v>120</v>
      </c>
      <c r="G45" s="126">
        <v>1</v>
      </c>
      <c r="H45" s="124">
        <v>1</v>
      </c>
      <c r="I45" s="125">
        <f t="shared" si="2"/>
        <v>120</v>
      </c>
      <c r="J45" s="127">
        <f t="shared" si="3"/>
        <v>120</v>
      </c>
      <c r="K45" s="127">
        <f t="shared" si="0"/>
        <v>0</v>
      </c>
      <c r="L45" s="127">
        <f t="shared" si="1"/>
        <v>0</v>
      </c>
      <c r="M45" s="124"/>
    </row>
    <row r="46" spans="2:13" s="96" customFormat="1">
      <c r="B46" s="124">
        <v>20</v>
      </c>
      <c r="C46" s="125" t="s">
        <v>40</v>
      </c>
      <c r="D46" s="126" t="s">
        <v>144</v>
      </c>
      <c r="E46" s="125" t="s">
        <v>145</v>
      </c>
      <c r="F46" s="126">
        <v>21</v>
      </c>
      <c r="G46" s="126">
        <v>12</v>
      </c>
      <c r="H46" s="124">
        <v>12</v>
      </c>
      <c r="I46" s="125">
        <f t="shared" si="2"/>
        <v>252</v>
      </c>
      <c r="J46" s="127">
        <f t="shared" si="3"/>
        <v>252</v>
      </c>
      <c r="K46" s="127">
        <f t="shared" si="0"/>
        <v>0</v>
      </c>
      <c r="L46" s="127">
        <f t="shared" si="1"/>
        <v>0</v>
      </c>
      <c r="M46" s="124"/>
    </row>
    <row r="47" spans="2:13" s="96" customFormat="1">
      <c r="B47" s="124">
        <v>20</v>
      </c>
      <c r="C47" s="125" t="s">
        <v>40</v>
      </c>
      <c r="D47" s="126" t="s">
        <v>146</v>
      </c>
      <c r="E47" s="125" t="s">
        <v>147</v>
      </c>
      <c r="F47" s="126">
        <v>21</v>
      </c>
      <c r="G47" s="126">
        <v>2</v>
      </c>
      <c r="H47" s="124">
        <v>2</v>
      </c>
      <c r="I47" s="125">
        <f t="shared" si="2"/>
        <v>42</v>
      </c>
      <c r="J47" s="127">
        <f t="shared" si="3"/>
        <v>42</v>
      </c>
      <c r="K47" s="127">
        <f t="shared" si="0"/>
        <v>0</v>
      </c>
      <c r="L47" s="127">
        <f t="shared" si="1"/>
        <v>0</v>
      </c>
      <c r="M47" s="124"/>
    </row>
    <row r="48" spans="2:13" s="96" customFormat="1">
      <c r="B48" s="124">
        <v>20</v>
      </c>
      <c r="C48" s="125" t="s">
        <v>40</v>
      </c>
      <c r="D48" s="126" t="s">
        <v>148</v>
      </c>
      <c r="E48" s="125" t="s">
        <v>149</v>
      </c>
      <c r="F48" s="126">
        <v>42</v>
      </c>
      <c r="G48" s="126">
        <v>3</v>
      </c>
      <c r="H48" s="134">
        <v>3</v>
      </c>
      <c r="I48" s="125">
        <f t="shared" si="2"/>
        <v>126</v>
      </c>
      <c r="J48" s="127">
        <f t="shared" si="3"/>
        <v>126</v>
      </c>
      <c r="K48" s="127">
        <f t="shared" si="0"/>
        <v>0</v>
      </c>
      <c r="L48" s="127">
        <f t="shared" si="1"/>
        <v>0</v>
      </c>
      <c r="M48" s="124"/>
    </row>
    <row r="49" spans="2:13" s="96" customFormat="1">
      <c r="B49" s="124">
        <v>20</v>
      </c>
      <c r="C49" s="125" t="s">
        <v>40</v>
      </c>
      <c r="D49" s="126" t="s">
        <v>150</v>
      </c>
      <c r="E49" s="125" t="s">
        <v>151</v>
      </c>
      <c r="F49" s="126">
        <v>21</v>
      </c>
      <c r="G49" s="126">
        <v>34</v>
      </c>
      <c r="H49" s="124">
        <v>34</v>
      </c>
      <c r="I49" s="125">
        <f t="shared" si="2"/>
        <v>714</v>
      </c>
      <c r="J49" s="127">
        <f t="shared" si="3"/>
        <v>714</v>
      </c>
      <c r="K49" s="127">
        <f t="shared" si="0"/>
        <v>0</v>
      </c>
      <c r="L49" s="127">
        <f t="shared" si="1"/>
        <v>0</v>
      </c>
      <c r="M49" s="124"/>
    </row>
    <row r="50" spans="2:13" s="96" customFormat="1">
      <c r="B50" s="124">
        <v>20</v>
      </c>
      <c r="C50" s="125" t="s">
        <v>40</v>
      </c>
      <c r="D50" s="126" t="s">
        <v>152</v>
      </c>
      <c r="E50" s="125" t="s">
        <v>153</v>
      </c>
      <c r="F50" s="126">
        <v>21</v>
      </c>
      <c r="G50" s="126">
        <v>1</v>
      </c>
      <c r="H50" s="124">
        <v>1</v>
      </c>
      <c r="I50" s="125">
        <f t="shared" si="2"/>
        <v>21</v>
      </c>
      <c r="J50" s="127">
        <f t="shared" si="3"/>
        <v>21</v>
      </c>
      <c r="K50" s="127">
        <f t="shared" si="0"/>
        <v>0</v>
      </c>
      <c r="L50" s="127">
        <f t="shared" si="1"/>
        <v>0</v>
      </c>
      <c r="M50" s="124"/>
    </row>
    <row r="51" spans="2:13" s="96" customFormat="1">
      <c r="B51" s="124">
        <v>20</v>
      </c>
      <c r="C51" s="125" t="s">
        <v>40</v>
      </c>
      <c r="D51" s="126" t="s">
        <v>154</v>
      </c>
      <c r="E51" s="125" t="s">
        <v>155</v>
      </c>
      <c r="F51" s="126">
        <v>9</v>
      </c>
      <c r="G51" s="126">
        <v>20</v>
      </c>
      <c r="H51" s="124">
        <v>20</v>
      </c>
      <c r="I51" s="125">
        <f t="shared" si="2"/>
        <v>180</v>
      </c>
      <c r="J51" s="127">
        <f t="shared" si="3"/>
        <v>180</v>
      </c>
      <c r="K51" s="127">
        <f t="shared" si="0"/>
        <v>0</v>
      </c>
      <c r="L51" s="127">
        <f t="shared" si="1"/>
        <v>0</v>
      </c>
      <c r="M51" s="124"/>
    </row>
    <row r="52" spans="2:13" s="96" customFormat="1">
      <c r="B52" s="124">
        <v>20</v>
      </c>
      <c r="C52" s="125" t="s">
        <v>40</v>
      </c>
      <c r="D52" s="126" t="s">
        <v>156</v>
      </c>
      <c r="E52" s="125" t="s">
        <v>157</v>
      </c>
      <c r="F52" s="126">
        <v>379.62</v>
      </c>
      <c r="G52" s="126">
        <v>1</v>
      </c>
      <c r="H52" s="124">
        <v>1</v>
      </c>
      <c r="I52" s="125">
        <f t="shared" si="2"/>
        <v>379.62</v>
      </c>
      <c r="J52" s="127">
        <f t="shared" si="3"/>
        <v>379.62</v>
      </c>
      <c r="K52" s="127">
        <f t="shared" si="0"/>
        <v>0</v>
      </c>
      <c r="L52" s="127">
        <f t="shared" si="1"/>
        <v>0</v>
      </c>
      <c r="M52" s="124"/>
    </row>
    <row r="53" spans="2:13" s="96" customFormat="1">
      <c r="B53" s="124">
        <v>20</v>
      </c>
      <c r="C53" s="125" t="s">
        <v>40</v>
      </c>
      <c r="D53" s="126" t="s">
        <v>158</v>
      </c>
      <c r="E53" s="125" t="s">
        <v>159</v>
      </c>
      <c r="F53" s="126">
        <v>486.21</v>
      </c>
      <c r="G53" s="126">
        <v>1</v>
      </c>
      <c r="H53" s="124">
        <v>1</v>
      </c>
      <c r="I53" s="125">
        <f t="shared" si="2"/>
        <v>486.21</v>
      </c>
      <c r="J53" s="127">
        <f t="shared" si="3"/>
        <v>486.21</v>
      </c>
      <c r="K53" s="127">
        <f t="shared" si="0"/>
        <v>0</v>
      </c>
      <c r="L53" s="127">
        <f t="shared" si="1"/>
        <v>0</v>
      </c>
      <c r="M53" s="124"/>
    </row>
    <row r="54" spans="2:13" s="96" customFormat="1">
      <c r="B54" s="124">
        <v>20</v>
      </c>
      <c r="C54" s="125" t="s">
        <v>40</v>
      </c>
      <c r="D54" s="126" t="s">
        <v>160</v>
      </c>
      <c r="E54" s="125" t="s">
        <v>161</v>
      </c>
      <c r="F54" s="126">
        <v>302.29000000000002</v>
      </c>
      <c r="G54" s="126">
        <v>28</v>
      </c>
      <c r="H54" s="124">
        <v>28</v>
      </c>
      <c r="I54" s="125">
        <f t="shared" si="2"/>
        <v>8464.1200000000008</v>
      </c>
      <c r="J54" s="127">
        <f t="shared" si="3"/>
        <v>8464.1200000000008</v>
      </c>
      <c r="K54" s="127">
        <f t="shared" si="0"/>
        <v>0</v>
      </c>
      <c r="L54" s="127">
        <f t="shared" si="1"/>
        <v>0</v>
      </c>
      <c r="M54" s="124"/>
    </row>
    <row r="55" spans="2:13" s="96" customFormat="1">
      <c r="B55" s="124">
        <v>20</v>
      </c>
      <c r="C55" s="125" t="s">
        <v>40</v>
      </c>
      <c r="D55" s="126" t="s">
        <v>162</v>
      </c>
      <c r="E55" s="125" t="s">
        <v>163</v>
      </c>
      <c r="F55" s="126">
        <v>523.26</v>
      </c>
      <c r="G55" s="126">
        <v>3</v>
      </c>
      <c r="H55" s="124">
        <v>3</v>
      </c>
      <c r="I55" s="125">
        <f t="shared" si="2"/>
        <v>1569.78</v>
      </c>
      <c r="J55" s="127">
        <f t="shared" si="3"/>
        <v>1569.78</v>
      </c>
      <c r="K55" s="127">
        <f t="shared" si="0"/>
        <v>0</v>
      </c>
      <c r="L55" s="127">
        <f t="shared" si="1"/>
        <v>0</v>
      </c>
      <c r="M55" s="124"/>
    </row>
    <row r="56" spans="2:13" s="96" customFormat="1">
      <c r="B56" s="124">
        <v>20</v>
      </c>
      <c r="C56" s="125" t="s">
        <v>40</v>
      </c>
      <c r="D56" s="126" t="s">
        <v>164</v>
      </c>
      <c r="E56" s="125" t="s">
        <v>165</v>
      </c>
      <c r="F56" s="135">
        <v>1032</v>
      </c>
      <c r="G56" s="126">
        <v>30</v>
      </c>
      <c r="H56" s="124">
        <v>30</v>
      </c>
      <c r="I56" s="125">
        <f t="shared" si="2"/>
        <v>30960</v>
      </c>
      <c r="J56" s="127">
        <f t="shared" si="3"/>
        <v>30960</v>
      </c>
      <c r="K56" s="127">
        <f t="shared" si="0"/>
        <v>0</v>
      </c>
      <c r="L56" s="127">
        <f t="shared" si="1"/>
        <v>0</v>
      </c>
      <c r="M56" s="124"/>
    </row>
    <row r="57" spans="2:13" s="96" customFormat="1">
      <c r="B57" s="124">
        <v>20</v>
      </c>
      <c r="C57" s="125" t="s">
        <v>40</v>
      </c>
      <c r="D57" s="126" t="s">
        <v>166</v>
      </c>
      <c r="E57" s="125" t="s">
        <v>167</v>
      </c>
      <c r="F57" s="126">
        <v>876</v>
      </c>
      <c r="G57" s="126">
        <v>8</v>
      </c>
      <c r="H57" s="124">
        <v>8</v>
      </c>
      <c r="I57" s="125">
        <f t="shared" si="2"/>
        <v>7008</v>
      </c>
      <c r="J57" s="127">
        <f t="shared" si="3"/>
        <v>7008</v>
      </c>
      <c r="K57" s="127">
        <f t="shared" si="0"/>
        <v>0</v>
      </c>
      <c r="L57" s="127">
        <f t="shared" si="1"/>
        <v>0</v>
      </c>
      <c r="M57" s="124"/>
    </row>
    <row r="58" spans="2:13" s="96" customFormat="1">
      <c r="B58" s="124">
        <v>20</v>
      </c>
      <c r="C58" s="125" t="s">
        <v>40</v>
      </c>
      <c r="D58" s="126" t="s">
        <v>168</v>
      </c>
      <c r="E58" s="125" t="s">
        <v>169</v>
      </c>
      <c r="F58" s="126">
        <v>19</v>
      </c>
      <c r="G58" s="126">
        <v>9</v>
      </c>
      <c r="H58" s="124">
        <v>9</v>
      </c>
      <c r="I58" s="125">
        <f t="shared" si="2"/>
        <v>171</v>
      </c>
      <c r="J58" s="127">
        <f t="shared" si="3"/>
        <v>171</v>
      </c>
      <c r="K58" s="127">
        <f t="shared" si="0"/>
        <v>0</v>
      </c>
      <c r="L58" s="127">
        <f t="shared" si="1"/>
        <v>0</v>
      </c>
      <c r="M58" s="124"/>
    </row>
    <row r="59" spans="2:13" s="96" customFormat="1">
      <c r="B59" s="124">
        <v>20</v>
      </c>
      <c r="C59" s="125" t="s">
        <v>40</v>
      </c>
      <c r="D59" s="126" t="s">
        <v>170</v>
      </c>
      <c r="E59" s="125" t="s">
        <v>171</v>
      </c>
      <c r="F59" s="126">
        <v>16</v>
      </c>
      <c r="G59" s="126">
        <v>34</v>
      </c>
      <c r="H59" s="124">
        <v>34</v>
      </c>
      <c r="I59" s="125">
        <f t="shared" si="2"/>
        <v>544</v>
      </c>
      <c r="J59" s="127">
        <f t="shared" si="3"/>
        <v>544</v>
      </c>
      <c r="K59" s="127">
        <f t="shared" si="0"/>
        <v>0</v>
      </c>
      <c r="L59" s="127">
        <f t="shared" si="1"/>
        <v>0</v>
      </c>
      <c r="M59" s="124"/>
    </row>
    <row r="60" spans="2:13" s="96" customFormat="1">
      <c r="B60" s="124">
        <v>20</v>
      </c>
      <c r="C60" s="125" t="s">
        <v>40</v>
      </c>
      <c r="D60" s="126" t="s">
        <v>172</v>
      </c>
      <c r="E60" s="125" t="s">
        <v>173</v>
      </c>
      <c r="F60" s="126">
        <v>40</v>
      </c>
      <c r="G60" s="126">
        <v>3</v>
      </c>
      <c r="H60" s="124">
        <v>3</v>
      </c>
      <c r="I60" s="125">
        <f t="shared" si="2"/>
        <v>120</v>
      </c>
      <c r="J60" s="127">
        <f t="shared" si="3"/>
        <v>120</v>
      </c>
      <c r="K60" s="127">
        <f t="shared" si="0"/>
        <v>0</v>
      </c>
      <c r="L60" s="127">
        <f t="shared" si="1"/>
        <v>0</v>
      </c>
      <c r="M60" s="124"/>
    </row>
    <row r="61" spans="2:13" s="96" customFormat="1">
      <c r="B61" s="124">
        <v>20</v>
      </c>
      <c r="C61" s="125" t="s">
        <v>40</v>
      </c>
      <c r="D61" s="126" t="s">
        <v>174</v>
      </c>
      <c r="E61" s="125" t="s">
        <v>175</v>
      </c>
      <c r="F61" s="126">
        <v>9</v>
      </c>
      <c r="G61" s="126">
        <v>86</v>
      </c>
      <c r="H61" s="124">
        <v>86</v>
      </c>
      <c r="I61" s="125">
        <f t="shared" si="2"/>
        <v>774</v>
      </c>
      <c r="J61" s="127">
        <f t="shared" si="3"/>
        <v>774</v>
      </c>
      <c r="K61" s="127">
        <f t="shared" si="0"/>
        <v>0</v>
      </c>
      <c r="L61" s="127">
        <f t="shared" si="1"/>
        <v>0</v>
      </c>
      <c r="M61" s="124"/>
    </row>
    <row r="62" spans="2:13" s="96" customFormat="1">
      <c r="B62" s="124">
        <v>20</v>
      </c>
      <c r="C62" s="125" t="s">
        <v>40</v>
      </c>
      <c r="D62" s="126" t="s">
        <v>176</v>
      </c>
      <c r="E62" s="125" t="s">
        <v>177</v>
      </c>
      <c r="F62" s="126">
        <v>23</v>
      </c>
      <c r="G62" s="126">
        <v>44</v>
      </c>
      <c r="H62" s="124">
        <v>44</v>
      </c>
      <c r="I62" s="125">
        <f t="shared" si="2"/>
        <v>1012</v>
      </c>
      <c r="J62" s="127">
        <f t="shared" si="3"/>
        <v>1012</v>
      </c>
      <c r="K62" s="127">
        <f t="shared" si="0"/>
        <v>0</v>
      </c>
      <c r="L62" s="127">
        <f t="shared" si="1"/>
        <v>0</v>
      </c>
      <c r="M62" s="124"/>
    </row>
    <row r="63" spans="2:13" s="96" customFormat="1">
      <c r="B63" s="124">
        <v>20</v>
      </c>
      <c r="C63" s="125" t="s">
        <v>40</v>
      </c>
      <c r="D63" s="126" t="s">
        <v>178</v>
      </c>
      <c r="E63" s="125" t="s">
        <v>179</v>
      </c>
      <c r="F63" s="126">
        <v>15</v>
      </c>
      <c r="G63" s="126">
        <v>12</v>
      </c>
      <c r="H63" s="124">
        <v>12</v>
      </c>
      <c r="I63" s="125">
        <f t="shared" si="2"/>
        <v>180</v>
      </c>
      <c r="J63" s="127">
        <f t="shared" si="3"/>
        <v>180</v>
      </c>
      <c r="K63" s="127">
        <f t="shared" si="0"/>
        <v>0</v>
      </c>
      <c r="L63" s="127">
        <f t="shared" si="1"/>
        <v>0</v>
      </c>
      <c r="M63" s="124"/>
    </row>
    <row r="64" spans="2:13" s="96" customFormat="1">
      <c r="B64" s="124">
        <v>20</v>
      </c>
      <c r="C64" s="125" t="s">
        <v>40</v>
      </c>
      <c r="D64" s="126" t="s">
        <v>180</v>
      </c>
      <c r="E64" s="125" t="s">
        <v>181</v>
      </c>
      <c r="F64" s="126">
        <v>50</v>
      </c>
      <c r="G64" s="126">
        <v>8</v>
      </c>
      <c r="H64" s="124">
        <v>8</v>
      </c>
      <c r="I64" s="125">
        <f t="shared" si="2"/>
        <v>400</v>
      </c>
      <c r="J64" s="127">
        <f t="shared" si="3"/>
        <v>400</v>
      </c>
      <c r="K64" s="127">
        <f t="shared" si="0"/>
        <v>0</v>
      </c>
      <c r="L64" s="127">
        <f t="shared" si="1"/>
        <v>0</v>
      </c>
      <c r="M64" s="124"/>
    </row>
    <row r="65" spans="2:13" s="96" customFormat="1">
      <c r="B65" s="124">
        <v>20</v>
      </c>
      <c r="C65" s="125" t="s">
        <v>40</v>
      </c>
      <c r="D65" s="126" t="s">
        <v>182</v>
      </c>
      <c r="E65" s="125" t="s">
        <v>183</v>
      </c>
      <c r="F65" s="126">
        <v>60</v>
      </c>
      <c r="G65" s="126">
        <v>10</v>
      </c>
      <c r="H65" s="124">
        <v>11</v>
      </c>
      <c r="I65" s="125">
        <f t="shared" si="2"/>
        <v>600</v>
      </c>
      <c r="J65" s="127">
        <f t="shared" si="3"/>
        <v>660</v>
      </c>
      <c r="K65" s="127">
        <f t="shared" si="0"/>
        <v>-1</v>
      </c>
      <c r="L65" s="127">
        <f t="shared" si="1"/>
        <v>-60</v>
      </c>
      <c r="M65" s="124"/>
    </row>
    <row r="66" spans="2:13" s="96" customFormat="1">
      <c r="B66" s="124">
        <v>20</v>
      </c>
      <c r="C66" s="125" t="s">
        <v>40</v>
      </c>
      <c r="D66" s="126" t="s">
        <v>184</v>
      </c>
      <c r="E66" s="125" t="s">
        <v>185</v>
      </c>
      <c r="F66" s="126">
        <v>30</v>
      </c>
      <c r="G66" s="126">
        <v>13</v>
      </c>
      <c r="H66" s="124">
        <v>13</v>
      </c>
      <c r="I66" s="125">
        <f t="shared" si="2"/>
        <v>390</v>
      </c>
      <c r="J66" s="127">
        <f t="shared" si="3"/>
        <v>390</v>
      </c>
      <c r="K66" s="127">
        <f t="shared" si="0"/>
        <v>0</v>
      </c>
      <c r="L66" s="127">
        <f t="shared" si="1"/>
        <v>0</v>
      </c>
      <c r="M66" s="124"/>
    </row>
    <row r="67" spans="2:13" s="96" customFormat="1">
      <c r="B67" s="124">
        <v>20</v>
      </c>
      <c r="C67" s="125" t="s">
        <v>40</v>
      </c>
      <c r="D67" s="126" t="s">
        <v>186</v>
      </c>
      <c r="E67" s="125" t="s">
        <v>187</v>
      </c>
      <c r="F67" s="126">
        <v>28</v>
      </c>
      <c r="G67" s="126">
        <v>20</v>
      </c>
      <c r="H67" s="124">
        <v>23</v>
      </c>
      <c r="I67" s="125">
        <f t="shared" si="2"/>
        <v>560</v>
      </c>
      <c r="J67" s="127">
        <f t="shared" si="3"/>
        <v>644</v>
      </c>
      <c r="K67" s="127">
        <f t="shared" si="0"/>
        <v>-3</v>
      </c>
      <c r="L67" s="127">
        <f t="shared" si="1"/>
        <v>-84</v>
      </c>
      <c r="M67" s="124"/>
    </row>
    <row r="68" spans="2:13" s="96" customFormat="1">
      <c r="B68" s="124">
        <v>20</v>
      </c>
      <c r="C68" s="125" t="s">
        <v>40</v>
      </c>
      <c r="D68" s="126" t="s">
        <v>188</v>
      </c>
      <c r="E68" s="125" t="s">
        <v>189</v>
      </c>
      <c r="F68" s="126">
        <v>85</v>
      </c>
      <c r="G68" s="126">
        <v>10</v>
      </c>
      <c r="H68" s="124">
        <v>10</v>
      </c>
      <c r="I68" s="125">
        <f t="shared" si="2"/>
        <v>850</v>
      </c>
      <c r="J68" s="127">
        <f t="shared" si="3"/>
        <v>850</v>
      </c>
      <c r="K68" s="127">
        <f t="shared" si="0"/>
        <v>0</v>
      </c>
      <c r="L68" s="127">
        <f t="shared" si="1"/>
        <v>0</v>
      </c>
      <c r="M68" s="124"/>
    </row>
    <row r="69" spans="2:13" s="96" customFormat="1">
      <c r="B69" s="124">
        <v>20</v>
      </c>
      <c r="C69" s="125" t="s">
        <v>40</v>
      </c>
      <c r="D69" s="126" t="s">
        <v>190</v>
      </c>
      <c r="E69" s="125" t="s">
        <v>191</v>
      </c>
      <c r="F69" s="126">
        <v>55.5</v>
      </c>
      <c r="G69" s="126">
        <v>9</v>
      </c>
      <c r="H69" s="124">
        <v>9</v>
      </c>
      <c r="I69" s="125">
        <f t="shared" si="2"/>
        <v>499.5</v>
      </c>
      <c r="J69" s="127">
        <f t="shared" si="3"/>
        <v>499.5</v>
      </c>
      <c r="K69" s="127">
        <f t="shared" si="0"/>
        <v>0</v>
      </c>
      <c r="L69" s="127">
        <f t="shared" si="1"/>
        <v>0</v>
      </c>
      <c r="M69" s="124"/>
    </row>
    <row r="70" spans="2:13" s="96" customFormat="1">
      <c r="B70" s="124">
        <v>20</v>
      </c>
      <c r="C70" s="125" t="s">
        <v>40</v>
      </c>
      <c r="D70" s="126" t="s">
        <v>192</v>
      </c>
      <c r="E70" s="125" t="s">
        <v>193</v>
      </c>
      <c r="F70" s="126">
        <v>28</v>
      </c>
      <c r="G70" s="126">
        <v>74</v>
      </c>
      <c r="H70" s="124">
        <v>74</v>
      </c>
      <c r="I70" s="125">
        <f t="shared" si="2"/>
        <v>2072</v>
      </c>
      <c r="J70" s="127">
        <f t="shared" ref="J70:J129" si="4">F70*H70</f>
        <v>2072</v>
      </c>
      <c r="K70" s="127">
        <f t="shared" ref="K70:K129" si="5">G70-H70</f>
        <v>0</v>
      </c>
      <c r="L70" s="127">
        <f t="shared" ref="L70:L129" si="6">I70-J70</f>
        <v>0</v>
      </c>
      <c r="M70" s="124"/>
    </row>
    <row r="71" spans="2:13" s="96" customFormat="1">
      <c r="B71" s="124">
        <v>20</v>
      </c>
      <c r="C71" s="125" t="s">
        <v>40</v>
      </c>
      <c r="D71" s="126" t="s">
        <v>194</v>
      </c>
      <c r="E71" s="125" t="s">
        <v>195</v>
      </c>
      <c r="F71" s="126">
        <v>1.88</v>
      </c>
      <c r="G71" s="126">
        <v>22</v>
      </c>
      <c r="H71" s="124">
        <v>22</v>
      </c>
      <c r="I71" s="125">
        <f t="shared" ref="I71:I132" si="7">F71*G71</f>
        <v>41.36</v>
      </c>
      <c r="J71" s="127">
        <f t="shared" si="4"/>
        <v>41.36</v>
      </c>
      <c r="K71" s="127">
        <f t="shared" si="5"/>
        <v>0</v>
      </c>
      <c r="L71" s="127">
        <f t="shared" si="6"/>
        <v>0</v>
      </c>
      <c r="M71" s="124"/>
    </row>
    <row r="72" spans="2:13" s="96" customFormat="1">
      <c r="B72" s="124">
        <v>20</v>
      </c>
      <c r="C72" s="125" t="s">
        <v>40</v>
      </c>
      <c r="D72" s="126" t="s">
        <v>196</v>
      </c>
      <c r="E72" s="125" t="s">
        <v>197</v>
      </c>
      <c r="F72" s="126">
        <v>3.06</v>
      </c>
      <c r="G72" s="126">
        <v>295</v>
      </c>
      <c r="H72" s="124">
        <v>295</v>
      </c>
      <c r="I72" s="125">
        <f t="shared" si="7"/>
        <v>902.7</v>
      </c>
      <c r="J72" s="127">
        <f t="shared" si="4"/>
        <v>902.7</v>
      </c>
      <c r="K72" s="127">
        <f t="shared" si="5"/>
        <v>0</v>
      </c>
      <c r="L72" s="127">
        <f t="shared" si="6"/>
        <v>0</v>
      </c>
      <c r="M72" s="124"/>
    </row>
    <row r="73" spans="2:13" s="96" customFormat="1">
      <c r="B73" s="124">
        <v>20</v>
      </c>
      <c r="C73" s="125" t="s">
        <v>40</v>
      </c>
      <c r="D73" s="126" t="s">
        <v>198</v>
      </c>
      <c r="E73" s="125" t="s">
        <v>199</v>
      </c>
      <c r="F73" s="126">
        <v>1.8</v>
      </c>
      <c r="G73" s="126">
        <v>6</v>
      </c>
      <c r="H73" s="124">
        <v>6</v>
      </c>
      <c r="I73" s="125">
        <f t="shared" si="7"/>
        <v>10.8</v>
      </c>
      <c r="J73" s="127">
        <f t="shared" si="4"/>
        <v>10.8</v>
      </c>
      <c r="K73" s="127">
        <f t="shared" si="5"/>
        <v>0</v>
      </c>
      <c r="L73" s="127">
        <f t="shared" si="6"/>
        <v>0</v>
      </c>
      <c r="M73" s="124"/>
    </row>
    <row r="74" spans="2:13" s="96" customFormat="1">
      <c r="B74" s="124">
        <v>20</v>
      </c>
      <c r="C74" s="125" t="s">
        <v>40</v>
      </c>
      <c r="D74" s="126" t="s">
        <v>200</v>
      </c>
      <c r="E74" s="125" t="s">
        <v>201</v>
      </c>
      <c r="F74" s="126">
        <v>9.25</v>
      </c>
      <c r="G74" s="126">
        <v>514</v>
      </c>
      <c r="H74" s="124">
        <v>514</v>
      </c>
      <c r="I74" s="125">
        <f t="shared" si="7"/>
        <v>4754.5</v>
      </c>
      <c r="J74" s="127">
        <f t="shared" si="4"/>
        <v>4754.5</v>
      </c>
      <c r="K74" s="127">
        <f t="shared" si="5"/>
        <v>0</v>
      </c>
      <c r="L74" s="127">
        <f t="shared" si="6"/>
        <v>0</v>
      </c>
      <c r="M74" s="124"/>
    </row>
    <row r="75" spans="2:13" s="96" customFormat="1">
      <c r="B75" s="124">
        <v>20</v>
      </c>
      <c r="C75" s="125" t="s">
        <v>40</v>
      </c>
      <c r="D75" s="126" t="s">
        <v>202</v>
      </c>
      <c r="E75" s="125" t="s">
        <v>203</v>
      </c>
      <c r="F75" s="126">
        <v>9.25</v>
      </c>
      <c r="G75" s="126">
        <v>470</v>
      </c>
      <c r="H75" s="124">
        <v>470</v>
      </c>
      <c r="I75" s="125">
        <f t="shared" si="7"/>
        <v>4347.5</v>
      </c>
      <c r="J75" s="127">
        <f t="shared" si="4"/>
        <v>4347.5</v>
      </c>
      <c r="K75" s="127">
        <f t="shared" si="5"/>
        <v>0</v>
      </c>
      <c r="L75" s="127">
        <f t="shared" si="6"/>
        <v>0</v>
      </c>
      <c r="M75" s="124"/>
    </row>
    <row r="76" spans="2:13" s="96" customFormat="1">
      <c r="B76" s="124">
        <v>20</v>
      </c>
      <c r="C76" s="125" t="s">
        <v>40</v>
      </c>
      <c r="D76" s="126" t="s">
        <v>204</v>
      </c>
      <c r="E76" s="125" t="s">
        <v>205</v>
      </c>
      <c r="F76" s="126">
        <v>9.25</v>
      </c>
      <c r="G76" s="126">
        <v>80</v>
      </c>
      <c r="H76" s="124">
        <v>80</v>
      </c>
      <c r="I76" s="125">
        <f t="shared" si="7"/>
        <v>740</v>
      </c>
      <c r="J76" s="127">
        <f t="shared" si="4"/>
        <v>740</v>
      </c>
      <c r="K76" s="127">
        <f t="shared" si="5"/>
        <v>0</v>
      </c>
      <c r="L76" s="127">
        <f t="shared" si="6"/>
        <v>0</v>
      </c>
      <c r="M76" s="124"/>
    </row>
    <row r="77" spans="2:13" s="96" customFormat="1">
      <c r="B77" s="124">
        <v>20</v>
      </c>
      <c r="C77" s="125" t="s">
        <v>40</v>
      </c>
      <c r="D77" s="126" t="s">
        <v>489</v>
      </c>
      <c r="E77" s="125" t="s">
        <v>495</v>
      </c>
      <c r="F77" s="126">
        <v>16</v>
      </c>
      <c r="G77" s="126">
        <v>200</v>
      </c>
      <c r="H77" s="124">
        <v>200</v>
      </c>
      <c r="I77" s="125">
        <f t="shared" si="7"/>
        <v>3200</v>
      </c>
      <c r="J77" s="127">
        <f t="shared" si="4"/>
        <v>3200</v>
      </c>
      <c r="K77" s="127">
        <f t="shared" si="5"/>
        <v>0</v>
      </c>
      <c r="L77" s="127">
        <f t="shared" si="6"/>
        <v>0</v>
      </c>
      <c r="M77" s="124"/>
    </row>
    <row r="78" spans="2:13" s="96" customFormat="1">
      <c r="B78" s="124">
        <v>20</v>
      </c>
      <c r="C78" s="125" t="s">
        <v>40</v>
      </c>
      <c r="D78" s="126" t="s">
        <v>206</v>
      </c>
      <c r="E78" s="125" t="s">
        <v>207</v>
      </c>
      <c r="F78" s="126">
        <v>16</v>
      </c>
      <c r="G78" s="126">
        <v>163</v>
      </c>
      <c r="H78" s="124">
        <v>162</v>
      </c>
      <c r="I78" s="125">
        <f t="shared" si="7"/>
        <v>2608</v>
      </c>
      <c r="J78" s="127">
        <f t="shared" si="4"/>
        <v>2592</v>
      </c>
      <c r="K78" s="127">
        <f t="shared" si="5"/>
        <v>1</v>
      </c>
      <c r="L78" s="127">
        <f t="shared" si="6"/>
        <v>16</v>
      </c>
      <c r="M78" s="124"/>
    </row>
    <row r="79" spans="2:13" s="96" customFormat="1">
      <c r="B79" s="124">
        <v>20</v>
      </c>
      <c r="C79" s="125" t="s">
        <v>40</v>
      </c>
      <c r="D79" s="126" t="s">
        <v>208</v>
      </c>
      <c r="E79" s="125" t="s">
        <v>209</v>
      </c>
      <c r="F79" s="126">
        <v>14.5</v>
      </c>
      <c r="G79" s="126">
        <v>233</v>
      </c>
      <c r="H79" s="124">
        <v>233</v>
      </c>
      <c r="I79" s="125">
        <f t="shared" si="7"/>
        <v>3378.5</v>
      </c>
      <c r="J79" s="127">
        <f t="shared" si="4"/>
        <v>3378.5</v>
      </c>
      <c r="K79" s="127">
        <f t="shared" si="5"/>
        <v>0</v>
      </c>
      <c r="L79" s="127">
        <f t="shared" si="6"/>
        <v>0</v>
      </c>
      <c r="M79" s="124"/>
    </row>
    <row r="80" spans="2:13" s="96" customFormat="1">
      <c r="B80" s="124">
        <v>20</v>
      </c>
      <c r="C80" s="125" t="s">
        <v>40</v>
      </c>
      <c r="D80" s="126" t="s">
        <v>210</v>
      </c>
      <c r="E80" s="125" t="s">
        <v>211</v>
      </c>
      <c r="F80" s="126">
        <v>12</v>
      </c>
      <c r="G80" s="126">
        <v>222</v>
      </c>
      <c r="H80" s="124">
        <v>222</v>
      </c>
      <c r="I80" s="125">
        <f t="shared" si="7"/>
        <v>2664</v>
      </c>
      <c r="J80" s="127">
        <f t="shared" si="4"/>
        <v>2664</v>
      </c>
      <c r="K80" s="127">
        <f t="shared" si="5"/>
        <v>0</v>
      </c>
      <c r="L80" s="127">
        <f t="shared" si="6"/>
        <v>0</v>
      </c>
      <c r="M80" s="124"/>
    </row>
    <row r="81" spans="2:13" s="96" customFormat="1">
      <c r="B81" s="124">
        <v>20</v>
      </c>
      <c r="C81" s="125" t="s">
        <v>40</v>
      </c>
      <c r="D81" s="126" t="s">
        <v>212</v>
      </c>
      <c r="E81" s="125" t="s">
        <v>213</v>
      </c>
      <c r="F81" s="126">
        <v>13.5</v>
      </c>
      <c r="G81" s="126">
        <v>55</v>
      </c>
      <c r="H81" s="124">
        <v>55</v>
      </c>
      <c r="I81" s="125">
        <f t="shared" si="7"/>
        <v>742.5</v>
      </c>
      <c r="J81" s="127">
        <f t="shared" si="4"/>
        <v>742.5</v>
      </c>
      <c r="K81" s="127">
        <f t="shared" si="5"/>
        <v>0</v>
      </c>
      <c r="L81" s="127">
        <f t="shared" si="6"/>
        <v>0</v>
      </c>
      <c r="M81" s="124"/>
    </row>
    <row r="82" spans="2:13" s="96" customFormat="1">
      <c r="B82" s="124">
        <v>20</v>
      </c>
      <c r="C82" s="125" t="s">
        <v>40</v>
      </c>
      <c r="D82" s="126" t="s">
        <v>214</v>
      </c>
      <c r="E82" s="125" t="s">
        <v>215</v>
      </c>
      <c r="F82" s="126">
        <v>14.5</v>
      </c>
      <c r="G82" s="126">
        <v>10</v>
      </c>
      <c r="H82" s="124">
        <v>10</v>
      </c>
      <c r="I82" s="125">
        <f t="shared" si="7"/>
        <v>145</v>
      </c>
      <c r="J82" s="127">
        <f t="shared" si="4"/>
        <v>145</v>
      </c>
      <c r="K82" s="127">
        <f t="shared" si="5"/>
        <v>0</v>
      </c>
      <c r="L82" s="127">
        <f t="shared" si="6"/>
        <v>0</v>
      </c>
      <c r="M82" s="124"/>
    </row>
    <row r="83" spans="2:13" s="96" customFormat="1">
      <c r="B83" s="124">
        <v>20</v>
      </c>
      <c r="C83" s="125" t="s">
        <v>40</v>
      </c>
      <c r="D83" s="126" t="s">
        <v>490</v>
      </c>
      <c r="E83" s="125" t="s">
        <v>496</v>
      </c>
      <c r="F83" s="126">
        <v>16</v>
      </c>
      <c r="G83" s="126">
        <v>200</v>
      </c>
      <c r="H83" s="124">
        <v>200</v>
      </c>
      <c r="I83" s="125">
        <f t="shared" si="7"/>
        <v>3200</v>
      </c>
      <c r="J83" s="127">
        <f t="shared" si="4"/>
        <v>3200</v>
      </c>
      <c r="K83" s="127">
        <f t="shared" si="5"/>
        <v>0</v>
      </c>
      <c r="L83" s="127">
        <f t="shared" si="6"/>
        <v>0</v>
      </c>
      <c r="M83" s="124"/>
    </row>
    <row r="84" spans="2:13" s="96" customFormat="1">
      <c r="B84" s="124">
        <v>20</v>
      </c>
      <c r="C84" s="125" t="s">
        <v>40</v>
      </c>
      <c r="D84" s="126" t="s">
        <v>216</v>
      </c>
      <c r="E84" s="125" t="s">
        <v>217</v>
      </c>
      <c r="F84" s="126">
        <v>13.25</v>
      </c>
      <c r="G84" s="126">
        <v>1</v>
      </c>
      <c r="H84" s="124">
        <v>1</v>
      </c>
      <c r="I84" s="125">
        <f t="shared" si="7"/>
        <v>13.25</v>
      </c>
      <c r="J84" s="127">
        <f t="shared" si="4"/>
        <v>13.25</v>
      </c>
      <c r="K84" s="127">
        <f t="shared" si="5"/>
        <v>0</v>
      </c>
      <c r="L84" s="127">
        <f t="shared" si="6"/>
        <v>0</v>
      </c>
      <c r="M84" s="124"/>
    </row>
    <row r="85" spans="2:13" s="96" customFormat="1">
      <c r="B85" s="124">
        <v>20</v>
      </c>
      <c r="C85" s="125" t="s">
        <v>40</v>
      </c>
      <c r="D85" s="126" t="s">
        <v>218</v>
      </c>
      <c r="E85" s="125" t="s">
        <v>219</v>
      </c>
      <c r="F85" s="126">
        <v>14</v>
      </c>
      <c r="G85" s="126">
        <v>100</v>
      </c>
      <c r="H85" s="124">
        <v>100</v>
      </c>
      <c r="I85" s="125">
        <f t="shared" si="7"/>
        <v>1400</v>
      </c>
      <c r="J85" s="127">
        <f t="shared" si="4"/>
        <v>1400</v>
      </c>
      <c r="K85" s="127">
        <f t="shared" si="5"/>
        <v>0</v>
      </c>
      <c r="L85" s="127">
        <f t="shared" si="6"/>
        <v>0</v>
      </c>
      <c r="M85" s="124"/>
    </row>
    <row r="86" spans="2:13" s="96" customFormat="1">
      <c r="B86" s="124">
        <v>20</v>
      </c>
      <c r="C86" s="125" t="s">
        <v>40</v>
      </c>
      <c r="D86" s="126" t="s">
        <v>220</v>
      </c>
      <c r="E86" s="125" t="s">
        <v>221</v>
      </c>
      <c r="F86" s="126">
        <v>14.5</v>
      </c>
      <c r="G86" s="126">
        <v>23</v>
      </c>
      <c r="H86" s="124">
        <v>23</v>
      </c>
      <c r="I86" s="125">
        <f t="shared" si="7"/>
        <v>333.5</v>
      </c>
      <c r="J86" s="127">
        <f t="shared" si="4"/>
        <v>333.5</v>
      </c>
      <c r="K86" s="127">
        <f t="shared" si="5"/>
        <v>0</v>
      </c>
      <c r="L86" s="127">
        <f t="shared" si="6"/>
        <v>0</v>
      </c>
      <c r="M86" s="124"/>
    </row>
    <row r="87" spans="2:13" s="96" customFormat="1">
      <c r="B87" s="124">
        <v>20</v>
      </c>
      <c r="C87" s="125" t="s">
        <v>40</v>
      </c>
      <c r="D87" s="126" t="s">
        <v>222</v>
      </c>
      <c r="E87" s="125" t="s">
        <v>223</v>
      </c>
      <c r="F87" s="126">
        <v>13.25</v>
      </c>
      <c r="G87" s="126">
        <v>115</v>
      </c>
      <c r="H87" s="124">
        <v>115</v>
      </c>
      <c r="I87" s="125">
        <f t="shared" si="7"/>
        <v>1523.75</v>
      </c>
      <c r="J87" s="127">
        <f t="shared" si="4"/>
        <v>1523.75</v>
      </c>
      <c r="K87" s="127">
        <f t="shared" si="5"/>
        <v>0</v>
      </c>
      <c r="L87" s="127">
        <f t="shared" si="6"/>
        <v>0</v>
      </c>
      <c r="M87" s="124"/>
    </row>
    <row r="88" spans="2:13" s="96" customFormat="1">
      <c r="B88" s="124">
        <v>20</v>
      </c>
      <c r="C88" s="125" t="s">
        <v>40</v>
      </c>
      <c r="D88" s="126" t="s">
        <v>224</v>
      </c>
      <c r="E88" s="125" t="s">
        <v>225</v>
      </c>
      <c r="F88" s="126">
        <v>14.5</v>
      </c>
      <c r="G88" s="126">
        <v>67</v>
      </c>
      <c r="H88" s="124">
        <v>80</v>
      </c>
      <c r="I88" s="125">
        <f t="shared" si="7"/>
        <v>971.5</v>
      </c>
      <c r="J88" s="127">
        <f t="shared" si="4"/>
        <v>1160</v>
      </c>
      <c r="K88" s="127">
        <f t="shared" si="5"/>
        <v>-13</v>
      </c>
      <c r="L88" s="127">
        <f t="shared" si="6"/>
        <v>-188.5</v>
      </c>
      <c r="M88" s="124"/>
    </row>
    <row r="89" spans="2:13" s="96" customFormat="1">
      <c r="B89" s="124">
        <v>20</v>
      </c>
      <c r="C89" s="125" t="s">
        <v>40</v>
      </c>
      <c r="D89" s="126" t="s">
        <v>226</v>
      </c>
      <c r="E89" s="125" t="s">
        <v>227</v>
      </c>
      <c r="F89" s="126">
        <v>16</v>
      </c>
      <c r="G89" s="126">
        <v>280</v>
      </c>
      <c r="H89" s="124">
        <v>280</v>
      </c>
      <c r="I89" s="125">
        <f t="shared" si="7"/>
        <v>4480</v>
      </c>
      <c r="J89" s="127">
        <f t="shared" si="4"/>
        <v>4480</v>
      </c>
      <c r="K89" s="127">
        <f t="shared" si="5"/>
        <v>0</v>
      </c>
      <c r="L89" s="127">
        <f t="shared" si="6"/>
        <v>0</v>
      </c>
      <c r="M89" s="124"/>
    </row>
    <row r="90" spans="2:13" s="96" customFormat="1">
      <c r="B90" s="124">
        <v>20</v>
      </c>
      <c r="C90" s="125" t="s">
        <v>40</v>
      </c>
      <c r="D90" s="126" t="s">
        <v>228</v>
      </c>
      <c r="E90" s="125" t="s">
        <v>229</v>
      </c>
      <c r="F90" s="126">
        <v>15</v>
      </c>
      <c r="G90" s="126">
        <v>61</v>
      </c>
      <c r="H90" s="124">
        <v>61</v>
      </c>
      <c r="I90" s="125">
        <f t="shared" si="7"/>
        <v>915</v>
      </c>
      <c r="J90" s="127">
        <f t="shared" si="4"/>
        <v>915</v>
      </c>
      <c r="K90" s="127">
        <f t="shared" si="5"/>
        <v>0</v>
      </c>
      <c r="L90" s="127">
        <f t="shared" si="6"/>
        <v>0</v>
      </c>
      <c r="M90" s="124"/>
    </row>
    <row r="91" spans="2:13" s="96" customFormat="1">
      <c r="B91" s="124">
        <v>20</v>
      </c>
      <c r="C91" s="125" t="s">
        <v>40</v>
      </c>
      <c r="D91" s="126" t="s">
        <v>230</v>
      </c>
      <c r="E91" s="125" t="s">
        <v>231</v>
      </c>
      <c r="F91" s="126">
        <v>13.5</v>
      </c>
      <c r="G91" s="126">
        <v>43</v>
      </c>
      <c r="H91" s="124">
        <v>43</v>
      </c>
      <c r="I91" s="125">
        <f t="shared" si="7"/>
        <v>580.5</v>
      </c>
      <c r="J91" s="127">
        <f t="shared" si="4"/>
        <v>580.5</v>
      </c>
      <c r="K91" s="127">
        <f t="shared" si="5"/>
        <v>0</v>
      </c>
      <c r="L91" s="127">
        <f t="shared" si="6"/>
        <v>0</v>
      </c>
      <c r="M91" s="124"/>
    </row>
    <row r="92" spans="2:13" s="96" customFormat="1">
      <c r="B92" s="124">
        <v>20</v>
      </c>
      <c r="C92" s="125" t="s">
        <v>40</v>
      </c>
      <c r="D92" s="126" t="s">
        <v>232</v>
      </c>
      <c r="E92" s="125" t="s">
        <v>233</v>
      </c>
      <c r="F92" s="126">
        <v>130</v>
      </c>
      <c r="G92" s="126">
        <v>49</v>
      </c>
      <c r="H92" s="124">
        <v>49</v>
      </c>
      <c r="I92" s="125">
        <f t="shared" si="7"/>
        <v>6370</v>
      </c>
      <c r="J92" s="127">
        <f t="shared" si="4"/>
        <v>6370</v>
      </c>
      <c r="K92" s="127">
        <f t="shared" si="5"/>
        <v>0</v>
      </c>
      <c r="L92" s="127">
        <f t="shared" si="6"/>
        <v>0</v>
      </c>
      <c r="M92" s="124"/>
    </row>
    <row r="93" spans="2:13" s="96" customFormat="1">
      <c r="B93" s="124">
        <v>20</v>
      </c>
      <c r="C93" s="125" t="s">
        <v>40</v>
      </c>
      <c r="D93" s="126" t="s">
        <v>234</v>
      </c>
      <c r="E93" s="125" t="s">
        <v>235</v>
      </c>
      <c r="F93" s="126">
        <v>40</v>
      </c>
      <c r="G93" s="126">
        <v>19</v>
      </c>
      <c r="H93" s="124">
        <v>19</v>
      </c>
      <c r="I93" s="125">
        <f t="shared" si="7"/>
        <v>760</v>
      </c>
      <c r="J93" s="127">
        <f t="shared" si="4"/>
        <v>760</v>
      </c>
      <c r="K93" s="127">
        <f t="shared" si="5"/>
        <v>0</v>
      </c>
      <c r="L93" s="127">
        <f t="shared" si="6"/>
        <v>0</v>
      </c>
      <c r="M93" s="124"/>
    </row>
    <row r="94" spans="2:13" s="96" customFormat="1">
      <c r="B94" s="124">
        <v>20</v>
      </c>
      <c r="C94" s="125" t="s">
        <v>40</v>
      </c>
      <c r="D94" s="126" t="s">
        <v>236</v>
      </c>
      <c r="E94" s="125" t="s">
        <v>237</v>
      </c>
      <c r="F94" s="126">
        <v>281.11</v>
      </c>
      <c r="G94" s="126">
        <v>1</v>
      </c>
      <c r="H94" s="124">
        <v>1</v>
      </c>
      <c r="I94" s="125">
        <f t="shared" si="7"/>
        <v>281.11</v>
      </c>
      <c r="J94" s="127">
        <f t="shared" si="4"/>
        <v>281.11</v>
      </c>
      <c r="K94" s="127">
        <f t="shared" si="5"/>
        <v>0</v>
      </c>
      <c r="L94" s="127">
        <f t="shared" si="6"/>
        <v>0</v>
      </c>
      <c r="M94" s="124"/>
    </row>
    <row r="95" spans="2:13" s="96" customFormat="1">
      <c r="B95" s="124">
        <v>20</v>
      </c>
      <c r="C95" s="125" t="s">
        <v>40</v>
      </c>
      <c r="D95" s="126" t="s">
        <v>238</v>
      </c>
      <c r="E95" s="125" t="s">
        <v>239</v>
      </c>
      <c r="F95" s="126">
        <v>98</v>
      </c>
      <c r="G95" s="126">
        <v>15</v>
      </c>
      <c r="H95" s="124">
        <v>15</v>
      </c>
      <c r="I95" s="125">
        <f t="shared" si="7"/>
        <v>1470</v>
      </c>
      <c r="J95" s="127">
        <f t="shared" si="4"/>
        <v>1470</v>
      </c>
      <c r="K95" s="127">
        <f t="shared" si="5"/>
        <v>0</v>
      </c>
      <c r="L95" s="127">
        <f t="shared" si="6"/>
        <v>0</v>
      </c>
      <c r="M95" s="124"/>
    </row>
    <row r="96" spans="2:13" s="96" customFormat="1">
      <c r="B96" s="124">
        <v>20</v>
      </c>
      <c r="C96" s="125" t="s">
        <v>40</v>
      </c>
      <c r="D96" s="126" t="s">
        <v>240</v>
      </c>
      <c r="E96" s="125" t="s">
        <v>241</v>
      </c>
      <c r="F96" s="126">
        <v>98</v>
      </c>
      <c r="G96" s="126">
        <v>7</v>
      </c>
      <c r="H96" s="124">
        <v>7</v>
      </c>
      <c r="I96" s="125">
        <f t="shared" si="7"/>
        <v>686</v>
      </c>
      <c r="J96" s="127">
        <f t="shared" si="4"/>
        <v>686</v>
      </c>
      <c r="K96" s="127">
        <f t="shared" si="5"/>
        <v>0</v>
      </c>
      <c r="L96" s="127">
        <f t="shared" si="6"/>
        <v>0</v>
      </c>
      <c r="M96" s="124"/>
    </row>
    <row r="97" spans="2:13" s="96" customFormat="1">
      <c r="B97" s="124">
        <v>20</v>
      </c>
      <c r="C97" s="125" t="s">
        <v>40</v>
      </c>
      <c r="D97" s="126" t="s">
        <v>242</v>
      </c>
      <c r="E97" s="125" t="s">
        <v>243</v>
      </c>
      <c r="F97" s="126">
        <v>4.5</v>
      </c>
      <c r="G97" s="126">
        <v>495</v>
      </c>
      <c r="H97" s="124">
        <v>495</v>
      </c>
      <c r="I97" s="125">
        <f t="shared" si="7"/>
        <v>2227.5</v>
      </c>
      <c r="J97" s="127">
        <f t="shared" si="4"/>
        <v>2227.5</v>
      </c>
      <c r="K97" s="127">
        <f t="shared" si="5"/>
        <v>0</v>
      </c>
      <c r="L97" s="127">
        <f t="shared" si="6"/>
        <v>0</v>
      </c>
      <c r="M97" s="124"/>
    </row>
    <row r="98" spans="2:13" s="96" customFormat="1">
      <c r="B98" s="124">
        <v>20</v>
      </c>
      <c r="C98" s="125" t="s">
        <v>40</v>
      </c>
      <c r="D98" s="126" t="s">
        <v>244</v>
      </c>
      <c r="E98" s="125" t="s">
        <v>245</v>
      </c>
      <c r="F98" s="126">
        <v>8.25</v>
      </c>
      <c r="G98" s="126">
        <v>649</v>
      </c>
      <c r="H98" s="124">
        <v>649</v>
      </c>
      <c r="I98" s="125">
        <f t="shared" si="7"/>
        <v>5354.25</v>
      </c>
      <c r="J98" s="127">
        <f t="shared" si="4"/>
        <v>5354.25</v>
      </c>
      <c r="K98" s="127">
        <f t="shared" si="5"/>
        <v>0</v>
      </c>
      <c r="L98" s="127">
        <f t="shared" si="6"/>
        <v>0</v>
      </c>
      <c r="M98" s="124"/>
    </row>
    <row r="99" spans="2:13" s="96" customFormat="1">
      <c r="B99" s="124">
        <v>20</v>
      </c>
      <c r="C99" s="125" t="s">
        <v>40</v>
      </c>
      <c r="D99" s="126" t="s">
        <v>246</v>
      </c>
      <c r="E99" s="125" t="s">
        <v>247</v>
      </c>
      <c r="F99" s="126">
        <v>8.25</v>
      </c>
      <c r="G99" s="126">
        <v>1001</v>
      </c>
      <c r="H99" s="124">
        <v>1001</v>
      </c>
      <c r="I99" s="125">
        <f t="shared" si="7"/>
        <v>8258.25</v>
      </c>
      <c r="J99" s="127">
        <f t="shared" si="4"/>
        <v>8258.25</v>
      </c>
      <c r="K99" s="127">
        <f t="shared" si="5"/>
        <v>0</v>
      </c>
      <c r="L99" s="127">
        <f t="shared" si="6"/>
        <v>0</v>
      </c>
      <c r="M99" s="124"/>
    </row>
    <row r="100" spans="2:13" s="96" customFormat="1">
      <c r="B100" s="124">
        <v>20</v>
      </c>
      <c r="C100" s="125" t="s">
        <v>40</v>
      </c>
      <c r="D100" s="126" t="s">
        <v>248</v>
      </c>
      <c r="E100" s="125" t="s">
        <v>249</v>
      </c>
      <c r="F100" s="126">
        <v>7</v>
      </c>
      <c r="G100" s="126">
        <v>100</v>
      </c>
      <c r="H100" s="124">
        <v>100</v>
      </c>
      <c r="I100" s="125">
        <f t="shared" si="7"/>
        <v>700</v>
      </c>
      <c r="J100" s="127">
        <f t="shared" si="4"/>
        <v>700</v>
      </c>
      <c r="K100" s="127">
        <f t="shared" si="5"/>
        <v>0</v>
      </c>
      <c r="L100" s="127">
        <f t="shared" si="6"/>
        <v>0</v>
      </c>
      <c r="M100" s="124"/>
    </row>
    <row r="101" spans="2:13" s="96" customFormat="1">
      <c r="B101" s="124">
        <v>20</v>
      </c>
      <c r="C101" s="125" t="s">
        <v>40</v>
      </c>
      <c r="D101" s="126" t="s">
        <v>250</v>
      </c>
      <c r="E101" s="125" t="s">
        <v>251</v>
      </c>
      <c r="F101" s="126">
        <v>4.75</v>
      </c>
      <c r="G101" s="126">
        <v>806</v>
      </c>
      <c r="H101" s="124">
        <v>806</v>
      </c>
      <c r="I101" s="125">
        <f t="shared" si="7"/>
        <v>3828.5</v>
      </c>
      <c r="J101" s="127">
        <f t="shared" si="4"/>
        <v>3828.5</v>
      </c>
      <c r="K101" s="127">
        <f t="shared" si="5"/>
        <v>0</v>
      </c>
      <c r="L101" s="127">
        <f t="shared" si="6"/>
        <v>0</v>
      </c>
      <c r="M101" s="124"/>
    </row>
    <row r="102" spans="2:13" s="96" customFormat="1">
      <c r="B102" s="124">
        <v>20</v>
      </c>
      <c r="C102" s="125" t="s">
        <v>40</v>
      </c>
      <c r="D102" s="126" t="s">
        <v>252</v>
      </c>
      <c r="E102" s="125" t="s">
        <v>253</v>
      </c>
      <c r="F102" s="126">
        <v>8</v>
      </c>
      <c r="G102" s="126">
        <v>236</v>
      </c>
      <c r="H102" s="124">
        <v>236</v>
      </c>
      <c r="I102" s="125">
        <f t="shared" si="7"/>
        <v>1888</v>
      </c>
      <c r="J102" s="127">
        <f t="shared" si="4"/>
        <v>1888</v>
      </c>
      <c r="K102" s="127">
        <f t="shared" si="5"/>
        <v>0</v>
      </c>
      <c r="L102" s="127">
        <f t="shared" si="6"/>
        <v>0</v>
      </c>
      <c r="M102" s="124"/>
    </row>
    <row r="103" spans="2:13" s="96" customFormat="1">
      <c r="B103" s="124">
        <v>20</v>
      </c>
      <c r="C103" s="125" t="s">
        <v>40</v>
      </c>
      <c r="D103" s="126" t="s">
        <v>254</v>
      </c>
      <c r="E103" s="125" t="s">
        <v>255</v>
      </c>
      <c r="F103" s="126">
        <v>4.75</v>
      </c>
      <c r="G103" s="126">
        <v>288</v>
      </c>
      <c r="H103" s="124">
        <v>288</v>
      </c>
      <c r="I103" s="125">
        <f t="shared" si="7"/>
        <v>1368</v>
      </c>
      <c r="J103" s="127">
        <f t="shared" si="4"/>
        <v>1368</v>
      </c>
      <c r="K103" s="127">
        <f t="shared" si="5"/>
        <v>0</v>
      </c>
      <c r="L103" s="127">
        <f t="shared" si="6"/>
        <v>0</v>
      </c>
      <c r="M103" s="124"/>
    </row>
    <row r="104" spans="2:13" s="137" customFormat="1">
      <c r="B104" s="134">
        <v>20</v>
      </c>
      <c r="C104" s="136" t="s">
        <v>40</v>
      </c>
      <c r="D104" s="126" t="s">
        <v>256</v>
      </c>
      <c r="E104" s="125" t="s">
        <v>257</v>
      </c>
      <c r="F104" s="126">
        <v>2.7</v>
      </c>
      <c r="G104" s="126">
        <v>2314</v>
      </c>
      <c r="H104" s="134">
        <v>2795</v>
      </c>
      <c r="I104" s="125">
        <f t="shared" si="7"/>
        <v>6247.8</v>
      </c>
      <c r="J104" s="127">
        <f t="shared" si="4"/>
        <v>7546.5000000000009</v>
      </c>
      <c r="K104" s="127">
        <f t="shared" si="5"/>
        <v>-481</v>
      </c>
      <c r="L104" s="127">
        <f t="shared" si="6"/>
        <v>-1298.7000000000007</v>
      </c>
      <c r="M104" s="134"/>
    </row>
    <row r="105" spans="2:13" s="96" customFormat="1">
      <c r="B105" s="124">
        <v>20</v>
      </c>
      <c r="C105" s="125" t="s">
        <v>40</v>
      </c>
      <c r="D105" s="126" t="s">
        <v>258</v>
      </c>
      <c r="E105" s="125" t="s">
        <v>259</v>
      </c>
      <c r="F105" s="126">
        <v>8.25</v>
      </c>
      <c r="G105" s="126">
        <v>390</v>
      </c>
      <c r="H105" s="124">
        <v>390</v>
      </c>
      <c r="I105" s="125">
        <f t="shared" si="7"/>
        <v>3217.5</v>
      </c>
      <c r="J105" s="127">
        <f t="shared" si="4"/>
        <v>3217.5</v>
      </c>
      <c r="K105" s="127">
        <f t="shared" si="5"/>
        <v>0</v>
      </c>
      <c r="L105" s="127">
        <f t="shared" si="6"/>
        <v>0</v>
      </c>
      <c r="M105" s="124"/>
    </row>
    <row r="106" spans="2:13" s="96" customFormat="1">
      <c r="B106" s="124">
        <v>20</v>
      </c>
      <c r="C106" s="125" t="s">
        <v>40</v>
      </c>
      <c r="D106" s="126" t="s">
        <v>260</v>
      </c>
      <c r="E106" s="125" t="s">
        <v>261</v>
      </c>
      <c r="F106" s="126">
        <v>4.5</v>
      </c>
      <c r="G106" s="126">
        <v>20</v>
      </c>
      <c r="H106" s="124">
        <v>20</v>
      </c>
      <c r="I106" s="125">
        <f t="shared" si="7"/>
        <v>90</v>
      </c>
      <c r="J106" s="127">
        <f t="shared" si="4"/>
        <v>90</v>
      </c>
      <c r="K106" s="127">
        <f t="shared" si="5"/>
        <v>0</v>
      </c>
      <c r="L106" s="127">
        <f t="shared" si="6"/>
        <v>0</v>
      </c>
      <c r="M106" s="124"/>
    </row>
    <row r="107" spans="2:13" s="96" customFormat="1">
      <c r="B107" s="124">
        <v>20</v>
      </c>
      <c r="C107" s="125" t="s">
        <v>40</v>
      </c>
      <c r="D107" s="126" t="s">
        <v>262</v>
      </c>
      <c r="E107" s="125" t="s">
        <v>263</v>
      </c>
      <c r="F107" s="126">
        <v>2.8</v>
      </c>
      <c r="G107" s="126">
        <v>3316</v>
      </c>
      <c r="H107" s="124">
        <v>3333</v>
      </c>
      <c r="I107" s="125">
        <f t="shared" si="7"/>
        <v>9284.7999999999993</v>
      </c>
      <c r="J107" s="127">
        <f t="shared" si="4"/>
        <v>9332.4</v>
      </c>
      <c r="K107" s="127">
        <f t="shared" si="5"/>
        <v>-17</v>
      </c>
      <c r="L107" s="127">
        <f t="shared" si="6"/>
        <v>-47.600000000000364</v>
      </c>
      <c r="M107" s="124"/>
    </row>
    <row r="108" spans="2:13" s="96" customFormat="1">
      <c r="B108" s="124">
        <v>20</v>
      </c>
      <c r="C108" s="125" t="s">
        <v>40</v>
      </c>
      <c r="D108" s="126" t="s">
        <v>264</v>
      </c>
      <c r="E108" s="125" t="s">
        <v>265</v>
      </c>
      <c r="F108" s="126">
        <v>4.5</v>
      </c>
      <c r="G108" s="126">
        <v>6</v>
      </c>
      <c r="H108" s="124">
        <v>6</v>
      </c>
      <c r="I108" s="125">
        <f t="shared" si="7"/>
        <v>27</v>
      </c>
      <c r="J108" s="127">
        <f t="shared" si="4"/>
        <v>27</v>
      </c>
      <c r="K108" s="127">
        <f t="shared" si="5"/>
        <v>0</v>
      </c>
      <c r="L108" s="127">
        <f t="shared" si="6"/>
        <v>0</v>
      </c>
      <c r="M108" s="124"/>
    </row>
    <row r="109" spans="2:13" s="96" customFormat="1">
      <c r="B109" s="124">
        <v>20</v>
      </c>
      <c r="C109" s="125" t="s">
        <v>40</v>
      </c>
      <c r="D109" s="126" t="s">
        <v>266</v>
      </c>
      <c r="E109" s="125" t="s">
        <v>267</v>
      </c>
      <c r="F109" s="126">
        <v>115.85</v>
      </c>
      <c r="G109" s="126">
        <v>1</v>
      </c>
      <c r="H109" s="124">
        <v>9</v>
      </c>
      <c r="I109" s="125">
        <f t="shared" si="7"/>
        <v>115.85</v>
      </c>
      <c r="J109" s="127">
        <f t="shared" si="4"/>
        <v>1042.6499999999999</v>
      </c>
      <c r="K109" s="127">
        <f t="shared" si="5"/>
        <v>-8</v>
      </c>
      <c r="L109" s="127">
        <f t="shared" si="6"/>
        <v>-926.79999999999984</v>
      </c>
      <c r="M109" s="124"/>
    </row>
    <row r="110" spans="2:13" s="96" customFormat="1">
      <c r="B110" s="124">
        <v>20</v>
      </c>
      <c r="C110" s="125" t="s">
        <v>40</v>
      </c>
      <c r="D110" s="126" t="s">
        <v>491</v>
      </c>
      <c r="E110" s="125" t="s">
        <v>497</v>
      </c>
      <c r="F110" s="126">
        <v>88</v>
      </c>
      <c r="G110" s="126">
        <v>3</v>
      </c>
      <c r="H110" s="124">
        <v>3</v>
      </c>
      <c r="I110" s="125">
        <f t="shared" si="7"/>
        <v>264</v>
      </c>
      <c r="J110" s="127">
        <f t="shared" si="4"/>
        <v>264</v>
      </c>
      <c r="K110" s="127">
        <f t="shared" si="5"/>
        <v>0</v>
      </c>
      <c r="L110" s="127">
        <f t="shared" si="6"/>
        <v>0</v>
      </c>
      <c r="M110" s="124"/>
    </row>
    <row r="111" spans="2:13" s="96" customFormat="1">
      <c r="B111" s="124">
        <v>20</v>
      </c>
      <c r="C111" s="125" t="s">
        <v>40</v>
      </c>
      <c r="D111" s="126" t="s">
        <v>268</v>
      </c>
      <c r="E111" s="125" t="s">
        <v>269</v>
      </c>
      <c r="F111" s="126">
        <v>167.8</v>
      </c>
      <c r="G111" s="126">
        <v>11</v>
      </c>
      <c r="H111" s="124">
        <v>11</v>
      </c>
      <c r="I111" s="125">
        <f t="shared" si="7"/>
        <v>1845.8000000000002</v>
      </c>
      <c r="J111" s="127">
        <f t="shared" si="4"/>
        <v>1845.8000000000002</v>
      </c>
      <c r="K111" s="127">
        <f t="shared" si="5"/>
        <v>0</v>
      </c>
      <c r="L111" s="127">
        <f t="shared" si="6"/>
        <v>0</v>
      </c>
      <c r="M111" s="124"/>
    </row>
    <row r="112" spans="2:13" s="96" customFormat="1">
      <c r="B112" s="124">
        <v>20</v>
      </c>
      <c r="C112" s="125" t="s">
        <v>40</v>
      </c>
      <c r="D112" s="126" t="s">
        <v>270</v>
      </c>
      <c r="E112" s="125" t="s">
        <v>271</v>
      </c>
      <c r="F112" s="126">
        <v>167.8</v>
      </c>
      <c r="G112" s="126">
        <v>3</v>
      </c>
      <c r="H112" s="124">
        <v>3</v>
      </c>
      <c r="I112" s="125">
        <f t="shared" si="7"/>
        <v>503.40000000000003</v>
      </c>
      <c r="J112" s="127">
        <f t="shared" si="4"/>
        <v>503.40000000000003</v>
      </c>
      <c r="K112" s="127">
        <f t="shared" si="5"/>
        <v>0</v>
      </c>
      <c r="L112" s="127">
        <f t="shared" si="6"/>
        <v>0</v>
      </c>
      <c r="M112" s="124"/>
    </row>
    <row r="113" spans="2:13" s="96" customFormat="1">
      <c r="B113" s="124">
        <v>20</v>
      </c>
      <c r="C113" s="125" t="s">
        <v>40</v>
      </c>
      <c r="D113" s="126" t="s">
        <v>272</v>
      </c>
      <c r="E113" s="125" t="s">
        <v>273</v>
      </c>
      <c r="F113" s="126">
        <v>180</v>
      </c>
      <c r="G113" s="126">
        <v>1</v>
      </c>
      <c r="H113" s="124">
        <v>1</v>
      </c>
      <c r="I113" s="125">
        <f t="shared" si="7"/>
        <v>180</v>
      </c>
      <c r="J113" s="127">
        <f t="shared" si="4"/>
        <v>180</v>
      </c>
      <c r="K113" s="127">
        <f t="shared" si="5"/>
        <v>0</v>
      </c>
      <c r="L113" s="127">
        <f t="shared" si="6"/>
        <v>0</v>
      </c>
      <c r="M113" s="124"/>
    </row>
    <row r="114" spans="2:13" s="96" customFormat="1">
      <c r="B114" s="124">
        <v>20</v>
      </c>
      <c r="C114" s="125" t="s">
        <v>40</v>
      </c>
      <c r="D114" s="126" t="s">
        <v>274</v>
      </c>
      <c r="E114" s="125" t="s">
        <v>275</v>
      </c>
      <c r="F114" s="126">
        <v>700</v>
      </c>
      <c r="G114" s="126">
        <v>1</v>
      </c>
      <c r="H114" s="124">
        <v>1</v>
      </c>
      <c r="I114" s="125">
        <f t="shared" si="7"/>
        <v>700</v>
      </c>
      <c r="J114" s="127">
        <f t="shared" si="4"/>
        <v>700</v>
      </c>
      <c r="K114" s="127">
        <f t="shared" si="5"/>
        <v>0</v>
      </c>
      <c r="L114" s="127">
        <f t="shared" si="6"/>
        <v>0</v>
      </c>
      <c r="M114" s="124"/>
    </row>
    <row r="115" spans="2:13" s="96" customFormat="1">
      <c r="B115" s="124">
        <v>20</v>
      </c>
      <c r="C115" s="125" t="s">
        <v>40</v>
      </c>
      <c r="D115" s="126" t="s">
        <v>276</v>
      </c>
      <c r="E115" s="125" t="s">
        <v>277</v>
      </c>
      <c r="F115" s="126">
        <v>400</v>
      </c>
      <c r="G115" s="126">
        <v>1</v>
      </c>
      <c r="H115" s="124">
        <v>1</v>
      </c>
      <c r="I115" s="125">
        <f t="shared" si="7"/>
        <v>400</v>
      </c>
      <c r="J115" s="127">
        <f t="shared" si="4"/>
        <v>400</v>
      </c>
      <c r="K115" s="127">
        <f t="shared" si="5"/>
        <v>0</v>
      </c>
      <c r="L115" s="127">
        <f t="shared" si="6"/>
        <v>0</v>
      </c>
      <c r="M115" s="124"/>
    </row>
    <row r="116" spans="2:13" s="96" customFormat="1">
      <c r="B116" s="124">
        <v>20</v>
      </c>
      <c r="C116" s="125" t="s">
        <v>40</v>
      </c>
      <c r="D116" s="126" t="s">
        <v>278</v>
      </c>
      <c r="E116" s="125" t="s">
        <v>279</v>
      </c>
      <c r="F116" s="126">
        <v>24</v>
      </c>
      <c r="G116" s="126">
        <v>26</v>
      </c>
      <c r="H116" s="124">
        <v>26</v>
      </c>
      <c r="I116" s="125">
        <f t="shared" si="7"/>
        <v>624</v>
      </c>
      <c r="J116" s="127">
        <f t="shared" si="4"/>
        <v>624</v>
      </c>
      <c r="K116" s="127">
        <f t="shared" si="5"/>
        <v>0</v>
      </c>
      <c r="L116" s="127">
        <f t="shared" si="6"/>
        <v>0</v>
      </c>
      <c r="M116" s="124"/>
    </row>
    <row r="117" spans="2:13" s="96" customFormat="1">
      <c r="B117" s="124">
        <v>20</v>
      </c>
      <c r="C117" s="125" t="s">
        <v>40</v>
      </c>
      <c r="D117" s="126" t="s">
        <v>280</v>
      </c>
      <c r="E117" s="125" t="s">
        <v>281</v>
      </c>
      <c r="F117" s="126">
        <v>20</v>
      </c>
      <c r="G117" s="126">
        <v>37</v>
      </c>
      <c r="H117" s="124">
        <v>37</v>
      </c>
      <c r="I117" s="125">
        <f t="shared" si="7"/>
        <v>740</v>
      </c>
      <c r="J117" s="127">
        <f t="shared" si="4"/>
        <v>740</v>
      </c>
      <c r="K117" s="127">
        <f t="shared" si="5"/>
        <v>0</v>
      </c>
      <c r="L117" s="127">
        <f t="shared" si="6"/>
        <v>0</v>
      </c>
      <c r="M117" s="124"/>
    </row>
    <row r="118" spans="2:13" s="96" customFormat="1">
      <c r="B118" s="124">
        <v>20</v>
      </c>
      <c r="C118" s="125" t="s">
        <v>40</v>
      </c>
      <c r="D118" s="126" t="s">
        <v>282</v>
      </c>
      <c r="E118" s="125" t="s">
        <v>283</v>
      </c>
      <c r="F118" s="126">
        <v>4.5</v>
      </c>
      <c r="G118" s="126">
        <v>1</v>
      </c>
      <c r="H118" s="124">
        <v>1</v>
      </c>
      <c r="I118" s="125">
        <f t="shared" si="7"/>
        <v>4.5</v>
      </c>
      <c r="J118" s="127">
        <f t="shared" si="4"/>
        <v>4.5</v>
      </c>
      <c r="K118" s="127">
        <f t="shared" si="5"/>
        <v>0</v>
      </c>
      <c r="L118" s="127">
        <f t="shared" si="6"/>
        <v>0</v>
      </c>
      <c r="M118" s="124"/>
    </row>
    <row r="119" spans="2:13" s="96" customFormat="1">
      <c r="B119" s="124">
        <v>20</v>
      </c>
      <c r="C119" s="125" t="s">
        <v>40</v>
      </c>
      <c r="D119" s="126" t="s">
        <v>284</v>
      </c>
      <c r="E119" s="125" t="s">
        <v>285</v>
      </c>
      <c r="F119" s="126">
        <v>6</v>
      </c>
      <c r="G119" s="126">
        <v>1526</v>
      </c>
      <c r="H119" s="124">
        <v>1526</v>
      </c>
      <c r="I119" s="125">
        <f t="shared" si="7"/>
        <v>9156</v>
      </c>
      <c r="J119" s="127">
        <f t="shared" si="4"/>
        <v>9156</v>
      </c>
      <c r="K119" s="127">
        <f t="shared" si="5"/>
        <v>0</v>
      </c>
      <c r="L119" s="127">
        <f t="shared" si="6"/>
        <v>0</v>
      </c>
      <c r="M119" s="124"/>
    </row>
    <row r="120" spans="2:13" s="96" customFormat="1">
      <c r="B120" s="124">
        <v>20</v>
      </c>
      <c r="C120" s="125" t="s">
        <v>40</v>
      </c>
      <c r="D120" s="126" t="s">
        <v>286</v>
      </c>
      <c r="E120" s="125" t="s">
        <v>287</v>
      </c>
      <c r="F120" s="126">
        <v>17</v>
      </c>
      <c r="G120" s="126">
        <v>9</v>
      </c>
      <c r="H120" s="124">
        <v>35</v>
      </c>
      <c r="I120" s="125">
        <f t="shared" si="7"/>
        <v>153</v>
      </c>
      <c r="J120" s="127">
        <f t="shared" si="4"/>
        <v>595</v>
      </c>
      <c r="K120" s="127">
        <f t="shared" si="5"/>
        <v>-26</v>
      </c>
      <c r="L120" s="127">
        <f t="shared" si="6"/>
        <v>-442</v>
      </c>
      <c r="M120" s="124"/>
    </row>
    <row r="121" spans="2:13" s="96" customFormat="1">
      <c r="B121" s="124">
        <v>20</v>
      </c>
      <c r="C121" s="125" t="s">
        <v>40</v>
      </c>
      <c r="D121" s="126" t="s">
        <v>288</v>
      </c>
      <c r="E121" s="125" t="s">
        <v>289</v>
      </c>
      <c r="F121" s="126">
        <v>150</v>
      </c>
      <c r="G121" s="126">
        <v>17</v>
      </c>
      <c r="H121" s="124">
        <v>17</v>
      </c>
      <c r="I121" s="125">
        <f t="shared" si="7"/>
        <v>2550</v>
      </c>
      <c r="J121" s="127">
        <f t="shared" si="4"/>
        <v>2550</v>
      </c>
      <c r="K121" s="127">
        <f t="shared" si="5"/>
        <v>0</v>
      </c>
      <c r="L121" s="127">
        <f t="shared" si="6"/>
        <v>0</v>
      </c>
      <c r="M121" s="124"/>
    </row>
    <row r="122" spans="2:13" s="96" customFormat="1">
      <c r="B122" s="124">
        <v>20</v>
      </c>
      <c r="C122" s="125" t="s">
        <v>40</v>
      </c>
      <c r="D122" s="126" t="s">
        <v>290</v>
      </c>
      <c r="E122" s="125" t="s">
        <v>291</v>
      </c>
      <c r="F122" s="126">
        <v>18</v>
      </c>
      <c r="G122" s="126">
        <v>150</v>
      </c>
      <c r="H122" s="124">
        <v>150</v>
      </c>
      <c r="I122" s="125">
        <f t="shared" si="7"/>
        <v>2700</v>
      </c>
      <c r="J122" s="127">
        <f t="shared" si="4"/>
        <v>2700</v>
      </c>
      <c r="K122" s="127">
        <f t="shared" si="5"/>
        <v>0</v>
      </c>
      <c r="L122" s="127">
        <f t="shared" si="6"/>
        <v>0</v>
      </c>
      <c r="M122" s="124"/>
    </row>
    <row r="123" spans="2:13" s="96" customFormat="1">
      <c r="B123" s="124">
        <v>20</v>
      </c>
      <c r="C123" s="125" t="s">
        <v>40</v>
      </c>
      <c r="D123" s="126" t="s">
        <v>292</v>
      </c>
      <c r="E123" s="125" t="s">
        <v>293</v>
      </c>
      <c r="F123" s="126">
        <v>100</v>
      </c>
      <c r="G123" s="126">
        <v>1</v>
      </c>
      <c r="H123" s="124">
        <v>1</v>
      </c>
      <c r="I123" s="125">
        <f t="shared" si="7"/>
        <v>100</v>
      </c>
      <c r="J123" s="127">
        <f t="shared" si="4"/>
        <v>100</v>
      </c>
      <c r="K123" s="127">
        <f t="shared" si="5"/>
        <v>0</v>
      </c>
      <c r="L123" s="127">
        <f t="shared" si="6"/>
        <v>0</v>
      </c>
      <c r="M123" s="124"/>
    </row>
    <row r="124" spans="2:13" s="96" customFormat="1">
      <c r="B124" s="124">
        <v>20</v>
      </c>
      <c r="C124" s="125" t="s">
        <v>40</v>
      </c>
      <c r="D124" s="126" t="s">
        <v>294</v>
      </c>
      <c r="E124" s="125" t="s">
        <v>295</v>
      </c>
      <c r="F124" s="126">
        <v>200</v>
      </c>
      <c r="G124" s="126">
        <v>3</v>
      </c>
      <c r="H124" s="124">
        <v>3</v>
      </c>
      <c r="I124" s="125">
        <f t="shared" si="7"/>
        <v>600</v>
      </c>
      <c r="J124" s="127">
        <f t="shared" si="4"/>
        <v>600</v>
      </c>
      <c r="K124" s="127">
        <f t="shared" si="5"/>
        <v>0</v>
      </c>
      <c r="L124" s="127">
        <f t="shared" si="6"/>
        <v>0</v>
      </c>
      <c r="M124" s="124"/>
    </row>
    <row r="125" spans="2:13" s="96" customFormat="1">
      <c r="B125" s="124">
        <v>20</v>
      </c>
      <c r="C125" s="125" t="s">
        <v>40</v>
      </c>
      <c r="D125" s="126" t="s">
        <v>296</v>
      </c>
      <c r="E125" s="125" t="s">
        <v>297</v>
      </c>
      <c r="F125" s="126">
        <v>21</v>
      </c>
      <c r="G125" s="126">
        <v>33</v>
      </c>
      <c r="H125" s="124">
        <v>33</v>
      </c>
      <c r="I125" s="125">
        <f t="shared" si="7"/>
        <v>693</v>
      </c>
      <c r="J125" s="127">
        <f t="shared" si="4"/>
        <v>693</v>
      </c>
      <c r="K125" s="127">
        <f t="shared" si="5"/>
        <v>0</v>
      </c>
      <c r="L125" s="127">
        <f t="shared" si="6"/>
        <v>0</v>
      </c>
      <c r="M125" s="124"/>
    </row>
    <row r="126" spans="2:13" s="96" customFormat="1">
      <c r="B126" s="124">
        <v>20</v>
      </c>
      <c r="C126" s="125" t="s">
        <v>40</v>
      </c>
      <c r="D126" s="126" t="s">
        <v>298</v>
      </c>
      <c r="E126" s="125" t="s">
        <v>299</v>
      </c>
      <c r="F126" s="126">
        <v>14</v>
      </c>
      <c r="G126" s="126">
        <v>22</v>
      </c>
      <c r="H126" s="124">
        <v>22</v>
      </c>
      <c r="I126" s="125">
        <f t="shared" si="7"/>
        <v>308</v>
      </c>
      <c r="J126" s="127">
        <f t="shared" si="4"/>
        <v>308</v>
      </c>
      <c r="K126" s="127">
        <f t="shared" si="5"/>
        <v>0</v>
      </c>
      <c r="L126" s="127">
        <f t="shared" si="6"/>
        <v>0</v>
      </c>
      <c r="M126" s="124"/>
    </row>
    <row r="127" spans="2:13" s="96" customFormat="1">
      <c r="B127" s="124">
        <v>20</v>
      </c>
      <c r="C127" s="125" t="s">
        <v>40</v>
      </c>
      <c r="D127" s="126" t="s">
        <v>300</v>
      </c>
      <c r="E127" s="125" t="s">
        <v>301</v>
      </c>
      <c r="F127" s="126">
        <v>178.33</v>
      </c>
      <c r="G127" s="126">
        <v>10</v>
      </c>
      <c r="H127" s="124">
        <v>10</v>
      </c>
      <c r="I127" s="125">
        <f t="shared" si="7"/>
        <v>1783.3000000000002</v>
      </c>
      <c r="J127" s="127">
        <f t="shared" si="4"/>
        <v>1783.3000000000002</v>
      </c>
      <c r="K127" s="127">
        <f t="shared" si="5"/>
        <v>0</v>
      </c>
      <c r="L127" s="127">
        <f t="shared" si="6"/>
        <v>0</v>
      </c>
      <c r="M127" s="124"/>
    </row>
    <row r="128" spans="2:13" s="96" customFormat="1">
      <c r="B128" s="124">
        <v>20</v>
      </c>
      <c r="C128" s="125" t="s">
        <v>40</v>
      </c>
      <c r="D128" s="126" t="s">
        <v>302</v>
      </c>
      <c r="E128" s="125" t="s">
        <v>303</v>
      </c>
      <c r="F128" s="126">
        <v>27</v>
      </c>
      <c r="G128" s="126">
        <v>37</v>
      </c>
      <c r="H128" s="124">
        <v>37</v>
      </c>
      <c r="I128" s="125">
        <f t="shared" si="7"/>
        <v>999</v>
      </c>
      <c r="J128" s="127">
        <f t="shared" si="4"/>
        <v>999</v>
      </c>
      <c r="K128" s="127">
        <f t="shared" si="5"/>
        <v>0</v>
      </c>
      <c r="L128" s="127">
        <f t="shared" si="6"/>
        <v>0</v>
      </c>
      <c r="M128" s="124"/>
    </row>
    <row r="129" spans="2:13" s="96" customFormat="1">
      <c r="B129" s="124">
        <v>20</v>
      </c>
      <c r="C129" s="125" t="s">
        <v>40</v>
      </c>
      <c r="D129" s="126" t="s">
        <v>304</v>
      </c>
      <c r="E129" s="125" t="s">
        <v>305</v>
      </c>
      <c r="F129" s="126">
        <v>22.5</v>
      </c>
      <c r="G129" s="126">
        <v>31</v>
      </c>
      <c r="H129" s="124">
        <v>31</v>
      </c>
      <c r="I129" s="125">
        <f t="shared" si="7"/>
        <v>697.5</v>
      </c>
      <c r="J129" s="127">
        <f t="shared" si="4"/>
        <v>697.5</v>
      </c>
      <c r="K129" s="127">
        <f t="shared" si="5"/>
        <v>0</v>
      </c>
      <c r="L129" s="127">
        <f t="shared" si="6"/>
        <v>0</v>
      </c>
      <c r="M129" s="124"/>
    </row>
    <row r="130" spans="2:13" s="96" customFormat="1">
      <c r="B130" s="124">
        <v>20</v>
      </c>
      <c r="C130" s="125" t="s">
        <v>40</v>
      </c>
      <c r="D130" s="126" t="s">
        <v>306</v>
      </c>
      <c r="E130" s="125" t="s">
        <v>307</v>
      </c>
      <c r="F130" s="126">
        <v>15</v>
      </c>
      <c r="G130" s="126">
        <v>5</v>
      </c>
      <c r="H130" s="124">
        <v>5</v>
      </c>
      <c r="I130" s="125">
        <f t="shared" si="7"/>
        <v>75</v>
      </c>
      <c r="J130" s="127">
        <f t="shared" ref="J130:J192" si="8">F130*H130</f>
        <v>75</v>
      </c>
      <c r="K130" s="127">
        <f t="shared" ref="K130:K192" si="9">G130-H130</f>
        <v>0</v>
      </c>
      <c r="L130" s="127">
        <f t="shared" ref="L130:L192" si="10">I130-J130</f>
        <v>0</v>
      </c>
      <c r="M130" s="124"/>
    </row>
    <row r="131" spans="2:13" s="96" customFormat="1">
      <c r="B131" s="124">
        <v>20</v>
      </c>
      <c r="C131" s="125" t="s">
        <v>40</v>
      </c>
      <c r="D131" s="126" t="s">
        <v>308</v>
      </c>
      <c r="E131" s="125" t="s">
        <v>309</v>
      </c>
      <c r="F131" s="126">
        <v>900</v>
      </c>
      <c r="G131" s="126">
        <v>9</v>
      </c>
      <c r="H131" s="124">
        <v>9</v>
      </c>
      <c r="I131" s="125">
        <f t="shared" si="7"/>
        <v>8100</v>
      </c>
      <c r="J131" s="127">
        <f t="shared" si="8"/>
        <v>8100</v>
      </c>
      <c r="K131" s="127">
        <f t="shared" si="9"/>
        <v>0</v>
      </c>
      <c r="L131" s="127">
        <f t="shared" si="10"/>
        <v>0</v>
      </c>
      <c r="M131" s="124"/>
    </row>
    <row r="132" spans="2:13" s="96" customFormat="1">
      <c r="B132" s="124">
        <v>20</v>
      </c>
      <c r="C132" s="125" t="s">
        <v>40</v>
      </c>
      <c r="D132" s="126" t="s">
        <v>310</v>
      </c>
      <c r="E132" s="125" t="s">
        <v>311</v>
      </c>
      <c r="F132" s="126">
        <v>95</v>
      </c>
      <c r="G132" s="126">
        <v>2</v>
      </c>
      <c r="H132" s="124">
        <v>2</v>
      </c>
      <c r="I132" s="125">
        <f t="shared" si="7"/>
        <v>190</v>
      </c>
      <c r="J132" s="127">
        <f t="shared" si="8"/>
        <v>190</v>
      </c>
      <c r="K132" s="127">
        <f t="shared" si="9"/>
        <v>0</v>
      </c>
      <c r="L132" s="127">
        <f t="shared" si="10"/>
        <v>0</v>
      </c>
      <c r="M132" s="124"/>
    </row>
    <row r="133" spans="2:13" s="96" customFormat="1">
      <c r="B133" s="124">
        <v>20</v>
      </c>
      <c r="C133" s="125" t="s">
        <v>40</v>
      </c>
      <c r="D133" s="126" t="s">
        <v>312</v>
      </c>
      <c r="E133" s="125" t="s">
        <v>313</v>
      </c>
      <c r="F133" s="126">
        <v>9</v>
      </c>
      <c r="G133" s="126">
        <v>17</v>
      </c>
      <c r="H133" s="134">
        <v>17</v>
      </c>
      <c r="I133" s="125">
        <f t="shared" ref="I133:I196" si="11">F133*G133</f>
        <v>153</v>
      </c>
      <c r="J133" s="127">
        <f t="shared" si="8"/>
        <v>153</v>
      </c>
      <c r="K133" s="127">
        <f t="shared" si="9"/>
        <v>0</v>
      </c>
      <c r="L133" s="127">
        <f t="shared" si="10"/>
        <v>0</v>
      </c>
      <c r="M133" s="124"/>
    </row>
    <row r="134" spans="2:13" s="96" customFormat="1">
      <c r="B134" s="124">
        <v>20</v>
      </c>
      <c r="C134" s="125" t="s">
        <v>40</v>
      </c>
      <c r="D134" s="126" t="s">
        <v>314</v>
      </c>
      <c r="E134" s="125" t="s">
        <v>315</v>
      </c>
      <c r="F134" s="126">
        <v>9</v>
      </c>
      <c r="G134" s="126">
        <v>17</v>
      </c>
      <c r="H134" s="134">
        <v>17</v>
      </c>
      <c r="I134" s="125">
        <f t="shared" si="11"/>
        <v>153</v>
      </c>
      <c r="J134" s="127">
        <f t="shared" si="8"/>
        <v>153</v>
      </c>
      <c r="K134" s="127">
        <f t="shared" si="9"/>
        <v>0</v>
      </c>
      <c r="L134" s="127">
        <f t="shared" si="10"/>
        <v>0</v>
      </c>
      <c r="M134" s="124"/>
    </row>
    <row r="135" spans="2:13" s="96" customFormat="1">
      <c r="B135" s="124">
        <v>20</v>
      </c>
      <c r="C135" s="125" t="s">
        <v>40</v>
      </c>
      <c r="D135" s="126" t="s">
        <v>316</v>
      </c>
      <c r="E135" s="125" t="s">
        <v>317</v>
      </c>
      <c r="F135" s="126">
        <v>25</v>
      </c>
      <c r="G135" s="126">
        <v>25</v>
      </c>
      <c r="H135" s="124">
        <v>25</v>
      </c>
      <c r="I135" s="125">
        <f t="shared" si="11"/>
        <v>625</v>
      </c>
      <c r="J135" s="127">
        <f t="shared" si="8"/>
        <v>625</v>
      </c>
      <c r="K135" s="127">
        <f t="shared" si="9"/>
        <v>0</v>
      </c>
      <c r="L135" s="127">
        <f t="shared" si="10"/>
        <v>0</v>
      </c>
      <c r="M135" s="124"/>
    </row>
    <row r="136" spans="2:13" s="96" customFormat="1">
      <c r="B136" s="124">
        <v>20</v>
      </c>
      <c r="C136" s="125" t="s">
        <v>40</v>
      </c>
      <c r="D136" s="126" t="s">
        <v>318</v>
      </c>
      <c r="E136" s="125" t="s">
        <v>319</v>
      </c>
      <c r="F136" s="126">
        <v>21</v>
      </c>
      <c r="G136" s="126">
        <v>171</v>
      </c>
      <c r="H136" s="124">
        <v>171</v>
      </c>
      <c r="I136" s="125">
        <f t="shared" si="11"/>
        <v>3591</v>
      </c>
      <c r="J136" s="127">
        <f t="shared" si="8"/>
        <v>3591</v>
      </c>
      <c r="K136" s="127">
        <f t="shared" si="9"/>
        <v>0</v>
      </c>
      <c r="L136" s="127">
        <f t="shared" si="10"/>
        <v>0</v>
      </c>
      <c r="M136" s="124"/>
    </row>
    <row r="137" spans="2:13" s="96" customFormat="1">
      <c r="B137" s="124">
        <v>20</v>
      </c>
      <c r="C137" s="125" t="s">
        <v>40</v>
      </c>
      <c r="D137" s="126" t="s">
        <v>320</v>
      </c>
      <c r="E137" s="125" t="s">
        <v>321</v>
      </c>
      <c r="F137" s="126">
        <v>17.5</v>
      </c>
      <c r="G137" s="126">
        <v>1</v>
      </c>
      <c r="H137" s="124">
        <v>1</v>
      </c>
      <c r="I137" s="125">
        <f t="shared" si="11"/>
        <v>17.5</v>
      </c>
      <c r="J137" s="127">
        <f t="shared" si="8"/>
        <v>17.5</v>
      </c>
      <c r="K137" s="127">
        <f t="shared" si="9"/>
        <v>0</v>
      </c>
      <c r="L137" s="127">
        <f t="shared" si="10"/>
        <v>0</v>
      </c>
      <c r="M137" s="124"/>
    </row>
    <row r="138" spans="2:13" s="96" customFormat="1">
      <c r="B138" s="124">
        <v>20</v>
      </c>
      <c r="C138" s="125" t="s">
        <v>40</v>
      </c>
      <c r="D138" s="126" t="s">
        <v>322</v>
      </c>
      <c r="E138" s="125" t="s">
        <v>323</v>
      </c>
      <c r="F138" s="126">
        <v>121.95</v>
      </c>
      <c r="G138" s="126">
        <v>2</v>
      </c>
      <c r="H138" s="124">
        <v>2</v>
      </c>
      <c r="I138" s="125">
        <f t="shared" si="11"/>
        <v>243.9</v>
      </c>
      <c r="J138" s="127">
        <f t="shared" si="8"/>
        <v>243.9</v>
      </c>
      <c r="K138" s="127">
        <f t="shared" si="9"/>
        <v>0</v>
      </c>
      <c r="L138" s="127">
        <f t="shared" si="10"/>
        <v>0</v>
      </c>
      <c r="M138" s="124"/>
    </row>
    <row r="139" spans="2:13" s="96" customFormat="1">
      <c r="B139" s="124">
        <v>20</v>
      </c>
      <c r="C139" s="125" t="s">
        <v>40</v>
      </c>
      <c r="D139" s="126" t="s">
        <v>324</v>
      </c>
      <c r="E139" s="125" t="s">
        <v>325</v>
      </c>
      <c r="F139" s="126">
        <v>90</v>
      </c>
      <c r="G139" s="126">
        <v>17</v>
      </c>
      <c r="H139" s="124">
        <v>17</v>
      </c>
      <c r="I139" s="125">
        <f t="shared" si="11"/>
        <v>1530</v>
      </c>
      <c r="J139" s="127">
        <f t="shared" si="8"/>
        <v>1530</v>
      </c>
      <c r="K139" s="127">
        <f t="shared" si="9"/>
        <v>0</v>
      </c>
      <c r="L139" s="127">
        <f t="shared" si="10"/>
        <v>0</v>
      </c>
      <c r="M139" s="124"/>
    </row>
    <row r="140" spans="2:13" s="96" customFormat="1">
      <c r="B140" s="124">
        <v>20</v>
      </c>
      <c r="C140" s="125" t="s">
        <v>40</v>
      </c>
      <c r="D140" s="126" t="s">
        <v>326</v>
      </c>
      <c r="E140" s="125" t="s">
        <v>327</v>
      </c>
      <c r="F140" s="126">
        <v>15</v>
      </c>
      <c r="G140" s="126">
        <v>96</v>
      </c>
      <c r="H140" s="124">
        <v>98</v>
      </c>
      <c r="I140" s="125">
        <f t="shared" si="11"/>
        <v>1440</v>
      </c>
      <c r="J140" s="127">
        <f t="shared" si="8"/>
        <v>1470</v>
      </c>
      <c r="K140" s="127">
        <f t="shared" si="9"/>
        <v>-2</v>
      </c>
      <c r="L140" s="127">
        <f t="shared" si="10"/>
        <v>-30</v>
      </c>
      <c r="M140" s="124"/>
    </row>
    <row r="141" spans="2:13" s="96" customFormat="1">
      <c r="B141" s="124">
        <v>20</v>
      </c>
      <c r="C141" s="125" t="s">
        <v>40</v>
      </c>
      <c r="D141" s="126" t="s">
        <v>328</v>
      </c>
      <c r="E141" s="125" t="s">
        <v>329</v>
      </c>
      <c r="F141" s="126">
        <v>15</v>
      </c>
      <c r="G141" s="126">
        <v>48</v>
      </c>
      <c r="H141" s="124">
        <v>48</v>
      </c>
      <c r="I141" s="125">
        <f t="shared" si="11"/>
        <v>720</v>
      </c>
      <c r="J141" s="127">
        <f t="shared" si="8"/>
        <v>720</v>
      </c>
      <c r="K141" s="127">
        <f t="shared" si="9"/>
        <v>0</v>
      </c>
      <c r="L141" s="127">
        <f t="shared" si="10"/>
        <v>0</v>
      </c>
      <c r="M141" s="124"/>
    </row>
    <row r="142" spans="2:13" s="96" customFormat="1">
      <c r="B142" s="124">
        <v>20</v>
      </c>
      <c r="C142" s="125" t="s">
        <v>40</v>
      </c>
      <c r="D142" s="126" t="s">
        <v>330</v>
      </c>
      <c r="E142" s="125" t="s">
        <v>331</v>
      </c>
      <c r="F142" s="126">
        <v>21.5</v>
      </c>
      <c r="G142" s="126">
        <v>5</v>
      </c>
      <c r="H142" s="124">
        <v>5</v>
      </c>
      <c r="I142" s="125">
        <f t="shared" si="11"/>
        <v>107.5</v>
      </c>
      <c r="J142" s="127">
        <f t="shared" si="8"/>
        <v>107.5</v>
      </c>
      <c r="K142" s="127">
        <f t="shared" si="9"/>
        <v>0</v>
      </c>
      <c r="L142" s="127">
        <f t="shared" si="10"/>
        <v>0</v>
      </c>
      <c r="M142" s="124"/>
    </row>
    <row r="143" spans="2:13" s="96" customFormat="1">
      <c r="B143" s="124">
        <v>20</v>
      </c>
      <c r="C143" s="125" t="s">
        <v>40</v>
      </c>
      <c r="D143" s="126" t="s">
        <v>332</v>
      </c>
      <c r="E143" s="125" t="s">
        <v>333</v>
      </c>
      <c r="F143" s="126">
        <v>21.5</v>
      </c>
      <c r="G143" s="126">
        <v>12</v>
      </c>
      <c r="H143" s="124">
        <v>12</v>
      </c>
      <c r="I143" s="125">
        <f t="shared" si="11"/>
        <v>258</v>
      </c>
      <c r="J143" s="127">
        <f t="shared" si="8"/>
        <v>258</v>
      </c>
      <c r="K143" s="127">
        <f t="shared" si="9"/>
        <v>0</v>
      </c>
      <c r="L143" s="127">
        <f t="shared" si="10"/>
        <v>0</v>
      </c>
      <c r="M143" s="124"/>
    </row>
    <row r="144" spans="2:13" s="96" customFormat="1">
      <c r="B144" s="124">
        <v>20</v>
      </c>
      <c r="C144" s="125" t="s">
        <v>40</v>
      </c>
      <c r="D144" s="126" t="s">
        <v>334</v>
      </c>
      <c r="E144" s="125" t="s">
        <v>335</v>
      </c>
      <c r="F144" s="126">
        <v>145</v>
      </c>
      <c r="G144" s="126">
        <v>64</v>
      </c>
      <c r="H144" s="124">
        <v>64</v>
      </c>
      <c r="I144" s="125">
        <f t="shared" si="11"/>
        <v>9280</v>
      </c>
      <c r="J144" s="127">
        <f t="shared" si="8"/>
        <v>9280</v>
      </c>
      <c r="K144" s="127">
        <f t="shared" si="9"/>
        <v>0</v>
      </c>
      <c r="L144" s="127">
        <f t="shared" si="10"/>
        <v>0</v>
      </c>
      <c r="M144" s="124"/>
    </row>
    <row r="145" spans="2:13" s="96" customFormat="1">
      <c r="B145" s="124">
        <v>20</v>
      </c>
      <c r="C145" s="125" t="s">
        <v>40</v>
      </c>
      <c r="D145" s="126" t="s">
        <v>336</v>
      </c>
      <c r="E145" s="125" t="s">
        <v>337</v>
      </c>
      <c r="F145" s="126">
        <v>390</v>
      </c>
      <c r="G145" s="126">
        <v>14</v>
      </c>
      <c r="H145" s="124">
        <v>14</v>
      </c>
      <c r="I145" s="125">
        <f t="shared" si="11"/>
        <v>5460</v>
      </c>
      <c r="J145" s="127">
        <f t="shared" si="8"/>
        <v>5460</v>
      </c>
      <c r="K145" s="127">
        <f t="shared" si="9"/>
        <v>0</v>
      </c>
      <c r="L145" s="127">
        <f t="shared" si="10"/>
        <v>0</v>
      </c>
      <c r="M145" s="124"/>
    </row>
    <row r="146" spans="2:13" s="96" customFormat="1">
      <c r="B146" s="124">
        <v>20</v>
      </c>
      <c r="C146" s="125" t="s">
        <v>40</v>
      </c>
      <c r="D146" s="126" t="s">
        <v>338</v>
      </c>
      <c r="E146" s="125" t="s">
        <v>339</v>
      </c>
      <c r="F146" s="126">
        <v>275</v>
      </c>
      <c r="G146" s="126">
        <v>7</v>
      </c>
      <c r="H146" s="124">
        <v>7</v>
      </c>
      <c r="I146" s="125">
        <f t="shared" si="11"/>
        <v>1925</v>
      </c>
      <c r="J146" s="127">
        <f t="shared" si="8"/>
        <v>1925</v>
      </c>
      <c r="K146" s="127">
        <f t="shared" si="9"/>
        <v>0</v>
      </c>
      <c r="L146" s="127">
        <f t="shared" si="10"/>
        <v>0</v>
      </c>
      <c r="M146" s="124"/>
    </row>
    <row r="147" spans="2:13" s="96" customFormat="1">
      <c r="B147" s="124">
        <v>20</v>
      </c>
      <c r="C147" s="125" t="s">
        <v>40</v>
      </c>
      <c r="D147" s="126" t="s">
        <v>340</v>
      </c>
      <c r="E147" s="125" t="s">
        <v>341</v>
      </c>
      <c r="F147" s="126">
        <v>60</v>
      </c>
      <c r="G147" s="126">
        <v>7</v>
      </c>
      <c r="H147" s="124">
        <v>7</v>
      </c>
      <c r="I147" s="125">
        <f t="shared" si="11"/>
        <v>420</v>
      </c>
      <c r="J147" s="127">
        <f t="shared" si="8"/>
        <v>420</v>
      </c>
      <c r="K147" s="127">
        <f t="shared" si="9"/>
        <v>0</v>
      </c>
      <c r="L147" s="127">
        <f t="shared" si="10"/>
        <v>0</v>
      </c>
      <c r="M147" s="124"/>
    </row>
    <row r="148" spans="2:13" s="96" customFormat="1">
      <c r="B148" s="124">
        <v>20</v>
      </c>
      <c r="C148" s="125" t="s">
        <v>40</v>
      </c>
      <c r="D148" s="126" t="s">
        <v>342</v>
      </c>
      <c r="E148" s="125" t="s">
        <v>343</v>
      </c>
      <c r="F148" s="126">
        <v>60</v>
      </c>
      <c r="G148" s="126">
        <v>12</v>
      </c>
      <c r="H148" s="124">
        <v>12</v>
      </c>
      <c r="I148" s="125">
        <f t="shared" si="11"/>
        <v>720</v>
      </c>
      <c r="J148" s="127">
        <f t="shared" si="8"/>
        <v>720</v>
      </c>
      <c r="K148" s="127">
        <f t="shared" si="9"/>
        <v>0</v>
      </c>
      <c r="L148" s="127">
        <f t="shared" si="10"/>
        <v>0</v>
      </c>
      <c r="M148" s="124"/>
    </row>
    <row r="149" spans="2:13" s="96" customFormat="1">
      <c r="B149" s="124">
        <v>20</v>
      </c>
      <c r="C149" s="125" t="s">
        <v>40</v>
      </c>
      <c r="D149" s="126" t="s">
        <v>344</v>
      </c>
      <c r="E149" s="125" t="s">
        <v>345</v>
      </c>
      <c r="F149" s="126">
        <v>6.5</v>
      </c>
      <c r="G149" s="126">
        <v>360</v>
      </c>
      <c r="H149" s="124">
        <v>360</v>
      </c>
      <c r="I149" s="125">
        <f t="shared" si="11"/>
        <v>2340</v>
      </c>
      <c r="J149" s="127">
        <f t="shared" si="8"/>
        <v>2340</v>
      </c>
      <c r="K149" s="127">
        <f t="shared" si="9"/>
        <v>0</v>
      </c>
      <c r="L149" s="127">
        <f t="shared" si="10"/>
        <v>0</v>
      </c>
      <c r="M149" s="124"/>
    </row>
    <row r="150" spans="2:13" s="96" customFormat="1">
      <c r="B150" s="124">
        <v>20</v>
      </c>
      <c r="C150" s="125" t="s">
        <v>40</v>
      </c>
      <c r="D150" s="126" t="s">
        <v>346</v>
      </c>
      <c r="E150" s="125" t="s">
        <v>347</v>
      </c>
      <c r="F150" s="126">
        <v>13</v>
      </c>
      <c r="G150" s="126">
        <v>35</v>
      </c>
      <c r="H150" s="134">
        <v>35</v>
      </c>
      <c r="I150" s="125">
        <f t="shared" si="11"/>
        <v>455</v>
      </c>
      <c r="J150" s="127">
        <f t="shared" si="8"/>
        <v>455</v>
      </c>
      <c r="K150" s="127">
        <f t="shared" si="9"/>
        <v>0</v>
      </c>
      <c r="L150" s="127">
        <f t="shared" si="10"/>
        <v>0</v>
      </c>
      <c r="M150" s="124"/>
    </row>
    <row r="151" spans="2:13" s="96" customFormat="1">
      <c r="B151" s="124">
        <v>20</v>
      </c>
      <c r="C151" s="125" t="s">
        <v>40</v>
      </c>
      <c r="D151" s="126" t="s">
        <v>348</v>
      </c>
      <c r="E151" s="125" t="s">
        <v>349</v>
      </c>
      <c r="F151" s="126">
        <v>13</v>
      </c>
      <c r="G151" s="126">
        <v>60</v>
      </c>
      <c r="H151" s="124">
        <v>60</v>
      </c>
      <c r="I151" s="125">
        <f t="shared" si="11"/>
        <v>780</v>
      </c>
      <c r="J151" s="127">
        <f t="shared" si="8"/>
        <v>780</v>
      </c>
      <c r="K151" s="127">
        <f t="shared" si="9"/>
        <v>0</v>
      </c>
      <c r="L151" s="127">
        <f t="shared" si="10"/>
        <v>0</v>
      </c>
      <c r="M151" s="124"/>
    </row>
    <row r="152" spans="2:13" s="96" customFormat="1">
      <c r="B152" s="124">
        <v>20</v>
      </c>
      <c r="C152" s="125" t="s">
        <v>40</v>
      </c>
      <c r="D152" s="126" t="s">
        <v>350</v>
      </c>
      <c r="E152" s="125" t="s">
        <v>351</v>
      </c>
      <c r="F152" s="126">
        <v>13</v>
      </c>
      <c r="G152" s="126">
        <v>27</v>
      </c>
      <c r="H152" s="124">
        <v>27</v>
      </c>
      <c r="I152" s="125">
        <f t="shared" si="11"/>
        <v>351</v>
      </c>
      <c r="J152" s="127">
        <f t="shared" si="8"/>
        <v>351</v>
      </c>
      <c r="K152" s="127">
        <f t="shared" si="9"/>
        <v>0</v>
      </c>
      <c r="L152" s="127">
        <f t="shared" si="10"/>
        <v>0</v>
      </c>
      <c r="M152" s="124"/>
    </row>
    <row r="153" spans="2:13" s="96" customFormat="1">
      <c r="B153" s="124">
        <v>20</v>
      </c>
      <c r="C153" s="125" t="s">
        <v>40</v>
      </c>
      <c r="D153" s="126" t="s">
        <v>352</v>
      </c>
      <c r="E153" s="125" t="s">
        <v>353</v>
      </c>
      <c r="F153" s="126">
        <v>13</v>
      </c>
      <c r="G153" s="126">
        <v>75</v>
      </c>
      <c r="H153" s="124">
        <v>75</v>
      </c>
      <c r="I153" s="125">
        <f t="shared" si="11"/>
        <v>975</v>
      </c>
      <c r="J153" s="127">
        <f t="shared" si="8"/>
        <v>975</v>
      </c>
      <c r="K153" s="127">
        <f t="shared" si="9"/>
        <v>0</v>
      </c>
      <c r="L153" s="127">
        <f t="shared" si="10"/>
        <v>0</v>
      </c>
      <c r="M153" s="124"/>
    </row>
    <row r="154" spans="2:13" s="96" customFormat="1">
      <c r="B154" s="124">
        <v>20</v>
      </c>
      <c r="C154" s="125" t="s">
        <v>40</v>
      </c>
      <c r="D154" s="126" t="s">
        <v>354</v>
      </c>
      <c r="E154" s="125" t="s">
        <v>355</v>
      </c>
      <c r="F154" s="126">
        <v>147.69999999999999</v>
      </c>
      <c r="G154" s="126">
        <v>15</v>
      </c>
      <c r="H154" s="124">
        <v>15</v>
      </c>
      <c r="I154" s="125">
        <f t="shared" si="11"/>
        <v>2215.5</v>
      </c>
      <c r="J154" s="127">
        <f t="shared" si="8"/>
        <v>2215.5</v>
      </c>
      <c r="K154" s="127">
        <f t="shared" si="9"/>
        <v>0</v>
      </c>
      <c r="L154" s="127">
        <f t="shared" si="10"/>
        <v>0</v>
      </c>
      <c r="M154" s="124"/>
    </row>
    <row r="155" spans="2:13" s="96" customFormat="1">
      <c r="B155" s="124">
        <v>20</v>
      </c>
      <c r="C155" s="125" t="s">
        <v>40</v>
      </c>
      <c r="D155" s="126" t="s">
        <v>356</v>
      </c>
      <c r="E155" s="125" t="s">
        <v>357</v>
      </c>
      <c r="F155" s="126">
        <v>148.9</v>
      </c>
      <c r="G155" s="126">
        <v>268</v>
      </c>
      <c r="H155" s="124">
        <v>268</v>
      </c>
      <c r="I155" s="125">
        <f t="shared" si="11"/>
        <v>39905.200000000004</v>
      </c>
      <c r="J155" s="127">
        <f t="shared" si="8"/>
        <v>39905.200000000004</v>
      </c>
      <c r="K155" s="127">
        <f t="shared" si="9"/>
        <v>0</v>
      </c>
      <c r="L155" s="127">
        <f t="shared" si="10"/>
        <v>0</v>
      </c>
      <c r="M155" s="124"/>
    </row>
    <row r="156" spans="2:13" s="96" customFormat="1">
      <c r="B156" s="124">
        <v>20</v>
      </c>
      <c r="C156" s="125" t="s">
        <v>40</v>
      </c>
      <c r="D156" s="126" t="s">
        <v>358</v>
      </c>
      <c r="E156" s="125" t="s">
        <v>359</v>
      </c>
      <c r="F156" s="126">
        <v>126</v>
      </c>
      <c r="G156" s="126">
        <v>229</v>
      </c>
      <c r="H156" s="124">
        <v>239</v>
      </c>
      <c r="I156" s="125">
        <f t="shared" si="11"/>
        <v>28854</v>
      </c>
      <c r="J156" s="127">
        <f t="shared" si="8"/>
        <v>30114</v>
      </c>
      <c r="K156" s="127">
        <f t="shared" si="9"/>
        <v>-10</v>
      </c>
      <c r="L156" s="127">
        <f t="shared" si="10"/>
        <v>-1260</v>
      </c>
      <c r="M156" s="124"/>
    </row>
    <row r="157" spans="2:13" s="96" customFormat="1">
      <c r="B157" s="124">
        <v>20</v>
      </c>
      <c r="C157" s="125" t="s">
        <v>40</v>
      </c>
      <c r="D157" s="126" t="s">
        <v>360</v>
      </c>
      <c r="E157" s="125" t="s">
        <v>361</v>
      </c>
      <c r="F157" s="126">
        <v>17.75</v>
      </c>
      <c r="G157" s="126">
        <v>19</v>
      </c>
      <c r="H157" s="124">
        <v>19</v>
      </c>
      <c r="I157" s="125">
        <f t="shared" si="11"/>
        <v>337.25</v>
      </c>
      <c r="J157" s="127">
        <f t="shared" si="8"/>
        <v>337.25</v>
      </c>
      <c r="K157" s="127">
        <f t="shared" si="9"/>
        <v>0</v>
      </c>
      <c r="L157" s="127">
        <f t="shared" si="10"/>
        <v>0</v>
      </c>
      <c r="M157" s="124"/>
    </row>
    <row r="158" spans="2:13" s="96" customFormat="1">
      <c r="B158" s="124">
        <v>20</v>
      </c>
      <c r="C158" s="125" t="s">
        <v>40</v>
      </c>
      <c r="D158" s="126" t="s">
        <v>362</v>
      </c>
      <c r="E158" s="125" t="s">
        <v>363</v>
      </c>
      <c r="F158" s="126">
        <v>35.75</v>
      </c>
      <c r="G158" s="126">
        <v>50</v>
      </c>
      <c r="H158" s="124">
        <v>50</v>
      </c>
      <c r="I158" s="125">
        <f t="shared" si="11"/>
        <v>1787.5</v>
      </c>
      <c r="J158" s="127">
        <f t="shared" si="8"/>
        <v>1787.5</v>
      </c>
      <c r="K158" s="127">
        <f t="shared" si="9"/>
        <v>0</v>
      </c>
      <c r="L158" s="127">
        <f t="shared" si="10"/>
        <v>0</v>
      </c>
      <c r="M158" s="124"/>
    </row>
    <row r="159" spans="2:13" s="96" customFormat="1">
      <c r="B159" s="124">
        <v>20</v>
      </c>
      <c r="C159" s="125" t="s">
        <v>40</v>
      </c>
      <c r="D159" s="126" t="s">
        <v>364</v>
      </c>
      <c r="E159" s="125" t="s">
        <v>365</v>
      </c>
      <c r="F159" s="126">
        <v>27</v>
      </c>
      <c r="G159" s="126">
        <v>94</v>
      </c>
      <c r="H159" s="124">
        <v>94</v>
      </c>
      <c r="I159" s="125">
        <f t="shared" si="11"/>
        <v>2538</v>
      </c>
      <c r="J159" s="127">
        <f t="shared" si="8"/>
        <v>2538</v>
      </c>
      <c r="K159" s="127">
        <f t="shared" si="9"/>
        <v>0</v>
      </c>
      <c r="L159" s="127">
        <f t="shared" si="10"/>
        <v>0</v>
      </c>
      <c r="M159" s="124"/>
    </row>
    <row r="160" spans="2:13" s="96" customFormat="1">
      <c r="B160" s="124">
        <v>20</v>
      </c>
      <c r="C160" s="125" t="s">
        <v>40</v>
      </c>
      <c r="D160" s="126" t="s">
        <v>366</v>
      </c>
      <c r="E160" s="125" t="s">
        <v>367</v>
      </c>
      <c r="F160" s="126">
        <v>27</v>
      </c>
      <c r="G160" s="126">
        <v>108</v>
      </c>
      <c r="H160" s="124">
        <v>108</v>
      </c>
      <c r="I160" s="125">
        <f t="shared" si="11"/>
        <v>2916</v>
      </c>
      <c r="J160" s="127">
        <f t="shared" si="8"/>
        <v>2916</v>
      </c>
      <c r="K160" s="127">
        <f t="shared" si="9"/>
        <v>0</v>
      </c>
      <c r="L160" s="127">
        <f t="shared" si="10"/>
        <v>0</v>
      </c>
      <c r="M160" s="124"/>
    </row>
    <row r="161" spans="2:13" s="96" customFormat="1">
      <c r="B161" s="124">
        <v>20</v>
      </c>
      <c r="C161" s="125" t="s">
        <v>40</v>
      </c>
      <c r="D161" s="126" t="s">
        <v>368</v>
      </c>
      <c r="E161" s="125" t="s">
        <v>369</v>
      </c>
      <c r="F161" s="126">
        <v>100</v>
      </c>
      <c r="G161" s="126">
        <v>5</v>
      </c>
      <c r="H161" s="124">
        <v>5</v>
      </c>
      <c r="I161" s="125">
        <f t="shared" si="11"/>
        <v>500</v>
      </c>
      <c r="J161" s="127">
        <f t="shared" si="8"/>
        <v>500</v>
      </c>
      <c r="K161" s="127">
        <f t="shared" si="9"/>
        <v>0</v>
      </c>
      <c r="L161" s="127">
        <f t="shared" si="10"/>
        <v>0</v>
      </c>
      <c r="M161" s="124"/>
    </row>
    <row r="162" spans="2:13" s="96" customFormat="1">
      <c r="B162" s="124">
        <v>20</v>
      </c>
      <c r="C162" s="125" t="s">
        <v>40</v>
      </c>
      <c r="D162" s="126" t="s">
        <v>370</v>
      </c>
      <c r="E162" s="125" t="s">
        <v>371</v>
      </c>
      <c r="F162" s="126">
        <v>55.25</v>
      </c>
      <c r="G162" s="126">
        <v>81</v>
      </c>
      <c r="H162" s="124">
        <v>81</v>
      </c>
      <c r="I162" s="125">
        <f t="shared" si="11"/>
        <v>4475.25</v>
      </c>
      <c r="J162" s="127">
        <f t="shared" si="8"/>
        <v>4475.25</v>
      </c>
      <c r="K162" s="127">
        <f t="shared" si="9"/>
        <v>0</v>
      </c>
      <c r="L162" s="127">
        <f t="shared" si="10"/>
        <v>0</v>
      </c>
      <c r="M162" s="124"/>
    </row>
    <row r="163" spans="2:13" s="96" customFormat="1">
      <c r="B163" s="124">
        <v>20</v>
      </c>
      <c r="C163" s="125" t="s">
        <v>40</v>
      </c>
      <c r="D163" s="126" t="s">
        <v>372</v>
      </c>
      <c r="E163" s="125" t="s">
        <v>373</v>
      </c>
      <c r="F163" s="126">
        <v>43.4</v>
      </c>
      <c r="G163" s="126">
        <v>78</v>
      </c>
      <c r="H163" s="124">
        <v>78</v>
      </c>
      <c r="I163" s="125">
        <f t="shared" si="11"/>
        <v>3385.2</v>
      </c>
      <c r="J163" s="127">
        <f t="shared" si="8"/>
        <v>3385.2</v>
      </c>
      <c r="K163" s="127">
        <f t="shared" si="9"/>
        <v>0</v>
      </c>
      <c r="L163" s="127">
        <f t="shared" si="10"/>
        <v>0</v>
      </c>
      <c r="M163" s="124"/>
    </row>
    <row r="164" spans="2:13" s="96" customFormat="1">
      <c r="B164" s="124">
        <v>20</v>
      </c>
      <c r="C164" s="125" t="s">
        <v>40</v>
      </c>
      <c r="D164" s="126" t="s">
        <v>374</v>
      </c>
      <c r="E164" s="125" t="s">
        <v>375</v>
      </c>
      <c r="F164" s="126">
        <v>43.4</v>
      </c>
      <c r="G164" s="126">
        <v>70</v>
      </c>
      <c r="H164" s="124">
        <v>70</v>
      </c>
      <c r="I164" s="125">
        <f t="shared" si="11"/>
        <v>3038</v>
      </c>
      <c r="J164" s="127">
        <f t="shared" si="8"/>
        <v>3038</v>
      </c>
      <c r="K164" s="127">
        <f t="shared" si="9"/>
        <v>0</v>
      </c>
      <c r="L164" s="127">
        <f t="shared" si="10"/>
        <v>0</v>
      </c>
      <c r="M164" s="124"/>
    </row>
    <row r="165" spans="2:13" s="96" customFormat="1">
      <c r="B165" s="124">
        <v>20</v>
      </c>
      <c r="C165" s="125" t="s">
        <v>40</v>
      </c>
      <c r="D165" s="126" t="s">
        <v>376</v>
      </c>
      <c r="E165" s="125" t="s">
        <v>377</v>
      </c>
      <c r="F165" s="126">
        <v>5</v>
      </c>
      <c r="G165" s="126">
        <v>46</v>
      </c>
      <c r="H165" s="124">
        <v>46</v>
      </c>
      <c r="I165" s="125">
        <f t="shared" si="11"/>
        <v>230</v>
      </c>
      <c r="J165" s="127">
        <f t="shared" si="8"/>
        <v>230</v>
      </c>
      <c r="K165" s="127">
        <f t="shared" si="9"/>
        <v>0</v>
      </c>
      <c r="L165" s="127">
        <f t="shared" si="10"/>
        <v>0</v>
      </c>
      <c r="M165" s="124"/>
    </row>
    <row r="166" spans="2:13" s="96" customFormat="1">
      <c r="B166" s="124">
        <v>20</v>
      </c>
      <c r="C166" s="125" t="s">
        <v>40</v>
      </c>
      <c r="D166" s="126" t="s">
        <v>378</v>
      </c>
      <c r="E166" s="125" t="s">
        <v>379</v>
      </c>
      <c r="F166" s="126">
        <v>6</v>
      </c>
      <c r="G166" s="126">
        <v>159</v>
      </c>
      <c r="H166" s="124">
        <v>159</v>
      </c>
      <c r="I166" s="125">
        <f t="shared" si="11"/>
        <v>954</v>
      </c>
      <c r="J166" s="127">
        <f t="shared" si="8"/>
        <v>954</v>
      </c>
      <c r="K166" s="127">
        <f t="shared" si="9"/>
        <v>0</v>
      </c>
      <c r="L166" s="127">
        <f t="shared" si="10"/>
        <v>0</v>
      </c>
      <c r="M166" s="124"/>
    </row>
    <row r="167" spans="2:13" s="96" customFormat="1">
      <c r="B167" s="124">
        <v>20</v>
      </c>
      <c r="C167" s="125" t="s">
        <v>40</v>
      </c>
      <c r="D167" s="126" t="s">
        <v>380</v>
      </c>
      <c r="E167" s="125" t="s">
        <v>381</v>
      </c>
      <c r="F167" s="126">
        <v>12</v>
      </c>
      <c r="G167" s="126">
        <v>20</v>
      </c>
      <c r="H167" s="124">
        <v>20</v>
      </c>
      <c r="I167" s="125">
        <f t="shared" si="11"/>
        <v>240</v>
      </c>
      <c r="J167" s="127">
        <f t="shared" si="8"/>
        <v>240</v>
      </c>
      <c r="K167" s="127">
        <f t="shared" si="9"/>
        <v>0</v>
      </c>
      <c r="L167" s="127">
        <f t="shared" si="10"/>
        <v>0</v>
      </c>
      <c r="M167" s="124"/>
    </row>
    <row r="168" spans="2:13" s="96" customFormat="1">
      <c r="B168" s="124">
        <v>20</v>
      </c>
      <c r="C168" s="125" t="s">
        <v>40</v>
      </c>
      <c r="D168" s="126" t="s">
        <v>4615</v>
      </c>
      <c r="E168" s="125" t="s">
        <v>4616</v>
      </c>
      <c r="F168" s="126">
        <v>13</v>
      </c>
      <c r="G168" s="126">
        <v>180</v>
      </c>
      <c r="H168" s="124">
        <v>180</v>
      </c>
      <c r="I168" s="125">
        <f t="shared" si="11"/>
        <v>2340</v>
      </c>
      <c r="J168" s="127">
        <f t="shared" si="8"/>
        <v>2340</v>
      </c>
      <c r="K168" s="127">
        <f t="shared" si="9"/>
        <v>0</v>
      </c>
      <c r="L168" s="127">
        <f t="shared" si="10"/>
        <v>0</v>
      </c>
      <c r="M168" s="124"/>
    </row>
    <row r="169" spans="2:13" s="96" customFormat="1">
      <c r="B169" s="124">
        <v>20</v>
      </c>
      <c r="C169" s="125" t="s">
        <v>40</v>
      </c>
      <c r="D169" s="126" t="s">
        <v>382</v>
      </c>
      <c r="E169" s="125" t="s">
        <v>383</v>
      </c>
      <c r="F169" s="126">
        <v>8.75</v>
      </c>
      <c r="G169" s="126">
        <v>96</v>
      </c>
      <c r="H169" s="124">
        <v>96</v>
      </c>
      <c r="I169" s="125">
        <f t="shared" si="11"/>
        <v>840</v>
      </c>
      <c r="J169" s="127">
        <f t="shared" si="8"/>
        <v>840</v>
      </c>
      <c r="K169" s="127">
        <f t="shared" si="9"/>
        <v>0</v>
      </c>
      <c r="L169" s="127">
        <f t="shared" si="10"/>
        <v>0</v>
      </c>
      <c r="M169" s="124"/>
    </row>
    <row r="170" spans="2:13" s="96" customFormat="1">
      <c r="B170" s="124">
        <v>20</v>
      </c>
      <c r="C170" s="125" t="s">
        <v>40</v>
      </c>
      <c r="D170" s="126" t="s">
        <v>384</v>
      </c>
      <c r="E170" s="125" t="s">
        <v>385</v>
      </c>
      <c r="F170" s="126">
        <v>8.75</v>
      </c>
      <c r="G170" s="126">
        <v>89</v>
      </c>
      <c r="H170" s="124">
        <v>89</v>
      </c>
      <c r="I170" s="125">
        <f t="shared" si="11"/>
        <v>778.75</v>
      </c>
      <c r="J170" s="127">
        <f t="shared" si="8"/>
        <v>778.75</v>
      </c>
      <c r="K170" s="127">
        <f t="shared" si="9"/>
        <v>0</v>
      </c>
      <c r="L170" s="127">
        <f t="shared" si="10"/>
        <v>0</v>
      </c>
      <c r="M170" s="124"/>
    </row>
    <row r="171" spans="2:13" s="96" customFormat="1">
      <c r="B171" s="124">
        <v>20</v>
      </c>
      <c r="C171" s="125" t="s">
        <v>40</v>
      </c>
      <c r="D171" s="126" t="s">
        <v>386</v>
      </c>
      <c r="E171" s="125" t="s">
        <v>387</v>
      </c>
      <c r="F171" s="126">
        <v>9</v>
      </c>
      <c r="G171" s="126">
        <v>44</v>
      </c>
      <c r="H171" s="124">
        <v>44</v>
      </c>
      <c r="I171" s="125">
        <f t="shared" si="11"/>
        <v>396</v>
      </c>
      <c r="J171" s="127">
        <f t="shared" si="8"/>
        <v>396</v>
      </c>
      <c r="K171" s="127">
        <f t="shared" si="9"/>
        <v>0</v>
      </c>
      <c r="L171" s="127">
        <f t="shared" si="10"/>
        <v>0</v>
      </c>
      <c r="M171" s="124"/>
    </row>
    <row r="172" spans="2:13" s="96" customFormat="1">
      <c r="B172" s="124">
        <v>20</v>
      </c>
      <c r="C172" s="125" t="s">
        <v>40</v>
      </c>
      <c r="D172" s="126" t="s">
        <v>388</v>
      </c>
      <c r="E172" s="125" t="s">
        <v>389</v>
      </c>
      <c r="F172" s="126">
        <v>12.5</v>
      </c>
      <c r="G172" s="126">
        <v>87</v>
      </c>
      <c r="H172" s="124">
        <v>87</v>
      </c>
      <c r="I172" s="125">
        <f t="shared" si="11"/>
        <v>1087.5</v>
      </c>
      <c r="J172" s="127">
        <f t="shared" si="8"/>
        <v>1087.5</v>
      </c>
      <c r="K172" s="127">
        <f t="shared" si="9"/>
        <v>0</v>
      </c>
      <c r="L172" s="127">
        <f t="shared" si="10"/>
        <v>0</v>
      </c>
      <c r="M172" s="124"/>
    </row>
    <row r="173" spans="2:13" s="96" customFormat="1">
      <c r="B173" s="124">
        <v>20</v>
      </c>
      <c r="C173" s="125" t="s">
        <v>40</v>
      </c>
      <c r="D173" s="126" t="s">
        <v>390</v>
      </c>
      <c r="E173" s="125" t="s">
        <v>391</v>
      </c>
      <c r="F173" s="126">
        <v>33.75</v>
      </c>
      <c r="G173" s="126">
        <v>4</v>
      </c>
      <c r="H173" s="124">
        <v>4</v>
      </c>
      <c r="I173" s="125">
        <f t="shared" si="11"/>
        <v>135</v>
      </c>
      <c r="J173" s="127">
        <f t="shared" si="8"/>
        <v>135</v>
      </c>
      <c r="K173" s="127">
        <f t="shared" si="9"/>
        <v>0</v>
      </c>
      <c r="L173" s="127">
        <f t="shared" si="10"/>
        <v>0</v>
      </c>
      <c r="M173" s="124"/>
    </row>
    <row r="174" spans="2:13" s="96" customFormat="1">
      <c r="B174" s="124">
        <v>20</v>
      </c>
      <c r="C174" s="125" t="s">
        <v>40</v>
      </c>
      <c r="D174" s="126" t="s">
        <v>392</v>
      </c>
      <c r="E174" s="125" t="s">
        <v>393</v>
      </c>
      <c r="F174" s="126">
        <v>120</v>
      </c>
      <c r="G174" s="126">
        <v>6</v>
      </c>
      <c r="H174" s="124">
        <v>6</v>
      </c>
      <c r="I174" s="125">
        <f t="shared" si="11"/>
        <v>720</v>
      </c>
      <c r="J174" s="127">
        <f t="shared" si="8"/>
        <v>720</v>
      </c>
      <c r="K174" s="127">
        <f t="shared" si="9"/>
        <v>0</v>
      </c>
      <c r="L174" s="127">
        <f t="shared" si="10"/>
        <v>0</v>
      </c>
      <c r="M174" s="124"/>
    </row>
    <row r="175" spans="2:13" s="96" customFormat="1">
      <c r="B175" s="124">
        <v>20</v>
      </c>
      <c r="C175" s="125" t="s">
        <v>40</v>
      </c>
      <c r="D175" s="126" t="s">
        <v>394</v>
      </c>
      <c r="E175" s="125" t="s">
        <v>395</v>
      </c>
      <c r="F175" s="126">
        <v>124</v>
      </c>
      <c r="G175" s="126">
        <v>3</v>
      </c>
      <c r="H175" s="124">
        <v>3</v>
      </c>
      <c r="I175" s="125">
        <f t="shared" si="11"/>
        <v>372</v>
      </c>
      <c r="J175" s="127">
        <f t="shared" si="8"/>
        <v>372</v>
      </c>
      <c r="K175" s="127">
        <f t="shared" si="9"/>
        <v>0</v>
      </c>
      <c r="L175" s="127">
        <f t="shared" si="10"/>
        <v>0</v>
      </c>
      <c r="M175" s="124"/>
    </row>
    <row r="176" spans="2:13" s="96" customFormat="1">
      <c r="B176" s="124">
        <v>20</v>
      </c>
      <c r="C176" s="125" t="s">
        <v>40</v>
      </c>
      <c r="D176" s="126" t="s">
        <v>396</v>
      </c>
      <c r="E176" s="125" t="s">
        <v>397</v>
      </c>
      <c r="F176" s="126">
        <v>11</v>
      </c>
      <c r="G176" s="126">
        <v>9</v>
      </c>
      <c r="H176" s="124">
        <v>9</v>
      </c>
      <c r="I176" s="125">
        <f t="shared" si="11"/>
        <v>99</v>
      </c>
      <c r="J176" s="127">
        <f t="shared" si="8"/>
        <v>99</v>
      </c>
      <c r="K176" s="127">
        <f t="shared" si="9"/>
        <v>0</v>
      </c>
      <c r="L176" s="127">
        <f t="shared" si="10"/>
        <v>0</v>
      </c>
      <c r="M176" s="124"/>
    </row>
    <row r="177" spans="2:13" s="96" customFormat="1">
      <c r="B177" s="124">
        <v>20</v>
      </c>
      <c r="C177" s="125" t="s">
        <v>40</v>
      </c>
      <c r="D177" s="126" t="s">
        <v>398</v>
      </c>
      <c r="E177" s="125" t="s">
        <v>399</v>
      </c>
      <c r="F177" s="126">
        <v>10</v>
      </c>
      <c r="G177" s="126">
        <v>495</v>
      </c>
      <c r="H177" s="124">
        <v>495</v>
      </c>
      <c r="I177" s="125">
        <f t="shared" si="11"/>
        <v>4950</v>
      </c>
      <c r="J177" s="127">
        <f t="shared" si="8"/>
        <v>4950</v>
      </c>
      <c r="K177" s="127">
        <f t="shared" si="9"/>
        <v>0</v>
      </c>
      <c r="L177" s="127">
        <f t="shared" si="10"/>
        <v>0</v>
      </c>
      <c r="M177" s="124"/>
    </row>
    <row r="178" spans="2:13" s="96" customFormat="1">
      <c r="B178" s="124">
        <v>20</v>
      </c>
      <c r="C178" s="125" t="s">
        <v>40</v>
      </c>
      <c r="D178" s="126" t="s">
        <v>400</v>
      </c>
      <c r="E178" s="125" t="s">
        <v>401</v>
      </c>
      <c r="F178" s="126">
        <v>706.5</v>
      </c>
      <c r="G178" s="126">
        <v>4</v>
      </c>
      <c r="H178" s="124">
        <v>4</v>
      </c>
      <c r="I178" s="125">
        <f t="shared" si="11"/>
        <v>2826</v>
      </c>
      <c r="J178" s="127">
        <f t="shared" si="8"/>
        <v>2826</v>
      </c>
      <c r="K178" s="127">
        <f t="shared" si="9"/>
        <v>0</v>
      </c>
      <c r="L178" s="127">
        <f t="shared" si="10"/>
        <v>0</v>
      </c>
      <c r="M178" s="124"/>
    </row>
    <row r="179" spans="2:13" s="96" customFormat="1">
      <c r="B179" s="124">
        <v>20</v>
      </c>
      <c r="C179" s="125" t="s">
        <v>40</v>
      </c>
      <c r="D179" s="126" t="s">
        <v>402</v>
      </c>
      <c r="E179" s="125" t="s">
        <v>403</v>
      </c>
      <c r="F179" s="126">
        <v>6</v>
      </c>
      <c r="G179" s="126">
        <v>15</v>
      </c>
      <c r="H179" s="124">
        <v>15</v>
      </c>
      <c r="I179" s="125">
        <f t="shared" si="11"/>
        <v>90</v>
      </c>
      <c r="J179" s="127">
        <f t="shared" si="8"/>
        <v>90</v>
      </c>
      <c r="K179" s="127">
        <f t="shared" si="9"/>
        <v>0</v>
      </c>
      <c r="L179" s="127">
        <f t="shared" si="10"/>
        <v>0</v>
      </c>
      <c r="M179" s="124"/>
    </row>
    <row r="180" spans="2:13" s="96" customFormat="1">
      <c r="B180" s="124">
        <v>20</v>
      </c>
      <c r="C180" s="125" t="s">
        <v>40</v>
      </c>
      <c r="D180" s="126" t="s">
        <v>404</v>
      </c>
      <c r="E180" s="125" t="s">
        <v>405</v>
      </c>
      <c r="F180" s="126">
        <v>244.3</v>
      </c>
      <c r="G180" s="126">
        <v>1</v>
      </c>
      <c r="H180" s="124">
        <v>1</v>
      </c>
      <c r="I180" s="125">
        <f t="shared" si="11"/>
        <v>244.3</v>
      </c>
      <c r="J180" s="127">
        <f t="shared" si="8"/>
        <v>244.3</v>
      </c>
      <c r="K180" s="127">
        <f t="shared" si="9"/>
        <v>0</v>
      </c>
      <c r="L180" s="127">
        <f t="shared" si="10"/>
        <v>0</v>
      </c>
      <c r="M180" s="124"/>
    </row>
    <row r="181" spans="2:13" s="96" customFormat="1">
      <c r="B181" s="124">
        <v>20</v>
      </c>
      <c r="C181" s="125" t="s">
        <v>40</v>
      </c>
      <c r="D181" s="126" t="s">
        <v>406</v>
      </c>
      <c r="E181" s="125" t="s">
        <v>407</v>
      </c>
      <c r="F181" s="126">
        <v>16.5</v>
      </c>
      <c r="G181" s="126">
        <v>1</v>
      </c>
      <c r="H181" s="124">
        <v>1</v>
      </c>
      <c r="I181" s="125">
        <f t="shared" si="11"/>
        <v>16.5</v>
      </c>
      <c r="J181" s="127">
        <f t="shared" si="8"/>
        <v>16.5</v>
      </c>
      <c r="K181" s="127">
        <f t="shared" si="9"/>
        <v>0</v>
      </c>
      <c r="L181" s="127">
        <f t="shared" si="10"/>
        <v>0</v>
      </c>
      <c r="M181" s="138"/>
    </row>
    <row r="182" spans="2:13" s="96" customFormat="1">
      <c r="B182" s="124">
        <v>20</v>
      </c>
      <c r="C182" s="125" t="s">
        <v>40</v>
      </c>
      <c r="D182" s="126" t="s">
        <v>408</v>
      </c>
      <c r="E182" s="125" t="s">
        <v>409</v>
      </c>
      <c r="F182" s="126">
        <v>115</v>
      </c>
      <c r="G182" s="126">
        <v>4</v>
      </c>
      <c r="H182" s="124">
        <v>4</v>
      </c>
      <c r="I182" s="125">
        <f t="shared" si="11"/>
        <v>460</v>
      </c>
      <c r="J182" s="127">
        <f t="shared" si="8"/>
        <v>460</v>
      </c>
      <c r="K182" s="127">
        <f t="shared" si="9"/>
        <v>0</v>
      </c>
      <c r="L182" s="127">
        <f t="shared" si="10"/>
        <v>0</v>
      </c>
      <c r="M182" s="124"/>
    </row>
    <row r="183" spans="2:13" s="96" customFormat="1">
      <c r="B183" s="124">
        <v>20</v>
      </c>
      <c r="C183" s="125" t="s">
        <v>40</v>
      </c>
      <c r="D183" s="126" t="s">
        <v>410</v>
      </c>
      <c r="E183" s="125" t="s">
        <v>411</v>
      </c>
      <c r="F183" s="126">
        <v>12</v>
      </c>
      <c r="G183" s="126">
        <v>86</v>
      </c>
      <c r="H183" s="124">
        <v>86</v>
      </c>
      <c r="I183" s="125">
        <f t="shared" si="11"/>
        <v>1032</v>
      </c>
      <c r="J183" s="127">
        <f t="shared" si="8"/>
        <v>1032</v>
      </c>
      <c r="K183" s="127">
        <f t="shared" si="9"/>
        <v>0</v>
      </c>
      <c r="L183" s="127">
        <f t="shared" si="10"/>
        <v>0</v>
      </c>
      <c r="M183" s="124"/>
    </row>
    <row r="184" spans="2:13" s="96" customFormat="1">
      <c r="B184" s="124">
        <v>20</v>
      </c>
      <c r="C184" s="125" t="s">
        <v>40</v>
      </c>
      <c r="D184" s="126" t="s">
        <v>412</v>
      </c>
      <c r="E184" s="125" t="s">
        <v>413</v>
      </c>
      <c r="F184" s="126">
        <v>52</v>
      </c>
      <c r="G184" s="126">
        <v>38</v>
      </c>
      <c r="H184" s="124">
        <v>38</v>
      </c>
      <c r="I184" s="125">
        <f t="shared" si="11"/>
        <v>1976</v>
      </c>
      <c r="J184" s="127">
        <f t="shared" si="8"/>
        <v>1976</v>
      </c>
      <c r="K184" s="127">
        <f t="shared" si="9"/>
        <v>0</v>
      </c>
      <c r="L184" s="127">
        <f t="shared" si="10"/>
        <v>0</v>
      </c>
      <c r="M184" s="124"/>
    </row>
    <row r="185" spans="2:13" s="96" customFormat="1">
      <c r="B185" s="124">
        <v>20</v>
      </c>
      <c r="C185" s="125" t="s">
        <v>40</v>
      </c>
      <c r="D185" s="126" t="s">
        <v>414</v>
      </c>
      <c r="E185" s="125" t="s">
        <v>415</v>
      </c>
      <c r="F185" s="126">
        <v>95</v>
      </c>
      <c r="G185" s="126">
        <v>23</v>
      </c>
      <c r="H185" s="124">
        <v>23</v>
      </c>
      <c r="I185" s="125">
        <f t="shared" si="11"/>
        <v>2185</v>
      </c>
      <c r="J185" s="127">
        <f t="shared" si="8"/>
        <v>2185</v>
      </c>
      <c r="K185" s="127">
        <f t="shared" si="9"/>
        <v>0</v>
      </c>
      <c r="L185" s="127">
        <f t="shared" si="10"/>
        <v>0</v>
      </c>
      <c r="M185" s="124"/>
    </row>
    <row r="186" spans="2:13" s="96" customFormat="1">
      <c r="B186" s="124">
        <v>20</v>
      </c>
      <c r="C186" s="125" t="s">
        <v>40</v>
      </c>
      <c r="D186" s="126" t="s">
        <v>416</v>
      </c>
      <c r="E186" s="125" t="s">
        <v>417</v>
      </c>
      <c r="F186" s="126">
        <v>7</v>
      </c>
      <c r="G186" s="126">
        <v>123</v>
      </c>
      <c r="H186" s="124">
        <v>123</v>
      </c>
      <c r="I186" s="125">
        <f t="shared" si="11"/>
        <v>861</v>
      </c>
      <c r="J186" s="127">
        <f t="shared" si="8"/>
        <v>861</v>
      </c>
      <c r="K186" s="127">
        <f t="shared" si="9"/>
        <v>0</v>
      </c>
      <c r="L186" s="127">
        <f t="shared" si="10"/>
        <v>0</v>
      </c>
      <c r="M186" s="124"/>
    </row>
    <row r="187" spans="2:13" s="96" customFormat="1">
      <c r="B187" s="124">
        <v>20</v>
      </c>
      <c r="C187" s="125" t="s">
        <v>40</v>
      </c>
      <c r="D187" s="126" t="s">
        <v>418</v>
      </c>
      <c r="E187" s="125" t="s">
        <v>419</v>
      </c>
      <c r="F187" s="126">
        <v>8.5</v>
      </c>
      <c r="G187" s="126">
        <v>5</v>
      </c>
      <c r="H187" s="124">
        <v>5</v>
      </c>
      <c r="I187" s="125">
        <f t="shared" si="11"/>
        <v>42.5</v>
      </c>
      <c r="J187" s="127">
        <f t="shared" si="8"/>
        <v>42.5</v>
      </c>
      <c r="K187" s="127">
        <f t="shared" si="9"/>
        <v>0</v>
      </c>
      <c r="L187" s="127">
        <f t="shared" si="10"/>
        <v>0</v>
      </c>
      <c r="M187" s="124"/>
    </row>
    <row r="188" spans="2:13" s="96" customFormat="1">
      <c r="B188" s="124">
        <v>20</v>
      </c>
      <c r="C188" s="125" t="s">
        <v>40</v>
      </c>
      <c r="D188" s="126" t="s">
        <v>420</v>
      </c>
      <c r="E188" s="125" t="s">
        <v>421</v>
      </c>
      <c r="F188" s="126">
        <v>38.5</v>
      </c>
      <c r="G188" s="126">
        <v>42</v>
      </c>
      <c r="H188" s="124">
        <v>42</v>
      </c>
      <c r="I188" s="125">
        <f t="shared" si="11"/>
        <v>1617</v>
      </c>
      <c r="J188" s="127">
        <f t="shared" si="8"/>
        <v>1617</v>
      </c>
      <c r="K188" s="127">
        <f t="shared" si="9"/>
        <v>0</v>
      </c>
      <c r="L188" s="127">
        <f t="shared" si="10"/>
        <v>0</v>
      </c>
      <c r="M188" s="124"/>
    </row>
    <row r="189" spans="2:13" s="96" customFormat="1">
      <c r="B189" s="124">
        <v>20</v>
      </c>
      <c r="C189" s="125" t="s">
        <v>40</v>
      </c>
      <c r="D189" s="126" t="s">
        <v>422</v>
      </c>
      <c r="E189" s="125" t="s">
        <v>423</v>
      </c>
      <c r="F189" s="126">
        <v>88</v>
      </c>
      <c r="G189" s="126">
        <v>10</v>
      </c>
      <c r="H189" s="124">
        <v>10</v>
      </c>
      <c r="I189" s="125">
        <f t="shared" si="11"/>
        <v>880</v>
      </c>
      <c r="J189" s="127">
        <f t="shared" si="8"/>
        <v>880</v>
      </c>
      <c r="K189" s="127">
        <f t="shared" si="9"/>
        <v>0</v>
      </c>
      <c r="L189" s="127">
        <f t="shared" si="10"/>
        <v>0</v>
      </c>
      <c r="M189" s="124"/>
    </row>
    <row r="190" spans="2:13" s="96" customFormat="1">
      <c r="B190" s="124">
        <v>20</v>
      </c>
      <c r="C190" s="125" t="s">
        <v>40</v>
      </c>
      <c r="D190" s="126" t="s">
        <v>424</v>
      </c>
      <c r="E190" s="125" t="s">
        <v>425</v>
      </c>
      <c r="F190" s="126">
        <v>17</v>
      </c>
      <c r="G190" s="126">
        <v>11</v>
      </c>
      <c r="H190" s="124">
        <v>11</v>
      </c>
      <c r="I190" s="125">
        <f t="shared" si="11"/>
        <v>187</v>
      </c>
      <c r="J190" s="127">
        <f t="shared" si="8"/>
        <v>187</v>
      </c>
      <c r="K190" s="127">
        <f t="shared" si="9"/>
        <v>0</v>
      </c>
      <c r="L190" s="127">
        <f t="shared" si="10"/>
        <v>0</v>
      </c>
      <c r="M190" s="124"/>
    </row>
    <row r="191" spans="2:13" s="96" customFormat="1">
      <c r="B191" s="124">
        <v>20</v>
      </c>
      <c r="C191" s="125" t="s">
        <v>40</v>
      </c>
      <c r="D191" s="126" t="s">
        <v>426</v>
      </c>
      <c r="E191" s="125" t="s">
        <v>427</v>
      </c>
      <c r="F191" s="126">
        <v>20</v>
      </c>
      <c r="G191" s="126">
        <v>7</v>
      </c>
      <c r="H191" s="124">
        <v>7</v>
      </c>
      <c r="I191" s="125">
        <f t="shared" si="11"/>
        <v>140</v>
      </c>
      <c r="J191" s="127">
        <f t="shared" si="8"/>
        <v>140</v>
      </c>
      <c r="K191" s="127">
        <f t="shared" si="9"/>
        <v>0</v>
      </c>
      <c r="L191" s="127">
        <f t="shared" si="10"/>
        <v>0</v>
      </c>
      <c r="M191" s="124"/>
    </row>
    <row r="192" spans="2:13" s="96" customFormat="1">
      <c r="B192" s="124">
        <v>20</v>
      </c>
      <c r="C192" s="125" t="s">
        <v>40</v>
      </c>
      <c r="D192" s="126" t="s">
        <v>428</v>
      </c>
      <c r="E192" s="125" t="s">
        <v>429</v>
      </c>
      <c r="F192" s="126">
        <v>65</v>
      </c>
      <c r="G192" s="126">
        <v>15</v>
      </c>
      <c r="H192" s="124">
        <v>15</v>
      </c>
      <c r="I192" s="125">
        <f t="shared" si="11"/>
        <v>975</v>
      </c>
      <c r="J192" s="127">
        <f t="shared" si="8"/>
        <v>975</v>
      </c>
      <c r="K192" s="127">
        <f t="shared" si="9"/>
        <v>0</v>
      </c>
      <c r="L192" s="127">
        <f t="shared" si="10"/>
        <v>0</v>
      </c>
      <c r="M192" s="124"/>
    </row>
    <row r="193" spans="2:13" s="96" customFormat="1">
      <c r="B193" s="124">
        <v>20</v>
      </c>
      <c r="C193" s="125" t="s">
        <v>40</v>
      </c>
      <c r="D193" s="126" t="s">
        <v>430</v>
      </c>
      <c r="E193" s="125" t="s">
        <v>431</v>
      </c>
      <c r="F193" s="126">
        <v>75</v>
      </c>
      <c r="G193" s="126">
        <v>71</v>
      </c>
      <c r="H193" s="124">
        <v>71</v>
      </c>
      <c r="I193" s="125">
        <f t="shared" si="11"/>
        <v>5325</v>
      </c>
      <c r="J193" s="127">
        <f t="shared" ref="J193:J220" si="12">F193*H193</f>
        <v>5325</v>
      </c>
      <c r="K193" s="127">
        <f t="shared" ref="K193:K220" si="13">G193-H193</f>
        <v>0</v>
      </c>
      <c r="L193" s="127">
        <f t="shared" ref="L193:L220" si="14">I193-J193</f>
        <v>0</v>
      </c>
      <c r="M193" s="124"/>
    </row>
    <row r="194" spans="2:13" s="96" customFormat="1">
      <c r="B194" s="124">
        <v>20</v>
      </c>
      <c r="C194" s="125" t="s">
        <v>40</v>
      </c>
      <c r="D194" s="126" t="s">
        <v>432</v>
      </c>
      <c r="E194" s="125" t="s">
        <v>433</v>
      </c>
      <c r="F194" s="126">
        <v>450</v>
      </c>
      <c r="G194" s="126">
        <v>1</v>
      </c>
      <c r="H194" s="124">
        <v>1</v>
      </c>
      <c r="I194" s="125">
        <f t="shared" si="11"/>
        <v>450</v>
      </c>
      <c r="J194" s="127">
        <f t="shared" si="12"/>
        <v>450</v>
      </c>
      <c r="K194" s="127">
        <f t="shared" si="13"/>
        <v>0</v>
      </c>
      <c r="L194" s="127">
        <f t="shared" si="14"/>
        <v>0</v>
      </c>
      <c r="M194" s="124"/>
    </row>
    <row r="195" spans="2:13" s="96" customFormat="1">
      <c r="B195" s="124">
        <v>20</v>
      </c>
      <c r="C195" s="125" t="s">
        <v>40</v>
      </c>
      <c r="D195" s="126" t="s">
        <v>434</v>
      </c>
      <c r="E195" s="125" t="s">
        <v>435</v>
      </c>
      <c r="F195" s="126">
        <v>500</v>
      </c>
      <c r="G195" s="126">
        <v>10</v>
      </c>
      <c r="H195" s="124">
        <v>10</v>
      </c>
      <c r="I195" s="125">
        <f t="shared" si="11"/>
        <v>5000</v>
      </c>
      <c r="J195" s="127">
        <f t="shared" si="12"/>
        <v>5000</v>
      </c>
      <c r="K195" s="127">
        <f t="shared" si="13"/>
        <v>0</v>
      </c>
      <c r="L195" s="127">
        <f t="shared" si="14"/>
        <v>0</v>
      </c>
      <c r="M195" s="124"/>
    </row>
    <row r="196" spans="2:13" s="96" customFormat="1">
      <c r="B196" s="124">
        <v>20</v>
      </c>
      <c r="C196" s="125" t="s">
        <v>40</v>
      </c>
      <c r="D196" s="126" t="s">
        <v>436</v>
      </c>
      <c r="E196" s="125" t="s">
        <v>437</v>
      </c>
      <c r="F196" s="126">
        <v>25</v>
      </c>
      <c r="G196" s="126">
        <v>2</v>
      </c>
      <c r="H196" s="124">
        <v>2</v>
      </c>
      <c r="I196" s="125">
        <f t="shared" si="11"/>
        <v>50</v>
      </c>
      <c r="J196" s="127">
        <f t="shared" si="12"/>
        <v>50</v>
      </c>
      <c r="K196" s="127">
        <f t="shared" si="13"/>
        <v>0</v>
      </c>
      <c r="L196" s="127">
        <f t="shared" si="14"/>
        <v>0</v>
      </c>
      <c r="M196" s="124"/>
    </row>
    <row r="197" spans="2:13" s="96" customFormat="1">
      <c r="B197" s="124">
        <v>20</v>
      </c>
      <c r="C197" s="125" t="s">
        <v>40</v>
      </c>
      <c r="D197" s="126" t="s">
        <v>438</v>
      </c>
      <c r="E197" s="125" t="s">
        <v>439</v>
      </c>
      <c r="F197" s="126">
        <v>55</v>
      </c>
      <c r="G197" s="126">
        <v>5</v>
      </c>
      <c r="H197" s="124">
        <v>5</v>
      </c>
      <c r="I197" s="125">
        <f t="shared" ref="I197:I220" si="15">F197*G197</f>
        <v>275</v>
      </c>
      <c r="J197" s="127">
        <f t="shared" si="12"/>
        <v>275</v>
      </c>
      <c r="K197" s="127">
        <f t="shared" si="13"/>
        <v>0</v>
      </c>
      <c r="L197" s="127">
        <f t="shared" si="14"/>
        <v>0</v>
      </c>
      <c r="M197" s="124"/>
    </row>
    <row r="198" spans="2:13" s="96" customFormat="1">
      <c r="B198" s="124">
        <v>20</v>
      </c>
      <c r="C198" s="125" t="s">
        <v>40</v>
      </c>
      <c r="D198" s="126" t="s">
        <v>440</v>
      </c>
      <c r="E198" s="125" t="s">
        <v>441</v>
      </c>
      <c r="F198" s="126">
        <v>30</v>
      </c>
      <c r="G198" s="126">
        <v>10</v>
      </c>
      <c r="H198" s="124">
        <v>10</v>
      </c>
      <c r="I198" s="125">
        <f t="shared" si="15"/>
        <v>300</v>
      </c>
      <c r="J198" s="127">
        <f t="shared" si="12"/>
        <v>300</v>
      </c>
      <c r="K198" s="127">
        <f t="shared" si="13"/>
        <v>0</v>
      </c>
      <c r="L198" s="127">
        <f t="shared" si="14"/>
        <v>0</v>
      </c>
      <c r="M198" s="124"/>
    </row>
    <row r="199" spans="2:13" s="96" customFormat="1">
      <c r="B199" s="124">
        <v>20</v>
      </c>
      <c r="C199" s="125" t="s">
        <v>40</v>
      </c>
      <c r="D199" s="126" t="s">
        <v>442</v>
      </c>
      <c r="E199" s="125" t="s">
        <v>443</v>
      </c>
      <c r="F199" s="126">
        <v>85</v>
      </c>
      <c r="G199" s="126">
        <v>21</v>
      </c>
      <c r="H199" s="124">
        <v>21</v>
      </c>
      <c r="I199" s="125">
        <f t="shared" si="15"/>
        <v>1785</v>
      </c>
      <c r="J199" s="127">
        <f t="shared" si="12"/>
        <v>1785</v>
      </c>
      <c r="K199" s="127">
        <f t="shared" si="13"/>
        <v>0</v>
      </c>
      <c r="L199" s="127">
        <f t="shared" si="14"/>
        <v>0</v>
      </c>
      <c r="M199" s="124"/>
    </row>
    <row r="200" spans="2:13" s="96" customFormat="1">
      <c r="B200" s="124">
        <v>20</v>
      </c>
      <c r="C200" s="125" t="s">
        <v>40</v>
      </c>
      <c r="D200" s="126" t="s">
        <v>444</v>
      </c>
      <c r="E200" s="125" t="s">
        <v>445</v>
      </c>
      <c r="F200" s="126">
        <v>36</v>
      </c>
      <c r="G200" s="126">
        <v>23</v>
      </c>
      <c r="H200" s="124">
        <v>23</v>
      </c>
      <c r="I200" s="125">
        <f t="shared" si="15"/>
        <v>828</v>
      </c>
      <c r="J200" s="127">
        <f t="shared" si="12"/>
        <v>828</v>
      </c>
      <c r="K200" s="127">
        <f t="shared" si="13"/>
        <v>0</v>
      </c>
      <c r="L200" s="127">
        <f t="shared" si="14"/>
        <v>0</v>
      </c>
      <c r="M200" s="124"/>
    </row>
    <row r="201" spans="2:13" s="96" customFormat="1">
      <c r="B201" s="124">
        <v>20</v>
      </c>
      <c r="C201" s="125" t="s">
        <v>40</v>
      </c>
      <c r="D201" s="126" t="s">
        <v>446</v>
      </c>
      <c r="E201" s="125" t="s">
        <v>447</v>
      </c>
      <c r="F201" s="126">
        <v>30</v>
      </c>
      <c r="G201" s="126">
        <v>32</v>
      </c>
      <c r="H201" s="124">
        <v>32</v>
      </c>
      <c r="I201" s="125">
        <f t="shared" si="15"/>
        <v>960</v>
      </c>
      <c r="J201" s="127">
        <f t="shared" si="12"/>
        <v>960</v>
      </c>
      <c r="K201" s="127">
        <f t="shared" si="13"/>
        <v>0</v>
      </c>
      <c r="L201" s="127">
        <f t="shared" si="14"/>
        <v>0</v>
      </c>
      <c r="M201" s="124"/>
    </row>
    <row r="202" spans="2:13" s="96" customFormat="1">
      <c r="B202" s="124">
        <v>20</v>
      </c>
      <c r="C202" s="125" t="s">
        <v>40</v>
      </c>
      <c r="D202" s="126" t="s">
        <v>448</v>
      </c>
      <c r="E202" s="125" t="s">
        <v>449</v>
      </c>
      <c r="F202" s="126">
        <v>600</v>
      </c>
      <c r="G202" s="126">
        <v>2</v>
      </c>
      <c r="H202" s="124">
        <v>2</v>
      </c>
      <c r="I202" s="125">
        <f t="shared" si="15"/>
        <v>1200</v>
      </c>
      <c r="J202" s="127">
        <f t="shared" si="12"/>
        <v>1200</v>
      </c>
      <c r="K202" s="127">
        <f t="shared" si="13"/>
        <v>0</v>
      </c>
      <c r="L202" s="127">
        <f t="shared" si="14"/>
        <v>0</v>
      </c>
      <c r="M202" s="124"/>
    </row>
    <row r="203" spans="2:13" s="96" customFormat="1">
      <c r="B203" s="124">
        <v>20</v>
      </c>
      <c r="C203" s="125" t="s">
        <v>40</v>
      </c>
      <c r="D203" s="126" t="s">
        <v>450</v>
      </c>
      <c r="E203" s="125" t="s">
        <v>451</v>
      </c>
      <c r="F203" s="126">
        <v>20</v>
      </c>
      <c r="G203" s="126">
        <v>1</v>
      </c>
      <c r="H203" s="124">
        <v>1</v>
      </c>
      <c r="I203" s="125">
        <f t="shared" si="15"/>
        <v>20</v>
      </c>
      <c r="J203" s="127">
        <f t="shared" si="12"/>
        <v>20</v>
      </c>
      <c r="K203" s="127">
        <f t="shared" si="13"/>
        <v>0</v>
      </c>
      <c r="L203" s="127">
        <f t="shared" si="14"/>
        <v>0</v>
      </c>
      <c r="M203" s="124"/>
    </row>
    <row r="204" spans="2:13" s="96" customFormat="1">
      <c r="B204" s="124">
        <v>20</v>
      </c>
      <c r="C204" s="125" t="s">
        <v>40</v>
      </c>
      <c r="D204" s="126" t="s">
        <v>452</v>
      </c>
      <c r="E204" s="125" t="s">
        <v>453</v>
      </c>
      <c r="F204" s="126">
        <v>216</v>
      </c>
      <c r="G204" s="126">
        <v>1</v>
      </c>
      <c r="H204" s="124">
        <v>1</v>
      </c>
      <c r="I204" s="125">
        <f t="shared" si="15"/>
        <v>216</v>
      </c>
      <c r="J204" s="127">
        <f t="shared" si="12"/>
        <v>216</v>
      </c>
      <c r="K204" s="127">
        <f t="shared" si="13"/>
        <v>0</v>
      </c>
      <c r="L204" s="127">
        <f t="shared" si="14"/>
        <v>0</v>
      </c>
      <c r="M204" s="124"/>
    </row>
    <row r="205" spans="2:13" s="96" customFormat="1">
      <c r="B205" s="124">
        <v>20</v>
      </c>
      <c r="C205" s="125" t="s">
        <v>40</v>
      </c>
      <c r="D205" s="126" t="s">
        <v>454</v>
      </c>
      <c r="E205" s="125" t="s">
        <v>455</v>
      </c>
      <c r="F205" s="126">
        <v>2.16</v>
      </c>
      <c r="G205" s="126">
        <v>20</v>
      </c>
      <c r="H205" s="124">
        <v>20</v>
      </c>
      <c r="I205" s="125">
        <f t="shared" si="15"/>
        <v>43.2</v>
      </c>
      <c r="J205" s="127">
        <f t="shared" si="12"/>
        <v>43.2</v>
      </c>
      <c r="K205" s="127">
        <f t="shared" si="13"/>
        <v>0</v>
      </c>
      <c r="L205" s="127">
        <f t="shared" si="14"/>
        <v>0</v>
      </c>
      <c r="M205" s="124"/>
    </row>
    <row r="206" spans="2:13" s="96" customFormat="1">
      <c r="B206" s="124">
        <v>20</v>
      </c>
      <c r="C206" s="125" t="s">
        <v>40</v>
      </c>
      <c r="D206" s="126" t="s">
        <v>456</v>
      </c>
      <c r="E206" s="125" t="s">
        <v>457</v>
      </c>
      <c r="F206" s="126">
        <v>80</v>
      </c>
      <c r="G206" s="126">
        <v>4</v>
      </c>
      <c r="H206" s="124">
        <v>4</v>
      </c>
      <c r="I206" s="125">
        <f t="shared" si="15"/>
        <v>320</v>
      </c>
      <c r="J206" s="127">
        <f t="shared" si="12"/>
        <v>320</v>
      </c>
      <c r="K206" s="127">
        <f t="shared" si="13"/>
        <v>0</v>
      </c>
      <c r="L206" s="127">
        <f t="shared" si="14"/>
        <v>0</v>
      </c>
      <c r="M206" s="124"/>
    </row>
    <row r="207" spans="2:13" s="96" customFormat="1">
      <c r="B207" s="124">
        <v>20</v>
      </c>
      <c r="C207" s="125" t="s">
        <v>40</v>
      </c>
      <c r="D207" s="126" t="s">
        <v>458</v>
      </c>
      <c r="E207" s="125" t="s">
        <v>459</v>
      </c>
      <c r="F207" s="126">
        <v>20</v>
      </c>
      <c r="G207" s="126">
        <v>3</v>
      </c>
      <c r="H207" s="124">
        <v>3</v>
      </c>
      <c r="I207" s="125">
        <f t="shared" si="15"/>
        <v>60</v>
      </c>
      <c r="J207" s="127">
        <f t="shared" si="12"/>
        <v>60</v>
      </c>
      <c r="K207" s="127">
        <f t="shared" si="13"/>
        <v>0</v>
      </c>
      <c r="L207" s="127">
        <f t="shared" si="14"/>
        <v>0</v>
      </c>
      <c r="M207" s="124"/>
    </row>
    <row r="208" spans="2:13" s="96" customFormat="1">
      <c r="B208" s="124">
        <v>20</v>
      </c>
      <c r="C208" s="125" t="s">
        <v>40</v>
      </c>
      <c r="D208" s="126" t="s">
        <v>460</v>
      </c>
      <c r="E208" s="125" t="s">
        <v>461</v>
      </c>
      <c r="F208" s="126">
        <v>10</v>
      </c>
      <c r="G208" s="126">
        <v>87</v>
      </c>
      <c r="H208" s="124">
        <v>87</v>
      </c>
      <c r="I208" s="125">
        <f t="shared" si="15"/>
        <v>870</v>
      </c>
      <c r="J208" s="127">
        <f t="shared" si="12"/>
        <v>870</v>
      </c>
      <c r="K208" s="127">
        <f t="shared" si="13"/>
        <v>0</v>
      </c>
      <c r="L208" s="127">
        <f t="shared" si="14"/>
        <v>0</v>
      </c>
      <c r="M208" s="124"/>
    </row>
    <row r="209" spans="2:13" s="96" customFormat="1">
      <c r="B209" s="124">
        <v>20</v>
      </c>
      <c r="C209" s="125" t="s">
        <v>40</v>
      </c>
      <c r="D209" s="126" t="s">
        <v>462</v>
      </c>
      <c r="E209" s="125" t="s">
        <v>463</v>
      </c>
      <c r="F209" s="126">
        <v>30</v>
      </c>
      <c r="G209" s="126">
        <v>35</v>
      </c>
      <c r="H209" s="124">
        <v>35</v>
      </c>
      <c r="I209" s="125">
        <f t="shared" si="15"/>
        <v>1050</v>
      </c>
      <c r="J209" s="127">
        <f t="shared" si="12"/>
        <v>1050</v>
      </c>
      <c r="K209" s="127">
        <f t="shared" si="13"/>
        <v>0</v>
      </c>
      <c r="L209" s="127">
        <f t="shared" si="14"/>
        <v>0</v>
      </c>
      <c r="M209" s="124"/>
    </row>
    <row r="210" spans="2:13" s="96" customFormat="1">
      <c r="B210" s="124">
        <v>20</v>
      </c>
      <c r="C210" s="125" t="s">
        <v>40</v>
      </c>
      <c r="D210" s="126" t="s">
        <v>464</v>
      </c>
      <c r="E210" s="125" t="s">
        <v>465</v>
      </c>
      <c r="F210" s="126">
        <v>25.5</v>
      </c>
      <c r="G210" s="126">
        <v>15</v>
      </c>
      <c r="H210" s="124">
        <v>15</v>
      </c>
      <c r="I210" s="125">
        <f t="shared" si="15"/>
        <v>382.5</v>
      </c>
      <c r="J210" s="127">
        <f t="shared" si="12"/>
        <v>382.5</v>
      </c>
      <c r="K210" s="127">
        <f t="shared" si="13"/>
        <v>0</v>
      </c>
      <c r="L210" s="127">
        <f t="shared" si="14"/>
        <v>0</v>
      </c>
      <c r="M210" s="124"/>
    </row>
    <row r="211" spans="2:13" s="96" customFormat="1">
      <c r="B211" s="124">
        <v>20</v>
      </c>
      <c r="C211" s="125" t="s">
        <v>40</v>
      </c>
      <c r="D211" s="126" t="s">
        <v>466</v>
      </c>
      <c r="E211" s="125" t="s">
        <v>467</v>
      </c>
      <c r="F211" s="126">
        <v>37</v>
      </c>
      <c r="G211" s="126">
        <v>11</v>
      </c>
      <c r="H211" s="124">
        <v>11</v>
      </c>
      <c r="I211" s="125">
        <f t="shared" si="15"/>
        <v>407</v>
      </c>
      <c r="J211" s="127">
        <f t="shared" si="12"/>
        <v>407</v>
      </c>
      <c r="K211" s="127">
        <f t="shared" si="13"/>
        <v>0</v>
      </c>
      <c r="L211" s="127">
        <f t="shared" si="14"/>
        <v>0</v>
      </c>
      <c r="M211" s="124"/>
    </row>
    <row r="212" spans="2:13" s="96" customFormat="1">
      <c r="B212" s="124">
        <v>20</v>
      </c>
      <c r="C212" s="125" t="s">
        <v>40</v>
      </c>
      <c r="D212" s="126" t="s">
        <v>468</v>
      </c>
      <c r="E212" s="125" t="s">
        <v>469</v>
      </c>
      <c r="F212" s="126">
        <v>53</v>
      </c>
      <c r="G212" s="126">
        <v>30</v>
      </c>
      <c r="H212" s="124">
        <v>30</v>
      </c>
      <c r="I212" s="125">
        <f t="shared" si="15"/>
        <v>1590</v>
      </c>
      <c r="J212" s="127">
        <f t="shared" si="12"/>
        <v>1590</v>
      </c>
      <c r="K212" s="127">
        <f t="shared" si="13"/>
        <v>0</v>
      </c>
      <c r="L212" s="127">
        <f t="shared" si="14"/>
        <v>0</v>
      </c>
      <c r="M212" s="124"/>
    </row>
    <row r="213" spans="2:13" s="96" customFormat="1">
      <c r="B213" s="124">
        <v>20</v>
      </c>
      <c r="C213" s="125" t="s">
        <v>40</v>
      </c>
      <c r="D213" s="126" t="s">
        <v>470</v>
      </c>
      <c r="E213" s="125" t="s">
        <v>471</v>
      </c>
      <c r="F213" s="126">
        <v>27</v>
      </c>
      <c r="G213" s="126">
        <v>14</v>
      </c>
      <c r="H213" s="124">
        <v>14</v>
      </c>
      <c r="I213" s="125">
        <f t="shared" si="15"/>
        <v>378</v>
      </c>
      <c r="J213" s="127">
        <f t="shared" si="12"/>
        <v>378</v>
      </c>
      <c r="K213" s="127">
        <f t="shared" si="13"/>
        <v>0</v>
      </c>
      <c r="L213" s="127">
        <f t="shared" si="14"/>
        <v>0</v>
      </c>
      <c r="M213" s="124"/>
    </row>
    <row r="214" spans="2:13" s="96" customFormat="1">
      <c r="B214" s="124">
        <v>20</v>
      </c>
      <c r="C214" s="125" t="s">
        <v>40</v>
      </c>
      <c r="D214" s="126" t="s">
        <v>472</v>
      </c>
      <c r="E214" s="125" t="s">
        <v>473</v>
      </c>
      <c r="F214" s="126">
        <v>0.44</v>
      </c>
      <c r="G214" s="126">
        <v>60</v>
      </c>
      <c r="H214" s="124">
        <v>60</v>
      </c>
      <c r="I214" s="125">
        <f t="shared" si="15"/>
        <v>26.4</v>
      </c>
      <c r="J214" s="127">
        <f t="shared" si="12"/>
        <v>26.4</v>
      </c>
      <c r="K214" s="127">
        <f t="shared" si="13"/>
        <v>0</v>
      </c>
      <c r="L214" s="127">
        <f t="shared" si="14"/>
        <v>0</v>
      </c>
      <c r="M214" s="124"/>
    </row>
    <row r="215" spans="2:13" s="96" customFormat="1">
      <c r="B215" s="124">
        <v>20</v>
      </c>
      <c r="C215" s="125" t="s">
        <v>40</v>
      </c>
      <c r="D215" s="126" t="s">
        <v>474</v>
      </c>
      <c r="E215" s="125" t="s">
        <v>475</v>
      </c>
      <c r="F215" s="126">
        <v>0.54</v>
      </c>
      <c r="G215" s="126">
        <v>1117</v>
      </c>
      <c r="H215" s="124">
        <v>1117</v>
      </c>
      <c r="I215" s="125">
        <f t="shared" si="15"/>
        <v>603.18000000000006</v>
      </c>
      <c r="J215" s="127">
        <f t="shared" si="12"/>
        <v>603.18000000000006</v>
      </c>
      <c r="K215" s="127">
        <f t="shared" si="13"/>
        <v>0</v>
      </c>
      <c r="L215" s="127">
        <f t="shared" si="14"/>
        <v>0</v>
      </c>
      <c r="M215" s="124"/>
    </row>
    <row r="216" spans="2:13" s="96" customFormat="1">
      <c r="B216" s="124">
        <v>20</v>
      </c>
      <c r="C216" s="125" t="s">
        <v>40</v>
      </c>
      <c r="D216" s="126" t="s">
        <v>476</v>
      </c>
      <c r="E216" s="125" t="s">
        <v>477</v>
      </c>
      <c r="F216" s="126">
        <v>0.44</v>
      </c>
      <c r="G216" s="126">
        <v>751</v>
      </c>
      <c r="H216" s="124">
        <v>751</v>
      </c>
      <c r="I216" s="125">
        <f t="shared" si="15"/>
        <v>330.44</v>
      </c>
      <c r="J216" s="127">
        <f t="shared" si="12"/>
        <v>330.44</v>
      </c>
      <c r="K216" s="127">
        <f t="shared" si="13"/>
        <v>0</v>
      </c>
      <c r="L216" s="127">
        <f t="shared" si="14"/>
        <v>0</v>
      </c>
      <c r="M216" s="124"/>
    </row>
    <row r="217" spans="2:13" s="96" customFormat="1">
      <c r="B217" s="124">
        <v>20</v>
      </c>
      <c r="C217" s="125" t="s">
        <v>40</v>
      </c>
      <c r="D217" s="126" t="s">
        <v>478</v>
      </c>
      <c r="E217" s="125" t="s">
        <v>479</v>
      </c>
      <c r="F217" s="126">
        <v>1.08</v>
      </c>
      <c r="G217" s="126">
        <v>500</v>
      </c>
      <c r="H217" s="124">
        <v>500</v>
      </c>
      <c r="I217" s="125">
        <f t="shared" si="15"/>
        <v>540</v>
      </c>
      <c r="J217" s="127">
        <f t="shared" si="12"/>
        <v>540</v>
      </c>
      <c r="K217" s="127">
        <f t="shared" si="13"/>
        <v>0</v>
      </c>
      <c r="L217" s="127">
        <f t="shared" si="14"/>
        <v>0</v>
      </c>
      <c r="M217" s="124"/>
    </row>
    <row r="218" spans="2:13" s="96" customFormat="1">
      <c r="B218" s="124">
        <v>20</v>
      </c>
      <c r="C218" s="125" t="s">
        <v>40</v>
      </c>
      <c r="D218" s="126" t="s">
        <v>480</v>
      </c>
      <c r="E218" s="125" t="s">
        <v>481</v>
      </c>
      <c r="F218" s="126">
        <v>32</v>
      </c>
      <c r="G218" s="126">
        <v>18</v>
      </c>
      <c r="H218" s="124">
        <v>19</v>
      </c>
      <c r="I218" s="125">
        <f t="shared" si="15"/>
        <v>576</v>
      </c>
      <c r="J218" s="127">
        <f t="shared" si="12"/>
        <v>608</v>
      </c>
      <c r="K218" s="127">
        <f t="shared" si="13"/>
        <v>-1</v>
      </c>
      <c r="L218" s="127">
        <f t="shared" si="14"/>
        <v>-32</v>
      </c>
      <c r="M218" s="124"/>
    </row>
    <row r="219" spans="2:13" s="96" customFormat="1">
      <c r="B219" s="124">
        <v>20</v>
      </c>
      <c r="C219" s="125" t="s">
        <v>40</v>
      </c>
      <c r="D219" s="126" t="s">
        <v>482</v>
      </c>
      <c r="E219" s="125" t="s">
        <v>483</v>
      </c>
      <c r="F219" s="126">
        <v>34</v>
      </c>
      <c r="G219" s="126">
        <v>92</v>
      </c>
      <c r="H219" s="124">
        <v>94</v>
      </c>
      <c r="I219" s="125">
        <f t="shared" si="15"/>
        <v>3128</v>
      </c>
      <c r="J219" s="127">
        <f t="shared" si="12"/>
        <v>3196</v>
      </c>
      <c r="K219" s="127">
        <f t="shared" si="13"/>
        <v>-2</v>
      </c>
      <c r="L219" s="127">
        <f t="shared" si="14"/>
        <v>-68</v>
      </c>
      <c r="M219" s="124"/>
    </row>
    <row r="220" spans="2:13" s="96" customFormat="1">
      <c r="B220" s="124">
        <v>20</v>
      </c>
      <c r="C220" s="125" t="s">
        <v>40</v>
      </c>
      <c r="D220" s="126" t="s">
        <v>484</v>
      </c>
      <c r="E220" s="125" t="s">
        <v>485</v>
      </c>
      <c r="F220" s="126">
        <v>26</v>
      </c>
      <c r="G220" s="126">
        <v>49</v>
      </c>
      <c r="H220" s="124">
        <v>49</v>
      </c>
      <c r="I220" s="125">
        <f t="shared" si="15"/>
        <v>1274</v>
      </c>
      <c r="J220" s="127">
        <f t="shared" si="12"/>
        <v>1274</v>
      </c>
      <c r="K220" s="127">
        <f t="shared" si="13"/>
        <v>0</v>
      </c>
      <c r="L220" s="127">
        <f t="shared" si="14"/>
        <v>0</v>
      </c>
      <c r="M220" s="124"/>
    </row>
    <row r="221" spans="2:13">
      <c r="B221" s="23" t="s">
        <v>14</v>
      </c>
      <c r="C221" s="24"/>
      <c r="D221" s="30"/>
      <c r="E221" s="24"/>
      <c r="F221" s="75"/>
      <c r="G221" s="34">
        <f t="shared" ref="G221:L221" si="16">SUM(G6:G220)</f>
        <v>31924</v>
      </c>
      <c r="H221" s="34">
        <f t="shared" si="16"/>
        <v>32915</v>
      </c>
      <c r="I221" s="34">
        <f t="shared" si="16"/>
        <v>438667.57999999996</v>
      </c>
      <c r="J221" s="129">
        <f t="shared" si="16"/>
        <v>445313.28000000003</v>
      </c>
      <c r="K221" s="34">
        <f t="shared" si="16"/>
        <v>-991</v>
      </c>
      <c r="L221" s="34">
        <f t="shared" si="16"/>
        <v>-6645.7000000000016</v>
      </c>
      <c r="M221" s="30"/>
    </row>
    <row r="223" spans="2:13">
      <c r="B223" s="25" t="s">
        <v>15</v>
      </c>
      <c r="C223" s="25"/>
      <c r="D223" s="2" t="s">
        <v>16</v>
      </c>
      <c r="E223" s="11" t="s">
        <v>17</v>
      </c>
      <c r="F223" s="161" t="s">
        <v>18</v>
      </c>
      <c r="G223" s="161"/>
      <c r="H223" s="161"/>
      <c r="I223" s="162"/>
    </row>
    <row r="224" spans="2:13">
      <c r="B224" s="163" t="s">
        <v>19</v>
      </c>
      <c r="C224" s="164"/>
      <c r="D224" s="26">
        <f>I221</f>
        <v>438667.57999999996</v>
      </c>
      <c r="E224" s="27">
        <f>G221</f>
        <v>31924</v>
      </c>
      <c r="F224" s="165" t="s">
        <v>43</v>
      </c>
      <c r="G224" s="165"/>
      <c r="H224" s="165"/>
      <c r="I224" s="166"/>
    </row>
    <row r="225" spans="2:9">
      <c r="B225" s="163" t="s">
        <v>8</v>
      </c>
      <c r="C225" s="164"/>
      <c r="D225" s="26">
        <f>J221</f>
        <v>445313.28000000003</v>
      </c>
      <c r="E225" s="27">
        <f>H221</f>
        <v>32915</v>
      </c>
      <c r="F225" s="167"/>
      <c r="G225" s="167"/>
      <c r="H225" s="167"/>
      <c r="I225" s="168"/>
    </row>
    <row r="226" spans="2:9">
      <c r="B226" s="25" t="s">
        <v>20</v>
      </c>
      <c r="C226" s="25"/>
      <c r="D226" s="28">
        <f>D224-D225</f>
        <v>-6645.7000000000698</v>
      </c>
      <c r="E226" s="29">
        <f>E224-E225</f>
        <v>-991</v>
      </c>
      <c r="F226" s="169"/>
      <c r="G226" s="169"/>
      <c r="H226" s="169"/>
      <c r="I226" s="170"/>
    </row>
    <row r="228" spans="2:9">
      <c r="B228" s="3" t="s">
        <v>21</v>
      </c>
      <c r="C228" s="3"/>
      <c r="E228" s="3" t="s">
        <v>22</v>
      </c>
      <c r="F228" s="76"/>
      <c r="H228" s="72" t="s">
        <v>23</v>
      </c>
    </row>
    <row r="229" spans="2:9">
      <c r="B229" s="3"/>
      <c r="C229" s="3"/>
      <c r="E229" s="3"/>
      <c r="F229" s="76"/>
      <c r="H229" s="72"/>
    </row>
    <row r="230" spans="2:9">
      <c r="B230" s="145" t="str">
        <f>'CONVIE-NOT FINAL'!B1712</f>
        <v>ANGELIKA B. MANUCOT</v>
      </c>
      <c r="C230" s="145"/>
      <c r="E230" s="4" t="s">
        <v>44</v>
      </c>
      <c r="F230" s="77"/>
      <c r="H230" s="145" t="s">
        <v>41</v>
      </c>
      <c r="I230" s="145"/>
    </row>
    <row r="231" spans="2:9">
      <c r="B231" s="147" t="s">
        <v>25</v>
      </c>
      <c r="C231" s="147"/>
      <c r="E231" s="5" t="s">
        <v>36</v>
      </c>
      <c r="H231" s="147" t="s">
        <v>27</v>
      </c>
      <c r="I231" s="147"/>
    </row>
    <row r="234" spans="2:9">
      <c r="B234" s="3" t="s">
        <v>28</v>
      </c>
      <c r="C234" s="6"/>
      <c r="H234" s="72" t="s">
        <v>29</v>
      </c>
    </row>
    <row r="235" spans="2:9">
      <c r="B235" s="3"/>
      <c r="C235" s="6"/>
      <c r="H235" s="72"/>
    </row>
    <row r="236" spans="2:9">
      <c r="B236" s="145" t="s">
        <v>67</v>
      </c>
      <c r="C236" s="145"/>
      <c r="D236" s="145"/>
      <c r="E236" s="8"/>
      <c r="H236" s="145" t="s">
        <v>30</v>
      </c>
      <c r="I236" s="145"/>
    </row>
    <row r="237" spans="2:9">
      <c r="B237" s="147" t="s">
        <v>66</v>
      </c>
      <c r="C237" s="147"/>
      <c r="D237" s="147"/>
      <c r="E237" s="8"/>
      <c r="H237" s="147" t="s">
        <v>31</v>
      </c>
      <c r="I237" s="147"/>
    </row>
  </sheetData>
  <autoFilter ref="B5:X221" xr:uid="{00000000-0001-0000-0700-000000000000}"/>
  <mergeCells count="12">
    <mergeCell ref="F223:I223"/>
    <mergeCell ref="B224:C224"/>
    <mergeCell ref="F224:I226"/>
    <mergeCell ref="B225:C225"/>
    <mergeCell ref="B230:C230"/>
    <mergeCell ref="H230:I230"/>
    <mergeCell ref="B231:C231"/>
    <mergeCell ref="H231:I231"/>
    <mergeCell ref="H236:I236"/>
    <mergeCell ref="H237:I237"/>
    <mergeCell ref="B236:D236"/>
    <mergeCell ref="B237:D237"/>
  </mergeCells>
  <pageMargins left="0.7" right="0.7" top="0.25" bottom="0.25" header="0.3" footer="0.3"/>
  <pageSetup paperSize="14" scale="67" fitToHeight="0" orientation="landscape" r:id="rId1"/>
  <rowBreaks count="2" manualBreakCount="2">
    <brk id="114" max="12" man="1"/>
    <brk id="173" max="12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N85"/>
  <sheetViews>
    <sheetView showGridLines="0" view="pageBreakPreview" zoomScale="115" zoomScaleNormal="115" zoomScaleSheetLayoutView="115" workbookViewId="0">
      <selection activeCell="A52" sqref="A52:XFD53"/>
    </sheetView>
  </sheetViews>
  <sheetFormatPr defaultColWidth="9" defaultRowHeight="15"/>
  <cols>
    <col min="2" max="2" width="9.85546875" customWidth="1"/>
    <col min="3" max="3" width="52.85546875" customWidth="1"/>
    <col min="4" max="4" width="9.140625" style="7"/>
    <col min="5" max="6" width="9" style="7"/>
    <col min="7" max="7" width="11.85546875" style="7" hidden="1" customWidth="1"/>
    <col min="8" max="8" width="13.5703125" style="7" hidden="1" customWidth="1"/>
    <col min="9" max="9" width="12.42578125" customWidth="1"/>
    <col min="10" max="10" width="12.140625" customWidth="1"/>
    <col min="11" max="11" width="14.28515625" customWidth="1"/>
  </cols>
  <sheetData>
    <row r="1" spans="1:14">
      <c r="A1" s="3" t="s">
        <v>46</v>
      </c>
      <c r="B1" s="3"/>
      <c r="D1"/>
      <c r="E1"/>
      <c r="F1"/>
      <c r="G1" s="171"/>
      <c r="H1" s="171"/>
      <c r="M1" s="7"/>
      <c r="N1" s="7"/>
    </row>
    <row r="2" spans="1:14" ht="12.75" customHeight="1">
      <c r="A2" t="str">
        <f>PRINTING!B2</f>
        <v>AS OF MAY 2026</v>
      </c>
      <c r="D2"/>
      <c r="E2"/>
      <c r="F2"/>
      <c r="G2"/>
      <c r="H2"/>
      <c r="M2" s="7"/>
      <c r="N2" s="7"/>
    </row>
    <row r="3" spans="1:14" ht="12.75" customHeight="1">
      <c r="B3" s="13" t="s">
        <v>33</v>
      </c>
    </row>
    <row r="4" spans="1:14" s="86" customFormat="1" ht="15.75" customHeight="1">
      <c r="B4" s="87" t="s">
        <v>4</v>
      </c>
      <c r="C4" s="58" t="s">
        <v>5</v>
      </c>
      <c r="D4" s="88" t="s">
        <v>6</v>
      </c>
      <c r="E4" s="89" t="s">
        <v>39</v>
      </c>
      <c r="F4" s="89" t="s">
        <v>8</v>
      </c>
      <c r="G4" s="118" t="s">
        <v>68</v>
      </c>
      <c r="H4" s="119" t="s">
        <v>69</v>
      </c>
      <c r="I4" s="89" t="s">
        <v>11</v>
      </c>
      <c r="J4" s="88" t="s">
        <v>12</v>
      </c>
      <c r="K4" s="58" t="s">
        <v>13</v>
      </c>
    </row>
    <row r="5" spans="1:14" s="52" customFormat="1">
      <c r="B5" s="126" t="s">
        <v>106</v>
      </c>
      <c r="C5" s="125" t="s">
        <v>107</v>
      </c>
      <c r="D5" s="126">
        <v>99.3</v>
      </c>
      <c r="E5" s="126">
        <v>154</v>
      </c>
      <c r="F5" s="124">
        <v>161</v>
      </c>
      <c r="G5" s="125">
        <v>15292.199999999999</v>
      </c>
      <c r="H5" s="127">
        <v>15987.3</v>
      </c>
      <c r="I5" s="127">
        <v>-7</v>
      </c>
      <c r="J5" s="127">
        <v>-695.10000000000036</v>
      </c>
      <c r="K5" s="103"/>
    </row>
    <row r="6" spans="1:14" s="52" customFormat="1">
      <c r="B6" s="126" t="s">
        <v>108</v>
      </c>
      <c r="C6" s="125" t="s">
        <v>109</v>
      </c>
      <c r="D6" s="126">
        <v>84</v>
      </c>
      <c r="E6" s="126">
        <v>142</v>
      </c>
      <c r="F6" s="124">
        <v>151</v>
      </c>
      <c r="G6" s="125">
        <v>11928</v>
      </c>
      <c r="H6" s="127">
        <v>12684</v>
      </c>
      <c r="I6" s="127">
        <v>-9</v>
      </c>
      <c r="J6" s="127">
        <v>-756</v>
      </c>
      <c r="K6" s="103"/>
    </row>
    <row r="7" spans="1:14" s="52" customFormat="1">
      <c r="B7" s="126" t="s">
        <v>112</v>
      </c>
      <c r="C7" s="125" t="s">
        <v>113</v>
      </c>
      <c r="D7" s="126">
        <v>4</v>
      </c>
      <c r="E7" s="126">
        <v>788</v>
      </c>
      <c r="F7" s="124">
        <v>850</v>
      </c>
      <c r="G7" s="125">
        <v>3152</v>
      </c>
      <c r="H7" s="127">
        <v>3400</v>
      </c>
      <c r="I7" s="127">
        <v>-62</v>
      </c>
      <c r="J7" s="127">
        <v>-248</v>
      </c>
      <c r="K7" s="103"/>
    </row>
    <row r="8" spans="1:14" s="52" customFormat="1">
      <c r="B8" s="126" t="s">
        <v>134</v>
      </c>
      <c r="C8" s="125" t="s">
        <v>135</v>
      </c>
      <c r="D8" s="126">
        <v>1.5</v>
      </c>
      <c r="E8" s="126">
        <v>3650</v>
      </c>
      <c r="F8" s="124">
        <v>4000</v>
      </c>
      <c r="G8" s="125">
        <v>5475</v>
      </c>
      <c r="H8" s="127">
        <v>6000</v>
      </c>
      <c r="I8" s="127">
        <v>-350</v>
      </c>
      <c r="J8" s="127">
        <v>-525</v>
      </c>
      <c r="K8" s="103"/>
    </row>
    <row r="9" spans="1:14" s="52" customFormat="1">
      <c r="B9" s="126" t="s">
        <v>182</v>
      </c>
      <c r="C9" s="125" t="s">
        <v>183</v>
      </c>
      <c r="D9" s="126">
        <v>60</v>
      </c>
      <c r="E9" s="126">
        <v>10</v>
      </c>
      <c r="F9" s="124">
        <v>11</v>
      </c>
      <c r="G9" s="125">
        <v>600</v>
      </c>
      <c r="H9" s="127">
        <v>660</v>
      </c>
      <c r="I9" s="127">
        <v>-1</v>
      </c>
      <c r="J9" s="127">
        <v>-60</v>
      </c>
      <c r="K9" s="103"/>
    </row>
    <row r="10" spans="1:14" s="52" customFormat="1">
      <c r="B10" s="126" t="s">
        <v>186</v>
      </c>
      <c r="C10" s="125" t="s">
        <v>187</v>
      </c>
      <c r="D10" s="126">
        <v>28</v>
      </c>
      <c r="E10" s="126">
        <v>20</v>
      </c>
      <c r="F10" s="124">
        <v>23</v>
      </c>
      <c r="G10" s="125">
        <v>560</v>
      </c>
      <c r="H10" s="127">
        <v>644</v>
      </c>
      <c r="I10" s="127">
        <v>-3</v>
      </c>
      <c r="J10" s="127">
        <v>-84</v>
      </c>
      <c r="K10" s="103"/>
    </row>
    <row r="11" spans="1:14" s="52" customFormat="1">
      <c r="B11" s="126" t="s">
        <v>224</v>
      </c>
      <c r="C11" s="125" t="s">
        <v>225</v>
      </c>
      <c r="D11" s="126">
        <v>14.5</v>
      </c>
      <c r="E11" s="126">
        <v>67</v>
      </c>
      <c r="F11" s="124">
        <v>80</v>
      </c>
      <c r="G11" s="125">
        <v>971.5</v>
      </c>
      <c r="H11" s="127">
        <v>1160</v>
      </c>
      <c r="I11" s="127">
        <v>-13</v>
      </c>
      <c r="J11" s="127">
        <v>-188.5</v>
      </c>
      <c r="K11" s="103"/>
    </row>
    <row r="12" spans="1:14" s="52" customFormat="1">
      <c r="B12" s="126" t="s">
        <v>256</v>
      </c>
      <c r="C12" s="125" t="s">
        <v>257</v>
      </c>
      <c r="D12" s="126">
        <v>2.7</v>
      </c>
      <c r="E12" s="126">
        <v>2314</v>
      </c>
      <c r="F12" s="124">
        <v>2795</v>
      </c>
      <c r="G12" s="125">
        <v>6247.8</v>
      </c>
      <c r="H12" s="127">
        <v>7546.5000000000009</v>
      </c>
      <c r="I12" s="127">
        <v>-481</v>
      </c>
      <c r="J12" s="127">
        <v>-1298.7000000000007</v>
      </c>
      <c r="K12" s="103"/>
    </row>
    <row r="13" spans="1:14" s="52" customFormat="1">
      <c r="B13" s="126" t="s">
        <v>262</v>
      </c>
      <c r="C13" s="125" t="s">
        <v>263</v>
      </c>
      <c r="D13" s="126">
        <v>2.8</v>
      </c>
      <c r="E13" s="126">
        <v>3316</v>
      </c>
      <c r="F13" s="124">
        <v>3333</v>
      </c>
      <c r="G13" s="125">
        <v>9284.7999999999993</v>
      </c>
      <c r="H13" s="127">
        <v>9332.4</v>
      </c>
      <c r="I13" s="127">
        <v>-17</v>
      </c>
      <c r="J13" s="127">
        <v>-47.600000000000364</v>
      </c>
      <c r="K13" s="103"/>
    </row>
    <row r="14" spans="1:14" s="52" customFormat="1">
      <c r="B14" s="126" t="s">
        <v>266</v>
      </c>
      <c r="C14" s="125" t="s">
        <v>267</v>
      </c>
      <c r="D14" s="126">
        <v>115.85</v>
      </c>
      <c r="E14" s="126">
        <v>1</v>
      </c>
      <c r="F14" s="124">
        <v>9</v>
      </c>
      <c r="G14" s="125">
        <v>115.85</v>
      </c>
      <c r="H14" s="127">
        <v>1042.6499999999999</v>
      </c>
      <c r="I14" s="127">
        <v>-8</v>
      </c>
      <c r="J14" s="127">
        <v>-926.79999999999984</v>
      </c>
      <c r="K14" s="103"/>
    </row>
    <row r="15" spans="1:14" s="52" customFormat="1">
      <c r="B15" s="126" t="s">
        <v>286</v>
      </c>
      <c r="C15" s="125" t="s">
        <v>287</v>
      </c>
      <c r="D15" s="126">
        <v>17</v>
      </c>
      <c r="E15" s="126">
        <v>9</v>
      </c>
      <c r="F15" s="124">
        <v>35</v>
      </c>
      <c r="G15" s="125">
        <v>153</v>
      </c>
      <c r="H15" s="127">
        <v>595</v>
      </c>
      <c r="I15" s="127">
        <v>-26</v>
      </c>
      <c r="J15" s="127">
        <v>-442</v>
      </c>
      <c r="K15" s="103"/>
    </row>
    <row r="16" spans="1:14" s="52" customFormat="1">
      <c r="B16" s="126" t="s">
        <v>326</v>
      </c>
      <c r="C16" s="125" t="s">
        <v>327</v>
      </c>
      <c r="D16" s="126">
        <v>15</v>
      </c>
      <c r="E16" s="126">
        <v>96</v>
      </c>
      <c r="F16" s="134">
        <v>98</v>
      </c>
      <c r="G16" s="125">
        <v>1440</v>
      </c>
      <c r="H16" s="127">
        <v>1470</v>
      </c>
      <c r="I16" s="127">
        <v>-2</v>
      </c>
      <c r="J16" s="127">
        <v>-30</v>
      </c>
      <c r="K16" s="103"/>
    </row>
    <row r="17" spans="2:11" s="52" customFormat="1">
      <c r="B17" s="126" t="s">
        <v>358</v>
      </c>
      <c r="C17" s="125" t="s">
        <v>359</v>
      </c>
      <c r="D17" s="126">
        <v>126</v>
      </c>
      <c r="E17" s="126">
        <v>229</v>
      </c>
      <c r="F17" s="124">
        <v>239</v>
      </c>
      <c r="G17" s="125">
        <v>28854</v>
      </c>
      <c r="H17" s="127">
        <v>30114</v>
      </c>
      <c r="I17" s="127">
        <v>-10</v>
      </c>
      <c r="J17" s="127">
        <v>-1260</v>
      </c>
      <c r="K17" s="103"/>
    </row>
    <row r="18" spans="2:11" s="52" customFormat="1">
      <c r="B18" s="126" t="s">
        <v>480</v>
      </c>
      <c r="C18" s="125" t="s">
        <v>481</v>
      </c>
      <c r="D18" s="126">
        <v>32</v>
      </c>
      <c r="E18" s="126">
        <v>18</v>
      </c>
      <c r="F18" s="124">
        <v>19</v>
      </c>
      <c r="G18" s="125">
        <v>576</v>
      </c>
      <c r="H18" s="127">
        <v>608</v>
      </c>
      <c r="I18" s="127">
        <v>-1</v>
      </c>
      <c r="J18" s="127">
        <v>-32</v>
      </c>
      <c r="K18" s="103"/>
    </row>
    <row r="19" spans="2:11" s="52" customFormat="1">
      <c r="B19" s="126" t="s">
        <v>482</v>
      </c>
      <c r="C19" s="125" t="s">
        <v>483</v>
      </c>
      <c r="D19" s="126">
        <v>34</v>
      </c>
      <c r="E19" s="126">
        <v>92</v>
      </c>
      <c r="F19" s="124">
        <v>94</v>
      </c>
      <c r="G19" s="125">
        <v>3128</v>
      </c>
      <c r="H19" s="127">
        <v>3196</v>
      </c>
      <c r="I19" s="127">
        <v>-2</v>
      </c>
      <c r="J19" s="127">
        <v>-68</v>
      </c>
      <c r="K19" s="103"/>
    </row>
    <row r="20" spans="2:11" s="52" customFormat="1" hidden="1">
      <c r="B20" s="126"/>
      <c r="C20" s="125"/>
      <c r="D20" s="126"/>
      <c r="E20" s="126"/>
      <c r="F20" s="124"/>
      <c r="G20" s="125"/>
      <c r="H20" s="127"/>
      <c r="I20" s="127"/>
      <c r="J20" s="127"/>
      <c r="K20" s="103"/>
    </row>
    <row r="21" spans="2:11" s="52" customFormat="1" hidden="1">
      <c r="B21" s="126"/>
      <c r="C21" s="125"/>
      <c r="D21" s="126"/>
      <c r="E21" s="126"/>
      <c r="F21" s="124"/>
      <c r="G21" s="125"/>
      <c r="H21" s="127"/>
      <c r="I21" s="127"/>
      <c r="J21" s="127"/>
      <c r="K21" s="103"/>
    </row>
    <row r="22" spans="2:11" s="52" customFormat="1" hidden="1">
      <c r="B22" s="126"/>
      <c r="C22" s="125"/>
      <c r="D22" s="126"/>
      <c r="E22" s="126"/>
      <c r="F22" s="124"/>
      <c r="G22" s="125"/>
      <c r="H22" s="127"/>
      <c r="I22" s="127"/>
      <c r="J22" s="127"/>
      <c r="K22" s="103"/>
    </row>
    <row r="23" spans="2:11" s="52" customFormat="1" hidden="1">
      <c r="B23" s="126"/>
      <c r="C23" s="125"/>
      <c r="D23" s="126"/>
      <c r="E23" s="126"/>
      <c r="F23" s="124"/>
      <c r="G23" s="125"/>
      <c r="H23" s="127"/>
      <c r="I23" s="127"/>
      <c r="J23" s="127"/>
      <c r="K23" s="103"/>
    </row>
    <row r="24" spans="2:11" s="52" customFormat="1" hidden="1">
      <c r="B24" s="126"/>
      <c r="C24" s="125"/>
      <c r="D24" s="126"/>
      <c r="E24" s="126"/>
      <c r="F24" s="124"/>
      <c r="G24" s="125"/>
      <c r="H24" s="127"/>
      <c r="I24" s="127"/>
      <c r="J24" s="127"/>
      <c r="K24" s="103"/>
    </row>
    <row r="25" spans="2:11" s="52" customFormat="1" hidden="1">
      <c r="B25" s="126"/>
      <c r="C25" s="125"/>
      <c r="D25" s="126"/>
      <c r="E25" s="126"/>
      <c r="F25" s="124"/>
      <c r="G25" s="125"/>
      <c r="H25" s="127"/>
      <c r="I25" s="127"/>
      <c r="J25" s="127"/>
      <c r="K25" s="103"/>
    </row>
    <row r="26" spans="2:11" s="52" customFormat="1" hidden="1">
      <c r="B26" s="126"/>
      <c r="C26" s="125"/>
      <c r="D26" s="126"/>
      <c r="E26" s="126"/>
      <c r="F26" s="124"/>
      <c r="G26" s="125"/>
      <c r="H26" s="127"/>
      <c r="I26" s="127"/>
      <c r="J26" s="127"/>
      <c r="K26" s="103"/>
    </row>
    <row r="27" spans="2:11" s="52" customFormat="1" hidden="1">
      <c r="B27" s="126"/>
      <c r="C27" s="125"/>
      <c r="D27" s="126"/>
      <c r="E27" s="126"/>
      <c r="F27" s="124"/>
      <c r="G27" s="125"/>
      <c r="H27" s="127"/>
      <c r="I27" s="127"/>
      <c r="J27" s="127"/>
      <c r="K27" s="103"/>
    </row>
    <row r="28" spans="2:11" s="52" customFormat="1" hidden="1">
      <c r="B28" s="126"/>
      <c r="C28" s="125"/>
      <c r="D28" s="126"/>
      <c r="E28" s="126"/>
      <c r="F28" s="124"/>
      <c r="G28" s="125"/>
      <c r="H28" s="127"/>
      <c r="I28" s="127"/>
      <c r="J28" s="127"/>
      <c r="K28" s="103"/>
    </row>
    <row r="29" spans="2:11" s="52" customFormat="1" hidden="1">
      <c r="B29" s="126"/>
      <c r="C29" s="125"/>
      <c r="D29" s="126"/>
      <c r="E29" s="126"/>
      <c r="F29" s="124"/>
      <c r="G29" s="125"/>
      <c r="H29" s="127"/>
      <c r="I29" s="127"/>
      <c r="J29" s="127"/>
      <c r="K29" s="103"/>
    </row>
    <row r="30" spans="2:11" s="52" customFormat="1" hidden="1">
      <c r="B30" s="126"/>
      <c r="C30" s="125"/>
      <c r="D30" s="126"/>
      <c r="E30" s="126"/>
      <c r="F30" s="124"/>
      <c r="G30" s="125"/>
      <c r="H30" s="127"/>
      <c r="I30" s="127"/>
      <c r="J30" s="127"/>
      <c r="K30" s="103"/>
    </row>
    <row r="31" spans="2:11" s="52" customFormat="1" hidden="1">
      <c r="B31" s="126"/>
      <c r="C31" s="125"/>
      <c r="D31" s="126"/>
      <c r="E31" s="126"/>
      <c r="F31" s="124"/>
      <c r="G31" s="125"/>
      <c r="H31" s="127"/>
      <c r="I31" s="127"/>
      <c r="J31" s="127"/>
      <c r="K31" s="103"/>
    </row>
    <row r="32" spans="2:11" s="52" customFormat="1" hidden="1">
      <c r="B32" s="126"/>
      <c r="C32" s="125"/>
      <c r="D32" s="126"/>
      <c r="E32" s="126"/>
      <c r="F32" s="124"/>
      <c r="G32" s="125"/>
      <c r="H32" s="127"/>
      <c r="I32" s="127"/>
      <c r="J32" s="127"/>
      <c r="K32" s="103"/>
    </row>
    <row r="33" spans="2:11" s="52" customFormat="1" hidden="1">
      <c r="B33" s="126"/>
      <c r="C33" s="125"/>
      <c r="D33" s="126"/>
      <c r="E33" s="126"/>
      <c r="F33" s="124"/>
      <c r="G33" s="125"/>
      <c r="H33" s="127"/>
      <c r="I33" s="127"/>
      <c r="J33" s="127"/>
      <c r="K33" s="103"/>
    </row>
    <row r="34" spans="2:11" s="52" customFormat="1" hidden="1">
      <c r="B34" s="126"/>
      <c r="C34" s="125"/>
      <c r="D34" s="126"/>
      <c r="E34" s="126"/>
      <c r="F34" s="124"/>
      <c r="G34" s="125"/>
      <c r="H34" s="127"/>
      <c r="I34" s="127"/>
      <c r="J34" s="127"/>
      <c r="K34" s="103"/>
    </row>
    <row r="35" spans="2:11" s="52" customFormat="1" hidden="1">
      <c r="B35" s="113"/>
      <c r="C35" s="102"/>
      <c r="D35" s="113"/>
      <c r="E35" s="104"/>
      <c r="F35" s="113"/>
      <c r="G35" s="120"/>
      <c r="H35" s="121"/>
      <c r="I35" s="114"/>
      <c r="J35" s="114"/>
      <c r="K35" s="103"/>
    </row>
    <row r="36" spans="2:11" s="52" customFormat="1" hidden="1">
      <c r="B36" s="113"/>
      <c r="C36" s="102"/>
      <c r="D36" s="113"/>
      <c r="E36" s="104"/>
      <c r="F36" s="113"/>
      <c r="G36" s="120"/>
      <c r="H36" s="121"/>
      <c r="I36" s="114"/>
      <c r="J36" s="114"/>
      <c r="K36" s="103"/>
    </row>
    <row r="37" spans="2:11" s="52" customFormat="1" hidden="1">
      <c r="B37" s="113"/>
      <c r="C37" s="102"/>
      <c r="D37" s="113"/>
      <c r="E37" s="104"/>
      <c r="F37" s="113"/>
      <c r="G37" s="120"/>
      <c r="H37" s="121"/>
      <c r="I37" s="114"/>
      <c r="J37" s="114"/>
      <c r="K37" s="103"/>
    </row>
    <row r="38" spans="2:11" s="52" customFormat="1" hidden="1">
      <c r="B38" s="113"/>
      <c r="C38" s="102"/>
      <c r="D38" s="113"/>
      <c r="E38" s="104"/>
      <c r="F38" s="113"/>
      <c r="G38" s="120"/>
      <c r="H38" s="122"/>
      <c r="I38" s="114"/>
      <c r="J38" s="114"/>
      <c r="K38" s="103"/>
    </row>
    <row r="39" spans="2:11" s="52" customFormat="1" hidden="1">
      <c r="B39" s="113"/>
      <c r="C39" s="102"/>
      <c r="D39" s="113"/>
      <c r="E39" s="104"/>
      <c r="F39" s="113"/>
      <c r="G39" s="120"/>
      <c r="H39" s="122"/>
      <c r="I39" s="114"/>
      <c r="J39" s="114"/>
      <c r="K39" s="103"/>
    </row>
    <row r="40" spans="2:11" s="52" customFormat="1" hidden="1">
      <c r="B40" s="113"/>
      <c r="C40" s="102"/>
      <c r="D40" s="113"/>
      <c r="E40" s="104"/>
      <c r="F40" s="113"/>
      <c r="G40" s="120"/>
      <c r="H40" s="122"/>
      <c r="I40" s="114"/>
      <c r="J40" s="114"/>
      <c r="K40" s="103"/>
    </row>
    <row r="41" spans="2:11" s="52" customFormat="1" hidden="1">
      <c r="B41" s="113"/>
      <c r="C41" s="102"/>
      <c r="D41" s="113"/>
      <c r="E41" s="104"/>
      <c r="F41" s="113"/>
      <c r="G41" s="120"/>
      <c r="H41" s="122"/>
      <c r="I41" s="114"/>
      <c r="J41" s="114"/>
      <c r="K41" s="103"/>
    </row>
    <row r="42" spans="2:11" s="52" customFormat="1" hidden="1">
      <c r="B42" s="113"/>
      <c r="C42" s="102"/>
      <c r="D42" s="113"/>
      <c r="E42" s="104"/>
      <c r="F42" s="113"/>
      <c r="G42" s="120"/>
      <c r="H42" s="122"/>
      <c r="I42" s="114"/>
      <c r="J42" s="114"/>
      <c r="K42" s="47"/>
    </row>
    <row r="43" spans="2:11" ht="12" customHeight="1">
      <c r="B43" s="14"/>
      <c r="C43" s="15"/>
      <c r="D43" s="16"/>
      <c r="E43" s="16"/>
      <c r="F43" s="16"/>
      <c r="G43" s="123"/>
      <c r="H43" s="123"/>
      <c r="I43" s="16">
        <f>SUM(I5:I42)</f>
        <v>-992</v>
      </c>
      <c r="J43" s="16">
        <f>SUM(J5:J42)</f>
        <v>-6661.7000000000016</v>
      </c>
      <c r="K43" s="17"/>
    </row>
    <row r="44" spans="2:11" ht="19.5" hidden="1" customHeight="1">
      <c r="K44" s="19"/>
    </row>
    <row r="45" spans="2:11" ht="20.100000000000001" hidden="1" customHeight="1">
      <c r="B45" s="38" t="s">
        <v>34</v>
      </c>
      <c r="G45"/>
      <c r="K45" s="19"/>
    </row>
    <row r="46" spans="2:11" ht="20.100000000000001" hidden="1" customHeight="1">
      <c r="B46" s="54" t="s">
        <v>4</v>
      </c>
      <c r="C46" s="43" t="s">
        <v>5</v>
      </c>
      <c r="D46" s="55" t="s">
        <v>6</v>
      </c>
      <c r="E46" s="55"/>
      <c r="F46" s="55"/>
      <c r="G46" s="43" t="s">
        <v>11</v>
      </c>
      <c r="H46" s="55" t="s">
        <v>12</v>
      </c>
      <c r="I46" s="43" t="s">
        <v>13</v>
      </c>
      <c r="K46" s="19"/>
    </row>
    <row r="47" spans="2:11" ht="20.100000000000001" hidden="1" customHeight="1">
      <c r="B47" s="46"/>
      <c r="C47" s="46"/>
      <c r="D47" s="56"/>
      <c r="E47" s="56"/>
      <c r="F47" s="56"/>
      <c r="G47" s="49"/>
      <c r="H47" s="48">
        <f t="shared" ref="H47" si="0">D47*G47</f>
        <v>0</v>
      </c>
      <c r="I47" s="47"/>
      <c r="K47" s="19"/>
    </row>
    <row r="48" spans="2:11" ht="20.100000000000001" hidden="1" customHeight="1">
      <c r="B48" s="14"/>
      <c r="C48" s="15"/>
      <c r="D48" s="16"/>
      <c r="E48" s="16"/>
      <c r="F48" s="16"/>
      <c r="G48" s="17">
        <f>SUM(G47:G47)</f>
        <v>0</v>
      </c>
      <c r="H48" s="18">
        <f>SUM(H47:H47)</f>
        <v>0</v>
      </c>
      <c r="I48" s="17">
        <f>SUM(I47:I47)</f>
        <v>0</v>
      </c>
      <c r="K48" s="19"/>
    </row>
    <row r="49" spans="2:11" s="12" customFormat="1" ht="12.75" customHeight="1">
      <c r="B49" s="38" t="s">
        <v>35</v>
      </c>
      <c r="C49"/>
      <c r="D49" s="7"/>
      <c r="E49" s="7"/>
      <c r="F49" s="7"/>
      <c r="G49"/>
      <c r="H49" s="7"/>
      <c r="I49"/>
    </row>
    <row r="50" spans="2:11" s="86" customFormat="1" ht="13.5" customHeight="1">
      <c r="B50" s="87" t="s">
        <v>4</v>
      </c>
      <c r="C50" s="58" t="s">
        <v>5</v>
      </c>
      <c r="D50" s="88" t="s">
        <v>6</v>
      </c>
      <c r="E50" s="89" t="s">
        <v>39</v>
      </c>
      <c r="F50" s="89" t="s">
        <v>8</v>
      </c>
      <c r="G50" s="118" t="s">
        <v>68</v>
      </c>
      <c r="H50" s="119" t="s">
        <v>69</v>
      </c>
      <c r="I50" s="89" t="s">
        <v>11</v>
      </c>
      <c r="J50" s="88" t="s">
        <v>12</v>
      </c>
      <c r="K50" s="58" t="s">
        <v>13</v>
      </c>
    </row>
    <row r="51" spans="2:11" s="52" customFormat="1">
      <c r="B51" s="126" t="s">
        <v>206</v>
      </c>
      <c r="C51" s="125" t="s">
        <v>207</v>
      </c>
      <c r="D51" s="126">
        <v>16</v>
      </c>
      <c r="E51" s="126">
        <v>163</v>
      </c>
      <c r="F51" s="124">
        <v>162</v>
      </c>
      <c r="G51" s="125">
        <v>2608</v>
      </c>
      <c r="H51" s="127">
        <v>2592</v>
      </c>
      <c r="I51" s="127">
        <v>1</v>
      </c>
      <c r="J51" s="127">
        <v>16</v>
      </c>
      <c r="K51" s="95"/>
    </row>
    <row r="52" spans="2:11" hidden="1">
      <c r="B52" s="126"/>
      <c r="C52" s="125"/>
      <c r="D52" s="126"/>
      <c r="E52" s="126"/>
      <c r="F52" s="124"/>
      <c r="G52" s="125"/>
      <c r="H52" s="127"/>
      <c r="I52" s="127"/>
      <c r="J52" s="127"/>
      <c r="K52" s="95"/>
    </row>
    <row r="53" spans="2:11" hidden="1">
      <c r="B53" s="126"/>
      <c r="C53" s="125"/>
      <c r="D53" s="126"/>
      <c r="E53" s="126"/>
      <c r="F53" s="124"/>
      <c r="G53" s="125"/>
      <c r="H53" s="127"/>
      <c r="I53" s="127"/>
      <c r="J53" s="127"/>
      <c r="K53" s="95"/>
    </row>
    <row r="54" spans="2:11" hidden="1">
      <c r="B54" s="126"/>
      <c r="C54" s="125"/>
      <c r="D54" s="126"/>
      <c r="E54" s="126"/>
      <c r="F54" s="124"/>
      <c r="G54" s="125"/>
      <c r="H54" s="127"/>
      <c r="I54" s="127"/>
      <c r="J54" s="127"/>
      <c r="K54" s="95"/>
    </row>
    <row r="55" spans="2:11" hidden="1">
      <c r="B55" s="126"/>
      <c r="C55" s="125"/>
      <c r="D55" s="126"/>
      <c r="E55" s="126"/>
      <c r="F55" s="124"/>
      <c r="G55" s="125"/>
      <c r="H55" s="127"/>
      <c r="I55" s="127"/>
      <c r="J55" s="127"/>
      <c r="K55" s="95"/>
    </row>
    <row r="56" spans="2:11" hidden="1">
      <c r="B56" s="126"/>
      <c r="C56" s="125"/>
      <c r="D56" s="126"/>
      <c r="E56" s="126"/>
      <c r="F56" s="124"/>
      <c r="G56" s="125"/>
      <c r="H56" s="127"/>
      <c r="I56" s="127"/>
      <c r="J56" s="127"/>
      <c r="K56" s="95"/>
    </row>
    <row r="57" spans="2:11" hidden="1">
      <c r="B57" s="126"/>
      <c r="C57" s="125"/>
      <c r="D57" s="126"/>
      <c r="E57" s="126"/>
      <c r="F57" s="124"/>
      <c r="G57" s="125"/>
      <c r="H57" s="127"/>
      <c r="I57" s="127"/>
      <c r="J57" s="127"/>
      <c r="K57" s="95"/>
    </row>
    <row r="58" spans="2:11" hidden="1">
      <c r="B58" s="126"/>
      <c r="C58" s="125"/>
      <c r="D58" s="126"/>
      <c r="E58" s="126"/>
      <c r="F58" s="124"/>
      <c r="G58" s="125"/>
      <c r="H58" s="127"/>
      <c r="I58" s="127"/>
      <c r="J58" s="127"/>
      <c r="K58" s="95"/>
    </row>
    <row r="59" spans="2:11" hidden="1">
      <c r="B59" s="126"/>
      <c r="C59" s="125"/>
      <c r="D59" s="126"/>
      <c r="E59" s="126"/>
      <c r="F59" s="124"/>
      <c r="G59" s="125"/>
      <c r="H59" s="127"/>
      <c r="I59" s="127"/>
      <c r="J59" s="127"/>
      <c r="K59" s="95"/>
    </row>
    <row r="60" spans="2:11" hidden="1">
      <c r="B60" s="126"/>
      <c r="C60" s="125"/>
      <c r="D60" s="126"/>
      <c r="E60" s="126"/>
      <c r="F60" s="124"/>
      <c r="G60" s="125"/>
      <c r="H60" s="127"/>
      <c r="I60" s="127"/>
      <c r="J60" s="127"/>
      <c r="K60" s="95"/>
    </row>
    <row r="61" spans="2:11" hidden="1">
      <c r="B61" s="126"/>
      <c r="C61" s="125"/>
      <c r="D61" s="126"/>
      <c r="E61" s="126"/>
      <c r="F61" s="124"/>
      <c r="G61" s="125"/>
      <c r="H61" s="127"/>
      <c r="I61" s="127"/>
      <c r="J61" s="127"/>
      <c r="K61" s="95"/>
    </row>
    <row r="62" spans="2:11" hidden="1">
      <c r="B62" s="126"/>
      <c r="C62" s="125"/>
      <c r="D62" s="126"/>
      <c r="E62" s="126"/>
      <c r="F62" s="124"/>
      <c r="G62" s="125"/>
      <c r="H62" s="127"/>
      <c r="I62" s="127"/>
      <c r="J62" s="127"/>
      <c r="K62" s="95"/>
    </row>
    <row r="63" spans="2:11" hidden="1">
      <c r="B63" s="126"/>
      <c r="C63" s="125"/>
      <c r="D63" s="126"/>
      <c r="E63" s="126"/>
      <c r="F63" s="124"/>
      <c r="G63" s="125"/>
      <c r="H63" s="127"/>
      <c r="I63" s="127"/>
      <c r="J63" s="127"/>
      <c r="K63" s="95"/>
    </row>
    <row r="64" spans="2:11" hidden="1">
      <c r="B64" s="126"/>
      <c r="C64" s="125"/>
      <c r="D64" s="126"/>
      <c r="E64" s="126"/>
      <c r="F64" s="124"/>
      <c r="G64" s="125"/>
      <c r="H64" s="127"/>
      <c r="I64" s="127"/>
      <c r="J64" s="127"/>
      <c r="K64" s="95"/>
    </row>
    <row r="65" spans="2:12" hidden="1">
      <c r="B65" s="126"/>
      <c r="C65" s="125"/>
      <c r="D65" s="126"/>
      <c r="E65" s="126"/>
      <c r="F65" s="124"/>
      <c r="G65" s="125"/>
      <c r="H65" s="127"/>
      <c r="I65" s="127"/>
      <c r="J65" s="127"/>
      <c r="K65" s="95"/>
    </row>
    <row r="66" spans="2:12" hidden="1">
      <c r="B66" s="126"/>
      <c r="C66" s="125"/>
      <c r="D66" s="126"/>
      <c r="E66" s="126"/>
      <c r="F66" s="124"/>
      <c r="G66" s="125"/>
      <c r="H66" s="127"/>
      <c r="I66" s="127"/>
      <c r="J66" s="127"/>
      <c r="K66" s="95"/>
    </row>
    <row r="67" spans="2:12" hidden="1">
      <c r="B67" s="126"/>
      <c r="C67" s="125"/>
      <c r="D67" s="126"/>
      <c r="E67" s="126"/>
      <c r="F67" s="124"/>
      <c r="G67" s="125"/>
      <c r="H67" s="127"/>
      <c r="I67" s="127"/>
      <c r="J67" s="127"/>
      <c r="K67" s="95"/>
    </row>
    <row r="68" spans="2:12" hidden="1">
      <c r="B68" s="104"/>
      <c r="C68" s="102"/>
      <c r="D68" s="104"/>
      <c r="E68" s="104"/>
      <c r="F68" s="113"/>
      <c r="G68" s="102"/>
      <c r="H68" s="114"/>
      <c r="I68" s="114"/>
      <c r="J68" s="114"/>
      <c r="K68" s="95"/>
    </row>
    <row r="69" spans="2:12" hidden="1">
      <c r="B69" s="104"/>
      <c r="C69" s="102"/>
      <c r="D69" s="104"/>
      <c r="E69" s="104"/>
      <c r="F69" s="113"/>
      <c r="G69" s="102"/>
      <c r="H69" s="114"/>
      <c r="I69" s="114"/>
      <c r="J69" s="114"/>
      <c r="K69" s="95"/>
    </row>
    <row r="70" spans="2:12" hidden="1">
      <c r="B70" s="104"/>
      <c r="C70" s="102"/>
      <c r="D70" s="104"/>
      <c r="E70" s="104"/>
      <c r="F70" s="113"/>
      <c r="G70" s="102"/>
      <c r="H70" s="114"/>
      <c r="I70" s="114"/>
      <c r="J70" s="114"/>
      <c r="K70" s="95"/>
    </row>
    <row r="71" spans="2:12" hidden="1">
      <c r="B71" s="104"/>
      <c r="C71" s="102"/>
      <c r="D71" s="104"/>
      <c r="E71" s="104"/>
      <c r="F71" s="113"/>
      <c r="G71" s="102"/>
      <c r="H71" s="114"/>
      <c r="I71" s="114"/>
      <c r="J71" s="114"/>
      <c r="K71" s="95"/>
    </row>
    <row r="72" spans="2:12" hidden="1">
      <c r="B72" s="104"/>
      <c r="C72" s="102"/>
      <c r="D72" s="104"/>
      <c r="E72" s="104"/>
      <c r="F72" s="113"/>
      <c r="G72" s="102"/>
      <c r="H72" s="114"/>
      <c r="I72" s="114"/>
      <c r="J72" s="114"/>
      <c r="K72" s="95"/>
    </row>
    <row r="73" spans="2:12" hidden="1">
      <c r="B73" s="104"/>
      <c r="C73" s="102"/>
      <c r="D73" s="104"/>
      <c r="E73" s="104"/>
      <c r="F73" s="113"/>
      <c r="G73" s="102"/>
      <c r="H73" s="114"/>
      <c r="I73" s="114"/>
      <c r="J73" s="114"/>
      <c r="K73" s="95"/>
    </row>
    <row r="74" spans="2:12" hidden="1">
      <c r="B74" s="104"/>
      <c r="C74" s="102"/>
      <c r="D74" s="104"/>
      <c r="E74" s="104"/>
      <c r="F74" s="113"/>
      <c r="G74" s="102"/>
      <c r="H74" s="114"/>
      <c r="I74" s="114"/>
      <c r="J74" s="114"/>
      <c r="K74" s="95"/>
    </row>
    <row r="75" spans="2:12" hidden="1">
      <c r="B75" s="104"/>
      <c r="C75" s="102"/>
      <c r="D75" s="104"/>
      <c r="E75" s="104"/>
      <c r="F75" s="113"/>
      <c r="G75" s="102"/>
      <c r="H75" s="114"/>
      <c r="I75" s="114"/>
      <c r="J75" s="114"/>
      <c r="K75" s="95"/>
    </row>
    <row r="76" spans="2:12">
      <c r="B76" s="14"/>
      <c r="C76" s="15"/>
      <c r="D76" s="16"/>
      <c r="E76" s="16"/>
      <c r="F76" s="16"/>
      <c r="G76" s="123"/>
      <c r="H76" s="123"/>
      <c r="I76" s="16">
        <f>SUM(I51:I75)</f>
        <v>1</v>
      </c>
      <c r="J76" s="16">
        <f>SUM(J51:J75)</f>
        <v>16</v>
      </c>
      <c r="K76" s="17"/>
      <c r="L76" t="s">
        <v>4613</v>
      </c>
    </row>
    <row r="80" spans="2:12">
      <c r="B80" s="38" t="s">
        <v>35</v>
      </c>
      <c r="G80"/>
      <c r="J80" s="12"/>
      <c r="K80" s="12"/>
    </row>
    <row r="81" spans="2:11" ht="24.75">
      <c r="B81" s="87" t="s">
        <v>4</v>
      </c>
      <c r="C81" s="58" t="s">
        <v>5</v>
      </c>
      <c r="D81" s="10" t="s">
        <v>64</v>
      </c>
      <c r="E81" s="89" t="s">
        <v>39</v>
      </c>
      <c r="F81" s="89" t="s">
        <v>8</v>
      </c>
      <c r="G81" s="88" t="s">
        <v>9</v>
      </c>
      <c r="H81" s="88" t="s">
        <v>10</v>
      </c>
      <c r="I81" s="89" t="s">
        <v>11</v>
      </c>
      <c r="J81" s="88" t="s">
        <v>12</v>
      </c>
      <c r="K81" s="58" t="s">
        <v>13</v>
      </c>
    </row>
    <row r="82" spans="2:11">
      <c r="B82" s="102"/>
      <c r="C82" s="102"/>
      <c r="D82" s="104"/>
      <c r="E82" s="104"/>
      <c r="F82" s="113"/>
      <c r="G82" s="102"/>
      <c r="H82" s="114"/>
      <c r="I82" s="114"/>
      <c r="J82" s="114"/>
      <c r="K82" s="95"/>
    </row>
    <row r="83" spans="2:11">
      <c r="B83" s="102"/>
      <c r="C83" s="102"/>
      <c r="D83" s="104"/>
      <c r="E83" s="104"/>
      <c r="F83" s="113"/>
      <c r="G83" s="102"/>
      <c r="H83" s="114"/>
      <c r="I83" s="114"/>
      <c r="J83" s="114"/>
      <c r="K83" s="95"/>
    </row>
    <row r="84" spans="2:11">
      <c r="B84" s="102"/>
      <c r="C84" s="102"/>
      <c r="D84" s="104"/>
      <c r="E84" s="104"/>
      <c r="F84" s="113"/>
      <c r="G84" s="102"/>
      <c r="H84" s="114"/>
      <c r="I84" s="114"/>
      <c r="J84" s="114"/>
      <c r="K84" s="95"/>
    </row>
    <row r="85" spans="2:11">
      <c r="B85" s="14"/>
      <c r="C85" s="15"/>
      <c r="D85" s="16"/>
      <c r="E85" s="16"/>
      <c r="F85" s="16"/>
      <c r="G85" s="16"/>
      <c r="H85" s="16"/>
      <c r="I85" s="16">
        <f>SUM(I82:I84)</f>
        <v>0</v>
      </c>
      <c r="J85" s="16">
        <f>SUM(J82:J84)</f>
        <v>0</v>
      </c>
      <c r="K85" s="17"/>
    </row>
  </sheetData>
  <mergeCells count="1">
    <mergeCell ref="G1:H1"/>
  </mergeCells>
  <pageMargins left="0.7" right="0.7" top="0.25" bottom="0.25" header="0.3" footer="0.3"/>
  <pageSetup paperSize="14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1"/>
    <pageSetUpPr fitToPage="1"/>
  </sheetPr>
  <dimension ref="A1:M1719"/>
  <sheetViews>
    <sheetView showGridLines="0" view="pageBreakPreview" topLeftCell="B1" zoomScale="70" zoomScaleNormal="85" zoomScaleSheetLayoutView="70" workbookViewId="0">
      <pane xSplit="3" ySplit="5" topLeftCell="E114" activePane="bottomRight" state="frozen"/>
      <selection activeCell="B1" sqref="B1"/>
      <selection pane="topRight" activeCell="E1" sqref="E1"/>
      <selection pane="bottomLeft" activeCell="B6" sqref="B6"/>
      <selection pane="bottomRight" activeCell="H1" sqref="H1:N1048576"/>
    </sheetView>
  </sheetViews>
  <sheetFormatPr defaultColWidth="9" defaultRowHeight="15"/>
  <cols>
    <col min="2" max="2" width="8.140625" customWidth="1"/>
    <col min="3" max="3" width="36.28515625" style="33" customWidth="1"/>
    <col min="4" max="4" width="18.7109375" style="97" customWidth="1"/>
    <col min="5" max="5" width="55.140625" style="12" customWidth="1"/>
    <col min="6" max="6" width="12" style="50" customWidth="1"/>
    <col min="7" max="7" width="18.85546875" style="39" customWidth="1"/>
    <col min="8" max="8" width="13.42578125" style="39" customWidth="1"/>
    <col min="9" max="9" width="15" style="73" customWidth="1"/>
    <col min="10" max="10" width="21.140625" style="64" customWidth="1"/>
    <col min="11" max="11" width="12.28515625" style="63" customWidth="1"/>
    <col min="12" max="12" width="15" style="64" customWidth="1"/>
    <col min="13" max="13" width="25.5703125" style="33" customWidth="1"/>
  </cols>
  <sheetData>
    <row r="1" spans="2:13">
      <c r="B1" s="8" t="s">
        <v>0</v>
      </c>
    </row>
    <row r="2" spans="2:13">
      <c r="B2" s="8" t="s">
        <v>4614</v>
      </c>
    </row>
    <row r="3" spans="2:13">
      <c r="B3" s="9" t="s">
        <v>1</v>
      </c>
    </row>
    <row r="5" spans="2:13" s="70" customFormat="1" ht="28.5" customHeight="1">
      <c r="B5" s="1" t="s">
        <v>2</v>
      </c>
      <c r="C5" s="1" t="s">
        <v>3</v>
      </c>
      <c r="D5" s="31" t="s">
        <v>4</v>
      </c>
      <c r="E5" s="1" t="s">
        <v>5</v>
      </c>
      <c r="F5" s="51" t="s">
        <v>6</v>
      </c>
      <c r="G5" s="21" t="s">
        <v>7</v>
      </c>
      <c r="H5" s="21" t="s">
        <v>8</v>
      </c>
      <c r="I5" s="10" t="s">
        <v>9</v>
      </c>
      <c r="J5" s="10" t="s">
        <v>10</v>
      </c>
      <c r="K5" s="21" t="s">
        <v>11</v>
      </c>
      <c r="L5" s="10" t="s">
        <v>12</v>
      </c>
      <c r="M5" s="1" t="s">
        <v>13</v>
      </c>
    </row>
    <row r="6" spans="2:13" s="52" customFormat="1" ht="20.100000000000001" customHeight="1">
      <c r="B6" s="108">
        <v>1</v>
      </c>
      <c r="C6" s="139" t="s">
        <v>47</v>
      </c>
      <c r="D6" s="115" t="s">
        <v>498</v>
      </c>
      <c r="E6" s="115" t="s">
        <v>611</v>
      </c>
      <c r="F6" s="115" t="s">
        <v>4619</v>
      </c>
      <c r="G6" s="115">
        <v>107</v>
      </c>
      <c r="H6" s="71">
        <v>11</v>
      </c>
      <c r="I6" s="109">
        <f t="shared" ref="I6:I80" si="0">F6*G6</f>
        <v>2082.2200000000003</v>
      </c>
      <c r="J6" s="110">
        <f t="shared" ref="J6" si="1">F6*H6</f>
        <v>214.06</v>
      </c>
      <c r="K6" s="111">
        <f t="shared" ref="K6" si="2">G6-H6</f>
        <v>96</v>
      </c>
      <c r="L6" s="110">
        <f t="shared" ref="L6" si="3">I6-J6</f>
        <v>1868.1600000000003</v>
      </c>
      <c r="M6" s="112"/>
    </row>
    <row r="7" spans="2:13" s="52" customFormat="1" ht="20.100000000000001" customHeight="1">
      <c r="B7" s="108">
        <v>1</v>
      </c>
      <c r="C7" s="139" t="s">
        <v>47</v>
      </c>
      <c r="D7" s="115" t="s">
        <v>499</v>
      </c>
      <c r="E7" s="115" t="s">
        <v>612</v>
      </c>
      <c r="F7" s="115" t="s">
        <v>725</v>
      </c>
      <c r="G7" s="115">
        <v>66</v>
      </c>
      <c r="H7" s="71">
        <v>23</v>
      </c>
      <c r="I7" s="109">
        <f t="shared" si="0"/>
        <v>1057.98</v>
      </c>
      <c r="J7" s="110">
        <f t="shared" ref="J7:J82" si="4">F7*H7</f>
        <v>368.69000000000005</v>
      </c>
      <c r="K7" s="111">
        <f t="shared" ref="K7:K82" si="5">G7-H7</f>
        <v>43</v>
      </c>
      <c r="L7" s="110">
        <f t="shared" ref="L7:L82" si="6">I7-J7</f>
        <v>689.29</v>
      </c>
      <c r="M7" s="112"/>
    </row>
    <row r="8" spans="2:13" s="52" customFormat="1" ht="20.100000000000001" customHeight="1">
      <c r="B8" s="108">
        <v>1</v>
      </c>
      <c r="C8" s="139" t="s">
        <v>47</v>
      </c>
      <c r="D8" s="115" t="s">
        <v>500</v>
      </c>
      <c r="E8" s="115" t="s">
        <v>613</v>
      </c>
      <c r="F8" s="115" t="s">
        <v>725</v>
      </c>
      <c r="G8" s="115">
        <v>52</v>
      </c>
      <c r="H8" s="71">
        <f>14+1</f>
        <v>15</v>
      </c>
      <c r="I8" s="109">
        <f t="shared" si="0"/>
        <v>833.56000000000006</v>
      </c>
      <c r="J8" s="110">
        <f t="shared" si="4"/>
        <v>240.45000000000002</v>
      </c>
      <c r="K8" s="111">
        <f t="shared" si="5"/>
        <v>37</v>
      </c>
      <c r="L8" s="110">
        <f t="shared" si="6"/>
        <v>593.11</v>
      </c>
      <c r="M8" s="112"/>
    </row>
    <row r="9" spans="2:13" s="52" customFormat="1" ht="20.100000000000001" customHeight="1">
      <c r="B9" s="108">
        <v>1</v>
      </c>
      <c r="C9" s="139" t="s">
        <v>47</v>
      </c>
      <c r="D9" s="115" t="s">
        <v>501</v>
      </c>
      <c r="E9" s="115" t="s">
        <v>614</v>
      </c>
      <c r="F9" s="115" t="s">
        <v>725</v>
      </c>
      <c r="G9" s="115">
        <v>91</v>
      </c>
      <c r="H9" s="71">
        <v>70</v>
      </c>
      <c r="I9" s="109">
        <f t="shared" si="0"/>
        <v>1458.73</v>
      </c>
      <c r="J9" s="110">
        <f t="shared" si="4"/>
        <v>1122.1000000000001</v>
      </c>
      <c r="K9" s="111">
        <f t="shared" si="5"/>
        <v>21</v>
      </c>
      <c r="L9" s="110">
        <f t="shared" si="6"/>
        <v>336.62999999999988</v>
      </c>
      <c r="M9" s="112"/>
    </row>
    <row r="10" spans="2:13" s="52" customFormat="1" ht="20.100000000000001" customHeight="1">
      <c r="B10" s="108">
        <v>1</v>
      </c>
      <c r="C10" s="139" t="s">
        <v>47</v>
      </c>
      <c r="D10" s="115" t="s">
        <v>502</v>
      </c>
      <c r="E10" s="115" t="s">
        <v>615</v>
      </c>
      <c r="F10" s="115" t="s">
        <v>725</v>
      </c>
      <c r="G10" s="115">
        <v>77</v>
      </c>
      <c r="H10" s="71">
        <v>25</v>
      </c>
      <c r="I10" s="109">
        <f t="shared" si="0"/>
        <v>1234.3100000000002</v>
      </c>
      <c r="J10" s="110">
        <f t="shared" si="4"/>
        <v>400.75</v>
      </c>
      <c r="K10" s="111">
        <f t="shared" si="5"/>
        <v>52</v>
      </c>
      <c r="L10" s="110">
        <f t="shared" si="6"/>
        <v>833.56000000000017</v>
      </c>
      <c r="M10" s="112"/>
    </row>
    <row r="11" spans="2:13" s="52" customFormat="1" ht="20.100000000000001" customHeight="1">
      <c r="B11" s="108">
        <v>1</v>
      </c>
      <c r="C11" s="139" t="s">
        <v>47</v>
      </c>
      <c r="D11" s="115" t="s">
        <v>503</v>
      </c>
      <c r="E11" s="115" t="s">
        <v>616</v>
      </c>
      <c r="F11" s="115" t="s">
        <v>726</v>
      </c>
      <c r="G11" s="115">
        <v>24</v>
      </c>
      <c r="H11" s="71">
        <v>2</v>
      </c>
      <c r="I11" s="109">
        <f t="shared" si="0"/>
        <v>430.79999999999995</v>
      </c>
      <c r="J11" s="110">
        <f t="shared" si="4"/>
        <v>35.9</v>
      </c>
      <c r="K11" s="111">
        <f t="shared" si="5"/>
        <v>22</v>
      </c>
      <c r="L11" s="110">
        <f t="shared" si="6"/>
        <v>394.9</v>
      </c>
      <c r="M11" s="112"/>
    </row>
    <row r="12" spans="2:13" s="52" customFormat="1" ht="20.100000000000001" customHeight="1">
      <c r="B12" s="108">
        <v>1</v>
      </c>
      <c r="C12" s="139" t="s">
        <v>47</v>
      </c>
      <c r="D12" s="115" t="s">
        <v>504</v>
      </c>
      <c r="E12" s="115" t="s">
        <v>617</v>
      </c>
      <c r="F12" s="115" t="s">
        <v>725</v>
      </c>
      <c r="G12" s="115">
        <v>70</v>
      </c>
      <c r="H12" s="71">
        <v>58</v>
      </c>
      <c r="I12" s="109">
        <f t="shared" si="0"/>
        <v>1122.1000000000001</v>
      </c>
      <c r="J12" s="110">
        <f t="shared" si="4"/>
        <v>929.74</v>
      </c>
      <c r="K12" s="111">
        <f t="shared" si="5"/>
        <v>12</v>
      </c>
      <c r="L12" s="110">
        <f t="shared" si="6"/>
        <v>192.36000000000013</v>
      </c>
      <c r="M12" s="112"/>
    </row>
    <row r="13" spans="2:13" s="52" customFormat="1" ht="20.100000000000001" customHeight="1">
      <c r="B13" s="108">
        <v>1</v>
      </c>
      <c r="C13" s="139" t="s">
        <v>47</v>
      </c>
      <c r="D13" s="115" t="s">
        <v>505</v>
      </c>
      <c r="E13" s="115" t="s">
        <v>618</v>
      </c>
      <c r="F13" s="115" t="s">
        <v>725</v>
      </c>
      <c r="G13" s="115">
        <v>38</v>
      </c>
      <c r="H13" s="71">
        <v>36</v>
      </c>
      <c r="I13" s="109">
        <f t="shared" si="0"/>
        <v>609.1400000000001</v>
      </c>
      <c r="J13" s="110">
        <f t="shared" si="4"/>
        <v>577.08000000000004</v>
      </c>
      <c r="K13" s="111">
        <f t="shared" si="5"/>
        <v>2</v>
      </c>
      <c r="L13" s="110">
        <f t="shared" si="6"/>
        <v>32.060000000000059</v>
      </c>
      <c r="M13" s="112"/>
    </row>
    <row r="14" spans="2:13" s="52" customFormat="1" ht="20.100000000000001" customHeight="1">
      <c r="B14" s="108">
        <v>1</v>
      </c>
      <c r="C14" s="139" t="s">
        <v>47</v>
      </c>
      <c r="D14" s="115" t="s">
        <v>506</v>
      </c>
      <c r="E14" s="115" t="s">
        <v>619</v>
      </c>
      <c r="F14" s="115" t="s">
        <v>4620</v>
      </c>
      <c r="G14" s="115">
        <v>40</v>
      </c>
      <c r="H14" s="71">
        <v>19</v>
      </c>
      <c r="I14" s="109">
        <f t="shared" si="0"/>
        <v>1350</v>
      </c>
      <c r="J14" s="110">
        <f t="shared" si="4"/>
        <v>641.25</v>
      </c>
      <c r="K14" s="111">
        <f t="shared" si="5"/>
        <v>21</v>
      </c>
      <c r="L14" s="110">
        <f t="shared" si="6"/>
        <v>708.75</v>
      </c>
      <c r="M14" s="112"/>
    </row>
    <row r="15" spans="2:13" s="52" customFormat="1" ht="20.100000000000001" customHeight="1">
      <c r="B15" s="108">
        <v>1</v>
      </c>
      <c r="C15" s="139" t="s">
        <v>47</v>
      </c>
      <c r="D15" s="115" t="s">
        <v>506</v>
      </c>
      <c r="E15" s="115" t="s">
        <v>619</v>
      </c>
      <c r="F15" s="115" t="s">
        <v>727</v>
      </c>
      <c r="G15" s="115">
        <v>24</v>
      </c>
      <c r="H15" s="71"/>
      <c r="I15" s="109">
        <f t="shared" si="0"/>
        <v>771.12000000000012</v>
      </c>
      <c r="J15" s="110">
        <f t="shared" si="4"/>
        <v>0</v>
      </c>
      <c r="K15" s="111">
        <f t="shared" si="5"/>
        <v>24</v>
      </c>
      <c r="L15" s="110">
        <f t="shared" si="6"/>
        <v>771.12000000000012</v>
      </c>
      <c r="M15" s="112"/>
    </row>
    <row r="16" spans="2:13" s="52" customFormat="1" ht="20.100000000000001" customHeight="1">
      <c r="B16" s="108">
        <v>1</v>
      </c>
      <c r="C16" s="139" t="s">
        <v>47</v>
      </c>
      <c r="D16" s="115" t="s">
        <v>507</v>
      </c>
      <c r="E16" s="115" t="s">
        <v>620</v>
      </c>
      <c r="F16" s="115" t="s">
        <v>724</v>
      </c>
      <c r="G16" s="115">
        <v>29</v>
      </c>
      <c r="H16" s="71"/>
      <c r="I16" s="109">
        <f t="shared" si="0"/>
        <v>537.37</v>
      </c>
      <c r="J16" s="110">
        <f t="shared" si="4"/>
        <v>0</v>
      </c>
      <c r="K16" s="111">
        <f t="shared" si="5"/>
        <v>29</v>
      </c>
      <c r="L16" s="110">
        <f t="shared" si="6"/>
        <v>537.37</v>
      </c>
      <c r="M16" s="112"/>
    </row>
    <row r="17" spans="2:13" s="52" customFormat="1" ht="20.100000000000001" customHeight="1">
      <c r="B17" s="108">
        <v>1</v>
      </c>
      <c r="C17" s="139" t="s">
        <v>47</v>
      </c>
      <c r="D17" s="115" t="s">
        <v>508</v>
      </c>
      <c r="E17" s="115" t="s">
        <v>621</v>
      </c>
      <c r="F17" s="115" t="s">
        <v>728</v>
      </c>
      <c r="G17" s="115">
        <v>86</v>
      </c>
      <c r="H17" s="71">
        <f>5+50</f>
        <v>55</v>
      </c>
      <c r="I17" s="109">
        <f t="shared" si="0"/>
        <v>531.48</v>
      </c>
      <c r="J17" s="110">
        <f t="shared" si="4"/>
        <v>339.9</v>
      </c>
      <c r="K17" s="111">
        <f t="shared" si="5"/>
        <v>31</v>
      </c>
      <c r="L17" s="110">
        <f t="shared" si="6"/>
        <v>191.58000000000004</v>
      </c>
      <c r="M17" s="112"/>
    </row>
    <row r="18" spans="2:13" s="52" customFormat="1" ht="20.100000000000001" hidden="1" customHeight="1">
      <c r="B18" s="108">
        <v>1</v>
      </c>
      <c r="C18" s="139" t="s">
        <v>47</v>
      </c>
      <c r="D18" s="115" t="s">
        <v>509</v>
      </c>
      <c r="E18" s="115" t="s">
        <v>622</v>
      </c>
      <c r="F18" s="115" t="s">
        <v>729</v>
      </c>
      <c r="G18" s="115">
        <v>1</v>
      </c>
      <c r="H18" s="71">
        <v>1</v>
      </c>
      <c r="I18" s="109">
        <f t="shared" si="0"/>
        <v>51.54</v>
      </c>
      <c r="J18" s="110">
        <f t="shared" si="4"/>
        <v>51.54</v>
      </c>
      <c r="K18" s="111">
        <f t="shared" si="5"/>
        <v>0</v>
      </c>
      <c r="L18" s="110">
        <f t="shared" si="6"/>
        <v>0</v>
      </c>
      <c r="M18" s="112"/>
    </row>
    <row r="19" spans="2:13" s="52" customFormat="1" ht="20.100000000000001" customHeight="1">
      <c r="B19" s="108">
        <v>1</v>
      </c>
      <c r="C19" s="139" t="s">
        <v>47</v>
      </c>
      <c r="D19" s="115" t="s">
        <v>510</v>
      </c>
      <c r="E19" s="115" t="s">
        <v>623</v>
      </c>
      <c r="F19" s="115" t="s">
        <v>730</v>
      </c>
      <c r="G19" s="115">
        <v>13</v>
      </c>
      <c r="H19" s="71">
        <v>10</v>
      </c>
      <c r="I19" s="109">
        <f t="shared" si="0"/>
        <v>96.2</v>
      </c>
      <c r="J19" s="110">
        <f t="shared" si="4"/>
        <v>74</v>
      </c>
      <c r="K19" s="111">
        <f t="shared" si="5"/>
        <v>3</v>
      </c>
      <c r="L19" s="110">
        <f t="shared" si="6"/>
        <v>22.200000000000003</v>
      </c>
      <c r="M19" s="112"/>
    </row>
    <row r="20" spans="2:13" s="52" customFormat="1" ht="20.100000000000001" customHeight="1">
      <c r="B20" s="108">
        <v>1</v>
      </c>
      <c r="C20" s="139" t="s">
        <v>47</v>
      </c>
      <c r="D20" s="115" t="s">
        <v>511</v>
      </c>
      <c r="E20" s="115" t="s">
        <v>624</v>
      </c>
      <c r="F20" s="115" t="s">
        <v>731</v>
      </c>
      <c r="G20" s="115">
        <v>24</v>
      </c>
      <c r="H20" s="71">
        <v>19</v>
      </c>
      <c r="I20" s="109">
        <f t="shared" si="0"/>
        <v>626.16</v>
      </c>
      <c r="J20" s="110">
        <f t="shared" si="4"/>
        <v>495.71</v>
      </c>
      <c r="K20" s="111">
        <f t="shared" si="5"/>
        <v>5</v>
      </c>
      <c r="L20" s="110">
        <f t="shared" si="6"/>
        <v>130.44999999999999</v>
      </c>
      <c r="M20" s="112"/>
    </row>
    <row r="21" spans="2:13" s="52" customFormat="1" ht="20.100000000000001" customHeight="1">
      <c r="B21" s="108">
        <v>1</v>
      </c>
      <c r="C21" s="139" t="s">
        <v>47</v>
      </c>
      <c r="D21" s="115" t="s">
        <v>512</v>
      </c>
      <c r="E21" s="115" t="s">
        <v>625</v>
      </c>
      <c r="F21" s="115" t="s">
        <v>730</v>
      </c>
      <c r="G21" s="115">
        <v>47</v>
      </c>
      <c r="H21" s="71"/>
      <c r="I21" s="109">
        <f t="shared" si="0"/>
        <v>347.8</v>
      </c>
      <c r="J21" s="110">
        <f t="shared" si="4"/>
        <v>0</v>
      </c>
      <c r="K21" s="111">
        <f t="shared" si="5"/>
        <v>47</v>
      </c>
      <c r="L21" s="110">
        <f t="shared" si="6"/>
        <v>347.8</v>
      </c>
      <c r="M21" s="112"/>
    </row>
    <row r="22" spans="2:13" s="52" customFormat="1" ht="20.100000000000001" hidden="1" customHeight="1">
      <c r="B22" s="108">
        <v>1</v>
      </c>
      <c r="C22" s="139" t="s">
        <v>47</v>
      </c>
      <c r="D22" s="115" t="s">
        <v>513</v>
      </c>
      <c r="E22" s="115" t="s">
        <v>626</v>
      </c>
      <c r="F22" s="115" t="s">
        <v>731</v>
      </c>
      <c r="G22" s="115">
        <v>11</v>
      </c>
      <c r="H22" s="71">
        <v>11</v>
      </c>
      <c r="I22" s="109">
        <f t="shared" si="0"/>
        <v>286.99</v>
      </c>
      <c r="J22" s="110">
        <f t="shared" si="4"/>
        <v>286.99</v>
      </c>
      <c r="K22" s="111">
        <f t="shared" si="5"/>
        <v>0</v>
      </c>
      <c r="L22" s="110">
        <f t="shared" si="6"/>
        <v>0</v>
      </c>
      <c r="M22" s="112"/>
    </row>
    <row r="23" spans="2:13" s="52" customFormat="1" ht="20.100000000000001" customHeight="1">
      <c r="B23" s="108">
        <v>1</v>
      </c>
      <c r="C23" s="139" t="s">
        <v>47</v>
      </c>
      <c r="D23" s="115" t="s">
        <v>514</v>
      </c>
      <c r="E23" s="115" t="s">
        <v>627</v>
      </c>
      <c r="F23" s="115" t="s">
        <v>733</v>
      </c>
      <c r="G23" s="115">
        <v>11</v>
      </c>
      <c r="H23" s="71"/>
      <c r="I23" s="109">
        <f t="shared" ref="I23:I41" si="7">F23*G23</f>
        <v>188.10000000000002</v>
      </c>
      <c r="J23" s="110">
        <f t="shared" ref="J23:J41" si="8">F23*H23</f>
        <v>0</v>
      </c>
      <c r="K23" s="111">
        <f t="shared" ref="K23:K41" si="9">G23-H23</f>
        <v>11</v>
      </c>
      <c r="L23" s="110">
        <f t="shared" ref="L23:L41" si="10">I23-J23</f>
        <v>188.10000000000002</v>
      </c>
      <c r="M23" s="112"/>
    </row>
    <row r="24" spans="2:13" s="52" customFormat="1" ht="20.100000000000001" customHeight="1">
      <c r="B24" s="108">
        <v>1</v>
      </c>
      <c r="C24" s="139" t="s">
        <v>47</v>
      </c>
      <c r="D24" s="115" t="s">
        <v>515</v>
      </c>
      <c r="E24" s="115" t="s">
        <v>628</v>
      </c>
      <c r="F24" s="115" t="s">
        <v>735</v>
      </c>
      <c r="G24" s="115">
        <v>40</v>
      </c>
      <c r="H24" s="71">
        <v>31</v>
      </c>
      <c r="I24" s="109">
        <f t="shared" si="7"/>
        <v>273.2</v>
      </c>
      <c r="J24" s="110">
        <f t="shared" si="8"/>
        <v>211.73</v>
      </c>
      <c r="K24" s="111">
        <f t="shared" si="9"/>
        <v>9</v>
      </c>
      <c r="L24" s="110">
        <f t="shared" si="10"/>
        <v>61.47</v>
      </c>
      <c r="M24" s="112"/>
    </row>
    <row r="25" spans="2:13" s="52" customFormat="1" ht="20.100000000000001" customHeight="1">
      <c r="B25" s="108">
        <v>1</v>
      </c>
      <c r="C25" s="139" t="s">
        <v>47</v>
      </c>
      <c r="D25" s="115" t="s">
        <v>515</v>
      </c>
      <c r="E25" s="115" t="s">
        <v>628</v>
      </c>
      <c r="F25" s="115" t="s">
        <v>734</v>
      </c>
      <c r="G25" s="115">
        <v>21</v>
      </c>
      <c r="H25" s="71"/>
      <c r="I25" s="109">
        <f t="shared" si="7"/>
        <v>141.12</v>
      </c>
      <c r="J25" s="110">
        <f t="shared" si="8"/>
        <v>0</v>
      </c>
      <c r="K25" s="111">
        <f t="shared" si="9"/>
        <v>21</v>
      </c>
      <c r="L25" s="110">
        <f t="shared" si="10"/>
        <v>141.12</v>
      </c>
      <c r="M25" s="112"/>
    </row>
    <row r="26" spans="2:13" s="52" customFormat="1" ht="20.100000000000001" customHeight="1">
      <c r="B26" s="108">
        <v>1</v>
      </c>
      <c r="C26" s="139" t="s">
        <v>47</v>
      </c>
      <c r="D26" s="115" t="s">
        <v>516</v>
      </c>
      <c r="E26" s="115" t="s">
        <v>629</v>
      </c>
      <c r="F26" s="115" t="s">
        <v>736</v>
      </c>
      <c r="G26" s="115">
        <v>18</v>
      </c>
      <c r="H26" s="71"/>
      <c r="I26" s="109">
        <f t="shared" si="7"/>
        <v>349.2</v>
      </c>
      <c r="J26" s="110">
        <f t="shared" si="8"/>
        <v>0</v>
      </c>
      <c r="K26" s="111">
        <f t="shared" si="9"/>
        <v>18</v>
      </c>
      <c r="L26" s="110">
        <f t="shared" si="10"/>
        <v>349.2</v>
      </c>
      <c r="M26" s="112"/>
    </row>
    <row r="27" spans="2:13" s="52" customFormat="1" ht="20.100000000000001" customHeight="1">
      <c r="B27" s="108">
        <v>1</v>
      </c>
      <c r="C27" s="139" t="s">
        <v>47</v>
      </c>
      <c r="D27" s="115" t="s">
        <v>517</v>
      </c>
      <c r="E27" s="115" t="s">
        <v>630</v>
      </c>
      <c r="F27" s="115" t="s">
        <v>735</v>
      </c>
      <c r="G27" s="115">
        <v>37</v>
      </c>
      <c r="H27" s="71">
        <f>32+1</f>
        <v>33</v>
      </c>
      <c r="I27" s="109">
        <f t="shared" si="7"/>
        <v>252.71</v>
      </c>
      <c r="J27" s="110">
        <f t="shared" si="8"/>
        <v>225.39000000000001</v>
      </c>
      <c r="K27" s="111">
        <f t="shared" si="9"/>
        <v>4</v>
      </c>
      <c r="L27" s="110">
        <f t="shared" si="10"/>
        <v>27.319999999999993</v>
      </c>
      <c r="M27" s="112"/>
    </row>
    <row r="28" spans="2:13" s="52" customFormat="1" ht="20.100000000000001" customHeight="1">
      <c r="B28" s="108">
        <v>1</v>
      </c>
      <c r="C28" s="139" t="s">
        <v>47</v>
      </c>
      <c r="D28" s="115" t="s">
        <v>518</v>
      </c>
      <c r="E28" s="115" t="s">
        <v>631</v>
      </c>
      <c r="F28" s="115" t="s">
        <v>736</v>
      </c>
      <c r="G28" s="115">
        <v>11</v>
      </c>
      <c r="H28" s="71">
        <v>2</v>
      </c>
      <c r="I28" s="109">
        <f t="shared" si="7"/>
        <v>213.39999999999998</v>
      </c>
      <c r="J28" s="110">
        <f t="shared" si="8"/>
        <v>38.799999999999997</v>
      </c>
      <c r="K28" s="111">
        <f t="shared" si="9"/>
        <v>9</v>
      </c>
      <c r="L28" s="110">
        <f t="shared" si="10"/>
        <v>174.59999999999997</v>
      </c>
      <c r="M28" s="112"/>
    </row>
    <row r="29" spans="2:13" s="52" customFormat="1" ht="20.100000000000001" customHeight="1">
      <c r="B29" s="108">
        <v>1</v>
      </c>
      <c r="C29" s="139" t="s">
        <v>47</v>
      </c>
      <c r="D29" s="115" t="s">
        <v>519</v>
      </c>
      <c r="E29" s="115" t="s">
        <v>632</v>
      </c>
      <c r="F29" s="115" t="s">
        <v>737</v>
      </c>
      <c r="G29" s="115">
        <v>52</v>
      </c>
      <c r="H29" s="71"/>
      <c r="I29" s="109">
        <f t="shared" si="7"/>
        <v>917.8</v>
      </c>
      <c r="J29" s="110">
        <f t="shared" si="8"/>
        <v>0</v>
      </c>
      <c r="K29" s="111">
        <f t="shared" si="9"/>
        <v>52</v>
      </c>
      <c r="L29" s="110">
        <f t="shared" si="10"/>
        <v>917.8</v>
      </c>
      <c r="M29" s="112"/>
    </row>
    <row r="30" spans="2:13" s="52" customFormat="1" ht="20.100000000000001" customHeight="1">
      <c r="B30" s="108">
        <v>1</v>
      </c>
      <c r="C30" s="139" t="s">
        <v>47</v>
      </c>
      <c r="D30" s="115" t="s">
        <v>520</v>
      </c>
      <c r="E30" s="115" t="s">
        <v>633</v>
      </c>
      <c r="F30" s="115" t="s">
        <v>737</v>
      </c>
      <c r="G30" s="115">
        <v>16</v>
      </c>
      <c r="H30" s="71">
        <v>9</v>
      </c>
      <c r="I30" s="109">
        <f t="shared" si="7"/>
        <v>282.39999999999998</v>
      </c>
      <c r="J30" s="110">
        <f t="shared" si="8"/>
        <v>158.85</v>
      </c>
      <c r="K30" s="111">
        <f t="shared" si="9"/>
        <v>7</v>
      </c>
      <c r="L30" s="110">
        <f t="shared" si="10"/>
        <v>123.54999999999998</v>
      </c>
      <c r="M30" s="112"/>
    </row>
    <row r="31" spans="2:13" s="52" customFormat="1" ht="20.100000000000001" customHeight="1">
      <c r="B31" s="108">
        <v>1</v>
      </c>
      <c r="C31" s="139" t="s">
        <v>47</v>
      </c>
      <c r="D31" s="115" t="s">
        <v>521</v>
      </c>
      <c r="E31" s="115" t="s">
        <v>634</v>
      </c>
      <c r="F31" s="115" t="s">
        <v>4621</v>
      </c>
      <c r="G31" s="115">
        <v>20</v>
      </c>
      <c r="H31" s="71">
        <v>15</v>
      </c>
      <c r="I31" s="109">
        <f t="shared" si="7"/>
        <v>373</v>
      </c>
      <c r="J31" s="110">
        <f t="shared" si="8"/>
        <v>279.75</v>
      </c>
      <c r="K31" s="111">
        <f t="shared" si="9"/>
        <v>5</v>
      </c>
      <c r="L31" s="110">
        <f t="shared" si="10"/>
        <v>93.25</v>
      </c>
      <c r="M31" s="112"/>
    </row>
    <row r="32" spans="2:13" s="52" customFormat="1" ht="20.100000000000001" customHeight="1">
      <c r="B32" s="108">
        <v>1</v>
      </c>
      <c r="C32" s="139" t="s">
        <v>47</v>
      </c>
      <c r="D32" s="115" t="s">
        <v>521</v>
      </c>
      <c r="E32" s="115" t="s">
        <v>634</v>
      </c>
      <c r="F32" s="115" t="s">
        <v>737</v>
      </c>
      <c r="G32" s="115">
        <v>22</v>
      </c>
      <c r="H32" s="71"/>
      <c r="I32" s="109">
        <f t="shared" si="7"/>
        <v>388.29999999999995</v>
      </c>
      <c r="J32" s="110">
        <f t="shared" si="8"/>
        <v>0</v>
      </c>
      <c r="K32" s="111">
        <f t="shared" si="9"/>
        <v>22</v>
      </c>
      <c r="L32" s="110">
        <f t="shared" si="10"/>
        <v>388.29999999999995</v>
      </c>
      <c r="M32" s="112"/>
    </row>
    <row r="33" spans="2:13" s="52" customFormat="1" ht="20.100000000000001" customHeight="1">
      <c r="B33" s="108">
        <v>1</v>
      </c>
      <c r="C33" s="139" t="s">
        <v>47</v>
      </c>
      <c r="D33" s="115" t="s">
        <v>522</v>
      </c>
      <c r="E33" s="115" t="s">
        <v>635</v>
      </c>
      <c r="F33" s="115" t="s">
        <v>737</v>
      </c>
      <c r="G33" s="115">
        <v>40</v>
      </c>
      <c r="H33" s="71">
        <v>1</v>
      </c>
      <c r="I33" s="109">
        <f t="shared" si="7"/>
        <v>706</v>
      </c>
      <c r="J33" s="110">
        <f t="shared" si="8"/>
        <v>17.649999999999999</v>
      </c>
      <c r="K33" s="111">
        <f t="shared" si="9"/>
        <v>39</v>
      </c>
      <c r="L33" s="110">
        <f t="shared" si="10"/>
        <v>688.35</v>
      </c>
      <c r="M33" s="112"/>
    </row>
    <row r="34" spans="2:13" s="52" customFormat="1" ht="20.100000000000001" customHeight="1">
      <c r="B34" s="108">
        <v>1</v>
      </c>
      <c r="C34" s="139" t="s">
        <v>47</v>
      </c>
      <c r="D34" s="115" t="s">
        <v>523</v>
      </c>
      <c r="E34" s="115" t="s">
        <v>636</v>
      </c>
      <c r="F34" s="115" t="s">
        <v>738</v>
      </c>
      <c r="G34" s="115">
        <v>126</v>
      </c>
      <c r="H34" s="71"/>
      <c r="I34" s="109">
        <f t="shared" si="7"/>
        <v>845.46</v>
      </c>
      <c r="J34" s="110">
        <f t="shared" si="8"/>
        <v>0</v>
      </c>
      <c r="K34" s="111">
        <f t="shared" si="9"/>
        <v>126</v>
      </c>
      <c r="L34" s="110">
        <f t="shared" si="10"/>
        <v>845.46</v>
      </c>
      <c r="M34" s="112"/>
    </row>
    <row r="35" spans="2:13" s="52" customFormat="1" ht="20.100000000000001" customHeight="1">
      <c r="B35" s="108">
        <v>1</v>
      </c>
      <c r="C35" s="139" t="s">
        <v>47</v>
      </c>
      <c r="D35" s="115" t="s">
        <v>524</v>
      </c>
      <c r="E35" s="115" t="s">
        <v>637</v>
      </c>
      <c r="F35" s="115" t="s">
        <v>740</v>
      </c>
      <c r="G35" s="115">
        <v>50</v>
      </c>
      <c r="H35" s="71">
        <v>27</v>
      </c>
      <c r="I35" s="109">
        <f t="shared" si="7"/>
        <v>901.5</v>
      </c>
      <c r="J35" s="110">
        <f t="shared" si="8"/>
        <v>486.81000000000006</v>
      </c>
      <c r="K35" s="111">
        <f t="shared" si="9"/>
        <v>23</v>
      </c>
      <c r="L35" s="110">
        <f t="shared" si="10"/>
        <v>414.68999999999994</v>
      </c>
      <c r="M35" s="112"/>
    </row>
    <row r="36" spans="2:13" s="52" customFormat="1" ht="20.100000000000001" customHeight="1">
      <c r="B36" s="108">
        <v>1</v>
      </c>
      <c r="C36" s="139" t="s">
        <v>47</v>
      </c>
      <c r="D36" s="115" t="s">
        <v>524</v>
      </c>
      <c r="E36" s="115" t="s">
        <v>637</v>
      </c>
      <c r="F36" s="115" t="s">
        <v>739</v>
      </c>
      <c r="G36" s="115">
        <v>24</v>
      </c>
      <c r="H36" s="71"/>
      <c r="I36" s="109">
        <f t="shared" si="7"/>
        <v>426</v>
      </c>
      <c r="J36" s="110">
        <f t="shared" si="8"/>
        <v>0</v>
      </c>
      <c r="K36" s="111">
        <f t="shared" si="9"/>
        <v>24</v>
      </c>
      <c r="L36" s="110">
        <f t="shared" si="10"/>
        <v>426</v>
      </c>
      <c r="M36" s="112"/>
    </row>
    <row r="37" spans="2:13" s="52" customFormat="1" ht="20.100000000000001" customHeight="1">
      <c r="B37" s="108">
        <v>1</v>
      </c>
      <c r="C37" s="139" t="s">
        <v>47</v>
      </c>
      <c r="D37" s="115" t="s">
        <v>525</v>
      </c>
      <c r="E37" s="115" t="s">
        <v>638</v>
      </c>
      <c r="F37" s="115" t="s">
        <v>741</v>
      </c>
      <c r="G37" s="115">
        <v>38</v>
      </c>
      <c r="H37" s="71">
        <v>16</v>
      </c>
      <c r="I37" s="109">
        <f t="shared" si="7"/>
        <v>861.84</v>
      </c>
      <c r="J37" s="110">
        <f t="shared" si="8"/>
        <v>362.88</v>
      </c>
      <c r="K37" s="111">
        <f t="shared" si="9"/>
        <v>22</v>
      </c>
      <c r="L37" s="110">
        <f t="shared" si="10"/>
        <v>498.96000000000004</v>
      </c>
      <c r="M37" s="112"/>
    </row>
    <row r="38" spans="2:13" s="52" customFormat="1" ht="20.100000000000001" customHeight="1">
      <c r="B38" s="108">
        <v>1</v>
      </c>
      <c r="C38" s="139" t="s">
        <v>47</v>
      </c>
      <c r="D38" s="115" t="s">
        <v>525</v>
      </c>
      <c r="E38" s="115" t="s">
        <v>638</v>
      </c>
      <c r="F38" s="115" t="s">
        <v>742</v>
      </c>
      <c r="G38" s="115">
        <v>25</v>
      </c>
      <c r="H38" s="71"/>
      <c r="I38" s="109">
        <f t="shared" si="7"/>
        <v>576.75</v>
      </c>
      <c r="J38" s="110">
        <f t="shared" si="8"/>
        <v>0</v>
      </c>
      <c r="K38" s="111">
        <f t="shared" si="9"/>
        <v>25</v>
      </c>
      <c r="L38" s="110">
        <f t="shared" si="10"/>
        <v>576.75</v>
      </c>
      <c r="M38" s="112"/>
    </row>
    <row r="39" spans="2:13" s="52" customFormat="1" ht="20.100000000000001" customHeight="1">
      <c r="B39" s="108">
        <v>1</v>
      </c>
      <c r="C39" s="139" t="s">
        <v>47</v>
      </c>
      <c r="D39" s="115" t="s">
        <v>526</v>
      </c>
      <c r="E39" s="115" t="s">
        <v>639</v>
      </c>
      <c r="F39" s="115" t="s">
        <v>735</v>
      </c>
      <c r="G39" s="115">
        <v>40</v>
      </c>
      <c r="H39" s="71">
        <v>3</v>
      </c>
      <c r="I39" s="109">
        <f t="shared" si="7"/>
        <v>273.2</v>
      </c>
      <c r="J39" s="110">
        <f t="shared" si="8"/>
        <v>20.490000000000002</v>
      </c>
      <c r="K39" s="111">
        <f t="shared" si="9"/>
        <v>37</v>
      </c>
      <c r="L39" s="110">
        <f t="shared" si="10"/>
        <v>252.70999999999998</v>
      </c>
      <c r="M39" s="112"/>
    </row>
    <row r="40" spans="2:13" s="52" customFormat="1" ht="20.100000000000001" customHeight="1">
      <c r="B40" s="108">
        <v>1</v>
      </c>
      <c r="C40" s="139" t="s">
        <v>47</v>
      </c>
      <c r="D40" s="115" t="s">
        <v>526</v>
      </c>
      <c r="E40" s="115" t="s">
        <v>639</v>
      </c>
      <c r="F40" s="115" t="s">
        <v>738</v>
      </c>
      <c r="G40" s="115">
        <v>49</v>
      </c>
      <c r="H40" s="71"/>
      <c r="I40" s="109">
        <f t="shared" si="7"/>
        <v>328.79</v>
      </c>
      <c r="J40" s="110">
        <f t="shared" si="8"/>
        <v>0</v>
      </c>
      <c r="K40" s="111">
        <f t="shared" si="9"/>
        <v>49</v>
      </c>
      <c r="L40" s="110">
        <f t="shared" si="10"/>
        <v>328.79</v>
      </c>
      <c r="M40" s="112"/>
    </row>
    <row r="41" spans="2:13" s="52" customFormat="1" ht="20.100000000000001" customHeight="1">
      <c r="B41" s="108">
        <v>1</v>
      </c>
      <c r="C41" s="139" t="s">
        <v>47</v>
      </c>
      <c r="D41" s="115" t="s">
        <v>527</v>
      </c>
      <c r="E41" s="115" t="s">
        <v>640</v>
      </c>
      <c r="F41" s="115" t="s">
        <v>728</v>
      </c>
      <c r="G41" s="115">
        <v>166</v>
      </c>
      <c r="H41" s="71">
        <f>34+50</f>
        <v>84</v>
      </c>
      <c r="I41" s="109">
        <f t="shared" si="7"/>
        <v>1025.8799999999999</v>
      </c>
      <c r="J41" s="110">
        <f t="shared" si="8"/>
        <v>519.12</v>
      </c>
      <c r="K41" s="111">
        <f t="shared" si="9"/>
        <v>82</v>
      </c>
      <c r="L41" s="110">
        <f t="shared" si="10"/>
        <v>506.75999999999988</v>
      </c>
      <c r="M41" s="112"/>
    </row>
    <row r="42" spans="2:13" s="52" customFormat="1" ht="20.100000000000001" customHeight="1">
      <c r="B42" s="108">
        <v>1</v>
      </c>
      <c r="C42" s="139" t="s">
        <v>47</v>
      </c>
      <c r="D42" s="115" t="s">
        <v>528</v>
      </c>
      <c r="E42" s="115" t="s">
        <v>641</v>
      </c>
      <c r="F42" s="115" t="s">
        <v>743</v>
      </c>
      <c r="G42" s="115">
        <v>23</v>
      </c>
      <c r="H42" s="71"/>
      <c r="I42" s="109">
        <f t="shared" si="0"/>
        <v>1174.3800000000001</v>
      </c>
      <c r="J42" s="110">
        <f t="shared" si="4"/>
        <v>0</v>
      </c>
      <c r="K42" s="111">
        <f t="shared" si="5"/>
        <v>23</v>
      </c>
      <c r="L42" s="110">
        <f t="shared" si="6"/>
        <v>1174.3800000000001</v>
      </c>
      <c r="M42" s="112"/>
    </row>
    <row r="43" spans="2:13" s="52" customFormat="1" ht="20.100000000000001" customHeight="1">
      <c r="B43" s="108">
        <v>1</v>
      </c>
      <c r="C43" s="139" t="s">
        <v>47</v>
      </c>
      <c r="D43" s="115" t="s">
        <v>529</v>
      </c>
      <c r="E43" s="115" t="s">
        <v>642</v>
      </c>
      <c r="F43" s="115" t="s">
        <v>744</v>
      </c>
      <c r="G43" s="115">
        <v>97</v>
      </c>
      <c r="H43" s="71">
        <f>74+20</f>
        <v>94</v>
      </c>
      <c r="I43" s="109">
        <f t="shared" si="0"/>
        <v>728.47</v>
      </c>
      <c r="J43" s="110">
        <f t="shared" si="4"/>
        <v>705.93999999999994</v>
      </c>
      <c r="K43" s="111">
        <f t="shared" si="5"/>
        <v>3</v>
      </c>
      <c r="L43" s="110">
        <f t="shared" si="6"/>
        <v>22.530000000000086</v>
      </c>
      <c r="M43" s="112"/>
    </row>
    <row r="44" spans="2:13" s="52" customFormat="1" ht="20.100000000000001" customHeight="1">
      <c r="B44" s="108">
        <v>1</v>
      </c>
      <c r="C44" s="139" t="s">
        <v>47</v>
      </c>
      <c r="D44" s="115" t="s">
        <v>530</v>
      </c>
      <c r="E44" s="115" t="s">
        <v>643</v>
      </c>
      <c r="F44" s="115" t="s">
        <v>745</v>
      </c>
      <c r="G44" s="115">
        <v>6</v>
      </c>
      <c r="H44" s="71">
        <v>3</v>
      </c>
      <c r="I44" s="109">
        <f t="shared" si="0"/>
        <v>133.14000000000001</v>
      </c>
      <c r="J44" s="110">
        <f t="shared" si="4"/>
        <v>66.570000000000007</v>
      </c>
      <c r="K44" s="111">
        <f t="shared" si="5"/>
        <v>3</v>
      </c>
      <c r="L44" s="110">
        <f t="shared" si="6"/>
        <v>66.570000000000007</v>
      </c>
      <c r="M44" s="112"/>
    </row>
    <row r="45" spans="2:13" s="52" customFormat="1" ht="20.100000000000001" hidden="1" customHeight="1">
      <c r="B45" s="108">
        <v>1</v>
      </c>
      <c r="C45" s="139" t="s">
        <v>47</v>
      </c>
      <c r="D45" s="115" t="s">
        <v>531</v>
      </c>
      <c r="E45" s="115" t="s">
        <v>644</v>
      </c>
      <c r="F45" s="115" t="s">
        <v>746</v>
      </c>
      <c r="G45" s="115">
        <v>1</v>
      </c>
      <c r="H45" s="71">
        <v>1</v>
      </c>
      <c r="I45" s="109">
        <f t="shared" si="0"/>
        <v>31.96</v>
      </c>
      <c r="J45" s="110">
        <f t="shared" si="4"/>
        <v>31.96</v>
      </c>
      <c r="K45" s="111">
        <f t="shared" si="5"/>
        <v>0</v>
      </c>
      <c r="L45" s="110">
        <f t="shared" si="6"/>
        <v>0</v>
      </c>
      <c r="M45" s="112"/>
    </row>
    <row r="46" spans="2:13" s="52" customFormat="1" ht="20.100000000000001" hidden="1" customHeight="1">
      <c r="B46" s="108">
        <v>1</v>
      </c>
      <c r="C46" s="139" t="s">
        <v>47</v>
      </c>
      <c r="D46" s="115" t="s">
        <v>532</v>
      </c>
      <c r="E46" s="115" t="s">
        <v>645</v>
      </c>
      <c r="F46" s="115" t="s">
        <v>747</v>
      </c>
      <c r="G46" s="115">
        <v>7</v>
      </c>
      <c r="H46" s="71">
        <f>5+2</f>
        <v>7</v>
      </c>
      <c r="I46" s="109">
        <f t="shared" si="0"/>
        <v>149.38</v>
      </c>
      <c r="J46" s="110">
        <f t="shared" si="4"/>
        <v>149.38</v>
      </c>
      <c r="K46" s="111">
        <f t="shared" si="5"/>
        <v>0</v>
      </c>
      <c r="L46" s="110">
        <f t="shared" si="6"/>
        <v>0</v>
      </c>
      <c r="M46" s="112"/>
    </row>
    <row r="47" spans="2:13" s="52" customFormat="1" ht="20.100000000000001" customHeight="1">
      <c r="B47" s="108">
        <v>1</v>
      </c>
      <c r="C47" s="139" t="s">
        <v>47</v>
      </c>
      <c r="D47" s="115" t="s">
        <v>533</v>
      </c>
      <c r="E47" s="115" t="s">
        <v>646</v>
      </c>
      <c r="F47" s="115" t="s">
        <v>728</v>
      </c>
      <c r="G47" s="115">
        <v>147</v>
      </c>
      <c r="H47" s="71">
        <f>23+50</f>
        <v>73</v>
      </c>
      <c r="I47" s="109">
        <f t="shared" si="0"/>
        <v>908.45999999999992</v>
      </c>
      <c r="J47" s="110">
        <f t="shared" si="4"/>
        <v>451.14</v>
      </c>
      <c r="K47" s="111">
        <f t="shared" si="5"/>
        <v>74</v>
      </c>
      <c r="L47" s="110">
        <f t="shared" si="6"/>
        <v>457.31999999999994</v>
      </c>
      <c r="M47" s="112"/>
    </row>
    <row r="48" spans="2:13" s="52" customFormat="1" ht="20.100000000000001" customHeight="1">
      <c r="B48" s="108">
        <v>1</v>
      </c>
      <c r="C48" s="139" t="s">
        <v>47</v>
      </c>
      <c r="D48" s="115" t="s">
        <v>534</v>
      </c>
      <c r="E48" s="115" t="s">
        <v>647</v>
      </c>
      <c r="F48" s="115" t="s">
        <v>748</v>
      </c>
      <c r="G48" s="115">
        <v>5</v>
      </c>
      <c r="H48" s="71"/>
      <c r="I48" s="109">
        <f t="shared" si="0"/>
        <v>28.3</v>
      </c>
      <c r="J48" s="110">
        <f t="shared" si="4"/>
        <v>0</v>
      </c>
      <c r="K48" s="111">
        <f t="shared" si="5"/>
        <v>5</v>
      </c>
      <c r="L48" s="110">
        <f t="shared" si="6"/>
        <v>28.3</v>
      </c>
      <c r="M48" s="112"/>
    </row>
    <row r="49" spans="2:13" s="52" customFormat="1" ht="20.100000000000001" customHeight="1">
      <c r="B49" s="108">
        <v>1</v>
      </c>
      <c r="C49" s="139" t="s">
        <v>47</v>
      </c>
      <c r="D49" s="115" t="s">
        <v>535</v>
      </c>
      <c r="E49" s="115" t="s">
        <v>648</v>
      </c>
      <c r="F49" s="115" t="s">
        <v>749</v>
      </c>
      <c r="G49" s="115">
        <v>7</v>
      </c>
      <c r="H49" s="71"/>
      <c r="I49" s="109">
        <f t="shared" si="0"/>
        <v>133.56</v>
      </c>
      <c r="J49" s="110">
        <f t="shared" si="4"/>
        <v>0</v>
      </c>
      <c r="K49" s="111">
        <f t="shared" si="5"/>
        <v>7</v>
      </c>
      <c r="L49" s="110">
        <f t="shared" si="6"/>
        <v>133.56</v>
      </c>
      <c r="M49" s="112"/>
    </row>
    <row r="50" spans="2:13" s="52" customFormat="1" ht="20.100000000000001" customHeight="1">
      <c r="B50" s="108">
        <v>1</v>
      </c>
      <c r="C50" s="139" t="s">
        <v>47</v>
      </c>
      <c r="D50" s="115" t="s">
        <v>536</v>
      </c>
      <c r="E50" s="115" t="s">
        <v>649</v>
      </c>
      <c r="F50" s="115" t="s">
        <v>749</v>
      </c>
      <c r="G50" s="115">
        <v>5</v>
      </c>
      <c r="H50" s="71"/>
      <c r="I50" s="109">
        <f t="shared" si="0"/>
        <v>95.399999999999991</v>
      </c>
      <c r="J50" s="110">
        <f t="shared" si="4"/>
        <v>0</v>
      </c>
      <c r="K50" s="111">
        <f t="shared" si="5"/>
        <v>5</v>
      </c>
      <c r="L50" s="110">
        <f t="shared" si="6"/>
        <v>95.399999999999991</v>
      </c>
      <c r="M50" s="112"/>
    </row>
    <row r="51" spans="2:13" s="52" customFormat="1" ht="20.100000000000001" customHeight="1">
      <c r="B51" s="108">
        <v>1</v>
      </c>
      <c r="C51" s="139" t="s">
        <v>47</v>
      </c>
      <c r="D51" s="115" t="s">
        <v>537</v>
      </c>
      <c r="E51" s="115" t="s">
        <v>650</v>
      </c>
      <c r="F51" s="115" t="s">
        <v>748</v>
      </c>
      <c r="G51" s="115">
        <v>12</v>
      </c>
      <c r="H51" s="71"/>
      <c r="I51" s="109">
        <f t="shared" si="0"/>
        <v>67.92</v>
      </c>
      <c r="J51" s="110">
        <f t="shared" si="4"/>
        <v>0</v>
      </c>
      <c r="K51" s="111">
        <f t="shared" si="5"/>
        <v>12</v>
      </c>
      <c r="L51" s="110">
        <f t="shared" si="6"/>
        <v>67.92</v>
      </c>
      <c r="M51" s="112"/>
    </row>
    <row r="52" spans="2:13" s="52" customFormat="1" ht="20.100000000000001" customHeight="1">
      <c r="B52" s="108">
        <v>1</v>
      </c>
      <c r="C52" s="139" t="s">
        <v>47</v>
      </c>
      <c r="D52" s="115" t="s">
        <v>538</v>
      </c>
      <c r="E52" s="115" t="s">
        <v>651</v>
      </c>
      <c r="F52" s="115" t="s">
        <v>748</v>
      </c>
      <c r="G52" s="115">
        <v>18</v>
      </c>
      <c r="H52" s="71"/>
      <c r="I52" s="109">
        <f t="shared" si="0"/>
        <v>101.88</v>
      </c>
      <c r="J52" s="110">
        <f t="shared" si="4"/>
        <v>0</v>
      </c>
      <c r="K52" s="111">
        <f t="shared" si="5"/>
        <v>18</v>
      </c>
      <c r="L52" s="110">
        <f t="shared" si="6"/>
        <v>101.88</v>
      </c>
      <c r="M52" s="112"/>
    </row>
    <row r="53" spans="2:13" s="52" customFormat="1" ht="20.100000000000001" customHeight="1">
      <c r="B53" s="108">
        <v>1</v>
      </c>
      <c r="C53" s="139" t="s">
        <v>47</v>
      </c>
      <c r="D53" s="115" t="s">
        <v>539</v>
      </c>
      <c r="E53" s="115" t="s">
        <v>652</v>
      </c>
      <c r="F53" s="115" t="s">
        <v>750</v>
      </c>
      <c r="G53" s="115">
        <v>32</v>
      </c>
      <c r="H53" s="71"/>
      <c r="I53" s="109">
        <f t="shared" si="0"/>
        <v>751.36</v>
      </c>
      <c r="J53" s="110">
        <f t="shared" si="4"/>
        <v>0</v>
      </c>
      <c r="K53" s="111">
        <f t="shared" si="5"/>
        <v>32</v>
      </c>
      <c r="L53" s="110">
        <f t="shared" si="6"/>
        <v>751.36</v>
      </c>
      <c r="M53" s="112"/>
    </row>
    <row r="54" spans="2:13" s="52" customFormat="1" ht="20.100000000000001" customHeight="1">
      <c r="B54" s="108">
        <v>1</v>
      </c>
      <c r="C54" s="139" t="s">
        <v>47</v>
      </c>
      <c r="D54" s="115" t="s">
        <v>540</v>
      </c>
      <c r="E54" s="115" t="s">
        <v>653</v>
      </c>
      <c r="F54" s="115" t="s">
        <v>750</v>
      </c>
      <c r="G54" s="115">
        <v>10</v>
      </c>
      <c r="H54" s="71"/>
      <c r="I54" s="109">
        <f t="shared" si="0"/>
        <v>234.8</v>
      </c>
      <c r="J54" s="110">
        <f t="shared" si="4"/>
        <v>0</v>
      </c>
      <c r="K54" s="111">
        <f t="shared" si="5"/>
        <v>10</v>
      </c>
      <c r="L54" s="110">
        <f t="shared" si="6"/>
        <v>234.8</v>
      </c>
      <c r="M54" s="112"/>
    </row>
    <row r="55" spans="2:13" s="52" customFormat="1" ht="20.100000000000001" customHeight="1">
      <c r="B55" s="108">
        <v>1</v>
      </c>
      <c r="C55" s="139" t="s">
        <v>47</v>
      </c>
      <c r="D55" s="115" t="s">
        <v>541</v>
      </c>
      <c r="E55" s="115" t="s">
        <v>654</v>
      </c>
      <c r="F55" s="115" t="s">
        <v>751</v>
      </c>
      <c r="G55" s="115">
        <v>13</v>
      </c>
      <c r="H55" s="71"/>
      <c r="I55" s="109">
        <f t="shared" si="0"/>
        <v>90.350000000000009</v>
      </c>
      <c r="J55" s="110">
        <f t="shared" si="4"/>
        <v>0</v>
      </c>
      <c r="K55" s="111">
        <f t="shared" si="5"/>
        <v>13</v>
      </c>
      <c r="L55" s="110">
        <f t="shared" si="6"/>
        <v>90.350000000000009</v>
      </c>
      <c r="M55" s="112"/>
    </row>
    <row r="56" spans="2:13" s="52" customFormat="1" ht="20.100000000000001" hidden="1" customHeight="1">
      <c r="B56" s="108">
        <v>1</v>
      </c>
      <c r="C56" s="139" t="s">
        <v>47</v>
      </c>
      <c r="D56" s="115" t="s">
        <v>542</v>
      </c>
      <c r="E56" s="115" t="s">
        <v>655</v>
      </c>
      <c r="F56" s="115" t="s">
        <v>752</v>
      </c>
      <c r="G56" s="115">
        <v>16</v>
      </c>
      <c r="H56" s="71">
        <v>48</v>
      </c>
      <c r="I56" s="109">
        <f t="shared" si="0"/>
        <v>203.04</v>
      </c>
      <c r="J56" s="110">
        <f t="shared" si="4"/>
        <v>609.12</v>
      </c>
      <c r="K56" s="111">
        <f t="shared" si="5"/>
        <v>-32</v>
      </c>
      <c r="L56" s="110">
        <f t="shared" si="6"/>
        <v>-406.08000000000004</v>
      </c>
      <c r="M56" s="112"/>
    </row>
    <row r="57" spans="2:13" s="52" customFormat="1" ht="20.100000000000001" customHeight="1">
      <c r="B57" s="108">
        <v>1</v>
      </c>
      <c r="C57" s="139" t="s">
        <v>47</v>
      </c>
      <c r="D57" s="115" t="s">
        <v>543</v>
      </c>
      <c r="E57" s="115" t="s">
        <v>656</v>
      </c>
      <c r="F57" s="115" t="s">
        <v>753</v>
      </c>
      <c r="G57" s="115">
        <v>9</v>
      </c>
      <c r="H57" s="71">
        <v>5</v>
      </c>
      <c r="I57" s="109">
        <f t="shared" si="0"/>
        <v>309.42</v>
      </c>
      <c r="J57" s="110">
        <f t="shared" si="4"/>
        <v>171.9</v>
      </c>
      <c r="K57" s="111">
        <f t="shared" si="5"/>
        <v>4</v>
      </c>
      <c r="L57" s="110">
        <f t="shared" si="6"/>
        <v>137.52000000000001</v>
      </c>
      <c r="M57" s="112"/>
    </row>
    <row r="58" spans="2:13" s="52" customFormat="1" ht="20.100000000000001" hidden="1" customHeight="1">
      <c r="B58" s="108">
        <v>1</v>
      </c>
      <c r="C58" s="139" t="s">
        <v>47</v>
      </c>
      <c r="D58" s="115" t="s">
        <v>544</v>
      </c>
      <c r="E58" s="115" t="s">
        <v>657</v>
      </c>
      <c r="F58" s="115" t="s">
        <v>754</v>
      </c>
      <c r="G58" s="115">
        <v>19</v>
      </c>
      <c r="H58" s="71">
        <v>19</v>
      </c>
      <c r="I58" s="109">
        <f t="shared" si="0"/>
        <v>1881.7600000000002</v>
      </c>
      <c r="J58" s="110">
        <f t="shared" si="4"/>
        <v>1881.7600000000002</v>
      </c>
      <c r="K58" s="111">
        <f t="shared" si="5"/>
        <v>0</v>
      </c>
      <c r="L58" s="110">
        <f t="shared" si="6"/>
        <v>0</v>
      </c>
      <c r="M58" s="112"/>
    </row>
    <row r="59" spans="2:13" s="52" customFormat="1" ht="20.100000000000001" customHeight="1">
      <c r="B59" s="108">
        <v>1</v>
      </c>
      <c r="C59" s="139" t="s">
        <v>47</v>
      </c>
      <c r="D59" s="115" t="s">
        <v>545</v>
      </c>
      <c r="E59" s="115" t="s">
        <v>658</v>
      </c>
      <c r="F59" s="115" t="s">
        <v>755</v>
      </c>
      <c r="G59" s="115">
        <v>3</v>
      </c>
      <c r="H59" s="71"/>
      <c r="I59" s="109">
        <f t="shared" si="0"/>
        <v>77.64</v>
      </c>
      <c r="J59" s="110">
        <f t="shared" si="4"/>
        <v>0</v>
      </c>
      <c r="K59" s="111">
        <f t="shared" si="5"/>
        <v>3</v>
      </c>
      <c r="L59" s="110">
        <f t="shared" si="6"/>
        <v>77.64</v>
      </c>
      <c r="M59" s="112"/>
    </row>
    <row r="60" spans="2:13" s="52" customFormat="1" ht="20.100000000000001" customHeight="1">
      <c r="B60" s="108">
        <v>1</v>
      </c>
      <c r="C60" s="139" t="s">
        <v>47</v>
      </c>
      <c r="D60" s="115" t="s">
        <v>546</v>
      </c>
      <c r="E60" s="115" t="s">
        <v>659</v>
      </c>
      <c r="F60" s="115" t="s">
        <v>756</v>
      </c>
      <c r="G60" s="115">
        <v>23</v>
      </c>
      <c r="H60" s="71">
        <f>16+3</f>
        <v>19</v>
      </c>
      <c r="I60" s="109">
        <f t="shared" si="0"/>
        <v>1414.5</v>
      </c>
      <c r="J60" s="110">
        <f t="shared" si="4"/>
        <v>1168.5</v>
      </c>
      <c r="K60" s="111">
        <f t="shared" si="5"/>
        <v>4</v>
      </c>
      <c r="L60" s="110">
        <f t="shared" si="6"/>
        <v>246</v>
      </c>
      <c r="M60" s="112"/>
    </row>
    <row r="61" spans="2:13" s="52" customFormat="1" ht="20.100000000000001" hidden="1" customHeight="1">
      <c r="B61" s="108">
        <v>1</v>
      </c>
      <c r="C61" s="139" t="s">
        <v>47</v>
      </c>
      <c r="D61" s="115" t="s">
        <v>547</v>
      </c>
      <c r="E61" s="115" t="s">
        <v>660</v>
      </c>
      <c r="F61" s="115" t="s">
        <v>757</v>
      </c>
      <c r="G61" s="115">
        <v>19</v>
      </c>
      <c r="H61" s="71">
        <v>19</v>
      </c>
      <c r="I61" s="109">
        <f t="shared" si="0"/>
        <v>1843.7600000000002</v>
      </c>
      <c r="J61" s="110">
        <f t="shared" si="4"/>
        <v>1843.7600000000002</v>
      </c>
      <c r="K61" s="111">
        <f t="shared" si="5"/>
        <v>0</v>
      </c>
      <c r="L61" s="110">
        <f t="shared" si="6"/>
        <v>0</v>
      </c>
      <c r="M61" s="112"/>
    </row>
    <row r="62" spans="2:13" s="52" customFormat="1" ht="20.100000000000001" hidden="1" customHeight="1">
      <c r="B62" s="108">
        <v>1</v>
      </c>
      <c r="C62" s="139" t="s">
        <v>47</v>
      </c>
      <c r="D62" s="115" t="s">
        <v>548</v>
      </c>
      <c r="E62" s="115" t="s">
        <v>661</v>
      </c>
      <c r="F62" s="115" t="s">
        <v>758</v>
      </c>
      <c r="G62" s="115">
        <v>23</v>
      </c>
      <c r="H62" s="71">
        <v>23</v>
      </c>
      <c r="I62" s="109">
        <f t="shared" si="0"/>
        <v>841.33999999999992</v>
      </c>
      <c r="J62" s="110">
        <f t="shared" si="4"/>
        <v>841.33999999999992</v>
      </c>
      <c r="K62" s="111">
        <f t="shared" si="5"/>
        <v>0</v>
      </c>
      <c r="L62" s="110">
        <f t="shared" si="6"/>
        <v>0</v>
      </c>
      <c r="M62" s="112"/>
    </row>
    <row r="63" spans="2:13" s="52" customFormat="1" ht="20.100000000000001" hidden="1" customHeight="1">
      <c r="B63" s="108">
        <v>1</v>
      </c>
      <c r="C63" s="139" t="s">
        <v>47</v>
      </c>
      <c r="D63" s="115" t="s">
        <v>549</v>
      </c>
      <c r="E63" s="115" t="s">
        <v>662</v>
      </c>
      <c r="F63" s="115" t="s">
        <v>759</v>
      </c>
      <c r="G63" s="115">
        <v>13</v>
      </c>
      <c r="H63" s="71">
        <v>25</v>
      </c>
      <c r="I63" s="109">
        <f t="shared" si="0"/>
        <v>400.01</v>
      </c>
      <c r="J63" s="110">
        <f t="shared" si="4"/>
        <v>769.25</v>
      </c>
      <c r="K63" s="111">
        <f t="shared" si="5"/>
        <v>-12</v>
      </c>
      <c r="L63" s="110">
        <f t="shared" si="6"/>
        <v>-369.24</v>
      </c>
      <c r="M63" s="112"/>
    </row>
    <row r="64" spans="2:13" s="52" customFormat="1" ht="20.100000000000001" hidden="1" customHeight="1">
      <c r="B64" s="108">
        <v>1</v>
      </c>
      <c r="C64" s="139" t="s">
        <v>47</v>
      </c>
      <c r="D64" s="115" t="s">
        <v>550</v>
      </c>
      <c r="E64" s="115" t="s">
        <v>663</v>
      </c>
      <c r="F64" s="115" t="s">
        <v>760</v>
      </c>
      <c r="G64" s="115">
        <v>16</v>
      </c>
      <c r="H64" s="71">
        <v>16</v>
      </c>
      <c r="I64" s="109">
        <f t="shared" si="0"/>
        <v>1446.72</v>
      </c>
      <c r="J64" s="110">
        <f t="shared" si="4"/>
        <v>1446.72</v>
      </c>
      <c r="K64" s="111">
        <f t="shared" si="5"/>
        <v>0</v>
      </c>
      <c r="L64" s="110">
        <f t="shared" si="6"/>
        <v>0</v>
      </c>
      <c r="M64" s="112"/>
    </row>
    <row r="65" spans="2:13" s="52" customFormat="1" ht="20.100000000000001" hidden="1" customHeight="1">
      <c r="B65" s="108">
        <v>1</v>
      </c>
      <c r="C65" s="139" t="s">
        <v>47</v>
      </c>
      <c r="D65" s="115" t="s">
        <v>551</v>
      </c>
      <c r="E65" s="115" t="s">
        <v>664</v>
      </c>
      <c r="F65" s="115" t="s">
        <v>761</v>
      </c>
      <c r="G65" s="115">
        <v>38</v>
      </c>
      <c r="H65" s="71">
        <v>38</v>
      </c>
      <c r="I65" s="109">
        <f t="shared" si="0"/>
        <v>1563.7</v>
      </c>
      <c r="J65" s="110">
        <f t="shared" si="4"/>
        <v>1563.7</v>
      </c>
      <c r="K65" s="111">
        <f t="shared" si="5"/>
        <v>0</v>
      </c>
      <c r="L65" s="110">
        <f t="shared" si="6"/>
        <v>0</v>
      </c>
      <c r="M65" s="112"/>
    </row>
    <row r="66" spans="2:13" s="52" customFormat="1" ht="20.100000000000001" hidden="1" customHeight="1">
      <c r="B66" s="108">
        <v>1</v>
      </c>
      <c r="C66" s="139" t="s">
        <v>47</v>
      </c>
      <c r="D66" s="115" t="s">
        <v>552</v>
      </c>
      <c r="E66" s="115" t="s">
        <v>665</v>
      </c>
      <c r="F66" s="115" t="s">
        <v>762</v>
      </c>
      <c r="G66" s="115">
        <v>9</v>
      </c>
      <c r="H66" s="71">
        <f>22+9</f>
        <v>31</v>
      </c>
      <c r="I66" s="109">
        <f t="shared" si="0"/>
        <v>1033.1100000000001</v>
      </c>
      <c r="J66" s="110">
        <f t="shared" si="4"/>
        <v>3558.4900000000002</v>
      </c>
      <c r="K66" s="111">
        <f t="shared" si="5"/>
        <v>-22</v>
      </c>
      <c r="L66" s="110">
        <f t="shared" si="6"/>
        <v>-2525.38</v>
      </c>
      <c r="M66" s="112"/>
    </row>
    <row r="67" spans="2:13" s="52" customFormat="1" ht="20.100000000000001" hidden="1" customHeight="1">
      <c r="B67" s="108">
        <v>1</v>
      </c>
      <c r="C67" s="139" t="s">
        <v>47</v>
      </c>
      <c r="D67" s="115" t="s">
        <v>553</v>
      </c>
      <c r="E67" s="115" t="s">
        <v>666</v>
      </c>
      <c r="F67" s="115" t="s">
        <v>752</v>
      </c>
      <c r="G67" s="115">
        <v>42</v>
      </c>
      <c r="H67" s="71">
        <v>42</v>
      </c>
      <c r="I67" s="109">
        <f t="shared" si="0"/>
        <v>532.98</v>
      </c>
      <c r="J67" s="110">
        <f t="shared" si="4"/>
        <v>532.98</v>
      </c>
      <c r="K67" s="111">
        <f t="shared" si="5"/>
        <v>0</v>
      </c>
      <c r="L67" s="110">
        <f t="shared" si="6"/>
        <v>0</v>
      </c>
      <c r="M67" s="112"/>
    </row>
    <row r="68" spans="2:13" s="52" customFormat="1" ht="20.100000000000001" customHeight="1">
      <c r="B68" s="108">
        <v>1</v>
      </c>
      <c r="C68" s="139" t="s">
        <v>47</v>
      </c>
      <c r="D68" s="115" t="s">
        <v>554</v>
      </c>
      <c r="E68" s="115" t="s">
        <v>667</v>
      </c>
      <c r="F68" s="115" t="s">
        <v>758</v>
      </c>
      <c r="G68" s="115">
        <v>22</v>
      </c>
      <c r="H68" s="71"/>
      <c r="I68" s="109">
        <f t="shared" si="0"/>
        <v>804.76</v>
      </c>
      <c r="J68" s="110">
        <f t="shared" si="4"/>
        <v>0</v>
      </c>
      <c r="K68" s="111">
        <f t="shared" si="5"/>
        <v>22</v>
      </c>
      <c r="L68" s="110">
        <f t="shared" si="6"/>
        <v>804.76</v>
      </c>
      <c r="M68" s="112"/>
    </row>
    <row r="69" spans="2:13" s="52" customFormat="1" ht="20.100000000000001" customHeight="1">
      <c r="B69" s="108">
        <v>1</v>
      </c>
      <c r="C69" s="139" t="s">
        <v>47</v>
      </c>
      <c r="D69" s="115" t="s">
        <v>555</v>
      </c>
      <c r="E69" s="115" t="s">
        <v>668</v>
      </c>
      <c r="F69" s="115" t="s">
        <v>759</v>
      </c>
      <c r="G69" s="115">
        <v>28</v>
      </c>
      <c r="H69" s="71">
        <v>9</v>
      </c>
      <c r="I69" s="109">
        <f t="shared" si="0"/>
        <v>861.56</v>
      </c>
      <c r="J69" s="110">
        <f t="shared" si="4"/>
        <v>276.93</v>
      </c>
      <c r="K69" s="111">
        <f t="shared" si="5"/>
        <v>19</v>
      </c>
      <c r="L69" s="110">
        <f t="shared" si="6"/>
        <v>584.62999999999988</v>
      </c>
      <c r="M69" s="112"/>
    </row>
    <row r="70" spans="2:13" s="52" customFormat="1" ht="20.100000000000001" hidden="1" customHeight="1">
      <c r="B70" s="108">
        <v>1</v>
      </c>
      <c r="C70" s="139" t="s">
        <v>47</v>
      </c>
      <c r="D70" s="115" t="s">
        <v>556</v>
      </c>
      <c r="E70" s="115" t="s">
        <v>669</v>
      </c>
      <c r="F70" s="115" t="s">
        <v>763</v>
      </c>
      <c r="G70" s="115">
        <v>16</v>
      </c>
      <c r="H70" s="71">
        <v>17</v>
      </c>
      <c r="I70" s="109">
        <f t="shared" si="0"/>
        <v>1420</v>
      </c>
      <c r="J70" s="110">
        <f t="shared" si="4"/>
        <v>1508.75</v>
      </c>
      <c r="K70" s="111">
        <f t="shared" si="5"/>
        <v>-1</v>
      </c>
      <c r="L70" s="110">
        <f t="shared" si="6"/>
        <v>-88.75</v>
      </c>
      <c r="M70" s="112"/>
    </row>
    <row r="71" spans="2:13" s="52" customFormat="1" ht="20.100000000000001" hidden="1" customHeight="1">
      <c r="B71" s="108">
        <v>1</v>
      </c>
      <c r="C71" s="139" t="s">
        <v>47</v>
      </c>
      <c r="D71" s="115" t="s">
        <v>557</v>
      </c>
      <c r="E71" s="115" t="s">
        <v>670</v>
      </c>
      <c r="F71" s="115" t="s">
        <v>764</v>
      </c>
      <c r="G71" s="115">
        <v>8</v>
      </c>
      <c r="H71" s="71">
        <v>18</v>
      </c>
      <c r="I71" s="109">
        <f t="shared" si="0"/>
        <v>125.44</v>
      </c>
      <c r="J71" s="110">
        <f t="shared" si="4"/>
        <v>282.24</v>
      </c>
      <c r="K71" s="111">
        <f t="shared" si="5"/>
        <v>-10</v>
      </c>
      <c r="L71" s="110">
        <f t="shared" si="6"/>
        <v>-156.80000000000001</v>
      </c>
      <c r="M71" s="112"/>
    </row>
    <row r="72" spans="2:13" s="52" customFormat="1" ht="20.100000000000001" customHeight="1">
      <c r="B72" s="108">
        <v>1</v>
      </c>
      <c r="C72" s="139" t="s">
        <v>47</v>
      </c>
      <c r="D72" s="115" t="s">
        <v>558</v>
      </c>
      <c r="E72" s="115" t="s">
        <v>671</v>
      </c>
      <c r="F72" s="115" t="s">
        <v>4622</v>
      </c>
      <c r="G72" s="115">
        <v>24</v>
      </c>
      <c r="H72" s="71">
        <v>23</v>
      </c>
      <c r="I72" s="109">
        <f t="shared" si="0"/>
        <v>1003.92</v>
      </c>
      <c r="J72" s="110">
        <f t="shared" si="4"/>
        <v>962.08999999999992</v>
      </c>
      <c r="K72" s="111">
        <f t="shared" si="5"/>
        <v>1</v>
      </c>
      <c r="L72" s="110">
        <f t="shared" si="6"/>
        <v>41.830000000000041</v>
      </c>
      <c r="M72" s="112"/>
    </row>
    <row r="73" spans="2:13" s="52" customFormat="1" ht="20.100000000000001" customHeight="1">
      <c r="B73" s="108">
        <v>1</v>
      </c>
      <c r="C73" s="139" t="s">
        <v>47</v>
      </c>
      <c r="D73" s="115" t="s">
        <v>558</v>
      </c>
      <c r="E73" s="115" t="s">
        <v>671</v>
      </c>
      <c r="F73" s="115" t="s">
        <v>765</v>
      </c>
      <c r="G73" s="115">
        <v>4</v>
      </c>
      <c r="H73" s="71"/>
      <c r="I73" s="109">
        <f t="shared" si="0"/>
        <v>157.91999999999999</v>
      </c>
      <c r="J73" s="110">
        <f t="shared" si="4"/>
        <v>0</v>
      </c>
      <c r="K73" s="111">
        <f t="shared" si="5"/>
        <v>4</v>
      </c>
      <c r="L73" s="110">
        <f t="shared" si="6"/>
        <v>157.91999999999999</v>
      </c>
      <c r="M73" s="112"/>
    </row>
    <row r="74" spans="2:13" s="52" customFormat="1" ht="20.100000000000001" customHeight="1">
      <c r="B74" s="108">
        <v>1</v>
      </c>
      <c r="C74" s="139" t="s">
        <v>47</v>
      </c>
      <c r="D74" s="115" t="s">
        <v>559</v>
      </c>
      <c r="E74" s="115" t="s">
        <v>672</v>
      </c>
      <c r="F74" s="115" t="s">
        <v>728</v>
      </c>
      <c r="G74" s="115">
        <v>128</v>
      </c>
      <c r="H74" s="71">
        <f>12+50</f>
        <v>62</v>
      </c>
      <c r="I74" s="109">
        <f t="shared" si="0"/>
        <v>791.04</v>
      </c>
      <c r="J74" s="110">
        <f t="shared" si="4"/>
        <v>383.15999999999997</v>
      </c>
      <c r="K74" s="111">
        <f t="shared" si="5"/>
        <v>66</v>
      </c>
      <c r="L74" s="110">
        <f t="shared" si="6"/>
        <v>407.88</v>
      </c>
      <c r="M74" s="112"/>
    </row>
    <row r="75" spans="2:13" s="52" customFormat="1" ht="20.100000000000001" customHeight="1">
      <c r="B75" s="108">
        <v>1</v>
      </c>
      <c r="C75" s="139" t="s">
        <v>47</v>
      </c>
      <c r="D75" s="115" t="s">
        <v>560</v>
      </c>
      <c r="E75" s="115" t="s">
        <v>673</v>
      </c>
      <c r="F75" s="115" t="s">
        <v>766</v>
      </c>
      <c r="G75" s="115">
        <v>16</v>
      </c>
      <c r="H75" s="71"/>
      <c r="I75" s="109">
        <f t="shared" si="0"/>
        <v>316</v>
      </c>
      <c r="J75" s="110">
        <f t="shared" si="4"/>
        <v>0</v>
      </c>
      <c r="K75" s="111">
        <f t="shared" si="5"/>
        <v>16</v>
      </c>
      <c r="L75" s="110">
        <f t="shared" si="6"/>
        <v>316</v>
      </c>
      <c r="M75" s="112"/>
    </row>
    <row r="76" spans="2:13" s="52" customFormat="1" ht="20.100000000000001" customHeight="1">
      <c r="B76" s="108">
        <v>1</v>
      </c>
      <c r="C76" s="139" t="s">
        <v>47</v>
      </c>
      <c r="D76" s="115" t="s">
        <v>561</v>
      </c>
      <c r="E76" s="115" t="s">
        <v>674</v>
      </c>
      <c r="F76" s="115" t="s">
        <v>766</v>
      </c>
      <c r="G76" s="115">
        <v>21</v>
      </c>
      <c r="H76" s="71"/>
      <c r="I76" s="109">
        <f t="shared" si="0"/>
        <v>414.75</v>
      </c>
      <c r="J76" s="110">
        <f t="shared" si="4"/>
        <v>0</v>
      </c>
      <c r="K76" s="111">
        <f t="shared" si="5"/>
        <v>21</v>
      </c>
      <c r="L76" s="110">
        <f t="shared" si="6"/>
        <v>414.75</v>
      </c>
      <c r="M76" s="112"/>
    </row>
    <row r="77" spans="2:13" s="52" customFormat="1" ht="20.100000000000001" customHeight="1">
      <c r="B77" s="108">
        <v>1</v>
      </c>
      <c r="C77" s="139" t="s">
        <v>47</v>
      </c>
      <c r="D77" s="115" t="s">
        <v>562</v>
      </c>
      <c r="E77" s="115" t="s">
        <v>675</v>
      </c>
      <c r="F77" s="115" t="s">
        <v>728</v>
      </c>
      <c r="G77" s="115">
        <v>135</v>
      </c>
      <c r="H77" s="71">
        <f>1+99</f>
        <v>100</v>
      </c>
      <c r="I77" s="109">
        <f t="shared" si="0"/>
        <v>834.3</v>
      </c>
      <c r="J77" s="110">
        <f t="shared" si="4"/>
        <v>618</v>
      </c>
      <c r="K77" s="111">
        <f t="shared" si="5"/>
        <v>35</v>
      </c>
      <c r="L77" s="110">
        <f t="shared" si="6"/>
        <v>216.29999999999995</v>
      </c>
      <c r="M77" s="112"/>
    </row>
    <row r="78" spans="2:13" s="52" customFormat="1" ht="20.100000000000001" customHeight="1">
      <c r="B78" s="108">
        <v>1</v>
      </c>
      <c r="C78" s="139" t="s">
        <v>47</v>
      </c>
      <c r="D78" s="115" t="s">
        <v>563</v>
      </c>
      <c r="E78" s="115" t="s">
        <v>676</v>
      </c>
      <c r="F78" s="115" t="s">
        <v>767</v>
      </c>
      <c r="G78" s="115">
        <v>24</v>
      </c>
      <c r="H78" s="71"/>
      <c r="I78" s="109">
        <f t="shared" si="0"/>
        <v>131.28</v>
      </c>
      <c r="J78" s="110">
        <f t="shared" si="4"/>
        <v>0</v>
      </c>
      <c r="K78" s="111">
        <f t="shared" si="5"/>
        <v>24</v>
      </c>
      <c r="L78" s="110">
        <f t="shared" si="6"/>
        <v>131.28</v>
      </c>
      <c r="M78" s="112"/>
    </row>
    <row r="79" spans="2:13" s="52" customFormat="1" ht="20.100000000000001" customHeight="1">
      <c r="B79" s="108">
        <v>1</v>
      </c>
      <c r="C79" s="139" t="s">
        <v>47</v>
      </c>
      <c r="D79" s="115" t="s">
        <v>564</v>
      </c>
      <c r="E79" s="115" t="s">
        <v>677</v>
      </c>
      <c r="F79" s="115" t="s">
        <v>768</v>
      </c>
      <c r="G79" s="115">
        <v>41</v>
      </c>
      <c r="H79" s="71">
        <v>23</v>
      </c>
      <c r="I79" s="109">
        <f t="shared" si="0"/>
        <v>312.42</v>
      </c>
      <c r="J79" s="110">
        <f t="shared" si="4"/>
        <v>175.26</v>
      </c>
      <c r="K79" s="111">
        <f t="shared" si="5"/>
        <v>18</v>
      </c>
      <c r="L79" s="110">
        <f t="shared" si="6"/>
        <v>137.16000000000003</v>
      </c>
      <c r="M79" s="112"/>
    </row>
    <row r="80" spans="2:13" s="52" customFormat="1" ht="20.100000000000001" customHeight="1">
      <c r="B80" s="108">
        <v>1</v>
      </c>
      <c r="C80" s="139" t="s">
        <v>47</v>
      </c>
      <c r="D80" s="115" t="s">
        <v>565</v>
      </c>
      <c r="E80" s="115" t="s">
        <v>678</v>
      </c>
      <c r="F80" s="115" t="s">
        <v>769</v>
      </c>
      <c r="G80" s="115">
        <v>4</v>
      </c>
      <c r="H80" s="71"/>
      <c r="I80" s="109">
        <f t="shared" si="0"/>
        <v>83.24</v>
      </c>
      <c r="J80" s="110">
        <f t="shared" si="4"/>
        <v>0</v>
      </c>
      <c r="K80" s="111">
        <f t="shared" si="5"/>
        <v>4</v>
      </c>
      <c r="L80" s="110">
        <f t="shared" si="6"/>
        <v>83.24</v>
      </c>
      <c r="M80" s="112"/>
    </row>
    <row r="81" spans="2:13" s="52" customFormat="1" ht="20.100000000000001" customHeight="1">
      <c r="B81" s="108">
        <v>1</v>
      </c>
      <c r="C81" s="139" t="s">
        <v>47</v>
      </c>
      <c r="D81" s="115" t="s">
        <v>566</v>
      </c>
      <c r="E81" s="115" t="s">
        <v>679</v>
      </c>
      <c r="F81" s="115" t="s">
        <v>770</v>
      </c>
      <c r="G81" s="115">
        <v>16</v>
      </c>
      <c r="H81" s="71">
        <v>1</v>
      </c>
      <c r="I81" s="109">
        <f t="shared" ref="I81:I140" si="11">F81*G81</f>
        <v>188.48</v>
      </c>
      <c r="J81" s="110">
        <f t="shared" si="4"/>
        <v>11.78</v>
      </c>
      <c r="K81" s="111">
        <f t="shared" si="5"/>
        <v>15</v>
      </c>
      <c r="L81" s="110">
        <f t="shared" si="6"/>
        <v>176.7</v>
      </c>
      <c r="M81" s="112"/>
    </row>
    <row r="82" spans="2:13" s="52" customFormat="1" ht="20.100000000000001" customHeight="1">
      <c r="B82" s="108">
        <v>1</v>
      </c>
      <c r="C82" s="139" t="s">
        <v>47</v>
      </c>
      <c r="D82" s="115" t="s">
        <v>567</v>
      </c>
      <c r="E82" s="115" t="s">
        <v>680</v>
      </c>
      <c r="F82" s="115" t="s">
        <v>771</v>
      </c>
      <c r="G82" s="115">
        <v>34</v>
      </c>
      <c r="H82" s="71"/>
      <c r="I82" s="109">
        <f t="shared" si="11"/>
        <v>521.9</v>
      </c>
      <c r="J82" s="110">
        <f t="shared" si="4"/>
        <v>0</v>
      </c>
      <c r="K82" s="111">
        <f t="shared" si="5"/>
        <v>34</v>
      </c>
      <c r="L82" s="110">
        <f t="shared" si="6"/>
        <v>521.9</v>
      </c>
      <c r="M82" s="112"/>
    </row>
    <row r="83" spans="2:13" s="52" customFormat="1" ht="20.100000000000001" hidden="1" customHeight="1">
      <c r="B83" s="108">
        <v>1</v>
      </c>
      <c r="C83" s="139" t="s">
        <v>47</v>
      </c>
      <c r="D83" s="115" t="s">
        <v>568</v>
      </c>
      <c r="E83" s="115" t="s">
        <v>681</v>
      </c>
      <c r="F83" s="115" t="s">
        <v>4623</v>
      </c>
      <c r="G83" s="115">
        <v>50</v>
      </c>
      <c r="H83" s="71">
        <v>50</v>
      </c>
      <c r="I83" s="109">
        <f t="shared" si="11"/>
        <v>1655</v>
      </c>
      <c r="J83" s="110">
        <f t="shared" ref="J83:J146" si="12">F83*H83</f>
        <v>1655</v>
      </c>
      <c r="K83" s="111">
        <f t="shared" ref="K83:K146" si="13">G83-H83</f>
        <v>0</v>
      </c>
      <c r="L83" s="110">
        <f t="shared" ref="L83:L146" si="14">I83-J83</f>
        <v>0</v>
      </c>
      <c r="M83" s="112"/>
    </row>
    <row r="84" spans="2:13" s="52" customFormat="1" ht="20.100000000000001" customHeight="1">
      <c r="B84" s="108">
        <v>1</v>
      </c>
      <c r="C84" s="139" t="s">
        <v>47</v>
      </c>
      <c r="D84" s="115" t="s">
        <v>568</v>
      </c>
      <c r="E84" s="115" t="s">
        <v>681</v>
      </c>
      <c r="F84" s="115" t="s">
        <v>772</v>
      </c>
      <c r="G84" s="115">
        <v>20</v>
      </c>
      <c r="H84" s="71"/>
      <c r="I84" s="109">
        <f t="shared" si="11"/>
        <v>649.4</v>
      </c>
      <c r="J84" s="110">
        <f t="shared" si="12"/>
        <v>0</v>
      </c>
      <c r="K84" s="111">
        <f t="shared" si="13"/>
        <v>20</v>
      </c>
      <c r="L84" s="110">
        <f t="shared" si="14"/>
        <v>649.4</v>
      </c>
      <c r="M84" s="112"/>
    </row>
    <row r="85" spans="2:13" s="52" customFormat="1" ht="20.100000000000001" customHeight="1">
      <c r="B85" s="108">
        <v>1</v>
      </c>
      <c r="C85" s="139" t="s">
        <v>47</v>
      </c>
      <c r="D85" s="115" t="s">
        <v>569</v>
      </c>
      <c r="E85" s="115" t="s">
        <v>682</v>
      </c>
      <c r="F85" s="115" t="s">
        <v>728</v>
      </c>
      <c r="G85" s="115">
        <v>99</v>
      </c>
      <c r="H85" s="71">
        <f>1+50+2</f>
        <v>53</v>
      </c>
      <c r="I85" s="109">
        <f t="shared" si="11"/>
        <v>611.81999999999994</v>
      </c>
      <c r="J85" s="110">
        <f t="shared" si="12"/>
        <v>327.53999999999996</v>
      </c>
      <c r="K85" s="111">
        <f t="shared" si="13"/>
        <v>46</v>
      </c>
      <c r="L85" s="110">
        <f t="shared" si="14"/>
        <v>284.27999999999997</v>
      </c>
      <c r="M85" s="112"/>
    </row>
    <row r="86" spans="2:13" s="52" customFormat="1" ht="20.100000000000001" hidden="1" customHeight="1">
      <c r="B86" s="108">
        <v>1</v>
      </c>
      <c r="C86" s="139" t="s">
        <v>47</v>
      </c>
      <c r="D86" s="115" t="s">
        <v>570</v>
      </c>
      <c r="E86" s="115" t="s">
        <v>683</v>
      </c>
      <c r="F86" s="115" t="s">
        <v>773</v>
      </c>
      <c r="G86" s="115">
        <v>70</v>
      </c>
      <c r="H86" s="71">
        <v>1726</v>
      </c>
      <c r="I86" s="109">
        <f t="shared" si="11"/>
        <v>2656.5</v>
      </c>
      <c r="J86" s="110">
        <f t="shared" si="12"/>
        <v>65501.700000000004</v>
      </c>
      <c r="K86" s="111">
        <f t="shared" si="13"/>
        <v>-1656</v>
      </c>
      <c r="L86" s="110">
        <f t="shared" si="14"/>
        <v>-62845.200000000004</v>
      </c>
      <c r="M86" s="112"/>
    </row>
    <row r="87" spans="2:13" s="52" customFormat="1" ht="20.100000000000001" hidden="1" customHeight="1">
      <c r="B87" s="108">
        <v>1</v>
      </c>
      <c r="C87" s="139" t="s">
        <v>47</v>
      </c>
      <c r="D87" s="115" t="s">
        <v>571</v>
      </c>
      <c r="E87" s="115" t="s">
        <v>684</v>
      </c>
      <c r="F87" s="115" t="s">
        <v>728</v>
      </c>
      <c r="G87" s="115">
        <v>119</v>
      </c>
      <c r="H87" s="71">
        <f>27+56+50</f>
        <v>133</v>
      </c>
      <c r="I87" s="109">
        <f t="shared" si="11"/>
        <v>735.42</v>
      </c>
      <c r="J87" s="110">
        <f t="shared" si="12"/>
        <v>821.93999999999994</v>
      </c>
      <c r="K87" s="111">
        <f t="shared" si="13"/>
        <v>-14</v>
      </c>
      <c r="L87" s="110">
        <f t="shared" si="14"/>
        <v>-86.519999999999982</v>
      </c>
      <c r="M87" s="112"/>
    </row>
    <row r="88" spans="2:13" s="52" customFormat="1" ht="20.100000000000001" hidden="1" customHeight="1">
      <c r="B88" s="108">
        <v>1</v>
      </c>
      <c r="C88" s="139" t="s">
        <v>47</v>
      </c>
      <c r="D88" s="115" t="s">
        <v>572</v>
      </c>
      <c r="E88" s="115" t="s">
        <v>685</v>
      </c>
      <c r="F88" s="115" t="s">
        <v>774</v>
      </c>
      <c r="G88" s="115">
        <v>17</v>
      </c>
      <c r="H88" s="71">
        <f>2+15</f>
        <v>17</v>
      </c>
      <c r="I88" s="109">
        <f t="shared" si="11"/>
        <v>373.49</v>
      </c>
      <c r="J88" s="110">
        <f t="shared" si="12"/>
        <v>373.49</v>
      </c>
      <c r="K88" s="111">
        <f t="shared" si="13"/>
        <v>0</v>
      </c>
      <c r="L88" s="110">
        <f t="shared" si="14"/>
        <v>0</v>
      </c>
      <c r="M88" s="112"/>
    </row>
    <row r="89" spans="2:13" s="52" customFormat="1" ht="20.100000000000001" customHeight="1">
      <c r="B89" s="108">
        <v>1</v>
      </c>
      <c r="C89" s="139" t="s">
        <v>47</v>
      </c>
      <c r="D89" s="115" t="s">
        <v>573</v>
      </c>
      <c r="E89" s="115" t="s">
        <v>686</v>
      </c>
      <c r="F89" s="115" t="s">
        <v>728</v>
      </c>
      <c r="G89" s="115">
        <v>197</v>
      </c>
      <c r="H89" s="71">
        <v>49</v>
      </c>
      <c r="I89" s="109">
        <f t="shared" si="11"/>
        <v>1217.46</v>
      </c>
      <c r="J89" s="110">
        <f t="shared" si="12"/>
        <v>302.82</v>
      </c>
      <c r="K89" s="111">
        <f t="shared" si="13"/>
        <v>148</v>
      </c>
      <c r="L89" s="110">
        <f t="shared" si="14"/>
        <v>914.6400000000001</v>
      </c>
      <c r="M89" s="112"/>
    </row>
    <row r="90" spans="2:13" s="52" customFormat="1" ht="20.100000000000001" customHeight="1">
      <c r="B90" s="108">
        <v>1</v>
      </c>
      <c r="C90" s="139" t="s">
        <v>47</v>
      </c>
      <c r="D90" s="115" t="s">
        <v>574</v>
      </c>
      <c r="E90" s="115" t="s">
        <v>687</v>
      </c>
      <c r="F90" s="115" t="s">
        <v>774</v>
      </c>
      <c r="G90" s="115">
        <v>57</v>
      </c>
      <c r="H90" s="71">
        <f>15+17</f>
        <v>32</v>
      </c>
      <c r="I90" s="109">
        <f t="shared" si="11"/>
        <v>1252.29</v>
      </c>
      <c r="J90" s="110">
        <f t="shared" si="12"/>
        <v>703.04</v>
      </c>
      <c r="K90" s="111">
        <f t="shared" si="13"/>
        <v>25</v>
      </c>
      <c r="L90" s="110">
        <f t="shared" si="14"/>
        <v>549.25</v>
      </c>
      <c r="M90" s="112"/>
    </row>
    <row r="91" spans="2:13" s="52" customFormat="1" ht="20.100000000000001" customHeight="1">
      <c r="B91" s="108">
        <v>1</v>
      </c>
      <c r="C91" s="139" t="s">
        <v>47</v>
      </c>
      <c r="D91" s="115" t="s">
        <v>575</v>
      </c>
      <c r="E91" s="115" t="s">
        <v>688</v>
      </c>
      <c r="F91" s="115" t="s">
        <v>775</v>
      </c>
      <c r="G91" s="115">
        <v>16</v>
      </c>
      <c r="H91" s="71"/>
      <c r="I91" s="109">
        <f t="shared" si="11"/>
        <v>102.88</v>
      </c>
      <c r="J91" s="110">
        <f t="shared" si="12"/>
        <v>0</v>
      </c>
      <c r="K91" s="111">
        <f t="shared" si="13"/>
        <v>16</v>
      </c>
      <c r="L91" s="110">
        <f t="shared" si="14"/>
        <v>102.88</v>
      </c>
      <c r="M91" s="112"/>
    </row>
    <row r="92" spans="2:13" s="52" customFormat="1" ht="20.100000000000001" hidden="1" customHeight="1">
      <c r="B92" s="108">
        <v>1</v>
      </c>
      <c r="C92" s="139" t="s">
        <v>47</v>
      </c>
      <c r="D92" s="115" t="s">
        <v>576</v>
      </c>
      <c r="E92" s="115" t="s">
        <v>689</v>
      </c>
      <c r="F92" s="115" t="s">
        <v>728</v>
      </c>
      <c r="G92" s="115">
        <v>40</v>
      </c>
      <c r="H92" s="71">
        <f>34+49</f>
        <v>83</v>
      </c>
      <c r="I92" s="109">
        <f t="shared" si="11"/>
        <v>247.2</v>
      </c>
      <c r="J92" s="110">
        <f t="shared" si="12"/>
        <v>512.93999999999994</v>
      </c>
      <c r="K92" s="111">
        <f t="shared" si="13"/>
        <v>-43</v>
      </c>
      <c r="L92" s="110">
        <f t="shared" si="14"/>
        <v>-265.73999999999995</v>
      </c>
      <c r="M92" s="112"/>
    </row>
    <row r="93" spans="2:13" s="52" customFormat="1" ht="20.100000000000001" customHeight="1">
      <c r="B93" s="108">
        <v>1</v>
      </c>
      <c r="C93" s="139" t="s">
        <v>47</v>
      </c>
      <c r="D93" s="115" t="s">
        <v>577</v>
      </c>
      <c r="E93" s="115" t="s">
        <v>690</v>
      </c>
      <c r="F93" s="115" t="s">
        <v>766</v>
      </c>
      <c r="G93" s="115">
        <v>21</v>
      </c>
      <c r="H93" s="71"/>
      <c r="I93" s="109">
        <f t="shared" si="11"/>
        <v>414.75</v>
      </c>
      <c r="J93" s="110">
        <f t="shared" si="12"/>
        <v>0</v>
      </c>
      <c r="K93" s="111">
        <f t="shared" si="13"/>
        <v>21</v>
      </c>
      <c r="L93" s="110">
        <f t="shared" si="14"/>
        <v>414.75</v>
      </c>
      <c r="M93" s="112"/>
    </row>
    <row r="94" spans="2:13" s="52" customFormat="1" ht="20.100000000000001" customHeight="1">
      <c r="B94" s="108">
        <v>1</v>
      </c>
      <c r="C94" s="139" t="s">
        <v>47</v>
      </c>
      <c r="D94" s="115" t="s">
        <v>578</v>
      </c>
      <c r="E94" s="115" t="s">
        <v>691</v>
      </c>
      <c r="F94" s="115" t="s">
        <v>776</v>
      </c>
      <c r="G94" s="115">
        <v>60</v>
      </c>
      <c r="H94" s="71"/>
      <c r="I94" s="109">
        <f t="shared" si="11"/>
        <v>945</v>
      </c>
      <c r="J94" s="110">
        <f t="shared" si="12"/>
        <v>0</v>
      </c>
      <c r="K94" s="111">
        <f t="shared" si="13"/>
        <v>60</v>
      </c>
      <c r="L94" s="110">
        <f t="shared" si="14"/>
        <v>945</v>
      </c>
      <c r="M94" s="112"/>
    </row>
    <row r="95" spans="2:13" s="52" customFormat="1" ht="20.100000000000001" customHeight="1">
      <c r="B95" s="108">
        <v>1</v>
      </c>
      <c r="C95" s="139" t="s">
        <v>47</v>
      </c>
      <c r="D95" s="115" t="s">
        <v>579</v>
      </c>
      <c r="E95" s="115" t="s">
        <v>692</v>
      </c>
      <c r="F95" s="115" t="s">
        <v>775</v>
      </c>
      <c r="G95" s="115">
        <v>91</v>
      </c>
      <c r="H95" s="71"/>
      <c r="I95" s="109">
        <f t="shared" si="11"/>
        <v>585.13</v>
      </c>
      <c r="J95" s="110">
        <f t="shared" si="12"/>
        <v>0</v>
      </c>
      <c r="K95" s="111">
        <f t="shared" si="13"/>
        <v>91</v>
      </c>
      <c r="L95" s="110">
        <f t="shared" si="14"/>
        <v>585.13</v>
      </c>
      <c r="M95" s="112"/>
    </row>
    <row r="96" spans="2:13" s="52" customFormat="1" ht="20.100000000000001" customHeight="1">
      <c r="B96" s="108">
        <v>1</v>
      </c>
      <c r="C96" s="139" t="s">
        <v>47</v>
      </c>
      <c r="D96" s="115" t="s">
        <v>580</v>
      </c>
      <c r="E96" s="115" t="s">
        <v>693</v>
      </c>
      <c r="F96" s="115" t="s">
        <v>777</v>
      </c>
      <c r="G96" s="115">
        <v>154</v>
      </c>
      <c r="H96" s="71">
        <v>51</v>
      </c>
      <c r="I96" s="109">
        <f t="shared" si="11"/>
        <v>1325.9399999999998</v>
      </c>
      <c r="J96" s="110">
        <f t="shared" si="12"/>
        <v>439.10999999999996</v>
      </c>
      <c r="K96" s="111">
        <f t="shared" si="13"/>
        <v>103</v>
      </c>
      <c r="L96" s="110">
        <f t="shared" si="14"/>
        <v>886.82999999999993</v>
      </c>
      <c r="M96" s="112"/>
    </row>
    <row r="97" spans="2:13" s="52" customFormat="1" ht="20.100000000000001" customHeight="1">
      <c r="B97" s="108">
        <v>1</v>
      </c>
      <c r="C97" s="139" t="s">
        <v>47</v>
      </c>
      <c r="D97" s="115" t="s">
        <v>581</v>
      </c>
      <c r="E97" s="115" t="s">
        <v>694</v>
      </c>
      <c r="F97" s="115" t="s">
        <v>773</v>
      </c>
      <c r="G97" s="115">
        <v>71</v>
      </c>
      <c r="H97" s="71"/>
      <c r="I97" s="109">
        <f t="shared" si="11"/>
        <v>2694.4500000000003</v>
      </c>
      <c r="J97" s="110">
        <f t="shared" si="12"/>
        <v>0</v>
      </c>
      <c r="K97" s="111">
        <f t="shared" si="13"/>
        <v>71</v>
      </c>
      <c r="L97" s="110">
        <f t="shared" si="14"/>
        <v>2694.4500000000003</v>
      </c>
      <c r="M97" s="112"/>
    </row>
    <row r="98" spans="2:13" s="52" customFormat="1" ht="20.100000000000001" customHeight="1">
      <c r="B98" s="108">
        <v>1</v>
      </c>
      <c r="C98" s="139" t="s">
        <v>47</v>
      </c>
      <c r="D98" s="115" t="s">
        <v>582</v>
      </c>
      <c r="E98" s="115" t="s">
        <v>695</v>
      </c>
      <c r="F98" s="115" t="s">
        <v>777</v>
      </c>
      <c r="G98" s="115">
        <v>22</v>
      </c>
      <c r="H98" s="71"/>
      <c r="I98" s="109">
        <f t="shared" si="11"/>
        <v>189.42</v>
      </c>
      <c r="J98" s="110">
        <f t="shared" si="12"/>
        <v>0</v>
      </c>
      <c r="K98" s="111">
        <f t="shared" si="13"/>
        <v>22</v>
      </c>
      <c r="L98" s="110">
        <f t="shared" si="14"/>
        <v>189.42</v>
      </c>
      <c r="M98" s="112"/>
    </row>
    <row r="99" spans="2:13" s="52" customFormat="1" ht="20.100000000000001" customHeight="1">
      <c r="B99" s="108">
        <v>1</v>
      </c>
      <c r="C99" s="139" t="s">
        <v>47</v>
      </c>
      <c r="D99" s="115" t="s">
        <v>583</v>
      </c>
      <c r="E99" s="115" t="s">
        <v>696</v>
      </c>
      <c r="F99" s="115" t="s">
        <v>775</v>
      </c>
      <c r="G99" s="115">
        <v>38</v>
      </c>
      <c r="H99" s="71"/>
      <c r="I99" s="109">
        <f t="shared" si="11"/>
        <v>244.33999999999997</v>
      </c>
      <c r="J99" s="110">
        <f t="shared" si="12"/>
        <v>0</v>
      </c>
      <c r="K99" s="111">
        <f t="shared" si="13"/>
        <v>38</v>
      </c>
      <c r="L99" s="110">
        <f t="shared" si="14"/>
        <v>244.33999999999997</v>
      </c>
      <c r="M99" s="112"/>
    </row>
    <row r="100" spans="2:13" s="52" customFormat="1" ht="20.100000000000001" customHeight="1">
      <c r="B100" s="108">
        <v>1</v>
      </c>
      <c r="C100" s="139" t="s">
        <v>47</v>
      </c>
      <c r="D100" s="115" t="s">
        <v>584</v>
      </c>
      <c r="E100" s="115" t="s">
        <v>697</v>
      </c>
      <c r="F100" s="115" t="s">
        <v>778</v>
      </c>
      <c r="G100" s="115">
        <v>1</v>
      </c>
      <c r="H100" s="71"/>
      <c r="I100" s="109">
        <f t="shared" si="11"/>
        <v>30.75</v>
      </c>
      <c r="J100" s="110">
        <f t="shared" si="12"/>
        <v>0</v>
      </c>
      <c r="K100" s="111">
        <f t="shared" si="13"/>
        <v>1</v>
      </c>
      <c r="L100" s="110">
        <f t="shared" si="14"/>
        <v>30.75</v>
      </c>
      <c r="M100" s="112"/>
    </row>
    <row r="101" spans="2:13" s="52" customFormat="1" ht="20.100000000000001" customHeight="1">
      <c r="B101" s="108">
        <v>1</v>
      </c>
      <c r="C101" s="139" t="s">
        <v>47</v>
      </c>
      <c r="D101" s="115" t="s">
        <v>585</v>
      </c>
      <c r="E101" s="115" t="s">
        <v>698</v>
      </c>
      <c r="F101" s="115" t="s">
        <v>775</v>
      </c>
      <c r="G101" s="115">
        <v>60</v>
      </c>
      <c r="H101" s="71"/>
      <c r="I101" s="109">
        <f t="shared" si="11"/>
        <v>385.79999999999995</v>
      </c>
      <c r="J101" s="110">
        <f t="shared" si="12"/>
        <v>0</v>
      </c>
      <c r="K101" s="111">
        <f t="shared" si="13"/>
        <v>60</v>
      </c>
      <c r="L101" s="110">
        <f t="shared" si="14"/>
        <v>385.79999999999995</v>
      </c>
      <c r="M101" s="112"/>
    </row>
    <row r="102" spans="2:13" s="52" customFormat="1" ht="20.100000000000001" customHeight="1">
      <c r="B102" s="108">
        <v>1</v>
      </c>
      <c r="C102" s="139" t="s">
        <v>47</v>
      </c>
      <c r="D102" s="115" t="s">
        <v>586</v>
      </c>
      <c r="E102" s="115" t="s">
        <v>699</v>
      </c>
      <c r="F102" s="115" t="s">
        <v>779</v>
      </c>
      <c r="G102" s="115">
        <v>14</v>
      </c>
      <c r="H102" s="71"/>
      <c r="I102" s="109">
        <f t="shared" si="11"/>
        <v>320.03999999999996</v>
      </c>
      <c r="J102" s="110">
        <f t="shared" si="12"/>
        <v>0</v>
      </c>
      <c r="K102" s="111">
        <f t="shared" si="13"/>
        <v>14</v>
      </c>
      <c r="L102" s="110">
        <f t="shared" si="14"/>
        <v>320.03999999999996</v>
      </c>
      <c r="M102" s="112"/>
    </row>
    <row r="103" spans="2:13" s="52" customFormat="1" ht="20.100000000000001" customHeight="1">
      <c r="B103" s="108">
        <v>1</v>
      </c>
      <c r="C103" s="139" t="s">
        <v>47</v>
      </c>
      <c r="D103" s="115" t="s">
        <v>587</v>
      </c>
      <c r="E103" s="115" t="s">
        <v>700</v>
      </c>
      <c r="F103" s="115" t="s">
        <v>779</v>
      </c>
      <c r="G103" s="115">
        <v>6</v>
      </c>
      <c r="H103" s="71"/>
      <c r="I103" s="109">
        <f t="shared" si="11"/>
        <v>137.16</v>
      </c>
      <c r="J103" s="110">
        <f t="shared" si="12"/>
        <v>0</v>
      </c>
      <c r="K103" s="111">
        <f t="shared" si="13"/>
        <v>6</v>
      </c>
      <c r="L103" s="110">
        <f t="shared" si="14"/>
        <v>137.16</v>
      </c>
      <c r="M103" s="112"/>
    </row>
    <row r="104" spans="2:13" s="52" customFormat="1" ht="20.100000000000001" customHeight="1">
      <c r="B104" s="108">
        <v>1</v>
      </c>
      <c r="C104" s="139" t="s">
        <v>47</v>
      </c>
      <c r="D104" s="115" t="s">
        <v>588</v>
      </c>
      <c r="E104" s="115" t="s">
        <v>701</v>
      </c>
      <c r="F104" s="115" t="s">
        <v>728</v>
      </c>
      <c r="G104" s="115">
        <v>243</v>
      </c>
      <c r="H104" s="71">
        <f>23+55+51</f>
        <v>129</v>
      </c>
      <c r="I104" s="109">
        <f t="shared" si="11"/>
        <v>1501.74</v>
      </c>
      <c r="J104" s="110">
        <f t="shared" si="12"/>
        <v>797.21999999999991</v>
      </c>
      <c r="K104" s="111">
        <f t="shared" si="13"/>
        <v>114</v>
      </c>
      <c r="L104" s="110">
        <f t="shared" si="14"/>
        <v>704.5200000000001</v>
      </c>
      <c r="M104" s="112"/>
    </row>
    <row r="105" spans="2:13" s="52" customFormat="1" ht="20.100000000000001" customHeight="1">
      <c r="B105" s="108">
        <v>1</v>
      </c>
      <c r="C105" s="139" t="s">
        <v>47</v>
      </c>
      <c r="D105" s="115" t="s">
        <v>589</v>
      </c>
      <c r="E105" s="115" t="s">
        <v>702</v>
      </c>
      <c r="F105" s="115" t="s">
        <v>774</v>
      </c>
      <c r="G105" s="115">
        <v>27</v>
      </c>
      <c r="H105" s="71">
        <f>2+15</f>
        <v>17</v>
      </c>
      <c r="I105" s="109">
        <f t="shared" si="11"/>
        <v>593.18999999999994</v>
      </c>
      <c r="J105" s="110">
        <f t="shared" si="12"/>
        <v>373.49</v>
      </c>
      <c r="K105" s="111">
        <f t="shared" si="13"/>
        <v>10</v>
      </c>
      <c r="L105" s="110">
        <f t="shared" si="14"/>
        <v>219.69999999999993</v>
      </c>
      <c r="M105" s="112"/>
    </row>
    <row r="106" spans="2:13" s="52" customFormat="1" ht="20.100000000000001" customHeight="1">
      <c r="B106" s="108">
        <v>1</v>
      </c>
      <c r="C106" s="139" t="s">
        <v>47</v>
      </c>
      <c r="D106" s="115" t="s">
        <v>590</v>
      </c>
      <c r="E106" s="115" t="s">
        <v>703</v>
      </c>
      <c r="F106" s="115" t="s">
        <v>775</v>
      </c>
      <c r="G106" s="115">
        <v>65</v>
      </c>
      <c r="H106" s="71">
        <v>32</v>
      </c>
      <c r="I106" s="109">
        <f t="shared" si="11"/>
        <v>417.95</v>
      </c>
      <c r="J106" s="110">
        <f t="shared" si="12"/>
        <v>205.76</v>
      </c>
      <c r="K106" s="111">
        <f t="shared" si="13"/>
        <v>33</v>
      </c>
      <c r="L106" s="110">
        <f t="shared" si="14"/>
        <v>212.19</v>
      </c>
      <c r="M106" s="112"/>
    </row>
    <row r="107" spans="2:13" s="52" customFormat="1" ht="20.100000000000001" customHeight="1">
      <c r="B107" s="108">
        <v>1</v>
      </c>
      <c r="C107" s="139" t="s">
        <v>47</v>
      </c>
      <c r="D107" s="115" t="s">
        <v>591</v>
      </c>
      <c r="E107" s="115" t="s">
        <v>704</v>
      </c>
      <c r="F107" s="115" t="s">
        <v>779</v>
      </c>
      <c r="G107" s="115">
        <v>17</v>
      </c>
      <c r="H107" s="71"/>
      <c r="I107" s="109">
        <f t="shared" si="11"/>
        <v>388.62</v>
      </c>
      <c r="J107" s="110">
        <f t="shared" si="12"/>
        <v>0</v>
      </c>
      <c r="K107" s="111">
        <f t="shared" si="13"/>
        <v>17</v>
      </c>
      <c r="L107" s="110">
        <f t="shared" si="14"/>
        <v>388.62</v>
      </c>
      <c r="M107" s="112"/>
    </row>
    <row r="108" spans="2:13" s="52" customFormat="1" ht="20.100000000000001" customHeight="1">
      <c r="B108" s="108">
        <v>1</v>
      </c>
      <c r="C108" s="139" t="s">
        <v>47</v>
      </c>
      <c r="D108" s="115" t="s">
        <v>592</v>
      </c>
      <c r="E108" s="115" t="s">
        <v>705</v>
      </c>
      <c r="F108" s="115" t="s">
        <v>777</v>
      </c>
      <c r="G108" s="115">
        <v>24</v>
      </c>
      <c r="H108" s="71"/>
      <c r="I108" s="109">
        <f t="shared" si="11"/>
        <v>206.64</v>
      </c>
      <c r="J108" s="110">
        <f t="shared" si="12"/>
        <v>0</v>
      </c>
      <c r="K108" s="111">
        <f t="shared" si="13"/>
        <v>24</v>
      </c>
      <c r="L108" s="110">
        <f t="shared" si="14"/>
        <v>206.64</v>
      </c>
      <c r="M108" s="112"/>
    </row>
    <row r="109" spans="2:13" s="52" customFormat="1" ht="20.100000000000001" customHeight="1">
      <c r="B109" s="108">
        <v>1</v>
      </c>
      <c r="C109" s="139" t="s">
        <v>47</v>
      </c>
      <c r="D109" s="115" t="s">
        <v>593</v>
      </c>
      <c r="E109" s="115" t="s">
        <v>706</v>
      </c>
      <c r="F109" s="115" t="s">
        <v>780</v>
      </c>
      <c r="G109" s="115">
        <v>2</v>
      </c>
      <c r="H109" s="71">
        <v>1</v>
      </c>
      <c r="I109" s="109">
        <f t="shared" si="11"/>
        <v>120</v>
      </c>
      <c r="J109" s="110">
        <f t="shared" si="12"/>
        <v>60</v>
      </c>
      <c r="K109" s="111">
        <f t="shared" si="13"/>
        <v>1</v>
      </c>
      <c r="L109" s="110">
        <f t="shared" si="14"/>
        <v>60</v>
      </c>
      <c r="M109" s="112"/>
    </row>
    <row r="110" spans="2:13" s="52" customFormat="1" ht="20.100000000000001" customHeight="1">
      <c r="B110" s="108">
        <v>1</v>
      </c>
      <c r="C110" s="139" t="s">
        <v>47</v>
      </c>
      <c r="D110" s="115" t="s">
        <v>594</v>
      </c>
      <c r="E110" s="115" t="s">
        <v>707</v>
      </c>
      <c r="F110" s="115" t="s">
        <v>781</v>
      </c>
      <c r="G110" s="115">
        <v>202</v>
      </c>
      <c r="H110" s="71">
        <v>74</v>
      </c>
      <c r="I110" s="109">
        <f t="shared" si="11"/>
        <v>3054.24</v>
      </c>
      <c r="J110" s="110">
        <f t="shared" si="12"/>
        <v>1118.8799999999999</v>
      </c>
      <c r="K110" s="111">
        <f t="shared" si="13"/>
        <v>128</v>
      </c>
      <c r="L110" s="110">
        <f t="shared" si="14"/>
        <v>1935.36</v>
      </c>
      <c r="M110" s="112"/>
    </row>
    <row r="111" spans="2:13" s="52" customFormat="1" ht="20.100000000000001" customHeight="1">
      <c r="B111" s="108">
        <v>1</v>
      </c>
      <c r="C111" s="139" t="s">
        <v>47</v>
      </c>
      <c r="D111" s="115" t="s">
        <v>595</v>
      </c>
      <c r="E111" s="115" t="s">
        <v>708</v>
      </c>
      <c r="F111" s="115" t="s">
        <v>782</v>
      </c>
      <c r="G111" s="115">
        <v>49</v>
      </c>
      <c r="H111" s="71">
        <v>42</v>
      </c>
      <c r="I111" s="109">
        <f t="shared" si="11"/>
        <v>1548.4</v>
      </c>
      <c r="J111" s="110">
        <f t="shared" si="12"/>
        <v>1327.2</v>
      </c>
      <c r="K111" s="111">
        <f t="shared" si="13"/>
        <v>7</v>
      </c>
      <c r="L111" s="110">
        <f t="shared" si="14"/>
        <v>221.20000000000005</v>
      </c>
      <c r="M111" s="112"/>
    </row>
    <row r="112" spans="2:13" s="52" customFormat="1" ht="20.100000000000001" customHeight="1">
      <c r="B112" s="108">
        <v>1</v>
      </c>
      <c r="C112" s="139" t="s">
        <v>47</v>
      </c>
      <c r="D112" s="115" t="s">
        <v>596</v>
      </c>
      <c r="E112" s="115" t="s">
        <v>709</v>
      </c>
      <c r="F112" s="115" t="s">
        <v>781</v>
      </c>
      <c r="G112" s="115">
        <v>32</v>
      </c>
      <c r="H112" s="71">
        <v>16</v>
      </c>
      <c r="I112" s="109">
        <f t="shared" si="11"/>
        <v>483.84</v>
      </c>
      <c r="J112" s="110">
        <f t="shared" si="12"/>
        <v>241.92</v>
      </c>
      <c r="K112" s="111">
        <f t="shared" si="13"/>
        <v>16</v>
      </c>
      <c r="L112" s="110">
        <f t="shared" si="14"/>
        <v>241.92</v>
      </c>
      <c r="M112" s="112"/>
    </row>
    <row r="113" spans="2:13" s="52" customFormat="1" ht="20.100000000000001" customHeight="1">
      <c r="B113" s="108">
        <v>1</v>
      </c>
      <c r="C113" s="139" t="s">
        <v>47</v>
      </c>
      <c r="D113" s="115" t="s">
        <v>597</v>
      </c>
      <c r="E113" s="115" t="s">
        <v>710</v>
      </c>
      <c r="F113" s="115" t="s">
        <v>782</v>
      </c>
      <c r="G113" s="115">
        <v>50</v>
      </c>
      <c r="H113" s="71">
        <v>40</v>
      </c>
      <c r="I113" s="109">
        <f t="shared" si="11"/>
        <v>1580</v>
      </c>
      <c r="J113" s="110">
        <f t="shared" si="12"/>
        <v>1264</v>
      </c>
      <c r="K113" s="111">
        <f t="shared" si="13"/>
        <v>10</v>
      </c>
      <c r="L113" s="110">
        <f t="shared" si="14"/>
        <v>316</v>
      </c>
      <c r="M113" s="112"/>
    </row>
    <row r="114" spans="2:13" s="52" customFormat="1" ht="20.100000000000001" customHeight="1">
      <c r="B114" s="108">
        <v>1</v>
      </c>
      <c r="C114" s="139" t="s">
        <v>47</v>
      </c>
      <c r="D114" s="115" t="s">
        <v>597</v>
      </c>
      <c r="E114" s="115" t="s">
        <v>710</v>
      </c>
      <c r="F114" s="115" t="s">
        <v>784</v>
      </c>
      <c r="G114" s="115">
        <v>27</v>
      </c>
      <c r="H114" s="71"/>
      <c r="I114" s="109">
        <f t="shared" si="11"/>
        <v>851.85</v>
      </c>
      <c r="J114" s="110">
        <f t="shared" si="12"/>
        <v>0</v>
      </c>
      <c r="K114" s="111">
        <f t="shared" si="13"/>
        <v>27</v>
      </c>
      <c r="L114" s="110">
        <f t="shared" si="14"/>
        <v>851.85</v>
      </c>
      <c r="M114" s="112"/>
    </row>
    <row r="115" spans="2:13" s="52" customFormat="1" ht="20.100000000000001" customHeight="1">
      <c r="B115" s="108">
        <v>1</v>
      </c>
      <c r="C115" s="139" t="s">
        <v>47</v>
      </c>
      <c r="D115" s="115" t="s">
        <v>598</v>
      </c>
      <c r="E115" s="115" t="s">
        <v>711</v>
      </c>
      <c r="F115" s="115" t="s">
        <v>785</v>
      </c>
      <c r="G115" s="115">
        <v>11</v>
      </c>
      <c r="H115" s="71"/>
      <c r="I115" s="109">
        <f t="shared" si="11"/>
        <v>148.5</v>
      </c>
      <c r="J115" s="110">
        <f t="shared" si="12"/>
        <v>0</v>
      </c>
      <c r="K115" s="111">
        <f t="shared" si="13"/>
        <v>11</v>
      </c>
      <c r="L115" s="110">
        <f t="shared" si="14"/>
        <v>148.5</v>
      </c>
      <c r="M115" s="112"/>
    </row>
    <row r="116" spans="2:13" s="52" customFormat="1" ht="20.100000000000001" hidden="1" customHeight="1">
      <c r="B116" s="108">
        <v>1</v>
      </c>
      <c r="C116" s="139" t="s">
        <v>47</v>
      </c>
      <c r="D116" s="115" t="s">
        <v>599</v>
      </c>
      <c r="E116" s="115" t="s">
        <v>712</v>
      </c>
      <c r="F116" s="115" t="s">
        <v>782</v>
      </c>
      <c r="G116" s="115">
        <v>26</v>
      </c>
      <c r="H116" s="71">
        <v>26</v>
      </c>
      <c r="I116" s="109">
        <f t="shared" si="11"/>
        <v>821.6</v>
      </c>
      <c r="J116" s="110">
        <f t="shared" si="12"/>
        <v>821.6</v>
      </c>
      <c r="K116" s="111">
        <f t="shared" si="13"/>
        <v>0</v>
      </c>
      <c r="L116" s="110">
        <f t="shared" si="14"/>
        <v>0</v>
      </c>
      <c r="M116" s="112"/>
    </row>
    <row r="117" spans="2:13" s="52" customFormat="1" ht="20.100000000000001" customHeight="1">
      <c r="B117" s="108">
        <v>1</v>
      </c>
      <c r="C117" s="139" t="s">
        <v>47</v>
      </c>
      <c r="D117" s="115" t="s">
        <v>600</v>
      </c>
      <c r="E117" s="115" t="s">
        <v>713</v>
      </c>
      <c r="F117" s="115" t="s">
        <v>781</v>
      </c>
      <c r="G117" s="115">
        <v>80</v>
      </c>
      <c r="H117" s="71">
        <v>63</v>
      </c>
      <c r="I117" s="109">
        <f t="shared" si="11"/>
        <v>1209.5999999999999</v>
      </c>
      <c r="J117" s="110">
        <f t="shared" si="12"/>
        <v>952.56</v>
      </c>
      <c r="K117" s="111">
        <f t="shared" si="13"/>
        <v>17</v>
      </c>
      <c r="L117" s="110">
        <f t="shared" si="14"/>
        <v>257.03999999999996</v>
      </c>
      <c r="M117" s="112"/>
    </row>
    <row r="118" spans="2:13" s="52" customFormat="1" ht="20.100000000000001" customHeight="1">
      <c r="B118" s="108">
        <v>1</v>
      </c>
      <c r="C118" s="139" t="s">
        <v>47</v>
      </c>
      <c r="D118" s="115" t="s">
        <v>600</v>
      </c>
      <c r="E118" s="115" t="s">
        <v>713</v>
      </c>
      <c r="F118" s="115" t="s">
        <v>786</v>
      </c>
      <c r="G118" s="115">
        <v>139</v>
      </c>
      <c r="H118" s="71"/>
      <c r="I118" s="109">
        <f t="shared" si="11"/>
        <v>2103.0700000000002</v>
      </c>
      <c r="J118" s="110">
        <f t="shared" si="12"/>
        <v>0</v>
      </c>
      <c r="K118" s="111">
        <f t="shared" si="13"/>
        <v>139</v>
      </c>
      <c r="L118" s="110">
        <f t="shared" si="14"/>
        <v>2103.0700000000002</v>
      </c>
      <c r="M118" s="112"/>
    </row>
    <row r="119" spans="2:13" s="52" customFormat="1" ht="20.100000000000001" customHeight="1">
      <c r="B119" s="108">
        <v>1</v>
      </c>
      <c r="C119" s="139" t="s">
        <v>47</v>
      </c>
      <c r="D119" s="115" t="s">
        <v>601</v>
      </c>
      <c r="E119" s="115" t="s">
        <v>714</v>
      </c>
      <c r="F119" s="115" t="s">
        <v>787</v>
      </c>
      <c r="G119" s="115">
        <v>3</v>
      </c>
      <c r="H119" s="71"/>
      <c r="I119" s="109">
        <f t="shared" si="11"/>
        <v>94.74</v>
      </c>
      <c r="J119" s="110">
        <f t="shared" si="12"/>
        <v>0</v>
      </c>
      <c r="K119" s="111">
        <f t="shared" si="13"/>
        <v>3</v>
      </c>
      <c r="L119" s="110">
        <f t="shared" si="14"/>
        <v>94.74</v>
      </c>
      <c r="M119" s="112"/>
    </row>
    <row r="120" spans="2:13" s="52" customFormat="1" ht="20.100000000000001" customHeight="1">
      <c r="B120" s="108">
        <v>1</v>
      </c>
      <c r="C120" s="139" t="s">
        <v>47</v>
      </c>
      <c r="D120" s="115" t="s">
        <v>602</v>
      </c>
      <c r="E120" s="115" t="s">
        <v>715</v>
      </c>
      <c r="F120" s="115" t="s">
        <v>788</v>
      </c>
      <c r="G120" s="115">
        <v>177</v>
      </c>
      <c r="H120" s="71">
        <v>87</v>
      </c>
      <c r="I120" s="109">
        <f t="shared" si="11"/>
        <v>2770.05</v>
      </c>
      <c r="J120" s="110">
        <f t="shared" si="12"/>
        <v>1361.55</v>
      </c>
      <c r="K120" s="111">
        <f t="shared" si="13"/>
        <v>90</v>
      </c>
      <c r="L120" s="110">
        <f t="shared" si="14"/>
        <v>1408.5000000000002</v>
      </c>
      <c r="M120" s="112"/>
    </row>
    <row r="121" spans="2:13" s="52" customFormat="1" ht="20.100000000000001" customHeight="1">
      <c r="B121" s="108">
        <v>1</v>
      </c>
      <c r="C121" s="139" t="s">
        <v>47</v>
      </c>
      <c r="D121" s="115" t="s">
        <v>603</v>
      </c>
      <c r="E121" s="115" t="s">
        <v>716</v>
      </c>
      <c r="F121" s="115" t="s">
        <v>789</v>
      </c>
      <c r="G121" s="115">
        <v>75</v>
      </c>
      <c r="H121" s="71">
        <v>46</v>
      </c>
      <c r="I121" s="109">
        <f t="shared" si="11"/>
        <v>2585.25</v>
      </c>
      <c r="J121" s="110">
        <f t="shared" si="12"/>
        <v>1585.62</v>
      </c>
      <c r="K121" s="111">
        <f t="shared" si="13"/>
        <v>29</v>
      </c>
      <c r="L121" s="110">
        <f t="shared" si="14"/>
        <v>999.63000000000011</v>
      </c>
      <c r="M121" s="112"/>
    </row>
    <row r="122" spans="2:13" s="52" customFormat="1" ht="20.100000000000001" customHeight="1">
      <c r="B122" s="108">
        <v>1</v>
      </c>
      <c r="C122" s="139" t="s">
        <v>47</v>
      </c>
      <c r="D122" s="115" t="s">
        <v>604</v>
      </c>
      <c r="E122" s="115" t="s">
        <v>717</v>
      </c>
      <c r="F122" s="115" t="s">
        <v>728</v>
      </c>
      <c r="G122" s="115">
        <v>131</v>
      </c>
      <c r="H122" s="71">
        <v>49</v>
      </c>
      <c r="I122" s="109">
        <f t="shared" si="11"/>
        <v>809.57999999999993</v>
      </c>
      <c r="J122" s="110">
        <f t="shared" si="12"/>
        <v>302.82</v>
      </c>
      <c r="K122" s="111">
        <f t="shared" si="13"/>
        <v>82</v>
      </c>
      <c r="L122" s="110">
        <f t="shared" si="14"/>
        <v>506.75999999999993</v>
      </c>
      <c r="M122" s="112"/>
    </row>
    <row r="123" spans="2:13" s="52" customFormat="1" ht="20.100000000000001" customHeight="1">
      <c r="B123" s="108">
        <v>1</v>
      </c>
      <c r="C123" s="139" t="s">
        <v>47</v>
      </c>
      <c r="D123" s="115" t="s">
        <v>605</v>
      </c>
      <c r="E123" s="115" t="s">
        <v>718</v>
      </c>
      <c r="F123" s="115" t="s">
        <v>775</v>
      </c>
      <c r="G123" s="115">
        <v>93</v>
      </c>
      <c r="H123" s="71"/>
      <c r="I123" s="109">
        <f t="shared" si="11"/>
        <v>597.99</v>
      </c>
      <c r="J123" s="110">
        <f t="shared" si="12"/>
        <v>0</v>
      </c>
      <c r="K123" s="111">
        <f t="shared" si="13"/>
        <v>93</v>
      </c>
      <c r="L123" s="110">
        <f t="shared" si="14"/>
        <v>597.99</v>
      </c>
      <c r="M123" s="112"/>
    </row>
    <row r="124" spans="2:13" s="52" customFormat="1" ht="20.100000000000001" customHeight="1">
      <c r="B124" s="108">
        <v>1</v>
      </c>
      <c r="C124" s="139" t="s">
        <v>47</v>
      </c>
      <c r="D124" s="115" t="s">
        <v>606</v>
      </c>
      <c r="E124" s="115" t="s">
        <v>719</v>
      </c>
      <c r="F124" s="115" t="s">
        <v>741</v>
      </c>
      <c r="G124" s="115">
        <v>35</v>
      </c>
      <c r="H124" s="71"/>
      <c r="I124" s="109">
        <f t="shared" si="11"/>
        <v>793.8</v>
      </c>
      <c r="J124" s="110">
        <f t="shared" si="12"/>
        <v>0</v>
      </c>
      <c r="K124" s="111">
        <f t="shared" si="13"/>
        <v>35</v>
      </c>
      <c r="L124" s="110">
        <f t="shared" si="14"/>
        <v>793.8</v>
      </c>
      <c r="M124" s="112"/>
    </row>
    <row r="125" spans="2:13" s="52" customFormat="1" ht="20.100000000000001" customHeight="1">
      <c r="B125" s="108">
        <v>1</v>
      </c>
      <c r="C125" s="139" t="s">
        <v>47</v>
      </c>
      <c r="D125" s="115" t="s">
        <v>607</v>
      </c>
      <c r="E125" s="115" t="s">
        <v>720</v>
      </c>
      <c r="F125" s="115" t="s">
        <v>738</v>
      </c>
      <c r="G125" s="115">
        <v>27</v>
      </c>
      <c r="H125" s="71"/>
      <c r="I125" s="109">
        <f t="shared" si="11"/>
        <v>181.17</v>
      </c>
      <c r="J125" s="110">
        <f t="shared" si="12"/>
        <v>0</v>
      </c>
      <c r="K125" s="111">
        <f t="shared" si="13"/>
        <v>27</v>
      </c>
      <c r="L125" s="110">
        <f t="shared" si="14"/>
        <v>181.17</v>
      </c>
      <c r="M125" s="112"/>
    </row>
    <row r="126" spans="2:13" s="52" customFormat="1" ht="20.100000000000001" customHeight="1">
      <c r="B126" s="108">
        <v>1</v>
      </c>
      <c r="C126" s="139" t="s">
        <v>47</v>
      </c>
      <c r="D126" s="115" t="s">
        <v>607</v>
      </c>
      <c r="E126" s="115" t="s">
        <v>720</v>
      </c>
      <c r="F126" s="115" t="s">
        <v>1153</v>
      </c>
      <c r="G126" s="115">
        <v>100</v>
      </c>
      <c r="H126" s="71">
        <v>98</v>
      </c>
      <c r="I126" s="109">
        <f t="shared" si="11"/>
        <v>706</v>
      </c>
      <c r="J126" s="110">
        <f t="shared" si="12"/>
        <v>691.88</v>
      </c>
      <c r="K126" s="111">
        <f t="shared" si="13"/>
        <v>2</v>
      </c>
      <c r="L126" s="110">
        <f t="shared" si="14"/>
        <v>14.120000000000005</v>
      </c>
      <c r="M126" s="112"/>
    </row>
    <row r="127" spans="2:13" s="52" customFormat="1" ht="20.100000000000001" customHeight="1">
      <c r="B127" s="108">
        <v>1</v>
      </c>
      <c r="C127" s="139" t="s">
        <v>47</v>
      </c>
      <c r="D127" s="115" t="s">
        <v>608</v>
      </c>
      <c r="E127" s="115" t="s">
        <v>721</v>
      </c>
      <c r="F127" s="115" t="s">
        <v>775</v>
      </c>
      <c r="G127" s="115">
        <v>20</v>
      </c>
      <c r="H127" s="71"/>
      <c r="I127" s="109">
        <f t="shared" si="11"/>
        <v>128.6</v>
      </c>
      <c r="J127" s="110">
        <f t="shared" si="12"/>
        <v>0</v>
      </c>
      <c r="K127" s="111">
        <f t="shared" si="13"/>
        <v>20</v>
      </c>
      <c r="L127" s="110">
        <f t="shared" si="14"/>
        <v>128.6</v>
      </c>
      <c r="M127" s="112"/>
    </row>
    <row r="128" spans="2:13" s="52" customFormat="1" ht="20.100000000000001" customHeight="1">
      <c r="B128" s="108">
        <v>1</v>
      </c>
      <c r="C128" s="139" t="s">
        <v>47</v>
      </c>
      <c r="D128" s="115" t="s">
        <v>4617</v>
      </c>
      <c r="E128" s="115" t="s">
        <v>4618</v>
      </c>
      <c r="F128" s="115" t="s">
        <v>4624</v>
      </c>
      <c r="G128" s="115">
        <v>5</v>
      </c>
      <c r="H128" s="71"/>
      <c r="I128" s="109">
        <f t="shared" si="11"/>
        <v>370</v>
      </c>
      <c r="J128" s="110">
        <f t="shared" si="12"/>
        <v>0</v>
      </c>
      <c r="K128" s="111">
        <f t="shared" si="13"/>
        <v>5</v>
      </c>
      <c r="L128" s="110">
        <f t="shared" si="14"/>
        <v>370</v>
      </c>
      <c r="M128" s="112"/>
    </row>
    <row r="129" spans="2:13" s="52" customFormat="1" ht="20.100000000000001" customHeight="1">
      <c r="B129" s="108">
        <v>1</v>
      </c>
      <c r="C129" s="139" t="s">
        <v>47</v>
      </c>
      <c r="D129" s="115" t="s">
        <v>609</v>
      </c>
      <c r="E129" s="115" t="s">
        <v>722</v>
      </c>
      <c r="F129" s="115" t="s">
        <v>750</v>
      </c>
      <c r="G129" s="115">
        <v>10</v>
      </c>
      <c r="H129" s="71"/>
      <c r="I129" s="109">
        <f t="shared" si="11"/>
        <v>234.8</v>
      </c>
      <c r="J129" s="110">
        <f t="shared" si="12"/>
        <v>0</v>
      </c>
      <c r="K129" s="111">
        <f t="shared" si="13"/>
        <v>10</v>
      </c>
      <c r="L129" s="110">
        <f t="shared" si="14"/>
        <v>234.8</v>
      </c>
      <c r="M129" s="112"/>
    </row>
    <row r="130" spans="2:13" s="52" customFormat="1" ht="20.100000000000001" hidden="1" customHeight="1">
      <c r="B130" s="108">
        <v>1</v>
      </c>
      <c r="C130" s="139" t="s">
        <v>47</v>
      </c>
      <c r="D130" s="115" t="s">
        <v>610</v>
      </c>
      <c r="E130" s="115" t="s">
        <v>723</v>
      </c>
      <c r="F130" s="115" t="s">
        <v>788</v>
      </c>
      <c r="G130" s="115">
        <v>69</v>
      </c>
      <c r="H130" s="71">
        <v>75</v>
      </c>
      <c r="I130" s="109">
        <f t="shared" si="11"/>
        <v>1079.8500000000001</v>
      </c>
      <c r="J130" s="110">
        <f t="shared" si="12"/>
        <v>1173.75</v>
      </c>
      <c r="K130" s="111">
        <f t="shared" si="13"/>
        <v>-6</v>
      </c>
      <c r="L130" s="110">
        <f t="shared" si="14"/>
        <v>-93.899999999999864</v>
      </c>
      <c r="M130" s="112"/>
    </row>
    <row r="131" spans="2:13" s="52" customFormat="1" ht="20.100000000000001" customHeight="1">
      <c r="B131" s="108">
        <v>2</v>
      </c>
      <c r="C131" s="139" t="s">
        <v>48</v>
      </c>
      <c r="D131" s="115" t="s">
        <v>791</v>
      </c>
      <c r="E131" s="115" t="s">
        <v>810</v>
      </c>
      <c r="F131" s="115" t="s">
        <v>829</v>
      </c>
      <c r="G131" s="115">
        <v>17</v>
      </c>
      <c r="H131" s="71">
        <f>2+11</f>
        <v>13</v>
      </c>
      <c r="I131" s="109">
        <f t="shared" si="11"/>
        <v>4641</v>
      </c>
      <c r="J131" s="110">
        <f t="shared" si="12"/>
        <v>3549</v>
      </c>
      <c r="K131" s="111">
        <f t="shared" si="13"/>
        <v>4</v>
      </c>
      <c r="L131" s="110">
        <f t="shared" si="14"/>
        <v>1092</v>
      </c>
      <c r="M131" s="112"/>
    </row>
    <row r="132" spans="2:13" s="52" customFormat="1" ht="20.100000000000001" customHeight="1">
      <c r="B132" s="108">
        <v>2</v>
      </c>
      <c r="C132" s="139" t="s">
        <v>48</v>
      </c>
      <c r="D132" s="115" t="s">
        <v>792</v>
      </c>
      <c r="E132" s="115" t="s">
        <v>811</v>
      </c>
      <c r="F132" s="115" t="s">
        <v>830</v>
      </c>
      <c r="G132" s="115">
        <v>7</v>
      </c>
      <c r="H132" s="71">
        <v>6</v>
      </c>
      <c r="I132" s="109">
        <f t="shared" si="11"/>
        <v>964.25</v>
      </c>
      <c r="J132" s="110">
        <f t="shared" si="12"/>
        <v>826.5</v>
      </c>
      <c r="K132" s="111">
        <f t="shared" si="13"/>
        <v>1</v>
      </c>
      <c r="L132" s="110">
        <f t="shared" si="14"/>
        <v>137.75</v>
      </c>
      <c r="M132" s="112"/>
    </row>
    <row r="133" spans="2:13" s="52" customFormat="1" ht="20.100000000000001" customHeight="1">
      <c r="B133" s="108">
        <v>2</v>
      </c>
      <c r="C133" s="139" t="s">
        <v>48</v>
      </c>
      <c r="D133" s="115" t="s">
        <v>793</v>
      </c>
      <c r="E133" s="115" t="s">
        <v>812</v>
      </c>
      <c r="F133" s="115" t="s">
        <v>831</v>
      </c>
      <c r="G133" s="115">
        <v>4</v>
      </c>
      <c r="H133" s="71"/>
      <c r="I133" s="109">
        <f t="shared" si="11"/>
        <v>1305.68</v>
      </c>
      <c r="J133" s="110">
        <f t="shared" si="12"/>
        <v>0</v>
      </c>
      <c r="K133" s="111">
        <f t="shared" si="13"/>
        <v>4</v>
      </c>
      <c r="L133" s="110">
        <f t="shared" si="14"/>
        <v>1305.68</v>
      </c>
      <c r="M133" s="112"/>
    </row>
    <row r="134" spans="2:13" s="52" customFormat="1" ht="20.100000000000001" hidden="1" customHeight="1">
      <c r="B134" s="108">
        <v>2</v>
      </c>
      <c r="C134" s="139" t="s">
        <v>48</v>
      </c>
      <c r="D134" s="115" t="s">
        <v>794</v>
      </c>
      <c r="E134" s="115" t="s">
        <v>813</v>
      </c>
      <c r="F134" s="115" t="s">
        <v>832</v>
      </c>
      <c r="G134" s="115">
        <v>3</v>
      </c>
      <c r="H134" s="71">
        <v>3</v>
      </c>
      <c r="I134" s="109">
        <f t="shared" si="11"/>
        <v>2407.86</v>
      </c>
      <c r="J134" s="110">
        <f t="shared" si="12"/>
        <v>2407.86</v>
      </c>
      <c r="K134" s="111">
        <f t="shared" si="13"/>
        <v>0</v>
      </c>
      <c r="L134" s="110">
        <f t="shared" si="14"/>
        <v>0</v>
      </c>
      <c r="M134" s="112"/>
    </row>
    <row r="135" spans="2:13" s="52" customFormat="1" ht="20.100000000000001" customHeight="1">
      <c r="B135" s="108">
        <v>2</v>
      </c>
      <c r="C135" s="139" t="s">
        <v>48</v>
      </c>
      <c r="D135" s="115" t="s">
        <v>795</v>
      </c>
      <c r="E135" s="115" t="s">
        <v>814</v>
      </c>
      <c r="F135" s="115" t="s">
        <v>833</v>
      </c>
      <c r="G135" s="115">
        <v>16</v>
      </c>
      <c r="H135" s="71">
        <v>14</v>
      </c>
      <c r="I135" s="109">
        <f t="shared" si="11"/>
        <v>1360</v>
      </c>
      <c r="J135" s="110">
        <f t="shared" si="12"/>
        <v>1190</v>
      </c>
      <c r="K135" s="111">
        <f t="shared" si="13"/>
        <v>2</v>
      </c>
      <c r="L135" s="110">
        <f t="shared" si="14"/>
        <v>170</v>
      </c>
      <c r="M135" s="112"/>
    </row>
    <row r="136" spans="2:13" s="52" customFormat="1" ht="20.100000000000001" hidden="1" customHeight="1">
      <c r="B136" s="108">
        <v>2</v>
      </c>
      <c r="C136" s="139" t="s">
        <v>48</v>
      </c>
      <c r="D136" s="115" t="s">
        <v>796</v>
      </c>
      <c r="E136" s="115" t="s">
        <v>815</v>
      </c>
      <c r="F136" s="115" t="s">
        <v>833</v>
      </c>
      <c r="G136" s="115">
        <v>13</v>
      </c>
      <c r="H136" s="71">
        <v>14</v>
      </c>
      <c r="I136" s="109">
        <f t="shared" si="11"/>
        <v>1105</v>
      </c>
      <c r="J136" s="110">
        <f t="shared" si="12"/>
        <v>1190</v>
      </c>
      <c r="K136" s="111">
        <f t="shared" si="13"/>
        <v>-1</v>
      </c>
      <c r="L136" s="110">
        <f t="shared" si="14"/>
        <v>-85</v>
      </c>
      <c r="M136" s="112"/>
    </row>
    <row r="137" spans="2:13" s="52" customFormat="1" ht="20.100000000000001" hidden="1" customHeight="1">
      <c r="B137" s="108">
        <v>2</v>
      </c>
      <c r="C137" s="139" t="s">
        <v>48</v>
      </c>
      <c r="D137" s="115" t="s">
        <v>797</v>
      </c>
      <c r="E137" s="115" t="s">
        <v>816</v>
      </c>
      <c r="F137" s="115" t="s">
        <v>834</v>
      </c>
      <c r="G137" s="115">
        <v>3</v>
      </c>
      <c r="H137" s="71">
        <v>3</v>
      </c>
      <c r="I137" s="109">
        <f t="shared" si="11"/>
        <v>443.25</v>
      </c>
      <c r="J137" s="110">
        <f t="shared" si="12"/>
        <v>443.25</v>
      </c>
      <c r="K137" s="111">
        <f t="shared" si="13"/>
        <v>0</v>
      </c>
      <c r="L137" s="110">
        <f t="shared" si="14"/>
        <v>0</v>
      </c>
      <c r="M137" s="112"/>
    </row>
    <row r="138" spans="2:13" s="52" customFormat="1" ht="20.100000000000001" hidden="1" customHeight="1">
      <c r="B138" s="108">
        <v>2</v>
      </c>
      <c r="C138" s="139" t="s">
        <v>48</v>
      </c>
      <c r="D138" s="115" t="s">
        <v>798</v>
      </c>
      <c r="E138" s="115" t="s">
        <v>817</v>
      </c>
      <c r="F138" s="115" t="s">
        <v>835</v>
      </c>
      <c r="G138" s="115">
        <v>3</v>
      </c>
      <c r="H138" s="71">
        <v>15</v>
      </c>
      <c r="I138" s="109">
        <f t="shared" si="11"/>
        <v>363</v>
      </c>
      <c r="J138" s="110">
        <f t="shared" si="12"/>
        <v>1815</v>
      </c>
      <c r="K138" s="111">
        <f t="shared" si="13"/>
        <v>-12</v>
      </c>
      <c r="L138" s="110">
        <f t="shared" si="14"/>
        <v>-1452</v>
      </c>
      <c r="M138" s="112"/>
    </row>
    <row r="139" spans="2:13" s="52" customFormat="1" ht="20.100000000000001" customHeight="1">
      <c r="B139" s="108">
        <v>2</v>
      </c>
      <c r="C139" s="139" t="s">
        <v>48</v>
      </c>
      <c r="D139" s="115" t="s">
        <v>799</v>
      </c>
      <c r="E139" s="115" t="s">
        <v>818</v>
      </c>
      <c r="F139" s="115" t="s">
        <v>836</v>
      </c>
      <c r="G139" s="115">
        <v>35</v>
      </c>
      <c r="H139" s="71">
        <v>12</v>
      </c>
      <c r="I139" s="109">
        <f t="shared" si="11"/>
        <v>5372.5</v>
      </c>
      <c r="J139" s="110">
        <f t="shared" si="12"/>
        <v>1842</v>
      </c>
      <c r="K139" s="111">
        <f t="shared" si="13"/>
        <v>23</v>
      </c>
      <c r="L139" s="110">
        <f t="shared" si="14"/>
        <v>3530.5</v>
      </c>
      <c r="M139" s="112"/>
    </row>
    <row r="140" spans="2:13" s="52" customFormat="1" ht="20.100000000000001" hidden="1" customHeight="1">
      <c r="B140" s="108">
        <v>2</v>
      </c>
      <c r="C140" s="139" t="s">
        <v>48</v>
      </c>
      <c r="D140" s="115" t="s">
        <v>800</v>
      </c>
      <c r="E140" s="115" t="s">
        <v>819</v>
      </c>
      <c r="F140" s="115" t="s">
        <v>837</v>
      </c>
      <c r="G140" s="115">
        <v>30</v>
      </c>
      <c r="H140" s="71">
        <f>12+60</f>
        <v>72</v>
      </c>
      <c r="I140" s="109">
        <f t="shared" si="11"/>
        <v>3525</v>
      </c>
      <c r="J140" s="110">
        <f t="shared" si="12"/>
        <v>8460</v>
      </c>
      <c r="K140" s="111">
        <f t="shared" si="13"/>
        <v>-42</v>
      </c>
      <c r="L140" s="110">
        <f t="shared" si="14"/>
        <v>-4935</v>
      </c>
      <c r="M140" s="112"/>
    </row>
    <row r="141" spans="2:13" s="52" customFormat="1" ht="20.100000000000001" customHeight="1">
      <c r="B141" s="108">
        <v>2</v>
      </c>
      <c r="C141" s="139" t="s">
        <v>48</v>
      </c>
      <c r="D141" s="115" t="s">
        <v>801</v>
      </c>
      <c r="E141" s="115" t="s">
        <v>820</v>
      </c>
      <c r="F141" s="115" t="s">
        <v>838</v>
      </c>
      <c r="G141" s="115">
        <v>5</v>
      </c>
      <c r="H141" s="71">
        <v>1</v>
      </c>
      <c r="I141" s="109">
        <f t="shared" ref="I141:I199" si="15">F141*G141</f>
        <v>1775</v>
      </c>
      <c r="J141" s="110">
        <f t="shared" si="12"/>
        <v>355</v>
      </c>
      <c r="K141" s="111">
        <f t="shared" si="13"/>
        <v>4</v>
      </c>
      <c r="L141" s="110">
        <f t="shared" si="14"/>
        <v>1420</v>
      </c>
      <c r="M141" s="112"/>
    </row>
    <row r="142" spans="2:13" s="52" customFormat="1" ht="20.100000000000001" hidden="1" customHeight="1">
      <c r="B142" s="108">
        <v>2</v>
      </c>
      <c r="C142" s="139" t="s">
        <v>48</v>
      </c>
      <c r="D142" s="115" t="s">
        <v>802</v>
      </c>
      <c r="E142" s="115" t="s">
        <v>821</v>
      </c>
      <c r="F142" s="115" t="s">
        <v>841</v>
      </c>
      <c r="G142" s="115">
        <v>3</v>
      </c>
      <c r="H142" s="71">
        <v>3</v>
      </c>
      <c r="I142" s="109">
        <f t="shared" si="15"/>
        <v>204</v>
      </c>
      <c r="J142" s="110">
        <f t="shared" si="12"/>
        <v>204</v>
      </c>
      <c r="K142" s="111">
        <f t="shared" si="13"/>
        <v>0</v>
      </c>
      <c r="L142" s="110">
        <f t="shared" si="14"/>
        <v>0</v>
      </c>
      <c r="M142" s="112"/>
    </row>
    <row r="143" spans="2:13" s="52" customFormat="1" ht="20.100000000000001" hidden="1" customHeight="1">
      <c r="B143" s="108">
        <v>2</v>
      </c>
      <c r="C143" s="139" t="s">
        <v>48</v>
      </c>
      <c r="D143" s="115" t="s">
        <v>803</v>
      </c>
      <c r="E143" s="115" t="s">
        <v>822</v>
      </c>
      <c r="F143" s="115" t="s">
        <v>842</v>
      </c>
      <c r="G143" s="115">
        <v>6</v>
      </c>
      <c r="H143" s="71">
        <v>6</v>
      </c>
      <c r="I143" s="109">
        <f t="shared" si="15"/>
        <v>774</v>
      </c>
      <c r="J143" s="110">
        <f t="shared" si="12"/>
        <v>774</v>
      </c>
      <c r="K143" s="111">
        <f t="shared" si="13"/>
        <v>0</v>
      </c>
      <c r="L143" s="110">
        <f t="shared" si="14"/>
        <v>0</v>
      </c>
      <c r="M143" s="112"/>
    </row>
    <row r="144" spans="2:13" s="52" customFormat="1" ht="20.100000000000001" hidden="1" customHeight="1">
      <c r="B144" s="108">
        <v>2</v>
      </c>
      <c r="C144" s="139" t="s">
        <v>48</v>
      </c>
      <c r="D144" s="115" t="s">
        <v>804</v>
      </c>
      <c r="E144" s="115" t="s">
        <v>823</v>
      </c>
      <c r="F144" s="115" t="s">
        <v>843</v>
      </c>
      <c r="G144" s="115">
        <v>4</v>
      </c>
      <c r="H144" s="71">
        <v>4</v>
      </c>
      <c r="I144" s="109">
        <f t="shared" si="15"/>
        <v>398</v>
      </c>
      <c r="J144" s="110">
        <f t="shared" si="12"/>
        <v>398</v>
      </c>
      <c r="K144" s="111">
        <f t="shared" si="13"/>
        <v>0</v>
      </c>
      <c r="L144" s="110">
        <f t="shared" si="14"/>
        <v>0</v>
      </c>
      <c r="M144" s="112"/>
    </row>
    <row r="145" spans="2:13" s="52" customFormat="1" ht="20.100000000000001" customHeight="1">
      <c r="B145" s="108">
        <v>2</v>
      </c>
      <c r="C145" s="139" t="s">
        <v>48</v>
      </c>
      <c r="D145" s="115" t="s">
        <v>805</v>
      </c>
      <c r="E145" s="115" t="s">
        <v>824</v>
      </c>
      <c r="F145" s="115" t="s">
        <v>844</v>
      </c>
      <c r="G145" s="115">
        <v>2</v>
      </c>
      <c r="H145" s="71">
        <v>1</v>
      </c>
      <c r="I145" s="109">
        <f t="shared" si="15"/>
        <v>241.5</v>
      </c>
      <c r="J145" s="110">
        <f t="shared" si="12"/>
        <v>120.75</v>
      </c>
      <c r="K145" s="111">
        <f t="shared" si="13"/>
        <v>1</v>
      </c>
      <c r="L145" s="110">
        <f t="shared" si="14"/>
        <v>120.75</v>
      </c>
      <c r="M145" s="112"/>
    </row>
    <row r="146" spans="2:13" s="52" customFormat="1" ht="20.100000000000001" hidden="1" customHeight="1">
      <c r="B146" s="108">
        <v>2</v>
      </c>
      <c r="C146" s="139" t="s">
        <v>48</v>
      </c>
      <c r="D146" s="115" t="s">
        <v>806</v>
      </c>
      <c r="E146" s="115" t="s">
        <v>825</v>
      </c>
      <c r="F146" s="115" t="s">
        <v>844</v>
      </c>
      <c r="G146" s="115">
        <v>3</v>
      </c>
      <c r="H146" s="71">
        <v>3</v>
      </c>
      <c r="I146" s="109">
        <f t="shared" si="15"/>
        <v>362.25</v>
      </c>
      <c r="J146" s="110">
        <f t="shared" si="12"/>
        <v>362.25</v>
      </c>
      <c r="K146" s="111">
        <f t="shared" si="13"/>
        <v>0</v>
      </c>
      <c r="L146" s="110">
        <f t="shared" si="14"/>
        <v>0</v>
      </c>
      <c r="M146" s="112"/>
    </row>
    <row r="147" spans="2:13" s="52" customFormat="1" ht="20.100000000000001" hidden="1" customHeight="1">
      <c r="B147" s="108">
        <v>2</v>
      </c>
      <c r="C147" s="139" t="s">
        <v>48</v>
      </c>
      <c r="D147" s="115" t="s">
        <v>807</v>
      </c>
      <c r="E147" s="115" t="s">
        <v>826</v>
      </c>
      <c r="F147" s="115" t="s">
        <v>844</v>
      </c>
      <c r="G147" s="115">
        <v>2</v>
      </c>
      <c r="H147" s="71">
        <v>2</v>
      </c>
      <c r="I147" s="109">
        <f t="shared" si="15"/>
        <v>241.5</v>
      </c>
      <c r="J147" s="110">
        <f t="shared" ref="J147:J206" si="16">F147*H147</f>
        <v>241.5</v>
      </c>
      <c r="K147" s="111">
        <f t="shared" ref="K147:K206" si="17">G147-H147</f>
        <v>0</v>
      </c>
      <c r="L147" s="110">
        <f t="shared" ref="L147:L206" si="18">I147-J147</f>
        <v>0</v>
      </c>
      <c r="M147" s="112"/>
    </row>
    <row r="148" spans="2:13" s="52" customFormat="1" ht="20.100000000000001" hidden="1" customHeight="1">
      <c r="B148" s="108">
        <v>2</v>
      </c>
      <c r="C148" s="139" t="s">
        <v>48</v>
      </c>
      <c r="D148" s="115" t="s">
        <v>808</v>
      </c>
      <c r="E148" s="115" t="s">
        <v>827</v>
      </c>
      <c r="F148" s="115" t="s">
        <v>845</v>
      </c>
      <c r="G148" s="115">
        <v>1</v>
      </c>
      <c r="H148" s="71">
        <v>1</v>
      </c>
      <c r="I148" s="109">
        <f t="shared" si="15"/>
        <v>249.83</v>
      </c>
      <c r="J148" s="110">
        <f t="shared" si="16"/>
        <v>249.83</v>
      </c>
      <c r="K148" s="111">
        <f t="shared" si="17"/>
        <v>0</v>
      </c>
      <c r="L148" s="110">
        <f t="shared" si="18"/>
        <v>0</v>
      </c>
      <c r="M148" s="112"/>
    </row>
    <row r="149" spans="2:13" s="52" customFormat="1" ht="20.100000000000001" hidden="1" customHeight="1">
      <c r="B149" s="108">
        <v>2</v>
      </c>
      <c r="C149" s="139" t="s">
        <v>48</v>
      </c>
      <c r="D149" s="115" t="s">
        <v>809</v>
      </c>
      <c r="E149" s="115" t="s">
        <v>828</v>
      </c>
      <c r="F149" s="115" t="s">
        <v>846</v>
      </c>
      <c r="G149" s="115">
        <v>7</v>
      </c>
      <c r="H149" s="71">
        <v>7</v>
      </c>
      <c r="I149" s="109">
        <f t="shared" si="15"/>
        <v>1679.58</v>
      </c>
      <c r="J149" s="110">
        <f t="shared" si="16"/>
        <v>1679.58</v>
      </c>
      <c r="K149" s="111">
        <f t="shared" si="17"/>
        <v>0</v>
      </c>
      <c r="L149" s="110">
        <f t="shared" si="18"/>
        <v>0</v>
      </c>
      <c r="M149" s="112"/>
    </row>
    <row r="150" spans="2:13" s="52" customFormat="1" ht="20.100000000000001" customHeight="1">
      <c r="B150" s="108">
        <v>3</v>
      </c>
      <c r="C150" s="139" t="s">
        <v>49</v>
      </c>
      <c r="D150" s="115" t="s">
        <v>847</v>
      </c>
      <c r="E150" s="115" t="s">
        <v>1000</v>
      </c>
      <c r="F150" s="115" t="s">
        <v>1153</v>
      </c>
      <c r="G150" s="115">
        <v>18</v>
      </c>
      <c r="H150" s="71">
        <v>17</v>
      </c>
      <c r="I150" s="109">
        <f t="shared" si="15"/>
        <v>127.08</v>
      </c>
      <c r="J150" s="110">
        <f t="shared" si="16"/>
        <v>120.02</v>
      </c>
      <c r="K150" s="111">
        <f t="shared" si="17"/>
        <v>1</v>
      </c>
      <c r="L150" s="110">
        <f t="shared" si="18"/>
        <v>7.0600000000000023</v>
      </c>
      <c r="M150" s="112"/>
    </row>
    <row r="151" spans="2:13" s="52" customFormat="1" ht="20.100000000000001" customHeight="1">
      <c r="B151" s="108">
        <v>3</v>
      </c>
      <c r="C151" s="139" t="s">
        <v>49</v>
      </c>
      <c r="D151" s="115" t="s">
        <v>848</v>
      </c>
      <c r="E151" s="115" t="s">
        <v>1001</v>
      </c>
      <c r="F151" s="115" t="s">
        <v>1155</v>
      </c>
      <c r="G151" s="115">
        <v>12</v>
      </c>
      <c r="H151" s="71">
        <v>7</v>
      </c>
      <c r="I151" s="109">
        <f t="shared" si="15"/>
        <v>714</v>
      </c>
      <c r="J151" s="110">
        <f t="shared" si="16"/>
        <v>416.5</v>
      </c>
      <c r="K151" s="111">
        <f t="shared" si="17"/>
        <v>5</v>
      </c>
      <c r="L151" s="110">
        <f t="shared" si="18"/>
        <v>297.5</v>
      </c>
      <c r="M151" s="112"/>
    </row>
    <row r="152" spans="2:13" s="52" customFormat="1" ht="20.100000000000001" customHeight="1">
      <c r="B152" s="108">
        <v>3</v>
      </c>
      <c r="C152" s="139" t="s">
        <v>49</v>
      </c>
      <c r="D152" s="115" t="s">
        <v>848</v>
      </c>
      <c r="E152" s="115" t="s">
        <v>1001</v>
      </c>
      <c r="F152" s="115" t="s">
        <v>1154</v>
      </c>
      <c r="G152" s="115">
        <v>5</v>
      </c>
      <c r="H152" s="71"/>
      <c r="I152" s="109">
        <f t="shared" si="15"/>
        <v>286.25</v>
      </c>
      <c r="J152" s="110">
        <f t="shared" si="16"/>
        <v>0</v>
      </c>
      <c r="K152" s="111">
        <f t="shared" si="17"/>
        <v>5</v>
      </c>
      <c r="L152" s="110">
        <f t="shared" si="18"/>
        <v>286.25</v>
      </c>
      <c r="M152" s="112"/>
    </row>
    <row r="153" spans="2:13" s="52" customFormat="1" ht="20.100000000000001" customHeight="1">
      <c r="B153" s="108">
        <v>3</v>
      </c>
      <c r="C153" s="139" t="s">
        <v>49</v>
      </c>
      <c r="D153" s="115" t="s">
        <v>849</v>
      </c>
      <c r="E153" s="115" t="s">
        <v>1002</v>
      </c>
      <c r="F153" s="115" t="s">
        <v>1155</v>
      </c>
      <c r="G153" s="115">
        <v>12</v>
      </c>
      <c r="H153" s="71">
        <v>3</v>
      </c>
      <c r="I153" s="109">
        <f t="shared" si="15"/>
        <v>714</v>
      </c>
      <c r="J153" s="110">
        <f t="shared" si="16"/>
        <v>178.5</v>
      </c>
      <c r="K153" s="111">
        <f t="shared" si="17"/>
        <v>9</v>
      </c>
      <c r="L153" s="110">
        <f t="shared" si="18"/>
        <v>535.5</v>
      </c>
      <c r="M153" s="112"/>
    </row>
    <row r="154" spans="2:13" s="52" customFormat="1" ht="20.100000000000001" customHeight="1">
      <c r="B154" s="108">
        <v>3</v>
      </c>
      <c r="C154" s="139" t="s">
        <v>49</v>
      </c>
      <c r="D154" s="115" t="s">
        <v>849</v>
      </c>
      <c r="E154" s="115" t="s">
        <v>1002</v>
      </c>
      <c r="F154" s="115" t="s">
        <v>1154</v>
      </c>
      <c r="G154" s="115">
        <v>1</v>
      </c>
      <c r="H154" s="71"/>
      <c r="I154" s="109">
        <f t="shared" si="15"/>
        <v>57.25</v>
      </c>
      <c r="J154" s="110">
        <f t="shared" si="16"/>
        <v>0</v>
      </c>
      <c r="K154" s="111">
        <f t="shared" si="17"/>
        <v>1</v>
      </c>
      <c r="L154" s="110">
        <f t="shared" si="18"/>
        <v>57.25</v>
      </c>
      <c r="M154" s="112"/>
    </row>
    <row r="155" spans="2:13" s="52" customFormat="1" ht="20.100000000000001" customHeight="1">
      <c r="B155" s="108">
        <v>3</v>
      </c>
      <c r="C155" s="139" t="s">
        <v>49</v>
      </c>
      <c r="D155" s="115" t="s">
        <v>850</v>
      </c>
      <c r="E155" s="115" t="s">
        <v>1003</v>
      </c>
      <c r="F155" s="115" t="s">
        <v>1155</v>
      </c>
      <c r="G155" s="115">
        <v>9</v>
      </c>
      <c r="H155" s="71">
        <v>5</v>
      </c>
      <c r="I155" s="109">
        <f t="shared" si="15"/>
        <v>535.5</v>
      </c>
      <c r="J155" s="110">
        <f t="shared" si="16"/>
        <v>297.5</v>
      </c>
      <c r="K155" s="111">
        <f t="shared" si="17"/>
        <v>4</v>
      </c>
      <c r="L155" s="110">
        <f t="shared" si="18"/>
        <v>238</v>
      </c>
      <c r="M155" s="112"/>
    </row>
    <row r="156" spans="2:13" s="52" customFormat="1" ht="20.100000000000001" hidden="1" customHeight="1">
      <c r="B156" s="108">
        <v>3</v>
      </c>
      <c r="C156" s="139" t="s">
        <v>49</v>
      </c>
      <c r="D156" s="115" t="s">
        <v>851</v>
      </c>
      <c r="E156" s="115" t="s">
        <v>1004</v>
      </c>
      <c r="F156" s="115" t="s">
        <v>1156</v>
      </c>
      <c r="G156" s="115">
        <v>16</v>
      </c>
      <c r="H156" s="71">
        <v>20</v>
      </c>
      <c r="I156" s="109">
        <f t="shared" si="15"/>
        <v>100.96</v>
      </c>
      <c r="J156" s="110">
        <f t="shared" si="16"/>
        <v>126.19999999999999</v>
      </c>
      <c r="K156" s="111">
        <f t="shared" si="17"/>
        <v>-4</v>
      </c>
      <c r="L156" s="110">
        <f t="shared" si="18"/>
        <v>-25.239999999999995</v>
      </c>
      <c r="M156" s="112"/>
    </row>
    <row r="157" spans="2:13" s="52" customFormat="1" ht="20.100000000000001" customHeight="1">
      <c r="B157" s="108">
        <v>3</v>
      </c>
      <c r="C157" s="139" t="s">
        <v>49</v>
      </c>
      <c r="D157" s="115" t="s">
        <v>852</v>
      </c>
      <c r="E157" s="115" t="s">
        <v>1005</v>
      </c>
      <c r="F157" s="115" t="s">
        <v>1157</v>
      </c>
      <c r="G157" s="115">
        <v>57</v>
      </c>
      <c r="H157" s="71">
        <v>50</v>
      </c>
      <c r="I157" s="109">
        <f t="shared" si="15"/>
        <v>612.75</v>
      </c>
      <c r="J157" s="110">
        <f t="shared" si="16"/>
        <v>537.5</v>
      </c>
      <c r="K157" s="111">
        <f t="shared" si="17"/>
        <v>7</v>
      </c>
      <c r="L157" s="110">
        <f t="shared" si="18"/>
        <v>75.25</v>
      </c>
      <c r="M157" s="112"/>
    </row>
    <row r="158" spans="2:13" s="52" customFormat="1" ht="20.100000000000001" customHeight="1">
      <c r="B158" s="108">
        <v>3</v>
      </c>
      <c r="C158" s="139" t="s">
        <v>49</v>
      </c>
      <c r="D158" s="115" t="s">
        <v>853</v>
      </c>
      <c r="E158" s="115" t="s">
        <v>1006</v>
      </c>
      <c r="F158" s="115" t="s">
        <v>1158</v>
      </c>
      <c r="G158" s="115">
        <v>1</v>
      </c>
      <c r="H158" s="71"/>
      <c r="I158" s="109">
        <f t="shared" si="15"/>
        <v>31.75</v>
      </c>
      <c r="J158" s="110">
        <f t="shared" si="16"/>
        <v>0</v>
      </c>
      <c r="K158" s="111">
        <f t="shared" si="17"/>
        <v>1</v>
      </c>
      <c r="L158" s="110">
        <f t="shared" si="18"/>
        <v>31.75</v>
      </c>
      <c r="M158" s="112"/>
    </row>
    <row r="159" spans="2:13" s="52" customFormat="1" ht="20.100000000000001" hidden="1" customHeight="1">
      <c r="B159" s="108">
        <v>3</v>
      </c>
      <c r="C159" s="139" t="s">
        <v>49</v>
      </c>
      <c r="D159" s="115" t="s">
        <v>854</v>
      </c>
      <c r="E159" s="115" t="s">
        <v>1007</v>
      </c>
      <c r="F159" s="115" t="s">
        <v>1159</v>
      </c>
      <c r="G159" s="115">
        <v>6</v>
      </c>
      <c r="H159" s="71">
        <v>7</v>
      </c>
      <c r="I159" s="109">
        <f t="shared" si="15"/>
        <v>226.79999999999998</v>
      </c>
      <c r="J159" s="110">
        <f t="shared" si="16"/>
        <v>264.59999999999997</v>
      </c>
      <c r="K159" s="111">
        <f t="shared" si="17"/>
        <v>-1</v>
      </c>
      <c r="L159" s="110">
        <f t="shared" si="18"/>
        <v>-37.799999999999983</v>
      </c>
      <c r="M159" s="112"/>
    </row>
    <row r="160" spans="2:13" s="52" customFormat="1" ht="20.100000000000001" customHeight="1">
      <c r="B160" s="108">
        <v>3</v>
      </c>
      <c r="C160" s="139" t="s">
        <v>49</v>
      </c>
      <c r="D160" s="115" t="s">
        <v>855</v>
      </c>
      <c r="E160" s="115" t="s">
        <v>1008</v>
      </c>
      <c r="F160" s="115" t="s">
        <v>1154</v>
      </c>
      <c r="G160" s="115">
        <v>7</v>
      </c>
      <c r="H160" s="71">
        <v>5</v>
      </c>
      <c r="I160" s="109">
        <f t="shared" si="15"/>
        <v>400.75</v>
      </c>
      <c r="J160" s="110">
        <f t="shared" si="16"/>
        <v>286.25</v>
      </c>
      <c r="K160" s="111">
        <f t="shared" si="17"/>
        <v>2</v>
      </c>
      <c r="L160" s="110">
        <f t="shared" si="18"/>
        <v>114.5</v>
      </c>
      <c r="M160" s="116"/>
    </row>
    <row r="161" spans="2:13" s="52" customFormat="1" ht="20.100000000000001" hidden="1" customHeight="1">
      <c r="B161" s="108">
        <v>3</v>
      </c>
      <c r="C161" s="139" t="s">
        <v>49</v>
      </c>
      <c r="D161" s="115" t="s">
        <v>856</v>
      </c>
      <c r="E161" s="115" t="s">
        <v>1009</v>
      </c>
      <c r="F161" s="115" t="s">
        <v>756</v>
      </c>
      <c r="G161" s="115">
        <v>10</v>
      </c>
      <c r="H161" s="71">
        <v>10</v>
      </c>
      <c r="I161" s="109">
        <f t="shared" si="15"/>
        <v>615</v>
      </c>
      <c r="J161" s="110">
        <f t="shared" si="16"/>
        <v>615</v>
      </c>
      <c r="K161" s="111">
        <f t="shared" si="17"/>
        <v>0</v>
      </c>
      <c r="L161" s="110">
        <f t="shared" si="18"/>
        <v>0</v>
      </c>
      <c r="M161" s="112"/>
    </row>
    <row r="162" spans="2:13" s="52" customFormat="1" ht="20.100000000000001" hidden="1" customHeight="1">
      <c r="B162" s="108">
        <v>3</v>
      </c>
      <c r="C162" s="139" t="s">
        <v>49</v>
      </c>
      <c r="D162" s="115" t="s">
        <v>856</v>
      </c>
      <c r="E162" s="115" t="s">
        <v>1009</v>
      </c>
      <c r="F162" s="115" t="s">
        <v>1160</v>
      </c>
      <c r="G162" s="115">
        <v>1</v>
      </c>
      <c r="H162" s="71">
        <v>1</v>
      </c>
      <c r="I162" s="109">
        <f t="shared" si="15"/>
        <v>58.45</v>
      </c>
      <c r="J162" s="110">
        <f t="shared" si="16"/>
        <v>58.45</v>
      </c>
      <c r="K162" s="111">
        <f t="shared" si="17"/>
        <v>0</v>
      </c>
      <c r="L162" s="110">
        <f t="shared" si="18"/>
        <v>0</v>
      </c>
      <c r="M162" s="112"/>
    </row>
    <row r="163" spans="2:13" s="52" customFormat="1" ht="20.100000000000001" hidden="1" customHeight="1">
      <c r="B163" s="108">
        <v>3</v>
      </c>
      <c r="C163" s="139" t="s">
        <v>49</v>
      </c>
      <c r="D163" s="115" t="s">
        <v>4625</v>
      </c>
      <c r="E163" s="115" t="s">
        <v>4632</v>
      </c>
      <c r="F163" s="115" t="s">
        <v>3239</v>
      </c>
      <c r="G163" s="115">
        <v>10</v>
      </c>
      <c r="H163" s="71">
        <v>10</v>
      </c>
      <c r="I163" s="109">
        <f t="shared" si="15"/>
        <v>607.5</v>
      </c>
      <c r="J163" s="110">
        <f t="shared" si="16"/>
        <v>607.5</v>
      </c>
      <c r="K163" s="111">
        <f t="shared" si="17"/>
        <v>0</v>
      </c>
      <c r="L163" s="110">
        <f t="shared" si="18"/>
        <v>0</v>
      </c>
      <c r="M163" s="112"/>
    </row>
    <row r="164" spans="2:13" s="52" customFormat="1" ht="20.100000000000001" customHeight="1">
      <c r="B164" s="108">
        <v>3</v>
      </c>
      <c r="C164" s="139" t="s">
        <v>49</v>
      </c>
      <c r="D164" s="115" t="s">
        <v>857</v>
      </c>
      <c r="E164" s="115" t="s">
        <v>1010</v>
      </c>
      <c r="F164" s="115" t="s">
        <v>1162</v>
      </c>
      <c r="G164" s="115">
        <v>25</v>
      </c>
      <c r="H164" s="71">
        <f>4+8</f>
        <v>12</v>
      </c>
      <c r="I164" s="109">
        <f t="shared" si="15"/>
        <v>1120</v>
      </c>
      <c r="J164" s="110">
        <f t="shared" si="16"/>
        <v>537.59999999999991</v>
      </c>
      <c r="K164" s="111">
        <f t="shared" si="17"/>
        <v>13</v>
      </c>
      <c r="L164" s="110">
        <f t="shared" si="18"/>
        <v>582.40000000000009</v>
      </c>
      <c r="M164" s="112"/>
    </row>
    <row r="165" spans="2:13" s="52" customFormat="1" ht="20.100000000000001" customHeight="1">
      <c r="B165" s="108">
        <v>3</v>
      </c>
      <c r="C165" s="139" t="s">
        <v>49</v>
      </c>
      <c r="D165" s="115" t="s">
        <v>857</v>
      </c>
      <c r="E165" s="115" t="s">
        <v>1010</v>
      </c>
      <c r="F165" s="115" t="s">
        <v>1161</v>
      </c>
      <c r="G165" s="115">
        <v>10</v>
      </c>
      <c r="H165" s="71"/>
      <c r="I165" s="109">
        <f t="shared" si="15"/>
        <v>412</v>
      </c>
      <c r="J165" s="110">
        <f t="shared" si="16"/>
        <v>0</v>
      </c>
      <c r="K165" s="111">
        <f t="shared" si="17"/>
        <v>10</v>
      </c>
      <c r="L165" s="110">
        <f t="shared" si="18"/>
        <v>412</v>
      </c>
      <c r="M165" s="112"/>
    </row>
    <row r="166" spans="2:13" s="52" customFormat="1" ht="20.100000000000001" customHeight="1">
      <c r="B166" s="108">
        <v>3</v>
      </c>
      <c r="C166" s="139" t="s">
        <v>49</v>
      </c>
      <c r="D166" s="115" t="s">
        <v>858</v>
      </c>
      <c r="E166" s="115" t="s">
        <v>1011</v>
      </c>
      <c r="F166" s="115" t="s">
        <v>1162</v>
      </c>
      <c r="G166" s="115">
        <v>15</v>
      </c>
      <c r="H166" s="71">
        <v>8</v>
      </c>
      <c r="I166" s="109">
        <f t="shared" si="15"/>
        <v>672</v>
      </c>
      <c r="J166" s="110">
        <f t="shared" si="16"/>
        <v>358.4</v>
      </c>
      <c r="K166" s="111">
        <f t="shared" si="17"/>
        <v>7</v>
      </c>
      <c r="L166" s="110">
        <f t="shared" si="18"/>
        <v>313.60000000000002</v>
      </c>
      <c r="M166" s="112"/>
    </row>
    <row r="167" spans="2:13" s="52" customFormat="1" ht="20.100000000000001" customHeight="1">
      <c r="B167" s="108">
        <v>3</v>
      </c>
      <c r="C167" s="139" t="s">
        <v>49</v>
      </c>
      <c r="D167" s="115" t="s">
        <v>858</v>
      </c>
      <c r="E167" s="115" t="s">
        <v>1011</v>
      </c>
      <c r="F167" s="115" t="s">
        <v>1161</v>
      </c>
      <c r="G167" s="115">
        <v>1</v>
      </c>
      <c r="H167" s="71"/>
      <c r="I167" s="109">
        <f t="shared" si="15"/>
        <v>41.2</v>
      </c>
      <c r="J167" s="110">
        <f t="shared" si="16"/>
        <v>0</v>
      </c>
      <c r="K167" s="111">
        <f t="shared" si="17"/>
        <v>1</v>
      </c>
      <c r="L167" s="110">
        <f t="shared" si="18"/>
        <v>41.2</v>
      </c>
      <c r="M167" s="112"/>
    </row>
    <row r="168" spans="2:13" s="52" customFormat="1" ht="20.100000000000001" hidden="1" customHeight="1">
      <c r="B168" s="108">
        <v>3</v>
      </c>
      <c r="C168" s="139" t="s">
        <v>49</v>
      </c>
      <c r="D168" s="115" t="s">
        <v>859</v>
      </c>
      <c r="E168" s="115" t="s">
        <v>1012</v>
      </c>
      <c r="F168" s="115" t="s">
        <v>756</v>
      </c>
      <c r="G168" s="115">
        <v>8</v>
      </c>
      <c r="H168" s="71">
        <v>8</v>
      </c>
      <c r="I168" s="109">
        <f t="shared" si="15"/>
        <v>492</v>
      </c>
      <c r="J168" s="110">
        <f t="shared" si="16"/>
        <v>492</v>
      </c>
      <c r="K168" s="111">
        <f t="shared" si="17"/>
        <v>0</v>
      </c>
      <c r="L168" s="110">
        <f t="shared" si="18"/>
        <v>0</v>
      </c>
      <c r="M168" s="112"/>
    </row>
    <row r="169" spans="2:13" s="52" customFormat="1" ht="20.100000000000001" hidden="1" customHeight="1">
      <c r="B169" s="108">
        <v>3</v>
      </c>
      <c r="C169" s="139" t="s">
        <v>49</v>
      </c>
      <c r="D169" s="115" t="s">
        <v>860</v>
      </c>
      <c r="E169" s="115" t="s">
        <v>1013</v>
      </c>
      <c r="F169" s="115" t="s">
        <v>1160</v>
      </c>
      <c r="G169" s="115">
        <v>1</v>
      </c>
      <c r="H169" s="71">
        <v>1</v>
      </c>
      <c r="I169" s="109">
        <f t="shared" si="15"/>
        <v>58.45</v>
      </c>
      <c r="J169" s="110">
        <f t="shared" si="16"/>
        <v>58.45</v>
      </c>
      <c r="K169" s="111">
        <f t="shared" si="17"/>
        <v>0</v>
      </c>
      <c r="L169" s="110">
        <f t="shared" si="18"/>
        <v>0</v>
      </c>
      <c r="M169" s="112"/>
    </row>
    <row r="170" spans="2:13" s="52" customFormat="1" ht="20.100000000000001" hidden="1" customHeight="1">
      <c r="B170" s="108">
        <v>3</v>
      </c>
      <c r="C170" s="139" t="s">
        <v>49</v>
      </c>
      <c r="D170" s="115" t="s">
        <v>860</v>
      </c>
      <c r="E170" s="115" t="s">
        <v>1013</v>
      </c>
      <c r="F170" s="115" t="s">
        <v>756</v>
      </c>
      <c r="G170" s="115">
        <v>10</v>
      </c>
      <c r="H170" s="71">
        <v>10</v>
      </c>
      <c r="I170" s="109">
        <f t="shared" si="15"/>
        <v>615</v>
      </c>
      <c r="J170" s="110">
        <f t="shared" si="16"/>
        <v>615</v>
      </c>
      <c r="K170" s="111">
        <f t="shared" si="17"/>
        <v>0</v>
      </c>
      <c r="L170" s="110">
        <f t="shared" si="18"/>
        <v>0</v>
      </c>
      <c r="M170" s="112"/>
    </row>
    <row r="171" spans="2:13" s="52" customFormat="1" ht="20.100000000000001" hidden="1" customHeight="1">
      <c r="B171" s="108">
        <v>3</v>
      </c>
      <c r="C171" s="139" t="s">
        <v>49</v>
      </c>
      <c r="D171" s="115" t="s">
        <v>861</v>
      </c>
      <c r="E171" s="115" t="s">
        <v>1014</v>
      </c>
      <c r="F171" s="115" t="s">
        <v>1160</v>
      </c>
      <c r="G171" s="115">
        <v>4</v>
      </c>
      <c r="H171" s="71">
        <v>4</v>
      </c>
      <c r="I171" s="109">
        <f t="shared" si="15"/>
        <v>233.8</v>
      </c>
      <c r="J171" s="110">
        <f t="shared" si="16"/>
        <v>233.8</v>
      </c>
      <c r="K171" s="111">
        <f t="shared" si="17"/>
        <v>0</v>
      </c>
      <c r="L171" s="110">
        <f t="shared" si="18"/>
        <v>0</v>
      </c>
      <c r="M171" s="112"/>
    </row>
    <row r="172" spans="2:13" s="52" customFormat="1" ht="20.100000000000001" hidden="1" customHeight="1">
      <c r="B172" s="108">
        <v>3</v>
      </c>
      <c r="C172" s="139" t="s">
        <v>49</v>
      </c>
      <c r="D172" s="115" t="s">
        <v>862</v>
      </c>
      <c r="E172" s="115" t="s">
        <v>1015</v>
      </c>
      <c r="F172" s="115" t="s">
        <v>1163</v>
      </c>
      <c r="G172" s="115">
        <v>7</v>
      </c>
      <c r="H172" s="71">
        <v>8</v>
      </c>
      <c r="I172" s="109">
        <f t="shared" si="15"/>
        <v>245</v>
      </c>
      <c r="J172" s="110">
        <f t="shared" si="16"/>
        <v>280</v>
      </c>
      <c r="K172" s="111">
        <f t="shared" si="17"/>
        <v>-1</v>
      </c>
      <c r="L172" s="110">
        <f t="shared" si="18"/>
        <v>-35</v>
      </c>
      <c r="M172" s="112"/>
    </row>
    <row r="173" spans="2:13" s="52" customFormat="1" ht="20.100000000000001" hidden="1" customHeight="1">
      <c r="B173" s="108">
        <v>3</v>
      </c>
      <c r="C173" s="139" t="s">
        <v>49</v>
      </c>
      <c r="D173" s="115" t="s">
        <v>863</v>
      </c>
      <c r="E173" s="115" t="s">
        <v>1016</v>
      </c>
      <c r="F173" s="115" t="s">
        <v>1164</v>
      </c>
      <c r="G173" s="115">
        <v>5</v>
      </c>
      <c r="H173" s="71">
        <v>5</v>
      </c>
      <c r="I173" s="109">
        <f t="shared" si="15"/>
        <v>342.35</v>
      </c>
      <c r="J173" s="110">
        <f t="shared" si="16"/>
        <v>342.35</v>
      </c>
      <c r="K173" s="111">
        <f t="shared" si="17"/>
        <v>0</v>
      </c>
      <c r="L173" s="110">
        <f t="shared" si="18"/>
        <v>0</v>
      </c>
      <c r="M173" s="112"/>
    </row>
    <row r="174" spans="2:13" s="52" customFormat="1" ht="20.100000000000001" hidden="1" customHeight="1">
      <c r="B174" s="108">
        <v>3</v>
      </c>
      <c r="C174" s="139" t="s">
        <v>49</v>
      </c>
      <c r="D174" s="115" t="s">
        <v>864</v>
      </c>
      <c r="E174" s="115" t="s">
        <v>1017</v>
      </c>
      <c r="F174" s="115" t="s">
        <v>1165</v>
      </c>
      <c r="G174" s="115">
        <v>11</v>
      </c>
      <c r="H174" s="71">
        <v>11</v>
      </c>
      <c r="I174" s="109">
        <f t="shared" si="15"/>
        <v>330.44</v>
      </c>
      <c r="J174" s="110">
        <f t="shared" si="16"/>
        <v>330.44</v>
      </c>
      <c r="K174" s="111">
        <f t="shared" si="17"/>
        <v>0</v>
      </c>
      <c r="L174" s="110">
        <f t="shared" si="18"/>
        <v>0</v>
      </c>
      <c r="M174" s="112"/>
    </row>
    <row r="175" spans="2:13" s="52" customFormat="1" ht="20.100000000000001" hidden="1" customHeight="1">
      <c r="B175" s="108">
        <v>3</v>
      </c>
      <c r="C175" s="139" t="s">
        <v>49</v>
      </c>
      <c r="D175" s="115" t="s">
        <v>865</v>
      </c>
      <c r="E175" s="115" t="s">
        <v>1018</v>
      </c>
      <c r="F175" s="115" t="s">
        <v>1166</v>
      </c>
      <c r="G175" s="115">
        <v>1</v>
      </c>
      <c r="H175" s="71">
        <v>6</v>
      </c>
      <c r="I175" s="109">
        <f t="shared" si="15"/>
        <v>51.98</v>
      </c>
      <c r="J175" s="110">
        <f t="shared" si="16"/>
        <v>311.88</v>
      </c>
      <c r="K175" s="111">
        <f t="shared" si="17"/>
        <v>-5</v>
      </c>
      <c r="L175" s="110">
        <f t="shared" si="18"/>
        <v>-259.89999999999998</v>
      </c>
      <c r="M175" s="112"/>
    </row>
    <row r="176" spans="2:13" s="52" customFormat="1" ht="20.100000000000001" customHeight="1">
      <c r="B176" s="108">
        <v>3</v>
      </c>
      <c r="C176" s="139" t="s">
        <v>49</v>
      </c>
      <c r="D176" s="115" t="s">
        <v>865</v>
      </c>
      <c r="E176" s="115" t="s">
        <v>1018</v>
      </c>
      <c r="F176" s="115" t="s">
        <v>1167</v>
      </c>
      <c r="G176" s="115">
        <v>6</v>
      </c>
      <c r="H176" s="71"/>
      <c r="I176" s="109">
        <f t="shared" si="15"/>
        <v>324.29999999999995</v>
      </c>
      <c r="J176" s="110">
        <f t="shared" si="16"/>
        <v>0</v>
      </c>
      <c r="K176" s="111">
        <f t="shared" si="17"/>
        <v>6</v>
      </c>
      <c r="L176" s="110">
        <f t="shared" si="18"/>
        <v>324.29999999999995</v>
      </c>
      <c r="M176" s="112"/>
    </row>
    <row r="177" spans="2:13" s="52" customFormat="1" ht="20.100000000000001" customHeight="1">
      <c r="B177" s="108">
        <v>3</v>
      </c>
      <c r="C177" s="139" t="s">
        <v>49</v>
      </c>
      <c r="D177" s="115" t="s">
        <v>866</v>
      </c>
      <c r="E177" s="115" t="s">
        <v>1019</v>
      </c>
      <c r="F177" s="115" t="s">
        <v>1153</v>
      </c>
      <c r="G177" s="115">
        <v>10</v>
      </c>
      <c r="H177" s="71"/>
      <c r="I177" s="109">
        <f t="shared" si="15"/>
        <v>70.599999999999994</v>
      </c>
      <c r="J177" s="110">
        <f t="shared" si="16"/>
        <v>0</v>
      </c>
      <c r="K177" s="111">
        <f t="shared" si="17"/>
        <v>10</v>
      </c>
      <c r="L177" s="110">
        <f t="shared" si="18"/>
        <v>70.599999999999994</v>
      </c>
      <c r="M177" s="112"/>
    </row>
    <row r="178" spans="2:13" s="52" customFormat="1" ht="20.100000000000001" customHeight="1">
      <c r="B178" s="108">
        <v>3</v>
      </c>
      <c r="C178" s="139" t="s">
        <v>49</v>
      </c>
      <c r="D178" s="115" t="s">
        <v>867</v>
      </c>
      <c r="E178" s="115" t="s">
        <v>1020</v>
      </c>
      <c r="F178" s="115" t="s">
        <v>1168</v>
      </c>
      <c r="G178" s="115">
        <v>10</v>
      </c>
      <c r="H178" s="71"/>
      <c r="I178" s="109">
        <f t="shared" si="15"/>
        <v>859</v>
      </c>
      <c r="J178" s="110">
        <f t="shared" si="16"/>
        <v>0</v>
      </c>
      <c r="K178" s="111">
        <f t="shared" si="17"/>
        <v>10</v>
      </c>
      <c r="L178" s="110">
        <f t="shared" si="18"/>
        <v>859</v>
      </c>
      <c r="M178" s="112"/>
    </row>
    <row r="179" spans="2:13" s="52" customFormat="1" ht="20.100000000000001" customHeight="1">
      <c r="B179" s="108">
        <v>3</v>
      </c>
      <c r="C179" s="139" t="s">
        <v>49</v>
      </c>
      <c r="D179" s="115" t="s">
        <v>868</v>
      </c>
      <c r="E179" s="115" t="s">
        <v>1021</v>
      </c>
      <c r="F179" s="115" t="s">
        <v>1169</v>
      </c>
      <c r="G179" s="115">
        <v>9</v>
      </c>
      <c r="H179" s="71">
        <v>2</v>
      </c>
      <c r="I179" s="109">
        <f t="shared" si="15"/>
        <v>616.86</v>
      </c>
      <c r="J179" s="110">
        <f t="shared" si="16"/>
        <v>137.08000000000001</v>
      </c>
      <c r="K179" s="111">
        <f t="shared" si="17"/>
        <v>7</v>
      </c>
      <c r="L179" s="110">
        <f t="shared" si="18"/>
        <v>479.78</v>
      </c>
      <c r="M179" s="112"/>
    </row>
    <row r="180" spans="2:13" s="52" customFormat="1" ht="20.100000000000001" customHeight="1">
      <c r="B180" s="108">
        <v>3</v>
      </c>
      <c r="C180" s="139" t="s">
        <v>49</v>
      </c>
      <c r="D180" s="115" t="s">
        <v>869</v>
      </c>
      <c r="E180" s="115" t="s">
        <v>1022</v>
      </c>
      <c r="F180" s="115" t="s">
        <v>1169</v>
      </c>
      <c r="G180" s="115">
        <v>12</v>
      </c>
      <c r="H180" s="71">
        <f>4+1</f>
        <v>5</v>
      </c>
      <c r="I180" s="109">
        <f t="shared" si="15"/>
        <v>822.48</v>
      </c>
      <c r="J180" s="110">
        <f t="shared" si="16"/>
        <v>342.70000000000005</v>
      </c>
      <c r="K180" s="111">
        <f t="shared" si="17"/>
        <v>7</v>
      </c>
      <c r="L180" s="110">
        <f t="shared" si="18"/>
        <v>479.78</v>
      </c>
      <c r="M180" s="112"/>
    </row>
    <row r="181" spans="2:13" s="52" customFormat="1" ht="20.100000000000001" customHeight="1">
      <c r="B181" s="108">
        <v>3</v>
      </c>
      <c r="C181" s="139" t="s">
        <v>49</v>
      </c>
      <c r="D181" s="115" t="s">
        <v>870</v>
      </c>
      <c r="E181" s="115" t="s">
        <v>1023</v>
      </c>
      <c r="F181" s="115" t="s">
        <v>1168</v>
      </c>
      <c r="G181" s="115">
        <v>5</v>
      </c>
      <c r="H181" s="71"/>
      <c r="I181" s="109">
        <f t="shared" si="15"/>
        <v>429.5</v>
      </c>
      <c r="J181" s="110">
        <f t="shared" si="16"/>
        <v>0</v>
      </c>
      <c r="K181" s="111">
        <f t="shared" si="17"/>
        <v>5</v>
      </c>
      <c r="L181" s="110">
        <f t="shared" si="18"/>
        <v>429.5</v>
      </c>
      <c r="M181" s="112"/>
    </row>
    <row r="182" spans="2:13" s="52" customFormat="1" ht="20.100000000000001" customHeight="1">
      <c r="B182" s="108">
        <v>3</v>
      </c>
      <c r="C182" s="139" t="s">
        <v>49</v>
      </c>
      <c r="D182" s="115" t="s">
        <v>871</v>
      </c>
      <c r="E182" s="115" t="s">
        <v>1024</v>
      </c>
      <c r="F182" s="115" t="s">
        <v>1169</v>
      </c>
      <c r="G182" s="115">
        <v>17</v>
      </c>
      <c r="H182" s="71">
        <v>2</v>
      </c>
      <c r="I182" s="109">
        <f t="shared" si="15"/>
        <v>1165.18</v>
      </c>
      <c r="J182" s="110">
        <f t="shared" si="16"/>
        <v>137.08000000000001</v>
      </c>
      <c r="K182" s="111">
        <f t="shared" si="17"/>
        <v>15</v>
      </c>
      <c r="L182" s="110">
        <f t="shared" si="18"/>
        <v>1028.1000000000001</v>
      </c>
      <c r="M182" s="112"/>
    </row>
    <row r="183" spans="2:13" s="52" customFormat="1" ht="20.100000000000001" customHeight="1">
      <c r="B183" s="108">
        <v>3</v>
      </c>
      <c r="C183" s="139" t="s">
        <v>49</v>
      </c>
      <c r="D183" s="115" t="s">
        <v>872</v>
      </c>
      <c r="E183" s="115" t="s">
        <v>1025</v>
      </c>
      <c r="F183" s="115" t="s">
        <v>1170</v>
      </c>
      <c r="G183" s="115">
        <v>8</v>
      </c>
      <c r="H183" s="71">
        <v>6</v>
      </c>
      <c r="I183" s="109">
        <f t="shared" si="15"/>
        <v>165.44</v>
      </c>
      <c r="J183" s="110">
        <f t="shared" si="16"/>
        <v>124.08</v>
      </c>
      <c r="K183" s="111">
        <f t="shared" si="17"/>
        <v>2</v>
      </c>
      <c r="L183" s="110">
        <f t="shared" si="18"/>
        <v>41.36</v>
      </c>
      <c r="M183" s="112"/>
    </row>
    <row r="184" spans="2:13" s="52" customFormat="1" ht="20.100000000000001" hidden="1" customHeight="1">
      <c r="B184" s="108">
        <v>3</v>
      </c>
      <c r="C184" s="139" t="s">
        <v>49</v>
      </c>
      <c r="D184" s="115" t="s">
        <v>873</v>
      </c>
      <c r="E184" s="115" t="s">
        <v>1026</v>
      </c>
      <c r="F184" s="115" t="s">
        <v>1170</v>
      </c>
      <c r="G184" s="115">
        <v>36</v>
      </c>
      <c r="H184" s="71">
        <v>37</v>
      </c>
      <c r="I184" s="109">
        <f t="shared" si="15"/>
        <v>744.48</v>
      </c>
      <c r="J184" s="110">
        <f t="shared" si="16"/>
        <v>765.16</v>
      </c>
      <c r="K184" s="111">
        <f t="shared" si="17"/>
        <v>-1</v>
      </c>
      <c r="L184" s="110">
        <f t="shared" si="18"/>
        <v>-20.67999999999995</v>
      </c>
      <c r="M184" s="112"/>
    </row>
    <row r="185" spans="2:13" s="52" customFormat="1" ht="20.100000000000001" hidden="1" customHeight="1">
      <c r="B185" s="108">
        <v>3</v>
      </c>
      <c r="C185" s="139" t="s">
        <v>49</v>
      </c>
      <c r="D185" s="115" t="s">
        <v>874</v>
      </c>
      <c r="E185" s="115" t="s">
        <v>1027</v>
      </c>
      <c r="F185" s="115" t="s">
        <v>1171</v>
      </c>
      <c r="G185" s="115">
        <v>15</v>
      </c>
      <c r="H185" s="71">
        <v>15</v>
      </c>
      <c r="I185" s="109">
        <f t="shared" si="15"/>
        <v>127.94999999999999</v>
      </c>
      <c r="J185" s="110">
        <f t="shared" si="16"/>
        <v>127.94999999999999</v>
      </c>
      <c r="K185" s="111">
        <f t="shared" si="17"/>
        <v>0</v>
      </c>
      <c r="L185" s="110">
        <f t="shared" si="18"/>
        <v>0</v>
      </c>
      <c r="M185" s="112"/>
    </row>
    <row r="186" spans="2:13" s="52" customFormat="1" ht="20.100000000000001" hidden="1" customHeight="1">
      <c r="B186" s="108">
        <v>3</v>
      </c>
      <c r="C186" s="139" t="s">
        <v>49</v>
      </c>
      <c r="D186" s="115" t="s">
        <v>875</v>
      </c>
      <c r="E186" s="115" t="s">
        <v>1028</v>
      </c>
      <c r="F186" s="115" t="s">
        <v>1172</v>
      </c>
      <c r="G186" s="115">
        <v>1</v>
      </c>
      <c r="H186" s="71">
        <v>2</v>
      </c>
      <c r="I186" s="109">
        <f t="shared" si="15"/>
        <v>13.02</v>
      </c>
      <c r="J186" s="110">
        <f t="shared" si="16"/>
        <v>26.04</v>
      </c>
      <c r="K186" s="111">
        <f t="shared" si="17"/>
        <v>-1</v>
      </c>
      <c r="L186" s="110">
        <f t="shared" si="18"/>
        <v>-13.02</v>
      </c>
      <c r="M186" s="112"/>
    </row>
    <row r="187" spans="2:13" s="52" customFormat="1" ht="20.100000000000001" customHeight="1">
      <c r="B187" s="108">
        <v>3</v>
      </c>
      <c r="C187" s="139" t="s">
        <v>49</v>
      </c>
      <c r="D187" s="115" t="s">
        <v>876</v>
      </c>
      <c r="E187" s="115" t="s">
        <v>1029</v>
      </c>
      <c r="F187" s="115" t="s">
        <v>1173</v>
      </c>
      <c r="G187" s="115">
        <v>18</v>
      </c>
      <c r="H187" s="71">
        <v>17</v>
      </c>
      <c r="I187" s="109">
        <f t="shared" si="15"/>
        <v>147.6</v>
      </c>
      <c r="J187" s="110">
        <f t="shared" si="16"/>
        <v>139.39999999999998</v>
      </c>
      <c r="K187" s="111">
        <f t="shared" si="17"/>
        <v>1</v>
      </c>
      <c r="L187" s="110">
        <f t="shared" si="18"/>
        <v>8.2000000000000171</v>
      </c>
      <c r="M187" s="112"/>
    </row>
    <row r="188" spans="2:13" s="52" customFormat="1" ht="20.100000000000001" customHeight="1">
      <c r="B188" s="108">
        <v>3</v>
      </c>
      <c r="C188" s="139" t="s">
        <v>49</v>
      </c>
      <c r="D188" s="115" t="s">
        <v>877</v>
      </c>
      <c r="E188" s="115" t="s">
        <v>1030</v>
      </c>
      <c r="F188" s="115" t="s">
        <v>1174</v>
      </c>
      <c r="G188" s="115">
        <v>12</v>
      </c>
      <c r="H188" s="71">
        <v>3</v>
      </c>
      <c r="I188" s="109">
        <f t="shared" si="15"/>
        <v>678</v>
      </c>
      <c r="J188" s="110">
        <f t="shared" si="16"/>
        <v>169.5</v>
      </c>
      <c r="K188" s="111">
        <f t="shared" si="17"/>
        <v>9</v>
      </c>
      <c r="L188" s="110">
        <f t="shared" si="18"/>
        <v>508.5</v>
      </c>
      <c r="M188" s="112"/>
    </row>
    <row r="189" spans="2:13" s="52" customFormat="1" ht="20.100000000000001" customHeight="1">
      <c r="B189" s="108">
        <v>3</v>
      </c>
      <c r="C189" s="139" t="s">
        <v>49</v>
      </c>
      <c r="D189" s="115" t="s">
        <v>878</v>
      </c>
      <c r="E189" s="115" t="s">
        <v>1031</v>
      </c>
      <c r="F189" s="115" t="s">
        <v>1175</v>
      </c>
      <c r="G189" s="115">
        <v>5</v>
      </c>
      <c r="H189" s="71"/>
      <c r="I189" s="109">
        <f t="shared" si="15"/>
        <v>313.75</v>
      </c>
      <c r="J189" s="110">
        <f t="shared" si="16"/>
        <v>0</v>
      </c>
      <c r="K189" s="111">
        <f t="shared" si="17"/>
        <v>5</v>
      </c>
      <c r="L189" s="110">
        <f t="shared" si="18"/>
        <v>313.75</v>
      </c>
      <c r="M189" s="112"/>
    </row>
    <row r="190" spans="2:13" s="52" customFormat="1" ht="20.100000000000001" customHeight="1">
      <c r="B190" s="108">
        <v>3</v>
      </c>
      <c r="C190" s="139" t="s">
        <v>49</v>
      </c>
      <c r="D190" s="115" t="s">
        <v>879</v>
      </c>
      <c r="E190" s="115" t="s">
        <v>1032</v>
      </c>
      <c r="F190" s="115" t="s">
        <v>1175</v>
      </c>
      <c r="G190" s="115">
        <v>2</v>
      </c>
      <c r="H190" s="71"/>
      <c r="I190" s="109">
        <f t="shared" si="15"/>
        <v>125.5</v>
      </c>
      <c r="J190" s="110">
        <f t="shared" si="16"/>
        <v>0</v>
      </c>
      <c r="K190" s="111">
        <f t="shared" si="17"/>
        <v>2</v>
      </c>
      <c r="L190" s="110">
        <f t="shared" si="18"/>
        <v>125.5</v>
      </c>
      <c r="M190" s="112"/>
    </row>
    <row r="191" spans="2:13" s="52" customFormat="1" ht="20.100000000000001" customHeight="1">
      <c r="B191" s="108">
        <v>3</v>
      </c>
      <c r="C191" s="139" t="s">
        <v>49</v>
      </c>
      <c r="D191" s="115" t="s">
        <v>880</v>
      </c>
      <c r="E191" s="115" t="s">
        <v>1033</v>
      </c>
      <c r="F191" s="115" t="s">
        <v>1176</v>
      </c>
      <c r="G191" s="115">
        <v>2</v>
      </c>
      <c r="H191" s="71"/>
      <c r="I191" s="109">
        <f t="shared" si="15"/>
        <v>113.58</v>
      </c>
      <c r="J191" s="110">
        <f t="shared" si="16"/>
        <v>0</v>
      </c>
      <c r="K191" s="111">
        <f t="shared" si="17"/>
        <v>2</v>
      </c>
      <c r="L191" s="110">
        <f t="shared" si="18"/>
        <v>113.58</v>
      </c>
      <c r="M191" s="112"/>
    </row>
    <row r="192" spans="2:13" s="52" customFormat="1" ht="20.100000000000001" customHeight="1">
      <c r="B192" s="108">
        <v>3</v>
      </c>
      <c r="C192" s="139" t="s">
        <v>49</v>
      </c>
      <c r="D192" s="115" t="s">
        <v>881</v>
      </c>
      <c r="E192" s="115" t="s">
        <v>1034</v>
      </c>
      <c r="F192" s="115" t="s">
        <v>1177</v>
      </c>
      <c r="G192" s="115">
        <v>2</v>
      </c>
      <c r="H192" s="71"/>
      <c r="I192" s="109">
        <f t="shared" si="15"/>
        <v>227.3</v>
      </c>
      <c r="J192" s="110">
        <f t="shared" si="16"/>
        <v>0</v>
      </c>
      <c r="K192" s="111">
        <f t="shared" si="17"/>
        <v>2</v>
      </c>
      <c r="L192" s="110">
        <f t="shared" si="18"/>
        <v>227.3</v>
      </c>
      <c r="M192" s="112"/>
    </row>
    <row r="193" spans="2:13" s="52" customFormat="1" ht="20.100000000000001" customHeight="1">
      <c r="B193" s="108">
        <v>3</v>
      </c>
      <c r="C193" s="139" t="s">
        <v>49</v>
      </c>
      <c r="D193" s="115" t="s">
        <v>882</v>
      </c>
      <c r="E193" s="115" t="s">
        <v>1035</v>
      </c>
      <c r="F193" s="115" t="s">
        <v>1178</v>
      </c>
      <c r="G193" s="115">
        <v>1</v>
      </c>
      <c r="H193" s="71"/>
      <c r="I193" s="109">
        <f t="shared" si="15"/>
        <v>22.85</v>
      </c>
      <c r="J193" s="110">
        <f t="shared" si="16"/>
        <v>0</v>
      </c>
      <c r="K193" s="111">
        <f t="shared" si="17"/>
        <v>1</v>
      </c>
      <c r="L193" s="110">
        <f t="shared" si="18"/>
        <v>22.85</v>
      </c>
      <c r="M193" s="112"/>
    </row>
    <row r="194" spans="2:13" s="52" customFormat="1" ht="20.100000000000001" hidden="1" customHeight="1">
      <c r="B194" s="108">
        <v>3</v>
      </c>
      <c r="C194" s="139" t="s">
        <v>49</v>
      </c>
      <c r="D194" s="115" t="s">
        <v>882</v>
      </c>
      <c r="E194" s="115" t="s">
        <v>1035</v>
      </c>
      <c r="F194" s="115" t="s">
        <v>1179</v>
      </c>
      <c r="G194" s="115">
        <v>8</v>
      </c>
      <c r="H194" s="71">
        <v>8</v>
      </c>
      <c r="I194" s="109">
        <f t="shared" si="15"/>
        <v>191.2</v>
      </c>
      <c r="J194" s="110">
        <f t="shared" si="16"/>
        <v>191.2</v>
      </c>
      <c r="K194" s="111">
        <f t="shared" si="17"/>
        <v>0</v>
      </c>
      <c r="L194" s="110">
        <f t="shared" si="18"/>
        <v>0</v>
      </c>
      <c r="M194" s="112"/>
    </row>
    <row r="195" spans="2:13" s="52" customFormat="1" ht="20.100000000000001" customHeight="1">
      <c r="B195" s="108">
        <v>3</v>
      </c>
      <c r="C195" s="139" t="s">
        <v>49</v>
      </c>
      <c r="D195" s="115" t="s">
        <v>883</v>
      </c>
      <c r="E195" s="115" t="s">
        <v>1036</v>
      </c>
      <c r="F195" s="115" t="s">
        <v>1180</v>
      </c>
      <c r="G195" s="115">
        <v>1</v>
      </c>
      <c r="H195" s="71"/>
      <c r="I195" s="109">
        <f t="shared" si="15"/>
        <v>17.7</v>
      </c>
      <c r="J195" s="110">
        <f t="shared" si="16"/>
        <v>0</v>
      </c>
      <c r="K195" s="111">
        <f t="shared" si="17"/>
        <v>1</v>
      </c>
      <c r="L195" s="110">
        <f t="shared" si="18"/>
        <v>17.7</v>
      </c>
      <c r="M195" s="112"/>
    </row>
    <row r="196" spans="2:13" s="52" customFormat="1" ht="20.100000000000001" hidden="1" customHeight="1">
      <c r="B196" s="108">
        <v>3</v>
      </c>
      <c r="C196" s="139" t="s">
        <v>49</v>
      </c>
      <c r="D196" s="115" t="s">
        <v>4626</v>
      </c>
      <c r="E196" s="115" t="s">
        <v>4633</v>
      </c>
      <c r="F196" s="115" t="s">
        <v>4639</v>
      </c>
      <c r="G196" s="115">
        <v>6</v>
      </c>
      <c r="H196" s="71">
        <v>6</v>
      </c>
      <c r="I196" s="109">
        <f t="shared" si="15"/>
        <v>101.46000000000001</v>
      </c>
      <c r="J196" s="110">
        <f t="shared" si="16"/>
        <v>101.46000000000001</v>
      </c>
      <c r="K196" s="111">
        <f t="shared" si="17"/>
        <v>0</v>
      </c>
      <c r="L196" s="110">
        <f t="shared" si="18"/>
        <v>0</v>
      </c>
      <c r="M196" s="112"/>
    </row>
    <row r="197" spans="2:13" s="52" customFormat="1" ht="18.75" customHeight="1">
      <c r="B197" s="108">
        <v>3</v>
      </c>
      <c r="C197" s="139" t="s">
        <v>49</v>
      </c>
      <c r="D197" s="115" t="s">
        <v>884</v>
      </c>
      <c r="E197" s="115" t="s">
        <v>1037</v>
      </c>
      <c r="F197" s="115" t="s">
        <v>1181</v>
      </c>
      <c r="G197" s="115">
        <v>7</v>
      </c>
      <c r="H197" s="71">
        <v>6</v>
      </c>
      <c r="I197" s="109">
        <f t="shared" si="15"/>
        <v>1183.7</v>
      </c>
      <c r="J197" s="110">
        <f t="shared" si="16"/>
        <v>1014.5999999999999</v>
      </c>
      <c r="K197" s="111">
        <f t="shared" si="17"/>
        <v>1</v>
      </c>
      <c r="L197" s="110">
        <f t="shared" si="18"/>
        <v>169.10000000000014</v>
      </c>
      <c r="M197" s="112"/>
    </row>
    <row r="198" spans="2:13" s="52" customFormat="1" ht="20.100000000000001" customHeight="1">
      <c r="B198" s="108">
        <v>3</v>
      </c>
      <c r="C198" s="139" t="s">
        <v>49</v>
      </c>
      <c r="D198" s="115" t="s">
        <v>885</v>
      </c>
      <c r="E198" s="115" t="s">
        <v>1038</v>
      </c>
      <c r="F198" s="115" t="s">
        <v>1163</v>
      </c>
      <c r="G198" s="115">
        <v>14</v>
      </c>
      <c r="H198" s="71">
        <v>6</v>
      </c>
      <c r="I198" s="109">
        <f t="shared" si="15"/>
        <v>490</v>
      </c>
      <c r="J198" s="110">
        <f t="shared" si="16"/>
        <v>210</v>
      </c>
      <c r="K198" s="111">
        <f t="shared" si="17"/>
        <v>8</v>
      </c>
      <c r="L198" s="110">
        <f t="shared" si="18"/>
        <v>280</v>
      </c>
      <c r="M198" s="112"/>
    </row>
    <row r="199" spans="2:13" s="52" customFormat="1" ht="20.100000000000001" customHeight="1">
      <c r="B199" s="108">
        <v>3</v>
      </c>
      <c r="C199" s="139" t="s">
        <v>49</v>
      </c>
      <c r="D199" s="115" t="s">
        <v>885</v>
      </c>
      <c r="E199" s="115" t="s">
        <v>1038</v>
      </c>
      <c r="F199" s="115" t="s">
        <v>1182</v>
      </c>
      <c r="G199" s="115">
        <v>4</v>
      </c>
      <c r="H199" s="71"/>
      <c r="I199" s="109">
        <f t="shared" si="15"/>
        <v>149</v>
      </c>
      <c r="J199" s="110">
        <f t="shared" si="16"/>
        <v>0</v>
      </c>
      <c r="K199" s="111">
        <f t="shared" si="17"/>
        <v>4</v>
      </c>
      <c r="L199" s="110">
        <f t="shared" si="18"/>
        <v>149</v>
      </c>
      <c r="M199" s="112"/>
    </row>
    <row r="200" spans="2:13" s="52" customFormat="1" ht="20.100000000000001" customHeight="1">
      <c r="B200" s="108">
        <v>3</v>
      </c>
      <c r="C200" s="139" t="s">
        <v>49</v>
      </c>
      <c r="D200" s="115" t="s">
        <v>886</v>
      </c>
      <c r="E200" s="115" t="s">
        <v>1039</v>
      </c>
      <c r="F200" s="115" t="s">
        <v>1183</v>
      </c>
      <c r="G200" s="115">
        <v>5</v>
      </c>
      <c r="H200" s="71">
        <v>1</v>
      </c>
      <c r="I200" s="109">
        <f t="shared" ref="I200:I245" si="19">F200*G200</f>
        <v>325</v>
      </c>
      <c r="J200" s="110">
        <f t="shared" si="16"/>
        <v>65</v>
      </c>
      <c r="K200" s="111">
        <f t="shared" si="17"/>
        <v>4</v>
      </c>
      <c r="L200" s="110">
        <f t="shared" si="18"/>
        <v>260</v>
      </c>
      <c r="M200" s="112"/>
    </row>
    <row r="201" spans="2:13" s="52" customFormat="1" ht="20.100000000000001" customHeight="1">
      <c r="B201" s="108">
        <v>3</v>
      </c>
      <c r="C201" s="139" t="s">
        <v>49</v>
      </c>
      <c r="D201" s="115" t="s">
        <v>887</v>
      </c>
      <c r="E201" s="115" t="s">
        <v>1040</v>
      </c>
      <c r="F201" s="115" t="s">
        <v>1184</v>
      </c>
      <c r="G201" s="115">
        <v>1</v>
      </c>
      <c r="H201" s="71"/>
      <c r="I201" s="109">
        <f t="shared" si="19"/>
        <v>83.65</v>
      </c>
      <c r="J201" s="110">
        <f t="shared" si="16"/>
        <v>0</v>
      </c>
      <c r="K201" s="111">
        <f t="shared" si="17"/>
        <v>1</v>
      </c>
      <c r="L201" s="110">
        <f t="shared" si="18"/>
        <v>83.65</v>
      </c>
      <c r="M201" s="112"/>
    </row>
    <row r="202" spans="2:13" s="52" customFormat="1" ht="20.100000000000001" customHeight="1">
      <c r="B202" s="108">
        <v>3</v>
      </c>
      <c r="C202" s="139" t="s">
        <v>49</v>
      </c>
      <c r="D202" s="115" t="s">
        <v>888</v>
      </c>
      <c r="E202" s="115" t="s">
        <v>1041</v>
      </c>
      <c r="F202" s="115" t="s">
        <v>1185</v>
      </c>
      <c r="G202" s="115">
        <v>1</v>
      </c>
      <c r="H202" s="71"/>
      <c r="I202" s="109">
        <f t="shared" si="19"/>
        <v>19.55</v>
      </c>
      <c r="J202" s="110">
        <f t="shared" si="16"/>
        <v>0</v>
      </c>
      <c r="K202" s="111">
        <f t="shared" si="17"/>
        <v>1</v>
      </c>
      <c r="L202" s="110">
        <f t="shared" si="18"/>
        <v>19.55</v>
      </c>
      <c r="M202" s="112"/>
    </row>
    <row r="203" spans="2:13" s="52" customFormat="1" ht="20.100000000000001" hidden="1" customHeight="1">
      <c r="B203" s="108">
        <v>3</v>
      </c>
      <c r="C203" s="139" t="s">
        <v>49</v>
      </c>
      <c r="D203" s="115" t="s">
        <v>889</v>
      </c>
      <c r="E203" s="115" t="s">
        <v>1042</v>
      </c>
      <c r="F203" s="115" t="s">
        <v>1251</v>
      </c>
      <c r="G203" s="115">
        <v>1</v>
      </c>
      <c r="H203" s="71">
        <v>1</v>
      </c>
      <c r="I203" s="109">
        <f t="shared" si="19"/>
        <v>58.95</v>
      </c>
      <c r="J203" s="110">
        <f t="shared" si="16"/>
        <v>58.95</v>
      </c>
      <c r="K203" s="111">
        <f t="shared" si="17"/>
        <v>0</v>
      </c>
      <c r="L203" s="110">
        <f t="shared" si="18"/>
        <v>0</v>
      </c>
      <c r="M203" s="112"/>
    </row>
    <row r="204" spans="2:13" s="52" customFormat="1" ht="20.100000000000001" customHeight="1">
      <c r="B204" s="108">
        <v>3</v>
      </c>
      <c r="C204" s="139" t="s">
        <v>49</v>
      </c>
      <c r="D204" s="115" t="s">
        <v>889</v>
      </c>
      <c r="E204" s="115" t="s">
        <v>1042</v>
      </c>
      <c r="F204" s="115" t="s">
        <v>4640</v>
      </c>
      <c r="G204" s="115">
        <v>2</v>
      </c>
      <c r="H204" s="71"/>
      <c r="I204" s="109">
        <f t="shared" si="19"/>
        <v>117.7</v>
      </c>
      <c r="J204" s="110">
        <f t="shared" si="16"/>
        <v>0</v>
      </c>
      <c r="K204" s="111">
        <f t="shared" si="17"/>
        <v>2</v>
      </c>
      <c r="L204" s="110">
        <f t="shared" si="18"/>
        <v>117.7</v>
      </c>
      <c r="M204" s="112"/>
    </row>
    <row r="205" spans="2:13" s="52" customFormat="1" ht="20.100000000000001" customHeight="1">
      <c r="B205" s="108">
        <v>3</v>
      </c>
      <c r="C205" s="139" t="s">
        <v>49</v>
      </c>
      <c r="D205" s="115" t="s">
        <v>889</v>
      </c>
      <c r="E205" s="115" t="s">
        <v>1042</v>
      </c>
      <c r="F205" s="115" t="s">
        <v>1160</v>
      </c>
      <c r="G205" s="115">
        <v>1</v>
      </c>
      <c r="H205" s="71"/>
      <c r="I205" s="109">
        <f t="shared" si="19"/>
        <v>58.45</v>
      </c>
      <c r="J205" s="110">
        <f t="shared" si="16"/>
        <v>0</v>
      </c>
      <c r="K205" s="111">
        <f t="shared" si="17"/>
        <v>1</v>
      </c>
      <c r="L205" s="110">
        <f t="shared" si="18"/>
        <v>58.45</v>
      </c>
      <c r="M205" s="112"/>
    </row>
    <row r="206" spans="2:13" s="52" customFormat="1" ht="20.100000000000001" customHeight="1">
      <c r="B206" s="108">
        <v>3</v>
      </c>
      <c r="C206" s="139" t="s">
        <v>49</v>
      </c>
      <c r="D206" s="115" t="s">
        <v>889</v>
      </c>
      <c r="E206" s="115" t="s">
        <v>1042</v>
      </c>
      <c r="F206" s="115" t="s">
        <v>4641</v>
      </c>
      <c r="G206" s="115">
        <v>2</v>
      </c>
      <c r="H206" s="71"/>
      <c r="I206" s="109">
        <f t="shared" si="19"/>
        <v>117.3</v>
      </c>
      <c r="J206" s="110">
        <f t="shared" si="16"/>
        <v>0</v>
      </c>
      <c r="K206" s="111">
        <f t="shared" si="17"/>
        <v>2</v>
      </c>
      <c r="L206" s="110">
        <f t="shared" si="18"/>
        <v>117.3</v>
      </c>
      <c r="M206" s="112"/>
    </row>
    <row r="207" spans="2:13" s="52" customFormat="1" ht="20.100000000000001" customHeight="1">
      <c r="B207" s="108">
        <v>3</v>
      </c>
      <c r="C207" s="139" t="s">
        <v>49</v>
      </c>
      <c r="D207" s="115" t="s">
        <v>890</v>
      </c>
      <c r="E207" s="115" t="s">
        <v>1043</v>
      </c>
      <c r="F207" s="115" t="s">
        <v>4642</v>
      </c>
      <c r="G207" s="115">
        <v>6</v>
      </c>
      <c r="H207" s="71"/>
      <c r="I207" s="109">
        <f t="shared" si="19"/>
        <v>508.79999999999995</v>
      </c>
      <c r="J207" s="110">
        <f t="shared" ref="J207:J266" si="20">F207*H207</f>
        <v>0</v>
      </c>
      <c r="K207" s="111">
        <f t="shared" ref="K207:K266" si="21">G207-H207</f>
        <v>6</v>
      </c>
      <c r="L207" s="110">
        <f t="shared" ref="L207:L266" si="22">I207-J207</f>
        <v>508.79999999999995</v>
      </c>
      <c r="M207" s="112"/>
    </row>
    <row r="208" spans="2:13" s="52" customFormat="1" ht="20.100000000000001" customHeight="1">
      <c r="B208" s="108">
        <v>3</v>
      </c>
      <c r="C208" s="139" t="s">
        <v>49</v>
      </c>
      <c r="D208" s="115" t="s">
        <v>890</v>
      </c>
      <c r="E208" s="115" t="s">
        <v>1043</v>
      </c>
      <c r="F208" s="115" t="s">
        <v>4642</v>
      </c>
      <c r="G208" s="115">
        <v>2</v>
      </c>
      <c r="H208" s="71"/>
      <c r="I208" s="109">
        <f t="shared" si="19"/>
        <v>169.6</v>
      </c>
      <c r="J208" s="110">
        <f t="shared" si="20"/>
        <v>0</v>
      </c>
      <c r="K208" s="111">
        <f t="shared" si="21"/>
        <v>2</v>
      </c>
      <c r="L208" s="110">
        <f t="shared" si="22"/>
        <v>169.6</v>
      </c>
      <c r="M208" s="112"/>
    </row>
    <row r="209" spans="2:13" s="52" customFormat="1" ht="20.100000000000001" customHeight="1">
      <c r="B209" s="108">
        <v>3</v>
      </c>
      <c r="C209" s="139" t="s">
        <v>49</v>
      </c>
      <c r="D209" s="115" t="s">
        <v>890</v>
      </c>
      <c r="E209" s="115" t="s">
        <v>1043</v>
      </c>
      <c r="F209" s="115" t="s">
        <v>4643</v>
      </c>
      <c r="G209" s="115">
        <v>2</v>
      </c>
      <c r="H209" s="71"/>
      <c r="I209" s="109">
        <f t="shared" si="19"/>
        <v>169.7</v>
      </c>
      <c r="J209" s="110">
        <f t="shared" si="20"/>
        <v>0</v>
      </c>
      <c r="K209" s="111">
        <f t="shared" si="21"/>
        <v>2</v>
      </c>
      <c r="L209" s="110">
        <f t="shared" si="22"/>
        <v>169.7</v>
      </c>
      <c r="M209" s="112"/>
    </row>
    <row r="210" spans="2:13" s="52" customFormat="1" ht="17.25" customHeight="1">
      <c r="B210" s="108">
        <v>3</v>
      </c>
      <c r="C210" s="139" t="s">
        <v>49</v>
      </c>
      <c r="D210" s="115" t="s">
        <v>890</v>
      </c>
      <c r="E210" s="115" t="s">
        <v>1043</v>
      </c>
      <c r="F210" s="115" t="s">
        <v>4644</v>
      </c>
      <c r="G210" s="115">
        <v>1</v>
      </c>
      <c r="H210" s="71"/>
      <c r="I210" s="109">
        <f t="shared" si="19"/>
        <v>84.55</v>
      </c>
      <c r="J210" s="110">
        <f t="shared" si="20"/>
        <v>0</v>
      </c>
      <c r="K210" s="111">
        <f t="shared" si="21"/>
        <v>1</v>
      </c>
      <c r="L210" s="110">
        <f t="shared" si="22"/>
        <v>84.55</v>
      </c>
      <c r="M210" s="112"/>
    </row>
    <row r="211" spans="2:13" s="52" customFormat="1" ht="20.100000000000001" customHeight="1">
      <c r="B211" s="108">
        <v>3</v>
      </c>
      <c r="C211" s="139" t="s">
        <v>49</v>
      </c>
      <c r="D211" s="115" t="s">
        <v>891</v>
      </c>
      <c r="E211" s="115" t="s">
        <v>1044</v>
      </c>
      <c r="F211" s="115" t="s">
        <v>4116</v>
      </c>
      <c r="G211" s="115">
        <v>3</v>
      </c>
      <c r="H211" s="71">
        <v>1</v>
      </c>
      <c r="I211" s="109">
        <f t="shared" si="19"/>
        <v>270</v>
      </c>
      <c r="J211" s="110">
        <f t="shared" si="20"/>
        <v>90</v>
      </c>
      <c r="K211" s="111">
        <f t="shared" si="21"/>
        <v>2</v>
      </c>
      <c r="L211" s="110">
        <f t="shared" si="22"/>
        <v>180</v>
      </c>
      <c r="M211" s="112"/>
    </row>
    <row r="212" spans="2:13" s="52" customFormat="1" ht="20.100000000000001" hidden="1" customHeight="1">
      <c r="B212" s="108">
        <v>3</v>
      </c>
      <c r="C212" s="139" t="s">
        <v>49</v>
      </c>
      <c r="D212" s="115" t="s">
        <v>892</v>
      </c>
      <c r="E212" s="115" t="s">
        <v>1045</v>
      </c>
      <c r="F212" s="115" t="s">
        <v>1187</v>
      </c>
      <c r="G212" s="115">
        <v>1</v>
      </c>
      <c r="H212" s="71">
        <v>1</v>
      </c>
      <c r="I212" s="109">
        <f t="shared" si="19"/>
        <v>73.2</v>
      </c>
      <c r="J212" s="110">
        <f t="shared" si="20"/>
        <v>73.2</v>
      </c>
      <c r="K212" s="111">
        <f t="shared" si="21"/>
        <v>0</v>
      </c>
      <c r="L212" s="110">
        <f t="shared" si="22"/>
        <v>0</v>
      </c>
      <c r="M212" s="112"/>
    </row>
    <row r="213" spans="2:13" s="52" customFormat="1">
      <c r="B213" s="108">
        <v>3</v>
      </c>
      <c r="C213" s="139" t="s">
        <v>49</v>
      </c>
      <c r="D213" s="115" t="s">
        <v>892</v>
      </c>
      <c r="E213" s="115" t="s">
        <v>1045</v>
      </c>
      <c r="F213" s="115" t="s">
        <v>4645</v>
      </c>
      <c r="G213" s="115">
        <v>2</v>
      </c>
      <c r="H213" s="71"/>
      <c r="I213" s="109">
        <f t="shared" si="19"/>
        <v>145.9</v>
      </c>
      <c r="J213" s="110">
        <f t="shared" si="20"/>
        <v>0</v>
      </c>
      <c r="K213" s="111">
        <f t="shared" si="21"/>
        <v>2</v>
      </c>
      <c r="L213" s="110">
        <f t="shared" si="22"/>
        <v>145.9</v>
      </c>
      <c r="M213" s="112"/>
    </row>
    <row r="214" spans="2:13" s="52" customFormat="1" ht="20.100000000000001" customHeight="1">
      <c r="B214" s="108">
        <v>3</v>
      </c>
      <c r="C214" s="139" t="s">
        <v>49</v>
      </c>
      <c r="D214" s="115" t="s">
        <v>893</v>
      </c>
      <c r="E214" s="115" t="s">
        <v>1046</v>
      </c>
      <c r="F214" s="115" t="s">
        <v>1189</v>
      </c>
      <c r="G214" s="115">
        <v>2</v>
      </c>
      <c r="H214" s="71"/>
      <c r="I214" s="109">
        <f t="shared" si="19"/>
        <v>200</v>
      </c>
      <c r="J214" s="110">
        <f t="shared" si="20"/>
        <v>0</v>
      </c>
      <c r="K214" s="111">
        <f t="shared" si="21"/>
        <v>2</v>
      </c>
      <c r="L214" s="110">
        <f t="shared" si="22"/>
        <v>200</v>
      </c>
      <c r="M214" s="112"/>
    </row>
    <row r="215" spans="2:13" s="52" customFormat="1" ht="20.100000000000001" customHeight="1">
      <c r="B215" s="108">
        <v>3</v>
      </c>
      <c r="C215" s="139" t="s">
        <v>49</v>
      </c>
      <c r="D215" s="115" t="s">
        <v>893</v>
      </c>
      <c r="E215" s="115" t="s">
        <v>1046</v>
      </c>
      <c r="F215" s="115" t="s">
        <v>1188</v>
      </c>
      <c r="G215" s="115">
        <v>3</v>
      </c>
      <c r="H215" s="71"/>
      <c r="I215" s="109">
        <f t="shared" si="19"/>
        <v>272.70000000000005</v>
      </c>
      <c r="J215" s="110">
        <f t="shared" si="20"/>
        <v>0</v>
      </c>
      <c r="K215" s="111">
        <f t="shared" si="21"/>
        <v>3</v>
      </c>
      <c r="L215" s="110">
        <f t="shared" si="22"/>
        <v>272.70000000000005</v>
      </c>
      <c r="M215" s="112"/>
    </row>
    <row r="216" spans="2:13" s="52" customFormat="1" ht="20.100000000000001" customHeight="1">
      <c r="B216" s="108">
        <v>3</v>
      </c>
      <c r="C216" s="139" t="s">
        <v>49</v>
      </c>
      <c r="D216" s="115" t="s">
        <v>894</v>
      </c>
      <c r="E216" s="115" t="s">
        <v>1047</v>
      </c>
      <c r="F216" s="115" t="s">
        <v>1191</v>
      </c>
      <c r="G216" s="115">
        <v>1</v>
      </c>
      <c r="H216" s="71"/>
      <c r="I216" s="109">
        <f t="shared" si="19"/>
        <v>97.95</v>
      </c>
      <c r="J216" s="110">
        <f t="shared" si="20"/>
        <v>0</v>
      </c>
      <c r="K216" s="111">
        <f t="shared" si="21"/>
        <v>1</v>
      </c>
      <c r="L216" s="110">
        <f t="shared" si="22"/>
        <v>97.95</v>
      </c>
      <c r="M216" s="112"/>
    </row>
    <row r="217" spans="2:13" s="52" customFormat="1" ht="20.100000000000001" customHeight="1">
      <c r="B217" s="108">
        <v>3</v>
      </c>
      <c r="C217" s="139" t="s">
        <v>49</v>
      </c>
      <c r="D217" s="115" t="s">
        <v>894</v>
      </c>
      <c r="E217" s="115" t="s">
        <v>1047</v>
      </c>
      <c r="F217" s="115" t="s">
        <v>1190</v>
      </c>
      <c r="G217" s="115">
        <v>1</v>
      </c>
      <c r="H217" s="71"/>
      <c r="I217" s="109">
        <f t="shared" si="19"/>
        <v>98.2</v>
      </c>
      <c r="J217" s="110">
        <f t="shared" si="20"/>
        <v>0</v>
      </c>
      <c r="K217" s="111">
        <f t="shared" si="21"/>
        <v>1</v>
      </c>
      <c r="L217" s="110">
        <f t="shared" si="22"/>
        <v>98.2</v>
      </c>
      <c r="M217" s="112"/>
    </row>
    <row r="218" spans="2:13" s="52" customFormat="1" ht="20.100000000000001" customHeight="1">
      <c r="B218" s="108">
        <v>3</v>
      </c>
      <c r="C218" s="139" t="s">
        <v>49</v>
      </c>
      <c r="D218" s="115" t="s">
        <v>895</v>
      </c>
      <c r="E218" s="115" t="s">
        <v>1048</v>
      </c>
      <c r="F218" s="115" t="s">
        <v>1192</v>
      </c>
      <c r="G218" s="115">
        <v>1</v>
      </c>
      <c r="H218" s="71"/>
      <c r="I218" s="109">
        <f t="shared" si="19"/>
        <v>125</v>
      </c>
      <c r="J218" s="110">
        <f t="shared" si="20"/>
        <v>0</v>
      </c>
      <c r="K218" s="111">
        <f t="shared" si="21"/>
        <v>1</v>
      </c>
      <c r="L218" s="110">
        <f t="shared" si="22"/>
        <v>125</v>
      </c>
      <c r="M218" s="112"/>
    </row>
    <row r="219" spans="2:13" s="52" customFormat="1" ht="20.100000000000001" customHeight="1">
      <c r="B219" s="108">
        <v>3</v>
      </c>
      <c r="C219" s="139" t="s">
        <v>49</v>
      </c>
      <c r="D219" s="115" t="s">
        <v>896</v>
      </c>
      <c r="E219" s="115" t="s">
        <v>1049</v>
      </c>
      <c r="F219" s="115" t="s">
        <v>1193</v>
      </c>
      <c r="G219" s="115">
        <v>4</v>
      </c>
      <c r="H219" s="71">
        <v>1</v>
      </c>
      <c r="I219" s="109">
        <f t="shared" si="19"/>
        <v>141.80000000000001</v>
      </c>
      <c r="J219" s="110">
        <f t="shared" si="20"/>
        <v>35.450000000000003</v>
      </c>
      <c r="K219" s="111">
        <f t="shared" si="21"/>
        <v>3</v>
      </c>
      <c r="L219" s="110">
        <f t="shared" si="22"/>
        <v>106.35000000000001</v>
      </c>
      <c r="M219" s="112"/>
    </row>
    <row r="220" spans="2:13" s="52" customFormat="1" ht="20.100000000000001" customHeight="1">
      <c r="B220" s="108">
        <v>3</v>
      </c>
      <c r="C220" s="139" t="s">
        <v>49</v>
      </c>
      <c r="D220" s="115" t="s">
        <v>896</v>
      </c>
      <c r="E220" s="115" t="s">
        <v>1049</v>
      </c>
      <c r="F220" s="115" t="s">
        <v>761</v>
      </c>
      <c r="G220" s="115">
        <v>2</v>
      </c>
      <c r="H220" s="71"/>
      <c r="I220" s="109">
        <f t="shared" si="19"/>
        <v>82.3</v>
      </c>
      <c r="J220" s="110">
        <f t="shared" si="20"/>
        <v>0</v>
      </c>
      <c r="K220" s="111">
        <f t="shared" si="21"/>
        <v>2</v>
      </c>
      <c r="L220" s="110">
        <f t="shared" si="22"/>
        <v>82.3</v>
      </c>
      <c r="M220" s="112"/>
    </row>
    <row r="221" spans="2:13" s="52" customFormat="1" ht="20.100000000000001" customHeight="1">
      <c r="B221" s="108">
        <v>3</v>
      </c>
      <c r="C221" s="139" t="s">
        <v>49</v>
      </c>
      <c r="D221" s="115" t="s">
        <v>896</v>
      </c>
      <c r="E221" s="115" t="s">
        <v>1049</v>
      </c>
      <c r="F221" s="115" t="s">
        <v>1194</v>
      </c>
      <c r="G221" s="115">
        <v>2</v>
      </c>
      <c r="H221" s="71"/>
      <c r="I221" s="109">
        <f t="shared" si="19"/>
        <v>82.96</v>
      </c>
      <c r="J221" s="110">
        <f t="shared" si="20"/>
        <v>0</v>
      </c>
      <c r="K221" s="111">
        <f t="shared" si="21"/>
        <v>2</v>
      </c>
      <c r="L221" s="110">
        <f t="shared" si="22"/>
        <v>82.96</v>
      </c>
      <c r="M221" s="112"/>
    </row>
    <row r="222" spans="2:13" s="52" customFormat="1" ht="20.100000000000001" customHeight="1">
      <c r="B222" s="108">
        <v>3</v>
      </c>
      <c r="C222" s="139" t="s">
        <v>49</v>
      </c>
      <c r="D222" s="115" t="s">
        <v>897</v>
      </c>
      <c r="E222" s="115" t="s">
        <v>1050</v>
      </c>
      <c r="F222" s="115" t="s">
        <v>1197</v>
      </c>
      <c r="G222" s="115">
        <v>3</v>
      </c>
      <c r="H222" s="71"/>
      <c r="I222" s="109">
        <f t="shared" si="19"/>
        <v>245.54999999999998</v>
      </c>
      <c r="J222" s="110">
        <f t="shared" si="20"/>
        <v>0</v>
      </c>
      <c r="K222" s="111">
        <f t="shared" si="21"/>
        <v>3</v>
      </c>
      <c r="L222" s="110">
        <f t="shared" si="22"/>
        <v>245.54999999999998</v>
      </c>
      <c r="M222" s="112"/>
    </row>
    <row r="223" spans="2:13" s="52" customFormat="1" ht="20.100000000000001" customHeight="1">
      <c r="B223" s="108">
        <v>3</v>
      </c>
      <c r="C223" s="139" t="s">
        <v>49</v>
      </c>
      <c r="D223" s="115" t="s">
        <v>897</v>
      </c>
      <c r="E223" s="115" t="s">
        <v>1050</v>
      </c>
      <c r="F223" s="115" t="s">
        <v>1196</v>
      </c>
      <c r="G223" s="115">
        <v>1</v>
      </c>
      <c r="H223" s="71"/>
      <c r="I223" s="109">
        <f t="shared" si="19"/>
        <v>76.55</v>
      </c>
      <c r="J223" s="110">
        <f t="shared" si="20"/>
        <v>0</v>
      </c>
      <c r="K223" s="111">
        <f t="shared" si="21"/>
        <v>1</v>
      </c>
      <c r="L223" s="110">
        <f t="shared" si="22"/>
        <v>76.55</v>
      </c>
      <c r="M223" s="112"/>
    </row>
    <row r="224" spans="2:13" s="52" customFormat="1" ht="20.100000000000001" customHeight="1">
      <c r="B224" s="108">
        <v>3</v>
      </c>
      <c r="C224" s="139" t="s">
        <v>49</v>
      </c>
      <c r="D224" s="115" t="s">
        <v>897</v>
      </c>
      <c r="E224" s="115" t="s">
        <v>1050</v>
      </c>
      <c r="F224" s="115" t="s">
        <v>1195</v>
      </c>
      <c r="G224" s="115">
        <v>1</v>
      </c>
      <c r="H224" s="71"/>
      <c r="I224" s="109">
        <f t="shared" si="19"/>
        <v>74.55</v>
      </c>
      <c r="J224" s="110">
        <f t="shared" si="20"/>
        <v>0</v>
      </c>
      <c r="K224" s="111">
        <f t="shared" si="21"/>
        <v>1</v>
      </c>
      <c r="L224" s="110">
        <f t="shared" si="22"/>
        <v>74.55</v>
      </c>
      <c r="M224" s="112"/>
    </row>
    <row r="225" spans="2:13" s="52" customFormat="1" ht="20.100000000000001" customHeight="1">
      <c r="B225" s="108">
        <v>3</v>
      </c>
      <c r="C225" s="139" t="s">
        <v>49</v>
      </c>
      <c r="D225" s="115" t="s">
        <v>898</v>
      </c>
      <c r="E225" s="115" t="s">
        <v>1051</v>
      </c>
      <c r="F225" s="115" t="s">
        <v>1199</v>
      </c>
      <c r="G225" s="115">
        <v>1</v>
      </c>
      <c r="H225" s="71"/>
      <c r="I225" s="109">
        <f t="shared" si="19"/>
        <v>53.65</v>
      </c>
      <c r="J225" s="110">
        <f t="shared" si="20"/>
        <v>0</v>
      </c>
      <c r="K225" s="111">
        <f t="shared" si="21"/>
        <v>1</v>
      </c>
      <c r="L225" s="110">
        <f t="shared" si="22"/>
        <v>53.65</v>
      </c>
      <c r="M225" s="112"/>
    </row>
    <row r="226" spans="2:13" s="52" customFormat="1" ht="20.100000000000001" customHeight="1">
      <c r="B226" s="108">
        <v>3</v>
      </c>
      <c r="C226" s="139" t="s">
        <v>49</v>
      </c>
      <c r="D226" s="115" t="s">
        <v>898</v>
      </c>
      <c r="E226" s="115" t="s">
        <v>1051</v>
      </c>
      <c r="F226" s="115" t="s">
        <v>1200</v>
      </c>
      <c r="G226" s="115">
        <v>1</v>
      </c>
      <c r="H226" s="71"/>
      <c r="I226" s="109">
        <f t="shared" si="19"/>
        <v>56.35</v>
      </c>
      <c r="J226" s="110">
        <f t="shared" si="20"/>
        <v>0</v>
      </c>
      <c r="K226" s="111">
        <f t="shared" si="21"/>
        <v>1</v>
      </c>
      <c r="L226" s="110">
        <f t="shared" si="22"/>
        <v>56.35</v>
      </c>
      <c r="M226" s="112"/>
    </row>
    <row r="227" spans="2:13" s="52" customFormat="1" ht="20.100000000000001" customHeight="1">
      <c r="B227" s="108">
        <v>3</v>
      </c>
      <c r="C227" s="139" t="s">
        <v>49</v>
      </c>
      <c r="D227" s="115" t="s">
        <v>898</v>
      </c>
      <c r="E227" s="115" t="s">
        <v>1051</v>
      </c>
      <c r="F227" s="115" t="s">
        <v>1198</v>
      </c>
      <c r="G227" s="115">
        <v>2</v>
      </c>
      <c r="H227" s="71"/>
      <c r="I227" s="109">
        <f t="shared" si="19"/>
        <v>105.5</v>
      </c>
      <c r="J227" s="110">
        <f t="shared" si="20"/>
        <v>0</v>
      </c>
      <c r="K227" s="111">
        <f t="shared" si="21"/>
        <v>2</v>
      </c>
      <c r="L227" s="110">
        <f t="shared" si="22"/>
        <v>105.5</v>
      </c>
      <c r="M227" s="112"/>
    </row>
    <row r="228" spans="2:13" s="52" customFormat="1" ht="20.100000000000001" customHeight="1">
      <c r="B228" s="108">
        <v>3</v>
      </c>
      <c r="C228" s="139" t="s">
        <v>49</v>
      </c>
      <c r="D228" s="115" t="s">
        <v>898</v>
      </c>
      <c r="E228" s="115" t="s">
        <v>1051</v>
      </c>
      <c r="F228" s="115" t="s">
        <v>4641</v>
      </c>
      <c r="G228" s="115">
        <v>1</v>
      </c>
      <c r="H228" s="71"/>
      <c r="I228" s="109">
        <f t="shared" si="19"/>
        <v>58.65</v>
      </c>
      <c r="J228" s="110">
        <f t="shared" si="20"/>
        <v>0</v>
      </c>
      <c r="K228" s="111">
        <f t="shared" si="21"/>
        <v>1</v>
      </c>
      <c r="L228" s="110">
        <f t="shared" si="22"/>
        <v>58.65</v>
      </c>
      <c r="M228" s="112"/>
    </row>
    <row r="229" spans="2:13" s="52" customFormat="1" ht="20.100000000000001" customHeight="1">
      <c r="B229" s="108">
        <v>3</v>
      </c>
      <c r="C229" s="139" t="s">
        <v>49</v>
      </c>
      <c r="D229" s="115" t="s">
        <v>899</v>
      </c>
      <c r="E229" s="115" t="s">
        <v>1052</v>
      </c>
      <c r="F229" s="115" t="s">
        <v>4646</v>
      </c>
      <c r="G229" s="115">
        <v>3</v>
      </c>
      <c r="H229" s="71">
        <v>2</v>
      </c>
      <c r="I229" s="109">
        <f t="shared" si="19"/>
        <v>161.69999999999999</v>
      </c>
      <c r="J229" s="110">
        <f t="shared" si="20"/>
        <v>107.8</v>
      </c>
      <c r="K229" s="111">
        <f t="shared" si="21"/>
        <v>1</v>
      </c>
      <c r="L229" s="110">
        <f t="shared" si="22"/>
        <v>53.899999999999991</v>
      </c>
      <c r="M229" s="112"/>
    </row>
    <row r="230" spans="2:13" s="52" customFormat="1" ht="20.100000000000001" customHeight="1">
      <c r="B230" s="108">
        <v>3</v>
      </c>
      <c r="C230" s="139" t="s">
        <v>49</v>
      </c>
      <c r="D230" s="115" t="s">
        <v>900</v>
      </c>
      <c r="E230" s="115" t="s">
        <v>1053</v>
      </c>
      <c r="F230" s="115" t="s">
        <v>1202</v>
      </c>
      <c r="G230" s="115">
        <v>2</v>
      </c>
      <c r="H230" s="71"/>
      <c r="I230" s="109">
        <f t="shared" si="19"/>
        <v>38.4</v>
      </c>
      <c r="J230" s="110">
        <f t="shared" si="20"/>
        <v>0</v>
      </c>
      <c r="K230" s="111">
        <f t="shared" si="21"/>
        <v>2</v>
      </c>
      <c r="L230" s="110">
        <f t="shared" si="22"/>
        <v>38.4</v>
      </c>
      <c r="M230" s="112"/>
    </row>
    <row r="231" spans="2:13" s="52" customFormat="1" ht="20.100000000000001" customHeight="1">
      <c r="B231" s="108">
        <v>3</v>
      </c>
      <c r="C231" s="139" t="s">
        <v>49</v>
      </c>
      <c r="D231" s="115" t="s">
        <v>4627</v>
      </c>
      <c r="E231" s="115" t="s">
        <v>4634</v>
      </c>
      <c r="F231" s="115" t="s">
        <v>4647</v>
      </c>
      <c r="G231" s="115">
        <v>1</v>
      </c>
      <c r="H231" s="71"/>
      <c r="I231" s="109">
        <f t="shared" si="19"/>
        <v>55.95</v>
      </c>
      <c r="J231" s="110">
        <f t="shared" si="20"/>
        <v>0</v>
      </c>
      <c r="K231" s="111">
        <f t="shared" si="21"/>
        <v>1</v>
      </c>
      <c r="L231" s="110">
        <f t="shared" si="22"/>
        <v>55.95</v>
      </c>
      <c r="M231" s="112"/>
    </row>
    <row r="232" spans="2:13" s="52" customFormat="1" ht="20.100000000000001" hidden="1" customHeight="1">
      <c r="B232" s="108">
        <v>3</v>
      </c>
      <c r="C232" s="139" t="s">
        <v>49</v>
      </c>
      <c r="D232" s="115" t="s">
        <v>901</v>
      </c>
      <c r="E232" s="115" t="s">
        <v>1054</v>
      </c>
      <c r="F232" s="115" t="s">
        <v>4646</v>
      </c>
      <c r="G232" s="115">
        <v>1</v>
      </c>
      <c r="H232" s="71">
        <v>1</v>
      </c>
      <c r="I232" s="109">
        <f t="shared" si="19"/>
        <v>53.9</v>
      </c>
      <c r="J232" s="110">
        <f t="shared" si="20"/>
        <v>53.9</v>
      </c>
      <c r="K232" s="111">
        <f t="shared" si="21"/>
        <v>0</v>
      </c>
      <c r="L232" s="110">
        <f t="shared" si="22"/>
        <v>0</v>
      </c>
      <c r="M232" s="112"/>
    </row>
    <row r="233" spans="2:13" s="52" customFormat="1" ht="20.100000000000001" customHeight="1">
      <c r="B233" s="108">
        <v>3</v>
      </c>
      <c r="C233" s="139" t="s">
        <v>49</v>
      </c>
      <c r="D233" s="115" t="s">
        <v>902</v>
      </c>
      <c r="E233" s="115" t="s">
        <v>1055</v>
      </c>
      <c r="F233" s="115" t="s">
        <v>1203</v>
      </c>
      <c r="G233" s="115">
        <v>23</v>
      </c>
      <c r="H233" s="71">
        <v>14</v>
      </c>
      <c r="I233" s="109">
        <f t="shared" si="19"/>
        <v>1570.8999999999999</v>
      </c>
      <c r="J233" s="110">
        <f t="shared" si="20"/>
        <v>956.19999999999993</v>
      </c>
      <c r="K233" s="111">
        <f t="shared" si="21"/>
        <v>9</v>
      </c>
      <c r="L233" s="110">
        <f t="shared" si="22"/>
        <v>614.69999999999993</v>
      </c>
      <c r="M233" s="112"/>
    </row>
    <row r="234" spans="2:13" s="52" customFormat="1" ht="20.100000000000001" customHeight="1">
      <c r="B234" s="108">
        <v>3</v>
      </c>
      <c r="C234" s="139" t="s">
        <v>49</v>
      </c>
      <c r="D234" s="115" t="s">
        <v>903</v>
      </c>
      <c r="E234" s="115" t="s">
        <v>1056</v>
      </c>
      <c r="F234" s="115" t="s">
        <v>1206</v>
      </c>
      <c r="G234" s="115">
        <v>103</v>
      </c>
      <c r="H234" s="71"/>
      <c r="I234" s="109">
        <f t="shared" si="19"/>
        <v>1021.76</v>
      </c>
      <c r="J234" s="110">
        <f t="shared" si="20"/>
        <v>0</v>
      </c>
      <c r="K234" s="111">
        <f t="shared" si="21"/>
        <v>103</v>
      </c>
      <c r="L234" s="110">
        <f t="shared" si="22"/>
        <v>1021.76</v>
      </c>
      <c r="M234" s="112"/>
    </row>
    <row r="235" spans="2:13" s="52" customFormat="1" ht="20.100000000000001" customHeight="1">
      <c r="B235" s="108">
        <v>3</v>
      </c>
      <c r="C235" s="139" t="s">
        <v>49</v>
      </c>
      <c r="D235" s="115" t="s">
        <v>904</v>
      </c>
      <c r="E235" s="115" t="s">
        <v>1057</v>
      </c>
      <c r="F235" s="115" t="s">
        <v>1207</v>
      </c>
      <c r="G235" s="115">
        <v>1</v>
      </c>
      <c r="H235" s="71"/>
      <c r="I235" s="109">
        <f t="shared" si="19"/>
        <v>41.46</v>
      </c>
      <c r="J235" s="110">
        <f t="shared" si="20"/>
        <v>0</v>
      </c>
      <c r="K235" s="111">
        <f t="shared" si="21"/>
        <v>1</v>
      </c>
      <c r="L235" s="110">
        <f t="shared" si="22"/>
        <v>41.46</v>
      </c>
      <c r="M235" s="112"/>
    </row>
    <row r="236" spans="2:13" s="52" customFormat="1" ht="20.100000000000001" customHeight="1">
      <c r="B236" s="108">
        <v>3</v>
      </c>
      <c r="C236" s="139" t="s">
        <v>49</v>
      </c>
      <c r="D236" s="115" t="s">
        <v>905</v>
      </c>
      <c r="E236" s="115" t="s">
        <v>1058</v>
      </c>
      <c r="F236" s="115" t="s">
        <v>1176</v>
      </c>
      <c r="G236" s="115">
        <v>5</v>
      </c>
      <c r="H236" s="71"/>
      <c r="I236" s="109">
        <f t="shared" si="19"/>
        <v>283.95</v>
      </c>
      <c r="J236" s="110">
        <f t="shared" si="20"/>
        <v>0</v>
      </c>
      <c r="K236" s="111">
        <f t="shared" si="21"/>
        <v>5</v>
      </c>
      <c r="L236" s="110">
        <f t="shared" si="22"/>
        <v>283.95</v>
      </c>
      <c r="M236" s="112"/>
    </row>
    <row r="237" spans="2:13" s="52" customFormat="1" ht="20.100000000000001" customHeight="1">
      <c r="B237" s="108">
        <v>3</v>
      </c>
      <c r="C237" s="139" t="s">
        <v>49</v>
      </c>
      <c r="D237" s="115" t="s">
        <v>906</v>
      </c>
      <c r="E237" s="115" t="s">
        <v>1059</v>
      </c>
      <c r="F237" s="115" t="s">
        <v>1176</v>
      </c>
      <c r="G237" s="115">
        <v>4</v>
      </c>
      <c r="H237" s="71"/>
      <c r="I237" s="109">
        <f t="shared" si="19"/>
        <v>227.16</v>
      </c>
      <c r="J237" s="110">
        <f t="shared" si="20"/>
        <v>0</v>
      </c>
      <c r="K237" s="111">
        <f t="shared" si="21"/>
        <v>4</v>
      </c>
      <c r="L237" s="110">
        <f t="shared" si="22"/>
        <v>227.16</v>
      </c>
      <c r="M237" s="112"/>
    </row>
    <row r="238" spans="2:13" s="52" customFormat="1" ht="20.100000000000001" customHeight="1">
      <c r="B238" s="108">
        <v>3</v>
      </c>
      <c r="C238" s="139" t="s">
        <v>49</v>
      </c>
      <c r="D238" s="115" t="s">
        <v>907</v>
      </c>
      <c r="E238" s="115" t="s">
        <v>1060</v>
      </c>
      <c r="F238" s="115" t="s">
        <v>1208</v>
      </c>
      <c r="G238" s="115">
        <v>46</v>
      </c>
      <c r="H238" s="71"/>
      <c r="I238" s="109">
        <f t="shared" si="19"/>
        <v>2492.7399999999998</v>
      </c>
      <c r="J238" s="110">
        <f t="shared" si="20"/>
        <v>0</v>
      </c>
      <c r="K238" s="111">
        <f t="shared" si="21"/>
        <v>46</v>
      </c>
      <c r="L238" s="110">
        <f t="shared" si="22"/>
        <v>2492.7399999999998</v>
      </c>
      <c r="M238" s="112"/>
    </row>
    <row r="239" spans="2:13" s="52" customFormat="1" ht="20.100000000000001" customHeight="1">
      <c r="B239" s="108">
        <v>3</v>
      </c>
      <c r="C239" s="139" t="s">
        <v>49</v>
      </c>
      <c r="D239" s="115" t="s">
        <v>908</v>
      </c>
      <c r="E239" s="115" t="s">
        <v>1061</v>
      </c>
      <c r="F239" s="115" t="s">
        <v>1176</v>
      </c>
      <c r="G239" s="115">
        <v>9</v>
      </c>
      <c r="H239" s="71"/>
      <c r="I239" s="109">
        <f t="shared" si="19"/>
        <v>511.11</v>
      </c>
      <c r="J239" s="110">
        <f t="shared" si="20"/>
        <v>0</v>
      </c>
      <c r="K239" s="111">
        <f t="shared" si="21"/>
        <v>9</v>
      </c>
      <c r="L239" s="110">
        <f t="shared" si="22"/>
        <v>511.11</v>
      </c>
      <c r="M239" s="112"/>
    </row>
    <row r="240" spans="2:13" s="52" customFormat="1" ht="20.100000000000001" customHeight="1">
      <c r="B240" s="108">
        <v>3</v>
      </c>
      <c r="C240" s="139" t="s">
        <v>49</v>
      </c>
      <c r="D240" s="115" t="s">
        <v>909</v>
      </c>
      <c r="E240" s="115" t="s">
        <v>1062</v>
      </c>
      <c r="F240" s="115" t="s">
        <v>1176</v>
      </c>
      <c r="G240" s="115">
        <v>6</v>
      </c>
      <c r="H240" s="71"/>
      <c r="I240" s="109">
        <f t="shared" si="19"/>
        <v>340.74</v>
      </c>
      <c r="J240" s="110">
        <f t="shared" si="20"/>
        <v>0</v>
      </c>
      <c r="K240" s="111">
        <f t="shared" si="21"/>
        <v>6</v>
      </c>
      <c r="L240" s="110">
        <f t="shared" si="22"/>
        <v>340.74</v>
      </c>
      <c r="M240" s="112"/>
    </row>
    <row r="241" spans="2:13" s="52" customFormat="1" ht="20.100000000000001" hidden="1" customHeight="1">
      <c r="B241" s="108">
        <v>3</v>
      </c>
      <c r="C241" s="139" t="s">
        <v>49</v>
      </c>
      <c r="D241" s="115" t="s">
        <v>910</v>
      </c>
      <c r="E241" s="115" t="s">
        <v>1063</v>
      </c>
      <c r="F241" s="115" t="s">
        <v>1209</v>
      </c>
      <c r="G241" s="115">
        <v>2</v>
      </c>
      <c r="H241" s="71">
        <v>2</v>
      </c>
      <c r="I241" s="109">
        <f t="shared" si="19"/>
        <v>99.3</v>
      </c>
      <c r="J241" s="110">
        <f t="shared" si="20"/>
        <v>99.3</v>
      </c>
      <c r="K241" s="111">
        <f t="shared" si="21"/>
        <v>0</v>
      </c>
      <c r="L241" s="110">
        <f t="shared" si="22"/>
        <v>0</v>
      </c>
      <c r="M241" s="112"/>
    </row>
    <row r="242" spans="2:13" s="52" customFormat="1" ht="20.100000000000001" customHeight="1">
      <c r="B242" s="108">
        <v>3</v>
      </c>
      <c r="C242" s="139" t="s">
        <v>49</v>
      </c>
      <c r="D242" s="115" t="s">
        <v>911</v>
      </c>
      <c r="E242" s="115" t="s">
        <v>1064</v>
      </c>
      <c r="F242" s="115" t="s">
        <v>1210</v>
      </c>
      <c r="G242" s="115">
        <v>6</v>
      </c>
      <c r="H242" s="71">
        <v>3</v>
      </c>
      <c r="I242" s="109">
        <f t="shared" si="19"/>
        <v>344.4</v>
      </c>
      <c r="J242" s="110">
        <f t="shared" si="20"/>
        <v>172.2</v>
      </c>
      <c r="K242" s="111">
        <f t="shared" si="21"/>
        <v>3</v>
      </c>
      <c r="L242" s="110">
        <f t="shared" si="22"/>
        <v>172.2</v>
      </c>
      <c r="M242" s="112"/>
    </row>
    <row r="243" spans="2:13" s="52" customFormat="1" ht="20.100000000000001" customHeight="1">
      <c r="B243" s="108">
        <v>3</v>
      </c>
      <c r="C243" s="139" t="s">
        <v>49</v>
      </c>
      <c r="D243" s="115" t="s">
        <v>912</v>
      </c>
      <c r="E243" s="115" t="s">
        <v>1065</v>
      </c>
      <c r="F243" s="115" t="s">
        <v>1210</v>
      </c>
      <c r="G243" s="115">
        <v>8</v>
      </c>
      <c r="H243" s="71">
        <v>6</v>
      </c>
      <c r="I243" s="109">
        <f t="shared" si="19"/>
        <v>459.2</v>
      </c>
      <c r="J243" s="110">
        <f t="shared" si="20"/>
        <v>344.4</v>
      </c>
      <c r="K243" s="111">
        <f t="shared" si="21"/>
        <v>2</v>
      </c>
      <c r="L243" s="110">
        <f t="shared" si="22"/>
        <v>114.80000000000001</v>
      </c>
      <c r="M243" s="112"/>
    </row>
    <row r="244" spans="2:13" s="52" customFormat="1" ht="20.100000000000001" customHeight="1">
      <c r="B244" s="108">
        <v>3</v>
      </c>
      <c r="C244" s="139" t="s">
        <v>49</v>
      </c>
      <c r="D244" s="115" t="s">
        <v>913</v>
      </c>
      <c r="E244" s="115" t="s">
        <v>1066</v>
      </c>
      <c r="F244" s="115" t="s">
        <v>1211</v>
      </c>
      <c r="G244" s="115">
        <v>1</v>
      </c>
      <c r="H244" s="71"/>
      <c r="I244" s="109">
        <f t="shared" si="19"/>
        <v>53.15</v>
      </c>
      <c r="J244" s="110">
        <f t="shared" si="20"/>
        <v>0</v>
      </c>
      <c r="K244" s="111">
        <f t="shared" si="21"/>
        <v>1</v>
      </c>
      <c r="L244" s="110">
        <f t="shared" si="22"/>
        <v>53.15</v>
      </c>
      <c r="M244" s="112"/>
    </row>
    <row r="245" spans="2:13" s="52" customFormat="1" ht="20.100000000000001" customHeight="1">
      <c r="B245" s="108">
        <v>3</v>
      </c>
      <c r="C245" s="139" t="s">
        <v>49</v>
      </c>
      <c r="D245" s="115" t="s">
        <v>914</v>
      </c>
      <c r="E245" s="115" t="s">
        <v>1067</v>
      </c>
      <c r="F245" s="115" t="s">
        <v>1212</v>
      </c>
      <c r="G245" s="115">
        <v>2</v>
      </c>
      <c r="H245" s="71"/>
      <c r="I245" s="109">
        <f t="shared" si="19"/>
        <v>142</v>
      </c>
      <c r="J245" s="110">
        <f t="shared" si="20"/>
        <v>0</v>
      </c>
      <c r="K245" s="111">
        <f t="shared" si="21"/>
        <v>2</v>
      </c>
      <c r="L245" s="110">
        <f t="shared" si="22"/>
        <v>142</v>
      </c>
      <c r="M245" s="112"/>
    </row>
    <row r="246" spans="2:13" s="52" customFormat="1" ht="20.100000000000001" hidden="1" customHeight="1">
      <c r="B246" s="108">
        <v>3</v>
      </c>
      <c r="C246" s="139" t="s">
        <v>49</v>
      </c>
      <c r="D246" s="115" t="s">
        <v>915</v>
      </c>
      <c r="E246" s="115" t="s">
        <v>1068</v>
      </c>
      <c r="F246" s="115" t="s">
        <v>1213</v>
      </c>
      <c r="G246" s="115">
        <v>5</v>
      </c>
      <c r="H246" s="71">
        <f>3+2</f>
        <v>5</v>
      </c>
      <c r="I246" s="109">
        <f t="shared" ref="I246:I309" si="23">F246*G246</f>
        <v>391.45000000000005</v>
      </c>
      <c r="J246" s="110">
        <f t="shared" si="20"/>
        <v>391.45000000000005</v>
      </c>
      <c r="K246" s="111">
        <f t="shared" si="21"/>
        <v>0</v>
      </c>
      <c r="L246" s="110">
        <f t="shared" si="22"/>
        <v>0</v>
      </c>
      <c r="M246" s="112"/>
    </row>
    <row r="247" spans="2:13" s="52" customFormat="1" ht="20.100000000000001" customHeight="1">
      <c r="B247" s="108">
        <v>3</v>
      </c>
      <c r="C247" s="139" t="s">
        <v>49</v>
      </c>
      <c r="D247" s="115" t="s">
        <v>916</v>
      </c>
      <c r="E247" s="115" t="s">
        <v>1069</v>
      </c>
      <c r="F247" s="115" t="s">
        <v>1214</v>
      </c>
      <c r="G247" s="115">
        <v>4</v>
      </c>
      <c r="H247" s="71"/>
      <c r="I247" s="109">
        <f t="shared" si="23"/>
        <v>226.84</v>
      </c>
      <c r="J247" s="110">
        <f t="shared" si="20"/>
        <v>0</v>
      </c>
      <c r="K247" s="111">
        <f t="shared" si="21"/>
        <v>4</v>
      </c>
      <c r="L247" s="110">
        <f t="shared" si="22"/>
        <v>226.84</v>
      </c>
      <c r="M247" s="112"/>
    </row>
    <row r="248" spans="2:13" s="52" customFormat="1" ht="20.100000000000001" customHeight="1">
      <c r="B248" s="108">
        <v>3</v>
      </c>
      <c r="C248" s="139" t="s">
        <v>49</v>
      </c>
      <c r="D248" s="115" t="s">
        <v>917</v>
      </c>
      <c r="E248" s="115" t="s">
        <v>1070</v>
      </c>
      <c r="F248" s="115" t="s">
        <v>1215</v>
      </c>
      <c r="G248" s="115">
        <v>9</v>
      </c>
      <c r="H248" s="71">
        <v>6</v>
      </c>
      <c r="I248" s="109">
        <f t="shared" si="23"/>
        <v>360.54</v>
      </c>
      <c r="J248" s="110">
        <f t="shared" si="20"/>
        <v>240.36</v>
      </c>
      <c r="K248" s="111">
        <f t="shared" si="21"/>
        <v>3</v>
      </c>
      <c r="L248" s="110">
        <f t="shared" si="22"/>
        <v>120.18</v>
      </c>
      <c r="M248" s="112"/>
    </row>
    <row r="249" spans="2:13" s="52" customFormat="1" ht="20.100000000000001" hidden="1" customHeight="1">
      <c r="B249" s="108">
        <v>3</v>
      </c>
      <c r="C249" s="139" t="s">
        <v>49</v>
      </c>
      <c r="D249" s="115" t="s">
        <v>918</v>
      </c>
      <c r="E249" s="115" t="s">
        <v>1071</v>
      </c>
      <c r="F249" s="115" t="s">
        <v>1216</v>
      </c>
      <c r="G249" s="115">
        <v>10</v>
      </c>
      <c r="H249" s="71">
        <v>10</v>
      </c>
      <c r="I249" s="109">
        <f t="shared" si="23"/>
        <v>127.69999999999999</v>
      </c>
      <c r="J249" s="110">
        <f t="shared" si="20"/>
        <v>127.69999999999999</v>
      </c>
      <c r="K249" s="111">
        <f t="shared" si="21"/>
        <v>0</v>
      </c>
      <c r="L249" s="110">
        <f t="shared" si="22"/>
        <v>0</v>
      </c>
      <c r="M249" s="112"/>
    </row>
    <row r="250" spans="2:13" s="52" customFormat="1" ht="20.100000000000001" hidden="1" customHeight="1">
      <c r="B250" s="108">
        <v>3</v>
      </c>
      <c r="C250" s="139" t="s">
        <v>49</v>
      </c>
      <c r="D250" s="115" t="s">
        <v>919</v>
      </c>
      <c r="E250" s="115" t="s">
        <v>1072</v>
      </c>
      <c r="F250" s="115" t="s">
        <v>1215</v>
      </c>
      <c r="G250" s="115">
        <v>7</v>
      </c>
      <c r="H250" s="71">
        <v>7</v>
      </c>
      <c r="I250" s="109">
        <f t="shared" si="23"/>
        <v>280.42</v>
      </c>
      <c r="J250" s="110">
        <f t="shared" si="20"/>
        <v>280.42</v>
      </c>
      <c r="K250" s="111">
        <f t="shared" si="21"/>
        <v>0</v>
      </c>
      <c r="L250" s="110">
        <f t="shared" si="22"/>
        <v>0</v>
      </c>
      <c r="M250" s="112"/>
    </row>
    <row r="251" spans="2:13" s="52" customFormat="1" ht="20.100000000000001" hidden="1" customHeight="1">
      <c r="B251" s="108">
        <v>3</v>
      </c>
      <c r="C251" s="139" t="s">
        <v>49</v>
      </c>
      <c r="D251" s="115" t="s">
        <v>920</v>
      </c>
      <c r="E251" s="115" t="s">
        <v>1073</v>
      </c>
      <c r="F251" s="115" t="s">
        <v>1215</v>
      </c>
      <c r="G251" s="115">
        <v>9</v>
      </c>
      <c r="H251" s="71">
        <v>9</v>
      </c>
      <c r="I251" s="109">
        <f t="shared" si="23"/>
        <v>360.54</v>
      </c>
      <c r="J251" s="110">
        <f t="shared" si="20"/>
        <v>360.54</v>
      </c>
      <c r="K251" s="111">
        <f t="shared" si="21"/>
        <v>0</v>
      </c>
      <c r="L251" s="110">
        <f t="shared" si="22"/>
        <v>0</v>
      </c>
      <c r="M251" s="112"/>
    </row>
    <row r="252" spans="2:13" s="52" customFormat="1" ht="20.100000000000001" hidden="1" customHeight="1">
      <c r="B252" s="108">
        <v>3</v>
      </c>
      <c r="C252" s="139" t="s">
        <v>49</v>
      </c>
      <c r="D252" s="115" t="s">
        <v>921</v>
      </c>
      <c r="E252" s="115" t="s">
        <v>1074</v>
      </c>
      <c r="F252" s="115" t="s">
        <v>1216</v>
      </c>
      <c r="G252" s="115">
        <v>3</v>
      </c>
      <c r="H252" s="71">
        <v>3</v>
      </c>
      <c r="I252" s="109">
        <f t="shared" si="23"/>
        <v>38.31</v>
      </c>
      <c r="J252" s="110">
        <f t="shared" si="20"/>
        <v>38.31</v>
      </c>
      <c r="K252" s="111">
        <f t="shared" si="21"/>
        <v>0</v>
      </c>
      <c r="L252" s="110">
        <f t="shared" si="22"/>
        <v>0</v>
      </c>
      <c r="M252" s="112"/>
    </row>
    <row r="253" spans="2:13" s="52" customFormat="1" ht="20.100000000000001" customHeight="1">
      <c r="B253" s="108">
        <v>3</v>
      </c>
      <c r="C253" s="139" t="s">
        <v>49</v>
      </c>
      <c r="D253" s="115" t="s">
        <v>922</v>
      </c>
      <c r="E253" s="115" t="s">
        <v>1075</v>
      </c>
      <c r="F253" s="115" t="s">
        <v>1217</v>
      </c>
      <c r="G253" s="115">
        <v>8</v>
      </c>
      <c r="H253" s="71"/>
      <c r="I253" s="109">
        <f t="shared" si="23"/>
        <v>572</v>
      </c>
      <c r="J253" s="110">
        <f t="shared" si="20"/>
        <v>0</v>
      </c>
      <c r="K253" s="111">
        <f t="shared" si="21"/>
        <v>8</v>
      </c>
      <c r="L253" s="110">
        <f t="shared" si="22"/>
        <v>572</v>
      </c>
      <c r="M253" s="112"/>
    </row>
    <row r="254" spans="2:13" s="52" customFormat="1" ht="20.100000000000001" customHeight="1">
      <c r="B254" s="108">
        <v>3</v>
      </c>
      <c r="C254" s="139" t="s">
        <v>49</v>
      </c>
      <c r="D254" s="115" t="s">
        <v>923</v>
      </c>
      <c r="E254" s="115" t="s">
        <v>1076</v>
      </c>
      <c r="F254" s="115" t="s">
        <v>1217</v>
      </c>
      <c r="G254" s="115">
        <v>3</v>
      </c>
      <c r="H254" s="71"/>
      <c r="I254" s="109">
        <f t="shared" si="23"/>
        <v>214.5</v>
      </c>
      <c r="J254" s="110">
        <f t="shared" si="20"/>
        <v>0</v>
      </c>
      <c r="K254" s="111">
        <f t="shared" si="21"/>
        <v>3</v>
      </c>
      <c r="L254" s="110">
        <f t="shared" si="22"/>
        <v>214.5</v>
      </c>
      <c r="M254" s="112"/>
    </row>
    <row r="255" spans="2:13" s="52" customFormat="1" ht="20.100000000000001" hidden="1" customHeight="1">
      <c r="B255" s="108">
        <v>3</v>
      </c>
      <c r="C255" s="139" t="s">
        <v>49</v>
      </c>
      <c r="D255" s="115" t="s">
        <v>4628</v>
      </c>
      <c r="E255" s="115" t="s">
        <v>4635</v>
      </c>
      <c r="F255" s="115" t="s">
        <v>4648</v>
      </c>
      <c r="G255" s="115">
        <v>5</v>
      </c>
      <c r="H255" s="71">
        <v>5</v>
      </c>
      <c r="I255" s="109">
        <f t="shared" si="23"/>
        <v>144.25</v>
      </c>
      <c r="J255" s="110">
        <f t="shared" si="20"/>
        <v>144.25</v>
      </c>
      <c r="K255" s="111">
        <f t="shared" si="21"/>
        <v>0</v>
      </c>
      <c r="L255" s="110">
        <f t="shared" si="22"/>
        <v>0</v>
      </c>
      <c r="M255" s="112"/>
    </row>
    <row r="256" spans="2:13" s="52" customFormat="1" ht="20.100000000000001" hidden="1" customHeight="1">
      <c r="B256" s="108">
        <v>3</v>
      </c>
      <c r="C256" s="139" t="s">
        <v>49</v>
      </c>
      <c r="D256" s="115" t="s">
        <v>4629</v>
      </c>
      <c r="E256" s="115" t="s">
        <v>4636</v>
      </c>
      <c r="F256" s="115" t="s">
        <v>4648</v>
      </c>
      <c r="G256" s="115">
        <v>5</v>
      </c>
      <c r="H256" s="71">
        <v>5</v>
      </c>
      <c r="I256" s="109">
        <f t="shared" si="23"/>
        <v>144.25</v>
      </c>
      <c r="J256" s="110">
        <f t="shared" si="20"/>
        <v>144.25</v>
      </c>
      <c r="K256" s="111">
        <f t="shared" si="21"/>
        <v>0</v>
      </c>
      <c r="L256" s="110">
        <f t="shared" si="22"/>
        <v>0</v>
      </c>
      <c r="M256" s="112"/>
    </row>
    <row r="257" spans="2:13" s="52" customFormat="1" ht="20.100000000000001" customHeight="1">
      <c r="B257" s="108">
        <v>3</v>
      </c>
      <c r="C257" s="139" t="s">
        <v>49</v>
      </c>
      <c r="D257" s="115" t="s">
        <v>924</v>
      </c>
      <c r="E257" s="115" t="s">
        <v>1077</v>
      </c>
      <c r="F257" s="115" t="s">
        <v>1217</v>
      </c>
      <c r="G257" s="115">
        <v>6</v>
      </c>
      <c r="H257" s="71"/>
      <c r="I257" s="109">
        <f t="shared" si="23"/>
        <v>429</v>
      </c>
      <c r="J257" s="110">
        <f t="shared" si="20"/>
        <v>0</v>
      </c>
      <c r="K257" s="111">
        <f t="shared" si="21"/>
        <v>6</v>
      </c>
      <c r="L257" s="110">
        <f t="shared" si="22"/>
        <v>429</v>
      </c>
      <c r="M257" s="112"/>
    </row>
    <row r="258" spans="2:13" s="52" customFormat="1" ht="20.100000000000001" customHeight="1">
      <c r="B258" s="108">
        <v>3</v>
      </c>
      <c r="C258" s="139" t="s">
        <v>49</v>
      </c>
      <c r="D258" s="115" t="s">
        <v>925</v>
      </c>
      <c r="E258" s="115" t="s">
        <v>1078</v>
      </c>
      <c r="F258" s="115" t="s">
        <v>1218</v>
      </c>
      <c r="G258" s="115">
        <v>3</v>
      </c>
      <c r="H258" s="71"/>
      <c r="I258" s="109">
        <f t="shared" si="23"/>
        <v>231</v>
      </c>
      <c r="J258" s="110">
        <f t="shared" si="20"/>
        <v>0</v>
      </c>
      <c r="K258" s="111">
        <f t="shared" si="21"/>
        <v>3</v>
      </c>
      <c r="L258" s="110">
        <f t="shared" si="22"/>
        <v>231</v>
      </c>
      <c r="M258" s="112"/>
    </row>
    <row r="259" spans="2:13" s="52" customFormat="1" ht="20.100000000000001" customHeight="1">
      <c r="B259" s="108">
        <v>3</v>
      </c>
      <c r="C259" s="139" t="s">
        <v>49</v>
      </c>
      <c r="D259" s="115" t="s">
        <v>926</v>
      </c>
      <c r="E259" s="115" t="s">
        <v>1079</v>
      </c>
      <c r="F259" s="115" t="s">
        <v>1218</v>
      </c>
      <c r="G259" s="115">
        <v>1</v>
      </c>
      <c r="H259" s="71"/>
      <c r="I259" s="109">
        <f t="shared" si="23"/>
        <v>77</v>
      </c>
      <c r="J259" s="110">
        <f t="shared" si="20"/>
        <v>0</v>
      </c>
      <c r="K259" s="111">
        <f t="shared" si="21"/>
        <v>1</v>
      </c>
      <c r="L259" s="110">
        <f t="shared" si="22"/>
        <v>77</v>
      </c>
      <c r="M259" s="112"/>
    </row>
    <row r="260" spans="2:13" s="52" customFormat="1" ht="20.100000000000001" customHeight="1">
      <c r="B260" s="108">
        <v>3</v>
      </c>
      <c r="C260" s="139" t="s">
        <v>49</v>
      </c>
      <c r="D260" s="115" t="s">
        <v>927</v>
      </c>
      <c r="E260" s="115" t="s">
        <v>1080</v>
      </c>
      <c r="F260" s="115" t="s">
        <v>1219</v>
      </c>
      <c r="G260" s="115">
        <v>2</v>
      </c>
      <c r="H260" s="71"/>
      <c r="I260" s="109">
        <f t="shared" si="23"/>
        <v>144.84</v>
      </c>
      <c r="J260" s="110">
        <f t="shared" si="20"/>
        <v>0</v>
      </c>
      <c r="K260" s="111">
        <f t="shared" si="21"/>
        <v>2</v>
      </c>
      <c r="L260" s="110">
        <f t="shared" si="22"/>
        <v>144.84</v>
      </c>
      <c r="M260" s="112"/>
    </row>
    <row r="261" spans="2:13" s="52" customFormat="1" ht="20.100000000000001" customHeight="1">
      <c r="B261" s="108">
        <v>3</v>
      </c>
      <c r="C261" s="139" t="s">
        <v>49</v>
      </c>
      <c r="D261" s="115" t="s">
        <v>928</v>
      </c>
      <c r="E261" s="115" t="s">
        <v>1081</v>
      </c>
      <c r="F261" s="115" t="s">
        <v>3636</v>
      </c>
      <c r="G261" s="115">
        <v>6</v>
      </c>
      <c r="H261" s="71">
        <v>4</v>
      </c>
      <c r="I261" s="109">
        <f t="shared" si="23"/>
        <v>249</v>
      </c>
      <c r="J261" s="110">
        <f t="shared" si="20"/>
        <v>166</v>
      </c>
      <c r="K261" s="111">
        <f t="shared" si="21"/>
        <v>2</v>
      </c>
      <c r="L261" s="110">
        <f t="shared" si="22"/>
        <v>83</v>
      </c>
      <c r="M261" s="112"/>
    </row>
    <row r="262" spans="2:13" s="52" customFormat="1" ht="20.100000000000001" customHeight="1">
      <c r="B262" s="108">
        <v>3</v>
      </c>
      <c r="C262" s="139" t="s">
        <v>49</v>
      </c>
      <c r="D262" s="115" t="s">
        <v>928</v>
      </c>
      <c r="E262" s="115" t="s">
        <v>1081</v>
      </c>
      <c r="F262" s="115" t="s">
        <v>1220</v>
      </c>
      <c r="G262" s="115">
        <v>17</v>
      </c>
      <c r="H262" s="71"/>
      <c r="I262" s="109">
        <f t="shared" si="23"/>
        <v>683.91</v>
      </c>
      <c r="J262" s="110">
        <f t="shared" si="20"/>
        <v>0</v>
      </c>
      <c r="K262" s="111">
        <f t="shared" si="21"/>
        <v>17</v>
      </c>
      <c r="L262" s="110">
        <f t="shared" si="22"/>
        <v>683.91</v>
      </c>
      <c r="M262" s="112"/>
    </row>
    <row r="263" spans="2:13" s="52" customFormat="1" ht="20.100000000000001" hidden="1" customHeight="1">
      <c r="B263" s="108">
        <v>3</v>
      </c>
      <c r="C263" s="139" t="s">
        <v>49</v>
      </c>
      <c r="D263" s="115" t="s">
        <v>4630</v>
      </c>
      <c r="E263" s="115" t="s">
        <v>4637</v>
      </c>
      <c r="F263" s="115" t="s">
        <v>2168</v>
      </c>
      <c r="G263" s="115">
        <v>6</v>
      </c>
      <c r="H263" s="71">
        <v>6</v>
      </c>
      <c r="I263" s="109">
        <f t="shared" si="23"/>
        <v>276</v>
      </c>
      <c r="J263" s="110">
        <f t="shared" si="20"/>
        <v>276</v>
      </c>
      <c r="K263" s="111">
        <f t="shared" si="21"/>
        <v>0</v>
      </c>
      <c r="L263" s="110">
        <f t="shared" si="22"/>
        <v>0</v>
      </c>
      <c r="M263" s="112"/>
    </row>
    <row r="264" spans="2:13" s="52" customFormat="1" ht="20.100000000000001" customHeight="1">
      <c r="B264" s="108">
        <v>3</v>
      </c>
      <c r="C264" s="139" t="s">
        <v>49</v>
      </c>
      <c r="D264" s="115" t="s">
        <v>929</v>
      </c>
      <c r="E264" s="115" t="s">
        <v>1082</v>
      </c>
      <c r="F264" s="115" t="s">
        <v>1221</v>
      </c>
      <c r="G264" s="115">
        <v>1</v>
      </c>
      <c r="H264" s="71"/>
      <c r="I264" s="109">
        <f t="shared" si="23"/>
        <v>183.75</v>
      </c>
      <c r="J264" s="110">
        <f t="shared" si="20"/>
        <v>0</v>
      </c>
      <c r="K264" s="111">
        <f t="shared" si="21"/>
        <v>1</v>
      </c>
      <c r="L264" s="110">
        <f t="shared" si="22"/>
        <v>183.75</v>
      </c>
      <c r="M264" s="112"/>
    </row>
    <row r="265" spans="2:13" s="52" customFormat="1" ht="20.100000000000001" customHeight="1">
      <c r="B265" s="108">
        <v>3</v>
      </c>
      <c r="C265" s="139" t="s">
        <v>49</v>
      </c>
      <c r="D265" s="115" t="s">
        <v>930</v>
      </c>
      <c r="E265" s="115" t="s">
        <v>1083</v>
      </c>
      <c r="F265" s="115" t="s">
        <v>1222</v>
      </c>
      <c r="G265" s="115">
        <v>99</v>
      </c>
      <c r="H265" s="71"/>
      <c r="I265" s="109">
        <f t="shared" si="23"/>
        <v>673.19999999999993</v>
      </c>
      <c r="J265" s="110">
        <f t="shared" si="20"/>
        <v>0</v>
      </c>
      <c r="K265" s="111">
        <f t="shared" si="21"/>
        <v>99</v>
      </c>
      <c r="L265" s="110">
        <f t="shared" si="22"/>
        <v>673.19999999999993</v>
      </c>
      <c r="M265" s="112"/>
    </row>
    <row r="266" spans="2:13" s="52" customFormat="1" ht="20.100000000000001" customHeight="1">
      <c r="B266" s="108">
        <v>3</v>
      </c>
      <c r="C266" s="139" t="s">
        <v>49</v>
      </c>
      <c r="D266" s="115" t="s">
        <v>931</v>
      </c>
      <c r="E266" s="115" t="s">
        <v>1084</v>
      </c>
      <c r="F266" s="115" t="s">
        <v>1222</v>
      </c>
      <c r="G266" s="115">
        <v>13</v>
      </c>
      <c r="H266" s="71">
        <v>4</v>
      </c>
      <c r="I266" s="109">
        <f t="shared" si="23"/>
        <v>88.399999999999991</v>
      </c>
      <c r="J266" s="110">
        <f t="shared" si="20"/>
        <v>27.2</v>
      </c>
      <c r="K266" s="111">
        <f t="shared" si="21"/>
        <v>9</v>
      </c>
      <c r="L266" s="110">
        <f t="shared" si="22"/>
        <v>61.199999999999989</v>
      </c>
      <c r="M266" s="112"/>
    </row>
    <row r="267" spans="2:13" s="52" customFormat="1" ht="20.100000000000001" customHeight="1">
      <c r="B267" s="108">
        <v>3</v>
      </c>
      <c r="C267" s="139" t="s">
        <v>49</v>
      </c>
      <c r="D267" s="115" t="s">
        <v>932</v>
      </c>
      <c r="E267" s="115" t="s">
        <v>1085</v>
      </c>
      <c r="F267" s="115" t="s">
        <v>1223</v>
      </c>
      <c r="G267" s="115">
        <v>8</v>
      </c>
      <c r="H267" s="71">
        <f>1+2</f>
        <v>3</v>
      </c>
      <c r="I267" s="109">
        <f t="shared" si="23"/>
        <v>430.96</v>
      </c>
      <c r="J267" s="110">
        <f t="shared" ref="J267:J329" si="24">F267*H267</f>
        <v>161.60999999999999</v>
      </c>
      <c r="K267" s="111">
        <f t="shared" ref="K267:K329" si="25">G267-H267</f>
        <v>5</v>
      </c>
      <c r="L267" s="110">
        <f t="shared" ref="L267:L329" si="26">I267-J267</f>
        <v>269.35000000000002</v>
      </c>
      <c r="M267" s="112"/>
    </row>
    <row r="268" spans="2:13" s="52" customFormat="1" ht="20.100000000000001" customHeight="1">
      <c r="B268" s="108">
        <v>3</v>
      </c>
      <c r="C268" s="139" t="s">
        <v>49</v>
      </c>
      <c r="D268" s="115" t="s">
        <v>933</v>
      </c>
      <c r="E268" s="115" t="s">
        <v>1086</v>
      </c>
      <c r="F268" s="115" t="s">
        <v>1223</v>
      </c>
      <c r="G268" s="115">
        <v>1</v>
      </c>
      <c r="H268" s="71"/>
      <c r="I268" s="109">
        <f t="shared" si="23"/>
        <v>53.87</v>
      </c>
      <c r="J268" s="110">
        <f t="shared" si="24"/>
        <v>0</v>
      </c>
      <c r="K268" s="111">
        <f t="shared" si="25"/>
        <v>1</v>
      </c>
      <c r="L268" s="110">
        <f t="shared" si="26"/>
        <v>53.87</v>
      </c>
      <c r="M268" s="112"/>
    </row>
    <row r="269" spans="2:13" s="52" customFormat="1" ht="20.100000000000001" hidden="1" customHeight="1">
      <c r="B269" s="108">
        <v>3</v>
      </c>
      <c r="C269" s="139" t="s">
        <v>49</v>
      </c>
      <c r="D269" s="115" t="s">
        <v>934</v>
      </c>
      <c r="E269" s="115" t="s">
        <v>1087</v>
      </c>
      <c r="F269" s="115" t="s">
        <v>1223</v>
      </c>
      <c r="G269" s="115">
        <v>2</v>
      </c>
      <c r="H269" s="71">
        <v>2</v>
      </c>
      <c r="I269" s="109">
        <f t="shared" si="23"/>
        <v>107.74</v>
      </c>
      <c r="J269" s="110">
        <f t="shared" si="24"/>
        <v>107.74</v>
      </c>
      <c r="K269" s="111">
        <f t="shared" si="25"/>
        <v>0</v>
      </c>
      <c r="L269" s="110">
        <f t="shared" si="26"/>
        <v>0</v>
      </c>
      <c r="M269" s="112"/>
    </row>
    <row r="270" spans="2:13" s="52" customFormat="1" ht="20.100000000000001" customHeight="1">
      <c r="B270" s="108">
        <v>3</v>
      </c>
      <c r="C270" s="139" t="s">
        <v>49</v>
      </c>
      <c r="D270" s="115" t="s">
        <v>935</v>
      </c>
      <c r="E270" s="115" t="s">
        <v>1088</v>
      </c>
      <c r="F270" s="115" t="s">
        <v>1153</v>
      </c>
      <c r="G270" s="115">
        <v>14</v>
      </c>
      <c r="H270" s="71">
        <v>12</v>
      </c>
      <c r="I270" s="109">
        <f t="shared" si="23"/>
        <v>98.839999999999989</v>
      </c>
      <c r="J270" s="110">
        <f t="shared" si="24"/>
        <v>84.72</v>
      </c>
      <c r="K270" s="111">
        <f t="shared" si="25"/>
        <v>2</v>
      </c>
      <c r="L270" s="110">
        <f t="shared" si="26"/>
        <v>14.11999999999999</v>
      </c>
      <c r="M270" s="112"/>
    </row>
    <row r="271" spans="2:13" s="52" customFormat="1" ht="20.100000000000001" customHeight="1">
      <c r="B271" s="108">
        <v>3</v>
      </c>
      <c r="C271" s="139" t="s">
        <v>49</v>
      </c>
      <c r="D271" s="115" t="s">
        <v>936</v>
      </c>
      <c r="E271" s="115" t="s">
        <v>1089</v>
      </c>
      <c r="F271" s="115" t="s">
        <v>1153</v>
      </c>
      <c r="G271" s="115">
        <v>6</v>
      </c>
      <c r="H271" s="71"/>
      <c r="I271" s="109">
        <f t="shared" si="23"/>
        <v>42.36</v>
      </c>
      <c r="J271" s="110">
        <f t="shared" si="24"/>
        <v>0</v>
      </c>
      <c r="K271" s="111">
        <f t="shared" si="25"/>
        <v>6</v>
      </c>
      <c r="L271" s="110">
        <f t="shared" si="26"/>
        <v>42.36</v>
      </c>
      <c r="M271" s="112"/>
    </row>
    <row r="272" spans="2:13" s="52" customFormat="1" ht="20.100000000000001" hidden="1" customHeight="1">
      <c r="B272" s="108">
        <v>3</v>
      </c>
      <c r="C272" s="139" t="s">
        <v>49</v>
      </c>
      <c r="D272" s="115" t="s">
        <v>937</v>
      </c>
      <c r="E272" s="115" t="s">
        <v>1090</v>
      </c>
      <c r="F272" s="115" t="s">
        <v>1224</v>
      </c>
      <c r="G272" s="115">
        <v>4</v>
      </c>
      <c r="H272" s="71">
        <v>4</v>
      </c>
      <c r="I272" s="109">
        <f t="shared" si="23"/>
        <v>341</v>
      </c>
      <c r="J272" s="110">
        <f t="shared" si="24"/>
        <v>341</v>
      </c>
      <c r="K272" s="111">
        <f t="shared" si="25"/>
        <v>0</v>
      </c>
      <c r="L272" s="110">
        <f t="shared" si="26"/>
        <v>0</v>
      </c>
      <c r="M272" s="112"/>
    </row>
    <row r="273" spans="2:13" s="52" customFormat="1" ht="20.100000000000001" customHeight="1">
      <c r="B273" s="108">
        <v>3</v>
      </c>
      <c r="C273" s="139" t="s">
        <v>49</v>
      </c>
      <c r="D273" s="115" t="s">
        <v>938</v>
      </c>
      <c r="E273" s="115" t="s">
        <v>1091</v>
      </c>
      <c r="F273" s="115" t="s">
        <v>1225</v>
      </c>
      <c r="G273" s="115">
        <v>1</v>
      </c>
      <c r="H273" s="71"/>
      <c r="I273" s="109">
        <f t="shared" si="23"/>
        <v>21.25</v>
      </c>
      <c r="J273" s="110">
        <f t="shared" si="24"/>
        <v>0</v>
      </c>
      <c r="K273" s="111">
        <f t="shared" si="25"/>
        <v>1</v>
      </c>
      <c r="L273" s="110">
        <f t="shared" si="26"/>
        <v>21.25</v>
      </c>
      <c r="M273" s="112"/>
    </row>
    <row r="274" spans="2:13" s="52" customFormat="1" ht="20.100000000000001" hidden="1" customHeight="1">
      <c r="B274" s="108">
        <v>3</v>
      </c>
      <c r="C274" s="139" t="s">
        <v>49</v>
      </c>
      <c r="D274" s="115" t="s">
        <v>939</v>
      </c>
      <c r="E274" s="115" t="s">
        <v>1092</v>
      </c>
      <c r="F274" s="115" t="s">
        <v>1224</v>
      </c>
      <c r="G274" s="115">
        <v>3</v>
      </c>
      <c r="H274" s="71">
        <v>3</v>
      </c>
      <c r="I274" s="109">
        <f t="shared" si="23"/>
        <v>255.75</v>
      </c>
      <c r="J274" s="110">
        <f t="shared" si="24"/>
        <v>255.75</v>
      </c>
      <c r="K274" s="111">
        <f t="shared" si="25"/>
        <v>0</v>
      </c>
      <c r="L274" s="110">
        <f t="shared" si="26"/>
        <v>0</v>
      </c>
      <c r="M274" s="112"/>
    </row>
    <row r="275" spans="2:13" s="52" customFormat="1" ht="20.100000000000001" hidden="1" customHeight="1">
      <c r="B275" s="108">
        <v>3</v>
      </c>
      <c r="C275" s="139" t="s">
        <v>49</v>
      </c>
      <c r="D275" s="115" t="s">
        <v>4631</v>
      </c>
      <c r="E275" s="115" t="s">
        <v>4638</v>
      </c>
      <c r="F275" s="115" t="s">
        <v>4649</v>
      </c>
      <c r="G275" s="115">
        <v>2</v>
      </c>
      <c r="H275" s="71">
        <v>2</v>
      </c>
      <c r="I275" s="109">
        <f t="shared" si="23"/>
        <v>163</v>
      </c>
      <c r="J275" s="110">
        <f t="shared" si="24"/>
        <v>163</v>
      </c>
      <c r="K275" s="111">
        <f t="shared" si="25"/>
        <v>0</v>
      </c>
      <c r="L275" s="110">
        <f t="shared" si="26"/>
        <v>0</v>
      </c>
      <c r="M275" s="112"/>
    </row>
    <row r="276" spans="2:13" s="52" customFormat="1" ht="20.100000000000001" customHeight="1">
      <c r="B276" s="108">
        <v>3</v>
      </c>
      <c r="C276" s="139" t="s">
        <v>49</v>
      </c>
      <c r="D276" s="115" t="s">
        <v>940</v>
      </c>
      <c r="E276" s="115" t="s">
        <v>1093</v>
      </c>
      <c r="F276" s="115" t="s">
        <v>1226</v>
      </c>
      <c r="G276" s="115">
        <v>9</v>
      </c>
      <c r="H276" s="71">
        <v>4</v>
      </c>
      <c r="I276" s="109">
        <f t="shared" si="23"/>
        <v>835.19999999999993</v>
      </c>
      <c r="J276" s="110">
        <f t="shared" si="24"/>
        <v>371.2</v>
      </c>
      <c r="K276" s="111">
        <f t="shared" si="25"/>
        <v>5</v>
      </c>
      <c r="L276" s="110">
        <f t="shared" si="26"/>
        <v>463.99999999999994</v>
      </c>
      <c r="M276" s="112"/>
    </row>
    <row r="277" spans="2:13" s="52" customFormat="1" ht="20.100000000000001" hidden="1" customHeight="1">
      <c r="B277" s="108">
        <v>3</v>
      </c>
      <c r="C277" s="139" t="s">
        <v>49</v>
      </c>
      <c r="D277" s="115" t="s">
        <v>941</v>
      </c>
      <c r="E277" s="115" t="s">
        <v>1094</v>
      </c>
      <c r="F277" s="115" t="s">
        <v>1227</v>
      </c>
      <c r="G277" s="115">
        <v>3</v>
      </c>
      <c r="H277" s="71">
        <v>4</v>
      </c>
      <c r="I277" s="109">
        <f t="shared" si="23"/>
        <v>533.70000000000005</v>
      </c>
      <c r="J277" s="110">
        <f t="shared" si="24"/>
        <v>711.6</v>
      </c>
      <c r="K277" s="111">
        <f t="shared" si="25"/>
        <v>-1</v>
      </c>
      <c r="L277" s="110">
        <f t="shared" si="26"/>
        <v>-177.89999999999998</v>
      </c>
      <c r="M277" s="112"/>
    </row>
    <row r="278" spans="2:13" s="52" customFormat="1" ht="20.100000000000001" customHeight="1">
      <c r="B278" s="108">
        <v>3</v>
      </c>
      <c r="C278" s="139" t="s">
        <v>49</v>
      </c>
      <c r="D278" s="115" t="s">
        <v>942</v>
      </c>
      <c r="E278" s="115" t="s">
        <v>1095</v>
      </c>
      <c r="F278" s="115" t="s">
        <v>1228</v>
      </c>
      <c r="G278" s="115">
        <v>1</v>
      </c>
      <c r="H278" s="71"/>
      <c r="I278" s="109">
        <f t="shared" si="23"/>
        <v>96</v>
      </c>
      <c r="J278" s="110">
        <f t="shared" si="24"/>
        <v>0</v>
      </c>
      <c r="K278" s="111">
        <f t="shared" si="25"/>
        <v>1</v>
      </c>
      <c r="L278" s="110">
        <f t="shared" si="26"/>
        <v>96</v>
      </c>
      <c r="M278" s="112"/>
    </row>
    <row r="279" spans="2:13" s="52" customFormat="1" ht="20.100000000000001" customHeight="1">
      <c r="B279" s="108">
        <v>3</v>
      </c>
      <c r="C279" s="139" t="s">
        <v>49</v>
      </c>
      <c r="D279" s="115" t="s">
        <v>943</v>
      </c>
      <c r="E279" s="115" t="s">
        <v>1096</v>
      </c>
      <c r="F279" s="115" t="s">
        <v>1229</v>
      </c>
      <c r="G279" s="115">
        <v>18</v>
      </c>
      <c r="H279" s="71"/>
      <c r="I279" s="109">
        <f t="shared" si="23"/>
        <v>1494</v>
      </c>
      <c r="J279" s="110">
        <f t="shared" si="24"/>
        <v>0</v>
      </c>
      <c r="K279" s="111">
        <f t="shared" si="25"/>
        <v>18</v>
      </c>
      <c r="L279" s="110">
        <f t="shared" si="26"/>
        <v>1494</v>
      </c>
      <c r="M279" s="112"/>
    </row>
    <row r="280" spans="2:13" s="52" customFormat="1" ht="20.100000000000001" customHeight="1">
      <c r="B280" s="108">
        <v>3</v>
      </c>
      <c r="C280" s="139" t="s">
        <v>49</v>
      </c>
      <c r="D280" s="115" t="s">
        <v>944</v>
      </c>
      <c r="E280" s="115" t="s">
        <v>1097</v>
      </c>
      <c r="F280" s="115" t="s">
        <v>1230</v>
      </c>
      <c r="G280" s="115">
        <v>24</v>
      </c>
      <c r="H280" s="71">
        <v>1</v>
      </c>
      <c r="I280" s="109">
        <f t="shared" si="23"/>
        <v>136.32</v>
      </c>
      <c r="J280" s="110">
        <f t="shared" si="24"/>
        <v>5.68</v>
      </c>
      <c r="K280" s="111">
        <f t="shared" si="25"/>
        <v>23</v>
      </c>
      <c r="L280" s="110">
        <f t="shared" si="26"/>
        <v>130.63999999999999</v>
      </c>
      <c r="M280" s="112"/>
    </row>
    <row r="281" spans="2:13" s="52" customFormat="1" ht="20.100000000000001" hidden="1" customHeight="1">
      <c r="B281" s="108">
        <v>3</v>
      </c>
      <c r="C281" s="139" t="s">
        <v>49</v>
      </c>
      <c r="D281" s="115" t="s">
        <v>945</v>
      </c>
      <c r="E281" s="115" t="s">
        <v>1098</v>
      </c>
      <c r="F281" s="115" t="s">
        <v>1231</v>
      </c>
      <c r="G281" s="115">
        <v>6</v>
      </c>
      <c r="H281" s="71">
        <v>6</v>
      </c>
      <c r="I281" s="109">
        <f t="shared" si="23"/>
        <v>352.79999999999995</v>
      </c>
      <c r="J281" s="110">
        <f t="shared" si="24"/>
        <v>352.79999999999995</v>
      </c>
      <c r="K281" s="111">
        <f t="shared" si="25"/>
        <v>0</v>
      </c>
      <c r="L281" s="110">
        <f t="shared" si="26"/>
        <v>0</v>
      </c>
      <c r="M281" s="112"/>
    </row>
    <row r="282" spans="2:13" s="52" customFormat="1" ht="20.100000000000001" customHeight="1">
      <c r="B282" s="108">
        <v>3</v>
      </c>
      <c r="C282" s="139" t="s">
        <v>49</v>
      </c>
      <c r="D282" s="115" t="s">
        <v>946</v>
      </c>
      <c r="E282" s="115" t="s">
        <v>1099</v>
      </c>
      <c r="F282" s="115" t="s">
        <v>1155</v>
      </c>
      <c r="G282" s="115">
        <v>3</v>
      </c>
      <c r="H282" s="71">
        <v>2</v>
      </c>
      <c r="I282" s="109">
        <f t="shared" si="23"/>
        <v>178.5</v>
      </c>
      <c r="J282" s="110">
        <f t="shared" si="24"/>
        <v>119</v>
      </c>
      <c r="K282" s="111">
        <f t="shared" si="25"/>
        <v>1</v>
      </c>
      <c r="L282" s="110">
        <f t="shared" si="26"/>
        <v>59.5</v>
      </c>
      <c r="M282" s="112"/>
    </row>
    <row r="283" spans="2:13" s="52" customFormat="1" ht="20.100000000000001" customHeight="1">
      <c r="B283" s="108">
        <v>3</v>
      </c>
      <c r="C283" s="139" t="s">
        <v>49</v>
      </c>
      <c r="D283" s="115" t="s">
        <v>947</v>
      </c>
      <c r="E283" s="115" t="s">
        <v>1100</v>
      </c>
      <c r="F283" s="115" t="s">
        <v>1232</v>
      </c>
      <c r="G283" s="115">
        <v>3</v>
      </c>
      <c r="H283" s="71">
        <v>1</v>
      </c>
      <c r="I283" s="109">
        <f t="shared" si="23"/>
        <v>30</v>
      </c>
      <c r="J283" s="110">
        <f t="shared" si="24"/>
        <v>10</v>
      </c>
      <c r="K283" s="111">
        <f t="shared" si="25"/>
        <v>2</v>
      </c>
      <c r="L283" s="110">
        <f t="shared" si="26"/>
        <v>20</v>
      </c>
      <c r="M283" s="112"/>
    </row>
    <row r="284" spans="2:13" s="52" customFormat="1" ht="20.100000000000001" customHeight="1">
      <c r="B284" s="108">
        <v>3</v>
      </c>
      <c r="C284" s="139" t="s">
        <v>49</v>
      </c>
      <c r="D284" s="115" t="s">
        <v>948</v>
      </c>
      <c r="E284" s="115" t="s">
        <v>1101</v>
      </c>
      <c r="F284" s="115" t="s">
        <v>1233</v>
      </c>
      <c r="G284" s="115">
        <v>39</v>
      </c>
      <c r="H284" s="71">
        <v>1</v>
      </c>
      <c r="I284" s="109">
        <f t="shared" si="23"/>
        <v>229.32</v>
      </c>
      <c r="J284" s="110">
        <f t="shared" si="24"/>
        <v>5.88</v>
      </c>
      <c r="K284" s="111">
        <f t="shared" si="25"/>
        <v>38</v>
      </c>
      <c r="L284" s="110">
        <f t="shared" si="26"/>
        <v>223.44</v>
      </c>
      <c r="M284" s="112"/>
    </row>
    <row r="285" spans="2:13" s="52" customFormat="1" ht="20.100000000000001" customHeight="1">
      <c r="B285" s="108">
        <v>3</v>
      </c>
      <c r="C285" s="139" t="s">
        <v>49</v>
      </c>
      <c r="D285" s="115" t="s">
        <v>949</v>
      </c>
      <c r="E285" s="115" t="s">
        <v>1102</v>
      </c>
      <c r="F285" s="115" t="s">
        <v>1231</v>
      </c>
      <c r="G285" s="115">
        <v>5</v>
      </c>
      <c r="H285" s="71">
        <v>4</v>
      </c>
      <c r="I285" s="109">
        <f t="shared" si="23"/>
        <v>294</v>
      </c>
      <c r="J285" s="110">
        <f t="shared" si="24"/>
        <v>235.2</v>
      </c>
      <c r="K285" s="111">
        <f t="shared" si="25"/>
        <v>1</v>
      </c>
      <c r="L285" s="110">
        <f t="shared" si="26"/>
        <v>58.800000000000011</v>
      </c>
      <c r="M285" s="112"/>
    </row>
    <row r="286" spans="2:13" s="52" customFormat="1" ht="20.100000000000001" customHeight="1">
      <c r="B286" s="108">
        <v>3</v>
      </c>
      <c r="C286" s="139" t="s">
        <v>49</v>
      </c>
      <c r="D286" s="115" t="s">
        <v>950</v>
      </c>
      <c r="E286" s="115" t="s">
        <v>1103</v>
      </c>
      <c r="F286" s="115" t="s">
        <v>1234</v>
      </c>
      <c r="G286" s="115">
        <v>1</v>
      </c>
      <c r="H286" s="71"/>
      <c r="I286" s="109">
        <f t="shared" si="23"/>
        <v>219.5</v>
      </c>
      <c r="J286" s="110">
        <f t="shared" si="24"/>
        <v>0</v>
      </c>
      <c r="K286" s="111">
        <f t="shared" si="25"/>
        <v>1</v>
      </c>
      <c r="L286" s="110">
        <f t="shared" si="26"/>
        <v>219.5</v>
      </c>
      <c r="M286" s="112"/>
    </row>
    <row r="287" spans="2:13" s="52" customFormat="1" ht="20.100000000000001" hidden="1" customHeight="1">
      <c r="B287" s="108">
        <v>3</v>
      </c>
      <c r="C287" s="139" t="s">
        <v>49</v>
      </c>
      <c r="D287" s="115" t="s">
        <v>951</v>
      </c>
      <c r="E287" s="115" t="s">
        <v>1104</v>
      </c>
      <c r="F287" s="115" t="s">
        <v>1155</v>
      </c>
      <c r="G287" s="115">
        <v>1</v>
      </c>
      <c r="H287" s="71">
        <f>1+7</f>
        <v>8</v>
      </c>
      <c r="I287" s="109">
        <f t="shared" si="23"/>
        <v>59.5</v>
      </c>
      <c r="J287" s="110">
        <f t="shared" si="24"/>
        <v>476</v>
      </c>
      <c r="K287" s="111">
        <f t="shared" si="25"/>
        <v>-7</v>
      </c>
      <c r="L287" s="110">
        <f t="shared" si="26"/>
        <v>-416.5</v>
      </c>
      <c r="M287" s="112"/>
    </row>
    <row r="288" spans="2:13" s="52" customFormat="1" ht="20.100000000000001" customHeight="1">
      <c r="B288" s="108">
        <v>3</v>
      </c>
      <c r="C288" s="139" t="s">
        <v>49</v>
      </c>
      <c r="D288" s="115" t="s">
        <v>952</v>
      </c>
      <c r="E288" s="115" t="s">
        <v>1105</v>
      </c>
      <c r="F288" s="115" t="s">
        <v>1235</v>
      </c>
      <c r="G288" s="115">
        <v>7</v>
      </c>
      <c r="H288" s="71"/>
      <c r="I288" s="109">
        <f t="shared" si="23"/>
        <v>85.75</v>
      </c>
      <c r="J288" s="110">
        <f t="shared" si="24"/>
        <v>0</v>
      </c>
      <c r="K288" s="111">
        <f t="shared" si="25"/>
        <v>7</v>
      </c>
      <c r="L288" s="110">
        <f t="shared" si="26"/>
        <v>85.75</v>
      </c>
      <c r="M288" s="112"/>
    </row>
    <row r="289" spans="2:13" s="52" customFormat="1" ht="20.100000000000001" customHeight="1">
      <c r="B289" s="108">
        <v>3</v>
      </c>
      <c r="C289" s="139" t="s">
        <v>49</v>
      </c>
      <c r="D289" s="115" t="s">
        <v>953</v>
      </c>
      <c r="E289" s="115" t="s">
        <v>1106</v>
      </c>
      <c r="F289" s="115" t="s">
        <v>1236</v>
      </c>
      <c r="G289" s="115">
        <v>6</v>
      </c>
      <c r="H289" s="71">
        <v>4</v>
      </c>
      <c r="I289" s="109">
        <f t="shared" si="23"/>
        <v>303</v>
      </c>
      <c r="J289" s="110">
        <f t="shared" si="24"/>
        <v>202</v>
      </c>
      <c r="K289" s="111">
        <f t="shared" si="25"/>
        <v>2</v>
      </c>
      <c r="L289" s="110">
        <f t="shared" si="26"/>
        <v>101</v>
      </c>
      <c r="M289" s="112"/>
    </row>
    <row r="290" spans="2:13" s="52" customFormat="1" ht="20.100000000000001" customHeight="1">
      <c r="B290" s="108">
        <v>3</v>
      </c>
      <c r="C290" s="139" t="s">
        <v>49</v>
      </c>
      <c r="D290" s="115" t="s">
        <v>954</v>
      </c>
      <c r="E290" s="115" t="s">
        <v>1107</v>
      </c>
      <c r="F290" s="115" t="s">
        <v>1235</v>
      </c>
      <c r="G290" s="115">
        <v>16</v>
      </c>
      <c r="H290" s="71"/>
      <c r="I290" s="109">
        <f t="shared" si="23"/>
        <v>196</v>
      </c>
      <c r="J290" s="110">
        <f t="shared" si="24"/>
        <v>0</v>
      </c>
      <c r="K290" s="111">
        <f t="shared" si="25"/>
        <v>16</v>
      </c>
      <c r="L290" s="110">
        <f t="shared" si="26"/>
        <v>196</v>
      </c>
      <c r="M290" s="112"/>
    </row>
    <row r="291" spans="2:13" s="52" customFormat="1" ht="20.100000000000001" hidden="1" customHeight="1">
      <c r="B291" s="108">
        <v>3</v>
      </c>
      <c r="C291" s="139" t="s">
        <v>49</v>
      </c>
      <c r="D291" s="115" t="s">
        <v>955</v>
      </c>
      <c r="E291" s="115" t="s">
        <v>1108</v>
      </c>
      <c r="F291" s="115" t="s">
        <v>1154</v>
      </c>
      <c r="G291" s="115">
        <v>4</v>
      </c>
      <c r="H291" s="71">
        <v>4</v>
      </c>
      <c r="I291" s="109">
        <f t="shared" si="23"/>
        <v>229</v>
      </c>
      <c r="J291" s="110">
        <f t="shared" si="24"/>
        <v>229</v>
      </c>
      <c r="K291" s="111">
        <f t="shared" si="25"/>
        <v>0</v>
      </c>
      <c r="L291" s="110">
        <f t="shared" si="26"/>
        <v>0</v>
      </c>
      <c r="M291" s="112"/>
    </row>
    <row r="292" spans="2:13" s="52" customFormat="1" ht="20.100000000000001" customHeight="1">
      <c r="B292" s="108">
        <v>3</v>
      </c>
      <c r="C292" s="139" t="s">
        <v>49</v>
      </c>
      <c r="D292" s="115" t="s">
        <v>956</v>
      </c>
      <c r="E292" s="115" t="s">
        <v>1109</v>
      </c>
      <c r="F292" s="115" t="s">
        <v>1235</v>
      </c>
      <c r="G292" s="115">
        <v>2</v>
      </c>
      <c r="H292" s="71"/>
      <c r="I292" s="109">
        <f t="shared" si="23"/>
        <v>24.5</v>
      </c>
      <c r="J292" s="110">
        <f t="shared" si="24"/>
        <v>0</v>
      </c>
      <c r="K292" s="111">
        <f t="shared" si="25"/>
        <v>2</v>
      </c>
      <c r="L292" s="110">
        <f t="shared" si="26"/>
        <v>24.5</v>
      </c>
      <c r="M292" s="112"/>
    </row>
    <row r="293" spans="2:13" s="52" customFormat="1" ht="20.100000000000001" hidden="1" customHeight="1">
      <c r="B293" s="108">
        <v>3</v>
      </c>
      <c r="C293" s="139" t="s">
        <v>49</v>
      </c>
      <c r="D293" s="115" t="s">
        <v>957</v>
      </c>
      <c r="E293" s="115" t="s">
        <v>1110</v>
      </c>
      <c r="F293" s="115" t="s">
        <v>1236</v>
      </c>
      <c r="G293" s="115">
        <v>3</v>
      </c>
      <c r="H293" s="71">
        <v>4</v>
      </c>
      <c r="I293" s="109">
        <f t="shared" si="23"/>
        <v>151.5</v>
      </c>
      <c r="J293" s="110">
        <f t="shared" si="24"/>
        <v>202</v>
      </c>
      <c r="K293" s="111">
        <f t="shared" si="25"/>
        <v>-1</v>
      </c>
      <c r="L293" s="110">
        <f t="shared" si="26"/>
        <v>-50.5</v>
      </c>
      <c r="M293" s="112"/>
    </row>
    <row r="294" spans="2:13" s="52" customFormat="1" ht="20.100000000000001" hidden="1" customHeight="1">
      <c r="B294" s="108">
        <v>3</v>
      </c>
      <c r="C294" s="139" t="s">
        <v>49</v>
      </c>
      <c r="D294" s="115" t="s">
        <v>958</v>
      </c>
      <c r="E294" s="115" t="s">
        <v>1111</v>
      </c>
      <c r="F294" s="115" t="s">
        <v>1236</v>
      </c>
      <c r="G294" s="115">
        <v>6</v>
      </c>
      <c r="H294" s="71">
        <f>6+2</f>
        <v>8</v>
      </c>
      <c r="I294" s="109">
        <f t="shared" si="23"/>
        <v>303</v>
      </c>
      <c r="J294" s="110">
        <f t="shared" si="24"/>
        <v>404</v>
      </c>
      <c r="K294" s="111">
        <f t="shared" si="25"/>
        <v>-2</v>
      </c>
      <c r="L294" s="110">
        <f t="shared" si="26"/>
        <v>-101</v>
      </c>
      <c r="M294" s="112"/>
    </row>
    <row r="295" spans="2:13" s="52" customFormat="1" ht="20.100000000000001" customHeight="1">
      <c r="B295" s="108">
        <v>3</v>
      </c>
      <c r="C295" s="139" t="s">
        <v>49</v>
      </c>
      <c r="D295" s="115" t="s">
        <v>959</v>
      </c>
      <c r="E295" s="115" t="s">
        <v>1112</v>
      </c>
      <c r="F295" s="115" t="s">
        <v>1237</v>
      </c>
      <c r="G295" s="115">
        <v>2</v>
      </c>
      <c r="H295" s="71">
        <v>1</v>
      </c>
      <c r="I295" s="109">
        <f t="shared" si="23"/>
        <v>134.56</v>
      </c>
      <c r="J295" s="110">
        <f t="shared" si="24"/>
        <v>67.28</v>
      </c>
      <c r="K295" s="111">
        <f t="shared" si="25"/>
        <v>1</v>
      </c>
      <c r="L295" s="110">
        <f t="shared" si="26"/>
        <v>67.28</v>
      </c>
      <c r="M295" s="112"/>
    </row>
    <row r="296" spans="2:13" s="52" customFormat="1" ht="20.100000000000001" hidden="1" customHeight="1">
      <c r="B296" s="108">
        <v>3</v>
      </c>
      <c r="C296" s="139" t="s">
        <v>49</v>
      </c>
      <c r="D296" s="115" t="s">
        <v>960</v>
      </c>
      <c r="E296" s="115" t="s">
        <v>1113</v>
      </c>
      <c r="F296" s="115" t="s">
        <v>1238</v>
      </c>
      <c r="G296" s="115">
        <v>2</v>
      </c>
      <c r="H296" s="71">
        <f>4+3+1</f>
        <v>8</v>
      </c>
      <c r="I296" s="109">
        <f t="shared" si="23"/>
        <v>141.82</v>
      </c>
      <c r="J296" s="110">
        <f t="shared" si="24"/>
        <v>567.28</v>
      </c>
      <c r="K296" s="111">
        <f t="shared" si="25"/>
        <v>-6</v>
      </c>
      <c r="L296" s="110">
        <f t="shared" si="26"/>
        <v>-425.46</v>
      </c>
      <c r="M296" s="112"/>
    </row>
    <row r="297" spans="2:13" s="52" customFormat="1" ht="20.100000000000001" customHeight="1">
      <c r="B297" s="108">
        <v>3</v>
      </c>
      <c r="C297" s="139" t="s">
        <v>49</v>
      </c>
      <c r="D297" s="115" t="s">
        <v>961</v>
      </c>
      <c r="E297" s="115" t="s">
        <v>1114</v>
      </c>
      <c r="F297" s="115" t="s">
        <v>1239</v>
      </c>
      <c r="G297" s="115">
        <v>1</v>
      </c>
      <c r="H297" s="71"/>
      <c r="I297" s="109">
        <f t="shared" si="23"/>
        <v>5.36</v>
      </c>
      <c r="J297" s="110">
        <f t="shared" si="24"/>
        <v>0</v>
      </c>
      <c r="K297" s="111">
        <f t="shared" si="25"/>
        <v>1</v>
      </c>
      <c r="L297" s="110">
        <f t="shared" si="26"/>
        <v>5.36</v>
      </c>
      <c r="M297" s="112"/>
    </row>
    <row r="298" spans="2:13" s="52" customFormat="1" ht="20.100000000000001" customHeight="1">
      <c r="B298" s="108">
        <v>3</v>
      </c>
      <c r="C298" s="139" t="s">
        <v>49</v>
      </c>
      <c r="D298" s="115" t="s">
        <v>962</v>
      </c>
      <c r="E298" s="115" t="s">
        <v>1115</v>
      </c>
      <c r="F298" s="115" t="s">
        <v>1240</v>
      </c>
      <c r="G298" s="115">
        <v>1</v>
      </c>
      <c r="H298" s="71"/>
      <c r="I298" s="109">
        <f t="shared" si="23"/>
        <v>6.4</v>
      </c>
      <c r="J298" s="110">
        <f t="shared" si="24"/>
        <v>0</v>
      </c>
      <c r="K298" s="111">
        <f t="shared" si="25"/>
        <v>1</v>
      </c>
      <c r="L298" s="110">
        <f t="shared" si="26"/>
        <v>6.4</v>
      </c>
      <c r="M298" s="112"/>
    </row>
    <row r="299" spans="2:13" s="52" customFormat="1" ht="20.100000000000001" customHeight="1">
      <c r="B299" s="108">
        <v>3</v>
      </c>
      <c r="C299" s="139" t="s">
        <v>49</v>
      </c>
      <c r="D299" s="115" t="s">
        <v>963</v>
      </c>
      <c r="E299" s="115" t="s">
        <v>1116</v>
      </c>
      <c r="F299" s="115" t="s">
        <v>1206</v>
      </c>
      <c r="G299" s="115">
        <v>8</v>
      </c>
      <c r="H299" s="71"/>
      <c r="I299" s="109">
        <f t="shared" si="23"/>
        <v>79.36</v>
      </c>
      <c r="J299" s="110">
        <f t="shared" si="24"/>
        <v>0</v>
      </c>
      <c r="K299" s="111">
        <f t="shared" si="25"/>
        <v>8</v>
      </c>
      <c r="L299" s="110">
        <f t="shared" si="26"/>
        <v>79.36</v>
      </c>
      <c r="M299" s="112"/>
    </row>
    <row r="300" spans="2:13" s="52" customFormat="1" ht="20.100000000000001" customHeight="1">
      <c r="B300" s="108">
        <v>3</v>
      </c>
      <c r="C300" s="139" t="s">
        <v>49</v>
      </c>
      <c r="D300" s="115" t="s">
        <v>964</v>
      </c>
      <c r="E300" s="115" t="s">
        <v>1117</v>
      </c>
      <c r="F300" s="115" t="s">
        <v>1214</v>
      </c>
      <c r="G300" s="115">
        <v>16</v>
      </c>
      <c r="H300" s="71"/>
      <c r="I300" s="109">
        <f t="shared" si="23"/>
        <v>907.36</v>
      </c>
      <c r="J300" s="110">
        <f t="shared" si="24"/>
        <v>0</v>
      </c>
      <c r="K300" s="111">
        <f t="shared" si="25"/>
        <v>16</v>
      </c>
      <c r="L300" s="110">
        <f t="shared" si="26"/>
        <v>907.36</v>
      </c>
      <c r="M300" s="112"/>
    </row>
    <row r="301" spans="2:13" s="52" customFormat="1" ht="20.100000000000001" customHeight="1">
      <c r="B301" s="108">
        <v>3</v>
      </c>
      <c r="C301" s="139" t="s">
        <v>49</v>
      </c>
      <c r="D301" s="115" t="s">
        <v>965</v>
      </c>
      <c r="E301" s="115" t="s">
        <v>1118</v>
      </c>
      <c r="F301" s="115" t="s">
        <v>1241</v>
      </c>
      <c r="G301" s="115">
        <v>1</v>
      </c>
      <c r="H301" s="71"/>
      <c r="I301" s="109">
        <f t="shared" si="23"/>
        <v>59.51</v>
      </c>
      <c r="J301" s="110">
        <f t="shared" si="24"/>
        <v>0</v>
      </c>
      <c r="K301" s="111">
        <f t="shared" si="25"/>
        <v>1</v>
      </c>
      <c r="L301" s="110">
        <f t="shared" si="26"/>
        <v>59.51</v>
      </c>
      <c r="M301" s="112"/>
    </row>
    <row r="302" spans="2:13" s="52" customFormat="1" ht="20.100000000000001" customHeight="1">
      <c r="B302" s="108">
        <v>3</v>
      </c>
      <c r="C302" s="139" t="s">
        <v>49</v>
      </c>
      <c r="D302" s="115" t="s">
        <v>966</v>
      </c>
      <c r="E302" s="115" t="s">
        <v>1119</v>
      </c>
      <c r="F302" s="115" t="s">
        <v>1241</v>
      </c>
      <c r="G302" s="115">
        <v>33</v>
      </c>
      <c r="H302" s="71">
        <v>6</v>
      </c>
      <c r="I302" s="109">
        <f t="shared" si="23"/>
        <v>1963.83</v>
      </c>
      <c r="J302" s="110">
        <f t="shared" si="24"/>
        <v>357.06</v>
      </c>
      <c r="K302" s="111">
        <f t="shared" si="25"/>
        <v>27</v>
      </c>
      <c r="L302" s="110">
        <f t="shared" si="26"/>
        <v>1606.77</v>
      </c>
      <c r="M302" s="112"/>
    </row>
    <row r="303" spans="2:13" s="52" customFormat="1" ht="20.100000000000001" customHeight="1">
      <c r="B303" s="108">
        <v>3</v>
      </c>
      <c r="C303" s="139" t="s">
        <v>49</v>
      </c>
      <c r="D303" s="115" t="s">
        <v>967</v>
      </c>
      <c r="E303" s="115" t="s">
        <v>1120</v>
      </c>
      <c r="F303" s="115" t="s">
        <v>1242</v>
      </c>
      <c r="G303" s="115">
        <v>1</v>
      </c>
      <c r="H303" s="71"/>
      <c r="I303" s="109">
        <f t="shared" si="23"/>
        <v>76.94</v>
      </c>
      <c r="J303" s="110">
        <f t="shared" si="24"/>
        <v>0</v>
      </c>
      <c r="K303" s="111">
        <f t="shared" si="25"/>
        <v>1</v>
      </c>
      <c r="L303" s="110">
        <f t="shared" si="26"/>
        <v>76.94</v>
      </c>
      <c r="M303" s="112"/>
    </row>
    <row r="304" spans="2:13" s="52" customFormat="1" ht="20.100000000000001" customHeight="1">
      <c r="B304" s="108">
        <v>3</v>
      </c>
      <c r="C304" s="139" t="s">
        <v>49</v>
      </c>
      <c r="D304" s="115" t="s">
        <v>968</v>
      </c>
      <c r="E304" s="115" t="s">
        <v>1121</v>
      </c>
      <c r="F304" s="115" t="s">
        <v>1176</v>
      </c>
      <c r="G304" s="115">
        <v>7</v>
      </c>
      <c r="H304" s="71"/>
      <c r="I304" s="109">
        <f t="shared" si="23"/>
        <v>397.53</v>
      </c>
      <c r="J304" s="110">
        <f t="shared" si="24"/>
        <v>0</v>
      </c>
      <c r="K304" s="111">
        <f t="shared" si="25"/>
        <v>7</v>
      </c>
      <c r="L304" s="110">
        <f t="shared" si="26"/>
        <v>397.53</v>
      </c>
      <c r="M304" s="112"/>
    </row>
    <row r="305" spans="2:13" s="52" customFormat="1" ht="20.100000000000001" customHeight="1">
      <c r="B305" s="108">
        <v>3</v>
      </c>
      <c r="C305" s="139" t="s">
        <v>49</v>
      </c>
      <c r="D305" s="115" t="s">
        <v>969</v>
      </c>
      <c r="E305" s="115" t="s">
        <v>1122</v>
      </c>
      <c r="F305" s="115" t="s">
        <v>1176</v>
      </c>
      <c r="G305" s="115">
        <v>6</v>
      </c>
      <c r="H305" s="71"/>
      <c r="I305" s="109">
        <f t="shared" si="23"/>
        <v>340.74</v>
      </c>
      <c r="J305" s="110">
        <f t="shared" si="24"/>
        <v>0</v>
      </c>
      <c r="K305" s="111">
        <f t="shared" si="25"/>
        <v>6</v>
      </c>
      <c r="L305" s="110">
        <f t="shared" si="26"/>
        <v>340.74</v>
      </c>
      <c r="M305" s="112"/>
    </row>
    <row r="306" spans="2:13" s="52" customFormat="1" ht="20.100000000000001" customHeight="1">
      <c r="B306" s="108">
        <v>3</v>
      </c>
      <c r="C306" s="139" t="s">
        <v>49</v>
      </c>
      <c r="D306" s="115" t="s">
        <v>970</v>
      </c>
      <c r="E306" s="115" t="s">
        <v>1123</v>
      </c>
      <c r="F306" s="115" t="s">
        <v>1243</v>
      </c>
      <c r="G306" s="115">
        <v>13</v>
      </c>
      <c r="H306" s="71"/>
      <c r="I306" s="109">
        <f t="shared" si="23"/>
        <v>786.5</v>
      </c>
      <c r="J306" s="110">
        <f t="shared" si="24"/>
        <v>0</v>
      </c>
      <c r="K306" s="111">
        <f t="shared" si="25"/>
        <v>13</v>
      </c>
      <c r="L306" s="110">
        <f t="shared" si="26"/>
        <v>786.5</v>
      </c>
      <c r="M306" s="112"/>
    </row>
    <row r="307" spans="2:13" s="52" customFormat="1" ht="20.100000000000001" customHeight="1">
      <c r="B307" s="108">
        <v>3</v>
      </c>
      <c r="C307" s="139" t="s">
        <v>49</v>
      </c>
      <c r="D307" s="115" t="s">
        <v>971</v>
      </c>
      <c r="E307" s="115" t="s">
        <v>1124</v>
      </c>
      <c r="F307" s="115" t="s">
        <v>1208</v>
      </c>
      <c r="G307" s="115">
        <v>40</v>
      </c>
      <c r="H307" s="71"/>
      <c r="I307" s="109">
        <f t="shared" si="23"/>
        <v>2167.6</v>
      </c>
      <c r="J307" s="110">
        <f t="shared" si="24"/>
        <v>0</v>
      </c>
      <c r="K307" s="111">
        <f t="shared" si="25"/>
        <v>40</v>
      </c>
      <c r="L307" s="110">
        <f t="shared" si="26"/>
        <v>2167.6</v>
      </c>
      <c r="M307" s="112"/>
    </row>
    <row r="308" spans="2:13" s="52" customFormat="1" ht="20.100000000000001" customHeight="1">
      <c r="B308" s="108">
        <v>3</v>
      </c>
      <c r="C308" s="139" t="s">
        <v>49</v>
      </c>
      <c r="D308" s="115" t="s">
        <v>972</v>
      </c>
      <c r="E308" s="115" t="s">
        <v>1125</v>
      </c>
      <c r="F308" s="115" t="s">
        <v>1208</v>
      </c>
      <c r="G308" s="115">
        <v>20</v>
      </c>
      <c r="H308" s="71"/>
      <c r="I308" s="109">
        <f t="shared" si="23"/>
        <v>1083.8</v>
      </c>
      <c r="J308" s="110">
        <f t="shared" si="24"/>
        <v>0</v>
      </c>
      <c r="K308" s="111">
        <f t="shared" si="25"/>
        <v>20</v>
      </c>
      <c r="L308" s="110">
        <f t="shared" si="26"/>
        <v>1083.8</v>
      </c>
      <c r="M308" s="112"/>
    </row>
    <row r="309" spans="2:13" s="52" customFormat="1" ht="20.100000000000001" customHeight="1">
      <c r="B309" s="108">
        <v>3</v>
      </c>
      <c r="C309" s="139" t="s">
        <v>49</v>
      </c>
      <c r="D309" s="115" t="s">
        <v>973</v>
      </c>
      <c r="E309" s="115" t="s">
        <v>1126</v>
      </c>
      <c r="F309" s="115" t="s">
        <v>1176</v>
      </c>
      <c r="G309" s="115">
        <v>7</v>
      </c>
      <c r="H309" s="71"/>
      <c r="I309" s="109">
        <f t="shared" si="23"/>
        <v>397.53</v>
      </c>
      <c r="J309" s="110">
        <f t="shared" si="24"/>
        <v>0</v>
      </c>
      <c r="K309" s="111">
        <f t="shared" si="25"/>
        <v>7</v>
      </c>
      <c r="L309" s="110">
        <f t="shared" si="26"/>
        <v>397.53</v>
      </c>
      <c r="M309" s="112"/>
    </row>
    <row r="310" spans="2:13" s="52" customFormat="1" ht="20.100000000000001" customHeight="1">
      <c r="B310" s="108">
        <v>3</v>
      </c>
      <c r="C310" s="139" t="s">
        <v>49</v>
      </c>
      <c r="D310" s="115" t="s">
        <v>974</v>
      </c>
      <c r="E310" s="115" t="s">
        <v>1127</v>
      </c>
      <c r="F310" s="115" t="s">
        <v>1176</v>
      </c>
      <c r="G310" s="115">
        <v>7</v>
      </c>
      <c r="H310" s="71"/>
      <c r="I310" s="109">
        <f t="shared" ref="I310:I369" si="27">F310*G310</f>
        <v>397.53</v>
      </c>
      <c r="J310" s="110">
        <f t="shared" si="24"/>
        <v>0</v>
      </c>
      <c r="K310" s="111">
        <f t="shared" si="25"/>
        <v>7</v>
      </c>
      <c r="L310" s="110">
        <f t="shared" si="26"/>
        <v>397.53</v>
      </c>
      <c r="M310" s="112"/>
    </row>
    <row r="311" spans="2:13" s="52" customFormat="1" ht="20.100000000000001" customHeight="1">
      <c r="B311" s="108">
        <v>3</v>
      </c>
      <c r="C311" s="139" t="s">
        <v>49</v>
      </c>
      <c r="D311" s="115" t="s">
        <v>975</v>
      </c>
      <c r="E311" s="115" t="s">
        <v>1128</v>
      </c>
      <c r="F311" s="115" t="s">
        <v>1176</v>
      </c>
      <c r="G311" s="115">
        <v>9</v>
      </c>
      <c r="H311" s="71"/>
      <c r="I311" s="109">
        <f t="shared" si="27"/>
        <v>511.11</v>
      </c>
      <c r="J311" s="110">
        <f t="shared" si="24"/>
        <v>0</v>
      </c>
      <c r="K311" s="111">
        <f t="shared" si="25"/>
        <v>9</v>
      </c>
      <c r="L311" s="110">
        <f t="shared" si="26"/>
        <v>511.11</v>
      </c>
      <c r="M311" s="112"/>
    </row>
    <row r="312" spans="2:13" s="52" customFormat="1" ht="20.100000000000001" customHeight="1">
      <c r="B312" s="108">
        <v>3</v>
      </c>
      <c r="C312" s="139" t="s">
        <v>49</v>
      </c>
      <c r="D312" s="115" t="s">
        <v>976</v>
      </c>
      <c r="E312" s="115" t="s">
        <v>1129</v>
      </c>
      <c r="F312" s="115" t="s">
        <v>1206</v>
      </c>
      <c r="G312" s="115">
        <v>8</v>
      </c>
      <c r="H312" s="71">
        <v>5</v>
      </c>
      <c r="I312" s="109">
        <f t="shared" si="27"/>
        <v>79.36</v>
      </c>
      <c r="J312" s="110">
        <f t="shared" si="24"/>
        <v>49.6</v>
      </c>
      <c r="K312" s="111">
        <f t="shared" si="25"/>
        <v>3</v>
      </c>
      <c r="L312" s="110">
        <f t="shared" si="26"/>
        <v>29.759999999999998</v>
      </c>
      <c r="M312" s="112"/>
    </row>
    <row r="313" spans="2:13" s="52" customFormat="1" ht="20.100000000000001" customHeight="1">
      <c r="B313" s="108">
        <v>3</v>
      </c>
      <c r="C313" s="139" t="s">
        <v>49</v>
      </c>
      <c r="D313" s="115" t="s">
        <v>977</v>
      </c>
      <c r="E313" s="115" t="s">
        <v>1130</v>
      </c>
      <c r="F313" s="115" t="s">
        <v>1244</v>
      </c>
      <c r="G313" s="115">
        <v>14</v>
      </c>
      <c r="H313" s="71"/>
      <c r="I313" s="109">
        <f t="shared" si="27"/>
        <v>770</v>
      </c>
      <c r="J313" s="110">
        <f t="shared" si="24"/>
        <v>0</v>
      </c>
      <c r="K313" s="111">
        <f t="shared" si="25"/>
        <v>14</v>
      </c>
      <c r="L313" s="110">
        <f t="shared" si="26"/>
        <v>770</v>
      </c>
      <c r="M313" s="112"/>
    </row>
    <row r="314" spans="2:13" s="52" customFormat="1" ht="20.100000000000001" customHeight="1">
      <c r="B314" s="108">
        <v>3</v>
      </c>
      <c r="C314" s="139" t="s">
        <v>49</v>
      </c>
      <c r="D314" s="115" t="s">
        <v>978</v>
      </c>
      <c r="E314" s="115" t="s">
        <v>1131</v>
      </c>
      <c r="F314" s="115" t="s">
        <v>1244</v>
      </c>
      <c r="G314" s="115">
        <v>16</v>
      </c>
      <c r="H314" s="71"/>
      <c r="I314" s="109">
        <f t="shared" si="27"/>
        <v>880</v>
      </c>
      <c r="J314" s="110">
        <f t="shared" si="24"/>
        <v>0</v>
      </c>
      <c r="K314" s="111">
        <f t="shared" si="25"/>
        <v>16</v>
      </c>
      <c r="L314" s="110">
        <f t="shared" si="26"/>
        <v>880</v>
      </c>
      <c r="M314" s="112"/>
    </row>
    <row r="315" spans="2:13" s="52" customFormat="1" ht="20.100000000000001" customHeight="1">
      <c r="B315" s="108">
        <v>3</v>
      </c>
      <c r="C315" s="139" t="s">
        <v>49</v>
      </c>
      <c r="D315" s="115" t="s">
        <v>979</v>
      </c>
      <c r="E315" s="115" t="s">
        <v>1132</v>
      </c>
      <c r="F315" s="115" t="s">
        <v>1206</v>
      </c>
      <c r="G315" s="115">
        <v>9</v>
      </c>
      <c r="H315" s="71"/>
      <c r="I315" s="109">
        <f t="shared" si="27"/>
        <v>89.28</v>
      </c>
      <c r="J315" s="110">
        <f t="shared" si="24"/>
        <v>0</v>
      </c>
      <c r="K315" s="111">
        <f t="shared" si="25"/>
        <v>9</v>
      </c>
      <c r="L315" s="110">
        <f t="shared" si="26"/>
        <v>89.28</v>
      </c>
      <c r="M315" s="112"/>
    </row>
    <row r="316" spans="2:13" s="52" customFormat="1" ht="20.100000000000001" customHeight="1">
      <c r="B316" s="108">
        <v>3</v>
      </c>
      <c r="C316" s="139" t="s">
        <v>49</v>
      </c>
      <c r="D316" s="115" t="s">
        <v>980</v>
      </c>
      <c r="E316" s="115" t="s">
        <v>1133</v>
      </c>
      <c r="F316" s="115" t="s">
        <v>1206</v>
      </c>
      <c r="G316" s="115">
        <v>2</v>
      </c>
      <c r="H316" s="71"/>
      <c r="I316" s="109">
        <f t="shared" si="27"/>
        <v>19.84</v>
      </c>
      <c r="J316" s="110">
        <f t="shared" si="24"/>
        <v>0</v>
      </c>
      <c r="K316" s="111">
        <f t="shared" si="25"/>
        <v>2</v>
      </c>
      <c r="L316" s="110">
        <f t="shared" si="26"/>
        <v>19.84</v>
      </c>
      <c r="M316" s="112"/>
    </row>
    <row r="317" spans="2:13" s="52" customFormat="1" ht="20.100000000000001" customHeight="1">
      <c r="B317" s="108">
        <v>3</v>
      </c>
      <c r="C317" s="139" t="s">
        <v>49</v>
      </c>
      <c r="D317" s="115" t="s">
        <v>981</v>
      </c>
      <c r="E317" s="115" t="s">
        <v>1134</v>
      </c>
      <c r="F317" s="115" t="s">
        <v>1245</v>
      </c>
      <c r="G317" s="115">
        <v>7</v>
      </c>
      <c r="H317" s="71">
        <v>2</v>
      </c>
      <c r="I317" s="109">
        <f t="shared" si="27"/>
        <v>421.75</v>
      </c>
      <c r="J317" s="110">
        <f t="shared" si="24"/>
        <v>120.5</v>
      </c>
      <c r="K317" s="111">
        <f t="shared" si="25"/>
        <v>5</v>
      </c>
      <c r="L317" s="110">
        <f t="shared" si="26"/>
        <v>301.25</v>
      </c>
      <c r="M317" s="112"/>
    </row>
    <row r="318" spans="2:13" s="52" customFormat="1" ht="20.100000000000001" customHeight="1">
      <c r="B318" s="108">
        <v>3</v>
      </c>
      <c r="C318" s="139" t="s">
        <v>49</v>
      </c>
      <c r="D318" s="115" t="s">
        <v>982</v>
      </c>
      <c r="E318" s="115" t="s">
        <v>1135</v>
      </c>
      <c r="F318" s="115" t="s">
        <v>1246</v>
      </c>
      <c r="G318" s="115">
        <v>6</v>
      </c>
      <c r="H318" s="71">
        <v>1</v>
      </c>
      <c r="I318" s="109">
        <f t="shared" si="27"/>
        <v>384</v>
      </c>
      <c r="J318" s="110">
        <f t="shared" si="24"/>
        <v>64</v>
      </c>
      <c r="K318" s="111">
        <f t="shared" si="25"/>
        <v>5</v>
      </c>
      <c r="L318" s="110">
        <f t="shared" si="26"/>
        <v>320</v>
      </c>
      <c r="M318" s="112"/>
    </row>
    <row r="319" spans="2:13" s="52" customFormat="1" ht="20.100000000000001" hidden="1" customHeight="1">
      <c r="B319" s="108">
        <v>3</v>
      </c>
      <c r="C319" s="139" t="s">
        <v>49</v>
      </c>
      <c r="D319" s="115" t="s">
        <v>983</v>
      </c>
      <c r="E319" s="115" t="s">
        <v>1136</v>
      </c>
      <c r="F319" s="115" t="s">
        <v>1247</v>
      </c>
      <c r="G319" s="115">
        <v>24</v>
      </c>
      <c r="H319" s="71">
        <v>36</v>
      </c>
      <c r="I319" s="109">
        <f t="shared" si="27"/>
        <v>1390.8000000000002</v>
      </c>
      <c r="J319" s="110">
        <f t="shared" si="24"/>
        <v>2086.2000000000003</v>
      </c>
      <c r="K319" s="111">
        <f t="shared" si="25"/>
        <v>-12</v>
      </c>
      <c r="L319" s="110">
        <f t="shared" si="26"/>
        <v>-695.40000000000009</v>
      </c>
      <c r="M319" s="112"/>
    </row>
    <row r="320" spans="2:13" s="52" customFormat="1" ht="20.100000000000001" customHeight="1">
      <c r="B320" s="108">
        <v>3</v>
      </c>
      <c r="C320" s="139" t="s">
        <v>49</v>
      </c>
      <c r="D320" s="115" t="s">
        <v>984</v>
      </c>
      <c r="E320" s="115" t="s">
        <v>1137</v>
      </c>
      <c r="F320" s="115" t="s">
        <v>1248</v>
      </c>
      <c r="G320" s="115">
        <v>2</v>
      </c>
      <c r="H320" s="71"/>
      <c r="I320" s="109">
        <f t="shared" si="27"/>
        <v>254.5</v>
      </c>
      <c r="J320" s="110">
        <f t="shared" si="24"/>
        <v>0</v>
      </c>
      <c r="K320" s="111">
        <f t="shared" si="25"/>
        <v>2</v>
      </c>
      <c r="L320" s="110">
        <f t="shared" si="26"/>
        <v>254.5</v>
      </c>
      <c r="M320" s="112"/>
    </row>
    <row r="321" spans="2:13" s="52" customFormat="1" ht="20.100000000000001" hidden="1" customHeight="1">
      <c r="B321" s="108">
        <v>3</v>
      </c>
      <c r="C321" s="139" t="s">
        <v>49</v>
      </c>
      <c r="D321" s="115" t="s">
        <v>985</v>
      </c>
      <c r="E321" s="115" t="s">
        <v>1138</v>
      </c>
      <c r="F321" s="115" t="s">
        <v>1245</v>
      </c>
      <c r="G321" s="115">
        <v>4</v>
      </c>
      <c r="H321" s="71">
        <f>4+1</f>
        <v>5</v>
      </c>
      <c r="I321" s="109">
        <f t="shared" si="27"/>
        <v>241</v>
      </c>
      <c r="J321" s="110">
        <f t="shared" si="24"/>
        <v>301.25</v>
      </c>
      <c r="K321" s="111">
        <f t="shared" si="25"/>
        <v>-1</v>
      </c>
      <c r="L321" s="110">
        <f t="shared" si="26"/>
        <v>-60.25</v>
      </c>
      <c r="M321" s="112"/>
    </row>
    <row r="322" spans="2:13" s="52" customFormat="1" ht="20.100000000000001" hidden="1" customHeight="1">
      <c r="B322" s="108">
        <v>3</v>
      </c>
      <c r="C322" s="139" t="s">
        <v>49</v>
      </c>
      <c r="D322" s="115" t="s">
        <v>986</v>
      </c>
      <c r="E322" s="115" t="s">
        <v>1139</v>
      </c>
      <c r="F322" s="115" t="s">
        <v>1246</v>
      </c>
      <c r="G322" s="115">
        <v>1</v>
      </c>
      <c r="H322" s="71">
        <v>1</v>
      </c>
      <c r="I322" s="109">
        <f t="shared" si="27"/>
        <v>64</v>
      </c>
      <c r="J322" s="110">
        <f t="shared" si="24"/>
        <v>64</v>
      </c>
      <c r="K322" s="111">
        <f t="shared" si="25"/>
        <v>0</v>
      </c>
      <c r="L322" s="110">
        <f t="shared" si="26"/>
        <v>0</v>
      </c>
      <c r="M322" s="112"/>
    </row>
    <row r="323" spans="2:13" s="52" customFormat="1" ht="20.100000000000001" customHeight="1">
      <c r="B323" s="108">
        <v>3</v>
      </c>
      <c r="C323" s="139" t="s">
        <v>49</v>
      </c>
      <c r="D323" s="115" t="s">
        <v>987</v>
      </c>
      <c r="E323" s="115" t="s">
        <v>1140</v>
      </c>
      <c r="F323" s="115" t="s">
        <v>1249</v>
      </c>
      <c r="G323" s="115">
        <v>1</v>
      </c>
      <c r="H323" s="71"/>
      <c r="I323" s="109">
        <f t="shared" si="27"/>
        <v>64.900000000000006</v>
      </c>
      <c r="J323" s="110">
        <f t="shared" si="24"/>
        <v>0</v>
      </c>
      <c r="K323" s="111">
        <f t="shared" si="25"/>
        <v>1</v>
      </c>
      <c r="L323" s="110">
        <f t="shared" si="26"/>
        <v>64.900000000000006</v>
      </c>
      <c r="M323" s="112"/>
    </row>
    <row r="324" spans="2:13" s="52" customFormat="1" ht="20.100000000000001" customHeight="1">
      <c r="B324" s="108">
        <v>3</v>
      </c>
      <c r="C324" s="139" t="s">
        <v>49</v>
      </c>
      <c r="D324" s="115" t="s">
        <v>988</v>
      </c>
      <c r="E324" s="115" t="s">
        <v>1141</v>
      </c>
      <c r="F324" s="115" t="s">
        <v>1245</v>
      </c>
      <c r="G324" s="115">
        <v>4</v>
      </c>
      <c r="H324" s="71">
        <v>1</v>
      </c>
      <c r="I324" s="109">
        <f t="shared" si="27"/>
        <v>241</v>
      </c>
      <c r="J324" s="110">
        <f t="shared" si="24"/>
        <v>60.25</v>
      </c>
      <c r="K324" s="111">
        <f t="shared" si="25"/>
        <v>3</v>
      </c>
      <c r="L324" s="110">
        <f t="shared" si="26"/>
        <v>180.75</v>
      </c>
      <c r="M324" s="112"/>
    </row>
    <row r="325" spans="2:13" s="52" customFormat="1" ht="20.100000000000001" customHeight="1">
      <c r="B325" s="108">
        <v>3</v>
      </c>
      <c r="C325" s="139" t="s">
        <v>49</v>
      </c>
      <c r="D325" s="115" t="s">
        <v>989</v>
      </c>
      <c r="E325" s="115" t="s">
        <v>1142</v>
      </c>
      <c r="F325" s="115" t="s">
        <v>1246</v>
      </c>
      <c r="G325" s="115">
        <v>6</v>
      </c>
      <c r="H325" s="71">
        <v>3</v>
      </c>
      <c r="I325" s="109">
        <f t="shared" si="27"/>
        <v>384</v>
      </c>
      <c r="J325" s="110">
        <f t="shared" si="24"/>
        <v>192</v>
      </c>
      <c r="K325" s="111">
        <f t="shared" si="25"/>
        <v>3</v>
      </c>
      <c r="L325" s="110">
        <f t="shared" si="26"/>
        <v>192</v>
      </c>
      <c r="M325" s="112"/>
    </row>
    <row r="326" spans="2:13" s="52" customFormat="1" ht="20.100000000000001" hidden="1" customHeight="1">
      <c r="B326" s="108">
        <v>3</v>
      </c>
      <c r="C326" s="139" t="s">
        <v>49</v>
      </c>
      <c r="D326" s="115" t="s">
        <v>990</v>
      </c>
      <c r="E326" s="115" t="s">
        <v>1143</v>
      </c>
      <c r="F326" s="115" t="s">
        <v>1250</v>
      </c>
      <c r="G326" s="115">
        <v>2</v>
      </c>
      <c r="H326" s="71">
        <f>2+8</f>
        <v>10</v>
      </c>
      <c r="I326" s="109">
        <f t="shared" si="27"/>
        <v>247.8</v>
      </c>
      <c r="J326" s="110">
        <f t="shared" si="24"/>
        <v>1239</v>
      </c>
      <c r="K326" s="111">
        <f t="shared" si="25"/>
        <v>-8</v>
      </c>
      <c r="L326" s="110">
        <f t="shared" si="26"/>
        <v>-991.2</v>
      </c>
      <c r="M326" s="112"/>
    </row>
    <row r="327" spans="2:13" s="52" customFormat="1" ht="20.100000000000001" customHeight="1">
      <c r="B327" s="108">
        <v>3</v>
      </c>
      <c r="C327" s="139" t="s">
        <v>49</v>
      </c>
      <c r="D327" s="115" t="s">
        <v>991</v>
      </c>
      <c r="E327" s="115" t="s">
        <v>1144</v>
      </c>
      <c r="F327" s="115" t="s">
        <v>1251</v>
      </c>
      <c r="G327" s="115">
        <v>4</v>
      </c>
      <c r="H327" s="71">
        <v>1</v>
      </c>
      <c r="I327" s="109">
        <f t="shared" si="27"/>
        <v>235.8</v>
      </c>
      <c r="J327" s="110">
        <f t="shared" si="24"/>
        <v>58.95</v>
      </c>
      <c r="K327" s="111">
        <f t="shared" si="25"/>
        <v>3</v>
      </c>
      <c r="L327" s="110">
        <f t="shared" si="26"/>
        <v>176.85000000000002</v>
      </c>
      <c r="M327" s="112"/>
    </row>
    <row r="328" spans="2:13" s="52" customFormat="1" ht="20.100000000000001" customHeight="1">
      <c r="B328" s="108">
        <v>3</v>
      </c>
      <c r="C328" s="139" t="s">
        <v>49</v>
      </c>
      <c r="D328" s="115" t="s">
        <v>992</v>
      </c>
      <c r="E328" s="115" t="s">
        <v>1145</v>
      </c>
      <c r="F328" s="115" t="s">
        <v>3138</v>
      </c>
      <c r="G328" s="115">
        <v>15</v>
      </c>
      <c r="H328" s="71">
        <v>12</v>
      </c>
      <c r="I328" s="109">
        <f t="shared" si="27"/>
        <v>926.25</v>
      </c>
      <c r="J328" s="110">
        <f t="shared" si="24"/>
        <v>741</v>
      </c>
      <c r="K328" s="111">
        <f t="shared" si="25"/>
        <v>3</v>
      </c>
      <c r="L328" s="110">
        <f t="shared" si="26"/>
        <v>185.25</v>
      </c>
      <c r="M328" s="112"/>
    </row>
    <row r="329" spans="2:13" s="52" customFormat="1" ht="20.100000000000001" hidden="1" customHeight="1">
      <c r="B329" s="108">
        <v>3</v>
      </c>
      <c r="C329" s="139" t="s">
        <v>49</v>
      </c>
      <c r="D329" s="115" t="s">
        <v>993</v>
      </c>
      <c r="E329" s="115" t="s">
        <v>1146</v>
      </c>
      <c r="F329" s="115" t="s">
        <v>1252</v>
      </c>
      <c r="G329" s="115">
        <v>1</v>
      </c>
      <c r="H329" s="71">
        <v>3</v>
      </c>
      <c r="I329" s="109">
        <f t="shared" si="27"/>
        <v>56.37</v>
      </c>
      <c r="J329" s="110">
        <f t="shared" si="24"/>
        <v>169.10999999999999</v>
      </c>
      <c r="K329" s="111">
        <f t="shared" si="25"/>
        <v>-2</v>
      </c>
      <c r="L329" s="110">
        <f t="shared" si="26"/>
        <v>-112.73999999999998</v>
      </c>
      <c r="M329" s="112"/>
    </row>
    <row r="330" spans="2:13" s="52" customFormat="1" ht="20.100000000000001" customHeight="1">
      <c r="B330" s="108">
        <v>3</v>
      </c>
      <c r="C330" s="139" t="s">
        <v>49</v>
      </c>
      <c r="D330" s="115" t="s">
        <v>994</v>
      </c>
      <c r="E330" s="115" t="s">
        <v>1147</v>
      </c>
      <c r="F330" s="115" t="s">
        <v>1252</v>
      </c>
      <c r="G330" s="115">
        <v>4</v>
      </c>
      <c r="H330" s="71"/>
      <c r="I330" s="109">
        <f t="shared" si="27"/>
        <v>225.48</v>
      </c>
      <c r="J330" s="110">
        <f t="shared" ref="J330:J386" si="28">F330*H330</f>
        <v>0</v>
      </c>
      <c r="K330" s="111">
        <f t="shared" ref="K330:K386" si="29">G330-H330</f>
        <v>4</v>
      </c>
      <c r="L330" s="110">
        <f t="shared" ref="L330:L386" si="30">I330-J330</f>
        <v>225.48</v>
      </c>
      <c r="M330" s="112"/>
    </row>
    <row r="331" spans="2:13" s="52" customFormat="1" ht="20.100000000000001" hidden="1" customHeight="1">
      <c r="B331" s="108">
        <v>3</v>
      </c>
      <c r="C331" s="139" t="s">
        <v>49</v>
      </c>
      <c r="D331" s="115" t="s">
        <v>995</v>
      </c>
      <c r="E331" s="115" t="s">
        <v>1148</v>
      </c>
      <c r="F331" s="115" t="s">
        <v>1201</v>
      </c>
      <c r="G331" s="115">
        <v>2</v>
      </c>
      <c r="H331" s="71">
        <v>3</v>
      </c>
      <c r="I331" s="109">
        <f t="shared" si="27"/>
        <v>98.2</v>
      </c>
      <c r="J331" s="110">
        <f t="shared" si="28"/>
        <v>147.30000000000001</v>
      </c>
      <c r="K331" s="111">
        <f t="shared" si="29"/>
        <v>-1</v>
      </c>
      <c r="L331" s="110">
        <f t="shared" si="30"/>
        <v>-49.100000000000009</v>
      </c>
      <c r="M331" s="112"/>
    </row>
    <row r="332" spans="2:13" s="52" customFormat="1" ht="20.100000000000001" customHeight="1">
      <c r="B332" s="108">
        <v>3</v>
      </c>
      <c r="C332" s="139" t="s">
        <v>49</v>
      </c>
      <c r="D332" s="115" t="s">
        <v>996</v>
      </c>
      <c r="E332" s="115" t="s">
        <v>1149</v>
      </c>
      <c r="F332" s="115" t="s">
        <v>1201</v>
      </c>
      <c r="G332" s="115">
        <v>1</v>
      </c>
      <c r="H332" s="71"/>
      <c r="I332" s="109">
        <f t="shared" si="27"/>
        <v>49.1</v>
      </c>
      <c r="J332" s="110">
        <f t="shared" si="28"/>
        <v>0</v>
      </c>
      <c r="K332" s="111">
        <f t="shared" si="29"/>
        <v>1</v>
      </c>
      <c r="L332" s="110">
        <f t="shared" si="30"/>
        <v>49.1</v>
      </c>
      <c r="M332" s="112"/>
    </row>
    <row r="333" spans="2:13" s="52" customFormat="1" ht="20.100000000000001" customHeight="1">
      <c r="B333" s="108">
        <v>3</v>
      </c>
      <c r="C333" s="139" t="s">
        <v>49</v>
      </c>
      <c r="D333" s="115" t="s">
        <v>997</v>
      </c>
      <c r="E333" s="115" t="s">
        <v>1150</v>
      </c>
      <c r="F333" s="115" t="s">
        <v>1253</v>
      </c>
      <c r="G333" s="115">
        <v>1</v>
      </c>
      <c r="H333" s="71"/>
      <c r="I333" s="109">
        <f t="shared" si="27"/>
        <v>68.56</v>
      </c>
      <c r="J333" s="110">
        <f t="shared" si="28"/>
        <v>0</v>
      </c>
      <c r="K333" s="111">
        <f t="shared" si="29"/>
        <v>1</v>
      </c>
      <c r="L333" s="110">
        <f t="shared" si="30"/>
        <v>68.56</v>
      </c>
      <c r="M333" s="112"/>
    </row>
    <row r="334" spans="2:13" s="52" customFormat="1" ht="20.100000000000001" customHeight="1">
      <c r="B334" s="108">
        <v>3</v>
      </c>
      <c r="C334" s="139" t="s">
        <v>49</v>
      </c>
      <c r="D334" s="115" t="s">
        <v>998</v>
      </c>
      <c r="E334" s="115" t="s">
        <v>1151</v>
      </c>
      <c r="F334" s="115" t="s">
        <v>1254</v>
      </c>
      <c r="G334" s="115">
        <v>1</v>
      </c>
      <c r="H334" s="71"/>
      <c r="I334" s="109">
        <f t="shared" si="27"/>
        <v>58.4</v>
      </c>
      <c r="J334" s="110">
        <f t="shared" si="28"/>
        <v>0</v>
      </c>
      <c r="K334" s="111">
        <f t="shared" si="29"/>
        <v>1</v>
      </c>
      <c r="L334" s="110">
        <f t="shared" si="30"/>
        <v>58.4</v>
      </c>
      <c r="M334" s="112"/>
    </row>
    <row r="335" spans="2:13" s="52" customFormat="1" ht="20.100000000000001" customHeight="1">
      <c r="B335" s="108">
        <v>3</v>
      </c>
      <c r="C335" s="139" t="s">
        <v>49</v>
      </c>
      <c r="D335" s="115" t="s">
        <v>999</v>
      </c>
      <c r="E335" s="115" t="s">
        <v>1152</v>
      </c>
      <c r="F335" s="115" t="s">
        <v>1254</v>
      </c>
      <c r="G335" s="115">
        <v>5</v>
      </c>
      <c r="H335" s="71"/>
      <c r="I335" s="109">
        <f t="shared" si="27"/>
        <v>292</v>
      </c>
      <c r="J335" s="110">
        <f t="shared" si="28"/>
        <v>0</v>
      </c>
      <c r="K335" s="111">
        <f t="shared" si="29"/>
        <v>5</v>
      </c>
      <c r="L335" s="110">
        <f t="shared" si="30"/>
        <v>292</v>
      </c>
      <c r="M335" s="112"/>
    </row>
    <row r="336" spans="2:13" s="52" customFormat="1" ht="20.100000000000001" customHeight="1">
      <c r="B336" s="108">
        <v>4</v>
      </c>
      <c r="C336" s="139" t="s">
        <v>50</v>
      </c>
      <c r="D336" s="115" t="s">
        <v>1255</v>
      </c>
      <c r="E336" s="115" t="s">
        <v>1325</v>
      </c>
      <c r="F336" s="115" t="s">
        <v>1395</v>
      </c>
      <c r="G336" s="115">
        <v>206</v>
      </c>
      <c r="H336" s="71">
        <v>171</v>
      </c>
      <c r="I336" s="109">
        <f t="shared" si="27"/>
        <v>1545</v>
      </c>
      <c r="J336" s="110">
        <f t="shared" si="28"/>
        <v>1282.5</v>
      </c>
      <c r="K336" s="111">
        <f t="shared" si="29"/>
        <v>35</v>
      </c>
      <c r="L336" s="110">
        <f t="shared" si="30"/>
        <v>262.5</v>
      </c>
      <c r="M336" s="112"/>
    </row>
    <row r="337" spans="2:13" s="52" customFormat="1" ht="20.100000000000001" customHeight="1">
      <c r="B337" s="108">
        <v>4</v>
      </c>
      <c r="C337" s="139" t="s">
        <v>50</v>
      </c>
      <c r="D337" s="115" t="s">
        <v>1256</v>
      </c>
      <c r="E337" s="115" t="s">
        <v>1326</v>
      </c>
      <c r="F337" s="115" t="s">
        <v>1397</v>
      </c>
      <c r="G337" s="115">
        <v>26</v>
      </c>
      <c r="H337" s="71">
        <v>3</v>
      </c>
      <c r="I337" s="109">
        <f t="shared" si="27"/>
        <v>938.86</v>
      </c>
      <c r="J337" s="110">
        <f t="shared" si="28"/>
        <v>108.33</v>
      </c>
      <c r="K337" s="111">
        <f t="shared" si="29"/>
        <v>23</v>
      </c>
      <c r="L337" s="110">
        <f t="shared" si="30"/>
        <v>830.53</v>
      </c>
      <c r="M337" s="112"/>
    </row>
    <row r="338" spans="2:13" s="52" customFormat="1" ht="20.100000000000001" customHeight="1">
      <c r="B338" s="108">
        <v>4</v>
      </c>
      <c r="C338" s="139" t="s">
        <v>50</v>
      </c>
      <c r="D338" s="115" t="s">
        <v>1257</v>
      </c>
      <c r="E338" s="115" t="s">
        <v>1327</v>
      </c>
      <c r="F338" s="115" t="s">
        <v>1398</v>
      </c>
      <c r="G338" s="115">
        <v>79</v>
      </c>
      <c r="H338" s="71"/>
      <c r="I338" s="109">
        <f t="shared" si="27"/>
        <v>575.12</v>
      </c>
      <c r="J338" s="110">
        <f t="shared" si="28"/>
        <v>0</v>
      </c>
      <c r="K338" s="111">
        <f t="shared" si="29"/>
        <v>79</v>
      </c>
      <c r="L338" s="110">
        <f t="shared" si="30"/>
        <v>575.12</v>
      </c>
      <c r="M338" s="112"/>
    </row>
    <row r="339" spans="2:13" s="52" customFormat="1" ht="20.100000000000001" hidden="1" customHeight="1">
      <c r="B339" s="108">
        <v>4</v>
      </c>
      <c r="C339" s="139" t="s">
        <v>50</v>
      </c>
      <c r="D339" s="115" t="s">
        <v>1258</v>
      </c>
      <c r="E339" s="115" t="s">
        <v>1328</v>
      </c>
      <c r="F339" s="115" t="s">
        <v>1399</v>
      </c>
      <c r="G339" s="115">
        <v>103</v>
      </c>
      <c r="H339" s="71">
        <f>17+31+56</f>
        <v>104</v>
      </c>
      <c r="I339" s="109">
        <f t="shared" si="27"/>
        <v>863.1400000000001</v>
      </c>
      <c r="J339" s="110">
        <f t="shared" si="28"/>
        <v>871.5200000000001</v>
      </c>
      <c r="K339" s="111">
        <f t="shared" si="29"/>
        <v>-1</v>
      </c>
      <c r="L339" s="110">
        <f t="shared" si="30"/>
        <v>-8.3799999999999955</v>
      </c>
      <c r="M339" s="112"/>
    </row>
    <row r="340" spans="2:13" s="52" customFormat="1" ht="20.100000000000001" hidden="1" customHeight="1">
      <c r="B340" s="108">
        <v>4</v>
      </c>
      <c r="C340" s="139" t="s">
        <v>50</v>
      </c>
      <c r="D340" s="115" t="s">
        <v>1259</v>
      </c>
      <c r="E340" s="115" t="s">
        <v>1329</v>
      </c>
      <c r="F340" s="115" t="s">
        <v>1400</v>
      </c>
      <c r="G340" s="115">
        <v>4</v>
      </c>
      <c r="H340" s="71">
        <v>4</v>
      </c>
      <c r="I340" s="109">
        <f t="shared" si="27"/>
        <v>144</v>
      </c>
      <c r="J340" s="110">
        <f t="shared" si="28"/>
        <v>144</v>
      </c>
      <c r="K340" s="111">
        <f t="shared" si="29"/>
        <v>0</v>
      </c>
      <c r="L340" s="110">
        <f t="shared" si="30"/>
        <v>0</v>
      </c>
      <c r="M340" s="112"/>
    </row>
    <row r="341" spans="2:13" s="52" customFormat="1" ht="20.100000000000001" hidden="1" customHeight="1">
      <c r="B341" s="108">
        <v>4</v>
      </c>
      <c r="C341" s="139" t="s">
        <v>50</v>
      </c>
      <c r="D341" s="115" t="s">
        <v>1260</v>
      </c>
      <c r="E341" s="115" t="s">
        <v>1330</v>
      </c>
      <c r="F341" s="115" t="s">
        <v>1401</v>
      </c>
      <c r="G341" s="115">
        <v>1</v>
      </c>
      <c r="H341" s="71">
        <v>1</v>
      </c>
      <c r="I341" s="109">
        <f t="shared" si="27"/>
        <v>107.5</v>
      </c>
      <c r="J341" s="110">
        <f t="shared" si="28"/>
        <v>107.5</v>
      </c>
      <c r="K341" s="111">
        <f t="shared" si="29"/>
        <v>0</v>
      </c>
      <c r="L341" s="110">
        <f t="shared" si="30"/>
        <v>0</v>
      </c>
      <c r="M341" s="112"/>
    </row>
    <row r="342" spans="2:13" s="52" customFormat="1" ht="20.100000000000001" hidden="1" customHeight="1">
      <c r="B342" s="108">
        <v>4</v>
      </c>
      <c r="C342" s="139" t="s">
        <v>50</v>
      </c>
      <c r="D342" s="115" t="s">
        <v>1261</v>
      </c>
      <c r="E342" s="115" t="s">
        <v>1331</v>
      </c>
      <c r="F342" s="115" t="s">
        <v>1400</v>
      </c>
      <c r="G342" s="115">
        <v>5</v>
      </c>
      <c r="H342" s="71">
        <v>5</v>
      </c>
      <c r="I342" s="109">
        <f t="shared" si="27"/>
        <v>180</v>
      </c>
      <c r="J342" s="110">
        <f t="shared" si="28"/>
        <v>180</v>
      </c>
      <c r="K342" s="111">
        <f t="shared" si="29"/>
        <v>0</v>
      </c>
      <c r="L342" s="110">
        <f t="shared" si="30"/>
        <v>0</v>
      </c>
      <c r="M342" s="112"/>
    </row>
    <row r="343" spans="2:13" s="52" customFormat="1" ht="20.100000000000001" customHeight="1">
      <c r="B343" s="108">
        <v>4</v>
      </c>
      <c r="C343" s="139" t="s">
        <v>50</v>
      </c>
      <c r="D343" s="115" t="s">
        <v>1262</v>
      </c>
      <c r="E343" s="115" t="s">
        <v>1332</v>
      </c>
      <c r="F343" s="115" t="s">
        <v>1402</v>
      </c>
      <c r="G343" s="115">
        <v>26</v>
      </c>
      <c r="H343" s="71"/>
      <c r="I343" s="109">
        <f t="shared" si="27"/>
        <v>188.5</v>
      </c>
      <c r="J343" s="110">
        <f t="shared" si="28"/>
        <v>0</v>
      </c>
      <c r="K343" s="111">
        <f t="shared" si="29"/>
        <v>26</v>
      </c>
      <c r="L343" s="110">
        <f t="shared" si="30"/>
        <v>188.5</v>
      </c>
      <c r="M343" s="112"/>
    </row>
    <row r="344" spans="2:13" s="52" customFormat="1" ht="20.100000000000001" customHeight="1">
      <c r="B344" s="108">
        <v>4</v>
      </c>
      <c r="C344" s="139" t="s">
        <v>50</v>
      </c>
      <c r="D344" s="115" t="s">
        <v>1263</v>
      </c>
      <c r="E344" s="115" t="s">
        <v>1333</v>
      </c>
      <c r="F344" s="115" t="s">
        <v>1403</v>
      </c>
      <c r="G344" s="115">
        <v>3</v>
      </c>
      <c r="H344" s="71"/>
      <c r="I344" s="109">
        <f t="shared" si="27"/>
        <v>23.1</v>
      </c>
      <c r="J344" s="110">
        <f t="shared" si="28"/>
        <v>0</v>
      </c>
      <c r="K344" s="111">
        <f t="shared" si="29"/>
        <v>3</v>
      </c>
      <c r="L344" s="110">
        <f t="shared" si="30"/>
        <v>23.1</v>
      </c>
      <c r="M344" s="112"/>
    </row>
    <row r="345" spans="2:13" s="52" customFormat="1" ht="20.100000000000001" hidden="1" customHeight="1">
      <c r="B345" s="108">
        <v>4</v>
      </c>
      <c r="C345" s="139" t="s">
        <v>50</v>
      </c>
      <c r="D345" s="115" t="s">
        <v>1264</v>
      </c>
      <c r="E345" s="115" t="s">
        <v>1334</v>
      </c>
      <c r="F345" s="115" t="s">
        <v>1404</v>
      </c>
      <c r="G345" s="115">
        <v>10</v>
      </c>
      <c r="H345" s="71">
        <f>6+60+1</f>
        <v>67</v>
      </c>
      <c r="I345" s="109">
        <f t="shared" si="27"/>
        <v>146.5</v>
      </c>
      <c r="J345" s="110">
        <f t="shared" si="28"/>
        <v>981.55000000000007</v>
      </c>
      <c r="K345" s="111">
        <f t="shared" si="29"/>
        <v>-57</v>
      </c>
      <c r="L345" s="110">
        <f t="shared" si="30"/>
        <v>-835.05000000000007</v>
      </c>
      <c r="M345" s="112"/>
    </row>
    <row r="346" spans="2:13" s="52" customFormat="1" ht="20.100000000000001" customHeight="1">
      <c r="B346" s="108">
        <v>4</v>
      </c>
      <c r="C346" s="139" t="s">
        <v>50</v>
      </c>
      <c r="D346" s="115" t="s">
        <v>1265</v>
      </c>
      <c r="E346" s="115" t="s">
        <v>1335</v>
      </c>
      <c r="F346" s="115" t="s">
        <v>1405</v>
      </c>
      <c r="G346" s="115">
        <v>2</v>
      </c>
      <c r="H346" s="71"/>
      <c r="I346" s="109">
        <f t="shared" si="27"/>
        <v>11.62</v>
      </c>
      <c r="J346" s="110">
        <f t="shared" si="28"/>
        <v>0</v>
      </c>
      <c r="K346" s="111">
        <f t="shared" si="29"/>
        <v>2</v>
      </c>
      <c r="L346" s="110">
        <f t="shared" si="30"/>
        <v>11.62</v>
      </c>
      <c r="M346" s="112"/>
    </row>
    <row r="347" spans="2:13" s="52" customFormat="1" ht="20.100000000000001" customHeight="1">
      <c r="B347" s="108">
        <v>4</v>
      </c>
      <c r="C347" s="139" t="s">
        <v>50</v>
      </c>
      <c r="D347" s="115" t="s">
        <v>1266</v>
      </c>
      <c r="E347" s="115" t="s">
        <v>1336</v>
      </c>
      <c r="F347" s="115" t="s">
        <v>1406</v>
      </c>
      <c r="G347" s="115">
        <v>33</v>
      </c>
      <c r="H347" s="71">
        <v>29</v>
      </c>
      <c r="I347" s="109">
        <f t="shared" si="27"/>
        <v>955.0200000000001</v>
      </c>
      <c r="J347" s="110">
        <f t="shared" si="28"/>
        <v>839.26</v>
      </c>
      <c r="K347" s="111">
        <f t="shared" si="29"/>
        <v>4</v>
      </c>
      <c r="L347" s="110">
        <f t="shared" si="30"/>
        <v>115.7600000000001</v>
      </c>
      <c r="M347" s="112"/>
    </row>
    <row r="348" spans="2:13" s="52" customFormat="1" ht="20.100000000000001" hidden="1" customHeight="1">
      <c r="B348" s="108">
        <v>4</v>
      </c>
      <c r="C348" s="139" t="s">
        <v>50</v>
      </c>
      <c r="D348" s="115" t="s">
        <v>1267</v>
      </c>
      <c r="E348" s="115" t="s">
        <v>1337</v>
      </c>
      <c r="F348" s="115" t="s">
        <v>1407</v>
      </c>
      <c r="G348" s="115">
        <v>1</v>
      </c>
      <c r="H348" s="71">
        <v>1</v>
      </c>
      <c r="I348" s="109">
        <f t="shared" si="27"/>
        <v>67.52</v>
      </c>
      <c r="J348" s="110">
        <f t="shared" si="28"/>
        <v>67.52</v>
      </c>
      <c r="K348" s="111">
        <f t="shared" si="29"/>
        <v>0</v>
      </c>
      <c r="L348" s="110">
        <f t="shared" si="30"/>
        <v>0</v>
      </c>
      <c r="M348" s="112"/>
    </row>
    <row r="349" spans="2:13" s="52" customFormat="1" ht="20.100000000000001" customHeight="1">
      <c r="B349" s="108">
        <v>4</v>
      </c>
      <c r="C349" s="139" t="s">
        <v>50</v>
      </c>
      <c r="D349" s="115" t="s">
        <v>1268</v>
      </c>
      <c r="E349" s="115" t="s">
        <v>1338</v>
      </c>
      <c r="F349" s="115" t="s">
        <v>1408</v>
      </c>
      <c r="G349" s="115">
        <v>6</v>
      </c>
      <c r="H349" s="71">
        <v>2</v>
      </c>
      <c r="I349" s="109">
        <f t="shared" si="27"/>
        <v>202.56</v>
      </c>
      <c r="J349" s="110">
        <f t="shared" si="28"/>
        <v>67.52</v>
      </c>
      <c r="K349" s="111">
        <f t="shared" si="29"/>
        <v>4</v>
      </c>
      <c r="L349" s="110">
        <f t="shared" si="30"/>
        <v>135.04000000000002</v>
      </c>
      <c r="M349" s="112"/>
    </row>
    <row r="350" spans="2:13" s="52" customFormat="1" ht="20.100000000000001" customHeight="1">
      <c r="B350" s="108">
        <v>4</v>
      </c>
      <c r="C350" s="139" t="s">
        <v>50</v>
      </c>
      <c r="D350" s="115" t="s">
        <v>1269</v>
      </c>
      <c r="E350" s="115" t="s">
        <v>1339</v>
      </c>
      <c r="F350" s="115" t="s">
        <v>1409</v>
      </c>
      <c r="G350" s="115">
        <v>12</v>
      </c>
      <c r="H350" s="71">
        <v>3</v>
      </c>
      <c r="I350" s="109">
        <f t="shared" si="27"/>
        <v>456</v>
      </c>
      <c r="J350" s="110">
        <f t="shared" si="28"/>
        <v>114</v>
      </c>
      <c r="K350" s="111">
        <f t="shared" si="29"/>
        <v>9</v>
      </c>
      <c r="L350" s="110">
        <f t="shared" si="30"/>
        <v>342</v>
      </c>
      <c r="M350" s="112"/>
    </row>
    <row r="351" spans="2:13" s="52" customFormat="1" ht="20.100000000000001" customHeight="1">
      <c r="B351" s="108">
        <v>4</v>
      </c>
      <c r="C351" s="139" t="s">
        <v>50</v>
      </c>
      <c r="D351" s="115" t="s">
        <v>1270</v>
      </c>
      <c r="E351" s="115" t="s">
        <v>1340</v>
      </c>
      <c r="F351" s="115" t="s">
        <v>1409</v>
      </c>
      <c r="G351" s="115">
        <v>3</v>
      </c>
      <c r="H351" s="71">
        <v>2</v>
      </c>
      <c r="I351" s="109">
        <f t="shared" si="27"/>
        <v>114</v>
      </c>
      <c r="J351" s="110">
        <f t="shared" si="28"/>
        <v>76</v>
      </c>
      <c r="K351" s="111">
        <f t="shared" si="29"/>
        <v>1</v>
      </c>
      <c r="L351" s="110">
        <f t="shared" si="30"/>
        <v>38</v>
      </c>
      <c r="M351" s="112"/>
    </row>
    <row r="352" spans="2:13" s="52" customFormat="1" ht="20.100000000000001" hidden="1" customHeight="1">
      <c r="B352" s="108">
        <v>4</v>
      </c>
      <c r="C352" s="139" t="s">
        <v>50</v>
      </c>
      <c r="D352" s="115" t="s">
        <v>1271</v>
      </c>
      <c r="E352" s="115" t="s">
        <v>1341</v>
      </c>
      <c r="F352" s="115" t="s">
        <v>1410</v>
      </c>
      <c r="G352" s="115">
        <v>3</v>
      </c>
      <c r="H352" s="71">
        <v>3</v>
      </c>
      <c r="I352" s="109">
        <f t="shared" si="27"/>
        <v>86.28</v>
      </c>
      <c r="J352" s="110">
        <f t="shared" si="28"/>
        <v>86.28</v>
      </c>
      <c r="K352" s="111">
        <f t="shared" si="29"/>
        <v>0</v>
      </c>
      <c r="L352" s="110">
        <f t="shared" si="30"/>
        <v>0</v>
      </c>
      <c r="M352" s="112"/>
    </row>
    <row r="353" spans="2:13" s="52" customFormat="1" ht="20.100000000000001" customHeight="1">
      <c r="B353" s="108">
        <v>4</v>
      </c>
      <c r="C353" s="139" t="s">
        <v>50</v>
      </c>
      <c r="D353" s="115" t="s">
        <v>1272</v>
      </c>
      <c r="E353" s="115" t="s">
        <v>1342</v>
      </c>
      <c r="F353" s="115" t="s">
        <v>1411</v>
      </c>
      <c r="G353" s="115">
        <v>13</v>
      </c>
      <c r="H353" s="71"/>
      <c r="I353" s="109">
        <f t="shared" si="27"/>
        <v>445.51000000000005</v>
      </c>
      <c r="J353" s="110">
        <f t="shared" si="28"/>
        <v>0</v>
      </c>
      <c r="K353" s="111">
        <f t="shared" si="29"/>
        <v>13</v>
      </c>
      <c r="L353" s="110">
        <f t="shared" si="30"/>
        <v>445.51000000000005</v>
      </c>
      <c r="M353" s="112"/>
    </row>
    <row r="354" spans="2:13" s="52" customFormat="1" ht="20.100000000000001" customHeight="1">
      <c r="B354" s="108">
        <v>4</v>
      </c>
      <c r="C354" s="139" t="s">
        <v>50</v>
      </c>
      <c r="D354" s="115" t="s">
        <v>1273</v>
      </c>
      <c r="E354" s="115" t="s">
        <v>1343</v>
      </c>
      <c r="F354" s="115" t="s">
        <v>1411</v>
      </c>
      <c r="G354" s="115">
        <v>12</v>
      </c>
      <c r="H354" s="71"/>
      <c r="I354" s="109">
        <f t="shared" si="27"/>
        <v>411.24</v>
      </c>
      <c r="J354" s="110">
        <f t="shared" si="28"/>
        <v>0</v>
      </c>
      <c r="K354" s="111">
        <f t="shared" si="29"/>
        <v>12</v>
      </c>
      <c r="L354" s="110">
        <f t="shared" si="30"/>
        <v>411.24</v>
      </c>
      <c r="M354" s="112"/>
    </row>
    <row r="355" spans="2:13" s="52" customFormat="1" ht="20.100000000000001" customHeight="1">
      <c r="B355" s="108">
        <v>4</v>
      </c>
      <c r="C355" s="139" t="s">
        <v>50</v>
      </c>
      <c r="D355" s="115" t="s">
        <v>1274</v>
      </c>
      <c r="E355" s="115" t="s">
        <v>1344</v>
      </c>
      <c r="F355" s="115" t="s">
        <v>1412</v>
      </c>
      <c r="G355" s="115">
        <v>8</v>
      </c>
      <c r="H355" s="71">
        <v>2</v>
      </c>
      <c r="I355" s="109">
        <f t="shared" si="27"/>
        <v>14.16</v>
      </c>
      <c r="J355" s="110">
        <f t="shared" si="28"/>
        <v>3.54</v>
      </c>
      <c r="K355" s="111">
        <f t="shared" si="29"/>
        <v>6</v>
      </c>
      <c r="L355" s="110">
        <f t="shared" si="30"/>
        <v>10.620000000000001</v>
      </c>
      <c r="M355" s="112"/>
    </row>
    <row r="356" spans="2:13" s="52" customFormat="1" ht="20.100000000000001" customHeight="1">
      <c r="B356" s="108">
        <v>4</v>
      </c>
      <c r="C356" s="139" t="s">
        <v>50</v>
      </c>
      <c r="D356" s="115" t="s">
        <v>1275</v>
      </c>
      <c r="E356" s="115" t="s">
        <v>1345</v>
      </c>
      <c r="F356" s="115" t="s">
        <v>1413</v>
      </c>
      <c r="G356" s="115">
        <v>7</v>
      </c>
      <c r="H356" s="71"/>
      <c r="I356" s="109">
        <f t="shared" si="27"/>
        <v>141.82000000000002</v>
      </c>
      <c r="J356" s="110">
        <f t="shared" si="28"/>
        <v>0</v>
      </c>
      <c r="K356" s="111">
        <f t="shared" si="29"/>
        <v>7</v>
      </c>
      <c r="L356" s="110">
        <f t="shared" si="30"/>
        <v>141.82000000000002</v>
      </c>
      <c r="M356" s="112"/>
    </row>
    <row r="357" spans="2:13" s="52" customFormat="1" ht="20.100000000000001" hidden="1" customHeight="1">
      <c r="B357" s="108">
        <v>4</v>
      </c>
      <c r="C357" s="139" t="s">
        <v>50</v>
      </c>
      <c r="D357" s="115" t="s">
        <v>1276</v>
      </c>
      <c r="E357" s="115" t="s">
        <v>1346</v>
      </c>
      <c r="F357" s="115" t="s">
        <v>745</v>
      </c>
      <c r="G357" s="115">
        <v>18</v>
      </c>
      <c r="H357" s="71">
        <v>18</v>
      </c>
      <c r="I357" s="109">
        <f t="shared" si="27"/>
        <v>399.42</v>
      </c>
      <c r="J357" s="110">
        <f t="shared" si="28"/>
        <v>399.42</v>
      </c>
      <c r="K357" s="111">
        <f t="shared" si="29"/>
        <v>0</v>
      </c>
      <c r="L357" s="110">
        <f t="shared" si="30"/>
        <v>0</v>
      </c>
      <c r="M357" s="112"/>
    </row>
    <row r="358" spans="2:13" s="52" customFormat="1" ht="20.100000000000001" customHeight="1">
      <c r="B358" s="108">
        <v>4</v>
      </c>
      <c r="C358" s="139" t="s">
        <v>50</v>
      </c>
      <c r="D358" s="115" t="s">
        <v>1277</v>
      </c>
      <c r="E358" s="115" t="s">
        <v>1347</v>
      </c>
      <c r="F358" s="115" t="s">
        <v>1415</v>
      </c>
      <c r="G358" s="115">
        <v>2</v>
      </c>
      <c r="H358" s="71"/>
      <c r="I358" s="109">
        <f t="shared" si="27"/>
        <v>94.54</v>
      </c>
      <c r="J358" s="110">
        <f t="shared" si="28"/>
        <v>0</v>
      </c>
      <c r="K358" s="111">
        <f t="shared" si="29"/>
        <v>2</v>
      </c>
      <c r="L358" s="110">
        <f t="shared" si="30"/>
        <v>94.54</v>
      </c>
      <c r="M358" s="112"/>
    </row>
    <row r="359" spans="2:13" s="52" customFormat="1" ht="20.100000000000001" customHeight="1">
      <c r="B359" s="108">
        <v>4</v>
      </c>
      <c r="C359" s="139" t="s">
        <v>50</v>
      </c>
      <c r="D359" s="115" t="s">
        <v>1278</v>
      </c>
      <c r="E359" s="115" t="s">
        <v>1348</v>
      </c>
      <c r="F359" s="115" t="s">
        <v>1416</v>
      </c>
      <c r="G359" s="115">
        <v>10</v>
      </c>
      <c r="H359" s="71"/>
      <c r="I359" s="109">
        <f t="shared" si="27"/>
        <v>212.2</v>
      </c>
      <c r="J359" s="110">
        <f t="shared" si="28"/>
        <v>0</v>
      </c>
      <c r="K359" s="111">
        <f t="shared" si="29"/>
        <v>10</v>
      </c>
      <c r="L359" s="110">
        <f t="shared" si="30"/>
        <v>212.2</v>
      </c>
      <c r="M359" s="112"/>
    </row>
    <row r="360" spans="2:13" s="52" customFormat="1" ht="20.100000000000001" customHeight="1">
      <c r="B360" s="108">
        <v>4</v>
      </c>
      <c r="C360" s="139" t="s">
        <v>50</v>
      </c>
      <c r="D360" s="115" t="s">
        <v>1279</v>
      </c>
      <c r="E360" s="115" t="s">
        <v>1349</v>
      </c>
      <c r="F360" s="115" t="s">
        <v>1413</v>
      </c>
      <c r="G360" s="115">
        <v>12</v>
      </c>
      <c r="H360" s="71"/>
      <c r="I360" s="109">
        <f t="shared" si="27"/>
        <v>243.12</v>
      </c>
      <c r="J360" s="110">
        <f t="shared" si="28"/>
        <v>0</v>
      </c>
      <c r="K360" s="111">
        <f t="shared" si="29"/>
        <v>12</v>
      </c>
      <c r="L360" s="110">
        <f t="shared" si="30"/>
        <v>243.12</v>
      </c>
      <c r="M360" s="112"/>
    </row>
    <row r="361" spans="2:13" s="52" customFormat="1" ht="20.100000000000001" customHeight="1">
      <c r="B361" s="108">
        <v>4</v>
      </c>
      <c r="C361" s="139" t="s">
        <v>50</v>
      </c>
      <c r="D361" s="115" t="s">
        <v>1280</v>
      </c>
      <c r="E361" s="115" t="s">
        <v>1350</v>
      </c>
      <c r="F361" s="115" t="s">
        <v>1414</v>
      </c>
      <c r="G361" s="115">
        <v>1</v>
      </c>
      <c r="H361" s="71"/>
      <c r="I361" s="109">
        <f t="shared" si="27"/>
        <v>44.37</v>
      </c>
      <c r="J361" s="110">
        <f t="shared" si="28"/>
        <v>0</v>
      </c>
      <c r="K361" s="111">
        <f t="shared" si="29"/>
        <v>1</v>
      </c>
      <c r="L361" s="110">
        <f t="shared" si="30"/>
        <v>44.37</v>
      </c>
      <c r="M361" s="112"/>
    </row>
    <row r="362" spans="2:13" s="52" customFormat="1" ht="20.100000000000001" customHeight="1">
      <c r="B362" s="108">
        <v>4</v>
      </c>
      <c r="C362" s="139" t="s">
        <v>50</v>
      </c>
      <c r="D362" s="115" t="s">
        <v>1281</v>
      </c>
      <c r="E362" s="115" t="s">
        <v>1351</v>
      </c>
      <c r="F362" s="115" t="s">
        <v>1417</v>
      </c>
      <c r="G362" s="115">
        <v>3</v>
      </c>
      <c r="H362" s="71"/>
      <c r="I362" s="109">
        <f t="shared" si="27"/>
        <v>77.16</v>
      </c>
      <c r="J362" s="110">
        <f t="shared" si="28"/>
        <v>0</v>
      </c>
      <c r="K362" s="111">
        <f t="shared" si="29"/>
        <v>3</v>
      </c>
      <c r="L362" s="110">
        <f t="shared" si="30"/>
        <v>77.16</v>
      </c>
      <c r="M362" s="112"/>
    </row>
    <row r="363" spans="2:13" s="52" customFormat="1" ht="20.100000000000001" customHeight="1">
      <c r="B363" s="108">
        <v>4</v>
      </c>
      <c r="C363" s="139" t="s">
        <v>50</v>
      </c>
      <c r="D363" s="115" t="s">
        <v>1282</v>
      </c>
      <c r="E363" s="115" t="s">
        <v>1352</v>
      </c>
      <c r="F363" s="115" t="s">
        <v>1414</v>
      </c>
      <c r="G363" s="115">
        <v>4</v>
      </c>
      <c r="H363" s="71">
        <v>3</v>
      </c>
      <c r="I363" s="109">
        <f t="shared" si="27"/>
        <v>177.48</v>
      </c>
      <c r="J363" s="110">
        <f t="shared" si="28"/>
        <v>133.10999999999999</v>
      </c>
      <c r="K363" s="111">
        <f t="shared" si="29"/>
        <v>1</v>
      </c>
      <c r="L363" s="110">
        <f t="shared" si="30"/>
        <v>44.370000000000005</v>
      </c>
      <c r="M363" s="112"/>
    </row>
    <row r="364" spans="2:13" s="52" customFormat="1" ht="20.100000000000001" customHeight="1">
      <c r="B364" s="108">
        <v>4</v>
      </c>
      <c r="C364" s="139" t="s">
        <v>50</v>
      </c>
      <c r="D364" s="115" t="s">
        <v>1283</v>
      </c>
      <c r="E364" s="115" t="s">
        <v>1353</v>
      </c>
      <c r="F364" s="115" t="s">
        <v>1418</v>
      </c>
      <c r="G364" s="115">
        <v>3</v>
      </c>
      <c r="H364" s="71">
        <v>1</v>
      </c>
      <c r="I364" s="109">
        <f t="shared" si="27"/>
        <v>92.61</v>
      </c>
      <c r="J364" s="110">
        <f t="shared" si="28"/>
        <v>30.87</v>
      </c>
      <c r="K364" s="111">
        <f t="shared" si="29"/>
        <v>2</v>
      </c>
      <c r="L364" s="110">
        <f t="shared" si="30"/>
        <v>61.739999999999995</v>
      </c>
      <c r="M364" s="112"/>
    </row>
    <row r="365" spans="2:13" s="52" customFormat="1" ht="20.100000000000001" hidden="1" customHeight="1">
      <c r="B365" s="108">
        <v>4</v>
      </c>
      <c r="C365" s="139" t="s">
        <v>50</v>
      </c>
      <c r="D365" s="115" t="s">
        <v>1284</v>
      </c>
      <c r="E365" s="115" t="s">
        <v>1354</v>
      </c>
      <c r="F365" s="115" t="s">
        <v>1419</v>
      </c>
      <c r="G365" s="115">
        <v>3</v>
      </c>
      <c r="H365" s="71">
        <v>3</v>
      </c>
      <c r="I365" s="109">
        <f t="shared" si="27"/>
        <v>82.47</v>
      </c>
      <c r="J365" s="110">
        <f t="shared" si="28"/>
        <v>82.47</v>
      </c>
      <c r="K365" s="111">
        <f t="shared" si="29"/>
        <v>0</v>
      </c>
      <c r="L365" s="110">
        <f t="shared" si="30"/>
        <v>0</v>
      </c>
      <c r="M365" s="112"/>
    </row>
    <row r="366" spans="2:13" s="52" customFormat="1" ht="20.100000000000001" customHeight="1">
      <c r="B366" s="108">
        <v>4</v>
      </c>
      <c r="C366" s="139" t="s">
        <v>50</v>
      </c>
      <c r="D366" s="115" t="s">
        <v>1285</v>
      </c>
      <c r="E366" s="115" t="s">
        <v>1355</v>
      </c>
      <c r="F366" s="115" t="s">
        <v>1420</v>
      </c>
      <c r="G366" s="115">
        <v>2</v>
      </c>
      <c r="H366" s="71"/>
      <c r="I366" s="109">
        <f t="shared" si="27"/>
        <v>109.96</v>
      </c>
      <c r="J366" s="110">
        <f t="shared" si="28"/>
        <v>0</v>
      </c>
      <c r="K366" s="111">
        <f t="shared" si="29"/>
        <v>2</v>
      </c>
      <c r="L366" s="110">
        <f t="shared" si="30"/>
        <v>109.96</v>
      </c>
      <c r="M366" s="112"/>
    </row>
    <row r="367" spans="2:13" s="52" customFormat="1" ht="20.100000000000001" customHeight="1">
      <c r="B367" s="108">
        <v>4</v>
      </c>
      <c r="C367" s="139" t="s">
        <v>50</v>
      </c>
      <c r="D367" s="115" t="s">
        <v>1286</v>
      </c>
      <c r="E367" s="115" t="s">
        <v>1356</v>
      </c>
      <c r="F367" s="115" t="s">
        <v>1421</v>
      </c>
      <c r="G367" s="115">
        <v>5</v>
      </c>
      <c r="H367" s="71"/>
      <c r="I367" s="109">
        <f t="shared" si="27"/>
        <v>163.35000000000002</v>
      </c>
      <c r="J367" s="110">
        <f t="shared" si="28"/>
        <v>0</v>
      </c>
      <c r="K367" s="111">
        <f t="shared" si="29"/>
        <v>5</v>
      </c>
      <c r="L367" s="110">
        <f t="shared" si="30"/>
        <v>163.35000000000002</v>
      </c>
      <c r="M367" s="112"/>
    </row>
    <row r="368" spans="2:13" s="52" customFormat="1" ht="20.100000000000001" customHeight="1">
      <c r="B368" s="108">
        <v>4</v>
      </c>
      <c r="C368" s="139" t="s">
        <v>50</v>
      </c>
      <c r="D368" s="115" t="s">
        <v>1287</v>
      </c>
      <c r="E368" s="115" t="s">
        <v>1357</v>
      </c>
      <c r="F368" s="115" t="s">
        <v>1207</v>
      </c>
      <c r="G368" s="115">
        <v>2</v>
      </c>
      <c r="H368" s="71">
        <v>1</v>
      </c>
      <c r="I368" s="109">
        <f t="shared" si="27"/>
        <v>82.92</v>
      </c>
      <c r="J368" s="110">
        <f t="shared" si="28"/>
        <v>41.46</v>
      </c>
      <c r="K368" s="111">
        <f t="shared" si="29"/>
        <v>1</v>
      </c>
      <c r="L368" s="110">
        <f t="shared" si="30"/>
        <v>41.46</v>
      </c>
      <c r="M368" s="112"/>
    </row>
    <row r="369" spans="2:13" s="52" customFormat="1" ht="20.100000000000001" hidden="1" customHeight="1">
      <c r="B369" s="108">
        <v>4</v>
      </c>
      <c r="C369" s="139" t="s">
        <v>50</v>
      </c>
      <c r="D369" s="115" t="s">
        <v>1288</v>
      </c>
      <c r="E369" s="115" t="s">
        <v>1358</v>
      </c>
      <c r="F369" s="115" t="s">
        <v>1422</v>
      </c>
      <c r="G369" s="115">
        <v>9</v>
      </c>
      <c r="H369" s="71">
        <v>10</v>
      </c>
      <c r="I369" s="109">
        <f t="shared" si="27"/>
        <v>261</v>
      </c>
      <c r="J369" s="110">
        <f t="shared" si="28"/>
        <v>290</v>
      </c>
      <c r="K369" s="111">
        <f t="shared" si="29"/>
        <v>-1</v>
      </c>
      <c r="L369" s="110">
        <f t="shared" si="30"/>
        <v>-29</v>
      </c>
      <c r="M369" s="112"/>
    </row>
    <row r="370" spans="2:13" s="52" customFormat="1" ht="20.100000000000001" customHeight="1">
      <c r="B370" s="108">
        <v>4</v>
      </c>
      <c r="C370" s="139" t="s">
        <v>50</v>
      </c>
      <c r="D370" s="115" t="s">
        <v>1289</v>
      </c>
      <c r="E370" s="115" t="s">
        <v>1359</v>
      </c>
      <c r="F370" s="115" t="s">
        <v>1411</v>
      </c>
      <c r="G370" s="115">
        <v>3</v>
      </c>
      <c r="H370" s="71"/>
      <c r="I370" s="109">
        <f t="shared" ref="I370:I426" si="31">F370*G370</f>
        <v>102.81</v>
      </c>
      <c r="J370" s="110">
        <f t="shared" si="28"/>
        <v>0</v>
      </c>
      <c r="K370" s="111">
        <f t="shared" si="29"/>
        <v>3</v>
      </c>
      <c r="L370" s="110">
        <f t="shared" si="30"/>
        <v>102.81</v>
      </c>
      <c r="M370" s="112"/>
    </row>
    <row r="371" spans="2:13" s="52" customFormat="1" ht="20.100000000000001" hidden="1" customHeight="1">
      <c r="B371" s="108">
        <v>4</v>
      </c>
      <c r="C371" s="139" t="s">
        <v>50</v>
      </c>
      <c r="D371" s="115" t="s">
        <v>4650</v>
      </c>
      <c r="E371" s="115" t="s">
        <v>4651</v>
      </c>
      <c r="F371" s="115" t="s">
        <v>4652</v>
      </c>
      <c r="G371" s="115">
        <v>15</v>
      </c>
      <c r="H371" s="71">
        <v>15</v>
      </c>
      <c r="I371" s="109">
        <f t="shared" si="31"/>
        <v>386.25</v>
      </c>
      <c r="J371" s="110">
        <f t="shared" si="28"/>
        <v>386.25</v>
      </c>
      <c r="K371" s="111">
        <f t="shared" si="29"/>
        <v>0</v>
      </c>
      <c r="L371" s="110">
        <f t="shared" si="30"/>
        <v>0</v>
      </c>
      <c r="M371" s="112"/>
    </row>
    <row r="372" spans="2:13" s="52" customFormat="1" ht="20.100000000000001" hidden="1" customHeight="1">
      <c r="B372" s="108">
        <v>4</v>
      </c>
      <c r="C372" s="139" t="s">
        <v>50</v>
      </c>
      <c r="D372" s="115" t="s">
        <v>1290</v>
      </c>
      <c r="E372" s="115" t="s">
        <v>1360</v>
      </c>
      <c r="F372" s="115" t="s">
        <v>1423</v>
      </c>
      <c r="G372" s="115">
        <v>2</v>
      </c>
      <c r="H372" s="71">
        <f>2+5</f>
        <v>7</v>
      </c>
      <c r="I372" s="109">
        <f t="shared" si="31"/>
        <v>31</v>
      </c>
      <c r="J372" s="110">
        <f t="shared" si="28"/>
        <v>108.5</v>
      </c>
      <c r="K372" s="111">
        <f t="shared" si="29"/>
        <v>-5</v>
      </c>
      <c r="L372" s="110">
        <f t="shared" si="30"/>
        <v>-77.5</v>
      </c>
      <c r="M372" s="112"/>
    </row>
    <row r="373" spans="2:13" s="52" customFormat="1" ht="20.100000000000001" hidden="1" customHeight="1">
      <c r="B373" s="108">
        <v>4</v>
      </c>
      <c r="C373" s="139" t="s">
        <v>50</v>
      </c>
      <c r="D373" s="115" t="s">
        <v>1291</v>
      </c>
      <c r="E373" s="115" t="s">
        <v>1361</v>
      </c>
      <c r="F373" s="115" t="s">
        <v>1409</v>
      </c>
      <c r="G373" s="115">
        <v>3</v>
      </c>
      <c r="H373" s="71">
        <v>6</v>
      </c>
      <c r="I373" s="109">
        <f t="shared" si="31"/>
        <v>114</v>
      </c>
      <c r="J373" s="110">
        <f t="shared" si="28"/>
        <v>228</v>
      </c>
      <c r="K373" s="111">
        <f t="shared" si="29"/>
        <v>-3</v>
      </c>
      <c r="L373" s="110">
        <f t="shared" si="30"/>
        <v>-114</v>
      </c>
      <c r="M373" s="112"/>
    </row>
    <row r="374" spans="2:13" s="52" customFormat="1" ht="20.100000000000001" customHeight="1">
      <c r="B374" s="108">
        <v>4</v>
      </c>
      <c r="C374" s="139" t="s">
        <v>50</v>
      </c>
      <c r="D374" s="115" t="s">
        <v>1292</v>
      </c>
      <c r="E374" s="115" t="s">
        <v>1362</v>
      </c>
      <c r="F374" s="115" t="s">
        <v>1409</v>
      </c>
      <c r="G374" s="115">
        <v>3</v>
      </c>
      <c r="H374" s="71"/>
      <c r="I374" s="109">
        <f t="shared" si="31"/>
        <v>114</v>
      </c>
      <c r="J374" s="110">
        <f t="shared" si="28"/>
        <v>0</v>
      </c>
      <c r="K374" s="111">
        <f t="shared" si="29"/>
        <v>3</v>
      </c>
      <c r="L374" s="110">
        <f t="shared" si="30"/>
        <v>114</v>
      </c>
      <c r="M374" s="112"/>
    </row>
    <row r="375" spans="2:13" s="52" customFormat="1" ht="20.100000000000001" customHeight="1">
      <c r="B375" s="108">
        <v>4</v>
      </c>
      <c r="C375" s="139" t="s">
        <v>50</v>
      </c>
      <c r="D375" s="115" t="s">
        <v>1293</v>
      </c>
      <c r="E375" s="115" t="s">
        <v>1363</v>
      </c>
      <c r="F375" s="115" t="s">
        <v>1424</v>
      </c>
      <c r="G375" s="115">
        <v>2</v>
      </c>
      <c r="H375" s="71"/>
      <c r="I375" s="109">
        <f t="shared" si="31"/>
        <v>116.28</v>
      </c>
      <c r="J375" s="110">
        <f t="shared" si="28"/>
        <v>0</v>
      </c>
      <c r="K375" s="111">
        <f t="shared" si="29"/>
        <v>2</v>
      </c>
      <c r="L375" s="110">
        <f t="shared" si="30"/>
        <v>116.28</v>
      </c>
      <c r="M375" s="112"/>
    </row>
    <row r="376" spans="2:13" s="52" customFormat="1" ht="20.100000000000001" customHeight="1">
      <c r="B376" s="108">
        <v>4</v>
      </c>
      <c r="C376" s="139" t="s">
        <v>50</v>
      </c>
      <c r="D376" s="115" t="s">
        <v>1294</v>
      </c>
      <c r="E376" s="115" t="s">
        <v>1364</v>
      </c>
      <c r="F376" s="115" t="s">
        <v>1424</v>
      </c>
      <c r="G376" s="115">
        <v>10</v>
      </c>
      <c r="H376" s="71"/>
      <c r="I376" s="109">
        <f t="shared" si="31"/>
        <v>581.4</v>
      </c>
      <c r="J376" s="110">
        <f t="shared" si="28"/>
        <v>0</v>
      </c>
      <c r="K376" s="111">
        <f t="shared" si="29"/>
        <v>10</v>
      </c>
      <c r="L376" s="110">
        <f t="shared" si="30"/>
        <v>581.4</v>
      </c>
      <c r="M376" s="112"/>
    </row>
    <row r="377" spans="2:13" s="52" customFormat="1" ht="20.100000000000001" customHeight="1">
      <c r="B377" s="108">
        <v>4</v>
      </c>
      <c r="C377" s="139" t="s">
        <v>50</v>
      </c>
      <c r="D377" s="115" t="s">
        <v>1295</v>
      </c>
      <c r="E377" s="115" t="s">
        <v>1365</v>
      </c>
      <c r="F377" s="115" t="s">
        <v>1424</v>
      </c>
      <c r="G377" s="115">
        <v>8</v>
      </c>
      <c r="H377" s="71"/>
      <c r="I377" s="109">
        <f t="shared" si="31"/>
        <v>465.12</v>
      </c>
      <c r="J377" s="110">
        <f t="shared" si="28"/>
        <v>0</v>
      </c>
      <c r="K377" s="111">
        <f t="shared" si="29"/>
        <v>8</v>
      </c>
      <c r="L377" s="110">
        <f t="shared" si="30"/>
        <v>465.12</v>
      </c>
      <c r="M377" s="112"/>
    </row>
    <row r="378" spans="2:13" s="52" customFormat="1" ht="20.100000000000001" customHeight="1">
      <c r="B378" s="108">
        <v>4</v>
      </c>
      <c r="C378" s="139" t="s">
        <v>50</v>
      </c>
      <c r="D378" s="115" t="s">
        <v>1296</v>
      </c>
      <c r="E378" s="115" t="s">
        <v>1366</v>
      </c>
      <c r="F378" s="115" t="s">
        <v>1425</v>
      </c>
      <c r="G378" s="115">
        <v>2</v>
      </c>
      <c r="H378" s="71">
        <v>0</v>
      </c>
      <c r="I378" s="109">
        <f t="shared" si="31"/>
        <v>20.18</v>
      </c>
      <c r="J378" s="110">
        <f t="shared" si="28"/>
        <v>0</v>
      </c>
      <c r="K378" s="111">
        <f t="shared" si="29"/>
        <v>2</v>
      </c>
      <c r="L378" s="110">
        <f t="shared" si="30"/>
        <v>20.18</v>
      </c>
      <c r="M378" s="112"/>
    </row>
    <row r="379" spans="2:13" s="52" customFormat="1" ht="20.100000000000001" customHeight="1">
      <c r="B379" s="108">
        <v>4</v>
      </c>
      <c r="C379" s="139" t="s">
        <v>50</v>
      </c>
      <c r="D379" s="115" t="s">
        <v>1297</v>
      </c>
      <c r="E379" s="115" t="s">
        <v>1367</v>
      </c>
      <c r="F379" s="115" t="s">
        <v>1409</v>
      </c>
      <c r="G379" s="115">
        <v>27</v>
      </c>
      <c r="H379" s="71">
        <v>5</v>
      </c>
      <c r="I379" s="109">
        <f t="shared" si="31"/>
        <v>1026</v>
      </c>
      <c r="J379" s="110">
        <f t="shared" si="28"/>
        <v>190</v>
      </c>
      <c r="K379" s="111">
        <f t="shared" si="29"/>
        <v>22</v>
      </c>
      <c r="L379" s="110">
        <f t="shared" si="30"/>
        <v>836</v>
      </c>
      <c r="M379" s="112"/>
    </row>
    <row r="380" spans="2:13" s="52" customFormat="1" ht="20.100000000000001" customHeight="1">
      <c r="B380" s="108">
        <v>4</v>
      </c>
      <c r="C380" s="139" t="s">
        <v>50</v>
      </c>
      <c r="D380" s="115" t="s">
        <v>1298</v>
      </c>
      <c r="E380" s="115" t="s">
        <v>1368</v>
      </c>
      <c r="F380" s="115" t="s">
        <v>1409</v>
      </c>
      <c r="G380" s="115">
        <v>25</v>
      </c>
      <c r="H380" s="71">
        <v>4</v>
      </c>
      <c r="I380" s="109">
        <f t="shared" si="31"/>
        <v>950</v>
      </c>
      <c r="J380" s="110">
        <f t="shared" si="28"/>
        <v>152</v>
      </c>
      <c r="K380" s="111">
        <f t="shared" si="29"/>
        <v>21</v>
      </c>
      <c r="L380" s="110">
        <f t="shared" si="30"/>
        <v>798</v>
      </c>
      <c r="M380" s="112"/>
    </row>
    <row r="381" spans="2:13" s="52" customFormat="1" ht="20.100000000000001" customHeight="1">
      <c r="B381" s="108">
        <v>4</v>
      </c>
      <c r="C381" s="139" t="s">
        <v>50</v>
      </c>
      <c r="D381" s="115" t="s">
        <v>1299</v>
      </c>
      <c r="E381" s="115" t="s">
        <v>1369</v>
      </c>
      <c r="F381" s="115" t="s">
        <v>1409</v>
      </c>
      <c r="G381" s="115">
        <v>11</v>
      </c>
      <c r="H381" s="71">
        <v>3</v>
      </c>
      <c r="I381" s="109">
        <f t="shared" si="31"/>
        <v>418</v>
      </c>
      <c r="J381" s="110">
        <f t="shared" si="28"/>
        <v>114</v>
      </c>
      <c r="K381" s="111">
        <f t="shared" si="29"/>
        <v>8</v>
      </c>
      <c r="L381" s="110">
        <f t="shared" si="30"/>
        <v>304</v>
      </c>
      <c r="M381" s="112"/>
    </row>
    <row r="382" spans="2:13" s="52" customFormat="1" ht="20.100000000000001" customHeight="1">
      <c r="B382" s="108">
        <v>4</v>
      </c>
      <c r="C382" s="139" t="s">
        <v>50</v>
      </c>
      <c r="D382" s="115" t="s">
        <v>1300</v>
      </c>
      <c r="E382" s="115" t="s">
        <v>1370</v>
      </c>
      <c r="F382" s="115" t="s">
        <v>1409</v>
      </c>
      <c r="G382" s="115">
        <v>25</v>
      </c>
      <c r="H382" s="71">
        <v>4</v>
      </c>
      <c r="I382" s="109">
        <f t="shared" si="31"/>
        <v>950</v>
      </c>
      <c r="J382" s="110">
        <f t="shared" si="28"/>
        <v>152</v>
      </c>
      <c r="K382" s="111">
        <f t="shared" si="29"/>
        <v>21</v>
      </c>
      <c r="L382" s="110">
        <f t="shared" si="30"/>
        <v>798</v>
      </c>
      <c r="M382" s="112"/>
    </row>
    <row r="383" spans="2:13" s="52" customFormat="1" ht="20.100000000000001" customHeight="1">
      <c r="B383" s="108">
        <v>4</v>
      </c>
      <c r="C383" s="139" t="s">
        <v>50</v>
      </c>
      <c r="D383" s="115" t="s">
        <v>1301</v>
      </c>
      <c r="E383" s="115" t="s">
        <v>1371</v>
      </c>
      <c r="F383" s="115" t="s">
        <v>1409</v>
      </c>
      <c r="G383" s="115">
        <v>31</v>
      </c>
      <c r="H383" s="71"/>
      <c r="I383" s="109">
        <f t="shared" si="31"/>
        <v>1178</v>
      </c>
      <c r="J383" s="110">
        <f t="shared" si="28"/>
        <v>0</v>
      </c>
      <c r="K383" s="111">
        <f t="shared" si="29"/>
        <v>31</v>
      </c>
      <c r="L383" s="110">
        <f t="shared" si="30"/>
        <v>1178</v>
      </c>
      <c r="M383" s="112"/>
    </row>
    <row r="384" spans="2:13" s="52" customFormat="1" ht="20.100000000000001" customHeight="1">
      <c r="B384" s="108">
        <v>4</v>
      </c>
      <c r="C384" s="139" t="s">
        <v>50</v>
      </c>
      <c r="D384" s="115" t="s">
        <v>1302</v>
      </c>
      <c r="E384" s="115" t="s">
        <v>1372</v>
      </c>
      <c r="F384" s="115" t="s">
        <v>1409</v>
      </c>
      <c r="G384" s="115">
        <v>2</v>
      </c>
      <c r="H384" s="71"/>
      <c r="I384" s="109">
        <f t="shared" si="31"/>
        <v>76</v>
      </c>
      <c r="J384" s="110">
        <f t="shared" si="28"/>
        <v>0</v>
      </c>
      <c r="K384" s="111">
        <f t="shared" si="29"/>
        <v>2</v>
      </c>
      <c r="L384" s="110">
        <f t="shared" si="30"/>
        <v>76</v>
      </c>
      <c r="M384" s="112"/>
    </row>
    <row r="385" spans="2:13" s="52" customFormat="1" ht="20.100000000000001" customHeight="1">
      <c r="B385" s="108">
        <v>4</v>
      </c>
      <c r="C385" s="139" t="s">
        <v>50</v>
      </c>
      <c r="D385" s="115" t="s">
        <v>1303</v>
      </c>
      <c r="E385" s="115" t="s">
        <v>1373</v>
      </c>
      <c r="F385" s="115" t="s">
        <v>1409</v>
      </c>
      <c r="G385" s="115">
        <v>7</v>
      </c>
      <c r="H385" s="71">
        <v>5</v>
      </c>
      <c r="I385" s="109">
        <f t="shared" si="31"/>
        <v>266</v>
      </c>
      <c r="J385" s="110">
        <f t="shared" si="28"/>
        <v>190</v>
      </c>
      <c r="K385" s="111">
        <f t="shared" si="29"/>
        <v>2</v>
      </c>
      <c r="L385" s="110">
        <f t="shared" si="30"/>
        <v>76</v>
      </c>
      <c r="M385" s="112"/>
    </row>
    <row r="386" spans="2:13" s="52" customFormat="1" ht="20.100000000000001" customHeight="1">
      <c r="B386" s="108">
        <v>4</v>
      </c>
      <c r="C386" s="139" t="s">
        <v>50</v>
      </c>
      <c r="D386" s="115" t="s">
        <v>1304</v>
      </c>
      <c r="E386" s="115" t="s">
        <v>1374</v>
      </c>
      <c r="F386" s="115" t="s">
        <v>1409</v>
      </c>
      <c r="G386" s="115">
        <v>4</v>
      </c>
      <c r="H386" s="71"/>
      <c r="I386" s="109">
        <f t="shared" si="31"/>
        <v>152</v>
      </c>
      <c r="J386" s="110">
        <f t="shared" si="28"/>
        <v>0</v>
      </c>
      <c r="K386" s="111">
        <f t="shared" si="29"/>
        <v>4</v>
      </c>
      <c r="L386" s="110">
        <f t="shared" si="30"/>
        <v>152</v>
      </c>
      <c r="M386" s="112"/>
    </row>
    <row r="387" spans="2:13" s="52" customFormat="1" ht="20.100000000000001" customHeight="1">
      <c r="B387" s="108">
        <v>4</v>
      </c>
      <c r="C387" s="139" t="s">
        <v>50</v>
      </c>
      <c r="D387" s="115" t="s">
        <v>1305</v>
      </c>
      <c r="E387" s="115" t="s">
        <v>1375</v>
      </c>
      <c r="F387" s="115" t="s">
        <v>1426</v>
      </c>
      <c r="G387" s="115">
        <v>17</v>
      </c>
      <c r="H387" s="71">
        <v>16</v>
      </c>
      <c r="I387" s="109">
        <f t="shared" si="31"/>
        <v>66.98</v>
      </c>
      <c r="J387" s="110">
        <f t="shared" ref="J387:J442" si="32">F387*H387</f>
        <v>63.04</v>
      </c>
      <c r="K387" s="111">
        <f t="shared" ref="K387:K442" si="33">G387-H387</f>
        <v>1</v>
      </c>
      <c r="L387" s="110">
        <f t="shared" ref="L387:L442" si="34">I387-J387</f>
        <v>3.9400000000000048</v>
      </c>
      <c r="M387" s="112"/>
    </row>
    <row r="388" spans="2:13" s="52" customFormat="1" ht="20.100000000000001" customHeight="1">
      <c r="B388" s="108">
        <v>4</v>
      </c>
      <c r="C388" s="139" t="s">
        <v>50</v>
      </c>
      <c r="D388" s="115" t="s">
        <v>1306</v>
      </c>
      <c r="E388" s="115" t="s">
        <v>1376</v>
      </c>
      <c r="F388" s="115" t="s">
        <v>1427</v>
      </c>
      <c r="G388" s="115">
        <v>12</v>
      </c>
      <c r="H388" s="71"/>
      <c r="I388" s="109">
        <f t="shared" si="31"/>
        <v>378.24</v>
      </c>
      <c r="J388" s="110">
        <f t="shared" si="32"/>
        <v>0</v>
      </c>
      <c r="K388" s="111">
        <f t="shared" si="33"/>
        <v>12</v>
      </c>
      <c r="L388" s="110">
        <f t="shared" si="34"/>
        <v>378.24</v>
      </c>
      <c r="M388" s="112"/>
    </row>
    <row r="389" spans="2:13" s="52" customFormat="1" ht="20.100000000000001" customHeight="1">
      <c r="B389" s="108">
        <v>4</v>
      </c>
      <c r="C389" s="139" t="s">
        <v>50</v>
      </c>
      <c r="D389" s="115" t="s">
        <v>1307</v>
      </c>
      <c r="E389" s="115" t="s">
        <v>1377</v>
      </c>
      <c r="F389" s="115" t="s">
        <v>1428</v>
      </c>
      <c r="G389" s="115">
        <v>3</v>
      </c>
      <c r="H389" s="71">
        <v>1</v>
      </c>
      <c r="I389" s="109">
        <f t="shared" si="31"/>
        <v>64.44</v>
      </c>
      <c r="J389" s="110">
        <f t="shared" si="32"/>
        <v>21.48</v>
      </c>
      <c r="K389" s="111">
        <f t="shared" si="33"/>
        <v>2</v>
      </c>
      <c r="L389" s="110">
        <f t="shared" si="34"/>
        <v>42.959999999999994</v>
      </c>
      <c r="M389" s="112"/>
    </row>
    <row r="390" spans="2:13" s="52" customFormat="1" ht="20.100000000000001" customHeight="1">
      <c r="B390" s="108">
        <v>4</v>
      </c>
      <c r="C390" s="139" t="s">
        <v>50</v>
      </c>
      <c r="D390" s="115" t="s">
        <v>1308</v>
      </c>
      <c r="E390" s="115" t="s">
        <v>1378</v>
      </c>
      <c r="F390" s="115" t="s">
        <v>1428</v>
      </c>
      <c r="G390" s="115">
        <v>13</v>
      </c>
      <c r="H390" s="71"/>
      <c r="I390" s="109">
        <f t="shared" si="31"/>
        <v>279.24</v>
      </c>
      <c r="J390" s="110">
        <f t="shared" si="32"/>
        <v>0</v>
      </c>
      <c r="K390" s="111">
        <f t="shared" si="33"/>
        <v>13</v>
      </c>
      <c r="L390" s="110">
        <f t="shared" si="34"/>
        <v>279.24</v>
      </c>
      <c r="M390" s="112"/>
    </row>
    <row r="391" spans="2:13" s="52" customFormat="1" ht="20.100000000000001" hidden="1" customHeight="1">
      <c r="B391" s="108">
        <v>4</v>
      </c>
      <c r="C391" s="139" t="s">
        <v>50</v>
      </c>
      <c r="D391" s="115" t="s">
        <v>1309</v>
      </c>
      <c r="E391" s="115" t="s">
        <v>1379</v>
      </c>
      <c r="F391" s="115" t="s">
        <v>1423</v>
      </c>
      <c r="G391" s="115">
        <v>5</v>
      </c>
      <c r="H391" s="71">
        <v>5</v>
      </c>
      <c r="I391" s="109">
        <f t="shared" si="31"/>
        <v>77.5</v>
      </c>
      <c r="J391" s="110">
        <f t="shared" si="32"/>
        <v>77.5</v>
      </c>
      <c r="K391" s="111">
        <f t="shared" si="33"/>
        <v>0</v>
      </c>
      <c r="L391" s="110">
        <f t="shared" si="34"/>
        <v>0</v>
      </c>
      <c r="M391" s="112"/>
    </row>
    <row r="392" spans="2:13" s="52" customFormat="1" ht="20.100000000000001" customHeight="1">
      <c r="B392" s="108">
        <v>4</v>
      </c>
      <c r="C392" s="139" t="s">
        <v>50</v>
      </c>
      <c r="D392" s="115" t="s">
        <v>1310</v>
      </c>
      <c r="E392" s="115" t="s">
        <v>1380</v>
      </c>
      <c r="F392" s="115" t="s">
        <v>1429</v>
      </c>
      <c r="G392" s="115">
        <v>7</v>
      </c>
      <c r="H392" s="71">
        <v>1</v>
      </c>
      <c r="I392" s="109">
        <f t="shared" si="31"/>
        <v>167.79</v>
      </c>
      <c r="J392" s="110">
        <f t="shared" si="32"/>
        <v>23.97</v>
      </c>
      <c r="K392" s="111">
        <f t="shared" si="33"/>
        <v>6</v>
      </c>
      <c r="L392" s="110">
        <f t="shared" si="34"/>
        <v>143.82</v>
      </c>
      <c r="M392" s="112"/>
    </row>
    <row r="393" spans="2:13" s="52" customFormat="1" ht="20.100000000000001" customHeight="1">
      <c r="B393" s="108">
        <v>4</v>
      </c>
      <c r="C393" s="139" t="s">
        <v>50</v>
      </c>
      <c r="D393" s="115" t="s">
        <v>1311</v>
      </c>
      <c r="E393" s="115" t="s">
        <v>1381</v>
      </c>
      <c r="F393" s="115" t="s">
        <v>1430</v>
      </c>
      <c r="G393" s="115">
        <v>1</v>
      </c>
      <c r="H393" s="71"/>
      <c r="I393" s="109">
        <f t="shared" si="31"/>
        <v>23.72</v>
      </c>
      <c r="J393" s="110">
        <f t="shared" si="32"/>
        <v>0</v>
      </c>
      <c r="K393" s="111">
        <f t="shared" si="33"/>
        <v>1</v>
      </c>
      <c r="L393" s="110">
        <f t="shared" si="34"/>
        <v>23.72</v>
      </c>
      <c r="M393" s="112"/>
    </row>
    <row r="394" spans="2:13" s="52" customFormat="1" ht="20.100000000000001" customHeight="1">
      <c r="B394" s="108">
        <v>4</v>
      </c>
      <c r="C394" s="139" t="s">
        <v>50</v>
      </c>
      <c r="D394" s="115" t="s">
        <v>1312</v>
      </c>
      <c r="E394" s="115" t="s">
        <v>1382</v>
      </c>
      <c r="F394" s="115" t="s">
        <v>1430</v>
      </c>
      <c r="G394" s="115">
        <v>2</v>
      </c>
      <c r="H394" s="71"/>
      <c r="I394" s="109">
        <f t="shared" si="31"/>
        <v>47.44</v>
      </c>
      <c r="J394" s="110">
        <f t="shared" si="32"/>
        <v>0</v>
      </c>
      <c r="K394" s="111">
        <f t="shared" si="33"/>
        <v>2</v>
      </c>
      <c r="L394" s="110">
        <f t="shared" si="34"/>
        <v>47.44</v>
      </c>
      <c r="M394" s="112"/>
    </row>
    <row r="395" spans="2:13" s="52" customFormat="1" ht="20.100000000000001" customHeight="1">
      <c r="B395" s="108">
        <v>4</v>
      </c>
      <c r="C395" s="139" t="s">
        <v>50</v>
      </c>
      <c r="D395" s="115" t="s">
        <v>1313</v>
      </c>
      <c r="E395" s="115" t="s">
        <v>1383</v>
      </c>
      <c r="F395" s="115" t="s">
        <v>1411</v>
      </c>
      <c r="G395" s="115">
        <v>6</v>
      </c>
      <c r="H395" s="71">
        <v>1</v>
      </c>
      <c r="I395" s="109">
        <f t="shared" si="31"/>
        <v>205.62</v>
      </c>
      <c r="J395" s="110">
        <f t="shared" si="32"/>
        <v>34.270000000000003</v>
      </c>
      <c r="K395" s="111">
        <f t="shared" si="33"/>
        <v>5</v>
      </c>
      <c r="L395" s="110">
        <f t="shared" si="34"/>
        <v>171.35</v>
      </c>
      <c r="M395" s="112"/>
    </row>
    <row r="396" spans="2:13" s="52" customFormat="1" ht="20.100000000000001" customHeight="1">
      <c r="B396" s="108">
        <v>4</v>
      </c>
      <c r="C396" s="139" t="s">
        <v>50</v>
      </c>
      <c r="D396" s="115" t="s">
        <v>1314</v>
      </c>
      <c r="E396" s="115" t="s">
        <v>1384</v>
      </c>
      <c r="F396" s="115" t="s">
        <v>1431</v>
      </c>
      <c r="G396" s="115">
        <v>4</v>
      </c>
      <c r="H396" s="71"/>
      <c r="I396" s="109">
        <f t="shared" si="31"/>
        <v>45.28</v>
      </c>
      <c r="J396" s="110">
        <f t="shared" si="32"/>
        <v>0</v>
      </c>
      <c r="K396" s="111">
        <f t="shared" si="33"/>
        <v>4</v>
      </c>
      <c r="L396" s="110">
        <f t="shared" si="34"/>
        <v>45.28</v>
      </c>
      <c r="M396" s="112"/>
    </row>
    <row r="397" spans="2:13" s="52" customFormat="1" ht="20.100000000000001" customHeight="1">
      <c r="B397" s="108">
        <v>4</v>
      </c>
      <c r="C397" s="139" t="s">
        <v>50</v>
      </c>
      <c r="D397" s="115" t="s">
        <v>1315</v>
      </c>
      <c r="E397" s="115" t="s">
        <v>1385</v>
      </c>
      <c r="F397" s="115" t="s">
        <v>1432</v>
      </c>
      <c r="G397" s="115">
        <v>15</v>
      </c>
      <c r="H397" s="71">
        <v>7</v>
      </c>
      <c r="I397" s="109">
        <f t="shared" si="31"/>
        <v>448.5</v>
      </c>
      <c r="J397" s="110">
        <f t="shared" si="32"/>
        <v>209.29999999999998</v>
      </c>
      <c r="K397" s="111">
        <f t="shared" si="33"/>
        <v>8</v>
      </c>
      <c r="L397" s="110">
        <f t="shared" si="34"/>
        <v>239.20000000000002</v>
      </c>
      <c r="M397" s="112"/>
    </row>
    <row r="398" spans="2:13" s="52" customFormat="1" ht="20.100000000000001" hidden="1" customHeight="1">
      <c r="B398" s="108">
        <v>4</v>
      </c>
      <c r="C398" s="139" t="s">
        <v>50</v>
      </c>
      <c r="D398" s="115" t="s">
        <v>1316</v>
      </c>
      <c r="E398" s="115" t="s">
        <v>1386</v>
      </c>
      <c r="F398" s="115" t="s">
        <v>1433</v>
      </c>
      <c r="G398" s="115">
        <v>15</v>
      </c>
      <c r="H398" s="71">
        <v>19</v>
      </c>
      <c r="I398" s="109">
        <f t="shared" si="31"/>
        <v>694.5</v>
      </c>
      <c r="J398" s="110">
        <f t="shared" si="32"/>
        <v>879.69999999999993</v>
      </c>
      <c r="K398" s="111">
        <f t="shared" si="33"/>
        <v>-4</v>
      </c>
      <c r="L398" s="110">
        <f t="shared" si="34"/>
        <v>-185.19999999999993</v>
      </c>
      <c r="M398" s="112"/>
    </row>
    <row r="399" spans="2:13" s="52" customFormat="1" ht="20.100000000000001" customHeight="1">
      <c r="B399" s="108">
        <v>4</v>
      </c>
      <c r="C399" s="139" t="s">
        <v>50</v>
      </c>
      <c r="D399" s="115" t="s">
        <v>1317</v>
      </c>
      <c r="E399" s="115" t="s">
        <v>1387</v>
      </c>
      <c r="F399" s="115" t="s">
        <v>1434</v>
      </c>
      <c r="G399" s="115">
        <v>13</v>
      </c>
      <c r="H399" s="71">
        <v>7</v>
      </c>
      <c r="I399" s="109">
        <f t="shared" si="31"/>
        <v>764.92000000000007</v>
      </c>
      <c r="J399" s="110">
        <f t="shared" si="32"/>
        <v>411.88</v>
      </c>
      <c r="K399" s="111">
        <f t="shared" si="33"/>
        <v>6</v>
      </c>
      <c r="L399" s="110">
        <f t="shared" si="34"/>
        <v>353.04000000000008</v>
      </c>
      <c r="M399" s="112"/>
    </row>
    <row r="400" spans="2:13" s="52" customFormat="1" ht="20.100000000000001" hidden="1" customHeight="1">
      <c r="B400" s="108">
        <v>4</v>
      </c>
      <c r="C400" s="139" t="s">
        <v>50</v>
      </c>
      <c r="D400" s="115" t="s">
        <v>1318</v>
      </c>
      <c r="E400" s="115" t="s">
        <v>1388</v>
      </c>
      <c r="F400" s="115" t="s">
        <v>1435</v>
      </c>
      <c r="G400" s="115">
        <v>6</v>
      </c>
      <c r="H400" s="71">
        <v>6</v>
      </c>
      <c r="I400" s="109">
        <f t="shared" si="31"/>
        <v>82.62</v>
      </c>
      <c r="J400" s="110">
        <f t="shared" si="32"/>
        <v>82.62</v>
      </c>
      <c r="K400" s="111">
        <f t="shared" si="33"/>
        <v>0</v>
      </c>
      <c r="L400" s="110">
        <f t="shared" si="34"/>
        <v>0</v>
      </c>
      <c r="M400" s="112"/>
    </row>
    <row r="401" spans="2:13" s="52" customFormat="1" ht="20.100000000000001" hidden="1" customHeight="1">
      <c r="B401" s="108">
        <v>4</v>
      </c>
      <c r="C401" s="139" t="s">
        <v>50</v>
      </c>
      <c r="D401" s="115" t="s">
        <v>1319</v>
      </c>
      <c r="E401" s="115" t="s">
        <v>1389</v>
      </c>
      <c r="F401" s="115" t="s">
        <v>1437</v>
      </c>
      <c r="G401" s="115">
        <v>5</v>
      </c>
      <c r="H401" s="71">
        <v>5</v>
      </c>
      <c r="I401" s="109">
        <f t="shared" si="31"/>
        <v>210</v>
      </c>
      <c r="J401" s="110">
        <f t="shared" si="32"/>
        <v>210</v>
      </c>
      <c r="K401" s="111">
        <f t="shared" si="33"/>
        <v>0</v>
      </c>
      <c r="L401" s="110">
        <f t="shared" si="34"/>
        <v>0</v>
      </c>
      <c r="M401" s="112"/>
    </row>
    <row r="402" spans="2:13" s="52" customFormat="1" ht="20.100000000000001" hidden="1" customHeight="1">
      <c r="B402" s="108">
        <v>4</v>
      </c>
      <c r="C402" s="139" t="s">
        <v>50</v>
      </c>
      <c r="D402" s="115" t="s">
        <v>1319</v>
      </c>
      <c r="E402" s="115" t="s">
        <v>1389</v>
      </c>
      <c r="F402" s="115" t="s">
        <v>1436</v>
      </c>
      <c r="G402" s="115">
        <v>1</v>
      </c>
      <c r="H402" s="71">
        <v>1</v>
      </c>
      <c r="I402" s="109">
        <f t="shared" si="31"/>
        <v>37</v>
      </c>
      <c r="J402" s="110">
        <f t="shared" si="32"/>
        <v>37</v>
      </c>
      <c r="K402" s="111">
        <f t="shared" si="33"/>
        <v>0</v>
      </c>
      <c r="L402" s="110">
        <f t="shared" si="34"/>
        <v>0</v>
      </c>
      <c r="M402" s="112"/>
    </row>
    <row r="403" spans="2:13" s="52" customFormat="1" ht="20.100000000000001" hidden="1" customHeight="1">
      <c r="B403" s="108">
        <v>4</v>
      </c>
      <c r="C403" s="139" t="s">
        <v>50</v>
      </c>
      <c r="D403" s="115" t="s">
        <v>1319</v>
      </c>
      <c r="E403" s="115" t="s">
        <v>1389</v>
      </c>
      <c r="F403" s="115" t="s">
        <v>4653</v>
      </c>
      <c r="G403" s="115">
        <v>5</v>
      </c>
      <c r="H403" s="71">
        <v>5</v>
      </c>
      <c r="I403" s="109">
        <f t="shared" si="31"/>
        <v>203.70000000000002</v>
      </c>
      <c r="J403" s="110">
        <f t="shared" si="32"/>
        <v>203.70000000000002</v>
      </c>
      <c r="K403" s="111">
        <f t="shared" si="33"/>
        <v>0</v>
      </c>
      <c r="L403" s="110">
        <f t="shared" si="34"/>
        <v>0</v>
      </c>
      <c r="M403" s="112"/>
    </row>
    <row r="404" spans="2:13" s="52" customFormat="1" ht="20.100000000000001" hidden="1" customHeight="1">
      <c r="B404" s="108">
        <v>4</v>
      </c>
      <c r="C404" s="139" t="s">
        <v>50</v>
      </c>
      <c r="D404" s="115" t="s">
        <v>1320</v>
      </c>
      <c r="E404" s="115" t="s">
        <v>1390</v>
      </c>
      <c r="F404" s="115" t="s">
        <v>4653</v>
      </c>
      <c r="G404" s="115">
        <v>5</v>
      </c>
      <c r="H404" s="71">
        <v>5</v>
      </c>
      <c r="I404" s="109">
        <f t="shared" si="31"/>
        <v>203.70000000000002</v>
      </c>
      <c r="J404" s="110">
        <f t="shared" si="32"/>
        <v>203.70000000000002</v>
      </c>
      <c r="K404" s="111">
        <f t="shared" si="33"/>
        <v>0</v>
      </c>
      <c r="L404" s="110">
        <f t="shared" si="34"/>
        <v>0</v>
      </c>
      <c r="M404" s="112"/>
    </row>
    <row r="405" spans="2:13" s="52" customFormat="1" ht="20.100000000000001" customHeight="1">
      <c r="B405" s="108">
        <v>4</v>
      </c>
      <c r="C405" s="139" t="s">
        <v>50</v>
      </c>
      <c r="D405" s="115" t="s">
        <v>1321</v>
      </c>
      <c r="E405" s="115" t="s">
        <v>1391</v>
      </c>
      <c r="F405" s="115" t="s">
        <v>1438</v>
      </c>
      <c r="G405" s="115">
        <v>1</v>
      </c>
      <c r="H405" s="71"/>
      <c r="I405" s="109">
        <f t="shared" si="31"/>
        <v>102.9</v>
      </c>
      <c r="J405" s="110">
        <f t="shared" si="32"/>
        <v>0</v>
      </c>
      <c r="K405" s="111">
        <f t="shared" si="33"/>
        <v>1</v>
      </c>
      <c r="L405" s="110">
        <f t="shared" si="34"/>
        <v>102.9</v>
      </c>
      <c r="M405" s="112"/>
    </row>
    <row r="406" spans="2:13" s="52" customFormat="1" ht="20.100000000000001" customHeight="1">
      <c r="B406" s="108">
        <v>4</v>
      </c>
      <c r="C406" s="139" t="s">
        <v>50</v>
      </c>
      <c r="D406" s="115" t="s">
        <v>1322</v>
      </c>
      <c r="E406" s="115" t="s">
        <v>1392</v>
      </c>
      <c r="F406" s="115" t="s">
        <v>1411</v>
      </c>
      <c r="G406" s="115">
        <v>44</v>
      </c>
      <c r="H406" s="71"/>
      <c r="I406" s="109">
        <f t="shared" si="31"/>
        <v>1507.88</v>
      </c>
      <c r="J406" s="110">
        <f t="shared" si="32"/>
        <v>0</v>
      </c>
      <c r="K406" s="111">
        <f t="shared" si="33"/>
        <v>44</v>
      </c>
      <c r="L406" s="110">
        <f t="shared" si="34"/>
        <v>1507.88</v>
      </c>
      <c r="M406" s="112"/>
    </row>
    <row r="407" spans="2:13" s="52" customFormat="1" ht="20.100000000000001" customHeight="1">
      <c r="B407" s="108">
        <v>4</v>
      </c>
      <c r="C407" s="139" t="s">
        <v>50</v>
      </c>
      <c r="D407" s="115" t="s">
        <v>1323</v>
      </c>
      <c r="E407" s="115" t="s">
        <v>1393</v>
      </c>
      <c r="F407" s="115" t="s">
        <v>1409</v>
      </c>
      <c r="G407" s="115">
        <v>7</v>
      </c>
      <c r="H407" s="71"/>
      <c r="I407" s="109">
        <f t="shared" si="31"/>
        <v>266</v>
      </c>
      <c r="J407" s="110">
        <f t="shared" si="32"/>
        <v>0</v>
      </c>
      <c r="K407" s="111">
        <f t="shared" si="33"/>
        <v>7</v>
      </c>
      <c r="L407" s="110">
        <f t="shared" si="34"/>
        <v>266</v>
      </c>
      <c r="M407" s="112"/>
    </row>
    <row r="408" spans="2:13" s="52" customFormat="1" ht="20.100000000000001" customHeight="1">
      <c r="B408" s="108">
        <v>4</v>
      </c>
      <c r="C408" s="139" t="s">
        <v>50</v>
      </c>
      <c r="D408" s="115" t="s">
        <v>1324</v>
      </c>
      <c r="E408" s="115" t="s">
        <v>1394</v>
      </c>
      <c r="F408" s="115" t="s">
        <v>1409</v>
      </c>
      <c r="G408" s="115">
        <v>5</v>
      </c>
      <c r="H408" s="71"/>
      <c r="I408" s="109">
        <f t="shared" si="31"/>
        <v>190</v>
      </c>
      <c r="J408" s="110">
        <f t="shared" si="32"/>
        <v>0</v>
      </c>
      <c r="K408" s="111">
        <f t="shared" si="33"/>
        <v>5</v>
      </c>
      <c r="L408" s="110">
        <f t="shared" si="34"/>
        <v>190</v>
      </c>
      <c r="M408" s="112"/>
    </row>
    <row r="409" spans="2:13" s="52" customFormat="1" ht="20.100000000000001" customHeight="1">
      <c r="B409" s="108">
        <v>5</v>
      </c>
      <c r="C409" s="139" t="s">
        <v>51</v>
      </c>
      <c r="D409" s="115" t="s">
        <v>1439</v>
      </c>
      <c r="E409" s="115" t="s">
        <v>1523</v>
      </c>
      <c r="F409" s="115" t="s">
        <v>1608</v>
      </c>
      <c r="G409" s="115">
        <v>5</v>
      </c>
      <c r="H409" s="71"/>
      <c r="I409" s="109">
        <f t="shared" si="31"/>
        <v>179.4</v>
      </c>
      <c r="J409" s="110">
        <f t="shared" si="32"/>
        <v>0</v>
      </c>
      <c r="K409" s="111">
        <f t="shared" si="33"/>
        <v>5</v>
      </c>
      <c r="L409" s="110">
        <f t="shared" si="34"/>
        <v>179.4</v>
      </c>
      <c r="M409" s="112"/>
    </row>
    <row r="410" spans="2:13" s="52" customFormat="1" ht="20.100000000000001" customHeight="1">
      <c r="B410" s="108">
        <v>5</v>
      </c>
      <c r="C410" s="139" t="s">
        <v>51</v>
      </c>
      <c r="D410" s="115" t="s">
        <v>1440</v>
      </c>
      <c r="E410" s="115" t="s">
        <v>1524</v>
      </c>
      <c r="F410" s="115" t="s">
        <v>1609</v>
      </c>
      <c r="G410" s="115">
        <v>28</v>
      </c>
      <c r="H410" s="71">
        <v>9</v>
      </c>
      <c r="I410" s="109">
        <f t="shared" si="31"/>
        <v>2775.36</v>
      </c>
      <c r="J410" s="110">
        <f t="shared" si="32"/>
        <v>892.08</v>
      </c>
      <c r="K410" s="111">
        <f t="shared" si="33"/>
        <v>19</v>
      </c>
      <c r="L410" s="110">
        <f t="shared" si="34"/>
        <v>1883.2800000000002</v>
      </c>
      <c r="M410" s="112"/>
    </row>
    <row r="411" spans="2:13" s="52" customFormat="1" ht="20.100000000000001" customHeight="1">
      <c r="B411" s="108">
        <v>5</v>
      </c>
      <c r="C411" s="139" t="s">
        <v>51</v>
      </c>
      <c r="D411" s="115" t="s">
        <v>1441</v>
      </c>
      <c r="E411" s="115" t="s">
        <v>1525</v>
      </c>
      <c r="F411" s="115" t="s">
        <v>1173</v>
      </c>
      <c r="G411" s="115">
        <v>36</v>
      </c>
      <c r="H411" s="71">
        <v>12</v>
      </c>
      <c r="I411" s="109">
        <f t="shared" si="31"/>
        <v>295.2</v>
      </c>
      <c r="J411" s="110">
        <f t="shared" si="32"/>
        <v>98.399999999999991</v>
      </c>
      <c r="K411" s="111">
        <f t="shared" si="33"/>
        <v>24</v>
      </c>
      <c r="L411" s="110">
        <f t="shared" si="34"/>
        <v>196.8</v>
      </c>
      <c r="M411" s="112"/>
    </row>
    <row r="412" spans="2:13" s="52" customFormat="1" ht="20.100000000000001" customHeight="1">
      <c r="B412" s="108">
        <v>5</v>
      </c>
      <c r="C412" s="139" t="s">
        <v>51</v>
      </c>
      <c r="D412" s="115" t="s">
        <v>1442</v>
      </c>
      <c r="E412" s="115" t="s">
        <v>1526</v>
      </c>
      <c r="F412" s="115" t="s">
        <v>1610</v>
      </c>
      <c r="G412" s="115">
        <v>4</v>
      </c>
      <c r="H412" s="71"/>
      <c r="I412" s="109">
        <f t="shared" si="31"/>
        <v>557.76</v>
      </c>
      <c r="J412" s="110">
        <f t="shared" si="32"/>
        <v>0</v>
      </c>
      <c r="K412" s="111">
        <f t="shared" si="33"/>
        <v>4</v>
      </c>
      <c r="L412" s="110">
        <f t="shared" si="34"/>
        <v>557.76</v>
      </c>
      <c r="M412" s="112"/>
    </row>
    <row r="413" spans="2:13" s="52" customFormat="1" ht="20.100000000000001" hidden="1" customHeight="1">
      <c r="B413" s="108">
        <v>5</v>
      </c>
      <c r="C413" s="139" t="s">
        <v>51</v>
      </c>
      <c r="D413" s="115" t="s">
        <v>1443</v>
      </c>
      <c r="E413" s="115" t="s">
        <v>1527</v>
      </c>
      <c r="F413" s="115" t="s">
        <v>1611</v>
      </c>
      <c r="G413" s="115">
        <v>3</v>
      </c>
      <c r="H413" s="71">
        <v>5</v>
      </c>
      <c r="I413" s="109">
        <f t="shared" si="31"/>
        <v>788.76</v>
      </c>
      <c r="J413" s="110">
        <f t="shared" si="32"/>
        <v>1314.6000000000001</v>
      </c>
      <c r="K413" s="111">
        <f t="shared" si="33"/>
        <v>-2</v>
      </c>
      <c r="L413" s="110">
        <f t="shared" si="34"/>
        <v>-525.84000000000015</v>
      </c>
      <c r="M413" s="112"/>
    </row>
    <row r="414" spans="2:13" s="52" customFormat="1" ht="20.100000000000001" customHeight="1">
      <c r="B414" s="108">
        <v>5</v>
      </c>
      <c r="C414" s="139" t="s">
        <v>51</v>
      </c>
      <c r="D414" s="115" t="s">
        <v>1444</v>
      </c>
      <c r="E414" s="115" t="s">
        <v>1528</v>
      </c>
      <c r="F414" s="115" t="s">
        <v>1612</v>
      </c>
      <c r="G414" s="115">
        <v>280</v>
      </c>
      <c r="H414" s="71">
        <v>108</v>
      </c>
      <c r="I414" s="109">
        <f t="shared" si="31"/>
        <v>2416.4</v>
      </c>
      <c r="J414" s="110">
        <f t="shared" si="32"/>
        <v>932.04000000000008</v>
      </c>
      <c r="K414" s="111">
        <f t="shared" si="33"/>
        <v>172</v>
      </c>
      <c r="L414" s="110">
        <f t="shared" si="34"/>
        <v>1484.3600000000001</v>
      </c>
      <c r="M414" s="112"/>
    </row>
    <row r="415" spans="2:13" s="52" customFormat="1" ht="20.100000000000001" hidden="1" customHeight="1">
      <c r="B415" s="108">
        <v>5</v>
      </c>
      <c r="C415" s="139" t="s">
        <v>51</v>
      </c>
      <c r="D415" s="115" t="s">
        <v>1445</v>
      </c>
      <c r="E415" s="115" t="s">
        <v>1529</v>
      </c>
      <c r="F415" s="115" t="s">
        <v>1613</v>
      </c>
      <c r="G415" s="115">
        <v>41</v>
      </c>
      <c r="H415" s="71">
        <v>41</v>
      </c>
      <c r="I415" s="109">
        <f t="shared" si="31"/>
        <v>854.03</v>
      </c>
      <c r="J415" s="110">
        <f t="shared" si="32"/>
        <v>854.03</v>
      </c>
      <c r="K415" s="111">
        <f t="shared" si="33"/>
        <v>0</v>
      </c>
      <c r="L415" s="110">
        <f t="shared" si="34"/>
        <v>0</v>
      </c>
      <c r="M415" s="112"/>
    </row>
    <row r="416" spans="2:13" s="52" customFormat="1" ht="20.100000000000001" customHeight="1">
      <c r="B416" s="108">
        <v>5</v>
      </c>
      <c r="C416" s="139" t="s">
        <v>51</v>
      </c>
      <c r="D416" s="115" t="s">
        <v>1446</v>
      </c>
      <c r="E416" s="115" t="s">
        <v>1530</v>
      </c>
      <c r="F416" s="115" t="s">
        <v>1614</v>
      </c>
      <c r="G416" s="115">
        <v>14</v>
      </c>
      <c r="H416" s="71"/>
      <c r="I416" s="109">
        <f t="shared" si="31"/>
        <v>98.56</v>
      </c>
      <c r="J416" s="110">
        <f t="shared" si="32"/>
        <v>0</v>
      </c>
      <c r="K416" s="111">
        <f t="shared" si="33"/>
        <v>14</v>
      </c>
      <c r="L416" s="110">
        <f t="shared" si="34"/>
        <v>98.56</v>
      </c>
      <c r="M416" s="112"/>
    </row>
    <row r="417" spans="2:13" s="52" customFormat="1" ht="20.100000000000001" hidden="1" customHeight="1">
      <c r="B417" s="108">
        <v>5</v>
      </c>
      <c r="C417" s="139" t="s">
        <v>51</v>
      </c>
      <c r="D417" s="115" t="s">
        <v>1447</v>
      </c>
      <c r="E417" s="115" t="s">
        <v>1531</v>
      </c>
      <c r="F417" s="115" t="s">
        <v>1615</v>
      </c>
      <c r="G417" s="115">
        <v>59</v>
      </c>
      <c r="H417" s="108">
        <v>63</v>
      </c>
      <c r="I417" s="109">
        <f t="shared" si="31"/>
        <v>1405.38</v>
      </c>
      <c r="J417" s="110">
        <f t="shared" si="32"/>
        <v>1500.66</v>
      </c>
      <c r="K417" s="111">
        <f t="shared" si="33"/>
        <v>-4</v>
      </c>
      <c r="L417" s="110">
        <f t="shared" si="34"/>
        <v>-95.279999999999973</v>
      </c>
      <c r="M417" s="112"/>
    </row>
    <row r="418" spans="2:13" s="52" customFormat="1" ht="20.100000000000001" customHeight="1">
      <c r="B418" s="108">
        <v>5</v>
      </c>
      <c r="C418" s="139" t="s">
        <v>51</v>
      </c>
      <c r="D418" s="115" t="s">
        <v>1448</v>
      </c>
      <c r="E418" s="115" t="s">
        <v>1532</v>
      </c>
      <c r="F418" s="115" t="s">
        <v>1423</v>
      </c>
      <c r="G418" s="115">
        <v>14</v>
      </c>
      <c r="H418" s="71"/>
      <c r="I418" s="109">
        <f t="shared" si="31"/>
        <v>217</v>
      </c>
      <c r="J418" s="110">
        <f t="shared" si="32"/>
        <v>0</v>
      </c>
      <c r="K418" s="111">
        <f t="shared" si="33"/>
        <v>14</v>
      </c>
      <c r="L418" s="110">
        <f t="shared" si="34"/>
        <v>217</v>
      </c>
      <c r="M418" s="112"/>
    </row>
    <row r="419" spans="2:13" s="52" customFormat="1" ht="20.100000000000001" hidden="1" customHeight="1">
      <c r="B419" s="108">
        <v>5</v>
      </c>
      <c r="C419" s="139" t="s">
        <v>51</v>
      </c>
      <c r="D419" s="115" t="s">
        <v>1449</v>
      </c>
      <c r="E419" s="115" t="s">
        <v>1533</v>
      </c>
      <c r="F419" s="115" t="s">
        <v>1616</v>
      </c>
      <c r="G419" s="115">
        <v>11</v>
      </c>
      <c r="H419" s="71">
        <v>11</v>
      </c>
      <c r="I419" s="109">
        <f t="shared" si="31"/>
        <v>334.95</v>
      </c>
      <c r="J419" s="110">
        <f t="shared" si="32"/>
        <v>334.95</v>
      </c>
      <c r="K419" s="111">
        <f t="shared" si="33"/>
        <v>0</v>
      </c>
      <c r="L419" s="110">
        <f t="shared" si="34"/>
        <v>0</v>
      </c>
      <c r="M419" s="112"/>
    </row>
    <row r="420" spans="2:13" s="52" customFormat="1" ht="20.100000000000001" customHeight="1">
      <c r="B420" s="108">
        <v>5</v>
      </c>
      <c r="C420" s="139" t="s">
        <v>51</v>
      </c>
      <c r="D420" s="115" t="s">
        <v>1450</v>
      </c>
      <c r="E420" s="115" t="s">
        <v>1534</v>
      </c>
      <c r="F420" s="115" t="s">
        <v>1617</v>
      </c>
      <c r="G420" s="115">
        <v>55</v>
      </c>
      <c r="H420" s="71">
        <v>54</v>
      </c>
      <c r="I420" s="109">
        <f t="shared" si="31"/>
        <v>891</v>
      </c>
      <c r="J420" s="110">
        <f t="shared" si="32"/>
        <v>874.8</v>
      </c>
      <c r="K420" s="111">
        <f t="shared" si="33"/>
        <v>1</v>
      </c>
      <c r="L420" s="110">
        <f t="shared" si="34"/>
        <v>16.200000000000045</v>
      </c>
      <c r="M420" s="112"/>
    </row>
    <row r="421" spans="2:13" s="52" customFormat="1" ht="20.100000000000001" hidden="1" customHeight="1">
      <c r="B421" s="108">
        <v>5</v>
      </c>
      <c r="C421" s="139" t="s">
        <v>51</v>
      </c>
      <c r="D421" s="115" t="s">
        <v>1451</v>
      </c>
      <c r="E421" s="115" t="s">
        <v>1535</v>
      </c>
      <c r="F421" s="115" t="s">
        <v>1618</v>
      </c>
      <c r="G421" s="115">
        <v>1</v>
      </c>
      <c r="H421" s="71">
        <v>1</v>
      </c>
      <c r="I421" s="109">
        <f t="shared" si="31"/>
        <v>521</v>
      </c>
      <c r="J421" s="110">
        <f t="shared" si="32"/>
        <v>521</v>
      </c>
      <c r="K421" s="111">
        <f t="shared" si="33"/>
        <v>0</v>
      </c>
      <c r="L421" s="110">
        <f t="shared" si="34"/>
        <v>0</v>
      </c>
      <c r="M421" s="112"/>
    </row>
    <row r="422" spans="2:13" s="52" customFormat="1" ht="20.100000000000001" customHeight="1">
      <c r="B422" s="108">
        <v>5</v>
      </c>
      <c r="C422" s="139" t="s">
        <v>51</v>
      </c>
      <c r="D422" s="115" t="s">
        <v>1452</v>
      </c>
      <c r="E422" s="115" t="s">
        <v>1536</v>
      </c>
      <c r="F422" s="115" t="s">
        <v>1173</v>
      </c>
      <c r="G422" s="115">
        <v>544</v>
      </c>
      <c r="H422" s="71">
        <f>52+91+5</f>
        <v>148</v>
      </c>
      <c r="I422" s="109">
        <f t="shared" si="31"/>
        <v>4460.7999999999993</v>
      </c>
      <c r="J422" s="110">
        <f t="shared" si="32"/>
        <v>1213.5999999999999</v>
      </c>
      <c r="K422" s="111">
        <f t="shared" si="33"/>
        <v>396</v>
      </c>
      <c r="L422" s="110">
        <f t="shared" si="34"/>
        <v>3247.1999999999994</v>
      </c>
      <c r="M422" s="112"/>
    </row>
    <row r="423" spans="2:13" s="52" customFormat="1" ht="20.100000000000001" customHeight="1">
      <c r="B423" s="108">
        <v>5</v>
      </c>
      <c r="C423" s="139" t="s">
        <v>51</v>
      </c>
      <c r="D423" s="115" t="s">
        <v>1453</v>
      </c>
      <c r="E423" s="115" t="s">
        <v>1537</v>
      </c>
      <c r="F423" s="115" t="s">
        <v>1395</v>
      </c>
      <c r="G423" s="115">
        <v>442</v>
      </c>
      <c r="H423" s="71">
        <f>80+196+2</f>
        <v>278</v>
      </c>
      <c r="I423" s="109">
        <f t="shared" si="31"/>
        <v>3315</v>
      </c>
      <c r="J423" s="110">
        <f t="shared" si="32"/>
        <v>2085</v>
      </c>
      <c r="K423" s="111">
        <f t="shared" si="33"/>
        <v>164</v>
      </c>
      <c r="L423" s="110">
        <f t="shared" si="34"/>
        <v>1230</v>
      </c>
      <c r="M423" s="112"/>
    </row>
    <row r="424" spans="2:13" s="52" customFormat="1" ht="20.100000000000001" customHeight="1">
      <c r="B424" s="108">
        <v>5</v>
      </c>
      <c r="C424" s="139" t="s">
        <v>51</v>
      </c>
      <c r="D424" s="115" t="s">
        <v>1454</v>
      </c>
      <c r="E424" s="115" t="s">
        <v>1538</v>
      </c>
      <c r="F424" s="115" t="s">
        <v>1619</v>
      </c>
      <c r="G424" s="115">
        <v>58</v>
      </c>
      <c r="H424" s="71"/>
      <c r="I424" s="109">
        <f t="shared" si="31"/>
        <v>833.45999999999992</v>
      </c>
      <c r="J424" s="110">
        <f t="shared" si="32"/>
        <v>0</v>
      </c>
      <c r="K424" s="111">
        <f t="shared" si="33"/>
        <v>58</v>
      </c>
      <c r="L424" s="110">
        <f t="shared" si="34"/>
        <v>833.45999999999992</v>
      </c>
      <c r="M424" s="112"/>
    </row>
    <row r="425" spans="2:13" s="52" customFormat="1" ht="20.100000000000001" customHeight="1">
      <c r="B425" s="108">
        <v>5</v>
      </c>
      <c r="C425" s="139" t="s">
        <v>51</v>
      </c>
      <c r="D425" s="115" t="s">
        <v>1455</v>
      </c>
      <c r="E425" s="115" t="s">
        <v>1539</v>
      </c>
      <c r="F425" s="115" t="s">
        <v>1620</v>
      </c>
      <c r="G425" s="115">
        <v>30</v>
      </c>
      <c r="H425" s="71"/>
      <c r="I425" s="109">
        <f t="shared" si="31"/>
        <v>199.5</v>
      </c>
      <c r="J425" s="110">
        <f t="shared" si="32"/>
        <v>0</v>
      </c>
      <c r="K425" s="111">
        <f t="shared" si="33"/>
        <v>30</v>
      </c>
      <c r="L425" s="110">
        <f t="shared" si="34"/>
        <v>199.5</v>
      </c>
      <c r="M425" s="112"/>
    </row>
    <row r="426" spans="2:13" s="52" customFormat="1" ht="20.100000000000001" customHeight="1">
      <c r="B426" s="108">
        <v>5</v>
      </c>
      <c r="C426" s="139" t="s">
        <v>51</v>
      </c>
      <c r="D426" s="115" t="s">
        <v>1456</v>
      </c>
      <c r="E426" s="115" t="s">
        <v>1540</v>
      </c>
      <c r="F426" s="115" t="s">
        <v>1621</v>
      </c>
      <c r="G426" s="115">
        <v>6</v>
      </c>
      <c r="H426" s="71"/>
      <c r="I426" s="109">
        <f t="shared" si="31"/>
        <v>45.599999999999994</v>
      </c>
      <c r="J426" s="110">
        <f t="shared" si="32"/>
        <v>0</v>
      </c>
      <c r="K426" s="111">
        <f t="shared" si="33"/>
        <v>6</v>
      </c>
      <c r="L426" s="110">
        <f t="shared" si="34"/>
        <v>45.599999999999994</v>
      </c>
      <c r="M426" s="112"/>
    </row>
    <row r="427" spans="2:13" s="52" customFormat="1" ht="20.100000000000001" customHeight="1">
      <c r="B427" s="108">
        <v>5</v>
      </c>
      <c r="C427" s="139" t="s">
        <v>51</v>
      </c>
      <c r="D427" s="115" t="s">
        <v>1457</v>
      </c>
      <c r="E427" s="115" t="s">
        <v>1541</v>
      </c>
      <c r="F427" s="115" t="s">
        <v>1622</v>
      </c>
      <c r="G427" s="115">
        <v>389</v>
      </c>
      <c r="H427" s="71">
        <f>152+99+2+2</f>
        <v>255</v>
      </c>
      <c r="I427" s="109">
        <f t="shared" ref="I427:I480" si="35">F427*G427</f>
        <v>4574.6400000000003</v>
      </c>
      <c r="J427" s="110">
        <f t="shared" si="32"/>
        <v>2998.7999999999997</v>
      </c>
      <c r="K427" s="111">
        <f t="shared" si="33"/>
        <v>134</v>
      </c>
      <c r="L427" s="110">
        <f t="shared" si="34"/>
        <v>1575.8400000000006</v>
      </c>
      <c r="M427" s="112"/>
    </row>
    <row r="428" spans="2:13" s="52" customFormat="1" ht="20.100000000000001" hidden="1" customHeight="1">
      <c r="B428" s="108">
        <v>5</v>
      </c>
      <c r="C428" s="139" t="s">
        <v>51</v>
      </c>
      <c r="D428" s="115" t="s">
        <v>1458</v>
      </c>
      <c r="E428" s="115" t="s">
        <v>1542</v>
      </c>
      <c r="F428" s="115" t="s">
        <v>1623</v>
      </c>
      <c r="G428" s="115">
        <v>2</v>
      </c>
      <c r="H428" s="71">
        <v>2</v>
      </c>
      <c r="I428" s="109">
        <f t="shared" si="35"/>
        <v>189.2</v>
      </c>
      <c r="J428" s="110">
        <f t="shared" si="32"/>
        <v>189.2</v>
      </c>
      <c r="K428" s="111">
        <f t="shared" si="33"/>
        <v>0</v>
      </c>
      <c r="L428" s="110">
        <f t="shared" si="34"/>
        <v>0</v>
      </c>
      <c r="M428" s="112"/>
    </row>
    <row r="429" spans="2:13" s="52" customFormat="1" ht="20.100000000000001" hidden="1" customHeight="1">
      <c r="B429" s="108">
        <v>5</v>
      </c>
      <c r="C429" s="139" t="s">
        <v>51</v>
      </c>
      <c r="D429" s="115" t="s">
        <v>1459</v>
      </c>
      <c r="E429" s="115" t="s">
        <v>1543</v>
      </c>
      <c r="F429" s="115" t="s">
        <v>1624</v>
      </c>
      <c r="G429" s="115">
        <v>6</v>
      </c>
      <c r="H429" s="71">
        <v>6</v>
      </c>
      <c r="I429" s="109">
        <f t="shared" si="35"/>
        <v>235.68</v>
      </c>
      <c r="J429" s="110">
        <f t="shared" si="32"/>
        <v>235.68</v>
      </c>
      <c r="K429" s="111">
        <f t="shared" si="33"/>
        <v>0</v>
      </c>
      <c r="L429" s="110">
        <f t="shared" si="34"/>
        <v>0</v>
      </c>
      <c r="M429" s="112"/>
    </row>
    <row r="430" spans="2:13" s="52" customFormat="1" ht="20.100000000000001" customHeight="1">
      <c r="B430" s="108">
        <v>5</v>
      </c>
      <c r="C430" s="139" t="s">
        <v>51</v>
      </c>
      <c r="D430" s="115" t="s">
        <v>1460</v>
      </c>
      <c r="E430" s="115" t="s">
        <v>1544</v>
      </c>
      <c r="F430" s="115" t="s">
        <v>1625</v>
      </c>
      <c r="G430" s="115">
        <v>49</v>
      </c>
      <c r="H430" s="71">
        <v>16</v>
      </c>
      <c r="I430" s="109">
        <f t="shared" si="35"/>
        <v>4736.83</v>
      </c>
      <c r="J430" s="110">
        <f t="shared" si="32"/>
        <v>1546.72</v>
      </c>
      <c r="K430" s="111">
        <f t="shared" si="33"/>
        <v>33</v>
      </c>
      <c r="L430" s="110">
        <f t="shared" si="34"/>
        <v>3190.1099999999997</v>
      </c>
      <c r="M430" s="112"/>
    </row>
    <row r="431" spans="2:13" s="52" customFormat="1" ht="20.100000000000001" customHeight="1">
      <c r="B431" s="108">
        <v>5</v>
      </c>
      <c r="C431" s="139" t="s">
        <v>51</v>
      </c>
      <c r="D431" s="115" t="s">
        <v>1461</v>
      </c>
      <c r="E431" s="115" t="s">
        <v>1545</v>
      </c>
      <c r="F431" s="115" t="s">
        <v>1626</v>
      </c>
      <c r="G431" s="115">
        <v>155</v>
      </c>
      <c r="H431" s="71">
        <v>45</v>
      </c>
      <c r="I431" s="109">
        <f t="shared" si="35"/>
        <v>3853.2999999999997</v>
      </c>
      <c r="J431" s="110">
        <f t="shared" si="32"/>
        <v>1118.7</v>
      </c>
      <c r="K431" s="111">
        <f t="shared" si="33"/>
        <v>110</v>
      </c>
      <c r="L431" s="110">
        <f t="shared" si="34"/>
        <v>2734.5999999999995</v>
      </c>
      <c r="M431" s="112"/>
    </row>
    <row r="432" spans="2:13" s="52" customFormat="1" ht="20.100000000000001" customHeight="1">
      <c r="B432" s="108">
        <v>5</v>
      </c>
      <c r="C432" s="139" t="s">
        <v>51</v>
      </c>
      <c r="D432" s="115" t="s">
        <v>1462</v>
      </c>
      <c r="E432" s="115" t="s">
        <v>1546</v>
      </c>
      <c r="F432" s="115" t="s">
        <v>1627</v>
      </c>
      <c r="G432" s="115">
        <v>37</v>
      </c>
      <c r="H432" s="71">
        <v>17</v>
      </c>
      <c r="I432" s="109">
        <f t="shared" si="35"/>
        <v>1805.6</v>
      </c>
      <c r="J432" s="110">
        <f t="shared" si="32"/>
        <v>829.59999999999991</v>
      </c>
      <c r="K432" s="111">
        <f t="shared" si="33"/>
        <v>20</v>
      </c>
      <c r="L432" s="110">
        <f t="shared" si="34"/>
        <v>976</v>
      </c>
      <c r="M432" s="112"/>
    </row>
    <row r="433" spans="2:13" s="52" customFormat="1" ht="20.100000000000001" customHeight="1">
      <c r="B433" s="108">
        <v>5</v>
      </c>
      <c r="C433" s="139" t="s">
        <v>51</v>
      </c>
      <c r="D433" s="115" t="s">
        <v>1463</v>
      </c>
      <c r="E433" s="115" t="s">
        <v>1547</v>
      </c>
      <c r="F433" s="115" t="s">
        <v>1628</v>
      </c>
      <c r="G433" s="115">
        <v>83</v>
      </c>
      <c r="H433" s="71">
        <v>10</v>
      </c>
      <c r="I433" s="109">
        <f t="shared" si="35"/>
        <v>7850.1399999999994</v>
      </c>
      <c r="J433" s="110">
        <f t="shared" si="32"/>
        <v>945.8</v>
      </c>
      <c r="K433" s="111">
        <f t="shared" si="33"/>
        <v>73</v>
      </c>
      <c r="L433" s="110">
        <f t="shared" si="34"/>
        <v>6904.3399999999992</v>
      </c>
      <c r="M433" s="112"/>
    </row>
    <row r="434" spans="2:13" s="52" customFormat="1" ht="20.100000000000001" customHeight="1">
      <c r="B434" s="108">
        <v>5</v>
      </c>
      <c r="C434" s="139" t="s">
        <v>51</v>
      </c>
      <c r="D434" s="115" t="s">
        <v>1464</v>
      </c>
      <c r="E434" s="115" t="s">
        <v>1548</v>
      </c>
      <c r="F434" s="115" t="s">
        <v>1629</v>
      </c>
      <c r="G434" s="115">
        <v>593</v>
      </c>
      <c r="H434" s="71">
        <f>47+19</f>
        <v>66</v>
      </c>
      <c r="I434" s="109">
        <f t="shared" si="35"/>
        <v>14439.550000000001</v>
      </c>
      <c r="J434" s="110">
        <f t="shared" si="32"/>
        <v>1607.1000000000001</v>
      </c>
      <c r="K434" s="111">
        <f t="shared" si="33"/>
        <v>527</v>
      </c>
      <c r="L434" s="110">
        <f t="shared" si="34"/>
        <v>12832.45</v>
      </c>
      <c r="M434" s="112"/>
    </row>
    <row r="435" spans="2:13" s="52" customFormat="1" ht="20.100000000000001" customHeight="1">
      <c r="B435" s="108">
        <v>5</v>
      </c>
      <c r="C435" s="139" t="s">
        <v>51</v>
      </c>
      <c r="D435" s="115" t="s">
        <v>1465</v>
      </c>
      <c r="E435" s="115" t="s">
        <v>1549</v>
      </c>
      <c r="F435" s="115" t="s">
        <v>1630</v>
      </c>
      <c r="G435" s="115">
        <v>96</v>
      </c>
      <c r="H435" s="71">
        <f>9+18</f>
        <v>27</v>
      </c>
      <c r="I435" s="109">
        <f t="shared" si="35"/>
        <v>4582.08</v>
      </c>
      <c r="J435" s="110">
        <f t="shared" si="32"/>
        <v>1288.7099999999998</v>
      </c>
      <c r="K435" s="111">
        <f t="shared" si="33"/>
        <v>69</v>
      </c>
      <c r="L435" s="110">
        <f t="shared" si="34"/>
        <v>3293.37</v>
      </c>
      <c r="M435" s="112"/>
    </row>
    <row r="436" spans="2:13" s="52" customFormat="1" ht="20.100000000000001" hidden="1" customHeight="1">
      <c r="B436" s="108">
        <v>5</v>
      </c>
      <c r="C436" s="139" t="s">
        <v>51</v>
      </c>
      <c r="D436" s="115" t="s">
        <v>1466</v>
      </c>
      <c r="E436" s="115" t="s">
        <v>1550</v>
      </c>
      <c r="F436" s="115" t="s">
        <v>1631</v>
      </c>
      <c r="G436" s="115">
        <v>116</v>
      </c>
      <c r="H436" s="71">
        <v>117</v>
      </c>
      <c r="I436" s="109">
        <f t="shared" si="35"/>
        <v>1321.24</v>
      </c>
      <c r="J436" s="110">
        <f t="shared" si="32"/>
        <v>1332.63</v>
      </c>
      <c r="K436" s="111">
        <f t="shared" si="33"/>
        <v>-1</v>
      </c>
      <c r="L436" s="110">
        <f t="shared" si="34"/>
        <v>-11.3900000000001</v>
      </c>
      <c r="M436" s="112"/>
    </row>
    <row r="437" spans="2:13" s="52" customFormat="1" ht="20.100000000000001" customHeight="1">
      <c r="B437" s="108">
        <v>5</v>
      </c>
      <c r="C437" s="139" t="s">
        <v>51</v>
      </c>
      <c r="D437" s="115" t="s">
        <v>1467</v>
      </c>
      <c r="E437" s="115" t="s">
        <v>1551</v>
      </c>
      <c r="F437" s="115" t="s">
        <v>1631</v>
      </c>
      <c r="G437" s="115">
        <v>198</v>
      </c>
      <c r="H437" s="71">
        <f>104+2</f>
        <v>106</v>
      </c>
      <c r="I437" s="109">
        <f t="shared" si="35"/>
        <v>2255.2200000000003</v>
      </c>
      <c r="J437" s="110">
        <f t="shared" si="32"/>
        <v>1207.3400000000001</v>
      </c>
      <c r="K437" s="111">
        <f t="shared" si="33"/>
        <v>92</v>
      </c>
      <c r="L437" s="110">
        <f t="shared" si="34"/>
        <v>1047.8800000000001</v>
      </c>
      <c r="M437" s="112"/>
    </row>
    <row r="438" spans="2:13" s="52" customFormat="1" ht="19.5" customHeight="1">
      <c r="B438" s="108">
        <v>5</v>
      </c>
      <c r="C438" s="139" t="s">
        <v>51</v>
      </c>
      <c r="D438" s="115" t="s">
        <v>1468</v>
      </c>
      <c r="E438" s="115" t="s">
        <v>1552</v>
      </c>
      <c r="F438" s="115" t="s">
        <v>1632</v>
      </c>
      <c r="G438" s="115">
        <v>35</v>
      </c>
      <c r="H438" s="71"/>
      <c r="I438" s="109">
        <f t="shared" si="35"/>
        <v>4049.5</v>
      </c>
      <c r="J438" s="110">
        <f t="shared" si="32"/>
        <v>0</v>
      </c>
      <c r="K438" s="111">
        <f t="shared" si="33"/>
        <v>35</v>
      </c>
      <c r="L438" s="110">
        <f t="shared" si="34"/>
        <v>4049.5</v>
      </c>
      <c r="M438" s="112"/>
    </row>
    <row r="439" spans="2:13" s="52" customFormat="1" ht="20.100000000000001" customHeight="1">
      <c r="B439" s="108">
        <v>5</v>
      </c>
      <c r="C439" s="139" t="s">
        <v>51</v>
      </c>
      <c r="D439" s="115" t="s">
        <v>1469</v>
      </c>
      <c r="E439" s="115" t="s">
        <v>1553</v>
      </c>
      <c r="F439" s="115" t="s">
        <v>1633</v>
      </c>
      <c r="G439" s="115">
        <v>10</v>
      </c>
      <c r="H439" s="71"/>
      <c r="I439" s="109">
        <f t="shared" si="35"/>
        <v>76.399999999999991</v>
      </c>
      <c r="J439" s="110">
        <f t="shared" si="32"/>
        <v>0</v>
      </c>
      <c r="K439" s="111">
        <f t="shared" si="33"/>
        <v>10</v>
      </c>
      <c r="L439" s="110">
        <f t="shared" si="34"/>
        <v>76.399999999999991</v>
      </c>
      <c r="M439" s="112"/>
    </row>
    <row r="440" spans="2:13" s="52" customFormat="1" ht="20.100000000000001" customHeight="1">
      <c r="B440" s="108">
        <v>5</v>
      </c>
      <c r="C440" s="139" t="s">
        <v>51</v>
      </c>
      <c r="D440" s="115" t="s">
        <v>1470</v>
      </c>
      <c r="E440" s="115" t="s">
        <v>1554</v>
      </c>
      <c r="F440" s="115" t="s">
        <v>1634</v>
      </c>
      <c r="G440" s="115">
        <v>34</v>
      </c>
      <c r="H440" s="71">
        <v>20</v>
      </c>
      <c r="I440" s="109">
        <f t="shared" si="35"/>
        <v>1311.38</v>
      </c>
      <c r="J440" s="110">
        <f t="shared" si="32"/>
        <v>771.4</v>
      </c>
      <c r="K440" s="111">
        <f t="shared" si="33"/>
        <v>14</v>
      </c>
      <c r="L440" s="110">
        <f t="shared" si="34"/>
        <v>539.98000000000013</v>
      </c>
      <c r="M440" s="112"/>
    </row>
    <row r="441" spans="2:13" s="52" customFormat="1" ht="19.5" customHeight="1">
      <c r="B441" s="108">
        <v>5</v>
      </c>
      <c r="C441" s="139" t="s">
        <v>51</v>
      </c>
      <c r="D441" s="115" t="s">
        <v>1471</v>
      </c>
      <c r="E441" s="115" t="s">
        <v>1555</v>
      </c>
      <c r="F441" s="115" t="s">
        <v>1636</v>
      </c>
      <c r="G441" s="115">
        <v>91</v>
      </c>
      <c r="H441" s="71">
        <v>61</v>
      </c>
      <c r="I441" s="109">
        <f t="shared" si="35"/>
        <v>1142.96</v>
      </c>
      <c r="J441" s="110">
        <f t="shared" si="32"/>
        <v>766.16000000000008</v>
      </c>
      <c r="K441" s="111">
        <f t="shared" si="33"/>
        <v>30</v>
      </c>
      <c r="L441" s="110">
        <f t="shared" si="34"/>
        <v>376.79999999999995</v>
      </c>
      <c r="M441" s="112"/>
    </row>
    <row r="442" spans="2:13" s="52" customFormat="1" ht="20.100000000000001" customHeight="1">
      <c r="B442" s="108">
        <v>5</v>
      </c>
      <c r="C442" s="139" t="s">
        <v>51</v>
      </c>
      <c r="D442" s="115" t="s">
        <v>1472</v>
      </c>
      <c r="E442" s="115" t="s">
        <v>1556</v>
      </c>
      <c r="F442" s="115" t="s">
        <v>1638</v>
      </c>
      <c r="G442" s="115">
        <v>132</v>
      </c>
      <c r="H442" s="71">
        <f>70+48+5</f>
        <v>123</v>
      </c>
      <c r="I442" s="109">
        <f t="shared" si="35"/>
        <v>1671.1200000000001</v>
      </c>
      <c r="J442" s="110">
        <f t="shared" si="32"/>
        <v>1557.18</v>
      </c>
      <c r="K442" s="111">
        <f t="shared" si="33"/>
        <v>9</v>
      </c>
      <c r="L442" s="110">
        <f t="shared" si="34"/>
        <v>113.94000000000005</v>
      </c>
      <c r="M442" s="112"/>
    </row>
    <row r="443" spans="2:13" s="52" customFormat="1" ht="20.100000000000001" customHeight="1">
      <c r="B443" s="108">
        <v>5</v>
      </c>
      <c r="C443" s="139" t="s">
        <v>51</v>
      </c>
      <c r="D443" s="115" t="s">
        <v>1472</v>
      </c>
      <c r="E443" s="115" t="s">
        <v>1556</v>
      </c>
      <c r="F443" s="115" t="s">
        <v>1637</v>
      </c>
      <c r="G443" s="115">
        <v>2131</v>
      </c>
      <c r="H443" s="71">
        <v>960</v>
      </c>
      <c r="I443" s="109">
        <f t="shared" si="35"/>
        <v>0</v>
      </c>
      <c r="J443" s="110">
        <f t="shared" ref="J443:J499" si="36">F443*H443</f>
        <v>0</v>
      </c>
      <c r="K443" s="111">
        <f t="shared" ref="K443:K499" si="37">G443-H443</f>
        <v>1171</v>
      </c>
      <c r="L443" s="110">
        <f t="shared" ref="L443:L499" si="38">I443-J443</f>
        <v>0</v>
      </c>
      <c r="M443" s="112"/>
    </row>
    <row r="444" spans="2:13" s="52" customFormat="1" ht="20.100000000000001" customHeight="1">
      <c r="B444" s="108">
        <v>5</v>
      </c>
      <c r="C444" s="139" t="s">
        <v>51</v>
      </c>
      <c r="D444" s="115" t="s">
        <v>1473</v>
      </c>
      <c r="E444" s="115" t="s">
        <v>1557</v>
      </c>
      <c r="F444" s="115" t="s">
        <v>1639</v>
      </c>
      <c r="G444" s="115">
        <v>313</v>
      </c>
      <c r="H444" s="71">
        <f>60+17</f>
        <v>77</v>
      </c>
      <c r="I444" s="109">
        <f t="shared" si="35"/>
        <v>3599.5</v>
      </c>
      <c r="J444" s="110">
        <f t="shared" si="36"/>
        <v>885.5</v>
      </c>
      <c r="K444" s="111">
        <f t="shared" si="37"/>
        <v>236</v>
      </c>
      <c r="L444" s="110">
        <f t="shared" si="38"/>
        <v>2714</v>
      </c>
      <c r="M444" s="112"/>
    </row>
    <row r="445" spans="2:13" s="52" customFormat="1" ht="20.100000000000001" customHeight="1">
      <c r="B445" s="108">
        <v>5</v>
      </c>
      <c r="C445" s="139" t="s">
        <v>51</v>
      </c>
      <c r="D445" s="115" t="s">
        <v>1474</v>
      </c>
      <c r="E445" s="115" t="s">
        <v>1558</v>
      </c>
      <c r="F445" s="115" t="s">
        <v>1640</v>
      </c>
      <c r="G445" s="115">
        <v>161</v>
      </c>
      <c r="H445" s="71">
        <v>11</v>
      </c>
      <c r="I445" s="109">
        <f t="shared" si="35"/>
        <v>1803.1999999999998</v>
      </c>
      <c r="J445" s="110">
        <f t="shared" si="36"/>
        <v>123.19999999999999</v>
      </c>
      <c r="K445" s="111">
        <f t="shared" si="37"/>
        <v>150</v>
      </c>
      <c r="L445" s="110">
        <f t="shared" si="38"/>
        <v>1679.9999999999998</v>
      </c>
      <c r="M445" s="112"/>
    </row>
    <row r="446" spans="2:13" s="52" customFormat="1" ht="20.100000000000001" hidden="1" customHeight="1">
      <c r="B446" s="108">
        <v>5</v>
      </c>
      <c r="C446" s="139" t="s">
        <v>51</v>
      </c>
      <c r="D446" s="115" t="s">
        <v>1475</v>
      </c>
      <c r="E446" s="115" t="s">
        <v>1559</v>
      </c>
      <c r="F446" s="115" t="s">
        <v>1640</v>
      </c>
      <c r="G446" s="115">
        <v>20</v>
      </c>
      <c r="H446" s="71">
        <v>21</v>
      </c>
      <c r="I446" s="109">
        <f t="shared" si="35"/>
        <v>224</v>
      </c>
      <c r="J446" s="110">
        <f t="shared" si="36"/>
        <v>235.2</v>
      </c>
      <c r="K446" s="111">
        <f t="shared" si="37"/>
        <v>-1</v>
      </c>
      <c r="L446" s="110">
        <f t="shared" si="38"/>
        <v>-11.199999999999989</v>
      </c>
      <c r="M446" s="112"/>
    </row>
    <row r="447" spans="2:13" s="52" customFormat="1" ht="20.100000000000001" customHeight="1">
      <c r="B447" s="108">
        <v>5</v>
      </c>
      <c r="C447" s="139" t="s">
        <v>51</v>
      </c>
      <c r="D447" s="115" t="s">
        <v>1476</v>
      </c>
      <c r="E447" s="115" t="s">
        <v>1560</v>
      </c>
      <c r="F447" s="115" t="s">
        <v>1641</v>
      </c>
      <c r="G447" s="115">
        <v>57</v>
      </c>
      <c r="H447" s="71">
        <v>6</v>
      </c>
      <c r="I447" s="109">
        <f t="shared" si="35"/>
        <v>5457.1799999999994</v>
      </c>
      <c r="J447" s="110">
        <f t="shared" si="36"/>
        <v>574.43999999999994</v>
      </c>
      <c r="K447" s="111">
        <f t="shared" si="37"/>
        <v>51</v>
      </c>
      <c r="L447" s="110">
        <f t="shared" si="38"/>
        <v>4882.74</v>
      </c>
      <c r="M447" s="112"/>
    </row>
    <row r="448" spans="2:13" s="52" customFormat="1" ht="20.100000000000001" customHeight="1">
      <c r="B448" s="108">
        <v>5</v>
      </c>
      <c r="C448" s="139" t="s">
        <v>51</v>
      </c>
      <c r="D448" s="115" t="s">
        <v>1477</v>
      </c>
      <c r="E448" s="115" t="s">
        <v>1561</v>
      </c>
      <c r="F448" s="115" t="s">
        <v>1642</v>
      </c>
      <c r="G448" s="115">
        <v>135</v>
      </c>
      <c r="H448" s="71"/>
      <c r="I448" s="109">
        <f t="shared" si="35"/>
        <v>2651.4</v>
      </c>
      <c r="J448" s="110">
        <f t="shared" si="36"/>
        <v>0</v>
      </c>
      <c r="K448" s="111">
        <f t="shared" si="37"/>
        <v>135</v>
      </c>
      <c r="L448" s="110">
        <f t="shared" si="38"/>
        <v>2651.4</v>
      </c>
      <c r="M448" s="112"/>
    </row>
    <row r="449" spans="2:13" s="52" customFormat="1" ht="20.100000000000001" hidden="1" customHeight="1">
      <c r="B449" s="108">
        <v>5</v>
      </c>
      <c r="C449" s="139" t="s">
        <v>51</v>
      </c>
      <c r="D449" s="115" t="s">
        <v>1478</v>
      </c>
      <c r="E449" s="115" t="s">
        <v>1562</v>
      </c>
      <c r="F449" s="115" t="s">
        <v>1643</v>
      </c>
      <c r="G449" s="115">
        <v>5</v>
      </c>
      <c r="H449" s="71">
        <v>5</v>
      </c>
      <c r="I449" s="109">
        <f t="shared" si="35"/>
        <v>491.5</v>
      </c>
      <c r="J449" s="110">
        <f t="shared" si="36"/>
        <v>491.5</v>
      </c>
      <c r="K449" s="111">
        <f t="shared" si="37"/>
        <v>0</v>
      </c>
      <c r="L449" s="110">
        <f t="shared" si="38"/>
        <v>0</v>
      </c>
      <c r="M449" s="112"/>
    </row>
    <row r="450" spans="2:13" s="52" customFormat="1" ht="20.100000000000001" customHeight="1">
      <c r="B450" s="108">
        <v>5</v>
      </c>
      <c r="C450" s="139" t="s">
        <v>51</v>
      </c>
      <c r="D450" s="115" t="s">
        <v>1479</v>
      </c>
      <c r="E450" s="115" t="s">
        <v>1563</v>
      </c>
      <c r="F450" s="115" t="s">
        <v>1644</v>
      </c>
      <c r="G450" s="115">
        <v>51</v>
      </c>
      <c r="H450" s="71">
        <v>7</v>
      </c>
      <c r="I450" s="109">
        <f t="shared" si="35"/>
        <v>668.1</v>
      </c>
      <c r="J450" s="110">
        <f t="shared" si="36"/>
        <v>91.7</v>
      </c>
      <c r="K450" s="111">
        <f t="shared" si="37"/>
        <v>44</v>
      </c>
      <c r="L450" s="110">
        <f t="shared" si="38"/>
        <v>576.4</v>
      </c>
      <c r="M450" s="112"/>
    </row>
    <row r="451" spans="2:13" s="52" customFormat="1" ht="20.100000000000001" customHeight="1">
      <c r="B451" s="108">
        <v>5</v>
      </c>
      <c r="C451" s="139" t="s">
        <v>51</v>
      </c>
      <c r="D451" s="115" t="s">
        <v>1480</v>
      </c>
      <c r="E451" s="115" t="s">
        <v>1564</v>
      </c>
      <c r="F451" s="115" t="s">
        <v>1644</v>
      </c>
      <c r="G451" s="115">
        <v>39</v>
      </c>
      <c r="H451" s="71">
        <f>6+6</f>
        <v>12</v>
      </c>
      <c r="I451" s="109">
        <f t="shared" si="35"/>
        <v>510.9</v>
      </c>
      <c r="J451" s="110">
        <f t="shared" si="36"/>
        <v>157.19999999999999</v>
      </c>
      <c r="K451" s="111">
        <f t="shared" si="37"/>
        <v>27</v>
      </c>
      <c r="L451" s="110">
        <f t="shared" si="38"/>
        <v>353.7</v>
      </c>
      <c r="M451" s="112"/>
    </row>
    <row r="452" spans="2:13" s="52" customFormat="1" ht="20.100000000000001" customHeight="1">
      <c r="B452" s="108">
        <v>5</v>
      </c>
      <c r="C452" s="139" t="s">
        <v>51</v>
      </c>
      <c r="D452" s="115" t="s">
        <v>1481</v>
      </c>
      <c r="E452" s="115" t="s">
        <v>1565</v>
      </c>
      <c r="F452" s="115" t="s">
        <v>1644</v>
      </c>
      <c r="G452" s="115">
        <v>33</v>
      </c>
      <c r="H452" s="71">
        <f>6+5</f>
        <v>11</v>
      </c>
      <c r="I452" s="109">
        <f t="shared" si="35"/>
        <v>432.3</v>
      </c>
      <c r="J452" s="110">
        <f t="shared" si="36"/>
        <v>144.1</v>
      </c>
      <c r="K452" s="111">
        <f t="shared" si="37"/>
        <v>22</v>
      </c>
      <c r="L452" s="110">
        <f t="shared" si="38"/>
        <v>288.20000000000005</v>
      </c>
      <c r="M452" s="112"/>
    </row>
    <row r="453" spans="2:13" s="52" customFormat="1" ht="20.100000000000001" customHeight="1">
      <c r="B453" s="108">
        <v>5</v>
      </c>
      <c r="C453" s="139" t="s">
        <v>51</v>
      </c>
      <c r="D453" s="115" t="s">
        <v>1482</v>
      </c>
      <c r="E453" s="115" t="s">
        <v>1566</v>
      </c>
      <c r="F453" s="115" t="s">
        <v>1645</v>
      </c>
      <c r="G453" s="115">
        <v>14</v>
      </c>
      <c r="H453" s="71"/>
      <c r="I453" s="109">
        <f t="shared" si="35"/>
        <v>176.4</v>
      </c>
      <c r="J453" s="110">
        <f t="shared" si="36"/>
        <v>0</v>
      </c>
      <c r="K453" s="111">
        <f t="shared" si="37"/>
        <v>14</v>
      </c>
      <c r="L453" s="110">
        <f t="shared" si="38"/>
        <v>176.4</v>
      </c>
      <c r="M453" s="112"/>
    </row>
    <row r="454" spans="2:13" s="52" customFormat="1" ht="20.100000000000001" hidden="1" customHeight="1">
      <c r="B454" s="108">
        <v>5</v>
      </c>
      <c r="C454" s="139" t="s">
        <v>51</v>
      </c>
      <c r="D454" s="115" t="s">
        <v>1483</v>
      </c>
      <c r="E454" s="115" t="s">
        <v>1567</v>
      </c>
      <c r="F454" s="115" t="s">
        <v>1646</v>
      </c>
      <c r="G454" s="115">
        <v>4</v>
      </c>
      <c r="H454" s="71">
        <v>4</v>
      </c>
      <c r="I454" s="109">
        <f t="shared" si="35"/>
        <v>1000</v>
      </c>
      <c r="J454" s="110">
        <f t="shared" si="36"/>
        <v>1000</v>
      </c>
      <c r="K454" s="111">
        <f t="shared" si="37"/>
        <v>0</v>
      </c>
      <c r="L454" s="110">
        <f t="shared" si="38"/>
        <v>0</v>
      </c>
      <c r="M454" s="112"/>
    </row>
    <row r="455" spans="2:13" s="52" customFormat="1" ht="20.100000000000001" hidden="1" customHeight="1">
      <c r="B455" s="108">
        <v>5</v>
      </c>
      <c r="C455" s="139" t="s">
        <v>51</v>
      </c>
      <c r="D455" s="115" t="s">
        <v>1484</v>
      </c>
      <c r="E455" s="115" t="s">
        <v>1568</v>
      </c>
      <c r="F455" s="115" t="s">
        <v>1647</v>
      </c>
      <c r="G455" s="115">
        <v>7</v>
      </c>
      <c r="H455" s="71">
        <v>7</v>
      </c>
      <c r="I455" s="109">
        <f t="shared" si="35"/>
        <v>1050</v>
      </c>
      <c r="J455" s="110">
        <f t="shared" si="36"/>
        <v>1050</v>
      </c>
      <c r="K455" s="111">
        <f t="shared" si="37"/>
        <v>0</v>
      </c>
      <c r="L455" s="110">
        <f t="shared" si="38"/>
        <v>0</v>
      </c>
      <c r="M455" s="112"/>
    </row>
    <row r="456" spans="2:13" s="52" customFormat="1" ht="20.100000000000001" customHeight="1">
      <c r="B456" s="108">
        <v>5</v>
      </c>
      <c r="C456" s="139" t="s">
        <v>51</v>
      </c>
      <c r="D456" s="115" t="s">
        <v>1485</v>
      </c>
      <c r="E456" s="115" t="s">
        <v>1569</v>
      </c>
      <c r="F456" s="115" t="s">
        <v>1648</v>
      </c>
      <c r="G456" s="115">
        <v>18</v>
      </c>
      <c r="H456" s="71">
        <v>17</v>
      </c>
      <c r="I456" s="109">
        <f t="shared" si="35"/>
        <v>5400</v>
      </c>
      <c r="J456" s="110">
        <f t="shared" si="36"/>
        <v>5100</v>
      </c>
      <c r="K456" s="111">
        <f t="shared" si="37"/>
        <v>1</v>
      </c>
      <c r="L456" s="110">
        <f t="shared" si="38"/>
        <v>300</v>
      </c>
      <c r="M456" s="112"/>
    </row>
    <row r="457" spans="2:13" s="52" customFormat="1" ht="20.100000000000001" customHeight="1">
      <c r="B457" s="108">
        <v>5</v>
      </c>
      <c r="C457" s="139" t="s">
        <v>51</v>
      </c>
      <c r="D457" s="115" t="s">
        <v>1486</v>
      </c>
      <c r="E457" s="115" t="s">
        <v>1570</v>
      </c>
      <c r="F457" s="115" t="s">
        <v>1649</v>
      </c>
      <c r="G457" s="115">
        <v>5</v>
      </c>
      <c r="H457" s="71"/>
      <c r="I457" s="109">
        <f t="shared" si="35"/>
        <v>725.90000000000009</v>
      </c>
      <c r="J457" s="110">
        <f t="shared" si="36"/>
        <v>0</v>
      </c>
      <c r="K457" s="111">
        <f t="shared" si="37"/>
        <v>5</v>
      </c>
      <c r="L457" s="110">
        <f t="shared" si="38"/>
        <v>725.90000000000009</v>
      </c>
      <c r="M457" s="112"/>
    </row>
    <row r="458" spans="2:13" s="52" customFormat="1" ht="20.100000000000001" customHeight="1">
      <c r="B458" s="108">
        <v>5</v>
      </c>
      <c r="C458" s="139" t="s">
        <v>51</v>
      </c>
      <c r="D458" s="115" t="s">
        <v>1487</v>
      </c>
      <c r="E458" s="115" t="s">
        <v>1571</v>
      </c>
      <c r="F458" s="115" t="s">
        <v>1650</v>
      </c>
      <c r="G458" s="115">
        <v>6</v>
      </c>
      <c r="H458" s="71">
        <v>5</v>
      </c>
      <c r="I458" s="109">
        <f t="shared" si="35"/>
        <v>1200.18</v>
      </c>
      <c r="J458" s="110">
        <f t="shared" si="36"/>
        <v>1000.15</v>
      </c>
      <c r="K458" s="111">
        <f t="shared" si="37"/>
        <v>1</v>
      </c>
      <c r="L458" s="110">
        <f t="shared" si="38"/>
        <v>200.03000000000009</v>
      </c>
      <c r="M458" s="112"/>
    </row>
    <row r="459" spans="2:13" s="52" customFormat="1" ht="20.100000000000001" customHeight="1">
      <c r="B459" s="108">
        <v>5</v>
      </c>
      <c r="C459" s="139" t="s">
        <v>51</v>
      </c>
      <c r="D459" s="115" t="s">
        <v>1488</v>
      </c>
      <c r="E459" s="115" t="s">
        <v>1572</v>
      </c>
      <c r="F459" s="115" t="s">
        <v>1651</v>
      </c>
      <c r="G459" s="115">
        <v>5</v>
      </c>
      <c r="H459" s="71"/>
      <c r="I459" s="109">
        <f t="shared" si="35"/>
        <v>90.35</v>
      </c>
      <c r="J459" s="110">
        <f t="shared" si="36"/>
        <v>0</v>
      </c>
      <c r="K459" s="111">
        <f t="shared" si="37"/>
        <v>5</v>
      </c>
      <c r="L459" s="110">
        <f t="shared" si="38"/>
        <v>90.35</v>
      </c>
      <c r="M459" s="112"/>
    </row>
    <row r="460" spans="2:13" s="52" customFormat="1" ht="20.100000000000001" hidden="1" customHeight="1">
      <c r="B460" s="108">
        <v>5</v>
      </c>
      <c r="C460" s="139" t="s">
        <v>51</v>
      </c>
      <c r="D460" s="115" t="s">
        <v>1489</v>
      </c>
      <c r="E460" s="115" t="s">
        <v>1573</v>
      </c>
      <c r="F460" s="115" t="s">
        <v>4659</v>
      </c>
      <c r="G460" s="115">
        <v>54</v>
      </c>
      <c r="H460" s="71">
        <f>51+3</f>
        <v>54</v>
      </c>
      <c r="I460" s="109">
        <f t="shared" si="35"/>
        <v>1387.26</v>
      </c>
      <c r="J460" s="110">
        <f t="shared" si="36"/>
        <v>1387.26</v>
      </c>
      <c r="K460" s="111">
        <f t="shared" si="37"/>
        <v>0</v>
      </c>
      <c r="L460" s="110">
        <f t="shared" si="38"/>
        <v>0</v>
      </c>
      <c r="M460" s="112"/>
    </row>
    <row r="461" spans="2:13" s="52" customFormat="1" ht="20.100000000000001" hidden="1" customHeight="1">
      <c r="B461" s="108">
        <v>5</v>
      </c>
      <c r="C461" s="139" t="s">
        <v>51</v>
      </c>
      <c r="D461" s="115" t="s">
        <v>4654</v>
      </c>
      <c r="E461" s="115" t="s">
        <v>4657</v>
      </c>
      <c r="F461" s="115" t="s">
        <v>4660</v>
      </c>
      <c r="G461" s="115">
        <v>5</v>
      </c>
      <c r="H461" s="71">
        <v>7</v>
      </c>
      <c r="I461" s="109">
        <f t="shared" si="35"/>
        <v>635.90000000000009</v>
      </c>
      <c r="J461" s="110">
        <f t="shared" si="36"/>
        <v>890.26</v>
      </c>
      <c r="K461" s="111">
        <f t="shared" si="37"/>
        <v>-2</v>
      </c>
      <c r="L461" s="110">
        <f t="shared" si="38"/>
        <v>-254.3599999999999</v>
      </c>
      <c r="M461" s="112"/>
    </row>
    <row r="462" spans="2:13" s="52" customFormat="1" ht="20.100000000000001" hidden="1" customHeight="1">
      <c r="B462" s="108">
        <v>5</v>
      </c>
      <c r="C462" s="139" t="s">
        <v>51</v>
      </c>
      <c r="D462" s="115" t="s">
        <v>1490</v>
      </c>
      <c r="E462" s="115" t="s">
        <v>1574</v>
      </c>
      <c r="F462" s="115" t="s">
        <v>1653</v>
      </c>
      <c r="G462" s="115">
        <v>3</v>
      </c>
      <c r="H462" s="71">
        <v>4</v>
      </c>
      <c r="I462" s="109">
        <f t="shared" si="35"/>
        <v>714.3</v>
      </c>
      <c r="J462" s="110">
        <f t="shared" si="36"/>
        <v>952.4</v>
      </c>
      <c r="K462" s="111">
        <f t="shared" si="37"/>
        <v>-1</v>
      </c>
      <c r="L462" s="110">
        <f t="shared" si="38"/>
        <v>-238.10000000000002</v>
      </c>
      <c r="M462" s="112"/>
    </row>
    <row r="463" spans="2:13" s="52" customFormat="1" ht="20.100000000000001" customHeight="1">
      <c r="B463" s="108">
        <v>5</v>
      </c>
      <c r="C463" s="139" t="s">
        <v>51</v>
      </c>
      <c r="D463" s="115" t="s">
        <v>1491</v>
      </c>
      <c r="E463" s="115" t="s">
        <v>1575</v>
      </c>
      <c r="F463" s="115" t="s">
        <v>1654</v>
      </c>
      <c r="G463" s="115">
        <v>27</v>
      </c>
      <c r="H463" s="71">
        <v>26</v>
      </c>
      <c r="I463" s="109">
        <f t="shared" si="35"/>
        <v>822.96</v>
      </c>
      <c r="J463" s="110">
        <f t="shared" si="36"/>
        <v>792.48</v>
      </c>
      <c r="K463" s="111">
        <f t="shared" si="37"/>
        <v>1</v>
      </c>
      <c r="L463" s="110">
        <f t="shared" si="38"/>
        <v>30.480000000000018</v>
      </c>
      <c r="M463" s="112"/>
    </row>
    <row r="464" spans="2:13" s="52" customFormat="1" ht="20.100000000000001" hidden="1" customHeight="1">
      <c r="B464" s="108">
        <v>5</v>
      </c>
      <c r="C464" s="139" t="s">
        <v>51</v>
      </c>
      <c r="D464" s="115" t="s">
        <v>4655</v>
      </c>
      <c r="E464" s="115" t="s">
        <v>4658</v>
      </c>
      <c r="F464" s="115" t="s">
        <v>4661</v>
      </c>
      <c r="G464" s="115">
        <v>14</v>
      </c>
      <c r="H464" s="71">
        <v>14</v>
      </c>
      <c r="I464" s="109">
        <f t="shared" si="35"/>
        <v>1693.3</v>
      </c>
      <c r="J464" s="110">
        <f t="shared" si="36"/>
        <v>1693.3</v>
      </c>
      <c r="K464" s="111">
        <f t="shared" si="37"/>
        <v>0</v>
      </c>
      <c r="L464" s="110">
        <f t="shared" si="38"/>
        <v>0</v>
      </c>
      <c r="M464" s="112"/>
    </row>
    <row r="465" spans="2:13" s="52" customFormat="1" ht="20.100000000000001" hidden="1" customHeight="1">
      <c r="B465" s="108">
        <v>5</v>
      </c>
      <c r="C465" s="139" t="s">
        <v>51</v>
      </c>
      <c r="D465" s="115" t="s">
        <v>1492</v>
      </c>
      <c r="E465" s="115" t="s">
        <v>1576</v>
      </c>
      <c r="F465" s="115" t="s">
        <v>1655</v>
      </c>
      <c r="G465" s="115">
        <v>26</v>
      </c>
      <c r="H465" s="71">
        <v>26</v>
      </c>
      <c r="I465" s="109">
        <f t="shared" si="35"/>
        <v>2600.7800000000002</v>
      </c>
      <c r="J465" s="110">
        <f t="shared" si="36"/>
        <v>2600.7800000000002</v>
      </c>
      <c r="K465" s="111">
        <f t="shared" si="37"/>
        <v>0</v>
      </c>
      <c r="L465" s="110">
        <f t="shared" si="38"/>
        <v>0</v>
      </c>
      <c r="M465" s="112"/>
    </row>
    <row r="466" spans="2:13" s="52" customFormat="1" ht="20.100000000000001" customHeight="1">
      <c r="B466" s="108">
        <v>5</v>
      </c>
      <c r="C466" s="139" t="s">
        <v>51</v>
      </c>
      <c r="D466" s="115" t="s">
        <v>4656</v>
      </c>
      <c r="E466" s="115" t="s">
        <v>1577</v>
      </c>
      <c r="F466" s="115" t="s">
        <v>1656</v>
      </c>
      <c r="G466" s="115">
        <v>77</v>
      </c>
      <c r="H466" s="71">
        <f>59+16</f>
        <v>75</v>
      </c>
      <c r="I466" s="109">
        <f t="shared" si="35"/>
        <v>3883.11</v>
      </c>
      <c r="J466" s="110">
        <f t="shared" si="36"/>
        <v>3782.25</v>
      </c>
      <c r="K466" s="111">
        <f t="shared" si="37"/>
        <v>2</v>
      </c>
      <c r="L466" s="110">
        <f t="shared" si="38"/>
        <v>100.86000000000013</v>
      </c>
      <c r="M466" s="112"/>
    </row>
    <row r="467" spans="2:13" s="52" customFormat="1" ht="20.100000000000001" customHeight="1">
      <c r="B467" s="108">
        <v>5</v>
      </c>
      <c r="C467" s="139" t="s">
        <v>51</v>
      </c>
      <c r="D467" s="115" t="s">
        <v>1493</v>
      </c>
      <c r="E467" s="115" t="s">
        <v>1578</v>
      </c>
      <c r="F467" s="115" t="s">
        <v>1657</v>
      </c>
      <c r="G467" s="115">
        <v>148</v>
      </c>
      <c r="H467" s="71">
        <v>147</v>
      </c>
      <c r="I467" s="109">
        <f t="shared" si="35"/>
        <v>1971.3600000000001</v>
      </c>
      <c r="J467" s="110">
        <f t="shared" si="36"/>
        <v>1958.04</v>
      </c>
      <c r="K467" s="111">
        <f t="shared" si="37"/>
        <v>1</v>
      </c>
      <c r="L467" s="110">
        <f t="shared" si="38"/>
        <v>13.320000000000164</v>
      </c>
      <c r="M467" s="112"/>
    </row>
    <row r="468" spans="2:13" s="52" customFormat="1" ht="20.100000000000001" hidden="1" customHeight="1">
      <c r="B468" s="108">
        <v>5</v>
      </c>
      <c r="C468" s="139" t="s">
        <v>51</v>
      </c>
      <c r="D468" s="115" t="s">
        <v>1494</v>
      </c>
      <c r="E468" s="115" t="s">
        <v>1579</v>
      </c>
      <c r="F468" s="115" t="s">
        <v>1658</v>
      </c>
      <c r="G468" s="115">
        <v>29</v>
      </c>
      <c r="H468" s="71">
        <v>34</v>
      </c>
      <c r="I468" s="109">
        <f t="shared" si="35"/>
        <v>383.09000000000003</v>
      </c>
      <c r="J468" s="110">
        <f t="shared" si="36"/>
        <v>449.14000000000004</v>
      </c>
      <c r="K468" s="111">
        <f t="shared" si="37"/>
        <v>-5</v>
      </c>
      <c r="L468" s="110">
        <f t="shared" si="38"/>
        <v>-66.050000000000011</v>
      </c>
      <c r="M468" s="112"/>
    </row>
    <row r="469" spans="2:13" s="52" customFormat="1" ht="20.100000000000001" customHeight="1">
      <c r="B469" s="108">
        <v>5</v>
      </c>
      <c r="C469" s="139" t="s">
        <v>51</v>
      </c>
      <c r="D469" s="115" t="s">
        <v>1495</v>
      </c>
      <c r="E469" s="115" t="s">
        <v>1580</v>
      </c>
      <c r="F469" s="115" t="s">
        <v>1657</v>
      </c>
      <c r="G469" s="115">
        <v>113</v>
      </c>
      <c r="H469" s="71">
        <v>108</v>
      </c>
      <c r="I469" s="109">
        <f t="shared" si="35"/>
        <v>1505.16</v>
      </c>
      <c r="J469" s="110">
        <f t="shared" si="36"/>
        <v>1438.56</v>
      </c>
      <c r="K469" s="111">
        <f t="shared" si="37"/>
        <v>5</v>
      </c>
      <c r="L469" s="110">
        <f t="shared" si="38"/>
        <v>66.600000000000136</v>
      </c>
      <c r="M469" s="112"/>
    </row>
    <row r="470" spans="2:13" s="52" customFormat="1" ht="20.100000000000001" hidden="1" customHeight="1">
      <c r="B470" s="108">
        <v>5</v>
      </c>
      <c r="C470" s="139" t="s">
        <v>51</v>
      </c>
      <c r="D470" s="115" t="s">
        <v>1496</v>
      </c>
      <c r="E470" s="115" t="s">
        <v>1581</v>
      </c>
      <c r="F470" s="115" t="s">
        <v>1659</v>
      </c>
      <c r="G470" s="115">
        <v>1</v>
      </c>
      <c r="H470" s="71">
        <v>1</v>
      </c>
      <c r="I470" s="109">
        <f t="shared" si="35"/>
        <v>261.06</v>
      </c>
      <c r="J470" s="110">
        <f t="shared" si="36"/>
        <v>261.06</v>
      </c>
      <c r="K470" s="111">
        <f t="shared" si="37"/>
        <v>0</v>
      </c>
      <c r="L470" s="110">
        <f t="shared" si="38"/>
        <v>0</v>
      </c>
      <c r="M470" s="112"/>
    </row>
    <row r="471" spans="2:13" s="52" customFormat="1" ht="20.100000000000001" customHeight="1">
      <c r="B471" s="108">
        <v>5</v>
      </c>
      <c r="C471" s="139" t="s">
        <v>51</v>
      </c>
      <c r="D471" s="115" t="s">
        <v>1497</v>
      </c>
      <c r="E471" s="115" t="s">
        <v>1582</v>
      </c>
      <c r="F471" s="115" t="s">
        <v>1658</v>
      </c>
      <c r="G471" s="115">
        <v>125</v>
      </c>
      <c r="H471" s="71">
        <v>38</v>
      </c>
      <c r="I471" s="109">
        <f t="shared" si="35"/>
        <v>1651.25</v>
      </c>
      <c r="J471" s="110">
        <f t="shared" si="36"/>
        <v>501.98</v>
      </c>
      <c r="K471" s="111">
        <f t="shared" si="37"/>
        <v>87</v>
      </c>
      <c r="L471" s="110">
        <f t="shared" si="38"/>
        <v>1149.27</v>
      </c>
      <c r="M471" s="112"/>
    </row>
    <row r="472" spans="2:13" s="52" customFormat="1" ht="20.100000000000001" hidden="1" customHeight="1">
      <c r="B472" s="108">
        <v>5</v>
      </c>
      <c r="C472" s="139" t="s">
        <v>51</v>
      </c>
      <c r="D472" s="115" t="s">
        <v>1498</v>
      </c>
      <c r="E472" s="115" t="s">
        <v>1583</v>
      </c>
      <c r="F472" s="115" t="s">
        <v>1657</v>
      </c>
      <c r="G472" s="115">
        <v>155</v>
      </c>
      <c r="H472" s="71">
        <v>164</v>
      </c>
      <c r="I472" s="109">
        <f t="shared" si="35"/>
        <v>2064.6</v>
      </c>
      <c r="J472" s="110">
        <f t="shared" si="36"/>
        <v>2184.48</v>
      </c>
      <c r="K472" s="111">
        <f t="shared" si="37"/>
        <v>-9</v>
      </c>
      <c r="L472" s="110">
        <f t="shared" si="38"/>
        <v>-119.88000000000011</v>
      </c>
      <c r="M472" s="112"/>
    </row>
    <row r="473" spans="2:13" s="52" customFormat="1" ht="20.100000000000001" customHeight="1">
      <c r="B473" s="108">
        <v>5</v>
      </c>
      <c r="C473" s="139" t="s">
        <v>51</v>
      </c>
      <c r="D473" s="115" t="s">
        <v>1499</v>
      </c>
      <c r="E473" s="115" t="s">
        <v>1584</v>
      </c>
      <c r="F473" s="115" t="s">
        <v>1660</v>
      </c>
      <c r="G473" s="115">
        <v>242</v>
      </c>
      <c r="H473" s="71">
        <f>130+3+1+2</f>
        <v>136</v>
      </c>
      <c r="I473" s="109">
        <f t="shared" si="35"/>
        <v>4493.9400000000005</v>
      </c>
      <c r="J473" s="110">
        <f t="shared" si="36"/>
        <v>2525.52</v>
      </c>
      <c r="K473" s="111">
        <f t="shared" si="37"/>
        <v>106</v>
      </c>
      <c r="L473" s="110">
        <f t="shared" si="38"/>
        <v>1968.4200000000005</v>
      </c>
      <c r="M473" s="112"/>
    </row>
    <row r="474" spans="2:13" s="52" customFormat="1" ht="20.100000000000001" customHeight="1">
      <c r="B474" s="108">
        <v>5</v>
      </c>
      <c r="C474" s="139" t="s">
        <v>51</v>
      </c>
      <c r="D474" s="115" t="s">
        <v>1500</v>
      </c>
      <c r="E474" s="115" t="s">
        <v>1585</v>
      </c>
      <c r="F474" s="115" t="s">
        <v>1660</v>
      </c>
      <c r="G474" s="115">
        <v>200</v>
      </c>
      <c r="H474" s="71">
        <f>4+2</f>
        <v>6</v>
      </c>
      <c r="I474" s="109">
        <f t="shared" si="35"/>
        <v>3714</v>
      </c>
      <c r="J474" s="110">
        <f t="shared" si="36"/>
        <v>111.42</v>
      </c>
      <c r="K474" s="111">
        <f t="shared" si="37"/>
        <v>194</v>
      </c>
      <c r="L474" s="110">
        <f t="shared" si="38"/>
        <v>3602.58</v>
      </c>
      <c r="M474" s="112"/>
    </row>
    <row r="475" spans="2:13" s="52" customFormat="1" ht="20.100000000000001" hidden="1" customHeight="1">
      <c r="B475" s="108">
        <v>5</v>
      </c>
      <c r="C475" s="139" t="s">
        <v>51</v>
      </c>
      <c r="D475" s="115" t="s">
        <v>1501</v>
      </c>
      <c r="E475" s="115" t="s">
        <v>1586</v>
      </c>
      <c r="F475" s="115" t="s">
        <v>1661</v>
      </c>
      <c r="G475" s="115">
        <v>3</v>
      </c>
      <c r="H475" s="71">
        <f>2+1</f>
        <v>3</v>
      </c>
      <c r="I475" s="109">
        <f t="shared" si="35"/>
        <v>314.28000000000003</v>
      </c>
      <c r="J475" s="110">
        <f t="shared" si="36"/>
        <v>314.28000000000003</v>
      </c>
      <c r="K475" s="111">
        <f t="shared" si="37"/>
        <v>0</v>
      </c>
      <c r="L475" s="110">
        <f t="shared" si="38"/>
        <v>0</v>
      </c>
      <c r="M475" s="112"/>
    </row>
    <row r="476" spans="2:13" s="52" customFormat="1" ht="20.100000000000001" hidden="1" customHeight="1">
      <c r="B476" s="108">
        <v>5</v>
      </c>
      <c r="C476" s="139" t="s">
        <v>51</v>
      </c>
      <c r="D476" s="115" t="s">
        <v>1502</v>
      </c>
      <c r="E476" s="115" t="s">
        <v>1587</v>
      </c>
      <c r="F476" s="115" t="s">
        <v>1662</v>
      </c>
      <c r="G476" s="115">
        <v>2</v>
      </c>
      <c r="H476" s="71">
        <v>2</v>
      </c>
      <c r="I476" s="109">
        <f t="shared" si="35"/>
        <v>474.28</v>
      </c>
      <c r="J476" s="110">
        <f t="shared" si="36"/>
        <v>474.28</v>
      </c>
      <c r="K476" s="111">
        <f t="shared" si="37"/>
        <v>0</v>
      </c>
      <c r="L476" s="110">
        <f t="shared" si="38"/>
        <v>0</v>
      </c>
      <c r="M476" s="112"/>
    </row>
    <row r="477" spans="2:13" s="52" customFormat="1" ht="20.100000000000001" hidden="1" customHeight="1">
      <c r="B477" s="108">
        <v>5</v>
      </c>
      <c r="C477" s="139" t="s">
        <v>51</v>
      </c>
      <c r="D477" s="115" t="s">
        <v>1503</v>
      </c>
      <c r="E477" s="115" t="s">
        <v>1588</v>
      </c>
      <c r="F477" s="115" t="s">
        <v>1663</v>
      </c>
      <c r="G477" s="115">
        <v>1</v>
      </c>
      <c r="H477" s="71">
        <v>1</v>
      </c>
      <c r="I477" s="109">
        <f t="shared" si="35"/>
        <v>107.48</v>
      </c>
      <c r="J477" s="110">
        <f t="shared" si="36"/>
        <v>107.48</v>
      </c>
      <c r="K477" s="111">
        <f t="shared" si="37"/>
        <v>0</v>
      </c>
      <c r="L477" s="110">
        <f t="shared" si="38"/>
        <v>0</v>
      </c>
      <c r="M477" s="112"/>
    </row>
    <row r="478" spans="2:13" s="52" customFormat="1" ht="20.100000000000001" hidden="1" customHeight="1">
      <c r="B478" s="108">
        <v>5</v>
      </c>
      <c r="C478" s="139" t="s">
        <v>51</v>
      </c>
      <c r="D478" s="115" t="s">
        <v>1504</v>
      </c>
      <c r="E478" s="115" t="s">
        <v>1589</v>
      </c>
      <c r="F478" s="115" t="s">
        <v>1664</v>
      </c>
      <c r="G478" s="115">
        <v>106</v>
      </c>
      <c r="H478" s="71">
        <v>106</v>
      </c>
      <c r="I478" s="109">
        <f t="shared" si="35"/>
        <v>1722.5</v>
      </c>
      <c r="J478" s="110">
        <f t="shared" si="36"/>
        <v>1722.5</v>
      </c>
      <c r="K478" s="111">
        <f t="shared" si="37"/>
        <v>0</v>
      </c>
      <c r="L478" s="110">
        <f t="shared" si="38"/>
        <v>0</v>
      </c>
      <c r="M478" s="112"/>
    </row>
    <row r="479" spans="2:13" s="52" customFormat="1" ht="20.100000000000001" customHeight="1">
      <c r="B479" s="108">
        <v>5</v>
      </c>
      <c r="C479" s="139" t="s">
        <v>51</v>
      </c>
      <c r="D479" s="115" t="s">
        <v>1505</v>
      </c>
      <c r="E479" s="115" t="s">
        <v>1590</v>
      </c>
      <c r="F479" s="115" t="s">
        <v>1665</v>
      </c>
      <c r="G479" s="115">
        <v>94</v>
      </c>
      <c r="H479" s="71">
        <v>88</v>
      </c>
      <c r="I479" s="109">
        <f t="shared" si="35"/>
        <v>1000.1600000000001</v>
      </c>
      <c r="J479" s="110">
        <f t="shared" si="36"/>
        <v>936.32</v>
      </c>
      <c r="K479" s="111">
        <f t="shared" si="37"/>
        <v>6</v>
      </c>
      <c r="L479" s="110">
        <f t="shared" si="38"/>
        <v>63.840000000000032</v>
      </c>
      <c r="M479" s="112"/>
    </row>
    <row r="480" spans="2:13" s="52" customFormat="1" ht="20.100000000000001" hidden="1" customHeight="1">
      <c r="B480" s="108">
        <v>5</v>
      </c>
      <c r="C480" s="139" t="s">
        <v>51</v>
      </c>
      <c r="D480" s="115" t="s">
        <v>1506</v>
      </c>
      <c r="E480" s="115" t="s">
        <v>1591</v>
      </c>
      <c r="F480" s="115" t="s">
        <v>1666</v>
      </c>
      <c r="G480" s="115">
        <v>6</v>
      </c>
      <c r="H480" s="71">
        <v>8</v>
      </c>
      <c r="I480" s="109">
        <f t="shared" si="35"/>
        <v>1212</v>
      </c>
      <c r="J480" s="110">
        <f t="shared" si="36"/>
        <v>1616</v>
      </c>
      <c r="K480" s="111">
        <f t="shared" si="37"/>
        <v>-2</v>
      </c>
      <c r="L480" s="110">
        <f t="shared" si="38"/>
        <v>-404</v>
      </c>
      <c r="M480" s="112"/>
    </row>
    <row r="481" spans="2:13" s="52" customFormat="1" ht="20.100000000000001" hidden="1" customHeight="1">
      <c r="B481" s="108">
        <v>5</v>
      </c>
      <c r="C481" s="139" t="s">
        <v>51</v>
      </c>
      <c r="D481" s="108" t="s">
        <v>1507</v>
      </c>
      <c r="E481" s="108" t="s">
        <v>1592</v>
      </c>
      <c r="F481" s="108" t="s">
        <v>1667</v>
      </c>
      <c r="G481" s="108">
        <v>48</v>
      </c>
      <c r="H481" s="71">
        <v>50</v>
      </c>
      <c r="I481" s="109">
        <f t="shared" ref="I481:I539" si="39">F481*G481</f>
        <v>2149.44</v>
      </c>
      <c r="J481" s="110">
        <f t="shared" si="36"/>
        <v>2239</v>
      </c>
      <c r="K481" s="111">
        <f t="shared" si="37"/>
        <v>-2</v>
      </c>
      <c r="L481" s="110">
        <f t="shared" si="38"/>
        <v>-89.559999999999945</v>
      </c>
      <c r="M481" s="112"/>
    </row>
    <row r="482" spans="2:13" s="52" customFormat="1" ht="20.100000000000001" customHeight="1">
      <c r="B482" s="108">
        <v>5</v>
      </c>
      <c r="C482" s="139" t="s">
        <v>51</v>
      </c>
      <c r="D482" s="108" t="s">
        <v>1508</v>
      </c>
      <c r="E482" s="108" t="s">
        <v>1593</v>
      </c>
      <c r="F482" s="108" t="s">
        <v>1668</v>
      </c>
      <c r="G482" s="108">
        <v>26</v>
      </c>
      <c r="H482" s="71">
        <v>21</v>
      </c>
      <c r="I482" s="109">
        <f t="shared" si="39"/>
        <v>1610.18</v>
      </c>
      <c r="J482" s="110">
        <f t="shared" si="36"/>
        <v>1300.53</v>
      </c>
      <c r="K482" s="111">
        <f t="shared" si="37"/>
        <v>5</v>
      </c>
      <c r="L482" s="110">
        <f t="shared" si="38"/>
        <v>309.65000000000009</v>
      </c>
      <c r="M482" s="112"/>
    </row>
    <row r="483" spans="2:13" s="52" customFormat="1" ht="20.100000000000001" hidden="1" customHeight="1">
      <c r="B483" s="108">
        <v>5</v>
      </c>
      <c r="C483" s="139" t="s">
        <v>51</v>
      </c>
      <c r="D483" s="108" t="s">
        <v>1509</v>
      </c>
      <c r="E483" s="108" t="s">
        <v>1594</v>
      </c>
      <c r="F483" s="108" t="s">
        <v>1669</v>
      </c>
      <c r="G483" s="108">
        <v>22</v>
      </c>
      <c r="H483" s="71">
        <v>22</v>
      </c>
      <c r="I483" s="109">
        <f t="shared" si="39"/>
        <v>2410.54</v>
      </c>
      <c r="J483" s="110">
        <f t="shared" si="36"/>
        <v>2410.54</v>
      </c>
      <c r="K483" s="111">
        <f t="shared" si="37"/>
        <v>0</v>
      </c>
      <c r="L483" s="110">
        <f t="shared" si="38"/>
        <v>0</v>
      </c>
      <c r="M483" s="112"/>
    </row>
    <row r="484" spans="2:13" s="52" customFormat="1" ht="20.100000000000001" customHeight="1">
      <c r="B484" s="108">
        <v>5</v>
      </c>
      <c r="C484" s="139" t="s">
        <v>51</v>
      </c>
      <c r="D484" s="108" t="s">
        <v>1510</v>
      </c>
      <c r="E484" s="108" t="s">
        <v>1595</v>
      </c>
      <c r="F484" s="108" t="s">
        <v>1670</v>
      </c>
      <c r="G484" s="108">
        <v>5</v>
      </c>
      <c r="H484" s="71">
        <v>4</v>
      </c>
      <c r="I484" s="109">
        <f t="shared" si="39"/>
        <v>454.7</v>
      </c>
      <c r="J484" s="110">
        <f t="shared" si="36"/>
        <v>363.76</v>
      </c>
      <c r="K484" s="111">
        <f t="shared" si="37"/>
        <v>1</v>
      </c>
      <c r="L484" s="110">
        <f t="shared" si="38"/>
        <v>90.94</v>
      </c>
      <c r="M484" s="112"/>
    </row>
    <row r="485" spans="2:13" s="52" customFormat="1" ht="20.100000000000001" customHeight="1">
      <c r="B485" s="108">
        <v>5</v>
      </c>
      <c r="C485" s="139" t="s">
        <v>51</v>
      </c>
      <c r="D485" s="108" t="s">
        <v>1511</v>
      </c>
      <c r="E485" s="108" t="s">
        <v>1596</v>
      </c>
      <c r="F485" s="108" t="s">
        <v>1666</v>
      </c>
      <c r="G485" s="108">
        <v>11</v>
      </c>
      <c r="H485" s="71">
        <v>6</v>
      </c>
      <c r="I485" s="109">
        <f t="shared" si="39"/>
        <v>2222</v>
      </c>
      <c r="J485" s="110">
        <f t="shared" si="36"/>
        <v>1212</v>
      </c>
      <c r="K485" s="111">
        <f t="shared" si="37"/>
        <v>5</v>
      </c>
      <c r="L485" s="110">
        <f t="shared" si="38"/>
        <v>1010</v>
      </c>
      <c r="M485" s="112"/>
    </row>
    <row r="486" spans="2:13" s="52" customFormat="1" ht="20.100000000000001" customHeight="1">
      <c r="B486" s="108">
        <v>5</v>
      </c>
      <c r="C486" s="139" t="s">
        <v>51</v>
      </c>
      <c r="D486" s="108" t="s">
        <v>1512</v>
      </c>
      <c r="E486" s="108" t="s">
        <v>1597</v>
      </c>
      <c r="F486" s="108" t="s">
        <v>1671</v>
      </c>
      <c r="G486" s="108">
        <v>2</v>
      </c>
      <c r="H486" s="71"/>
      <c r="I486" s="109">
        <f t="shared" si="39"/>
        <v>372.4</v>
      </c>
      <c r="J486" s="110">
        <f t="shared" si="36"/>
        <v>0</v>
      </c>
      <c r="K486" s="111">
        <f t="shared" si="37"/>
        <v>2</v>
      </c>
      <c r="L486" s="110">
        <f t="shared" si="38"/>
        <v>372.4</v>
      </c>
      <c r="M486" s="112"/>
    </row>
    <row r="487" spans="2:13" s="52" customFormat="1" ht="20.100000000000001" hidden="1" customHeight="1">
      <c r="B487" s="108">
        <v>5</v>
      </c>
      <c r="C487" s="139" t="s">
        <v>51</v>
      </c>
      <c r="D487" s="108" t="s">
        <v>1513</v>
      </c>
      <c r="E487" s="108" t="s">
        <v>1598</v>
      </c>
      <c r="F487" s="108" t="s">
        <v>1672</v>
      </c>
      <c r="G487" s="108">
        <v>1</v>
      </c>
      <c r="H487" s="71">
        <v>1</v>
      </c>
      <c r="I487" s="109">
        <f t="shared" si="39"/>
        <v>69.459999999999994</v>
      </c>
      <c r="J487" s="110">
        <f t="shared" si="36"/>
        <v>69.459999999999994</v>
      </c>
      <c r="K487" s="111">
        <f t="shared" si="37"/>
        <v>0</v>
      </c>
      <c r="L487" s="110">
        <f t="shared" si="38"/>
        <v>0</v>
      </c>
      <c r="M487" s="112"/>
    </row>
    <row r="488" spans="2:13" s="52" customFormat="1" ht="20.100000000000001" customHeight="1">
      <c r="B488" s="108">
        <v>5</v>
      </c>
      <c r="C488" s="139" t="s">
        <v>51</v>
      </c>
      <c r="D488" s="108" t="s">
        <v>1514</v>
      </c>
      <c r="E488" s="108" t="s">
        <v>1599</v>
      </c>
      <c r="F488" s="108" t="s">
        <v>1673</v>
      </c>
      <c r="G488" s="108">
        <v>105</v>
      </c>
      <c r="H488" s="71">
        <v>20</v>
      </c>
      <c r="I488" s="109">
        <f t="shared" si="39"/>
        <v>1911</v>
      </c>
      <c r="J488" s="110">
        <f t="shared" si="36"/>
        <v>364</v>
      </c>
      <c r="K488" s="111">
        <f t="shared" si="37"/>
        <v>85</v>
      </c>
      <c r="L488" s="110">
        <f t="shared" si="38"/>
        <v>1547</v>
      </c>
      <c r="M488" s="112"/>
    </row>
    <row r="489" spans="2:13" s="52" customFormat="1" ht="20.100000000000001" customHeight="1">
      <c r="B489" s="108">
        <v>5</v>
      </c>
      <c r="C489" s="139" t="s">
        <v>51</v>
      </c>
      <c r="D489" s="108" t="s">
        <v>1515</v>
      </c>
      <c r="E489" s="108" t="s">
        <v>1600</v>
      </c>
      <c r="F489" s="108" t="s">
        <v>1674</v>
      </c>
      <c r="G489" s="108">
        <v>54</v>
      </c>
      <c r="H489" s="71"/>
      <c r="I489" s="109">
        <f t="shared" si="39"/>
        <v>961.7399999999999</v>
      </c>
      <c r="J489" s="110">
        <f t="shared" si="36"/>
        <v>0</v>
      </c>
      <c r="K489" s="111">
        <f t="shared" si="37"/>
        <v>54</v>
      </c>
      <c r="L489" s="110">
        <f t="shared" si="38"/>
        <v>961.7399999999999</v>
      </c>
      <c r="M489" s="112"/>
    </row>
    <row r="490" spans="2:13" s="52" customFormat="1" ht="20.100000000000001" customHeight="1">
      <c r="B490" s="108">
        <v>5</v>
      </c>
      <c r="C490" s="139" t="s">
        <v>51</v>
      </c>
      <c r="D490" s="108" t="s">
        <v>1516</v>
      </c>
      <c r="E490" s="108" t="s">
        <v>1601</v>
      </c>
      <c r="F490" s="108" t="s">
        <v>1675</v>
      </c>
      <c r="G490" s="108">
        <v>3</v>
      </c>
      <c r="H490" s="71"/>
      <c r="I490" s="109">
        <f t="shared" si="39"/>
        <v>57.150000000000006</v>
      </c>
      <c r="J490" s="110">
        <f t="shared" si="36"/>
        <v>0</v>
      </c>
      <c r="K490" s="111">
        <f t="shared" si="37"/>
        <v>3</v>
      </c>
      <c r="L490" s="110">
        <f t="shared" si="38"/>
        <v>57.150000000000006</v>
      </c>
      <c r="M490" s="112"/>
    </row>
    <row r="491" spans="2:13" s="52" customFormat="1" ht="20.100000000000001" customHeight="1">
      <c r="B491" s="108">
        <v>5</v>
      </c>
      <c r="C491" s="139" t="s">
        <v>51</v>
      </c>
      <c r="D491" s="108" t="s">
        <v>1517</v>
      </c>
      <c r="E491" s="108" t="s">
        <v>1602</v>
      </c>
      <c r="F491" s="108" t="s">
        <v>1674</v>
      </c>
      <c r="G491" s="108">
        <v>33</v>
      </c>
      <c r="H491" s="71"/>
      <c r="I491" s="109">
        <f t="shared" si="39"/>
        <v>587.7299999999999</v>
      </c>
      <c r="J491" s="110">
        <f t="shared" si="36"/>
        <v>0</v>
      </c>
      <c r="K491" s="111">
        <f t="shared" si="37"/>
        <v>33</v>
      </c>
      <c r="L491" s="110">
        <f t="shared" si="38"/>
        <v>587.7299999999999</v>
      </c>
      <c r="M491" s="112"/>
    </row>
    <row r="492" spans="2:13" s="52" customFormat="1" ht="20.100000000000001" customHeight="1">
      <c r="B492" s="108">
        <v>5</v>
      </c>
      <c r="C492" s="139" t="s">
        <v>51</v>
      </c>
      <c r="D492" s="108" t="s">
        <v>1518</v>
      </c>
      <c r="E492" s="108" t="s">
        <v>1603</v>
      </c>
      <c r="F492" s="108" t="s">
        <v>1676</v>
      </c>
      <c r="G492" s="108">
        <v>5</v>
      </c>
      <c r="H492" s="71"/>
      <c r="I492" s="109">
        <f t="shared" si="39"/>
        <v>873.9</v>
      </c>
      <c r="J492" s="110">
        <f t="shared" si="36"/>
        <v>0</v>
      </c>
      <c r="K492" s="111">
        <f t="shared" si="37"/>
        <v>5</v>
      </c>
      <c r="L492" s="110">
        <f t="shared" si="38"/>
        <v>873.9</v>
      </c>
      <c r="M492" s="112"/>
    </row>
    <row r="493" spans="2:13" s="52" customFormat="1" ht="20.100000000000001" customHeight="1">
      <c r="B493" s="108">
        <v>5</v>
      </c>
      <c r="C493" s="139" t="s">
        <v>51</v>
      </c>
      <c r="D493" s="108" t="s">
        <v>1519</v>
      </c>
      <c r="E493" s="108" t="s">
        <v>1604</v>
      </c>
      <c r="F493" s="108" t="s">
        <v>1673</v>
      </c>
      <c r="G493" s="108">
        <v>211</v>
      </c>
      <c r="H493" s="71">
        <v>25</v>
      </c>
      <c r="I493" s="109">
        <f t="shared" si="39"/>
        <v>3840.2</v>
      </c>
      <c r="J493" s="110">
        <f t="shared" si="36"/>
        <v>455</v>
      </c>
      <c r="K493" s="111">
        <f t="shared" si="37"/>
        <v>186</v>
      </c>
      <c r="L493" s="110">
        <f t="shared" si="38"/>
        <v>3385.2</v>
      </c>
      <c r="M493" s="112"/>
    </row>
    <row r="494" spans="2:13" s="52" customFormat="1" ht="20.100000000000001" customHeight="1">
      <c r="B494" s="108">
        <v>5</v>
      </c>
      <c r="C494" s="139" t="s">
        <v>51</v>
      </c>
      <c r="D494" s="108" t="s">
        <v>1520</v>
      </c>
      <c r="E494" s="108" t="s">
        <v>1605</v>
      </c>
      <c r="F494" s="108" t="s">
        <v>1673</v>
      </c>
      <c r="G494" s="108">
        <v>151</v>
      </c>
      <c r="H494" s="71">
        <v>23</v>
      </c>
      <c r="I494" s="109">
        <f t="shared" si="39"/>
        <v>2748.2</v>
      </c>
      <c r="J494" s="110">
        <f t="shared" si="36"/>
        <v>418.59999999999997</v>
      </c>
      <c r="K494" s="111">
        <f t="shared" si="37"/>
        <v>128</v>
      </c>
      <c r="L494" s="110">
        <f t="shared" si="38"/>
        <v>2329.6</v>
      </c>
      <c r="M494" s="112"/>
    </row>
    <row r="495" spans="2:13" s="52" customFormat="1" ht="20.100000000000001" customHeight="1">
      <c r="B495" s="108">
        <v>5</v>
      </c>
      <c r="C495" s="139" t="s">
        <v>51</v>
      </c>
      <c r="D495" s="108" t="s">
        <v>1521</v>
      </c>
      <c r="E495" s="108" t="s">
        <v>1606</v>
      </c>
      <c r="F495" s="108" t="s">
        <v>1675</v>
      </c>
      <c r="G495" s="108">
        <v>52</v>
      </c>
      <c r="H495" s="71"/>
      <c r="I495" s="109">
        <f t="shared" si="39"/>
        <v>990.6</v>
      </c>
      <c r="J495" s="110">
        <f t="shared" si="36"/>
        <v>0</v>
      </c>
      <c r="K495" s="111">
        <f t="shared" si="37"/>
        <v>52</v>
      </c>
      <c r="L495" s="110">
        <f t="shared" si="38"/>
        <v>990.6</v>
      </c>
      <c r="M495" s="112"/>
    </row>
    <row r="496" spans="2:13" s="52" customFormat="1" ht="20.100000000000001" customHeight="1">
      <c r="B496" s="108">
        <v>5</v>
      </c>
      <c r="C496" s="139" t="s">
        <v>51</v>
      </c>
      <c r="D496" s="108" t="s">
        <v>1522</v>
      </c>
      <c r="E496" s="108" t="s">
        <v>1607</v>
      </c>
      <c r="F496" s="108" t="s">
        <v>1674</v>
      </c>
      <c r="G496" s="108">
        <v>38</v>
      </c>
      <c r="H496" s="71"/>
      <c r="I496" s="109">
        <f t="shared" si="39"/>
        <v>676.78</v>
      </c>
      <c r="J496" s="110">
        <f t="shared" si="36"/>
        <v>0</v>
      </c>
      <c r="K496" s="111">
        <f t="shared" si="37"/>
        <v>38</v>
      </c>
      <c r="L496" s="110">
        <f t="shared" si="38"/>
        <v>676.78</v>
      </c>
      <c r="M496" s="112"/>
    </row>
    <row r="497" spans="2:13" s="52" customFormat="1" ht="20.100000000000001" hidden="1" customHeight="1">
      <c r="B497" s="108">
        <v>6</v>
      </c>
      <c r="C497" s="139" t="s">
        <v>52</v>
      </c>
      <c r="D497" s="108" t="s">
        <v>4662</v>
      </c>
      <c r="E497" s="108" t="s">
        <v>4663</v>
      </c>
      <c r="F497" s="108" t="s">
        <v>4664</v>
      </c>
      <c r="G497" s="108">
        <v>16</v>
      </c>
      <c r="H497" s="71">
        <v>17</v>
      </c>
      <c r="I497" s="109">
        <f t="shared" si="39"/>
        <v>812.8</v>
      </c>
      <c r="J497" s="110">
        <f t="shared" si="36"/>
        <v>863.59999999999991</v>
      </c>
      <c r="K497" s="111">
        <f t="shared" si="37"/>
        <v>-1</v>
      </c>
      <c r="L497" s="110">
        <f t="shared" si="38"/>
        <v>-50.799999999999955</v>
      </c>
      <c r="M497" s="112"/>
    </row>
    <row r="498" spans="2:13" s="52" customFormat="1" ht="20.100000000000001" customHeight="1">
      <c r="B498" s="108">
        <v>6</v>
      </c>
      <c r="C498" s="115" t="s">
        <v>52</v>
      </c>
      <c r="D498" s="108" t="s">
        <v>1677</v>
      </c>
      <c r="E498" s="108" t="s">
        <v>1740</v>
      </c>
      <c r="F498" s="108" t="s">
        <v>1803</v>
      </c>
      <c r="G498" s="108">
        <v>9</v>
      </c>
      <c r="H498" s="71">
        <f>2+3</f>
        <v>5</v>
      </c>
      <c r="I498" s="109">
        <f t="shared" si="39"/>
        <v>448.2</v>
      </c>
      <c r="J498" s="110">
        <f t="shared" si="36"/>
        <v>249</v>
      </c>
      <c r="K498" s="111">
        <f t="shared" si="37"/>
        <v>4</v>
      </c>
      <c r="L498" s="110">
        <f t="shared" si="38"/>
        <v>199.2</v>
      </c>
      <c r="M498" s="112"/>
    </row>
    <row r="499" spans="2:13" s="52" customFormat="1" ht="20.100000000000001" customHeight="1">
      <c r="B499" s="108">
        <v>6</v>
      </c>
      <c r="C499" s="139" t="s">
        <v>52</v>
      </c>
      <c r="D499" s="108" t="s">
        <v>1678</v>
      </c>
      <c r="E499" s="108" t="s">
        <v>1741</v>
      </c>
      <c r="F499" s="108" t="s">
        <v>1804</v>
      </c>
      <c r="G499" s="108">
        <v>4</v>
      </c>
      <c r="H499" s="71"/>
      <c r="I499" s="109">
        <f t="shared" si="39"/>
        <v>560</v>
      </c>
      <c r="J499" s="110">
        <f t="shared" si="36"/>
        <v>0</v>
      </c>
      <c r="K499" s="111">
        <f t="shared" si="37"/>
        <v>4</v>
      </c>
      <c r="L499" s="110">
        <f t="shared" si="38"/>
        <v>560</v>
      </c>
      <c r="M499" s="112"/>
    </row>
    <row r="500" spans="2:13" s="52" customFormat="1" ht="20.100000000000001" customHeight="1">
      <c r="B500" s="108">
        <v>6</v>
      </c>
      <c r="C500" s="115" t="s">
        <v>52</v>
      </c>
      <c r="D500" s="108" t="s">
        <v>1679</v>
      </c>
      <c r="E500" s="108" t="s">
        <v>1742</v>
      </c>
      <c r="F500" s="108" t="s">
        <v>1805</v>
      </c>
      <c r="G500" s="108">
        <v>97</v>
      </c>
      <c r="H500" s="71"/>
      <c r="I500" s="109">
        <f t="shared" si="39"/>
        <v>2502.6</v>
      </c>
      <c r="J500" s="110">
        <f t="shared" ref="J500:J554" si="40">F500*H500</f>
        <v>0</v>
      </c>
      <c r="K500" s="111">
        <f t="shared" ref="K500:K554" si="41">G500-H500</f>
        <v>97</v>
      </c>
      <c r="L500" s="110">
        <f t="shared" ref="L500:L554" si="42">I500-J500</f>
        <v>2502.6</v>
      </c>
      <c r="M500" s="112"/>
    </row>
    <row r="501" spans="2:13" s="52" customFormat="1" ht="20.100000000000001" hidden="1" customHeight="1">
      <c r="B501" s="108">
        <v>6</v>
      </c>
      <c r="C501" s="139" t="s">
        <v>52</v>
      </c>
      <c r="D501" s="108" t="s">
        <v>1680</v>
      </c>
      <c r="E501" s="108" t="s">
        <v>1743</v>
      </c>
      <c r="F501" s="108" t="s">
        <v>1806</v>
      </c>
      <c r="G501" s="108">
        <v>29</v>
      </c>
      <c r="H501" s="71">
        <v>30</v>
      </c>
      <c r="I501" s="109">
        <f t="shared" si="39"/>
        <v>759.8</v>
      </c>
      <c r="J501" s="110">
        <f t="shared" si="40"/>
        <v>786</v>
      </c>
      <c r="K501" s="111">
        <f t="shared" si="41"/>
        <v>-1</v>
      </c>
      <c r="L501" s="110">
        <f t="shared" si="42"/>
        <v>-26.200000000000045</v>
      </c>
      <c r="M501" s="112"/>
    </row>
    <row r="502" spans="2:13" s="52" customFormat="1" ht="20.100000000000001" customHeight="1">
      <c r="B502" s="108">
        <v>6</v>
      </c>
      <c r="C502" s="115" t="s">
        <v>52</v>
      </c>
      <c r="D502" s="108" t="s">
        <v>1681</v>
      </c>
      <c r="E502" s="108" t="s">
        <v>1744</v>
      </c>
      <c r="F502" s="108" t="s">
        <v>1807</v>
      </c>
      <c r="G502" s="108">
        <v>39</v>
      </c>
      <c r="H502" s="71">
        <v>5</v>
      </c>
      <c r="I502" s="109">
        <f t="shared" si="39"/>
        <v>1895.4</v>
      </c>
      <c r="J502" s="110">
        <f t="shared" si="40"/>
        <v>243</v>
      </c>
      <c r="K502" s="111">
        <f t="shared" si="41"/>
        <v>34</v>
      </c>
      <c r="L502" s="110">
        <f t="shared" si="42"/>
        <v>1652.4</v>
      </c>
      <c r="M502" s="112"/>
    </row>
    <row r="503" spans="2:13" s="52" customFormat="1" ht="20.100000000000001" customHeight="1">
      <c r="B503" s="108">
        <v>6</v>
      </c>
      <c r="C503" s="139" t="s">
        <v>52</v>
      </c>
      <c r="D503" s="108" t="s">
        <v>1682</v>
      </c>
      <c r="E503" s="108" t="s">
        <v>1745</v>
      </c>
      <c r="F503" s="108" t="s">
        <v>1805</v>
      </c>
      <c r="G503" s="108">
        <v>367</v>
      </c>
      <c r="H503" s="71">
        <f>15+180</f>
        <v>195</v>
      </c>
      <c r="I503" s="109">
        <f t="shared" si="39"/>
        <v>9468.6</v>
      </c>
      <c r="J503" s="110">
        <f t="shared" si="40"/>
        <v>5031</v>
      </c>
      <c r="K503" s="111">
        <f t="shared" si="41"/>
        <v>172</v>
      </c>
      <c r="L503" s="110">
        <f t="shared" si="42"/>
        <v>4437.6000000000004</v>
      </c>
      <c r="M503" s="112"/>
    </row>
    <row r="504" spans="2:13" s="52" customFormat="1" ht="20.100000000000001" customHeight="1">
      <c r="B504" s="108">
        <v>6</v>
      </c>
      <c r="C504" s="115" t="s">
        <v>52</v>
      </c>
      <c r="D504" s="108" t="s">
        <v>1683</v>
      </c>
      <c r="E504" s="108" t="s">
        <v>1746</v>
      </c>
      <c r="F504" s="108" t="s">
        <v>1808</v>
      </c>
      <c r="G504" s="108">
        <v>122</v>
      </c>
      <c r="H504" s="71">
        <f>60+1</f>
        <v>61</v>
      </c>
      <c r="I504" s="109">
        <f t="shared" si="39"/>
        <v>12236.6</v>
      </c>
      <c r="J504" s="110">
        <f t="shared" si="40"/>
        <v>6118.3</v>
      </c>
      <c r="K504" s="111">
        <f t="shared" si="41"/>
        <v>61</v>
      </c>
      <c r="L504" s="110">
        <f t="shared" si="42"/>
        <v>6118.3</v>
      </c>
      <c r="M504" s="112"/>
    </row>
    <row r="505" spans="2:13" s="52" customFormat="1" ht="20.100000000000001" customHeight="1">
      <c r="B505" s="108">
        <v>6</v>
      </c>
      <c r="C505" s="139" t="s">
        <v>52</v>
      </c>
      <c r="D505" s="108" t="s">
        <v>1684</v>
      </c>
      <c r="E505" s="108" t="s">
        <v>1747</v>
      </c>
      <c r="F505" s="108" t="s">
        <v>1809</v>
      </c>
      <c r="G505" s="108">
        <v>16</v>
      </c>
      <c r="H505" s="71">
        <v>10</v>
      </c>
      <c r="I505" s="109">
        <f t="shared" si="39"/>
        <v>1181.76</v>
      </c>
      <c r="J505" s="110">
        <f t="shared" si="40"/>
        <v>738.6</v>
      </c>
      <c r="K505" s="111">
        <f t="shared" si="41"/>
        <v>6</v>
      </c>
      <c r="L505" s="110">
        <f t="shared" si="42"/>
        <v>443.15999999999997</v>
      </c>
      <c r="M505" s="112"/>
    </row>
    <row r="506" spans="2:13" s="52" customFormat="1" ht="20.100000000000001" customHeight="1">
      <c r="B506" s="108">
        <v>6</v>
      </c>
      <c r="C506" s="115" t="s">
        <v>52</v>
      </c>
      <c r="D506" s="108" t="s">
        <v>1685</v>
      </c>
      <c r="E506" s="108" t="s">
        <v>1748</v>
      </c>
      <c r="F506" s="108" t="s">
        <v>1810</v>
      </c>
      <c r="G506" s="108">
        <v>1</v>
      </c>
      <c r="H506" s="71"/>
      <c r="I506" s="109">
        <f t="shared" si="39"/>
        <v>39.85</v>
      </c>
      <c r="J506" s="110">
        <f t="shared" si="40"/>
        <v>0</v>
      </c>
      <c r="K506" s="111">
        <f t="shared" si="41"/>
        <v>1</v>
      </c>
      <c r="L506" s="110">
        <f t="shared" si="42"/>
        <v>39.85</v>
      </c>
      <c r="M506" s="112"/>
    </row>
    <row r="507" spans="2:13" s="52" customFormat="1" ht="20.100000000000001" customHeight="1">
      <c r="B507" s="108">
        <v>6</v>
      </c>
      <c r="C507" s="139" t="s">
        <v>52</v>
      </c>
      <c r="D507" s="108" t="s">
        <v>1686</v>
      </c>
      <c r="E507" s="108" t="s">
        <v>1749</v>
      </c>
      <c r="F507" s="108" t="s">
        <v>1811</v>
      </c>
      <c r="G507" s="108">
        <v>9</v>
      </c>
      <c r="H507" s="71"/>
      <c r="I507" s="109">
        <f t="shared" si="39"/>
        <v>1161.8999999999999</v>
      </c>
      <c r="J507" s="110">
        <f t="shared" si="40"/>
        <v>0</v>
      </c>
      <c r="K507" s="111">
        <f t="shared" si="41"/>
        <v>9</v>
      </c>
      <c r="L507" s="110">
        <f t="shared" si="42"/>
        <v>1161.8999999999999</v>
      </c>
      <c r="M507" s="112"/>
    </row>
    <row r="508" spans="2:13" s="52" customFormat="1" ht="20.100000000000001" customHeight="1">
      <c r="B508" s="108">
        <v>6</v>
      </c>
      <c r="C508" s="115" t="s">
        <v>52</v>
      </c>
      <c r="D508" s="108" t="s">
        <v>1687</v>
      </c>
      <c r="E508" s="108" t="s">
        <v>1750</v>
      </c>
      <c r="F508" s="108" t="s">
        <v>1812</v>
      </c>
      <c r="G508" s="108">
        <v>47</v>
      </c>
      <c r="H508" s="71"/>
      <c r="I508" s="109">
        <f t="shared" si="39"/>
        <v>493.5</v>
      </c>
      <c r="J508" s="110">
        <f t="shared" si="40"/>
        <v>0</v>
      </c>
      <c r="K508" s="111">
        <f t="shared" si="41"/>
        <v>47</v>
      </c>
      <c r="L508" s="110">
        <f t="shared" si="42"/>
        <v>493.5</v>
      </c>
      <c r="M508" s="112"/>
    </row>
    <row r="509" spans="2:13" s="52" customFormat="1" ht="20.100000000000001" hidden="1" customHeight="1">
      <c r="B509" s="108">
        <v>6</v>
      </c>
      <c r="C509" s="139" t="s">
        <v>52</v>
      </c>
      <c r="D509" s="108" t="s">
        <v>1688</v>
      </c>
      <c r="E509" s="108" t="s">
        <v>1751</v>
      </c>
      <c r="F509" s="108" t="s">
        <v>1813</v>
      </c>
      <c r="G509" s="108">
        <v>107</v>
      </c>
      <c r="H509" s="71">
        <f>12+132</f>
        <v>144</v>
      </c>
      <c r="I509" s="109">
        <f t="shared" si="39"/>
        <v>3121.19</v>
      </c>
      <c r="J509" s="110">
        <f t="shared" si="40"/>
        <v>4200.4800000000005</v>
      </c>
      <c r="K509" s="111">
        <f t="shared" si="41"/>
        <v>-37</v>
      </c>
      <c r="L509" s="110">
        <f t="shared" si="42"/>
        <v>-1079.2900000000004</v>
      </c>
      <c r="M509" s="112"/>
    </row>
    <row r="510" spans="2:13" s="52" customFormat="1" ht="20.100000000000001" customHeight="1">
      <c r="B510" s="108">
        <v>6</v>
      </c>
      <c r="C510" s="115" t="s">
        <v>52</v>
      </c>
      <c r="D510" s="108" t="s">
        <v>1689</v>
      </c>
      <c r="E510" s="108" t="s">
        <v>1752</v>
      </c>
      <c r="F510" s="108" t="s">
        <v>1814</v>
      </c>
      <c r="G510" s="108">
        <v>140</v>
      </c>
      <c r="H510" s="71">
        <v>14</v>
      </c>
      <c r="I510" s="109">
        <f t="shared" si="39"/>
        <v>4480</v>
      </c>
      <c r="J510" s="110">
        <f t="shared" si="40"/>
        <v>448</v>
      </c>
      <c r="K510" s="111">
        <f t="shared" si="41"/>
        <v>126</v>
      </c>
      <c r="L510" s="110">
        <f t="shared" si="42"/>
        <v>4032</v>
      </c>
      <c r="M510" s="112"/>
    </row>
    <row r="511" spans="2:13" s="52" customFormat="1" ht="20.100000000000001" customHeight="1">
      <c r="B511" s="108">
        <v>6</v>
      </c>
      <c r="C511" s="139" t="s">
        <v>52</v>
      </c>
      <c r="D511" s="108" t="s">
        <v>1690</v>
      </c>
      <c r="E511" s="108" t="s">
        <v>1753</v>
      </c>
      <c r="F511" s="108" t="s">
        <v>1815</v>
      </c>
      <c r="G511" s="108">
        <v>3</v>
      </c>
      <c r="H511" s="71"/>
      <c r="I511" s="109">
        <f t="shared" si="39"/>
        <v>23.64</v>
      </c>
      <c r="J511" s="110">
        <f t="shared" si="40"/>
        <v>0</v>
      </c>
      <c r="K511" s="111">
        <f t="shared" si="41"/>
        <v>3</v>
      </c>
      <c r="L511" s="110">
        <f t="shared" si="42"/>
        <v>23.64</v>
      </c>
      <c r="M511" s="112"/>
    </row>
    <row r="512" spans="2:13" s="52" customFormat="1" ht="20.100000000000001" hidden="1" customHeight="1">
      <c r="B512" s="108">
        <v>6</v>
      </c>
      <c r="C512" s="115" t="s">
        <v>52</v>
      </c>
      <c r="D512" s="108" t="s">
        <v>1691</v>
      </c>
      <c r="E512" s="108" t="s">
        <v>1754</v>
      </c>
      <c r="F512" s="108" t="s">
        <v>1816</v>
      </c>
      <c r="G512" s="108">
        <v>20</v>
      </c>
      <c r="H512" s="71">
        <v>54</v>
      </c>
      <c r="I512" s="109">
        <f t="shared" si="39"/>
        <v>304</v>
      </c>
      <c r="J512" s="110">
        <f t="shared" si="40"/>
        <v>820.8</v>
      </c>
      <c r="K512" s="111">
        <f t="shared" si="41"/>
        <v>-34</v>
      </c>
      <c r="L512" s="110">
        <f t="shared" si="42"/>
        <v>-516.79999999999995</v>
      </c>
      <c r="M512" s="112"/>
    </row>
    <row r="513" spans="2:13" s="52" customFormat="1" ht="20.100000000000001" customHeight="1">
      <c r="B513" s="108">
        <v>6</v>
      </c>
      <c r="C513" s="139" t="s">
        <v>52</v>
      </c>
      <c r="D513" s="108" t="s">
        <v>1692</v>
      </c>
      <c r="E513" s="108" t="s">
        <v>1755</v>
      </c>
      <c r="F513" s="108" t="s">
        <v>771</v>
      </c>
      <c r="G513" s="108">
        <v>51</v>
      </c>
      <c r="H513" s="71">
        <v>11</v>
      </c>
      <c r="I513" s="109">
        <f t="shared" si="39"/>
        <v>782.85</v>
      </c>
      <c r="J513" s="110">
        <f t="shared" si="40"/>
        <v>168.85</v>
      </c>
      <c r="K513" s="111">
        <f t="shared" si="41"/>
        <v>40</v>
      </c>
      <c r="L513" s="110">
        <f t="shared" si="42"/>
        <v>614</v>
      </c>
      <c r="M513" s="112"/>
    </row>
    <row r="514" spans="2:13" s="52" customFormat="1" ht="20.100000000000001" customHeight="1">
      <c r="B514" s="108">
        <v>6</v>
      </c>
      <c r="C514" s="115" t="s">
        <v>52</v>
      </c>
      <c r="D514" s="108" t="s">
        <v>1693</v>
      </c>
      <c r="E514" s="108" t="s">
        <v>1756</v>
      </c>
      <c r="F514" s="108" t="s">
        <v>1817</v>
      </c>
      <c r="G514" s="108">
        <v>80</v>
      </c>
      <c r="H514" s="71">
        <f>1+73</f>
        <v>74</v>
      </c>
      <c r="I514" s="109">
        <f t="shared" si="39"/>
        <v>2466.3999999999996</v>
      </c>
      <c r="J514" s="110">
        <f t="shared" si="40"/>
        <v>2281.42</v>
      </c>
      <c r="K514" s="111">
        <f t="shared" si="41"/>
        <v>6</v>
      </c>
      <c r="L514" s="110">
        <f t="shared" si="42"/>
        <v>184.97999999999956</v>
      </c>
      <c r="M514" s="112"/>
    </row>
    <row r="515" spans="2:13" s="52" customFormat="1" ht="20.100000000000001" hidden="1" customHeight="1">
      <c r="B515" s="108">
        <v>6</v>
      </c>
      <c r="C515" s="139" t="s">
        <v>52</v>
      </c>
      <c r="D515" s="108" t="s">
        <v>1694</v>
      </c>
      <c r="E515" s="108" t="s">
        <v>1757</v>
      </c>
      <c r="F515" s="108" t="s">
        <v>1818</v>
      </c>
      <c r="G515" s="108">
        <v>41</v>
      </c>
      <c r="H515" s="71">
        <f>42+73</f>
        <v>115</v>
      </c>
      <c r="I515" s="109">
        <f t="shared" si="39"/>
        <v>358.75</v>
      </c>
      <c r="J515" s="110">
        <f t="shared" si="40"/>
        <v>1006.25</v>
      </c>
      <c r="K515" s="111">
        <f t="shared" si="41"/>
        <v>-74</v>
      </c>
      <c r="L515" s="110">
        <f t="shared" si="42"/>
        <v>-647.5</v>
      </c>
      <c r="M515" s="112"/>
    </row>
    <row r="516" spans="2:13" s="52" customFormat="1" ht="20.100000000000001" customHeight="1">
      <c r="B516" s="108">
        <v>6</v>
      </c>
      <c r="C516" s="115" t="s">
        <v>52</v>
      </c>
      <c r="D516" s="108" t="s">
        <v>1695</v>
      </c>
      <c r="E516" s="108" t="s">
        <v>1758</v>
      </c>
      <c r="F516" s="108" t="s">
        <v>1818</v>
      </c>
      <c r="G516" s="108">
        <v>64</v>
      </c>
      <c r="H516" s="71">
        <f>41+11</f>
        <v>52</v>
      </c>
      <c r="I516" s="109">
        <f t="shared" si="39"/>
        <v>560</v>
      </c>
      <c r="J516" s="110">
        <f t="shared" si="40"/>
        <v>455</v>
      </c>
      <c r="K516" s="111">
        <f t="shared" si="41"/>
        <v>12</v>
      </c>
      <c r="L516" s="110">
        <f t="shared" si="42"/>
        <v>105</v>
      </c>
      <c r="M516" s="112"/>
    </row>
    <row r="517" spans="2:13" s="52" customFormat="1" ht="20.100000000000001" customHeight="1">
      <c r="B517" s="108">
        <v>6</v>
      </c>
      <c r="C517" s="139" t="s">
        <v>52</v>
      </c>
      <c r="D517" s="108" t="s">
        <v>1696</v>
      </c>
      <c r="E517" s="108" t="s">
        <v>1759</v>
      </c>
      <c r="F517" s="108" t="s">
        <v>1819</v>
      </c>
      <c r="G517" s="108">
        <v>8</v>
      </c>
      <c r="H517" s="71"/>
      <c r="I517" s="109">
        <f t="shared" si="39"/>
        <v>172</v>
      </c>
      <c r="J517" s="110">
        <f t="shared" si="40"/>
        <v>0</v>
      </c>
      <c r="K517" s="111">
        <f t="shared" si="41"/>
        <v>8</v>
      </c>
      <c r="L517" s="110">
        <f t="shared" si="42"/>
        <v>172</v>
      </c>
      <c r="M517" s="112"/>
    </row>
    <row r="518" spans="2:13" s="52" customFormat="1" ht="20.100000000000001" customHeight="1">
      <c r="B518" s="108">
        <v>6</v>
      </c>
      <c r="C518" s="115" t="s">
        <v>52</v>
      </c>
      <c r="D518" s="108" t="s">
        <v>1697</v>
      </c>
      <c r="E518" s="108" t="s">
        <v>1760</v>
      </c>
      <c r="F518" s="108" t="s">
        <v>1819</v>
      </c>
      <c r="G518" s="108">
        <v>13</v>
      </c>
      <c r="H518" s="71"/>
      <c r="I518" s="109">
        <f t="shared" si="39"/>
        <v>279.5</v>
      </c>
      <c r="J518" s="110">
        <f t="shared" si="40"/>
        <v>0</v>
      </c>
      <c r="K518" s="111">
        <f t="shared" si="41"/>
        <v>13</v>
      </c>
      <c r="L518" s="110">
        <f t="shared" si="42"/>
        <v>279.5</v>
      </c>
      <c r="M518" s="112"/>
    </row>
    <row r="519" spans="2:13" s="52" customFormat="1" ht="20.100000000000001" customHeight="1">
      <c r="B519" s="108">
        <v>6</v>
      </c>
      <c r="C519" s="139" t="s">
        <v>52</v>
      </c>
      <c r="D519" s="108" t="s">
        <v>1698</v>
      </c>
      <c r="E519" s="108" t="s">
        <v>1761</v>
      </c>
      <c r="F519" s="108" t="s">
        <v>1819</v>
      </c>
      <c r="G519" s="108">
        <v>9</v>
      </c>
      <c r="H519" s="71"/>
      <c r="I519" s="109">
        <f t="shared" si="39"/>
        <v>193.5</v>
      </c>
      <c r="J519" s="110">
        <f t="shared" si="40"/>
        <v>0</v>
      </c>
      <c r="K519" s="111">
        <f t="shared" si="41"/>
        <v>9</v>
      </c>
      <c r="L519" s="110">
        <f t="shared" si="42"/>
        <v>193.5</v>
      </c>
      <c r="M519" s="112"/>
    </row>
    <row r="520" spans="2:13" s="52" customFormat="1" ht="20.100000000000001" customHeight="1">
      <c r="B520" s="108">
        <v>6</v>
      </c>
      <c r="C520" s="115" t="s">
        <v>52</v>
      </c>
      <c r="D520" s="108" t="s">
        <v>1699</v>
      </c>
      <c r="E520" s="108" t="s">
        <v>1762</v>
      </c>
      <c r="F520" s="108" t="s">
        <v>1819</v>
      </c>
      <c r="G520" s="108">
        <v>10</v>
      </c>
      <c r="H520" s="71"/>
      <c r="I520" s="109">
        <f t="shared" si="39"/>
        <v>215</v>
      </c>
      <c r="J520" s="110">
        <f t="shared" si="40"/>
        <v>0</v>
      </c>
      <c r="K520" s="111">
        <f t="shared" si="41"/>
        <v>10</v>
      </c>
      <c r="L520" s="110">
        <f t="shared" si="42"/>
        <v>215</v>
      </c>
      <c r="M520" s="112"/>
    </row>
    <row r="521" spans="2:13" s="52" customFormat="1" ht="20.100000000000001" customHeight="1">
      <c r="B521" s="108">
        <v>6</v>
      </c>
      <c r="C521" s="139" t="s">
        <v>52</v>
      </c>
      <c r="D521" s="108" t="s">
        <v>1700</v>
      </c>
      <c r="E521" s="108" t="s">
        <v>1763</v>
      </c>
      <c r="F521" s="108" t="s">
        <v>1819</v>
      </c>
      <c r="G521" s="108">
        <v>8</v>
      </c>
      <c r="H521" s="71"/>
      <c r="I521" s="109">
        <f t="shared" si="39"/>
        <v>172</v>
      </c>
      <c r="J521" s="110">
        <f t="shared" si="40"/>
        <v>0</v>
      </c>
      <c r="K521" s="111">
        <f t="shared" si="41"/>
        <v>8</v>
      </c>
      <c r="L521" s="110">
        <f t="shared" si="42"/>
        <v>172</v>
      </c>
      <c r="M521" s="112"/>
    </row>
    <row r="522" spans="2:13" s="52" customFormat="1" ht="20.100000000000001" customHeight="1">
      <c r="B522" s="108">
        <v>6</v>
      </c>
      <c r="C522" s="115" t="s">
        <v>52</v>
      </c>
      <c r="D522" s="108" t="s">
        <v>1701</v>
      </c>
      <c r="E522" s="108" t="s">
        <v>1764</v>
      </c>
      <c r="F522" s="108" t="s">
        <v>1820</v>
      </c>
      <c r="G522" s="108">
        <v>8</v>
      </c>
      <c r="H522" s="71"/>
      <c r="I522" s="109">
        <f t="shared" si="39"/>
        <v>204</v>
      </c>
      <c r="J522" s="110">
        <f t="shared" si="40"/>
        <v>0</v>
      </c>
      <c r="K522" s="111">
        <f t="shared" si="41"/>
        <v>8</v>
      </c>
      <c r="L522" s="110">
        <f t="shared" si="42"/>
        <v>204</v>
      </c>
      <c r="M522" s="112"/>
    </row>
    <row r="523" spans="2:13" s="52" customFormat="1" ht="20.100000000000001" customHeight="1">
      <c r="B523" s="108">
        <v>6</v>
      </c>
      <c r="C523" s="139" t="s">
        <v>52</v>
      </c>
      <c r="D523" s="108" t="s">
        <v>1702</v>
      </c>
      <c r="E523" s="108" t="s">
        <v>1765</v>
      </c>
      <c r="F523" s="108" t="s">
        <v>1820</v>
      </c>
      <c r="G523" s="108">
        <v>9</v>
      </c>
      <c r="H523" s="71"/>
      <c r="I523" s="109">
        <f t="shared" si="39"/>
        <v>229.5</v>
      </c>
      <c r="J523" s="110">
        <f t="shared" si="40"/>
        <v>0</v>
      </c>
      <c r="K523" s="111">
        <f t="shared" si="41"/>
        <v>9</v>
      </c>
      <c r="L523" s="110">
        <f t="shared" si="42"/>
        <v>229.5</v>
      </c>
      <c r="M523" s="112"/>
    </row>
    <row r="524" spans="2:13" s="52" customFormat="1" ht="20.100000000000001" customHeight="1">
      <c r="B524" s="108">
        <v>6</v>
      </c>
      <c r="C524" s="115" t="s">
        <v>52</v>
      </c>
      <c r="D524" s="108" t="s">
        <v>1703</v>
      </c>
      <c r="E524" s="108" t="s">
        <v>1766</v>
      </c>
      <c r="F524" s="108" t="s">
        <v>1819</v>
      </c>
      <c r="G524" s="108">
        <v>10</v>
      </c>
      <c r="H524" s="71"/>
      <c r="I524" s="109">
        <f t="shared" si="39"/>
        <v>215</v>
      </c>
      <c r="J524" s="110">
        <f t="shared" si="40"/>
        <v>0</v>
      </c>
      <c r="K524" s="111">
        <f t="shared" si="41"/>
        <v>10</v>
      </c>
      <c r="L524" s="110">
        <f t="shared" si="42"/>
        <v>215</v>
      </c>
      <c r="M524" s="112"/>
    </row>
    <row r="525" spans="2:13" s="52" customFormat="1" ht="20.100000000000001" customHeight="1">
      <c r="B525" s="108">
        <v>6</v>
      </c>
      <c r="C525" s="139" t="s">
        <v>52</v>
      </c>
      <c r="D525" s="108" t="s">
        <v>1704</v>
      </c>
      <c r="E525" s="108" t="s">
        <v>1767</v>
      </c>
      <c r="F525" s="108" t="s">
        <v>1819</v>
      </c>
      <c r="G525" s="108">
        <v>11</v>
      </c>
      <c r="H525" s="71">
        <v>1</v>
      </c>
      <c r="I525" s="109">
        <f t="shared" si="39"/>
        <v>236.5</v>
      </c>
      <c r="J525" s="110">
        <f t="shared" si="40"/>
        <v>21.5</v>
      </c>
      <c r="K525" s="111">
        <f t="shared" si="41"/>
        <v>10</v>
      </c>
      <c r="L525" s="110">
        <f t="shared" si="42"/>
        <v>215</v>
      </c>
      <c r="M525" s="112"/>
    </row>
    <row r="526" spans="2:13" s="52" customFormat="1" ht="20.100000000000001" customHeight="1">
      <c r="B526" s="108">
        <v>6</v>
      </c>
      <c r="C526" s="115" t="s">
        <v>52</v>
      </c>
      <c r="D526" s="108" t="s">
        <v>1705</v>
      </c>
      <c r="E526" s="108" t="s">
        <v>1768</v>
      </c>
      <c r="F526" s="108" t="s">
        <v>1232</v>
      </c>
      <c r="G526" s="108">
        <v>60</v>
      </c>
      <c r="H526" s="71"/>
      <c r="I526" s="109">
        <f t="shared" si="39"/>
        <v>600</v>
      </c>
      <c r="J526" s="110">
        <f t="shared" si="40"/>
        <v>0</v>
      </c>
      <c r="K526" s="111">
        <f t="shared" si="41"/>
        <v>60</v>
      </c>
      <c r="L526" s="110">
        <f t="shared" si="42"/>
        <v>600</v>
      </c>
      <c r="M526" s="112"/>
    </row>
    <row r="527" spans="2:13" s="52" customFormat="1" ht="20.100000000000001" customHeight="1">
      <c r="B527" s="108">
        <v>6</v>
      </c>
      <c r="C527" s="139" t="s">
        <v>52</v>
      </c>
      <c r="D527" s="108" t="s">
        <v>1706</v>
      </c>
      <c r="E527" s="108" t="s">
        <v>1769</v>
      </c>
      <c r="F527" s="108" t="s">
        <v>1821</v>
      </c>
      <c r="G527" s="108">
        <v>11</v>
      </c>
      <c r="H527" s="71">
        <f>9+1</f>
        <v>10</v>
      </c>
      <c r="I527" s="109">
        <f t="shared" si="39"/>
        <v>206.25</v>
      </c>
      <c r="J527" s="110">
        <f t="shared" si="40"/>
        <v>187.5</v>
      </c>
      <c r="K527" s="111">
        <f t="shared" si="41"/>
        <v>1</v>
      </c>
      <c r="L527" s="110">
        <f t="shared" si="42"/>
        <v>18.75</v>
      </c>
      <c r="M527" s="112"/>
    </row>
    <row r="528" spans="2:13" s="52" customFormat="1" ht="20.100000000000001" customHeight="1">
      <c r="B528" s="108">
        <v>6</v>
      </c>
      <c r="C528" s="115" t="s">
        <v>52</v>
      </c>
      <c r="D528" s="108" t="s">
        <v>1707</v>
      </c>
      <c r="E528" s="108" t="s">
        <v>1770</v>
      </c>
      <c r="F528" s="108" t="s">
        <v>3666</v>
      </c>
      <c r="G528" s="108">
        <v>15</v>
      </c>
      <c r="H528" s="71">
        <v>13</v>
      </c>
      <c r="I528" s="109">
        <f t="shared" si="39"/>
        <v>228.75</v>
      </c>
      <c r="J528" s="110">
        <f t="shared" si="40"/>
        <v>198.25</v>
      </c>
      <c r="K528" s="111">
        <f t="shared" si="41"/>
        <v>2</v>
      </c>
      <c r="L528" s="110">
        <f t="shared" si="42"/>
        <v>30.5</v>
      </c>
      <c r="M528" s="112"/>
    </row>
    <row r="529" spans="2:13" s="52" customFormat="1" ht="20.100000000000001" hidden="1" customHeight="1">
      <c r="B529" s="108">
        <v>6</v>
      </c>
      <c r="C529" s="115" t="s">
        <v>52</v>
      </c>
      <c r="D529" s="108" t="s">
        <v>1708</v>
      </c>
      <c r="E529" s="108" t="s">
        <v>1771</v>
      </c>
      <c r="F529" s="108" t="s">
        <v>1823</v>
      </c>
      <c r="G529" s="108">
        <v>48</v>
      </c>
      <c r="H529" s="71">
        <f>47+1</f>
        <v>48</v>
      </c>
      <c r="I529" s="109">
        <f t="shared" si="39"/>
        <v>672</v>
      </c>
      <c r="J529" s="110">
        <f t="shared" si="40"/>
        <v>672</v>
      </c>
      <c r="K529" s="111">
        <f t="shared" si="41"/>
        <v>0</v>
      </c>
      <c r="L529" s="110">
        <f t="shared" si="42"/>
        <v>0</v>
      </c>
      <c r="M529" s="112"/>
    </row>
    <row r="530" spans="2:13" s="52" customFormat="1" ht="20.100000000000001" customHeight="1">
      <c r="B530" s="108">
        <v>6</v>
      </c>
      <c r="C530" s="139" t="s">
        <v>52</v>
      </c>
      <c r="D530" s="108" t="s">
        <v>1709</v>
      </c>
      <c r="E530" s="108" t="s">
        <v>1772</v>
      </c>
      <c r="F530" s="108" t="s">
        <v>1824</v>
      </c>
      <c r="G530" s="108">
        <v>27</v>
      </c>
      <c r="H530" s="71">
        <v>5</v>
      </c>
      <c r="I530" s="109">
        <f t="shared" si="39"/>
        <v>499.5</v>
      </c>
      <c r="J530" s="110">
        <f t="shared" si="40"/>
        <v>92.5</v>
      </c>
      <c r="K530" s="111">
        <f t="shared" si="41"/>
        <v>22</v>
      </c>
      <c r="L530" s="110">
        <f t="shared" si="42"/>
        <v>407</v>
      </c>
      <c r="M530" s="112"/>
    </row>
    <row r="531" spans="2:13" s="52" customFormat="1" ht="20.100000000000001" hidden="1" customHeight="1">
      <c r="B531" s="108">
        <v>6</v>
      </c>
      <c r="C531" s="115" t="s">
        <v>52</v>
      </c>
      <c r="D531" s="108" t="s">
        <v>1710</v>
      </c>
      <c r="E531" s="108" t="s">
        <v>1773</v>
      </c>
      <c r="F531" s="108" t="s">
        <v>1825</v>
      </c>
      <c r="G531" s="108">
        <v>36</v>
      </c>
      <c r="H531" s="71">
        <f>44+6</f>
        <v>50</v>
      </c>
      <c r="I531" s="109">
        <f t="shared" si="39"/>
        <v>513</v>
      </c>
      <c r="J531" s="110">
        <f t="shared" si="40"/>
        <v>712.5</v>
      </c>
      <c r="K531" s="111">
        <f t="shared" si="41"/>
        <v>-14</v>
      </c>
      <c r="L531" s="110">
        <f t="shared" si="42"/>
        <v>-199.5</v>
      </c>
      <c r="M531" s="112"/>
    </row>
    <row r="532" spans="2:13" s="52" customFormat="1" ht="20.100000000000001" customHeight="1">
      <c r="B532" s="108">
        <v>6</v>
      </c>
      <c r="C532" s="139" t="s">
        <v>52</v>
      </c>
      <c r="D532" s="108" t="s">
        <v>1711</v>
      </c>
      <c r="E532" s="108" t="s">
        <v>1774</v>
      </c>
      <c r="F532" s="108" t="s">
        <v>1824</v>
      </c>
      <c r="G532" s="108">
        <v>24</v>
      </c>
      <c r="H532" s="71">
        <v>4</v>
      </c>
      <c r="I532" s="109">
        <f t="shared" si="39"/>
        <v>444</v>
      </c>
      <c r="J532" s="110">
        <f t="shared" si="40"/>
        <v>74</v>
      </c>
      <c r="K532" s="111">
        <f t="shared" si="41"/>
        <v>20</v>
      </c>
      <c r="L532" s="110">
        <f t="shared" si="42"/>
        <v>370</v>
      </c>
      <c r="M532" s="112"/>
    </row>
    <row r="533" spans="2:13" s="52" customFormat="1" ht="20.100000000000001" hidden="1" customHeight="1">
      <c r="B533" s="108">
        <v>6</v>
      </c>
      <c r="C533" s="115" t="s">
        <v>52</v>
      </c>
      <c r="D533" s="108" t="s">
        <v>1712</v>
      </c>
      <c r="E533" s="108" t="s">
        <v>1775</v>
      </c>
      <c r="F533" s="108" t="s">
        <v>1823</v>
      </c>
      <c r="G533" s="108">
        <v>40</v>
      </c>
      <c r="H533" s="71">
        <v>42</v>
      </c>
      <c r="I533" s="109">
        <f t="shared" si="39"/>
        <v>560</v>
      </c>
      <c r="J533" s="110">
        <f t="shared" si="40"/>
        <v>588</v>
      </c>
      <c r="K533" s="111">
        <f t="shared" si="41"/>
        <v>-2</v>
      </c>
      <c r="L533" s="110">
        <f t="shared" si="42"/>
        <v>-28</v>
      </c>
      <c r="M533" s="112"/>
    </row>
    <row r="534" spans="2:13" s="52" customFormat="1" ht="20.100000000000001" customHeight="1">
      <c r="B534" s="108">
        <v>6</v>
      </c>
      <c r="C534" s="139" t="s">
        <v>52</v>
      </c>
      <c r="D534" s="108" t="s">
        <v>1713</v>
      </c>
      <c r="E534" s="108" t="s">
        <v>1776</v>
      </c>
      <c r="F534" s="108" t="s">
        <v>1824</v>
      </c>
      <c r="G534" s="108">
        <v>40</v>
      </c>
      <c r="H534" s="71">
        <v>10</v>
      </c>
      <c r="I534" s="109">
        <f t="shared" si="39"/>
        <v>740</v>
      </c>
      <c r="J534" s="110">
        <f t="shared" si="40"/>
        <v>185</v>
      </c>
      <c r="K534" s="111">
        <f t="shared" si="41"/>
        <v>30</v>
      </c>
      <c r="L534" s="110">
        <f t="shared" si="42"/>
        <v>555</v>
      </c>
      <c r="M534" s="112"/>
    </row>
    <row r="535" spans="2:13" s="52" customFormat="1" ht="20.100000000000001" customHeight="1">
      <c r="B535" s="108">
        <v>6</v>
      </c>
      <c r="C535" s="115" t="s">
        <v>52</v>
      </c>
      <c r="D535" s="108" t="s">
        <v>1714</v>
      </c>
      <c r="E535" s="108" t="s">
        <v>1777</v>
      </c>
      <c r="F535" s="108" t="s">
        <v>1823</v>
      </c>
      <c r="G535" s="108">
        <v>24</v>
      </c>
      <c r="H535" s="71">
        <v>11</v>
      </c>
      <c r="I535" s="109">
        <f t="shared" si="39"/>
        <v>336</v>
      </c>
      <c r="J535" s="110">
        <f t="shared" si="40"/>
        <v>154</v>
      </c>
      <c r="K535" s="111">
        <f t="shared" si="41"/>
        <v>13</v>
      </c>
      <c r="L535" s="110">
        <f t="shared" si="42"/>
        <v>182</v>
      </c>
      <c r="M535" s="112"/>
    </row>
    <row r="536" spans="2:13" s="52" customFormat="1" ht="20.100000000000001" customHeight="1">
      <c r="B536" s="108">
        <v>6</v>
      </c>
      <c r="C536" s="139" t="s">
        <v>52</v>
      </c>
      <c r="D536" s="108" t="s">
        <v>1715</v>
      </c>
      <c r="E536" s="108" t="s">
        <v>1778</v>
      </c>
      <c r="F536" s="108" t="s">
        <v>1824</v>
      </c>
      <c r="G536" s="108">
        <v>10</v>
      </c>
      <c r="H536" s="71"/>
      <c r="I536" s="109">
        <f t="shared" si="39"/>
        <v>185</v>
      </c>
      <c r="J536" s="110">
        <f t="shared" si="40"/>
        <v>0</v>
      </c>
      <c r="K536" s="111">
        <f t="shared" si="41"/>
        <v>10</v>
      </c>
      <c r="L536" s="110">
        <f t="shared" si="42"/>
        <v>185</v>
      </c>
      <c r="M536" s="112"/>
    </row>
    <row r="537" spans="2:13" s="52" customFormat="1" ht="20.100000000000001" customHeight="1">
      <c r="B537" s="108">
        <v>6</v>
      </c>
      <c r="C537" s="115" t="s">
        <v>52</v>
      </c>
      <c r="D537" s="108" t="s">
        <v>1716</v>
      </c>
      <c r="E537" s="108" t="s">
        <v>1779</v>
      </c>
      <c r="F537" s="108" t="s">
        <v>1232</v>
      </c>
      <c r="G537" s="108">
        <v>173</v>
      </c>
      <c r="H537" s="71">
        <v>18</v>
      </c>
      <c r="I537" s="109">
        <f t="shared" si="39"/>
        <v>1730</v>
      </c>
      <c r="J537" s="110">
        <f t="shared" si="40"/>
        <v>180</v>
      </c>
      <c r="K537" s="111">
        <f t="shared" si="41"/>
        <v>155</v>
      </c>
      <c r="L537" s="110">
        <f t="shared" si="42"/>
        <v>1550</v>
      </c>
      <c r="M537" s="112"/>
    </row>
    <row r="538" spans="2:13" s="52" customFormat="1" ht="20.100000000000001" customHeight="1">
      <c r="B538" s="108">
        <v>6</v>
      </c>
      <c r="C538" s="139" t="s">
        <v>52</v>
      </c>
      <c r="D538" s="108" t="s">
        <v>1717</v>
      </c>
      <c r="E538" s="108" t="s">
        <v>1780</v>
      </c>
      <c r="F538" s="108" t="s">
        <v>1826</v>
      </c>
      <c r="G538" s="108">
        <v>8</v>
      </c>
      <c r="H538" s="71"/>
      <c r="I538" s="109">
        <f t="shared" si="39"/>
        <v>146.80000000000001</v>
      </c>
      <c r="J538" s="110">
        <f t="shared" si="40"/>
        <v>0</v>
      </c>
      <c r="K538" s="111">
        <f t="shared" si="41"/>
        <v>8</v>
      </c>
      <c r="L538" s="110">
        <f t="shared" si="42"/>
        <v>146.80000000000001</v>
      </c>
      <c r="M538" s="112"/>
    </row>
    <row r="539" spans="2:13" s="52" customFormat="1" ht="20.100000000000001" customHeight="1">
      <c r="B539" s="108">
        <v>6</v>
      </c>
      <c r="C539" s="115" t="s">
        <v>52</v>
      </c>
      <c r="D539" s="108" t="s">
        <v>1718</v>
      </c>
      <c r="E539" s="108" t="s">
        <v>1781</v>
      </c>
      <c r="F539" s="108" t="s">
        <v>1827</v>
      </c>
      <c r="G539" s="108">
        <v>9</v>
      </c>
      <c r="H539" s="71">
        <v>7</v>
      </c>
      <c r="I539" s="109">
        <f t="shared" si="39"/>
        <v>184.95000000000002</v>
      </c>
      <c r="J539" s="110">
        <f t="shared" si="40"/>
        <v>143.85</v>
      </c>
      <c r="K539" s="111">
        <f t="shared" si="41"/>
        <v>2</v>
      </c>
      <c r="L539" s="110">
        <f t="shared" si="42"/>
        <v>41.100000000000023</v>
      </c>
      <c r="M539" s="112"/>
    </row>
    <row r="540" spans="2:13" s="52" customFormat="1" ht="20.100000000000001" hidden="1" customHeight="1">
      <c r="B540" s="108">
        <v>6</v>
      </c>
      <c r="C540" s="139" t="s">
        <v>52</v>
      </c>
      <c r="D540" s="108" t="s">
        <v>1719</v>
      </c>
      <c r="E540" s="108" t="s">
        <v>1782</v>
      </c>
      <c r="F540" s="108" t="s">
        <v>1828</v>
      </c>
      <c r="G540" s="108">
        <v>22</v>
      </c>
      <c r="H540" s="71">
        <v>22</v>
      </c>
      <c r="I540" s="109">
        <f t="shared" ref="I540:I589" si="43">F540*G540</f>
        <v>513.04</v>
      </c>
      <c r="J540" s="110">
        <f t="shared" si="40"/>
        <v>513.04</v>
      </c>
      <c r="K540" s="111">
        <f t="shared" si="41"/>
        <v>0</v>
      </c>
      <c r="L540" s="110">
        <f t="shared" si="42"/>
        <v>0</v>
      </c>
      <c r="M540" s="112"/>
    </row>
    <row r="541" spans="2:13" s="52" customFormat="1" ht="20.100000000000001" customHeight="1">
      <c r="B541" s="108">
        <v>6</v>
      </c>
      <c r="C541" s="115" t="s">
        <v>52</v>
      </c>
      <c r="D541" s="108" t="s">
        <v>1720</v>
      </c>
      <c r="E541" s="108" t="s">
        <v>1783</v>
      </c>
      <c r="F541" s="108" t="s">
        <v>1827</v>
      </c>
      <c r="G541" s="108">
        <v>55</v>
      </c>
      <c r="H541" s="71">
        <v>23</v>
      </c>
      <c r="I541" s="109">
        <f t="shared" si="43"/>
        <v>1130.25</v>
      </c>
      <c r="J541" s="110">
        <f t="shared" si="40"/>
        <v>472.65000000000003</v>
      </c>
      <c r="K541" s="111">
        <f t="shared" si="41"/>
        <v>32</v>
      </c>
      <c r="L541" s="110">
        <f t="shared" si="42"/>
        <v>657.59999999999991</v>
      </c>
      <c r="M541" s="112"/>
    </row>
    <row r="542" spans="2:13" s="52" customFormat="1" ht="20.100000000000001" customHeight="1">
      <c r="B542" s="108">
        <v>6</v>
      </c>
      <c r="C542" s="139" t="s">
        <v>52</v>
      </c>
      <c r="D542" s="108" t="s">
        <v>1721</v>
      </c>
      <c r="E542" s="108" t="s">
        <v>1784</v>
      </c>
      <c r="F542" s="108" t="s">
        <v>1828</v>
      </c>
      <c r="G542" s="108">
        <v>28</v>
      </c>
      <c r="H542" s="71">
        <v>11</v>
      </c>
      <c r="I542" s="109">
        <f t="shared" si="43"/>
        <v>652.96</v>
      </c>
      <c r="J542" s="110">
        <f t="shared" si="40"/>
        <v>256.52</v>
      </c>
      <c r="K542" s="111">
        <f t="shared" si="41"/>
        <v>17</v>
      </c>
      <c r="L542" s="110">
        <f t="shared" si="42"/>
        <v>396.44000000000005</v>
      </c>
      <c r="M542" s="112"/>
    </row>
    <row r="543" spans="2:13" s="52" customFormat="1" ht="20.100000000000001" customHeight="1">
      <c r="B543" s="108">
        <v>6</v>
      </c>
      <c r="C543" s="139" t="s">
        <v>52</v>
      </c>
      <c r="D543" s="108" t="s">
        <v>1722</v>
      </c>
      <c r="E543" s="108" t="s">
        <v>1785</v>
      </c>
      <c r="F543" s="108" t="s">
        <v>1826</v>
      </c>
      <c r="G543" s="108">
        <v>1</v>
      </c>
      <c r="H543" s="71"/>
      <c r="I543" s="109">
        <f t="shared" si="43"/>
        <v>18.350000000000001</v>
      </c>
      <c r="J543" s="110">
        <f t="shared" si="40"/>
        <v>0</v>
      </c>
      <c r="K543" s="111">
        <f t="shared" si="41"/>
        <v>1</v>
      </c>
      <c r="L543" s="110">
        <f t="shared" si="42"/>
        <v>18.350000000000001</v>
      </c>
      <c r="M543" s="112"/>
    </row>
    <row r="544" spans="2:13" s="52" customFormat="1" ht="20.100000000000001" customHeight="1">
      <c r="B544" s="108">
        <v>6</v>
      </c>
      <c r="C544" s="115" t="s">
        <v>52</v>
      </c>
      <c r="D544" s="108" t="s">
        <v>1723</v>
      </c>
      <c r="E544" s="108" t="s">
        <v>1786</v>
      </c>
      <c r="F544" s="108" t="s">
        <v>1827</v>
      </c>
      <c r="G544" s="108">
        <v>27</v>
      </c>
      <c r="H544" s="71">
        <v>17</v>
      </c>
      <c r="I544" s="109">
        <f t="shared" si="43"/>
        <v>554.85</v>
      </c>
      <c r="J544" s="110">
        <f t="shared" si="40"/>
        <v>349.35</v>
      </c>
      <c r="K544" s="111">
        <f t="shared" si="41"/>
        <v>10</v>
      </c>
      <c r="L544" s="110">
        <f t="shared" si="42"/>
        <v>205.5</v>
      </c>
      <c r="M544" s="112"/>
    </row>
    <row r="545" spans="2:13" s="52" customFormat="1" ht="20.100000000000001" customHeight="1">
      <c r="B545" s="108">
        <v>6</v>
      </c>
      <c r="C545" s="139" t="s">
        <v>52</v>
      </c>
      <c r="D545" s="108" t="s">
        <v>1724</v>
      </c>
      <c r="E545" s="108" t="s">
        <v>1787</v>
      </c>
      <c r="F545" s="108" t="s">
        <v>1829</v>
      </c>
      <c r="G545" s="108">
        <v>6</v>
      </c>
      <c r="H545" s="71"/>
      <c r="I545" s="109">
        <f t="shared" si="43"/>
        <v>136.85999999999999</v>
      </c>
      <c r="J545" s="110">
        <f t="shared" si="40"/>
        <v>0</v>
      </c>
      <c r="K545" s="111">
        <f t="shared" si="41"/>
        <v>6</v>
      </c>
      <c r="L545" s="110">
        <f t="shared" si="42"/>
        <v>136.85999999999999</v>
      </c>
      <c r="M545" s="112"/>
    </row>
    <row r="546" spans="2:13" s="52" customFormat="1" ht="20.100000000000001" customHeight="1">
      <c r="B546" s="108">
        <v>6</v>
      </c>
      <c r="C546" s="115" t="s">
        <v>52</v>
      </c>
      <c r="D546" s="108" t="s">
        <v>1725</v>
      </c>
      <c r="E546" s="108" t="s">
        <v>1788</v>
      </c>
      <c r="F546" s="108" t="s">
        <v>1830</v>
      </c>
      <c r="G546" s="108">
        <v>29</v>
      </c>
      <c r="H546" s="71">
        <v>27</v>
      </c>
      <c r="I546" s="109">
        <f t="shared" si="43"/>
        <v>613.93000000000006</v>
      </c>
      <c r="J546" s="110">
        <f t="shared" si="40"/>
        <v>571.59</v>
      </c>
      <c r="K546" s="111">
        <f t="shared" si="41"/>
        <v>2</v>
      </c>
      <c r="L546" s="110">
        <f t="shared" si="42"/>
        <v>42.340000000000032</v>
      </c>
      <c r="M546" s="112"/>
    </row>
    <row r="547" spans="2:13" s="52" customFormat="1" ht="20.100000000000001" customHeight="1">
      <c r="B547" s="108">
        <v>6</v>
      </c>
      <c r="C547" s="115" t="s">
        <v>52</v>
      </c>
      <c r="D547" s="108" t="s">
        <v>1726</v>
      </c>
      <c r="E547" s="108" t="s">
        <v>1789</v>
      </c>
      <c r="F547" s="108" t="s">
        <v>1827</v>
      </c>
      <c r="G547" s="108">
        <v>66</v>
      </c>
      <c r="H547" s="71">
        <f>16+36</f>
        <v>52</v>
      </c>
      <c r="I547" s="109">
        <f t="shared" si="43"/>
        <v>1356.3</v>
      </c>
      <c r="J547" s="110">
        <f t="shared" si="40"/>
        <v>1068.6000000000001</v>
      </c>
      <c r="K547" s="111">
        <f t="shared" si="41"/>
        <v>14</v>
      </c>
      <c r="L547" s="110">
        <f t="shared" si="42"/>
        <v>287.69999999999982</v>
      </c>
      <c r="M547" s="112"/>
    </row>
    <row r="548" spans="2:13" s="52" customFormat="1" ht="20.100000000000001" customHeight="1">
      <c r="B548" s="108">
        <v>6</v>
      </c>
      <c r="C548" s="139" t="s">
        <v>52</v>
      </c>
      <c r="D548" s="108" t="s">
        <v>1726</v>
      </c>
      <c r="E548" s="108" t="s">
        <v>1789</v>
      </c>
      <c r="F548" s="108" t="s">
        <v>1830</v>
      </c>
      <c r="G548" s="108">
        <v>24</v>
      </c>
      <c r="H548" s="71"/>
      <c r="I548" s="109">
        <f t="shared" si="43"/>
        <v>508.08000000000004</v>
      </c>
      <c r="J548" s="110">
        <f t="shared" si="40"/>
        <v>0</v>
      </c>
      <c r="K548" s="111">
        <f t="shared" si="41"/>
        <v>24</v>
      </c>
      <c r="L548" s="110">
        <f t="shared" si="42"/>
        <v>508.08000000000004</v>
      </c>
      <c r="M548" s="112"/>
    </row>
    <row r="549" spans="2:13" s="52" customFormat="1" ht="20.100000000000001" customHeight="1">
      <c r="B549" s="108">
        <v>6</v>
      </c>
      <c r="C549" s="115" t="s">
        <v>52</v>
      </c>
      <c r="D549" s="108" t="s">
        <v>1727</v>
      </c>
      <c r="E549" s="108" t="s">
        <v>1790</v>
      </c>
      <c r="F549" s="108" t="s">
        <v>1831</v>
      </c>
      <c r="G549" s="108">
        <v>51</v>
      </c>
      <c r="H549" s="71">
        <v>24</v>
      </c>
      <c r="I549" s="109">
        <f t="shared" si="43"/>
        <v>459</v>
      </c>
      <c r="J549" s="110">
        <f t="shared" si="40"/>
        <v>216</v>
      </c>
      <c r="K549" s="111">
        <f t="shared" si="41"/>
        <v>27</v>
      </c>
      <c r="L549" s="110">
        <f t="shared" si="42"/>
        <v>243</v>
      </c>
      <c r="M549" s="112"/>
    </row>
    <row r="550" spans="2:13" s="52" customFormat="1" ht="20.100000000000001" customHeight="1">
      <c r="B550" s="108">
        <v>6</v>
      </c>
      <c r="C550" s="139" t="s">
        <v>52</v>
      </c>
      <c r="D550" s="108" t="s">
        <v>1728</v>
      </c>
      <c r="E550" s="108" t="s">
        <v>1791</v>
      </c>
      <c r="F550" s="108" t="s">
        <v>1832</v>
      </c>
      <c r="G550" s="108">
        <v>15</v>
      </c>
      <c r="H550" s="71"/>
      <c r="I550" s="109">
        <f t="shared" si="43"/>
        <v>152.25</v>
      </c>
      <c r="J550" s="110">
        <f t="shared" si="40"/>
        <v>0</v>
      </c>
      <c r="K550" s="111">
        <f t="shared" si="41"/>
        <v>15</v>
      </c>
      <c r="L550" s="110">
        <f t="shared" si="42"/>
        <v>152.25</v>
      </c>
      <c r="M550" s="112"/>
    </row>
    <row r="551" spans="2:13" s="52" customFormat="1" ht="20.100000000000001" customHeight="1">
      <c r="B551" s="108">
        <v>6</v>
      </c>
      <c r="C551" s="115" t="s">
        <v>52</v>
      </c>
      <c r="D551" s="108" t="s">
        <v>1729</v>
      </c>
      <c r="E551" s="108" t="s">
        <v>1792</v>
      </c>
      <c r="F551" s="108" t="s">
        <v>1644</v>
      </c>
      <c r="G551" s="108">
        <v>72</v>
      </c>
      <c r="H551" s="71">
        <v>35</v>
      </c>
      <c r="I551" s="109">
        <f t="shared" si="43"/>
        <v>943.19999999999993</v>
      </c>
      <c r="J551" s="110">
        <f t="shared" si="40"/>
        <v>458.5</v>
      </c>
      <c r="K551" s="111">
        <f t="shared" si="41"/>
        <v>37</v>
      </c>
      <c r="L551" s="110">
        <f t="shared" si="42"/>
        <v>484.69999999999993</v>
      </c>
      <c r="M551" s="112"/>
    </row>
    <row r="552" spans="2:13" s="52" customFormat="1" ht="20.100000000000001" customHeight="1">
      <c r="B552" s="108">
        <v>6</v>
      </c>
      <c r="C552" s="139" t="s">
        <v>52</v>
      </c>
      <c r="D552" s="108" t="s">
        <v>1730</v>
      </c>
      <c r="E552" s="108" t="s">
        <v>1793</v>
      </c>
      <c r="F552" s="108" t="s">
        <v>1644</v>
      </c>
      <c r="G552" s="108">
        <v>24</v>
      </c>
      <c r="H552" s="71">
        <f>21+1</f>
        <v>22</v>
      </c>
      <c r="I552" s="109">
        <f t="shared" si="43"/>
        <v>314.39999999999998</v>
      </c>
      <c r="J552" s="110">
        <f t="shared" si="40"/>
        <v>288.2</v>
      </c>
      <c r="K552" s="111">
        <f t="shared" si="41"/>
        <v>2</v>
      </c>
      <c r="L552" s="110">
        <f t="shared" si="42"/>
        <v>26.199999999999989</v>
      </c>
      <c r="M552" s="112"/>
    </row>
    <row r="553" spans="2:13" s="52" customFormat="1" ht="20.100000000000001" customHeight="1">
      <c r="B553" s="108">
        <v>6</v>
      </c>
      <c r="C553" s="115" t="s">
        <v>52</v>
      </c>
      <c r="D553" s="108" t="s">
        <v>1730</v>
      </c>
      <c r="E553" s="108" t="s">
        <v>1793</v>
      </c>
      <c r="F553" s="108" t="s">
        <v>1644</v>
      </c>
      <c r="G553" s="108">
        <v>116</v>
      </c>
      <c r="H553" s="71"/>
      <c r="I553" s="109">
        <f t="shared" si="43"/>
        <v>1519.6</v>
      </c>
      <c r="J553" s="110">
        <f t="shared" si="40"/>
        <v>0</v>
      </c>
      <c r="K553" s="111">
        <f t="shared" si="41"/>
        <v>116</v>
      </c>
      <c r="L553" s="110">
        <f t="shared" si="42"/>
        <v>1519.6</v>
      </c>
      <c r="M553" s="112"/>
    </row>
    <row r="554" spans="2:13" s="52" customFormat="1" ht="20.100000000000001" customHeight="1">
      <c r="B554" s="108">
        <v>6</v>
      </c>
      <c r="C554" s="139" t="s">
        <v>52</v>
      </c>
      <c r="D554" s="108" t="s">
        <v>1731</v>
      </c>
      <c r="E554" s="108" t="s">
        <v>1794</v>
      </c>
      <c r="F554" s="108" t="s">
        <v>1644</v>
      </c>
      <c r="G554" s="108">
        <v>67</v>
      </c>
      <c r="H554" s="71">
        <v>22</v>
      </c>
      <c r="I554" s="109">
        <f t="shared" si="43"/>
        <v>877.69999999999993</v>
      </c>
      <c r="J554" s="110">
        <f t="shared" si="40"/>
        <v>288.2</v>
      </c>
      <c r="K554" s="111">
        <f t="shared" si="41"/>
        <v>45</v>
      </c>
      <c r="L554" s="110">
        <f t="shared" si="42"/>
        <v>589.5</v>
      </c>
      <c r="M554" s="112"/>
    </row>
    <row r="555" spans="2:13" s="52" customFormat="1" ht="20.100000000000001" customHeight="1">
      <c r="B555" s="108">
        <v>6</v>
      </c>
      <c r="C555" s="115" t="s">
        <v>52</v>
      </c>
      <c r="D555" s="108" t="s">
        <v>1731</v>
      </c>
      <c r="E555" s="108" t="s">
        <v>1794</v>
      </c>
      <c r="F555" s="108" t="s">
        <v>1644</v>
      </c>
      <c r="G555" s="108">
        <v>24</v>
      </c>
      <c r="H555" s="71"/>
      <c r="I555" s="109">
        <f t="shared" si="43"/>
        <v>314.39999999999998</v>
      </c>
      <c r="J555" s="110">
        <f t="shared" ref="J555:J608" si="44">F555*H555</f>
        <v>0</v>
      </c>
      <c r="K555" s="111">
        <f t="shared" ref="K555:K608" si="45">G555-H555</f>
        <v>24</v>
      </c>
      <c r="L555" s="110">
        <f t="shared" ref="L555:L608" si="46">I555-J555</f>
        <v>314.39999999999998</v>
      </c>
      <c r="M555" s="112"/>
    </row>
    <row r="556" spans="2:13" s="52" customFormat="1" ht="20.100000000000001" customHeight="1">
      <c r="B556" s="108">
        <v>6</v>
      </c>
      <c r="C556" s="139" t="s">
        <v>52</v>
      </c>
      <c r="D556" s="108" t="s">
        <v>1732</v>
      </c>
      <c r="E556" s="108" t="s">
        <v>1795</v>
      </c>
      <c r="F556" s="108" t="s">
        <v>1644</v>
      </c>
      <c r="G556" s="108">
        <v>24</v>
      </c>
      <c r="H556" s="71">
        <v>19</v>
      </c>
      <c r="I556" s="109">
        <f t="shared" si="43"/>
        <v>314.39999999999998</v>
      </c>
      <c r="J556" s="110">
        <f t="shared" si="44"/>
        <v>248.9</v>
      </c>
      <c r="K556" s="111">
        <f t="shared" si="45"/>
        <v>5</v>
      </c>
      <c r="L556" s="110">
        <f t="shared" si="46"/>
        <v>65.499999999999972</v>
      </c>
      <c r="M556" s="112"/>
    </row>
    <row r="557" spans="2:13" s="52" customFormat="1" ht="20.100000000000001" customHeight="1">
      <c r="B557" s="108">
        <v>6</v>
      </c>
      <c r="C557" s="115" t="s">
        <v>52</v>
      </c>
      <c r="D557" s="108" t="s">
        <v>1732</v>
      </c>
      <c r="E557" s="108" t="s">
        <v>1795</v>
      </c>
      <c r="F557" s="108" t="s">
        <v>1644</v>
      </c>
      <c r="G557" s="108">
        <v>17</v>
      </c>
      <c r="H557" s="71"/>
      <c r="I557" s="109">
        <f t="shared" si="43"/>
        <v>222.7</v>
      </c>
      <c r="J557" s="110">
        <f t="shared" si="44"/>
        <v>0</v>
      </c>
      <c r="K557" s="111">
        <f t="shared" si="45"/>
        <v>17</v>
      </c>
      <c r="L557" s="110">
        <f t="shared" si="46"/>
        <v>222.7</v>
      </c>
      <c r="M557" s="112"/>
    </row>
    <row r="558" spans="2:13" s="52" customFormat="1" ht="20.100000000000001" customHeight="1">
      <c r="B558" s="108">
        <v>6</v>
      </c>
      <c r="C558" s="139" t="s">
        <v>52</v>
      </c>
      <c r="D558" s="108" t="s">
        <v>1733</v>
      </c>
      <c r="E558" s="108" t="s">
        <v>1796</v>
      </c>
      <c r="F558" s="108" t="s">
        <v>1833</v>
      </c>
      <c r="G558" s="108">
        <v>36</v>
      </c>
      <c r="H558" s="71"/>
      <c r="I558" s="109">
        <f t="shared" si="43"/>
        <v>257.40000000000003</v>
      </c>
      <c r="J558" s="110">
        <f t="shared" si="44"/>
        <v>0</v>
      </c>
      <c r="K558" s="111">
        <f t="shared" si="45"/>
        <v>36</v>
      </c>
      <c r="L558" s="110">
        <f t="shared" si="46"/>
        <v>257.40000000000003</v>
      </c>
      <c r="M558" s="112"/>
    </row>
    <row r="559" spans="2:13" s="52" customFormat="1" ht="20.100000000000001" customHeight="1">
      <c r="B559" s="108">
        <v>6</v>
      </c>
      <c r="C559" s="115" t="s">
        <v>52</v>
      </c>
      <c r="D559" s="108" t="s">
        <v>1734</v>
      </c>
      <c r="E559" s="108" t="s">
        <v>1797</v>
      </c>
      <c r="F559" s="108" t="s">
        <v>1834</v>
      </c>
      <c r="G559" s="108">
        <v>111</v>
      </c>
      <c r="H559" s="71">
        <v>48</v>
      </c>
      <c r="I559" s="109">
        <f t="shared" si="43"/>
        <v>1870.3500000000001</v>
      </c>
      <c r="J559" s="110">
        <f t="shared" si="44"/>
        <v>808.80000000000007</v>
      </c>
      <c r="K559" s="111">
        <f t="shared" si="45"/>
        <v>63</v>
      </c>
      <c r="L559" s="110">
        <f t="shared" si="46"/>
        <v>1061.5500000000002</v>
      </c>
      <c r="M559" s="112"/>
    </row>
    <row r="560" spans="2:13" s="52" customFormat="1" ht="20.100000000000001" customHeight="1">
      <c r="B560" s="108">
        <v>6</v>
      </c>
      <c r="C560" s="139" t="s">
        <v>52</v>
      </c>
      <c r="D560" s="108" t="s">
        <v>1735</v>
      </c>
      <c r="E560" s="108" t="s">
        <v>1798</v>
      </c>
      <c r="F560" s="108" t="s">
        <v>1834</v>
      </c>
      <c r="G560" s="108">
        <v>99</v>
      </c>
      <c r="H560" s="71"/>
      <c r="I560" s="109">
        <f t="shared" si="43"/>
        <v>1668.15</v>
      </c>
      <c r="J560" s="110">
        <f t="shared" si="44"/>
        <v>0</v>
      </c>
      <c r="K560" s="111">
        <f t="shared" si="45"/>
        <v>99</v>
      </c>
      <c r="L560" s="110">
        <f t="shared" si="46"/>
        <v>1668.15</v>
      </c>
      <c r="M560" s="112"/>
    </row>
    <row r="561" spans="2:13" s="52" customFormat="1" ht="20.100000000000001" hidden="1" customHeight="1">
      <c r="B561" s="108">
        <v>6</v>
      </c>
      <c r="C561" s="115" t="s">
        <v>52</v>
      </c>
      <c r="D561" s="108" t="s">
        <v>1736</v>
      </c>
      <c r="E561" s="108" t="s">
        <v>1799</v>
      </c>
      <c r="F561" s="108" t="s">
        <v>1834</v>
      </c>
      <c r="G561" s="108">
        <v>48</v>
      </c>
      <c r="H561" s="71">
        <v>48</v>
      </c>
      <c r="I561" s="109">
        <f t="shared" si="43"/>
        <v>808.80000000000007</v>
      </c>
      <c r="J561" s="110">
        <f t="shared" si="44"/>
        <v>808.80000000000007</v>
      </c>
      <c r="K561" s="111">
        <f t="shared" si="45"/>
        <v>0</v>
      </c>
      <c r="L561" s="110">
        <f t="shared" si="46"/>
        <v>0</v>
      </c>
      <c r="M561" s="112"/>
    </row>
    <row r="562" spans="2:13" s="52" customFormat="1" ht="20.100000000000001" customHeight="1">
      <c r="B562" s="108">
        <v>6</v>
      </c>
      <c r="C562" s="139" t="s">
        <v>52</v>
      </c>
      <c r="D562" s="108" t="s">
        <v>1737</v>
      </c>
      <c r="E562" s="108" t="s">
        <v>1800</v>
      </c>
      <c r="F562" s="108" t="s">
        <v>1834</v>
      </c>
      <c r="G562" s="108">
        <v>50</v>
      </c>
      <c r="H562" s="71">
        <v>24</v>
      </c>
      <c r="I562" s="109">
        <f t="shared" si="43"/>
        <v>842.50000000000011</v>
      </c>
      <c r="J562" s="110">
        <f t="shared" si="44"/>
        <v>404.40000000000003</v>
      </c>
      <c r="K562" s="111">
        <f t="shared" si="45"/>
        <v>26</v>
      </c>
      <c r="L562" s="110">
        <f t="shared" si="46"/>
        <v>438.10000000000008</v>
      </c>
      <c r="M562" s="112"/>
    </row>
    <row r="563" spans="2:13" s="52" customFormat="1" ht="20.100000000000001" customHeight="1">
      <c r="B563" s="108">
        <v>6</v>
      </c>
      <c r="C563" s="115" t="s">
        <v>52</v>
      </c>
      <c r="D563" s="108" t="s">
        <v>1738</v>
      </c>
      <c r="E563" s="108" t="s">
        <v>1801</v>
      </c>
      <c r="F563" s="108" t="s">
        <v>1835</v>
      </c>
      <c r="G563" s="108">
        <v>1</v>
      </c>
      <c r="H563" s="71"/>
      <c r="I563" s="109">
        <f t="shared" si="43"/>
        <v>35.700000000000003</v>
      </c>
      <c r="J563" s="110">
        <f t="shared" si="44"/>
        <v>0</v>
      </c>
      <c r="K563" s="111">
        <f t="shared" si="45"/>
        <v>1</v>
      </c>
      <c r="L563" s="110">
        <f t="shared" si="46"/>
        <v>35.700000000000003</v>
      </c>
      <c r="M563" s="112"/>
    </row>
    <row r="564" spans="2:13" s="52" customFormat="1" ht="20.100000000000001" customHeight="1">
      <c r="B564" s="108">
        <v>6</v>
      </c>
      <c r="C564" s="139" t="s">
        <v>52</v>
      </c>
      <c r="D564" s="108" t="s">
        <v>1739</v>
      </c>
      <c r="E564" s="108" t="s">
        <v>1802</v>
      </c>
      <c r="F564" s="108" t="s">
        <v>1836</v>
      </c>
      <c r="G564" s="108">
        <v>46</v>
      </c>
      <c r="H564" s="71">
        <v>1</v>
      </c>
      <c r="I564" s="109">
        <f t="shared" si="43"/>
        <v>1564</v>
      </c>
      <c r="J564" s="110">
        <f t="shared" si="44"/>
        <v>34</v>
      </c>
      <c r="K564" s="111">
        <f t="shared" si="45"/>
        <v>45</v>
      </c>
      <c r="L564" s="110">
        <f t="shared" si="46"/>
        <v>1530</v>
      </c>
      <c r="M564" s="112"/>
    </row>
    <row r="565" spans="2:13" s="52" customFormat="1" ht="20.100000000000001" customHeight="1">
      <c r="B565" s="108">
        <v>7</v>
      </c>
      <c r="C565" s="139" t="s">
        <v>53</v>
      </c>
      <c r="D565" s="108" t="s">
        <v>1837</v>
      </c>
      <c r="E565" s="108" t="s">
        <v>1959</v>
      </c>
      <c r="F565" s="108" t="s">
        <v>732</v>
      </c>
      <c r="G565" s="108">
        <v>9</v>
      </c>
      <c r="H565" s="71"/>
      <c r="I565" s="109">
        <f t="shared" si="43"/>
        <v>247.5</v>
      </c>
      <c r="J565" s="110">
        <f t="shared" si="44"/>
        <v>0</v>
      </c>
      <c r="K565" s="111">
        <f t="shared" si="45"/>
        <v>9</v>
      </c>
      <c r="L565" s="110">
        <f t="shared" si="46"/>
        <v>247.5</v>
      </c>
      <c r="M565" s="112"/>
    </row>
    <row r="566" spans="2:13" s="52" customFormat="1" ht="20.100000000000001" customHeight="1">
      <c r="B566" s="108">
        <v>7</v>
      </c>
      <c r="C566" s="115" t="s">
        <v>53</v>
      </c>
      <c r="D566" s="108" t="s">
        <v>1838</v>
      </c>
      <c r="E566" s="108" t="s">
        <v>1960</v>
      </c>
      <c r="F566" s="108" t="s">
        <v>732</v>
      </c>
      <c r="G566" s="108">
        <v>32</v>
      </c>
      <c r="H566" s="71"/>
      <c r="I566" s="109">
        <f t="shared" si="43"/>
        <v>880</v>
      </c>
      <c r="J566" s="110">
        <f t="shared" si="44"/>
        <v>0</v>
      </c>
      <c r="K566" s="111">
        <f t="shared" si="45"/>
        <v>32</v>
      </c>
      <c r="L566" s="110">
        <f t="shared" si="46"/>
        <v>880</v>
      </c>
      <c r="M566" s="112"/>
    </row>
    <row r="567" spans="2:13" s="52" customFormat="1" ht="20.100000000000001" customHeight="1">
      <c r="B567" s="108">
        <v>7</v>
      </c>
      <c r="C567" s="115" t="s">
        <v>53</v>
      </c>
      <c r="D567" s="108" t="s">
        <v>1839</v>
      </c>
      <c r="E567" s="108" t="s">
        <v>1961</v>
      </c>
      <c r="F567" s="108" t="s">
        <v>2080</v>
      </c>
      <c r="G567" s="108">
        <v>25</v>
      </c>
      <c r="H567" s="71"/>
      <c r="I567" s="109">
        <f t="shared" si="43"/>
        <v>681.25</v>
      </c>
      <c r="J567" s="110">
        <f t="shared" si="44"/>
        <v>0</v>
      </c>
      <c r="K567" s="111">
        <f t="shared" si="45"/>
        <v>25</v>
      </c>
      <c r="L567" s="110">
        <f t="shared" si="46"/>
        <v>681.25</v>
      </c>
      <c r="M567" s="112"/>
    </row>
    <row r="568" spans="2:13" s="52" customFormat="1" ht="20.100000000000001" customHeight="1">
      <c r="B568" s="108">
        <v>7</v>
      </c>
      <c r="C568" s="139" t="s">
        <v>53</v>
      </c>
      <c r="D568" s="108" t="s">
        <v>1840</v>
      </c>
      <c r="E568" s="108" t="s">
        <v>1962</v>
      </c>
      <c r="F568" s="108" t="s">
        <v>2081</v>
      </c>
      <c r="G568" s="108">
        <v>19</v>
      </c>
      <c r="H568" s="71"/>
      <c r="I568" s="109">
        <f t="shared" si="43"/>
        <v>559.92999999999995</v>
      </c>
      <c r="J568" s="110">
        <f t="shared" si="44"/>
        <v>0</v>
      </c>
      <c r="K568" s="111">
        <f t="shared" si="45"/>
        <v>19</v>
      </c>
      <c r="L568" s="110">
        <f t="shared" si="46"/>
        <v>559.92999999999995</v>
      </c>
      <c r="M568" s="112"/>
    </row>
    <row r="569" spans="2:13" s="52" customFormat="1" ht="20.100000000000001" customHeight="1">
      <c r="B569" s="108">
        <v>7</v>
      </c>
      <c r="C569" s="115" t="s">
        <v>53</v>
      </c>
      <c r="D569" s="108" t="s">
        <v>1841</v>
      </c>
      <c r="E569" s="108" t="s">
        <v>1963</v>
      </c>
      <c r="F569" s="108" t="s">
        <v>2082</v>
      </c>
      <c r="G569" s="108">
        <v>49</v>
      </c>
      <c r="H569" s="71">
        <f>7+18</f>
        <v>25</v>
      </c>
      <c r="I569" s="109">
        <f t="shared" si="43"/>
        <v>2759.19</v>
      </c>
      <c r="J569" s="110">
        <f t="shared" si="44"/>
        <v>1407.75</v>
      </c>
      <c r="K569" s="111">
        <f t="shared" si="45"/>
        <v>24</v>
      </c>
      <c r="L569" s="110">
        <f t="shared" si="46"/>
        <v>1351.44</v>
      </c>
      <c r="M569" s="112"/>
    </row>
    <row r="570" spans="2:13" s="52" customFormat="1" ht="20.100000000000001" customHeight="1">
      <c r="B570" s="108">
        <v>7</v>
      </c>
      <c r="C570" s="139" t="s">
        <v>53</v>
      </c>
      <c r="D570" s="108" t="s">
        <v>1842</v>
      </c>
      <c r="E570" s="108" t="s">
        <v>1964</v>
      </c>
      <c r="F570" s="108" t="s">
        <v>2083</v>
      </c>
      <c r="G570" s="108">
        <v>4</v>
      </c>
      <c r="H570" s="71">
        <v>2</v>
      </c>
      <c r="I570" s="109">
        <f t="shared" si="43"/>
        <v>217.92</v>
      </c>
      <c r="J570" s="110">
        <f t="shared" si="44"/>
        <v>108.96</v>
      </c>
      <c r="K570" s="111">
        <f t="shared" si="45"/>
        <v>2</v>
      </c>
      <c r="L570" s="110">
        <f t="shared" si="46"/>
        <v>108.96</v>
      </c>
      <c r="M570" s="112"/>
    </row>
    <row r="571" spans="2:13" s="52" customFormat="1" ht="20.100000000000001" hidden="1" customHeight="1">
      <c r="B571" s="108">
        <v>7</v>
      </c>
      <c r="C571" s="115" t="s">
        <v>53</v>
      </c>
      <c r="D571" s="108" t="s">
        <v>1843</v>
      </c>
      <c r="E571" s="108" t="s">
        <v>1965</v>
      </c>
      <c r="F571" s="108" t="s">
        <v>2084</v>
      </c>
      <c r="G571" s="108">
        <v>23</v>
      </c>
      <c r="H571" s="71">
        <f>2+13+11</f>
        <v>26</v>
      </c>
      <c r="I571" s="109">
        <f t="shared" si="43"/>
        <v>438.38</v>
      </c>
      <c r="J571" s="110">
        <f t="shared" si="44"/>
        <v>495.55999999999995</v>
      </c>
      <c r="K571" s="111">
        <f t="shared" si="45"/>
        <v>-3</v>
      </c>
      <c r="L571" s="110">
        <f t="shared" si="46"/>
        <v>-57.17999999999995</v>
      </c>
      <c r="M571" s="112"/>
    </row>
    <row r="572" spans="2:13" s="52" customFormat="1" ht="20.100000000000001" hidden="1" customHeight="1">
      <c r="B572" s="108">
        <v>7</v>
      </c>
      <c r="C572" s="115" t="s">
        <v>53</v>
      </c>
      <c r="D572" s="108" t="s">
        <v>1844</v>
      </c>
      <c r="E572" s="108" t="s">
        <v>1966</v>
      </c>
      <c r="F572" s="108" t="s">
        <v>4667</v>
      </c>
      <c r="G572" s="108">
        <v>24</v>
      </c>
      <c r="H572" s="71">
        <f>19+8</f>
        <v>27</v>
      </c>
      <c r="I572" s="109">
        <f t="shared" si="43"/>
        <v>885.59999999999991</v>
      </c>
      <c r="J572" s="110">
        <f t="shared" si="44"/>
        <v>996.3</v>
      </c>
      <c r="K572" s="111">
        <f t="shared" si="45"/>
        <v>-3</v>
      </c>
      <c r="L572" s="110">
        <f t="shared" si="46"/>
        <v>-110.70000000000005</v>
      </c>
      <c r="M572" s="112"/>
    </row>
    <row r="573" spans="2:13" s="52" customFormat="1" ht="20.100000000000001" customHeight="1">
      <c r="B573" s="108">
        <v>7</v>
      </c>
      <c r="C573" s="139" t="s">
        <v>53</v>
      </c>
      <c r="D573" s="108" t="s">
        <v>1844</v>
      </c>
      <c r="E573" s="108" t="s">
        <v>1966</v>
      </c>
      <c r="F573" s="108" t="s">
        <v>2085</v>
      </c>
      <c r="G573" s="108">
        <v>31</v>
      </c>
      <c r="H573" s="71"/>
      <c r="I573" s="109">
        <f t="shared" si="43"/>
        <v>1089.6499999999999</v>
      </c>
      <c r="J573" s="110">
        <f t="shared" si="44"/>
        <v>0</v>
      </c>
      <c r="K573" s="111">
        <f t="shared" si="45"/>
        <v>31</v>
      </c>
      <c r="L573" s="110">
        <f t="shared" si="46"/>
        <v>1089.6499999999999</v>
      </c>
      <c r="M573" s="112"/>
    </row>
    <row r="574" spans="2:13" s="52" customFormat="1" ht="20.100000000000001" customHeight="1">
      <c r="B574" s="108">
        <v>7</v>
      </c>
      <c r="C574" s="115" t="s">
        <v>53</v>
      </c>
      <c r="D574" s="108" t="s">
        <v>1844</v>
      </c>
      <c r="E574" s="108" t="s">
        <v>1966</v>
      </c>
      <c r="F574" s="108" t="s">
        <v>4668</v>
      </c>
      <c r="G574" s="108">
        <v>24</v>
      </c>
      <c r="H574" s="71"/>
      <c r="I574" s="109">
        <f t="shared" si="43"/>
        <v>851.52</v>
      </c>
      <c r="J574" s="110">
        <f t="shared" si="44"/>
        <v>0</v>
      </c>
      <c r="K574" s="111">
        <f t="shared" si="45"/>
        <v>24</v>
      </c>
      <c r="L574" s="110">
        <f t="shared" si="46"/>
        <v>851.52</v>
      </c>
      <c r="M574" s="112"/>
    </row>
    <row r="575" spans="2:13" s="52" customFormat="1" ht="20.100000000000001" customHeight="1">
      <c r="B575" s="108">
        <v>7</v>
      </c>
      <c r="C575" s="115" t="s">
        <v>53</v>
      </c>
      <c r="D575" s="108" t="s">
        <v>1845</v>
      </c>
      <c r="E575" s="108" t="s">
        <v>1967</v>
      </c>
      <c r="F575" s="108" t="s">
        <v>2086</v>
      </c>
      <c r="G575" s="108">
        <v>13</v>
      </c>
      <c r="H575" s="71">
        <v>7</v>
      </c>
      <c r="I575" s="109">
        <f t="shared" si="43"/>
        <v>1748.89</v>
      </c>
      <c r="J575" s="110">
        <f t="shared" si="44"/>
        <v>941.71</v>
      </c>
      <c r="K575" s="111">
        <f t="shared" si="45"/>
        <v>6</v>
      </c>
      <c r="L575" s="110">
        <f t="shared" si="46"/>
        <v>807.18000000000006</v>
      </c>
      <c r="M575" s="112"/>
    </row>
    <row r="576" spans="2:13" s="52" customFormat="1" ht="20.100000000000001" customHeight="1">
      <c r="B576" s="108">
        <v>7</v>
      </c>
      <c r="C576" s="139" t="s">
        <v>53</v>
      </c>
      <c r="D576" s="108" t="s">
        <v>1846</v>
      </c>
      <c r="E576" s="108" t="s">
        <v>1968</v>
      </c>
      <c r="F576" s="108" t="s">
        <v>2087</v>
      </c>
      <c r="G576" s="108">
        <v>28</v>
      </c>
      <c r="H576" s="71">
        <v>20</v>
      </c>
      <c r="I576" s="109">
        <f t="shared" si="43"/>
        <v>1931.1599999999999</v>
      </c>
      <c r="J576" s="110">
        <f t="shared" si="44"/>
        <v>1379.4</v>
      </c>
      <c r="K576" s="111">
        <f t="shared" si="45"/>
        <v>8</v>
      </c>
      <c r="L576" s="110">
        <f t="shared" si="46"/>
        <v>551.75999999999976</v>
      </c>
      <c r="M576" s="112"/>
    </row>
    <row r="577" spans="2:13" s="52" customFormat="1" ht="20.100000000000001" customHeight="1">
      <c r="B577" s="108">
        <v>7</v>
      </c>
      <c r="C577" s="115" t="s">
        <v>53</v>
      </c>
      <c r="D577" s="108" t="s">
        <v>1847</v>
      </c>
      <c r="E577" s="108" t="s">
        <v>1969</v>
      </c>
      <c r="F577" s="108" t="s">
        <v>2088</v>
      </c>
      <c r="G577" s="108">
        <v>37</v>
      </c>
      <c r="H577" s="71">
        <v>7</v>
      </c>
      <c r="I577" s="109">
        <f t="shared" si="43"/>
        <v>1867.76</v>
      </c>
      <c r="J577" s="110">
        <f t="shared" si="44"/>
        <v>353.35999999999996</v>
      </c>
      <c r="K577" s="111">
        <f t="shared" si="45"/>
        <v>30</v>
      </c>
      <c r="L577" s="110">
        <f t="shared" si="46"/>
        <v>1514.4</v>
      </c>
      <c r="M577" s="112"/>
    </row>
    <row r="578" spans="2:13" s="52" customFormat="1" ht="20.100000000000001" customHeight="1">
      <c r="B578" s="108">
        <v>7</v>
      </c>
      <c r="C578" s="115" t="s">
        <v>53</v>
      </c>
      <c r="D578" s="108" t="s">
        <v>1848</v>
      </c>
      <c r="E578" s="108" t="s">
        <v>1970</v>
      </c>
      <c r="F578" s="108" t="s">
        <v>2089</v>
      </c>
      <c r="G578" s="108">
        <v>23</v>
      </c>
      <c r="H578" s="71">
        <v>13</v>
      </c>
      <c r="I578" s="109">
        <f t="shared" si="43"/>
        <v>691.61</v>
      </c>
      <c r="J578" s="110">
        <f t="shared" si="44"/>
        <v>390.91</v>
      </c>
      <c r="K578" s="111">
        <f t="shared" si="45"/>
        <v>10</v>
      </c>
      <c r="L578" s="110">
        <f t="shared" si="46"/>
        <v>300.7</v>
      </c>
      <c r="M578" s="112"/>
    </row>
    <row r="579" spans="2:13" s="52" customFormat="1" ht="20.100000000000001" customHeight="1">
      <c r="B579" s="108">
        <v>7</v>
      </c>
      <c r="C579" s="139" t="s">
        <v>53</v>
      </c>
      <c r="D579" s="108" t="s">
        <v>1849</v>
      </c>
      <c r="E579" s="108" t="s">
        <v>1971</v>
      </c>
      <c r="F579" s="108" t="s">
        <v>3148</v>
      </c>
      <c r="G579" s="108">
        <v>24</v>
      </c>
      <c r="H579" s="71">
        <v>23</v>
      </c>
      <c r="I579" s="109">
        <f t="shared" si="43"/>
        <v>1370.4</v>
      </c>
      <c r="J579" s="110">
        <f t="shared" si="44"/>
        <v>1313.3</v>
      </c>
      <c r="K579" s="111">
        <f t="shared" si="45"/>
        <v>1</v>
      </c>
      <c r="L579" s="110">
        <f t="shared" si="46"/>
        <v>57.100000000000136</v>
      </c>
      <c r="M579" s="112"/>
    </row>
    <row r="580" spans="2:13" s="52" customFormat="1" ht="20.100000000000001" customHeight="1">
      <c r="B580" s="108">
        <v>7</v>
      </c>
      <c r="C580" s="115" t="s">
        <v>53</v>
      </c>
      <c r="D580" s="108" t="s">
        <v>1849</v>
      </c>
      <c r="E580" s="108" t="s">
        <v>1971</v>
      </c>
      <c r="F580" s="108" t="s">
        <v>2090</v>
      </c>
      <c r="G580" s="108">
        <v>11</v>
      </c>
      <c r="H580" s="71"/>
      <c r="I580" s="109">
        <f t="shared" si="43"/>
        <v>655.04999999999995</v>
      </c>
      <c r="J580" s="110">
        <f t="shared" si="44"/>
        <v>0</v>
      </c>
      <c r="K580" s="111">
        <f t="shared" si="45"/>
        <v>11</v>
      </c>
      <c r="L580" s="110">
        <f t="shared" si="46"/>
        <v>655.04999999999995</v>
      </c>
      <c r="M580" s="112"/>
    </row>
    <row r="581" spans="2:13" s="52" customFormat="1" ht="20.100000000000001" hidden="1" customHeight="1">
      <c r="B581" s="108">
        <v>7</v>
      </c>
      <c r="C581" s="115" t="s">
        <v>53</v>
      </c>
      <c r="D581" s="108" t="s">
        <v>1850</v>
      </c>
      <c r="E581" s="108" t="s">
        <v>1972</v>
      </c>
      <c r="F581" s="108" t="s">
        <v>1820</v>
      </c>
      <c r="G581" s="108">
        <v>20</v>
      </c>
      <c r="H581" s="71">
        <v>20</v>
      </c>
      <c r="I581" s="109">
        <f t="shared" si="43"/>
        <v>510</v>
      </c>
      <c r="J581" s="110">
        <f t="shared" si="44"/>
        <v>510</v>
      </c>
      <c r="K581" s="111">
        <f t="shared" si="45"/>
        <v>0</v>
      </c>
      <c r="L581" s="110">
        <f t="shared" si="46"/>
        <v>0</v>
      </c>
      <c r="M581" s="112"/>
    </row>
    <row r="582" spans="2:13" s="52" customFormat="1" ht="20.100000000000001" customHeight="1">
      <c r="B582" s="108">
        <v>7</v>
      </c>
      <c r="C582" s="139" t="s">
        <v>53</v>
      </c>
      <c r="D582" s="115" t="s">
        <v>1851</v>
      </c>
      <c r="E582" s="108" t="s">
        <v>1973</v>
      </c>
      <c r="F582" s="115" t="s">
        <v>2091</v>
      </c>
      <c r="G582" s="108">
        <v>30</v>
      </c>
      <c r="H582" s="71"/>
      <c r="I582" s="109">
        <f t="shared" si="43"/>
        <v>1037.3999999999999</v>
      </c>
      <c r="J582" s="110">
        <f t="shared" si="44"/>
        <v>0</v>
      </c>
      <c r="K582" s="111">
        <f t="shared" si="45"/>
        <v>30</v>
      </c>
      <c r="L582" s="110">
        <f t="shared" si="46"/>
        <v>1037.3999999999999</v>
      </c>
      <c r="M582" s="112"/>
    </row>
    <row r="583" spans="2:13" s="52" customFormat="1" ht="20.100000000000001" customHeight="1">
      <c r="B583" s="108">
        <v>7</v>
      </c>
      <c r="C583" s="115" t="s">
        <v>53</v>
      </c>
      <c r="D583" s="115" t="s">
        <v>1852</v>
      </c>
      <c r="E583" s="108" t="s">
        <v>1974</v>
      </c>
      <c r="F583" s="115" t="s">
        <v>2092</v>
      </c>
      <c r="G583" s="108">
        <v>62</v>
      </c>
      <c r="H583" s="71">
        <v>21</v>
      </c>
      <c r="I583" s="109">
        <f t="shared" si="43"/>
        <v>2406.2200000000003</v>
      </c>
      <c r="J583" s="110">
        <f t="shared" si="44"/>
        <v>815.01</v>
      </c>
      <c r="K583" s="111">
        <f t="shared" si="45"/>
        <v>41</v>
      </c>
      <c r="L583" s="110">
        <f t="shared" si="46"/>
        <v>1591.2100000000003</v>
      </c>
      <c r="M583" s="112"/>
    </row>
    <row r="584" spans="2:13" s="52" customFormat="1" ht="20.100000000000001" customHeight="1">
      <c r="B584" s="108">
        <v>7</v>
      </c>
      <c r="C584" s="115" t="s">
        <v>53</v>
      </c>
      <c r="D584" s="115" t="s">
        <v>1853</v>
      </c>
      <c r="E584" s="108" t="s">
        <v>1975</v>
      </c>
      <c r="F584" s="115" t="s">
        <v>2093</v>
      </c>
      <c r="G584" s="108">
        <v>42</v>
      </c>
      <c r="H584" s="71">
        <f>31+3</f>
        <v>34</v>
      </c>
      <c r="I584" s="109">
        <f t="shared" si="43"/>
        <v>885.3599999999999</v>
      </c>
      <c r="J584" s="110">
        <f t="shared" si="44"/>
        <v>716.71999999999991</v>
      </c>
      <c r="K584" s="111">
        <f t="shared" si="45"/>
        <v>8</v>
      </c>
      <c r="L584" s="110">
        <f t="shared" si="46"/>
        <v>168.64</v>
      </c>
      <c r="M584" s="112"/>
    </row>
    <row r="585" spans="2:13" s="52" customFormat="1" ht="19.5" customHeight="1">
      <c r="B585" s="108">
        <v>7</v>
      </c>
      <c r="C585" s="139" t="s">
        <v>53</v>
      </c>
      <c r="D585" s="115" t="s">
        <v>1854</v>
      </c>
      <c r="E585" s="108" t="s">
        <v>1976</v>
      </c>
      <c r="F585" s="115" t="s">
        <v>2094</v>
      </c>
      <c r="G585" s="108">
        <v>57</v>
      </c>
      <c r="H585" s="71"/>
      <c r="I585" s="109">
        <f t="shared" si="43"/>
        <v>2482.92</v>
      </c>
      <c r="J585" s="110">
        <f t="shared" si="44"/>
        <v>0</v>
      </c>
      <c r="K585" s="111">
        <f t="shared" si="45"/>
        <v>57</v>
      </c>
      <c r="L585" s="110">
        <f t="shared" si="46"/>
        <v>2482.92</v>
      </c>
      <c r="M585" s="112"/>
    </row>
    <row r="586" spans="2:13" s="52" customFormat="1" ht="19.5" customHeight="1">
      <c r="B586" s="108">
        <v>7</v>
      </c>
      <c r="C586" s="115" t="s">
        <v>53</v>
      </c>
      <c r="D586" s="115" t="s">
        <v>1855</v>
      </c>
      <c r="E586" s="108" t="s">
        <v>1977</v>
      </c>
      <c r="F586" s="115" t="s">
        <v>2095</v>
      </c>
      <c r="G586" s="108">
        <v>16</v>
      </c>
      <c r="H586" s="71"/>
      <c r="I586" s="109">
        <f t="shared" si="43"/>
        <v>341.6</v>
      </c>
      <c r="J586" s="110">
        <f t="shared" si="44"/>
        <v>0</v>
      </c>
      <c r="K586" s="111">
        <f t="shared" si="45"/>
        <v>16</v>
      </c>
      <c r="L586" s="110">
        <f t="shared" si="46"/>
        <v>341.6</v>
      </c>
      <c r="M586" s="112"/>
    </row>
    <row r="587" spans="2:13" s="52" customFormat="1" ht="19.5" customHeight="1">
      <c r="B587" s="108">
        <v>7</v>
      </c>
      <c r="C587" s="115" t="s">
        <v>53</v>
      </c>
      <c r="D587" s="115" t="s">
        <v>1856</v>
      </c>
      <c r="E587" s="108" t="s">
        <v>1978</v>
      </c>
      <c r="F587" s="115" t="s">
        <v>2096</v>
      </c>
      <c r="G587" s="108">
        <v>26</v>
      </c>
      <c r="H587" s="71">
        <v>3</v>
      </c>
      <c r="I587" s="109">
        <f t="shared" si="43"/>
        <v>641.94000000000005</v>
      </c>
      <c r="J587" s="110">
        <f t="shared" si="44"/>
        <v>74.070000000000007</v>
      </c>
      <c r="K587" s="111">
        <f t="shared" si="45"/>
        <v>23</v>
      </c>
      <c r="L587" s="110">
        <f t="shared" si="46"/>
        <v>567.87</v>
      </c>
      <c r="M587" s="112"/>
    </row>
    <row r="588" spans="2:13" s="52" customFormat="1" ht="19.5" customHeight="1">
      <c r="B588" s="108">
        <v>7</v>
      </c>
      <c r="C588" s="139" t="s">
        <v>53</v>
      </c>
      <c r="D588" s="115" t="s">
        <v>1857</v>
      </c>
      <c r="E588" s="108" t="s">
        <v>1979</v>
      </c>
      <c r="F588" s="115" t="s">
        <v>2097</v>
      </c>
      <c r="G588" s="108">
        <v>27</v>
      </c>
      <c r="H588" s="71">
        <f>4+12+1+2</f>
        <v>19</v>
      </c>
      <c r="I588" s="109">
        <f t="shared" si="43"/>
        <v>531.9</v>
      </c>
      <c r="J588" s="110">
        <f t="shared" si="44"/>
        <v>374.3</v>
      </c>
      <c r="K588" s="111">
        <f t="shared" si="45"/>
        <v>8</v>
      </c>
      <c r="L588" s="110">
        <f t="shared" si="46"/>
        <v>157.59999999999997</v>
      </c>
      <c r="M588" s="112"/>
    </row>
    <row r="589" spans="2:13" s="52" customFormat="1" ht="19.5" customHeight="1">
      <c r="B589" s="108">
        <v>7</v>
      </c>
      <c r="C589" s="115" t="s">
        <v>53</v>
      </c>
      <c r="D589" s="115" t="s">
        <v>1858</v>
      </c>
      <c r="E589" s="108" t="s">
        <v>1980</v>
      </c>
      <c r="F589" s="115" t="s">
        <v>2098</v>
      </c>
      <c r="G589" s="108">
        <v>31</v>
      </c>
      <c r="H589" s="71">
        <v>19</v>
      </c>
      <c r="I589" s="109">
        <f t="shared" si="43"/>
        <v>883.5</v>
      </c>
      <c r="J589" s="110">
        <f t="shared" si="44"/>
        <v>541.5</v>
      </c>
      <c r="K589" s="111">
        <f t="shared" si="45"/>
        <v>12</v>
      </c>
      <c r="L589" s="110">
        <f t="shared" si="46"/>
        <v>342</v>
      </c>
      <c r="M589" s="112"/>
    </row>
    <row r="590" spans="2:13" s="52" customFormat="1" ht="19.5" customHeight="1">
      <c r="B590" s="108">
        <v>7</v>
      </c>
      <c r="C590" s="139" t="s">
        <v>53</v>
      </c>
      <c r="D590" s="115" t="s">
        <v>1859</v>
      </c>
      <c r="E590" s="108" t="s">
        <v>1981</v>
      </c>
      <c r="F590" s="115" t="s">
        <v>2099</v>
      </c>
      <c r="G590" s="108">
        <v>70</v>
      </c>
      <c r="H590" s="71">
        <v>15</v>
      </c>
      <c r="I590" s="109">
        <f t="shared" ref="I590:I647" si="47">F590*G590</f>
        <v>2292.5</v>
      </c>
      <c r="J590" s="110">
        <f t="shared" si="44"/>
        <v>491.25</v>
      </c>
      <c r="K590" s="111">
        <f t="shared" si="45"/>
        <v>55</v>
      </c>
      <c r="L590" s="110">
        <f t="shared" si="46"/>
        <v>1801.25</v>
      </c>
      <c r="M590" s="112"/>
    </row>
    <row r="591" spans="2:13" s="52" customFormat="1" ht="19.5" customHeight="1">
      <c r="B591" s="108">
        <v>7</v>
      </c>
      <c r="C591" s="115" t="s">
        <v>53</v>
      </c>
      <c r="D591" s="115" t="s">
        <v>1860</v>
      </c>
      <c r="E591" s="108" t="s">
        <v>1982</v>
      </c>
      <c r="F591" s="115" t="s">
        <v>2100</v>
      </c>
      <c r="G591" s="108">
        <v>15</v>
      </c>
      <c r="H591" s="71"/>
      <c r="I591" s="109">
        <f t="shared" si="47"/>
        <v>666.59999999999991</v>
      </c>
      <c r="J591" s="110">
        <f t="shared" si="44"/>
        <v>0</v>
      </c>
      <c r="K591" s="111">
        <f t="shared" si="45"/>
        <v>15</v>
      </c>
      <c r="L591" s="110">
        <f t="shared" si="46"/>
        <v>666.59999999999991</v>
      </c>
      <c r="M591" s="112"/>
    </row>
    <row r="592" spans="2:13" s="52" customFormat="1" ht="19.5" customHeight="1">
      <c r="B592" s="108">
        <v>7</v>
      </c>
      <c r="C592" s="139" t="s">
        <v>53</v>
      </c>
      <c r="D592" s="115" t="s">
        <v>1861</v>
      </c>
      <c r="E592" s="108" t="s">
        <v>1983</v>
      </c>
      <c r="F592" s="115" t="s">
        <v>2101</v>
      </c>
      <c r="G592" s="108">
        <v>38</v>
      </c>
      <c r="H592" s="71">
        <f>11+1</f>
        <v>12</v>
      </c>
      <c r="I592" s="109">
        <f t="shared" si="47"/>
        <v>668.80000000000007</v>
      </c>
      <c r="J592" s="110">
        <f t="shared" si="44"/>
        <v>211.20000000000002</v>
      </c>
      <c r="K592" s="111">
        <f t="shared" si="45"/>
        <v>26</v>
      </c>
      <c r="L592" s="110">
        <f t="shared" si="46"/>
        <v>457.6</v>
      </c>
      <c r="M592" s="112"/>
    </row>
    <row r="593" spans="2:13" s="52" customFormat="1" ht="19.5" customHeight="1">
      <c r="B593" s="108">
        <v>7</v>
      </c>
      <c r="C593" s="115" t="s">
        <v>53</v>
      </c>
      <c r="D593" s="115" t="s">
        <v>1862</v>
      </c>
      <c r="E593" s="108" t="s">
        <v>1984</v>
      </c>
      <c r="F593" s="115" t="s">
        <v>2102</v>
      </c>
      <c r="G593" s="108">
        <v>15</v>
      </c>
      <c r="H593" s="71"/>
      <c r="I593" s="109">
        <f t="shared" si="47"/>
        <v>438.75</v>
      </c>
      <c r="J593" s="110">
        <f t="shared" si="44"/>
        <v>0</v>
      </c>
      <c r="K593" s="111">
        <f t="shared" si="45"/>
        <v>15</v>
      </c>
      <c r="L593" s="110">
        <f t="shared" si="46"/>
        <v>438.75</v>
      </c>
      <c r="M593" s="112"/>
    </row>
    <row r="594" spans="2:13" s="52" customFormat="1" ht="19.5" customHeight="1">
      <c r="B594" s="108">
        <v>7</v>
      </c>
      <c r="C594" s="115" t="s">
        <v>53</v>
      </c>
      <c r="D594" s="115" t="s">
        <v>1863</v>
      </c>
      <c r="E594" s="108" t="s">
        <v>1985</v>
      </c>
      <c r="F594" s="115" t="s">
        <v>2103</v>
      </c>
      <c r="G594" s="108">
        <v>50</v>
      </c>
      <c r="H594" s="71">
        <v>10</v>
      </c>
      <c r="I594" s="109">
        <f t="shared" si="47"/>
        <v>1048</v>
      </c>
      <c r="J594" s="110">
        <f t="shared" si="44"/>
        <v>209.60000000000002</v>
      </c>
      <c r="K594" s="111">
        <f t="shared" si="45"/>
        <v>40</v>
      </c>
      <c r="L594" s="110">
        <f t="shared" si="46"/>
        <v>838.4</v>
      </c>
      <c r="M594" s="112"/>
    </row>
    <row r="595" spans="2:13" s="52" customFormat="1" ht="19.5" hidden="1" customHeight="1">
      <c r="B595" s="108">
        <v>7</v>
      </c>
      <c r="C595" s="139" t="s">
        <v>53</v>
      </c>
      <c r="D595" s="115" t="s">
        <v>1864</v>
      </c>
      <c r="E595" s="108" t="s">
        <v>1986</v>
      </c>
      <c r="F595" s="115" t="s">
        <v>2104</v>
      </c>
      <c r="G595" s="108">
        <v>1</v>
      </c>
      <c r="H595" s="71">
        <v>1</v>
      </c>
      <c r="I595" s="109">
        <f t="shared" si="47"/>
        <v>34.479999999999997</v>
      </c>
      <c r="J595" s="110">
        <f t="shared" si="44"/>
        <v>34.479999999999997</v>
      </c>
      <c r="K595" s="111">
        <f t="shared" si="45"/>
        <v>0</v>
      </c>
      <c r="L595" s="110">
        <f t="shared" si="46"/>
        <v>0</v>
      </c>
      <c r="M595" s="112"/>
    </row>
    <row r="596" spans="2:13" s="52" customFormat="1" ht="19.5" customHeight="1">
      <c r="B596" s="108">
        <v>7</v>
      </c>
      <c r="C596" s="115" t="s">
        <v>53</v>
      </c>
      <c r="D596" s="115" t="s">
        <v>1865</v>
      </c>
      <c r="E596" s="108" t="s">
        <v>1987</v>
      </c>
      <c r="F596" s="115" t="s">
        <v>2105</v>
      </c>
      <c r="G596" s="108">
        <v>47</v>
      </c>
      <c r="H596" s="71">
        <f>28+1</f>
        <v>29</v>
      </c>
      <c r="I596" s="109">
        <f t="shared" si="47"/>
        <v>1804.33</v>
      </c>
      <c r="J596" s="110">
        <f t="shared" si="44"/>
        <v>1113.31</v>
      </c>
      <c r="K596" s="111">
        <f t="shared" si="45"/>
        <v>18</v>
      </c>
      <c r="L596" s="110">
        <f t="shared" si="46"/>
        <v>691.02</v>
      </c>
      <c r="M596" s="112"/>
    </row>
    <row r="597" spans="2:13" s="52" customFormat="1" ht="19.5" customHeight="1">
      <c r="B597" s="108">
        <v>7</v>
      </c>
      <c r="C597" s="115" t="s">
        <v>53</v>
      </c>
      <c r="D597" s="115" t="s">
        <v>1866</v>
      </c>
      <c r="E597" s="108" t="s">
        <v>1988</v>
      </c>
      <c r="F597" s="115" t="s">
        <v>2106</v>
      </c>
      <c r="G597" s="108">
        <v>28</v>
      </c>
      <c r="H597" s="71">
        <v>7</v>
      </c>
      <c r="I597" s="109">
        <f t="shared" si="47"/>
        <v>1267.8400000000001</v>
      </c>
      <c r="J597" s="110">
        <f t="shared" si="44"/>
        <v>316.96000000000004</v>
      </c>
      <c r="K597" s="111">
        <f t="shared" si="45"/>
        <v>21</v>
      </c>
      <c r="L597" s="110">
        <f t="shared" si="46"/>
        <v>950.88000000000011</v>
      </c>
      <c r="M597" s="112"/>
    </row>
    <row r="598" spans="2:13" s="52" customFormat="1" ht="19.5" hidden="1" customHeight="1">
      <c r="B598" s="108">
        <v>7</v>
      </c>
      <c r="C598" s="139" t="s">
        <v>53</v>
      </c>
      <c r="D598" s="115" t="s">
        <v>1867</v>
      </c>
      <c r="E598" s="108" t="s">
        <v>1989</v>
      </c>
      <c r="F598" s="115" t="s">
        <v>2107</v>
      </c>
      <c r="G598" s="108">
        <v>2</v>
      </c>
      <c r="H598" s="71">
        <v>3</v>
      </c>
      <c r="I598" s="109">
        <f t="shared" si="47"/>
        <v>50.3</v>
      </c>
      <c r="J598" s="110">
        <f t="shared" si="44"/>
        <v>75.449999999999989</v>
      </c>
      <c r="K598" s="111">
        <f t="shared" si="45"/>
        <v>-1</v>
      </c>
      <c r="L598" s="110">
        <f t="shared" si="46"/>
        <v>-25.149999999999991</v>
      </c>
      <c r="M598" s="112"/>
    </row>
    <row r="599" spans="2:13" s="52" customFormat="1" ht="19.5" customHeight="1">
      <c r="B599" s="108">
        <v>7</v>
      </c>
      <c r="C599" s="115" t="s">
        <v>53</v>
      </c>
      <c r="D599" s="115" t="s">
        <v>1868</v>
      </c>
      <c r="E599" s="108" t="s">
        <v>1990</v>
      </c>
      <c r="F599" s="115" t="s">
        <v>2108</v>
      </c>
      <c r="G599" s="108">
        <v>34</v>
      </c>
      <c r="H599" s="71"/>
      <c r="I599" s="109">
        <f t="shared" si="47"/>
        <v>1204.6199999999999</v>
      </c>
      <c r="J599" s="110">
        <f t="shared" si="44"/>
        <v>0</v>
      </c>
      <c r="K599" s="111">
        <f t="shared" si="45"/>
        <v>34</v>
      </c>
      <c r="L599" s="110">
        <f t="shared" si="46"/>
        <v>1204.6199999999999</v>
      </c>
      <c r="M599" s="112"/>
    </row>
    <row r="600" spans="2:13" s="52" customFormat="1" ht="19.5" customHeight="1">
      <c r="B600" s="108">
        <v>7</v>
      </c>
      <c r="C600" s="115" t="s">
        <v>53</v>
      </c>
      <c r="D600" s="115" t="s">
        <v>1869</v>
      </c>
      <c r="E600" s="108" t="s">
        <v>1991</v>
      </c>
      <c r="F600" s="115" t="s">
        <v>2109</v>
      </c>
      <c r="G600" s="108">
        <v>48</v>
      </c>
      <c r="H600" s="71">
        <v>44</v>
      </c>
      <c r="I600" s="109">
        <f t="shared" si="47"/>
        <v>2202.2400000000002</v>
      </c>
      <c r="J600" s="110">
        <f t="shared" si="44"/>
        <v>2018.72</v>
      </c>
      <c r="K600" s="111">
        <f t="shared" si="45"/>
        <v>4</v>
      </c>
      <c r="L600" s="110">
        <f t="shared" si="46"/>
        <v>183.52000000000021</v>
      </c>
      <c r="M600" s="112"/>
    </row>
    <row r="601" spans="2:13" s="52" customFormat="1" ht="19.5" customHeight="1">
      <c r="B601" s="108">
        <v>7</v>
      </c>
      <c r="C601" s="139" t="s">
        <v>53</v>
      </c>
      <c r="D601" s="115" t="s">
        <v>1870</v>
      </c>
      <c r="E601" s="108" t="s">
        <v>1992</v>
      </c>
      <c r="F601" s="115" t="s">
        <v>2110</v>
      </c>
      <c r="G601" s="108">
        <v>10</v>
      </c>
      <c r="H601" s="71">
        <f>4+1</f>
        <v>5</v>
      </c>
      <c r="I601" s="109">
        <f t="shared" si="47"/>
        <v>433.40000000000003</v>
      </c>
      <c r="J601" s="110">
        <f t="shared" si="44"/>
        <v>216.70000000000002</v>
      </c>
      <c r="K601" s="111">
        <f t="shared" si="45"/>
        <v>5</v>
      </c>
      <c r="L601" s="110">
        <f t="shared" si="46"/>
        <v>216.70000000000002</v>
      </c>
      <c r="M601" s="112"/>
    </row>
    <row r="602" spans="2:13" s="52" customFormat="1" ht="19.5" customHeight="1">
      <c r="B602" s="108">
        <v>7</v>
      </c>
      <c r="C602" s="115" t="s">
        <v>53</v>
      </c>
      <c r="D602" s="115" t="s">
        <v>1871</v>
      </c>
      <c r="E602" s="108" t="s">
        <v>1993</v>
      </c>
      <c r="F602" s="115" t="s">
        <v>2111</v>
      </c>
      <c r="G602" s="108">
        <v>16</v>
      </c>
      <c r="H602" s="71">
        <f>3+8</f>
        <v>11</v>
      </c>
      <c r="I602" s="109">
        <f t="shared" si="47"/>
        <v>1455.36</v>
      </c>
      <c r="J602" s="110">
        <f t="shared" si="44"/>
        <v>1000.56</v>
      </c>
      <c r="K602" s="111">
        <f t="shared" si="45"/>
        <v>5</v>
      </c>
      <c r="L602" s="110">
        <f t="shared" si="46"/>
        <v>454.79999999999995</v>
      </c>
      <c r="M602" s="112"/>
    </row>
    <row r="603" spans="2:13" s="52" customFormat="1" ht="19.5" hidden="1" customHeight="1">
      <c r="B603" s="108">
        <v>7</v>
      </c>
      <c r="C603" s="139" t="s">
        <v>53</v>
      </c>
      <c r="D603" s="115" t="s">
        <v>1872</v>
      </c>
      <c r="E603" s="108" t="s">
        <v>1994</v>
      </c>
      <c r="F603" s="115" t="s">
        <v>2112</v>
      </c>
      <c r="G603" s="108">
        <v>4</v>
      </c>
      <c r="H603" s="71">
        <f>3+1</f>
        <v>4</v>
      </c>
      <c r="I603" s="109">
        <f t="shared" si="47"/>
        <v>704.8</v>
      </c>
      <c r="J603" s="110">
        <f t="shared" si="44"/>
        <v>704.8</v>
      </c>
      <c r="K603" s="111">
        <f t="shared" si="45"/>
        <v>0</v>
      </c>
      <c r="L603" s="110">
        <f t="shared" si="46"/>
        <v>0</v>
      </c>
      <c r="M603" s="112"/>
    </row>
    <row r="604" spans="2:13" s="52" customFormat="1" ht="19.5" customHeight="1">
      <c r="B604" s="108">
        <v>7</v>
      </c>
      <c r="C604" s="115" t="s">
        <v>53</v>
      </c>
      <c r="D604" s="115" t="s">
        <v>1873</v>
      </c>
      <c r="E604" s="108" t="s">
        <v>1995</v>
      </c>
      <c r="F604" s="115" t="s">
        <v>2113</v>
      </c>
      <c r="G604" s="108">
        <v>23</v>
      </c>
      <c r="H604" s="71">
        <f>12+3+1</f>
        <v>16</v>
      </c>
      <c r="I604" s="109">
        <f t="shared" si="47"/>
        <v>646.30000000000007</v>
      </c>
      <c r="J604" s="110">
        <f t="shared" si="44"/>
        <v>449.6</v>
      </c>
      <c r="K604" s="111">
        <f t="shared" si="45"/>
        <v>7</v>
      </c>
      <c r="L604" s="110">
        <f t="shared" si="46"/>
        <v>196.70000000000005</v>
      </c>
      <c r="M604" s="112"/>
    </row>
    <row r="605" spans="2:13" s="52" customFormat="1" ht="19.5" hidden="1" customHeight="1">
      <c r="B605" s="108">
        <v>7</v>
      </c>
      <c r="C605" s="139" t="s">
        <v>53</v>
      </c>
      <c r="D605" s="115" t="s">
        <v>1874</v>
      </c>
      <c r="E605" s="108" t="s">
        <v>1996</v>
      </c>
      <c r="F605" s="115" t="s">
        <v>2114</v>
      </c>
      <c r="G605" s="108">
        <v>10</v>
      </c>
      <c r="H605" s="71">
        <v>10</v>
      </c>
      <c r="I605" s="109">
        <f t="shared" si="47"/>
        <v>952.4</v>
      </c>
      <c r="J605" s="110">
        <f t="shared" si="44"/>
        <v>952.4</v>
      </c>
      <c r="K605" s="111">
        <f t="shared" si="45"/>
        <v>0</v>
      </c>
      <c r="L605" s="110">
        <f t="shared" si="46"/>
        <v>0</v>
      </c>
      <c r="M605" s="112"/>
    </row>
    <row r="606" spans="2:13" s="52" customFormat="1" ht="19.5" hidden="1" customHeight="1">
      <c r="B606" s="108">
        <v>7</v>
      </c>
      <c r="C606" s="115" t="s">
        <v>53</v>
      </c>
      <c r="D606" s="115" t="s">
        <v>1875</v>
      </c>
      <c r="E606" s="108" t="s">
        <v>1997</v>
      </c>
      <c r="F606" s="115" t="s">
        <v>2115</v>
      </c>
      <c r="G606" s="108">
        <v>2</v>
      </c>
      <c r="H606" s="71">
        <v>3</v>
      </c>
      <c r="I606" s="109">
        <f t="shared" si="47"/>
        <v>83.72</v>
      </c>
      <c r="J606" s="110">
        <f t="shared" si="44"/>
        <v>125.58</v>
      </c>
      <c r="K606" s="111">
        <f t="shared" si="45"/>
        <v>-1</v>
      </c>
      <c r="L606" s="110">
        <f t="shared" si="46"/>
        <v>-41.86</v>
      </c>
      <c r="M606" s="112"/>
    </row>
    <row r="607" spans="2:13" s="52" customFormat="1" ht="19.5" customHeight="1">
      <c r="B607" s="108">
        <v>7</v>
      </c>
      <c r="C607" s="115" t="s">
        <v>53</v>
      </c>
      <c r="D607" s="115" t="s">
        <v>1876</v>
      </c>
      <c r="E607" s="108" t="s">
        <v>1998</v>
      </c>
      <c r="F607" s="115" t="s">
        <v>2116</v>
      </c>
      <c r="G607" s="108">
        <v>8</v>
      </c>
      <c r="H607" s="71"/>
      <c r="I607" s="109">
        <f t="shared" si="47"/>
        <v>283.04000000000002</v>
      </c>
      <c r="J607" s="110">
        <f t="shared" si="44"/>
        <v>0</v>
      </c>
      <c r="K607" s="111">
        <f t="shared" si="45"/>
        <v>8</v>
      </c>
      <c r="L607" s="110">
        <f t="shared" si="46"/>
        <v>283.04000000000002</v>
      </c>
      <c r="M607" s="112"/>
    </row>
    <row r="608" spans="2:13" s="52" customFormat="1" ht="19.5" customHeight="1">
      <c r="B608" s="108">
        <v>7</v>
      </c>
      <c r="C608" s="139" t="s">
        <v>53</v>
      </c>
      <c r="D608" s="115" t="s">
        <v>1877</v>
      </c>
      <c r="E608" s="108" t="s">
        <v>1999</v>
      </c>
      <c r="F608" s="115" t="s">
        <v>2117</v>
      </c>
      <c r="G608" s="108">
        <v>1</v>
      </c>
      <c r="H608" s="71"/>
      <c r="I608" s="109">
        <f t="shared" si="47"/>
        <v>199.95</v>
      </c>
      <c r="J608" s="110">
        <f t="shared" si="44"/>
        <v>0</v>
      </c>
      <c r="K608" s="111">
        <f t="shared" si="45"/>
        <v>1</v>
      </c>
      <c r="L608" s="110">
        <f t="shared" si="46"/>
        <v>199.95</v>
      </c>
      <c r="M608" s="112"/>
    </row>
    <row r="609" spans="2:13" s="52" customFormat="1" ht="19.5" customHeight="1">
      <c r="B609" s="108">
        <v>7</v>
      </c>
      <c r="C609" s="115" t="s">
        <v>53</v>
      </c>
      <c r="D609" s="115" t="s">
        <v>1878</v>
      </c>
      <c r="E609" s="108" t="s">
        <v>2000</v>
      </c>
      <c r="F609" s="115" t="s">
        <v>2118</v>
      </c>
      <c r="G609" s="108">
        <v>1</v>
      </c>
      <c r="H609" s="71"/>
      <c r="I609" s="109">
        <f t="shared" si="47"/>
        <v>28.86</v>
      </c>
      <c r="J609" s="110">
        <f t="shared" ref="J609:J668" si="48">F609*H609</f>
        <v>0</v>
      </c>
      <c r="K609" s="111">
        <f t="shared" ref="K609:K668" si="49">G609-H609</f>
        <v>1</v>
      </c>
      <c r="L609" s="110">
        <f t="shared" ref="L609:L668" si="50">I609-J609</f>
        <v>28.86</v>
      </c>
      <c r="M609" s="112"/>
    </row>
    <row r="610" spans="2:13" s="52" customFormat="1" ht="19.5" customHeight="1">
      <c r="B610" s="108">
        <v>7</v>
      </c>
      <c r="C610" s="115" t="s">
        <v>53</v>
      </c>
      <c r="D610" s="115" t="s">
        <v>1879</v>
      </c>
      <c r="E610" s="108" t="s">
        <v>2001</v>
      </c>
      <c r="F610" s="115" t="s">
        <v>2119</v>
      </c>
      <c r="G610" s="108">
        <v>14</v>
      </c>
      <c r="H610" s="71"/>
      <c r="I610" s="109">
        <f t="shared" si="47"/>
        <v>483.28000000000003</v>
      </c>
      <c r="J610" s="110">
        <f t="shared" si="48"/>
        <v>0</v>
      </c>
      <c r="K610" s="111">
        <f t="shared" si="49"/>
        <v>14</v>
      </c>
      <c r="L610" s="110">
        <f t="shared" si="50"/>
        <v>483.28000000000003</v>
      </c>
      <c r="M610" s="112"/>
    </row>
    <row r="611" spans="2:13" s="52" customFormat="1" ht="19.5" customHeight="1">
      <c r="B611" s="108">
        <v>7</v>
      </c>
      <c r="C611" s="139" t="s">
        <v>53</v>
      </c>
      <c r="D611" s="115" t="s">
        <v>1880</v>
      </c>
      <c r="E611" s="108" t="s">
        <v>2002</v>
      </c>
      <c r="F611" s="115" t="s">
        <v>2120</v>
      </c>
      <c r="G611" s="108">
        <v>60</v>
      </c>
      <c r="H611" s="71">
        <v>34</v>
      </c>
      <c r="I611" s="109">
        <f t="shared" si="47"/>
        <v>954.6</v>
      </c>
      <c r="J611" s="110">
        <f t="shared" si="48"/>
        <v>540.94000000000005</v>
      </c>
      <c r="K611" s="111">
        <f t="shared" si="49"/>
        <v>26</v>
      </c>
      <c r="L611" s="110">
        <f t="shared" si="50"/>
        <v>413.65999999999997</v>
      </c>
      <c r="M611" s="112"/>
    </row>
    <row r="612" spans="2:13" s="52" customFormat="1" ht="19.5" customHeight="1">
      <c r="B612" s="108">
        <v>7</v>
      </c>
      <c r="C612" s="115" t="s">
        <v>53</v>
      </c>
      <c r="D612" s="115" t="s">
        <v>1881</v>
      </c>
      <c r="E612" s="108" t="s">
        <v>2003</v>
      </c>
      <c r="F612" s="115" t="s">
        <v>2121</v>
      </c>
      <c r="G612" s="108">
        <v>18</v>
      </c>
      <c r="H612" s="71">
        <v>14</v>
      </c>
      <c r="I612" s="109">
        <f t="shared" si="47"/>
        <v>1731.42</v>
      </c>
      <c r="J612" s="110">
        <f t="shared" si="48"/>
        <v>1346.6599999999999</v>
      </c>
      <c r="K612" s="111">
        <f t="shared" si="49"/>
        <v>4</v>
      </c>
      <c r="L612" s="110">
        <f t="shared" si="50"/>
        <v>384.76000000000022</v>
      </c>
      <c r="M612" s="112"/>
    </row>
    <row r="613" spans="2:13" s="52" customFormat="1" ht="19.5" customHeight="1">
      <c r="B613" s="108">
        <v>7</v>
      </c>
      <c r="C613" s="115" t="s">
        <v>53</v>
      </c>
      <c r="D613" s="115" t="s">
        <v>1882</v>
      </c>
      <c r="E613" s="108" t="s">
        <v>2004</v>
      </c>
      <c r="F613" s="115" t="s">
        <v>2122</v>
      </c>
      <c r="G613" s="108">
        <v>3</v>
      </c>
      <c r="H613" s="71"/>
      <c r="I613" s="109">
        <f t="shared" si="47"/>
        <v>134.37</v>
      </c>
      <c r="J613" s="110">
        <f t="shared" si="48"/>
        <v>0</v>
      </c>
      <c r="K613" s="111">
        <f t="shared" si="49"/>
        <v>3</v>
      </c>
      <c r="L613" s="110">
        <f t="shared" si="50"/>
        <v>134.37</v>
      </c>
      <c r="M613" s="112"/>
    </row>
    <row r="614" spans="2:13" s="52" customFormat="1" ht="19.5" customHeight="1">
      <c r="B614" s="108">
        <v>7</v>
      </c>
      <c r="C614" s="139" t="s">
        <v>53</v>
      </c>
      <c r="D614" s="115" t="s">
        <v>1883</v>
      </c>
      <c r="E614" s="108" t="s">
        <v>2005</v>
      </c>
      <c r="F614" s="115" t="s">
        <v>2123</v>
      </c>
      <c r="G614" s="108">
        <v>48</v>
      </c>
      <c r="H614" s="71">
        <v>21</v>
      </c>
      <c r="I614" s="109">
        <f t="shared" si="47"/>
        <v>2582.88</v>
      </c>
      <c r="J614" s="110">
        <f t="shared" si="48"/>
        <v>1130.01</v>
      </c>
      <c r="K614" s="111">
        <f t="shared" si="49"/>
        <v>27</v>
      </c>
      <c r="L614" s="110">
        <f t="shared" si="50"/>
        <v>1452.8700000000001</v>
      </c>
      <c r="M614" s="112"/>
    </row>
    <row r="615" spans="2:13" s="52" customFormat="1" ht="19.5" customHeight="1">
      <c r="B615" s="108">
        <v>7</v>
      </c>
      <c r="C615" s="115" t="s">
        <v>53</v>
      </c>
      <c r="D615" s="115" t="s">
        <v>1883</v>
      </c>
      <c r="E615" s="108" t="s">
        <v>2005</v>
      </c>
      <c r="F615" s="115" t="s">
        <v>2123</v>
      </c>
      <c r="G615" s="108">
        <v>14</v>
      </c>
      <c r="H615" s="71"/>
      <c r="I615" s="109">
        <f t="shared" si="47"/>
        <v>753.34</v>
      </c>
      <c r="J615" s="110">
        <f t="shared" si="48"/>
        <v>0</v>
      </c>
      <c r="K615" s="111">
        <f t="shared" si="49"/>
        <v>14</v>
      </c>
      <c r="L615" s="110">
        <f t="shared" si="50"/>
        <v>753.34</v>
      </c>
      <c r="M615" s="112"/>
    </row>
    <row r="616" spans="2:13" s="52" customFormat="1" ht="19.5" hidden="1" customHeight="1">
      <c r="B616" s="108">
        <v>7</v>
      </c>
      <c r="C616" s="115" t="s">
        <v>53</v>
      </c>
      <c r="D616" s="115" t="s">
        <v>1884</v>
      </c>
      <c r="E616" s="108" t="s">
        <v>2006</v>
      </c>
      <c r="F616" s="115" t="s">
        <v>2124</v>
      </c>
      <c r="G616" s="108">
        <v>8</v>
      </c>
      <c r="H616" s="71">
        <v>10</v>
      </c>
      <c r="I616" s="109">
        <f t="shared" si="47"/>
        <v>1104.8</v>
      </c>
      <c r="J616" s="110">
        <f t="shared" si="48"/>
        <v>1381</v>
      </c>
      <c r="K616" s="111">
        <f t="shared" si="49"/>
        <v>-2</v>
      </c>
      <c r="L616" s="110">
        <f t="shared" si="50"/>
        <v>-276.20000000000005</v>
      </c>
      <c r="M616" s="112"/>
    </row>
    <row r="617" spans="2:13" s="52" customFormat="1" ht="19.5" customHeight="1">
      <c r="B617" s="108">
        <v>7</v>
      </c>
      <c r="C617" s="139" t="s">
        <v>53</v>
      </c>
      <c r="D617" s="115" t="s">
        <v>1885</v>
      </c>
      <c r="E617" s="108" t="s">
        <v>2007</v>
      </c>
      <c r="F617" s="115" t="s">
        <v>2125</v>
      </c>
      <c r="G617" s="108">
        <v>8</v>
      </c>
      <c r="H617" s="71">
        <v>7</v>
      </c>
      <c r="I617" s="109">
        <f t="shared" si="47"/>
        <v>838.16</v>
      </c>
      <c r="J617" s="110">
        <f t="shared" si="48"/>
        <v>733.39</v>
      </c>
      <c r="K617" s="111">
        <f t="shared" si="49"/>
        <v>1</v>
      </c>
      <c r="L617" s="110">
        <f t="shared" si="50"/>
        <v>104.76999999999998</v>
      </c>
      <c r="M617" s="112"/>
    </row>
    <row r="618" spans="2:13" s="52" customFormat="1" ht="19.5" customHeight="1">
      <c r="B618" s="108">
        <v>7</v>
      </c>
      <c r="C618" s="115" t="s">
        <v>53</v>
      </c>
      <c r="D618" s="115" t="s">
        <v>1886</v>
      </c>
      <c r="E618" s="108" t="s">
        <v>2008</v>
      </c>
      <c r="F618" s="115" t="s">
        <v>2126</v>
      </c>
      <c r="G618" s="108">
        <v>17</v>
      </c>
      <c r="H618" s="71"/>
      <c r="I618" s="109">
        <f t="shared" si="47"/>
        <v>267.24</v>
      </c>
      <c r="J618" s="110">
        <f t="shared" si="48"/>
        <v>0</v>
      </c>
      <c r="K618" s="111">
        <f t="shared" si="49"/>
        <v>17</v>
      </c>
      <c r="L618" s="110">
        <f t="shared" si="50"/>
        <v>267.24</v>
      </c>
      <c r="M618" s="112"/>
    </row>
    <row r="619" spans="2:13" s="52" customFormat="1" ht="19.5" customHeight="1">
      <c r="B619" s="108">
        <v>7</v>
      </c>
      <c r="C619" s="115" t="s">
        <v>53</v>
      </c>
      <c r="D619" s="115" t="s">
        <v>1887</v>
      </c>
      <c r="E619" s="108" t="s">
        <v>2009</v>
      </c>
      <c r="F619" s="115" t="s">
        <v>2127</v>
      </c>
      <c r="G619" s="108">
        <v>7</v>
      </c>
      <c r="H619" s="71"/>
      <c r="I619" s="109">
        <f t="shared" si="47"/>
        <v>731.5</v>
      </c>
      <c r="J619" s="110">
        <f t="shared" si="48"/>
        <v>0</v>
      </c>
      <c r="K619" s="111">
        <f t="shared" si="49"/>
        <v>7</v>
      </c>
      <c r="L619" s="110">
        <f t="shared" si="50"/>
        <v>731.5</v>
      </c>
      <c r="M619" s="112"/>
    </row>
    <row r="620" spans="2:13" s="52" customFormat="1" ht="19.5" customHeight="1">
      <c r="B620" s="108">
        <v>7</v>
      </c>
      <c r="C620" s="139" t="s">
        <v>53</v>
      </c>
      <c r="D620" s="115" t="s">
        <v>1888</v>
      </c>
      <c r="E620" s="108" t="s">
        <v>2010</v>
      </c>
      <c r="F620" s="115" t="s">
        <v>2128</v>
      </c>
      <c r="G620" s="108">
        <v>3</v>
      </c>
      <c r="H620" s="71"/>
      <c r="I620" s="109">
        <f t="shared" si="47"/>
        <v>923.12999999999988</v>
      </c>
      <c r="J620" s="110">
        <f t="shared" si="48"/>
        <v>0</v>
      </c>
      <c r="K620" s="111">
        <f t="shared" si="49"/>
        <v>3</v>
      </c>
      <c r="L620" s="110">
        <f t="shared" si="50"/>
        <v>923.12999999999988</v>
      </c>
      <c r="M620" s="112"/>
    </row>
    <row r="621" spans="2:13" s="52" customFormat="1" ht="19.5" hidden="1" customHeight="1">
      <c r="B621" s="108">
        <v>7</v>
      </c>
      <c r="C621" s="115" t="s">
        <v>53</v>
      </c>
      <c r="D621" s="115" t="s">
        <v>1889</v>
      </c>
      <c r="E621" s="108" t="s">
        <v>2011</v>
      </c>
      <c r="F621" s="115" t="s">
        <v>2129</v>
      </c>
      <c r="G621" s="108">
        <v>16</v>
      </c>
      <c r="H621" s="71">
        <v>28</v>
      </c>
      <c r="I621" s="109">
        <f t="shared" si="47"/>
        <v>533.28</v>
      </c>
      <c r="J621" s="110">
        <f t="shared" si="48"/>
        <v>933.24</v>
      </c>
      <c r="K621" s="111">
        <f t="shared" si="49"/>
        <v>-12</v>
      </c>
      <c r="L621" s="110">
        <f t="shared" si="50"/>
        <v>-399.96000000000004</v>
      </c>
      <c r="M621" s="112"/>
    </row>
    <row r="622" spans="2:13" s="52" customFormat="1" ht="19.5" customHeight="1">
      <c r="B622" s="108">
        <v>7</v>
      </c>
      <c r="C622" s="115" t="s">
        <v>53</v>
      </c>
      <c r="D622" s="115" t="s">
        <v>1890</v>
      </c>
      <c r="E622" s="108" t="s">
        <v>2012</v>
      </c>
      <c r="F622" s="115" t="s">
        <v>2130</v>
      </c>
      <c r="G622" s="108">
        <v>41</v>
      </c>
      <c r="H622" s="71"/>
      <c r="I622" s="109">
        <f t="shared" si="47"/>
        <v>2916.33</v>
      </c>
      <c r="J622" s="110">
        <f t="shared" si="48"/>
        <v>0</v>
      </c>
      <c r="K622" s="111">
        <f t="shared" si="49"/>
        <v>41</v>
      </c>
      <c r="L622" s="110">
        <f t="shared" si="50"/>
        <v>2916.33</v>
      </c>
      <c r="M622" s="112"/>
    </row>
    <row r="623" spans="2:13" s="52" customFormat="1" ht="19.5" customHeight="1">
      <c r="B623" s="108">
        <v>7</v>
      </c>
      <c r="C623" s="139" t="s">
        <v>53</v>
      </c>
      <c r="D623" s="115" t="s">
        <v>1891</v>
      </c>
      <c r="E623" s="108" t="s">
        <v>2013</v>
      </c>
      <c r="F623" s="115" t="s">
        <v>2131</v>
      </c>
      <c r="G623" s="108">
        <v>10</v>
      </c>
      <c r="H623" s="71">
        <v>8</v>
      </c>
      <c r="I623" s="109">
        <f t="shared" si="47"/>
        <v>628</v>
      </c>
      <c r="J623" s="110">
        <f t="shared" si="48"/>
        <v>502.4</v>
      </c>
      <c r="K623" s="111">
        <f t="shared" si="49"/>
        <v>2</v>
      </c>
      <c r="L623" s="110">
        <f t="shared" si="50"/>
        <v>125.60000000000002</v>
      </c>
      <c r="M623" s="112"/>
    </row>
    <row r="624" spans="2:13" s="52" customFormat="1" ht="19.5" customHeight="1">
      <c r="B624" s="108">
        <v>7</v>
      </c>
      <c r="C624" s="115" t="s">
        <v>53</v>
      </c>
      <c r="D624" s="115" t="s">
        <v>1892</v>
      </c>
      <c r="E624" s="108" t="s">
        <v>2014</v>
      </c>
      <c r="F624" s="115" t="s">
        <v>2132</v>
      </c>
      <c r="G624" s="108">
        <v>7</v>
      </c>
      <c r="H624" s="71"/>
      <c r="I624" s="109">
        <f t="shared" si="47"/>
        <v>878.5</v>
      </c>
      <c r="J624" s="110">
        <f t="shared" si="48"/>
        <v>0</v>
      </c>
      <c r="K624" s="111">
        <f t="shared" si="49"/>
        <v>7</v>
      </c>
      <c r="L624" s="110">
        <f t="shared" si="50"/>
        <v>878.5</v>
      </c>
      <c r="M624" s="112"/>
    </row>
    <row r="625" spans="2:13" s="52" customFormat="1" ht="19.5" customHeight="1">
      <c r="B625" s="108">
        <v>7</v>
      </c>
      <c r="C625" s="115" t="s">
        <v>53</v>
      </c>
      <c r="D625" s="115" t="s">
        <v>1893</v>
      </c>
      <c r="E625" s="108" t="s">
        <v>2015</v>
      </c>
      <c r="F625" s="115" t="s">
        <v>2133</v>
      </c>
      <c r="G625" s="108">
        <v>68</v>
      </c>
      <c r="H625" s="71"/>
      <c r="I625" s="109">
        <f t="shared" si="47"/>
        <v>2748.56</v>
      </c>
      <c r="J625" s="110">
        <f t="shared" si="48"/>
        <v>0</v>
      </c>
      <c r="K625" s="111">
        <f t="shared" si="49"/>
        <v>68</v>
      </c>
      <c r="L625" s="110">
        <f t="shared" si="50"/>
        <v>2748.56</v>
      </c>
      <c r="M625" s="112"/>
    </row>
    <row r="626" spans="2:13" s="52" customFormat="1" ht="19.5" customHeight="1">
      <c r="B626" s="108">
        <v>7</v>
      </c>
      <c r="C626" s="139" t="s">
        <v>53</v>
      </c>
      <c r="D626" s="115" t="s">
        <v>1894</v>
      </c>
      <c r="E626" s="108" t="s">
        <v>2016</v>
      </c>
      <c r="F626" s="115" t="s">
        <v>2134</v>
      </c>
      <c r="G626" s="108">
        <v>75</v>
      </c>
      <c r="H626" s="71"/>
      <c r="I626" s="109">
        <f t="shared" si="47"/>
        <v>2313.75</v>
      </c>
      <c r="J626" s="110">
        <f t="shared" si="48"/>
        <v>0</v>
      </c>
      <c r="K626" s="111">
        <f t="shared" si="49"/>
        <v>75</v>
      </c>
      <c r="L626" s="110">
        <f t="shared" si="50"/>
        <v>2313.75</v>
      </c>
      <c r="M626" s="112"/>
    </row>
    <row r="627" spans="2:13" s="52" customFormat="1" ht="19.5" customHeight="1">
      <c r="B627" s="108">
        <v>7</v>
      </c>
      <c r="C627" s="115" t="s">
        <v>53</v>
      </c>
      <c r="D627" s="115" t="s">
        <v>1895</v>
      </c>
      <c r="E627" s="108" t="s">
        <v>2017</v>
      </c>
      <c r="F627" s="115" t="s">
        <v>2135</v>
      </c>
      <c r="G627" s="108">
        <v>1</v>
      </c>
      <c r="H627" s="71"/>
      <c r="I627" s="109">
        <f t="shared" si="47"/>
        <v>41.89</v>
      </c>
      <c r="J627" s="110">
        <f t="shared" si="48"/>
        <v>0</v>
      </c>
      <c r="K627" s="111">
        <f t="shared" si="49"/>
        <v>1</v>
      </c>
      <c r="L627" s="110">
        <f t="shared" si="50"/>
        <v>41.89</v>
      </c>
      <c r="M627" s="112"/>
    </row>
    <row r="628" spans="2:13" s="52" customFormat="1" ht="19.5" hidden="1" customHeight="1">
      <c r="B628" s="108">
        <v>7</v>
      </c>
      <c r="C628" s="115" t="s">
        <v>53</v>
      </c>
      <c r="D628" s="115" t="s">
        <v>1896</v>
      </c>
      <c r="E628" s="108" t="s">
        <v>2018</v>
      </c>
      <c r="F628" s="115" t="s">
        <v>2136</v>
      </c>
      <c r="G628" s="108">
        <v>1</v>
      </c>
      <c r="H628" s="71">
        <v>1</v>
      </c>
      <c r="I628" s="109">
        <f t="shared" si="47"/>
        <v>24.25</v>
      </c>
      <c r="J628" s="110">
        <f t="shared" si="48"/>
        <v>24.25</v>
      </c>
      <c r="K628" s="111">
        <f t="shared" si="49"/>
        <v>0</v>
      </c>
      <c r="L628" s="110">
        <f t="shared" si="50"/>
        <v>0</v>
      </c>
      <c r="M628" s="112"/>
    </row>
    <row r="629" spans="2:13" s="52" customFormat="1" ht="19.5" customHeight="1">
      <c r="B629" s="108">
        <v>7</v>
      </c>
      <c r="C629" s="139" t="s">
        <v>53</v>
      </c>
      <c r="D629" s="115" t="s">
        <v>1897</v>
      </c>
      <c r="E629" s="108" t="s">
        <v>2019</v>
      </c>
      <c r="F629" s="115" t="s">
        <v>2137</v>
      </c>
      <c r="G629" s="108">
        <v>1</v>
      </c>
      <c r="H629" s="71"/>
      <c r="I629" s="109">
        <f t="shared" si="47"/>
        <v>37.04</v>
      </c>
      <c r="J629" s="110">
        <f t="shared" si="48"/>
        <v>0</v>
      </c>
      <c r="K629" s="111">
        <f t="shared" si="49"/>
        <v>1</v>
      </c>
      <c r="L629" s="110">
        <f t="shared" si="50"/>
        <v>37.04</v>
      </c>
      <c r="M629" s="112"/>
    </row>
    <row r="630" spans="2:13" s="52" customFormat="1" ht="19.5" customHeight="1">
      <c r="B630" s="108">
        <v>7</v>
      </c>
      <c r="C630" s="115" t="s">
        <v>53</v>
      </c>
      <c r="D630" s="115" t="s">
        <v>1898</v>
      </c>
      <c r="E630" s="108" t="s">
        <v>2020</v>
      </c>
      <c r="F630" s="115" t="s">
        <v>2138</v>
      </c>
      <c r="G630" s="108">
        <v>1</v>
      </c>
      <c r="H630" s="71"/>
      <c r="I630" s="109">
        <f t="shared" si="47"/>
        <v>53.26</v>
      </c>
      <c r="J630" s="110">
        <f t="shared" si="48"/>
        <v>0</v>
      </c>
      <c r="K630" s="111">
        <f t="shared" si="49"/>
        <v>1</v>
      </c>
      <c r="L630" s="110">
        <f t="shared" si="50"/>
        <v>53.26</v>
      </c>
      <c r="M630" s="112"/>
    </row>
    <row r="631" spans="2:13" s="52" customFormat="1" ht="19.5" customHeight="1">
      <c r="B631" s="108">
        <v>7</v>
      </c>
      <c r="C631" s="115" t="s">
        <v>53</v>
      </c>
      <c r="D631" s="115" t="s">
        <v>1899</v>
      </c>
      <c r="E631" s="108" t="s">
        <v>2021</v>
      </c>
      <c r="F631" s="115" t="s">
        <v>2139</v>
      </c>
      <c r="G631" s="108">
        <v>18</v>
      </c>
      <c r="H631" s="71">
        <v>11</v>
      </c>
      <c r="I631" s="109">
        <f t="shared" si="47"/>
        <v>223.02</v>
      </c>
      <c r="J631" s="110">
        <f t="shared" si="48"/>
        <v>136.29000000000002</v>
      </c>
      <c r="K631" s="111">
        <f t="shared" si="49"/>
        <v>7</v>
      </c>
      <c r="L631" s="110">
        <f t="shared" si="50"/>
        <v>86.72999999999999</v>
      </c>
      <c r="M631" s="112"/>
    </row>
    <row r="632" spans="2:13" s="52" customFormat="1" ht="19.5" customHeight="1">
      <c r="B632" s="108">
        <v>7</v>
      </c>
      <c r="C632" s="115" t="s">
        <v>53</v>
      </c>
      <c r="D632" s="115" t="s">
        <v>1900</v>
      </c>
      <c r="E632" s="108" t="s">
        <v>2022</v>
      </c>
      <c r="F632" s="115" t="s">
        <v>2140</v>
      </c>
      <c r="G632" s="108">
        <v>18</v>
      </c>
      <c r="H632" s="71">
        <v>11</v>
      </c>
      <c r="I632" s="109">
        <f t="shared" si="47"/>
        <v>639.9</v>
      </c>
      <c r="J632" s="110">
        <f t="shared" si="48"/>
        <v>391.04999999999995</v>
      </c>
      <c r="K632" s="111">
        <f t="shared" si="49"/>
        <v>7</v>
      </c>
      <c r="L632" s="110">
        <f t="shared" si="50"/>
        <v>248.85000000000002</v>
      </c>
      <c r="M632" s="112"/>
    </row>
    <row r="633" spans="2:13" s="52" customFormat="1" ht="19.5" customHeight="1">
      <c r="B633" s="108">
        <v>7</v>
      </c>
      <c r="C633" s="139" t="s">
        <v>53</v>
      </c>
      <c r="D633" s="115" t="s">
        <v>1901</v>
      </c>
      <c r="E633" s="108" t="s">
        <v>2023</v>
      </c>
      <c r="F633" s="115" t="s">
        <v>2141</v>
      </c>
      <c r="G633" s="108">
        <v>2</v>
      </c>
      <c r="H633" s="71">
        <v>1</v>
      </c>
      <c r="I633" s="109">
        <f t="shared" si="47"/>
        <v>250.1</v>
      </c>
      <c r="J633" s="110">
        <f t="shared" si="48"/>
        <v>125.05</v>
      </c>
      <c r="K633" s="111">
        <f t="shared" si="49"/>
        <v>1</v>
      </c>
      <c r="L633" s="110">
        <f t="shared" si="50"/>
        <v>125.05</v>
      </c>
      <c r="M633" s="112"/>
    </row>
    <row r="634" spans="2:13" s="52" customFormat="1" ht="19.5" customHeight="1">
      <c r="B634" s="108">
        <v>7</v>
      </c>
      <c r="C634" s="115" t="s">
        <v>53</v>
      </c>
      <c r="D634" s="115" t="s">
        <v>1902</v>
      </c>
      <c r="E634" s="108" t="s">
        <v>2024</v>
      </c>
      <c r="F634" s="115" t="s">
        <v>2142</v>
      </c>
      <c r="G634" s="108">
        <v>2</v>
      </c>
      <c r="H634" s="71"/>
      <c r="I634" s="109">
        <f t="shared" si="47"/>
        <v>194.42</v>
      </c>
      <c r="J634" s="110">
        <f t="shared" si="48"/>
        <v>0</v>
      </c>
      <c r="K634" s="111">
        <f t="shared" si="49"/>
        <v>2</v>
      </c>
      <c r="L634" s="110">
        <f t="shared" si="50"/>
        <v>194.42</v>
      </c>
      <c r="M634" s="112"/>
    </row>
    <row r="635" spans="2:13" s="52" customFormat="1" ht="19.5" customHeight="1">
      <c r="B635" s="108">
        <v>7</v>
      </c>
      <c r="C635" s="115" t="s">
        <v>53</v>
      </c>
      <c r="D635" s="115" t="s">
        <v>1903</v>
      </c>
      <c r="E635" s="108" t="s">
        <v>2025</v>
      </c>
      <c r="F635" s="115" t="s">
        <v>2139</v>
      </c>
      <c r="G635" s="108">
        <v>22</v>
      </c>
      <c r="H635" s="71">
        <v>15</v>
      </c>
      <c r="I635" s="109">
        <f t="shared" si="47"/>
        <v>272.58000000000004</v>
      </c>
      <c r="J635" s="110">
        <f t="shared" si="48"/>
        <v>185.85000000000002</v>
      </c>
      <c r="K635" s="111">
        <f t="shared" si="49"/>
        <v>7</v>
      </c>
      <c r="L635" s="110">
        <f t="shared" si="50"/>
        <v>86.730000000000018</v>
      </c>
      <c r="M635" s="112"/>
    </row>
    <row r="636" spans="2:13" s="52" customFormat="1" ht="19.5" customHeight="1">
      <c r="B636" s="108">
        <v>7</v>
      </c>
      <c r="C636" s="115" t="s">
        <v>53</v>
      </c>
      <c r="D636" s="115" t="s">
        <v>1904</v>
      </c>
      <c r="E636" s="108" t="s">
        <v>2026</v>
      </c>
      <c r="F636" s="115" t="s">
        <v>2142</v>
      </c>
      <c r="G636" s="108">
        <v>8</v>
      </c>
      <c r="H636" s="71"/>
      <c r="I636" s="109">
        <f t="shared" si="47"/>
        <v>777.68</v>
      </c>
      <c r="J636" s="110">
        <f t="shared" si="48"/>
        <v>0</v>
      </c>
      <c r="K636" s="111">
        <f t="shared" si="49"/>
        <v>8</v>
      </c>
      <c r="L636" s="110">
        <f t="shared" si="50"/>
        <v>777.68</v>
      </c>
      <c r="M636" s="112"/>
    </row>
    <row r="637" spans="2:13" s="52" customFormat="1" ht="19.5" customHeight="1">
      <c r="B637" s="108">
        <v>7</v>
      </c>
      <c r="C637" s="115" t="s">
        <v>53</v>
      </c>
      <c r="D637" s="115" t="s">
        <v>1905</v>
      </c>
      <c r="E637" s="108" t="s">
        <v>2027</v>
      </c>
      <c r="F637" s="115" t="s">
        <v>2140</v>
      </c>
      <c r="G637" s="108">
        <v>12</v>
      </c>
      <c r="H637" s="71">
        <v>8</v>
      </c>
      <c r="I637" s="109">
        <f t="shared" si="47"/>
        <v>426.59999999999997</v>
      </c>
      <c r="J637" s="110">
        <f t="shared" si="48"/>
        <v>284.39999999999998</v>
      </c>
      <c r="K637" s="111">
        <f t="shared" si="49"/>
        <v>4</v>
      </c>
      <c r="L637" s="110">
        <f t="shared" si="50"/>
        <v>142.19999999999999</v>
      </c>
      <c r="M637" s="112"/>
    </row>
    <row r="638" spans="2:13" s="52" customFormat="1" ht="19.5" customHeight="1">
      <c r="B638" s="108">
        <v>7</v>
      </c>
      <c r="C638" s="139" t="s">
        <v>53</v>
      </c>
      <c r="D638" s="115" t="s">
        <v>1905</v>
      </c>
      <c r="E638" s="108" t="s">
        <v>2027</v>
      </c>
      <c r="F638" s="115" t="s">
        <v>2140</v>
      </c>
      <c r="G638" s="108">
        <v>8</v>
      </c>
      <c r="H638" s="71"/>
      <c r="I638" s="109">
        <f t="shared" si="47"/>
        <v>284.39999999999998</v>
      </c>
      <c r="J638" s="110">
        <f t="shared" si="48"/>
        <v>0</v>
      </c>
      <c r="K638" s="111">
        <f t="shared" si="49"/>
        <v>8</v>
      </c>
      <c r="L638" s="110">
        <f t="shared" si="50"/>
        <v>284.39999999999998</v>
      </c>
      <c r="M638" s="112"/>
    </row>
    <row r="639" spans="2:13" s="52" customFormat="1" ht="19.5" hidden="1" customHeight="1">
      <c r="B639" s="108">
        <v>7</v>
      </c>
      <c r="C639" s="115" t="s">
        <v>53</v>
      </c>
      <c r="D639" s="115" t="s">
        <v>1907</v>
      </c>
      <c r="E639" s="108" t="s">
        <v>2028</v>
      </c>
      <c r="F639" s="115" t="s">
        <v>2141</v>
      </c>
      <c r="G639" s="108">
        <v>1</v>
      </c>
      <c r="H639" s="71">
        <v>1</v>
      </c>
      <c r="I639" s="109">
        <f t="shared" si="47"/>
        <v>125.05</v>
      </c>
      <c r="J639" s="110">
        <f t="shared" si="48"/>
        <v>125.05</v>
      </c>
      <c r="K639" s="111">
        <f t="shared" si="49"/>
        <v>0</v>
      </c>
      <c r="L639" s="110">
        <f t="shared" si="50"/>
        <v>0</v>
      </c>
      <c r="M639" s="112"/>
    </row>
    <row r="640" spans="2:13" s="52" customFormat="1" ht="19.5" customHeight="1">
      <c r="B640" s="108">
        <v>7</v>
      </c>
      <c r="C640" s="115" t="s">
        <v>53</v>
      </c>
      <c r="D640" s="115" t="s">
        <v>1906</v>
      </c>
      <c r="E640" s="108" t="s">
        <v>2028</v>
      </c>
      <c r="F640" s="115" t="s">
        <v>2142</v>
      </c>
      <c r="G640" s="108">
        <v>1</v>
      </c>
      <c r="H640" s="71"/>
      <c r="I640" s="109">
        <f t="shared" si="47"/>
        <v>97.21</v>
      </c>
      <c r="J640" s="110">
        <f t="shared" si="48"/>
        <v>0</v>
      </c>
      <c r="K640" s="111">
        <f t="shared" si="49"/>
        <v>1</v>
      </c>
      <c r="L640" s="110">
        <f t="shared" si="50"/>
        <v>97.21</v>
      </c>
      <c r="M640" s="112"/>
    </row>
    <row r="641" spans="2:13" s="52" customFormat="1" ht="19.5" hidden="1" customHeight="1">
      <c r="B641" s="108">
        <v>7</v>
      </c>
      <c r="C641" s="139" t="s">
        <v>53</v>
      </c>
      <c r="D641" s="115" t="s">
        <v>1908</v>
      </c>
      <c r="E641" s="108" t="s">
        <v>2029</v>
      </c>
      <c r="F641" s="115" t="s">
        <v>2139</v>
      </c>
      <c r="G641" s="108">
        <v>10</v>
      </c>
      <c r="H641" s="71">
        <v>10</v>
      </c>
      <c r="I641" s="109">
        <f t="shared" si="47"/>
        <v>123.9</v>
      </c>
      <c r="J641" s="110">
        <f t="shared" si="48"/>
        <v>123.9</v>
      </c>
      <c r="K641" s="111">
        <f t="shared" si="49"/>
        <v>0</v>
      </c>
      <c r="L641" s="110">
        <f t="shared" si="50"/>
        <v>0</v>
      </c>
      <c r="M641" s="112"/>
    </row>
    <row r="642" spans="2:13" s="52" customFormat="1" ht="19.5" customHeight="1">
      <c r="B642" s="108">
        <v>7</v>
      </c>
      <c r="C642" s="115" t="s">
        <v>53</v>
      </c>
      <c r="D642" s="115" t="s">
        <v>1909</v>
      </c>
      <c r="E642" s="108" t="s">
        <v>2030</v>
      </c>
      <c r="F642" s="115" t="s">
        <v>2140</v>
      </c>
      <c r="G642" s="108">
        <v>19</v>
      </c>
      <c r="H642" s="71">
        <v>14</v>
      </c>
      <c r="I642" s="109">
        <f t="shared" si="47"/>
        <v>675.44999999999993</v>
      </c>
      <c r="J642" s="110">
        <f t="shared" si="48"/>
        <v>497.69999999999993</v>
      </c>
      <c r="K642" s="111">
        <f t="shared" si="49"/>
        <v>5</v>
      </c>
      <c r="L642" s="110">
        <f t="shared" si="50"/>
        <v>177.75</v>
      </c>
      <c r="M642" s="112"/>
    </row>
    <row r="643" spans="2:13" s="52" customFormat="1" ht="19.5" customHeight="1">
      <c r="B643" s="108">
        <v>7</v>
      </c>
      <c r="C643" s="115" t="s">
        <v>53</v>
      </c>
      <c r="D643" s="115" t="s">
        <v>1910</v>
      </c>
      <c r="E643" s="108" t="s">
        <v>2031</v>
      </c>
      <c r="F643" s="115" t="s">
        <v>2143</v>
      </c>
      <c r="G643" s="108">
        <v>1</v>
      </c>
      <c r="H643" s="71"/>
      <c r="I643" s="109">
        <f t="shared" si="47"/>
        <v>89.91</v>
      </c>
      <c r="J643" s="110">
        <f t="shared" si="48"/>
        <v>0</v>
      </c>
      <c r="K643" s="111">
        <f t="shared" si="49"/>
        <v>1</v>
      </c>
      <c r="L643" s="110">
        <f t="shared" si="50"/>
        <v>89.91</v>
      </c>
      <c r="M643" s="112"/>
    </row>
    <row r="644" spans="2:13" s="52" customFormat="1" ht="19.5" customHeight="1">
      <c r="B644" s="108">
        <v>7</v>
      </c>
      <c r="C644" s="139" t="s">
        <v>53</v>
      </c>
      <c r="D644" s="115" t="s">
        <v>1911</v>
      </c>
      <c r="E644" s="108" t="s">
        <v>2032</v>
      </c>
      <c r="F644" s="115" t="s">
        <v>2139</v>
      </c>
      <c r="G644" s="108">
        <v>36</v>
      </c>
      <c r="H644" s="71">
        <v>24</v>
      </c>
      <c r="I644" s="109">
        <f t="shared" si="47"/>
        <v>446.04</v>
      </c>
      <c r="J644" s="110">
        <f t="shared" si="48"/>
        <v>297.36</v>
      </c>
      <c r="K644" s="111">
        <f t="shared" si="49"/>
        <v>12</v>
      </c>
      <c r="L644" s="110">
        <f t="shared" si="50"/>
        <v>148.68</v>
      </c>
      <c r="M644" s="112"/>
    </row>
    <row r="645" spans="2:13" s="52" customFormat="1" ht="19.5" customHeight="1">
      <c r="B645" s="108">
        <v>7</v>
      </c>
      <c r="C645" s="115" t="s">
        <v>53</v>
      </c>
      <c r="D645" s="115" t="s">
        <v>1912</v>
      </c>
      <c r="E645" s="108" t="s">
        <v>2033</v>
      </c>
      <c r="F645" s="115" t="s">
        <v>2144</v>
      </c>
      <c r="G645" s="108">
        <v>3</v>
      </c>
      <c r="H645" s="71"/>
      <c r="I645" s="109">
        <f t="shared" si="47"/>
        <v>696.15000000000009</v>
      </c>
      <c r="J645" s="110">
        <f t="shared" si="48"/>
        <v>0</v>
      </c>
      <c r="K645" s="111">
        <f t="shared" si="49"/>
        <v>3</v>
      </c>
      <c r="L645" s="110">
        <f t="shared" si="50"/>
        <v>696.15000000000009</v>
      </c>
      <c r="M645" s="112"/>
    </row>
    <row r="646" spans="2:13" s="52" customFormat="1" ht="19.5" hidden="1" customHeight="1">
      <c r="B646" s="108">
        <v>7</v>
      </c>
      <c r="C646" s="115" t="s">
        <v>53</v>
      </c>
      <c r="D646" s="115" t="s">
        <v>4665</v>
      </c>
      <c r="E646" s="108" t="s">
        <v>4666</v>
      </c>
      <c r="F646" s="115" t="s">
        <v>2143</v>
      </c>
      <c r="G646" s="108">
        <v>1</v>
      </c>
      <c r="H646" s="71">
        <v>1</v>
      </c>
      <c r="I646" s="109">
        <f t="shared" si="47"/>
        <v>89.91</v>
      </c>
      <c r="J646" s="110">
        <f t="shared" si="48"/>
        <v>89.91</v>
      </c>
      <c r="K646" s="111">
        <f t="shared" si="49"/>
        <v>0</v>
      </c>
      <c r="L646" s="110">
        <f t="shared" si="50"/>
        <v>0</v>
      </c>
      <c r="M646" s="112"/>
    </row>
    <row r="647" spans="2:13" s="52" customFormat="1" ht="19.5" customHeight="1">
      <c r="B647" s="108">
        <v>7</v>
      </c>
      <c r="C647" s="139" t="s">
        <v>53</v>
      </c>
      <c r="D647" s="115" t="s">
        <v>1913</v>
      </c>
      <c r="E647" s="108" t="s">
        <v>2034</v>
      </c>
      <c r="F647" s="115" t="s">
        <v>2145</v>
      </c>
      <c r="G647" s="108">
        <v>12</v>
      </c>
      <c r="H647" s="71"/>
      <c r="I647" s="109">
        <f t="shared" si="47"/>
        <v>394.08000000000004</v>
      </c>
      <c r="J647" s="110">
        <f t="shared" si="48"/>
        <v>0</v>
      </c>
      <c r="K647" s="111">
        <f t="shared" si="49"/>
        <v>12</v>
      </c>
      <c r="L647" s="110">
        <f t="shared" si="50"/>
        <v>394.08000000000004</v>
      </c>
      <c r="M647" s="112"/>
    </row>
    <row r="648" spans="2:13" s="52" customFormat="1" ht="19.5" customHeight="1">
      <c r="B648" s="108">
        <v>7</v>
      </c>
      <c r="C648" s="115" t="s">
        <v>53</v>
      </c>
      <c r="D648" s="115" t="s">
        <v>1914</v>
      </c>
      <c r="E648" s="108" t="s">
        <v>2035</v>
      </c>
      <c r="F648" s="115" t="s">
        <v>2146</v>
      </c>
      <c r="G648" s="108">
        <v>2</v>
      </c>
      <c r="H648" s="71"/>
      <c r="I648" s="109">
        <f t="shared" ref="I648:I705" si="51">F648*G648</f>
        <v>187.68</v>
      </c>
      <c r="J648" s="110">
        <f t="shared" si="48"/>
        <v>0</v>
      </c>
      <c r="K648" s="111">
        <f t="shared" si="49"/>
        <v>2</v>
      </c>
      <c r="L648" s="110">
        <f t="shared" si="50"/>
        <v>187.68</v>
      </c>
      <c r="M648" s="112"/>
    </row>
    <row r="649" spans="2:13" s="52" customFormat="1" ht="19.5" customHeight="1">
      <c r="B649" s="108">
        <v>7</v>
      </c>
      <c r="C649" s="115" t="s">
        <v>53</v>
      </c>
      <c r="D649" s="115" t="s">
        <v>1915</v>
      </c>
      <c r="E649" s="108" t="s">
        <v>2036</v>
      </c>
      <c r="F649" s="115" t="s">
        <v>2147</v>
      </c>
      <c r="G649" s="108">
        <v>12</v>
      </c>
      <c r="H649" s="71">
        <v>7</v>
      </c>
      <c r="I649" s="109">
        <f t="shared" si="51"/>
        <v>386.15999999999997</v>
      </c>
      <c r="J649" s="110">
        <f t="shared" si="48"/>
        <v>225.26</v>
      </c>
      <c r="K649" s="111">
        <f t="shared" si="49"/>
        <v>5</v>
      </c>
      <c r="L649" s="110">
        <f t="shared" si="50"/>
        <v>160.89999999999998</v>
      </c>
      <c r="M649" s="112"/>
    </row>
    <row r="650" spans="2:13" s="52" customFormat="1" ht="19.5" customHeight="1">
      <c r="B650" s="108">
        <v>7</v>
      </c>
      <c r="C650" s="139" t="s">
        <v>53</v>
      </c>
      <c r="D650" s="115" t="s">
        <v>1915</v>
      </c>
      <c r="E650" s="108" t="s">
        <v>2036</v>
      </c>
      <c r="F650" s="115" t="s">
        <v>2147</v>
      </c>
      <c r="G650" s="108">
        <v>1</v>
      </c>
      <c r="H650" s="71"/>
      <c r="I650" s="109">
        <f t="shared" si="51"/>
        <v>32.18</v>
      </c>
      <c r="J650" s="110">
        <f t="shared" si="48"/>
        <v>0</v>
      </c>
      <c r="K650" s="111">
        <f t="shared" si="49"/>
        <v>1</v>
      </c>
      <c r="L650" s="110">
        <f t="shared" si="50"/>
        <v>32.18</v>
      </c>
      <c r="M650" s="112"/>
    </row>
    <row r="651" spans="2:13" s="52" customFormat="1" ht="19.5" customHeight="1">
      <c r="B651" s="108">
        <v>7</v>
      </c>
      <c r="C651" s="115" t="s">
        <v>53</v>
      </c>
      <c r="D651" s="115" t="s">
        <v>1916</v>
      </c>
      <c r="E651" s="108" t="s">
        <v>2037</v>
      </c>
      <c r="F651" s="115" t="s">
        <v>2148</v>
      </c>
      <c r="G651" s="108">
        <v>20</v>
      </c>
      <c r="H651" s="71">
        <v>17</v>
      </c>
      <c r="I651" s="109">
        <f t="shared" si="51"/>
        <v>449</v>
      </c>
      <c r="J651" s="110">
        <f t="shared" si="48"/>
        <v>381.65</v>
      </c>
      <c r="K651" s="111">
        <f t="shared" si="49"/>
        <v>3</v>
      </c>
      <c r="L651" s="110">
        <f t="shared" si="50"/>
        <v>67.350000000000023</v>
      </c>
      <c r="M651" s="112"/>
    </row>
    <row r="652" spans="2:13" s="52" customFormat="1" ht="19.5" hidden="1" customHeight="1">
      <c r="B652" s="108">
        <v>7</v>
      </c>
      <c r="C652" s="115" t="s">
        <v>53</v>
      </c>
      <c r="D652" s="115" t="s">
        <v>1917</v>
      </c>
      <c r="E652" s="108" t="s">
        <v>2038</v>
      </c>
      <c r="F652" s="115" t="s">
        <v>2149</v>
      </c>
      <c r="G652" s="108">
        <v>1</v>
      </c>
      <c r="H652" s="71">
        <v>2</v>
      </c>
      <c r="I652" s="109">
        <f t="shared" si="51"/>
        <v>116</v>
      </c>
      <c r="J652" s="110">
        <f t="shared" si="48"/>
        <v>232</v>
      </c>
      <c r="K652" s="111">
        <f t="shared" si="49"/>
        <v>-1</v>
      </c>
      <c r="L652" s="110">
        <f t="shared" si="50"/>
        <v>-116</v>
      </c>
      <c r="M652" s="112"/>
    </row>
    <row r="653" spans="2:13" s="52" customFormat="1" ht="19.5" customHeight="1">
      <c r="B653" s="108">
        <v>7</v>
      </c>
      <c r="C653" s="139" t="s">
        <v>53</v>
      </c>
      <c r="D653" s="115" t="s">
        <v>1918</v>
      </c>
      <c r="E653" s="108" t="s">
        <v>2039</v>
      </c>
      <c r="F653" s="115" t="s">
        <v>1409</v>
      </c>
      <c r="G653" s="108">
        <v>3</v>
      </c>
      <c r="H653" s="71"/>
      <c r="I653" s="109">
        <f t="shared" si="51"/>
        <v>114</v>
      </c>
      <c r="J653" s="110">
        <f t="shared" si="48"/>
        <v>0</v>
      </c>
      <c r="K653" s="111">
        <f t="shared" si="49"/>
        <v>3</v>
      </c>
      <c r="L653" s="110">
        <f t="shared" si="50"/>
        <v>114</v>
      </c>
      <c r="M653" s="112"/>
    </row>
    <row r="654" spans="2:13" s="52" customFormat="1" ht="19.5" customHeight="1">
      <c r="B654" s="108">
        <v>7</v>
      </c>
      <c r="C654" s="115" t="s">
        <v>53</v>
      </c>
      <c r="D654" s="115" t="s">
        <v>1919</v>
      </c>
      <c r="E654" s="108" t="s">
        <v>2040</v>
      </c>
      <c r="F654" s="115" t="s">
        <v>2150</v>
      </c>
      <c r="G654" s="108">
        <v>417</v>
      </c>
      <c r="H654" s="71">
        <v>48</v>
      </c>
      <c r="I654" s="109">
        <f t="shared" si="51"/>
        <v>10108.08</v>
      </c>
      <c r="J654" s="110">
        <f t="shared" si="48"/>
        <v>1163.52</v>
      </c>
      <c r="K654" s="111">
        <f t="shared" si="49"/>
        <v>369</v>
      </c>
      <c r="L654" s="110">
        <f t="shared" si="50"/>
        <v>8944.56</v>
      </c>
      <c r="M654" s="112"/>
    </row>
    <row r="655" spans="2:13" s="52" customFormat="1" ht="19.5" customHeight="1">
      <c r="B655" s="108">
        <v>7</v>
      </c>
      <c r="C655" s="115" t="s">
        <v>53</v>
      </c>
      <c r="D655" s="115" t="s">
        <v>1920</v>
      </c>
      <c r="E655" s="108" t="s">
        <v>2041</v>
      </c>
      <c r="F655" s="115" t="s">
        <v>2151</v>
      </c>
      <c r="G655" s="108">
        <v>3</v>
      </c>
      <c r="H655" s="71"/>
      <c r="I655" s="109">
        <f t="shared" si="51"/>
        <v>78</v>
      </c>
      <c r="J655" s="110">
        <f t="shared" si="48"/>
        <v>0</v>
      </c>
      <c r="K655" s="111">
        <f t="shared" si="49"/>
        <v>3</v>
      </c>
      <c r="L655" s="110">
        <f t="shared" si="50"/>
        <v>78</v>
      </c>
      <c r="M655" s="112"/>
    </row>
    <row r="656" spans="2:13" s="52" customFormat="1" ht="19.5" customHeight="1">
      <c r="B656" s="108">
        <v>7</v>
      </c>
      <c r="C656" s="139" t="s">
        <v>53</v>
      </c>
      <c r="D656" s="115" t="s">
        <v>1921</v>
      </c>
      <c r="E656" s="108" t="s">
        <v>2042</v>
      </c>
      <c r="F656" s="115" t="s">
        <v>2151</v>
      </c>
      <c r="G656" s="108">
        <v>5</v>
      </c>
      <c r="H656" s="71"/>
      <c r="I656" s="109">
        <f t="shared" si="51"/>
        <v>130</v>
      </c>
      <c r="J656" s="110">
        <f t="shared" si="48"/>
        <v>0</v>
      </c>
      <c r="K656" s="111">
        <f t="shared" si="49"/>
        <v>5</v>
      </c>
      <c r="L656" s="110">
        <f t="shared" si="50"/>
        <v>130</v>
      </c>
      <c r="M656" s="112"/>
    </row>
    <row r="657" spans="2:13" s="52" customFormat="1" ht="19.5" customHeight="1">
      <c r="B657" s="108">
        <v>7</v>
      </c>
      <c r="C657" s="115" t="s">
        <v>53</v>
      </c>
      <c r="D657" s="115" t="s">
        <v>1922</v>
      </c>
      <c r="E657" s="108" t="s">
        <v>2043</v>
      </c>
      <c r="F657" s="115" t="s">
        <v>2152</v>
      </c>
      <c r="G657" s="108">
        <v>41</v>
      </c>
      <c r="H657" s="71"/>
      <c r="I657" s="109">
        <f t="shared" si="51"/>
        <v>2478.4500000000003</v>
      </c>
      <c r="J657" s="110">
        <f t="shared" si="48"/>
        <v>0</v>
      </c>
      <c r="K657" s="111">
        <f t="shared" si="49"/>
        <v>41</v>
      </c>
      <c r="L657" s="110">
        <f t="shared" si="50"/>
        <v>2478.4500000000003</v>
      </c>
      <c r="M657" s="112"/>
    </row>
    <row r="658" spans="2:13" s="52" customFormat="1" ht="19.5" customHeight="1">
      <c r="B658" s="108">
        <v>7</v>
      </c>
      <c r="C658" s="115" t="s">
        <v>53</v>
      </c>
      <c r="D658" s="115" t="s">
        <v>1923</v>
      </c>
      <c r="E658" s="108" t="s">
        <v>2044</v>
      </c>
      <c r="F658" s="115" t="s">
        <v>2154</v>
      </c>
      <c r="G658" s="108">
        <v>9</v>
      </c>
      <c r="H658" s="71"/>
      <c r="I658" s="109">
        <f t="shared" si="51"/>
        <v>533.69999999999993</v>
      </c>
      <c r="J658" s="110">
        <f t="shared" si="48"/>
        <v>0</v>
      </c>
      <c r="K658" s="111">
        <f t="shared" si="49"/>
        <v>9</v>
      </c>
      <c r="L658" s="110">
        <f t="shared" si="50"/>
        <v>533.69999999999993</v>
      </c>
      <c r="M658" s="112"/>
    </row>
    <row r="659" spans="2:13" s="52" customFormat="1" ht="19.5" customHeight="1">
      <c r="B659" s="108">
        <v>7</v>
      </c>
      <c r="C659" s="139" t="s">
        <v>53</v>
      </c>
      <c r="D659" s="108" t="s">
        <v>1924</v>
      </c>
      <c r="E659" s="108" t="s">
        <v>2045</v>
      </c>
      <c r="F659" s="108" t="s">
        <v>2155</v>
      </c>
      <c r="G659" s="108">
        <v>21</v>
      </c>
      <c r="H659" s="71"/>
      <c r="I659" s="109">
        <f t="shared" si="51"/>
        <v>493.5</v>
      </c>
      <c r="J659" s="110">
        <f t="shared" si="48"/>
        <v>0</v>
      </c>
      <c r="K659" s="111">
        <f t="shared" si="49"/>
        <v>21</v>
      </c>
      <c r="L659" s="110">
        <f t="shared" si="50"/>
        <v>493.5</v>
      </c>
      <c r="M659" s="112"/>
    </row>
    <row r="660" spans="2:13" s="52" customFormat="1" ht="19.5" customHeight="1">
      <c r="B660" s="108">
        <v>7</v>
      </c>
      <c r="C660" s="115" t="s">
        <v>53</v>
      </c>
      <c r="D660" s="108" t="s">
        <v>1925</v>
      </c>
      <c r="E660" s="108" t="s">
        <v>2046</v>
      </c>
      <c r="F660" s="108" t="s">
        <v>2156</v>
      </c>
      <c r="G660" s="108">
        <v>70</v>
      </c>
      <c r="H660" s="71"/>
      <c r="I660" s="109">
        <f t="shared" si="51"/>
        <v>1733.8999999999999</v>
      </c>
      <c r="J660" s="110">
        <f t="shared" si="48"/>
        <v>0</v>
      </c>
      <c r="K660" s="111">
        <f t="shared" si="49"/>
        <v>70</v>
      </c>
      <c r="L660" s="110">
        <f t="shared" si="50"/>
        <v>1733.8999999999999</v>
      </c>
      <c r="M660" s="112"/>
    </row>
    <row r="661" spans="2:13" s="52" customFormat="1" ht="19.5" customHeight="1">
      <c r="B661" s="108">
        <v>7</v>
      </c>
      <c r="C661" s="115" t="s">
        <v>53</v>
      </c>
      <c r="D661" s="108" t="s">
        <v>1926</v>
      </c>
      <c r="E661" s="108" t="s">
        <v>2047</v>
      </c>
      <c r="F661" s="108" t="s">
        <v>2157</v>
      </c>
      <c r="G661" s="108">
        <v>4</v>
      </c>
      <c r="H661" s="71"/>
      <c r="I661" s="109">
        <f t="shared" si="51"/>
        <v>232.2</v>
      </c>
      <c r="J661" s="110">
        <f t="shared" si="48"/>
        <v>0</v>
      </c>
      <c r="K661" s="111">
        <f t="shared" si="49"/>
        <v>4</v>
      </c>
      <c r="L661" s="110">
        <f t="shared" si="50"/>
        <v>232.2</v>
      </c>
      <c r="M661" s="112"/>
    </row>
    <row r="662" spans="2:13" s="52" customFormat="1" ht="19.5" customHeight="1">
      <c r="B662" s="108">
        <v>7</v>
      </c>
      <c r="C662" s="139" t="s">
        <v>53</v>
      </c>
      <c r="D662" s="108" t="s">
        <v>1927</v>
      </c>
      <c r="E662" s="108" t="s">
        <v>2048</v>
      </c>
      <c r="F662" s="108" t="s">
        <v>2158</v>
      </c>
      <c r="G662" s="108">
        <v>10</v>
      </c>
      <c r="H662" s="71"/>
      <c r="I662" s="109">
        <f t="shared" si="51"/>
        <v>585.70000000000005</v>
      </c>
      <c r="J662" s="110">
        <f t="shared" si="48"/>
        <v>0</v>
      </c>
      <c r="K662" s="111">
        <f t="shared" si="49"/>
        <v>10</v>
      </c>
      <c r="L662" s="110">
        <f t="shared" si="50"/>
        <v>585.70000000000005</v>
      </c>
      <c r="M662" s="112"/>
    </row>
    <row r="663" spans="2:13" s="52" customFormat="1" ht="19.5" customHeight="1">
      <c r="B663" s="108">
        <v>7</v>
      </c>
      <c r="C663" s="115" t="s">
        <v>53</v>
      </c>
      <c r="D663" s="108" t="s">
        <v>1928</v>
      </c>
      <c r="E663" s="108" t="s">
        <v>2049</v>
      </c>
      <c r="F663" s="108" t="s">
        <v>2159</v>
      </c>
      <c r="G663" s="108">
        <v>87</v>
      </c>
      <c r="H663" s="71"/>
      <c r="I663" s="109">
        <f t="shared" si="51"/>
        <v>2177.61</v>
      </c>
      <c r="J663" s="110">
        <f t="shared" si="48"/>
        <v>0</v>
      </c>
      <c r="K663" s="111">
        <f t="shared" si="49"/>
        <v>87</v>
      </c>
      <c r="L663" s="110">
        <f t="shared" si="50"/>
        <v>2177.61</v>
      </c>
      <c r="M663" s="112"/>
    </row>
    <row r="664" spans="2:13" s="52" customFormat="1" ht="19.5" customHeight="1">
      <c r="B664" s="108">
        <v>7</v>
      </c>
      <c r="C664" s="115" t="s">
        <v>53</v>
      </c>
      <c r="D664" s="108" t="s">
        <v>1929</v>
      </c>
      <c r="E664" s="108" t="s">
        <v>2050</v>
      </c>
      <c r="F664" s="108" t="s">
        <v>2160</v>
      </c>
      <c r="G664" s="108">
        <v>67</v>
      </c>
      <c r="H664" s="71">
        <v>8</v>
      </c>
      <c r="I664" s="109">
        <f t="shared" si="51"/>
        <v>3133.59</v>
      </c>
      <c r="J664" s="110">
        <f t="shared" si="48"/>
        <v>374.16</v>
      </c>
      <c r="K664" s="111">
        <f t="shared" si="49"/>
        <v>59</v>
      </c>
      <c r="L664" s="110">
        <f t="shared" si="50"/>
        <v>2759.4300000000003</v>
      </c>
      <c r="M664" s="112"/>
    </row>
    <row r="665" spans="2:13" s="52" customFormat="1" ht="19.5" customHeight="1">
      <c r="B665" s="108">
        <v>7</v>
      </c>
      <c r="C665" s="139" t="s">
        <v>53</v>
      </c>
      <c r="D665" s="108" t="s">
        <v>1930</v>
      </c>
      <c r="E665" s="108" t="s">
        <v>2051</v>
      </c>
      <c r="F665" s="108" t="s">
        <v>2161</v>
      </c>
      <c r="G665" s="108">
        <v>2</v>
      </c>
      <c r="H665" s="71"/>
      <c r="I665" s="109">
        <f t="shared" si="51"/>
        <v>40.24</v>
      </c>
      <c r="J665" s="110">
        <f t="shared" si="48"/>
        <v>0</v>
      </c>
      <c r="K665" s="111">
        <f t="shared" si="49"/>
        <v>2</v>
      </c>
      <c r="L665" s="110">
        <f t="shared" si="50"/>
        <v>40.24</v>
      </c>
      <c r="M665" s="112"/>
    </row>
    <row r="666" spans="2:13" s="52" customFormat="1" ht="19.5" customHeight="1">
      <c r="B666" s="108">
        <v>7</v>
      </c>
      <c r="C666" s="115" t="s">
        <v>53</v>
      </c>
      <c r="D666" s="108" t="s">
        <v>1931</v>
      </c>
      <c r="E666" s="108" t="s">
        <v>2052</v>
      </c>
      <c r="F666" s="108" t="s">
        <v>2162</v>
      </c>
      <c r="G666" s="108">
        <v>14</v>
      </c>
      <c r="H666" s="71"/>
      <c r="I666" s="109">
        <f t="shared" si="51"/>
        <v>751.24</v>
      </c>
      <c r="J666" s="110">
        <f t="shared" si="48"/>
        <v>0</v>
      </c>
      <c r="K666" s="111">
        <f t="shared" si="49"/>
        <v>14</v>
      </c>
      <c r="L666" s="110">
        <f t="shared" si="50"/>
        <v>751.24</v>
      </c>
      <c r="M666" s="112"/>
    </row>
    <row r="667" spans="2:13" s="52" customFormat="1" ht="19.5" customHeight="1">
      <c r="B667" s="108">
        <v>7</v>
      </c>
      <c r="C667" s="115" t="s">
        <v>53</v>
      </c>
      <c r="D667" s="108" t="s">
        <v>1932</v>
      </c>
      <c r="E667" s="108" t="s">
        <v>2053</v>
      </c>
      <c r="F667" s="108" t="s">
        <v>756</v>
      </c>
      <c r="G667" s="108">
        <v>129</v>
      </c>
      <c r="H667" s="71">
        <v>35</v>
      </c>
      <c r="I667" s="109">
        <f t="shared" si="51"/>
        <v>7933.5</v>
      </c>
      <c r="J667" s="110">
        <f t="shared" si="48"/>
        <v>2152.5</v>
      </c>
      <c r="K667" s="111">
        <f t="shared" si="49"/>
        <v>94</v>
      </c>
      <c r="L667" s="110">
        <f t="shared" si="50"/>
        <v>5781</v>
      </c>
      <c r="M667" s="112"/>
    </row>
    <row r="668" spans="2:13" s="52" customFormat="1" ht="19.5" customHeight="1">
      <c r="B668" s="108">
        <v>7</v>
      </c>
      <c r="C668" s="139" t="s">
        <v>53</v>
      </c>
      <c r="D668" s="108" t="s">
        <v>1933</v>
      </c>
      <c r="E668" s="108" t="s">
        <v>2054</v>
      </c>
      <c r="F668" s="108" t="s">
        <v>2163</v>
      </c>
      <c r="G668" s="108">
        <v>187</v>
      </c>
      <c r="H668" s="71">
        <v>28</v>
      </c>
      <c r="I668" s="109">
        <f t="shared" si="51"/>
        <v>5600.65</v>
      </c>
      <c r="J668" s="110">
        <f t="shared" si="48"/>
        <v>838.6</v>
      </c>
      <c r="K668" s="111">
        <f t="shared" si="49"/>
        <v>159</v>
      </c>
      <c r="L668" s="110">
        <f t="shared" si="50"/>
        <v>4762.0499999999993</v>
      </c>
      <c r="M668" s="112"/>
    </row>
    <row r="669" spans="2:13" s="52" customFormat="1" ht="19.5" customHeight="1">
      <c r="B669" s="108">
        <v>7</v>
      </c>
      <c r="C669" s="115" t="s">
        <v>53</v>
      </c>
      <c r="D669" s="108" t="s">
        <v>1934</v>
      </c>
      <c r="E669" s="108" t="s">
        <v>2055</v>
      </c>
      <c r="F669" s="108" t="s">
        <v>2164</v>
      </c>
      <c r="G669" s="108">
        <v>73</v>
      </c>
      <c r="H669" s="71">
        <v>12</v>
      </c>
      <c r="I669" s="109">
        <f t="shared" si="51"/>
        <v>2730.93</v>
      </c>
      <c r="J669" s="110">
        <f t="shared" ref="J669:J727" si="52">F669*H669</f>
        <v>448.91999999999996</v>
      </c>
      <c r="K669" s="111">
        <f t="shared" ref="K669:K727" si="53">G669-H669</f>
        <v>61</v>
      </c>
      <c r="L669" s="110">
        <f t="shared" ref="L669:L727" si="54">I669-J669</f>
        <v>2282.0099999999998</v>
      </c>
      <c r="M669" s="112"/>
    </row>
    <row r="670" spans="2:13" s="52" customFormat="1" ht="19.5" customHeight="1">
      <c r="B670" s="108">
        <v>7</v>
      </c>
      <c r="C670" s="115" t="s">
        <v>53</v>
      </c>
      <c r="D670" s="108" t="s">
        <v>1935</v>
      </c>
      <c r="E670" s="108" t="s">
        <v>2056</v>
      </c>
      <c r="F670" s="108" t="s">
        <v>1422</v>
      </c>
      <c r="G670" s="108">
        <v>28</v>
      </c>
      <c r="H670" s="71">
        <v>23</v>
      </c>
      <c r="I670" s="109">
        <f t="shared" si="51"/>
        <v>812</v>
      </c>
      <c r="J670" s="110">
        <f t="shared" si="52"/>
        <v>667</v>
      </c>
      <c r="K670" s="111">
        <f t="shared" si="53"/>
        <v>5</v>
      </c>
      <c r="L670" s="110">
        <f t="shared" si="54"/>
        <v>145</v>
      </c>
      <c r="M670" s="112"/>
    </row>
    <row r="671" spans="2:13" s="52" customFormat="1" ht="19.5" customHeight="1">
      <c r="B671" s="108">
        <v>7</v>
      </c>
      <c r="C671" s="115" t="s">
        <v>53</v>
      </c>
      <c r="D671" s="108" t="s">
        <v>1936</v>
      </c>
      <c r="E671" s="108" t="s">
        <v>2057</v>
      </c>
      <c r="F671" s="108" t="s">
        <v>2166</v>
      </c>
      <c r="G671" s="108">
        <v>13</v>
      </c>
      <c r="H671" s="71"/>
      <c r="I671" s="109">
        <f t="shared" si="51"/>
        <v>505.7</v>
      </c>
      <c r="J671" s="110">
        <f t="shared" si="52"/>
        <v>0</v>
      </c>
      <c r="K671" s="111">
        <f t="shared" si="53"/>
        <v>13</v>
      </c>
      <c r="L671" s="110">
        <f t="shared" si="54"/>
        <v>505.7</v>
      </c>
      <c r="M671" s="112"/>
    </row>
    <row r="672" spans="2:13" s="52" customFormat="1" ht="19.5" customHeight="1">
      <c r="B672" s="108">
        <v>7</v>
      </c>
      <c r="C672" s="115" t="s">
        <v>53</v>
      </c>
      <c r="D672" s="108" t="s">
        <v>1937</v>
      </c>
      <c r="E672" s="108" t="s">
        <v>2058</v>
      </c>
      <c r="F672" s="108" t="s">
        <v>2168</v>
      </c>
      <c r="G672" s="108">
        <v>48</v>
      </c>
      <c r="H672" s="71"/>
      <c r="I672" s="109">
        <f t="shared" si="51"/>
        <v>2208</v>
      </c>
      <c r="J672" s="110">
        <f t="shared" si="52"/>
        <v>0</v>
      </c>
      <c r="K672" s="111">
        <f t="shared" si="53"/>
        <v>48</v>
      </c>
      <c r="L672" s="110">
        <f t="shared" si="54"/>
        <v>2208</v>
      </c>
      <c r="M672" s="112"/>
    </row>
    <row r="673" spans="2:13" s="52" customFormat="1" ht="19.5" customHeight="1">
      <c r="B673" s="108">
        <v>7</v>
      </c>
      <c r="C673" s="139" t="s">
        <v>53</v>
      </c>
      <c r="D673" s="108" t="s">
        <v>1937</v>
      </c>
      <c r="E673" s="108" t="s">
        <v>2058</v>
      </c>
      <c r="F673" s="108" t="s">
        <v>2167</v>
      </c>
      <c r="G673" s="108">
        <v>21</v>
      </c>
      <c r="H673" s="71"/>
      <c r="I673" s="109">
        <f t="shared" si="51"/>
        <v>1006.95</v>
      </c>
      <c r="J673" s="110">
        <f t="shared" si="52"/>
        <v>0</v>
      </c>
      <c r="K673" s="111">
        <f t="shared" si="53"/>
        <v>21</v>
      </c>
      <c r="L673" s="110">
        <f t="shared" si="54"/>
        <v>1006.95</v>
      </c>
      <c r="M673" s="112"/>
    </row>
    <row r="674" spans="2:13" s="52" customFormat="1" ht="19.5" customHeight="1">
      <c r="B674" s="108">
        <v>7</v>
      </c>
      <c r="C674" s="115" t="s">
        <v>53</v>
      </c>
      <c r="D674" s="108" t="s">
        <v>1938</v>
      </c>
      <c r="E674" s="108" t="s">
        <v>2059</v>
      </c>
      <c r="F674" s="108" t="s">
        <v>2165</v>
      </c>
      <c r="G674" s="108">
        <v>40</v>
      </c>
      <c r="H674" s="71">
        <v>30</v>
      </c>
      <c r="I674" s="109">
        <f t="shared" si="51"/>
        <v>1102.8</v>
      </c>
      <c r="J674" s="110">
        <f t="shared" si="52"/>
        <v>827.1</v>
      </c>
      <c r="K674" s="111">
        <f t="shared" si="53"/>
        <v>10</v>
      </c>
      <c r="L674" s="110">
        <f t="shared" si="54"/>
        <v>275.69999999999993</v>
      </c>
      <c r="M674" s="112"/>
    </row>
    <row r="675" spans="2:13" s="52" customFormat="1" ht="19.5" customHeight="1">
      <c r="B675" s="108">
        <v>7</v>
      </c>
      <c r="C675" s="115" t="s">
        <v>53</v>
      </c>
      <c r="D675" s="108" t="s">
        <v>1938</v>
      </c>
      <c r="E675" s="108" t="s">
        <v>2059</v>
      </c>
      <c r="F675" s="108" t="s">
        <v>1422</v>
      </c>
      <c r="G675" s="108">
        <v>24</v>
      </c>
      <c r="H675" s="71"/>
      <c r="I675" s="109">
        <f t="shared" si="51"/>
        <v>696</v>
      </c>
      <c r="J675" s="110">
        <f t="shared" si="52"/>
        <v>0</v>
      </c>
      <c r="K675" s="111">
        <f t="shared" si="53"/>
        <v>24</v>
      </c>
      <c r="L675" s="110">
        <f t="shared" si="54"/>
        <v>696</v>
      </c>
      <c r="M675" s="112"/>
    </row>
    <row r="676" spans="2:13" s="52" customFormat="1" ht="19.5" customHeight="1">
      <c r="B676" s="108">
        <v>7</v>
      </c>
      <c r="C676" s="139" t="s">
        <v>53</v>
      </c>
      <c r="D676" s="108" t="s">
        <v>1939</v>
      </c>
      <c r="E676" s="108" t="s">
        <v>2060</v>
      </c>
      <c r="F676" s="108" t="s">
        <v>2166</v>
      </c>
      <c r="G676" s="108">
        <v>21</v>
      </c>
      <c r="H676" s="71"/>
      <c r="I676" s="109">
        <f t="shared" si="51"/>
        <v>816.9</v>
      </c>
      <c r="J676" s="110">
        <f t="shared" si="52"/>
        <v>0</v>
      </c>
      <c r="K676" s="111">
        <f t="shared" si="53"/>
        <v>21</v>
      </c>
      <c r="L676" s="110">
        <f t="shared" si="54"/>
        <v>816.9</v>
      </c>
      <c r="M676" s="112"/>
    </row>
    <row r="677" spans="2:13" s="52" customFormat="1" ht="19.5" customHeight="1">
      <c r="B677" s="108">
        <v>7</v>
      </c>
      <c r="C677" s="115" t="s">
        <v>53</v>
      </c>
      <c r="D677" s="108" t="s">
        <v>1940</v>
      </c>
      <c r="E677" s="108" t="s">
        <v>2061</v>
      </c>
      <c r="F677" s="108" t="s">
        <v>2169</v>
      </c>
      <c r="G677" s="108">
        <v>75</v>
      </c>
      <c r="H677" s="71">
        <v>47</v>
      </c>
      <c r="I677" s="109">
        <f t="shared" si="51"/>
        <v>3703.5</v>
      </c>
      <c r="J677" s="110">
        <f t="shared" si="52"/>
        <v>2320.86</v>
      </c>
      <c r="K677" s="111">
        <f t="shared" si="53"/>
        <v>28</v>
      </c>
      <c r="L677" s="110">
        <f t="shared" si="54"/>
        <v>1382.6399999999999</v>
      </c>
      <c r="M677" s="112"/>
    </row>
    <row r="678" spans="2:13" s="52" customFormat="1" ht="19.5" customHeight="1">
      <c r="B678" s="108">
        <v>7</v>
      </c>
      <c r="C678" s="139" t="s">
        <v>53</v>
      </c>
      <c r="D678" s="108" t="s">
        <v>1941</v>
      </c>
      <c r="E678" s="108" t="s">
        <v>2062</v>
      </c>
      <c r="F678" s="108" t="s">
        <v>732</v>
      </c>
      <c r="G678" s="108">
        <v>5</v>
      </c>
      <c r="H678" s="71"/>
      <c r="I678" s="109">
        <f t="shared" si="51"/>
        <v>137.5</v>
      </c>
      <c r="J678" s="110">
        <f t="shared" si="52"/>
        <v>0</v>
      </c>
      <c r="K678" s="111">
        <f t="shared" si="53"/>
        <v>5</v>
      </c>
      <c r="L678" s="110">
        <f t="shared" si="54"/>
        <v>137.5</v>
      </c>
      <c r="M678" s="112"/>
    </row>
    <row r="679" spans="2:13" s="52" customFormat="1" ht="19.5" customHeight="1">
      <c r="B679" s="108">
        <v>7</v>
      </c>
      <c r="C679" s="115" t="s">
        <v>53</v>
      </c>
      <c r="D679" s="108" t="s">
        <v>1942</v>
      </c>
      <c r="E679" s="108" t="s">
        <v>2063</v>
      </c>
      <c r="F679" s="108" t="s">
        <v>2170</v>
      </c>
      <c r="G679" s="108">
        <v>2</v>
      </c>
      <c r="H679" s="71"/>
      <c r="I679" s="109">
        <f t="shared" si="51"/>
        <v>91.66</v>
      </c>
      <c r="J679" s="110">
        <f t="shared" si="52"/>
        <v>0</v>
      </c>
      <c r="K679" s="111">
        <f t="shared" si="53"/>
        <v>2</v>
      </c>
      <c r="L679" s="110">
        <f t="shared" si="54"/>
        <v>91.66</v>
      </c>
      <c r="M679" s="112"/>
    </row>
    <row r="680" spans="2:13" s="52" customFormat="1" ht="19.5" customHeight="1">
      <c r="B680" s="108">
        <v>7</v>
      </c>
      <c r="C680" s="115" t="s">
        <v>53</v>
      </c>
      <c r="D680" s="108" t="s">
        <v>1943</v>
      </c>
      <c r="E680" s="108" t="s">
        <v>2064</v>
      </c>
      <c r="F680" s="108" t="s">
        <v>2171</v>
      </c>
      <c r="G680" s="108">
        <v>69</v>
      </c>
      <c r="H680" s="71">
        <v>67</v>
      </c>
      <c r="I680" s="109">
        <f t="shared" si="51"/>
        <v>2949.75</v>
      </c>
      <c r="J680" s="110">
        <f t="shared" si="52"/>
        <v>2864.25</v>
      </c>
      <c r="K680" s="111">
        <f t="shared" si="53"/>
        <v>2</v>
      </c>
      <c r="L680" s="110">
        <f t="shared" si="54"/>
        <v>85.5</v>
      </c>
      <c r="M680" s="112"/>
    </row>
    <row r="681" spans="2:13" s="52" customFormat="1" ht="19.5" hidden="1" customHeight="1">
      <c r="B681" s="108">
        <v>7</v>
      </c>
      <c r="C681" s="139" t="s">
        <v>53</v>
      </c>
      <c r="D681" s="108" t="s">
        <v>1944</v>
      </c>
      <c r="E681" s="108" t="s">
        <v>2065</v>
      </c>
      <c r="F681" s="108" t="s">
        <v>2172</v>
      </c>
      <c r="G681" s="108">
        <v>3</v>
      </c>
      <c r="H681" s="71">
        <v>3</v>
      </c>
      <c r="I681" s="109">
        <f t="shared" si="51"/>
        <v>280.64999999999998</v>
      </c>
      <c r="J681" s="110">
        <f t="shared" si="52"/>
        <v>280.64999999999998</v>
      </c>
      <c r="K681" s="111">
        <f t="shared" si="53"/>
        <v>0</v>
      </c>
      <c r="L681" s="110">
        <f t="shared" si="54"/>
        <v>0</v>
      </c>
      <c r="M681" s="112"/>
    </row>
    <row r="682" spans="2:13" s="52" customFormat="1" ht="20.25" hidden="1" customHeight="1">
      <c r="B682" s="108">
        <v>7</v>
      </c>
      <c r="C682" s="115" t="s">
        <v>53</v>
      </c>
      <c r="D682" s="108" t="s">
        <v>1945</v>
      </c>
      <c r="E682" s="108" t="s">
        <v>2066</v>
      </c>
      <c r="F682" s="108" t="s">
        <v>2173</v>
      </c>
      <c r="G682" s="108">
        <v>9</v>
      </c>
      <c r="H682" s="71">
        <v>11</v>
      </c>
      <c r="I682" s="109">
        <f t="shared" si="51"/>
        <v>779.22</v>
      </c>
      <c r="J682" s="110">
        <f t="shared" si="52"/>
        <v>952.38</v>
      </c>
      <c r="K682" s="111">
        <f t="shared" si="53"/>
        <v>-2</v>
      </c>
      <c r="L682" s="110">
        <f t="shared" si="54"/>
        <v>-173.15999999999997</v>
      </c>
      <c r="M682" s="112"/>
    </row>
    <row r="683" spans="2:13" s="52" customFormat="1" ht="19.5" customHeight="1">
      <c r="B683" s="108">
        <v>7</v>
      </c>
      <c r="C683" s="115" t="s">
        <v>53</v>
      </c>
      <c r="D683" s="108" t="s">
        <v>1946</v>
      </c>
      <c r="E683" s="108" t="s">
        <v>2067</v>
      </c>
      <c r="F683" s="108" t="s">
        <v>2174</v>
      </c>
      <c r="G683" s="108">
        <v>17</v>
      </c>
      <c r="H683" s="71">
        <v>14</v>
      </c>
      <c r="I683" s="109">
        <f t="shared" si="51"/>
        <v>671.5</v>
      </c>
      <c r="J683" s="110">
        <f t="shared" si="52"/>
        <v>553</v>
      </c>
      <c r="K683" s="111">
        <f t="shared" si="53"/>
        <v>3</v>
      </c>
      <c r="L683" s="110">
        <f t="shared" si="54"/>
        <v>118.5</v>
      </c>
      <c r="M683" s="112"/>
    </row>
    <row r="684" spans="2:13" s="52" customFormat="1" ht="19.5" customHeight="1">
      <c r="B684" s="108">
        <v>7</v>
      </c>
      <c r="C684" s="139" t="s">
        <v>53</v>
      </c>
      <c r="D684" s="108" t="s">
        <v>1947</v>
      </c>
      <c r="E684" s="108" t="s">
        <v>2068</v>
      </c>
      <c r="F684" s="108" t="s">
        <v>2175</v>
      </c>
      <c r="G684" s="108">
        <v>12</v>
      </c>
      <c r="H684" s="71">
        <v>4</v>
      </c>
      <c r="I684" s="109">
        <f t="shared" si="51"/>
        <v>465</v>
      </c>
      <c r="J684" s="110">
        <f t="shared" si="52"/>
        <v>155</v>
      </c>
      <c r="K684" s="111">
        <f t="shared" si="53"/>
        <v>8</v>
      </c>
      <c r="L684" s="110">
        <f t="shared" si="54"/>
        <v>310</v>
      </c>
      <c r="M684" s="112"/>
    </row>
    <row r="685" spans="2:13" s="52" customFormat="1" ht="19.5" customHeight="1">
      <c r="B685" s="108">
        <v>7</v>
      </c>
      <c r="C685" s="115" t="s">
        <v>53</v>
      </c>
      <c r="D685" s="108" t="s">
        <v>1948</v>
      </c>
      <c r="E685" s="108" t="s">
        <v>2069</v>
      </c>
      <c r="F685" s="108" t="s">
        <v>2176</v>
      </c>
      <c r="G685" s="108">
        <v>25</v>
      </c>
      <c r="H685" s="71">
        <v>21</v>
      </c>
      <c r="I685" s="109">
        <f t="shared" si="51"/>
        <v>893.75</v>
      </c>
      <c r="J685" s="110">
        <f t="shared" si="52"/>
        <v>750.75</v>
      </c>
      <c r="K685" s="111">
        <f t="shared" si="53"/>
        <v>4</v>
      </c>
      <c r="L685" s="110">
        <f t="shared" si="54"/>
        <v>143</v>
      </c>
      <c r="M685" s="112"/>
    </row>
    <row r="686" spans="2:13" s="52" customFormat="1" ht="19.5" hidden="1" customHeight="1">
      <c r="B686" s="108">
        <v>7</v>
      </c>
      <c r="C686" s="115" t="s">
        <v>53</v>
      </c>
      <c r="D686" s="108" t="s">
        <v>1949</v>
      </c>
      <c r="E686" s="108" t="s">
        <v>2070</v>
      </c>
      <c r="F686" s="108" t="s">
        <v>2177</v>
      </c>
      <c r="G686" s="108">
        <v>21</v>
      </c>
      <c r="H686" s="71">
        <v>21</v>
      </c>
      <c r="I686" s="109">
        <f t="shared" si="51"/>
        <v>1081.5</v>
      </c>
      <c r="J686" s="110">
        <f t="shared" si="52"/>
        <v>1081.5</v>
      </c>
      <c r="K686" s="111">
        <f t="shared" si="53"/>
        <v>0</v>
      </c>
      <c r="L686" s="110">
        <f t="shared" si="54"/>
        <v>0</v>
      </c>
      <c r="M686" s="112"/>
    </row>
    <row r="687" spans="2:13" s="52" customFormat="1" ht="19.5" customHeight="1">
      <c r="B687" s="108">
        <v>7</v>
      </c>
      <c r="C687" s="139" t="s">
        <v>53</v>
      </c>
      <c r="D687" s="108" t="s">
        <v>1950</v>
      </c>
      <c r="E687" s="108" t="s">
        <v>2071</v>
      </c>
      <c r="F687" s="108" t="s">
        <v>2178</v>
      </c>
      <c r="G687" s="108">
        <v>11</v>
      </c>
      <c r="H687" s="71">
        <v>9</v>
      </c>
      <c r="I687" s="109">
        <f t="shared" si="51"/>
        <v>458.91999999999996</v>
      </c>
      <c r="J687" s="110">
        <f t="shared" si="52"/>
        <v>375.48</v>
      </c>
      <c r="K687" s="111">
        <f t="shared" si="53"/>
        <v>2</v>
      </c>
      <c r="L687" s="110">
        <f t="shared" si="54"/>
        <v>83.439999999999941</v>
      </c>
      <c r="M687" s="112"/>
    </row>
    <row r="688" spans="2:13" s="52" customFormat="1" ht="19.5" customHeight="1">
      <c r="B688" s="108">
        <v>7</v>
      </c>
      <c r="C688" s="115" t="s">
        <v>53</v>
      </c>
      <c r="D688" s="108" t="s">
        <v>1951</v>
      </c>
      <c r="E688" s="108" t="s">
        <v>2072</v>
      </c>
      <c r="F688" s="108" t="s">
        <v>2179</v>
      </c>
      <c r="G688" s="108">
        <v>108</v>
      </c>
      <c r="H688" s="71">
        <v>64</v>
      </c>
      <c r="I688" s="109">
        <f t="shared" si="51"/>
        <v>3466.8</v>
      </c>
      <c r="J688" s="110">
        <f t="shared" si="52"/>
        <v>2054.4</v>
      </c>
      <c r="K688" s="111">
        <f t="shared" si="53"/>
        <v>44</v>
      </c>
      <c r="L688" s="110">
        <f t="shared" si="54"/>
        <v>1412.4</v>
      </c>
      <c r="M688" s="112"/>
    </row>
    <row r="689" spans="2:13" s="52" customFormat="1" ht="19.5" customHeight="1">
      <c r="B689" s="108">
        <v>7</v>
      </c>
      <c r="C689" s="139" t="s">
        <v>53</v>
      </c>
      <c r="D689" s="108" t="s">
        <v>1952</v>
      </c>
      <c r="E689" s="108" t="s">
        <v>2073</v>
      </c>
      <c r="F689" s="108" t="s">
        <v>2180</v>
      </c>
      <c r="G689" s="108">
        <v>24</v>
      </c>
      <c r="H689" s="71">
        <v>12</v>
      </c>
      <c r="I689" s="109">
        <f t="shared" si="51"/>
        <v>1705.44</v>
      </c>
      <c r="J689" s="110">
        <f t="shared" si="52"/>
        <v>852.72</v>
      </c>
      <c r="K689" s="111">
        <f t="shared" si="53"/>
        <v>12</v>
      </c>
      <c r="L689" s="110">
        <f t="shared" si="54"/>
        <v>852.72</v>
      </c>
      <c r="M689" s="112"/>
    </row>
    <row r="690" spans="2:13" s="52" customFormat="1" ht="19.5" hidden="1" customHeight="1">
      <c r="B690" s="108">
        <v>7</v>
      </c>
      <c r="C690" s="115" t="s">
        <v>53</v>
      </c>
      <c r="D690" s="108" t="s">
        <v>1953</v>
      </c>
      <c r="E690" s="108" t="s">
        <v>2074</v>
      </c>
      <c r="F690" s="108" t="s">
        <v>2181</v>
      </c>
      <c r="G690" s="108">
        <v>13</v>
      </c>
      <c r="H690" s="71">
        <v>13</v>
      </c>
      <c r="I690" s="109">
        <f t="shared" si="51"/>
        <v>1137.5</v>
      </c>
      <c r="J690" s="110">
        <f t="shared" si="52"/>
        <v>1137.5</v>
      </c>
      <c r="K690" s="111">
        <f t="shared" si="53"/>
        <v>0</v>
      </c>
      <c r="L690" s="110">
        <f t="shared" si="54"/>
        <v>0</v>
      </c>
      <c r="M690" s="112"/>
    </row>
    <row r="691" spans="2:13" s="52" customFormat="1" ht="19.5" customHeight="1">
      <c r="B691" s="108">
        <v>7</v>
      </c>
      <c r="C691" s="115" t="s">
        <v>53</v>
      </c>
      <c r="D691" s="108" t="s">
        <v>1954</v>
      </c>
      <c r="E691" s="108" t="s">
        <v>2075</v>
      </c>
      <c r="F691" s="108" t="s">
        <v>2182</v>
      </c>
      <c r="G691" s="108">
        <v>22</v>
      </c>
      <c r="H691" s="71">
        <v>8</v>
      </c>
      <c r="I691" s="109">
        <f t="shared" si="51"/>
        <v>496.98</v>
      </c>
      <c r="J691" s="110">
        <f t="shared" si="52"/>
        <v>180.72</v>
      </c>
      <c r="K691" s="111">
        <f t="shared" si="53"/>
        <v>14</v>
      </c>
      <c r="L691" s="110">
        <f t="shared" si="54"/>
        <v>316.26</v>
      </c>
      <c r="M691" s="112"/>
    </row>
    <row r="692" spans="2:13" s="52" customFormat="1" ht="19.5" customHeight="1">
      <c r="B692" s="108">
        <v>7</v>
      </c>
      <c r="C692" s="139" t="s">
        <v>53</v>
      </c>
      <c r="D692" s="108" t="s">
        <v>1955</v>
      </c>
      <c r="E692" s="108" t="s">
        <v>2076</v>
      </c>
      <c r="F692" s="108" t="s">
        <v>2183</v>
      </c>
      <c r="G692" s="108">
        <v>13</v>
      </c>
      <c r="H692" s="71"/>
      <c r="I692" s="109">
        <f t="shared" si="51"/>
        <v>280.8</v>
      </c>
      <c r="J692" s="110">
        <f t="shared" si="52"/>
        <v>0</v>
      </c>
      <c r="K692" s="111">
        <f t="shared" si="53"/>
        <v>13</v>
      </c>
      <c r="L692" s="110">
        <f t="shared" si="54"/>
        <v>280.8</v>
      </c>
      <c r="M692" s="112"/>
    </row>
    <row r="693" spans="2:13" s="52" customFormat="1" ht="19.5" customHeight="1">
      <c r="B693" s="108">
        <v>7</v>
      </c>
      <c r="C693" s="115" t="s">
        <v>53</v>
      </c>
      <c r="D693" s="108" t="s">
        <v>1956</v>
      </c>
      <c r="E693" s="108" t="s">
        <v>2077</v>
      </c>
      <c r="F693" s="108" t="s">
        <v>2182</v>
      </c>
      <c r="G693" s="108">
        <v>10</v>
      </c>
      <c r="H693" s="71"/>
      <c r="I693" s="109">
        <f t="shared" si="51"/>
        <v>225.9</v>
      </c>
      <c r="J693" s="110">
        <f t="shared" si="52"/>
        <v>0</v>
      </c>
      <c r="K693" s="111">
        <f t="shared" si="53"/>
        <v>10</v>
      </c>
      <c r="L693" s="110">
        <f t="shared" si="54"/>
        <v>225.9</v>
      </c>
      <c r="M693" s="112"/>
    </row>
    <row r="694" spans="2:13" s="52" customFormat="1" ht="19.5" customHeight="1">
      <c r="B694" s="108">
        <v>7</v>
      </c>
      <c r="C694" s="115" t="s">
        <v>53</v>
      </c>
      <c r="D694" s="108" t="s">
        <v>1957</v>
      </c>
      <c r="E694" s="108" t="s">
        <v>2078</v>
      </c>
      <c r="F694" s="108" t="s">
        <v>2182</v>
      </c>
      <c r="G694" s="108">
        <v>14</v>
      </c>
      <c r="H694" s="71">
        <v>4</v>
      </c>
      <c r="I694" s="109">
        <f t="shared" si="51"/>
        <v>316.26</v>
      </c>
      <c r="J694" s="110">
        <f t="shared" si="52"/>
        <v>90.36</v>
      </c>
      <c r="K694" s="111">
        <f t="shared" si="53"/>
        <v>10</v>
      </c>
      <c r="L694" s="110">
        <f t="shared" si="54"/>
        <v>225.89999999999998</v>
      </c>
      <c r="M694" s="112"/>
    </row>
    <row r="695" spans="2:13" s="52" customFormat="1" ht="19.5" customHeight="1">
      <c r="B695" s="108">
        <v>7</v>
      </c>
      <c r="C695" s="139" t="s">
        <v>53</v>
      </c>
      <c r="D695" s="108" t="s">
        <v>1958</v>
      </c>
      <c r="E695" s="108" t="s">
        <v>2079</v>
      </c>
      <c r="F695" s="108" t="s">
        <v>2182</v>
      </c>
      <c r="G695" s="108">
        <v>6</v>
      </c>
      <c r="H695" s="71"/>
      <c r="I695" s="109">
        <f t="shared" si="51"/>
        <v>135.54</v>
      </c>
      <c r="J695" s="110">
        <f t="shared" si="52"/>
        <v>0</v>
      </c>
      <c r="K695" s="111">
        <f t="shared" si="53"/>
        <v>6</v>
      </c>
      <c r="L695" s="110">
        <f t="shared" si="54"/>
        <v>135.54</v>
      </c>
      <c r="M695" s="112"/>
    </row>
    <row r="696" spans="2:13" s="52" customFormat="1" ht="19.5" customHeight="1">
      <c r="B696" s="108">
        <v>8</v>
      </c>
      <c r="C696" s="139" t="s">
        <v>54</v>
      </c>
      <c r="D696" s="108" t="s">
        <v>2184</v>
      </c>
      <c r="E696" s="108" t="s">
        <v>2287</v>
      </c>
      <c r="F696" s="108" t="s">
        <v>2390</v>
      </c>
      <c r="G696" s="108">
        <v>149</v>
      </c>
      <c r="H696" s="71"/>
      <c r="I696" s="109">
        <f t="shared" si="51"/>
        <v>2293.11</v>
      </c>
      <c r="J696" s="110">
        <f t="shared" si="52"/>
        <v>0</v>
      </c>
      <c r="K696" s="111">
        <f t="shared" si="53"/>
        <v>149</v>
      </c>
      <c r="L696" s="110">
        <f t="shared" si="54"/>
        <v>2293.11</v>
      </c>
      <c r="M696" s="112"/>
    </row>
    <row r="697" spans="2:13" s="52" customFormat="1" ht="19.5" customHeight="1">
      <c r="B697" s="108">
        <v>8</v>
      </c>
      <c r="C697" s="139" t="s">
        <v>54</v>
      </c>
      <c r="D697" s="108" t="s">
        <v>2185</v>
      </c>
      <c r="E697" s="108" t="s">
        <v>2288</v>
      </c>
      <c r="F697" s="108" t="s">
        <v>2391</v>
      </c>
      <c r="G697" s="108">
        <v>221</v>
      </c>
      <c r="H697" s="71">
        <v>168</v>
      </c>
      <c r="I697" s="109">
        <f t="shared" si="51"/>
        <v>3469.7</v>
      </c>
      <c r="J697" s="110">
        <f t="shared" si="52"/>
        <v>2637.6</v>
      </c>
      <c r="K697" s="111">
        <f t="shared" si="53"/>
        <v>53</v>
      </c>
      <c r="L697" s="110">
        <f t="shared" si="54"/>
        <v>832.09999999999991</v>
      </c>
      <c r="M697" s="112"/>
    </row>
    <row r="698" spans="2:13" s="52" customFormat="1" ht="19.5" customHeight="1">
      <c r="B698" s="108">
        <v>8</v>
      </c>
      <c r="C698" s="139" t="s">
        <v>54</v>
      </c>
      <c r="D698" s="108" t="s">
        <v>2186</v>
      </c>
      <c r="E698" s="108" t="s">
        <v>2289</v>
      </c>
      <c r="F698" s="108" t="s">
        <v>2392</v>
      </c>
      <c r="G698" s="108">
        <v>24</v>
      </c>
      <c r="H698" s="71"/>
      <c r="I698" s="109">
        <f t="shared" si="51"/>
        <v>574.08000000000004</v>
      </c>
      <c r="J698" s="110">
        <f t="shared" si="52"/>
        <v>0</v>
      </c>
      <c r="K698" s="111">
        <f t="shared" si="53"/>
        <v>24</v>
      </c>
      <c r="L698" s="110">
        <f t="shared" si="54"/>
        <v>574.08000000000004</v>
      </c>
      <c r="M698" s="112"/>
    </row>
    <row r="699" spans="2:13" s="52" customFormat="1" ht="19.5" customHeight="1">
      <c r="B699" s="108">
        <v>8</v>
      </c>
      <c r="C699" s="139" t="s">
        <v>54</v>
      </c>
      <c r="D699" s="108" t="s">
        <v>2187</v>
      </c>
      <c r="E699" s="108" t="s">
        <v>2290</v>
      </c>
      <c r="F699" s="108" t="s">
        <v>2393</v>
      </c>
      <c r="G699" s="108">
        <v>12</v>
      </c>
      <c r="H699" s="71"/>
      <c r="I699" s="109">
        <f t="shared" si="51"/>
        <v>551.40000000000009</v>
      </c>
      <c r="J699" s="110">
        <f t="shared" si="52"/>
        <v>0</v>
      </c>
      <c r="K699" s="111">
        <f t="shared" si="53"/>
        <v>12</v>
      </c>
      <c r="L699" s="110">
        <f t="shared" si="54"/>
        <v>551.40000000000009</v>
      </c>
      <c r="M699" s="112"/>
    </row>
    <row r="700" spans="2:13" s="52" customFormat="1" ht="19.5" customHeight="1">
      <c r="B700" s="108">
        <v>8</v>
      </c>
      <c r="C700" s="139" t="s">
        <v>54</v>
      </c>
      <c r="D700" s="108" t="s">
        <v>2188</v>
      </c>
      <c r="E700" s="108" t="s">
        <v>2291</v>
      </c>
      <c r="F700" s="108" t="s">
        <v>2394</v>
      </c>
      <c r="G700" s="108">
        <v>30</v>
      </c>
      <c r="H700" s="71"/>
      <c r="I700" s="109">
        <f t="shared" si="51"/>
        <v>1827</v>
      </c>
      <c r="J700" s="110">
        <f t="shared" si="52"/>
        <v>0</v>
      </c>
      <c r="K700" s="111">
        <f t="shared" si="53"/>
        <v>30</v>
      </c>
      <c r="L700" s="110">
        <f t="shared" si="54"/>
        <v>1827</v>
      </c>
      <c r="M700" s="112"/>
    </row>
    <row r="701" spans="2:13" s="52" customFormat="1" ht="19.5" customHeight="1">
      <c r="B701" s="108">
        <v>8</v>
      </c>
      <c r="C701" s="139" t="s">
        <v>54</v>
      </c>
      <c r="D701" s="108" t="s">
        <v>2189</v>
      </c>
      <c r="E701" s="108" t="s">
        <v>2292</v>
      </c>
      <c r="F701" s="108" t="s">
        <v>2395</v>
      </c>
      <c r="G701" s="108">
        <v>3</v>
      </c>
      <c r="H701" s="71"/>
      <c r="I701" s="109">
        <f t="shared" si="51"/>
        <v>518.54999999999995</v>
      </c>
      <c r="J701" s="110">
        <f t="shared" si="52"/>
        <v>0</v>
      </c>
      <c r="K701" s="111">
        <f t="shared" si="53"/>
        <v>3</v>
      </c>
      <c r="L701" s="110">
        <f t="shared" si="54"/>
        <v>518.54999999999995</v>
      </c>
      <c r="M701" s="112"/>
    </row>
    <row r="702" spans="2:13" s="52" customFormat="1" ht="19.5" customHeight="1">
      <c r="B702" s="108">
        <v>8</v>
      </c>
      <c r="C702" s="139" t="s">
        <v>54</v>
      </c>
      <c r="D702" s="108" t="s">
        <v>2190</v>
      </c>
      <c r="E702" s="108" t="s">
        <v>2293</v>
      </c>
      <c r="F702" s="108" t="s">
        <v>2396</v>
      </c>
      <c r="G702" s="108">
        <v>258</v>
      </c>
      <c r="H702" s="71"/>
      <c r="I702" s="109">
        <f t="shared" si="51"/>
        <v>1573.8</v>
      </c>
      <c r="J702" s="110">
        <f t="shared" si="52"/>
        <v>0</v>
      </c>
      <c r="K702" s="111">
        <f t="shared" si="53"/>
        <v>258</v>
      </c>
      <c r="L702" s="110">
        <f t="shared" si="54"/>
        <v>1573.8</v>
      </c>
      <c r="M702" s="112"/>
    </row>
    <row r="703" spans="2:13" s="52" customFormat="1" ht="19.5" customHeight="1">
      <c r="B703" s="108">
        <v>8</v>
      </c>
      <c r="C703" s="139" t="s">
        <v>54</v>
      </c>
      <c r="D703" s="108" t="s">
        <v>2191</v>
      </c>
      <c r="E703" s="108" t="s">
        <v>2294</v>
      </c>
      <c r="F703" s="108" t="s">
        <v>2397</v>
      </c>
      <c r="G703" s="108">
        <v>56</v>
      </c>
      <c r="H703" s="71">
        <f>19+7</f>
        <v>26</v>
      </c>
      <c r="I703" s="109">
        <f t="shared" si="51"/>
        <v>3382.4</v>
      </c>
      <c r="J703" s="110">
        <f t="shared" si="52"/>
        <v>1570.3999999999999</v>
      </c>
      <c r="K703" s="111">
        <f t="shared" si="53"/>
        <v>30</v>
      </c>
      <c r="L703" s="110">
        <f t="shared" si="54"/>
        <v>1812.0000000000002</v>
      </c>
      <c r="M703" s="112"/>
    </row>
    <row r="704" spans="2:13" s="52" customFormat="1" ht="19.5" customHeight="1">
      <c r="B704" s="108">
        <v>8</v>
      </c>
      <c r="C704" s="139" t="s">
        <v>54</v>
      </c>
      <c r="D704" s="108" t="s">
        <v>2192</v>
      </c>
      <c r="E704" s="108" t="s">
        <v>2295</v>
      </c>
      <c r="F704" s="108" t="s">
        <v>2398</v>
      </c>
      <c r="G704" s="108">
        <v>16</v>
      </c>
      <c r="H704" s="71">
        <v>14</v>
      </c>
      <c r="I704" s="109">
        <f t="shared" si="51"/>
        <v>1768</v>
      </c>
      <c r="J704" s="110">
        <f t="shared" si="52"/>
        <v>1547</v>
      </c>
      <c r="K704" s="111">
        <f t="shared" si="53"/>
        <v>2</v>
      </c>
      <c r="L704" s="110">
        <f t="shared" si="54"/>
        <v>221</v>
      </c>
      <c r="M704" s="112"/>
    </row>
    <row r="705" spans="2:13" s="52" customFormat="1" ht="19.5" customHeight="1">
      <c r="B705" s="108">
        <v>8</v>
      </c>
      <c r="C705" s="139" t="s">
        <v>54</v>
      </c>
      <c r="D705" s="108" t="s">
        <v>2193</v>
      </c>
      <c r="E705" s="108" t="s">
        <v>2296</v>
      </c>
      <c r="F705" s="108" t="s">
        <v>2399</v>
      </c>
      <c r="G705" s="108">
        <v>88</v>
      </c>
      <c r="H705" s="71"/>
      <c r="I705" s="109">
        <f t="shared" si="51"/>
        <v>1026.08</v>
      </c>
      <c r="J705" s="110">
        <f t="shared" si="52"/>
        <v>0</v>
      </c>
      <c r="K705" s="111">
        <f t="shared" si="53"/>
        <v>88</v>
      </c>
      <c r="L705" s="110">
        <f t="shared" si="54"/>
        <v>1026.08</v>
      </c>
      <c r="M705" s="112"/>
    </row>
    <row r="706" spans="2:13" s="52" customFormat="1" ht="19.5" customHeight="1">
      <c r="B706" s="108">
        <v>8</v>
      </c>
      <c r="C706" s="139" t="s">
        <v>54</v>
      </c>
      <c r="D706" s="108" t="s">
        <v>2194</v>
      </c>
      <c r="E706" s="108" t="s">
        <v>2297</v>
      </c>
      <c r="F706" s="108" t="s">
        <v>2400</v>
      </c>
      <c r="G706" s="108">
        <v>1</v>
      </c>
      <c r="H706" s="71"/>
      <c r="I706" s="109">
        <f t="shared" ref="I706:I769" si="55">F706*G706</f>
        <v>76.17</v>
      </c>
      <c r="J706" s="110">
        <f t="shared" si="52"/>
        <v>0</v>
      </c>
      <c r="K706" s="111">
        <f t="shared" si="53"/>
        <v>1</v>
      </c>
      <c r="L706" s="110">
        <f t="shared" si="54"/>
        <v>76.17</v>
      </c>
      <c r="M706" s="112"/>
    </row>
    <row r="707" spans="2:13" s="52" customFormat="1" ht="19.5" hidden="1" customHeight="1">
      <c r="B707" s="108">
        <v>8</v>
      </c>
      <c r="C707" s="139" t="s">
        <v>54</v>
      </c>
      <c r="D707" s="108" t="s">
        <v>2195</v>
      </c>
      <c r="E707" s="108" t="s">
        <v>2298</v>
      </c>
      <c r="F707" s="108" t="s">
        <v>2401</v>
      </c>
      <c r="G707" s="108">
        <v>10</v>
      </c>
      <c r="H707" s="71">
        <v>10</v>
      </c>
      <c r="I707" s="109">
        <f t="shared" si="55"/>
        <v>225</v>
      </c>
      <c r="J707" s="110">
        <f t="shared" si="52"/>
        <v>225</v>
      </c>
      <c r="K707" s="111">
        <f t="shared" si="53"/>
        <v>0</v>
      </c>
      <c r="L707" s="110">
        <f t="shared" si="54"/>
        <v>0</v>
      </c>
      <c r="M707" s="112"/>
    </row>
    <row r="708" spans="2:13" s="52" customFormat="1" ht="19.5" hidden="1" customHeight="1">
      <c r="B708" s="108">
        <v>8</v>
      </c>
      <c r="C708" s="139" t="s">
        <v>54</v>
      </c>
      <c r="D708" s="108" t="s">
        <v>2196</v>
      </c>
      <c r="E708" s="108" t="s">
        <v>2299</v>
      </c>
      <c r="F708" s="108" t="s">
        <v>2401</v>
      </c>
      <c r="G708" s="108">
        <v>9</v>
      </c>
      <c r="H708" s="71">
        <v>9</v>
      </c>
      <c r="I708" s="109">
        <f t="shared" si="55"/>
        <v>202.5</v>
      </c>
      <c r="J708" s="110">
        <f t="shared" si="52"/>
        <v>202.5</v>
      </c>
      <c r="K708" s="111">
        <f t="shared" si="53"/>
        <v>0</v>
      </c>
      <c r="L708" s="110">
        <f t="shared" si="54"/>
        <v>0</v>
      </c>
      <c r="M708" s="112"/>
    </row>
    <row r="709" spans="2:13" s="52" customFormat="1" ht="19.5" hidden="1" customHeight="1">
      <c r="B709" s="108">
        <v>8</v>
      </c>
      <c r="C709" s="139" t="s">
        <v>54</v>
      </c>
      <c r="D709" s="108" t="s">
        <v>2197</v>
      </c>
      <c r="E709" s="108" t="s">
        <v>2300</v>
      </c>
      <c r="F709" s="108" t="s">
        <v>2402</v>
      </c>
      <c r="G709" s="108">
        <v>13</v>
      </c>
      <c r="H709" s="71">
        <v>13</v>
      </c>
      <c r="I709" s="109">
        <f t="shared" si="55"/>
        <v>846.04</v>
      </c>
      <c r="J709" s="110">
        <f t="shared" si="52"/>
        <v>846.04</v>
      </c>
      <c r="K709" s="111">
        <f t="shared" si="53"/>
        <v>0</v>
      </c>
      <c r="L709" s="110">
        <f t="shared" si="54"/>
        <v>0</v>
      </c>
      <c r="M709" s="112"/>
    </row>
    <row r="710" spans="2:13" s="52" customFormat="1" ht="19.5" customHeight="1">
      <c r="B710" s="108">
        <v>8</v>
      </c>
      <c r="C710" s="139" t="s">
        <v>54</v>
      </c>
      <c r="D710" s="108" t="s">
        <v>2198</v>
      </c>
      <c r="E710" s="108" t="s">
        <v>2301</v>
      </c>
      <c r="F710" s="108" t="s">
        <v>2403</v>
      </c>
      <c r="G710" s="108">
        <v>35</v>
      </c>
      <c r="H710" s="71"/>
      <c r="I710" s="109">
        <f t="shared" si="55"/>
        <v>531.65</v>
      </c>
      <c r="J710" s="110">
        <f t="shared" si="52"/>
        <v>0</v>
      </c>
      <c r="K710" s="111">
        <f t="shared" si="53"/>
        <v>35</v>
      </c>
      <c r="L710" s="110">
        <f t="shared" si="54"/>
        <v>531.65</v>
      </c>
      <c r="M710" s="112"/>
    </row>
    <row r="711" spans="2:13" s="52" customFormat="1" ht="19.5" hidden="1" customHeight="1">
      <c r="B711" s="108">
        <v>8</v>
      </c>
      <c r="C711" s="139" t="s">
        <v>54</v>
      </c>
      <c r="D711" s="108" t="s">
        <v>2199</v>
      </c>
      <c r="E711" s="108" t="s">
        <v>2302</v>
      </c>
      <c r="F711" s="108" t="s">
        <v>4675</v>
      </c>
      <c r="G711" s="108">
        <v>43</v>
      </c>
      <c r="H711" s="71">
        <f>27+48+1</f>
        <v>76</v>
      </c>
      <c r="I711" s="109">
        <f t="shared" si="55"/>
        <v>1412.98</v>
      </c>
      <c r="J711" s="110">
        <f t="shared" si="52"/>
        <v>2497.36</v>
      </c>
      <c r="K711" s="111">
        <f t="shared" si="53"/>
        <v>-33</v>
      </c>
      <c r="L711" s="110">
        <f t="shared" si="54"/>
        <v>-1084.3800000000001</v>
      </c>
      <c r="M711" s="112"/>
    </row>
    <row r="712" spans="2:13" s="52" customFormat="1" ht="19.5" customHeight="1">
      <c r="B712" s="108">
        <v>8</v>
      </c>
      <c r="C712" s="139" t="s">
        <v>54</v>
      </c>
      <c r="D712" s="108" t="s">
        <v>2200</v>
      </c>
      <c r="E712" s="108" t="s">
        <v>2303</v>
      </c>
      <c r="F712" s="108" t="s">
        <v>2404</v>
      </c>
      <c r="G712" s="108">
        <v>36</v>
      </c>
      <c r="H712" s="71">
        <v>24</v>
      </c>
      <c r="I712" s="109">
        <f t="shared" si="55"/>
        <v>2374.2000000000003</v>
      </c>
      <c r="J712" s="110">
        <f t="shared" si="52"/>
        <v>1582.8000000000002</v>
      </c>
      <c r="K712" s="111">
        <f t="shared" si="53"/>
        <v>12</v>
      </c>
      <c r="L712" s="110">
        <f t="shared" si="54"/>
        <v>791.40000000000009</v>
      </c>
      <c r="M712" s="112"/>
    </row>
    <row r="713" spans="2:13" s="52" customFormat="1" ht="19.5" customHeight="1">
      <c r="B713" s="108">
        <v>8</v>
      </c>
      <c r="C713" s="139" t="s">
        <v>54</v>
      </c>
      <c r="D713" s="108" t="s">
        <v>2201</v>
      </c>
      <c r="E713" s="108" t="s">
        <v>2304</v>
      </c>
      <c r="F713" s="108" t="s">
        <v>2405</v>
      </c>
      <c r="G713" s="108">
        <v>71</v>
      </c>
      <c r="H713" s="71">
        <v>9</v>
      </c>
      <c r="I713" s="109">
        <f t="shared" si="55"/>
        <v>962.76</v>
      </c>
      <c r="J713" s="110">
        <f t="shared" si="52"/>
        <v>122.04</v>
      </c>
      <c r="K713" s="111">
        <f t="shared" si="53"/>
        <v>62</v>
      </c>
      <c r="L713" s="110">
        <f t="shared" si="54"/>
        <v>840.72</v>
      </c>
      <c r="M713" s="112"/>
    </row>
    <row r="714" spans="2:13" s="52" customFormat="1" ht="19.5" customHeight="1">
      <c r="B714" s="108">
        <v>8</v>
      </c>
      <c r="C714" s="139" t="s">
        <v>54</v>
      </c>
      <c r="D714" s="108" t="s">
        <v>2202</v>
      </c>
      <c r="E714" s="108" t="s">
        <v>2305</v>
      </c>
      <c r="F714" s="108" t="s">
        <v>2406</v>
      </c>
      <c r="G714" s="108">
        <v>4</v>
      </c>
      <c r="H714" s="71">
        <v>1</v>
      </c>
      <c r="I714" s="109">
        <f t="shared" si="55"/>
        <v>287</v>
      </c>
      <c r="J714" s="110">
        <f t="shared" si="52"/>
        <v>71.75</v>
      </c>
      <c r="K714" s="111">
        <f t="shared" si="53"/>
        <v>3</v>
      </c>
      <c r="L714" s="110">
        <f t="shared" si="54"/>
        <v>215.25</v>
      </c>
      <c r="M714" s="112"/>
    </row>
    <row r="715" spans="2:13" s="52" customFormat="1" ht="19.5" customHeight="1">
      <c r="B715" s="108">
        <v>8</v>
      </c>
      <c r="C715" s="139" t="s">
        <v>54</v>
      </c>
      <c r="D715" s="108" t="s">
        <v>2203</v>
      </c>
      <c r="E715" s="108" t="s">
        <v>2306</v>
      </c>
      <c r="F715" s="108" t="s">
        <v>2407</v>
      </c>
      <c r="G715" s="108">
        <v>5</v>
      </c>
      <c r="H715" s="71"/>
      <c r="I715" s="109">
        <f t="shared" si="55"/>
        <v>128.25</v>
      </c>
      <c r="J715" s="110">
        <f t="shared" si="52"/>
        <v>0</v>
      </c>
      <c r="K715" s="111">
        <f t="shared" si="53"/>
        <v>5</v>
      </c>
      <c r="L715" s="110">
        <f t="shared" si="54"/>
        <v>128.25</v>
      </c>
      <c r="M715" s="112"/>
    </row>
    <row r="716" spans="2:13" s="52" customFormat="1" ht="19.5" customHeight="1">
      <c r="B716" s="108">
        <v>8</v>
      </c>
      <c r="C716" s="139" t="s">
        <v>54</v>
      </c>
      <c r="D716" s="108" t="s">
        <v>2204</v>
      </c>
      <c r="E716" s="108" t="s">
        <v>2307</v>
      </c>
      <c r="F716" s="108" t="s">
        <v>2408</v>
      </c>
      <c r="G716" s="108">
        <v>77</v>
      </c>
      <c r="H716" s="71">
        <f>3+60</f>
        <v>63</v>
      </c>
      <c r="I716" s="109">
        <f t="shared" si="55"/>
        <v>3927</v>
      </c>
      <c r="J716" s="110">
        <f t="shared" si="52"/>
        <v>3213</v>
      </c>
      <c r="K716" s="111">
        <f t="shared" si="53"/>
        <v>14</v>
      </c>
      <c r="L716" s="110">
        <f t="shared" si="54"/>
        <v>714</v>
      </c>
      <c r="M716" s="112"/>
    </row>
    <row r="717" spans="2:13" s="52" customFormat="1" ht="19.5" customHeight="1">
      <c r="B717" s="108">
        <v>8</v>
      </c>
      <c r="C717" s="139" t="s">
        <v>54</v>
      </c>
      <c r="D717" s="108" t="s">
        <v>2205</v>
      </c>
      <c r="E717" s="108" t="s">
        <v>2308</v>
      </c>
      <c r="F717" s="108" t="s">
        <v>1232</v>
      </c>
      <c r="G717" s="108">
        <v>171</v>
      </c>
      <c r="H717" s="71"/>
      <c r="I717" s="109">
        <f t="shared" si="55"/>
        <v>1710</v>
      </c>
      <c r="J717" s="110">
        <f t="shared" si="52"/>
        <v>0</v>
      </c>
      <c r="K717" s="111">
        <f t="shared" si="53"/>
        <v>171</v>
      </c>
      <c r="L717" s="110">
        <f t="shared" si="54"/>
        <v>1710</v>
      </c>
      <c r="M717" s="112"/>
    </row>
    <row r="718" spans="2:13" s="52" customFormat="1" ht="19.5" customHeight="1">
      <c r="B718" s="108">
        <v>8</v>
      </c>
      <c r="C718" s="139" t="s">
        <v>54</v>
      </c>
      <c r="D718" s="108" t="s">
        <v>2206</v>
      </c>
      <c r="E718" s="108" t="s">
        <v>2309</v>
      </c>
      <c r="F718" s="108" t="s">
        <v>2409</v>
      </c>
      <c r="G718" s="108">
        <v>29</v>
      </c>
      <c r="H718" s="71"/>
      <c r="I718" s="109">
        <f t="shared" si="55"/>
        <v>550.41999999999996</v>
      </c>
      <c r="J718" s="110">
        <f t="shared" si="52"/>
        <v>0</v>
      </c>
      <c r="K718" s="111">
        <f t="shared" si="53"/>
        <v>29</v>
      </c>
      <c r="L718" s="110">
        <f t="shared" si="54"/>
        <v>550.41999999999996</v>
      </c>
      <c r="M718" s="112"/>
    </row>
    <row r="719" spans="2:13" s="52" customFormat="1" ht="19.5" customHeight="1">
      <c r="B719" s="108">
        <v>8</v>
      </c>
      <c r="C719" s="139" t="s">
        <v>54</v>
      </c>
      <c r="D719" s="108" t="s">
        <v>2207</v>
      </c>
      <c r="E719" s="108" t="s">
        <v>2310</v>
      </c>
      <c r="F719" s="108" t="s">
        <v>2410</v>
      </c>
      <c r="G719" s="108">
        <v>38</v>
      </c>
      <c r="H719" s="71">
        <v>6</v>
      </c>
      <c r="I719" s="109">
        <f t="shared" si="55"/>
        <v>1567.5</v>
      </c>
      <c r="J719" s="110">
        <f t="shared" si="52"/>
        <v>247.5</v>
      </c>
      <c r="K719" s="111">
        <f t="shared" si="53"/>
        <v>32</v>
      </c>
      <c r="L719" s="110">
        <f t="shared" si="54"/>
        <v>1320</v>
      </c>
      <c r="M719" s="112"/>
    </row>
    <row r="720" spans="2:13" s="52" customFormat="1" ht="19.5" customHeight="1">
      <c r="B720" s="108">
        <v>8</v>
      </c>
      <c r="C720" s="139" t="s">
        <v>54</v>
      </c>
      <c r="D720" s="108" t="s">
        <v>2208</v>
      </c>
      <c r="E720" s="108" t="s">
        <v>2311</v>
      </c>
      <c r="F720" s="108" t="s">
        <v>1621</v>
      </c>
      <c r="G720" s="108">
        <v>190</v>
      </c>
      <c r="H720" s="71">
        <f>1+2</f>
        <v>3</v>
      </c>
      <c r="I720" s="109">
        <f t="shared" si="55"/>
        <v>1444</v>
      </c>
      <c r="J720" s="110">
        <f t="shared" si="52"/>
        <v>22.799999999999997</v>
      </c>
      <c r="K720" s="111">
        <f t="shared" si="53"/>
        <v>187</v>
      </c>
      <c r="L720" s="110">
        <f t="shared" si="54"/>
        <v>1421.2</v>
      </c>
      <c r="M720" s="112"/>
    </row>
    <row r="721" spans="2:13" s="52" customFormat="1" ht="19.5" hidden="1" customHeight="1">
      <c r="B721" s="108">
        <v>8</v>
      </c>
      <c r="C721" s="139" t="s">
        <v>54</v>
      </c>
      <c r="D721" s="108" t="s">
        <v>2209</v>
      </c>
      <c r="E721" s="108" t="s">
        <v>2312</v>
      </c>
      <c r="F721" s="108" t="s">
        <v>2411</v>
      </c>
      <c r="G721" s="108">
        <v>3</v>
      </c>
      <c r="H721" s="71">
        <v>3</v>
      </c>
      <c r="I721" s="109">
        <f t="shared" si="55"/>
        <v>444.75</v>
      </c>
      <c r="J721" s="110">
        <f t="shared" si="52"/>
        <v>444.75</v>
      </c>
      <c r="K721" s="111">
        <f t="shared" si="53"/>
        <v>0</v>
      </c>
      <c r="L721" s="110">
        <f t="shared" si="54"/>
        <v>0</v>
      </c>
      <c r="M721" s="112"/>
    </row>
    <row r="722" spans="2:13" s="52" customFormat="1" ht="19.5" customHeight="1">
      <c r="B722" s="108">
        <v>8</v>
      </c>
      <c r="C722" s="139" t="s">
        <v>54</v>
      </c>
      <c r="D722" s="108" t="s">
        <v>2210</v>
      </c>
      <c r="E722" s="108" t="s">
        <v>2313</v>
      </c>
      <c r="F722" s="108" t="s">
        <v>2412</v>
      </c>
      <c r="G722" s="108">
        <v>16</v>
      </c>
      <c r="H722" s="71"/>
      <c r="I722" s="109">
        <f t="shared" si="55"/>
        <v>265.60000000000002</v>
      </c>
      <c r="J722" s="110">
        <f t="shared" si="52"/>
        <v>0</v>
      </c>
      <c r="K722" s="111">
        <f t="shared" si="53"/>
        <v>16</v>
      </c>
      <c r="L722" s="110">
        <f t="shared" si="54"/>
        <v>265.60000000000002</v>
      </c>
      <c r="M722" s="112"/>
    </row>
    <row r="723" spans="2:13" s="52" customFormat="1" ht="19.5" customHeight="1">
      <c r="B723" s="108">
        <v>8</v>
      </c>
      <c r="C723" s="139" t="s">
        <v>54</v>
      </c>
      <c r="D723" s="108" t="s">
        <v>2211</v>
      </c>
      <c r="E723" s="108" t="s">
        <v>2314</v>
      </c>
      <c r="F723" s="108" t="s">
        <v>2413</v>
      </c>
      <c r="G723" s="108">
        <v>3</v>
      </c>
      <c r="H723" s="71"/>
      <c r="I723" s="109">
        <f t="shared" si="55"/>
        <v>275.70000000000005</v>
      </c>
      <c r="J723" s="110">
        <f t="shared" si="52"/>
        <v>0</v>
      </c>
      <c r="K723" s="111">
        <f t="shared" si="53"/>
        <v>3</v>
      </c>
      <c r="L723" s="110">
        <f t="shared" si="54"/>
        <v>275.70000000000005</v>
      </c>
      <c r="M723" s="112"/>
    </row>
    <row r="724" spans="2:13" s="52" customFormat="1" ht="19.5" customHeight="1">
      <c r="B724" s="108">
        <v>8</v>
      </c>
      <c r="C724" s="139" t="s">
        <v>54</v>
      </c>
      <c r="D724" s="108" t="s">
        <v>2212</v>
      </c>
      <c r="E724" s="108" t="s">
        <v>2315</v>
      </c>
      <c r="F724" s="108" t="s">
        <v>2414</v>
      </c>
      <c r="G724" s="108">
        <v>18</v>
      </c>
      <c r="H724" s="71">
        <v>11</v>
      </c>
      <c r="I724" s="109">
        <f t="shared" si="55"/>
        <v>1624.32</v>
      </c>
      <c r="J724" s="110">
        <f t="shared" si="52"/>
        <v>992.64</v>
      </c>
      <c r="K724" s="111">
        <f t="shared" si="53"/>
        <v>7</v>
      </c>
      <c r="L724" s="110">
        <f t="shared" si="54"/>
        <v>631.67999999999995</v>
      </c>
      <c r="M724" s="112"/>
    </row>
    <row r="725" spans="2:13" s="52" customFormat="1" ht="19.5" customHeight="1">
      <c r="B725" s="108">
        <v>8</v>
      </c>
      <c r="C725" s="139" t="s">
        <v>54</v>
      </c>
      <c r="D725" s="108" t="s">
        <v>2213</v>
      </c>
      <c r="E725" s="108" t="s">
        <v>2316</v>
      </c>
      <c r="F725" s="108" t="s">
        <v>2415</v>
      </c>
      <c r="G725" s="108">
        <v>3</v>
      </c>
      <c r="H725" s="71"/>
      <c r="I725" s="109">
        <f t="shared" si="55"/>
        <v>164.28</v>
      </c>
      <c r="J725" s="110">
        <f t="shared" si="52"/>
        <v>0</v>
      </c>
      <c r="K725" s="111">
        <f t="shared" si="53"/>
        <v>3</v>
      </c>
      <c r="L725" s="110">
        <f t="shared" si="54"/>
        <v>164.28</v>
      </c>
      <c r="M725" s="112"/>
    </row>
    <row r="726" spans="2:13" s="52" customFormat="1" ht="19.5" customHeight="1">
      <c r="B726" s="108">
        <v>8</v>
      </c>
      <c r="C726" s="139" t="s">
        <v>54</v>
      </c>
      <c r="D726" s="108" t="s">
        <v>2214</v>
      </c>
      <c r="E726" s="108" t="s">
        <v>2317</v>
      </c>
      <c r="F726" s="108" t="s">
        <v>2416</v>
      </c>
      <c r="G726" s="108">
        <v>4</v>
      </c>
      <c r="H726" s="71">
        <v>1</v>
      </c>
      <c r="I726" s="109">
        <f t="shared" si="55"/>
        <v>379.04</v>
      </c>
      <c r="J726" s="110">
        <f t="shared" si="52"/>
        <v>94.76</v>
      </c>
      <c r="K726" s="111">
        <f t="shared" si="53"/>
        <v>3</v>
      </c>
      <c r="L726" s="110">
        <f t="shared" si="54"/>
        <v>284.28000000000003</v>
      </c>
      <c r="M726" s="112"/>
    </row>
    <row r="727" spans="2:13" s="52" customFormat="1" ht="19.5" customHeight="1">
      <c r="B727" s="108">
        <v>8</v>
      </c>
      <c r="C727" s="139" t="s">
        <v>54</v>
      </c>
      <c r="D727" s="108" t="s">
        <v>2215</v>
      </c>
      <c r="E727" s="108" t="s">
        <v>2318</v>
      </c>
      <c r="F727" s="108" t="s">
        <v>2417</v>
      </c>
      <c r="G727" s="108">
        <v>55</v>
      </c>
      <c r="H727" s="71">
        <f>49+3</f>
        <v>52</v>
      </c>
      <c r="I727" s="109">
        <f t="shared" si="55"/>
        <v>1715.45</v>
      </c>
      <c r="J727" s="110">
        <f t="shared" si="52"/>
        <v>1621.88</v>
      </c>
      <c r="K727" s="111">
        <f t="shared" si="53"/>
        <v>3</v>
      </c>
      <c r="L727" s="110">
        <f t="shared" si="54"/>
        <v>93.569999999999936</v>
      </c>
      <c r="M727" s="112"/>
    </row>
    <row r="728" spans="2:13" s="52" customFormat="1" ht="19.5" customHeight="1">
      <c r="B728" s="108">
        <v>8</v>
      </c>
      <c r="C728" s="139" t="s">
        <v>54</v>
      </c>
      <c r="D728" s="108" t="s">
        <v>2216</v>
      </c>
      <c r="E728" s="108" t="s">
        <v>2319</v>
      </c>
      <c r="F728" s="108" t="s">
        <v>2418</v>
      </c>
      <c r="G728" s="108">
        <v>6</v>
      </c>
      <c r="H728" s="71">
        <v>1</v>
      </c>
      <c r="I728" s="109">
        <f t="shared" si="55"/>
        <v>158.57999999999998</v>
      </c>
      <c r="J728" s="110">
        <f t="shared" ref="J728:J791" si="56">F728*H728</f>
        <v>26.43</v>
      </c>
      <c r="K728" s="111">
        <f t="shared" ref="K728:K791" si="57">G728-H728</f>
        <v>5</v>
      </c>
      <c r="L728" s="110">
        <f t="shared" ref="L728:L791" si="58">I728-J728</f>
        <v>132.14999999999998</v>
      </c>
      <c r="M728" s="112"/>
    </row>
    <row r="729" spans="2:13" s="52" customFormat="1" ht="19.5" customHeight="1">
      <c r="B729" s="108">
        <v>8</v>
      </c>
      <c r="C729" s="139" t="s">
        <v>54</v>
      </c>
      <c r="D729" s="108" t="s">
        <v>2217</v>
      </c>
      <c r="E729" s="108" t="s">
        <v>2320</v>
      </c>
      <c r="F729" s="108" t="s">
        <v>2419</v>
      </c>
      <c r="G729" s="108">
        <v>6</v>
      </c>
      <c r="H729" s="71"/>
      <c r="I729" s="109">
        <f t="shared" si="55"/>
        <v>138.30000000000001</v>
      </c>
      <c r="J729" s="110">
        <f t="shared" si="56"/>
        <v>0</v>
      </c>
      <c r="K729" s="111">
        <f t="shared" si="57"/>
        <v>6</v>
      </c>
      <c r="L729" s="110">
        <f t="shared" si="58"/>
        <v>138.30000000000001</v>
      </c>
      <c r="M729" s="112"/>
    </row>
    <row r="730" spans="2:13" s="52" customFormat="1" ht="19.5" customHeight="1">
      <c r="B730" s="108">
        <v>8</v>
      </c>
      <c r="C730" s="139" t="s">
        <v>54</v>
      </c>
      <c r="D730" s="108" t="s">
        <v>2218</v>
      </c>
      <c r="E730" s="108" t="s">
        <v>2321</v>
      </c>
      <c r="F730" s="108" t="s">
        <v>1232</v>
      </c>
      <c r="G730" s="108">
        <v>9</v>
      </c>
      <c r="H730" s="71"/>
      <c r="I730" s="109">
        <f t="shared" si="55"/>
        <v>90</v>
      </c>
      <c r="J730" s="110">
        <f t="shared" si="56"/>
        <v>0</v>
      </c>
      <c r="K730" s="111">
        <f t="shared" si="57"/>
        <v>9</v>
      </c>
      <c r="L730" s="110">
        <f t="shared" si="58"/>
        <v>90</v>
      </c>
      <c r="M730" s="112"/>
    </row>
    <row r="731" spans="2:13" s="52" customFormat="1" ht="19.5" customHeight="1">
      <c r="B731" s="108">
        <v>8</v>
      </c>
      <c r="C731" s="139" t="s">
        <v>54</v>
      </c>
      <c r="D731" s="108" t="s">
        <v>2219</v>
      </c>
      <c r="E731" s="108" t="s">
        <v>2322</v>
      </c>
      <c r="F731" s="108" t="s">
        <v>1232</v>
      </c>
      <c r="G731" s="108">
        <v>7</v>
      </c>
      <c r="H731" s="71"/>
      <c r="I731" s="109">
        <f t="shared" si="55"/>
        <v>70</v>
      </c>
      <c r="J731" s="110">
        <f t="shared" si="56"/>
        <v>0</v>
      </c>
      <c r="K731" s="111">
        <f t="shared" si="57"/>
        <v>7</v>
      </c>
      <c r="L731" s="110">
        <f t="shared" si="58"/>
        <v>70</v>
      </c>
      <c r="M731" s="112"/>
    </row>
    <row r="732" spans="2:13" s="52" customFormat="1" ht="19.5" hidden="1" customHeight="1">
      <c r="B732" s="108">
        <v>8</v>
      </c>
      <c r="C732" s="139" t="s">
        <v>54</v>
      </c>
      <c r="D732" s="108" t="s">
        <v>2220</v>
      </c>
      <c r="E732" s="108" t="s">
        <v>2323</v>
      </c>
      <c r="F732" s="108" t="s">
        <v>1232</v>
      </c>
      <c r="G732" s="108">
        <v>2</v>
      </c>
      <c r="H732" s="71">
        <v>9</v>
      </c>
      <c r="I732" s="109">
        <f t="shared" si="55"/>
        <v>20</v>
      </c>
      <c r="J732" s="110">
        <f t="shared" si="56"/>
        <v>90</v>
      </c>
      <c r="K732" s="111">
        <f t="shared" si="57"/>
        <v>-7</v>
      </c>
      <c r="L732" s="110">
        <f t="shared" si="58"/>
        <v>-70</v>
      </c>
      <c r="M732" s="112"/>
    </row>
    <row r="733" spans="2:13" s="52" customFormat="1" ht="19.5" customHeight="1">
      <c r="B733" s="108">
        <v>8</v>
      </c>
      <c r="C733" s="139" t="s">
        <v>54</v>
      </c>
      <c r="D733" s="108" t="s">
        <v>2221</v>
      </c>
      <c r="E733" s="108" t="s">
        <v>2324</v>
      </c>
      <c r="F733" s="108" t="s">
        <v>2420</v>
      </c>
      <c r="G733" s="108">
        <v>12</v>
      </c>
      <c r="H733" s="71">
        <v>7</v>
      </c>
      <c r="I733" s="109">
        <f t="shared" si="55"/>
        <v>257.15999999999997</v>
      </c>
      <c r="J733" s="110">
        <f t="shared" si="56"/>
        <v>150.01</v>
      </c>
      <c r="K733" s="111">
        <f t="shared" si="57"/>
        <v>5</v>
      </c>
      <c r="L733" s="110">
        <f t="shared" si="58"/>
        <v>107.14999999999998</v>
      </c>
      <c r="M733" s="112"/>
    </row>
    <row r="734" spans="2:13" s="52" customFormat="1" ht="19.5" customHeight="1">
      <c r="B734" s="108">
        <v>8</v>
      </c>
      <c r="C734" s="139" t="s">
        <v>54</v>
      </c>
      <c r="D734" s="108" t="s">
        <v>2222</v>
      </c>
      <c r="E734" s="108" t="s">
        <v>2325</v>
      </c>
      <c r="F734" s="108" t="s">
        <v>1401</v>
      </c>
      <c r="G734" s="108">
        <v>31</v>
      </c>
      <c r="H734" s="71">
        <v>20</v>
      </c>
      <c r="I734" s="109">
        <f t="shared" si="55"/>
        <v>3332.5</v>
      </c>
      <c r="J734" s="110">
        <f t="shared" si="56"/>
        <v>2150</v>
      </c>
      <c r="K734" s="111">
        <f t="shared" si="57"/>
        <v>11</v>
      </c>
      <c r="L734" s="110">
        <f t="shared" si="58"/>
        <v>1182.5</v>
      </c>
      <c r="M734" s="112"/>
    </row>
    <row r="735" spans="2:13" s="52" customFormat="1" ht="19.5" customHeight="1">
      <c r="B735" s="108">
        <v>8</v>
      </c>
      <c r="C735" s="139" t="s">
        <v>54</v>
      </c>
      <c r="D735" s="108" t="s">
        <v>2223</v>
      </c>
      <c r="E735" s="108" t="s">
        <v>2326</v>
      </c>
      <c r="F735" s="108" t="s">
        <v>2421</v>
      </c>
      <c r="G735" s="108">
        <v>4</v>
      </c>
      <c r="H735" s="71"/>
      <c r="I735" s="109">
        <f t="shared" si="55"/>
        <v>196.8</v>
      </c>
      <c r="J735" s="110">
        <f t="shared" si="56"/>
        <v>0</v>
      </c>
      <c r="K735" s="111">
        <f t="shared" si="57"/>
        <v>4</v>
      </c>
      <c r="L735" s="110">
        <f t="shared" si="58"/>
        <v>196.8</v>
      </c>
      <c r="M735" s="112"/>
    </row>
    <row r="736" spans="2:13" s="52" customFormat="1" ht="19.5" hidden="1" customHeight="1">
      <c r="B736" s="108">
        <v>8</v>
      </c>
      <c r="C736" s="139" t="s">
        <v>54</v>
      </c>
      <c r="D736" s="108" t="s">
        <v>2224</v>
      </c>
      <c r="E736" s="108" t="s">
        <v>2327</v>
      </c>
      <c r="F736" s="108" t="s">
        <v>1163</v>
      </c>
      <c r="G736" s="108">
        <v>4</v>
      </c>
      <c r="H736" s="71">
        <v>9</v>
      </c>
      <c r="I736" s="109">
        <f t="shared" si="55"/>
        <v>140</v>
      </c>
      <c r="J736" s="110">
        <f t="shared" si="56"/>
        <v>315</v>
      </c>
      <c r="K736" s="111">
        <f t="shared" si="57"/>
        <v>-5</v>
      </c>
      <c r="L736" s="110">
        <f t="shared" si="58"/>
        <v>-175</v>
      </c>
      <c r="M736" s="112"/>
    </row>
    <row r="737" spans="2:13" s="52" customFormat="1" ht="19.5" hidden="1" customHeight="1">
      <c r="B737" s="108">
        <v>8</v>
      </c>
      <c r="C737" s="139" t="s">
        <v>54</v>
      </c>
      <c r="D737" s="108" t="s">
        <v>2225</v>
      </c>
      <c r="E737" s="108" t="s">
        <v>2328</v>
      </c>
      <c r="F737" s="108" t="s">
        <v>2422</v>
      </c>
      <c r="G737" s="108">
        <v>12</v>
      </c>
      <c r="H737" s="71">
        <v>18</v>
      </c>
      <c r="I737" s="109">
        <f t="shared" si="55"/>
        <v>202.56</v>
      </c>
      <c r="J737" s="110">
        <f t="shared" si="56"/>
        <v>303.83999999999997</v>
      </c>
      <c r="K737" s="111">
        <f t="shared" si="57"/>
        <v>-6</v>
      </c>
      <c r="L737" s="110">
        <f t="shared" si="58"/>
        <v>-101.27999999999997</v>
      </c>
      <c r="M737" s="112"/>
    </row>
    <row r="738" spans="2:13" s="52" customFormat="1" ht="19.5" customHeight="1">
      <c r="B738" s="108">
        <v>8</v>
      </c>
      <c r="C738" s="139" t="s">
        <v>54</v>
      </c>
      <c r="D738" s="108" t="s">
        <v>2226</v>
      </c>
      <c r="E738" s="108" t="s">
        <v>2329</v>
      </c>
      <c r="F738" s="108" t="s">
        <v>2423</v>
      </c>
      <c r="G738" s="108">
        <v>1</v>
      </c>
      <c r="H738" s="71"/>
      <c r="I738" s="109">
        <f t="shared" si="55"/>
        <v>251.15</v>
      </c>
      <c r="J738" s="110">
        <f t="shared" si="56"/>
        <v>0</v>
      </c>
      <c r="K738" s="111">
        <f t="shared" si="57"/>
        <v>1</v>
      </c>
      <c r="L738" s="110">
        <f t="shared" si="58"/>
        <v>251.15</v>
      </c>
      <c r="M738" s="112"/>
    </row>
    <row r="739" spans="2:13" s="52" customFormat="1" ht="19.5" hidden="1" customHeight="1">
      <c r="B739" s="108">
        <v>8</v>
      </c>
      <c r="C739" s="139" t="s">
        <v>54</v>
      </c>
      <c r="D739" s="108" t="s">
        <v>2227</v>
      </c>
      <c r="E739" s="108" t="s">
        <v>2330</v>
      </c>
      <c r="F739" s="108" t="s">
        <v>1400</v>
      </c>
      <c r="G739" s="108">
        <v>20</v>
      </c>
      <c r="H739" s="71">
        <v>20</v>
      </c>
      <c r="I739" s="109">
        <f t="shared" si="55"/>
        <v>720</v>
      </c>
      <c r="J739" s="110">
        <f t="shared" si="56"/>
        <v>720</v>
      </c>
      <c r="K739" s="111">
        <f t="shared" si="57"/>
        <v>0</v>
      </c>
      <c r="L739" s="110">
        <f t="shared" si="58"/>
        <v>0</v>
      </c>
      <c r="M739" s="112"/>
    </row>
    <row r="740" spans="2:13" s="52" customFormat="1" ht="19.5" hidden="1" customHeight="1">
      <c r="B740" s="108">
        <v>8</v>
      </c>
      <c r="C740" s="139" t="s">
        <v>54</v>
      </c>
      <c r="D740" s="108" t="s">
        <v>2228</v>
      </c>
      <c r="E740" s="108" t="s">
        <v>2331</v>
      </c>
      <c r="F740" s="108" t="s">
        <v>2424</v>
      </c>
      <c r="G740" s="108">
        <v>96</v>
      </c>
      <c r="H740" s="71">
        <v>172</v>
      </c>
      <c r="I740" s="109">
        <f t="shared" si="55"/>
        <v>577.91999999999996</v>
      </c>
      <c r="J740" s="110">
        <f t="shared" si="56"/>
        <v>1035.4399999999998</v>
      </c>
      <c r="K740" s="111">
        <f t="shared" si="57"/>
        <v>-76</v>
      </c>
      <c r="L740" s="110">
        <f t="shared" si="58"/>
        <v>-457.51999999999987</v>
      </c>
      <c r="M740" s="112"/>
    </row>
    <row r="741" spans="2:13" s="52" customFormat="1" ht="19.5" customHeight="1">
      <c r="B741" s="108">
        <v>8</v>
      </c>
      <c r="C741" s="139" t="s">
        <v>54</v>
      </c>
      <c r="D741" s="108" t="s">
        <v>2229</v>
      </c>
      <c r="E741" s="108" t="s">
        <v>2332</v>
      </c>
      <c r="F741" s="108" t="s">
        <v>2425</v>
      </c>
      <c r="G741" s="108">
        <v>14</v>
      </c>
      <c r="H741" s="71">
        <f>11+1</f>
        <v>12</v>
      </c>
      <c r="I741" s="109">
        <f t="shared" si="55"/>
        <v>727.57999999999993</v>
      </c>
      <c r="J741" s="110">
        <f t="shared" si="56"/>
        <v>623.64</v>
      </c>
      <c r="K741" s="111">
        <f t="shared" si="57"/>
        <v>2</v>
      </c>
      <c r="L741" s="110">
        <f t="shared" si="58"/>
        <v>103.93999999999994</v>
      </c>
      <c r="M741" s="112"/>
    </row>
    <row r="742" spans="2:13" s="52" customFormat="1" ht="19.5" customHeight="1">
      <c r="B742" s="108">
        <v>8</v>
      </c>
      <c r="C742" s="139" t="s">
        <v>54</v>
      </c>
      <c r="D742" s="108" t="s">
        <v>2230</v>
      </c>
      <c r="E742" s="108" t="s">
        <v>2333</v>
      </c>
      <c r="F742" s="108" t="s">
        <v>2424</v>
      </c>
      <c r="G742" s="108">
        <v>112</v>
      </c>
      <c r="H742" s="71">
        <f>23+22</f>
        <v>45</v>
      </c>
      <c r="I742" s="109">
        <f t="shared" si="55"/>
        <v>674.24</v>
      </c>
      <c r="J742" s="110">
        <f t="shared" si="56"/>
        <v>270.89999999999998</v>
      </c>
      <c r="K742" s="111">
        <f t="shared" si="57"/>
        <v>67</v>
      </c>
      <c r="L742" s="110">
        <f t="shared" si="58"/>
        <v>403.34000000000003</v>
      </c>
      <c r="M742" s="112"/>
    </row>
    <row r="743" spans="2:13" s="52" customFormat="1" ht="19.5" customHeight="1">
      <c r="B743" s="108">
        <v>8</v>
      </c>
      <c r="C743" s="139" t="s">
        <v>54</v>
      </c>
      <c r="D743" s="108" t="s">
        <v>2231</v>
      </c>
      <c r="E743" s="108" t="s">
        <v>2334</v>
      </c>
      <c r="F743" s="108" t="s">
        <v>2426</v>
      </c>
      <c r="G743" s="108">
        <v>6</v>
      </c>
      <c r="H743" s="71"/>
      <c r="I743" s="109">
        <f t="shared" si="55"/>
        <v>209.28000000000003</v>
      </c>
      <c r="J743" s="110">
        <f t="shared" si="56"/>
        <v>0</v>
      </c>
      <c r="K743" s="111">
        <f t="shared" si="57"/>
        <v>6</v>
      </c>
      <c r="L743" s="110">
        <f t="shared" si="58"/>
        <v>209.28000000000003</v>
      </c>
      <c r="M743" s="112"/>
    </row>
    <row r="744" spans="2:13" s="52" customFormat="1" ht="19.5" customHeight="1">
      <c r="B744" s="108">
        <v>8</v>
      </c>
      <c r="C744" s="139" t="s">
        <v>54</v>
      </c>
      <c r="D744" s="108" t="s">
        <v>2232</v>
      </c>
      <c r="E744" s="108" t="s">
        <v>2335</v>
      </c>
      <c r="F744" s="108" t="s">
        <v>2425</v>
      </c>
      <c r="G744" s="108">
        <v>21</v>
      </c>
      <c r="H744" s="71">
        <v>6</v>
      </c>
      <c r="I744" s="109">
        <f t="shared" si="55"/>
        <v>1091.3699999999999</v>
      </c>
      <c r="J744" s="110">
        <f t="shared" si="56"/>
        <v>311.82</v>
      </c>
      <c r="K744" s="111">
        <f t="shared" si="57"/>
        <v>15</v>
      </c>
      <c r="L744" s="110">
        <f t="shared" si="58"/>
        <v>779.55</v>
      </c>
      <c r="M744" s="112"/>
    </row>
    <row r="745" spans="2:13" s="52" customFormat="1" ht="19.5" customHeight="1">
      <c r="B745" s="108">
        <v>8</v>
      </c>
      <c r="C745" s="139" t="s">
        <v>54</v>
      </c>
      <c r="D745" s="108" t="s">
        <v>2233</v>
      </c>
      <c r="E745" s="108" t="s">
        <v>2336</v>
      </c>
      <c r="F745" s="108" t="s">
        <v>2427</v>
      </c>
      <c r="G745" s="108">
        <v>19</v>
      </c>
      <c r="H745" s="71"/>
      <c r="I745" s="109">
        <f t="shared" si="55"/>
        <v>672.41</v>
      </c>
      <c r="J745" s="110">
        <f t="shared" si="56"/>
        <v>0</v>
      </c>
      <c r="K745" s="111">
        <f t="shared" si="57"/>
        <v>19</v>
      </c>
      <c r="L745" s="110">
        <f t="shared" si="58"/>
        <v>672.41</v>
      </c>
      <c r="M745" s="112"/>
    </row>
    <row r="746" spans="2:13" s="52" customFormat="1" ht="19.5" customHeight="1">
      <c r="B746" s="108">
        <v>8</v>
      </c>
      <c r="C746" s="139" t="s">
        <v>54</v>
      </c>
      <c r="D746" s="108" t="s">
        <v>2234</v>
      </c>
      <c r="E746" s="108" t="s">
        <v>2337</v>
      </c>
      <c r="F746" s="108" t="s">
        <v>2427</v>
      </c>
      <c r="G746" s="108">
        <v>29</v>
      </c>
      <c r="H746" s="71"/>
      <c r="I746" s="109">
        <f t="shared" si="55"/>
        <v>1026.31</v>
      </c>
      <c r="J746" s="110">
        <f t="shared" si="56"/>
        <v>0</v>
      </c>
      <c r="K746" s="111">
        <f t="shared" si="57"/>
        <v>29</v>
      </c>
      <c r="L746" s="110">
        <f t="shared" si="58"/>
        <v>1026.31</v>
      </c>
      <c r="M746" s="112"/>
    </row>
    <row r="747" spans="2:13" s="52" customFormat="1" ht="19.5" customHeight="1">
      <c r="B747" s="108">
        <v>8</v>
      </c>
      <c r="C747" s="139" t="s">
        <v>54</v>
      </c>
      <c r="D747" s="108" t="s">
        <v>2235</v>
      </c>
      <c r="E747" s="108" t="s">
        <v>2338</v>
      </c>
      <c r="F747" s="108" t="s">
        <v>2425</v>
      </c>
      <c r="G747" s="108">
        <v>95</v>
      </c>
      <c r="H747" s="71">
        <f>21+37</f>
        <v>58</v>
      </c>
      <c r="I747" s="109">
        <f t="shared" si="55"/>
        <v>4937.1499999999996</v>
      </c>
      <c r="J747" s="110">
        <f t="shared" si="56"/>
        <v>3014.2599999999998</v>
      </c>
      <c r="K747" s="111">
        <f t="shared" si="57"/>
        <v>37</v>
      </c>
      <c r="L747" s="110">
        <f t="shared" si="58"/>
        <v>1922.8899999999999</v>
      </c>
      <c r="M747" s="112"/>
    </row>
    <row r="748" spans="2:13" s="52" customFormat="1" ht="19.5" customHeight="1">
      <c r="B748" s="108">
        <v>8</v>
      </c>
      <c r="C748" s="139" t="s">
        <v>54</v>
      </c>
      <c r="D748" s="108" t="s">
        <v>2236</v>
      </c>
      <c r="E748" s="108" t="s">
        <v>2339</v>
      </c>
      <c r="F748" s="108" t="s">
        <v>2428</v>
      </c>
      <c r="G748" s="108">
        <v>4</v>
      </c>
      <c r="H748" s="71"/>
      <c r="I748" s="109">
        <f t="shared" si="55"/>
        <v>242.56</v>
      </c>
      <c r="J748" s="110">
        <f t="shared" si="56"/>
        <v>0</v>
      </c>
      <c r="K748" s="111">
        <f t="shared" si="57"/>
        <v>4</v>
      </c>
      <c r="L748" s="110">
        <f t="shared" si="58"/>
        <v>242.56</v>
      </c>
      <c r="M748" s="112"/>
    </row>
    <row r="749" spans="2:13" s="52" customFormat="1" ht="19.5" customHeight="1">
      <c r="B749" s="108">
        <v>8</v>
      </c>
      <c r="C749" s="139" t="s">
        <v>54</v>
      </c>
      <c r="D749" s="108" t="s">
        <v>2237</v>
      </c>
      <c r="E749" s="108" t="s">
        <v>2340</v>
      </c>
      <c r="F749" s="108" t="s">
        <v>2429</v>
      </c>
      <c r="G749" s="108">
        <v>2</v>
      </c>
      <c r="H749" s="71"/>
      <c r="I749" s="109">
        <f t="shared" si="55"/>
        <v>198.18</v>
      </c>
      <c r="J749" s="110">
        <f t="shared" si="56"/>
        <v>0</v>
      </c>
      <c r="K749" s="111">
        <f t="shared" si="57"/>
        <v>2</v>
      </c>
      <c r="L749" s="110">
        <f t="shared" si="58"/>
        <v>198.18</v>
      </c>
      <c r="M749" s="112"/>
    </row>
    <row r="750" spans="2:13" s="52" customFormat="1" ht="19.5" customHeight="1">
      <c r="B750" s="108">
        <v>8</v>
      </c>
      <c r="C750" s="139" t="s">
        <v>54</v>
      </c>
      <c r="D750" s="108" t="s">
        <v>2238</v>
      </c>
      <c r="E750" s="108" t="s">
        <v>2341</v>
      </c>
      <c r="F750" s="108" t="s">
        <v>2430</v>
      </c>
      <c r="G750" s="108">
        <v>7</v>
      </c>
      <c r="H750" s="71"/>
      <c r="I750" s="109">
        <f t="shared" si="55"/>
        <v>395.78</v>
      </c>
      <c r="J750" s="110">
        <f t="shared" si="56"/>
        <v>0</v>
      </c>
      <c r="K750" s="111">
        <f t="shared" si="57"/>
        <v>7</v>
      </c>
      <c r="L750" s="110">
        <f t="shared" si="58"/>
        <v>395.78</v>
      </c>
      <c r="M750" s="112"/>
    </row>
    <row r="751" spans="2:13" s="52" customFormat="1" ht="19.5" customHeight="1">
      <c r="B751" s="108">
        <v>8</v>
      </c>
      <c r="C751" s="139" t="s">
        <v>54</v>
      </c>
      <c r="D751" s="108" t="s">
        <v>2239</v>
      </c>
      <c r="E751" s="108" t="s">
        <v>2342</v>
      </c>
      <c r="F751" s="108" t="s">
        <v>2431</v>
      </c>
      <c r="G751" s="108">
        <v>5</v>
      </c>
      <c r="H751" s="71">
        <v>3</v>
      </c>
      <c r="I751" s="109">
        <f t="shared" si="55"/>
        <v>1509.35</v>
      </c>
      <c r="J751" s="110">
        <f t="shared" si="56"/>
        <v>905.61</v>
      </c>
      <c r="K751" s="111">
        <f t="shared" si="57"/>
        <v>2</v>
      </c>
      <c r="L751" s="110">
        <f t="shared" si="58"/>
        <v>603.7399999999999</v>
      </c>
      <c r="M751" s="112"/>
    </row>
    <row r="752" spans="2:13" s="52" customFormat="1" ht="19.5" hidden="1" customHeight="1">
      <c r="B752" s="108">
        <v>8</v>
      </c>
      <c r="C752" s="139" t="s">
        <v>54</v>
      </c>
      <c r="D752" s="108" t="s">
        <v>2240</v>
      </c>
      <c r="E752" s="108" t="s">
        <v>2343</v>
      </c>
      <c r="F752" s="108" t="s">
        <v>2424</v>
      </c>
      <c r="G752" s="108">
        <v>102</v>
      </c>
      <c r="H752" s="71">
        <f>107+15</f>
        <v>122</v>
      </c>
      <c r="I752" s="109">
        <f t="shared" si="55"/>
        <v>614.04</v>
      </c>
      <c r="J752" s="110">
        <f t="shared" si="56"/>
        <v>734.43999999999994</v>
      </c>
      <c r="K752" s="111">
        <f t="shared" si="57"/>
        <v>-20</v>
      </c>
      <c r="L752" s="110">
        <f t="shared" si="58"/>
        <v>-120.39999999999998</v>
      </c>
      <c r="M752" s="112"/>
    </row>
    <row r="753" spans="2:13" s="52" customFormat="1" ht="19.5" customHeight="1">
      <c r="B753" s="108">
        <v>8</v>
      </c>
      <c r="C753" s="139" t="s">
        <v>54</v>
      </c>
      <c r="D753" s="108" t="s">
        <v>2241</v>
      </c>
      <c r="E753" s="108" t="s">
        <v>2344</v>
      </c>
      <c r="F753" s="108" t="s">
        <v>2424</v>
      </c>
      <c r="G753" s="108">
        <v>92</v>
      </c>
      <c r="H753" s="71">
        <v>1</v>
      </c>
      <c r="I753" s="109">
        <f t="shared" si="55"/>
        <v>553.83999999999992</v>
      </c>
      <c r="J753" s="110">
        <f t="shared" si="56"/>
        <v>6.02</v>
      </c>
      <c r="K753" s="111">
        <f t="shared" si="57"/>
        <v>91</v>
      </c>
      <c r="L753" s="110">
        <f t="shared" si="58"/>
        <v>547.81999999999994</v>
      </c>
      <c r="M753" s="112"/>
    </row>
    <row r="754" spans="2:13" s="52" customFormat="1" ht="19.5" customHeight="1">
      <c r="B754" s="108">
        <v>8</v>
      </c>
      <c r="C754" s="139" t="s">
        <v>54</v>
      </c>
      <c r="D754" s="108" t="s">
        <v>2242</v>
      </c>
      <c r="E754" s="108" t="s">
        <v>2345</v>
      </c>
      <c r="F754" s="108" t="s">
        <v>2432</v>
      </c>
      <c r="G754" s="108">
        <v>12</v>
      </c>
      <c r="H754" s="71"/>
      <c r="I754" s="109">
        <f t="shared" si="55"/>
        <v>1035.48</v>
      </c>
      <c r="J754" s="110">
        <f t="shared" si="56"/>
        <v>0</v>
      </c>
      <c r="K754" s="111">
        <f t="shared" si="57"/>
        <v>12</v>
      </c>
      <c r="L754" s="110">
        <f t="shared" si="58"/>
        <v>1035.48</v>
      </c>
      <c r="M754" s="112"/>
    </row>
    <row r="755" spans="2:13" s="52" customFormat="1" ht="19.5" hidden="1" customHeight="1">
      <c r="B755" s="108">
        <v>8</v>
      </c>
      <c r="C755" s="139" t="s">
        <v>54</v>
      </c>
      <c r="D755" s="108" t="s">
        <v>2243</v>
      </c>
      <c r="E755" s="108" t="s">
        <v>2346</v>
      </c>
      <c r="F755" s="108" t="s">
        <v>2433</v>
      </c>
      <c r="G755" s="108">
        <v>51</v>
      </c>
      <c r="H755" s="71">
        <v>79</v>
      </c>
      <c r="I755" s="109">
        <f t="shared" si="55"/>
        <v>364.14</v>
      </c>
      <c r="J755" s="110">
        <f t="shared" si="56"/>
        <v>564.05999999999995</v>
      </c>
      <c r="K755" s="111">
        <f t="shared" si="57"/>
        <v>-28</v>
      </c>
      <c r="L755" s="110">
        <f t="shared" si="58"/>
        <v>-199.91999999999996</v>
      </c>
      <c r="M755" s="112"/>
    </row>
    <row r="756" spans="2:13" s="52" customFormat="1" ht="19.5" customHeight="1">
      <c r="B756" s="108">
        <v>8</v>
      </c>
      <c r="C756" s="139" t="s">
        <v>54</v>
      </c>
      <c r="D756" s="108" t="s">
        <v>2244</v>
      </c>
      <c r="E756" s="108" t="s">
        <v>2347</v>
      </c>
      <c r="F756" s="108" t="s">
        <v>2434</v>
      </c>
      <c r="G756" s="108">
        <v>10</v>
      </c>
      <c r="H756" s="71"/>
      <c r="I756" s="109">
        <f t="shared" si="55"/>
        <v>826.2</v>
      </c>
      <c r="J756" s="110">
        <f t="shared" si="56"/>
        <v>0</v>
      </c>
      <c r="K756" s="111">
        <f t="shared" si="57"/>
        <v>10</v>
      </c>
      <c r="L756" s="110">
        <f t="shared" si="58"/>
        <v>826.2</v>
      </c>
      <c r="M756" s="112"/>
    </row>
    <row r="757" spans="2:13" s="52" customFormat="1" ht="19.5" customHeight="1">
      <c r="B757" s="108">
        <v>8</v>
      </c>
      <c r="C757" s="139" t="s">
        <v>54</v>
      </c>
      <c r="D757" s="108" t="s">
        <v>2245</v>
      </c>
      <c r="E757" s="108" t="s">
        <v>2348</v>
      </c>
      <c r="F757" s="108" t="s">
        <v>2435</v>
      </c>
      <c r="G757" s="108">
        <v>149</v>
      </c>
      <c r="H757" s="71">
        <v>65</v>
      </c>
      <c r="I757" s="109">
        <f t="shared" si="55"/>
        <v>2142.62</v>
      </c>
      <c r="J757" s="110">
        <f t="shared" si="56"/>
        <v>934.7</v>
      </c>
      <c r="K757" s="111">
        <f t="shared" si="57"/>
        <v>84</v>
      </c>
      <c r="L757" s="110">
        <f t="shared" si="58"/>
        <v>1207.9199999999998</v>
      </c>
      <c r="M757" s="112"/>
    </row>
    <row r="758" spans="2:13" s="52" customFormat="1" ht="19.5" hidden="1" customHeight="1">
      <c r="B758" s="108">
        <v>8</v>
      </c>
      <c r="C758" s="139" t="s">
        <v>54</v>
      </c>
      <c r="D758" s="108" t="s">
        <v>4669</v>
      </c>
      <c r="E758" s="108" t="s">
        <v>4672</v>
      </c>
      <c r="F758" s="108" t="s">
        <v>4676</v>
      </c>
      <c r="G758" s="108">
        <v>1</v>
      </c>
      <c r="H758" s="71">
        <v>1</v>
      </c>
      <c r="I758" s="109">
        <f t="shared" si="55"/>
        <v>1160.3499999999999</v>
      </c>
      <c r="J758" s="110">
        <f t="shared" si="56"/>
        <v>1160.3499999999999</v>
      </c>
      <c r="K758" s="111">
        <f t="shared" si="57"/>
        <v>0</v>
      </c>
      <c r="L758" s="110">
        <f t="shared" si="58"/>
        <v>0</v>
      </c>
      <c r="M758" s="112"/>
    </row>
    <row r="759" spans="2:13" s="52" customFormat="1" ht="19.5" customHeight="1">
      <c r="B759" s="108">
        <v>8</v>
      </c>
      <c r="C759" s="139" t="s">
        <v>54</v>
      </c>
      <c r="D759" s="108" t="s">
        <v>2246</v>
      </c>
      <c r="E759" s="108" t="s">
        <v>2349</v>
      </c>
      <c r="F759" s="108" t="s">
        <v>2436</v>
      </c>
      <c r="G759" s="108">
        <v>48</v>
      </c>
      <c r="H759" s="71">
        <v>46</v>
      </c>
      <c r="I759" s="109">
        <f t="shared" si="55"/>
        <v>1336.32</v>
      </c>
      <c r="J759" s="110">
        <f t="shared" si="56"/>
        <v>1280.6400000000001</v>
      </c>
      <c r="K759" s="111">
        <f t="shared" si="57"/>
        <v>2</v>
      </c>
      <c r="L759" s="110">
        <f t="shared" si="58"/>
        <v>55.679999999999836</v>
      </c>
      <c r="M759" s="112"/>
    </row>
    <row r="760" spans="2:13" s="52" customFormat="1" ht="19.5" customHeight="1">
      <c r="B760" s="108">
        <v>8</v>
      </c>
      <c r="C760" s="139" t="s">
        <v>54</v>
      </c>
      <c r="D760" s="108" t="s">
        <v>2247</v>
      </c>
      <c r="E760" s="108" t="s">
        <v>2350</v>
      </c>
      <c r="F760" s="108" t="s">
        <v>2437</v>
      </c>
      <c r="G760" s="108">
        <v>48</v>
      </c>
      <c r="H760" s="71">
        <v>43</v>
      </c>
      <c r="I760" s="109">
        <f t="shared" si="55"/>
        <v>668.16</v>
      </c>
      <c r="J760" s="110">
        <f t="shared" si="56"/>
        <v>598.55999999999995</v>
      </c>
      <c r="K760" s="111">
        <f t="shared" si="57"/>
        <v>5</v>
      </c>
      <c r="L760" s="110">
        <f t="shared" si="58"/>
        <v>69.600000000000023</v>
      </c>
      <c r="M760" s="112"/>
    </row>
    <row r="761" spans="2:13" s="52" customFormat="1" ht="19.5" customHeight="1">
      <c r="B761" s="108">
        <v>8</v>
      </c>
      <c r="C761" s="139" t="s">
        <v>54</v>
      </c>
      <c r="D761" s="108" t="s">
        <v>2248</v>
      </c>
      <c r="E761" s="108" t="s">
        <v>2351</v>
      </c>
      <c r="F761" s="108" t="s">
        <v>2438</v>
      </c>
      <c r="G761" s="108">
        <v>1157</v>
      </c>
      <c r="H761" s="71">
        <f>332+704</f>
        <v>1036</v>
      </c>
      <c r="I761" s="109">
        <f t="shared" si="55"/>
        <v>5484.18</v>
      </c>
      <c r="J761" s="110">
        <f t="shared" si="56"/>
        <v>4910.6400000000003</v>
      </c>
      <c r="K761" s="111">
        <f t="shared" si="57"/>
        <v>121</v>
      </c>
      <c r="L761" s="110">
        <f t="shared" si="58"/>
        <v>573.54</v>
      </c>
      <c r="M761" s="112"/>
    </row>
    <row r="762" spans="2:13" s="52" customFormat="1" ht="19.5" customHeight="1">
      <c r="B762" s="108">
        <v>8</v>
      </c>
      <c r="C762" s="139" t="s">
        <v>54</v>
      </c>
      <c r="D762" s="108" t="s">
        <v>2249</v>
      </c>
      <c r="E762" s="108" t="s">
        <v>2352</v>
      </c>
      <c r="F762" s="108" t="s">
        <v>2439</v>
      </c>
      <c r="G762" s="108">
        <v>5</v>
      </c>
      <c r="H762" s="71"/>
      <c r="I762" s="109">
        <f t="shared" si="55"/>
        <v>608.25</v>
      </c>
      <c r="J762" s="110">
        <f t="shared" si="56"/>
        <v>0</v>
      </c>
      <c r="K762" s="111">
        <f t="shared" si="57"/>
        <v>5</v>
      </c>
      <c r="L762" s="110">
        <f t="shared" si="58"/>
        <v>608.25</v>
      </c>
      <c r="M762" s="112"/>
    </row>
    <row r="763" spans="2:13" s="52" customFormat="1" ht="19.5" customHeight="1">
      <c r="B763" s="108">
        <v>8</v>
      </c>
      <c r="C763" s="139" t="s">
        <v>54</v>
      </c>
      <c r="D763" s="108" t="s">
        <v>2250</v>
      </c>
      <c r="E763" s="108" t="s">
        <v>2353</v>
      </c>
      <c r="F763" s="108" t="s">
        <v>2440</v>
      </c>
      <c r="G763" s="108">
        <v>209</v>
      </c>
      <c r="H763" s="71">
        <v>53</v>
      </c>
      <c r="I763" s="109">
        <f t="shared" si="55"/>
        <v>4347.2</v>
      </c>
      <c r="J763" s="110">
        <f t="shared" si="56"/>
        <v>1102.4000000000001</v>
      </c>
      <c r="K763" s="111">
        <f t="shared" si="57"/>
        <v>156</v>
      </c>
      <c r="L763" s="110">
        <f t="shared" si="58"/>
        <v>3244.7999999999997</v>
      </c>
      <c r="M763" s="112"/>
    </row>
    <row r="764" spans="2:13" s="52" customFormat="1" ht="19.5" hidden="1" customHeight="1">
      <c r="B764" s="108">
        <v>8</v>
      </c>
      <c r="C764" s="139" t="s">
        <v>54</v>
      </c>
      <c r="D764" s="108" t="s">
        <v>4670</v>
      </c>
      <c r="E764" s="108" t="s">
        <v>4673</v>
      </c>
      <c r="F764" s="108" t="s">
        <v>4677</v>
      </c>
      <c r="G764" s="108">
        <v>12</v>
      </c>
      <c r="H764" s="71">
        <v>12</v>
      </c>
      <c r="I764" s="109">
        <f t="shared" si="55"/>
        <v>393.12</v>
      </c>
      <c r="J764" s="110">
        <f t="shared" si="56"/>
        <v>393.12</v>
      </c>
      <c r="K764" s="111">
        <f t="shared" si="57"/>
        <v>0</v>
      </c>
      <c r="L764" s="110">
        <f t="shared" si="58"/>
        <v>0</v>
      </c>
      <c r="M764" s="112"/>
    </row>
    <row r="765" spans="2:13" s="52" customFormat="1" ht="19.5" hidden="1" customHeight="1">
      <c r="B765" s="108">
        <v>8</v>
      </c>
      <c r="C765" s="139" t="s">
        <v>54</v>
      </c>
      <c r="D765" s="108" t="s">
        <v>2251</v>
      </c>
      <c r="E765" s="108" t="s">
        <v>2354</v>
      </c>
      <c r="F765" s="108" t="s">
        <v>2441</v>
      </c>
      <c r="G765" s="108">
        <v>16</v>
      </c>
      <c r="H765" s="71">
        <v>17</v>
      </c>
      <c r="I765" s="109">
        <f t="shared" si="55"/>
        <v>544.79999999999995</v>
      </c>
      <c r="J765" s="110">
        <f t="shared" si="56"/>
        <v>578.84999999999991</v>
      </c>
      <c r="K765" s="111">
        <f t="shared" si="57"/>
        <v>-1</v>
      </c>
      <c r="L765" s="110">
        <f t="shared" si="58"/>
        <v>-34.049999999999955</v>
      </c>
      <c r="M765" s="112"/>
    </row>
    <row r="766" spans="2:13" s="52" customFormat="1" ht="19.5" hidden="1" customHeight="1">
      <c r="B766" s="108">
        <v>8</v>
      </c>
      <c r="C766" s="139" t="s">
        <v>54</v>
      </c>
      <c r="D766" s="108" t="s">
        <v>2252</v>
      </c>
      <c r="E766" s="108" t="s">
        <v>2355</v>
      </c>
      <c r="F766" s="108" t="s">
        <v>2442</v>
      </c>
      <c r="G766" s="108">
        <v>23</v>
      </c>
      <c r="H766" s="71">
        <v>23</v>
      </c>
      <c r="I766" s="109">
        <f t="shared" si="55"/>
        <v>843.18</v>
      </c>
      <c r="J766" s="110">
        <f t="shared" si="56"/>
        <v>843.18</v>
      </c>
      <c r="K766" s="111">
        <f t="shared" si="57"/>
        <v>0</v>
      </c>
      <c r="L766" s="110">
        <f t="shared" si="58"/>
        <v>0</v>
      </c>
      <c r="M766" s="112"/>
    </row>
    <row r="767" spans="2:13" s="52" customFormat="1" ht="19.5" customHeight="1">
      <c r="B767" s="108">
        <v>8</v>
      </c>
      <c r="C767" s="139" t="s">
        <v>54</v>
      </c>
      <c r="D767" s="108" t="s">
        <v>2253</v>
      </c>
      <c r="E767" s="108" t="s">
        <v>2356</v>
      </c>
      <c r="F767" s="108" t="s">
        <v>2443</v>
      </c>
      <c r="G767" s="108">
        <v>29</v>
      </c>
      <c r="H767" s="71">
        <v>27</v>
      </c>
      <c r="I767" s="109">
        <f t="shared" si="55"/>
        <v>1034.72</v>
      </c>
      <c r="J767" s="110">
        <f t="shared" si="56"/>
        <v>963.36</v>
      </c>
      <c r="K767" s="111">
        <f t="shared" si="57"/>
        <v>2</v>
      </c>
      <c r="L767" s="110">
        <f t="shared" si="58"/>
        <v>71.360000000000014</v>
      </c>
      <c r="M767" s="112"/>
    </row>
    <row r="768" spans="2:13" s="52" customFormat="1" ht="19.5" customHeight="1">
      <c r="B768" s="108">
        <v>8</v>
      </c>
      <c r="C768" s="139" t="s">
        <v>54</v>
      </c>
      <c r="D768" s="108" t="s">
        <v>2254</v>
      </c>
      <c r="E768" s="108" t="s">
        <v>2357</v>
      </c>
      <c r="F768" s="108" t="s">
        <v>2444</v>
      </c>
      <c r="G768" s="108">
        <v>36</v>
      </c>
      <c r="H768" s="71">
        <v>34</v>
      </c>
      <c r="I768" s="109">
        <f t="shared" si="55"/>
        <v>1117.44</v>
      </c>
      <c r="J768" s="110">
        <f t="shared" si="56"/>
        <v>1055.3599999999999</v>
      </c>
      <c r="K768" s="111">
        <f t="shared" si="57"/>
        <v>2</v>
      </c>
      <c r="L768" s="110">
        <f t="shared" si="58"/>
        <v>62.080000000000155</v>
      </c>
      <c r="M768" s="112"/>
    </row>
    <row r="769" spans="2:13" s="52" customFormat="1" ht="19.5" customHeight="1">
      <c r="B769" s="108">
        <v>8</v>
      </c>
      <c r="C769" s="139" t="s">
        <v>54</v>
      </c>
      <c r="D769" s="108" t="s">
        <v>2255</v>
      </c>
      <c r="E769" s="108" t="s">
        <v>2358</v>
      </c>
      <c r="F769" s="108" t="s">
        <v>2445</v>
      </c>
      <c r="G769" s="108">
        <v>100</v>
      </c>
      <c r="H769" s="71">
        <v>42</v>
      </c>
      <c r="I769" s="109">
        <f t="shared" si="55"/>
        <v>1339</v>
      </c>
      <c r="J769" s="110">
        <f t="shared" si="56"/>
        <v>562.38</v>
      </c>
      <c r="K769" s="111">
        <f t="shared" si="57"/>
        <v>58</v>
      </c>
      <c r="L769" s="110">
        <f t="shared" si="58"/>
        <v>776.62</v>
      </c>
      <c r="M769" s="112"/>
    </row>
    <row r="770" spans="2:13" s="52" customFormat="1" ht="19.5" customHeight="1">
      <c r="B770" s="108">
        <v>8</v>
      </c>
      <c r="C770" s="139" t="s">
        <v>54</v>
      </c>
      <c r="D770" s="108" t="s">
        <v>2256</v>
      </c>
      <c r="E770" s="108" t="s">
        <v>2359</v>
      </c>
      <c r="F770" s="108" t="s">
        <v>2446</v>
      </c>
      <c r="G770" s="108">
        <v>2</v>
      </c>
      <c r="H770" s="71"/>
      <c r="I770" s="109">
        <f t="shared" ref="I770:I830" si="59">F770*G770</f>
        <v>725</v>
      </c>
      <c r="J770" s="110">
        <f t="shared" si="56"/>
        <v>0</v>
      </c>
      <c r="K770" s="111">
        <f t="shared" si="57"/>
        <v>2</v>
      </c>
      <c r="L770" s="110">
        <f t="shared" si="58"/>
        <v>725</v>
      </c>
      <c r="M770" s="112"/>
    </row>
    <row r="771" spans="2:13" s="52" customFormat="1" ht="19.5" customHeight="1">
      <c r="B771" s="108">
        <v>8</v>
      </c>
      <c r="C771" s="139" t="s">
        <v>54</v>
      </c>
      <c r="D771" s="108" t="s">
        <v>2257</v>
      </c>
      <c r="E771" s="108" t="s">
        <v>2360</v>
      </c>
      <c r="F771" s="108" t="s">
        <v>2447</v>
      </c>
      <c r="G771" s="108">
        <v>129</v>
      </c>
      <c r="H771" s="71">
        <v>68</v>
      </c>
      <c r="I771" s="109">
        <f t="shared" si="59"/>
        <v>723.69</v>
      </c>
      <c r="J771" s="110">
        <f t="shared" si="56"/>
        <v>381.48</v>
      </c>
      <c r="K771" s="111">
        <f t="shared" si="57"/>
        <v>61</v>
      </c>
      <c r="L771" s="110">
        <f t="shared" si="58"/>
        <v>342.21000000000004</v>
      </c>
      <c r="M771" s="112"/>
    </row>
    <row r="772" spans="2:13" s="52" customFormat="1" ht="19.5" hidden="1" customHeight="1">
      <c r="B772" s="108">
        <v>8</v>
      </c>
      <c r="C772" s="139" t="s">
        <v>54</v>
      </c>
      <c r="D772" s="108" t="s">
        <v>4671</v>
      </c>
      <c r="E772" s="108" t="s">
        <v>4674</v>
      </c>
      <c r="F772" s="108" t="s">
        <v>4678</v>
      </c>
      <c r="G772" s="108">
        <v>1</v>
      </c>
      <c r="H772" s="71">
        <v>1</v>
      </c>
      <c r="I772" s="109">
        <f t="shared" si="59"/>
        <v>723.8</v>
      </c>
      <c r="J772" s="110">
        <f t="shared" si="56"/>
        <v>723.8</v>
      </c>
      <c r="K772" s="111">
        <f t="shared" si="57"/>
        <v>0</v>
      </c>
      <c r="L772" s="110">
        <f t="shared" si="58"/>
        <v>0</v>
      </c>
      <c r="M772" s="112"/>
    </row>
    <row r="773" spans="2:13" s="52" customFormat="1" ht="19.5" hidden="1" customHeight="1">
      <c r="B773" s="108">
        <v>8</v>
      </c>
      <c r="C773" s="139" t="s">
        <v>54</v>
      </c>
      <c r="D773" s="108" t="s">
        <v>2258</v>
      </c>
      <c r="E773" s="108" t="s">
        <v>2361</v>
      </c>
      <c r="F773" s="108" t="s">
        <v>2448</v>
      </c>
      <c r="G773" s="108">
        <v>5</v>
      </c>
      <c r="H773" s="71">
        <v>5</v>
      </c>
      <c r="I773" s="109">
        <f t="shared" si="59"/>
        <v>108.35000000000001</v>
      </c>
      <c r="J773" s="110">
        <f t="shared" si="56"/>
        <v>108.35000000000001</v>
      </c>
      <c r="K773" s="111">
        <f t="shared" si="57"/>
        <v>0</v>
      </c>
      <c r="L773" s="110">
        <f t="shared" si="58"/>
        <v>0</v>
      </c>
      <c r="M773" s="112"/>
    </row>
    <row r="774" spans="2:13" s="52" customFormat="1" ht="19.5" customHeight="1">
      <c r="B774" s="108">
        <v>8</v>
      </c>
      <c r="C774" s="139" t="s">
        <v>54</v>
      </c>
      <c r="D774" s="108" t="s">
        <v>2259</v>
      </c>
      <c r="E774" s="108" t="s">
        <v>2362</v>
      </c>
      <c r="F774" s="108" t="s">
        <v>2449</v>
      </c>
      <c r="G774" s="108">
        <v>19</v>
      </c>
      <c r="H774" s="71">
        <v>15</v>
      </c>
      <c r="I774" s="109">
        <f t="shared" si="59"/>
        <v>711.55000000000007</v>
      </c>
      <c r="J774" s="110">
        <f t="shared" si="56"/>
        <v>561.75</v>
      </c>
      <c r="K774" s="111">
        <f t="shared" si="57"/>
        <v>4</v>
      </c>
      <c r="L774" s="110">
        <f t="shared" si="58"/>
        <v>149.80000000000007</v>
      </c>
      <c r="M774" s="112"/>
    </row>
    <row r="775" spans="2:13" s="52" customFormat="1" ht="19.5" customHeight="1">
      <c r="B775" s="108">
        <v>8</v>
      </c>
      <c r="C775" s="139" t="s">
        <v>54</v>
      </c>
      <c r="D775" s="108" t="s">
        <v>2260</v>
      </c>
      <c r="E775" s="108" t="s">
        <v>2363</v>
      </c>
      <c r="F775" s="108" t="s">
        <v>2450</v>
      </c>
      <c r="G775" s="108">
        <v>39</v>
      </c>
      <c r="H775" s="71"/>
      <c r="I775" s="109">
        <f t="shared" si="59"/>
        <v>429.78</v>
      </c>
      <c r="J775" s="110">
        <f t="shared" si="56"/>
        <v>0</v>
      </c>
      <c r="K775" s="111">
        <f t="shared" si="57"/>
        <v>39</v>
      </c>
      <c r="L775" s="110">
        <f t="shared" si="58"/>
        <v>429.78</v>
      </c>
      <c r="M775" s="112"/>
    </row>
    <row r="776" spans="2:13" s="52" customFormat="1" ht="19.5" customHeight="1">
      <c r="B776" s="108">
        <v>8</v>
      </c>
      <c r="C776" s="139" t="s">
        <v>54</v>
      </c>
      <c r="D776" s="108" t="s">
        <v>2261</v>
      </c>
      <c r="E776" s="108" t="s">
        <v>2364</v>
      </c>
      <c r="F776" s="108" t="s">
        <v>1163</v>
      </c>
      <c r="G776" s="108">
        <v>17</v>
      </c>
      <c r="H776" s="71">
        <v>3</v>
      </c>
      <c r="I776" s="109">
        <f t="shared" si="59"/>
        <v>595</v>
      </c>
      <c r="J776" s="110">
        <f t="shared" si="56"/>
        <v>105</v>
      </c>
      <c r="K776" s="111">
        <f t="shared" si="57"/>
        <v>14</v>
      </c>
      <c r="L776" s="110">
        <f t="shared" si="58"/>
        <v>490</v>
      </c>
      <c r="M776" s="112"/>
    </row>
    <row r="777" spans="2:13" s="52" customFormat="1" ht="19.5" customHeight="1">
      <c r="B777" s="108">
        <v>8</v>
      </c>
      <c r="C777" s="139" t="s">
        <v>54</v>
      </c>
      <c r="D777" s="108" t="s">
        <v>2262</v>
      </c>
      <c r="E777" s="108" t="s">
        <v>2365</v>
      </c>
      <c r="F777" s="108" t="s">
        <v>1400</v>
      </c>
      <c r="G777" s="108">
        <v>3</v>
      </c>
      <c r="H777" s="71"/>
      <c r="I777" s="109">
        <f t="shared" si="59"/>
        <v>108</v>
      </c>
      <c r="J777" s="110">
        <f t="shared" si="56"/>
        <v>0</v>
      </c>
      <c r="K777" s="111">
        <f t="shared" si="57"/>
        <v>3</v>
      </c>
      <c r="L777" s="110">
        <f t="shared" si="58"/>
        <v>108</v>
      </c>
      <c r="M777" s="112"/>
    </row>
    <row r="778" spans="2:13" s="52" customFormat="1" ht="19.5" customHeight="1">
      <c r="B778" s="108">
        <v>8</v>
      </c>
      <c r="C778" s="139" t="s">
        <v>54</v>
      </c>
      <c r="D778" s="108" t="s">
        <v>2263</v>
      </c>
      <c r="E778" s="108" t="s">
        <v>2366</v>
      </c>
      <c r="F778" s="108" t="s">
        <v>1644</v>
      </c>
      <c r="G778" s="108">
        <v>35</v>
      </c>
      <c r="H778" s="71">
        <v>5</v>
      </c>
      <c r="I778" s="109">
        <f t="shared" si="59"/>
        <v>458.5</v>
      </c>
      <c r="J778" s="110">
        <f t="shared" si="56"/>
        <v>65.5</v>
      </c>
      <c r="K778" s="111">
        <f t="shared" si="57"/>
        <v>30</v>
      </c>
      <c r="L778" s="110">
        <f t="shared" si="58"/>
        <v>393</v>
      </c>
      <c r="M778" s="112"/>
    </row>
    <row r="779" spans="2:13" s="52" customFormat="1" ht="19.5" customHeight="1">
      <c r="B779" s="108">
        <v>8</v>
      </c>
      <c r="C779" s="139" t="s">
        <v>54</v>
      </c>
      <c r="D779" s="108" t="s">
        <v>2264</v>
      </c>
      <c r="E779" s="108" t="s">
        <v>2367</v>
      </c>
      <c r="F779" s="108" t="s">
        <v>1644</v>
      </c>
      <c r="G779" s="108">
        <v>32</v>
      </c>
      <c r="H779" s="71">
        <v>7</v>
      </c>
      <c r="I779" s="109">
        <f t="shared" si="59"/>
        <v>419.2</v>
      </c>
      <c r="J779" s="110">
        <f t="shared" si="56"/>
        <v>91.7</v>
      </c>
      <c r="K779" s="111">
        <f t="shared" si="57"/>
        <v>25</v>
      </c>
      <c r="L779" s="110">
        <f t="shared" si="58"/>
        <v>327.5</v>
      </c>
      <c r="M779" s="112"/>
    </row>
    <row r="780" spans="2:13" s="52" customFormat="1" ht="19.5" hidden="1" customHeight="1">
      <c r="B780" s="108">
        <v>8</v>
      </c>
      <c r="C780" s="139" t="s">
        <v>54</v>
      </c>
      <c r="D780" s="108" t="s">
        <v>2265</v>
      </c>
      <c r="E780" s="108" t="s">
        <v>2368</v>
      </c>
      <c r="F780" s="108" t="s">
        <v>2451</v>
      </c>
      <c r="G780" s="108">
        <v>3</v>
      </c>
      <c r="H780" s="71">
        <v>3</v>
      </c>
      <c r="I780" s="109">
        <f t="shared" si="59"/>
        <v>51.69</v>
      </c>
      <c r="J780" s="110">
        <f t="shared" si="56"/>
        <v>51.69</v>
      </c>
      <c r="K780" s="111">
        <f t="shared" si="57"/>
        <v>0</v>
      </c>
      <c r="L780" s="110">
        <f t="shared" si="58"/>
        <v>0</v>
      </c>
      <c r="M780" s="112"/>
    </row>
    <row r="781" spans="2:13" s="52" customFormat="1" ht="19.5" customHeight="1">
      <c r="B781" s="108">
        <v>8</v>
      </c>
      <c r="C781" s="139" t="s">
        <v>54</v>
      </c>
      <c r="D781" s="108" t="s">
        <v>2265</v>
      </c>
      <c r="E781" s="108" t="s">
        <v>2368</v>
      </c>
      <c r="F781" s="108" t="s">
        <v>2452</v>
      </c>
      <c r="G781" s="108">
        <v>6</v>
      </c>
      <c r="H781" s="71"/>
      <c r="I781" s="109">
        <f t="shared" si="59"/>
        <v>105.72</v>
      </c>
      <c r="J781" s="110">
        <f t="shared" si="56"/>
        <v>0</v>
      </c>
      <c r="K781" s="111">
        <f t="shared" si="57"/>
        <v>6</v>
      </c>
      <c r="L781" s="110">
        <f t="shared" si="58"/>
        <v>105.72</v>
      </c>
      <c r="M781" s="112"/>
    </row>
    <row r="782" spans="2:13" s="52" customFormat="1" ht="19.5" customHeight="1">
      <c r="B782" s="108">
        <v>8</v>
      </c>
      <c r="C782" s="139" t="s">
        <v>54</v>
      </c>
      <c r="D782" s="108" t="s">
        <v>2266</v>
      </c>
      <c r="E782" s="108" t="s">
        <v>2369</v>
      </c>
      <c r="F782" s="108" t="s">
        <v>2453</v>
      </c>
      <c r="G782" s="108">
        <v>19</v>
      </c>
      <c r="H782" s="71"/>
      <c r="I782" s="109">
        <f t="shared" si="59"/>
        <v>1278.5100000000002</v>
      </c>
      <c r="J782" s="110">
        <f t="shared" si="56"/>
        <v>0</v>
      </c>
      <c r="K782" s="111">
        <f t="shared" si="57"/>
        <v>19</v>
      </c>
      <c r="L782" s="110">
        <f t="shared" si="58"/>
        <v>1278.5100000000002</v>
      </c>
      <c r="M782" s="112"/>
    </row>
    <row r="783" spans="2:13" s="52" customFormat="1" ht="19.5" customHeight="1">
      <c r="B783" s="108">
        <v>8</v>
      </c>
      <c r="C783" s="139" t="s">
        <v>54</v>
      </c>
      <c r="D783" s="108" t="s">
        <v>2266</v>
      </c>
      <c r="E783" s="108" t="s">
        <v>2369</v>
      </c>
      <c r="F783" s="108" t="s">
        <v>2453</v>
      </c>
      <c r="G783" s="108">
        <v>48</v>
      </c>
      <c r="H783" s="71"/>
      <c r="I783" s="109">
        <f t="shared" si="59"/>
        <v>3229.92</v>
      </c>
      <c r="J783" s="110">
        <f t="shared" si="56"/>
        <v>0</v>
      </c>
      <c r="K783" s="111">
        <f t="shared" si="57"/>
        <v>48</v>
      </c>
      <c r="L783" s="110">
        <f t="shared" si="58"/>
        <v>3229.92</v>
      </c>
      <c r="M783" s="112"/>
    </row>
    <row r="784" spans="2:13" s="52" customFormat="1" ht="19.5" customHeight="1">
      <c r="B784" s="108">
        <v>8</v>
      </c>
      <c r="C784" s="139" t="s">
        <v>54</v>
      </c>
      <c r="D784" s="108" t="s">
        <v>2267</v>
      </c>
      <c r="E784" s="108" t="s">
        <v>2370</v>
      </c>
      <c r="F784" s="108" t="s">
        <v>2454</v>
      </c>
      <c r="G784" s="108">
        <v>25</v>
      </c>
      <c r="H784" s="71">
        <v>24</v>
      </c>
      <c r="I784" s="109">
        <f t="shared" si="59"/>
        <v>1612.2499999999998</v>
      </c>
      <c r="J784" s="110">
        <f t="shared" si="56"/>
        <v>1547.7599999999998</v>
      </c>
      <c r="K784" s="111">
        <f t="shared" si="57"/>
        <v>1</v>
      </c>
      <c r="L784" s="110">
        <f t="shared" si="58"/>
        <v>64.490000000000009</v>
      </c>
      <c r="M784" s="112"/>
    </row>
    <row r="785" spans="2:13" s="52" customFormat="1" ht="19.5" customHeight="1">
      <c r="B785" s="108">
        <v>8</v>
      </c>
      <c r="C785" s="139" t="s">
        <v>54</v>
      </c>
      <c r="D785" s="108" t="s">
        <v>2268</v>
      </c>
      <c r="E785" s="108" t="s">
        <v>2371</v>
      </c>
      <c r="F785" s="108" t="s">
        <v>2455</v>
      </c>
      <c r="G785" s="108">
        <v>16</v>
      </c>
      <c r="H785" s="71"/>
      <c r="I785" s="109">
        <f t="shared" si="59"/>
        <v>1460</v>
      </c>
      <c r="J785" s="110">
        <f t="shared" si="56"/>
        <v>0</v>
      </c>
      <c r="K785" s="111">
        <f t="shared" si="57"/>
        <v>16</v>
      </c>
      <c r="L785" s="110">
        <f t="shared" si="58"/>
        <v>1460</v>
      </c>
      <c r="M785" s="112"/>
    </row>
    <row r="786" spans="2:13" s="52" customFormat="1" ht="19.5" customHeight="1">
      <c r="B786" s="108">
        <v>8</v>
      </c>
      <c r="C786" s="139" t="s">
        <v>54</v>
      </c>
      <c r="D786" s="108" t="s">
        <v>2269</v>
      </c>
      <c r="E786" s="108" t="s">
        <v>2372</v>
      </c>
      <c r="F786" s="108" t="s">
        <v>2456</v>
      </c>
      <c r="G786" s="108">
        <v>22</v>
      </c>
      <c r="H786" s="71"/>
      <c r="I786" s="109">
        <f t="shared" si="59"/>
        <v>1468.5</v>
      </c>
      <c r="J786" s="110">
        <f t="shared" si="56"/>
        <v>0</v>
      </c>
      <c r="K786" s="111">
        <f t="shared" si="57"/>
        <v>22</v>
      </c>
      <c r="L786" s="110">
        <f t="shared" si="58"/>
        <v>1468.5</v>
      </c>
      <c r="M786" s="112"/>
    </row>
    <row r="787" spans="2:13" s="52" customFormat="1" ht="19.5" customHeight="1">
      <c r="B787" s="108">
        <v>8</v>
      </c>
      <c r="C787" s="139" t="s">
        <v>54</v>
      </c>
      <c r="D787" s="108" t="s">
        <v>2270</v>
      </c>
      <c r="E787" s="108" t="s">
        <v>2373</v>
      </c>
      <c r="F787" s="108" t="s">
        <v>2457</v>
      </c>
      <c r="G787" s="108">
        <v>17</v>
      </c>
      <c r="H787" s="71"/>
      <c r="I787" s="109">
        <f t="shared" si="59"/>
        <v>1334.5</v>
      </c>
      <c r="J787" s="110">
        <f t="shared" si="56"/>
        <v>0</v>
      </c>
      <c r="K787" s="111">
        <f t="shared" si="57"/>
        <v>17</v>
      </c>
      <c r="L787" s="110">
        <f t="shared" si="58"/>
        <v>1334.5</v>
      </c>
      <c r="M787" s="112"/>
    </row>
    <row r="788" spans="2:13" s="52" customFormat="1" ht="19.5" customHeight="1">
      <c r="B788" s="108">
        <v>8</v>
      </c>
      <c r="C788" s="139" t="s">
        <v>54</v>
      </c>
      <c r="D788" s="108" t="s">
        <v>2271</v>
      </c>
      <c r="E788" s="108" t="s">
        <v>2374</v>
      </c>
      <c r="F788" s="108" t="s">
        <v>2458</v>
      </c>
      <c r="G788" s="108">
        <v>1</v>
      </c>
      <c r="H788" s="71"/>
      <c r="I788" s="109">
        <f t="shared" si="59"/>
        <v>120</v>
      </c>
      <c r="J788" s="110">
        <f t="shared" si="56"/>
        <v>0</v>
      </c>
      <c r="K788" s="111">
        <f t="shared" si="57"/>
        <v>1</v>
      </c>
      <c r="L788" s="110">
        <f t="shared" si="58"/>
        <v>120</v>
      </c>
      <c r="M788" s="112"/>
    </row>
    <row r="789" spans="2:13" s="52" customFormat="1" ht="19.5" customHeight="1">
      <c r="B789" s="108">
        <v>8</v>
      </c>
      <c r="C789" s="139" t="s">
        <v>54</v>
      </c>
      <c r="D789" s="108" t="s">
        <v>2272</v>
      </c>
      <c r="E789" s="108" t="s">
        <v>2375</v>
      </c>
      <c r="F789" s="108" t="s">
        <v>2459</v>
      </c>
      <c r="G789" s="108">
        <v>2</v>
      </c>
      <c r="H789" s="71"/>
      <c r="I789" s="109">
        <f t="shared" si="59"/>
        <v>60.5</v>
      </c>
      <c r="J789" s="110">
        <f t="shared" si="56"/>
        <v>0</v>
      </c>
      <c r="K789" s="111">
        <f t="shared" si="57"/>
        <v>2</v>
      </c>
      <c r="L789" s="110">
        <f t="shared" si="58"/>
        <v>60.5</v>
      </c>
      <c r="M789" s="112"/>
    </row>
    <row r="790" spans="2:13" s="52" customFormat="1" ht="19.5" hidden="1" customHeight="1">
      <c r="B790" s="108">
        <v>8</v>
      </c>
      <c r="C790" s="139" t="s">
        <v>54</v>
      </c>
      <c r="D790" s="108" t="s">
        <v>2273</v>
      </c>
      <c r="E790" s="108" t="s">
        <v>2376</v>
      </c>
      <c r="F790" s="108" t="s">
        <v>2460</v>
      </c>
      <c r="G790" s="108">
        <v>10</v>
      </c>
      <c r="H790" s="71">
        <v>10</v>
      </c>
      <c r="I790" s="109">
        <f t="shared" si="59"/>
        <v>632</v>
      </c>
      <c r="J790" s="110">
        <f t="shared" si="56"/>
        <v>632</v>
      </c>
      <c r="K790" s="111">
        <f t="shared" si="57"/>
        <v>0</v>
      </c>
      <c r="L790" s="110">
        <f t="shared" si="58"/>
        <v>0</v>
      </c>
      <c r="M790" s="112"/>
    </row>
    <row r="791" spans="2:13" s="52" customFormat="1" ht="19.5" hidden="1" customHeight="1">
      <c r="B791" s="108">
        <v>8</v>
      </c>
      <c r="C791" s="139" t="s">
        <v>54</v>
      </c>
      <c r="D791" s="108" t="s">
        <v>2274</v>
      </c>
      <c r="E791" s="108" t="s">
        <v>2377</v>
      </c>
      <c r="F791" s="108" t="s">
        <v>1186</v>
      </c>
      <c r="G791" s="108">
        <v>12</v>
      </c>
      <c r="H791" s="71">
        <v>12</v>
      </c>
      <c r="I791" s="109">
        <f t="shared" si="59"/>
        <v>638.40000000000009</v>
      </c>
      <c r="J791" s="110">
        <f t="shared" si="56"/>
        <v>638.40000000000009</v>
      </c>
      <c r="K791" s="111">
        <f t="shared" si="57"/>
        <v>0</v>
      </c>
      <c r="L791" s="110">
        <f t="shared" si="58"/>
        <v>0</v>
      </c>
      <c r="M791" s="112"/>
    </row>
    <row r="792" spans="2:13" s="52" customFormat="1" ht="19.5" hidden="1" customHeight="1">
      <c r="B792" s="108">
        <v>8</v>
      </c>
      <c r="C792" s="139" t="s">
        <v>54</v>
      </c>
      <c r="D792" s="108" t="s">
        <v>2275</v>
      </c>
      <c r="E792" s="108" t="s">
        <v>2378</v>
      </c>
      <c r="F792" s="108" t="s">
        <v>2153</v>
      </c>
      <c r="G792" s="108">
        <v>13</v>
      </c>
      <c r="H792" s="71">
        <v>13</v>
      </c>
      <c r="I792" s="109">
        <f t="shared" si="59"/>
        <v>321.75</v>
      </c>
      <c r="J792" s="110">
        <f t="shared" ref="J792:J847" si="60">F792*H792</f>
        <v>321.75</v>
      </c>
      <c r="K792" s="111">
        <f t="shared" ref="K792:K847" si="61">G792-H792</f>
        <v>0</v>
      </c>
      <c r="L792" s="110">
        <f t="shared" ref="L792:L847" si="62">I792-J792</f>
        <v>0</v>
      </c>
      <c r="M792" s="112"/>
    </row>
    <row r="793" spans="2:13" s="52" customFormat="1" ht="19.5" customHeight="1">
      <c r="B793" s="108">
        <v>8</v>
      </c>
      <c r="C793" s="139" t="s">
        <v>54</v>
      </c>
      <c r="D793" s="108" t="s">
        <v>2276</v>
      </c>
      <c r="E793" s="108" t="s">
        <v>2379</v>
      </c>
      <c r="F793" s="108" t="s">
        <v>2117</v>
      </c>
      <c r="G793" s="108">
        <v>2</v>
      </c>
      <c r="H793" s="71"/>
      <c r="I793" s="109">
        <f t="shared" si="59"/>
        <v>399.9</v>
      </c>
      <c r="J793" s="110">
        <f t="shared" si="60"/>
        <v>0</v>
      </c>
      <c r="K793" s="111">
        <f t="shared" si="61"/>
        <v>2</v>
      </c>
      <c r="L793" s="110">
        <f t="shared" si="62"/>
        <v>399.9</v>
      </c>
      <c r="M793" s="112"/>
    </row>
    <row r="794" spans="2:13" s="52" customFormat="1" ht="19.5" customHeight="1">
      <c r="B794" s="108">
        <v>8</v>
      </c>
      <c r="C794" s="139" t="s">
        <v>54</v>
      </c>
      <c r="D794" s="108" t="s">
        <v>2277</v>
      </c>
      <c r="E794" s="108" t="s">
        <v>2380</v>
      </c>
      <c r="F794" s="108" t="s">
        <v>2461</v>
      </c>
      <c r="G794" s="108">
        <v>17</v>
      </c>
      <c r="H794" s="71"/>
      <c r="I794" s="109">
        <f t="shared" si="59"/>
        <v>174.25</v>
      </c>
      <c r="J794" s="110">
        <f t="shared" si="60"/>
        <v>0</v>
      </c>
      <c r="K794" s="111">
        <f t="shared" si="61"/>
        <v>17</v>
      </c>
      <c r="L794" s="110">
        <f t="shared" si="62"/>
        <v>174.25</v>
      </c>
      <c r="M794" s="112"/>
    </row>
    <row r="795" spans="2:13" s="52" customFormat="1" ht="19.5" customHeight="1">
      <c r="B795" s="108">
        <v>8</v>
      </c>
      <c r="C795" s="139" t="s">
        <v>54</v>
      </c>
      <c r="D795" s="108" t="s">
        <v>2278</v>
      </c>
      <c r="E795" s="108" t="s">
        <v>2381</v>
      </c>
      <c r="F795" s="108" t="s">
        <v>841</v>
      </c>
      <c r="G795" s="108">
        <v>8</v>
      </c>
      <c r="H795" s="71"/>
      <c r="I795" s="109">
        <f t="shared" si="59"/>
        <v>544</v>
      </c>
      <c r="J795" s="110">
        <f t="shared" si="60"/>
        <v>0</v>
      </c>
      <c r="K795" s="111">
        <f t="shared" si="61"/>
        <v>8</v>
      </c>
      <c r="L795" s="110">
        <f t="shared" si="62"/>
        <v>544</v>
      </c>
      <c r="M795" s="112"/>
    </row>
    <row r="796" spans="2:13" s="52" customFormat="1" ht="19.5" customHeight="1">
      <c r="B796" s="108">
        <v>8</v>
      </c>
      <c r="C796" s="139" t="s">
        <v>54</v>
      </c>
      <c r="D796" s="108" t="s">
        <v>2279</v>
      </c>
      <c r="E796" s="108" t="s">
        <v>2382</v>
      </c>
      <c r="F796" s="108" t="s">
        <v>2462</v>
      </c>
      <c r="G796" s="108">
        <v>5</v>
      </c>
      <c r="H796" s="71"/>
      <c r="I796" s="109">
        <f t="shared" si="59"/>
        <v>87.5</v>
      </c>
      <c r="J796" s="110">
        <f t="shared" si="60"/>
        <v>0</v>
      </c>
      <c r="K796" s="111">
        <f t="shared" si="61"/>
        <v>5</v>
      </c>
      <c r="L796" s="110">
        <f t="shared" si="62"/>
        <v>87.5</v>
      </c>
      <c r="M796" s="112"/>
    </row>
    <row r="797" spans="2:13" s="52" customFormat="1" ht="19.5" customHeight="1">
      <c r="B797" s="108">
        <v>8</v>
      </c>
      <c r="C797" s="139" t="s">
        <v>54</v>
      </c>
      <c r="D797" s="108" t="s">
        <v>2280</v>
      </c>
      <c r="E797" s="108" t="s">
        <v>2383</v>
      </c>
      <c r="F797" s="108" t="s">
        <v>2151</v>
      </c>
      <c r="G797" s="108">
        <v>21</v>
      </c>
      <c r="H797" s="71">
        <v>1</v>
      </c>
      <c r="I797" s="109">
        <f t="shared" si="59"/>
        <v>546</v>
      </c>
      <c r="J797" s="110">
        <f t="shared" si="60"/>
        <v>26</v>
      </c>
      <c r="K797" s="111">
        <f t="shared" si="61"/>
        <v>20</v>
      </c>
      <c r="L797" s="110">
        <f t="shared" si="62"/>
        <v>520</v>
      </c>
      <c r="M797" s="112"/>
    </row>
    <row r="798" spans="2:13" s="52" customFormat="1" ht="19.5" customHeight="1">
      <c r="B798" s="108">
        <v>8</v>
      </c>
      <c r="C798" s="139" t="s">
        <v>54</v>
      </c>
      <c r="D798" s="108" t="s">
        <v>2281</v>
      </c>
      <c r="E798" s="108" t="s">
        <v>2384</v>
      </c>
      <c r="F798" s="108" t="s">
        <v>2463</v>
      </c>
      <c r="G798" s="108">
        <v>6</v>
      </c>
      <c r="H798" s="71">
        <v>5</v>
      </c>
      <c r="I798" s="109">
        <f t="shared" si="59"/>
        <v>811.5</v>
      </c>
      <c r="J798" s="110">
        <f t="shared" si="60"/>
        <v>676.25</v>
      </c>
      <c r="K798" s="111">
        <f t="shared" si="61"/>
        <v>1</v>
      </c>
      <c r="L798" s="110">
        <f t="shared" si="62"/>
        <v>135.25</v>
      </c>
      <c r="M798" s="112"/>
    </row>
    <row r="799" spans="2:13" s="52" customFormat="1" ht="19.5" customHeight="1">
      <c r="B799" s="108">
        <v>8</v>
      </c>
      <c r="C799" s="139" t="s">
        <v>54</v>
      </c>
      <c r="D799" s="108" t="s">
        <v>2282</v>
      </c>
      <c r="E799" s="108" t="s">
        <v>2385</v>
      </c>
      <c r="F799" s="108" t="s">
        <v>2464</v>
      </c>
      <c r="G799" s="108">
        <v>14</v>
      </c>
      <c r="H799" s="71"/>
      <c r="I799" s="109">
        <f t="shared" si="59"/>
        <v>441</v>
      </c>
      <c r="J799" s="110">
        <f t="shared" si="60"/>
        <v>0</v>
      </c>
      <c r="K799" s="111">
        <f t="shared" si="61"/>
        <v>14</v>
      </c>
      <c r="L799" s="110">
        <f t="shared" si="62"/>
        <v>441</v>
      </c>
      <c r="M799" s="112"/>
    </row>
    <row r="800" spans="2:13" s="52" customFormat="1" ht="19.5" customHeight="1">
      <c r="B800" s="108">
        <v>8</v>
      </c>
      <c r="C800" s="139" t="s">
        <v>54</v>
      </c>
      <c r="D800" s="108" t="s">
        <v>2282</v>
      </c>
      <c r="E800" s="108" t="s">
        <v>2385</v>
      </c>
      <c r="F800" s="108" t="s">
        <v>2464</v>
      </c>
      <c r="G800" s="108">
        <v>17</v>
      </c>
      <c r="H800" s="71"/>
      <c r="I800" s="109">
        <f t="shared" si="59"/>
        <v>535.5</v>
      </c>
      <c r="J800" s="110">
        <f t="shared" si="60"/>
        <v>0</v>
      </c>
      <c r="K800" s="111">
        <f t="shared" si="61"/>
        <v>17</v>
      </c>
      <c r="L800" s="110">
        <f t="shared" si="62"/>
        <v>535.5</v>
      </c>
      <c r="M800" s="112"/>
    </row>
    <row r="801" spans="2:13" s="52" customFormat="1" ht="19.5" customHeight="1">
      <c r="B801" s="108">
        <v>8</v>
      </c>
      <c r="C801" s="139" t="s">
        <v>54</v>
      </c>
      <c r="D801" s="108" t="s">
        <v>2283</v>
      </c>
      <c r="E801" s="108" t="s">
        <v>2386</v>
      </c>
      <c r="F801" s="108" t="s">
        <v>840</v>
      </c>
      <c r="G801" s="108">
        <v>24</v>
      </c>
      <c r="H801" s="71"/>
      <c r="I801" s="109">
        <f t="shared" si="59"/>
        <v>1464</v>
      </c>
      <c r="J801" s="110">
        <f t="shared" si="60"/>
        <v>0</v>
      </c>
      <c r="K801" s="111">
        <f t="shared" si="61"/>
        <v>24</v>
      </c>
      <c r="L801" s="110">
        <f t="shared" si="62"/>
        <v>1464</v>
      </c>
      <c r="M801" s="112"/>
    </row>
    <row r="802" spans="2:13" s="52" customFormat="1" ht="19.5" customHeight="1">
      <c r="B802" s="108">
        <v>8</v>
      </c>
      <c r="C802" s="139" t="s">
        <v>54</v>
      </c>
      <c r="D802" s="108" t="s">
        <v>2284</v>
      </c>
      <c r="E802" s="108" t="s">
        <v>2387</v>
      </c>
      <c r="F802" s="108" t="s">
        <v>2465</v>
      </c>
      <c r="G802" s="108">
        <v>8</v>
      </c>
      <c r="H802" s="71"/>
      <c r="I802" s="109">
        <f t="shared" si="59"/>
        <v>167.04</v>
      </c>
      <c r="J802" s="110">
        <f t="shared" si="60"/>
        <v>0</v>
      </c>
      <c r="K802" s="111">
        <f t="shared" si="61"/>
        <v>8</v>
      </c>
      <c r="L802" s="110">
        <f t="shared" si="62"/>
        <v>167.04</v>
      </c>
      <c r="M802" s="112"/>
    </row>
    <row r="803" spans="2:13" s="52" customFormat="1" ht="19.5" hidden="1" customHeight="1">
      <c r="B803" s="108">
        <v>8</v>
      </c>
      <c r="C803" s="139" t="s">
        <v>54</v>
      </c>
      <c r="D803" s="108" t="s">
        <v>2285</v>
      </c>
      <c r="E803" s="108" t="s">
        <v>2388</v>
      </c>
      <c r="F803" s="108" t="s">
        <v>2466</v>
      </c>
      <c r="G803" s="108">
        <v>31</v>
      </c>
      <c r="H803" s="71">
        <v>33</v>
      </c>
      <c r="I803" s="109">
        <f t="shared" si="59"/>
        <v>554.9</v>
      </c>
      <c r="J803" s="110">
        <f t="shared" si="60"/>
        <v>590.69999999999993</v>
      </c>
      <c r="K803" s="111">
        <f t="shared" si="61"/>
        <v>-2</v>
      </c>
      <c r="L803" s="110">
        <f t="shared" si="62"/>
        <v>-35.799999999999955</v>
      </c>
      <c r="M803" s="112"/>
    </row>
    <row r="804" spans="2:13" s="52" customFormat="1" ht="19.5" customHeight="1">
      <c r="B804" s="108">
        <v>8</v>
      </c>
      <c r="C804" s="139" t="s">
        <v>54</v>
      </c>
      <c r="D804" s="108" t="s">
        <v>2286</v>
      </c>
      <c r="E804" s="108" t="s">
        <v>2389</v>
      </c>
      <c r="F804" s="108" t="s">
        <v>2467</v>
      </c>
      <c r="G804" s="108">
        <v>4</v>
      </c>
      <c r="H804" s="71"/>
      <c r="I804" s="109">
        <f t="shared" si="59"/>
        <v>12200</v>
      </c>
      <c r="J804" s="110">
        <f t="shared" si="60"/>
        <v>0</v>
      </c>
      <c r="K804" s="111">
        <f t="shared" si="61"/>
        <v>4</v>
      </c>
      <c r="L804" s="110">
        <f t="shared" si="62"/>
        <v>12200</v>
      </c>
      <c r="M804" s="112"/>
    </row>
    <row r="805" spans="2:13" s="52" customFormat="1" ht="19.5" hidden="1" customHeight="1">
      <c r="B805" s="108">
        <v>9</v>
      </c>
      <c r="C805" s="139" t="s">
        <v>55</v>
      </c>
      <c r="D805" s="108" t="s">
        <v>2468</v>
      </c>
      <c r="E805" s="108" t="s">
        <v>2764</v>
      </c>
      <c r="F805" s="108" t="s">
        <v>1205</v>
      </c>
      <c r="G805" s="108">
        <v>32</v>
      </c>
      <c r="H805" s="71">
        <v>32</v>
      </c>
      <c r="I805" s="109">
        <f t="shared" si="59"/>
        <v>2400</v>
      </c>
      <c r="J805" s="110">
        <f t="shared" si="60"/>
        <v>2400</v>
      </c>
      <c r="K805" s="111">
        <f t="shared" si="61"/>
        <v>0</v>
      </c>
      <c r="L805" s="110">
        <f t="shared" si="62"/>
        <v>0</v>
      </c>
      <c r="M805" s="112"/>
    </row>
    <row r="806" spans="2:13" s="52" customFormat="1" ht="19.5" customHeight="1">
      <c r="B806" s="108">
        <v>9</v>
      </c>
      <c r="C806" s="139" t="s">
        <v>55</v>
      </c>
      <c r="D806" s="108" t="s">
        <v>2469</v>
      </c>
      <c r="E806" s="108" t="s">
        <v>2765</v>
      </c>
      <c r="F806" s="108" t="s">
        <v>3061</v>
      </c>
      <c r="G806" s="108">
        <v>9</v>
      </c>
      <c r="H806" s="71"/>
      <c r="I806" s="109">
        <f t="shared" si="59"/>
        <v>792</v>
      </c>
      <c r="J806" s="110">
        <f t="shared" si="60"/>
        <v>0</v>
      </c>
      <c r="K806" s="111">
        <f t="shared" si="61"/>
        <v>9</v>
      </c>
      <c r="L806" s="110">
        <f t="shared" si="62"/>
        <v>792</v>
      </c>
      <c r="M806" s="112"/>
    </row>
    <row r="807" spans="2:13" s="52" customFormat="1" ht="19.5" customHeight="1">
      <c r="B807" s="108">
        <v>9</v>
      </c>
      <c r="C807" s="139" t="s">
        <v>55</v>
      </c>
      <c r="D807" s="108" t="s">
        <v>2470</v>
      </c>
      <c r="E807" s="108" t="s">
        <v>2766</v>
      </c>
      <c r="F807" s="108" t="s">
        <v>3062</v>
      </c>
      <c r="G807" s="108">
        <v>4</v>
      </c>
      <c r="H807" s="71"/>
      <c r="I807" s="109">
        <f t="shared" si="59"/>
        <v>19.84</v>
      </c>
      <c r="J807" s="110">
        <f t="shared" si="60"/>
        <v>0</v>
      </c>
      <c r="K807" s="111">
        <f t="shared" si="61"/>
        <v>4</v>
      </c>
      <c r="L807" s="110">
        <f t="shared" si="62"/>
        <v>19.84</v>
      </c>
      <c r="M807" s="112"/>
    </row>
    <row r="808" spans="2:13" s="52" customFormat="1" ht="19.5" hidden="1" customHeight="1">
      <c r="B808" s="108">
        <v>9</v>
      </c>
      <c r="C808" s="139" t="s">
        <v>55</v>
      </c>
      <c r="D808" s="108" t="s">
        <v>2471</v>
      </c>
      <c r="E808" s="108" t="s">
        <v>2767</v>
      </c>
      <c r="F808" s="108" t="s">
        <v>3063</v>
      </c>
      <c r="G808" s="108">
        <v>6</v>
      </c>
      <c r="H808" s="71">
        <v>6</v>
      </c>
      <c r="I808" s="109">
        <f t="shared" si="59"/>
        <v>324</v>
      </c>
      <c r="J808" s="110">
        <f t="shared" si="60"/>
        <v>324</v>
      </c>
      <c r="K808" s="111">
        <f t="shared" si="61"/>
        <v>0</v>
      </c>
      <c r="L808" s="110">
        <f t="shared" si="62"/>
        <v>0</v>
      </c>
      <c r="M808" s="112"/>
    </row>
    <row r="809" spans="2:13" s="52" customFormat="1" ht="19.5" customHeight="1">
      <c r="B809" s="108">
        <v>9</v>
      </c>
      <c r="C809" s="139" t="s">
        <v>55</v>
      </c>
      <c r="D809" s="108" t="s">
        <v>2472</v>
      </c>
      <c r="E809" s="108" t="s">
        <v>2768</v>
      </c>
      <c r="F809" s="108" t="s">
        <v>3063</v>
      </c>
      <c r="G809" s="108">
        <v>7</v>
      </c>
      <c r="H809" s="71">
        <v>5</v>
      </c>
      <c r="I809" s="109">
        <f t="shared" si="59"/>
        <v>378</v>
      </c>
      <c r="J809" s="110">
        <f t="shared" si="60"/>
        <v>270</v>
      </c>
      <c r="K809" s="111">
        <f t="shared" si="61"/>
        <v>2</v>
      </c>
      <c r="L809" s="110">
        <f t="shared" si="62"/>
        <v>108</v>
      </c>
      <c r="M809" s="112"/>
    </row>
    <row r="810" spans="2:13" s="52" customFormat="1" ht="19.5" customHeight="1">
      <c r="B810" s="108">
        <v>9</v>
      </c>
      <c r="C810" s="139" t="s">
        <v>55</v>
      </c>
      <c r="D810" s="108" t="s">
        <v>2473</v>
      </c>
      <c r="E810" s="108" t="s">
        <v>2769</v>
      </c>
      <c r="F810" s="108" t="s">
        <v>3063</v>
      </c>
      <c r="G810" s="108">
        <v>8</v>
      </c>
      <c r="H810" s="71">
        <v>6</v>
      </c>
      <c r="I810" s="109">
        <f t="shared" si="59"/>
        <v>432</v>
      </c>
      <c r="J810" s="110">
        <f t="shared" si="60"/>
        <v>324</v>
      </c>
      <c r="K810" s="111">
        <f t="shared" si="61"/>
        <v>2</v>
      </c>
      <c r="L810" s="110">
        <f t="shared" si="62"/>
        <v>108</v>
      </c>
      <c r="M810" s="112"/>
    </row>
    <row r="811" spans="2:13" s="52" customFormat="1" ht="19.5" customHeight="1">
      <c r="B811" s="108">
        <v>9</v>
      </c>
      <c r="C811" s="139" t="s">
        <v>55</v>
      </c>
      <c r="D811" s="108" t="s">
        <v>2474</v>
      </c>
      <c r="E811" s="108" t="s">
        <v>2770</v>
      </c>
      <c r="F811" s="108" t="s">
        <v>3063</v>
      </c>
      <c r="G811" s="108">
        <v>8</v>
      </c>
      <c r="H811" s="71">
        <v>6</v>
      </c>
      <c r="I811" s="109">
        <f t="shared" si="59"/>
        <v>432</v>
      </c>
      <c r="J811" s="110">
        <f t="shared" si="60"/>
        <v>324</v>
      </c>
      <c r="K811" s="111">
        <f t="shared" si="61"/>
        <v>2</v>
      </c>
      <c r="L811" s="110">
        <f t="shared" si="62"/>
        <v>108</v>
      </c>
      <c r="M811" s="112"/>
    </row>
    <row r="812" spans="2:13" s="52" customFormat="1" ht="19.5" customHeight="1">
      <c r="B812" s="108">
        <v>9</v>
      </c>
      <c r="C812" s="139" t="s">
        <v>55</v>
      </c>
      <c r="D812" s="108" t="s">
        <v>2475</v>
      </c>
      <c r="E812" s="108" t="s">
        <v>2771</v>
      </c>
      <c r="F812" s="108" t="s">
        <v>3064</v>
      </c>
      <c r="G812" s="108">
        <v>2</v>
      </c>
      <c r="H812" s="71"/>
      <c r="I812" s="109">
        <f t="shared" si="59"/>
        <v>54</v>
      </c>
      <c r="J812" s="110">
        <f t="shared" si="60"/>
        <v>0</v>
      </c>
      <c r="K812" s="111">
        <f t="shared" si="61"/>
        <v>2</v>
      </c>
      <c r="L812" s="110">
        <f t="shared" si="62"/>
        <v>54</v>
      </c>
      <c r="M812" s="112"/>
    </row>
    <row r="813" spans="2:13" s="52" customFormat="1" ht="19.5" hidden="1" customHeight="1">
      <c r="B813" s="108">
        <v>9</v>
      </c>
      <c r="C813" s="139" t="s">
        <v>55</v>
      </c>
      <c r="D813" s="108" t="s">
        <v>2476</v>
      </c>
      <c r="E813" s="108" t="s">
        <v>2772</v>
      </c>
      <c r="F813" s="108" t="s">
        <v>1436</v>
      </c>
      <c r="G813" s="108">
        <v>6</v>
      </c>
      <c r="H813" s="71">
        <v>6</v>
      </c>
      <c r="I813" s="109">
        <f t="shared" si="59"/>
        <v>222</v>
      </c>
      <c r="J813" s="110">
        <f t="shared" si="60"/>
        <v>222</v>
      </c>
      <c r="K813" s="111">
        <f t="shared" si="61"/>
        <v>0</v>
      </c>
      <c r="L813" s="110">
        <f t="shared" si="62"/>
        <v>0</v>
      </c>
      <c r="M813" s="112"/>
    </row>
    <row r="814" spans="2:13" s="52" customFormat="1" ht="19.5" customHeight="1">
      <c r="B814" s="108">
        <v>9</v>
      </c>
      <c r="C814" s="139" t="s">
        <v>55</v>
      </c>
      <c r="D814" s="108" t="s">
        <v>2477</v>
      </c>
      <c r="E814" s="108" t="s">
        <v>2773</v>
      </c>
      <c r="F814" s="108" t="s">
        <v>3063</v>
      </c>
      <c r="G814" s="108">
        <v>8</v>
      </c>
      <c r="H814" s="71">
        <v>6</v>
      </c>
      <c r="I814" s="109">
        <f t="shared" si="59"/>
        <v>432</v>
      </c>
      <c r="J814" s="110">
        <f t="shared" si="60"/>
        <v>324</v>
      </c>
      <c r="K814" s="111">
        <f t="shared" si="61"/>
        <v>2</v>
      </c>
      <c r="L814" s="110">
        <f t="shared" si="62"/>
        <v>108</v>
      </c>
      <c r="M814" s="112"/>
    </row>
    <row r="815" spans="2:13" s="52" customFormat="1" ht="19.5" hidden="1" customHeight="1">
      <c r="B815" s="108">
        <v>9</v>
      </c>
      <c r="C815" s="139" t="s">
        <v>55</v>
      </c>
      <c r="D815" s="108" t="s">
        <v>2478</v>
      </c>
      <c r="E815" s="108" t="s">
        <v>2774</v>
      </c>
      <c r="F815" s="108" t="s">
        <v>1436</v>
      </c>
      <c r="G815" s="108">
        <v>5</v>
      </c>
      <c r="H815" s="71">
        <v>5</v>
      </c>
      <c r="I815" s="109">
        <f t="shared" si="59"/>
        <v>185</v>
      </c>
      <c r="J815" s="110">
        <f t="shared" si="60"/>
        <v>185</v>
      </c>
      <c r="K815" s="111">
        <f t="shared" si="61"/>
        <v>0</v>
      </c>
      <c r="L815" s="110">
        <f t="shared" si="62"/>
        <v>0</v>
      </c>
      <c r="M815" s="112"/>
    </row>
    <row r="816" spans="2:13" s="52" customFormat="1" ht="19.5" hidden="1" customHeight="1">
      <c r="B816" s="108">
        <v>9</v>
      </c>
      <c r="C816" s="139" t="s">
        <v>55</v>
      </c>
      <c r="D816" s="108" t="s">
        <v>2479</v>
      </c>
      <c r="E816" s="108" t="s">
        <v>2775</v>
      </c>
      <c r="F816" s="108" t="s">
        <v>1436</v>
      </c>
      <c r="G816" s="108">
        <v>6</v>
      </c>
      <c r="H816" s="71">
        <v>6</v>
      </c>
      <c r="I816" s="109">
        <f t="shared" si="59"/>
        <v>222</v>
      </c>
      <c r="J816" s="110">
        <f t="shared" si="60"/>
        <v>222</v>
      </c>
      <c r="K816" s="111">
        <f t="shared" si="61"/>
        <v>0</v>
      </c>
      <c r="L816" s="110">
        <f t="shared" si="62"/>
        <v>0</v>
      </c>
      <c r="M816" s="112"/>
    </row>
    <row r="817" spans="2:13" s="52" customFormat="1" ht="19.5" hidden="1" customHeight="1">
      <c r="B817" s="108">
        <v>9</v>
      </c>
      <c r="C817" s="139" t="s">
        <v>55</v>
      </c>
      <c r="D817" s="108" t="s">
        <v>2480</v>
      </c>
      <c r="E817" s="108" t="s">
        <v>2776</v>
      </c>
      <c r="F817" s="108" t="s">
        <v>1436</v>
      </c>
      <c r="G817" s="108">
        <v>5</v>
      </c>
      <c r="H817" s="71">
        <v>5</v>
      </c>
      <c r="I817" s="109">
        <f t="shared" si="59"/>
        <v>185</v>
      </c>
      <c r="J817" s="110">
        <f t="shared" si="60"/>
        <v>185</v>
      </c>
      <c r="K817" s="111">
        <f t="shared" si="61"/>
        <v>0</v>
      </c>
      <c r="L817" s="110">
        <f t="shared" si="62"/>
        <v>0</v>
      </c>
      <c r="M817" s="112"/>
    </row>
    <row r="818" spans="2:13" s="52" customFormat="1" ht="19.5" hidden="1" customHeight="1">
      <c r="B818" s="108">
        <v>9</v>
      </c>
      <c r="C818" s="139" t="s">
        <v>55</v>
      </c>
      <c r="D818" s="108" t="s">
        <v>2481</v>
      </c>
      <c r="E818" s="108" t="s">
        <v>2777</v>
      </c>
      <c r="F818" s="108" t="s">
        <v>1436</v>
      </c>
      <c r="G818" s="108">
        <v>6</v>
      </c>
      <c r="H818" s="71">
        <v>6</v>
      </c>
      <c r="I818" s="109">
        <f t="shared" si="59"/>
        <v>222</v>
      </c>
      <c r="J818" s="110">
        <f t="shared" si="60"/>
        <v>222</v>
      </c>
      <c r="K818" s="111">
        <f t="shared" si="61"/>
        <v>0</v>
      </c>
      <c r="L818" s="110">
        <f t="shared" si="62"/>
        <v>0</v>
      </c>
      <c r="M818" s="112"/>
    </row>
    <row r="819" spans="2:13" s="52" customFormat="1" ht="19.5" customHeight="1">
      <c r="B819" s="108">
        <v>9</v>
      </c>
      <c r="C819" s="139" t="s">
        <v>55</v>
      </c>
      <c r="D819" s="108" t="s">
        <v>2482</v>
      </c>
      <c r="E819" s="108" t="s">
        <v>2778</v>
      </c>
      <c r="F819" s="108" t="s">
        <v>3065</v>
      </c>
      <c r="G819" s="108">
        <v>3</v>
      </c>
      <c r="H819" s="71"/>
      <c r="I819" s="109">
        <f t="shared" si="59"/>
        <v>345</v>
      </c>
      <c r="J819" s="110">
        <f t="shared" si="60"/>
        <v>0</v>
      </c>
      <c r="K819" s="111">
        <f t="shared" si="61"/>
        <v>3</v>
      </c>
      <c r="L819" s="110">
        <f t="shared" si="62"/>
        <v>345</v>
      </c>
      <c r="M819" s="112"/>
    </row>
    <row r="820" spans="2:13" s="52" customFormat="1" ht="19.5" hidden="1" customHeight="1">
      <c r="B820" s="108">
        <v>9</v>
      </c>
      <c r="C820" s="139" t="s">
        <v>55</v>
      </c>
      <c r="D820" s="108" t="s">
        <v>2483</v>
      </c>
      <c r="E820" s="108" t="s">
        <v>2779</v>
      </c>
      <c r="F820" s="108" t="s">
        <v>3061</v>
      </c>
      <c r="G820" s="108">
        <v>5</v>
      </c>
      <c r="H820" s="71">
        <v>5</v>
      </c>
      <c r="I820" s="109">
        <f t="shared" si="59"/>
        <v>440</v>
      </c>
      <c r="J820" s="110">
        <f t="shared" si="60"/>
        <v>440</v>
      </c>
      <c r="K820" s="111">
        <f t="shared" si="61"/>
        <v>0</v>
      </c>
      <c r="L820" s="110">
        <f t="shared" si="62"/>
        <v>0</v>
      </c>
      <c r="M820" s="112"/>
    </row>
    <row r="821" spans="2:13" s="52" customFormat="1" ht="19.5" hidden="1" customHeight="1">
      <c r="B821" s="108">
        <v>9</v>
      </c>
      <c r="C821" s="139" t="s">
        <v>55</v>
      </c>
      <c r="D821" s="108" t="s">
        <v>2484</v>
      </c>
      <c r="E821" s="108" t="s">
        <v>2780</v>
      </c>
      <c r="F821" s="108" t="s">
        <v>1205</v>
      </c>
      <c r="G821" s="108">
        <v>5</v>
      </c>
      <c r="H821" s="71">
        <v>5</v>
      </c>
      <c r="I821" s="109">
        <f t="shared" si="59"/>
        <v>375</v>
      </c>
      <c r="J821" s="110">
        <f t="shared" si="60"/>
        <v>375</v>
      </c>
      <c r="K821" s="111">
        <f t="shared" si="61"/>
        <v>0</v>
      </c>
      <c r="L821" s="110">
        <f t="shared" si="62"/>
        <v>0</v>
      </c>
      <c r="M821" s="112"/>
    </row>
    <row r="822" spans="2:13" s="52" customFormat="1" ht="19.5" hidden="1" customHeight="1">
      <c r="B822" s="108">
        <v>9</v>
      </c>
      <c r="C822" s="139" t="s">
        <v>55</v>
      </c>
      <c r="D822" s="108" t="s">
        <v>2485</v>
      </c>
      <c r="E822" s="108" t="s">
        <v>2781</v>
      </c>
      <c r="F822" s="108" t="s">
        <v>3066</v>
      </c>
      <c r="G822" s="108">
        <v>5</v>
      </c>
      <c r="H822" s="71">
        <v>5</v>
      </c>
      <c r="I822" s="109">
        <f t="shared" si="59"/>
        <v>183.70000000000002</v>
      </c>
      <c r="J822" s="110">
        <f t="shared" si="60"/>
        <v>183.70000000000002</v>
      </c>
      <c r="K822" s="111">
        <f t="shared" si="61"/>
        <v>0</v>
      </c>
      <c r="L822" s="110">
        <f t="shared" si="62"/>
        <v>0</v>
      </c>
      <c r="M822" s="112"/>
    </row>
    <row r="823" spans="2:13" s="52" customFormat="1" ht="19.5" customHeight="1">
      <c r="B823" s="108">
        <v>9</v>
      </c>
      <c r="C823" s="139" t="s">
        <v>55</v>
      </c>
      <c r="D823" s="108" t="s">
        <v>2486</v>
      </c>
      <c r="E823" s="108" t="s">
        <v>2782</v>
      </c>
      <c r="F823" s="108" t="s">
        <v>1409</v>
      </c>
      <c r="G823" s="108">
        <v>10</v>
      </c>
      <c r="H823" s="71">
        <f>4+1</f>
        <v>5</v>
      </c>
      <c r="I823" s="109">
        <f t="shared" si="59"/>
        <v>380</v>
      </c>
      <c r="J823" s="110">
        <f t="shared" si="60"/>
        <v>190</v>
      </c>
      <c r="K823" s="111">
        <f t="shared" si="61"/>
        <v>5</v>
      </c>
      <c r="L823" s="110">
        <f t="shared" si="62"/>
        <v>190</v>
      </c>
      <c r="M823" s="112"/>
    </row>
    <row r="824" spans="2:13" s="52" customFormat="1" ht="19.5" customHeight="1">
      <c r="B824" s="108">
        <v>9</v>
      </c>
      <c r="C824" s="139" t="s">
        <v>55</v>
      </c>
      <c r="D824" s="108" t="s">
        <v>2487</v>
      </c>
      <c r="E824" s="108" t="s">
        <v>2783</v>
      </c>
      <c r="F824" s="108" t="s">
        <v>1409</v>
      </c>
      <c r="G824" s="108">
        <v>6</v>
      </c>
      <c r="H824" s="71">
        <f>4+1</f>
        <v>5</v>
      </c>
      <c r="I824" s="109">
        <f t="shared" si="59"/>
        <v>228</v>
      </c>
      <c r="J824" s="110">
        <f t="shared" si="60"/>
        <v>190</v>
      </c>
      <c r="K824" s="111">
        <f t="shared" si="61"/>
        <v>1</v>
      </c>
      <c r="L824" s="110">
        <f t="shared" si="62"/>
        <v>38</v>
      </c>
      <c r="M824" s="112"/>
    </row>
    <row r="825" spans="2:13" s="52" customFormat="1" ht="19.5" hidden="1" customHeight="1">
      <c r="B825" s="108">
        <v>9</v>
      </c>
      <c r="C825" s="139" t="s">
        <v>55</v>
      </c>
      <c r="D825" s="108" t="s">
        <v>2488</v>
      </c>
      <c r="E825" s="108" t="s">
        <v>2784</v>
      </c>
      <c r="F825" s="108" t="s">
        <v>3067</v>
      </c>
      <c r="G825" s="108">
        <v>3</v>
      </c>
      <c r="H825" s="71">
        <v>3</v>
      </c>
      <c r="I825" s="109">
        <f t="shared" si="59"/>
        <v>205.92000000000002</v>
      </c>
      <c r="J825" s="110">
        <f t="shared" si="60"/>
        <v>205.92000000000002</v>
      </c>
      <c r="K825" s="111">
        <f t="shared" si="61"/>
        <v>0</v>
      </c>
      <c r="L825" s="110">
        <f t="shared" si="62"/>
        <v>0</v>
      </c>
      <c r="M825" s="112"/>
    </row>
    <row r="826" spans="2:13" s="52" customFormat="1" ht="19.5" hidden="1" customHeight="1">
      <c r="B826" s="108">
        <v>9</v>
      </c>
      <c r="C826" s="139" t="s">
        <v>55</v>
      </c>
      <c r="D826" s="108" t="s">
        <v>2489</v>
      </c>
      <c r="E826" s="108" t="s">
        <v>2785</v>
      </c>
      <c r="F826" s="108" t="s">
        <v>3068</v>
      </c>
      <c r="G826" s="108">
        <v>2</v>
      </c>
      <c r="H826" s="71">
        <v>2</v>
      </c>
      <c r="I826" s="109">
        <f t="shared" si="59"/>
        <v>338.84</v>
      </c>
      <c r="J826" s="110">
        <f t="shared" si="60"/>
        <v>338.84</v>
      </c>
      <c r="K826" s="111">
        <f t="shared" si="61"/>
        <v>0</v>
      </c>
      <c r="L826" s="110">
        <f t="shared" si="62"/>
        <v>0</v>
      </c>
      <c r="M826" s="112"/>
    </row>
    <row r="827" spans="2:13" s="52" customFormat="1" ht="19.5" hidden="1" customHeight="1">
      <c r="B827" s="108">
        <v>9</v>
      </c>
      <c r="C827" s="139" t="s">
        <v>55</v>
      </c>
      <c r="D827" s="108" t="s">
        <v>2490</v>
      </c>
      <c r="E827" s="108" t="s">
        <v>2786</v>
      </c>
      <c r="F827" s="108" t="s">
        <v>3069</v>
      </c>
      <c r="G827" s="108">
        <v>3</v>
      </c>
      <c r="H827" s="71">
        <v>3</v>
      </c>
      <c r="I827" s="109">
        <f t="shared" si="59"/>
        <v>429</v>
      </c>
      <c r="J827" s="110">
        <f t="shared" si="60"/>
        <v>429</v>
      </c>
      <c r="K827" s="111">
        <f t="shared" si="61"/>
        <v>0</v>
      </c>
      <c r="L827" s="110">
        <f t="shared" si="62"/>
        <v>0</v>
      </c>
      <c r="M827" s="112"/>
    </row>
    <row r="828" spans="2:13" s="52" customFormat="1" ht="19.5" hidden="1" customHeight="1">
      <c r="B828" s="108">
        <v>9</v>
      </c>
      <c r="C828" s="139" t="s">
        <v>55</v>
      </c>
      <c r="D828" s="108" t="s">
        <v>2491</v>
      </c>
      <c r="E828" s="108" t="s">
        <v>2787</v>
      </c>
      <c r="F828" s="108" t="s">
        <v>3070</v>
      </c>
      <c r="G828" s="108">
        <v>2</v>
      </c>
      <c r="H828" s="71">
        <v>3</v>
      </c>
      <c r="I828" s="109">
        <f t="shared" si="59"/>
        <v>166.92</v>
      </c>
      <c r="J828" s="110">
        <f t="shared" si="60"/>
        <v>250.38</v>
      </c>
      <c r="K828" s="111">
        <f t="shared" si="61"/>
        <v>-1</v>
      </c>
      <c r="L828" s="110">
        <f t="shared" si="62"/>
        <v>-83.460000000000008</v>
      </c>
      <c r="M828" s="112"/>
    </row>
    <row r="829" spans="2:13" s="52" customFormat="1" ht="19.5" customHeight="1">
      <c r="B829" s="108">
        <v>9</v>
      </c>
      <c r="C829" s="139" t="s">
        <v>55</v>
      </c>
      <c r="D829" s="108" t="s">
        <v>2492</v>
      </c>
      <c r="E829" s="108" t="s">
        <v>2788</v>
      </c>
      <c r="F829" s="108" t="s">
        <v>3071</v>
      </c>
      <c r="G829" s="108">
        <v>3</v>
      </c>
      <c r="H829" s="71">
        <v>1</v>
      </c>
      <c r="I829" s="109">
        <f t="shared" si="59"/>
        <v>618.68999999999994</v>
      </c>
      <c r="J829" s="110">
        <f t="shared" si="60"/>
        <v>206.23</v>
      </c>
      <c r="K829" s="111">
        <f t="shared" si="61"/>
        <v>2</v>
      </c>
      <c r="L829" s="110">
        <f t="shared" si="62"/>
        <v>412.45999999999992</v>
      </c>
      <c r="M829" s="112"/>
    </row>
    <row r="830" spans="2:13" s="52" customFormat="1" ht="19.5" customHeight="1">
      <c r="B830" s="108">
        <v>9</v>
      </c>
      <c r="C830" s="139" t="s">
        <v>55</v>
      </c>
      <c r="D830" s="108" t="s">
        <v>2493</v>
      </c>
      <c r="E830" s="108" t="s">
        <v>2789</v>
      </c>
      <c r="F830" s="108" t="s">
        <v>3072</v>
      </c>
      <c r="G830" s="108">
        <v>1</v>
      </c>
      <c r="H830" s="71"/>
      <c r="I830" s="109">
        <f t="shared" si="59"/>
        <v>185.74</v>
      </c>
      <c r="J830" s="110">
        <f t="shared" si="60"/>
        <v>0</v>
      </c>
      <c r="K830" s="111">
        <f t="shared" si="61"/>
        <v>1</v>
      </c>
      <c r="L830" s="110">
        <f t="shared" si="62"/>
        <v>185.74</v>
      </c>
      <c r="M830" s="112"/>
    </row>
    <row r="831" spans="2:13" s="52" customFormat="1" ht="19.5" customHeight="1">
      <c r="B831" s="108">
        <v>9</v>
      </c>
      <c r="C831" s="139" t="s">
        <v>55</v>
      </c>
      <c r="D831" s="108" t="s">
        <v>2494</v>
      </c>
      <c r="E831" s="108" t="s">
        <v>2790</v>
      </c>
      <c r="F831" s="108" t="s">
        <v>3073</v>
      </c>
      <c r="G831" s="108">
        <v>24</v>
      </c>
      <c r="H831" s="71"/>
      <c r="I831" s="109">
        <f t="shared" ref="I831:I886" si="63">F831*G831</f>
        <v>985.44</v>
      </c>
      <c r="J831" s="110">
        <f t="shared" si="60"/>
        <v>0</v>
      </c>
      <c r="K831" s="111">
        <f t="shared" si="61"/>
        <v>24</v>
      </c>
      <c r="L831" s="110">
        <f t="shared" si="62"/>
        <v>985.44</v>
      </c>
      <c r="M831" s="112"/>
    </row>
    <row r="832" spans="2:13" s="52" customFormat="1" ht="19.5" customHeight="1">
      <c r="B832" s="108">
        <v>9</v>
      </c>
      <c r="C832" s="139" t="s">
        <v>55</v>
      </c>
      <c r="D832" s="108" t="s">
        <v>2495</v>
      </c>
      <c r="E832" s="108" t="s">
        <v>2791</v>
      </c>
      <c r="F832" s="108" t="s">
        <v>3074</v>
      </c>
      <c r="G832" s="108">
        <v>140</v>
      </c>
      <c r="H832" s="71">
        <v>36</v>
      </c>
      <c r="I832" s="109">
        <f t="shared" si="63"/>
        <v>2284.8000000000002</v>
      </c>
      <c r="J832" s="110">
        <f t="shared" si="60"/>
        <v>587.52</v>
      </c>
      <c r="K832" s="111">
        <f t="shared" si="61"/>
        <v>104</v>
      </c>
      <c r="L832" s="110">
        <f t="shared" si="62"/>
        <v>1697.2800000000002</v>
      </c>
      <c r="M832" s="112"/>
    </row>
    <row r="833" spans="2:13" s="52" customFormat="1" ht="19.5" customHeight="1">
      <c r="B833" s="108">
        <v>9</v>
      </c>
      <c r="C833" s="139" t="s">
        <v>55</v>
      </c>
      <c r="D833" s="108" t="s">
        <v>2496</v>
      </c>
      <c r="E833" s="108" t="s">
        <v>2792</v>
      </c>
      <c r="F833" s="108" t="s">
        <v>3073</v>
      </c>
      <c r="G833" s="108">
        <v>20</v>
      </c>
      <c r="H833" s="71"/>
      <c r="I833" s="109">
        <f t="shared" si="63"/>
        <v>821.2</v>
      </c>
      <c r="J833" s="110">
        <f t="shared" si="60"/>
        <v>0</v>
      </c>
      <c r="K833" s="111">
        <f t="shared" si="61"/>
        <v>20</v>
      </c>
      <c r="L833" s="110">
        <f t="shared" si="62"/>
        <v>821.2</v>
      </c>
      <c r="M833" s="112"/>
    </row>
    <row r="834" spans="2:13" s="52" customFormat="1" ht="19.5" hidden="1" customHeight="1">
      <c r="B834" s="108">
        <v>9</v>
      </c>
      <c r="C834" s="139" t="s">
        <v>55</v>
      </c>
      <c r="D834" s="108" t="s">
        <v>2497</v>
      </c>
      <c r="E834" s="108" t="s">
        <v>2793</v>
      </c>
      <c r="F834" s="108" t="s">
        <v>3074</v>
      </c>
      <c r="G834" s="108">
        <v>51</v>
      </c>
      <c r="H834" s="71">
        <v>51</v>
      </c>
      <c r="I834" s="109">
        <f t="shared" si="63"/>
        <v>832.32</v>
      </c>
      <c r="J834" s="110">
        <f t="shared" si="60"/>
        <v>832.32</v>
      </c>
      <c r="K834" s="111">
        <f t="shared" si="61"/>
        <v>0</v>
      </c>
      <c r="L834" s="110">
        <f t="shared" si="62"/>
        <v>0</v>
      </c>
      <c r="M834" s="112"/>
    </row>
    <row r="835" spans="2:13" s="52" customFormat="1" ht="19.5" hidden="1" customHeight="1">
      <c r="B835" s="108">
        <v>9</v>
      </c>
      <c r="C835" s="139" t="s">
        <v>55</v>
      </c>
      <c r="D835" s="108" t="s">
        <v>2498</v>
      </c>
      <c r="E835" s="108" t="s">
        <v>2794</v>
      </c>
      <c r="F835" s="108" t="s">
        <v>3075</v>
      </c>
      <c r="G835" s="108">
        <v>49</v>
      </c>
      <c r="H835" s="71">
        <v>54</v>
      </c>
      <c r="I835" s="109">
        <f t="shared" si="63"/>
        <v>779.1</v>
      </c>
      <c r="J835" s="110">
        <f t="shared" si="60"/>
        <v>858.6</v>
      </c>
      <c r="K835" s="111">
        <f t="shared" si="61"/>
        <v>-5</v>
      </c>
      <c r="L835" s="110">
        <f t="shared" si="62"/>
        <v>-79.5</v>
      </c>
      <c r="M835" s="112"/>
    </row>
    <row r="836" spans="2:13" s="52" customFormat="1" ht="19.5" customHeight="1">
      <c r="B836" s="108">
        <v>9</v>
      </c>
      <c r="C836" s="139" t="s">
        <v>55</v>
      </c>
      <c r="D836" s="108" t="s">
        <v>2499</v>
      </c>
      <c r="E836" s="108" t="s">
        <v>2795</v>
      </c>
      <c r="F836" s="108" t="s">
        <v>3076</v>
      </c>
      <c r="G836" s="108">
        <v>1</v>
      </c>
      <c r="H836" s="71"/>
      <c r="I836" s="109">
        <f t="shared" si="63"/>
        <v>8.4499999999999993</v>
      </c>
      <c r="J836" s="110">
        <f t="shared" si="60"/>
        <v>0</v>
      </c>
      <c r="K836" s="111">
        <f t="shared" si="61"/>
        <v>1</v>
      </c>
      <c r="L836" s="110">
        <f t="shared" si="62"/>
        <v>8.4499999999999993</v>
      </c>
      <c r="M836" s="112"/>
    </row>
    <row r="837" spans="2:13" s="52" customFormat="1" ht="19.5" customHeight="1">
      <c r="B837" s="108">
        <v>9</v>
      </c>
      <c r="C837" s="139" t="s">
        <v>55</v>
      </c>
      <c r="D837" s="108" t="s">
        <v>2500</v>
      </c>
      <c r="E837" s="108" t="s">
        <v>2796</v>
      </c>
      <c r="F837" s="108" t="s">
        <v>843</v>
      </c>
      <c r="G837" s="108">
        <v>2</v>
      </c>
      <c r="H837" s="71"/>
      <c r="I837" s="109">
        <f t="shared" si="63"/>
        <v>199</v>
      </c>
      <c r="J837" s="110">
        <f t="shared" si="60"/>
        <v>0</v>
      </c>
      <c r="K837" s="111">
        <f t="shared" si="61"/>
        <v>2</v>
      </c>
      <c r="L837" s="110">
        <f t="shared" si="62"/>
        <v>199</v>
      </c>
      <c r="M837" s="112"/>
    </row>
    <row r="838" spans="2:13" s="52" customFormat="1" ht="19.5" customHeight="1">
      <c r="B838" s="108">
        <v>9</v>
      </c>
      <c r="C838" s="139" t="s">
        <v>55</v>
      </c>
      <c r="D838" s="108" t="s">
        <v>2501</v>
      </c>
      <c r="E838" s="108" t="s">
        <v>2797</v>
      </c>
      <c r="F838" s="108" t="s">
        <v>3077</v>
      </c>
      <c r="G838" s="108">
        <v>1</v>
      </c>
      <c r="H838" s="71"/>
      <c r="I838" s="109">
        <f t="shared" si="63"/>
        <v>24.5</v>
      </c>
      <c r="J838" s="110">
        <f t="shared" si="60"/>
        <v>0</v>
      </c>
      <c r="K838" s="111">
        <f t="shared" si="61"/>
        <v>1</v>
      </c>
      <c r="L838" s="110">
        <f t="shared" si="62"/>
        <v>24.5</v>
      </c>
      <c r="M838" s="112"/>
    </row>
    <row r="839" spans="2:13" s="52" customFormat="1" ht="19.5" customHeight="1">
      <c r="B839" s="108">
        <v>9</v>
      </c>
      <c r="C839" s="139" t="s">
        <v>55</v>
      </c>
      <c r="D839" s="108" t="s">
        <v>2502</v>
      </c>
      <c r="E839" s="108" t="s">
        <v>2798</v>
      </c>
      <c r="F839" s="108" t="s">
        <v>3078</v>
      </c>
      <c r="G839" s="108">
        <v>1</v>
      </c>
      <c r="H839" s="71"/>
      <c r="I839" s="109">
        <f t="shared" si="63"/>
        <v>22.75</v>
      </c>
      <c r="J839" s="110">
        <f t="shared" si="60"/>
        <v>0</v>
      </c>
      <c r="K839" s="111">
        <f t="shared" si="61"/>
        <v>1</v>
      </c>
      <c r="L839" s="110">
        <f t="shared" si="62"/>
        <v>22.75</v>
      </c>
      <c r="M839" s="112"/>
    </row>
    <row r="840" spans="2:13" s="52" customFormat="1" ht="19.5" customHeight="1">
      <c r="B840" s="108">
        <v>9</v>
      </c>
      <c r="C840" s="139" t="s">
        <v>55</v>
      </c>
      <c r="D840" s="108" t="s">
        <v>2503</v>
      </c>
      <c r="E840" s="108" t="s">
        <v>2799</v>
      </c>
      <c r="F840" s="108" t="s">
        <v>3079</v>
      </c>
      <c r="G840" s="108">
        <v>108</v>
      </c>
      <c r="H840" s="71">
        <v>48</v>
      </c>
      <c r="I840" s="109">
        <f t="shared" si="63"/>
        <v>589.67999999999995</v>
      </c>
      <c r="J840" s="110">
        <f t="shared" si="60"/>
        <v>262.08</v>
      </c>
      <c r="K840" s="111">
        <f t="shared" si="61"/>
        <v>60</v>
      </c>
      <c r="L840" s="110">
        <f t="shared" si="62"/>
        <v>327.59999999999997</v>
      </c>
      <c r="M840" s="112"/>
    </row>
    <row r="841" spans="2:13" s="52" customFormat="1" ht="19.5" customHeight="1">
      <c r="B841" s="108">
        <v>9</v>
      </c>
      <c r="C841" s="139" t="s">
        <v>55</v>
      </c>
      <c r="D841" s="108" t="s">
        <v>2504</v>
      </c>
      <c r="E841" s="108" t="s">
        <v>2800</v>
      </c>
      <c r="F841" s="108" t="s">
        <v>3080</v>
      </c>
      <c r="G841" s="108">
        <v>1</v>
      </c>
      <c r="H841" s="71"/>
      <c r="I841" s="109">
        <f t="shared" si="63"/>
        <v>47</v>
      </c>
      <c r="J841" s="110">
        <f t="shared" si="60"/>
        <v>0</v>
      </c>
      <c r="K841" s="111">
        <f t="shared" si="61"/>
        <v>1</v>
      </c>
      <c r="L841" s="110">
        <f t="shared" si="62"/>
        <v>47</v>
      </c>
      <c r="M841" s="112"/>
    </row>
    <row r="842" spans="2:13" s="52" customFormat="1" ht="19.5" customHeight="1">
      <c r="B842" s="108">
        <v>9</v>
      </c>
      <c r="C842" s="139" t="s">
        <v>55</v>
      </c>
      <c r="D842" s="108" t="s">
        <v>2505</v>
      </c>
      <c r="E842" s="108" t="s">
        <v>2801</v>
      </c>
      <c r="F842" s="108" t="s">
        <v>3081</v>
      </c>
      <c r="G842" s="108">
        <v>1</v>
      </c>
      <c r="H842" s="71"/>
      <c r="I842" s="109">
        <f t="shared" si="63"/>
        <v>125.26</v>
      </c>
      <c r="J842" s="110">
        <f t="shared" si="60"/>
        <v>0</v>
      </c>
      <c r="K842" s="111">
        <f t="shared" si="61"/>
        <v>1</v>
      </c>
      <c r="L842" s="110">
        <f t="shared" si="62"/>
        <v>125.26</v>
      </c>
      <c r="M842" s="112"/>
    </row>
    <row r="843" spans="2:13" s="52" customFormat="1" ht="19.5" customHeight="1">
      <c r="B843" s="108">
        <v>9</v>
      </c>
      <c r="C843" s="139" t="s">
        <v>55</v>
      </c>
      <c r="D843" s="108" t="s">
        <v>2506</v>
      </c>
      <c r="E843" s="108" t="s">
        <v>2802</v>
      </c>
      <c r="F843" s="108" t="s">
        <v>3082</v>
      </c>
      <c r="G843" s="108">
        <v>1</v>
      </c>
      <c r="H843" s="71"/>
      <c r="I843" s="109">
        <f t="shared" si="63"/>
        <v>83.05</v>
      </c>
      <c r="J843" s="110">
        <f t="shared" si="60"/>
        <v>0</v>
      </c>
      <c r="K843" s="111">
        <f t="shared" si="61"/>
        <v>1</v>
      </c>
      <c r="L843" s="110">
        <f t="shared" si="62"/>
        <v>83.05</v>
      </c>
      <c r="M843" s="112"/>
    </row>
    <row r="844" spans="2:13" s="52" customFormat="1" ht="19.5" customHeight="1">
      <c r="B844" s="108">
        <v>9</v>
      </c>
      <c r="C844" s="139" t="s">
        <v>55</v>
      </c>
      <c r="D844" s="108" t="s">
        <v>2507</v>
      </c>
      <c r="E844" s="108" t="s">
        <v>2803</v>
      </c>
      <c r="F844" s="108" t="s">
        <v>3083</v>
      </c>
      <c r="G844" s="108">
        <v>166</v>
      </c>
      <c r="H844" s="71"/>
      <c r="I844" s="109">
        <f t="shared" si="63"/>
        <v>1286.5</v>
      </c>
      <c r="J844" s="110">
        <f t="shared" si="60"/>
        <v>0</v>
      </c>
      <c r="K844" s="111">
        <f t="shared" si="61"/>
        <v>166</v>
      </c>
      <c r="L844" s="110">
        <f t="shared" si="62"/>
        <v>1286.5</v>
      </c>
      <c r="M844" s="112"/>
    </row>
    <row r="845" spans="2:13" s="52" customFormat="1" ht="19.5" hidden="1" customHeight="1">
      <c r="B845" s="108">
        <v>9</v>
      </c>
      <c r="C845" s="139" t="s">
        <v>55</v>
      </c>
      <c r="D845" s="108" t="s">
        <v>2508</v>
      </c>
      <c r="E845" s="108" t="s">
        <v>2804</v>
      </c>
      <c r="F845" s="108" t="s">
        <v>3084</v>
      </c>
      <c r="G845" s="108">
        <v>1</v>
      </c>
      <c r="H845" s="71">
        <v>170</v>
      </c>
      <c r="I845" s="109">
        <f t="shared" si="63"/>
        <v>121.38</v>
      </c>
      <c r="J845" s="110">
        <f t="shared" si="60"/>
        <v>20634.599999999999</v>
      </c>
      <c r="K845" s="111">
        <f t="shared" si="61"/>
        <v>-169</v>
      </c>
      <c r="L845" s="110">
        <f t="shared" si="62"/>
        <v>-20513.219999999998</v>
      </c>
      <c r="M845" s="112"/>
    </row>
    <row r="846" spans="2:13" s="52" customFormat="1" ht="19.5" hidden="1" customHeight="1">
      <c r="B846" s="108">
        <v>9</v>
      </c>
      <c r="C846" s="139" t="s">
        <v>55</v>
      </c>
      <c r="D846" s="108" t="s">
        <v>2509</v>
      </c>
      <c r="E846" s="108" t="s">
        <v>2805</v>
      </c>
      <c r="F846" s="108" t="s">
        <v>3083</v>
      </c>
      <c r="G846" s="140">
        <f>91+6</f>
        <v>97</v>
      </c>
      <c r="H846" s="71">
        <v>99</v>
      </c>
      <c r="I846" s="109">
        <f t="shared" si="63"/>
        <v>751.75</v>
      </c>
      <c r="J846" s="110">
        <f t="shared" si="60"/>
        <v>767.25</v>
      </c>
      <c r="K846" s="111">
        <f t="shared" si="61"/>
        <v>-2</v>
      </c>
      <c r="L846" s="110">
        <f t="shared" si="62"/>
        <v>-15.5</v>
      </c>
      <c r="M846" s="112"/>
    </row>
    <row r="847" spans="2:13" s="52" customFormat="1" ht="19.5" hidden="1" customHeight="1">
      <c r="B847" s="108">
        <v>9</v>
      </c>
      <c r="C847" s="139" t="s">
        <v>55</v>
      </c>
      <c r="D847" s="108" t="s">
        <v>2510</v>
      </c>
      <c r="E847" s="108" t="s">
        <v>2806</v>
      </c>
      <c r="F847" s="108" t="s">
        <v>3085</v>
      </c>
      <c r="G847" s="108">
        <v>3</v>
      </c>
      <c r="H847" s="71">
        <v>3</v>
      </c>
      <c r="I847" s="109">
        <f t="shared" si="63"/>
        <v>160.71</v>
      </c>
      <c r="J847" s="110">
        <f t="shared" si="60"/>
        <v>160.71</v>
      </c>
      <c r="K847" s="111">
        <f t="shared" si="61"/>
        <v>0</v>
      </c>
      <c r="L847" s="110">
        <f t="shared" si="62"/>
        <v>0</v>
      </c>
      <c r="M847" s="112"/>
    </row>
    <row r="848" spans="2:13" s="52" customFormat="1" ht="19.5" customHeight="1">
      <c r="B848" s="108">
        <v>9</v>
      </c>
      <c r="C848" s="139" t="s">
        <v>55</v>
      </c>
      <c r="D848" s="108" t="s">
        <v>2511</v>
      </c>
      <c r="E848" s="108" t="s">
        <v>2807</v>
      </c>
      <c r="F848" s="108" t="s">
        <v>1217</v>
      </c>
      <c r="G848" s="108">
        <v>3</v>
      </c>
      <c r="H848" s="71">
        <v>1</v>
      </c>
      <c r="I848" s="109">
        <f t="shared" si="63"/>
        <v>214.5</v>
      </c>
      <c r="J848" s="110">
        <f t="shared" ref="J848:J906" si="64">F848*H848</f>
        <v>71.5</v>
      </c>
      <c r="K848" s="111">
        <f t="shared" ref="K848:K906" si="65">G848-H848</f>
        <v>2</v>
      </c>
      <c r="L848" s="110">
        <f t="shared" ref="L848:L906" si="66">I848-J848</f>
        <v>143</v>
      </c>
      <c r="M848" s="112"/>
    </row>
    <row r="849" spans="2:13" s="52" customFormat="1" ht="19.5" customHeight="1">
      <c r="B849" s="108">
        <v>9</v>
      </c>
      <c r="C849" s="139" t="s">
        <v>55</v>
      </c>
      <c r="D849" s="108" t="s">
        <v>2512</v>
      </c>
      <c r="E849" s="108" t="s">
        <v>2808</v>
      </c>
      <c r="F849" s="108" t="s">
        <v>1217</v>
      </c>
      <c r="G849" s="108">
        <v>4</v>
      </c>
      <c r="H849" s="71">
        <v>2</v>
      </c>
      <c r="I849" s="109">
        <f t="shared" si="63"/>
        <v>286</v>
      </c>
      <c r="J849" s="110">
        <f t="shared" si="64"/>
        <v>143</v>
      </c>
      <c r="K849" s="111">
        <f t="shared" si="65"/>
        <v>2</v>
      </c>
      <c r="L849" s="110">
        <f t="shared" si="66"/>
        <v>143</v>
      </c>
      <c r="M849" s="112"/>
    </row>
    <row r="850" spans="2:13" s="52" customFormat="1" ht="19.5" customHeight="1">
      <c r="B850" s="108">
        <v>9</v>
      </c>
      <c r="C850" s="139" t="s">
        <v>55</v>
      </c>
      <c r="D850" s="108" t="s">
        <v>2513</v>
      </c>
      <c r="E850" s="108" t="s">
        <v>2809</v>
      </c>
      <c r="F850" s="108" t="s">
        <v>3086</v>
      </c>
      <c r="G850" s="108">
        <v>94</v>
      </c>
      <c r="H850" s="71">
        <v>89</v>
      </c>
      <c r="I850" s="109">
        <f t="shared" si="63"/>
        <v>861.98</v>
      </c>
      <c r="J850" s="110">
        <f t="shared" si="64"/>
        <v>816.13</v>
      </c>
      <c r="K850" s="111">
        <f t="shared" si="65"/>
        <v>5</v>
      </c>
      <c r="L850" s="110">
        <f t="shared" si="66"/>
        <v>45.850000000000023</v>
      </c>
      <c r="M850" s="112"/>
    </row>
    <row r="851" spans="2:13" s="52" customFormat="1" ht="19.5" hidden="1" customHeight="1">
      <c r="B851" s="108">
        <v>9</v>
      </c>
      <c r="C851" s="139" t="s">
        <v>55</v>
      </c>
      <c r="D851" s="108" t="s">
        <v>2514</v>
      </c>
      <c r="E851" s="108" t="s">
        <v>2810</v>
      </c>
      <c r="F851" s="108" t="s">
        <v>1423</v>
      </c>
      <c r="G851" s="108">
        <v>8</v>
      </c>
      <c r="H851" s="71">
        <v>8</v>
      </c>
      <c r="I851" s="109">
        <f t="shared" si="63"/>
        <v>124</v>
      </c>
      <c r="J851" s="110">
        <f t="shared" si="64"/>
        <v>124</v>
      </c>
      <c r="K851" s="111">
        <f t="shared" si="65"/>
        <v>0</v>
      </c>
      <c r="L851" s="110">
        <f t="shared" si="66"/>
        <v>0</v>
      </c>
      <c r="M851" s="112"/>
    </row>
    <row r="852" spans="2:13" s="52" customFormat="1" ht="19.5" customHeight="1">
      <c r="B852" s="108">
        <v>9</v>
      </c>
      <c r="C852" s="139" t="s">
        <v>55</v>
      </c>
      <c r="D852" s="108" t="s">
        <v>2515</v>
      </c>
      <c r="E852" s="108" t="s">
        <v>2811</v>
      </c>
      <c r="F852" s="108" t="s">
        <v>3087</v>
      </c>
      <c r="G852" s="108">
        <v>6</v>
      </c>
      <c r="H852" s="71"/>
      <c r="I852" s="109">
        <f t="shared" si="63"/>
        <v>76.02</v>
      </c>
      <c r="J852" s="110">
        <f t="shared" si="64"/>
        <v>0</v>
      </c>
      <c r="K852" s="111">
        <f t="shared" si="65"/>
        <v>6</v>
      </c>
      <c r="L852" s="110">
        <f t="shared" si="66"/>
        <v>76.02</v>
      </c>
      <c r="M852" s="112"/>
    </row>
    <row r="853" spans="2:13" s="52" customFormat="1" ht="19.5" customHeight="1">
      <c r="B853" s="108">
        <v>9</v>
      </c>
      <c r="C853" s="139" t="s">
        <v>55</v>
      </c>
      <c r="D853" s="108" t="s">
        <v>2516</v>
      </c>
      <c r="E853" s="108" t="s">
        <v>2812</v>
      </c>
      <c r="F853" s="108" t="s">
        <v>3088</v>
      </c>
      <c r="G853" s="108">
        <v>3</v>
      </c>
      <c r="H853" s="71"/>
      <c r="I853" s="109">
        <f t="shared" si="63"/>
        <v>90.6</v>
      </c>
      <c r="J853" s="110">
        <f t="shared" si="64"/>
        <v>0</v>
      </c>
      <c r="K853" s="111">
        <f t="shared" si="65"/>
        <v>3</v>
      </c>
      <c r="L853" s="110">
        <f t="shared" si="66"/>
        <v>90.6</v>
      </c>
      <c r="M853" s="112"/>
    </row>
    <row r="854" spans="2:13" s="52" customFormat="1" ht="19.5" hidden="1" customHeight="1">
      <c r="B854" s="108">
        <v>9</v>
      </c>
      <c r="C854" s="139" t="s">
        <v>55</v>
      </c>
      <c r="D854" s="108" t="s">
        <v>2517</v>
      </c>
      <c r="E854" s="108" t="s">
        <v>2813</v>
      </c>
      <c r="F854" s="108" t="s">
        <v>3089</v>
      </c>
      <c r="G854" s="108">
        <v>4</v>
      </c>
      <c r="H854" s="71">
        <v>24</v>
      </c>
      <c r="I854" s="109">
        <f t="shared" si="63"/>
        <v>366</v>
      </c>
      <c r="J854" s="110">
        <f t="shared" si="64"/>
        <v>2196</v>
      </c>
      <c r="K854" s="111">
        <f t="shared" si="65"/>
        <v>-20</v>
      </c>
      <c r="L854" s="110">
        <f t="shared" si="66"/>
        <v>-1830</v>
      </c>
      <c r="M854" s="112"/>
    </row>
    <row r="855" spans="2:13" s="52" customFormat="1" ht="19.5" hidden="1" customHeight="1">
      <c r="B855" s="108">
        <v>9</v>
      </c>
      <c r="C855" s="139" t="s">
        <v>55</v>
      </c>
      <c r="D855" s="108" t="s">
        <v>2518</v>
      </c>
      <c r="E855" s="108" t="s">
        <v>2814</v>
      </c>
      <c r="F855" s="108" t="s">
        <v>3090</v>
      </c>
      <c r="G855" s="108">
        <v>1</v>
      </c>
      <c r="H855" s="71">
        <v>6</v>
      </c>
      <c r="I855" s="109">
        <f t="shared" si="63"/>
        <v>152</v>
      </c>
      <c r="J855" s="110">
        <f t="shared" si="64"/>
        <v>912</v>
      </c>
      <c r="K855" s="111">
        <f t="shared" si="65"/>
        <v>-5</v>
      </c>
      <c r="L855" s="110">
        <f t="shared" si="66"/>
        <v>-760</v>
      </c>
      <c r="M855" s="112"/>
    </row>
    <row r="856" spans="2:13" s="52" customFormat="1" ht="19.5" customHeight="1">
      <c r="B856" s="108">
        <v>9</v>
      </c>
      <c r="C856" s="139" t="s">
        <v>55</v>
      </c>
      <c r="D856" s="108" t="s">
        <v>2519</v>
      </c>
      <c r="E856" s="108" t="s">
        <v>2815</v>
      </c>
      <c r="F856" s="108" t="s">
        <v>3091</v>
      </c>
      <c r="G856" s="108">
        <v>3</v>
      </c>
      <c r="H856" s="71"/>
      <c r="I856" s="109">
        <f t="shared" si="63"/>
        <v>399</v>
      </c>
      <c r="J856" s="110">
        <f t="shared" si="64"/>
        <v>0</v>
      </c>
      <c r="K856" s="111">
        <f t="shared" si="65"/>
        <v>3</v>
      </c>
      <c r="L856" s="110">
        <f t="shared" si="66"/>
        <v>399</v>
      </c>
      <c r="M856" s="112"/>
    </row>
    <row r="857" spans="2:13" s="52" customFormat="1" ht="19.5" hidden="1" customHeight="1">
      <c r="B857" s="108">
        <v>9</v>
      </c>
      <c r="C857" s="139" t="s">
        <v>55</v>
      </c>
      <c r="D857" s="108" t="s">
        <v>2520</v>
      </c>
      <c r="E857" s="108" t="s">
        <v>2816</v>
      </c>
      <c r="F857" s="108" t="s">
        <v>3090</v>
      </c>
      <c r="G857" s="108">
        <v>1</v>
      </c>
      <c r="H857" s="71">
        <f>2+8</f>
        <v>10</v>
      </c>
      <c r="I857" s="109">
        <f t="shared" si="63"/>
        <v>152</v>
      </c>
      <c r="J857" s="110">
        <f t="shared" si="64"/>
        <v>1520</v>
      </c>
      <c r="K857" s="111">
        <f t="shared" si="65"/>
        <v>-9</v>
      </c>
      <c r="L857" s="110">
        <f t="shared" si="66"/>
        <v>-1368</v>
      </c>
      <c r="M857" s="112"/>
    </row>
    <row r="858" spans="2:13" s="52" customFormat="1" ht="19.5" customHeight="1">
      <c r="B858" s="108">
        <v>9</v>
      </c>
      <c r="C858" s="139" t="s">
        <v>55</v>
      </c>
      <c r="D858" s="108" t="s">
        <v>2521</v>
      </c>
      <c r="E858" s="108" t="s">
        <v>2817</v>
      </c>
      <c r="F858" s="108" t="s">
        <v>3091</v>
      </c>
      <c r="G858" s="108">
        <v>2</v>
      </c>
      <c r="H858" s="71"/>
      <c r="I858" s="109">
        <f t="shared" si="63"/>
        <v>266</v>
      </c>
      <c r="J858" s="110">
        <f t="shared" si="64"/>
        <v>0</v>
      </c>
      <c r="K858" s="111">
        <f t="shared" si="65"/>
        <v>2</v>
      </c>
      <c r="L858" s="110">
        <f t="shared" si="66"/>
        <v>266</v>
      </c>
      <c r="M858" s="112"/>
    </row>
    <row r="859" spans="2:13" s="52" customFormat="1" ht="19.5" customHeight="1">
      <c r="B859" s="108">
        <v>9</v>
      </c>
      <c r="C859" s="139" t="s">
        <v>55</v>
      </c>
      <c r="D859" s="108" t="s">
        <v>2522</v>
      </c>
      <c r="E859" s="108" t="s">
        <v>2818</v>
      </c>
      <c r="F859" s="108" t="s">
        <v>3090</v>
      </c>
      <c r="G859" s="108">
        <v>5</v>
      </c>
      <c r="H859" s="71"/>
      <c r="I859" s="109">
        <f t="shared" si="63"/>
        <v>760</v>
      </c>
      <c r="J859" s="110">
        <f t="shared" si="64"/>
        <v>0</v>
      </c>
      <c r="K859" s="111">
        <f t="shared" si="65"/>
        <v>5</v>
      </c>
      <c r="L859" s="110">
        <f t="shared" si="66"/>
        <v>760</v>
      </c>
      <c r="M859" s="112"/>
    </row>
    <row r="860" spans="2:13" s="52" customFormat="1" ht="19.5" customHeight="1">
      <c r="B860" s="108">
        <v>9</v>
      </c>
      <c r="C860" s="139" t="s">
        <v>55</v>
      </c>
      <c r="D860" s="108" t="s">
        <v>2523</v>
      </c>
      <c r="E860" s="108" t="s">
        <v>2819</v>
      </c>
      <c r="F860" s="108" t="s">
        <v>3092</v>
      </c>
      <c r="G860" s="108">
        <v>4</v>
      </c>
      <c r="H860" s="71"/>
      <c r="I860" s="109">
        <f t="shared" si="63"/>
        <v>684</v>
      </c>
      <c r="J860" s="110">
        <f t="shared" si="64"/>
        <v>0</v>
      </c>
      <c r="K860" s="111">
        <f t="shared" si="65"/>
        <v>4</v>
      </c>
      <c r="L860" s="110">
        <f t="shared" si="66"/>
        <v>684</v>
      </c>
      <c r="M860" s="112"/>
    </row>
    <row r="861" spans="2:13" s="52" customFormat="1" ht="19.5" hidden="1" customHeight="1">
      <c r="B861" s="108">
        <v>9</v>
      </c>
      <c r="C861" s="139" t="s">
        <v>55</v>
      </c>
      <c r="D861" s="108" t="s">
        <v>2524</v>
      </c>
      <c r="E861" s="108" t="s">
        <v>2820</v>
      </c>
      <c r="F861" s="108" t="s">
        <v>3093</v>
      </c>
      <c r="G861" s="108">
        <v>402</v>
      </c>
      <c r="H861" s="71">
        <f>238+264</f>
        <v>502</v>
      </c>
      <c r="I861" s="109">
        <f t="shared" si="63"/>
        <v>3336.6000000000004</v>
      </c>
      <c r="J861" s="110">
        <f t="shared" si="64"/>
        <v>4166.6000000000004</v>
      </c>
      <c r="K861" s="111">
        <f t="shared" si="65"/>
        <v>-100</v>
      </c>
      <c r="L861" s="110">
        <f t="shared" si="66"/>
        <v>-830</v>
      </c>
      <c r="M861" s="112"/>
    </row>
    <row r="862" spans="2:13" s="52" customFormat="1" ht="19.5" customHeight="1">
      <c r="B862" s="108">
        <v>9</v>
      </c>
      <c r="C862" s="139" t="s">
        <v>55</v>
      </c>
      <c r="D862" s="108" t="s">
        <v>2525</v>
      </c>
      <c r="E862" s="108" t="s">
        <v>2821</v>
      </c>
      <c r="F862" s="108" t="s">
        <v>3094</v>
      </c>
      <c r="G862" s="108">
        <v>1</v>
      </c>
      <c r="H862" s="71"/>
      <c r="I862" s="109">
        <f t="shared" si="63"/>
        <v>120.1</v>
      </c>
      <c r="J862" s="110">
        <f t="shared" si="64"/>
        <v>0</v>
      </c>
      <c r="K862" s="111">
        <f t="shared" si="65"/>
        <v>1</v>
      </c>
      <c r="L862" s="110">
        <f t="shared" si="66"/>
        <v>120.1</v>
      </c>
      <c r="M862" s="112"/>
    </row>
    <row r="863" spans="2:13" s="52" customFormat="1" ht="19.5" customHeight="1">
      <c r="B863" s="108">
        <v>9</v>
      </c>
      <c r="C863" s="139" t="s">
        <v>55</v>
      </c>
      <c r="D863" s="108" t="s">
        <v>2526</v>
      </c>
      <c r="E863" s="108" t="s">
        <v>2822</v>
      </c>
      <c r="F863" s="108" t="s">
        <v>3094</v>
      </c>
      <c r="G863" s="108">
        <v>5</v>
      </c>
      <c r="H863" s="71">
        <v>4</v>
      </c>
      <c r="I863" s="109">
        <f t="shared" si="63"/>
        <v>600.5</v>
      </c>
      <c r="J863" s="110">
        <f t="shared" si="64"/>
        <v>480.4</v>
      </c>
      <c r="K863" s="111">
        <f t="shared" si="65"/>
        <v>1</v>
      </c>
      <c r="L863" s="110">
        <f t="shared" si="66"/>
        <v>120.10000000000002</v>
      </c>
      <c r="M863" s="112"/>
    </row>
    <row r="864" spans="2:13" s="52" customFormat="1" ht="19.5" customHeight="1">
      <c r="B864" s="108">
        <v>9</v>
      </c>
      <c r="C864" s="139" t="s">
        <v>55</v>
      </c>
      <c r="D864" s="108" t="s">
        <v>2527</v>
      </c>
      <c r="E864" s="108" t="s">
        <v>2823</v>
      </c>
      <c r="F864" s="108" t="s">
        <v>3095</v>
      </c>
      <c r="G864" s="108">
        <v>1</v>
      </c>
      <c r="H864" s="71"/>
      <c r="I864" s="109">
        <f t="shared" si="63"/>
        <v>28.97</v>
      </c>
      <c r="J864" s="110">
        <f t="shared" si="64"/>
        <v>0</v>
      </c>
      <c r="K864" s="111">
        <f t="shared" si="65"/>
        <v>1</v>
      </c>
      <c r="L864" s="110">
        <f t="shared" si="66"/>
        <v>28.97</v>
      </c>
      <c r="M864" s="112"/>
    </row>
    <row r="865" spans="2:13" s="52" customFormat="1" ht="19.5" customHeight="1">
      <c r="B865" s="108">
        <v>9</v>
      </c>
      <c r="C865" s="139" t="s">
        <v>55</v>
      </c>
      <c r="D865" s="108" t="s">
        <v>2528</v>
      </c>
      <c r="E865" s="108" t="s">
        <v>2824</v>
      </c>
      <c r="F865" s="108" t="s">
        <v>3094</v>
      </c>
      <c r="G865" s="108">
        <v>1</v>
      </c>
      <c r="H865" s="71"/>
      <c r="I865" s="109">
        <f t="shared" si="63"/>
        <v>120.1</v>
      </c>
      <c r="J865" s="110">
        <f t="shared" si="64"/>
        <v>0</v>
      </c>
      <c r="K865" s="111">
        <f t="shared" si="65"/>
        <v>1</v>
      </c>
      <c r="L865" s="110">
        <f t="shared" si="66"/>
        <v>120.1</v>
      </c>
      <c r="M865" s="112"/>
    </row>
    <row r="866" spans="2:13" s="52" customFormat="1" ht="19.5" customHeight="1">
      <c r="B866" s="108">
        <v>9</v>
      </c>
      <c r="C866" s="139" t="s">
        <v>55</v>
      </c>
      <c r="D866" s="108" t="s">
        <v>2529</v>
      </c>
      <c r="E866" s="108" t="s">
        <v>2825</v>
      </c>
      <c r="F866" s="108" t="s">
        <v>3089</v>
      </c>
      <c r="G866" s="108">
        <v>13</v>
      </c>
      <c r="H866" s="71">
        <v>11</v>
      </c>
      <c r="I866" s="109">
        <f t="shared" si="63"/>
        <v>1189.5</v>
      </c>
      <c r="J866" s="110">
        <f t="shared" si="64"/>
        <v>1006.5</v>
      </c>
      <c r="K866" s="111">
        <f t="shared" si="65"/>
        <v>2</v>
      </c>
      <c r="L866" s="110">
        <f t="shared" si="66"/>
        <v>183</v>
      </c>
      <c r="M866" s="112"/>
    </row>
    <row r="867" spans="2:13" s="52" customFormat="1" ht="19.5" hidden="1" customHeight="1">
      <c r="B867" s="108">
        <v>9</v>
      </c>
      <c r="C867" s="139" t="s">
        <v>55</v>
      </c>
      <c r="D867" s="108" t="s">
        <v>2530</v>
      </c>
      <c r="E867" s="108" t="s">
        <v>2826</v>
      </c>
      <c r="F867" s="108" t="s">
        <v>3091</v>
      </c>
      <c r="G867" s="108">
        <v>7</v>
      </c>
      <c r="H867" s="71">
        <v>8</v>
      </c>
      <c r="I867" s="109">
        <f t="shared" si="63"/>
        <v>931</v>
      </c>
      <c r="J867" s="110">
        <f t="shared" si="64"/>
        <v>1064</v>
      </c>
      <c r="K867" s="111">
        <f t="shared" si="65"/>
        <v>-1</v>
      </c>
      <c r="L867" s="110">
        <f t="shared" si="66"/>
        <v>-133</v>
      </c>
      <c r="M867" s="112"/>
    </row>
    <row r="868" spans="2:13" s="52" customFormat="1" ht="19.5" customHeight="1">
      <c r="B868" s="108">
        <v>9</v>
      </c>
      <c r="C868" s="139" t="s">
        <v>55</v>
      </c>
      <c r="D868" s="108" t="s">
        <v>2531</v>
      </c>
      <c r="E868" s="108" t="s">
        <v>2827</v>
      </c>
      <c r="F868" s="108" t="s">
        <v>3093</v>
      </c>
      <c r="G868" s="108">
        <v>29</v>
      </c>
      <c r="H868" s="71">
        <v>24</v>
      </c>
      <c r="I868" s="109">
        <f t="shared" si="63"/>
        <v>240.70000000000002</v>
      </c>
      <c r="J868" s="110">
        <f t="shared" si="64"/>
        <v>199.20000000000002</v>
      </c>
      <c r="K868" s="111">
        <f t="shared" si="65"/>
        <v>5</v>
      </c>
      <c r="L868" s="110">
        <f t="shared" si="66"/>
        <v>41.5</v>
      </c>
      <c r="M868" s="112"/>
    </row>
    <row r="869" spans="2:13" s="52" customFormat="1" ht="19.5" customHeight="1">
      <c r="B869" s="108">
        <v>9</v>
      </c>
      <c r="C869" s="139" t="s">
        <v>55</v>
      </c>
      <c r="D869" s="108" t="s">
        <v>2532</v>
      </c>
      <c r="E869" s="108" t="s">
        <v>2828</v>
      </c>
      <c r="F869" s="108" t="s">
        <v>3096</v>
      </c>
      <c r="G869" s="108">
        <v>5</v>
      </c>
      <c r="H869" s="71">
        <v>3</v>
      </c>
      <c r="I869" s="109">
        <f t="shared" si="63"/>
        <v>225</v>
      </c>
      <c r="J869" s="110">
        <f t="shared" si="64"/>
        <v>135</v>
      </c>
      <c r="K869" s="111">
        <f t="shared" si="65"/>
        <v>2</v>
      </c>
      <c r="L869" s="110">
        <f t="shared" si="66"/>
        <v>90</v>
      </c>
      <c r="M869" s="112"/>
    </row>
    <row r="870" spans="2:13" s="52" customFormat="1" ht="19.5" customHeight="1">
      <c r="B870" s="108">
        <v>9</v>
      </c>
      <c r="C870" s="139" t="s">
        <v>55</v>
      </c>
      <c r="D870" s="108" t="s">
        <v>2533</v>
      </c>
      <c r="E870" s="108" t="s">
        <v>2829</v>
      </c>
      <c r="F870" s="108" t="s">
        <v>3097</v>
      </c>
      <c r="G870" s="108">
        <v>10</v>
      </c>
      <c r="H870" s="71"/>
      <c r="I870" s="109">
        <f t="shared" si="63"/>
        <v>231</v>
      </c>
      <c r="J870" s="110">
        <f t="shared" si="64"/>
        <v>0</v>
      </c>
      <c r="K870" s="111">
        <f t="shared" si="65"/>
        <v>10</v>
      </c>
      <c r="L870" s="110">
        <f t="shared" si="66"/>
        <v>231</v>
      </c>
      <c r="M870" s="112"/>
    </row>
    <row r="871" spans="2:13" s="52" customFormat="1" ht="19.5" customHeight="1">
      <c r="B871" s="108">
        <v>9</v>
      </c>
      <c r="C871" s="139" t="s">
        <v>55</v>
      </c>
      <c r="D871" s="108" t="s">
        <v>2534</v>
      </c>
      <c r="E871" s="108" t="s">
        <v>2830</v>
      </c>
      <c r="F871" s="108" t="s">
        <v>3098</v>
      </c>
      <c r="G871" s="108">
        <v>20</v>
      </c>
      <c r="H871" s="71"/>
      <c r="I871" s="109">
        <f t="shared" si="63"/>
        <v>322</v>
      </c>
      <c r="J871" s="110">
        <f t="shared" si="64"/>
        <v>0</v>
      </c>
      <c r="K871" s="111">
        <f t="shared" si="65"/>
        <v>20</v>
      </c>
      <c r="L871" s="110">
        <f t="shared" si="66"/>
        <v>322</v>
      </c>
      <c r="M871" s="112"/>
    </row>
    <row r="872" spans="2:13" s="52" customFormat="1" ht="19.5" customHeight="1">
      <c r="B872" s="108">
        <v>9</v>
      </c>
      <c r="C872" s="139" t="s">
        <v>55</v>
      </c>
      <c r="D872" s="108" t="s">
        <v>2535</v>
      </c>
      <c r="E872" s="108" t="s">
        <v>2831</v>
      </c>
      <c r="F872" s="108" t="s">
        <v>3099</v>
      </c>
      <c r="G872" s="108">
        <v>2</v>
      </c>
      <c r="H872" s="71"/>
      <c r="I872" s="109">
        <f t="shared" si="63"/>
        <v>314</v>
      </c>
      <c r="J872" s="110">
        <f t="shared" si="64"/>
        <v>0</v>
      </c>
      <c r="K872" s="111">
        <f t="shared" si="65"/>
        <v>2</v>
      </c>
      <c r="L872" s="110">
        <f t="shared" si="66"/>
        <v>314</v>
      </c>
      <c r="M872" s="112"/>
    </row>
    <row r="873" spans="2:13" s="52" customFormat="1" ht="19.5" customHeight="1">
      <c r="B873" s="108">
        <v>9</v>
      </c>
      <c r="C873" s="139" t="s">
        <v>55</v>
      </c>
      <c r="D873" s="108" t="s">
        <v>2536</v>
      </c>
      <c r="E873" s="108" t="s">
        <v>2832</v>
      </c>
      <c r="F873" s="108" t="s">
        <v>3100</v>
      </c>
      <c r="G873" s="108">
        <v>12</v>
      </c>
      <c r="H873" s="71">
        <v>1</v>
      </c>
      <c r="I873" s="109">
        <f t="shared" si="63"/>
        <v>2124</v>
      </c>
      <c r="J873" s="110">
        <f t="shared" si="64"/>
        <v>177</v>
      </c>
      <c r="K873" s="111">
        <f t="shared" si="65"/>
        <v>11</v>
      </c>
      <c r="L873" s="110">
        <f t="shared" si="66"/>
        <v>1947</v>
      </c>
      <c r="M873" s="112"/>
    </row>
    <row r="874" spans="2:13" s="52" customFormat="1" ht="19.5" customHeight="1">
      <c r="B874" s="108">
        <v>9</v>
      </c>
      <c r="C874" s="139" t="s">
        <v>55</v>
      </c>
      <c r="D874" s="108" t="s">
        <v>2537</v>
      </c>
      <c r="E874" s="108" t="s">
        <v>2833</v>
      </c>
      <c r="F874" s="108" t="s">
        <v>3101</v>
      </c>
      <c r="G874" s="108">
        <v>108</v>
      </c>
      <c r="H874" s="71"/>
      <c r="I874" s="109">
        <f t="shared" si="63"/>
        <v>947.16</v>
      </c>
      <c r="J874" s="110">
        <f t="shared" si="64"/>
        <v>0</v>
      </c>
      <c r="K874" s="111">
        <f t="shared" si="65"/>
        <v>108</v>
      </c>
      <c r="L874" s="110">
        <f t="shared" si="66"/>
        <v>947.16</v>
      </c>
      <c r="M874" s="112"/>
    </row>
    <row r="875" spans="2:13" s="52" customFormat="1" ht="19.5" customHeight="1">
      <c r="B875" s="108">
        <v>9</v>
      </c>
      <c r="C875" s="139" t="s">
        <v>55</v>
      </c>
      <c r="D875" s="108" t="s">
        <v>2537</v>
      </c>
      <c r="E875" s="108" t="s">
        <v>2833</v>
      </c>
      <c r="F875" s="108" t="s">
        <v>3101</v>
      </c>
      <c r="G875" s="108">
        <v>6</v>
      </c>
      <c r="H875" s="71"/>
      <c r="I875" s="109">
        <f t="shared" si="63"/>
        <v>52.62</v>
      </c>
      <c r="J875" s="110">
        <f t="shared" si="64"/>
        <v>0</v>
      </c>
      <c r="K875" s="111">
        <f t="shared" si="65"/>
        <v>6</v>
      </c>
      <c r="L875" s="110">
        <f t="shared" si="66"/>
        <v>52.62</v>
      </c>
      <c r="M875" s="112"/>
    </row>
    <row r="876" spans="2:13" s="52" customFormat="1" ht="19.5" customHeight="1">
      <c r="B876" s="108">
        <v>9</v>
      </c>
      <c r="C876" s="139" t="s">
        <v>55</v>
      </c>
      <c r="D876" s="108" t="s">
        <v>2538</v>
      </c>
      <c r="E876" s="108" t="s">
        <v>2834</v>
      </c>
      <c r="F876" s="108" t="s">
        <v>3102</v>
      </c>
      <c r="G876" s="108">
        <v>2</v>
      </c>
      <c r="H876" s="71"/>
      <c r="I876" s="109">
        <f t="shared" si="63"/>
        <v>12.24</v>
      </c>
      <c r="J876" s="110">
        <f t="shared" si="64"/>
        <v>0</v>
      </c>
      <c r="K876" s="111">
        <f t="shared" si="65"/>
        <v>2</v>
      </c>
      <c r="L876" s="110">
        <f t="shared" si="66"/>
        <v>12.24</v>
      </c>
      <c r="M876" s="112"/>
    </row>
    <row r="877" spans="2:13" s="52" customFormat="1" ht="19.5" customHeight="1">
      <c r="B877" s="108">
        <v>9</v>
      </c>
      <c r="C877" s="139" t="s">
        <v>55</v>
      </c>
      <c r="D877" s="108" t="s">
        <v>2539</v>
      </c>
      <c r="E877" s="108" t="s">
        <v>2835</v>
      </c>
      <c r="F877" s="108" t="s">
        <v>3101</v>
      </c>
      <c r="G877" s="108">
        <v>59</v>
      </c>
      <c r="H877" s="71"/>
      <c r="I877" s="109">
        <f t="shared" si="63"/>
        <v>517.42999999999995</v>
      </c>
      <c r="J877" s="110">
        <f t="shared" si="64"/>
        <v>0</v>
      </c>
      <c r="K877" s="111">
        <f t="shared" si="65"/>
        <v>59</v>
      </c>
      <c r="L877" s="110">
        <f t="shared" si="66"/>
        <v>517.42999999999995</v>
      </c>
      <c r="M877" s="112"/>
    </row>
    <row r="878" spans="2:13" s="52" customFormat="1" ht="19.5" customHeight="1">
      <c r="B878" s="108">
        <v>9</v>
      </c>
      <c r="C878" s="139" t="s">
        <v>55</v>
      </c>
      <c r="D878" s="108" t="s">
        <v>2540</v>
      </c>
      <c r="E878" s="108" t="s">
        <v>2836</v>
      </c>
      <c r="F878" s="108" t="s">
        <v>3103</v>
      </c>
      <c r="G878" s="108">
        <v>554</v>
      </c>
      <c r="H878" s="71">
        <f>8+432</f>
        <v>440</v>
      </c>
      <c r="I878" s="109">
        <f t="shared" si="63"/>
        <v>3351.7</v>
      </c>
      <c r="J878" s="110">
        <f t="shared" si="64"/>
        <v>2662</v>
      </c>
      <c r="K878" s="111">
        <f t="shared" si="65"/>
        <v>114</v>
      </c>
      <c r="L878" s="110">
        <f t="shared" si="66"/>
        <v>689.69999999999982</v>
      </c>
      <c r="M878" s="112"/>
    </row>
    <row r="879" spans="2:13" s="52" customFormat="1" ht="19.5" customHeight="1">
      <c r="B879" s="108">
        <v>9</v>
      </c>
      <c r="C879" s="139" t="s">
        <v>55</v>
      </c>
      <c r="D879" s="108" t="s">
        <v>2541</v>
      </c>
      <c r="E879" s="108" t="s">
        <v>2837</v>
      </c>
      <c r="F879" s="108" t="s">
        <v>3104</v>
      </c>
      <c r="G879" s="108">
        <v>41</v>
      </c>
      <c r="H879" s="71">
        <f>5+1</f>
        <v>6</v>
      </c>
      <c r="I879" s="109">
        <f t="shared" si="63"/>
        <v>2783.08</v>
      </c>
      <c r="J879" s="110">
        <f t="shared" si="64"/>
        <v>407.28</v>
      </c>
      <c r="K879" s="111">
        <f t="shared" si="65"/>
        <v>35</v>
      </c>
      <c r="L879" s="110">
        <f t="shared" si="66"/>
        <v>2375.8000000000002</v>
      </c>
      <c r="M879" s="112"/>
    </row>
    <row r="880" spans="2:13" s="52" customFormat="1" ht="19.5" customHeight="1">
      <c r="B880" s="108">
        <v>9</v>
      </c>
      <c r="C880" s="139" t="s">
        <v>55</v>
      </c>
      <c r="D880" s="108" t="s">
        <v>2542</v>
      </c>
      <c r="E880" s="108" t="s">
        <v>2838</v>
      </c>
      <c r="F880" s="108" t="s">
        <v>3105</v>
      </c>
      <c r="G880" s="108">
        <v>146</v>
      </c>
      <c r="H880" s="71"/>
      <c r="I880" s="109">
        <f t="shared" si="63"/>
        <v>900.81999999999994</v>
      </c>
      <c r="J880" s="110">
        <f t="shared" si="64"/>
        <v>0</v>
      </c>
      <c r="K880" s="111">
        <f t="shared" si="65"/>
        <v>146</v>
      </c>
      <c r="L880" s="110">
        <f t="shared" si="66"/>
        <v>900.81999999999994</v>
      </c>
      <c r="M880" s="112"/>
    </row>
    <row r="881" spans="2:13" s="52" customFormat="1" ht="19.5" customHeight="1">
      <c r="B881" s="108">
        <v>9</v>
      </c>
      <c r="C881" s="139" t="s">
        <v>55</v>
      </c>
      <c r="D881" s="108" t="s">
        <v>2542</v>
      </c>
      <c r="E881" s="108" t="s">
        <v>2838</v>
      </c>
      <c r="F881" s="108" t="s">
        <v>3105</v>
      </c>
      <c r="G881" s="108">
        <v>6</v>
      </c>
      <c r="H881" s="71"/>
      <c r="I881" s="109">
        <f t="shared" si="63"/>
        <v>37.019999999999996</v>
      </c>
      <c r="J881" s="110">
        <f t="shared" si="64"/>
        <v>0</v>
      </c>
      <c r="K881" s="111">
        <f t="shared" si="65"/>
        <v>6</v>
      </c>
      <c r="L881" s="110">
        <f t="shared" si="66"/>
        <v>37.019999999999996</v>
      </c>
      <c r="M881" s="112"/>
    </row>
    <row r="882" spans="2:13" s="52" customFormat="1" ht="19.5" hidden="1" customHeight="1">
      <c r="B882" s="108">
        <v>9</v>
      </c>
      <c r="C882" s="139" t="s">
        <v>55</v>
      </c>
      <c r="D882" s="108" t="s">
        <v>2543</v>
      </c>
      <c r="E882" s="108" t="s">
        <v>2839</v>
      </c>
      <c r="F882" s="108" t="s">
        <v>3104</v>
      </c>
      <c r="G882" s="108">
        <v>21</v>
      </c>
      <c r="H882" s="71">
        <f>8+18</f>
        <v>26</v>
      </c>
      <c r="I882" s="109">
        <f t="shared" si="63"/>
        <v>1425.48</v>
      </c>
      <c r="J882" s="110">
        <f t="shared" si="64"/>
        <v>1764.8799999999999</v>
      </c>
      <c r="K882" s="111">
        <f t="shared" si="65"/>
        <v>-5</v>
      </c>
      <c r="L882" s="110">
        <f t="shared" si="66"/>
        <v>-339.39999999999986</v>
      </c>
      <c r="M882" s="112"/>
    </row>
    <row r="883" spans="2:13" s="52" customFormat="1" ht="19.5" customHeight="1">
      <c r="B883" s="108">
        <v>9</v>
      </c>
      <c r="C883" s="139" t="s">
        <v>55</v>
      </c>
      <c r="D883" s="108" t="s">
        <v>2544</v>
      </c>
      <c r="E883" s="108" t="s">
        <v>2840</v>
      </c>
      <c r="F883" s="108" t="s">
        <v>3106</v>
      </c>
      <c r="G883" s="108">
        <v>23</v>
      </c>
      <c r="H883" s="71">
        <v>5</v>
      </c>
      <c r="I883" s="109">
        <f t="shared" si="63"/>
        <v>2219.27</v>
      </c>
      <c r="J883" s="110">
        <f t="shared" si="64"/>
        <v>482.45</v>
      </c>
      <c r="K883" s="111">
        <f t="shared" si="65"/>
        <v>18</v>
      </c>
      <c r="L883" s="110">
        <f t="shared" si="66"/>
        <v>1736.82</v>
      </c>
      <c r="M883" s="112"/>
    </row>
    <row r="884" spans="2:13" s="52" customFormat="1" ht="19.5" customHeight="1">
      <c r="B884" s="108">
        <v>9</v>
      </c>
      <c r="C884" s="139" t="s">
        <v>55</v>
      </c>
      <c r="D884" s="108" t="s">
        <v>2545</v>
      </c>
      <c r="E884" s="108" t="s">
        <v>2841</v>
      </c>
      <c r="F884" s="108" t="s">
        <v>3107</v>
      </c>
      <c r="G884" s="108">
        <v>50</v>
      </c>
      <c r="H884" s="71">
        <v>40</v>
      </c>
      <c r="I884" s="109">
        <f t="shared" si="63"/>
        <v>3107.5</v>
      </c>
      <c r="J884" s="110">
        <f t="shared" si="64"/>
        <v>2486</v>
      </c>
      <c r="K884" s="111">
        <f t="shared" si="65"/>
        <v>10</v>
      </c>
      <c r="L884" s="110">
        <f t="shared" si="66"/>
        <v>621.5</v>
      </c>
      <c r="M884" s="112"/>
    </row>
    <row r="885" spans="2:13" s="52" customFormat="1" ht="19.5" customHeight="1">
      <c r="B885" s="108">
        <v>9</v>
      </c>
      <c r="C885" s="139" t="s">
        <v>55</v>
      </c>
      <c r="D885" s="108" t="s">
        <v>2546</v>
      </c>
      <c r="E885" s="108" t="s">
        <v>2842</v>
      </c>
      <c r="F885" s="108" t="s">
        <v>3105</v>
      </c>
      <c r="G885" s="108">
        <v>6</v>
      </c>
      <c r="H885" s="71">
        <v>3</v>
      </c>
      <c r="I885" s="109">
        <f t="shared" si="63"/>
        <v>37.019999999999996</v>
      </c>
      <c r="J885" s="110">
        <f t="shared" si="64"/>
        <v>18.509999999999998</v>
      </c>
      <c r="K885" s="111">
        <f t="shared" si="65"/>
        <v>3</v>
      </c>
      <c r="L885" s="110">
        <f t="shared" si="66"/>
        <v>18.509999999999998</v>
      </c>
      <c r="M885" s="112"/>
    </row>
    <row r="886" spans="2:13" s="52" customFormat="1" ht="19.5" customHeight="1">
      <c r="B886" s="108">
        <v>9</v>
      </c>
      <c r="C886" s="139" t="s">
        <v>55</v>
      </c>
      <c r="D886" s="108" t="s">
        <v>2546</v>
      </c>
      <c r="E886" s="108" t="s">
        <v>2842</v>
      </c>
      <c r="F886" s="108" t="s">
        <v>3105</v>
      </c>
      <c r="G886" s="108">
        <v>72</v>
      </c>
      <c r="H886" s="71"/>
      <c r="I886" s="109">
        <f t="shared" si="63"/>
        <v>444.24</v>
      </c>
      <c r="J886" s="110">
        <f t="shared" si="64"/>
        <v>0</v>
      </c>
      <c r="K886" s="111">
        <f t="shared" si="65"/>
        <v>72</v>
      </c>
      <c r="L886" s="110">
        <f t="shared" si="66"/>
        <v>444.24</v>
      </c>
      <c r="M886" s="112"/>
    </row>
    <row r="887" spans="2:13" s="52" customFormat="1" ht="19.5" hidden="1" customHeight="1">
      <c r="B887" s="108">
        <v>9</v>
      </c>
      <c r="C887" s="139" t="s">
        <v>55</v>
      </c>
      <c r="D887" s="108" t="s">
        <v>2547</v>
      </c>
      <c r="E887" s="108" t="s">
        <v>2843</v>
      </c>
      <c r="F887" s="108" t="s">
        <v>3108</v>
      </c>
      <c r="G887" s="108">
        <v>108</v>
      </c>
      <c r="H887" s="71">
        <f>3+108</f>
        <v>111</v>
      </c>
      <c r="I887" s="109">
        <f t="shared" ref="I887:I937" si="67">F887*G887</f>
        <v>664.2</v>
      </c>
      <c r="J887" s="110">
        <f t="shared" si="64"/>
        <v>682.65000000000009</v>
      </c>
      <c r="K887" s="111">
        <f t="shared" si="65"/>
        <v>-3</v>
      </c>
      <c r="L887" s="110">
        <f t="shared" si="66"/>
        <v>-18.450000000000045</v>
      </c>
      <c r="M887" s="112"/>
    </row>
    <row r="888" spans="2:13" s="52" customFormat="1" ht="19.5" customHeight="1">
      <c r="B888" s="108">
        <v>9</v>
      </c>
      <c r="C888" s="139" t="s">
        <v>55</v>
      </c>
      <c r="D888" s="108" t="s">
        <v>2548</v>
      </c>
      <c r="E888" s="108" t="s">
        <v>2844</v>
      </c>
      <c r="F888" s="108" t="s">
        <v>3063</v>
      </c>
      <c r="G888" s="108">
        <v>4</v>
      </c>
      <c r="H888" s="71">
        <v>3</v>
      </c>
      <c r="I888" s="109">
        <f t="shared" si="67"/>
        <v>216</v>
      </c>
      <c r="J888" s="110">
        <f t="shared" si="64"/>
        <v>162</v>
      </c>
      <c r="K888" s="111">
        <f t="shared" si="65"/>
        <v>1</v>
      </c>
      <c r="L888" s="110">
        <f t="shared" si="66"/>
        <v>54</v>
      </c>
      <c r="M888" s="112"/>
    </row>
    <row r="889" spans="2:13" s="52" customFormat="1" ht="19.5" customHeight="1">
      <c r="B889" s="108">
        <v>9</v>
      </c>
      <c r="C889" s="139" t="s">
        <v>55</v>
      </c>
      <c r="D889" s="108" t="s">
        <v>2549</v>
      </c>
      <c r="E889" s="108" t="s">
        <v>2845</v>
      </c>
      <c r="F889" s="108" t="s">
        <v>3110</v>
      </c>
      <c r="G889" s="108">
        <v>5</v>
      </c>
      <c r="H889" s="71">
        <v>3</v>
      </c>
      <c r="I889" s="109">
        <f t="shared" si="67"/>
        <v>67.75</v>
      </c>
      <c r="J889" s="110">
        <f t="shared" si="64"/>
        <v>40.650000000000006</v>
      </c>
      <c r="K889" s="111">
        <f t="shared" si="65"/>
        <v>2</v>
      </c>
      <c r="L889" s="110">
        <f t="shared" si="66"/>
        <v>27.099999999999994</v>
      </c>
      <c r="M889" s="112"/>
    </row>
    <row r="890" spans="2:13" s="52" customFormat="1" ht="19.5" customHeight="1">
      <c r="B890" s="108">
        <v>9</v>
      </c>
      <c r="C890" s="139" t="s">
        <v>55</v>
      </c>
      <c r="D890" s="108" t="s">
        <v>2550</v>
      </c>
      <c r="E890" s="108" t="s">
        <v>2846</v>
      </c>
      <c r="F890" s="108" t="s">
        <v>3111</v>
      </c>
      <c r="G890" s="108">
        <v>2</v>
      </c>
      <c r="H890" s="71"/>
      <c r="I890" s="109">
        <f t="shared" si="67"/>
        <v>369.96</v>
      </c>
      <c r="J890" s="110">
        <f t="shared" si="64"/>
        <v>0</v>
      </c>
      <c r="K890" s="111">
        <f t="shared" si="65"/>
        <v>2</v>
      </c>
      <c r="L890" s="110">
        <f t="shared" si="66"/>
        <v>369.96</v>
      </c>
      <c r="M890" s="112"/>
    </row>
    <row r="891" spans="2:13" s="52" customFormat="1" ht="19.5" hidden="1" customHeight="1">
      <c r="B891" s="108">
        <v>9</v>
      </c>
      <c r="C891" s="139" t="s">
        <v>55</v>
      </c>
      <c r="D891" s="108" t="s">
        <v>2551</v>
      </c>
      <c r="E891" s="108" t="s">
        <v>2847</v>
      </c>
      <c r="F891" s="108" t="s">
        <v>3112</v>
      </c>
      <c r="G891" s="108">
        <v>5</v>
      </c>
      <c r="H891" s="71">
        <v>5</v>
      </c>
      <c r="I891" s="109">
        <f t="shared" si="67"/>
        <v>31.75</v>
      </c>
      <c r="J891" s="110">
        <f t="shared" si="64"/>
        <v>31.75</v>
      </c>
      <c r="K891" s="111">
        <f t="shared" si="65"/>
        <v>0</v>
      </c>
      <c r="L891" s="110">
        <f t="shared" si="66"/>
        <v>0</v>
      </c>
      <c r="M891" s="112"/>
    </row>
    <row r="892" spans="2:13" s="52" customFormat="1" ht="19.5" hidden="1" customHeight="1">
      <c r="B892" s="108">
        <v>9</v>
      </c>
      <c r="C892" s="139" t="s">
        <v>55</v>
      </c>
      <c r="D892" s="108" t="s">
        <v>2552</v>
      </c>
      <c r="E892" s="108" t="s">
        <v>2848</v>
      </c>
      <c r="F892" s="108" t="s">
        <v>3113</v>
      </c>
      <c r="G892" s="108">
        <v>5</v>
      </c>
      <c r="H892" s="71">
        <v>5</v>
      </c>
      <c r="I892" s="109">
        <f t="shared" si="67"/>
        <v>24</v>
      </c>
      <c r="J892" s="110">
        <f t="shared" si="64"/>
        <v>24</v>
      </c>
      <c r="K892" s="111">
        <f t="shared" si="65"/>
        <v>0</v>
      </c>
      <c r="L892" s="110">
        <f t="shared" si="66"/>
        <v>0</v>
      </c>
      <c r="M892" s="112"/>
    </row>
    <row r="893" spans="2:13" s="52" customFormat="1" ht="19.5" hidden="1" customHeight="1">
      <c r="B893" s="108">
        <v>9</v>
      </c>
      <c r="C893" s="139" t="s">
        <v>55</v>
      </c>
      <c r="D893" s="108" t="s">
        <v>2553</v>
      </c>
      <c r="E893" s="108" t="s">
        <v>2849</v>
      </c>
      <c r="F893" s="108" t="s">
        <v>3114</v>
      </c>
      <c r="G893" s="108">
        <v>20</v>
      </c>
      <c r="H893" s="71">
        <v>20</v>
      </c>
      <c r="I893" s="109">
        <f t="shared" si="67"/>
        <v>106</v>
      </c>
      <c r="J893" s="110">
        <f t="shared" si="64"/>
        <v>106</v>
      </c>
      <c r="K893" s="111">
        <f t="shared" si="65"/>
        <v>0</v>
      </c>
      <c r="L893" s="110">
        <f t="shared" si="66"/>
        <v>0</v>
      </c>
      <c r="M893" s="112"/>
    </row>
    <row r="894" spans="2:13" s="52" customFormat="1" ht="19.5" customHeight="1">
      <c r="B894" s="108">
        <v>9</v>
      </c>
      <c r="C894" s="139" t="s">
        <v>55</v>
      </c>
      <c r="D894" s="108" t="s">
        <v>2554</v>
      </c>
      <c r="E894" s="108" t="s">
        <v>2850</v>
      </c>
      <c r="F894" s="108" t="s">
        <v>3111</v>
      </c>
      <c r="G894" s="108">
        <v>3</v>
      </c>
      <c r="H894" s="71">
        <v>2</v>
      </c>
      <c r="I894" s="109">
        <f t="shared" si="67"/>
        <v>554.93999999999994</v>
      </c>
      <c r="J894" s="110">
        <f t="shared" si="64"/>
        <v>369.96</v>
      </c>
      <c r="K894" s="111">
        <f t="shared" si="65"/>
        <v>1</v>
      </c>
      <c r="L894" s="110">
        <f t="shared" si="66"/>
        <v>184.97999999999996</v>
      </c>
      <c r="M894" s="112"/>
    </row>
    <row r="895" spans="2:13" s="52" customFormat="1" ht="19.5" customHeight="1">
      <c r="B895" s="108">
        <v>9</v>
      </c>
      <c r="C895" s="139" t="s">
        <v>55</v>
      </c>
      <c r="D895" s="108" t="s">
        <v>2555</v>
      </c>
      <c r="E895" s="108" t="s">
        <v>2851</v>
      </c>
      <c r="F895" s="108" t="s">
        <v>3115</v>
      </c>
      <c r="G895" s="108">
        <v>314</v>
      </c>
      <c r="H895" s="71">
        <f>66+240</f>
        <v>306</v>
      </c>
      <c r="I895" s="109">
        <f t="shared" si="67"/>
        <v>2034.72</v>
      </c>
      <c r="J895" s="110">
        <f t="shared" si="64"/>
        <v>1982.88</v>
      </c>
      <c r="K895" s="111">
        <f t="shared" si="65"/>
        <v>8</v>
      </c>
      <c r="L895" s="110">
        <f t="shared" si="66"/>
        <v>51.839999999999918</v>
      </c>
      <c r="M895" s="112"/>
    </row>
    <row r="896" spans="2:13" s="52" customFormat="1" ht="19.5" hidden="1" customHeight="1">
      <c r="B896" s="108">
        <v>9</v>
      </c>
      <c r="C896" s="139" t="s">
        <v>55</v>
      </c>
      <c r="D896" s="108" t="s">
        <v>2556</v>
      </c>
      <c r="E896" s="108" t="s">
        <v>2852</v>
      </c>
      <c r="F896" s="108" t="s">
        <v>3112</v>
      </c>
      <c r="G896" s="108">
        <v>216</v>
      </c>
      <c r="H896" s="71">
        <v>216</v>
      </c>
      <c r="I896" s="109">
        <f t="shared" si="67"/>
        <v>1371.6</v>
      </c>
      <c r="J896" s="110">
        <f t="shared" si="64"/>
        <v>1371.6</v>
      </c>
      <c r="K896" s="111">
        <f t="shared" si="65"/>
        <v>0</v>
      </c>
      <c r="L896" s="110">
        <f t="shared" si="66"/>
        <v>0</v>
      </c>
      <c r="M896" s="112"/>
    </row>
    <row r="897" spans="2:13" s="52" customFormat="1" ht="19.5" hidden="1" customHeight="1">
      <c r="B897" s="108">
        <v>9</v>
      </c>
      <c r="C897" s="139" t="s">
        <v>55</v>
      </c>
      <c r="D897" s="108" t="s">
        <v>2557</v>
      </c>
      <c r="E897" s="108" t="s">
        <v>2853</v>
      </c>
      <c r="F897" s="108" t="s">
        <v>3116</v>
      </c>
      <c r="G897" s="108">
        <v>2</v>
      </c>
      <c r="H897" s="71">
        <v>2</v>
      </c>
      <c r="I897" s="109">
        <f t="shared" si="67"/>
        <v>8.6</v>
      </c>
      <c r="J897" s="110">
        <f t="shared" si="64"/>
        <v>8.6</v>
      </c>
      <c r="K897" s="111">
        <f t="shared" si="65"/>
        <v>0</v>
      </c>
      <c r="L897" s="110">
        <f t="shared" si="66"/>
        <v>0</v>
      </c>
      <c r="M897" s="112"/>
    </row>
    <row r="898" spans="2:13" s="52" customFormat="1" ht="19.5" customHeight="1">
      <c r="B898" s="108">
        <v>9</v>
      </c>
      <c r="C898" s="139" t="s">
        <v>55</v>
      </c>
      <c r="D898" s="108" t="s">
        <v>2558</v>
      </c>
      <c r="E898" s="108" t="s">
        <v>2854</v>
      </c>
      <c r="F898" s="108" t="s">
        <v>3117</v>
      </c>
      <c r="G898" s="108">
        <v>23</v>
      </c>
      <c r="H898" s="71">
        <v>6</v>
      </c>
      <c r="I898" s="109">
        <f t="shared" si="67"/>
        <v>117.3</v>
      </c>
      <c r="J898" s="110">
        <f t="shared" si="64"/>
        <v>30.599999999999998</v>
      </c>
      <c r="K898" s="111">
        <f t="shared" si="65"/>
        <v>17</v>
      </c>
      <c r="L898" s="110">
        <f t="shared" si="66"/>
        <v>86.7</v>
      </c>
      <c r="M898" s="112"/>
    </row>
    <row r="899" spans="2:13" s="52" customFormat="1" ht="19.5" customHeight="1">
      <c r="B899" s="108">
        <v>9</v>
      </c>
      <c r="C899" s="139" t="s">
        <v>55</v>
      </c>
      <c r="D899" s="108" t="s">
        <v>2559</v>
      </c>
      <c r="E899" s="108" t="s">
        <v>2855</v>
      </c>
      <c r="F899" s="108" t="s">
        <v>3118</v>
      </c>
      <c r="G899" s="108">
        <v>7</v>
      </c>
      <c r="H899" s="71">
        <v>1</v>
      </c>
      <c r="I899" s="109">
        <f t="shared" si="67"/>
        <v>400.53999999999996</v>
      </c>
      <c r="J899" s="110">
        <f t="shared" si="64"/>
        <v>57.22</v>
      </c>
      <c r="K899" s="111">
        <f t="shared" si="65"/>
        <v>6</v>
      </c>
      <c r="L899" s="110">
        <f t="shared" si="66"/>
        <v>343.31999999999994</v>
      </c>
      <c r="M899" s="112"/>
    </row>
    <row r="900" spans="2:13" s="52" customFormat="1" ht="19.5" customHeight="1">
      <c r="B900" s="108">
        <v>9</v>
      </c>
      <c r="C900" s="139" t="s">
        <v>55</v>
      </c>
      <c r="D900" s="108" t="s">
        <v>2560</v>
      </c>
      <c r="E900" s="108" t="s">
        <v>2856</v>
      </c>
      <c r="F900" s="108" t="s">
        <v>3119</v>
      </c>
      <c r="G900" s="108">
        <v>130</v>
      </c>
      <c r="H900" s="71"/>
      <c r="I900" s="109">
        <f t="shared" si="67"/>
        <v>676</v>
      </c>
      <c r="J900" s="110">
        <f t="shared" si="64"/>
        <v>0</v>
      </c>
      <c r="K900" s="111">
        <f t="shared" si="65"/>
        <v>130</v>
      </c>
      <c r="L900" s="110">
        <f t="shared" si="66"/>
        <v>676</v>
      </c>
      <c r="M900" s="112"/>
    </row>
    <row r="901" spans="2:13" s="52" customFormat="1" ht="19.5" hidden="1" customHeight="1">
      <c r="B901" s="108">
        <v>9</v>
      </c>
      <c r="C901" s="139" t="s">
        <v>55</v>
      </c>
      <c r="D901" s="108" t="s">
        <v>2561</v>
      </c>
      <c r="E901" s="108" t="s">
        <v>2857</v>
      </c>
      <c r="F901" s="108" t="s">
        <v>3116</v>
      </c>
      <c r="G901" s="108">
        <v>2</v>
      </c>
      <c r="H901" s="71">
        <v>2</v>
      </c>
      <c r="I901" s="109">
        <f t="shared" si="67"/>
        <v>8.6</v>
      </c>
      <c r="J901" s="110">
        <f t="shared" si="64"/>
        <v>8.6</v>
      </c>
      <c r="K901" s="111">
        <f t="shared" si="65"/>
        <v>0</v>
      </c>
      <c r="L901" s="110">
        <f t="shared" si="66"/>
        <v>0</v>
      </c>
      <c r="M901" s="112"/>
    </row>
    <row r="902" spans="2:13" s="52" customFormat="1" ht="19.5" customHeight="1">
      <c r="B902" s="108">
        <v>9</v>
      </c>
      <c r="C902" s="139" t="s">
        <v>55</v>
      </c>
      <c r="D902" s="108" t="s">
        <v>2562</v>
      </c>
      <c r="E902" s="108" t="s">
        <v>2858</v>
      </c>
      <c r="F902" s="108" t="s">
        <v>3120</v>
      </c>
      <c r="G902" s="108">
        <v>6</v>
      </c>
      <c r="H902" s="71"/>
      <c r="I902" s="109">
        <f t="shared" si="67"/>
        <v>35.519999999999996</v>
      </c>
      <c r="J902" s="110">
        <f t="shared" si="64"/>
        <v>0</v>
      </c>
      <c r="K902" s="111">
        <f t="shared" si="65"/>
        <v>6</v>
      </c>
      <c r="L902" s="110">
        <f t="shared" si="66"/>
        <v>35.519999999999996</v>
      </c>
      <c r="M902" s="112"/>
    </row>
    <row r="903" spans="2:13" s="52" customFormat="1" ht="19.5" customHeight="1">
      <c r="B903" s="108">
        <v>9</v>
      </c>
      <c r="C903" s="139" t="s">
        <v>55</v>
      </c>
      <c r="D903" s="108" t="s">
        <v>2563</v>
      </c>
      <c r="E903" s="108" t="s">
        <v>2859</v>
      </c>
      <c r="F903" s="108" t="s">
        <v>3121</v>
      </c>
      <c r="G903" s="108">
        <v>49</v>
      </c>
      <c r="H903" s="71">
        <f>5+37</f>
        <v>42</v>
      </c>
      <c r="I903" s="109">
        <f t="shared" si="67"/>
        <v>3133.55</v>
      </c>
      <c r="J903" s="110">
        <f t="shared" si="64"/>
        <v>2685.9</v>
      </c>
      <c r="K903" s="111">
        <f t="shared" si="65"/>
        <v>7</v>
      </c>
      <c r="L903" s="110">
        <f t="shared" si="66"/>
        <v>447.65000000000009</v>
      </c>
      <c r="M903" s="112"/>
    </row>
    <row r="904" spans="2:13" s="52" customFormat="1" ht="19.5" hidden="1" customHeight="1">
      <c r="B904" s="108">
        <v>9</v>
      </c>
      <c r="C904" s="139" t="s">
        <v>55</v>
      </c>
      <c r="D904" s="108" t="s">
        <v>2564</v>
      </c>
      <c r="E904" s="108" t="s">
        <v>2860</v>
      </c>
      <c r="F904" s="108" t="s">
        <v>3122</v>
      </c>
      <c r="G904" s="108">
        <v>1</v>
      </c>
      <c r="H904" s="71">
        <v>1</v>
      </c>
      <c r="I904" s="109">
        <f t="shared" si="67"/>
        <v>186.43</v>
      </c>
      <c r="J904" s="110">
        <f t="shared" si="64"/>
        <v>186.43</v>
      </c>
      <c r="K904" s="111">
        <f t="shared" si="65"/>
        <v>0</v>
      </c>
      <c r="L904" s="110">
        <f t="shared" si="66"/>
        <v>0</v>
      </c>
      <c r="M904" s="112"/>
    </row>
    <row r="905" spans="2:13" s="52" customFormat="1" ht="19.5" hidden="1" customHeight="1">
      <c r="B905" s="108">
        <v>9</v>
      </c>
      <c r="C905" s="139" t="s">
        <v>55</v>
      </c>
      <c r="D905" s="108" t="s">
        <v>2565</v>
      </c>
      <c r="E905" s="108" t="s">
        <v>2861</v>
      </c>
      <c r="F905" s="108" t="s">
        <v>3123</v>
      </c>
      <c r="G905" s="108">
        <v>2</v>
      </c>
      <c r="H905" s="71">
        <v>2</v>
      </c>
      <c r="I905" s="109">
        <f t="shared" si="67"/>
        <v>85.48</v>
      </c>
      <c r="J905" s="110">
        <f t="shared" si="64"/>
        <v>85.48</v>
      </c>
      <c r="K905" s="111">
        <f t="shared" si="65"/>
        <v>0</v>
      </c>
      <c r="L905" s="110">
        <f t="shared" si="66"/>
        <v>0</v>
      </c>
      <c r="M905" s="112"/>
    </row>
    <row r="906" spans="2:13" s="52" customFormat="1" ht="19.5" customHeight="1">
      <c r="B906" s="108">
        <v>9</v>
      </c>
      <c r="C906" s="139" t="s">
        <v>55</v>
      </c>
      <c r="D906" s="108" t="s">
        <v>2566</v>
      </c>
      <c r="E906" s="108" t="s">
        <v>2862</v>
      </c>
      <c r="F906" s="108" t="s">
        <v>3124</v>
      </c>
      <c r="G906" s="108">
        <v>63</v>
      </c>
      <c r="H906" s="71">
        <v>8</v>
      </c>
      <c r="I906" s="109">
        <f t="shared" si="67"/>
        <v>1653.75</v>
      </c>
      <c r="J906" s="110">
        <f t="shared" si="64"/>
        <v>210</v>
      </c>
      <c r="K906" s="111">
        <f t="shared" si="65"/>
        <v>55</v>
      </c>
      <c r="L906" s="110">
        <f t="shared" si="66"/>
        <v>1443.75</v>
      </c>
      <c r="M906" s="112"/>
    </row>
    <row r="907" spans="2:13" s="52" customFormat="1" ht="19.5" hidden="1" customHeight="1">
      <c r="B907" s="108">
        <v>9</v>
      </c>
      <c r="C907" s="139" t="s">
        <v>55</v>
      </c>
      <c r="D907" s="108" t="s">
        <v>2567</v>
      </c>
      <c r="E907" s="108" t="s">
        <v>2863</v>
      </c>
      <c r="F907" s="108" t="s">
        <v>3125</v>
      </c>
      <c r="G907" s="108">
        <v>250</v>
      </c>
      <c r="H907" s="71">
        <v>251</v>
      </c>
      <c r="I907" s="109">
        <f t="shared" si="67"/>
        <v>937.5</v>
      </c>
      <c r="J907" s="110">
        <f t="shared" ref="J907:J957" si="68">F907*H907</f>
        <v>941.25</v>
      </c>
      <c r="K907" s="111">
        <f t="shared" ref="K907:K957" si="69">G907-H907</f>
        <v>-1</v>
      </c>
      <c r="L907" s="110">
        <f t="shared" ref="L907:L957" si="70">I907-J907</f>
        <v>-3.75</v>
      </c>
      <c r="M907" s="112"/>
    </row>
    <row r="908" spans="2:13" s="52" customFormat="1" ht="19.5" customHeight="1">
      <c r="B908" s="108">
        <v>9</v>
      </c>
      <c r="C908" s="139" t="s">
        <v>55</v>
      </c>
      <c r="D908" s="108" t="s">
        <v>2568</v>
      </c>
      <c r="E908" s="108" t="s">
        <v>2864</v>
      </c>
      <c r="F908" s="108" t="s">
        <v>3126</v>
      </c>
      <c r="G908" s="108">
        <v>18</v>
      </c>
      <c r="H908" s="71"/>
      <c r="I908" s="109">
        <f t="shared" si="67"/>
        <v>354.06000000000006</v>
      </c>
      <c r="J908" s="110">
        <f t="shared" si="68"/>
        <v>0</v>
      </c>
      <c r="K908" s="111">
        <f t="shared" si="69"/>
        <v>18</v>
      </c>
      <c r="L908" s="110">
        <f t="shared" si="70"/>
        <v>354.06000000000006</v>
      </c>
      <c r="M908" s="112"/>
    </row>
    <row r="909" spans="2:13" s="52" customFormat="1" ht="19.5" hidden="1" customHeight="1">
      <c r="B909" s="108">
        <v>9</v>
      </c>
      <c r="C909" s="139" t="s">
        <v>55</v>
      </c>
      <c r="D909" s="108" t="s">
        <v>2569</v>
      </c>
      <c r="E909" s="108" t="s">
        <v>2865</v>
      </c>
      <c r="F909" s="108" t="s">
        <v>3127</v>
      </c>
      <c r="G909" s="108">
        <v>1</v>
      </c>
      <c r="H909" s="71">
        <v>1</v>
      </c>
      <c r="I909" s="109">
        <f t="shared" si="67"/>
        <v>30.96</v>
      </c>
      <c r="J909" s="110">
        <f t="shared" si="68"/>
        <v>30.96</v>
      </c>
      <c r="K909" s="111">
        <f t="shared" si="69"/>
        <v>0</v>
      </c>
      <c r="L909" s="110">
        <f t="shared" si="70"/>
        <v>0</v>
      </c>
      <c r="M909" s="112"/>
    </row>
    <row r="910" spans="2:13" s="52" customFormat="1" ht="19.5" customHeight="1">
      <c r="B910" s="108">
        <v>9</v>
      </c>
      <c r="C910" s="139" t="s">
        <v>55</v>
      </c>
      <c r="D910" s="108" t="s">
        <v>2570</v>
      </c>
      <c r="E910" s="108" t="s">
        <v>2866</v>
      </c>
      <c r="F910" s="108" t="s">
        <v>3128</v>
      </c>
      <c r="G910" s="108">
        <v>1</v>
      </c>
      <c r="H910" s="71"/>
      <c r="I910" s="109">
        <f t="shared" si="67"/>
        <v>551.66</v>
      </c>
      <c r="J910" s="110">
        <f t="shared" si="68"/>
        <v>0</v>
      </c>
      <c r="K910" s="111">
        <f t="shared" si="69"/>
        <v>1</v>
      </c>
      <c r="L910" s="110">
        <f t="shared" si="70"/>
        <v>551.66</v>
      </c>
      <c r="M910" s="112"/>
    </row>
    <row r="911" spans="2:13" s="52" customFormat="1" ht="19.5" customHeight="1">
      <c r="B911" s="108">
        <v>9</v>
      </c>
      <c r="C911" s="139" t="s">
        <v>55</v>
      </c>
      <c r="D911" s="108" t="s">
        <v>2571</v>
      </c>
      <c r="E911" s="108" t="s">
        <v>2867</v>
      </c>
      <c r="F911" s="108" t="s">
        <v>3129</v>
      </c>
      <c r="G911" s="108">
        <v>1</v>
      </c>
      <c r="H911" s="71"/>
      <c r="I911" s="109">
        <f t="shared" si="67"/>
        <v>171.82</v>
      </c>
      <c r="J911" s="110">
        <f t="shared" si="68"/>
        <v>0</v>
      </c>
      <c r="K911" s="111">
        <f t="shared" si="69"/>
        <v>1</v>
      </c>
      <c r="L911" s="110">
        <f t="shared" si="70"/>
        <v>171.82</v>
      </c>
      <c r="M911" s="112"/>
    </row>
    <row r="912" spans="2:13" s="52" customFormat="1" ht="19.5" customHeight="1">
      <c r="B912" s="108">
        <v>9</v>
      </c>
      <c r="C912" s="139" t="s">
        <v>55</v>
      </c>
      <c r="D912" s="108" t="s">
        <v>2572</v>
      </c>
      <c r="E912" s="108" t="s">
        <v>2868</v>
      </c>
      <c r="F912" s="108" t="s">
        <v>3130</v>
      </c>
      <c r="G912" s="108">
        <v>5</v>
      </c>
      <c r="H912" s="71"/>
      <c r="I912" s="109">
        <f t="shared" si="67"/>
        <v>421.8</v>
      </c>
      <c r="J912" s="110">
        <f t="shared" si="68"/>
        <v>0</v>
      </c>
      <c r="K912" s="111">
        <f t="shared" si="69"/>
        <v>5</v>
      </c>
      <c r="L912" s="110">
        <f t="shared" si="70"/>
        <v>421.8</v>
      </c>
      <c r="M912" s="112"/>
    </row>
    <row r="913" spans="2:13" s="52" customFormat="1" ht="19.5" customHeight="1">
      <c r="B913" s="108">
        <v>9</v>
      </c>
      <c r="C913" s="139" t="s">
        <v>55</v>
      </c>
      <c r="D913" s="108" t="s">
        <v>2573</v>
      </c>
      <c r="E913" s="108" t="s">
        <v>2869</v>
      </c>
      <c r="F913" s="108" t="s">
        <v>3131</v>
      </c>
      <c r="G913" s="108">
        <v>25</v>
      </c>
      <c r="H913" s="71">
        <f>14+3+6</f>
        <v>23</v>
      </c>
      <c r="I913" s="109">
        <f t="shared" si="67"/>
        <v>13239.500000000002</v>
      </c>
      <c r="J913" s="110">
        <f t="shared" si="68"/>
        <v>12180.34</v>
      </c>
      <c r="K913" s="111">
        <f t="shared" si="69"/>
        <v>2</v>
      </c>
      <c r="L913" s="110">
        <f t="shared" si="70"/>
        <v>1059.1600000000017</v>
      </c>
      <c r="M913" s="112"/>
    </row>
    <row r="914" spans="2:13" s="52" customFormat="1" ht="19.5" customHeight="1">
      <c r="B914" s="108">
        <v>9</v>
      </c>
      <c r="C914" s="139" t="s">
        <v>55</v>
      </c>
      <c r="D914" s="108" t="s">
        <v>2574</v>
      </c>
      <c r="E914" s="108" t="s">
        <v>2870</v>
      </c>
      <c r="F914" s="108" t="s">
        <v>3132</v>
      </c>
      <c r="G914" s="108">
        <v>11</v>
      </c>
      <c r="H914" s="71">
        <v>10</v>
      </c>
      <c r="I914" s="109">
        <f t="shared" si="67"/>
        <v>598.18000000000006</v>
      </c>
      <c r="J914" s="110">
        <f t="shared" si="68"/>
        <v>543.80000000000007</v>
      </c>
      <c r="K914" s="111">
        <f t="shared" si="69"/>
        <v>1</v>
      </c>
      <c r="L914" s="110">
        <f t="shared" si="70"/>
        <v>54.379999999999995</v>
      </c>
      <c r="M914" s="112"/>
    </row>
    <row r="915" spans="2:13" s="52" customFormat="1" ht="19.5" customHeight="1">
      <c r="B915" s="108">
        <v>9</v>
      </c>
      <c r="C915" s="139" t="s">
        <v>55</v>
      </c>
      <c r="D915" s="108" t="s">
        <v>2575</v>
      </c>
      <c r="E915" s="108" t="s">
        <v>2871</v>
      </c>
      <c r="F915" s="108" t="s">
        <v>3133</v>
      </c>
      <c r="G915" s="108">
        <v>37</v>
      </c>
      <c r="H915" s="71">
        <v>26</v>
      </c>
      <c r="I915" s="109">
        <f t="shared" si="67"/>
        <v>1148.8500000000001</v>
      </c>
      <c r="J915" s="110">
        <f t="shared" si="68"/>
        <v>807.30000000000007</v>
      </c>
      <c r="K915" s="111">
        <f t="shared" si="69"/>
        <v>11</v>
      </c>
      <c r="L915" s="110">
        <f t="shared" si="70"/>
        <v>341.55000000000007</v>
      </c>
      <c r="M915" s="112"/>
    </row>
    <row r="916" spans="2:13" s="52" customFormat="1" ht="19.5" customHeight="1">
      <c r="B916" s="108">
        <v>9</v>
      </c>
      <c r="C916" s="139" t="s">
        <v>55</v>
      </c>
      <c r="D916" s="108" t="s">
        <v>2576</v>
      </c>
      <c r="E916" s="108" t="s">
        <v>2872</v>
      </c>
      <c r="F916" s="108" t="s">
        <v>3134</v>
      </c>
      <c r="G916" s="108">
        <v>27</v>
      </c>
      <c r="H916" s="71">
        <v>21</v>
      </c>
      <c r="I916" s="109">
        <f t="shared" si="67"/>
        <v>753.3</v>
      </c>
      <c r="J916" s="110">
        <f t="shared" si="68"/>
        <v>585.9</v>
      </c>
      <c r="K916" s="111">
        <f t="shared" si="69"/>
        <v>6</v>
      </c>
      <c r="L916" s="110">
        <f t="shared" si="70"/>
        <v>167.39999999999998</v>
      </c>
      <c r="M916" s="112"/>
    </row>
    <row r="917" spans="2:13" s="52" customFormat="1" ht="19.5" customHeight="1">
      <c r="B917" s="108">
        <v>9</v>
      </c>
      <c r="C917" s="139" t="s">
        <v>55</v>
      </c>
      <c r="D917" s="108" t="s">
        <v>2577</v>
      </c>
      <c r="E917" s="108" t="s">
        <v>2873</v>
      </c>
      <c r="F917" s="108" t="s">
        <v>1820</v>
      </c>
      <c r="G917" s="108">
        <v>6</v>
      </c>
      <c r="H917" s="71"/>
      <c r="I917" s="109">
        <f t="shared" si="67"/>
        <v>153</v>
      </c>
      <c r="J917" s="110">
        <f t="shared" si="68"/>
        <v>0</v>
      </c>
      <c r="K917" s="111">
        <f t="shared" si="69"/>
        <v>6</v>
      </c>
      <c r="L917" s="110">
        <f t="shared" si="70"/>
        <v>153</v>
      </c>
      <c r="M917" s="112"/>
    </row>
    <row r="918" spans="2:13" s="52" customFormat="1" ht="19.5" hidden="1" customHeight="1">
      <c r="B918" s="108">
        <v>9</v>
      </c>
      <c r="C918" s="139" t="s">
        <v>55</v>
      </c>
      <c r="D918" s="108" t="s">
        <v>2578</v>
      </c>
      <c r="E918" s="108" t="s">
        <v>2874</v>
      </c>
      <c r="F918" s="108" t="s">
        <v>3135</v>
      </c>
      <c r="G918" s="108">
        <v>6</v>
      </c>
      <c r="H918" s="71">
        <v>6</v>
      </c>
      <c r="I918" s="109">
        <f t="shared" si="67"/>
        <v>1602</v>
      </c>
      <c r="J918" s="110">
        <f t="shared" si="68"/>
        <v>1602</v>
      </c>
      <c r="K918" s="111">
        <f t="shared" si="69"/>
        <v>0</v>
      </c>
      <c r="L918" s="110">
        <f t="shared" si="70"/>
        <v>0</v>
      </c>
      <c r="M918" s="112"/>
    </row>
    <row r="919" spans="2:13" s="52" customFormat="1" ht="19.5" hidden="1" customHeight="1">
      <c r="B919" s="108">
        <v>9</v>
      </c>
      <c r="C919" s="139" t="s">
        <v>55</v>
      </c>
      <c r="D919" s="108" t="s">
        <v>4679</v>
      </c>
      <c r="E919" s="108" t="s">
        <v>4683</v>
      </c>
      <c r="F919" s="108" t="s">
        <v>1822</v>
      </c>
      <c r="G919" s="108">
        <v>24</v>
      </c>
      <c r="H919" s="71">
        <v>24</v>
      </c>
      <c r="I919" s="109">
        <f t="shared" si="67"/>
        <v>360</v>
      </c>
      <c r="J919" s="110">
        <f t="shared" si="68"/>
        <v>360</v>
      </c>
      <c r="K919" s="111">
        <f t="shared" si="69"/>
        <v>0</v>
      </c>
      <c r="L919" s="110">
        <f t="shared" si="70"/>
        <v>0</v>
      </c>
      <c r="M919" s="112"/>
    </row>
    <row r="920" spans="2:13" s="52" customFormat="1" ht="19.5" hidden="1" customHeight="1">
      <c r="B920" s="108">
        <v>9</v>
      </c>
      <c r="C920" s="139" t="s">
        <v>55</v>
      </c>
      <c r="D920" s="108" t="s">
        <v>4680</v>
      </c>
      <c r="E920" s="108" t="s">
        <v>4684</v>
      </c>
      <c r="F920" s="108" t="s">
        <v>4687</v>
      </c>
      <c r="G920" s="108">
        <v>24</v>
      </c>
      <c r="H920" s="71">
        <v>24</v>
      </c>
      <c r="I920" s="109">
        <f t="shared" si="67"/>
        <v>321.60000000000002</v>
      </c>
      <c r="J920" s="110">
        <f t="shared" si="68"/>
        <v>321.60000000000002</v>
      </c>
      <c r="K920" s="111">
        <f t="shared" si="69"/>
        <v>0</v>
      </c>
      <c r="L920" s="110">
        <f t="shared" si="70"/>
        <v>0</v>
      </c>
      <c r="M920" s="112"/>
    </row>
    <row r="921" spans="2:13" s="52" customFormat="1" ht="19.5" hidden="1" customHeight="1">
      <c r="B921" s="108">
        <v>9</v>
      </c>
      <c r="C921" s="139" t="s">
        <v>55</v>
      </c>
      <c r="D921" s="108" t="s">
        <v>4681</v>
      </c>
      <c r="E921" s="108" t="s">
        <v>4685</v>
      </c>
      <c r="F921" s="108" t="s">
        <v>4688</v>
      </c>
      <c r="G921" s="108">
        <v>24</v>
      </c>
      <c r="H921" s="71">
        <v>24</v>
      </c>
      <c r="I921" s="109">
        <f t="shared" si="67"/>
        <v>315.60000000000002</v>
      </c>
      <c r="J921" s="110">
        <f t="shared" si="68"/>
        <v>315.60000000000002</v>
      </c>
      <c r="K921" s="111">
        <f t="shared" si="69"/>
        <v>0</v>
      </c>
      <c r="L921" s="110">
        <f t="shared" si="70"/>
        <v>0</v>
      </c>
      <c r="M921" s="112"/>
    </row>
    <row r="922" spans="2:13" s="52" customFormat="1" ht="19.5" customHeight="1">
      <c r="B922" s="108">
        <v>9</v>
      </c>
      <c r="C922" s="139" t="s">
        <v>55</v>
      </c>
      <c r="D922" s="108" t="s">
        <v>2579</v>
      </c>
      <c r="E922" s="108" t="s">
        <v>2875</v>
      </c>
      <c r="F922" s="108" t="s">
        <v>3137</v>
      </c>
      <c r="G922" s="108">
        <v>7</v>
      </c>
      <c r="H922" s="71">
        <v>4</v>
      </c>
      <c r="I922" s="109">
        <f t="shared" si="67"/>
        <v>360.84999999999997</v>
      </c>
      <c r="J922" s="110">
        <f t="shared" si="68"/>
        <v>206.2</v>
      </c>
      <c r="K922" s="111">
        <f t="shared" si="69"/>
        <v>3</v>
      </c>
      <c r="L922" s="110">
        <f t="shared" si="70"/>
        <v>154.64999999999998</v>
      </c>
      <c r="M922" s="112"/>
    </row>
    <row r="923" spans="2:13" s="52" customFormat="1" ht="19.5" customHeight="1">
      <c r="B923" s="108">
        <v>9</v>
      </c>
      <c r="C923" s="139" t="s">
        <v>55</v>
      </c>
      <c r="D923" s="108" t="s">
        <v>2580</v>
      </c>
      <c r="E923" s="108" t="s">
        <v>2876</v>
      </c>
      <c r="F923" s="108" t="s">
        <v>3136</v>
      </c>
      <c r="G923" s="108">
        <v>6</v>
      </c>
      <c r="H923" s="71">
        <v>4</v>
      </c>
      <c r="I923" s="109">
        <f t="shared" si="67"/>
        <v>307.79999999999995</v>
      </c>
      <c r="J923" s="110">
        <f t="shared" si="68"/>
        <v>205.2</v>
      </c>
      <c r="K923" s="111">
        <f t="shared" si="69"/>
        <v>2</v>
      </c>
      <c r="L923" s="110">
        <f t="shared" si="70"/>
        <v>102.59999999999997</v>
      </c>
      <c r="M923" s="112"/>
    </row>
    <row r="924" spans="2:13" s="52" customFormat="1" ht="19.5" customHeight="1">
      <c r="B924" s="108">
        <v>9</v>
      </c>
      <c r="C924" s="139" t="s">
        <v>55</v>
      </c>
      <c r="D924" s="108" t="s">
        <v>2581</v>
      </c>
      <c r="E924" s="108" t="s">
        <v>2877</v>
      </c>
      <c r="F924" s="108" t="s">
        <v>3138</v>
      </c>
      <c r="G924" s="108">
        <v>13</v>
      </c>
      <c r="H924" s="71">
        <v>11</v>
      </c>
      <c r="I924" s="109">
        <f t="shared" si="67"/>
        <v>802.75</v>
      </c>
      <c r="J924" s="110">
        <f t="shared" si="68"/>
        <v>679.25</v>
      </c>
      <c r="K924" s="111">
        <f t="shared" si="69"/>
        <v>2</v>
      </c>
      <c r="L924" s="110">
        <f t="shared" si="70"/>
        <v>123.5</v>
      </c>
      <c r="M924" s="112"/>
    </row>
    <row r="925" spans="2:13" s="52" customFormat="1" ht="19.5" customHeight="1">
      <c r="B925" s="108">
        <v>9</v>
      </c>
      <c r="C925" s="139" t="s">
        <v>55</v>
      </c>
      <c r="D925" s="108" t="s">
        <v>2582</v>
      </c>
      <c r="E925" s="108" t="s">
        <v>2878</v>
      </c>
      <c r="F925" s="108" t="s">
        <v>3139</v>
      </c>
      <c r="G925" s="108">
        <v>444</v>
      </c>
      <c r="H925" s="71">
        <f>8+3</f>
        <v>11</v>
      </c>
      <c r="I925" s="109">
        <f t="shared" si="67"/>
        <v>4528.7999999999993</v>
      </c>
      <c r="J925" s="110">
        <f t="shared" si="68"/>
        <v>112.19999999999999</v>
      </c>
      <c r="K925" s="111">
        <f t="shared" si="69"/>
        <v>433</v>
      </c>
      <c r="L925" s="110">
        <f t="shared" si="70"/>
        <v>4416.5999999999995</v>
      </c>
      <c r="M925" s="112"/>
    </row>
    <row r="926" spans="2:13" s="52" customFormat="1" ht="19.5" hidden="1" customHeight="1">
      <c r="B926" s="108">
        <v>9</v>
      </c>
      <c r="C926" s="139" t="s">
        <v>55</v>
      </c>
      <c r="D926" s="108" t="s">
        <v>2583</v>
      </c>
      <c r="E926" s="108" t="s">
        <v>2879</v>
      </c>
      <c r="F926" s="108" t="s">
        <v>1192</v>
      </c>
      <c r="G926" s="108">
        <v>2</v>
      </c>
      <c r="H926" s="71">
        <v>2</v>
      </c>
      <c r="I926" s="109">
        <f t="shared" si="67"/>
        <v>250</v>
      </c>
      <c r="J926" s="110">
        <f t="shared" si="68"/>
        <v>250</v>
      </c>
      <c r="K926" s="111">
        <f t="shared" si="69"/>
        <v>0</v>
      </c>
      <c r="L926" s="110">
        <f t="shared" si="70"/>
        <v>0</v>
      </c>
      <c r="M926" s="112"/>
    </row>
    <row r="927" spans="2:13" s="52" customFormat="1" ht="19.5" hidden="1" customHeight="1">
      <c r="B927" s="108">
        <v>9</v>
      </c>
      <c r="C927" s="139" t="s">
        <v>55</v>
      </c>
      <c r="D927" s="108" t="s">
        <v>2584</v>
      </c>
      <c r="E927" s="108" t="s">
        <v>2880</v>
      </c>
      <c r="F927" s="108" t="s">
        <v>3140</v>
      </c>
      <c r="G927" s="108">
        <v>5</v>
      </c>
      <c r="H927" s="71">
        <v>5</v>
      </c>
      <c r="I927" s="109">
        <f t="shared" si="67"/>
        <v>232.25</v>
      </c>
      <c r="J927" s="110">
        <f t="shared" si="68"/>
        <v>232.25</v>
      </c>
      <c r="K927" s="111">
        <f t="shared" si="69"/>
        <v>0</v>
      </c>
      <c r="L927" s="110">
        <f t="shared" si="70"/>
        <v>0</v>
      </c>
      <c r="M927" s="112"/>
    </row>
    <row r="928" spans="2:13" s="52" customFormat="1" ht="19.5" hidden="1" customHeight="1">
      <c r="B928" s="108">
        <v>9</v>
      </c>
      <c r="C928" s="139" t="s">
        <v>55</v>
      </c>
      <c r="D928" s="108" t="s">
        <v>2585</v>
      </c>
      <c r="E928" s="108" t="s">
        <v>2881</v>
      </c>
      <c r="F928" s="108" t="s">
        <v>3140</v>
      </c>
      <c r="G928" s="108">
        <v>5</v>
      </c>
      <c r="H928" s="71">
        <v>5</v>
      </c>
      <c r="I928" s="109">
        <f t="shared" si="67"/>
        <v>232.25</v>
      </c>
      <c r="J928" s="110">
        <f t="shared" si="68"/>
        <v>232.25</v>
      </c>
      <c r="K928" s="111">
        <f t="shared" si="69"/>
        <v>0</v>
      </c>
      <c r="L928" s="110">
        <f t="shared" si="70"/>
        <v>0</v>
      </c>
      <c r="M928" s="112"/>
    </row>
    <row r="929" spans="2:13" s="52" customFormat="1" ht="19.5" hidden="1" customHeight="1">
      <c r="B929" s="108">
        <v>9</v>
      </c>
      <c r="C929" s="139" t="s">
        <v>55</v>
      </c>
      <c r="D929" s="108" t="s">
        <v>2586</v>
      </c>
      <c r="E929" s="108" t="s">
        <v>2882</v>
      </c>
      <c r="F929" s="108" t="s">
        <v>3140</v>
      </c>
      <c r="G929" s="108">
        <v>3</v>
      </c>
      <c r="H929" s="71">
        <v>3</v>
      </c>
      <c r="I929" s="109">
        <f t="shared" si="67"/>
        <v>139.35000000000002</v>
      </c>
      <c r="J929" s="110">
        <f t="shared" si="68"/>
        <v>139.35000000000002</v>
      </c>
      <c r="K929" s="111">
        <f t="shared" si="69"/>
        <v>0</v>
      </c>
      <c r="L929" s="110">
        <f t="shared" si="70"/>
        <v>0</v>
      </c>
      <c r="M929" s="112"/>
    </row>
    <row r="930" spans="2:13" s="52" customFormat="1" ht="19.5" hidden="1" customHeight="1">
      <c r="B930" s="108">
        <v>9</v>
      </c>
      <c r="C930" s="139" t="s">
        <v>55</v>
      </c>
      <c r="D930" s="108" t="s">
        <v>2587</v>
      </c>
      <c r="E930" s="108" t="s">
        <v>2883</v>
      </c>
      <c r="F930" s="108" t="s">
        <v>3140</v>
      </c>
      <c r="G930" s="108">
        <v>3</v>
      </c>
      <c r="H930" s="71">
        <v>3</v>
      </c>
      <c r="I930" s="109">
        <f t="shared" si="67"/>
        <v>139.35000000000002</v>
      </c>
      <c r="J930" s="110">
        <f t="shared" si="68"/>
        <v>139.35000000000002</v>
      </c>
      <c r="K930" s="111">
        <f t="shared" si="69"/>
        <v>0</v>
      </c>
      <c r="L930" s="110">
        <f t="shared" si="70"/>
        <v>0</v>
      </c>
      <c r="M930" s="112"/>
    </row>
    <row r="931" spans="2:13" s="52" customFormat="1" ht="19.5" hidden="1" customHeight="1">
      <c r="B931" s="108">
        <v>9</v>
      </c>
      <c r="C931" s="139" t="s">
        <v>55</v>
      </c>
      <c r="D931" s="108" t="s">
        <v>2588</v>
      </c>
      <c r="E931" s="108" t="s">
        <v>2884</v>
      </c>
      <c r="F931" s="108" t="s">
        <v>3140</v>
      </c>
      <c r="G931" s="108">
        <v>1</v>
      </c>
      <c r="H931" s="71">
        <v>1</v>
      </c>
      <c r="I931" s="109">
        <f t="shared" si="67"/>
        <v>46.45</v>
      </c>
      <c r="J931" s="110">
        <f t="shared" si="68"/>
        <v>46.45</v>
      </c>
      <c r="K931" s="111">
        <f t="shared" si="69"/>
        <v>0</v>
      </c>
      <c r="L931" s="110">
        <f t="shared" si="70"/>
        <v>0</v>
      </c>
      <c r="M931" s="112"/>
    </row>
    <row r="932" spans="2:13" s="52" customFormat="1" ht="19.5" hidden="1" customHeight="1">
      <c r="B932" s="108">
        <v>9</v>
      </c>
      <c r="C932" s="139" t="s">
        <v>55</v>
      </c>
      <c r="D932" s="108" t="s">
        <v>2589</v>
      </c>
      <c r="E932" s="108" t="s">
        <v>2885</v>
      </c>
      <c r="F932" s="108" t="s">
        <v>3141</v>
      </c>
      <c r="G932" s="108">
        <v>1</v>
      </c>
      <c r="H932" s="71">
        <v>1</v>
      </c>
      <c r="I932" s="109">
        <f t="shared" si="67"/>
        <v>232.89</v>
      </c>
      <c r="J932" s="110">
        <f t="shared" si="68"/>
        <v>232.89</v>
      </c>
      <c r="K932" s="111">
        <f t="shared" si="69"/>
        <v>0</v>
      </c>
      <c r="L932" s="110">
        <f t="shared" si="70"/>
        <v>0</v>
      </c>
      <c r="M932" s="112"/>
    </row>
    <row r="933" spans="2:13" s="52" customFormat="1" ht="19.5" customHeight="1">
      <c r="B933" s="108">
        <v>9</v>
      </c>
      <c r="C933" s="139" t="s">
        <v>55</v>
      </c>
      <c r="D933" s="108" t="s">
        <v>2590</v>
      </c>
      <c r="E933" s="108" t="s">
        <v>2886</v>
      </c>
      <c r="F933" s="108" t="s">
        <v>3142</v>
      </c>
      <c r="G933" s="108">
        <v>320</v>
      </c>
      <c r="H933" s="71">
        <v>6</v>
      </c>
      <c r="I933" s="109">
        <f t="shared" si="67"/>
        <v>2182.4</v>
      </c>
      <c r="J933" s="110">
        <f t="shared" si="68"/>
        <v>40.92</v>
      </c>
      <c r="K933" s="111">
        <f t="shared" si="69"/>
        <v>314</v>
      </c>
      <c r="L933" s="110">
        <f t="shared" si="70"/>
        <v>2141.48</v>
      </c>
      <c r="M933" s="112"/>
    </row>
    <row r="934" spans="2:13" s="52" customFormat="1" ht="19.5" customHeight="1">
      <c r="B934" s="108">
        <v>9</v>
      </c>
      <c r="C934" s="139" t="s">
        <v>55</v>
      </c>
      <c r="D934" s="108" t="s">
        <v>2591</v>
      </c>
      <c r="E934" s="108" t="s">
        <v>2887</v>
      </c>
      <c r="F934" s="108" t="s">
        <v>3143</v>
      </c>
      <c r="G934" s="108">
        <v>183</v>
      </c>
      <c r="H934" s="71">
        <f>24+144</f>
        <v>168</v>
      </c>
      <c r="I934" s="109">
        <f t="shared" si="67"/>
        <v>920.49</v>
      </c>
      <c r="J934" s="110">
        <f t="shared" si="68"/>
        <v>845.04000000000008</v>
      </c>
      <c r="K934" s="111">
        <f t="shared" si="69"/>
        <v>15</v>
      </c>
      <c r="L934" s="110">
        <f t="shared" si="70"/>
        <v>75.449999999999932</v>
      </c>
      <c r="M934" s="112"/>
    </row>
    <row r="935" spans="2:13" s="52" customFormat="1" ht="19.5" hidden="1" customHeight="1">
      <c r="B935" s="108">
        <v>9</v>
      </c>
      <c r="C935" s="139" t="s">
        <v>55</v>
      </c>
      <c r="D935" s="108" t="s">
        <v>2592</v>
      </c>
      <c r="E935" s="108" t="s">
        <v>2888</v>
      </c>
      <c r="F935" s="108" t="s">
        <v>3144</v>
      </c>
      <c r="G935" s="108">
        <v>1411</v>
      </c>
      <c r="H935" s="71">
        <f>665+864</f>
        <v>1529</v>
      </c>
      <c r="I935" s="109">
        <f t="shared" si="67"/>
        <v>9764.1200000000008</v>
      </c>
      <c r="J935" s="110">
        <f t="shared" si="68"/>
        <v>10580.68</v>
      </c>
      <c r="K935" s="111">
        <f t="shared" si="69"/>
        <v>-118</v>
      </c>
      <c r="L935" s="110">
        <f t="shared" si="70"/>
        <v>-816.55999999999949</v>
      </c>
      <c r="M935" s="112"/>
    </row>
    <row r="936" spans="2:13" s="52" customFormat="1" ht="19.5" hidden="1" customHeight="1">
      <c r="B936" s="108">
        <v>9</v>
      </c>
      <c r="C936" s="139" t="s">
        <v>55</v>
      </c>
      <c r="D936" s="108" t="s">
        <v>2593</v>
      </c>
      <c r="E936" s="108" t="s">
        <v>2889</v>
      </c>
      <c r="F936" s="108" t="s">
        <v>4689</v>
      </c>
      <c r="G936" s="108">
        <v>144</v>
      </c>
      <c r="H936" s="71">
        <f>147+846</f>
        <v>993</v>
      </c>
      <c r="I936" s="109">
        <f t="shared" si="67"/>
        <v>1051.2</v>
      </c>
      <c r="J936" s="110">
        <f t="shared" si="68"/>
        <v>7248.9</v>
      </c>
      <c r="K936" s="111">
        <f t="shared" si="69"/>
        <v>-849</v>
      </c>
      <c r="L936" s="110">
        <f t="shared" si="70"/>
        <v>-6197.7</v>
      </c>
      <c r="M936" s="112"/>
    </row>
    <row r="937" spans="2:13" s="52" customFormat="1" ht="19.5" hidden="1" customHeight="1">
      <c r="B937" s="108">
        <v>9</v>
      </c>
      <c r="C937" s="139" t="s">
        <v>55</v>
      </c>
      <c r="D937" s="108" t="s">
        <v>2593</v>
      </c>
      <c r="E937" s="108" t="s">
        <v>2889</v>
      </c>
      <c r="F937" s="108" t="s">
        <v>3145</v>
      </c>
      <c r="G937" s="108">
        <v>637</v>
      </c>
      <c r="H937" s="71">
        <v>35944</v>
      </c>
      <c r="I937" s="109">
        <f t="shared" si="67"/>
        <v>4197.83</v>
      </c>
      <c r="J937" s="110">
        <f t="shared" si="68"/>
        <v>236870.96</v>
      </c>
      <c r="K937" s="111">
        <f t="shared" si="69"/>
        <v>-35307</v>
      </c>
      <c r="L937" s="110">
        <f t="shared" si="70"/>
        <v>-232673.13</v>
      </c>
      <c r="M937" s="112"/>
    </row>
    <row r="938" spans="2:13" s="52" customFormat="1" ht="19.5" hidden="1" customHeight="1">
      <c r="B938" s="108">
        <v>9</v>
      </c>
      <c r="C938" s="139" t="s">
        <v>55</v>
      </c>
      <c r="D938" s="108" t="s">
        <v>2594</v>
      </c>
      <c r="E938" s="108" t="s">
        <v>2890</v>
      </c>
      <c r="F938" s="108" t="s">
        <v>3146</v>
      </c>
      <c r="G938" s="108">
        <v>1</v>
      </c>
      <c r="H938" s="71">
        <v>1</v>
      </c>
      <c r="I938" s="109">
        <f t="shared" ref="I938:I999" si="71">F938*G938</f>
        <v>47.5</v>
      </c>
      <c r="J938" s="110">
        <f t="shared" si="68"/>
        <v>47.5</v>
      </c>
      <c r="K938" s="111">
        <f t="shared" si="69"/>
        <v>0</v>
      </c>
      <c r="L938" s="110">
        <f t="shared" si="70"/>
        <v>0</v>
      </c>
      <c r="M938" s="112"/>
    </row>
    <row r="939" spans="2:13" s="52" customFormat="1" ht="19.5" hidden="1" customHeight="1">
      <c r="B939" s="108">
        <v>9</v>
      </c>
      <c r="C939" s="139" t="s">
        <v>55</v>
      </c>
      <c r="D939" s="108" t="s">
        <v>2595</v>
      </c>
      <c r="E939" s="108" t="s">
        <v>2891</v>
      </c>
      <c r="F939" s="108" t="s">
        <v>3147</v>
      </c>
      <c r="G939" s="108">
        <v>1</v>
      </c>
      <c r="H939" s="71">
        <f>2+6</f>
        <v>8</v>
      </c>
      <c r="I939" s="109">
        <f t="shared" si="71"/>
        <v>39.200000000000003</v>
      </c>
      <c r="J939" s="110">
        <f t="shared" si="68"/>
        <v>313.60000000000002</v>
      </c>
      <c r="K939" s="111">
        <f t="shared" si="69"/>
        <v>-7</v>
      </c>
      <c r="L939" s="110">
        <f t="shared" si="70"/>
        <v>-274.40000000000003</v>
      </c>
      <c r="M939" s="112"/>
    </row>
    <row r="940" spans="2:13" s="52" customFormat="1" ht="19.5" customHeight="1">
      <c r="B940" s="108">
        <v>9</v>
      </c>
      <c r="C940" s="139" t="s">
        <v>55</v>
      </c>
      <c r="D940" s="108" t="s">
        <v>2596</v>
      </c>
      <c r="E940" s="108" t="s">
        <v>2892</v>
      </c>
      <c r="F940" s="108" t="s">
        <v>3148</v>
      </c>
      <c r="G940" s="108">
        <v>16</v>
      </c>
      <c r="H940" s="71">
        <v>4</v>
      </c>
      <c r="I940" s="109">
        <f t="shared" si="71"/>
        <v>913.6</v>
      </c>
      <c r="J940" s="110">
        <f t="shared" si="68"/>
        <v>228.4</v>
      </c>
      <c r="K940" s="111">
        <f t="shared" si="69"/>
        <v>12</v>
      </c>
      <c r="L940" s="110">
        <f t="shared" si="70"/>
        <v>685.2</v>
      </c>
      <c r="M940" s="112"/>
    </row>
    <row r="941" spans="2:13" s="52" customFormat="1" ht="19.5" hidden="1" customHeight="1">
      <c r="B941" s="108">
        <v>9</v>
      </c>
      <c r="C941" s="139" t="s">
        <v>55</v>
      </c>
      <c r="D941" s="108" t="s">
        <v>2597</v>
      </c>
      <c r="E941" s="108" t="s">
        <v>2893</v>
      </c>
      <c r="F941" s="108" t="s">
        <v>3149</v>
      </c>
      <c r="G941" s="108">
        <v>3</v>
      </c>
      <c r="H941" s="71">
        <v>3</v>
      </c>
      <c r="I941" s="109">
        <f t="shared" si="71"/>
        <v>325.64999999999998</v>
      </c>
      <c r="J941" s="110">
        <f t="shared" si="68"/>
        <v>325.64999999999998</v>
      </c>
      <c r="K941" s="111">
        <f t="shared" si="69"/>
        <v>0</v>
      </c>
      <c r="L941" s="110">
        <f t="shared" si="70"/>
        <v>0</v>
      </c>
      <c r="M941" s="112"/>
    </row>
    <row r="942" spans="2:13" s="52" customFormat="1" ht="19.5" customHeight="1">
      <c r="B942" s="108">
        <v>9</v>
      </c>
      <c r="C942" s="139" t="s">
        <v>55</v>
      </c>
      <c r="D942" s="108" t="s">
        <v>2598</v>
      </c>
      <c r="E942" s="108" t="s">
        <v>2894</v>
      </c>
      <c r="F942" s="108" t="s">
        <v>3150</v>
      </c>
      <c r="G942" s="108">
        <v>10</v>
      </c>
      <c r="H942" s="71">
        <v>3</v>
      </c>
      <c r="I942" s="109">
        <f t="shared" si="71"/>
        <v>311.5</v>
      </c>
      <c r="J942" s="110">
        <f t="shared" si="68"/>
        <v>93.449999999999989</v>
      </c>
      <c r="K942" s="111">
        <f t="shared" si="69"/>
        <v>7</v>
      </c>
      <c r="L942" s="110">
        <f t="shared" si="70"/>
        <v>218.05</v>
      </c>
      <c r="M942" s="112"/>
    </row>
    <row r="943" spans="2:13" s="52" customFormat="1" ht="19.5" customHeight="1">
      <c r="B943" s="108">
        <v>9</v>
      </c>
      <c r="C943" s="139" t="s">
        <v>55</v>
      </c>
      <c r="D943" s="108" t="s">
        <v>2599</v>
      </c>
      <c r="E943" s="108" t="s">
        <v>2895</v>
      </c>
      <c r="F943" s="108" t="s">
        <v>3151</v>
      </c>
      <c r="G943" s="108">
        <v>1</v>
      </c>
      <c r="H943" s="71"/>
      <c r="I943" s="109">
        <f t="shared" si="71"/>
        <v>93.75</v>
      </c>
      <c r="J943" s="110">
        <f t="shared" si="68"/>
        <v>0</v>
      </c>
      <c r="K943" s="111">
        <f t="shared" si="69"/>
        <v>1</v>
      </c>
      <c r="L943" s="110">
        <f t="shared" si="70"/>
        <v>93.75</v>
      </c>
      <c r="M943" s="112"/>
    </row>
    <row r="944" spans="2:13" s="52" customFormat="1" ht="19.5" customHeight="1">
      <c r="B944" s="108">
        <v>9</v>
      </c>
      <c r="C944" s="139" t="s">
        <v>55</v>
      </c>
      <c r="D944" s="108" t="s">
        <v>2600</v>
      </c>
      <c r="E944" s="108" t="s">
        <v>2896</v>
      </c>
      <c r="F944" s="108" t="s">
        <v>3152</v>
      </c>
      <c r="G944" s="108">
        <v>7</v>
      </c>
      <c r="H944" s="71">
        <v>5</v>
      </c>
      <c r="I944" s="109">
        <f t="shared" si="71"/>
        <v>329.7</v>
      </c>
      <c r="J944" s="110">
        <f t="shared" si="68"/>
        <v>235.5</v>
      </c>
      <c r="K944" s="111">
        <f t="shared" si="69"/>
        <v>2</v>
      </c>
      <c r="L944" s="110">
        <f t="shared" si="70"/>
        <v>94.199999999999989</v>
      </c>
      <c r="M944" s="112"/>
    </row>
    <row r="945" spans="2:13" s="52" customFormat="1" ht="19.5" customHeight="1">
      <c r="B945" s="108">
        <v>9</v>
      </c>
      <c r="C945" s="139" t="s">
        <v>55</v>
      </c>
      <c r="D945" s="108" t="s">
        <v>2601</v>
      </c>
      <c r="E945" s="108" t="s">
        <v>2897</v>
      </c>
      <c r="F945" s="108" t="s">
        <v>3153</v>
      </c>
      <c r="G945" s="108">
        <v>2</v>
      </c>
      <c r="H945" s="71"/>
      <c r="I945" s="109">
        <f t="shared" si="71"/>
        <v>162.69999999999999</v>
      </c>
      <c r="J945" s="110">
        <f t="shared" si="68"/>
        <v>0</v>
      </c>
      <c r="K945" s="111">
        <f t="shared" si="69"/>
        <v>2</v>
      </c>
      <c r="L945" s="110">
        <f t="shared" si="70"/>
        <v>162.69999999999999</v>
      </c>
      <c r="M945" s="112"/>
    </row>
    <row r="946" spans="2:13" s="52" customFormat="1" ht="19.5" customHeight="1">
      <c r="B946" s="108">
        <v>9</v>
      </c>
      <c r="C946" s="139" t="s">
        <v>55</v>
      </c>
      <c r="D946" s="108" t="s">
        <v>2602</v>
      </c>
      <c r="E946" s="108" t="s">
        <v>2898</v>
      </c>
      <c r="F946" s="108" t="s">
        <v>3154</v>
      </c>
      <c r="G946" s="108">
        <v>16</v>
      </c>
      <c r="H946" s="71">
        <v>9</v>
      </c>
      <c r="I946" s="109">
        <f t="shared" si="71"/>
        <v>385.28</v>
      </c>
      <c r="J946" s="110">
        <f t="shared" si="68"/>
        <v>216.71999999999997</v>
      </c>
      <c r="K946" s="111">
        <f t="shared" si="69"/>
        <v>7</v>
      </c>
      <c r="L946" s="110">
        <f t="shared" si="70"/>
        <v>168.56</v>
      </c>
      <c r="M946" s="112"/>
    </row>
    <row r="947" spans="2:13" s="52" customFormat="1" ht="19.5" customHeight="1">
      <c r="B947" s="108">
        <v>9</v>
      </c>
      <c r="C947" s="139" t="s">
        <v>55</v>
      </c>
      <c r="D947" s="108" t="s">
        <v>2603</v>
      </c>
      <c r="E947" s="108" t="s">
        <v>2899</v>
      </c>
      <c r="F947" s="108" t="s">
        <v>3155</v>
      </c>
      <c r="G947" s="108">
        <v>16</v>
      </c>
      <c r="H947" s="71"/>
      <c r="I947" s="109">
        <f t="shared" si="71"/>
        <v>739.68</v>
      </c>
      <c r="J947" s="110">
        <f t="shared" si="68"/>
        <v>0</v>
      </c>
      <c r="K947" s="111">
        <f t="shared" si="69"/>
        <v>16</v>
      </c>
      <c r="L947" s="110">
        <f t="shared" si="70"/>
        <v>739.68</v>
      </c>
      <c r="M947" s="112"/>
    </row>
    <row r="948" spans="2:13" s="52" customFormat="1" ht="19.5" hidden="1" customHeight="1">
      <c r="B948" s="108">
        <v>9</v>
      </c>
      <c r="C948" s="139" t="s">
        <v>55</v>
      </c>
      <c r="D948" s="108" t="s">
        <v>2604</v>
      </c>
      <c r="E948" s="108" t="s">
        <v>2900</v>
      </c>
      <c r="F948" s="108" t="s">
        <v>3156</v>
      </c>
      <c r="G948" s="108">
        <v>1</v>
      </c>
      <c r="H948" s="71">
        <v>1</v>
      </c>
      <c r="I948" s="109">
        <f t="shared" si="71"/>
        <v>49.95</v>
      </c>
      <c r="J948" s="110">
        <f t="shared" si="68"/>
        <v>49.95</v>
      </c>
      <c r="K948" s="111">
        <f t="shared" si="69"/>
        <v>0</v>
      </c>
      <c r="L948" s="110">
        <f t="shared" si="70"/>
        <v>0</v>
      </c>
      <c r="M948" s="112"/>
    </row>
    <row r="949" spans="2:13" s="52" customFormat="1" ht="19.5" customHeight="1">
      <c r="B949" s="108">
        <v>9</v>
      </c>
      <c r="C949" s="139" t="s">
        <v>55</v>
      </c>
      <c r="D949" s="108" t="s">
        <v>2605</v>
      </c>
      <c r="E949" s="108" t="s">
        <v>2901</v>
      </c>
      <c r="F949" s="108" t="s">
        <v>3157</v>
      </c>
      <c r="G949" s="108">
        <v>11</v>
      </c>
      <c r="H949" s="71">
        <v>10</v>
      </c>
      <c r="I949" s="109">
        <f t="shared" si="71"/>
        <v>307.45</v>
      </c>
      <c r="J949" s="110">
        <f t="shared" si="68"/>
        <v>279.5</v>
      </c>
      <c r="K949" s="111">
        <f t="shared" si="69"/>
        <v>1</v>
      </c>
      <c r="L949" s="110">
        <f t="shared" si="70"/>
        <v>27.949999999999989</v>
      </c>
      <c r="M949" s="112"/>
    </row>
    <row r="950" spans="2:13" s="52" customFormat="1" ht="19.5" customHeight="1">
      <c r="B950" s="108">
        <v>9</v>
      </c>
      <c r="C950" s="139" t="s">
        <v>55</v>
      </c>
      <c r="D950" s="108" t="s">
        <v>2606</v>
      </c>
      <c r="E950" s="108" t="s">
        <v>2902</v>
      </c>
      <c r="F950" s="108" t="s">
        <v>3158</v>
      </c>
      <c r="G950" s="108">
        <v>2</v>
      </c>
      <c r="H950" s="71"/>
      <c r="I950" s="109">
        <f t="shared" si="71"/>
        <v>115.7</v>
      </c>
      <c r="J950" s="110">
        <f t="shared" si="68"/>
        <v>0</v>
      </c>
      <c r="K950" s="111">
        <f t="shared" si="69"/>
        <v>2</v>
      </c>
      <c r="L950" s="110">
        <f t="shared" si="70"/>
        <v>115.7</v>
      </c>
      <c r="M950" s="112"/>
    </row>
    <row r="951" spans="2:13" s="52" customFormat="1" ht="19.5" customHeight="1">
      <c r="B951" s="108">
        <v>9</v>
      </c>
      <c r="C951" s="139" t="s">
        <v>55</v>
      </c>
      <c r="D951" s="108" t="s">
        <v>2607</v>
      </c>
      <c r="E951" s="108" t="s">
        <v>2903</v>
      </c>
      <c r="F951" s="108" t="s">
        <v>3159</v>
      </c>
      <c r="G951" s="108">
        <v>2</v>
      </c>
      <c r="H951" s="71"/>
      <c r="I951" s="109">
        <f t="shared" si="71"/>
        <v>189.4</v>
      </c>
      <c r="J951" s="110">
        <f t="shared" si="68"/>
        <v>0</v>
      </c>
      <c r="K951" s="111">
        <f t="shared" si="69"/>
        <v>2</v>
      </c>
      <c r="L951" s="110">
        <f t="shared" si="70"/>
        <v>189.4</v>
      </c>
      <c r="M951" s="112"/>
    </row>
    <row r="952" spans="2:13" s="52" customFormat="1" ht="19.5" customHeight="1">
      <c r="B952" s="108">
        <v>9</v>
      </c>
      <c r="C952" s="139" t="s">
        <v>55</v>
      </c>
      <c r="D952" s="108" t="s">
        <v>2608</v>
      </c>
      <c r="E952" s="108" t="s">
        <v>2904</v>
      </c>
      <c r="F952" s="108" t="s">
        <v>3160</v>
      </c>
      <c r="G952" s="108">
        <v>4</v>
      </c>
      <c r="H952" s="71"/>
      <c r="I952" s="109">
        <f t="shared" si="71"/>
        <v>55.8</v>
      </c>
      <c r="J952" s="110">
        <f t="shared" si="68"/>
        <v>0</v>
      </c>
      <c r="K952" s="111">
        <f t="shared" si="69"/>
        <v>4</v>
      </c>
      <c r="L952" s="110">
        <f t="shared" si="70"/>
        <v>55.8</v>
      </c>
      <c r="M952" s="112"/>
    </row>
    <row r="953" spans="2:13" s="52" customFormat="1" ht="19.5" hidden="1" customHeight="1">
      <c r="B953" s="108">
        <v>9</v>
      </c>
      <c r="C953" s="139" t="s">
        <v>55</v>
      </c>
      <c r="D953" s="108" t="s">
        <v>2609</v>
      </c>
      <c r="E953" s="108" t="s">
        <v>2905</v>
      </c>
      <c r="F953" s="108" t="s">
        <v>3161</v>
      </c>
      <c r="G953" s="108">
        <v>7</v>
      </c>
      <c r="H953" s="71">
        <v>7</v>
      </c>
      <c r="I953" s="109">
        <f t="shared" si="71"/>
        <v>168</v>
      </c>
      <c r="J953" s="110">
        <f t="shared" si="68"/>
        <v>168</v>
      </c>
      <c r="K953" s="111">
        <f t="shared" si="69"/>
        <v>0</v>
      </c>
      <c r="L953" s="110">
        <f t="shared" si="70"/>
        <v>0</v>
      </c>
      <c r="M953" s="112"/>
    </row>
    <row r="954" spans="2:13" s="52" customFormat="1" ht="19.5" customHeight="1">
      <c r="B954" s="108">
        <v>9</v>
      </c>
      <c r="C954" s="139" t="s">
        <v>55</v>
      </c>
      <c r="D954" s="108" t="s">
        <v>2610</v>
      </c>
      <c r="E954" s="108" t="s">
        <v>2906</v>
      </c>
      <c r="F954" s="108" t="s">
        <v>3147</v>
      </c>
      <c r="G954" s="108">
        <v>4</v>
      </c>
      <c r="H954" s="71">
        <v>3</v>
      </c>
      <c r="I954" s="109">
        <f t="shared" si="71"/>
        <v>156.80000000000001</v>
      </c>
      <c r="J954" s="110">
        <f t="shared" si="68"/>
        <v>117.60000000000001</v>
      </c>
      <c r="K954" s="111">
        <f t="shared" si="69"/>
        <v>1</v>
      </c>
      <c r="L954" s="110">
        <f t="shared" si="70"/>
        <v>39.200000000000003</v>
      </c>
      <c r="M954" s="112"/>
    </row>
    <row r="955" spans="2:13" s="52" customFormat="1" ht="19.5" customHeight="1">
      <c r="B955" s="108">
        <v>9</v>
      </c>
      <c r="C955" s="139" t="s">
        <v>55</v>
      </c>
      <c r="D955" s="108" t="s">
        <v>2611</v>
      </c>
      <c r="E955" s="108" t="s">
        <v>2907</v>
      </c>
      <c r="F955" s="108" t="s">
        <v>3162</v>
      </c>
      <c r="G955" s="108">
        <v>29</v>
      </c>
      <c r="H955" s="71">
        <v>7</v>
      </c>
      <c r="I955" s="109">
        <f t="shared" si="71"/>
        <v>448.34000000000003</v>
      </c>
      <c r="J955" s="110">
        <f t="shared" si="68"/>
        <v>108.22</v>
      </c>
      <c r="K955" s="111">
        <f t="shared" si="69"/>
        <v>22</v>
      </c>
      <c r="L955" s="110">
        <f t="shared" si="70"/>
        <v>340.12</v>
      </c>
      <c r="M955" s="112"/>
    </row>
    <row r="956" spans="2:13" s="52" customFormat="1" ht="19.5" customHeight="1">
      <c r="B956" s="108">
        <v>9</v>
      </c>
      <c r="C956" s="139" t="s">
        <v>55</v>
      </c>
      <c r="D956" s="108" t="s">
        <v>2612</v>
      </c>
      <c r="E956" s="108" t="s">
        <v>2908</v>
      </c>
      <c r="F956" s="108" t="s">
        <v>3100</v>
      </c>
      <c r="G956" s="108">
        <v>2</v>
      </c>
      <c r="H956" s="71"/>
      <c r="I956" s="109">
        <f t="shared" si="71"/>
        <v>354</v>
      </c>
      <c r="J956" s="110">
        <f t="shared" si="68"/>
        <v>0</v>
      </c>
      <c r="K956" s="111">
        <f t="shared" si="69"/>
        <v>2</v>
      </c>
      <c r="L956" s="110">
        <f t="shared" si="70"/>
        <v>354</v>
      </c>
      <c r="M956" s="112"/>
    </row>
    <row r="957" spans="2:13" s="52" customFormat="1" ht="19.5" hidden="1" customHeight="1">
      <c r="B957" s="108">
        <v>9</v>
      </c>
      <c r="C957" s="139" t="s">
        <v>55</v>
      </c>
      <c r="D957" s="108" t="s">
        <v>2613</v>
      </c>
      <c r="E957" s="108" t="s">
        <v>2909</v>
      </c>
      <c r="F957" s="108" t="s">
        <v>3163</v>
      </c>
      <c r="G957" s="108">
        <v>14</v>
      </c>
      <c r="H957" s="71">
        <f>4+10</f>
        <v>14</v>
      </c>
      <c r="I957" s="109">
        <f t="shared" si="71"/>
        <v>1650.74</v>
      </c>
      <c r="J957" s="110">
        <f t="shared" si="68"/>
        <v>1650.74</v>
      </c>
      <c r="K957" s="111">
        <f t="shared" si="69"/>
        <v>0</v>
      </c>
      <c r="L957" s="110">
        <f t="shared" si="70"/>
        <v>0</v>
      </c>
      <c r="M957" s="112"/>
    </row>
    <row r="958" spans="2:13" s="52" customFormat="1" ht="19.5" customHeight="1">
      <c r="B958" s="108">
        <v>9</v>
      </c>
      <c r="C958" s="139" t="s">
        <v>55</v>
      </c>
      <c r="D958" s="108" t="s">
        <v>2614</v>
      </c>
      <c r="E958" s="108" t="s">
        <v>2910</v>
      </c>
      <c r="F958" s="108" t="s">
        <v>3164</v>
      </c>
      <c r="G958" s="108">
        <v>14</v>
      </c>
      <c r="H958" s="71">
        <v>13</v>
      </c>
      <c r="I958" s="109">
        <f t="shared" si="71"/>
        <v>975.10000000000014</v>
      </c>
      <c r="J958" s="110">
        <f t="shared" ref="J958:J1020" si="72">F958*H958</f>
        <v>905.45</v>
      </c>
      <c r="K958" s="111">
        <f t="shared" ref="K958:K1020" si="73">G958-H958</f>
        <v>1</v>
      </c>
      <c r="L958" s="110">
        <f t="shared" ref="L958:L1020" si="74">I958-J958</f>
        <v>69.650000000000091</v>
      </c>
      <c r="M958" s="112"/>
    </row>
    <row r="959" spans="2:13" s="52" customFormat="1" ht="19.5" customHeight="1">
      <c r="B959" s="108">
        <v>9</v>
      </c>
      <c r="C959" s="139" t="s">
        <v>55</v>
      </c>
      <c r="D959" s="108" t="s">
        <v>2615</v>
      </c>
      <c r="E959" s="108" t="s">
        <v>2911</v>
      </c>
      <c r="F959" s="108" t="s">
        <v>3165</v>
      </c>
      <c r="G959" s="108">
        <v>1</v>
      </c>
      <c r="H959" s="71"/>
      <c r="I959" s="109">
        <f t="shared" si="71"/>
        <v>292.89</v>
      </c>
      <c r="J959" s="110">
        <f t="shared" si="72"/>
        <v>0</v>
      </c>
      <c r="K959" s="111">
        <f t="shared" si="73"/>
        <v>1</v>
      </c>
      <c r="L959" s="110">
        <f t="shared" si="74"/>
        <v>292.89</v>
      </c>
      <c r="M959" s="112"/>
    </row>
    <row r="960" spans="2:13" s="52" customFormat="1" ht="19.5" hidden="1" customHeight="1">
      <c r="B960" s="108">
        <v>9</v>
      </c>
      <c r="C960" s="139" t="s">
        <v>55</v>
      </c>
      <c r="D960" s="108" t="s">
        <v>2616</v>
      </c>
      <c r="E960" s="108" t="s">
        <v>2912</v>
      </c>
      <c r="F960" s="108" t="s">
        <v>3166</v>
      </c>
      <c r="G960" s="108">
        <v>2</v>
      </c>
      <c r="H960" s="71">
        <v>2</v>
      </c>
      <c r="I960" s="109">
        <f t="shared" si="71"/>
        <v>126.28</v>
      </c>
      <c r="J960" s="110">
        <f t="shared" si="72"/>
        <v>126.28</v>
      </c>
      <c r="K960" s="111">
        <f t="shared" si="73"/>
        <v>0</v>
      </c>
      <c r="L960" s="110">
        <f t="shared" si="74"/>
        <v>0</v>
      </c>
      <c r="M960" s="112"/>
    </row>
    <row r="961" spans="2:13" s="52" customFormat="1" ht="19.5" customHeight="1">
      <c r="B961" s="108">
        <v>9</v>
      </c>
      <c r="C961" s="139" t="s">
        <v>55</v>
      </c>
      <c r="D961" s="108" t="s">
        <v>2617</v>
      </c>
      <c r="E961" s="108" t="s">
        <v>2913</v>
      </c>
      <c r="F961" s="108" t="s">
        <v>3134</v>
      </c>
      <c r="G961" s="108">
        <v>6</v>
      </c>
      <c r="H961" s="71"/>
      <c r="I961" s="109">
        <f t="shared" si="71"/>
        <v>167.39999999999998</v>
      </c>
      <c r="J961" s="110">
        <f t="shared" si="72"/>
        <v>0</v>
      </c>
      <c r="K961" s="111">
        <f t="shared" si="73"/>
        <v>6</v>
      </c>
      <c r="L961" s="110">
        <f t="shared" si="74"/>
        <v>167.39999999999998</v>
      </c>
      <c r="M961" s="112"/>
    </row>
    <row r="962" spans="2:13" s="52" customFormat="1" ht="19.5" customHeight="1">
      <c r="B962" s="108">
        <v>9</v>
      </c>
      <c r="C962" s="139" t="s">
        <v>55</v>
      </c>
      <c r="D962" s="108" t="s">
        <v>2618</v>
      </c>
      <c r="E962" s="108" t="s">
        <v>2914</v>
      </c>
      <c r="F962" s="108" t="s">
        <v>3167</v>
      </c>
      <c r="G962" s="108">
        <v>1</v>
      </c>
      <c r="H962" s="71"/>
      <c r="I962" s="109">
        <f t="shared" si="71"/>
        <v>71.650000000000006</v>
      </c>
      <c r="J962" s="110">
        <f t="shared" si="72"/>
        <v>0</v>
      </c>
      <c r="K962" s="111">
        <f t="shared" si="73"/>
        <v>1</v>
      </c>
      <c r="L962" s="110">
        <f t="shared" si="74"/>
        <v>71.650000000000006</v>
      </c>
      <c r="M962" s="112"/>
    </row>
    <row r="963" spans="2:13" s="52" customFormat="1" ht="19.5" customHeight="1">
      <c r="B963" s="108">
        <v>9</v>
      </c>
      <c r="C963" s="139" t="s">
        <v>55</v>
      </c>
      <c r="D963" s="108" t="s">
        <v>2619</v>
      </c>
      <c r="E963" s="108" t="s">
        <v>2915</v>
      </c>
      <c r="F963" s="108" t="s">
        <v>3168</v>
      </c>
      <c r="G963" s="108">
        <v>26</v>
      </c>
      <c r="H963" s="71"/>
      <c r="I963" s="109">
        <f t="shared" si="71"/>
        <v>1838.2</v>
      </c>
      <c r="J963" s="110">
        <f t="shared" si="72"/>
        <v>0</v>
      </c>
      <c r="K963" s="111">
        <f t="shared" si="73"/>
        <v>26</v>
      </c>
      <c r="L963" s="110">
        <f t="shared" si="74"/>
        <v>1838.2</v>
      </c>
      <c r="M963" s="112"/>
    </row>
    <row r="964" spans="2:13" s="52" customFormat="1" ht="19.5" customHeight="1">
      <c r="B964" s="108">
        <v>9</v>
      </c>
      <c r="C964" s="139" t="s">
        <v>55</v>
      </c>
      <c r="D964" s="108" t="s">
        <v>2620</v>
      </c>
      <c r="E964" s="108" t="s">
        <v>2916</v>
      </c>
      <c r="F964" s="108" t="s">
        <v>3169</v>
      </c>
      <c r="G964" s="108">
        <v>30</v>
      </c>
      <c r="H964" s="71">
        <v>17</v>
      </c>
      <c r="I964" s="109">
        <f t="shared" si="71"/>
        <v>1873.5</v>
      </c>
      <c r="J964" s="110">
        <f t="shared" si="72"/>
        <v>1061.6500000000001</v>
      </c>
      <c r="K964" s="111">
        <f t="shared" si="73"/>
        <v>13</v>
      </c>
      <c r="L964" s="110">
        <f t="shared" si="74"/>
        <v>811.84999999999991</v>
      </c>
      <c r="M964" s="112"/>
    </row>
    <row r="965" spans="2:13" s="52" customFormat="1" ht="19.5" customHeight="1">
      <c r="B965" s="108">
        <v>9</v>
      </c>
      <c r="C965" s="139" t="s">
        <v>55</v>
      </c>
      <c r="D965" s="108" t="s">
        <v>2621</v>
      </c>
      <c r="E965" s="108" t="s">
        <v>2917</v>
      </c>
      <c r="F965" s="108" t="s">
        <v>3170</v>
      </c>
      <c r="G965" s="108">
        <v>3</v>
      </c>
      <c r="H965" s="71"/>
      <c r="I965" s="109">
        <f t="shared" si="71"/>
        <v>1041.1500000000001</v>
      </c>
      <c r="J965" s="110">
        <f t="shared" si="72"/>
        <v>0</v>
      </c>
      <c r="K965" s="111">
        <f t="shared" si="73"/>
        <v>3</v>
      </c>
      <c r="L965" s="110">
        <f t="shared" si="74"/>
        <v>1041.1500000000001</v>
      </c>
      <c r="M965" s="112"/>
    </row>
    <row r="966" spans="2:13" s="52" customFormat="1" ht="19.5" hidden="1" customHeight="1">
      <c r="B966" s="108">
        <v>9</v>
      </c>
      <c r="C966" s="139" t="s">
        <v>55</v>
      </c>
      <c r="D966" s="108" t="s">
        <v>2622</v>
      </c>
      <c r="E966" s="108" t="s">
        <v>2918</v>
      </c>
      <c r="F966" s="108" t="s">
        <v>3171</v>
      </c>
      <c r="G966" s="108">
        <v>2</v>
      </c>
      <c r="H966" s="71">
        <v>2</v>
      </c>
      <c r="I966" s="109">
        <f t="shared" si="71"/>
        <v>636.20000000000005</v>
      </c>
      <c r="J966" s="110">
        <f t="shared" si="72"/>
        <v>636.20000000000005</v>
      </c>
      <c r="K966" s="111">
        <f t="shared" si="73"/>
        <v>0</v>
      </c>
      <c r="L966" s="110">
        <f t="shared" si="74"/>
        <v>0</v>
      </c>
      <c r="M966" s="112"/>
    </row>
    <row r="967" spans="2:13" s="52" customFormat="1" ht="19.5" customHeight="1">
      <c r="B967" s="108">
        <v>9</v>
      </c>
      <c r="C967" s="139" t="s">
        <v>55</v>
      </c>
      <c r="D967" s="108" t="s">
        <v>2623</v>
      </c>
      <c r="E967" s="108" t="s">
        <v>2919</v>
      </c>
      <c r="F967" s="108" t="s">
        <v>3172</v>
      </c>
      <c r="G967" s="108">
        <v>3</v>
      </c>
      <c r="H967" s="71"/>
      <c r="I967" s="109">
        <f t="shared" si="71"/>
        <v>1127.8499999999999</v>
      </c>
      <c r="J967" s="110">
        <f t="shared" si="72"/>
        <v>0</v>
      </c>
      <c r="K967" s="111">
        <f t="shared" si="73"/>
        <v>3</v>
      </c>
      <c r="L967" s="110">
        <f t="shared" si="74"/>
        <v>1127.8499999999999</v>
      </c>
      <c r="M967" s="112"/>
    </row>
    <row r="968" spans="2:13" s="52" customFormat="1" ht="19.5" customHeight="1">
      <c r="B968" s="108">
        <v>9</v>
      </c>
      <c r="C968" s="139" t="s">
        <v>55</v>
      </c>
      <c r="D968" s="108" t="s">
        <v>2624</v>
      </c>
      <c r="E968" s="108" t="s">
        <v>2920</v>
      </c>
      <c r="F968" s="108" t="s">
        <v>3173</v>
      </c>
      <c r="G968" s="108">
        <v>5</v>
      </c>
      <c r="H968" s="71"/>
      <c r="I968" s="109">
        <f t="shared" si="71"/>
        <v>352</v>
      </c>
      <c r="J968" s="110">
        <f t="shared" si="72"/>
        <v>0</v>
      </c>
      <c r="K968" s="111">
        <f t="shared" si="73"/>
        <v>5</v>
      </c>
      <c r="L968" s="110">
        <f t="shared" si="74"/>
        <v>352</v>
      </c>
      <c r="M968" s="112"/>
    </row>
    <row r="969" spans="2:13" s="52" customFormat="1" ht="19.5" customHeight="1">
      <c r="B969" s="108">
        <v>9</v>
      </c>
      <c r="C969" s="139" t="s">
        <v>55</v>
      </c>
      <c r="D969" s="108" t="s">
        <v>2625</v>
      </c>
      <c r="E969" s="108" t="s">
        <v>2921</v>
      </c>
      <c r="F969" s="108" t="s">
        <v>3174</v>
      </c>
      <c r="G969" s="108">
        <v>2</v>
      </c>
      <c r="H969" s="71"/>
      <c r="I969" s="109">
        <f t="shared" si="71"/>
        <v>418.6</v>
      </c>
      <c r="J969" s="110">
        <f t="shared" si="72"/>
        <v>0</v>
      </c>
      <c r="K969" s="111">
        <f t="shared" si="73"/>
        <v>2</v>
      </c>
      <c r="L969" s="110">
        <f t="shared" si="74"/>
        <v>418.6</v>
      </c>
      <c r="M969" s="112"/>
    </row>
    <row r="970" spans="2:13" s="52" customFormat="1" ht="19.5" customHeight="1">
      <c r="B970" s="108">
        <v>9</v>
      </c>
      <c r="C970" s="139" t="s">
        <v>55</v>
      </c>
      <c r="D970" s="108" t="s">
        <v>2626</v>
      </c>
      <c r="E970" s="108" t="s">
        <v>2922</v>
      </c>
      <c r="F970" s="108" t="s">
        <v>3175</v>
      </c>
      <c r="G970" s="108">
        <v>18</v>
      </c>
      <c r="H970" s="71">
        <v>1</v>
      </c>
      <c r="I970" s="109">
        <f t="shared" si="71"/>
        <v>511.2</v>
      </c>
      <c r="J970" s="110">
        <f t="shared" si="72"/>
        <v>28.4</v>
      </c>
      <c r="K970" s="111">
        <f t="shared" si="73"/>
        <v>17</v>
      </c>
      <c r="L970" s="110">
        <f t="shared" si="74"/>
        <v>482.8</v>
      </c>
      <c r="M970" s="112"/>
    </row>
    <row r="971" spans="2:13" s="52" customFormat="1" ht="19.5" customHeight="1">
      <c r="B971" s="108">
        <v>9</v>
      </c>
      <c r="C971" s="139" t="s">
        <v>55</v>
      </c>
      <c r="D971" s="108" t="s">
        <v>2627</v>
      </c>
      <c r="E971" s="108" t="s">
        <v>2923</v>
      </c>
      <c r="F971" s="108" t="s">
        <v>3176</v>
      </c>
      <c r="G971" s="108">
        <v>107</v>
      </c>
      <c r="H971" s="71">
        <f>6+18+25</f>
        <v>49</v>
      </c>
      <c r="I971" s="109">
        <f t="shared" si="71"/>
        <v>4003.94</v>
      </c>
      <c r="J971" s="110">
        <f t="shared" si="72"/>
        <v>1833.5800000000002</v>
      </c>
      <c r="K971" s="111">
        <f t="shared" si="73"/>
        <v>58</v>
      </c>
      <c r="L971" s="110">
        <f t="shared" si="74"/>
        <v>2170.3599999999997</v>
      </c>
      <c r="M971" s="112"/>
    </row>
    <row r="972" spans="2:13" s="52" customFormat="1" ht="19.5" customHeight="1">
      <c r="B972" s="108">
        <v>9</v>
      </c>
      <c r="C972" s="139" t="s">
        <v>55</v>
      </c>
      <c r="D972" s="108" t="s">
        <v>2628</v>
      </c>
      <c r="E972" s="108" t="s">
        <v>2924</v>
      </c>
      <c r="F972" s="108" t="s">
        <v>3177</v>
      </c>
      <c r="G972" s="108">
        <v>53</v>
      </c>
      <c r="H972" s="71"/>
      <c r="I972" s="109">
        <f t="shared" si="71"/>
        <v>3402.6000000000004</v>
      </c>
      <c r="J972" s="110">
        <f t="shared" si="72"/>
        <v>0</v>
      </c>
      <c r="K972" s="111">
        <f t="shared" si="73"/>
        <v>53</v>
      </c>
      <c r="L972" s="110">
        <f t="shared" si="74"/>
        <v>3402.6000000000004</v>
      </c>
      <c r="M972" s="112"/>
    </row>
    <row r="973" spans="2:13" s="52" customFormat="1" ht="19.5" hidden="1" customHeight="1">
      <c r="B973" s="108">
        <v>9</v>
      </c>
      <c r="C973" s="139" t="s">
        <v>55</v>
      </c>
      <c r="D973" s="108" t="s">
        <v>2629</v>
      </c>
      <c r="E973" s="108" t="s">
        <v>2925</v>
      </c>
      <c r="F973" s="108" t="s">
        <v>3178</v>
      </c>
      <c r="G973" s="108">
        <v>2</v>
      </c>
      <c r="H973" s="71">
        <v>6</v>
      </c>
      <c r="I973" s="109">
        <f t="shared" si="71"/>
        <v>381.6</v>
      </c>
      <c r="J973" s="110">
        <f t="shared" si="72"/>
        <v>1144.8000000000002</v>
      </c>
      <c r="K973" s="111">
        <f t="shared" si="73"/>
        <v>-4</v>
      </c>
      <c r="L973" s="110">
        <f t="shared" si="74"/>
        <v>-763.20000000000016</v>
      </c>
      <c r="M973" s="112"/>
    </row>
    <row r="974" spans="2:13" s="52" customFormat="1" ht="19.5" customHeight="1">
      <c r="B974" s="108">
        <v>9</v>
      </c>
      <c r="C974" s="139" t="s">
        <v>55</v>
      </c>
      <c r="D974" s="108" t="s">
        <v>2630</v>
      </c>
      <c r="E974" s="108" t="s">
        <v>2926</v>
      </c>
      <c r="F974" s="108" t="s">
        <v>3179</v>
      </c>
      <c r="G974" s="108">
        <v>10</v>
      </c>
      <c r="H974" s="71"/>
      <c r="I974" s="109">
        <f t="shared" si="71"/>
        <v>259.5</v>
      </c>
      <c r="J974" s="110">
        <f t="shared" si="72"/>
        <v>0</v>
      </c>
      <c r="K974" s="111">
        <f t="shared" si="73"/>
        <v>10</v>
      </c>
      <c r="L974" s="110">
        <f t="shared" si="74"/>
        <v>259.5</v>
      </c>
      <c r="M974" s="112"/>
    </row>
    <row r="975" spans="2:13" s="52" customFormat="1" ht="19.5" customHeight="1">
      <c r="B975" s="108">
        <v>9</v>
      </c>
      <c r="C975" s="139" t="s">
        <v>55</v>
      </c>
      <c r="D975" s="108" t="s">
        <v>2631</v>
      </c>
      <c r="E975" s="108" t="s">
        <v>2927</v>
      </c>
      <c r="F975" s="108" t="s">
        <v>3180</v>
      </c>
      <c r="G975" s="108">
        <v>8</v>
      </c>
      <c r="H975" s="71">
        <v>6</v>
      </c>
      <c r="I975" s="109">
        <f t="shared" si="71"/>
        <v>656.8</v>
      </c>
      <c r="J975" s="110">
        <f t="shared" si="72"/>
        <v>492.59999999999997</v>
      </c>
      <c r="K975" s="111">
        <f t="shared" si="73"/>
        <v>2</v>
      </c>
      <c r="L975" s="110">
        <f t="shared" si="74"/>
        <v>164.2</v>
      </c>
      <c r="M975" s="112"/>
    </row>
    <row r="976" spans="2:13" s="52" customFormat="1" ht="19.5" customHeight="1">
      <c r="B976" s="108">
        <v>9</v>
      </c>
      <c r="C976" s="139" t="s">
        <v>55</v>
      </c>
      <c r="D976" s="108" t="s">
        <v>2632</v>
      </c>
      <c r="E976" s="108" t="s">
        <v>2928</v>
      </c>
      <c r="F976" s="108" t="s">
        <v>3181</v>
      </c>
      <c r="G976" s="108">
        <v>3</v>
      </c>
      <c r="H976" s="71">
        <v>2</v>
      </c>
      <c r="I976" s="109">
        <f t="shared" si="71"/>
        <v>739.05</v>
      </c>
      <c r="J976" s="110">
        <f t="shared" si="72"/>
        <v>492.7</v>
      </c>
      <c r="K976" s="111">
        <f t="shared" si="73"/>
        <v>1</v>
      </c>
      <c r="L976" s="110">
        <f t="shared" si="74"/>
        <v>246.34999999999997</v>
      </c>
      <c r="M976" s="112"/>
    </row>
    <row r="977" spans="2:13" s="52" customFormat="1" ht="19.5" hidden="1" customHeight="1">
      <c r="B977" s="108">
        <v>9</v>
      </c>
      <c r="C977" s="139" t="s">
        <v>55</v>
      </c>
      <c r="D977" s="108" t="s">
        <v>2633</v>
      </c>
      <c r="E977" s="108" t="s">
        <v>2929</v>
      </c>
      <c r="F977" s="108" t="s">
        <v>3182</v>
      </c>
      <c r="G977" s="108">
        <v>1</v>
      </c>
      <c r="H977" s="71">
        <v>1</v>
      </c>
      <c r="I977" s="109">
        <f t="shared" si="71"/>
        <v>394.75</v>
      </c>
      <c r="J977" s="110">
        <f t="shared" si="72"/>
        <v>394.75</v>
      </c>
      <c r="K977" s="111">
        <f t="shared" si="73"/>
        <v>0</v>
      </c>
      <c r="L977" s="110">
        <f t="shared" si="74"/>
        <v>0</v>
      </c>
      <c r="M977" s="112"/>
    </row>
    <row r="978" spans="2:13" s="52" customFormat="1" ht="19.5" customHeight="1">
      <c r="B978" s="108">
        <v>9</v>
      </c>
      <c r="C978" s="139" t="s">
        <v>55</v>
      </c>
      <c r="D978" s="108" t="s">
        <v>2634</v>
      </c>
      <c r="E978" s="108" t="s">
        <v>2930</v>
      </c>
      <c r="F978" s="108" t="s">
        <v>3183</v>
      </c>
      <c r="G978" s="108">
        <v>4</v>
      </c>
      <c r="H978" s="71"/>
      <c r="I978" s="109">
        <f t="shared" si="71"/>
        <v>306.39999999999998</v>
      </c>
      <c r="J978" s="110">
        <f t="shared" si="72"/>
        <v>0</v>
      </c>
      <c r="K978" s="111">
        <f t="shared" si="73"/>
        <v>4</v>
      </c>
      <c r="L978" s="110">
        <f t="shared" si="74"/>
        <v>306.39999999999998</v>
      </c>
      <c r="M978" s="112"/>
    </row>
    <row r="979" spans="2:13" s="52" customFormat="1" ht="19.5" hidden="1" customHeight="1">
      <c r="B979" s="108">
        <v>9</v>
      </c>
      <c r="C979" s="139" t="s">
        <v>55</v>
      </c>
      <c r="D979" s="108" t="s">
        <v>2635</v>
      </c>
      <c r="E979" s="108" t="s">
        <v>2931</v>
      </c>
      <c r="F979" s="108" t="s">
        <v>3184</v>
      </c>
      <c r="G979" s="108">
        <v>2</v>
      </c>
      <c r="H979" s="71">
        <v>4</v>
      </c>
      <c r="I979" s="109">
        <f t="shared" si="71"/>
        <v>455.7</v>
      </c>
      <c r="J979" s="110">
        <f t="shared" si="72"/>
        <v>911.4</v>
      </c>
      <c r="K979" s="111">
        <f t="shared" si="73"/>
        <v>-2</v>
      </c>
      <c r="L979" s="110">
        <f t="shared" si="74"/>
        <v>-455.7</v>
      </c>
      <c r="M979" s="112"/>
    </row>
    <row r="980" spans="2:13" s="52" customFormat="1" ht="19.5" customHeight="1">
      <c r="B980" s="108">
        <v>9</v>
      </c>
      <c r="C980" s="139" t="s">
        <v>55</v>
      </c>
      <c r="D980" s="108" t="s">
        <v>2636</v>
      </c>
      <c r="E980" s="108" t="s">
        <v>2932</v>
      </c>
      <c r="F980" s="108" t="s">
        <v>3185</v>
      </c>
      <c r="G980" s="108">
        <v>11</v>
      </c>
      <c r="H980" s="71">
        <v>1</v>
      </c>
      <c r="I980" s="109">
        <f t="shared" si="71"/>
        <v>339.9</v>
      </c>
      <c r="J980" s="110">
        <f t="shared" si="72"/>
        <v>30.9</v>
      </c>
      <c r="K980" s="111">
        <f t="shared" si="73"/>
        <v>10</v>
      </c>
      <c r="L980" s="110">
        <f t="shared" si="74"/>
        <v>309</v>
      </c>
      <c r="M980" s="112"/>
    </row>
    <row r="981" spans="2:13" s="52" customFormat="1" ht="19.5" hidden="1" customHeight="1">
      <c r="B981" s="108">
        <v>9</v>
      </c>
      <c r="C981" s="139" t="s">
        <v>55</v>
      </c>
      <c r="D981" s="108" t="s">
        <v>2637</v>
      </c>
      <c r="E981" s="108" t="s">
        <v>2933</v>
      </c>
      <c r="F981" s="108" t="s">
        <v>3186</v>
      </c>
      <c r="G981" s="108">
        <v>8</v>
      </c>
      <c r="H981" s="71">
        <v>8</v>
      </c>
      <c r="I981" s="109">
        <f t="shared" si="71"/>
        <v>1378.4</v>
      </c>
      <c r="J981" s="110">
        <f t="shared" si="72"/>
        <v>1378.4</v>
      </c>
      <c r="K981" s="111">
        <f t="shared" si="73"/>
        <v>0</v>
      </c>
      <c r="L981" s="110">
        <f t="shared" si="74"/>
        <v>0</v>
      </c>
      <c r="M981" s="112"/>
    </row>
    <row r="982" spans="2:13" s="52" customFormat="1" ht="19.5" customHeight="1">
      <c r="B982" s="108">
        <v>9</v>
      </c>
      <c r="C982" s="139" t="s">
        <v>55</v>
      </c>
      <c r="D982" s="108" t="s">
        <v>2638</v>
      </c>
      <c r="E982" s="108" t="s">
        <v>2934</v>
      </c>
      <c r="F982" s="108" t="s">
        <v>2157</v>
      </c>
      <c r="G982" s="108">
        <v>4</v>
      </c>
      <c r="H982" s="71"/>
      <c r="I982" s="109">
        <f t="shared" si="71"/>
        <v>232.2</v>
      </c>
      <c r="J982" s="110">
        <f t="shared" si="72"/>
        <v>0</v>
      </c>
      <c r="K982" s="111">
        <f t="shared" si="73"/>
        <v>4</v>
      </c>
      <c r="L982" s="110">
        <f t="shared" si="74"/>
        <v>232.2</v>
      </c>
      <c r="M982" s="112"/>
    </row>
    <row r="983" spans="2:13" s="52" customFormat="1" ht="19.5" customHeight="1">
      <c r="B983" s="108">
        <v>9</v>
      </c>
      <c r="C983" s="139" t="s">
        <v>55</v>
      </c>
      <c r="D983" s="108" t="s">
        <v>2639</v>
      </c>
      <c r="E983" s="108" t="s">
        <v>2935</v>
      </c>
      <c r="F983" s="108" t="s">
        <v>2155</v>
      </c>
      <c r="G983" s="108">
        <v>7</v>
      </c>
      <c r="H983" s="71"/>
      <c r="I983" s="109">
        <f t="shared" si="71"/>
        <v>164.5</v>
      </c>
      <c r="J983" s="110">
        <f t="shared" si="72"/>
        <v>0</v>
      </c>
      <c r="K983" s="111">
        <f t="shared" si="73"/>
        <v>7</v>
      </c>
      <c r="L983" s="110">
        <f t="shared" si="74"/>
        <v>164.5</v>
      </c>
      <c r="M983" s="112"/>
    </row>
    <row r="984" spans="2:13" s="52" customFormat="1" ht="19.5" hidden="1" customHeight="1">
      <c r="B984" s="108">
        <v>9</v>
      </c>
      <c r="C984" s="139" t="s">
        <v>55</v>
      </c>
      <c r="D984" s="108" t="s">
        <v>2640</v>
      </c>
      <c r="E984" s="108" t="s">
        <v>2936</v>
      </c>
      <c r="F984" s="108" t="s">
        <v>3187</v>
      </c>
      <c r="G984" s="108">
        <v>11</v>
      </c>
      <c r="H984" s="71">
        <v>11</v>
      </c>
      <c r="I984" s="109">
        <f t="shared" si="71"/>
        <v>862.40000000000009</v>
      </c>
      <c r="J984" s="110">
        <f t="shared" si="72"/>
        <v>862.40000000000009</v>
      </c>
      <c r="K984" s="111">
        <f t="shared" si="73"/>
        <v>0</v>
      </c>
      <c r="L984" s="110">
        <f t="shared" si="74"/>
        <v>0</v>
      </c>
      <c r="M984" s="112"/>
    </row>
    <row r="985" spans="2:13" s="52" customFormat="1" ht="19.5" customHeight="1">
      <c r="B985" s="108">
        <v>9</v>
      </c>
      <c r="C985" s="139" t="s">
        <v>55</v>
      </c>
      <c r="D985" s="108" t="s">
        <v>2641</v>
      </c>
      <c r="E985" s="108" t="s">
        <v>2937</v>
      </c>
      <c r="F985" s="108" t="s">
        <v>3188</v>
      </c>
      <c r="G985" s="108">
        <v>1</v>
      </c>
      <c r="H985" s="71"/>
      <c r="I985" s="109">
        <f t="shared" si="71"/>
        <v>235.25</v>
      </c>
      <c r="J985" s="110">
        <f t="shared" si="72"/>
        <v>0</v>
      </c>
      <c r="K985" s="111">
        <f t="shared" si="73"/>
        <v>1</v>
      </c>
      <c r="L985" s="110">
        <f t="shared" si="74"/>
        <v>235.25</v>
      </c>
      <c r="M985" s="112"/>
    </row>
    <row r="986" spans="2:13" s="52" customFormat="1" ht="19.5" hidden="1" customHeight="1">
      <c r="B986" s="108">
        <v>9</v>
      </c>
      <c r="C986" s="139" t="s">
        <v>55</v>
      </c>
      <c r="D986" s="108" t="s">
        <v>2642</v>
      </c>
      <c r="E986" s="108" t="s">
        <v>2938</v>
      </c>
      <c r="F986" s="108" t="s">
        <v>3189</v>
      </c>
      <c r="G986" s="108">
        <v>1</v>
      </c>
      <c r="H986" s="71">
        <v>1</v>
      </c>
      <c r="I986" s="109">
        <f t="shared" si="71"/>
        <v>45.4</v>
      </c>
      <c r="J986" s="110">
        <f t="shared" si="72"/>
        <v>45.4</v>
      </c>
      <c r="K986" s="111">
        <f t="shared" si="73"/>
        <v>0</v>
      </c>
      <c r="L986" s="110">
        <f t="shared" si="74"/>
        <v>0</v>
      </c>
      <c r="M986" s="112"/>
    </row>
    <row r="987" spans="2:13" s="52" customFormat="1" ht="19.5" hidden="1" customHeight="1">
      <c r="B987" s="108">
        <v>9</v>
      </c>
      <c r="C987" s="139" t="s">
        <v>55</v>
      </c>
      <c r="D987" s="108" t="s">
        <v>2643</v>
      </c>
      <c r="E987" s="108" t="s">
        <v>2939</v>
      </c>
      <c r="F987" s="108" t="s">
        <v>3189</v>
      </c>
      <c r="G987" s="108">
        <v>3</v>
      </c>
      <c r="H987" s="71">
        <v>3</v>
      </c>
      <c r="I987" s="109">
        <f t="shared" si="71"/>
        <v>136.19999999999999</v>
      </c>
      <c r="J987" s="110">
        <f t="shared" si="72"/>
        <v>136.19999999999999</v>
      </c>
      <c r="K987" s="111">
        <f t="shared" si="73"/>
        <v>0</v>
      </c>
      <c r="L987" s="110">
        <f t="shared" si="74"/>
        <v>0</v>
      </c>
      <c r="M987" s="112"/>
    </row>
    <row r="988" spans="2:13" s="52" customFormat="1" ht="19.5" hidden="1" customHeight="1">
      <c r="B988" s="108">
        <v>9</v>
      </c>
      <c r="C988" s="139" t="s">
        <v>55</v>
      </c>
      <c r="D988" s="108" t="s">
        <v>2644</v>
      </c>
      <c r="E988" s="108" t="s">
        <v>2940</v>
      </c>
      <c r="F988" s="108" t="s">
        <v>3189</v>
      </c>
      <c r="G988" s="108">
        <v>1</v>
      </c>
      <c r="H988" s="71">
        <v>1</v>
      </c>
      <c r="I988" s="109">
        <f t="shared" si="71"/>
        <v>45.4</v>
      </c>
      <c r="J988" s="110">
        <f t="shared" si="72"/>
        <v>45.4</v>
      </c>
      <c r="K988" s="111">
        <f t="shared" si="73"/>
        <v>0</v>
      </c>
      <c r="L988" s="110">
        <f t="shared" si="74"/>
        <v>0</v>
      </c>
      <c r="M988" s="112"/>
    </row>
    <row r="989" spans="2:13" s="52" customFormat="1" ht="19.5" customHeight="1">
      <c r="B989" s="108">
        <v>9</v>
      </c>
      <c r="C989" s="139" t="s">
        <v>55</v>
      </c>
      <c r="D989" s="108" t="s">
        <v>2645</v>
      </c>
      <c r="E989" s="108" t="s">
        <v>2941</v>
      </c>
      <c r="F989" s="108" t="s">
        <v>3190</v>
      </c>
      <c r="G989" s="108">
        <v>2</v>
      </c>
      <c r="H989" s="71">
        <v>1</v>
      </c>
      <c r="I989" s="109">
        <f t="shared" si="71"/>
        <v>98.5</v>
      </c>
      <c r="J989" s="110">
        <f t="shared" si="72"/>
        <v>49.25</v>
      </c>
      <c r="K989" s="111">
        <f t="shared" si="73"/>
        <v>1</v>
      </c>
      <c r="L989" s="110">
        <f t="shared" si="74"/>
        <v>49.25</v>
      </c>
      <c r="M989" s="112"/>
    </row>
    <row r="990" spans="2:13" s="52" customFormat="1" ht="19.5" customHeight="1">
      <c r="B990" s="108">
        <v>9</v>
      </c>
      <c r="C990" s="139" t="s">
        <v>55</v>
      </c>
      <c r="D990" s="108" t="s">
        <v>2646</v>
      </c>
      <c r="E990" s="108" t="s">
        <v>2942</v>
      </c>
      <c r="F990" s="108" t="s">
        <v>1182</v>
      </c>
      <c r="G990" s="108">
        <v>2</v>
      </c>
      <c r="H990" s="71"/>
      <c r="I990" s="109">
        <f t="shared" si="71"/>
        <v>74.5</v>
      </c>
      <c r="J990" s="110">
        <f t="shared" si="72"/>
        <v>0</v>
      </c>
      <c r="K990" s="111">
        <f t="shared" si="73"/>
        <v>2</v>
      </c>
      <c r="L990" s="110">
        <f t="shared" si="74"/>
        <v>74.5</v>
      </c>
      <c r="M990" s="112"/>
    </row>
    <row r="991" spans="2:13" s="52" customFormat="1" ht="19.5" customHeight="1">
      <c r="B991" s="108">
        <v>9</v>
      </c>
      <c r="C991" s="139" t="s">
        <v>55</v>
      </c>
      <c r="D991" s="108" t="s">
        <v>2647</v>
      </c>
      <c r="E991" s="108" t="s">
        <v>2943</v>
      </c>
      <c r="F991" s="108" t="s">
        <v>3191</v>
      </c>
      <c r="G991" s="108">
        <v>3</v>
      </c>
      <c r="H991" s="71"/>
      <c r="I991" s="109">
        <f t="shared" si="71"/>
        <v>112.5</v>
      </c>
      <c r="J991" s="110">
        <f t="shared" si="72"/>
        <v>0</v>
      </c>
      <c r="K991" s="111">
        <f t="shared" si="73"/>
        <v>3</v>
      </c>
      <c r="L991" s="110">
        <f t="shared" si="74"/>
        <v>112.5</v>
      </c>
      <c r="M991" s="112"/>
    </row>
    <row r="992" spans="2:13" s="52" customFormat="1" ht="19.5" customHeight="1">
      <c r="B992" s="108">
        <v>9</v>
      </c>
      <c r="C992" s="139" t="s">
        <v>55</v>
      </c>
      <c r="D992" s="108" t="s">
        <v>2648</v>
      </c>
      <c r="E992" s="108" t="s">
        <v>2944</v>
      </c>
      <c r="F992" s="108" t="s">
        <v>3191</v>
      </c>
      <c r="G992" s="108">
        <v>3</v>
      </c>
      <c r="H992" s="71">
        <v>2</v>
      </c>
      <c r="I992" s="109">
        <f t="shared" si="71"/>
        <v>112.5</v>
      </c>
      <c r="J992" s="110">
        <f t="shared" si="72"/>
        <v>75</v>
      </c>
      <c r="K992" s="111">
        <f t="shared" si="73"/>
        <v>1</v>
      </c>
      <c r="L992" s="110">
        <f t="shared" si="74"/>
        <v>37.5</v>
      </c>
      <c r="M992" s="112"/>
    </row>
    <row r="993" spans="2:13" s="52" customFormat="1" ht="19.5" hidden="1" customHeight="1">
      <c r="B993" s="108">
        <v>9</v>
      </c>
      <c r="C993" s="139" t="s">
        <v>55</v>
      </c>
      <c r="D993" s="108" t="s">
        <v>2649</v>
      </c>
      <c r="E993" s="108" t="s">
        <v>2945</v>
      </c>
      <c r="F993" s="108" t="s">
        <v>1182</v>
      </c>
      <c r="G993" s="108">
        <v>14</v>
      </c>
      <c r="H993" s="71">
        <v>14</v>
      </c>
      <c r="I993" s="109">
        <f t="shared" si="71"/>
        <v>521.5</v>
      </c>
      <c r="J993" s="110">
        <f t="shared" si="72"/>
        <v>521.5</v>
      </c>
      <c r="K993" s="111">
        <f t="shared" si="73"/>
        <v>0</v>
      </c>
      <c r="L993" s="110">
        <f t="shared" si="74"/>
        <v>0</v>
      </c>
      <c r="M993" s="112"/>
    </row>
    <row r="994" spans="2:13" s="52" customFormat="1" ht="19.5" customHeight="1">
      <c r="B994" s="108">
        <v>9</v>
      </c>
      <c r="C994" s="139" t="s">
        <v>55</v>
      </c>
      <c r="D994" s="108" t="s">
        <v>2650</v>
      </c>
      <c r="E994" s="108" t="s">
        <v>2946</v>
      </c>
      <c r="F994" s="108" t="s">
        <v>4690</v>
      </c>
      <c r="G994" s="108">
        <v>13</v>
      </c>
      <c r="H994" s="71"/>
      <c r="I994" s="109">
        <f t="shared" si="71"/>
        <v>839.54</v>
      </c>
      <c r="J994" s="110">
        <f t="shared" si="72"/>
        <v>0</v>
      </c>
      <c r="K994" s="111">
        <f t="shared" si="73"/>
        <v>13</v>
      </c>
      <c r="L994" s="110">
        <f t="shared" si="74"/>
        <v>839.54</v>
      </c>
      <c r="M994" s="112"/>
    </row>
    <row r="995" spans="2:13" s="52" customFormat="1" ht="19.5" customHeight="1">
      <c r="B995" s="108">
        <v>9</v>
      </c>
      <c r="C995" s="139" t="s">
        <v>55</v>
      </c>
      <c r="D995" s="108" t="s">
        <v>2651</v>
      </c>
      <c r="E995" s="108" t="s">
        <v>2947</v>
      </c>
      <c r="F995" s="108" t="s">
        <v>1217</v>
      </c>
      <c r="G995" s="108">
        <v>3</v>
      </c>
      <c r="H995" s="71"/>
      <c r="I995" s="109">
        <f t="shared" si="71"/>
        <v>214.5</v>
      </c>
      <c r="J995" s="110">
        <f t="shared" si="72"/>
        <v>0</v>
      </c>
      <c r="K995" s="111">
        <f t="shared" si="73"/>
        <v>3</v>
      </c>
      <c r="L995" s="110">
        <f t="shared" si="74"/>
        <v>214.5</v>
      </c>
      <c r="M995" s="112"/>
    </row>
    <row r="996" spans="2:13" s="52" customFormat="1" ht="19.5" hidden="1" customHeight="1">
      <c r="B996" s="108">
        <v>9</v>
      </c>
      <c r="C996" s="139" t="s">
        <v>55</v>
      </c>
      <c r="D996" s="108" t="s">
        <v>2652</v>
      </c>
      <c r="E996" s="108" t="s">
        <v>2948</v>
      </c>
      <c r="F996" s="108" t="s">
        <v>3192</v>
      </c>
      <c r="G996" s="108">
        <v>2</v>
      </c>
      <c r="H996" s="71">
        <v>2</v>
      </c>
      <c r="I996" s="109">
        <f t="shared" si="71"/>
        <v>221.32</v>
      </c>
      <c r="J996" s="110">
        <f t="shared" si="72"/>
        <v>221.32</v>
      </c>
      <c r="K996" s="111">
        <f t="shared" si="73"/>
        <v>0</v>
      </c>
      <c r="L996" s="110">
        <f t="shared" si="74"/>
        <v>0</v>
      </c>
      <c r="M996" s="112"/>
    </row>
    <row r="997" spans="2:13" s="52" customFormat="1" ht="19.5" hidden="1" customHeight="1">
      <c r="B997" s="108">
        <v>9</v>
      </c>
      <c r="C997" s="139" t="s">
        <v>55</v>
      </c>
      <c r="D997" s="108" t="s">
        <v>2653</v>
      </c>
      <c r="E997" s="108" t="s">
        <v>2949</v>
      </c>
      <c r="F997" s="108" t="s">
        <v>3193</v>
      </c>
      <c r="G997" s="108">
        <v>1</v>
      </c>
      <c r="H997" s="71">
        <v>1</v>
      </c>
      <c r="I997" s="109">
        <f t="shared" si="71"/>
        <v>139.53</v>
      </c>
      <c r="J997" s="110">
        <f t="shared" si="72"/>
        <v>139.53</v>
      </c>
      <c r="K997" s="111">
        <f t="shared" si="73"/>
        <v>0</v>
      </c>
      <c r="L997" s="110">
        <f t="shared" si="74"/>
        <v>0</v>
      </c>
      <c r="M997" s="112"/>
    </row>
    <row r="998" spans="2:13" s="52" customFormat="1" ht="19.5" hidden="1" customHeight="1">
      <c r="B998" s="108">
        <v>9</v>
      </c>
      <c r="C998" s="139" t="s">
        <v>55</v>
      </c>
      <c r="D998" s="108" t="s">
        <v>2654</v>
      </c>
      <c r="E998" s="108" t="s">
        <v>2950</v>
      </c>
      <c r="F998" s="108" t="s">
        <v>3194</v>
      </c>
      <c r="G998" s="108">
        <v>1</v>
      </c>
      <c r="H998" s="71">
        <v>15</v>
      </c>
      <c r="I998" s="109">
        <f t="shared" si="71"/>
        <v>8.6</v>
      </c>
      <c r="J998" s="110">
        <f t="shared" si="72"/>
        <v>129</v>
      </c>
      <c r="K998" s="111">
        <f t="shared" si="73"/>
        <v>-14</v>
      </c>
      <c r="L998" s="110">
        <f t="shared" si="74"/>
        <v>-120.4</v>
      </c>
      <c r="M998" s="112"/>
    </row>
    <row r="999" spans="2:13" s="52" customFormat="1" ht="19.5" customHeight="1">
      <c r="B999" s="108">
        <v>9</v>
      </c>
      <c r="C999" s="139" t="s">
        <v>55</v>
      </c>
      <c r="D999" s="108" t="s">
        <v>2655</v>
      </c>
      <c r="E999" s="108" t="s">
        <v>2951</v>
      </c>
      <c r="F999" s="108" t="s">
        <v>3194</v>
      </c>
      <c r="G999" s="108">
        <v>59</v>
      </c>
      <c r="H999" s="71">
        <v>37</v>
      </c>
      <c r="I999" s="109">
        <f t="shared" si="71"/>
        <v>507.4</v>
      </c>
      <c r="J999" s="110">
        <f t="shared" si="72"/>
        <v>318.2</v>
      </c>
      <c r="K999" s="111">
        <f t="shared" si="73"/>
        <v>22</v>
      </c>
      <c r="L999" s="110">
        <f t="shared" si="74"/>
        <v>189.2</v>
      </c>
      <c r="M999" s="112"/>
    </row>
    <row r="1000" spans="2:13" s="52" customFormat="1" ht="19.5" hidden="1" customHeight="1">
      <c r="B1000" s="108">
        <v>9</v>
      </c>
      <c r="C1000" s="139" t="s">
        <v>55</v>
      </c>
      <c r="D1000" s="108" t="s">
        <v>2656</v>
      </c>
      <c r="E1000" s="108" t="s">
        <v>2952</v>
      </c>
      <c r="F1000" s="108" t="s">
        <v>3195</v>
      </c>
      <c r="G1000" s="108">
        <v>1</v>
      </c>
      <c r="H1000" s="71">
        <v>1</v>
      </c>
      <c r="I1000" s="109">
        <f t="shared" ref="I1000:I1060" si="75">F1000*G1000</f>
        <v>147.94999999999999</v>
      </c>
      <c r="J1000" s="110">
        <f t="shared" si="72"/>
        <v>147.94999999999999</v>
      </c>
      <c r="K1000" s="111">
        <f t="shared" si="73"/>
        <v>0</v>
      </c>
      <c r="L1000" s="110">
        <f t="shared" si="74"/>
        <v>0</v>
      </c>
      <c r="M1000" s="112"/>
    </row>
    <row r="1001" spans="2:13" s="52" customFormat="1" ht="19.5" customHeight="1">
      <c r="B1001" s="108">
        <v>9</v>
      </c>
      <c r="C1001" s="139" t="s">
        <v>55</v>
      </c>
      <c r="D1001" s="108" t="s">
        <v>2657</v>
      </c>
      <c r="E1001" s="108" t="s">
        <v>2953</v>
      </c>
      <c r="F1001" s="108" t="s">
        <v>3196</v>
      </c>
      <c r="G1001" s="108">
        <v>7</v>
      </c>
      <c r="H1001" s="71">
        <v>6</v>
      </c>
      <c r="I1001" s="109">
        <f t="shared" si="75"/>
        <v>88.13</v>
      </c>
      <c r="J1001" s="110">
        <f t="shared" si="72"/>
        <v>75.539999999999992</v>
      </c>
      <c r="K1001" s="111">
        <f t="shared" si="73"/>
        <v>1</v>
      </c>
      <c r="L1001" s="110">
        <f t="shared" si="74"/>
        <v>12.590000000000003</v>
      </c>
      <c r="M1001" s="112"/>
    </row>
    <row r="1002" spans="2:13" s="52" customFormat="1" ht="19.5" customHeight="1">
      <c r="B1002" s="108">
        <v>9</v>
      </c>
      <c r="C1002" s="139" t="s">
        <v>55</v>
      </c>
      <c r="D1002" s="108" t="s">
        <v>2658</v>
      </c>
      <c r="E1002" s="108" t="s">
        <v>2954</v>
      </c>
      <c r="F1002" s="108" t="s">
        <v>3197</v>
      </c>
      <c r="G1002" s="108">
        <v>2</v>
      </c>
      <c r="H1002" s="71"/>
      <c r="I1002" s="109">
        <f t="shared" si="75"/>
        <v>37.24</v>
      </c>
      <c r="J1002" s="110">
        <f t="shared" si="72"/>
        <v>0</v>
      </c>
      <c r="K1002" s="111">
        <f t="shared" si="73"/>
        <v>2</v>
      </c>
      <c r="L1002" s="110">
        <f t="shared" si="74"/>
        <v>37.24</v>
      </c>
      <c r="M1002" s="112"/>
    </row>
    <row r="1003" spans="2:13" s="52" customFormat="1" ht="19.5" customHeight="1">
      <c r="B1003" s="108">
        <v>9</v>
      </c>
      <c r="C1003" s="139" t="s">
        <v>55</v>
      </c>
      <c r="D1003" s="108" t="s">
        <v>2659</v>
      </c>
      <c r="E1003" s="108" t="s">
        <v>2955</v>
      </c>
      <c r="F1003" s="108" t="s">
        <v>3198</v>
      </c>
      <c r="G1003" s="108">
        <v>9</v>
      </c>
      <c r="H1003" s="71"/>
      <c r="I1003" s="109">
        <f t="shared" si="75"/>
        <v>519.93000000000006</v>
      </c>
      <c r="J1003" s="110">
        <f t="shared" si="72"/>
        <v>0</v>
      </c>
      <c r="K1003" s="111">
        <f t="shared" si="73"/>
        <v>9</v>
      </c>
      <c r="L1003" s="110">
        <f t="shared" si="74"/>
        <v>519.93000000000006</v>
      </c>
      <c r="M1003" s="112"/>
    </row>
    <row r="1004" spans="2:13" s="52" customFormat="1" ht="19.5" customHeight="1">
      <c r="B1004" s="108">
        <v>9</v>
      </c>
      <c r="C1004" s="139" t="s">
        <v>55</v>
      </c>
      <c r="D1004" s="108" t="s">
        <v>2660</v>
      </c>
      <c r="E1004" s="108" t="s">
        <v>2956</v>
      </c>
      <c r="F1004" s="108" t="s">
        <v>756</v>
      </c>
      <c r="G1004" s="108">
        <v>82</v>
      </c>
      <c r="H1004" s="71">
        <v>45</v>
      </c>
      <c r="I1004" s="109">
        <f t="shared" si="75"/>
        <v>5043</v>
      </c>
      <c r="J1004" s="110">
        <f t="shared" si="72"/>
        <v>2767.5</v>
      </c>
      <c r="K1004" s="111">
        <f t="shared" si="73"/>
        <v>37</v>
      </c>
      <c r="L1004" s="110">
        <f t="shared" si="74"/>
        <v>2275.5</v>
      </c>
      <c r="M1004" s="112"/>
    </row>
    <row r="1005" spans="2:13" s="52" customFormat="1" ht="19.5" customHeight="1">
      <c r="B1005" s="108">
        <v>9</v>
      </c>
      <c r="C1005" s="139" t="s">
        <v>55</v>
      </c>
      <c r="D1005" s="108" t="s">
        <v>2661</v>
      </c>
      <c r="E1005" s="108" t="s">
        <v>2957</v>
      </c>
      <c r="F1005" s="108" t="s">
        <v>3199</v>
      </c>
      <c r="G1005" s="108">
        <v>49</v>
      </c>
      <c r="H1005" s="71">
        <v>8</v>
      </c>
      <c r="I1005" s="109">
        <f t="shared" si="75"/>
        <v>273.90999999999997</v>
      </c>
      <c r="J1005" s="110">
        <f t="shared" si="72"/>
        <v>44.72</v>
      </c>
      <c r="K1005" s="111">
        <f t="shared" si="73"/>
        <v>41</v>
      </c>
      <c r="L1005" s="110">
        <f t="shared" si="74"/>
        <v>229.18999999999997</v>
      </c>
      <c r="M1005" s="112"/>
    </row>
    <row r="1006" spans="2:13" s="52" customFormat="1" ht="19.5" hidden="1" customHeight="1">
      <c r="B1006" s="108">
        <v>9</v>
      </c>
      <c r="C1006" s="139" t="s">
        <v>55</v>
      </c>
      <c r="D1006" s="108" t="s">
        <v>2662</v>
      </c>
      <c r="E1006" s="108" t="s">
        <v>2958</v>
      </c>
      <c r="F1006" s="108" t="s">
        <v>3200</v>
      </c>
      <c r="G1006" s="108">
        <v>12</v>
      </c>
      <c r="H1006" s="71">
        <v>77</v>
      </c>
      <c r="I1006" s="109">
        <f t="shared" si="75"/>
        <v>1011</v>
      </c>
      <c r="J1006" s="110">
        <f t="shared" si="72"/>
        <v>6487.25</v>
      </c>
      <c r="K1006" s="111">
        <f t="shared" si="73"/>
        <v>-65</v>
      </c>
      <c r="L1006" s="110">
        <f t="shared" si="74"/>
        <v>-5476.25</v>
      </c>
      <c r="M1006" s="112"/>
    </row>
    <row r="1007" spans="2:13" s="52" customFormat="1" ht="19.5" customHeight="1">
      <c r="B1007" s="108">
        <v>9</v>
      </c>
      <c r="C1007" s="139" t="s">
        <v>55</v>
      </c>
      <c r="D1007" s="108" t="s">
        <v>2663</v>
      </c>
      <c r="E1007" s="108" t="s">
        <v>2959</v>
      </c>
      <c r="F1007" s="108" t="s">
        <v>3200</v>
      </c>
      <c r="G1007" s="108">
        <v>9</v>
      </c>
      <c r="H1007" s="71"/>
      <c r="I1007" s="109">
        <f t="shared" si="75"/>
        <v>758.25</v>
      </c>
      <c r="J1007" s="110">
        <f t="shared" si="72"/>
        <v>0</v>
      </c>
      <c r="K1007" s="111">
        <f t="shared" si="73"/>
        <v>9</v>
      </c>
      <c r="L1007" s="110">
        <f t="shared" si="74"/>
        <v>758.25</v>
      </c>
      <c r="M1007" s="112"/>
    </row>
    <row r="1008" spans="2:13" s="52" customFormat="1" ht="19.5" customHeight="1">
      <c r="B1008" s="108">
        <v>9</v>
      </c>
      <c r="C1008" s="139" t="s">
        <v>55</v>
      </c>
      <c r="D1008" s="108" t="s">
        <v>2664</v>
      </c>
      <c r="E1008" s="108" t="s">
        <v>2960</v>
      </c>
      <c r="F1008" s="108" t="s">
        <v>3200</v>
      </c>
      <c r="G1008" s="108">
        <v>1</v>
      </c>
      <c r="H1008" s="71"/>
      <c r="I1008" s="109">
        <f t="shared" si="75"/>
        <v>84.25</v>
      </c>
      <c r="J1008" s="110">
        <f t="shared" si="72"/>
        <v>0</v>
      </c>
      <c r="K1008" s="111">
        <f t="shared" si="73"/>
        <v>1</v>
      </c>
      <c r="L1008" s="110">
        <f t="shared" si="74"/>
        <v>84.25</v>
      </c>
      <c r="M1008" s="112"/>
    </row>
    <row r="1009" spans="2:13" s="52" customFormat="1" ht="19.5" customHeight="1">
      <c r="B1009" s="108">
        <v>9</v>
      </c>
      <c r="C1009" s="139" t="s">
        <v>55</v>
      </c>
      <c r="D1009" s="108" t="s">
        <v>2665</v>
      </c>
      <c r="E1009" s="108" t="s">
        <v>2961</v>
      </c>
      <c r="F1009" s="108" t="s">
        <v>756</v>
      </c>
      <c r="G1009" s="108">
        <v>83</v>
      </c>
      <c r="H1009" s="71">
        <v>67</v>
      </c>
      <c r="I1009" s="109">
        <f t="shared" si="75"/>
        <v>5104.5</v>
      </c>
      <c r="J1009" s="110">
        <f t="shared" si="72"/>
        <v>4120.5</v>
      </c>
      <c r="K1009" s="111">
        <f t="shared" si="73"/>
        <v>16</v>
      </c>
      <c r="L1009" s="110">
        <f t="shared" si="74"/>
        <v>984</v>
      </c>
      <c r="M1009" s="112"/>
    </row>
    <row r="1010" spans="2:13" s="52" customFormat="1" ht="19.5" hidden="1" customHeight="1">
      <c r="B1010" s="108">
        <v>9</v>
      </c>
      <c r="C1010" s="139" t="s">
        <v>55</v>
      </c>
      <c r="D1010" s="108" t="s">
        <v>2666</v>
      </c>
      <c r="E1010" s="108" t="s">
        <v>2962</v>
      </c>
      <c r="F1010" s="108" t="s">
        <v>3201</v>
      </c>
      <c r="G1010" s="108">
        <v>255</v>
      </c>
      <c r="H1010" s="71">
        <f>80+360</f>
        <v>440</v>
      </c>
      <c r="I1010" s="109">
        <f t="shared" si="75"/>
        <v>1338.75</v>
      </c>
      <c r="J1010" s="110">
        <f t="shared" si="72"/>
        <v>2310</v>
      </c>
      <c r="K1010" s="111">
        <f t="shared" si="73"/>
        <v>-185</v>
      </c>
      <c r="L1010" s="110">
        <f t="shared" si="74"/>
        <v>-971.25</v>
      </c>
      <c r="M1010" s="112"/>
    </row>
    <row r="1011" spans="2:13" s="52" customFormat="1" ht="19.5" hidden="1" customHeight="1">
      <c r="B1011" s="108">
        <v>9</v>
      </c>
      <c r="C1011" s="139" t="s">
        <v>55</v>
      </c>
      <c r="D1011" s="108" t="s">
        <v>2667</v>
      </c>
      <c r="E1011" s="108" t="s">
        <v>2963</v>
      </c>
      <c r="F1011" s="108" t="s">
        <v>3198</v>
      </c>
      <c r="G1011" s="108">
        <v>92</v>
      </c>
      <c r="H1011" s="71">
        <f>24+91</f>
        <v>115</v>
      </c>
      <c r="I1011" s="109">
        <f t="shared" si="75"/>
        <v>5314.84</v>
      </c>
      <c r="J1011" s="110">
        <f t="shared" si="72"/>
        <v>6643.55</v>
      </c>
      <c r="K1011" s="111">
        <f t="shared" si="73"/>
        <v>-23</v>
      </c>
      <c r="L1011" s="110">
        <f t="shared" si="74"/>
        <v>-1328.71</v>
      </c>
      <c r="M1011" s="112"/>
    </row>
    <row r="1012" spans="2:13" s="52" customFormat="1" ht="19.5" customHeight="1">
      <c r="B1012" s="108">
        <v>9</v>
      </c>
      <c r="C1012" s="139" t="s">
        <v>55</v>
      </c>
      <c r="D1012" s="108" t="s">
        <v>2668</v>
      </c>
      <c r="E1012" s="108" t="s">
        <v>2964</v>
      </c>
      <c r="F1012" s="108" t="s">
        <v>3202</v>
      </c>
      <c r="G1012" s="108">
        <v>157</v>
      </c>
      <c r="H1012" s="71"/>
      <c r="I1012" s="109">
        <f t="shared" si="75"/>
        <v>1040.9100000000001</v>
      </c>
      <c r="J1012" s="110">
        <f t="shared" si="72"/>
        <v>0</v>
      </c>
      <c r="K1012" s="111">
        <f t="shared" si="73"/>
        <v>157</v>
      </c>
      <c r="L1012" s="110">
        <f t="shared" si="74"/>
        <v>1040.9100000000001</v>
      </c>
      <c r="M1012" s="112"/>
    </row>
    <row r="1013" spans="2:13" s="52" customFormat="1" ht="19.5" customHeight="1">
      <c r="B1013" s="108">
        <v>9</v>
      </c>
      <c r="C1013" s="139" t="s">
        <v>55</v>
      </c>
      <c r="D1013" s="108" t="s">
        <v>2668</v>
      </c>
      <c r="E1013" s="108" t="s">
        <v>2964</v>
      </c>
      <c r="F1013" s="108" t="s">
        <v>3202</v>
      </c>
      <c r="G1013" s="108">
        <v>252</v>
      </c>
      <c r="H1013" s="71">
        <v>144</v>
      </c>
      <c r="I1013" s="109">
        <f t="shared" si="75"/>
        <v>1670.76</v>
      </c>
      <c r="J1013" s="110">
        <f t="shared" si="72"/>
        <v>954.72</v>
      </c>
      <c r="K1013" s="111">
        <f t="shared" si="73"/>
        <v>108</v>
      </c>
      <c r="L1013" s="110">
        <f t="shared" si="74"/>
        <v>716.04</v>
      </c>
      <c r="M1013" s="112"/>
    </row>
    <row r="1014" spans="2:13" s="52" customFormat="1" ht="19.5" customHeight="1">
      <c r="B1014" s="108">
        <v>9</v>
      </c>
      <c r="C1014" s="139" t="s">
        <v>55</v>
      </c>
      <c r="D1014" s="108" t="s">
        <v>2668</v>
      </c>
      <c r="E1014" s="108" t="s">
        <v>2964</v>
      </c>
      <c r="F1014" s="108" t="s">
        <v>3203</v>
      </c>
      <c r="G1014" s="108">
        <v>12</v>
      </c>
      <c r="H1014" s="71"/>
      <c r="I1014" s="109">
        <f t="shared" si="75"/>
        <v>83.64</v>
      </c>
      <c r="J1014" s="110">
        <f t="shared" si="72"/>
        <v>0</v>
      </c>
      <c r="K1014" s="111">
        <f t="shared" si="73"/>
        <v>12</v>
      </c>
      <c r="L1014" s="110">
        <f t="shared" si="74"/>
        <v>83.64</v>
      </c>
      <c r="M1014" s="112"/>
    </row>
    <row r="1015" spans="2:13" s="52" customFormat="1" ht="19.5" customHeight="1">
      <c r="B1015" s="108">
        <v>9</v>
      </c>
      <c r="C1015" s="139" t="s">
        <v>55</v>
      </c>
      <c r="D1015" s="108" t="s">
        <v>2669</v>
      </c>
      <c r="E1015" s="108" t="s">
        <v>2965</v>
      </c>
      <c r="F1015" s="108" t="s">
        <v>3204</v>
      </c>
      <c r="G1015" s="108">
        <v>151</v>
      </c>
      <c r="H1015" s="71">
        <v>149</v>
      </c>
      <c r="I1015" s="109">
        <f t="shared" si="75"/>
        <v>1164.21</v>
      </c>
      <c r="J1015" s="110">
        <f t="shared" si="72"/>
        <v>1148.79</v>
      </c>
      <c r="K1015" s="111">
        <f t="shared" si="73"/>
        <v>2</v>
      </c>
      <c r="L1015" s="110">
        <f t="shared" si="74"/>
        <v>15.420000000000073</v>
      </c>
      <c r="M1015" s="112"/>
    </row>
    <row r="1016" spans="2:13" s="52" customFormat="1" ht="19.5" customHeight="1">
      <c r="B1016" s="108">
        <v>9</v>
      </c>
      <c r="C1016" s="139" t="s">
        <v>55</v>
      </c>
      <c r="D1016" s="108" t="s">
        <v>2670</v>
      </c>
      <c r="E1016" s="108" t="s">
        <v>2966</v>
      </c>
      <c r="F1016" s="108" t="s">
        <v>3205</v>
      </c>
      <c r="G1016" s="108">
        <v>206</v>
      </c>
      <c r="H1016" s="71"/>
      <c r="I1016" s="109">
        <f t="shared" si="75"/>
        <v>1180.3800000000001</v>
      </c>
      <c r="J1016" s="110">
        <f t="shared" si="72"/>
        <v>0</v>
      </c>
      <c r="K1016" s="111">
        <f t="shared" si="73"/>
        <v>206</v>
      </c>
      <c r="L1016" s="110">
        <f t="shared" si="74"/>
        <v>1180.3800000000001</v>
      </c>
      <c r="M1016" s="112"/>
    </row>
    <row r="1017" spans="2:13" s="52" customFormat="1" ht="19.5" customHeight="1">
      <c r="B1017" s="108">
        <v>9</v>
      </c>
      <c r="C1017" s="139" t="s">
        <v>55</v>
      </c>
      <c r="D1017" s="108" t="s">
        <v>2671</v>
      </c>
      <c r="E1017" s="108" t="s">
        <v>2967</v>
      </c>
      <c r="F1017" s="108" t="s">
        <v>3206</v>
      </c>
      <c r="G1017" s="108">
        <v>12</v>
      </c>
      <c r="H1017" s="71"/>
      <c r="I1017" s="109">
        <f t="shared" si="75"/>
        <v>68.88</v>
      </c>
      <c r="J1017" s="110">
        <f t="shared" si="72"/>
        <v>0</v>
      </c>
      <c r="K1017" s="111">
        <f t="shared" si="73"/>
        <v>12</v>
      </c>
      <c r="L1017" s="110">
        <f t="shared" si="74"/>
        <v>68.88</v>
      </c>
      <c r="M1017" s="112"/>
    </row>
    <row r="1018" spans="2:13" s="52" customFormat="1" ht="19.5" customHeight="1">
      <c r="B1018" s="108">
        <v>9</v>
      </c>
      <c r="C1018" s="139" t="s">
        <v>55</v>
      </c>
      <c r="D1018" s="108" t="s">
        <v>2672</v>
      </c>
      <c r="E1018" s="108" t="s">
        <v>2968</v>
      </c>
      <c r="F1018" s="108" t="s">
        <v>3207</v>
      </c>
      <c r="G1018" s="108">
        <v>1</v>
      </c>
      <c r="H1018" s="71"/>
      <c r="I1018" s="109">
        <f t="shared" si="75"/>
        <v>43.23</v>
      </c>
      <c r="J1018" s="110">
        <f t="shared" si="72"/>
        <v>0</v>
      </c>
      <c r="K1018" s="111">
        <f t="shared" si="73"/>
        <v>1</v>
      </c>
      <c r="L1018" s="110">
        <f t="shared" si="74"/>
        <v>43.23</v>
      </c>
      <c r="M1018" s="112"/>
    </row>
    <row r="1019" spans="2:13" s="52" customFormat="1" ht="19.5" hidden="1" customHeight="1">
      <c r="B1019" s="108">
        <v>9</v>
      </c>
      <c r="C1019" s="139" t="s">
        <v>55</v>
      </c>
      <c r="D1019" s="108" t="s">
        <v>2673</v>
      </c>
      <c r="E1019" s="108" t="s">
        <v>2969</v>
      </c>
      <c r="F1019" s="108" t="s">
        <v>3208</v>
      </c>
      <c r="G1019" s="108">
        <v>3</v>
      </c>
      <c r="H1019" s="71">
        <f>2+1</f>
        <v>3</v>
      </c>
      <c r="I1019" s="109">
        <f t="shared" si="75"/>
        <v>238.26</v>
      </c>
      <c r="J1019" s="110">
        <f t="shared" si="72"/>
        <v>238.26</v>
      </c>
      <c r="K1019" s="111">
        <f t="shared" si="73"/>
        <v>0</v>
      </c>
      <c r="L1019" s="110">
        <f t="shared" si="74"/>
        <v>0</v>
      </c>
      <c r="M1019" s="112"/>
    </row>
    <row r="1020" spans="2:13" s="52" customFormat="1" ht="19.5" hidden="1" customHeight="1">
      <c r="B1020" s="108">
        <v>9</v>
      </c>
      <c r="C1020" s="139" t="s">
        <v>55</v>
      </c>
      <c r="D1020" s="108" t="s">
        <v>2674</v>
      </c>
      <c r="E1020" s="108" t="s">
        <v>2970</v>
      </c>
      <c r="F1020" s="108" t="s">
        <v>3209</v>
      </c>
      <c r="G1020" s="108">
        <v>2</v>
      </c>
      <c r="H1020" s="71">
        <v>2</v>
      </c>
      <c r="I1020" s="109">
        <f t="shared" si="75"/>
        <v>29.62</v>
      </c>
      <c r="J1020" s="110">
        <f t="shared" si="72"/>
        <v>29.62</v>
      </c>
      <c r="K1020" s="111">
        <f t="shared" si="73"/>
        <v>0</v>
      </c>
      <c r="L1020" s="110">
        <f t="shared" si="74"/>
        <v>0</v>
      </c>
      <c r="M1020" s="112"/>
    </row>
    <row r="1021" spans="2:13" s="52" customFormat="1" ht="19.5" customHeight="1">
      <c r="B1021" s="108">
        <v>9</v>
      </c>
      <c r="C1021" s="139" t="s">
        <v>55</v>
      </c>
      <c r="D1021" s="108" t="s">
        <v>2675</v>
      </c>
      <c r="E1021" s="108" t="s">
        <v>2971</v>
      </c>
      <c r="F1021" s="108" t="s">
        <v>3210</v>
      </c>
      <c r="G1021" s="108">
        <v>2</v>
      </c>
      <c r="H1021" s="71"/>
      <c r="I1021" s="109">
        <f t="shared" si="75"/>
        <v>48.08</v>
      </c>
      <c r="J1021" s="110">
        <f t="shared" ref="J1021:J1082" si="76">F1021*H1021</f>
        <v>0</v>
      </c>
      <c r="K1021" s="111">
        <f t="shared" ref="K1021:K1082" si="77">G1021-H1021</f>
        <v>2</v>
      </c>
      <c r="L1021" s="110">
        <f t="shared" ref="L1021:L1082" si="78">I1021-J1021</f>
        <v>48.08</v>
      </c>
      <c r="M1021" s="112"/>
    </row>
    <row r="1022" spans="2:13" s="52" customFormat="1" ht="19.5" customHeight="1">
      <c r="B1022" s="108">
        <v>9</v>
      </c>
      <c r="C1022" s="139" t="s">
        <v>55</v>
      </c>
      <c r="D1022" s="108" t="s">
        <v>2676</v>
      </c>
      <c r="E1022" s="108" t="s">
        <v>2972</v>
      </c>
      <c r="F1022" s="108" t="s">
        <v>3211</v>
      </c>
      <c r="G1022" s="108">
        <v>5</v>
      </c>
      <c r="H1022" s="71"/>
      <c r="I1022" s="109">
        <f t="shared" si="75"/>
        <v>151.19999999999999</v>
      </c>
      <c r="J1022" s="110">
        <f t="shared" si="76"/>
        <v>0</v>
      </c>
      <c r="K1022" s="111">
        <f t="shared" si="77"/>
        <v>5</v>
      </c>
      <c r="L1022" s="110">
        <f t="shared" si="78"/>
        <v>151.19999999999999</v>
      </c>
      <c r="M1022" s="112"/>
    </row>
    <row r="1023" spans="2:13" s="52" customFormat="1" ht="19.5" customHeight="1">
      <c r="B1023" s="108">
        <v>9</v>
      </c>
      <c r="C1023" s="139" t="s">
        <v>55</v>
      </c>
      <c r="D1023" s="108" t="s">
        <v>2677</v>
      </c>
      <c r="E1023" s="108" t="s">
        <v>2973</v>
      </c>
      <c r="F1023" s="108" t="s">
        <v>3212</v>
      </c>
      <c r="G1023" s="108">
        <v>1</v>
      </c>
      <c r="H1023" s="71"/>
      <c r="I1023" s="109">
        <f t="shared" si="75"/>
        <v>58.77</v>
      </c>
      <c r="J1023" s="110">
        <f t="shared" si="76"/>
        <v>0</v>
      </c>
      <c r="K1023" s="111">
        <f t="shared" si="77"/>
        <v>1</v>
      </c>
      <c r="L1023" s="110">
        <f t="shared" si="78"/>
        <v>58.77</v>
      </c>
      <c r="M1023" s="112"/>
    </row>
    <row r="1024" spans="2:13" s="52" customFormat="1" ht="19.5" customHeight="1">
      <c r="B1024" s="108">
        <v>9</v>
      </c>
      <c r="C1024" s="139" t="s">
        <v>55</v>
      </c>
      <c r="D1024" s="108" t="s">
        <v>2678</v>
      </c>
      <c r="E1024" s="108" t="s">
        <v>2974</v>
      </c>
      <c r="F1024" s="108" t="s">
        <v>3213</v>
      </c>
      <c r="G1024" s="108">
        <v>4</v>
      </c>
      <c r="H1024" s="71"/>
      <c r="I1024" s="109">
        <f t="shared" si="75"/>
        <v>26.72</v>
      </c>
      <c r="J1024" s="110">
        <f t="shared" si="76"/>
        <v>0</v>
      </c>
      <c r="K1024" s="111">
        <f t="shared" si="77"/>
        <v>4</v>
      </c>
      <c r="L1024" s="110">
        <f t="shared" si="78"/>
        <v>26.72</v>
      </c>
      <c r="M1024" s="112"/>
    </row>
    <row r="1025" spans="2:13" s="52" customFormat="1" ht="19.5" customHeight="1">
      <c r="B1025" s="108">
        <v>9</v>
      </c>
      <c r="C1025" s="139" t="s">
        <v>55</v>
      </c>
      <c r="D1025" s="108" t="s">
        <v>2679</v>
      </c>
      <c r="E1025" s="108" t="s">
        <v>2975</v>
      </c>
      <c r="F1025" s="108" t="s">
        <v>3214</v>
      </c>
      <c r="G1025" s="108">
        <v>1</v>
      </c>
      <c r="H1025" s="71"/>
      <c r="I1025" s="109">
        <f t="shared" si="75"/>
        <v>29.39</v>
      </c>
      <c r="J1025" s="110">
        <f t="shared" si="76"/>
        <v>0</v>
      </c>
      <c r="K1025" s="111">
        <f t="shared" si="77"/>
        <v>1</v>
      </c>
      <c r="L1025" s="110">
        <f t="shared" si="78"/>
        <v>29.39</v>
      </c>
      <c r="M1025" s="112"/>
    </row>
    <row r="1026" spans="2:13" s="52" customFormat="1" ht="19.5" customHeight="1">
      <c r="B1026" s="108">
        <v>9</v>
      </c>
      <c r="C1026" s="139" t="s">
        <v>55</v>
      </c>
      <c r="D1026" s="108" t="s">
        <v>2680</v>
      </c>
      <c r="E1026" s="108" t="s">
        <v>2976</v>
      </c>
      <c r="F1026" s="108" t="s">
        <v>3215</v>
      </c>
      <c r="G1026" s="108">
        <v>3</v>
      </c>
      <c r="H1026" s="71"/>
      <c r="I1026" s="109">
        <f t="shared" si="75"/>
        <v>240.45000000000002</v>
      </c>
      <c r="J1026" s="110">
        <f t="shared" si="76"/>
        <v>0</v>
      </c>
      <c r="K1026" s="111">
        <f t="shared" si="77"/>
        <v>3</v>
      </c>
      <c r="L1026" s="110">
        <f t="shared" si="78"/>
        <v>240.45000000000002</v>
      </c>
      <c r="M1026" s="112"/>
    </row>
    <row r="1027" spans="2:13" s="52" customFormat="1" ht="19.5" customHeight="1">
      <c r="B1027" s="108">
        <v>9</v>
      </c>
      <c r="C1027" s="139" t="s">
        <v>55</v>
      </c>
      <c r="D1027" s="108" t="s">
        <v>2681</v>
      </c>
      <c r="E1027" s="108" t="s">
        <v>2977</v>
      </c>
      <c r="F1027" s="108" t="s">
        <v>3216</v>
      </c>
      <c r="G1027" s="108">
        <v>5</v>
      </c>
      <c r="H1027" s="71"/>
      <c r="I1027" s="109">
        <f t="shared" si="75"/>
        <v>276.84999999999997</v>
      </c>
      <c r="J1027" s="110">
        <f t="shared" si="76"/>
        <v>0</v>
      </c>
      <c r="K1027" s="111">
        <f t="shared" si="77"/>
        <v>5</v>
      </c>
      <c r="L1027" s="110">
        <f t="shared" si="78"/>
        <v>276.84999999999997</v>
      </c>
      <c r="M1027" s="112"/>
    </row>
    <row r="1028" spans="2:13" s="52" customFormat="1" ht="19.5" customHeight="1">
      <c r="B1028" s="108">
        <v>9</v>
      </c>
      <c r="C1028" s="139" t="s">
        <v>55</v>
      </c>
      <c r="D1028" s="108" t="s">
        <v>2682</v>
      </c>
      <c r="E1028" s="108" t="s">
        <v>2978</v>
      </c>
      <c r="F1028" s="108" t="s">
        <v>3217</v>
      </c>
      <c r="G1028" s="108">
        <v>2</v>
      </c>
      <c r="H1028" s="71"/>
      <c r="I1028" s="109">
        <f t="shared" si="75"/>
        <v>84.52</v>
      </c>
      <c r="J1028" s="110">
        <f t="shared" si="76"/>
        <v>0</v>
      </c>
      <c r="K1028" s="111">
        <f t="shared" si="77"/>
        <v>2</v>
      </c>
      <c r="L1028" s="110">
        <f t="shared" si="78"/>
        <v>84.52</v>
      </c>
      <c r="M1028" s="112"/>
    </row>
    <row r="1029" spans="2:13" s="52" customFormat="1" ht="19.5" customHeight="1">
      <c r="B1029" s="108">
        <v>9</v>
      </c>
      <c r="C1029" s="139" t="s">
        <v>55</v>
      </c>
      <c r="D1029" s="108" t="s">
        <v>2683</v>
      </c>
      <c r="E1029" s="108" t="s">
        <v>2979</v>
      </c>
      <c r="F1029" s="108" t="s">
        <v>3218</v>
      </c>
      <c r="G1029" s="108">
        <v>14</v>
      </c>
      <c r="H1029" s="71">
        <f>2+2</f>
        <v>4</v>
      </c>
      <c r="I1029" s="109">
        <f t="shared" si="75"/>
        <v>81.06</v>
      </c>
      <c r="J1029" s="110">
        <f t="shared" si="76"/>
        <v>23.16</v>
      </c>
      <c r="K1029" s="111">
        <f t="shared" si="77"/>
        <v>10</v>
      </c>
      <c r="L1029" s="110">
        <f t="shared" si="78"/>
        <v>57.900000000000006</v>
      </c>
      <c r="M1029" s="112"/>
    </row>
    <row r="1030" spans="2:13" s="52" customFormat="1" ht="19.5" customHeight="1">
      <c r="B1030" s="108">
        <v>9</v>
      </c>
      <c r="C1030" s="139" t="s">
        <v>55</v>
      </c>
      <c r="D1030" s="108" t="s">
        <v>2684</v>
      </c>
      <c r="E1030" s="108" t="s">
        <v>2980</v>
      </c>
      <c r="F1030" s="108" t="s">
        <v>3219</v>
      </c>
      <c r="G1030" s="108">
        <v>15</v>
      </c>
      <c r="H1030" s="71">
        <v>1</v>
      </c>
      <c r="I1030" s="109">
        <f t="shared" si="75"/>
        <v>70.5</v>
      </c>
      <c r="J1030" s="110">
        <f t="shared" si="76"/>
        <v>4.7</v>
      </c>
      <c r="K1030" s="111">
        <f t="shared" si="77"/>
        <v>14</v>
      </c>
      <c r="L1030" s="110">
        <f t="shared" si="78"/>
        <v>65.8</v>
      </c>
      <c r="M1030" s="112"/>
    </row>
    <row r="1031" spans="2:13" s="52" customFormat="1" ht="19.5" customHeight="1">
      <c r="B1031" s="108">
        <v>9</v>
      </c>
      <c r="C1031" s="139" t="s">
        <v>55</v>
      </c>
      <c r="D1031" s="108" t="s">
        <v>2685</v>
      </c>
      <c r="E1031" s="108" t="s">
        <v>2981</v>
      </c>
      <c r="F1031" s="108" t="s">
        <v>3220</v>
      </c>
      <c r="G1031" s="108">
        <v>81</v>
      </c>
      <c r="H1031" s="71">
        <v>31</v>
      </c>
      <c r="I1031" s="109">
        <f t="shared" si="75"/>
        <v>545.13</v>
      </c>
      <c r="J1031" s="110">
        <f t="shared" si="76"/>
        <v>208.63000000000002</v>
      </c>
      <c r="K1031" s="111">
        <f t="shared" si="77"/>
        <v>50</v>
      </c>
      <c r="L1031" s="110">
        <f t="shared" si="78"/>
        <v>336.5</v>
      </c>
      <c r="M1031" s="112"/>
    </row>
    <row r="1032" spans="2:13" s="52" customFormat="1" ht="19.5" customHeight="1">
      <c r="B1032" s="108">
        <v>9</v>
      </c>
      <c r="C1032" s="139" t="s">
        <v>55</v>
      </c>
      <c r="D1032" s="108" t="s">
        <v>2686</v>
      </c>
      <c r="E1032" s="108" t="s">
        <v>2982</v>
      </c>
      <c r="F1032" s="108" t="s">
        <v>3221</v>
      </c>
      <c r="G1032" s="108">
        <v>3</v>
      </c>
      <c r="H1032" s="71"/>
      <c r="I1032" s="109">
        <f t="shared" si="75"/>
        <v>194.91</v>
      </c>
      <c r="J1032" s="110">
        <f t="shared" si="76"/>
        <v>0</v>
      </c>
      <c r="K1032" s="111">
        <f t="shared" si="77"/>
        <v>3</v>
      </c>
      <c r="L1032" s="110">
        <f t="shared" si="78"/>
        <v>194.91</v>
      </c>
      <c r="M1032" s="112"/>
    </row>
    <row r="1033" spans="2:13" s="52" customFormat="1" ht="19.5" customHeight="1">
      <c r="B1033" s="108">
        <v>9</v>
      </c>
      <c r="C1033" s="139" t="s">
        <v>55</v>
      </c>
      <c r="D1033" s="108" t="s">
        <v>2687</v>
      </c>
      <c r="E1033" s="108" t="s">
        <v>2983</v>
      </c>
      <c r="F1033" s="108" t="s">
        <v>3222</v>
      </c>
      <c r="G1033" s="108">
        <v>27</v>
      </c>
      <c r="H1033" s="71">
        <v>26</v>
      </c>
      <c r="I1033" s="109">
        <f t="shared" si="75"/>
        <v>178.2</v>
      </c>
      <c r="J1033" s="110">
        <f t="shared" si="76"/>
        <v>171.6</v>
      </c>
      <c r="K1033" s="111">
        <f t="shared" si="77"/>
        <v>1</v>
      </c>
      <c r="L1033" s="110">
        <f t="shared" si="78"/>
        <v>6.5999999999999943</v>
      </c>
      <c r="M1033" s="112"/>
    </row>
    <row r="1034" spans="2:13" s="52" customFormat="1" ht="19.5" hidden="1" customHeight="1">
      <c r="B1034" s="108">
        <v>9</v>
      </c>
      <c r="C1034" s="139" t="s">
        <v>55</v>
      </c>
      <c r="D1034" s="108" t="s">
        <v>2688</v>
      </c>
      <c r="E1034" s="108" t="s">
        <v>2984</v>
      </c>
      <c r="F1034" s="108" t="s">
        <v>3222</v>
      </c>
      <c r="G1034" s="108">
        <v>7</v>
      </c>
      <c r="H1034" s="71">
        <f>8+3</f>
        <v>11</v>
      </c>
      <c r="I1034" s="109">
        <f t="shared" si="75"/>
        <v>46.199999999999996</v>
      </c>
      <c r="J1034" s="110">
        <f t="shared" si="76"/>
        <v>72.599999999999994</v>
      </c>
      <c r="K1034" s="111">
        <f t="shared" si="77"/>
        <v>-4</v>
      </c>
      <c r="L1034" s="110">
        <f t="shared" si="78"/>
        <v>-26.4</v>
      </c>
      <c r="M1034" s="112"/>
    </row>
    <row r="1035" spans="2:13" s="52" customFormat="1" ht="19.5" customHeight="1">
      <c r="B1035" s="108">
        <v>9</v>
      </c>
      <c r="C1035" s="139" t="s">
        <v>55</v>
      </c>
      <c r="D1035" s="108" t="s">
        <v>2689</v>
      </c>
      <c r="E1035" s="108" t="s">
        <v>2985</v>
      </c>
      <c r="F1035" s="108" t="s">
        <v>3220</v>
      </c>
      <c r="G1035" s="108">
        <v>38</v>
      </c>
      <c r="H1035" s="71">
        <f>3+19</f>
        <v>22</v>
      </c>
      <c r="I1035" s="109">
        <f t="shared" si="75"/>
        <v>255.74</v>
      </c>
      <c r="J1035" s="110">
        <f t="shared" si="76"/>
        <v>148.06</v>
      </c>
      <c r="K1035" s="111">
        <f t="shared" si="77"/>
        <v>16</v>
      </c>
      <c r="L1035" s="110">
        <f t="shared" si="78"/>
        <v>107.68</v>
      </c>
      <c r="M1035" s="112"/>
    </row>
    <row r="1036" spans="2:13" s="52" customFormat="1" ht="19.5" hidden="1" customHeight="1">
      <c r="B1036" s="108">
        <v>9</v>
      </c>
      <c r="C1036" s="139" t="s">
        <v>55</v>
      </c>
      <c r="D1036" s="108" t="s">
        <v>2690</v>
      </c>
      <c r="E1036" s="108" t="s">
        <v>2986</v>
      </c>
      <c r="F1036" s="108" t="s">
        <v>3220</v>
      </c>
      <c r="G1036" s="108">
        <v>18</v>
      </c>
      <c r="H1036" s="71">
        <f>14+16</f>
        <v>30</v>
      </c>
      <c r="I1036" s="109">
        <f t="shared" si="75"/>
        <v>121.14000000000001</v>
      </c>
      <c r="J1036" s="110">
        <f t="shared" si="76"/>
        <v>201.9</v>
      </c>
      <c r="K1036" s="111">
        <f t="shared" si="77"/>
        <v>-12</v>
      </c>
      <c r="L1036" s="110">
        <f t="shared" si="78"/>
        <v>-80.759999999999991</v>
      </c>
      <c r="M1036" s="112"/>
    </row>
    <row r="1037" spans="2:13" s="52" customFormat="1" ht="19.5" customHeight="1">
      <c r="B1037" s="108">
        <v>9</v>
      </c>
      <c r="C1037" s="139" t="s">
        <v>55</v>
      </c>
      <c r="D1037" s="108" t="s">
        <v>2691</v>
      </c>
      <c r="E1037" s="108" t="s">
        <v>2987</v>
      </c>
      <c r="F1037" s="108" t="s">
        <v>3223</v>
      </c>
      <c r="G1037" s="108">
        <v>2</v>
      </c>
      <c r="H1037" s="71"/>
      <c r="I1037" s="109">
        <f t="shared" si="75"/>
        <v>129.96</v>
      </c>
      <c r="J1037" s="110">
        <f t="shared" si="76"/>
        <v>0</v>
      </c>
      <c r="K1037" s="111">
        <f t="shared" si="77"/>
        <v>2</v>
      </c>
      <c r="L1037" s="110">
        <f t="shared" si="78"/>
        <v>129.96</v>
      </c>
      <c r="M1037" s="112"/>
    </row>
    <row r="1038" spans="2:13" s="52" customFormat="1" ht="19.5" hidden="1" customHeight="1">
      <c r="B1038" s="108">
        <v>9</v>
      </c>
      <c r="C1038" s="139" t="s">
        <v>55</v>
      </c>
      <c r="D1038" s="108" t="s">
        <v>2692</v>
      </c>
      <c r="E1038" s="108" t="s">
        <v>2988</v>
      </c>
      <c r="F1038" s="108" t="s">
        <v>3224</v>
      </c>
      <c r="G1038" s="108">
        <v>1</v>
      </c>
      <c r="H1038" s="71">
        <v>11</v>
      </c>
      <c r="I1038" s="109">
        <f t="shared" si="75"/>
        <v>121.12</v>
      </c>
      <c r="J1038" s="110">
        <f t="shared" si="76"/>
        <v>1332.3200000000002</v>
      </c>
      <c r="K1038" s="111">
        <f t="shared" si="77"/>
        <v>-10</v>
      </c>
      <c r="L1038" s="110">
        <f t="shared" si="78"/>
        <v>-1211.2000000000003</v>
      </c>
      <c r="M1038" s="112"/>
    </row>
    <row r="1039" spans="2:13" s="52" customFormat="1" ht="19.5" customHeight="1">
      <c r="B1039" s="108">
        <v>9</v>
      </c>
      <c r="C1039" s="139" t="s">
        <v>55</v>
      </c>
      <c r="D1039" s="108" t="s">
        <v>2693</v>
      </c>
      <c r="E1039" s="108" t="s">
        <v>2989</v>
      </c>
      <c r="F1039" s="108" t="s">
        <v>3225</v>
      </c>
      <c r="G1039" s="108">
        <v>11</v>
      </c>
      <c r="H1039" s="71"/>
      <c r="I1039" s="109">
        <f t="shared" si="75"/>
        <v>895.29</v>
      </c>
      <c r="J1039" s="110">
        <f t="shared" si="76"/>
        <v>0</v>
      </c>
      <c r="K1039" s="111">
        <f t="shared" si="77"/>
        <v>11</v>
      </c>
      <c r="L1039" s="110">
        <f t="shared" si="78"/>
        <v>895.29</v>
      </c>
      <c r="M1039" s="112"/>
    </row>
    <row r="1040" spans="2:13" s="52" customFormat="1" ht="19.5" hidden="1" customHeight="1">
      <c r="B1040" s="108">
        <v>9</v>
      </c>
      <c r="C1040" s="139" t="s">
        <v>55</v>
      </c>
      <c r="D1040" s="108" t="s">
        <v>2694</v>
      </c>
      <c r="E1040" s="108" t="s">
        <v>2990</v>
      </c>
      <c r="F1040" s="108" t="s">
        <v>3226</v>
      </c>
      <c r="G1040" s="108">
        <v>1</v>
      </c>
      <c r="H1040" s="71">
        <v>1</v>
      </c>
      <c r="I1040" s="109">
        <f t="shared" si="75"/>
        <v>75.47</v>
      </c>
      <c r="J1040" s="110">
        <f t="shared" si="76"/>
        <v>75.47</v>
      </c>
      <c r="K1040" s="111">
        <f t="shared" si="77"/>
        <v>0</v>
      </c>
      <c r="L1040" s="110">
        <f t="shared" si="78"/>
        <v>0</v>
      </c>
      <c r="M1040" s="112"/>
    </row>
    <row r="1041" spans="2:13" s="52" customFormat="1" ht="19.5" hidden="1" customHeight="1">
      <c r="B1041" s="108">
        <v>9</v>
      </c>
      <c r="C1041" s="139" t="s">
        <v>55</v>
      </c>
      <c r="D1041" s="108" t="s">
        <v>2695</v>
      </c>
      <c r="E1041" s="108" t="s">
        <v>2991</v>
      </c>
      <c r="F1041" s="108" t="s">
        <v>3227</v>
      </c>
      <c r="G1041" s="108">
        <v>9</v>
      </c>
      <c r="H1041" s="71">
        <v>11</v>
      </c>
      <c r="I1041" s="109">
        <f t="shared" si="75"/>
        <v>502.74</v>
      </c>
      <c r="J1041" s="110">
        <f t="shared" si="76"/>
        <v>614.46</v>
      </c>
      <c r="K1041" s="111">
        <f t="shared" si="77"/>
        <v>-2</v>
      </c>
      <c r="L1041" s="110">
        <f t="shared" si="78"/>
        <v>-111.72000000000003</v>
      </c>
      <c r="M1041" s="112"/>
    </row>
    <row r="1042" spans="2:13" s="52" customFormat="1" ht="19.5" customHeight="1">
      <c r="B1042" s="108">
        <v>9</v>
      </c>
      <c r="C1042" s="139" t="s">
        <v>55</v>
      </c>
      <c r="D1042" s="108" t="s">
        <v>2696</v>
      </c>
      <c r="E1042" s="108" t="s">
        <v>2992</v>
      </c>
      <c r="F1042" s="108" t="s">
        <v>3228</v>
      </c>
      <c r="G1042" s="108">
        <v>42</v>
      </c>
      <c r="H1042" s="71">
        <f>3+36</f>
        <v>39</v>
      </c>
      <c r="I1042" s="109">
        <f t="shared" si="75"/>
        <v>1982.4</v>
      </c>
      <c r="J1042" s="110">
        <f t="shared" si="76"/>
        <v>1840.8000000000002</v>
      </c>
      <c r="K1042" s="111">
        <f t="shared" si="77"/>
        <v>3</v>
      </c>
      <c r="L1042" s="110">
        <f t="shared" si="78"/>
        <v>141.59999999999991</v>
      </c>
      <c r="M1042" s="112"/>
    </row>
    <row r="1043" spans="2:13" s="52" customFormat="1" ht="19.5" customHeight="1">
      <c r="B1043" s="108">
        <v>9</v>
      </c>
      <c r="C1043" s="139" t="s">
        <v>55</v>
      </c>
      <c r="D1043" s="108" t="s">
        <v>2697</v>
      </c>
      <c r="E1043" s="108" t="s">
        <v>2993</v>
      </c>
      <c r="F1043" s="108" t="s">
        <v>3229</v>
      </c>
      <c r="G1043" s="108">
        <v>14</v>
      </c>
      <c r="H1043" s="71">
        <v>12</v>
      </c>
      <c r="I1043" s="109">
        <f t="shared" si="75"/>
        <v>1109.08</v>
      </c>
      <c r="J1043" s="110">
        <f t="shared" si="76"/>
        <v>950.64</v>
      </c>
      <c r="K1043" s="111">
        <f t="shared" si="77"/>
        <v>2</v>
      </c>
      <c r="L1043" s="110">
        <f t="shared" si="78"/>
        <v>158.43999999999994</v>
      </c>
      <c r="M1043" s="112"/>
    </row>
    <row r="1044" spans="2:13" s="52" customFormat="1" ht="19.5" customHeight="1">
      <c r="B1044" s="108">
        <v>9</v>
      </c>
      <c r="C1044" s="139" t="s">
        <v>55</v>
      </c>
      <c r="D1044" s="108" t="s">
        <v>2698</v>
      </c>
      <c r="E1044" s="108" t="s">
        <v>2994</v>
      </c>
      <c r="F1044" s="108" t="s">
        <v>3230</v>
      </c>
      <c r="G1044" s="108">
        <v>37</v>
      </c>
      <c r="H1044" s="71">
        <v>23</v>
      </c>
      <c r="I1044" s="109">
        <f t="shared" si="75"/>
        <v>1363.0800000000002</v>
      </c>
      <c r="J1044" s="110">
        <f t="shared" si="76"/>
        <v>847.32</v>
      </c>
      <c r="K1044" s="111">
        <f t="shared" si="77"/>
        <v>14</v>
      </c>
      <c r="L1044" s="110">
        <f t="shared" si="78"/>
        <v>515.7600000000001</v>
      </c>
      <c r="M1044" s="112"/>
    </row>
    <row r="1045" spans="2:13" s="52" customFormat="1" ht="19.5" hidden="1" customHeight="1">
      <c r="B1045" s="108">
        <v>9</v>
      </c>
      <c r="C1045" s="139" t="s">
        <v>55</v>
      </c>
      <c r="D1045" s="108" t="s">
        <v>2699</v>
      </c>
      <c r="E1045" s="108" t="s">
        <v>2995</v>
      </c>
      <c r="F1045" s="108" t="s">
        <v>3231</v>
      </c>
      <c r="G1045" s="108">
        <v>6</v>
      </c>
      <c r="H1045" s="71">
        <v>6</v>
      </c>
      <c r="I1045" s="109">
        <f t="shared" si="75"/>
        <v>1080.6600000000001</v>
      </c>
      <c r="J1045" s="110">
        <f t="shared" si="76"/>
        <v>1080.6600000000001</v>
      </c>
      <c r="K1045" s="111">
        <f t="shared" si="77"/>
        <v>0</v>
      </c>
      <c r="L1045" s="110">
        <f t="shared" si="78"/>
        <v>0</v>
      </c>
      <c r="M1045" s="112"/>
    </row>
    <row r="1046" spans="2:13" s="52" customFormat="1" ht="19.5" customHeight="1">
      <c r="B1046" s="108">
        <v>9</v>
      </c>
      <c r="C1046" s="139" t="s">
        <v>55</v>
      </c>
      <c r="D1046" s="108" t="s">
        <v>2700</v>
      </c>
      <c r="E1046" s="108" t="s">
        <v>2996</v>
      </c>
      <c r="F1046" s="108" t="s">
        <v>3232</v>
      </c>
      <c r="G1046" s="108">
        <v>5</v>
      </c>
      <c r="H1046" s="71"/>
      <c r="I1046" s="109">
        <f t="shared" si="75"/>
        <v>309.14999999999998</v>
      </c>
      <c r="J1046" s="110">
        <f t="shared" si="76"/>
        <v>0</v>
      </c>
      <c r="K1046" s="111">
        <f t="shared" si="77"/>
        <v>5</v>
      </c>
      <c r="L1046" s="110">
        <f t="shared" si="78"/>
        <v>309.14999999999998</v>
      </c>
      <c r="M1046" s="112"/>
    </row>
    <row r="1047" spans="2:13" s="52" customFormat="1" ht="19.5" customHeight="1">
      <c r="B1047" s="108">
        <v>9</v>
      </c>
      <c r="C1047" s="139" t="s">
        <v>55</v>
      </c>
      <c r="D1047" s="108" t="s">
        <v>2701</v>
      </c>
      <c r="E1047" s="108" t="s">
        <v>2997</v>
      </c>
      <c r="F1047" s="108" t="s">
        <v>3233</v>
      </c>
      <c r="G1047" s="108">
        <v>275</v>
      </c>
      <c r="H1047" s="71">
        <v>137</v>
      </c>
      <c r="I1047" s="109">
        <f t="shared" si="75"/>
        <v>5126</v>
      </c>
      <c r="J1047" s="110">
        <f t="shared" si="76"/>
        <v>2553.6800000000003</v>
      </c>
      <c r="K1047" s="111">
        <f t="shared" si="77"/>
        <v>138</v>
      </c>
      <c r="L1047" s="110">
        <f t="shared" si="78"/>
        <v>2572.3199999999997</v>
      </c>
      <c r="M1047" s="112"/>
    </row>
    <row r="1048" spans="2:13" s="52" customFormat="1" ht="19.5" hidden="1" customHeight="1">
      <c r="B1048" s="108">
        <v>9</v>
      </c>
      <c r="C1048" s="139" t="s">
        <v>55</v>
      </c>
      <c r="D1048" s="108" t="s">
        <v>2702</v>
      </c>
      <c r="E1048" s="108" t="s">
        <v>2998</v>
      </c>
      <c r="F1048" s="108" t="s">
        <v>3233</v>
      </c>
      <c r="G1048" s="108">
        <v>35</v>
      </c>
      <c r="H1048" s="71">
        <v>51</v>
      </c>
      <c r="I1048" s="109">
        <f t="shared" si="75"/>
        <v>652.4</v>
      </c>
      <c r="J1048" s="110">
        <f t="shared" si="76"/>
        <v>950.64</v>
      </c>
      <c r="K1048" s="111">
        <f t="shared" si="77"/>
        <v>-16</v>
      </c>
      <c r="L1048" s="110">
        <f t="shared" si="78"/>
        <v>-298.24</v>
      </c>
      <c r="M1048" s="112"/>
    </row>
    <row r="1049" spans="2:13" s="52" customFormat="1" ht="19.5" customHeight="1">
      <c r="B1049" s="108">
        <v>9</v>
      </c>
      <c r="C1049" s="139" t="s">
        <v>55</v>
      </c>
      <c r="D1049" s="108" t="s">
        <v>2702</v>
      </c>
      <c r="E1049" s="108" t="s">
        <v>2998</v>
      </c>
      <c r="F1049" s="108" t="s">
        <v>3234</v>
      </c>
      <c r="G1049" s="108">
        <v>60</v>
      </c>
      <c r="H1049" s="71"/>
      <c r="I1049" s="109">
        <f t="shared" si="75"/>
        <v>1234.2</v>
      </c>
      <c r="J1049" s="110">
        <f t="shared" si="76"/>
        <v>0</v>
      </c>
      <c r="K1049" s="111">
        <f t="shared" si="77"/>
        <v>60</v>
      </c>
      <c r="L1049" s="110">
        <f t="shared" si="78"/>
        <v>1234.2</v>
      </c>
      <c r="M1049" s="112"/>
    </row>
    <row r="1050" spans="2:13" s="52" customFormat="1" ht="19.5" hidden="1" customHeight="1">
      <c r="B1050" s="108">
        <v>9</v>
      </c>
      <c r="C1050" s="139" t="s">
        <v>55</v>
      </c>
      <c r="D1050" s="108" t="s">
        <v>2703</v>
      </c>
      <c r="E1050" s="108" t="s">
        <v>2999</v>
      </c>
      <c r="F1050" s="108" t="s">
        <v>3235</v>
      </c>
      <c r="G1050" s="108">
        <v>3</v>
      </c>
      <c r="H1050" s="71">
        <v>3</v>
      </c>
      <c r="I1050" s="109">
        <f t="shared" si="75"/>
        <v>501.33000000000004</v>
      </c>
      <c r="J1050" s="110">
        <f t="shared" si="76"/>
        <v>501.33000000000004</v>
      </c>
      <c r="K1050" s="111">
        <f t="shared" si="77"/>
        <v>0</v>
      </c>
      <c r="L1050" s="110">
        <f t="shared" si="78"/>
        <v>0</v>
      </c>
      <c r="M1050" s="112"/>
    </row>
    <row r="1051" spans="2:13" s="52" customFormat="1" ht="19.5" hidden="1" customHeight="1">
      <c r="B1051" s="108">
        <v>9</v>
      </c>
      <c r="C1051" s="139" t="s">
        <v>55</v>
      </c>
      <c r="D1051" s="108" t="s">
        <v>2704</v>
      </c>
      <c r="E1051" s="108" t="s">
        <v>3000</v>
      </c>
      <c r="F1051" s="108" t="s">
        <v>3229</v>
      </c>
      <c r="G1051" s="108">
        <v>14</v>
      </c>
      <c r="H1051" s="71">
        <v>14</v>
      </c>
      <c r="I1051" s="109">
        <f t="shared" si="75"/>
        <v>1109.08</v>
      </c>
      <c r="J1051" s="110">
        <f t="shared" si="76"/>
        <v>1109.08</v>
      </c>
      <c r="K1051" s="111">
        <f t="shared" si="77"/>
        <v>0</v>
      </c>
      <c r="L1051" s="110">
        <f t="shared" si="78"/>
        <v>0</v>
      </c>
      <c r="M1051" s="112"/>
    </row>
    <row r="1052" spans="2:13" s="52" customFormat="1" ht="19.5" customHeight="1">
      <c r="B1052" s="108">
        <v>9</v>
      </c>
      <c r="C1052" s="139" t="s">
        <v>55</v>
      </c>
      <c r="D1052" s="108" t="s">
        <v>2705</v>
      </c>
      <c r="E1052" s="108" t="s">
        <v>3001</v>
      </c>
      <c r="F1052" s="108" t="s">
        <v>3228</v>
      </c>
      <c r="G1052" s="108">
        <v>53</v>
      </c>
      <c r="H1052" s="71">
        <v>47</v>
      </c>
      <c r="I1052" s="109">
        <f t="shared" si="75"/>
        <v>2501.6000000000004</v>
      </c>
      <c r="J1052" s="110">
        <f t="shared" si="76"/>
        <v>2218.4</v>
      </c>
      <c r="K1052" s="111">
        <f t="shared" si="77"/>
        <v>6</v>
      </c>
      <c r="L1052" s="110">
        <f t="shared" si="78"/>
        <v>283.20000000000027</v>
      </c>
      <c r="M1052" s="112"/>
    </row>
    <row r="1053" spans="2:13" s="52" customFormat="1" ht="19.5" hidden="1" customHeight="1">
      <c r="B1053" s="108">
        <v>9</v>
      </c>
      <c r="C1053" s="139" t="s">
        <v>55</v>
      </c>
      <c r="D1053" s="108" t="s">
        <v>2706</v>
      </c>
      <c r="E1053" s="108" t="s">
        <v>3002</v>
      </c>
      <c r="F1053" s="108" t="s">
        <v>3227</v>
      </c>
      <c r="G1053" s="108">
        <v>10</v>
      </c>
      <c r="H1053" s="71">
        <v>10</v>
      </c>
      <c r="I1053" s="109">
        <f t="shared" si="75"/>
        <v>558.6</v>
      </c>
      <c r="J1053" s="110">
        <f t="shared" si="76"/>
        <v>558.6</v>
      </c>
      <c r="K1053" s="111">
        <f t="shared" si="77"/>
        <v>0</v>
      </c>
      <c r="L1053" s="110">
        <f t="shared" si="78"/>
        <v>0</v>
      </c>
      <c r="M1053" s="112"/>
    </row>
    <row r="1054" spans="2:13" s="52" customFormat="1" ht="19.5" customHeight="1">
      <c r="B1054" s="108">
        <v>9</v>
      </c>
      <c r="C1054" s="139" t="s">
        <v>55</v>
      </c>
      <c r="D1054" s="108" t="s">
        <v>2707</v>
      </c>
      <c r="E1054" s="108" t="s">
        <v>3003</v>
      </c>
      <c r="F1054" s="108" t="s">
        <v>3233</v>
      </c>
      <c r="G1054" s="108">
        <v>57</v>
      </c>
      <c r="H1054" s="71">
        <v>56</v>
      </c>
      <c r="I1054" s="109">
        <f t="shared" si="75"/>
        <v>1062.48</v>
      </c>
      <c r="J1054" s="110">
        <f t="shared" si="76"/>
        <v>1043.8400000000001</v>
      </c>
      <c r="K1054" s="111">
        <f t="shared" si="77"/>
        <v>1</v>
      </c>
      <c r="L1054" s="110">
        <f t="shared" si="78"/>
        <v>18.639999999999873</v>
      </c>
      <c r="M1054" s="112"/>
    </row>
    <row r="1055" spans="2:13" s="52" customFormat="1" ht="19.5" customHeight="1">
      <c r="B1055" s="108">
        <v>9</v>
      </c>
      <c r="C1055" s="139" t="s">
        <v>55</v>
      </c>
      <c r="D1055" s="108" t="s">
        <v>2708</v>
      </c>
      <c r="E1055" s="108" t="s">
        <v>3004</v>
      </c>
      <c r="F1055" s="108" t="s">
        <v>3236</v>
      </c>
      <c r="G1055" s="108">
        <v>25</v>
      </c>
      <c r="H1055" s="71">
        <v>14</v>
      </c>
      <c r="I1055" s="109">
        <f t="shared" si="75"/>
        <v>490.25</v>
      </c>
      <c r="J1055" s="110">
        <f t="shared" si="76"/>
        <v>274.53999999999996</v>
      </c>
      <c r="K1055" s="111">
        <f t="shared" si="77"/>
        <v>11</v>
      </c>
      <c r="L1055" s="110">
        <f t="shared" si="78"/>
        <v>215.71000000000004</v>
      </c>
      <c r="M1055" s="112"/>
    </row>
    <row r="1056" spans="2:13" s="52" customFormat="1" ht="19.5" customHeight="1">
      <c r="B1056" s="108">
        <v>9</v>
      </c>
      <c r="C1056" s="139" t="s">
        <v>55</v>
      </c>
      <c r="D1056" s="108" t="s">
        <v>2709</v>
      </c>
      <c r="E1056" s="108" t="s">
        <v>3005</v>
      </c>
      <c r="F1056" s="108" t="s">
        <v>3230</v>
      </c>
      <c r="G1056" s="108">
        <v>44</v>
      </c>
      <c r="H1056" s="71">
        <v>34</v>
      </c>
      <c r="I1056" s="109">
        <f t="shared" si="75"/>
        <v>1620.96</v>
      </c>
      <c r="J1056" s="110">
        <f t="shared" si="76"/>
        <v>1252.5600000000002</v>
      </c>
      <c r="K1056" s="111">
        <f t="shared" si="77"/>
        <v>10</v>
      </c>
      <c r="L1056" s="110">
        <f t="shared" si="78"/>
        <v>368.39999999999986</v>
      </c>
      <c r="M1056" s="112"/>
    </row>
    <row r="1057" spans="2:13" s="52" customFormat="1" ht="19.5" hidden="1" customHeight="1">
      <c r="B1057" s="108">
        <v>9</v>
      </c>
      <c r="C1057" s="139" t="s">
        <v>55</v>
      </c>
      <c r="D1057" s="108" t="s">
        <v>2710</v>
      </c>
      <c r="E1057" s="108" t="s">
        <v>3006</v>
      </c>
      <c r="F1057" s="108" t="s">
        <v>3237</v>
      </c>
      <c r="G1057" s="108">
        <v>68</v>
      </c>
      <c r="H1057" s="71">
        <v>72</v>
      </c>
      <c r="I1057" s="109">
        <f t="shared" si="75"/>
        <v>1915.5600000000002</v>
      </c>
      <c r="J1057" s="110">
        <f t="shared" si="76"/>
        <v>2028.2400000000002</v>
      </c>
      <c r="K1057" s="111">
        <f t="shared" si="77"/>
        <v>-4</v>
      </c>
      <c r="L1057" s="110">
        <f t="shared" si="78"/>
        <v>-112.68000000000006</v>
      </c>
      <c r="M1057" s="112"/>
    </row>
    <row r="1058" spans="2:13" s="52" customFormat="1" ht="19.5" hidden="1" customHeight="1">
      <c r="B1058" s="108">
        <v>9</v>
      </c>
      <c r="C1058" s="139" t="s">
        <v>55</v>
      </c>
      <c r="D1058" s="108" t="s">
        <v>2711</v>
      </c>
      <c r="E1058" s="108" t="s">
        <v>3007</v>
      </c>
      <c r="F1058" s="108" t="s">
        <v>3238</v>
      </c>
      <c r="G1058" s="108">
        <v>5</v>
      </c>
      <c r="H1058" s="71">
        <v>5</v>
      </c>
      <c r="I1058" s="109">
        <f t="shared" si="75"/>
        <v>98</v>
      </c>
      <c r="J1058" s="110">
        <f t="shared" si="76"/>
        <v>98</v>
      </c>
      <c r="K1058" s="111">
        <f t="shared" si="77"/>
        <v>0</v>
      </c>
      <c r="L1058" s="110">
        <f t="shared" si="78"/>
        <v>0</v>
      </c>
      <c r="M1058" s="112"/>
    </row>
    <row r="1059" spans="2:13" s="52" customFormat="1" ht="19.5" customHeight="1">
      <c r="B1059" s="108">
        <v>9</v>
      </c>
      <c r="C1059" s="139" t="s">
        <v>55</v>
      </c>
      <c r="D1059" s="108" t="s">
        <v>2712</v>
      </c>
      <c r="E1059" s="108" t="s">
        <v>3008</v>
      </c>
      <c r="F1059" s="108" t="s">
        <v>3239</v>
      </c>
      <c r="G1059" s="108">
        <v>1</v>
      </c>
      <c r="H1059" s="71"/>
      <c r="I1059" s="109">
        <f t="shared" si="75"/>
        <v>60.75</v>
      </c>
      <c r="J1059" s="110">
        <f t="shared" si="76"/>
        <v>0</v>
      </c>
      <c r="K1059" s="111">
        <f t="shared" si="77"/>
        <v>1</v>
      </c>
      <c r="L1059" s="110">
        <f t="shared" si="78"/>
        <v>60.75</v>
      </c>
      <c r="M1059" s="112"/>
    </row>
    <row r="1060" spans="2:13" s="52" customFormat="1" ht="19.5" customHeight="1">
      <c r="B1060" s="108">
        <v>9</v>
      </c>
      <c r="C1060" s="139" t="s">
        <v>55</v>
      </c>
      <c r="D1060" s="108" t="s">
        <v>2713</v>
      </c>
      <c r="E1060" s="108" t="s">
        <v>3009</v>
      </c>
      <c r="F1060" s="108" t="s">
        <v>3240</v>
      </c>
      <c r="G1060" s="108">
        <v>89</v>
      </c>
      <c r="H1060" s="71">
        <f>3+4+72</f>
        <v>79</v>
      </c>
      <c r="I1060" s="109">
        <f t="shared" si="75"/>
        <v>24897.75</v>
      </c>
      <c r="J1060" s="110">
        <f t="shared" si="76"/>
        <v>22100.25</v>
      </c>
      <c r="K1060" s="111">
        <f t="shared" si="77"/>
        <v>10</v>
      </c>
      <c r="L1060" s="110">
        <f t="shared" si="78"/>
        <v>2797.5</v>
      </c>
      <c r="M1060" s="112"/>
    </row>
    <row r="1061" spans="2:13" s="52" customFormat="1" ht="19.5" customHeight="1">
      <c r="B1061" s="108">
        <v>9</v>
      </c>
      <c r="C1061" s="139" t="s">
        <v>55</v>
      </c>
      <c r="D1061" s="108" t="s">
        <v>2714</v>
      </c>
      <c r="E1061" s="108" t="s">
        <v>3010</v>
      </c>
      <c r="F1061" s="108" t="s">
        <v>3185</v>
      </c>
      <c r="G1061" s="108">
        <v>14</v>
      </c>
      <c r="H1061" s="71">
        <v>13</v>
      </c>
      <c r="I1061" s="109">
        <f t="shared" ref="I1061:I1124" si="79">F1061*G1061</f>
        <v>432.59999999999997</v>
      </c>
      <c r="J1061" s="110">
        <f t="shared" si="76"/>
        <v>401.7</v>
      </c>
      <c r="K1061" s="111">
        <f t="shared" si="77"/>
        <v>1</v>
      </c>
      <c r="L1061" s="110">
        <f t="shared" si="78"/>
        <v>30.899999999999977</v>
      </c>
      <c r="M1061" s="112"/>
    </row>
    <row r="1062" spans="2:13" s="52" customFormat="1" ht="19.5" customHeight="1">
      <c r="B1062" s="108">
        <v>9</v>
      </c>
      <c r="C1062" s="139" t="s">
        <v>55</v>
      </c>
      <c r="D1062" s="108" t="s">
        <v>2715</v>
      </c>
      <c r="E1062" s="108" t="s">
        <v>3011</v>
      </c>
      <c r="F1062" s="108" t="s">
        <v>3241</v>
      </c>
      <c r="G1062" s="108">
        <v>40</v>
      </c>
      <c r="H1062" s="71"/>
      <c r="I1062" s="109">
        <f t="shared" si="79"/>
        <v>819.2</v>
      </c>
      <c r="J1062" s="110">
        <f t="shared" si="76"/>
        <v>0</v>
      </c>
      <c r="K1062" s="111">
        <f t="shared" si="77"/>
        <v>40</v>
      </c>
      <c r="L1062" s="110">
        <f t="shared" si="78"/>
        <v>819.2</v>
      </c>
      <c r="M1062" s="112"/>
    </row>
    <row r="1063" spans="2:13" s="52" customFormat="1" ht="19.5" customHeight="1">
      <c r="B1063" s="108">
        <v>9</v>
      </c>
      <c r="C1063" s="139" t="s">
        <v>55</v>
      </c>
      <c r="D1063" s="108" t="s">
        <v>2716</v>
      </c>
      <c r="E1063" s="108" t="s">
        <v>3012</v>
      </c>
      <c r="F1063" s="108" t="s">
        <v>3242</v>
      </c>
      <c r="G1063" s="108">
        <v>186</v>
      </c>
      <c r="H1063" s="71">
        <v>98</v>
      </c>
      <c r="I1063" s="109">
        <f t="shared" si="79"/>
        <v>3173.16</v>
      </c>
      <c r="J1063" s="110">
        <f t="shared" si="76"/>
        <v>1671.8799999999999</v>
      </c>
      <c r="K1063" s="111">
        <f t="shared" si="77"/>
        <v>88</v>
      </c>
      <c r="L1063" s="110">
        <f t="shared" si="78"/>
        <v>1501.28</v>
      </c>
      <c r="M1063" s="112"/>
    </row>
    <row r="1064" spans="2:13" s="52" customFormat="1" ht="19.5" customHeight="1">
      <c r="B1064" s="108">
        <v>9</v>
      </c>
      <c r="C1064" s="139" t="s">
        <v>55</v>
      </c>
      <c r="D1064" s="108" t="s">
        <v>2717</v>
      </c>
      <c r="E1064" s="108" t="s">
        <v>3013</v>
      </c>
      <c r="F1064" s="108" t="s">
        <v>3243</v>
      </c>
      <c r="G1064" s="108">
        <v>19</v>
      </c>
      <c r="H1064" s="71">
        <v>5</v>
      </c>
      <c r="I1064" s="109">
        <f t="shared" si="79"/>
        <v>394.25</v>
      </c>
      <c r="J1064" s="110">
        <f t="shared" si="76"/>
        <v>103.75</v>
      </c>
      <c r="K1064" s="111">
        <f t="shared" si="77"/>
        <v>14</v>
      </c>
      <c r="L1064" s="110">
        <f t="shared" si="78"/>
        <v>290.5</v>
      </c>
      <c r="M1064" s="112"/>
    </row>
    <row r="1065" spans="2:13" s="52" customFormat="1" ht="19.5" hidden="1" customHeight="1">
      <c r="B1065" s="108">
        <v>9</v>
      </c>
      <c r="C1065" s="139" t="s">
        <v>55</v>
      </c>
      <c r="D1065" s="108" t="s">
        <v>2718</v>
      </c>
      <c r="E1065" s="108" t="s">
        <v>3014</v>
      </c>
      <c r="F1065" s="108" t="s">
        <v>3244</v>
      </c>
      <c r="G1065" s="108">
        <v>4</v>
      </c>
      <c r="H1065" s="71">
        <v>8</v>
      </c>
      <c r="I1065" s="109">
        <f t="shared" si="79"/>
        <v>95</v>
      </c>
      <c r="J1065" s="110">
        <f t="shared" si="76"/>
        <v>190</v>
      </c>
      <c r="K1065" s="111">
        <f t="shared" si="77"/>
        <v>-4</v>
      </c>
      <c r="L1065" s="110">
        <f t="shared" si="78"/>
        <v>-95</v>
      </c>
      <c r="M1065" s="112"/>
    </row>
    <row r="1066" spans="2:13" s="52" customFormat="1" ht="19.5" customHeight="1">
      <c r="B1066" s="108">
        <v>9</v>
      </c>
      <c r="C1066" s="139" t="s">
        <v>55</v>
      </c>
      <c r="D1066" s="108" t="s">
        <v>2719</v>
      </c>
      <c r="E1066" s="108" t="s">
        <v>3015</v>
      </c>
      <c r="F1066" s="108" t="s">
        <v>3245</v>
      </c>
      <c r="G1066" s="108">
        <v>13</v>
      </c>
      <c r="H1066" s="71">
        <v>4</v>
      </c>
      <c r="I1066" s="109">
        <f t="shared" si="79"/>
        <v>299</v>
      </c>
      <c r="J1066" s="110">
        <f t="shared" si="76"/>
        <v>92</v>
      </c>
      <c r="K1066" s="111">
        <f t="shared" si="77"/>
        <v>9</v>
      </c>
      <c r="L1066" s="110">
        <f t="shared" si="78"/>
        <v>207</v>
      </c>
      <c r="M1066" s="112"/>
    </row>
    <row r="1067" spans="2:13" s="52" customFormat="1" ht="19.5" customHeight="1">
      <c r="B1067" s="108">
        <v>9</v>
      </c>
      <c r="C1067" s="139" t="s">
        <v>55</v>
      </c>
      <c r="D1067" s="108" t="s">
        <v>2720</v>
      </c>
      <c r="E1067" s="108" t="s">
        <v>3016</v>
      </c>
      <c r="F1067" s="108" t="s">
        <v>3246</v>
      </c>
      <c r="G1067" s="108">
        <v>7</v>
      </c>
      <c r="H1067" s="71">
        <v>6</v>
      </c>
      <c r="I1067" s="109">
        <f t="shared" si="79"/>
        <v>210</v>
      </c>
      <c r="J1067" s="110">
        <f t="shared" si="76"/>
        <v>180</v>
      </c>
      <c r="K1067" s="111">
        <f t="shared" si="77"/>
        <v>1</v>
      </c>
      <c r="L1067" s="110">
        <f t="shared" si="78"/>
        <v>30</v>
      </c>
      <c r="M1067" s="112"/>
    </row>
    <row r="1068" spans="2:13" s="52" customFormat="1" ht="19.5" customHeight="1">
      <c r="B1068" s="108">
        <v>9</v>
      </c>
      <c r="C1068" s="139" t="s">
        <v>55</v>
      </c>
      <c r="D1068" s="108" t="s">
        <v>2721</v>
      </c>
      <c r="E1068" s="108" t="s">
        <v>3017</v>
      </c>
      <c r="F1068" s="108" t="s">
        <v>3247</v>
      </c>
      <c r="G1068" s="108">
        <v>3</v>
      </c>
      <c r="H1068" s="71">
        <v>2</v>
      </c>
      <c r="I1068" s="109">
        <f t="shared" si="79"/>
        <v>54.75</v>
      </c>
      <c r="J1068" s="110">
        <f t="shared" si="76"/>
        <v>36.5</v>
      </c>
      <c r="K1068" s="111">
        <f t="shared" si="77"/>
        <v>1</v>
      </c>
      <c r="L1068" s="110">
        <f t="shared" si="78"/>
        <v>18.25</v>
      </c>
      <c r="M1068" s="112"/>
    </row>
    <row r="1069" spans="2:13" s="52" customFormat="1" ht="19.5" customHeight="1">
      <c r="B1069" s="108">
        <v>9</v>
      </c>
      <c r="C1069" s="139" t="s">
        <v>55</v>
      </c>
      <c r="D1069" s="108" t="s">
        <v>2722</v>
      </c>
      <c r="E1069" s="108" t="s">
        <v>3018</v>
      </c>
      <c r="F1069" s="108" t="s">
        <v>3248</v>
      </c>
      <c r="G1069" s="108">
        <v>4</v>
      </c>
      <c r="H1069" s="71"/>
      <c r="I1069" s="109">
        <f t="shared" si="79"/>
        <v>106</v>
      </c>
      <c r="J1069" s="110">
        <f t="shared" si="76"/>
        <v>0</v>
      </c>
      <c r="K1069" s="111">
        <f t="shared" si="77"/>
        <v>4</v>
      </c>
      <c r="L1069" s="110">
        <f t="shared" si="78"/>
        <v>106</v>
      </c>
      <c r="M1069" s="112"/>
    </row>
    <row r="1070" spans="2:13" s="52" customFormat="1" ht="19.5" customHeight="1">
      <c r="B1070" s="108">
        <v>9</v>
      </c>
      <c r="C1070" s="139" t="s">
        <v>55</v>
      </c>
      <c r="D1070" s="108" t="s">
        <v>2723</v>
      </c>
      <c r="E1070" s="108" t="s">
        <v>3019</v>
      </c>
      <c r="F1070" s="108" t="s">
        <v>3248</v>
      </c>
      <c r="G1070" s="108">
        <v>14</v>
      </c>
      <c r="H1070" s="71"/>
      <c r="I1070" s="109">
        <f t="shared" si="79"/>
        <v>371</v>
      </c>
      <c r="J1070" s="110">
        <f t="shared" si="76"/>
        <v>0</v>
      </c>
      <c r="K1070" s="111">
        <f t="shared" si="77"/>
        <v>14</v>
      </c>
      <c r="L1070" s="110">
        <f t="shared" si="78"/>
        <v>371</v>
      </c>
      <c r="M1070" s="112"/>
    </row>
    <row r="1071" spans="2:13" s="52" customFormat="1" ht="19.5" customHeight="1">
      <c r="B1071" s="108">
        <v>9</v>
      </c>
      <c r="C1071" s="139" t="s">
        <v>55</v>
      </c>
      <c r="D1071" s="108" t="s">
        <v>2724</v>
      </c>
      <c r="E1071" s="108" t="s">
        <v>3020</v>
      </c>
      <c r="F1071" s="108" t="s">
        <v>3247</v>
      </c>
      <c r="G1071" s="108">
        <v>22</v>
      </c>
      <c r="H1071" s="71">
        <v>13</v>
      </c>
      <c r="I1071" s="109">
        <f t="shared" si="79"/>
        <v>401.5</v>
      </c>
      <c r="J1071" s="110">
        <f t="shared" si="76"/>
        <v>237.25</v>
      </c>
      <c r="K1071" s="111">
        <f t="shared" si="77"/>
        <v>9</v>
      </c>
      <c r="L1071" s="110">
        <f t="shared" si="78"/>
        <v>164.25</v>
      </c>
      <c r="M1071" s="112"/>
    </row>
    <row r="1072" spans="2:13" s="52" customFormat="1" ht="19.5" hidden="1" customHeight="1">
      <c r="B1072" s="108">
        <v>9</v>
      </c>
      <c r="C1072" s="139" t="s">
        <v>55</v>
      </c>
      <c r="D1072" s="108" t="s">
        <v>2725</v>
      </c>
      <c r="E1072" s="108" t="s">
        <v>3021</v>
      </c>
      <c r="F1072" s="108" t="s">
        <v>3249</v>
      </c>
      <c r="G1072" s="108">
        <v>15</v>
      </c>
      <c r="H1072" s="71">
        <v>16</v>
      </c>
      <c r="I1072" s="109">
        <f t="shared" si="79"/>
        <v>142.5</v>
      </c>
      <c r="J1072" s="110">
        <f t="shared" si="76"/>
        <v>152</v>
      </c>
      <c r="K1072" s="111">
        <f t="shared" si="77"/>
        <v>-1</v>
      </c>
      <c r="L1072" s="110">
        <f t="shared" si="78"/>
        <v>-9.5</v>
      </c>
      <c r="M1072" s="112"/>
    </row>
    <row r="1073" spans="2:13" s="52" customFormat="1" ht="19.5" hidden="1" customHeight="1">
      <c r="B1073" s="108">
        <v>9</v>
      </c>
      <c r="C1073" s="139" t="s">
        <v>55</v>
      </c>
      <c r="D1073" s="108" t="s">
        <v>2726</v>
      </c>
      <c r="E1073" s="108" t="s">
        <v>3022</v>
      </c>
      <c r="F1073" s="108" t="s">
        <v>3250</v>
      </c>
      <c r="G1073" s="108">
        <v>11</v>
      </c>
      <c r="H1073" s="71">
        <v>11</v>
      </c>
      <c r="I1073" s="109">
        <f t="shared" si="79"/>
        <v>343.75</v>
      </c>
      <c r="J1073" s="110">
        <f t="shared" si="76"/>
        <v>343.75</v>
      </c>
      <c r="K1073" s="111">
        <f t="shared" si="77"/>
        <v>0</v>
      </c>
      <c r="L1073" s="110">
        <f t="shared" si="78"/>
        <v>0</v>
      </c>
      <c r="M1073" s="112"/>
    </row>
    <row r="1074" spans="2:13" s="52" customFormat="1" ht="19.5" customHeight="1">
      <c r="B1074" s="108">
        <v>9</v>
      </c>
      <c r="C1074" s="139" t="s">
        <v>55</v>
      </c>
      <c r="D1074" s="108" t="s">
        <v>2727</v>
      </c>
      <c r="E1074" s="108" t="s">
        <v>3023</v>
      </c>
      <c r="F1074" s="108" t="s">
        <v>3248</v>
      </c>
      <c r="G1074" s="108">
        <v>4</v>
      </c>
      <c r="H1074" s="71">
        <v>1</v>
      </c>
      <c r="I1074" s="109">
        <f t="shared" si="79"/>
        <v>106</v>
      </c>
      <c r="J1074" s="110">
        <f t="shared" si="76"/>
        <v>26.5</v>
      </c>
      <c r="K1074" s="111">
        <f t="shared" si="77"/>
        <v>3</v>
      </c>
      <c r="L1074" s="110">
        <f t="shared" si="78"/>
        <v>79.5</v>
      </c>
      <c r="M1074" s="112"/>
    </row>
    <row r="1075" spans="2:13" s="52" customFormat="1" ht="19.5" customHeight="1">
      <c r="B1075" s="108">
        <v>9</v>
      </c>
      <c r="C1075" s="139" t="s">
        <v>55</v>
      </c>
      <c r="D1075" s="108" t="s">
        <v>2728</v>
      </c>
      <c r="E1075" s="108" t="s">
        <v>3024</v>
      </c>
      <c r="F1075" s="108" t="s">
        <v>3146</v>
      </c>
      <c r="G1075" s="108">
        <v>10</v>
      </c>
      <c r="H1075" s="71">
        <v>8</v>
      </c>
      <c r="I1075" s="109">
        <f t="shared" si="79"/>
        <v>475</v>
      </c>
      <c r="J1075" s="110">
        <f t="shared" si="76"/>
        <v>380</v>
      </c>
      <c r="K1075" s="111">
        <f t="shared" si="77"/>
        <v>2</v>
      </c>
      <c r="L1075" s="110">
        <f t="shared" si="78"/>
        <v>95</v>
      </c>
      <c r="M1075" s="112"/>
    </row>
    <row r="1076" spans="2:13" s="52" customFormat="1" ht="19.5" customHeight="1">
      <c r="B1076" s="108">
        <v>9</v>
      </c>
      <c r="C1076" s="139" t="s">
        <v>55</v>
      </c>
      <c r="D1076" s="108" t="s">
        <v>2729</v>
      </c>
      <c r="E1076" s="108" t="s">
        <v>3025</v>
      </c>
      <c r="F1076" s="108" t="s">
        <v>3078</v>
      </c>
      <c r="G1076" s="108">
        <v>2</v>
      </c>
      <c r="H1076" s="71"/>
      <c r="I1076" s="109">
        <f t="shared" si="79"/>
        <v>45.5</v>
      </c>
      <c r="J1076" s="110">
        <f t="shared" si="76"/>
        <v>0</v>
      </c>
      <c r="K1076" s="111">
        <f t="shared" si="77"/>
        <v>2</v>
      </c>
      <c r="L1076" s="110">
        <f t="shared" si="78"/>
        <v>45.5</v>
      </c>
      <c r="M1076" s="112"/>
    </row>
    <row r="1077" spans="2:13" s="52" customFormat="1" ht="19.5" hidden="1" customHeight="1">
      <c r="B1077" s="108">
        <v>9</v>
      </c>
      <c r="C1077" s="139" t="s">
        <v>55</v>
      </c>
      <c r="D1077" s="108" t="s">
        <v>2730</v>
      </c>
      <c r="E1077" s="108" t="s">
        <v>3026</v>
      </c>
      <c r="F1077" s="108" t="s">
        <v>3251</v>
      </c>
      <c r="G1077" s="108">
        <v>1</v>
      </c>
      <c r="H1077" s="71">
        <v>1</v>
      </c>
      <c r="I1077" s="109">
        <f t="shared" si="79"/>
        <v>127.35</v>
      </c>
      <c r="J1077" s="110">
        <f t="shared" si="76"/>
        <v>127.35</v>
      </c>
      <c r="K1077" s="111">
        <f t="shared" si="77"/>
        <v>0</v>
      </c>
      <c r="L1077" s="110">
        <f t="shared" si="78"/>
        <v>0</v>
      </c>
      <c r="M1077" s="112"/>
    </row>
    <row r="1078" spans="2:13" s="52" customFormat="1" ht="19.5" customHeight="1">
      <c r="B1078" s="108">
        <v>9</v>
      </c>
      <c r="C1078" s="139" t="s">
        <v>55</v>
      </c>
      <c r="D1078" s="108" t="s">
        <v>2731</v>
      </c>
      <c r="E1078" s="108" t="s">
        <v>3027</v>
      </c>
      <c r="F1078" s="108" t="s">
        <v>3252</v>
      </c>
      <c r="G1078" s="108">
        <v>5</v>
      </c>
      <c r="H1078" s="71"/>
      <c r="I1078" s="109">
        <f t="shared" si="79"/>
        <v>356.5</v>
      </c>
      <c r="J1078" s="110">
        <f t="shared" si="76"/>
        <v>0</v>
      </c>
      <c r="K1078" s="111">
        <f t="shared" si="77"/>
        <v>5</v>
      </c>
      <c r="L1078" s="110">
        <f t="shared" si="78"/>
        <v>356.5</v>
      </c>
      <c r="M1078" s="112"/>
    </row>
    <row r="1079" spans="2:13" s="52" customFormat="1" ht="19.5" customHeight="1">
      <c r="B1079" s="108">
        <v>9</v>
      </c>
      <c r="C1079" s="139" t="s">
        <v>55</v>
      </c>
      <c r="D1079" s="108" t="s">
        <v>2732</v>
      </c>
      <c r="E1079" s="108" t="s">
        <v>3028</v>
      </c>
      <c r="F1079" s="108" t="s">
        <v>3121</v>
      </c>
      <c r="G1079" s="108">
        <v>63</v>
      </c>
      <c r="H1079" s="71">
        <v>48</v>
      </c>
      <c r="I1079" s="109">
        <f t="shared" si="79"/>
        <v>4028.8500000000004</v>
      </c>
      <c r="J1079" s="110">
        <f t="shared" si="76"/>
        <v>3069.6000000000004</v>
      </c>
      <c r="K1079" s="111">
        <f t="shared" si="77"/>
        <v>15</v>
      </c>
      <c r="L1079" s="110">
        <f t="shared" si="78"/>
        <v>959.25</v>
      </c>
      <c r="M1079" s="112"/>
    </row>
    <row r="1080" spans="2:13" s="52" customFormat="1" ht="19.5" customHeight="1">
      <c r="B1080" s="108">
        <v>9</v>
      </c>
      <c r="C1080" s="139" t="s">
        <v>55</v>
      </c>
      <c r="D1080" s="108" t="s">
        <v>2733</v>
      </c>
      <c r="E1080" s="108" t="s">
        <v>3029</v>
      </c>
      <c r="F1080" s="108" t="s">
        <v>3120</v>
      </c>
      <c r="G1080" s="108">
        <v>646</v>
      </c>
      <c r="H1080" s="71">
        <f>264+126</f>
        <v>390</v>
      </c>
      <c r="I1080" s="109">
        <f t="shared" si="79"/>
        <v>3824.32</v>
      </c>
      <c r="J1080" s="110">
        <f t="shared" si="76"/>
        <v>2308.8000000000002</v>
      </c>
      <c r="K1080" s="111">
        <f t="shared" si="77"/>
        <v>256</v>
      </c>
      <c r="L1080" s="110">
        <f t="shared" si="78"/>
        <v>1515.52</v>
      </c>
      <c r="M1080" s="112"/>
    </row>
    <row r="1081" spans="2:13" s="52" customFormat="1" ht="19.5" hidden="1" customHeight="1">
      <c r="B1081" s="108">
        <v>9</v>
      </c>
      <c r="C1081" s="139" t="s">
        <v>55</v>
      </c>
      <c r="D1081" s="108" t="s">
        <v>2734</v>
      </c>
      <c r="E1081" s="108" t="s">
        <v>3030</v>
      </c>
      <c r="F1081" s="108" t="s">
        <v>3121</v>
      </c>
      <c r="G1081" s="108">
        <v>65</v>
      </c>
      <c r="H1081" s="71">
        <f>7+24+46</f>
        <v>77</v>
      </c>
      <c r="I1081" s="109">
        <f t="shared" si="79"/>
        <v>4156.75</v>
      </c>
      <c r="J1081" s="110">
        <f t="shared" si="76"/>
        <v>4924.1500000000005</v>
      </c>
      <c r="K1081" s="111">
        <f t="shared" si="77"/>
        <v>-12</v>
      </c>
      <c r="L1081" s="110">
        <f t="shared" si="78"/>
        <v>-767.40000000000055</v>
      </c>
      <c r="M1081" s="112"/>
    </row>
    <row r="1082" spans="2:13" s="52" customFormat="1" ht="19.5" customHeight="1">
      <c r="B1082" s="108">
        <v>9</v>
      </c>
      <c r="C1082" s="139" t="s">
        <v>55</v>
      </c>
      <c r="D1082" s="108" t="s">
        <v>2735</v>
      </c>
      <c r="E1082" s="108" t="s">
        <v>3031</v>
      </c>
      <c r="F1082" s="108" t="s">
        <v>3120</v>
      </c>
      <c r="G1082" s="108">
        <v>708</v>
      </c>
      <c r="H1082" s="71">
        <f>7+3+576</f>
        <v>586</v>
      </c>
      <c r="I1082" s="109">
        <f t="shared" si="79"/>
        <v>4191.3599999999997</v>
      </c>
      <c r="J1082" s="110">
        <f t="shared" si="76"/>
        <v>3469.12</v>
      </c>
      <c r="K1082" s="111">
        <f t="shared" si="77"/>
        <v>122</v>
      </c>
      <c r="L1082" s="110">
        <f t="shared" si="78"/>
        <v>722.23999999999978</v>
      </c>
      <c r="M1082" s="112"/>
    </row>
    <row r="1083" spans="2:13" s="52" customFormat="1" ht="19.5" hidden="1" customHeight="1">
      <c r="B1083" s="108">
        <v>9</v>
      </c>
      <c r="C1083" s="139" t="s">
        <v>55</v>
      </c>
      <c r="D1083" s="108" t="s">
        <v>2736</v>
      </c>
      <c r="E1083" s="108" t="s">
        <v>3032</v>
      </c>
      <c r="F1083" s="108" t="s">
        <v>3113</v>
      </c>
      <c r="G1083" s="108">
        <v>8</v>
      </c>
      <c r="H1083" s="71">
        <f>5+3</f>
        <v>8</v>
      </c>
      <c r="I1083" s="109">
        <f t="shared" si="79"/>
        <v>38.4</v>
      </c>
      <c r="J1083" s="110">
        <f t="shared" ref="J1083:J1146" si="80">F1083*H1083</f>
        <v>38.4</v>
      </c>
      <c r="K1083" s="111">
        <f t="shared" ref="K1083:K1146" si="81">G1083-H1083</f>
        <v>0</v>
      </c>
      <c r="L1083" s="110">
        <f t="shared" ref="L1083:L1146" si="82">I1083-J1083</f>
        <v>0</v>
      </c>
      <c r="M1083" s="112"/>
    </row>
    <row r="1084" spans="2:13" s="52" customFormat="1" ht="19.5" hidden="1" customHeight="1">
      <c r="B1084" s="108">
        <v>9</v>
      </c>
      <c r="C1084" s="139" t="s">
        <v>55</v>
      </c>
      <c r="D1084" s="108" t="s">
        <v>2737</v>
      </c>
      <c r="E1084" s="108" t="s">
        <v>3033</v>
      </c>
      <c r="F1084" s="108" t="s">
        <v>3113</v>
      </c>
      <c r="G1084" s="108">
        <v>19</v>
      </c>
      <c r="H1084" s="71">
        <f>13+6</f>
        <v>19</v>
      </c>
      <c r="I1084" s="109">
        <f t="shared" si="79"/>
        <v>91.2</v>
      </c>
      <c r="J1084" s="110">
        <f t="shared" si="80"/>
        <v>91.2</v>
      </c>
      <c r="K1084" s="111">
        <f t="shared" si="81"/>
        <v>0</v>
      </c>
      <c r="L1084" s="110">
        <f t="shared" si="82"/>
        <v>0</v>
      </c>
      <c r="M1084" s="112"/>
    </row>
    <row r="1085" spans="2:13" s="52" customFormat="1" ht="19.5" customHeight="1">
      <c r="B1085" s="108">
        <v>9</v>
      </c>
      <c r="C1085" s="139" t="s">
        <v>55</v>
      </c>
      <c r="D1085" s="108" t="s">
        <v>2738</v>
      </c>
      <c r="E1085" s="108" t="s">
        <v>3034</v>
      </c>
      <c r="F1085" s="108" t="s">
        <v>3113</v>
      </c>
      <c r="G1085" s="108">
        <v>19</v>
      </c>
      <c r="H1085" s="71">
        <v>18</v>
      </c>
      <c r="I1085" s="109">
        <f t="shared" si="79"/>
        <v>91.2</v>
      </c>
      <c r="J1085" s="110">
        <f t="shared" si="80"/>
        <v>86.399999999999991</v>
      </c>
      <c r="K1085" s="111">
        <f t="shared" si="81"/>
        <v>1</v>
      </c>
      <c r="L1085" s="110">
        <f t="shared" si="82"/>
        <v>4.8000000000000114</v>
      </c>
      <c r="M1085" s="112"/>
    </row>
    <row r="1086" spans="2:13" s="52" customFormat="1" ht="19.5" customHeight="1">
      <c r="B1086" s="108">
        <v>9</v>
      </c>
      <c r="C1086" s="139" t="s">
        <v>55</v>
      </c>
      <c r="D1086" s="108" t="s">
        <v>2739</v>
      </c>
      <c r="E1086" s="108" t="s">
        <v>3035</v>
      </c>
      <c r="F1086" s="108" t="s">
        <v>3253</v>
      </c>
      <c r="G1086" s="108">
        <v>7</v>
      </c>
      <c r="H1086" s="71"/>
      <c r="I1086" s="109">
        <f t="shared" si="79"/>
        <v>374.84999999999997</v>
      </c>
      <c r="J1086" s="110">
        <f t="shared" si="80"/>
        <v>0</v>
      </c>
      <c r="K1086" s="111">
        <f t="shared" si="81"/>
        <v>7</v>
      </c>
      <c r="L1086" s="110">
        <f t="shared" si="82"/>
        <v>374.84999999999997</v>
      </c>
      <c r="M1086" s="112"/>
    </row>
    <row r="1087" spans="2:13" s="52" customFormat="1" ht="19.5" customHeight="1">
      <c r="B1087" s="108">
        <v>9</v>
      </c>
      <c r="C1087" s="139" t="s">
        <v>55</v>
      </c>
      <c r="D1087" s="108">
        <v>8850006590348</v>
      </c>
      <c r="E1087" s="108" t="s">
        <v>3036</v>
      </c>
      <c r="F1087" s="108" t="s">
        <v>3254</v>
      </c>
      <c r="G1087" s="108">
        <v>9</v>
      </c>
      <c r="H1087" s="71">
        <v>1</v>
      </c>
      <c r="I1087" s="109">
        <f t="shared" si="79"/>
        <v>418.5</v>
      </c>
      <c r="J1087" s="110">
        <f t="shared" si="80"/>
        <v>46.5</v>
      </c>
      <c r="K1087" s="111">
        <f t="shared" si="81"/>
        <v>8</v>
      </c>
      <c r="L1087" s="110">
        <f t="shared" si="82"/>
        <v>372</v>
      </c>
      <c r="M1087" s="112"/>
    </row>
    <row r="1088" spans="2:13" s="52" customFormat="1" ht="19.5" hidden="1" customHeight="1">
      <c r="B1088" s="108">
        <v>9</v>
      </c>
      <c r="C1088" s="139" t="s">
        <v>55</v>
      </c>
      <c r="D1088" s="108" t="s">
        <v>2740</v>
      </c>
      <c r="E1088" s="108" t="s">
        <v>3037</v>
      </c>
      <c r="F1088" s="108" t="s">
        <v>3064</v>
      </c>
      <c r="G1088" s="108">
        <v>6</v>
      </c>
      <c r="H1088" s="71">
        <v>6</v>
      </c>
      <c r="I1088" s="109">
        <f t="shared" si="79"/>
        <v>162</v>
      </c>
      <c r="J1088" s="110">
        <f t="shared" si="80"/>
        <v>162</v>
      </c>
      <c r="K1088" s="111">
        <f t="shared" si="81"/>
        <v>0</v>
      </c>
      <c r="L1088" s="110">
        <f t="shared" si="82"/>
        <v>0</v>
      </c>
      <c r="M1088" s="112"/>
    </row>
    <row r="1089" spans="2:13" s="52" customFormat="1" ht="19.5" customHeight="1">
      <c r="B1089" s="108">
        <v>9</v>
      </c>
      <c r="C1089" s="139" t="s">
        <v>55</v>
      </c>
      <c r="D1089" s="108" t="s">
        <v>2741</v>
      </c>
      <c r="E1089" s="108" t="s">
        <v>3038</v>
      </c>
      <c r="F1089" s="108" t="s">
        <v>3255</v>
      </c>
      <c r="G1089" s="108">
        <v>1</v>
      </c>
      <c r="H1089" s="71"/>
      <c r="I1089" s="109">
        <f t="shared" si="79"/>
        <v>39.35</v>
      </c>
      <c r="J1089" s="110">
        <f t="shared" si="80"/>
        <v>0</v>
      </c>
      <c r="K1089" s="111">
        <f t="shared" si="81"/>
        <v>1</v>
      </c>
      <c r="L1089" s="110">
        <f t="shared" si="82"/>
        <v>39.35</v>
      </c>
      <c r="M1089" s="112"/>
    </row>
    <row r="1090" spans="2:13" s="52" customFormat="1" ht="19.5" customHeight="1">
      <c r="B1090" s="108">
        <v>9</v>
      </c>
      <c r="C1090" s="139" t="s">
        <v>55</v>
      </c>
      <c r="D1090" s="108" t="s">
        <v>2742</v>
      </c>
      <c r="E1090" s="108" t="s">
        <v>3039</v>
      </c>
      <c r="F1090" s="108" t="s">
        <v>3064</v>
      </c>
      <c r="G1090" s="108">
        <v>13</v>
      </c>
      <c r="H1090" s="71">
        <v>12</v>
      </c>
      <c r="I1090" s="109">
        <f t="shared" si="79"/>
        <v>351</v>
      </c>
      <c r="J1090" s="110">
        <f t="shared" si="80"/>
        <v>324</v>
      </c>
      <c r="K1090" s="111">
        <f t="shared" si="81"/>
        <v>1</v>
      </c>
      <c r="L1090" s="110">
        <f t="shared" si="82"/>
        <v>27</v>
      </c>
      <c r="M1090" s="112"/>
    </row>
    <row r="1091" spans="2:13" s="52" customFormat="1" ht="19.5" hidden="1" customHeight="1">
      <c r="B1091" s="108">
        <v>9</v>
      </c>
      <c r="C1091" s="139" t="s">
        <v>55</v>
      </c>
      <c r="D1091" s="108" t="s">
        <v>2743</v>
      </c>
      <c r="E1091" s="108" t="s">
        <v>3040</v>
      </c>
      <c r="F1091" s="108" t="s">
        <v>1244</v>
      </c>
      <c r="G1091" s="108">
        <v>1</v>
      </c>
      <c r="H1091" s="71">
        <v>1</v>
      </c>
      <c r="I1091" s="109">
        <f t="shared" si="79"/>
        <v>55</v>
      </c>
      <c r="J1091" s="110">
        <f t="shared" si="80"/>
        <v>55</v>
      </c>
      <c r="K1091" s="111">
        <f t="shared" si="81"/>
        <v>0</v>
      </c>
      <c r="L1091" s="110">
        <f t="shared" si="82"/>
        <v>0</v>
      </c>
      <c r="M1091" s="112"/>
    </row>
    <row r="1092" spans="2:13" s="52" customFormat="1" ht="19.5" hidden="1" customHeight="1">
      <c r="B1092" s="108">
        <v>9</v>
      </c>
      <c r="C1092" s="139" t="s">
        <v>55</v>
      </c>
      <c r="D1092" s="108" t="s">
        <v>2744</v>
      </c>
      <c r="E1092" s="108" t="s">
        <v>3041</v>
      </c>
      <c r="F1092" s="108" t="s">
        <v>3256</v>
      </c>
      <c r="G1092" s="108">
        <v>9</v>
      </c>
      <c r="H1092" s="71">
        <v>9</v>
      </c>
      <c r="I1092" s="109">
        <f t="shared" si="79"/>
        <v>522</v>
      </c>
      <c r="J1092" s="110">
        <f t="shared" si="80"/>
        <v>522</v>
      </c>
      <c r="K1092" s="111">
        <f t="shared" si="81"/>
        <v>0</v>
      </c>
      <c r="L1092" s="110">
        <f t="shared" si="82"/>
        <v>0</v>
      </c>
      <c r="M1092" s="112"/>
    </row>
    <row r="1093" spans="2:13" s="52" customFormat="1" ht="19.5" customHeight="1">
      <c r="B1093" s="108">
        <v>9</v>
      </c>
      <c r="C1093" s="139" t="s">
        <v>55</v>
      </c>
      <c r="D1093" s="108" t="s">
        <v>4682</v>
      </c>
      <c r="E1093" s="108" t="s">
        <v>4686</v>
      </c>
      <c r="F1093" s="108" t="s">
        <v>4691</v>
      </c>
      <c r="G1093" s="108">
        <v>89</v>
      </c>
      <c r="H1093" s="71">
        <v>30</v>
      </c>
      <c r="I1093" s="109">
        <f t="shared" si="79"/>
        <v>1167.6799999999998</v>
      </c>
      <c r="J1093" s="110">
        <f t="shared" si="80"/>
        <v>393.59999999999997</v>
      </c>
      <c r="K1093" s="111">
        <f t="shared" si="81"/>
        <v>59</v>
      </c>
      <c r="L1093" s="110">
        <f t="shared" si="82"/>
        <v>774.07999999999993</v>
      </c>
      <c r="M1093" s="112"/>
    </row>
    <row r="1094" spans="2:13" s="52" customFormat="1" ht="19.5" customHeight="1">
      <c r="B1094" s="108">
        <v>9</v>
      </c>
      <c r="C1094" s="139" t="s">
        <v>55</v>
      </c>
      <c r="D1094" s="108" t="s">
        <v>2745</v>
      </c>
      <c r="E1094" s="108" t="s">
        <v>3042</v>
      </c>
      <c r="F1094" s="108" t="s">
        <v>3108</v>
      </c>
      <c r="G1094" s="108">
        <v>273</v>
      </c>
      <c r="H1094" s="71"/>
      <c r="I1094" s="109">
        <f t="shared" si="79"/>
        <v>1678.95</v>
      </c>
      <c r="J1094" s="110">
        <f t="shared" si="80"/>
        <v>0</v>
      </c>
      <c r="K1094" s="111">
        <f t="shared" si="81"/>
        <v>273</v>
      </c>
      <c r="L1094" s="110">
        <f t="shared" si="82"/>
        <v>1678.95</v>
      </c>
      <c r="M1094" s="112"/>
    </row>
    <row r="1095" spans="2:13" s="52" customFormat="1" ht="19.5" customHeight="1">
      <c r="B1095" s="108">
        <v>9</v>
      </c>
      <c r="C1095" s="139" t="s">
        <v>55</v>
      </c>
      <c r="D1095" s="108" t="s">
        <v>2746</v>
      </c>
      <c r="E1095" s="108" t="s">
        <v>3043</v>
      </c>
      <c r="F1095" s="108" t="s">
        <v>3257</v>
      </c>
      <c r="G1095" s="108">
        <v>4</v>
      </c>
      <c r="H1095" s="71">
        <v>3</v>
      </c>
      <c r="I1095" s="109">
        <f t="shared" si="79"/>
        <v>462</v>
      </c>
      <c r="J1095" s="110">
        <f t="shared" si="80"/>
        <v>346.5</v>
      </c>
      <c r="K1095" s="111">
        <f t="shared" si="81"/>
        <v>1</v>
      </c>
      <c r="L1095" s="110">
        <f t="shared" si="82"/>
        <v>115.5</v>
      </c>
      <c r="M1095" s="112"/>
    </row>
    <row r="1096" spans="2:13" s="52" customFormat="1" ht="19.5" hidden="1" customHeight="1">
      <c r="B1096" s="108">
        <v>9</v>
      </c>
      <c r="C1096" s="139" t="s">
        <v>55</v>
      </c>
      <c r="D1096" s="108" t="s">
        <v>2747</v>
      </c>
      <c r="E1096" s="108" t="s">
        <v>3044</v>
      </c>
      <c r="F1096" s="108" t="s">
        <v>2127</v>
      </c>
      <c r="G1096" s="108">
        <v>1</v>
      </c>
      <c r="H1096" s="71">
        <v>1</v>
      </c>
      <c r="I1096" s="109">
        <f t="shared" si="79"/>
        <v>104.5</v>
      </c>
      <c r="J1096" s="110">
        <f t="shared" si="80"/>
        <v>104.5</v>
      </c>
      <c r="K1096" s="111">
        <f t="shared" si="81"/>
        <v>0</v>
      </c>
      <c r="L1096" s="110">
        <f t="shared" si="82"/>
        <v>0</v>
      </c>
      <c r="M1096" s="112"/>
    </row>
    <row r="1097" spans="2:13" s="52" customFormat="1" ht="19.5" customHeight="1">
      <c r="B1097" s="108">
        <v>9</v>
      </c>
      <c r="C1097" s="139" t="s">
        <v>55</v>
      </c>
      <c r="D1097" s="108" t="s">
        <v>2748</v>
      </c>
      <c r="E1097" s="108" t="s">
        <v>3045</v>
      </c>
      <c r="F1097" s="108" t="s">
        <v>3258</v>
      </c>
      <c r="G1097" s="108">
        <v>1</v>
      </c>
      <c r="H1097" s="71"/>
      <c r="I1097" s="109">
        <f t="shared" si="79"/>
        <v>132</v>
      </c>
      <c r="J1097" s="110">
        <f t="shared" si="80"/>
        <v>0</v>
      </c>
      <c r="K1097" s="111">
        <f t="shared" si="81"/>
        <v>1</v>
      </c>
      <c r="L1097" s="110">
        <f t="shared" si="82"/>
        <v>132</v>
      </c>
      <c r="M1097" s="112"/>
    </row>
    <row r="1098" spans="2:13" s="52" customFormat="1" ht="19.5" customHeight="1">
      <c r="B1098" s="108">
        <v>9</v>
      </c>
      <c r="C1098" s="139" t="s">
        <v>55</v>
      </c>
      <c r="D1098" s="108" t="s">
        <v>2749</v>
      </c>
      <c r="E1098" s="108" t="s">
        <v>3046</v>
      </c>
      <c r="F1098" s="108" t="s">
        <v>3259</v>
      </c>
      <c r="G1098" s="108">
        <v>2</v>
      </c>
      <c r="H1098" s="71"/>
      <c r="I1098" s="109">
        <f t="shared" si="79"/>
        <v>286.5</v>
      </c>
      <c r="J1098" s="110">
        <f t="shared" si="80"/>
        <v>0</v>
      </c>
      <c r="K1098" s="111">
        <f t="shared" si="81"/>
        <v>2</v>
      </c>
      <c r="L1098" s="110">
        <f t="shared" si="82"/>
        <v>286.5</v>
      </c>
      <c r="M1098" s="112"/>
    </row>
    <row r="1099" spans="2:13" s="52" customFormat="1" ht="19.5" customHeight="1">
      <c r="B1099" s="108">
        <v>9</v>
      </c>
      <c r="C1099" s="139" t="s">
        <v>55</v>
      </c>
      <c r="D1099" s="108" t="s">
        <v>2750</v>
      </c>
      <c r="E1099" s="108" t="s">
        <v>3047</v>
      </c>
      <c r="F1099" s="108" t="s">
        <v>1243</v>
      </c>
      <c r="G1099" s="108">
        <v>5</v>
      </c>
      <c r="H1099" s="71">
        <v>4</v>
      </c>
      <c r="I1099" s="109">
        <f t="shared" si="79"/>
        <v>302.5</v>
      </c>
      <c r="J1099" s="110">
        <f t="shared" si="80"/>
        <v>242</v>
      </c>
      <c r="K1099" s="111">
        <f t="shared" si="81"/>
        <v>1</v>
      </c>
      <c r="L1099" s="110">
        <f t="shared" si="82"/>
        <v>60.5</v>
      </c>
      <c r="M1099" s="112"/>
    </row>
    <row r="1100" spans="2:13" s="52" customFormat="1" ht="19.5" customHeight="1">
      <c r="B1100" s="108">
        <v>9</v>
      </c>
      <c r="C1100" s="139" t="s">
        <v>55</v>
      </c>
      <c r="D1100" s="108" t="s">
        <v>2751</v>
      </c>
      <c r="E1100" s="108" t="s">
        <v>3048</v>
      </c>
      <c r="F1100" s="108" t="s">
        <v>3260</v>
      </c>
      <c r="G1100" s="108">
        <v>17</v>
      </c>
      <c r="H1100" s="71"/>
      <c r="I1100" s="109">
        <f t="shared" si="79"/>
        <v>1122</v>
      </c>
      <c r="J1100" s="110">
        <f t="shared" si="80"/>
        <v>0</v>
      </c>
      <c r="K1100" s="111">
        <f t="shared" si="81"/>
        <v>17</v>
      </c>
      <c r="L1100" s="110">
        <f t="shared" si="82"/>
        <v>1122</v>
      </c>
      <c r="M1100" s="112"/>
    </row>
    <row r="1101" spans="2:13" s="52" customFormat="1" ht="19.5" customHeight="1">
      <c r="B1101" s="108">
        <v>9</v>
      </c>
      <c r="C1101" s="139" t="s">
        <v>55</v>
      </c>
      <c r="D1101" s="108" t="s">
        <v>2752</v>
      </c>
      <c r="E1101" s="108" t="s">
        <v>3049</v>
      </c>
      <c r="F1101" s="108" t="s">
        <v>3261</v>
      </c>
      <c r="G1101" s="108">
        <v>225</v>
      </c>
      <c r="H1101" s="71">
        <v>143</v>
      </c>
      <c r="I1101" s="109">
        <f t="shared" si="79"/>
        <v>1350</v>
      </c>
      <c r="J1101" s="110">
        <f t="shared" si="80"/>
        <v>858</v>
      </c>
      <c r="K1101" s="111">
        <f t="shared" si="81"/>
        <v>82</v>
      </c>
      <c r="L1101" s="110">
        <f t="shared" si="82"/>
        <v>492</v>
      </c>
      <c r="M1101" s="112"/>
    </row>
    <row r="1102" spans="2:13" s="52" customFormat="1" ht="19.5" customHeight="1">
      <c r="B1102" s="108">
        <v>9</v>
      </c>
      <c r="C1102" s="139" t="s">
        <v>55</v>
      </c>
      <c r="D1102" s="108" t="s">
        <v>2753</v>
      </c>
      <c r="E1102" s="108" t="s">
        <v>3050</v>
      </c>
      <c r="F1102" s="108" t="s">
        <v>3262</v>
      </c>
      <c r="G1102" s="108">
        <v>223</v>
      </c>
      <c r="H1102" s="71">
        <f>43+84</f>
        <v>127</v>
      </c>
      <c r="I1102" s="109">
        <f t="shared" si="79"/>
        <v>1003.5</v>
      </c>
      <c r="J1102" s="110">
        <f t="shared" si="80"/>
        <v>571.5</v>
      </c>
      <c r="K1102" s="111">
        <f t="shared" si="81"/>
        <v>96</v>
      </c>
      <c r="L1102" s="110">
        <f t="shared" si="82"/>
        <v>432</v>
      </c>
      <c r="M1102" s="112"/>
    </row>
    <row r="1103" spans="2:13" s="52" customFormat="1" ht="19.5" customHeight="1">
      <c r="B1103" s="108">
        <v>9</v>
      </c>
      <c r="C1103" s="139" t="s">
        <v>55</v>
      </c>
      <c r="D1103" s="108" t="s">
        <v>2754</v>
      </c>
      <c r="E1103" s="108" t="s">
        <v>3051</v>
      </c>
      <c r="F1103" s="108" t="s">
        <v>3263</v>
      </c>
      <c r="G1103" s="108">
        <v>345</v>
      </c>
      <c r="H1103" s="71">
        <f>8+180+144</f>
        <v>332</v>
      </c>
      <c r="I1103" s="109">
        <f t="shared" si="79"/>
        <v>1725</v>
      </c>
      <c r="J1103" s="110">
        <f t="shared" si="80"/>
        <v>1660</v>
      </c>
      <c r="K1103" s="111">
        <f t="shared" si="81"/>
        <v>13</v>
      </c>
      <c r="L1103" s="110">
        <f t="shared" si="82"/>
        <v>65</v>
      </c>
      <c r="M1103" s="112"/>
    </row>
    <row r="1104" spans="2:13" s="52" customFormat="1" ht="19.5" customHeight="1">
      <c r="B1104" s="108">
        <v>9</v>
      </c>
      <c r="C1104" s="139" t="s">
        <v>55</v>
      </c>
      <c r="D1104" s="108" t="s">
        <v>2755</v>
      </c>
      <c r="E1104" s="108" t="s">
        <v>3052</v>
      </c>
      <c r="F1104" s="108" t="s">
        <v>3261</v>
      </c>
      <c r="G1104" s="108">
        <v>136</v>
      </c>
      <c r="H1104" s="71">
        <f>2+132</f>
        <v>134</v>
      </c>
      <c r="I1104" s="109">
        <f t="shared" si="79"/>
        <v>816</v>
      </c>
      <c r="J1104" s="110">
        <f t="shared" si="80"/>
        <v>804</v>
      </c>
      <c r="K1104" s="111">
        <f t="shared" si="81"/>
        <v>2</v>
      </c>
      <c r="L1104" s="110">
        <f t="shared" si="82"/>
        <v>12</v>
      </c>
      <c r="M1104" s="112"/>
    </row>
    <row r="1105" spans="2:13" s="52" customFormat="1" ht="19.5" customHeight="1">
      <c r="B1105" s="108">
        <v>9</v>
      </c>
      <c r="C1105" s="139" t="s">
        <v>55</v>
      </c>
      <c r="D1105" s="108" t="s">
        <v>2756</v>
      </c>
      <c r="E1105" s="108" t="s">
        <v>3053</v>
      </c>
      <c r="F1105" s="108" t="s">
        <v>3096</v>
      </c>
      <c r="G1105" s="108">
        <v>11</v>
      </c>
      <c r="H1105" s="71"/>
      <c r="I1105" s="109">
        <f t="shared" si="79"/>
        <v>495</v>
      </c>
      <c r="J1105" s="110">
        <f t="shared" si="80"/>
        <v>0</v>
      </c>
      <c r="K1105" s="111">
        <f t="shared" si="81"/>
        <v>11</v>
      </c>
      <c r="L1105" s="110">
        <f t="shared" si="82"/>
        <v>495</v>
      </c>
      <c r="M1105" s="112"/>
    </row>
    <row r="1106" spans="2:13" s="52" customFormat="1" ht="19.5" customHeight="1">
      <c r="B1106" s="108">
        <v>9</v>
      </c>
      <c r="C1106" s="139" t="s">
        <v>55</v>
      </c>
      <c r="D1106" s="108" t="s">
        <v>2757</v>
      </c>
      <c r="E1106" s="108" t="s">
        <v>3054</v>
      </c>
      <c r="F1106" s="108" t="s">
        <v>3264</v>
      </c>
      <c r="G1106" s="108">
        <v>11</v>
      </c>
      <c r="H1106" s="71"/>
      <c r="I1106" s="109">
        <f t="shared" si="79"/>
        <v>47.849999999999994</v>
      </c>
      <c r="J1106" s="110">
        <f t="shared" si="80"/>
        <v>0</v>
      </c>
      <c r="K1106" s="111">
        <f t="shared" si="81"/>
        <v>11</v>
      </c>
      <c r="L1106" s="110">
        <f t="shared" si="82"/>
        <v>47.849999999999994</v>
      </c>
      <c r="M1106" s="112"/>
    </row>
    <row r="1107" spans="2:13" s="52" customFormat="1" ht="19.5" customHeight="1">
      <c r="B1107" s="108">
        <v>9</v>
      </c>
      <c r="C1107" s="139" t="s">
        <v>55</v>
      </c>
      <c r="D1107" s="108" t="s">
        <v>2758</v>
      </c>
      <c r="E1107" s="108" t="s">
        <v>3055</v>
      </c>
      <c r="F1107" s="108" t="s">
        <v>3265</v>
      </c>
      <c r="G1107" s="108">
        <v>1</v>
      </c>
      <c r="H1107" s="71"/>
      <c r="I1107" s="109">
        <f t="shared" si="79"/>
        <v>26.86</v>
      </c>
      <c r="J1107" s="110">
        <f t="shared" si="80"/>
        <v>0</v>
      </c>
      <c r="K1107" s="111">
        <f t="shared" si="81"/>
        <v>1</v>
      </c>
      <c r="L1107" s="110">
        <f t="shared" si="82"/>
        <v>26.86</v>
      </c>
      <c r="M1107" s="112"/>
    </row>
    <row r="1108" spans="2:13" s="52" customFormat="1" ht="19.5" customHeight="1">
      <c r="B1108" s="108">
        <v>9</v>
      </c>
      <c r="C1108" s="139" t="s">
        <v>55</v>
      </c>
      <c r="D1108" s="108" t="s">
        <v>2759</v>
      </c>
      <c r="E1108" s="108" t="s">
        <v>3056</v>
      </c>
      <c r="F1108" s="108" t="s">
        <v>3266</v>
      </c>
      <c r="G1108" s="108">
        <v>1</v>
      </c>
      <c r="H1108" s="71"/>
      <c r="I1108" s="109">
        <f t="shared" si="79"/>
        <v>46.08</v>
      </c>
      <c r="J1108" s="110">
        <f t="shared" si="80"/>
        <v>0</v>
      </c>
      <c r="K1108" s="111">
        <f t="shared" si="81"/>
        <v>1</v>
      </c>
      <c r="L1108" s="110">
        <f t="shared" si="82"/>
        <v>46.08</v>
      </c>
      <c r="M1108" s="112"/>
    </row>
    <row r="1109" spans="2:13" s="52" customFormat="1" ht="19.5" customHeight="1">
      <c r="B1109" s="108">
        <v>9</v>
      </c>
      <c r="C1109" s="139" t="s">
        <v>55</v>
      </c>
      <c r="D1109" s="108" t="s">
        <v>2760</v>
      </c>
      <c r="E1109" s="108" t="s">
        <v>3057</v>
      </c>
      <c r="F1109" s="108" t="s">
        <v>3267</v>
      </c>
      <c r="G1109" s="108">
        <v>33</v>
      </c>
      <c r="H1109" s="71">
        <v>5</v>
      </c>
      <c r="I1109" s="109">
        <f t="shared" si="79"/>
        <v>1869.78</v>
      </c>
      <c r="J1109" s="110">
        <f t="shared" si="80"/>
        <v>283.29999999999995</v>
      </c>
      <c r="K1109" s="111">
        <f t="shared" si="81"/>
        <v>28</v>
      </c>
      <c r="L1109" s="110">
        <f t="shared" si="82"/>
        <v>1586.48</v>
      </c>
      <c r="M1109" s="112"/>
    </row>
    <row r="1110" spans="2:13" s="52" customFormat="1" ht="19.5" customHeight="1">
      <c r="B1110" s="108">
        <v>9</v>
      </c>
      <c r="C1110" s="139" t="s">
        <v>55</v>
      </c>
      <c r="D1110" s="108" t="s">
        <v>2761</v>
      </c>
      <c r="E1110" s="108" t="s">
        <v>3058</v>
      </c>
      <c r="F1110" s="108" t="s">
        <v>3268</v>
      </c>
      <c r="G1110" s="108">
        <v>114</v>
      </c>
      <c r="H1110" s="71">
        <f>4+108</f>
        <v>112</v>
      </c>
      <c r="I1110" s="109">
        <f t="shared" si="79"/>
        <v>587.1</v>
      </c>
      <c r="J1110" s="110">
        <f t="shared" si="80"/>
        <v>576.80000000000007</v>
      </c>
      <c r="K1110" s="111">
        <f t="shared" si="81"/>
        <v>2</v>
      </c>
      <c r="L1110" s="110">
        <f t="shared" si="82"/>
        <v>10.299999999999955</v>
      </c>
      <c r="M1110" s="112"/>
    </row>
    <row r="1111" spans="2:13" s="52" customFormat="1" ht="19.5" customHeight="1">
      <c r="B1111" s="108">
        <v>9</v>
      </c>
      <c r="C1111" s="139" t="s">
        <v>55</v>
      </c>
      <c r="D1111" s="108" t="s">
        <v>2762</v>
      </c>
      <c r="E1111" s="108" t="s">
        <v>3059</v>
      </c>
      <c r="F1111" s="108" t="s">
        <v>3268</v>
      </c>
      <c r="G1111" s="108">
        <v>160</v>
      </c>
      <c r="H1111" s="71">
        <v>156</v>
      </c>
      <c r="I1111" s="109">
        <f t="shared" si="79"/>
        <v>824</v>
      </c>
      <c r="J1111" s="110">
        <f t="shared" si="80"/>
        <v>803.40000000000009</v>
      </c>
      <c r="K1111" s="111">
        <f t="shared" si="81"/>
        <v>4</v>
      </c>
      <c r="L1111" s="110">
        <f t="shared" si="82"/>
        <v>20.599999999999909</v>
      </c>
      <c r="M1111" s="112"/>
    </row>
    <row r="1112" spans="2:13" s="52" customFormat="1" ht="19.5" customHeight="1">
      <c r="B1112" s="108">
        <v>9</v>
      </c>
      <c r="C1112" s="139" t="s">
        <v>55</v>
      </c>
      <c r="D1112" s="108" t="s">
        <v>2763</v>
      </c>
      <c r="E1112" s="108" t="s">
        <v>3060</v>
      </c>
      <c r="F1112" s="108" t="s">
        <v>3269</v>
      </c>
      <c r="G1112" s="108">
        <v>2</v>
      </c>
      <c r="H1112" s="71"/>
      <c r="I1112" s="109">
        <f t="shared" si="79"/>
        <v>50</v>
      </c>
      <c r="J1112" s="110">
        <f t="shared" si="80"/>
        <v>0</v>
      </c>
      <c r="K1112" s="111">
        <f t="shared" si="81"/>
        <v>2</v>
      </c>
      <c r="L1112" s="110">
        <f t="shared" si="82"/>
        <v>50</v>
      </c>
      <c r="M1112" s="112"/>
    </row>
    <row r="1113" spans="2:13" s="52" customFormat="1" ht="19.5" hidden="1" customHeight="1">
      <c r="B1113" s="108">
        <v>10</v>
      </c>
      <c r="C1113" s="139" t="s">
        <v>56</v>
      </c>
      <c r="D1113" s="108" t="s">
        <v>3270</v>
      </c>
      <c r="E1113" s="108" t="s">
        <v>3452</v>
      </c>
      <c r="F1113" s="108" t="s">
        <v>1244</v>
      </c>
      <c r="G1113" s="108">
        <v>3</v>
      </c>
      <c r="H1113" s="71">
        <v>3</v>
      </c>
      <c r="I1113" s="109">
        <f t="shared" si="79"/>
        <v>165</v>
      </c>
      <c r="J1113" s="110">
        <f t="shared" si="80"/>
        <v>165</v>
      </c>
      <c r="K1113" s="111">
        <f t="shared" si="81"/>
        <v>0</v>
      </c>
      <c r="L1113" s="110">
        <f t="shared" si="82"/>
        <v>0</v>
      </c>
      <c r="M1113" s="112"/>
    </row>
    <row r="1114" spans="2:13" s="52" customFormat="1" ht="19.5" hidden="1" customHeight="1">
      <c r="B1114" s="108">
        <v>10</v>
      </c>
      <c r="C1114" s="139" t="s">
        <v>56</v>
      </c>
      <c r="D1114" s="108" t="s">
        <v>3271</v>
      </c>
      <c r="E1114" s="108" t="s">
        <v>3453</v>
      </c>
      <c r="F1114" s="108" t="s">
        <v>3634</v>
      </c>
      <c r="G1114" s="108">
        <v>3</v>
      </c>
      <c r="H1114" s="71">
        <v>3</v>
      </c>
      <c r="I1114" s="109">
        <f t="shared" si="79"/>
        <v>234</v>
      </c>
      <c r="J1114" s="110">
        <f t="shared" si="80"/>
        <v>234</v>
      </c>
      <c r="K1114" s="111">
        <f t="shared" si="81"/>
        <v>0</v>
      </c>
      <c r="L1114" s="110">
        <f t="shared" si="82"/>
        <v>0</v>
      </c>
      <c r="M1114" s="112"/>
    </row>
    <row r="1115" spans="2:13" s="52" customFormat="1" ht="19.5" hidden="1" customHeight="1">
      <c r="B1115" s="108">
        <v>10</v>
      </c>
      <c r="C1115" s="139" t="s">
        <v>56</v>
      </c>
      <c r="D1115" s="108" t="s">
        <v>3272</v>
      </c>
      <c r="E1115" s="108" t="s">
        <v>3454</v>
      </c>
      <c r="F1115" s="108" t="s">
        <v>1804</v>
      </c>
      <c r="G1115" s="108">
        <v>12</v>
      </c>
      <c r="H1115" s="71">
        <v>12</v>
      </c>
      <c r="I1115" s="109">
        <f t="shared" si="79"/>
        <v>1680</v>
      </c>
      <c r="J1115" s="110">
        <f t="shared" si="80"/>
        <v>1680</v>
      </c>
      <c r="K1115" s="111">
        <f t="shared" si="81"/>
        <v>0</v>
      </c>
      <c r="L1115" s="110">
        <f t="shared" si="82"/>
        <v>0</v>
      </c>
      <c r="M1115" s="112"/>
    </row>
    <row r="1116" spans="2:13" s="52" customFormat="1" ht="19.5" hidden="1" customHeight="1">
      <c r="B1116" s="108">
        <v>10</v>
      </c>
      <c r="C1116" s="139" t="s">
        <v>56</v>
      </c>
      <c r="D1116" s="108" t="s">
        <v>3273</v>
      </c>
      <c r="E1116" s="108" t="s">
        <v>3455</v>
      </c>
      <c r="F1116" s="108" t="s">
        <v>1183</v>
      </c>
      <c r="G1116" s="108">
        <v>12</v>
      </c>
      <c r="H1116" s="71">
        <v>12</v>
      </c>
      <c r="I1116" s="109">
        <f t="shared" si="79"/>
        <v>780</v>
      </c>
      <c r="J1116" s="110">
        <f t="shared" si="80"/>
        <v>780</v>
      </c>
      <c r="K1116" s="111">
        <f t="shared" si="81"/>
        <v>0</v>
      </c>
      <c r="L1116" s="110">
        <f t="shared" si="82"/>
        <v>0</v>
      </c>
      <c r="M1116" s="112"/>
    </row>
    <row r="1117" spans="2:13" s="52" customFormat="1" ht="19.5" hidden="1" customHeight="1">
      <c r="B1117" s="108">
        <v>10</v>
      </c>
      <c r="C1117" s="139" t="s">
        <v>56</v>
      </c>
      <c r="D1117" s="108" t="s">
        <v>3274</v>
      </c>
      <c r="E1117" s="108" t="s">
        <v>3456</v>
      </c>
      <c r="F1117" s="108" t="s">
        <v>1183</v>
      </c>
      <c r="G1117" s="108">
        <v>12</v>
      </c>
      <c r="H1117" s="71">
        <v>12</v>
      </c>
      <c r="I1117" s="109">
        <f t="shared" si="79"/>
        <v>780</v>
      </c>
      <c r="J1117" s="110">
        <f t="shared" si="80"/>
        <v>780</v>
      </c>
      <c r="K1117" s="111">
        <f t="shared" si="81"/>
        <v>0</v>
      </c>
      <c r="L1117" s="110">
        <f t="shared" si="82"/>
        <v>0</v>
      </c>
      <c r="M1117" s="112"/>
    </row>
    <row r="1118" spans="2:13" s="52" customFormat="1" ht="19.5" hidden="1" customHeight="1">
      <c r="B1118" s="108">
        <v>10</v>
      </c>
      <c r="C1118" s="139" t="s">
        <v>56</v>
      </c>
      <c r="D1118" s="108" t="s">
        <v>3274</v>
      </c>
      <c r="E1118" s="108" t="s">
        <v>3456</v>
      </c>
      <c r="F1118" s="108" t="s">
        <v>1175</v>
      </c>
      <c r="G1118" s="108">
        <v>1</v>
      </c>
      <c r="H1118" s="71">
        <v>1</v>
      </c>
      <c r="I1118" s="109">
        <f t="shared" si="79"/>
        <v>62.75</v>
      </c>
      <c r="J1118" s="110">
        <f t="shared" si="80"/>
        <v>62.75</v>
      </c>
      <c r="K1118" s="111">
        <f t="shared" si="81"/>
        <v>0</v>
      </c>
      <c r="L1118" s="110">
        <f t="shared" si="82"/>
        <v>0</v>
      </c>
      <c r="M1118" s="112"/>
    </row>
    <row r="1119" spans="2:13" s="52" customFormat="1" ht="19.5" hidden="1" customHeight="1">
      <c r="B1119" s="108">
        <v>10</v>
      </c>
      <c r="C1119" s="139" t="s">
        <v>56</v>
      </c>
      <c r="D1119" s="108" t="s">
        <v>3275</v>
      </c>
      <c r="E1119" s="108" t="s">
        <v>3457</v>
      </c>
      <c r="F1119" s="108" t="s">
        <v>3635</v>
      </c>
      <c r="G1119" s="108">
        <v>11</v>
      </c>
      <c r="H1119" s="71">
        <v>11</v>
      </c>
      <c r="I1119" s="109">
        <f t="shared" si="79"/>
        <v>478.5</v>
      </c>
      <c r="J1119" s="110">
        <f t="shared" si="80"/>
        <v>478.5</v>
      </c>
      <c r="K1119" s="111">
        <f t="shared" si="81"/>
        <v>0</v>
      </c>
      <c r="L1119" s="110">
        <f t="shared" si="82"/>
        <v>0</v>
      </c>
      <c r="M1119" s="112"/>
    </row>
    <row r="1120" spans="2:13" s="52" customFormat="1" ht="19.5" customHeight="1">
      <c r="B1120" s="108">
        <v>10</v>
      </c>
      <c r="C1120" s="139" t="s">
        <v>56</v>
      </c>
      <c r="D1120" s="108" t="s">
        <v>3276</v>
      </c>
      <c r="E1120" s="108" t="s">
        <v>3458</v>
      </c>
      <c r="F1120" s="108" t="s">
        <v>1814</v>
      </c>
      <c r="G1120" s="108">
        <v>1</v>
      </c>
      <c r="H1120" s="71"/>
      <c r="I1120" s="109">
        <f t="shared" si="79"/>
        <v>32</v>
      </c>
      <c r="J1120" s="110">
        <f t="shared" si="80"/>
        <v>0</v>
      </c>
      <c r="K1120" s="111">
        <f t="shared" si="81"/>
        <v>1</v>
      </c>
      <c r="L1120" s="110">
        <f t="shared" si="82"/>
        <v>32</v>
      </c>
      <c r="M1120" s="112"/>
    </row>
    <row r="1121" spans="2:13" s="52" customFormat="1" ht="19.5" hidden="1" customHeight="1">
      <c r="B1121" s="108">
        <v>10</v>
      </c>
      <c r="C1121" s="139" t="s">
        <v>56</v>
      </c>
      <c r="D1121" s="108" t="s">
        <v>3277</v>
      </c>
      <c r="E1121" s="108" t="s">
        <v>3459</v>
      </c>
      <c r="F1121" s="108" t="s">
        <v>3635</v>
      </c>
      <c r="G1121" s="108">
        <v>12</v>
      </c>
      <c r="H1121" s="71">
        <v>12</v>
      </c>
      <c r="I1121" s="109">
        <f t="shared" si="79"/>
        <v>522</v>
      </c>
      <c r="J1121" s="110">
        <f t="shared" si="80"/>
        <v>522</v>
      </c>
      <c r="K1121" s="111">
        <f t="shared" si="81"/>
        <v>0</v>
      </c>
      <c r="L1121" s="110">
        <f t="shared" si="82"/>
        <v>0</v>
      </c>
      <c r="M1121" s="112"/>
    </row>
    <row r="1122" spans="2:13" s="52" customFormat="1" ht="19.5" customHeight="1">
      <c r="B1122" s="108">
        <v>10</v>
      </c>
      <c r="C1122" s="139" t="s">
        <v>56</v>
      </c>
      <c r="D1122" s="108" t="s">
        <v>3278</v>
      </c>
      <c r="E1122" s="108" t="s">
        <v>3460</v>
      </c>
      <c r="F1122" s="108" t="s">
        <v>1244</v>
      </c>
      <c r="G1122" s="108">
        <v>1</v>
      </c>
      <c r="H1122" s="71"/>
      <c r="I1122" s="109">
        <f t="shared" si="79"/>
        <v>55</v>
      </c>
      <c r="J1122" s="110">
        <f t="shared" si="80"/>
        <v>0</v>
      </c>
      <c r="K1122" s="111">
        <f t="shared" si="81"/>
        <v>1</v>
      </c>
      <c r="L1122" s="110">
        <f t="shared" si="82"/>
        <v>55</v>
      </c>
      <c r="M1122" s="112"/>
    </row>
    <row r="1123" spans="2:13" s="52" customFormat="1" ht="19.5" hidden="1" customHeight="1">
      <c r="B1123" s="108">
        <v>10</v>
      </c>
      <c r="C1123" s="139" t="s">
        <v>56</v>
      </c>
      <c r="D1123" s="108" t="s">
        <v>3279</v>
      </c>
      <c r="E1123" s="108" t="s">
        <v>3461</v>
      </c>
      <c r="F1123" s="108" t="s">
        <v>1183</v>
      </c>
      <c r="G1123" s="108">
        <v>12</v>
      </c>
      <c r="H1123" s="71">
        <v>12</v>
      </c>
      <c r="I1123" s="109">
        <f t="shared" si="79"/>
        <v>780</v>
      </c>
      <c r="J1123" s="110">
        <f t="shared" si="80"/>
        <v>780</v>
      </c>
      <c r="K1123" s="111">
        <f t="shared" si="81"/>
        <v>0</v>
      </c>
      <c r="L1123" s="110">
        <f t="shared" si="82"/>
        <v>0</v>
      </c>
      <c r="M1123" s="112"/>
    </row>
    <row r="1124" spans="2:13" s="52" customFormat="1" ht="19.5" customHeight="1">
      <c r="B1124" s="108">
        <v>10</v>
      </c>
      <c r="C1124" s="139" t="s">
        <v>56</v>
      </c>
      <c r="D1124" s="108" t="s">
        <v>3280</v>
      </c>
      <c r="E1124" s="108" t="s">
        <v>3462</v>
      </c>
      <c r="F1124" s="108" t="s">
        <v>1814</v>
      </c>
      <c r="G1124" s="108">
        <v>1</v>
      </c>
      <c r="H1124" s="71"/>
      <c r="I1124" s="109">
        <f t="shared" si="79"/>
        <v>32</v>
      </c>
      <c r="J1124" s="110">
        <f t="shared" si="80"/>
        <v>0</v>
      </c>
      <c r="K1124" s="111">
        <f t="shared" si="81"/>
        <v>1</v>
      </c>
      <c r="L1124" s="110">
        <f t="shared" si="82"/>
        <v>32</v>
      </c>
      <c r="M1124" s="112"/>
    </row>
    <row r="1125" spans="2:13" s="52" customFormat="1" ht="19.5" customHeight="1">
      <c r="B1125" s="108">
        <v>10</v>
      </c>
      <c r="C1125" s="139" t="s">
        <v>56</v>
      </c>
      <c r="D1125" s="108" t="s">
        <v>3281</v>
      </c>
      <c r="E1125" s="108" t="s">
        <v>3463</v>
      </c>
      <c r="F1125" s="108" t="s">
        <v>1175</v>
      </c>
      <c r="G1125" s="108">
        <v>1</v>
      </c>
      <c r="H1125" s="71"/>
      <c r="I1125" s="109">
        <f t="shared" ref="I1125:I1187" si="83">F1125*G1125</f>
        <v>62.75</v>
      </c>
      <c r="J1125" s="110">
        <f t="shared" si="80"/>
        <v>0</v>
      </c>
      <c r="K1125" s="111">
        <f t="shared" si="81"/>
        <v>1</v>
      </c>
      <c r="L1125" s="110">
        <f t="shared" si="82"/>
        <v>62.75</v>
      </c>
      <c r="M1125" s="112"/>
    </row>
    <row r="1126" spans="2:13" s="52" customFormat="1" ht="19.5" customHeight="1">
      <c r="B1126" s="108">
        <v>10</v>
      </c>
      <c r="C1126" s="139" t="s">
        <v>56</v>
      </c>
      <c r="D1126" s="108" t="s">
        <v>3282</v>
      </c>
      <c r="E1126" s="108" t="s">
        <v>3464</v>
      </c>
      <c r="F1126" s="108" t="s">
        <v>3636</v>
      </c>
      <c r="G1126" s="108">
        <v>7</v>
      </c>
      <c r="H1126" s="71"/>
      <c r="I1126" s="109">
        <f t="shared" si="83"/>
        <v>290.5</v>
      </c>
      <c r="J1126" s="110">
        <f t="shared" si="80"/>
        <v>0</v>
      </c>
      <c r="K1126" s="111">
        <f t="shared" si="81"/>
        <v>7</v>
      </c>
      <c r="L1126" s="110">
        <f t="shared" si="82"/>
        <v>290.5</v>
      </c>
      <c r="M1126" s="112"/>
    </row>
    <row r="1127" spans="2:13" s="52" customFormat="1" ht="19.5" hidden="1" customHeight="1">
      <c r="B1127" s="108">
        <v>10</v>
      </c>
      <c r="C1127" s="139" t="s">
        <v>56</v>
      </c>
      <c r="D1127" s="108" t="s">
        <v>3283</v>
      </c>
      <c r="E1127" s="108" t="s">
        <v>3465</v>
      </c>
      <c r="F1127" s="108" t="s">
        <v>1183</v>
      </c>
      <c r="G1127" s="108">
        <v>12</v>
      </c>
      <c r="H1127" s="71">
        <v>12</v>
      </c>
      <c r="I1127" s="109">
        <f t="shared" si="83"/>
        <v>780</v>
      </c>
      <c r="J1127" s="110">
        <f t="shared" si="80"/>
        <v>780</v>
      </c>
      <c r="K1127" s="111">
        <f t="shared" si="81"/>
        <v>0</v>
      </c>
      <c r="L1127" s="110">
        <f t="shared" si="82"/>
        <v>0</v>
      </c>
      <c r="M1127" s="112"/>
    </row>
    <row r="1128" spans="2:13" s="52" customFormat="1" ht="19.5" hidden="1" customHeight="1">
      <c r="B1128" s="108">
        <v>10</v>
      </c>
      <c r="C1128" s="139" t="s">
        <v>56</v>
      </c>
      <c r="D1128" s="108" t="s">
        <v>3285</v>
      </c>
      <c r="E1128" s="108" t="s">
        <v>3466</v>
      </c>
      <c r="F1128" s="108" t="s">
        <v>3635</v>
      </c>
      <c r="G1128" s="108">
        <v>12</v>
      </c>
      <c r="H1128" s="71">
        <v>12</v>
      </c>
      <c r="I1128" s="109">
        <f t="shared" si="83"/>
        <v>522</v>
      </c>
      <c r="J1128" s="110">
        <f t="shared" si="80"/>
        <v>522</v>
      </c>
      <c r="K1128" s="111">
        <f t="shared" si="81"/>
        <v>0</v>
      </c>
      <c r="L1128" s="110">
        <f t="shared" si="82"/>
        <v>0</v>
      </c>
      <c r="M1128" s="112"/>
    </row>
    <row r="1129" spans="2:13" s="52" customFormat="1" ht="19.5" customHeight="1">
      <c r="B1129" s="108">
        <v>10</v>
      </c>
      <c r="C1129" s="139" t="s">
        <v>56</v>
      </c>
      <c r="D1129" s="108" t="s">
        <v>3284</v>
      </c>
      <c r="E1129" s="108" t="s">
        <v>3466</v>
      </c>
      <c r="F1129" s="108" t="s">
        <v>2080</v>
      </c>
      <c r="G1129" s="108">
        <v>3</v>
      </c>
      <c r="H1129" s="71"/>
      <c r="I1129" s="109">
        <f t="shared" si="83"/>
        <v>81.75</v>
      </c>
      <c r="J1129" s="110">
        <f t="shared" si="80"/>
        <v>0</v>
      </c>
      <c r="K1129" s="111">
        <f t="shared" si="81"/>
        <v>3</v>
      </c>
      <c r="L1129" s="110">
        <f t="shared" si="82"/>
        <v>81.75</v>
      </c>
      <c r="M1129" s="112"/>
    </row>
    <row r="1130" spans="2:13" s="52" customFormat="1" ht="19.5" customHeight="1">
      <c r="B1130" s="108">
        <v>10</v>
      </c>
      <c r="C1130" s="139" t="s">
        <v>56</v>
      </c>
      <c r="D1130" s="108" t="s">
        <v>3286</v>
      </c>
      <c r="E1130" s="108" t="s">
        <v>3467</v>
      </c>
      <c r="F1130" s="108" t="s">
        <v>1183</v>
      </c>
      <c r="G1130" s="108">
        <v>11</v>
      </c>
      <c r="H1130" s="71"/>
      <c r="I1130" s="109">
        <f t="shared" si="83"/>
        <v>715</v>
      </c>
      <c r="J1130" s="110">
        <f t="shared" si="80"/>
        <v>0</v>
      </c>
      <c r="K1130" s="111">
        <f t="shared" si="81"/>
        <v>11</v>
      </c>
      <c r="L1130" s="110">
        <f t="shared" si="82"/>
        <v>715</v>
      </c>
      <c r="M1130" s="112"/>
    </row>
    <row r="1131" spans="2:13" s="52" customFormat="1" ht="19.5" hidden="1" customHeight="1">
      <c r="B1131" s="108">
        <v>10</v>
      </c>
      <c r="C1131" s="139" t="s">
        <v>56</v>
      </c>
      <c r="D1131" s="108" t="s">
        <v>3287</v>
      </c>
      <c r="E1131" s="108" t="s">
        <v>3468</v>
      </c>
      <c r="F1131" s="108" t="s">
        <v>3635</v>
      </c>
      <c r="G1131" s="108">
        <v>2</v>
      </c>
      <c r="H1131" s="71">
        <v>12</v>
      </c>
      <c r="I1131" s="109">
        <f t="shared" si="83"/>
        <v>87</v>
      </c>
      <c r="J1131" s="110">
        <f t="shared" si="80"/>
        <v>522</v>
      </c>
      <c r="K1131" s="111">
        <f t="shared" si="81"/>
        <v>-10</v>
      </c>
      <c r="L1131" s="110">
        <f t="shared" si="82"/>
        <v>-435</v>
      </c>
      <c r="M1131" s="112"/>
    </row>
    <row r="1132" spans="2:13" s="52" customFormat="1" ht="19.5" customHeight="1">
      <c r="B1132" s="108">
        <v>10</v>
      </c>
      <c r="C1132" s="139" t="s">
        <v>56</v>
      </c>
      <c r="D1132" s="108" t="s">
        <v>3288</v>
      </c>
      <c r="E1132" s="108" t="s">
        <v>3469</v>
      </c>
      <c r="F1132" s="108" t="s">
        <v>1244</v>
      </c>
      <c r="G1132" s="108">
        <v>1</v>
      </c>
      <c r="H1132" s="71"/>
      <c r="I1132" s="109">
        <f t="shared" si="83"/>
        <v>55</v>
      </c>
      <c r="J1132" s="110">
        <f t="shared" si="80"/>
        <v>0</v>
      </c>
      <c r="K1132" s="111">
        <f t="shared" si="81"/>
        <v>1</v>
      </c>
      <c r="L1132" s="110">
        <f t="shared" si="82"/>
        <v>55</v>
      </c>
      <c r="M1132" s="112"/>
    </row>
    <row r="1133" spans="2:13" s="52" customFormat="1" ht="19.5" hidden="1" customHeight="1">
      <c r="B1133" s="108">
        <v>10</v>
      </c>
      <c r="C1133" s="139" t="s">
        <v>56</v>
      </c>
      <c r="D1133" s="108" t="s">
        <v>3289</v>
      </c>
      <c r="E1133" s="108" t="s">
        <v>3470</v>
      </c>
      <c r="F1133" s="108" t="s">
        <v>1183</v>
      </c>
      <c r="G1133" s="108">
        <v>11</v>
      </c>
      <c r="H1133" s="71">
        <v>11</v>
      </c>
      <c r="I1133" s="109">
        <f t="shared" si="83"/>
        <v>715</v>
      </c>
      <c r="J1133" s="110">
        <f t="shared" si="80"/>
        <v>715</v>
      </c>
      <c r="K1133" s="111">
        <f t="shared" si="81"/>
        <v>0</v>
      </c>
      <c r="L1133" s="110">
        <f t="shared" si="82"/>
        <v>0</v>
      </c>
      <c r="M1133" s="112"/>
    </row>
    <row r="1134" spans="2:13" s="52" customFormat="1" ht="19.5" hidden="1" customHeight="1">
      <c r="B1134" s="108">
        <v>10</v>
      </c>
      <c r="C1134" s="139" t="s">
        <v>56</v>
      </c>
      <c r="D1134" s="108" t="s">
        <v>3290</v>
      </c>
      <c r="E1134" s="108" t="s">
        <v>3471</v>
      </c>
      <c r="F1134" s="108" t="s">
        <v>3635</v>
      </c>
      <c r="G1134" s="108">
        <v>3</v>
      </c>
      <c r="H1134" s="71">
        <v>3</v>
      </c>
      <c r="I1134" s="109">
        <f t="shared" si="83"/>
        <v>130.5</v>
      </c>
      <c r="J1134" s="110">
        <f t="shared" si="80"/>
        <v>130.5</v>
      </c>
      <c r="K1134" s="111">
        <f t="shared" si="81"/>
        <v>0</v>
      </c>
      <c r="L1134" s="110">
        <f t="shared" si="82"/>
        <v>0</v>
      </c>
      <c r="M1134" s="112"/>
    </row>
    <row r="1135" spans="2:13" s="52" customFormat="1" ht="19.5" customHeight="1">
      <c r="B1135" s="108">
        <v>10</v>
      </c>
      <c r="C1135" s="139" t="s">
        <v>56</v>
      </c>
      <c r="D1135" s="108" t="s">
        <v>3291</v>
      </c>
      <c r="E1135" s="108" t="s">
        <v>3472</v>
      </c>
      <c r="F1135" s="108" t="s">
        <v>1814</v>
      </c>
      <c r="G1135" s="108">
        <v>3</v>
      </c>
      <c r="H1135" s="71"/>
      <c r="I1135" s="109">
        <f t="shared" si="83"/>
        <v>96</v>
      </c>
      <c r="J1135" s="110">
        <f t="shared" si="80"/>
        <v>0</v>
      </c>
      <c r="K1135" s="111">
        <f t="shared" si="81"/>
        <v>3</v>
      </c>
      <c r="L1135" s="110">
        <f t="shared" si="82"/>
        <v>96</v>
      </c>
      <c r="M1135" s="112"/>
    </row>
    <row r="1136" spans="2:13" s="52" customFormat="1" ht="19.5" customHeight="1">
      <c r="B1136" s="108">
        <v>10</v>
      </c>
      <c r="C1136" s="139" t="s">
        <v>56</v>
      </c>
      <c r="D1136" s="108" t="s">
        <v>3292</v>
      </c>
      <c r="E1136" s="108" t="s">
        <v>3473</v>
      </c>
      <c r="F1136" s="108" t="s">
        <v>1821</v>
      </c>
      <c r="G1136" s="108">
        <v>13</v>
      </c>
      <c r="H1136" s="71"/>
      <c r="I1136" s="109">
        <f t="shared" si="83"/>
        <v>243.75</v>
      </c>
      <c r="J1136" s="110">
        <f t="shared" si="80"/>
        <v>0</v>
      </c>
      <c r="K1136" s="111">
        <f t="shared" si="81"/>
        <v>13</v>
      </c>
      <c r="L1136" s="110">
        <f t="shared" si="82"/>
        <v>243.75</v>
      </c>
      <c r="M1136" s="112"/>
    </row>
    <row r="1137" spans="2:13" s="52" customFormat="1" ht="19.5" hidden="1" customHeight="1">
      <c r="B1137" s="108">
        <v>10</v>
      </c>
      <c r="C1137" s="139" t="s">
        <v>56</v>
      </c>
      <c r="D1137" s="108" t="s">
        <v>3293</v>
      </c>
      <c r="E1137" s="108" t="s">
        <v>3474</v>
      </c>
      <c r="F1137" s="108" t="s">
        <v>3637</v>
      </c>
      <c r="G1137" s="108">
        <v>22</v>
      </c>
      <c r="H1137" s="71">
        <v>22</v>
      </c>
      <c r="I1137" s="109">
        <f t="shared" si="83"/>
        <v>4552.8999999999996</v>
      </c>
      <c r="J1137" s="110">
        <f t="shared" si="80"/>
        <v>4552.8999999999996</v>
      </c>
      <c r="K1137" s="111">
        <f t="shared" si="81"/>
        <v>0</v>
      </c>
      <c r="L1137" s="110">
        <f t="shared" si="82"/>
        <v>0</v>
      </c>
      <c r="M1137" s="112"/>
    </row>
    <row r="1138" spans="2:13" s="52" customFormat="1" ht="19.5" hidden="1" customHeight="1">
      <c r="B1138" s="108">
        <v>10</v>
      </c>
      <c r="C1138" s="139" t="s">
        <v>56</v>
      </c>
      <c r="D1138" s="108" t="s">
        <v>3294</v>
      </c>
      <c r="E1138" s="108" t="s">
        <v>3475</v>
      </c>
      <c r="F1138" s="108" t="s">
        <v>3638</v>
      </c>
      <c r="G1138" s="108">
        <v>265</v>
      </c>
      <c r="H1138" s="71">
        <f>64+228</f>
        <v>292</v>
      </c>
      <c r="I1138" s="109">
        <f t="shared" si="83"/>
        <v>3821.3</v>
      </c>
      <c r="J1138" s="110">
        <f t="shared" si="80"/>
        <v>4210.6400000000003</v>
      </c>
      <c r="K1138" s="111">
        <f t="shared" si="81"/>
        <v>-27</v>
      </c>
      <c r="L1138" s="110">
        <f t="shared" si="82"/>
        <v>-389.34000000000015</v>
      </c>
      <c r="M1138" s="112"/>
    </row>
    <row r="1139" spans="2:13" s="52" customFormat="1" ht="19.5" hidden="1" customHeight="1">
      <c r="B1139" s="108">
        <v>10</v>
      </c>
      <c r="C1139" s="139" t="s">
        <v>56</v>
      </c>
      <c r="D1139" s="108" t="s">
        <v>3295</v>
      </c>
      <c r="E1139" s="108" t="s">
        <v>3476</v>
      </c>
      <c r="F1139" s="108" t="s">
        <v>3639</v>
      </c>
      <c r="G1139" s="108">
        <v>440</v>
      </c>
      <c r="H1139" s="71">
        <f>69+85+426</f>
        <v>580</v>
      </c>
      <c r="I1139" s="109">
        <f t="shared" si="83"/>
        <v>6560.4</v>
      </c>
      <c r="J1139" s="110">
        <f t="shared" si="80"/>
        <v>8647.7999999999993</v>
      </c>
      <c r="K1139" s="111">
        <f t="shared" si="81"/>
        <v>-140</v>
      </c>
      <c r="L1139" s="110">
        <f t="shared" si="82"/>
        <v>-2087.3999999999996</v>
      </c>
      <c r="M1139" s="112"/>
    </row>
    <row r="1140" spans="2:13" s="52" customFormat="1" ht="19.5" customHeight="1">
      <c r="B1140" s="108">
        <v>10</v>
      </c>
      <c r="C1140" s="139" t="s">
        <v>56</v>
      </c>
      <c r="D1140" s="108" t="s">
        <v>3296</v>
      </c>
      <c r="E1140" s="108" t="s">
        <v>3477</v>
      </c>
      <c r="F1140" s="108" t="s">
        <v>3640</v>
      </c>
      <c r="G1140" s="108">
        <v>40</v>
      </c>
      <c r="H1140" s="71">
        <f>26+1</f>
        <v>27</v>
      </c>
      <c r="I1140" s="109">
        <f t="shared" si="83"/>
        <v>778.8</v>
      </c>
      <c r="J1140" s="110">
        <f t="shared" si="80"/>
        <v>525.68999999999994</v>
      </c>
      <c r="K1140" s="111">
        <f t="shared" si="81"/>
        <v>13</v>
      </c>
      <c r="L1140" s="110">
        <f t="shared" si="82"/>
        <v>253.11</v>
      </c>
      <c r="M1140" s="112"/>
    </row>
    <row r="1141" spans="2:13" s="52" customFormat="1" ht="19.5" customHeight="1">
      <c r="B1141" s="108">
        <v>10</v>
      </c>
      <c r="C1141" s="139" t="s">
        <v>56</v>
      </c>
      <c r="D1141" s="108" t="s">
        <v>3297</v>
      </c>
      <c r="E1141" s="108" t="s">
        <v>3478</v>
      </c>
      <c r="F1141" s="108" t="s">
        <v>3638</v>
      </c>
      <c r="G1141" s="108">
        <v>114</v>
      </c>
      <c r="H1141" s="71">
        <v>66</v>
      </c>
      <c r="I1141" s="109">
        <f t="shared" si="83"/>
        <v>1643.8799999999999</v>
      </c>
      <c r="J1141" s="110">
        <f t="shared" si="80"/>
        <v>951.72</v>
      </c>
      <c r="K1141" s="111">
        <f t="shared" si="81"/>
        <v>48</v>
      </c>
      <c r="L1141" s="110">
        <f t="shared" si="82"/>
        <v>692.15999999999985</v>
      </c>
      <c r="M1141" s="112"/>
    </row>
    <row r="1142" spans="2:13" s="52" customFormat="1" ht="19.5" customHeight="1">
      <c r="B1142" s="108">
        <v>10</v>
      </c>
      <c r="C1142" s="139" t="s">
        <v>56</v>
      </c>
      <c r="D1142" s="108" t="s">
        <v>3298</v>
      </c>
      <c r="E1142" s="108" t="s">
        <v>3479</v>
      </c>
      <c r="F1142" s="108" t="s">
        <v>3641</v>
      </c>
      <c r="G1142" s="108">
        <v>1</v>
      </c>
      <c r="H1142" s="71"/>
      <c r="I1142" s="109">
        <f t="shared" si="83"/>
        <v>279.33999999999997</v>
      </c>
      <c r="J1142" s="110">
        <f t="shared" si="80"/>
        <v>0</v>
      </c>
      <c r="K1142" s="111">
        <f t="shared" si="81"/>
        <v>1</v>
      </c>
      <c r="L1142" s="110">
        <f t="shared" si="82"/>
        <v>279.33999999999997</v>
      </c>
      <c r="M1142" s="112"/>
    </row>
    <row r="1143" spans="2:13" s="52" customFormat="1" ht="19.5" hidden="1" customHeight="1">
      <c r="B1143" s="108">
        <v>10</v>
      </c>
      <c r="C1143" s="139" t="s">
        <v>56</v>
      </c>
      <c r="D1143" s="108" t="s">
        <v>3299</v>
      </c>
      <c r="E1143" s="108" t="s">
        <v>3480</v>
      </c>
      <c r="F1143" s="108" t="s">
        <v>3642</v>
      </c>
      <c r="G1143" s="108">
        <v>49</v>
      </c>
      <c r="H1143" s="71">
        <v>49</v>
      </c>
      <c r="I1143" s="109">
        <f t="shared" si="83"/>
        <v>989.8</v>
      </c>
      <c r="J1143" s="110">
        <f t="shared" si="80"/>
        <v>989.8</v>
      </c>
      <c r="K1143" s="111">
        <f t="shared" si="81"/>
        <v>0</v>
      </c>
      <c r="L1143" s="110">
        <f t="shared" si="82"/>
        <v>0</v>
      </c>
      <c r="M1143" s="112"/>
    </row>
    <row r="1144" spans="2:13" s="52" customFormat="1" ht="19.5" customHeight="1">
      <c r="B1144" s="108">
        <v>10</v>
      </c>
      <c r="C1144" s="139" t="s">
        <v>56</v>
      </c>
      <c r="D1144" s="108" t="s">
        <v>3300</v>
      </c>
      <c r="E1144" s="108" t="s">
        <v>3481</v>
      </c>
      <c r="F1144" s="108" t="s">
        <v>3643</v>
      </c>
      <c r="G1144" s="108">
        <v>11</v>
      </c>
      <c r="H1144" s="71"/>
      <c r="I1144" s="109">
        <f t="shared" si="83"/>
        <v>3257.1000000000004</v>
      </c>
      <c r="J1144" s="110">
        <f t="shared" si="80"/>
        <v>0</v>
      </c>
      <c r="K1144" s="111">
        <f t="shared" si="81"/>
        <v>11</v>
      </c>
      <c r="L1144" s="110">
        <f t="shared" si="82"/>
        <v>3257.1000000000004</v>
      </c>
      <c r="M1144" s="112"/>
    </row>
    <row r="1145" spans="2:13" s="52" customFormat="1" ht="19.5" customHeight="1">
      <c r="B1145" s="108">
        <v>10</v>
      </c>
      <c r="C1145" s="139" t="s">
        <v>56</v>
      </c>
      <c r="D1145" s="108" t="s">
        <v>3301</v>
      </c>
      <c r="E1145" s="108" t="s">
        <v>3482</v>
      </c>
      <c r="F1145" s="108" t="s">
        <v>3644</v>
      </c>
      <c r="G1145" s="108">
        <v>3</v>
      </c>
      <c r="H1145" s="71"/>
      <c r="I1145" s="109">
        <f t="shared" si="83"/>
        <v>1081.9499999999998</v>
      </c>
      <c r="J1145" s="110">
        <f t="shared" si="80"/>
        <v>0</v>
      </c>
      <c r="K1145" s="111">
        <f t="shared" si="81"/>
        <v>3</v>
      </c>
      <c r="L1145" s="110">
        <f t="shared" si="82"/>
        <v>1081.9499999999998</v>
      </c>
      <c r="M1145" s="112"/>
    </row>
    <row r="1146" spans="2:13" s="52" customFormat="1" ht="19.5" hidden="1" customHeight="1">
      <c r="B1146" s="108">
        <v>10</v>
      </c>
      <c r="C1146" s="139" t="s">
        <v>56</v>
      </c>
      <c r="D1146" s="108" t="s">
        <v>3302</v>
      </c>
      <c r="E1146" s="108" t="s">
        <v>3483</v>
      </c>
      <c r="F1146" s="108" t="s">
        <v>3644</v>
      </c>
      <c r="G1146" s="108">
        <v>11</v>
      </c>
      <c r="H1146" s="71">
        <v>11</v>
      </c>
      <c r="I1146" s="109">
        <f t="shared" si="83"/>
        <v>3967.1499999999996</v>
      </c>
      <c r="J1146" s="110">
        <f t="shared" si="80"/>
        <v>3967.1499999999996</v>
      </c>
      <c r="K1146" s="111">
        <f t="shared" si="81"/>
        <v>0</v>
      </c>
      <c r="L1146" s="110">
        <f t="shared" si="82"/>
        <v>0</v>
      </c>
      <c r="M1146" s="112"/>
    </row>
    <row r="1147" spans="2:13" s="52" customFormat="1" ht="19.5" hidden="1" customHeight="1">
      <c r="B1147" s="108">
        <v>10</v>
      </c>
      <c r="C1147" s="139" t="s">
        <v>56</v>
      </c>
      <c r="D1147" s="108" t="s">
        <v>3303</v>
      </c>
      <c r="E1147" s="108" t="s">
        <v>3484</v>
      </c>
      <c r="F1147" s="108" t="s">
        <v>3645</v>
      </c>
      <c r="G1147" s="108">
        <v>5</v>
      </c>
      <c r="H1147" s="71">
        <v>16</v>
      </c>
      <c r="I1147" s="109">
        <f t="shared" si="83"/>
        <v>1636.25</v>
      </c>
      <c r="J1147" s="110">
        <f t="shared" ref="J1147:J1208" si="84">F1147*H1147</f>
        <v>5236</v>
      </c>
      <c r="K1147" s="111">
        <f t="shared" ref="K1147:K1208" si="85">G1147-H1147</f>
        <v>-11</v>
      </c>
      <c r="L1147" s="110">
        <f t="shared" ref="L1147:L1208" si="86">I1147-J1147</f>
        <v>-3599.75</v>
      </c>
      <c r="M1147" s="112"/>
    </row>
    <row r="1148" spans="2:13" s="52" customFormat="1" ht="19.5" customHeight="1">
      <c r="B1148" s="108">
        <v>10</v>
      </c>
      <c r="C1148" s="139" t="s">
        <v>56</v>
      </c>
      <c r="D1148" s="108" t="s">
        <v>3304</v>
      </c>
      <c r="E1148" s="108" t="s">
        <v>3485</v>
      </c>
      <c r="F1148" s="108" t="s">
        <v>3646</v>
      </c>
      <c r="G1148" s="108">
        <v>131</v>
      </c>
      <c r="H1148" s="71"/>
      <c r="I1148" s="109">
        <f t="shared" si="83"/>
        <v>2358</v>
      </c>
      <c r="J1148" s="110">
        <f t="shared" si="84"/>
        <v>0</v>
      </c>
      <c r="K1148" s="111">
        <f t="shared" si="85"/>
        <v>131</v>
      </c>
      <c r="L1148" s="110">
        <f t="shared" si="86"/>
        <v>2358</v>
      </c>
      <c r="M1148" s="112"/>
    </row>
    <row r="1149" spans="2:13" s="52" customFormat="1" ht="19.5" customHeight="1">
      <c r="B1149" s="108">
        <v>10</v>
      </c>
      <c r="C1149" s="139" t="s">
        <v>56</v>
      </c>
      <c r="D1149" s="108" t="s">
        <v>3305</v>
      </c>
      <c r="E1149" s="108" t="s">
        <v>3486</v>
      </c>
      <c r="F1149" s="108" t="s">
        <v>3647</v>
      </c>
      <c r="G1149" s="108">
        <v>29</v>
      </c>
      <c r="H1149" s="71"/>
      <c r="I1149" s="109">
        <f t="shared" si="83"/>
        <v>609</v>
      </c>
      <c r="J1149" s="110">
        <f t="shared" si="84"/>
        <v>0</v>
      </c>
      <c r="K1149" s="111">
        <f t="shared" si="85"/>
        <v>29</v>
      </c>
      <c r="L1149" s="110">
        <f t="shared" si="86"/>
        <v>609</v>
      </c>
      <c r="M1149" s="112"/>
    </row>
    <row r="1150" spans="2:13" s="52" customFormat="1" ht="19.5" hidden="1" customHeight="1">
      <c r="B1150" s="108">
        <v>10</v>
      </c>
      <c r="C1150" s="139" t="s">
        <v>56</v>
      </c>
      <c r="D1150" s="108" t="s">
        <v>3306</v>
      </c>
      <c r="E1150" s="108" t="s">
        <v>3487</v>
      </c>
      <c r="F1150" s="108" t="s">
        <v>833</v>
      </c>
      <c r="G1150" s="108">
        <v>5</v>
      </c>
      <c r="H1150" s="71">
        <f>2+4</f>
        <v>6</v>
      </c>
      <c r="I1150" s="109">
        <f t="shared" si="83"/>
        <v>425</v>
      </c>
      <c r="J1150" s="110">
        <f t="shared" si="84"/>
        <v>510</v>
      </c>
      <c r="K1150" s="111">
        <f t="shared" si="85"/>
        <v>-1</v>
      </c>
      <c r="L1150" s="110">
        <f t="shared" si="86"/>
        <v>-85</v>
      </c>
      <c r="M1150" s="112"/>
    </row>
    <row r="1151" spans="2:13" s="52" customFormat="1" ht="19.5" hidden="1" customHeight="1">
      <c r="B1151" s="108">
        <v>10</v>
      </c>
      <c r="C1151" s="139" t="s">
        <v>56</v>
      </c>
      <c r="D1151" s="108" t="s">
        <v>3307</v>
      </c>
      <c r="E1151" s="108" t="s">
        <v>3488</v>
      </c>
      <c r="F1151" s="108" t="s">
        <v>3648</v>
      </c>
      <c r="G1151" s="108">
        <v>14</v>
      </c>
      <c r="H1151" s="71">
        <v>63</v>
      </c>
      <c r="I1151" s="109">
        <f t="shared" si="83"/>
        <v>1066.6599999999999</v>
      </c>
      <c r="J1151" s="110">
        <f t="shared" si="84"/>
        <v>4799.97</v>
      </c>
      <c r="K1151" s="111">
        <f t="shared" si="85"/>
        <v>-49</v>
      </c>
      <c r="L1151" s="110">
        <f t="shared" si="86"/>
        <v>-3733.3100000000004</v>
      </c>
      <c r="M1151" s="112"/>
    </row>
    <row r="1152" spans="2:13" s="52" customFormat="1" ht="19.5" customHeight="1">
      <c r="B1152" s="108">
        <v>10</v>
      </c>
      <c r="C1152" s="139" t="s">
        <v>56</v>
      </c>
      <c r="D1152" s="108" t="s">
        <v>3308</v>
      </c>
      <c r="E1152" s="108" t="s">
        <v>3489</v>
      </c>
      <c r="F1152" s="108" t="s">
        <v>3649</v>
      </c>
      <c r="G1152" s="108">
        <v>10</v>
      </c>
      <c r="H1152" s="71"/>
      <c r="I1152" s="109">
        <f t="shared" si="83"/>
        <v>127</v>
      </c>
      <c r="J1152" s="110">
        <f t="shared" si="84"/>
        <v>0</v>
      </c>
      <c r="K1152" s="111">
        <f t="shared" si="85"/>
        <v>10</v>
      </c>
      <c r="L1152" s="110">
        <f t="shared" si="86"/>
        <v>127</v>
      </c>
      <c r="M1152" s="112"/>
    </row>
    <row r="1153" spans="2:13" s="52" customFormat="1" ht="19.5" hidden="1" customHeight="1">
      <c r="B1153" s="108">
        <v>10</v>
      </c>
      <c r="C1153" s="139" t="s">
        <v>56</v>
      </c>
      <c r="D1153" s="108" t="s">
        <v>3309</v>
      </c>
      <c r="E1153" s="108" t="s">
        <v>3490</v>
      </c>
      <c r="F1153" s="108" t="s">
        <v>3648</v>
      </c>
      <c r="G1153" s="108">
        <v>17</v>
      </c>
      <c r="H1153" s="71">
        <v>18</v>
      </c>
      <c r="I1153" s="109">
        <f t="shared" si="83"/>
        <v>1295.23</v>
      </c>
      <c r="J1153" s="110">
        <f t="shared" si="84"/>
        <v>1371.42</v>
      </c>
      <c r="K1153" s="111">
        <f t="shared" si="85"/>
        <v>-1</v>
      </c>
      <c r="L1153" s="110">
        <f t="shared" si="86"/>
        <v>-76.190000000000055</v>
      </c>
      <c r="M1153" s="112"/>
    </row>
    <row r="1154" spans="2:13" s="52" customFormat="1" ht="19.5" hidden="1" customHeight="1">
      <c r="B1154" s="108">
        <v>10</v>
      </c>
      <c r="C1154" s="139" t="s">
        <v>56</v>
      </c>
      <c r="D1154" s="108" t="s">
        <v>3310</v>
      </c>
      <c r="E1154" s="108" t="s">
        <v>3491</v>
      </c>
      <c r="F1154" s="108" t="s">
        <v>3650</v>
      </c>
      <c r="G1154" s="108">
        <v>210</v>
      </c>
      <c r="H1154" s="71">
        <v>210</v>
      </c>
      <c r="I1154" s="109">
        <f t="shared" si="83"/>
        <v>1320.9</v>
      </c>
      <c r="J1154" s="110">
        <f t="shared" si="84"/>
        <v>1320.9</v>
      </c>
      <c r="K1154" s="111">
        <f t="shared" si="85"/>
        <v>0</v>
      </c>
      <c r="L1154" s="110">
        <f t="shared" si="86"/>
        <v>0</v>
      </c>
      <c r="M1154" s="112"/>
    </row>
    <row r="1155" spans="2:13" s="52" customFormat="1" ht="19.5" customHeight="1">
      <c r="B1155" s="108">
        <v>10</v>
      </c>
      <c r="C1155" s="139" t="s">
        <v>56</v>
      </c>
      <c r="D1155" s="108" t="s">
        <v>3311</v>
      </c>
      <c r="E1155" s="108" t="s">
        <v>3492</v>
      </c>
      <c r="F1155" s="108" t="s">
        <v>3650</v>
      </c>
      <c r="G1155" s="108">
        <v>2</v>
      </c>
      <c r="H1155" s="71">
        <v>1</v>
      </c>
      <c r="I1155" s="109">
        <f t="shared" si="83"/>
        <v>12.58</v>
      </c>
      <c r="J1155" s="110">
        <f t="shared" si="84"/>
        <v>6.29</v>
      </c>
      <c r="K1155" s="111">
        <f t="shared" si="85"/>
        <v>1</v>
      </c>
      <c r="L1155" s="110">
        <f t="shared" si="86"/>
        <v>6.29</v>
      </c>
      <c r="M1155" s="112"/>
    </row>
    <row r="1156" spans="2:13" s="52" customFormat="1" ht="19.5" hidden="1" customHeight="1">
      <c r="B1156" s="108">
        <v>10</v>
      </c>
      <c r="C1156" s="139" t="s">
        <v>56</v>
      </c>
      <c r="D1156" s="108" t="s">
        <v>3312</v>
      </c>
      <c r="E1156" s="108" t="s">
        <v>3493</v>
      </c>
      <c r="F1156" s="108" t="s">
        <v>3650</v>
      </c>
      <c r="G1156" s="108">
        <v>210</v>
      </c>
      <c r="H1156" s="71">
        <v>210</v>
      </c>
      <c r="I1156" s="109">
        <f t="shared" si="83"/>
        <v>1320.9</v>
      </c>
      <c r="J1156" s="110">
        <f t="shared" si="84"/>
        <v>1320.9</v>
      </c>
      <c r="K1156" s="111">
        <f t="shared" si="85"/>
        <v>0</v>
      </c>
      <c r="L1156" s="110">
        <f t="shared" si="86"/>
        <v>0</v>
      </c>
      <c r="M1156" s="112"/>
    </row>
    <row r="1157" spans="2:13" s="52" customFormat="1" ht="19.5" customHeight="1">
      <c r="B1157" s="108">
        <v>10</v>
      </c>
      <c r="C1157" s="139" t="s">
        <v>56</v>
      </c>
      <c r="D1157" s="108" t="s">
        <v>3313</v>
      </c>
      <c r="E1157" s="108" t="s">
        <v>3494</v>
      </c>
      <c r="F1157" s="108" t="s">
        <v>3651</v>
      </c>
      <c r="G1157" s="108">
        <v>253</v>
      </c>
      <c r="H1157" s="71">
        <v>144</v>
      </c>
      <c r="I1157" s="109">
        <f t="shared" si="83"/>
        <v>5588.7699999999995</v>
      </c>
      <c r="J1157" s="110">
        <f t="shared" si="84"/>
        <v>3180.96</v>
      </c>
      <c r="K1157" s="111">
        <f t="shared" si="85"/>
        <v>109</v>
      </c>
      <c r="L1157" s="110">
        <f t="shared" si="86"/>
        <v>2407.8099999999995</v>
      </c>
      <c r="M1157" s="112"/>
    </row>
    <row r="1158" spans="2:13" s="52" customFormat="1" ht="19.5" hidden="1" customHeight="1">
      <c r="B1158" s="108">
        <v>10</v>
      </c>
      <c r="C1158" s="139" t="s">
        <v>56</v>
      </c>
      <c r="D1158" s="108" t="s">
        <v>3314</v>
      </c>
      <c r="E1158" s="108" t="s">
        <v>3495</v>
      </c>
      <c r="F1158" s="108" t="s">
        <v>2440</v>
      </c>
      <c r="G1158" s="108">
        <v>72</v>
      </c>
      <c r="H1158" s="71">
        <v>72</v>
      </c>
      <c r="I1158" s="109">
        <f t="shared" si="83"/>
        <v>1497.6000000000001</v>
      </c>
      <c r="J1158" s="110">
        <f t="shared" si="84"/>
        <v>1497.6000000000001</v>
      </c>
      <c r="K1158" s="111">
        <f t="shared" si="85"/>
        <v>0</v>
      </c>
      <c r="L1158" s="110">
        <f t="shared" si="86"/>
        <v>0</v>
      </c>
      <c r="M1158" s="112"/>
    </row>
    <row r="1159" spans="2:13" s="52" customFormat="1" ht="19.5" hidden="1" customHeight="1">
      <c r="B1159" s="108">
        <v>10</v>
      </c>
      <c r="C1159" s="139" t="s">
        <v>56</v>
      </c>
      <c r="D1159" s="108" t="s">
        <v>3315</v>
      </c>
      <c r="E1159" s="108" t="s">
        <v>3496</v>
      </c>
      <c r="F1159" s="108" t="s">
        <v>1819</v>
      </c>
      <c r="G1159" s="108">
        <v>40</v>
      </c>
      <c r="H1159" s="71">
        <v>40</v>
      </c>
      <c r="I1159" s="109">
        <f t="shared" si="83"/>
        <v>860</v>
      </c>
      <c r="J1159" s="110">
        <f t="shared" si="84"/>
        <v>860</v>
      </c>
      <c r="K1159" s="111">
        <f t="shared" si="85"/>
        <v>0</v>
      </c>
      <c r="L1159" s="110">
        <f t="shared" si="86"/>
        <v>0</v>
      </c>
      <c r="M1159" s="112"/>
    </row>
    <row r="1160" spans="2:13" s="52" customFormat="1" ht="19.5" customHeight="1">
      <c r="B1160" s="108">
        <v>10</v>
      </c>
      <c r="C1160" s="139" t="s">
        <v>56</v>
      </c>
      <c r="D1160" s="108" t="s">
        <v>3316</v>
      </c>
      <c r="E1160" s="108" t="s">
        <v>3497</v>
      </c>
      <c r="F1160" s="108" t="s">
        <v>3652</v>
      </c>
      <c r="G1160" s="108">
        <v>339</v>
      </c>
      <c r="H1160" s="71">
        <v>224</v>
      </c>
      <c r="I1160" s="109">
        <f t="shared" si="83"/>
        <v>7651.2300000000005</v>
      </c>
      <c r="J1160" s="110">
        <f t="shared" si="84"/>
        <v>5055.68</v>
      </c>
      <c r="K1160" s="111">
        <f t="shared" si="85"/>
        <v>115</v>
      </c>
      <c r="L1160" s="110">
        <f t="shared" si="86"/>
        <v>2595.5500000000002</v>
      </c>
      <c r="M1160" s="112"/>
    </row>
    <row r="1161" spans="2:13" s="52" customFormat="1" ht="19.5" hidden="1" customHeight="1">
      <c r="B1161" s="108">
        <v>10</v>
      </c>
      <c r="C1161" s="139" t="s">
        <v>56</v>
      </c>
      <c r="D1161" s="108" t="s">
        <v>3317</v>
      </c>
      <c r="E1161" s="108" t="s">
        <v>3498</v>
      </c>
      <c r="F1161" s="108" t="s">
        <v>3653</v>
      </c>
      <c r="G1161" s="108">
        <v>39</v>
      </c>
      <c r="H1161" s="71">
        <v>39</v>
      </c>
      <c r="I1161" s="109">
        <f t="shared" si="83"/>
        <v>952.38000000000011</v>
      </c>
      <c r="J1161" s="110">
        <f t="shared" si="84"/>
        <v>952.38000000000011</v>
      </c>
      <c r="K1161" s="111">
        <f t="shared" si="85"/>
        <v>0</v>
      </c>
      <c r="L1161" s="110">
        <f t="shared" si="86"/>
        <v>0</v>
      </c>
      <c r="M1161" s="112"/>
    </row>
    <row r="1162" spans="2:13" s="52" customFormat="1" ht="19.5" hidden="1" customHeight="1">
      <c r="B1162" s="108">
        <v>10</v>
      </c>
      <c r="C1162" s="139" t="s">
        <v>56</v>
      </c>
      <c r="D1162" s="108" t="s">
        <v>3318</v>
      </c>
      <c r="E1162" s="108" t="s">
        <v>3499</v>
      </c>
      <c r="F1162" s="108" t="s">
        <v>3654</v>
      </c>
      <c r="G1162" s="108">
        <v>63</v>
      </c>
      <c r="H1162" s="71">
        <v>385</v>
      </c>
      <c r="I1162" s="109">
        <f t="shared" si="83"/>
        <v>336.42</v>
      </c>
      <c r="J1162" s="110">
        <f t="shared" si="84"/>
        <v>2055.9</v>
      </c>
      <c r="K1162" s="111">
        <f t="shared" si="85"/>
        <v>-322</v>
      </c>
      <c r="L1162" s="110">
        <f t="shared" si="86"/>
        <v>-1719.48</v>
      </c>
      <c r="M1162" s="112"/>
    </row>
    <row r="1163" spans="2:13" s="52" customFormat="1" ht="19.5" customHeight="1">
      <c r="B1163" s="108">
        <v>10</v>
      </c>
      <c r="C1163" s="139" t="s">
        <v>56</v>
      </c>
      <c r="D1163" s="108" t="s">
        <v>3319</v>
      </c>
      <c r="E1163" s="108" t="s">
        <v>3500</v>
      </c>
      <c r="F1163" s="108" t="s">
        <v>3655</v>
      </c>
      <c r="G1163" s="108">
        <v>80</v>
      </c>
      <c r="H1163" s="71">
        <f>2+60</f>
        <v>62</v>
      </c>
      <c r="I1163" s="109">
        <f t="shared" si="83"/>
        <v>401.59999999999997</v>
      </c>
      <c r="J1163" s="110">
        <f t="shared" si="84"/>
        <v>311.23999999999995</v>
      </c>
      <c r="K1163" s="111">
        <f t="shared" si="85"/>
        <v>18</v>
      </c>
      <c r="L1163" s="110">
        <f t="shared" si="86"/>
        <v>90.360000000000014</v>
      </c>
      <c r="M1163" s="112"/>
    </row>
    <row r="1164" spans="2:13" s="52" customFormat="1" ht="19.5" customHeight="1">
      <c r="B1164" s="108">
        <v>10</v>
      </c>
      <c r="C1164" s="139" t="s">
        <v>56</v>
      </c>
      <c r="D1164" s="108" t="s">
        <v>3320</v>
      </c>
      <c r="E1164" s="108" t="s">
        <v>3501</v>
      </c>
      <c r="F1164" s="108" t="s">
        <v>3656</v>
      </c>
      <c r="G1164" s="108">
        <v>33</v>
      </c>
      <c r="H1164" s="71">
        <f>7+1</f>
        <v>8</v>
      </c>
      <c r="I1164" s="109">
        <f t="shared" si="83"/>
        <v>158.07</v>
      </c>
      <c r="J1164" s="110">
        <f t="shared" si="84"/>
        <v>38.32</v>
      </c>
      <c r="K1164" s="111">
        <f t="shared" si="85"/>
        <v>25</v>
      </c>
      <c r="L1164" s="110">
        <f t="shared" si="86"/>
        <v>119.75</v>
      </c>
      <c r="M1164" s="112"/>
    </row>
    <row r="1165" spans="2:13" s="52" customFormat="1" ht="19.5" customHeight="1">
      <c r="B1165" s="108">
        <v>10</v>
      </c>
      <c r="C1165" s="139" t="s">
        <v>56</v>
      </c>
      <c r="D1165" s="108" t="s">
        <v>3321</v>
      </c>
      <c r="E1165" s="108" t="s">
        <v>3502</v>
      </c>
      <c r="F1165" s="108" t="s">
        <v>3655</v>
      </c>
      <c r="G1165" s="108">
        <v>124</v>
      </c>
      <c r="H1165" s="71">
        <f>21+3+60</f>
        <v>84</v>
      </c>
      <c r="I1165" s="109">
        <f t="shared" si="83"/>
        <v>622.4799999999999</v>
      </c>
      <c r="J1165" s="110">
        <f t="shared" si="84"/>
        <v>421.67999999999995</v>
      </c>
      <c r="K1165" s="111">
        <f t="shared" si="85"/>
        <v>40</v>
      </c>
      <c r="L1165" s="110">
        <f t="shared" si="86"/>
        <v>200.79999999999995</v>
      </c>
      <c r="M1165" s="112"/>
    </row>
    <row r="1166" spans="2:13" s="52" customFormat="1" ht="19.5" hidden="1" customHeight="1">
      <c r="B1166" s="108">
        <v>10</v>
      </c>
      <c r="C1166" s="139" t="s">
        <v>56</v>
      </c>
      <c r="D1166" s="108" t="s">
        <v>3322</v>
      </c>
      <c r="E1166" s="108" t="s">
        <v>3503</v>
      </c>
      <c r="F1166" s="108" t="s">
        <v>3654</v>
      </c>
      <c r="G1166" s="108">
        <v>101</v>
      </c>
      <c r="H1166" s="71">
        <v>233</v>
      </c>
      <c r="I1166" s="109">
        <f t="shared" si="83"/>
        <v>539.34</v>
      </c>
      <c r="J1166" s="110">
        <f t="shared" si="84"/>
        <v>1244.22</v>
      </c>
      <c r="K1166" s="111">
        <f t="shared" si="85"/>
        <v>-132</v>
      </c>
      <c r="L1166" s="110">
        <f t="shared" si="86"/>
        <v>-704.88</v>
      </c>
      <c r="M1166" s="112"/>
    </row>
    <row r="1167" spans="2:13" s="52" customFormat="1" ht="19.5" customHeight="1">
      <c r="B1167" s="108">
        <v>10</v>
      </c>
      <c r="C1167" s="139" t="s">
        <v>56</v>
      </c>
      <c r="D1167" s="108" t="s">
        <v>3323</v>
      </c>
      <c r="E1167" s="108" t="s">
        <v>3504</v>
      </c>
      <c r="F1167" s="108" t="s">
        <v>752</v>
      </c>
      <c r="G1167" s="108">
        <v>75</v>
      </c>
      <c r="H1167" s="71">
        <v>74</v>
      </c>
      <c r="I1167" s="109">
        <f t="shared" si="83"/>
        <v>951.75</v>
      </c>
      <c r="J1167" s="110">
        <f t="shared" si="84"/>
        <v>939.06</v>
      </c>
      <c r="K1167" s="111">
        <f t="shared" si="85"/>
        <v>1</v>
      </c>
      <c r="L1167" s="110">
        <f t="shared" si="86"/>
        <v>12.690000000000055</v>
      </c>
      <c r="M1167" s="112"/>
    </row>
    <row r="1168" spans="2:13" s="52" customFormat="1" ht="19.5" hidden="1" customHeight="1">
      <c r="B1168" s="108">
        <v>10</v>
      </c>
      <c r="C1168" s="139" t="s">
        <v>56</v>
      </c>
      <c r="D1168" s="108" t="s">
        <v>3324</v>
      </c>
      <c r="E1168" s="108" t="s">
        <v>3505</v>
      </c>
      <c r="F1168" s="108" t="s">
        <v>3657</v>
      </c>
      <c r="G1168" s="108">
        <v>2</v>
      </c>
      <c r="H1168" s="71">
        <v>2</v>
      </c>
      <c r="I1168" s="109">
        <f t="shared" si="83"/>
        <v>88.72</v>
      </c>
      <c r="J1168" s="110">
        <f t="shared" si="84"/>
        <v>88.72</v>
      </c>
      <c r="K1168" s="111">
        <f t="shared" si="85"/>
        <v>0</v>
      </c>
      <c r="L1168" s="110">
        <f t="shared" si="86"/>
        <v>0</v>
      </c>
      <c r="M1168" s="112"/>
    </row>
    <row r="1169" spans="2:13" s="52" customFormat="1" ht="19.5" customHeight="1">
      <c r="B1169" s="108">
        <v>10</v>
      </c>
      <c r="C1169" s="139" t="s">
        <v>56</v>
      </c>
      <c r="D1169" s="108" t="s">
        <v>3325</v>
      </c>
      <c r="E1169" s="108" t="s">
        <v>3506</v>
      </c>
      <c r="F1169" s="108" t="s">
        <v>3658</v>
      </c>
      <c r="G1169" s="108">
        <v>86</v>
      </c>
      <c r="H1169" s="71">
        <v>74</v>
      </c>
      <c r="I1169" s="109">
        <f t="shared" si="83"/>
        <v>3139.8599999999997</v>
      </c>
      <c r="J1169" s="110">
        <f t="shared" si="84"/>
        <v>2701.74</v>
      </c>
      <c r="K1169" s="111">
        <f t="shared" si="85"/>
        <v>12</v>
      </c>
      <c r="L1169" s="110">
        <f t="shared" si="86"/>
        <v>438.11999999999989</v>
      </c>
      <c r="M1169" s="112"/>
    </row>
    <row r="1170" spans="2:13" s="52" customFormat="1" ht="19.5" customHeight="1">
      <c r="B1170" s="108">
        <v>10</v>
      </c>
      <c r="C1170" s="139" t="s">
        <v>56</v>
      </c>
      <c r="D1170" s="108" t="s">
        <v>3326</v>
      </c>
      <c r="E1170" s="108" t="s">
        <v>3507</v>
      </c>
      <c r="F1170" s="108" t="s">
        <v>3659</v>
      </c>
      <c r="G1170" s="108">
        <v>85</v>
      </c>
      <c r="H1170" s="71">
        <v>80</v>
      </c>
      <c r="I1170" s="109">
        <f t="shared" si="83"/>
        <v>1671.1</v>
      </c>
      <c r="J1170" s="110">
        <f t="shared" si="84"/>
        <v>1572.8</v>
      </c>
      <c r="K1170" s="111">
        <f t="shared" si="85"/>
        <v>5</v>
      </c>
      <c r="L1170" s="110">
        <f t="shared" si="86"/>
        <v>98.299999999999955</v>
      </c>
      <c r="M1170" s="112"/>
    </row>
    <row r="1171" spans="2:13" s="52" customFormat="1" ht="19.5" hidden="1" customHeight="1">
      <c r="B1171" s="108">
        <v>10</v>
      </c>
      <c r="C1171" s="139" t="s">
        <v>56</v>
      </c>
      <c r="D1171" s="108" t="s">
        <v>3327</v>
      </c>
      <c r="E1171" s="108" t="s">
        <v>3508</v>
      </c>
      <c r="F1171" s="108" t="s">
        <v>3660</v>
      </c>
      <c r="G1171" s="108">
        <v>3</v>
      </c>
      <c r="H1171" s="71">
        <v>3</v>
      </c>
      <c r="I1171" s="109">
        <f t="shared" si="83"/>
        <v>144</v>
      </c>
      <c r="J1171" s="110">
        <f t="shared" si="84"/>
        <v>144</v>
      </c>
      <c r="K1171" s="111">
        <f t="shared" si="85"/>
        <v>0</v>
      </c>
      <c r="L1171" s="110">
        <f t="shared" si="86"/>
        <v>0</v>
      </c>
      <c r="M1171" s="112"/>
    </row>
    <row r="1172" spans="2:13" s="52" customFormat="1" ht="19.5" customHeight="1">
      <c r="B1172" s="108">
        <v>10</v>
      </c>
      <c r="C1172" s="139" t="s">
        <v>56</v>
      </c>
      <c r="D1172" s="108" t="s">
        <v>3328</v>
      </c>
      <c r="E1172" s="108" t="s">
        <v>3509</v>
      </c>
      <c r="F1172" s="108" t="s">
        <v>1822</v>
      </c>
      <c r="G1172" s="108">
        <v>4</v>
      </c>
      <c r="H1172" s="71"/>
      <c r="I1172" s="109">
        <f t="shared" si="83"/>
        <v>60</v>
      </c>
      <c r="J1172" s="110">
        <f t="shared" si="84"/>
        <v>0</v>
      </c>
      <c r="K1172" s="111">
        <f t="shared" si="85"/>
        <v>4</v>
      </c>
      <c r="L1172" s="110">
        <f t="shared" si="86"/>
        <v>60</v>
      </c>
      <c r="M1172" s="112"/>
    </row>
    <row r="1173" spans="2:13" s="52" customFormat="1" ht="19.5" hidden="1" customHeight="1">
      <c r="B1173" s="108">
        <v>10</v>
      </c>
      <c r="C1173" s="139" t="s">
        <v>56</v>
      </c>
      <c r="D1173" s="108" t="s">
        <v>3329</v>
      </c>
      <c r="E1173" s="108" t="s">
        <v>3510</v>
      </c>
      <c r="F1173" s="108" t="s">
        <v>3661</v>
      </c>
      <c r="G1173" s="108">
        <v>164</v>
      </c>
      <c r="H1173" s="71">
        <f>162+5</f>
        <v>167</v>
      </c>
      <c r="I1173" s="109">
        <f t="shared" si="83"/>
        <v>610.08000000000004</v>
      </c>
      <c r="J1173" s="110">
        <f t="shared" si="84"/>
        <v>621.24</v>
      </c>
      <c r="K1173" s="111">
        <f t="shared" si="85"/>
        <v>-3</v>
      </c>
      <c r="L1173" s="110">
        <f t="shared" si="86"/>
        <v>-11.159999999999968</v>
      </c>
      <c r="M1173" s="112"/>
    </row>
    <row r="1174" spans="2:13" s="52" customFormat="1" ht="19.5" hidden="1" customHeight="1">
      <c r="B1174" s="108">
        <v>10</v>
      </c>
      <c r="C1174" s="139" t="s">
        <v>56</v>
      </c>
      <c r="D1174" s="108" t="s">
        <v>3330</v>
      </c>
      <c r="E1174" s="108" t="s">
        <v>3511</v>
      </c>
      <c r="F1174" s="108" t="s">
        <v>3661</v>
      </c>
      <c r="G1174" s="108">
        <v>160</v>
      </c>
      <c r="H1174" s="71">
        <f>131+396</f>
        <v>527</v>
      </c>
      <c r="I1174" s="109">
        <f t="shared" si="83"/>
        <v>595.20000000000005</v>
      </c>
      <c r="J1174" s="110">
        <f t="shared" si="84"/>
        <v>1960.44</v>
      </c>
      <c r="K1174" s="111">
        <f t="shared" si="85"/>
        <v>-367</v>
      </c>
      <c r="L1174" s="110">
        <f t="shared" si="86"/>
        <v>-1365.24</v>
      </c>
      <c r="M1174" s="112"/>
    </row>
    <row r="1175" spans="2:13" s="52" customFormat="1" ht="19.5" hidden="1" customHeight="1">
      <c r="B1175" s="108">
        <v>10</v>
      </c>
      <c r="C1175" s="139" t="s">
        <v>56</v>
      </c>
      <c r="D1175" s="108" t="s">
        <v>4702</v>
      </c>
      <c r="E1175" s="108" t="s">
        <v>4692</v>
      </c>
      <c r="F1175" s="108" t="s">
        <v>4712</v>
      </c>
      <c r="G1175" s="108">
        <v>2</v>
      </c>
      <c r="H1175" s="71">
        <v>2</v>
      </c>
      <c r="I1175" s="109">
        <f t="shared" si="83"/>
        <v>281.33999999999997</v>
      </c>
      <c r="J1175" s="110">
        <f t="shared" si="84"/>
        <v>281.33999999999997</v>
      </c>
      <c r="K1175" s="111">
        <f t="shared" si="85"/>
        <v>0</v>
      </c>
      <c r="L1175" s="110">
        <f t="shared" si="86"/>
        <v>0</v>
      </c>
      <c r="M1175" s="112"/>
    </row>
    <row r="1176" spans="2:13" s="52" customFormat="1" ht="19.5" hidden="1" customHeight="1">
      <c r="B1176" s="108">
        <v>10</v>
      </c>
      <c r="C1176" s="139" t="s">
        <v>56</v>
      </c>
      <c r="D1176" s="108" t="s">
        <v>4703</v>
      </c>
      <c r="E1176" s="108" t="s">
        <v>4693</v>
      </c>
      <c r="F1176" s="108" t="s">
        <v>4712</v>
      </c>
      <c r="G1176" s="108">
        <v>2</v>
      </c>
      <c r="H1176" s="71">
        <v>2</v>
      </c>
      <c r="I1176" s="109">
        <f t="shared" si="83"/>
        <v>281.33999999999997</v>
      </c>
      <c r="J1176" s="110">
        <f t="shared" si="84"/>
        <v>281.33999999999997</v>
      </c>
      <c r="K1176" s="111">
        <f t="shared" si="85"/>
        <v>0</v>
      </c>
      <c r="L1176" s="110">
        <f t="shared" si="86"/>
        <v>0</v>
      </c>
      <c r="M1176" s="112"/>
    </row>
    <row r="1177" spans="2:13" s="52" customFormat="1" ht="19.5" hidden="1" customHeight="1">
      <c r="B1177" s="108">
        <v>10</v>
      </c>
      <c r="C1177" s="139" t="s">
        <v>56</v>
      </c>
      <c r="D1177" s="108" t="s">
        <v>4704</v>
      </c>
      <c r="E1177" s="108" t="s">
        <v>4694</v>
      </c>
      <c r="F1177" s="108" t="s">
        <v>4712</v>
      </c>
      <c r="G1177" s="108">
        <v>2</v>
      </c>
      <c r="H1177" s="71">
        <v>2</v>
      </c>
      <c r="I1177" s="109">
        <f t="shared" si="83"/>
        <v>281.33999999999997</v>
      </c>
      <c r="J1177" s="110">
        <f t="shared" si="84"/>
        <v>281.33999999999997</v>
      </c>
      <c r="K1177" s="111">
        <f t="shared" si="85"/>
        <v>0</v>
      </c>
      <c r="L1177" s="110">
        <f t="shared" si="86"/>
        <v>0</v>
      </c>
      <c r="M1177" s="112"/>
    </row>
    <row r="1178" spans="2:13" s="52" customFormat="1" ht="19.5" customHeight="1">
      <c r="B1178" s="108">
        <v>10</v>
      </c>
      <c r="C1178" s="139" t="s">
        <v>56</v>
      </c>
      <c r="D1178" s="108" t="s">
        <v>3331</v>
      </c>
      <c r="E1178" s="108" t="s">
        <v>3512</v>
      </c>
      <c r="F1178" s="108" t="s">
        <v>3219</v>
      </c>
      <c r="G1178" s="108">
        <v>397</v>
      </c>
      <c r="H1178" s="71">
        <f>4+12</f>
        <v>16</v>
      </c>
      <c r="I1178" s="109">
        <f t="shared" si="83"/>
        <v>1865.9</v>
      </c>
      <c r="J1178" s="110">
        <f t="shared" si="84"/>
        <v>75.2</v>
      </c>
      <c r="K1178" s="111">
        <f t="shared" si="85"/>
        <v>381</v>
      </c>
      <c r="L1178" s="110">
        <f t="shared" si="86"/>
        <v>1790.7</v>
      </c>
      <c r="M1178" s="112"/>
    </row>
    <row r="1179" spans="2:13" s="52" customFormat="1" ht="19.5" hidden="1" customHeight="1">
      <c r="B1179" s="108">
        <v>10</v>
      </c>
      <c r="C1179" s="139" t="s">
        <v>56</v>
      </c>
      <c r="D1179" s="108" t="s">
        <v>3332</v>
      </c>
      <c r="E1179" s="108" t="s">
        <v>3513</v>
      </c>
      <c r="F1179" s="108" t="s">
        <v>3219</v>
      </c>
      <c r="G1179" s="108">
        <v>383</v>
      </c>
      <c r="H1179" s="71">
        <f>354+29</f>
        <v>383</v>
      </c>
      <c r="I1179" s="109">
        <f t="shared" si="83"/>
        <v>1800.1000000000001</v>
      </c>
      <c r="J1179" s="110">
        <f t="shared" si="84"/>
        <v>1800.1000000000001</v>
      </c>
      <c r="K1179" s="111">
        <f t="shared" si="85"/>
        <v>0</v>
      </c>
      <c r="L1179" s="110">
        <f t="shared" si="86"/>
        <v>0</v>
      </c>
      <c r="M1179" s="112"/>
    </row>
    <row r="1180" spans="2:13" s="52" customFormat="1" ht="19.5" hidden="1" customHeight="1">
      <c r="B1180" s="108">
        <v>10</v>
      </c>
      <c r="C1180" s="139" t="s">
        <v>56</v>
      </c>
      <c r="D1180" s="108" t="s">
        <v>3333</v>
      </c>
      <c r="E1180" s="108" t="s">
        <v>3514</v>
      </c>
      <c r="F1180" s="108" t="s">
        <v>3219</v>
      </c>
      <c r="G1180" s="108">
        <v>410</v>
      </c>
      <c r="H1180" s="71">
        <f>2+408</f>
        <v>410</v>
      </c>
      <c r="I1180" s="109">
        <f t="shared" si="83"/>
        <v>1927</v>
      </c>
      <c r="J1180" s="110">
        <f t="shared" si="84"/>
        <v>1927</v>
      </c>
      <c r="K1180" s="111">
        <f t="shared" si="85"/>
        <v>0</v>
      </c>
      <c r="L1180" s="110">
        <f t="shared" si="86"/>
        <v>0</v>
      </c>
      <c r="M1180" s="112"/>
    </row>
    <row r="1181" spans="2:13" s="52" customFormat="1" ht="19.5" customHeight="1">
      <c r="B1181" s="108">
        <v>10</v>
      </c>
      <c r="C1181" s="139" t="s">
        <v>56</v>
      </c>
      <c r="D1181" s="108" t="s">
        <v>3334</v>
      </c>
      <c r="E1181" s="108" t="s">
        <v>3515</v>
      </c>
      <c r="F1181" s="108" t="s">
        <v>3662</v>
      </c>
      <c r="G1181" s="108">
        <v>74</v>
      </c>
      <c r="H1181" s="71"/>
      <c r="I1181" s="109">
        <f t="shared" si="83"/>
        <v>552.04</v>
      </c>
      <c r="J1181" s="110">
        <f t="shared" si="84"/>
        <v>0</v>
      </c>
      <c r="K1181" s="111">
        <f t="shared" si="85"/>
        <v>74</v>
      </c>
      <c r="L1181" s="110">
        <f t="shared" si="86"/>
        <v>552.04</v>
      </c>
      <c r="M1181" s="112"/>
    </row>
    <row r="1182" spans="2:13" s="52" customFormat="1" ht="19.5" hidden="1" customHeight="1">
      <c r="B1182" s="108">
        <v>10</v>
      </c>
      <c r="C1182" s="139" t="s">
        <v>56</v>
      </c>
      <c r="D1182" s="108" t="s">
        <v>3335</v>
      </c>
      <c r="E1182" s="108" t="s">
        <v>3516</v>
      </c>
      <c r="F1182" s="108" t="s">
        <v>3102</v>
      </c>
      <c r="G1182" s="108">
        <v>201</v>
      </c>
      <c r="H1182" s="71">
        <f>38+348</f>
        <v>386</v>
      </c>
      <c r="I1182" s="109">
        <f t="shared" si="83"/>
        <v>1230.1200000000001</v>
      </c>
      <c r="J1182" s="110">
        <f t="shared" si="84"/>
        <v>2362.3200000000002</v>
      </c>
      <c r="K1182" s="111">
        <f t="shared" si="85"/>
        <v>-185</v>
      </c>
      <c r="L1182" s="110">
        <f t="shared" si="86"/>
        <v>-1132.2</v>
      </c>
      <c r="M1182" s="112"/>
    </row>
    <row r="1183" spans="2:13" s="52" customFormat="1" ht="19.5" hidden="1" customHeight="1">
      <c r="B1183" s="108">
        <v>10</v>
      </c>
      <c r="C1183" s="139" t="s">
        <v>56</v>
      </c>
      <c r="D1183" s="108" t="s">
        <v>3336</v>
      </c>
      <c r="E1183" s="108" t="s">
        <v>3517</v>
      </c>
      <c r="F1183" s="108" t="s">
        <v>3663</v>
      </c>
      <c r="G1183" s="108">
        <v>197</v>
      </c>
      <c r="H1183" s="71">
        <f>6+132+156</f>
        <v>294</v>
      </c>
      <c r="I1183" s="109">
        <f t="shared" si="83"/>
        <v>2732.39</v>
      </c>
      <c r="J1183" s="110">
        <f t="shared" si="84"/>
        <v>4077.7799999999997</v>
      </c>
      <c r="K1183" s="111">
        <f t="shared" si="85"/>
        <v>-97</v>
      </c>
      <c r="L1183" s="110">
        <f t="shared" si="86"/>
        <v>-1345.3899999999999</v>
      </c>
      <c r="M1183" s="112"/>
    </row>
    <row r="1184" spans="2:13" s="52" customFormat="1" ht="19.5" hidden="1" customHeight="1">
      <c r="B1184" s="108">
        <v>10</v>
      </c>
      <c r="C1184" s="139" t="s">
        <v>56</v>
      </c>
      <c r="D1184" s="108" t="s">
        <v>4705</v>
      </c>
      <c r="E1184" s="108" t="s">
        <v>4695</v>
      </c>
      <c r="F1184" s="108" t="s">
        <v>3102</v>
      </c>
      <c r="G1184" s="108">
        <v>12</v>
      </c>
      <c r="H1184" s="71">
        <v>12</v>
      </c>
      <c r="I1184" s="109">
        <f t="shared" si="83"/>
        <v>73.44</v>
      </c>
      <c r="J1184" s="110">
        <f t="shared" si="84"/>
        <v>73.44</v>
      </c>
      <c r="K1184" s="111">
        <f t="shared" si="85"/>
        <v>0</v>
      </c>
      <c r="L1184" s="110">
        <f t="shared" si="86"/>
        <v>0</v>
      </c>
      <c r="M1184" s="112"/>
    </row>
    <row r="1185" spans="2:13" s="52" customFormat="1" ht="19.5" customHeight="1">
      <c r="B1185" s="108">
        <v>10</v>
      </c>
      <c r="C1185" s="139" t="s">
        <v>56</v>
      </c>
      <c r="D1185" s="108" t="s">
        <v>3337</v>
      </c>
      <c r="E1185" s="108" t="s">
        <v>3518</v>
      </c>
      <c r="F1185" s="108" t="s">
        <v>3102</v>
      </c>
      <c r="G1185" s="108">
        <v>463</v>
      </c>
      <c r="H1185" s="71">
        <f>344+3+1</f>
        <v>348</v>
      </c>
      <c r="I1185" s="109">
        <f t="shared" si="83"/>
        <v>2833.56</v>
      </c>
      <c r="J1185" s="110">
        <f t="shared" si="84"/>
        <v>2129.7600000000002</v>
      </c>
      <c r="K1185" s="111">
        <f t="shared" si="85"/>
        <v>115</v>
      </c>
      <c r="L1185" s="110">
        <f t="shared" si="86"/>
        <v>703.79999999999973</v>
      </c>
      <c r="M1185" s="112"/>
    </row>
    <row r="1186" spans="2:13" s="52" customFormat="1" ht="19.5" hidden="1" customHeight="1">
      <c r="B1186" s="108">
        <v>10</v>
      </c>
      <c r="C1186" s="139" t="s">
        <v>56</v>
      </c>
      <c r="D1186" s="108" t="s">
        <v>3338</v>
      </c>
      <c r="E1186" s="108" t="s">
        <v>3519</v>
      </c>
      <c r="F1186" s="108" t="s">
        <v>3664</v>
      </c>
      <c r="G1186" s="108">
        <v>8</v>
      </c>
      <c r="H1186" s="71">
        <v>8</v>
      </c>
      <c r="I1186" s="109">
        <f t="shared" si="83"/>
        <v>1245.1199999999999</v>
      </c>
      <c r="J1186" s="110">
        <f t="shared" si="84"/>
        <v>1245.1199999999999</v>
      </c>
      <c r="K1186" s="111">
        <f t="shared" si="85"/>
        <v>0</v>
      </c>
      <c r="L1186" s="110">
        <f t="shared" si="86"/>
        <v>0</v>
      </c>
      <c r="M1186" s="112"/>
    </row>
    <row r="1187" spans="2:13" s="52" customFormat="1" ht="19.5" customHeight="1">
      <c r="B1187" s="108">
        <v>10</v>
      </c>
      <c r="C1187" s="139" t="s">
        <v>56</v>
      </c>
      <c r="D1187" s="108" t="s">
        <v>3339</v>
      </c>
      <c r="E1187" s="108" t="s">
        <v>3520</v>
      </c>
      <c r="F1187" s="108" t="s">
        <v>3665</v>
      </c>
      <c r="G1187" s="108">
        <v>8</v>
      </c>
      <c r="H1187" s="71"/>
      <c r="I1187" s="109">
        <f t="shared" si="83"/>
        <v>1284.08</v>
      </c>
      <c r="J1187" s="110">
        <f t="shared" si="84"/>
        <v>0</v>
      </c>
      <c r="K1187" s="111">
        <f t="shared" si="85"/>
        <v>8</v>
      </c>
      <c r="L1187" s="110">
        <f t="shared" si="86"/>
        <v>1284.08</v>
      </c>
      <c r="M1187" s="112"/>
    </row>
    <row r="1188" spans="2:13" s="52" customFormat="1" ht="19.5" customHeight="1">
      <c r="B1188" s="108">
        <v>10</v>
      </c>
      <c r="C1188" s="139" t="s">
        <v>56</v>
      </c>
      <c r="D1188" s="108" t="s">
        <v>3340</v>
      </c>
      <c r="E1188" s="108" t="s">
        <v>3521</v>
      </c>
      <c r="F1188" s="108" t="s">
        <v>3666</v>
      </c>
      <c r="G1188" s="108">
        <v>476</v>
      </c>
      <c r="H1188" s="71">
        <v>468</v>
      </c>
      <c r="I1188" s="109">
        <f t="shared" ref="I1188:I1249" si="87">F1188*G1188</f>
        <v>7259</v>
      </c>
      <c r="J1188" s="110">
        <f t="shared" si="84"/>
        <v>7137</v>
      </c>
      <c r="K1188" s="111">
        <f t="shared" si="85"/>
        <v>8</v>
      </c>
      <c r="L1188" s="110">
        <f t="shared" si="86"/>
        <v>122</v>
      </c>
      <c r="M1188" s="112"/>
    </row>
    <row r="1189" spans="2:13" s="52" customFormat="1" ht="19.5" customHeight="1">
      <c r="B1189" s="108">
        <v>10</v>
      </c>
      <c r="C1189" s="139" t="s">
        <v>56</v>
      </c>
      <c r="D1189" s="108" t="s">
        <v>3340</v>
      </c>
      <c r="E1189" s="108" t="s">
        <v>3521</v>
      </c>
      <c r="F1189" s="108" t="s">
        <v>3663</v>
      </c>
      <c r="G1189" s="108">
        <v>12</v>
      </c>
      <c r="H1189" s="71"/>
      <c r="I1189" s="109">
        <f t="shared" si="87"/>
        <v>166.44</v>
      </c>
      <c r="J1189" s="110">
        <f t="shared" si="84"/>
        <v>0</v>
      </c>
      <c r="K1189" s="111">
        <f t="shared" si="85"/>
        <v>12</v>
      </c>
      <c r="L1189" s="110">
        <f t="shared" si="86"/>
        <v>166.44</v>
      </c>
      <c r="M1189" s="112"/>
    </row>
    <row r="1190" spans="2:13" s="52" customFormat="1" ht="19.5" customHeight="1">
      <c r="B1190" s="108">
        <v>10</v>
      </c>
      <c r="C1190" s="139" t="s">
        <v>56</v>
      </c>
      <c r="D1190" s="108" t="s">
        <v>3341</v>
      </c>
      <c r="E1190" s="108" t="s">
        <v>3522</v>
      </c>
      <c r="F1190" s="108" t="s">
        <v>3102</v>
      </c>
      <c r="G1190" s="108">
        <v>345</v>
      </c>
      <c r="H1190" s="71">
        <v>256</v>
      </c>
      <c r="I1190" s="109">
        <f t="shared" si="87"/>
        <v>2111.4</v>
      </c>
      <c r="J1190" s="110">
        <f t="shared" si="84"/>
        <v>1566.72</v>
      </c>
      <c r="K1190" s="111">
        <f t="shared" si="85"/>
        <v>89</v>
      </c>
      <c r="L1190" s="110">
        <f t="shared" si="86"/>
        <v>544.68000000000006</v>
      </c>
      <c r="M1190" s="112"/>
    </row>
    <row r="1191" spans="2:13" s="52" customFormat="1" ht="19.5" customHeight="1">
      <c r="B1191" s="108">
        <v>10</v>
      </c>
      <c r="C1191" s="139" t="s">
        <v>56</v>
      </c>
      <c r="D1191" s="108" t="s">
        <v>3342</v>
      </c>
      <c r="E1191" s="108" t="s">
        <v>3523</v>
      </c>
      <c r="F1191" s="108" t="s">
        <v>1233</v>
      </c>
      <c r="G1191" s="108">
        <v>24</v>
      </c>
      <c r="H1191" s="71">
        <v>1</v>
      </c>
      <c r="I1191" s="109">
        <f t="shared" si="87"/>
        <v>141.12</v>
      </c>
      <c r="J1191" s="110">
        <f t="shared" si="84"/>
        <v>5.88</v>
      </c>
      <c r="K1191" s="111">
        <f t="shared" si="85"/>
        <v>23</v>
      </c>
      <c r="L1191" s="110">
        <f t="shared" si="86"/>
        <v>135.24</v>
      </c>
      <c r="M1191" s="112"/>
    </row>
    <row r="1192" spans="2:13" s="52" customFormat="1" ht="19.5" hidden="1" customHeight="1">
      <c r="B1192" s="108">
        <v>10</v>
      </c>
      <c r="C1192" s="139" t="s">
        <v>56</v>
      </c>
      <c r="D1192" s="108" t="s">
        <v>3343</v>
      </c>
      <c r="E1192" s="108" t="s">
        <v>3524</v>
      </c>
      <c r="F1192" s="108" t="s">
        <v>3667</v>
      </c>
      <c r="G1192" s="108">
        <v>5</v>
      </c>
      <c r="H1192" s="71">
        <v>6</v>
      </c>
      <c r="I1192" s="109">
        <f t="shared" si="87"/>
        <v>764.85</v>
      </c>
      <c r="J1192" s="110">
        <f t="shared" si="84"/>
        <v>917.81999999999994</v>
      </c>
      <c r="K1192" s="111">
        <f t="shared" si="85"/>
        <v>-1</v>
      </c>
      <c r="L1192" s="110">
        <f t="shared" si="86"/>
        <v>-152.96999999999991</v>
      </c>
      <c r="M1192" s="112"/>
    </row>
    <row r="1193" spans="2:13" s="52" customFormat="1" ht="19.5" customHeight="1">
      <c r="B1193" s="108">
        <v>10</v>
      </c>
      <c r="C1193" s="139" t="s">
        <v>56</v>
      </c>
      <c r="D1193" s="108" t="s">
        <v>3344</v>
      </c>
      <c r="E1193" s="108" t="s">
        <v>3525</v>
      </c>
      <c r="F1193" s="108" t="s">
        <v>3102</v>
      </c>
      <c r="G1193" s="108">
        <v>112</v>
      </c>
      <c r="H1193" s="71">
        <f>4+5</f>
        <v>9</v>
      </c>
      <c r="I1193" s="109">
        <f t="shared" si="87"/>
        <v>685.44</v>
      </c>
      <c r="J1193" s="110">
        <f t="shared" si="84"/>
        <v>55.08</v>
      </c>
      <c r="K1193" s="111">
        <f t="shared" si="85"/>
        <v>103</v>
      </c>
      <c r="L1193" s="110">
        <f t="shared" si="86"/>
        <v>630.36</v>
      </c>
      <c r="M1193" s="112"/>
    </row>
    <row r="1194" spans="2:13" s="52" customFormat="1" ht="19.5" customHeight="1">
      <c r="B1194" s="108">
        <v>10</v>
      </c>
      <c r="C1194" s="139" t="s">
        <v>56</v>
      </c>
      <c r="D1194" s="108" t="s">
        <v>3345</v>
      </c>
      <c r="E1194" s="108" t="s">
        <v>3526</v>
      </c>
      <c r="F1194" s="108" t="s">
        <v>3665</v>
      </c>
      <c r="G1194" s="108">
        <v>25</v>
      </c>
      <c r="H1194" s="71">
        <f>9+8</f>
        <v>17</v>
      </c>
      <c r="I1194" s="109">
        <f t="shared" si="87"/>
        <v>4012.75</v>
      </c>
      <c r="J1194" s="110">
        <f t="shared" si="84"/>
        <v>2728.67</v>
      </c>
      <c r="K1194" s="111">
        <f t="shared" si="85"/>
        <v>8</v>
      </c>
      <c r="L1194" s="110">
        <f t="shared" si="86"/>
        <v>1284.08</v>
      </c>
      <c r="M1194" s="112"/>
    </row>
    <row r="1195" spans="2:13" s="52" customFormat="1" ht="19.5" customHeight="1">
      <c r="B1195" s="108">
        <v>10</v>
      </c>
      <c r="C1195" s="139" t="s">
        <v>56</v>
      </c>
      <c r="D1195" s="108" t="s">
        <v>3346</v>
      </c>
      <c r="E1195" s="108" t="s">
        <v>3527</v>
      </c>
      <c r="F1195" s="108" t="s">
        <v>3668</v>
      </c>
      <c r="G1195" s="108">
        <v>228</v>
      </c>
      <c r="H1195" s="71"/>
      <c r="I1195" s="109">
        <f t="shared" si="87"/>
        <v>3164.6400000000003</v>
      </c>
      <c r="J1195" s="110">
        <f t="shared" si="84"/>
        <v>0</v>
      </c>
      <c r="K1195" s="111">
        <f t="shared" si="85"/>
        <v>228</v>
      </c>
      <c r="L1195" s="110">
        <f t="shared" si="86"/>
        <v>3164.6400000000003</v>
      </c>
      <c r="M1195" s="112"/>
    </row>
    <row r="1196" spans="2:13" s="52" customFormat="1" ht="19.5" customHeight="1">
      <c r="B1196" s="108">
        <v>10</v>
      </c>
      <c r="C1196" s="139" t="s">
        <v>56</v>
      </c>
      <c r="D1196" s="108" t="s">
        <v>3347</v>
      </c>
      <c r="E1196" s="108" t="s">
        <v>3528</v>
      </c>
      <c r="F1196" s="108" t="s">
        <v>3669</v>
      </c>
      <c r="G1196" s="108">
        <v>4</v>
      </c>
      <c r="H1196" s="71"/>
      <c r="I1196" s="109">
        <f t="shared" si="87"/>
        <v>633</v>
      </c>
      <c r="J1196" s="110">
        <f t="shared" si="84"/>
        <v>0</v>
      </c>
      <c r="K1196" s="111">
        <f t="shared" si="85"/>
        <v>4</v>
      </c>
      <c r="L1196" s="110">
        <f t="shared" si="86"/>
        <v>633</v>
      </c>
      <c r="M1196" s="112"/>
    </row>
    <row r="1197" spans="2:13" s="52" customFormat="1" ht="19.5" hidden="1" customHeight="1">
      <c r="B1197" s="108">
        <v>10</v>
      </c>
      <c r="C1197" s="139" t="s">
        <v>56</v>
      </c>
      <c r="D1197" s="108" t="s">
        <v>3348</v>
      </c>
      <c r="E1197" s="108" t="s">
        <v>3529</v>
      </c>
      <c r="F1197" s="108" t="s">
        <v>3670</v>
      </c>
      <c r="G1197" s="108">
        <v>3</v>
      </c>
      <c r="H1197" s="71">
        <v>3</v>
      </c>
      <c r="I1197" s="109">
        <f t="shared" si="87"/>
        <v>727.5</v>
      </c>
      <c r="J1197" s="110">
        <f t="shared" si="84"/>
        <v>727.5</v>
      </c>
      <c r="K1197" s="111">
        <f t="shared" si="85"/>
        <v>0</v>
      </c>
      <c r="L1197" s="110">
        <f t="shared" si="86"/>
        <v>0</v>
      </c>
      <c r="M1197" s="112"/>
    </row>
    <row r="1198" spans="2:13" s="52" customFormat="1" ht="19.5" hidden="1" customHeight="1">
      <c r="B1198" s="108">
        <v>10</v>
      </c>
      <c r="C1198" s="139" t="s">
        <v>56</v>
      </c>
      <c r="D1198" s="108" t="s">
        <v>3349</v>
      </c>
      <c r="E1198" s="108" t="s">
        <v>3530</v>
      </c>
      <c r="F1198" s="108" t="s">
        <v>3671</v>
      </c>
      <c r="G1198" s="108">
        <v>1</v>
      </c>
      <c r="H1198" s="71">
        <v>1</v>
      </c>
      <c r="I1198" s="109">
        <f t="shared" si="87"/>
        <v>34.729999999999997</v>
      </c>
      <c r="J1198" s="110">
        <f t="shared" si="84"/>
        <v>34.729999999999997</v>
      </c>
      <c r="K1198" s="111">
        <f t="shared" si="85"/>
        <v>0</v>
      </c>
      <c r="L1198" s="110">
        <f t="shared" si="86"/>
        <v>0</v>
      </c>
      <c r="M1198" s="112"/>
    </row>
    <row r="1199" spans="2:13" s="52" customFormat="1" ht="19.5" hidden="1" customHeight="1">
      <c r="B1199" s="108">
        <v>10</v>
      </c>
      <c r="C1199" s="139" t="s">
        <v>56</v>
      </c>
      <c r="D1199" s="108" t="s">
        <v>3350</v>
      </c>
      <c r="E1199" s="108" t="s">
        <v>3531</v>
      </c>
      <c r="F1199" s="108" t="s">
        <v>3671</v>
      </c>
      <c r="G1199" s="108">
        <v>1</v>
      </c>
      <c r="H1199" s="71">
        <v>1</v>
      </c>
      <c r="I1199" s="109">
        <f t="shared" si="87"/>
        <v>34.729999999999997</v>
      </c>
      <c r="J1199" s="110">
        <f t="shared" si="84"/>
        <v>34.729999999999997</v>
      </c>
      <c r="K1199" s="111">
        <f t="shared" si="85"/>
        <v>0</v>
      </c>
      <c r="L1199" s="110">
        <f t="shared" si="86"/>
        <v>0</v>
      </c>
      <c r="M1199" s="112"/>
    </row>
    <row r="1200" spans="2:13" s="52" customFormat="1" ht="19.5" hidden="1" customHeight="1">
      <c r="B1200" s="108">
        <v>10</v>
      </c>
      <c r="C1200" s="139" t="s">
        <v>56</v>
      </c>
      <c r="D1200" s="108" t="s">
        <v>3351</v>
      </c>
      <c r="E1200" s="108" t="s">
        <v>3532</v>
      </c>
      <c r="F1200" s="108" t="s">
        <v>3672</v>
      </c>
      <c r="G1200" s="108">
        <v>8</v>
      </c>
      <c r="H1200" s="71">
        <v>8</v>
      </c>
      <c r="I1200" s="109">
        <f t="shared" si="87"/>
        <v>292.88</v>
      </c>
      <c r="J1200" s="110">
        <f t="shared" si="84"/>
        <v>292.88</v>
      </c>
      <c r="K1200" s="111">
        <f t="shared" si="85"/>
        <v>0</v>
      </c>
      <c r="L1200" s="110">
        <f t="shared" si="86"/>
        <v>0</v>
      </c>
      <c r="M1200" s="112"/>
    </row>
    <row r="1201" spans="2:13" s="52" customFormat="1" ht="19.5" hidden="1" customHeight="1">
      <c r="B1201" s="108">
        <v>10</v>
      </c>
      <c r="C1201" s="139" t="s">
        <v>56</v>
      </c>
      <c r="D1201" s="108" t="s">
        <v>3352</v>
      </c>
      <c r="E1201" s="108" t="s">
        <v>3533</v>
      </c>
      <c r="F1201" s="108" t="s">
        <v>3673</v>
      </c>
      <c r="G1201" s="108">
        <v>11</v>
      </c>
      <c r="H1201" s="71">
        <v>24</v>
      </c>
      <c r="I1201" s="109">
        <f t="shared" si="87"/>
        <v>3854.95</v>
      </c>
      <c r="J1201" s="110">
        <f t="shared" si="84"/>
        <v>8410.7999999999993</v>
      </c>
      <c r="K1201" s="111">
        <f t="shared" si="85"/>
        <v>-13</v>
      </c>
      <c r="L1201" s="110">
        <f t="shared" si="86"/>
        <v>-4555.8499999999995</v>
      </c>
      <c r="M1201" s="112"/>
    </row>
    <row r="1202" spans="2:13" s="52" customFormat="1" ht="19.5" hidden="1" customHeight="1">
      <c r="B1202" s="108">
        <v>10</v>
      </c>
      <c r="C1202" s="139" t="s">
        <v>56</v>
      </c>
      <c r="D1202" s="108" t="s">
        <v>3353</v>
      </c>
      <c r="E1202" s="108" t="s">
        <v>3534</v>
      </c>
      <c r="F1202" s="108" t="s">
        <v>3174</v>
      </c>
      <c r="G1202" s="108">
        <v>6</v>
      </c>
      <c r="H1202" s="71">
        <v>10</v>
      </c>
      <c r="I1202" s="109">
        <f t="shared" si="87"/>
        <v>1255.8000000000002</v>
      </c>
      <c r="J1202" s="110">
        <f t="shared" si="84"/>
        <v>2093</v>
      </c>
      <c r="K1202" s="111">
        <f t="shared" si="85"/>
        <v>-4</v>
      </c>
      <c r="L1202" s="110">
        <f t="shared" si="86"/>
        <v>-837.19999999999982</v>
      </c>
      <c r="M1202" s="112"/>
    </row>
    <row r="1203" spans="2:13" s="52" customFormat="1" ht="19.5" customHeight="1">
      <c r="B1203" s="108">
        <v>10</v>
      </c>
      <c r="C1203" s="139" t="s">
        <v>56</v>
      </c>
      <c r="D1203" s="108" t="s">
        <v>3354</v>
      </c>
      <c r="E1203" s="108" t="s">
        <v>3535</v>
      </c>
      <c r="F1203" s="108" t="s">
        <v>3674</v>
      </c>
      <c r="G1203" s="108">
        <v>1</v>
      </c>
      <c r="H1203" s="71"/>
      <c r="I1203" s="109">
        <f t="shared" si="87"/>
        <v>199.35</v>
      </c>
      <c r="J1203" s="110">
        <f t="shared" si="84"/>
        <v>0</v>
      </c>
      <c r="K1203" s="111">
        <f t="shared" si="85"/>
        <v>1</v>
      </c>
      <c r="L1203" s="110">
        <f t="shared" si="86"/>
        <v>199.35</v>
      </c>
      <c r="M1203" s="112"/>
    </row>
    <row r="1204" spans="2:13" s="52" customFormat="1" ht="19.5" customHeight="1">
      <c r="B1204" s="108">
        <v>10</v>
      </c>
      <c r="C1204" s="139" t="s">
        <v>56</v>
      </c>
      <c r="D1204" s="108" t="s">
        <v>3355</v>
      </c>
      <c r="E1204" s="108" t="s">
        <v>3536</v>
      </c>
      <c r="F1204" s="108" t="s">
        <v>3174</v>
      </c>
      <c r="G1204" s="108">
        <v>5</v>
      </c>
      <c r="H1204" s="71"/>
      <c r="I1204" s="109">
        <f t="shared" si="87"/>
        <v>1046.5</v>
      </c>
      <c r="J1204" s="110">
        <f t="shared" si="84"/>
        <v>0</v>
      </c>
      <c r="K1204" s="111">
        <f t="shared" si="85"/>
        <v>5</v>
      </c>
      <c r="L1204" s="110">
        <f t="shared" si="86"/>
        <v>1046.5</v>
      </c>
      <c r="M1204" s="112"/>
    </row>
    <row r="1205" spans="2:13" s="52" customFormat="1" ht="19.5" customHeight="1">
      <c r="B1205" s="108">
        <v>10</v>
      </c>
      <c r="C1205" s="139" t="s">
        <v>56</v>
      </c>
      <c r="D1205" s="108" t="s">
        <v>3356</v>
      </c>
      <c r="E1205" s="108" t="s">
        <v>3537</v>
      </c>
      <c r="F1205" s="108" t="s">
        <v>3174</v>
      </c>
      <c r="G1205" s="108">
        <v>10</v>
      </c>
      <c r="H1205" s="71">
        <v>9</v>
      </c>
      <c r="I1205" s="109">
        <f t="shared" si="87"/>
        <v>2093</v>
      </c>
      <c r="J1205" s="110">
        <f t="shared" si="84"/>
        <v>1883.7</v>
      </c>
      <c r="K1205" s="111">
        <f t="shared" si="85"/>
        <v>1</v>
      </c>
      <c r="L1205" s="110">
        <f t="shared" si="86"/>
        <v>209.29999999999995</v>
      </c>
      <c r="M1205" s="112"/>
    </row>
    <row r="1206" spans="2:13" s="52" customFormat="1" ht="19.5" hidden="1" customHeight="1">
      <c r="B1206" s="108">
        <v>10</v>
      </c>
      <c r="C1206" s="139" t="s">
        <v>56</v>
      </c>
      <c r="D1206" s="108" t="s">
        <v>3357</v>
      </c>
      <c r="E1206" s="108" t="s">
        <v>3538</v>
      </c>
      <c r="F1206" s="108" t="s">
        <v>3675</v>
      </c>
      <c r="G1206" s="108">
        <v>11</v>
      </c>
      <c r="H1206" s="71">
        <v>11</v>
      </c>
      <c r="I1206" s="109">
        <f t="shared" si="87"/>
        <v>969.09999999999991</v>
      </c>
      <c r="J1206" s="110">
        <f t="shared" si="84"/>
        <v>969.09999999999991</v>
      </c>
      <c r="K1206" s="111">
        <f t="shared" si="85"/>
        <v>0</v>
      </c>
      <c r="L1206" s="110">
        <f t="shared" si="86"/>
        <v>0</v>
      </c>
      <c r="M1206" s="112"/>
    </row>
    <row r="1207" spans="2:13" s="52" customFormat="1" ht="19.5" customHeight="1">
      <c r="B1207" s="108">
        <v>10</v>
      </c>
      <c r="C1207" s="139" t="s">
        <v>56</v>
      </c>
      <c r="D1207" s="108" t="s">
        <v>3358</v>
      </c>
      <c r="E1207" s="108" t="s">
        <v>3539</v>
      </c>
      <c r="F1207" s="108" t="s">
        <v>3135</v>
      </c>
      <c r="G1207" s="108">
        <v>5</v>
      </c>
      <c r="H1207" s="71"/>
      <c r="I1207" s="109">
        <f t="shared" si="87"/>
        <v>1335</v>
      </c>
      <c r="J1207" s="110">
        <f t="shared" si="84"/>
        <v>0</v>
      </c>
      <c r="K1207" s="111">
        <f t="shared" si="85"/>
        <v>5</v>
      </c>
      <c r="L1207" s="110">
        <f t="shared" si="86"/>
        <v>1335</v>
      </c>
      <c r="M1207" s="112"/>
    </row>
    <row r="1208" spans="2:13" s="52" customFormat="1" ht="19.5" customHeight="1">
      <c r="B1208" s="108">
        <v>10</v>
      </c>
      <c r="C1208" s="139" t="s">
        <v>56</v>
      </c>
      <c r="D1208" s="108" t="s">
        <v>3359</v>
      </c>
      <c r="E1208" s="108" t="s">
        <v>3540</v>
      </c>
      <c r="F1208" s="108" t="s">
        <v>3135</v>
      </c>
      <c r="G1208" s="108">
        <v>4</v>
      </c>
      <c r="H1208" s="71"/>
      <c r="I1208" s="109">
        <f t="shared" si="87"/>
        <v>1068</v>
      </c>
      <c r="J1208" s="110">
        <f t="shared" si="84"/>
        <v>0</v>
      </c>
      <c r="K1208" s="111">
        <f t="shared" si="85"/>
        <v>4</v>
      </c>
      <c r="L1208" s="110">
        <f t="shared" si="86"/>
        <v>1068</v>
      </c>
      <c r="M1208" s="112"/>
    </row>
    <row r="1209" spans="2:13" s="52" customFormat="1" ht="19.5" hidden="1" customHeight="1">
      <c r="B1209" s="108">
        <v>10</v>
      </c>
      <c r="C1209" s="139" t="s">
        <v>56</v>
      </c>
      <c r="D1209" s="108" t="s">
        <v>3360</v>
      </c>
      <c r="E1209" s="108" t="s">
        <v>3541</v>
      </c>
      <c r="F1209" s="108" t="s">
        <v>2464</v>
      </c>
      <c r="G1209" s="108">
        <v>46</v>
      </c>
      <c r="H1209" s="71">
        <v>47</v>
      </c>
      <c r="I1209" s="109">
        <f t="shared" si="87"/>
        <v>1449</v>
      </c>
      <c r="J1209" s="110">
        <f t="shared" ref="J1209:J1253" si="88">F1209*H1209</f>
        <v>1480.5</v>
      </c>
      <c r="K1209" s="111">
        <f t="shared" ref="K1209:K1253" si="89">G1209-H1209</f>
        <v>-1</v>
      </c>
      <c r="L1209" s="110">
        <f t="shared" ref="L1209:L1253" si="90">I1209-J1209</f>
        <v>-31.5</v>
      </c>
      <c r="M1209" s="112"/>
    </row>
    <row r="1210" spans="2:13" s="52" customFormat="1" ht="19.5" customHeight="1">
      <c r="B1210" s="108">
        <v>10</v>
      </c>
      <c r="C1210" s="139" t="s">
        <v>56</v>
      </c>
      <c r="D1210" s="108" t="s">
        <v>3361</v>
      </c>
      <c r="E1210" s="108" t="s">
        <v>3542</v>
      </c>
      <c r="F1210" s="108" t="s">
        <v>3676</v>
      </c>
      <c r="G1210" s="108">
        <v>5</v>
      </c>
      <c r="H1210" s="71"/>
      <c r="I1210" s="109">
        <f t="shared" si="87"/>
        <v>223.75</v>
      </c>
      <c r="J1210" s="110">
        <f t="shared" si="88"/>
        <v>0</v>
      </c>
      <c r="K1210" s="111">
        <f t="shared" si="89"/>
        <v>5</v>
      </c>
      <c r="L1210" s="110">
        <f t="shared" si="90"/>
        <v>223.75</v>
      </c>
      <c r="M1210" s="112"/>
    </row>
    <row r="1211" spans="2:13" s="52" customFormat="1" ht="19.5" customHeight="1">
      <c r="B1211" s="108">
        <v>10</v>
      </c>
      <c r="C1211" s="139" t="s">
        <v>56</v>
      </c>
      <c r="D1211" s="108" t="s">
        <v>3362</v>
      </c>
      <c r="E1211" s="108" t="s">
        <v>3543</v>
      </c>
      <c r="F1211" s="108" t="s">
        <v>3677</v>
      </c>
      <c r="G1211" s="108">
        <v>4</v>
      </c>
      <c r="H1211" s="71"/>
      <c r="I1211" s="109">
        <f t="shared" si="87"/>
        <v>37.880000000000003</v>
      </c>
      <c r="J1211" s="110">
        <f t="shared" si="88"/>
        <v>0</v>
      </c>
      <c r="K1211" s="111">
        <f t="shared" si="89"/>
        <v>4</v>
      </c>
      <c r="L1211" s="110">
        <f t="shared" si="90"/>
        <v>37.880000000000003</v>
      </c>
      <c r="M1211" s="112"/>
    </row>
    <row r="1212" spans="2:13" s="52" customFormat="1" ht="19.5" customHeight="1">
      <c r="B1212" s="108">
        <v>10</v>
      </c>
      <c r="C1212" s="139" t="s">
        <v>56</v>
      </c>
      <c r="D1212" s="108" t="s">
        <v>3363</v>
      </c>
      <c r="E1212" s="108" t="s">
        <v>3544</v>
      </c>
      <c r="F1212" s="108" t="s">
        <v>3678</v>
      </c>
      <c r="G1212" s="108">
        <v>12</v>
      </c>
      <c r="H1212" s="71">
        <v>10</v>
      </c>
      <c r="I1212" s="109">
        <f t="shared" si="87"/>
        <v>669.59999999999991</v>
      </c>
      <c r="J1212" s="110">
        <f t="shared" si="88"/>
        <v>558</v>
      </c>
      <c r="K1212" s="111">
        <f t="shared" si="89"/>
        <v>2</v>
      </c>
      <c r="L1212" s="110">
        <f t="shared" si="90"/>
        <v>111.59999999999991</v>
      </c>
      <c r="M1212" s="112"/>
    </row>
    <row r="1213" spans="2:13" s="52" customFormat="1" ht="19.5" customHeight="1">
      <c r="B1213" s="108">
        <v>10</v>
      </c>
      <c r="C1213" s="139" t="s">
        <v>56</v>
      </c>
      <c r="D1213" s="108" t="s">
        <v>3364</v>
      </c>
      <c r="E1213" s="108" t="s">
        <v>3545</v>
      </c>
      <c r="F1213" s="108" t="s">
        <v>3679</v>
      </c>
      <c r="G1213" s="108">
        <v>98</v>
      </c>
      <c r="H1213" s="71">
        <v>96</v>
      </c>
      <c r="I1213" s="109">
        <f t="shared" si="87"/>
        <v>1087.8</v>
      </c>
      <c r="J1213" s="110">
        <f t="shared" si="88"/>
        <v>1065.5999999999999</v>
      </c>
      <c r="K1213" s="111">
        <f t="shared" si="89"/>
        <v>2</v>
      </c>
      <c r="L1213" s="110">
        <f t="shared" si="90"/>
        <v>22.200000000000045</v>
      </c>
      <c r="M1213" s="112"/>
    </row>
    <row r="1214" spans="2:13" s="52" customFormat="1" ht="19.5" customHeight="1">
      <c r="B1214" s="108">
        <v>10</v>
      </c>
      <c r="C1214" s="139" t="s">
        <v>56</v>
      </c>
      <c r="D1214" s="108" t="s">
        <v>3365</v>
      </c>
      <c r="E1214" s="108" t="s">
        <v>3546</v>
      </c>
      <c r="F1214" s="108" t="s">
        <v>3680</v>
      </c>
      <c r="G1214" s="108">
        <v>62</v>
      </c>
      <c r="H1214" s="71">
        <v>60</v>
      </c>
      <c r="I1214" s="109">
        <f t="shared" si="87"/>
        <v>357.73999999999995</v>
      </c>
      <c r="J1214" s="110">
        <f t="shared" si="88"/>
        <v>346.2</v>
      </c>
      <c r="K1214" s="111">
        <f t="shared" si="89"/>
        <v>2</v>
      </c>
      <c r="L1214" s="110">
        <f t="shared" si="90"/>
        <v>11.539999999999964</v>
      </c>
      <c r="M1214" s="112"/>
    </row>
    <row r="1215" spans="2:13" s="52" customFormat="1" ht="19.5" customHeight="1">
      <c r="B1215" s="108">
        <v>10</v>
      </c>
      <c r="C1215" s="139" t="s">
        <v>56</v>
      </c>
      <c r="D1215" s="108" t="s">
        <v>3366</v>
      </c>
      <c r="E1215" s="108" t="s">
        <v>3547</v>
      </c>
      <c r="F1215" s="108" t="s">
        <v>3681</v>
      </c>
      <c r="G1215" s="108">
        <v>1</v>
      </c>
      <c r="H1215" s="71"/>
      <c r="I1215" s="109">
        <f t="shared" si="87"/>
        <v>144.31</v>
      </c>
      <c r="J1215" s="110">
        <f t="shared" si="88"/>
        <v>0</v>
      </c>
      <c r="K1215" s="111">
        <f t="shared" si="89"/>
        <v>1</v>
      </c>
      <c r="L1215" s="110">
        <f t="shared" si="90"/>
        <v>144.31</v>
      </c>
      <c r="M1215" s="112"/>
    </row>
    <row r="1216" spans="2:13" s="52" customFormat="1" ht="19.5" hidden="1" customHeight="1">
      <c r="B1216" s="108">
        <v>10</v>
      </c>
      <c r="C1216" s="139" t="s">
        <v>56</v>
      </c>
      <c r="D1216" s="108" t="s">
        <v>3367</v>
      </c>
      <c r="E1216" s="108" t="s">
        <v>3548</v>
      </c>
      <c r="F1216" s="108" t="s">
        <v>3680</v>
      </c>
      <c r="G1216" s="108">
        <v>60</v>
      </c>
      <c r="H1216" s="71">
        <v>60</v>
      </c>
      <c r="I1216" s="109">
        <f t="shared" si="87"/>
        <v>346.2</v>
      </c>
      <c r="J1216" s="110">
        <f t="shared" si="88"/>
        <v>346.2</v>
      </c>
      <c r="K1216" s="111">
        <f t="shared" si="89"/>
        <v>0</v>
      </c>
      <c r="L1216" s="110">
        <f t="shared" si="90"/>
        <v>0</v>
      </c>
      <c r="M1216" s="112"/>
    </row>
    <row r="1217" spans="2:13" s="52" customFormat="1" ht="19.5" customHeight="1">
      <c r="B1217" s="108">
        <v>10</v>
      </c>
      <c r="C1217" s="139" t="s">
        <v>56</v>
      </c>
      <c r="D1217" s="108" t="s">
        <v>4706</v>
      </c>
      <c r="E1217" s="108" t="s">
        <v>4696</v>
      </c>
      <c r="F1217" s="108" t="s">
        <v>4713</v>
      </c>
      <c r="G1217" s="108">
        <v>130</v>
      </c>
      <c r="H1217" s="71">
        <v>17</v>
      </c>
      <c r="I1217" s="109">
        <f t="shared" si="87"/>
        <v>15360.8</v>
      </c>
      <c r="J1217" s="110">
        <f t="shared" si="88"/>
        <v>2008.72</v>
      </c>
      <c r="K1217" s="111">
        <f t="shared" si="89"/>
        <v>113</v>
      </c>
      <c r="L1217" s="110">
        <f t="shared" si="90"/>
        <v>13352.08</v>
      </c>
      <c r="M1217" s="112"/>
    </row>
    <row r="1218" spans="2:13" s="52" customFormat="1" ht="19.5" hidden="1" customHeight="1">
      <c r="B1218" s="108">
        <v>10</v>
      </c>
      <c r="C1218" s="139" t="s">
        <v>56</v>
      </c>
      <c r="D1218" s="108" t="s">
        <v>4707</v>
      </c>
      <c r="E1218" s="108" t="s">
        <v>4697</v>
      </c>
      <c r="F1218" s="108" t="s">
        <v>4714</v>
      </c>
      <c r="G1218" s="108">
        <v>12</v>
      </c>
      <c r="H1218" s="71">
        <v>12</v>
      </c>
      <c r="I1218" s="109">
        <f t="shared" si="87"/>
        <v>1317.96</v>
      </c>
      <c r="J1218" s="110">
        <f t="shared" si="88"/>
        <v>1317.96</v>
      </c>
      <c r="K1218" s="111">
        <f t="shared" si="89"/>
        <v>0</v>
      </c>
      <c r="L1218" s="110">
        <f t="shared" si="90"/>
        <v>0</v>
      </c>
      <c r="M1218" s="112"/>
    </row>
    <row r="1219" spans="2:13" s="52" customFormat="1" ht="19.5" customHeight="1">
      <c r="B1219" s="108">
        <v>10</v>
      </c>
      <c r="C1219" s="139" t="s">
        <v>56</v>
      </c>
      <c r="D1219" s="108" t="s">
        <v>3368</v>
      </c>
      <c r="E1219" s="108" t="s">
        <v>3549</v>
      </c>
      <c r="F1219" s="108" t="s">
        <v>3679</v>
      </c>
      <c r="G1219" s="108">
        <v>105</v>
      </c>
      <c r="H1219" s="71">
        <f>36+60</f>
        <v>96</v>
      </c>
      <c r="I1219" s="109">
        <f t="shared" si="87"/>
        <v>1165.5</v>
      </c>
      <c r="J1219" s="110">
        <f t="shared" si="88"/>
        <v>1065.5999999999999</v>
      </c>
      <c r="K1219" s="111">
        <f t="shared" si="89"/>
        <v>9</v>
      </c>
      <c r="L1219" s="110">
        <f t="shared" si="90"/>
        <v>99.900000000000091</v>
      </c>
      <c r="M1219" s="112"/>
    </row>
    <row r="1220" spans="2:13" s="52" customFormat="1" ht="19.5" customHeight="1">
      <c r="B1220" s="108">
        <v>10</v>
      </c>
      <c r="C1220" s="139" t="s">
        <v>56</v>
      </c>
      <c r="D1220" s="108" t="s">
        <v>4708</v>
      </c>
      <c r="E1220" s="108" t="s">
        <v>4698</v>
      </c>
      <c r="F1220" s="108" t="s">
        <v>4713</v>
      </c>
      <c r="G1220" s="108">
        <v>16</v>
      </c>
      <c r="H1220" s="71">
        <v>13</v>
      </c>
      <c r="I1220" s="109">
        <f t="shared" si="87"/>
        <v>1890.56</v>
      </c>
      <c r="J1220" s="110">
        <f t="shared" si="88"/>
        <v>1536.08</v>
      </c>
      <c r="K1220" s="111">
        <f t="shared" si="89"/>
        <v>3</v>
      </c>
      <c r="L1220" s="110">
        <f t="shared" si="90"/>
        <v>354.48</v>
      </c>
      <c r="M1220" s="112"/>
    </row>
    <row r="1221" spans="2:13" s="52" customFormat="1" ht="19.5" hidden="1" customHeight="1">
      <c r="B1221" s="108">
        <v>10</v>
      </c>
      <c r="C1221" s="139" t="s">
        <v>56</v>
      </c>
      <c r="D1221" s="108" t="s">
        <v>4709</v>
      </c>
      <c r="E1221" s="108" t="s">
        <v>4699</v>
      </c>
      <c r="F1221" s="108" t="s">
        <v>4714</v>
      </c>
      <c r="G1221" s="108">
        <v>12</v>
      </c>
      <c r="H1221" s="71">
        <v>12</v>
      </c>
      <c r="I1221" s="109">
        <f t="shared" si="87"/>
        <v>1317.96</v>
      </c>
      <c r="J1221" s="110">
        <f t="shared" si="88"/>
        <v>1317.96</v>
      </c>
      <c r="K1221" s="111">
        <f t="shared" si="89"/>
        <v>0</v>
      </c>
      <c r="L1221" s="110">
        <f t="shared" si="90"/>
        <v>0</v>
      </c>
      <c r="M1221" s="112"/>
    </row>
    <row r="1222" spans="2:13" s="52" customFormat="1" ht="19.5" customHeight="1">
      <c r="B1222" s="108">
        <v>10</v>
      </c>
      <c r="C1222" s="139" t="s">
        <v>56</v>
      </c>
      <c r="D1222" s="108" t="s">
        <v>3369</v>
      </c>
      <c r="E1222" s="108" t="s">
        <v>3550</v>
      </c>
      <c r="F1222" s="108" t="s">
        <v>3682</v>
      </c>
      <c r="G1222" s="108">
        <v>96</v>
      </c>
      <c r="H1222" s="71">
        <f>35+60</f>
        <v>95</v>
      </c>
      <c r="I1222" s="109">
        <f t="shared" si="87"/>
        <v>554.88</v>
      </c>
      <c r="J1222" s="110">
        <f t="shared" si="88"/>
        <v>549.1</v>
      </c>
      <c r="K1222" s="111">
        <f t="shared" si="89"/>
        <v>1</v>
      </c>
      <c r="L1222" s="110">
        <f t="shared" si="90"/>
        <v>5.7799999999999727</v>
      </c>
      <c r="M1222" s="112"/>
    </row>
    <row r="1223" spans="2:13" s="52" customFormat="1" ht="19.5" customHeight="1">
      <c r="B1223" s="108">
        <v>10</v>
      </c>
      <c r="C1223" s="139" t="s">
        <v>56</v>
      </c>
      <c r="D1223" s="108" t="s">
        <v>3370</v>
      </c>
      <c r="E1223" s="108" t="s">
        <v>3551</v>
      </c>
      <c r="F1223" s="108" t="s">
        <v>3683</v>
      </c>
      <c r="G1223" s="108">
        <v>3</v>
      </c>
      <c r="H1223" s="71"/>
      <c r="I1223" s="109">
        <f t="shared" si="87"/>
        <v>21.6</v>
      </c>
      <c r="J1223" s="110">
        <f t="shared" si="88"/>
        <v>0</v>
      </c>
      <c r="K1223" s="111">
        <f t="shared" si="89"/>
        <v>3</v>
      </c>
      <c r="L1223" s="110">
        <f t="shared" si="90"/>
        <v>21.6</v>
      </c>
      <c r="M1223" s="112"/>
    </row>
    <row r="1224" spans="2:13" s="52" customFormat="1" ht="19.5" customHeight="1">
      <c r="B1224" s="108">
        <v>10</v>
      </c>
      <c r="C1224" s="139" t="s">
        <v>56</v>
      </c>
      <c r="D1224" s="108" t="s">
        <v>3371</v>
      </c>
      <c r="E1224" s="108" t="s">
        <v>3552</v>
      </c>
      <c r="F1224" s="108" t="s">
        <v>1204</v>
      </c>
      <c r="G1224" s="108">
        <v>3</v>
      </c>
      <c r="H1224" s="71"/>
      <c r="I1224" s="109">
        <f t="shared" si="87"/>
        <v>226.35000000000002</v>
      </c>
      <c r="J1224" s="110">
        <f t="shared" si="88"/>
        <v>0</v>
      </c>
      <c r="K1224" s="111">
        <f t="shared" si="89"/>
        <v>3</v>
      </c>
      <c r="L1224" s="110">
        <f t="shared" si="90"/>
        <v>226.35000000000002</v>
      </c>
      <c r="M1224" s="112"/>
    </row>
    <row r="1225" spans="2:13" s="52" customFormat="1" ht="19.5" customHeight="1">
      <c r="B1225" s="108">
        <v>10</v>
      </c>
      <c r="C1225" s="139" t="s">
        <v>56</v>
      </c>
      <c r="D1225" s="108" t="s">
        <v>3372</v>
      </c>
      <c r="E1225" s="108" t="s">
        <v>3553</v>
      </c>
      <c r="F1225" s="108" t="s">
        <v>3684</v>
      </c>
      <c r="G1225" s="108">
        <v>5</v>
      </c>
      <c r="H1225" s="71"/>
      <c r="I1225" s="109">
        <f t="shared" si="87"/>
        <v>1905.05</v>
      </c>
      <c r="J1225" s="110">
        <f t="shared" si="88"/>
        <v>0</v>
      </c>
      <c r="K1225" s="111">
        <f t="shared" si="89"/>
        <v>5</v>
      </c>
      <c r="L1225" s="110">
        <f t="shared" si="90"/>
        <v>1905.05</v>
      </c>
      <c r="M1225" s="112"/>
    </row>
    <row r="1226" spans="2:13" s="52" customFormat="1" ht="19.5" customHeight="1">
      <c r="B1226" s="108">
        <v>10</v>
      </c>
      <c r="C1226" s="139" t="s">
        <v>56</v>
      </c>
      <c r="D1226" s="108" t="s">
        <v>3373</v>
      </c>
      <c r="E1226" s="108" t="s">
        <v>3554</v>
      </c>
      <c r="F1226" s="108" t="s">
        <v>3685</v>
      </c>
      <c r="G1226" s="108">
        <v>15</v>
      </c>
      <c r="H1226" s="71"/>
      <c r="I1226" s="109">
        <f t="shared" si="87"/>
        <v>431.25</v>
      </c>
      <c r="J1226" s="110">
        <f t="shared" si="88"/>
        <v>0</v>
      </c>
      <c r="K1226" s="111">
        <f t="shared" si="89"/>
        <v>15</v>
      </c>
      <c r="L1226" s="110">
        <f t="shared" si="90"/>
        <v>431.25</v>
      </c>
      <c r="M1226" s="112"/>
    </row>
    <row r="1227" spans="2:13" s="52" customFormat="1" ht="19.5" customHeight="1">
      <c r="B1227" s="108">
        <v>10</v>
      </c>
      <c r="C1227" s="139" t="s">
        <v>56</v>
      </c>
      <c r="D1227" s="108" t="s">
        <v>3374</v>
      </c>
      <c r="E1227" s="108" t="s">
        <v>3555</v>
      </c>
      <c r="F1227" s="108" t="s">
        <v>1836</v>
      </c>
      <c r="G1227" s="108">
        <v>2</v>
      </c>
      <c r="H1227" s="71"/>
      <c r="I1227" s="109">
        <f t="shared" si="87"/>
        <v>68</v>
      </c>
      <c r="J1227" s="110">
        <f t="shared" si="88"/>
        <v>0</v>
      </c>
      <c r="K1227" s="111">
        <f t="shared" si="89"/>
        <v>2</v>
      </c>
      <c r="L1227" s="110">
        <f t="shared" si="90"/>
        <v>68</v>
      </c>
      <c r="M1227" s="112"/>
    </row>
    <row r="1228" spans="2:13" s="52" customFormat="1" ht="19.5" customHeight="1">
      <c r="B1228" s="108">
        <v>10</v>
      </c>
      <c r="C1228" s="139" t="s">
        <v>56</v>
      </c>
      <c r="D1228" s="108" t="s">
        <v>3375</v>
      </c>
      <c r="E1228" s="108" t="s">
        <v>3556</v>
      </c>
      <c r="F1228" s="108" t="s">
        <v>3686</v>
      </c>
      <c r="G1228" s="108">
        <v>4</v>
      </c>
      <c r="H1228" s="71">
        <v>3</v>
      </c>
      <c r="I1228" s="109">
        <f t="shared" si="87"/>
        <v>900</v>
      </c>
      <c r="J1228" s="110">
        <f t="shared" si="88"/>
        <v>675</v>
      </c>
      <c r="K1228" s="111">
        <f t="shared" si="89"/>
        <v>1</v>
      </c>
      <c r="L1228" s="110">
        <f t="shared" si="90"/>
        <v>225</v>
      </c>
      <c r="M1228" s="112"/>
    </row>
    <row r="1229" spans="2:13" s="52" customFormat="1" ht="19.5" hidden="1" customHeight="1">
      <c r="B1229" s="108">
        <v>10</v>
      </c>
      <c r="C1229" s="139" t="s">
        <v>56</v>
      </c>
      <c r="D1229" s="108" t="s">
        <v>3376</v>
      </c>
      <c r="E1229" s="108" t="s">
        <v>3557</v>
      </c>
      <c r="F1229" s="108" t="s">
        <v>1244</v>
      </c>
      <c r="G1229" s="108">
        <v>1</v>
      </c>
      <c r="H1229" s="71">
        <v>1</v>
      </c>
      <c r="I1229" s="109">
        <f t="shared" si="87"/>
        <v>55</v>
      </c>
      <c r="J1229" s="110">
        <f t="shared" si="88"/>
        <v>55</v>
      </c>
      <c r="K1229" s="111">
        <f t="shared" si="89"/>
        <v>0</v>
      </c>
      <c r="L1229" s="110">
        <f t="shared" si="90"/>
        <v>0</v>
      </c>
      <c r="M1229" s="112"/>
    </row>
    <row r="1230" spans="2:13" s="52" customFormat="1" ht="19.5" hidden="1" customHeight="1">
      <c r="B1230" s="108">
        <v>10</v>
      </c>
      <c r="C1230" s="139" t="s">
        <v>56</v>
      </c>
      <c r="D1230" s="108" t="s">
        <v>3377</v>
      </c>
      <c r="E1230" s="108" t="s">
        <v>3558</v>
      </c>
      <c r="F1230" s="108" t="s">
        <v>3687</v>
      </c>
      <c r="G1230" s="108">
        <v>1</v>
      </c>
      <c r="H1230" s="71">
        <v>1</v>
      </c>
      <c r="I1230" s="109">
        <f t="shared" si="87"/>
        <v>72</v>
      </c>
      <c r="J1230" s="110">
        <f t="shared" si="88"/>
        <v>72</v>
      </c>
      <c r="K1230" s="111">
        <f t="shared" si="89"/>
        <v>0</v>
      </c>
      <c r="L1230" s="110">
        <f t="shared" si="90"/>
        <v>0</v>
      </c>
      <c r="M1230" s="112"/>
    </row>
    <row r="1231" spans="2:13" s="52" customFormat="1" ht="19.5" customHeight="1">
      <c r="B1231" s="108">
        <v>10</v>
      </c>
      <c r="C1231" s="139" t="s">
        <v>56</v>
      </c>
      <c r="D1231" s="108" t="s">
        <v>3378</v>
      </c>
      <c r="E1231" s="108" t="s">
        <v>3559</v>
      </c>
      <c r="F1231" s="108" t="s">
        <v>3688</v>
      </c>
      <c r="G1231" s="108">
        <v>10</v>
      </c>
      <c r="H1231" s="71"/>
      <c r="I1231" s="109">
        <f t="shared" si="87"/>
        <v>280</v>
      </c>
      <c r="J1231" s="110">
        <f t="shared" si="88"/>
        <v>0</v>
      </c>
      <c r="K1231" s="111">
        <f t="shared" si="89"/>
        <v>10</v>
      </c>
      <c r="L1231" s="110">
        <f t="shared" si="90"/>
        <v>280</v>
      </c>
      <c r="M1231" s="112"/>
    </row>
    <row r="1232" spans="2:13" s="52" customFormat="1" ht="19.5" customHeight="1">
      <c r="B1232" s="108">
        <v>10</v>
      </c>
      <c r="C1232" s="139" t="s">
        <v>56</v>
      </c>
      <c r="D1232" s="108" t="s">
        <v>3379</v>
      </c>
      <c r="E1232" s="108" t="s">
        <v>3560</v>
      </c>
      <c r="F1232" s="108" t="s">
        <v>3689</v>
      </c>
      <c r="G1232" s="108">
        <v>2</v>
      </c>
      <c r="H1232" s="71"/>
      <c r="I1232" s="109">
        <f t="shared" si="87"/>
        <v>504</v>
      </c>
      <c r="J1232" s="110">
        <f t="shared" si="88"/>
        <v>0</v>
      </c>
      <c r="K1232" s="111">
        <f t="shared" si="89"/>
        <v>2</v>
      </c>
      <c r="L1232" s="110">
        <f t="shared" si="90"/>
        <v>504</v>
      </c>
      <c r="M1232" s="112"/>
    </row>
    <row r="1233" spans="2:13" s="52" customFormat="1" ht="19.5" customHeight="1">
      <c r="B1233" s="108">
        <v>10</v>
      </c>
      <c r="C1233" s="139" t="s">
        <v>56</v>
      </c>
      <c r="D1233" s="108" t="s">
        <v>3380</v>
      </c>
      <c r="E1233" s="108" t="s">
        <v>3561</v>
      </c>
      <c r="F1233" s="108" t="s">
        <v>3689</v>
      </c>
      <c r="G1233" s="108">
        <v>1</v>
      </c>
      <c r="H1233" s="71"/>
      <c r="I1233" s="109">
        <f t="shared" si="87"/>
        <v>252</v>
      </c>
      <c r="J1233" s="110">
        <f t="shared" si="88"/>
        <v>0</v>
      </c>
      <c r="K1233" s="111">
        <f t="shared" si="89"/>
        <v>1</v>
      </c>
      <c r="L1233" s="110">
        <f t="shared" si="90"/>
        <v>252</v>
      </c>
      <c r="M1233" s="112"/>
    </row>
    <row r="1234" spans="2:13" s="52" customFormat="1" ht="19.5" customHeight="1">
      <c r="B1234" s="108">
        <v>10</v>
      </c>
      <c r="C1234" s="139" t="s">
        <v>56</v>
      </c>
      <c r="D1234" s="108" t="s">
        <v>790</v>
      </c>
      <c r="E1234" s="108" t="s">
        <v>3562</v>
      </c>
      <c r="F1234" s="108" t="s">
        <v>3690</v>
      </c>
      <c r="G1234" s="108">
        <v>50</v>
      </c>
      <c r="H1234" s="71">
        <v>25</v>
      </c>
      <c r="I1234" s="109">
        <f t="shared" si="87"/>
        <v>2850</v>
      </c>
      <c r="J1234" s="110">
        <f t="shared" si="88"/>
        <v>1425</v>
      </c>
      <c r="K1234" s="111">
        <f t="shared" si="89"/>
        <v>25</v>
      </c>
      <c r="L1234" s="110">
        <f t="shared" si="90"/>
        <v>1425</v>
      </c>
      <c r="M1234" s="112"/>
    </row>
    <row r="1235" spans="2:13" s="52" customFormat="1" ht="19.5" customHeight="1">
      <c r="B1235" s="108">
        <v>10</v>
      </c>
      <c r="C1235" s="139" t="s">
        <v>56</v>
      </c>
      <c r="D1235" s="108" t="s">
        <v>3381</v>
      </c>
      <c r="E1235" s="108" t="s">
        <v>3563</v>
      </c>
      <c r="F1235" s="108" t="s">
        <v>3691</v>
      </c>
      <c r="G1235" s="108">
        <v>161</v>
      </c>
      <c r="H1235" s="71"/>
      <c r="I1235" s="109">
        <f t="shared" si="87"/>
        <v>7889</v>
      </c>
      <c r="J1235" s="110">
        <f t="shared" si="88"/>
        <v>0</v>
      </c>
      <c r="K1235" s="111">
        <f t="shared" si="89"/>
        <v>161</v>
      </c>
      <c r="L1235" s="110">
        <f t="shared" si="90"/>
        <v>7889</v>
      </c>
      <c r="M1235" s="112"/>
    </row>
    <row r="1236" spans="2:13" s="52" customFormat="1" ht="19.5" hidden="1" customHeight="1">
      <c r="B1236" s="108">
        <v>10</v>
      </c>
      <c r="C1236" s="139" t="s">
        <v>56</v>
      </c>
      <c r="D1236" s="108" t="s">
        <v>3382</v>
      </c>
      <c r="E1236" s="108" t="s">
        <v>3564</v>
      </c>
      <c r="F1236" s="108" t="s">
        <v>3692</v>
      </c>
      <c r="G1236" s="108">
        <v>5</v>
      </c>
      <c r="H1236" s="71">
        <v>5</v>
      </c>
      <c r="I1236" s="109">
        <f t="shared" si="87"/>
        <v>109.80000000000001</v>
      </c>
      <c r="J1236" s="110">
        <f t="shared" si="88"/>
        <v>109.80000000000001</v>
      </c>
      <c r="K1236" s="111">
        <f t="shared" si="89"/>
        <v>0</v>
      </c>
      <c r="L1236" s="110">
        <f t="shared" si="90"/>
        <v>0</v>
      </c>
      <c r="M1236" s="112"/>
    </row>
    <row r="1237" spans="2:13" s="52" customFormat="1" ht="19.5" customHeight="1">
      <c r="B1237" s="108">
        <v>10</v>
      </c>
      <c r="C1237" s="139" t="s">
        <v>56</v>
      </c>
      <c r="D1237" s="108" t="s">
        <v>3383</v>
      </c>
      <c r="E1237" s="108" t="s">
        <v>3565</v>
      </c>
      <c r="F1237" s="108" t="s">
        <v>3693</v>
      </c>
      <c r="G1237" s="108">
        <v>106</v>
      </c>
      <c r="H1237" s="71">
        <f>3+93</f>
        <v>96</v>
      </c>
      <c r="I1237" s="109">
        <f t="shared" si="87"/>
        <v>4020.58</v>
      </c>
      <c r="J1237" s="110">
        <f t="shared" si="88"/>
        <v>3641.2799999999997</v>
      </c>
      <c r="K1237" s="111">
        <f t="shared" si="89"/>
        <v>10</v>
      </c>
      <c r="L1237" s="110">
        <f t="shared" si="90"/>
        <v>379.30000000000018</v>
      </c>
      <c r="M1237" s="112"/>
    </row>
    <row r="1238" spans="2:13" s="52" customFormat="1" ht="19.5" customHeight="1">
      <c r="B1238" s="108">
        <v>10</v>
      </c>
      <c r="C1238" s="139" t="s">
        <v>56</v>
      </c>
      <c r="D1238" s="108" t="s">
        <v>3384</v>
      </c>
      <c r="E1238" s="108" t="s">
        <v>3566</v>
      </c>
      <c r="F1238" s="108" t="s">
        <v>3694</v>
      </c>
      <c r="G1238" s="108">
        <v>1</v>
      </c>
      <c r="H1238" s="71"/>
      <c r="I1238" s="109">
        <f t="shared" si="87"/>
        <v>58.25</v>
      </c>
      <c r="J1238" s="110">
        <f t="shared" si="88"/>
        <v>0</v>
      </c>
      <c r="K1238" s="111">
        <f t="shared" si="89"/>
        <v>1</v>
      </c>
      <c r="L1238" s="110">
        <f t="shared" si="90"/>
        <v>58.25</v>
      </c>
      <c r="M1238" s="112"/>
    </row>
    <row r="1239" spans="2:13" s="52" customFormat="1" ht="19.5" customHeight="1">
      <c r="B1239" s="108">
        <v>10</v>
      </c>
      <c r="C1239" s="139" t="s">
        <v>56</v>
      </c>
      <c r="D1239" s="108" t="s">
        <v>3385</v>
      </c>
      <c r="E1239" s="108" t="s">
        <v>3567</v>
      </c>
      <c r="F1239" s="108" t="s">
        <v>3695</v>
      </c>
      <c r="G1239" s="108">
        <v>3</v>
      </c>
      <c r="H1239" s="71"/>
      <c r="I1239" s="109">
        <f t="shared" si="87"/>
        <v>110.25</v>
      </c>
      <c r="J1239" s="110">
        <f t="shared" si="88"/>
        <v>0</v>
      </c>
      <c r="K1239" s="111">
        <f t="shared" si="89"/>
        <v>3</v>
      </c>
      <c r="L1239" s="110">
        <f t="shared" si="90"/>
        <v>110.25</v>
      </c>
      <c r="M1239" s="112"/>
    </row>
    <row r="1240" spans="2:13" s="52" customFormat="1" ht="19.5" customHeight="1">
      <c r="B1240" s="108">
        <v>10</v>
      </c>
      <c r="C1240" s="139" t="s">
        <v>56</v>
      </c>
      <c r="D1240" s="108" t="s">
        <v>3386</v>
      </c>
      <c r="E1240" s="108" t="s">
        <v>3568</v>
      </c>
      <c r="F1240" s="108" t="s">
        <v>3696</v>
      </c>
      <c r="G1240" s="108">
        <v>1</v>
      </c>
      <c r="H1240" s="71"/>
      <c r="I1240" s="109">
        <f t="shared" si="87"/>
        <v>1030</v>
      </c>
      <c r="J1240" s="110">
        <f t="shared" si="88"/>
        <v>0</v>
      </c>
      <c r="K1240" s="111">
        <f t="shared" si="89"/>
        <v>1</v>
      </c>
      <c r="L1240" s="110">
        <f t="shared" si="90"/>
        <v>1030</v>
      </c>
      <c r="M1240" s="112"/>
    </row>
    <row r="1241" spans="2:13" s="52" customFormat="1" ht="19.5" hidden="1" customHeight="1">
      <c r="B1241" s="108">
        <v>10</v>
      </c>
      <c r="C1241" s="139" t="s">
        <v>56</v>
      </c>
      <c r="D1241" s="108" t="s">
        <v>3387</v>
      </c>
      <c r="E1241" s="108" t="s">
        <v>3569</v>
      </c>
      <c r="F1241" s="108" t="s">
        <v>3697</v>
      </c>
      <c r="G1241" s="108">
        <v>48</v>
      </c>
      <c r="H1241" s="71">
        <v>48</v>
      </c>
      <c r="I1241" s="109">
        <f t="shared" si="87"/>
        <v>232.79999999999998</v>
      </c>
      <c r="J1241" s="110">
        <f t="shared" si="88"/>
        <v>232.79999999999998</v>
      </c>
      <c r="K1241" s="111">
        <f t="shared" si="89"/>
        <v>0</v>
      </c>
      <c r="L1241" s="110">
        <f t="shared" si="90"/>
        <v>0</v>
      </c>
      <c r="M1241" s="112"/>
    </row>
    <row r="1242" spans="2:13" s="52" customFormat="1" ht="19.5" customHeight="1">
      <c r="B1242" s="108">
        <v>10</v>
      </c>
      <c r="C1242" s="139" t="s">
        <v>56</v>
      </c>
      <c r="D1242" s="108" t="s">
        <v>3388</v>
      </c>
      <c r="E1242" s="108" t="s">
        <v>3570</v>
      </c>
      <c r="F1242" s="108" t="s">
        <v>3698</v>
      </c>
      <c r="G1242" s="108">
        <v>188</v>
      </c>
      <c r="H1242" s="71">
        <v>180</v>
      </c>
      <c r="I1242" s="109">
        <f t="shared" si="87"/>
        <v>861.04</v>
      </c>
      <c r="J1242" s="110">
        <f t="shared" si="88"/>
        <v>824.4</v>
      </c>
      <c r="K1242" s="111">
        <f t="shared" si="89"/>
        <v>8</v>
      </c>
      <c r="L1242" s="110">
        <f t="shared" si="90"/>
        <v>36.639999999999986</v>
      </c>
      <c r="M1242" s="112"/>
    </row>
    <row r="1243" spans="2:13" s="52" customFormat="1" ht="19.5" customHeight="1">
      <c r="B1243" s="108">
        <v>10</v>
      </c>
      <c r="C1243" s="139" t="s">
        <v>56</v>
      </c>
      <c r="D1243" s="108" t="s">
        <v>3389</v>
      </c>
      <c r="E1243" s="108" t="s">
        <v>3571</v>
      </c>
      <c r="F1243" s="108" t="s">
        <v>3697</v>
      </c>
      <c r="G1243" s="108">
        <v>228</v>
      </c>
      <c r="H1243" s="71">
        <v>180</v>
      </c>
      <c r="I1243" s="109">
        <f t="shared" si="87"/>
        <v>1105.8</v>
      </c>
      <c r="J1243" s="110">
        <f t="shared" si="88"/>
        <v>872.99999999999989</v>
      </c>
      <c r="K1243" s="111">
        <f t="shared" si="89"/>
        <v>48</v>
      </c>
      <c r="L1243" s="110">
        <f t="shared" si="90"/>
        <v>232.80000000000007</v>
      </c>
      <c r="M1243" s="112"/>
    </row>
    <row r="1244" spans="2:13" s="52" customFormat="1" ht="19.5" hidden="1" customHeight="1">
      <c r="B1244" s="108">
        <v>10</v>
      </c>
      <c r="C1244" s="139" t="s">
        <v>56</v>
      </c>
      <c r="D1244" s="108" t="s">
        <v>3390</v>
      </c>
      <c r="E1244" s="108" t="s">
        <v>3572</v>
      </c>
      <c r="F1244" s="108" t="s">
        <v>3698</v>
      </c>
      <c r="G1244" s="108">
        <v>164</v>
      </c>
      <c r="H1244" s="71">
        <f>144+36</f>
        <v>180</v>
      </c>
      <c r="I1244" s="109">
        <f t="shared" si="87"/>
        <v>751.12</v>
      </c>
      <c r="J1244" s="110">
        <f t="shared" si="88"/>
        <v>824.4</v>
      </c>
      <c r="K1244" s="111">
        <f t="shared" si="89"/>
        <v>-16</v>
      </c>
      <c r="L1244" s="110">
        <f t="shared" si="90"/>
        <v>-73.279999999999973</v>
      </c>
      <c r="M1244" s="112"/>
    </row>
    <row r="1245" spans="2:13" s="52" customFormat="1" ht="19.5" hidden="1" customHeight="1">
      <c r="B1245" s="108">
        <v>10</v>
      </c>
      <c r="C1245" s="139" t="s">
        <v>56</v>
      </c>
      <c r="D1245" s="108" t="s">
        <v>3391</v>
      </c>
      <c r="E1245" s="108" t="s">
        <v>3573</v>
      </c>
      <c r="F1245" s="108" t="s">
        <v>3699</v>
      </c>
      <c r="G1245" s="108">
        <v>12</v>
      </c>
      <c r="H1245" s="71">
        <v>12</v>
      </c>
      <c r="I1245" s="109">
        <f t="shared" si="87"/>
        <v>329.4</v>
      </c>
      <c r="J1245" s="110">
        <f t="shared" si="88"/>
        <v>329.4</v>
      </c>
      <c r="K1245" s="111">
        <f t="shared" si="89"/>
        <v>0</v>
      </c>
      <c r="L1245" s="110">
        <f t="shared" si="90"/>
        <v>0</v>
      </c>
      <c r="M1245" s="112"/>
    </row>
    <row r="1246" spans="2:13" s="52" customFormat="1" ht="19.5" customHeight="1">
      <c r="B1246" s="108">
        <v>10</v>
      </c>
      <c r="C1246" s="139" t="s">
        <v>56</v>
      </c>
      <c r="D1246" s="108" t="s">
        <v>3392</v>
      </c>
      <c r="E1246" s="108" t="s">
        <v>3574</v>
      </c>
      <c r="F1246" s="108" t="s">
        <v>3699</v>
      </c>
      <c r="G1246" s="108">
        <v>11</v>
      </c>
      <c r="H1246" s="71"/>
      <c r="I1246" s="109">
        <f t="shared" si="87"/>
        <v>301.95</v>
      </c>
      <c r="J1246" s="110">
        <f t="shared" si="88"/>
        <v>0</v>
      </c>
      <c r="K1246" s="111">
        <f t="shared" si="89"/>
        <v>11</v>
      </c>
      <c r="L1246" s="110">
        <f t="shared" si="90"/>
        <v>301.95</v>
      </c>
      <c r="M1246" s="112"/>
    </row>
    <row r="1247" spans="2:13" s="52" customFormat="1" ht="19.5" customHeight="1">
      <c r="B1247" s="108">
        <v>10</v>
      </c>
      <c r="C1247" s="139" t="s">
        <v>56</v>
      </c>
      <c r="D1247" s="108" t="s">
        <v>3393</v>
      </c>
      <c r="E1247" s="108" t="s">
        <v>3575</v>
      </c>
      <c r="F1247" s="108" t="s">
        <v>3700</v>
      </c>
      <c r="G1247" s="108">
        <v>75</v>
      </c>
      <c r="H1247" s="71">
        <v>54</v>
      </c>
      <c r="I1247" s="109">
        <f t="shared" si="87"/>
        <v>837.75</v>
      </c>
      <c r="J1247" s="110">
        <f t="shared" si="88"/>
        <v>603.17999999999995</v>
      </c>
      <c r="K1247" s="111">
        <f t="shared" si="89"/>
        <v>21</v>
      </c>
      <c r="L1247" s="110">
        <f t="shared" si="90"/>
        <v>234.57000000000005</v>
      </c>
      <c r="M1247" s="112"/>
    </row>
    <row r="1248" spans="2:13" s="52" customFormat="1" ht="19.5" customHeight="1">
      <c r="B1248" s="108">
        <v>10</v>
      </c>
      <c r="C1248" s="139" t="s">
        <v>56</v>
      </c>
      <c r="D1248" s="108" t="s">
        <v>3394</v>
      </c>
      <c r="E1248" s="108" t="s">
        <v>3576</v>
      </c>
      <c r="F1248" s="108" t="s">
        <v>3701</v>
      </c>
      <c r="G1248" s="108">
        <v>14</v>
      </c>
      <c r="H1248" s="71"/>
      <c r="I1248" s="109">
        <f t="shared" si="87"/>
        <v>356.3</v>
      </c>
      <c r="J1248" s="110">
        <f t="shared" si="88"/>
        <v>0</v>
      </c>
      <c r="K1248" s="111">
        <f t="shared" si="89"/>
        <v>14</v>
      </c>
      <c r="L1248" s="110">
        <f t="shared" si="90"/>
        <v>356.3</v>
      </c>
      <c r="M1248" s="112"/>
    </row>
    <row r="1249" spans="2:13" s="52" customFormat="1" ht="19.5" customHeight="1">
      <c r="B1249" s="108">
        <v>10</v>
      </c>
      <c r="C1249" s="139" t="s">
        <v>56</v>
      </c>
      <c r="D1249" s="108" t="s">
        <v>3395</v>
      </c>
      <c r="E1249" s="108" t="s">
        <v>3577</v>
      </c>
      <c r="F1249" s="108" t="s">
        <v>3700</v>
      </c>
      <c r="G1249" s="108">
        <v>7</v>
      </c>
      <c r="H1249" s="71">
        <v>4</v>
      </c>
      <c r="I1249" s="109">
        <f t="shared" si="87"/>
        <v>78.19</v>
      </c>
      <c r="J1249" s="110">
        <f t="shared" si="88"/>
        <v>44.68</v>
      </c>
      <c r="K1249" s="111">
        <f t="shared" si="89"/>
        <v>3</v>
      </c>
      <c r="L1249" s="110">
        <f t="shared" si="90"/>
        <v>33.51</v>
      </c>
      <c r="M1249" s="112"/>
    </row>
    <row r="1250" spans="2:13" s="52" customFormat="1" ht="19.5" customHeight="1">
      <c r="B1250" s="108">
        <v>10</v>
      </c>
      <c r="C1250" s="139" t="s">
        <v>56</v>
      </c>
      <c r="D1250" s="108" t="s">
        <v>3396</v>
      </c>
      <c r="E1250" s="108" t="s">
        <v>3578</v>
      </c>
      <c r="F1250" s="108" t="s">
        <v>3701</v>
      </c>
      <c r="G1250" s="108">
        <v>23</v>
      </c>
      <c r="H1250" s="71">
        <v>22</v>
      </c>
      <c r="I1250" s="109">
        <f t="shared" ref="I1250:I1394" si="91">F1250*G1250</f>
        <v>585.35</v>
      </c>
      <c r="J1250" s="110">
        <f t="shared" si="88"/>
        <v>559.9</v>
      </c>
      <c r="K1250" s="111">
        <f t="shared" si="89"/>
        <v>1</v>
      </c>
      <c r="L1250" s="110">
        <f t="shared" si="90"/>
        <v>25.450000000000045</v>
      </c>
      <c r="M1250" s="112"/>
    </row>
    <row r="1251" spans="2:13" s="52" customFormat="1" ht="19.5" hidden="1" customHeight="1">
      <c r="B1251" s="108">
        <v>10</v>
      </c>
      <c r="C1251" s="139" t="s">
        <v>56</v>
      </c>
      <c r="D1251" s="108" t="s">
        <v>3397</v>
      </c>
      <c r="E1251" s="108" t="s">
        <v>3579</v>
      </c>
      <c r="F1251" s="108" t="s">
        <v>1652</v>
      </c>
      <c r="G1251" s="108">
        <v>23</v>
      </c>
      <c r="H1251" s="71">
        <v>23</v>
      </c>
      <c r="I1251" s="109">
        <f t="shared" si="91"/>
        <v>503.23999999999995</v>
      </c>
      <c r="J1251" s="110">
        <f t="shared" si="88"/>
        <v>503.23999999999995</v>
      </c>
      <c r="K1251" s="111">
        <f t="shared" si="89"/>
        <v>0</v>
      </c>
      <c r="L1251" s="110">
        <f t="shared" si="90"/>
        <v>0</v>
      </c>
      <c r="M1251" s="112"/>
    </row>
    <row r="1252" spans="2:13" s="52" customFormat="1" ht="19.5" customHeight="1">
      <c r="B1252" s="108">
        <v>10</v>
      </c>
      <c r="C1252" s="139" t="s">
        <v>56</v>
      </c>
      <c r="D1252" s="108" t="s">
        <v>3398</v>
      </c>
      <c r="E1252" s="108" t="s">
        <v>3580</v>
      </c>
      <c r="F1252" s="108" t="s">
        <v>3700</v>
      </c>
      <c r="G1252" s="108">
        <v>1</v>
      </c>
      <c r="H1252" s="71"/>
      <c r="I1252" s="109">
        <f t="shared" si="91"/>
        <v>11.17</v>
      </c>
      <c r="J1252" s="110">
        <f t="shared" si="88"/>
        <v>0</v>
      </c>
      <c r="K1252" s="111">
        <f t="shared" si="89"/>
        <v>1</v>
      </c>
      <c r="L1252" s="110">
        <f t="shared" si="90"/>
        <v>11.17</v>
      </c>
      <c r="M1252" s="112"/>
    </row>
    <row r="1253" spans="2:13" s="52" customFormat="1" ht="19.5" customHeight="1">
      <c r="B1253" s="108">
        <v>10</v>
      </c>
      <c r="C1253" s="139" t="s">
        <v>56</v>
      </c>
      <c r="D1253" s="108" t="s">
        <v>3399</v>
      </c>
      <c r="E1253" s="108" t="s">
        <v>3581</v>
      </c>
      <c r="F1253" s="108" t="s">
        <v>3702</v>
      </c>
      <c r="G1253" s="108">
        <v>74</v>
      </c>
      <c r="H1253" s="71">
        <v>3</v>
      </c>
      <c r="I1253" s="109">
        <f t="shared" si="91"/>
        <v>400.34000000000003</v>
      </c>
      <c r="J1253" s="110">
        <f t="shared" si="88"/>
        <v>16.23</v>
      </c>
      <c r="K1253" s="111">
        <f t="shared" si="89"/>
        <v>71</v>
      </c>
      <c r="L1253" s="110">
        <f t="shared" si="90"/>
        <v>384.11</v>
      </c>
      <c r="M1253" s="112"/>
    </row>
    <row r="1254" spans="2:13" s="52" customFormat="1" ht="19.5" hidden="1" customHeight="1">
      <c r="B1254" s="108">
        <v>10</v>
      </c>
      <c r="C1254" s="139" t="s">
        <v>56</v>
      </c>
      <c r="D1254" s="108" t="s">
        <v>3400</v>
      </c>
      <c r="E1254" s="108" t="s">
        <v>3582</v>
      </c>
      <c r="F1254" s="108" t="s">
        <v>3702</v>
      </c>
      <c r="G1254" s="108">
        <v>97</v>
      </c>
      <c r="H1254" s="71">
        <f>1+108</f>
        <v>109</v>
      </c>
      <c r="I1254" s="109">
        <f t="shared" ref="I1254:I1309" si="92">F1254*G1254</f>
        <v>524.77</v>
      </c>
      <c r="J1254" s="110">
        <f t="shared" ref="J1254:J1309" si="93">F1254*H1254</f>
        <v>589.69000000000005</v>
      </c>
      <c r="K1254" s="111">
        <f t="shared" ref="K1254:K1309" si="94">G1254-H1254</f>
        <v>-12</v>
      </c>
      <c r="L1254" s="110">
        <f t="shared" ref="L1254:L1309" si="95">I1254-J1254</f>
        <v>-64.920000000000073</v>
      </c>
      <c r="M1254" s="112"/>
    </row>
    <row r="1255" spans="2:13" s="52" customFormat="1" ht="19.5" customHeight="1">
      <c r="B1255" s="108">
        <v>10</v>
      </c>
      <c r="C1255" s="139" t="s">
        <v>56</v>
      </c>
      <c r="D1255" s="108" t="s">
        <v>3401</v>
      </c>
      <c r="E1255" s="108" t="s">
        <v>3583</v>
      </c>
      <c r="F1255" s="108" t="s">
        <v>3702</v>
      </c>
      <c r="G1255" s="108">
        <v>276</v>
      </c>
      <c r="H1255" s="71">
        <f>97+8+108</f>
        <v>213</v>
      </c>
      <c r="I1255" s="109">
        <f t="shared" si="92"/>
        <v>1493.16</v>
      </c>
      <c r="J1255" s="110">
        <f t="shared" si="93"/>
        <v>1152.33</v>
      </c>
      <c r="K1255" s="111">
        <f t="shared" si="94"/>
        <v>63</v>
      </c>
      <c r="L1255" s="110">
        <f t="shared" si="95"/>
        <v>340.83000000000015</v>
      </c>
      <c r="M1255" s="112"/>
    </row>
    <row r="1256" spans="2:13" s="52" customFormat="1" ht="19.5" hidden="1" customHeight="1">
      <c r="B1256" s="108">
        <v>10</v>
      </c>
      <c r="C1256" s="139" t="s">
        <v>56</v>
      </c>
      <c r="D1256" s="108" t="s">
        <v>3402</v>
      </c>
      <c r="E1256" s="108" t="s">
        <v>3584</v>
      </c>
      <c r="F1256" s="108" t="s">
        <v>3702</v>
      </c>
      <c r="G1256" s="108">
        <v>633</v>
      </c>
      <c r="H1256" s="71">
        <f>2+511+354</f>
        <v>867</v>
      </c>
      <c r="I1256" s="109">
        <f t="shared" si="92"/>
        <v>3424.53</v>
      </c>
      <c r="J1256" s="110">
        <f t="shared" si="93"/>
        <v>4690.47</v>
      </c>
      <c r="K1256" s="111">
        <f t="shared" si="94"/>
        <v>-234</v>
      </c>
      <c r="L1256" s="110">
        <f t="shared" si="95"/>
        <v>-1265.94</v>
      </c>
      <c r="M1256" s="112"/>
    </row>
    <row r="1257" spans="2:13" s="52" customFormat="1" ht="19.5" customHeight="1">
      <c r="B1257" s="108">
        <v>10</v>
      </c>
      <c r="C1257" s="139" t="s">
        <v>56</v>
      </c>
      <c r="D1257" s="108" t="s">
        <v>3403</v>
      </c>
      <c r="E1257" s="108" t="s">
        <v>3585</v>
      </c>
      <c r="F1257" s="108" t="s">
        <v>3703</v>
      </c>
      <c r="G1257" s="108">
        <v>12</v>
      </c>
      <c r="H1257" s="71"/>
      <c r="I1257" s="109">
        <f t="shared" si="92"/>
        <v>324.36</v>
      </c>
      <c r="J1257" s="110">
        <f t="shared" si="93"/>
        <v>0</v>
      </c>
      <c r="K1257" s="111">
        <f t="shared" si="94"/>
        <v>12</v>
      </c>
      <c r="L1257" s="110">
        <f t="shared" si="95"/>
        <v>324.36</v>
      </c>
      <c r="M1257" s="112"/>
    </row>
    <row r="1258" spans="2:13" s="52" customFormat="1" ht="19.5" hidden="1" customHeight="1">
      <c r="B1258" s="108">
        <v>10</v>
      </c>
      <c r="C1258" s="139" t="s">
        <v>56</v>
      </c>
      <c r="D1258" s="108" t="s">
        <v>3404</v>
      </c>
      <c r="E1258" s="108" t="s">
        <v>3586</v>
      </c>
      <c r="F1258" s="108" t="s">
        <v>3702</v>
      </c>
      <c r="G1258" s="108">
        <v>108</v>
      </c>
      <c r="H1258" s="71">
        <v>108</v>
      </c>
      <c r="I1258" s="109">
        <f t="shared" si="92"/>
        <v>584.28</v>
      </c>
      <c r="J1258" s="110">
        <f t="shared" si="93"/>
        <v>584.28</v>
      </c>
      <c r="K1258" s="111">
        <f t="shared" si="94"/>
        <v>0</v>
      </c>
      <c r="L1258" s="110">
        <f t="shared" si="95"/>
        <v>0</v>
      </c>
      <c r="M1258" s="112"/>
    </row>
    <row r="1259" spans="2:13" s="52" customFormat="1" ht="19.5" customHeight="1">
      <c r="B1259" s="108">
        <v>10</v>
      </c>
      <c r="C1259" s="139" t="s">
        <v>56</v>
      </c>
      <c r="D1259" s="108" t="s">
        <v>3405</v>
      </c>
      <c r="E1259" s="108" t="s">
        <v>3587</v>
      </c>
      <c r="F1259" s="108" t="s">
        <v>3704</v>
      </c>
      <c r="G1259" s="108">
        <v>637</v>
      </c>
      <c r="H1259" s="71"/>
      <c r="I1259" s="109">
        <f t="shared" si="92"/>
        <v>4057.69</v>
      </c>
      <c r="J1259" s="110">
        <f t="shared" si="93"/>
        <v>0</v>
      </c>
      <c r="K1259" s="111">
        <f t="shared" si="94"/>
        <v>637</v>
      </c>
      <c r="L1259" s="110">
        <f t="shared" si="95"/>
        <v>4057.69</v>
      </c>
      <c r="M1259" s="112"/>
    </row>
    <row r="1260" spans="2:13" s="52" customFormat="1" ht="19.5" customHeight="1">
      <c r="B1260" s="108">
        <v>10</v>
      </c>
      <c r="C1260" s="139" t="s">
        <v>56</v>
      </c>
      <c r="D1260" s="108" t="s">
        <v>3406</v>
      </c>
      <c r="E1260" s="108" t="s">
        <v>3588</v>
      </c>
      <c r="F1260" s="108" t="s">
        <v>3702</v>
      </c>
      <c r="G1260" s="108">
        <v>217</v>
      </c>
      <c r="H1260" s="71">
        <f>87+1+108</f>
        <v>196</v>
      </c>
      <c r="I1260" s="109">
        <f t="shared" si="92"/>
        <v>1173.97</v>
      </c>
      <c r="J1260" s="110">
        <f t="shared" si="93"/>
        <v>1060.3600000000001</v>
      </c>
      <c r="K1260" s="111">
        <f t="shared" si="94"/>
        <v>21</v>
      </c>
      <c r="L1260" s="110">
        <f t="shared" si="95"/>
        <v>113.6099999999999</v>
      </c>
      <c r="M1260" s="112"/>
    </row>
    <row r="1261" spans="2:13" s="52" customFormat="1" ht="19.5" hidden="1" customHeight="1">
      <c r="B1261" s="108">
        <v>10</v>
      </c>
      <c r="C1261" s="139" t="s">
        <v>56</v>
      </c>
      <c r="D1261" s="108" t="s">
        <v>3407</v>
      </c>
      <c r="E1261" s="108" t="s">
        <v>3589</v>
      </c>
      <c r="F1261" s="108" t="s">
        <v>3704</v>
      </c>
      <c r="G1261" s="108">
        <v>329</v>
      </c>
      <c r="H1261" s="71">
        <f>162+486</f>
        <v>648</v>
      </c>
      <c r="I1261" s="109">
        <f t="shared" si="92"/>
        <v>2095.73</v>
      </c>
      <c r="J1261" s="110">
        <f t="shared" si="93"/>
        <v>4127.76</v>
      </c>
      <c r="K1261" s="111">
        <f t="shared" si="94"/>
        <v>-319</v>
      </c>
      <c r="L1261" s="110">
        <f t="shared" si="95"/>
        <v>-2032.0300000000002</v>
      </c>
      <c r="M1261" s="112"/>
    </row>
    <row r="1262" spans="2:13" s="52" customFormat="1" ht="19.5" customHeight="1">
      <c r="B1262" s="108">
        <v>10</v>
      </c>
      <c r="C1262" s="139" t="s">
        <v>56</v>
      </c>
      <c r="D1262" s="108" t="s">
        <v>3408</v>
      </c>
      <c r="E1262" s="108" t="s">
        <v>3590</v>
      </c>
      <c r="F1262" s="108" t="s">
        <v>3704</v>
      </c>
      <c r="G1262" s="108">
        <v>882</v>
      </c>
      <c r="H1262" s="71">
        <v>120</v>
      </c>
      <c r="I1262" s="109">
        <f t="shared" si="92"/>
        <v>5618.34</v>
      </c>
      <c r="J1262" s="110">
        <f t="shared" si="93"/>
        <v>764.4</v>
      </c>
      <c r="K1262" s="111">
        <f t="shared" si="94"/>
        <v>762</v>
      </c>
      <c r="L1262" s="110">
        <f t="shared" si="95"/>
        <v>4853.9400000000005</v>
      </c>
      <c r="M1262" s="112"/>
    </row>
    <row r="1263" spans="2:13" s="52" customFormat="1" ht="19.5" hidden="1" customHeight="1">
      <c r="B1263" s="108">
        <v>10</v>
      </c>
      <c r="C1263" s="139" t="s">
        <v>56</v>
      </c>
      <c r="D1263" s="108" t="s">
        <v>3409</v>
      </c>
      <c r="E1263" s="108" t="s">
        <v>3591</v>
      </c>
      <c r="F1263" s="108" t="s">
        <v>3191</v>
      </c>
      <c r="G1263" s="108">
        <v>123</v>
      </c>
      <c r="H1263" s="71">
        <v>233</v>
      </c>
      <c r="I1263" s="109">
        <f t="shared" si="92"/>
        <v>4612.5</v>
      </c>
      <c r="J1263" s="110">
        <f t="shared" si="93"/>
        <v>8737.5</v>
      </c>
      <c r="K1263" s="111">
        <f t="shared" si="94"/>
        <v>-110</v>
      </c>
      <c r="L1263" s="110">
        <f t="shared" si="95"/>
        <v>-4125</v>
      </c>
      <c r="M1263" s="112"/>
    </row>
    <row r="1264" spans="2:13" s="52" customFormat="1" ht="19.5" customHeight="1">
      <c r="B1264" s="108">
        <v>10</v>
      </c>
      <c r="C1264" s="139" t="s">
        <v>56</v>
      </c>
      <c r="D1264" s="108" t="s">
        <v>3410</v>
      </c>
      <c r="E1264" s="108" t="s">
        <v>3592</v>
      </c>
      <c r="F1264" s="108" t="s">
        <v>3704</v>
      </c>
      <c r="G1264" s="108">
        <v>252</v>
      </c>
      <c r="H1264" s="71"/>
      <c r="I1264" s="109">
        <f t="shared" si="92"/>
        <v>1605.24</v>
      </c>
      <c r="J1264" s="110">
        <f t="shared" si="93"/>
        <v>0</v>
      </c>
      <c r="K1264" s="111">
        <f t="shared" si="94"/>
        <v>252</v>
      </c>
      <c r="L1264" s="110">
        <f t="shared" si="95"/>
        <v>1605.24</v>
      </c>
      <c r="M1264" s="112"/>
    </row>
    <row r="1265" spans="2:13" s="52" customFormat="1" ht="19.5" customHeight="1">
      <c r="B1265" s="108">
        <v>10</v>
      </c>
      <c r="C1265" s="139" t="s">
        <v>56</v>
      </c>
      <c r="D1265" s="108" t="s">
        <v>3411</v>
      </c>
      <c r="E1265" s="108" t="s">
        <v>3593</v>
      </c>
      <c r="F1265" s="108" t="s">
        <v>3704</v>
      </c>
      <c r="G1265" s="108">
        <v>951</v>
      </c>
      <c r="H1265" s="71">
        <f>276+428</f>
        <v>704</v>
      </c>
      <c r="I1265" s="109">
        <f t="shared" si="92"/>
        <v>6057.87</v>
      </c>
      <c r="J1265" s="110">
        <f t="shared" si="93"/>
        <v>4484.4800000000005</v>
      </c>
      <c r="K1265" s="111">
        <f t="shared" si="94"/>
        <v>247</v>
      </c>
      <c r="L1265" s="110">
        <f t="shared" si="95"/>
        <v>1573.3899999999994</v>
      </c>
      <c r="M1265" s="112"/>
    </row>
    <row r="1266" spans="2:13" s="52" customFormat="1" ht="19.5" hidden="1" customHeight="1">
      <c r="B1266" s="108">
        <v>10</v>
      </c>
      <c r="C1266" s="139" t="s">
        <v>56</v>
      </c>
      <c r="D1266" s="108" t="s">
        <v>3412</v>
      </c>
      <c r="E1266" s="108" t="s">
        <v>3594</v>
      </c>
      <c r="F1266" s="108" t="s">
        <v>3191</v>
      </c>
      <c r="G1266" s="108">
        <v>100</v>
      </c>
      <c r="H1266" s="71">
        <f>226+20</f>
        <v>246</v>
      </c>
      <c r="I1266" s="109">
        <f t="shared" si="92"/>
        <v>3750</v>
      </c>
      <c r="J1266" s="110">
        <f t="shared" si="93"/>
        <v>9225</v>
      </c>
      <c r="K1266" s="111">
        <f t="shared" si="94"/>
        <v>-146</v>
      </c>
      <c r="L1266" s="110">
        <f t="shared" si="95"/>
        <v>-5475</v>
      </c>
      <c r="M1266" s="112"/>
    </row>
    <row r="1267" spans="2:13" s="52" customFormat="1" ht="19.5" customHeight="1">
      <c r="B1267" s="108">
        <v>10</v>
      </c>
      <c r="C1267" s="139" t="s">
        <v>56</v>
      </c>
      <c r="D1267" s="108" t="s">
        <v>3413</v>
      </c>
      <c r="E1267" s="108" t="s">
        <v>3595</v>
      </c>
      <c r="F1267" s="108" t="s">
        <v>3704</v>
      </c>
      <c r="G1267" s="108">
        <v>1093</v>
      </c>
      <c r="H1267" s="71">
        <v>954</v>
      </c>
      <c r="I1267" s="109">
        <f t="shared" si="92"/>
        <v>6962.41</v>
      </c>
      <c r="J1267" s="110">
        <f t="shared" si="93"/>
        <v>6076.9800000000005</v>
      </c>
      <c r="K1267" s="111">
        <f t="shared" si="94"/>
        <v>139</v>
      </c>
      <c r="L1267" s="110">
        <f t="shared" si="95"/>
        <v>885.42999999999938</v>
      </c>
      <c r="M1267" s="112"/>
    </row>
    <row r="1268" spans="2:13" s="52" customFormat="1" ht="19.5" customHeight="1">
      <c r="B1268" s="108">
        <v>10</v>
      </c>
      <c r="C1268" s="139" t="s">
        <v>56</v>
      </c>
      <c r="D1268" s="108" t="s">
        <v>3414</v>
      </c>
      <c r="E1268" s="108" t="s">
        <v>3596</v>
      </c>
      <c r="F1268" s="108" t="s">
        <v>3704</v>
      </c>
      <c r="G1268" s="108">
        <v>844</v>
      </c>
      <c r="H1268" s="71">
        <f>79+288</f>
        <v>367</v>
      </c>
      <c r="I1268" s="109">
        <f t="shared" si="92"/>
        <v>5376.28</v>
      </c>
      <c r="J1268" s="110">
        <f t="shared" si="93"/>
        <v>2337.79</v>
      </c>
      <c r="K1268" s="111">
        <f t="shared" si="94"/>
        <v>477</v>
      </c>
      <c r="L1268" s="110">
        <f t="shared" si="95"/>
        <v>3038.49</v>
      </c>
      <c r="M1268" s="112"/>
    </row>
    <row r="1269" spans="2:13" s="52" customFormat="1" ht="19.5" hidden="1" customHeight="1">
      <c r="B1269" s="108">
        <v>10</v>
      </c>
      <c r="C1269" s="139" t="s">
        <v>56</v>
      </c>
      <c r="D1269" s="108" t="s">
        <v>3415</v>
      </c>
      <c r="E1269" s="108" t="s">
        <v>3597</v>
      </c>
      <c r="F1269" s="108" t="s">
        <v>2080</v>
      </c>
      <c r="G1269" s="108">
        <v>57</v>
      </c>
      <c r="H1269" s="71">
        <v>57</v>
      </c>
      <c r="I1269" s="109">
        <f t="shared" si="92"/>
        <v>1553.25</v>
      </c>
      <c r="J1269" s="110">
        <f t="shared" si="93"/>
        <v>1553.25</v>
      </c>
      <c r="K1269" s="111">
        <f t="shared" si="94"/>
        <v>0</v>
      </c>
      <c r="L1269" s="110">
        <f t="shared" si="95"/>
        <v>0</v>
      </c>
      <c r="M1269" s="112"/>
    </row>
    <row r="1270" spans="2:13" s="52" customFormat="1" ht="19.5" customHeight="1">
      <c r="B1270" s="108">
        <v>10</v>
      </c>
      <c r="C1270" s="139" t="s">
        <v>56</v>
      </c>
      <c r="D1270" s="108" t="s">
        <v>3416</v>
      </c>
      <c r="E1270" s="108" t="s">
        <v>3598</v>
      </c>
      <c r="F1270" s="108" t="s">
        <v>3705</v>
      </c>
      <c r="G1270" s="108">
        <v>1</v>
      </c>
      <c r="H1270" s="71"/>
      <c r="I1270" s="109">
        <f t="shared" si="92"/>
        <v>60.95</v>
      </c>
      <c r="J1270" s="110">
        <f t="shared" si="93"/>
        <v>0</v>
      </c>
      <c r="K1270" s="111">
        <f t="shared" si="94"/>
        <v>1</v>
      </c>
      <c r="L1270" s="110">
        <f t="shared" si="95"/>
        <v>60.95</v>
      </c>
      <c r="M1270" s="112"/>
    </row>
    <row r="1271" spans="2:13" s="52" customFormat="1" ht="19.5" customHeight="1">
      <c r="B1271" s="108">
        <v>10</v>
      </c>
      <c r="C1271" s="139" t="s">
        <v>56</v>
      </c>
      <c r="D1271" s="108" t="s">
        <v>3417</v>
      </c>
      <c r="E1271" s="108" t="s">
        <v>3599</v>
      </c>
      <c r="F1271" s="108" t="s">
        <v>3706</v>
      </c>
      <c r="G1271" s="108">
        <v>1</v>
      </c>
      <c r="H1271" s="71"/>
      <c r="I1271" s="109">
        <f t="shared" si="92"/>
        <v>154.75</v>
      </c>
      <c r="J1271" s="110">
        <f t="shared" si="93"/>
        <v>0</v>
      </c>
      <c r="K1271" s="111">
        <f t="shared" si="94"/>
        <v>1</v>
      </c>
      <c r="L1271" s="110">
        <f t="shared" si="95"/>
        <v>154.75</v>
      </c>
      <c r="M1271" s="112"/>
    </row>
    <row r="1272" spans="2:13" s="52" customFormat="1" ht="19.5" hidden="1" customHeight="1">
      <c r="B1272" s="108">
        <v>10</v>
      </c>
      <c r="C1272" s="139" t="s">
        <v>56</v>
      </c>
      <c r="D1272" s="108" t="s">
        <v>3418</v>
      </c>
      <c r="E1272" s="108" t="s">
        <v>3600</v>
      </c>
      <c r="F1272" s="108" t="s">
        <v>3707</v>
      </c>
      <c r="G1272" s="108">
        <v>6</v>
      </c>
      <c r="H1272" s="71">
        <v>6</v>
      </c>
      <c r="I1272" s="109">
        <f t="shared" si="92"/>
        <v>1590</v>
      </c>
      <c r="J1272" s="110">
        <f t="shared" si="93"/>
        <v>1590</v>
      </c>
      <c r="K1272" s="111">
        <f t="shared" si="94"/>
        <v>0</v>
      </c>
      <c r="L1272" s="110">
        <f t="shared" si="95"/>
        <v>0</v>
      </c>
      <c r="M1272" s="112"/>
    </row>
    <row r="1273" spans="2:13" s="52" customFormat="1" ht="19.5" customHeight="1">
      <c r="B1273" s="108">
        <v>10</v>
      </c>
      <c r="C1273" s="139" t="s">
        <v>56</v>
      </c>
      <c r="D1273" s="108" t="s">
        <v>3419</v>
      </c>
      <c r="E1273" s="108" t="s">
        <v>3601</v>
      </c>
      <c r="F1273" s="108" t="s">
        <v>3708</v>
      </c>
      <c r="G1273" s="108">
        <v>2</v>
      </c>
      <c r="H1273" s="71"/>
      <c r="I1273" s="109">
        <f t="shared" si="92"/>
        <v>326.5</v>
      </c>
      <c r="J1273" s="110">
        <f t="shared" si="93"/>
        <v>0</v>
      </c>
      <c r="K1273" s="111">
        <f t="shared" si="94"/>
        <v>2</v>
      </c>
      <c r="L1273" s="110">
        <f t="shared" si="95"/>
        <v>326.5</v>
      </c>
      <c r="M1273" s="112"/>
    </row>
    <row r="1274" spans="2:13" s="52" customFormat="1" ht="19.5" hidden="1" customHeight="1">
      <c r="B1274" s="108">
        <v>10</v>
      </c>
      <c r="C1274" s="139" t="s">
        <v>56</v>
      </c>
      <c r="D1274" s="108" t="s">
        <v>3420</v>
      </c>
      <c r="E1274" s="108" t="s">
        <v>3602</v>
      </c>
      <c r="F1274" s="108" t="s">
        <v>3709</v>
      </c>
      <c r="G1274" s="108">
        <v>6</v>
      </c>
      <c r="H1274" s="71">
        <v>6</v>
      </c>
      <c r="I1274" s="109">
        <f t="shared" si="92"/>
        <v>1661.6999999999998</v>
      </c>
      <c r="J1274" s="110">
        <f t="shared" si="93"/>
        <v>1661.6999999999998</v>
      </c>
      <c r="K1274" s="111">
        <f t="shared" si="94"/>
        <v>0</v>
      </c>
      <c r="L1274" s="110">
        <f t="shared" si="95"/>
        <v>0</v>
      </c>
      <c r="M1274" s="112"/>
    </row>
    <row r="1275" spans="2:13" s="52" customFormat="1" ht="19.5" customHeight="1">
      <c r="B1275" s="108">
        <v>10</v>
      </c>
      <c r="C1275" s="139" t="s">
        <v>56</v>
      </c>
      <c r="D1275" s="108" t="s">
        <v>3421</v>
      </c>
      <c r="E1275" s="108" t="s">
        <v>3603</v>
      </c>
      <c r="F1275" s="108" t="s">
        <v>3710</v>
      </c>
      <c r="G1275" s="108">
        <v>1</v>
      </c>
      <c r="H1275" s="71"/>
      <c r="I1275" s="109">
        <f t="shared" si="92"/>
        <v>13.17</v>
      </c>
      <c r="J1275" s="110">
        <f t="shared" si="93"/>
        <v>0</v>
      </c>
      <c r="K1275" s="111">
        <f t="shared" si="94"/>
        <v>1</v>
      </c>
      <c r="L1275" s="110">
        <f t="shared" si="95"/>
        <v>13.17</v>
      </c>
      <c r="M1275" s="112"/>
    </row>
    <row r="1276" spans="2:13" s="52" customFormat="1" ht="19.5" hidden="1" customHeight="1">
      <c r="B1276" s="108">
        <v>10</v>
      </c>
      <c r="C1276" s="139" t="s">
        <v>56</v>
      </c>
      <c r="D1276" s="108" t="s">
        <v>4710</v>
      </c>
      <c r="E1276" s="108" t="s">
        <v>4700</v>
      </c>
      <c r="F1276" s="108" t="s">
        <v>4715</v>
      </c>
      <c r="G1276" s="108">
        <v>12</v>
      </c>
      <c r="H1276" s="71">
        <v>12</v>
      </c>
      <c r="I1276" s="109">
        <f t="shared" si="92"/>
        <v>179.04</v>
      </c>
      <c r="J1276" s="110">
        <f t="shared" si="93"/>
        <v>179.04</v>
      </c>
      <c r="K1276" s="111">
        <f t="shared" si="94"/>
        <v>0</v>
      </c>
      <c r="L1276" s="110">
        <f t="shared" si="95"/>
        <v>0</v>
      </c>
      <c r="M1276" s="112"/>
    </row>
    <row r="1277" spans="2:13" s="52" customFormat="1" ht="19.5" customHeight="1">
      <c r="B1277" s="108">
        <v>10</v>
      </c>
      <c r="C1277" s="139" t="s">
        <v>56</v>
      </c>
      <c r="D1277" s="108" t="s">
        <v>3422</v>
      </c>
      <c r="E1277" s="108" t="s">
        <v>3604</v>
      </c>
      <c r="F1277" s="108" t="s">
        <v>3711</v>
      </c>
      <c r="G1277" s="108">
        <v>109</v>
      </c>
      <c r="H1277" s="71"/>
      <c r="I1277" s="109">
        <f t="shared" si="92"/>
        <v>1521.64</v>
      </c>
      <c r="J1277" s="110">
        <f t="shared" si="93"/>
        <v>0</v>
      </c>
      <c r="K1277" s="111">
        <f t="shared" si="94"/>
        <v>109</v>
      </c>
      <c r="L1277" s="110">
        <f t="shared" si="95"/>
        <v>1521.64</v>
      </c>
      <c r="M1277" s="112"/>
    </row>
    <row r="1278" spans="2:13" s="52" customFormat="1" ht="19.5" hidden="1" customHeight="1">
      <c r="B1278" s="108">
        <v>10</v>
      </c>
      <c r="C1278" s="139" t="s">
        <v>56</v>
      </c>
      <c r="D1278" s="108" t="s">
        <v>3423</v>
      </c>
      <c r="E1278" s="108" t="s">
        <v>3605</v>
      </c>
      <c r="F1278" s="108" t="s">
        <v>3712</v>
      </c>
      <c r="G1278" s="108">
        <v>185</v>
      </c>
      <c r="H1278" s="71">
        <v>228</v>
      </c>
      <c r="I1278" s="109">
        <f t="shared" si="92"/>
        <v>2669.5499999999997</v>
      </c>
      <c r="J1278" s="110">
        <f t="shared" si="93"/>
        <v>3290.04</v>
      </c>
      <c r="K1278" s="111">
        <f t="shared" si="94"/>
        <v>-43</v>
      </c>
      <c r="L1278" s="110">
        <f t="shared" si="95"/>
        <v>-620.49000000000024</v>
      </c>
      <c r="M1278" s="112"/>
    </row>
    <row r="1279" spans="2:13" s="52" customFormat="1" ht="19.5" customHeight="1">
      <c r="B1279" s="108">
        <v>10</v>
      </c>
      <c r="C1279" s="139" t="s">
        <v>56</v>
      </c>
      <c r="D1279" s="108" t="s">
        <v>3424</v>
      </c>
      <c r="E1279" s="108" t="s">
        <v>3606</v>
      </c>
      <c r="F1279" s="108" t="s">
        <v>3712</v>
      </c>
      <c r="G1279" s="108">
        <v>126</v>
      </c>
      <c r="H1279" s="71"/>
      <c r="I1279" s="109">
        <f t="shared" si="92"/>
        <v>1818.18</v>
      </c>
      <c r="J1279" s="110">
        <f t="shared" si="93"/>
        <v>0</v>
      </c>
      <c r="K1279" s="111">
        <f t="shared" si="94"/>
        <v>126</v>
      </c>
      <c r="L1279" s="110">
        <f t="shared" si="95"/>
        <v>1818.18</v>
      </c>
      <c r="M1279" s="112"/>
    </row>
    <row r="1280" spans="2:13" s="52" customFormat="1" ht="19.5" hidden="1" customHeight="1">
      <c r="B1280" s="108">
        <v>10</v>
      </c>
      <c r="C1280" s="139" t="s">
        <v>56</v>
      </c>
      <c r="D1280" s="108" t="s">
        <v>3425</v>
      </c>
      <c r="E1280" s="108" t="s">
        <v>3607</v>
      </c>
      <c r="F1280" s="108" t="s">
        <v>3713</v>
      </c>
      <c r="G1280" s="108">
        <v>18</v>
      </c>
      <c r="H1280" s="71">
        <v>18</v>
      </c>
      <c r="I1280" s="109">
        <f t="shared" si="92"/>
        <v>203.21999999999997</v>
      </c>
      <c r="J1280" s="110">
        <f t="shared" si="93"/>
        <v>203.21999999999997</v>
      </c>
      <c r="K1280" s="111">
        <f t="shared" si="94"/>
        <v>0</v>
      </c>
      <c r="L1280" s="110">
        <f t="shared" si="95"/>
        <v>0</v>
      </c>
      <c r="M1280" s="112"/>
    </row>
    <row r="1281" spans="2:13" s="52" customFormat="1" ht="19.5" customHeight="1">
      <c r="B1281" s="108">
        <v>10</v>
      </c>
      <c r="C1281" s="139" t="s">
        <v>56</v>
      </c>
      <c r="D1281" s="108" t="s">
        <v>3426</v>
      </c>
      <c r="E1281" s="108" t="s">
        <v>3608</v>
      </c>
      <c r="F1281" s="108" t="s">
        <v>3064</v>
      </c>
      <c r="G1281" s="108">
        <v>5</v>
      </c>
      <c r="H1281" s="71">
        <v>4</v>
      </c>
      <c r="I1281" s="109">
        <f t="shared" si="92"/>
        <v>135</v>
      </c>
      <c r="J1281" s="110">
        <f t="shared" si="93"/>
        <v>108</v>
      </c>
      <c r="K1281" s="111">
        <f t="shared" si="94"/>
        <v>1</v>
      </c>
      <c r="L1281" s="110">
        <f t="shared" si="95"/>
        <v>27</v>
      </c>
      <c r="M1281" s="112"/>
    </row>
    <row r="1282" spans="2:13" s="52" customFormat="1" ht="19.5" hidden="1" customHeight="1">
      <c r="B1282" s="108">
        <v>10</v>
      </c>
      <c r="C1282" s="139" t="s">
        <v>56</v>
      </c>
      <c r="D1282" s="108" t="s">
        <v>3427</v>
      </c>
      <c r="E1282" s="108" t="s">
        <v>3609</v>
      </c>
      <c r="F1282" s="108" t="s">
        <v>3714</v>
      </c>
      <c r="G1282" s="108">
        <v>9</v>
      </c>
      <c r="H1282" s="71">
        <v>9</v>
      </c>
      <c r="I1282" s="109">
        <f t="shared" si="92"/>
        <v>320.58</v>
      </c>
      <c r="J1282" s="110">
        <f t="shared" si="93"/>
        <v>320.58</v>
      </c>
      <c r="K1282" s="111">
        <f t="shared" si="94"/>
        <v>0</v>
      </c>
      <c r="L1282" s="110">
        <f t="shared" si="95"/>
        <v>0</v>
      </c>
      <c r="M1282" s="112"/>
    </row>
    <row r="1283" spans="2:13" s="52" customFormat="1" ht="19.5" customHeight="1">
      <c r="B1283" s="108">
        <v>10</v>
      </c>
      <c r="C1283" s="139" t="s">
        <v>56</v>
      </c>
      <c r="D1283" s="108" t="s">
        <v>3428</v>
      </c>
      <c r="E1283" s="108" t="s">
        <v>3610</v>
      </c>
      <c r="F1283" s="108" t="s">
        <v>3715</v>
      </c>
      <c r="G1283" s="108">
        <v>1</v>
      </c>
      <c r="H1283" s="71"/>
      <c r="I1283" s="109">
        <f t="shared" si="92"/>
        <v>200</v>
      </c>
      <c r="J1283" s="110">
        <f t="shared" si="93"/>
        <v>0</v>
      </c>
      <c r="K1283" s="111">
        <f t="shared" si="94"/>
        <v>1</v>
      </c>
      <c r="L1283" s="110">
        <f t="shared" si="95"/>
        <v>200</v>
      </c>
      <c r="M1283" s="112"/>
    </row>
    <row r="1284" spans="2:13" s="52" customFormat="1" ht="19.5" hidden="1" customHeight="1">
      <c r="B1284" s="108">
        <v>10</v>
      </c>
      <c r="C1284" s="139" t="s">
        <v>56</v>
      </c>
      <c r="D1284" s="108" t="s">
        <v>3429</v>
      </c>
      <c r="E1284" s="108" t="s">
        <v>3611</v>
      </c>
      <c r="F1284" s="108" t="s">
        <v>3716</v>
      </c>
      <c r="G1284" s="108">
        <v>11</v>
      </c>
      <c r="H1284" s="71">
        <v>18</v>
      </c>
      <c r="I1284" s="109">
        <f t="shared" si="92"/>
        <v>2373.25</v>
      </c>
      <c r="J1284" s="110">
        <f t="shared" si="93"/>
        <v>3883.5</v>
      </c>
      <c r="K1284" s="111">
        <f t="shared" si="94"/>
        <v>-7</v>
      </c>
      <c r="L1284" s="110">
        <f t="shared" si="95"/>
        <v>-1510.25</v>
      </c>
      <c r="M1284" s="112"/>
    </row>
    <row r="1285" spans="2:13" s="52" customFormat="1" ht="19.5" customHeight="1">
      <c r="B1285" s="108">
        <v>10</v>
      </c>
      <c r="C1285" s="139" t="s">
        <v>56</v>
      </c>
      <c r="D1285" s="108" t="s">
        <v>3430</v>
      </c>
      <c r="E1285" s="108" t="s">
        <v>3612</v>
      </c>
      <c r="F1285" s="108" t="s">
        <v>2409</v>
      </c>
      <c r="G1285" s="108">
        <v>59</v>
      </c>
      <c r="H1285" s="71">
        <f>36+22</f>
        <v>58</v>
      </c>
      <c r="I1285" s="109">
        <f t="shared" si="92"/>
        <v>1119.82</v>
      </c>
      <c r="J1285" s="110">
        <f t="shared" si="93"/>
        <v>1100.8399999999999</v>
      </c>
      <c r="K1285" s="111">
        <f t="shared" si="94"/>
        <v>1</v>
      </c>
      <c r="L1285" s="110">
        <f t="shared" si="95"/>
        <v>18.980000000000018</v>
      </c>
      <c r="M1285" s="112"/>
    </row>
    <row r="1286" spans="2:13" s="52" customFormat="1" ht="19.5" hidden="1" customHeight="1">
      <c r="B1286" s="108">
        <v>10</v>
      </c>
      <c r="C1286" s="139" t="s">
        <v>56</v>
      </c>
      <c r="D1286" s="108" t="s">
        <v>3431</v>
      </c>
      <c r="E1286" s="108" t="s">
        <v>3613</v>
      </c>
      <c r="F1286" s="108" t="s">
        <v>767</v>
      </c>
      <c r="G1286" s="108">
        <v>83</v>
      </c>
      <c r="H1286" s="71">
        <v>84</v>
      </c>
      <c r="I1286" s="109">
        <f t="shared" si="92"/>
        <v>454.01</v>
      </c>
      <c r="J1286" s="110">
        <f t="shared" si="93"/>
        <v>459.47999999999996</v>
      </c>
      <c r="K1286" s="111">
        <f t="shared" si="94"/>
        <v>-1</v>
      </c>
      <c r="L1286" s="110">
        <f t="shared" si="95"/>
        <v>-5.4699999999999704</v>
      </c>
      <c r="M1286" s="112"/>
    </row>
    <row r="1287" spans="2:13" s="52" customFormat="1" ht="19.5" hidden="1" customHeight="1">
      <c r="B1287" s="108">
        <v>10</v>
      </c>
      <c r="C1287" s="139" t="s">
        <v>56</v>
      </c>
      <c r="D1287" s="108" t="s">
        <v>3432</v>
      </c>
      <c r="E1287" s="108" t="s">
        <v>3614</v>
      </c>
      <c r="F1287" s="108" t="s">
        <v>3717</v>
      </c>
      <c r="G1287" s="108">
        <v>294</v>
      </c>
      <c r="H1287" s="71">
        <f>165+204</f>
        <v>369</v>
      </c>
      <c r="I1287" s="109">
        <f t="shared" si="92"/>
        <v>1666.98</v>
      </c>
      <c r="J1287" s="110">
        <f t="shared" si="93"/>
        <v>2092.23</v>
      </c>
      <c r="K1287" s="111">
        <f t="shared" si="94"/>
        <v>-75</v>
      </c>
      <c r="L1287" s="110">
        <f t="shared" si="95"/>
        <v>-425.25</v>
      </c>
      <c r="M1287" s="112"/>
    </row>
    <row r="1288" spans="2:13" s="52" customFormat="1" ht="19.5" hidden="1" customHeight="1">
      <c r="B1288" s="108">
        <v>10</v>
      </c>
      <c r="C1288" s="139" t="s">
        <v>56</v>
      </c>
      <c r="D1288" s="108" t="s">
        <v>3433</v>
      </c>
      <c r="E1288" s="108" t="s">
        <v>3615</v>
      </c>
      <c r="F1288" s="108" t="s">
        <v>3717</v>
      </c>
      <c r="G1288" s="108">
        <v>14</v>
      </c>
      <c r="H1288" s="71">
        <f>165+204</f>
        <v>369</v>
      </c>
      <c r="I1288" s="109">
        <f t="shared" si="92"/>
        <v>79.38</v>
      </c>
      <c r="J1288" s="110">
        <f t="shared" si="93"/>
        <v>2092.23</v>
      </c>
      <c r="K1288" s="111">
        <f t="shared" si="94"/>
        <v>-355</v>
      </c>
      <c r="L1288" s="110">
        <f t="shared" si="95"/>
        <v>-2012.85</v>
      </c>
      <c r="M1288" s="112"/>
    </row>
    <row r="1289" spans="2:13" s="52" customFormat="1" ht="19.5" hidden="1" customHeight="1">
      <c r="B1289" s="108">
        <v>10</v>
      </c>
      <c r="C1289" s="139" t="s">
        <v>56</v>
      </c>
      <c r="D1289" s="108" t="s">
        <v>3434</v>
      </c>
      <c r="E1289" s="108" t="s">
        <v>3616</v>
      </c>
      <c r="F1289" s="108" t="s">
        <v>3263</v>
      </c>
      <c r="G1289" s="108">
        <v>57</v>
      </c>
      <c r="H1289" s="71">
        <f>48+78</f>
        <v>126</v>
      </c>
      <c r="I1289" s="109">
        <f t="shared" si="92"/>
        <v>285</v>
      </c>
      <c r="J1289" s="110">
        <f t="shared" si="93"/>
        <v>630</v>
      </c>
      <c r="K1289" s="111">
        <f t="shared" si="94"/>
        <v>-69</v>
      </c>
      <c r="L1289" s="110">
        <f t="shared" si="95"/>
        <v>-345</v>
      </c>
      <c r="M1289" s="112"/>
    </row>
    <row r="1290" spans="2:13" s="52" customFormat="1" ht="19.5" customHeight="1">
      <c r="B1290" s="108">
        <v>10</v>
      </c>
      <c r="C1290" s="139" t="s">
        <v>56</v>
      </c>
      <c r="D1290" s="108" t="s">
        <v>3435</v>
      </c>
      <c r="E1290" s="108" t="s">
        <v>3617</v>
      </c>
      <c r="F1290" s="108" t="s">
        <v>3718</v>
      </c>
      <c r="G1290" s="108">
        <v>12</v>
      </c>
      <c r="H1290" s="71"/>
      <c r="I1290" s="109">
        <f t="shared" si="92"/>
        <v>54.480000000000004</v>
      </c>
      <c r="J1290" s="110">
        <f t="shared" si="93"/>
        <v>0</v>
      </c>
      <c r="K1290" s="111">
        <f t="shared" si="94"/>
        <v>12</v>
      </c>
      <c r="L1290" s="110">
        <f t="shared" si="95"/>
        <v>54.480000000000004</v>
      </c>
      <c r="M1290" s="112"/>
    </row>
    <row r="1291" spans="2:13" s="52" customFormat="1" ht="19.5" customHeight="1">
      <c r="B1291" s="108">
        <v>10</v>
      </c>
      <c r="C1291" s="139" t="s">
        <v>56</v>
      </c>
      <c r="D1291" s="108" t="s">
        <v>3436</v>
      </c>
      <c r="E1291" s="108" t="s">
        <v>3618</v>
      </c>
      <c r="F1291" s="108" t="s">
        <v>3263</v>
      </c>
      <c r="G1291" s="108">
        <v>18</v>
      </c>
      <c r="H1291" s="71">
        <f>5+6</f>
        <v>11</v>
      </c>
      <c r="I1291" s="109">
        <f t="shared" si="92"/>
        <v>90</v>
      </c>
      <c r="J1291" s="110">
        <f t="shared" si="93"/>
        <v>55</v>
      </c>
      <c r="K1291" s="111">
        <f t="shared" si="94"/>
        <v>7</v>
      </c>
      <c r="L1291" s="110">
        <f t="shared" si="95"/>
        <v>35</v>
      </c>
      <c r="M1291" s="112"/>
    </row>
    <row r="1292" spans="2:13" s="52" customFormat="1" ht="19.5" customHeight="1">
      <c r="B1292" s="108">
        <v>10</v>
      </c>
      <c r="C1292" s="139" t="s">
        <v>56</v>
      </c>
      <c r="D1292" s="108" t="s">
        <v>3437</v>
      </c>
      <c r="E1292" s="108" t="s">
        <v>3619</v>
      </c>
      <c r="F1292" s="108" t="s">
        <v>3263</v>
      </c>
      <c r="G1292" s="108">
        <v>25</v>
      </c>
      <c r="H1292" s="71">
        <f>6+6</f>
        <v>12</v>
      </c>
      <c r="I1292" s="109">
        <f t="shared" si="92"/>
        <v>125</v>
      </c>
      <c r="J1292" s="110">
        <f t="shared" si="93"/>
        <v>60</v>
      </c>
      <c r="K1292" s="111">
        <f t="shared" si="94"/>
        <v>13</v>
      </c>
      <c r="L1292" s="110">
        <f t="shared" si="95"/>
        <v>65</v>
      </c>
      <c r="M1292" s="112"/>
    </row>
    <row r="1293" spans="2:13" s="52" customFormat="1" ht="19.5" hidden="1" customHeight="1">
      <c r="B1293" s="108">
        <v>10</v>
      </c>
      <c r="C1293" s="139" t="s">
        <v>56</v>
      </c>
      <c r="D1293" s="108" t="s">
        <v>3438</v>
      </c>
      <c r="E1293" s="108" t="s">
        <v>3620</v>
      </c>
      <c r="F1293" s="108" t="s">
        <v>3719</v>
      </c>
      <c r="G1293" s="108">
        <v>2</v>
      </c>
      <c r="H1293" s="71">
        <v>2</v>
      </c>
      <c r="I1293" s="109">
        <f t="shared" si="92"/>
        <v>86</v>
      </c>
      <c r="J1293" s="110">
        <f t="shared" si="93"/>
        <v>86</v>
      </c>
      <c r="K1293" s="111">
        <f t="shared" si="94"/>
        <v>0</v>
      </c>
      <c r="L1293" s="110">
        <f t="shared" si="95"/>
        <v>0</v>
      </c>
      <c r="M1293" s="112"/>
    </row>
    <row r="1294" spans="2:13" s="52" customFormat="1" ht="19.5" hidden="1" customHeight="1">
      <c r="B1294" s="108">
        <v>10</v>
      </c>
      <c r="C1294" s="139" t="s">
        <v>56</v>
      </c>
      <c r="D1294" s="108" t="s">
        <v>3439</v>
      </c>
      <c r="E1294" s="108" t="s">
        <v>3621</v>
      </c>
      <c r="F1294" s="108" t="s">
        <v>3721</v>
      </c>
      <c r="G1294" s="108">
        <v>72</v>
      </c>
      <c r="H1294" s="71">
        <v>72</v>
      </c>
      <c r="I1294" s="109">
        <f t="shared" si="92"/>
        <v>650.16</v>
      </c>
      <c r="J1294" s="110">
        <f t="shared" si="93"/>
        <v>650.16</v>
      </c>
      <c r="K1294" s="111">
        <f t="shared" si="94"/>
        <v>0</v>
      </c>
      <c r="L1294" s="110">
        <f t="shared" si="95"/>
        <v>0</v>
      </c>
      <c r="M1294" s="112"/>
    </row>
    <row r="1295" spans="2:13" s="52" customFormat="1" ht="19.5" customHeight="1">
      <c r="B1295" s="108">
        <v>10</v>
      </c>
      <c r="C1295" s="139" t="s">
        <v>56</v>
      </c>
      <c r="D1295" s="108" t="s">
        <v>3439</v>
      </c>
      <c r="E1295" s="108" t="s">
        <v>3621</v>
      </c>
      <c r="F1295" s="108" t="s">
        <v>3720</v>
      </c>
      <c r="G1295" s="108">
        <v>153</v>
      </c>
      <c r="H1295" s="71"/>
      <c r="I1295" s="109">
        <f t="shared" si="92"/>
        <v>1161.27</v>
      </c>
      <c r="J1295" s="110">
        <f t="shared" si="93"/>
        <v>0</v>
      </c>
      <c r="K1295" s="111">
        <f t="shared" si="94"/>
        <v>153</v>
      </c>
      <c r="L1295" s="110">
        <f t="shared" si="95"/>
        <v>1161.27</v>
      </c>
      <c r="M1295" s="112"/>
    </row>
    <row r="1296" spans="2:13" s="52" customFormat="1" ht="19.5" customHeight="1">
      <c r="B1296" s="108">
        <v>10</v>
      </c>
      <c r="C1296" s="139" t="s">
        <v>56</v>
      </c>
      <c r="D1296" s="108" t="s">
        <v>3440</v>
      </c>
      <c r="E1296" s="108" t="s">
        <v>3622</v>
      </c>
      <c r="F1296" s="108" t="s">
        <v>3722</v>
      </c>
      <c r="G1296" s="108">
        <v>16</v>
      </c>
      <c r="H1296" s="71">
        <v>11</v>
      </c>
      <c r="I1296" s="109">
        <f t="shared" si="92"/>
        <v>638.08000000000004</v>
      </c>
      <c r="J1296" s="110">
        <f t="shared" si="93"/>
        <v>438.68</v>
      </c>
      <c r="K1296" s="111">
        <f t="shared" si="94"/>
        <v>5</v>
      </c>
      <c r="L1296" s="110">
        <f t="shared" si="95"/>
        <v>199.40000000000003</v>
      </c>
      <c r="M1296" s="112"/>
    </row>
    <row r="1297" spans="2:13" s="52" customFormat="1" ht="19.5" hidden="1" customHeight="1">
      <c r="B1297" s="108">
        <v>10</v>
      </c>
      <c r="C1297" s="139" t="s">
        <v>56</v>
      </c>
      <c r="D1297" s="108" t="s">
        <v>3441</v>
      </c>
      <c r="E1297" s="108" t="s">
        <v>3623</v>
      </c>
      <c r="F1297" s="108" t="s">
        <v>1816</v>
      </c>
      <c r="G1297" s="108">
        <v>48</v>
      </c>
      <c r="H1297" s="71">
        <f>47+1</f>
        <v>48</v>
      </c>
      <c r="I1297" s="109">
        <f t="shared" si="92"/>
        <v>729.59999999999991</v>
      </c>
      <c r="J1297" s="110">
        <f t="shared" si="93"/>
        <v>729.59999999999991</v>
      </c>
      <c r="K1297" s="111">
        <f t="shared" si="94"/>
        <v>0</v>
      </c>
      <c r="L1297" s="110">
        <f t="shared" si="95"/>
        <v>0</v>
      </c>
      <c r="M1297" s="112"/>
    </row>
    <row r="1298" spans="2:13" s="52" customFormat="1" ht="19.5" customHeight="1">
      <c r="B1298" s="108">
        <v>10</v>
      </c>
      <c r="C1298" s="139" t="s">
        <v>56</v>
      </c>
      <c r="D1298" s="108" t="s">
        <v>3441</v>
      </c>
      <c r="E1298" s="108" t="s">
        <v>3623</v>
      </c>
      <c r="F1298" s="108" t="s">
        <v>3723</v>
      </c>
      <c r="G1298" s="108">
        <v>148</v>
      </c>
      <c r="H1298" s="71">
        <v>7</v>
      </c>
      <c r="I1298" s="109">
        <f t="shared" si="92"/>
        <v>2242.2000000000003</v>
      </c>
      <c r="J1298" s="110">
        <f t="shared" si="93"/>
        <v>106.05</v>
      </c>
      <c r="K1298" s="111">
        <f t="shared" si="94"/>
        <v>141</v>
      </c>
      <c r="L1298" s="110">
        <f t="shared" si="95"/>
        <v>2136.15</v>
      </c>
      <c r="M1298" s="112"/>
    </row>
    <row r="1299" spans="2:13" s="52" customFormat="1" ht="19.5" customHeight="1">
      <c r="B1299" s="108">
        <v>10</v>
      </c>
      <c r="C1299" s="139" t="s">
        <v>56</v>
      </c>
      <c r="D1299" s="108" t="s">
        <v>3442</v>
      </c>
      <c r="E1299" s="108" t="s">
        <v>3624</v>
      </c>
      <c r="F1299" s="108" t="s">
        <v>3724</v>
      </c>
      <c r="G1299" s="108">
        <v>158</v>
      </c>
      <c r="H1299" s="71">
        <f>31+36+20</f>
        <v>87</v>
      </c>
      <c r="I1299" s="109">
        <f t="shared" si="92"/>
        <v>3694.04</v>
      </c>
      <c r="J1299" s="110">
        <f t="shared" si="93"/>
        <v>2034.06</v>
      </c>
      <c r="K1299" s="111">
        <f t="shared" si="94"/>
        <v>71</v>
      </c>
      <c r="L1299" s="110">
        <f t="shared" si="95"/>
        <v>1659.98</v>
      </c>
      <c r="M1299" s="112"/>
    </row>
    <row r="1300" spans="2:13" s="52" customFormat="1" ht="19.5" customHeight="1">
      <c r="B1300" s="108">
        <v>10</v>
      </c>
      <c r="C1300" s="139" t="s">
        <v>56</v>
      </c>
      <c r="D1300" s="108" t="s">
        <v>3443</v>
      </c>
      <c r="E1300" s="108" t="s">
        <v>3625</v>
      </c>
      <c r="F1300" s="108" t="s">
        <v>3726</v>
      </c>
      <c r="G1300" s="108">
        <v>20</v>
      </c>
      <c r="H1300" s="71">
        <v>19</v>
      </c>
      <c r="I1300" s="109">
        <f t="shared" si="92"/>
        <v>163.19999999999999</v>
      </c>
      <c r="J1300" s="110">
        <f t="shared" si="93"/>
        <v>155.04</v>
      </c>
      <c r="K1300" s="111">
        <f t="shared" si="94"/>
        <v>1</v>
      </c>
      <c r="L1300" s="110">
        <f t="shared" si="95"/>
        <v>8.1599999999999966</v>
      </c>
      <c r="M1300" s="112"/>
    </row>
    <row r="1301" spans="2:13" s="52" customFormat="1" ht="19.5" hidden="1" customHeight="1">
      <c r="B1301" s="108">
        <v>10</v>
      </c>
      <c r="C1301" s="139" t="s">
        <v>56</v>
      </c>
      <c r="D1301" s="108" t="s">
        <v>3444</v>
      </c>
      <c r="E1301" s="108" t="s">
        <v>3626</v>
      </c>
      <c r="F1301" s="108" t="s">
        <v>3727</v>
      </c>
      <c r="G1301" s="108">
        <v>31</v>
      </c>
      <c r="H1301" s="71">
        <v>31</v>
      </c>
      <c r="I1301" s="109">
        <f t="shared" si="92"/>
        <v>648.21</v>
      </c>
      <c r="J1301" s="110">
        <f t="shared" si="93"/>
        <v>648.21</v>
      </c>
      <c r="K1301" s="111">
        <f t="shared" si="94"/>
        <v>0</v>
      </c>
      <c r="L1301" s="110">
        <f t="shared" si="95"/>
        <v>0</v>
      </c>
      <c r="M1301" s="112"/>
    </row>
    <row r="1302" spans="2:13" s="52" customFormat="1" ht="19.5" customHeight="1">
      <c r="B1302" s="108">
        <v>10</v>
      </c>
      <c r="C1302" s="139" t="s">
        <v>56</v>
      </c>
      <c r="D1302" s="108" t="s">
        <v>3445</v>
      </c>
      <c r="E1302" s="108" t="s">
        <v>3627</v>
      </c>
      <c r="F1302" s="108" t="s">
        <v>3728</v>
      </c>
      <c r="G1302" s="108">
        <v>76</v>
      </c>
      <c r="H1302" s="71">
        <v>57</v>
      </c>
      <c r="I1302" s="109">
        <f t="shared" si="92"/>
        <v>1783.7199999999998</v>
      </c>
      <c r="J1302" s="110">
        <f t="shared" si="93"/>
        <v>1337.79</v>
      </c>
      <c r="K1302" s="111">
        <f t="shared" si="94"/>
        <v>19</v>
      </c>
      <c r="L1302" s="110">
        <f t="shared" si="95"/>
        <v>445.92999999999984</v>
      </c>
      <c r="M1302" s="112"/>
    </row>
    <row r="1303" spans="2:13" s="52" customFormat="1" ht="19.5" customHeight="1">
      <c r="B1303" s="108">
        <v>10</v>
      </c>
      <c r="C1303" s="139" t="s">
        <v>56</v>
      </c>
      <c r="D1303" s="108" t="s">
        <v>3446</v>
      </c>
      <c r="E1303" s="108" t="s">
        <v>3628</v>
      </c>
      <c r="F1303" s="108" t="s">
        <v>3729</v>
      </c>
      <c r="G1303" s="108">
        <v>81</v>
      </c>
      <c r="H1303" s="71">
        <v>67</v>
      </c>
      <c r="I1303" s="109">
        <f t="shared" si="92"/>
        <v>3078.81</v>
      </c>
      <c r="J1303" s="110">
        <f t="shared" si="93"/>
        <v>2546.67</v>
      </c>
      <c r="K1303" s="111">
        <f t="shared" si="94"/>
        <v>14</v>
      </c>
      <c r="L1303" s="110">
        <f t="shared" si="95"/>
        <v>532.13999999999987</v>
      </c>
      <c r="M1303" s="112"/>
    </row>
    <row r="1304" spans="2:13" s="52" customFormat="1" ht="19.5" customHeight="1">
      <c r="B1304" s="108">
        <v>10</v>
      </c>
      <c r="C1304" s="139" t="s">
        <v>56</v>
      </c>
      <c r="D1304" s="108" t="s">
        <v>3446</v>
      </c>
      <c r="E1304" s="108" t="s">
        <v>3628</v>
      </c>
      <c r="F1304" s="108" t="s">
        <v>3730</v>
      </c>
      <c r="G1304" s="108">
        <v>72</v>
      </c>
      <c r="H1304" s="71">
        <v>65</v>
      </c>
      <c r="I1304" s="109">
        <f t="shared" si="92"/>
        <v>2710.08</v>
      </c>
      <c r="J1304" s="110">
        <f t="shared" si="93"/>
        <v>2446.6</v>
      </c>
      <c r="K1304" s="111">
        <f t="shared" si="94"/>
        <v>7</v>
      </c>
      <c r="L1304" s="110">
        <f t="shared" si="95"/>
        <v>263.48</v>
      </c>
      <c r="M1304" s="112"/>
    </row>
    <row r="1305" spans="2:13" s="52" customFormat="1" ht="19.5" customHeight="1">
      <c r="B1305" s="108">
        <v>10</v>
      </c>
      <c r="C1305" s="139" t="s">
        <v>56</v>
      </c>
      <c r="D1305" s="108" t="s">
        <v>3447</v>
      </c>
      <c r="E1305" s="108" t="s">
        <v>3629</v>
      </c>
      <c r="F1305" s="108" t="s">
        <v>3731</v>
      </c>
      <c r="G1305" s="108">
        <v>20</v>
      </c>
      <c r="H1305" s="71">
        <v>18</v>
      </c>
      <c r="I1305" s="109">
        <f t="shared" si="92"/>
        <v>1319.8</v>
      </c>
      <c r="J1305" s="110">
        <f t="shared" si="93"/>
        <v>1187.82</v>
      </c>
      <c r="K1305" s="111">
        <f t="shared" si="94"/>
        <v>2</v>
      </c>
      <c r="L1305" s="110">
        <f t="shared" si="95"/>
        <v>131.98000000000002</v>
      </c>
      <c r="M1305" s="112"/>
    </row>
    <row r="1306" spans="2:13" s="52" customFormat="1" ht="19.5" customHeight="1">
      <c r="B1306" s="108">
        <v>10</v>
      </c>
      <c r="C1306" s="139" t="s">
        <v>56</v>
      </c>
      <c r="D1306" s="108" t="s">
        <v>3448</v>
      </c>
      <c r="E1306" s="108" t="s">
        <v>3630</v>
      </c>
      <c r="F1306" s="108" t="s">
        <v>1431</v>
      </c>
      <c r="G1306" s="108">
        <v>55</v>
      </c>
      <c r="H1306" s="71">
        <f>1+24</f>
        <v>25</v>
      </c>
      <c r="I1306" s="109">
        <f t="shared" si="92"/>
        <v>622.6</v>
      </c>
      <c r="J1306" s="110">
        <f t="shared" si="93"/>
        <v>283</v>
      </c>
      <c r="K1306" s="111">
        <f t="shared" si="94"/>
        <v>30</v>
      </c>
      <c r="L1306" s="110">
        <f t="shared" si="95"/>
        <v>339.6</v>
      </c>
      <c r="M1306" s="112"/>
    </row>
    <row r="1307" spans="2:13" s="52" customFormat="1" ht="19.5" hidden="1" customHeight="1">
      <c r="B1307" s="108">
        <v>10</v>
      </c>
      <c r="C1307" s="139" t="s">
        <v>56</v>
      </c>
      <c r="D1307" s="108" t="s">
        <v>3449</v>
      </c>
      <c r="E1307" s="108" t="s">
        <v>3631</v>
      </c>
      <c r="F1307" s="108" t="s">
        <v>3732</v>
      </c>
      <c r="G1307" s="108">
        <v>23</v>
      </c>
      <c r="H1307" s="71">
        <v>24</v>
      </c>
      <c r="I1307" s="109">
        <f t="shared" si="92"/>
        <v>499.79</v>
      </c>
      <c r="J1307" s="110">
        <f t="shared" si="93"/>
        <v>521.52</v>
      </c>
      <c r="K1307" s="111">
        <f t="shared" si="94"/>
        <v>-1</v>
      </c>
      <c r="L1307" s="110">
        <f t="shared" si="95"/>
        <v>-21.729999999999961</v>
      </c>
      <c r="M1307" s="112"/>
    </row>
    <row r="1308" spans="2:13" s="52" customFormat="1" ht="19.5" hidden="1" customHeight="1">
      <c r="B1308" s="108">
        <v>10</v>
      </c>
      <c r="C1308" s="139" t="s">
        <v>56</v>
      </c>
      <c r="D1308" s="108" t="s">
        <v>3450</v>
      </c>
      <c r="E1308" s="108" t="s">
        <v>3632</v>
      </c>
      <c r="F1308" s="108" t="s">
        <v>3733</v>
      </c>
      <c r="G1308" s="108">
        <v>1</v>
      </c>
      <c r="H1308" s="71">
        <v>24</v>
      </c>
      <c r="I1308" s="109">
        <f t="shared" si="92"/>
        <v>51.92</v>
      </c>
      <c r="J1308" s="110">
        <f t="shared" si="93"/>
        <v>1246.08</v>
      </c>
      <c r="K1308" s="111">
        <f t="shared" si="94"/>
        <v>-23</v>
      </c>
      <c r="L1308" s="110">
        <f t="shared" si="95"/>
        <v>-1194.1599999999999</v>
      </c>
      <c r="M1308" s="112"/>
    </row>
    <row r="1309" spans="2:13" s="52" customFormat="1" ht="19.5" hidden="1" customHeight="1">
      <c r="B1309" s="108">
        <v>10</v>
      </c>
      <c r="C1309" s="139" t="s">
        <v>56</v>
      </c>
      <c r="D1309" s="108" t="s">
        <v>4711</v>
      </c>
      <c r="E1309" s="108" t="s">
        <v>4701</v>
      </c>
      <c r="F1309" s="108" t="s">
        <v>4716</v>
      </c>
      <c r="G1309" s="108">
        <v>3</v>
      </c>
      <c r="H1309" s="71">
        <v>3</v>
      </c>
      <c r="I1309" s="109">
        <f t="shared" si="92"/>
        <v>217.35000000000002</v>
      </c>
      <c r="J1309" s="110">
        <f t="shared" si="93"/>
        <v>217.35000000000002</v>
      </c>
      <c r="K1309" s="111">
        <f t="shared" si="94"/>
        <v>0</v>
      </c>
      <c r="L1309" s="110">
        <f t="shared" si="95"/>
        <v>0</v>
      </c>
      <c r="M1309" s="112"/>
    </row>
    <row r="1310" spans="2:13" s="52" customFormat="1" ht="19.5" hidden="1" customHeight="1">
      <c r="B1310" s="108">
        <v>10</v>
      </c>
      <c r="C1310" s="139" t="s">
        <v>56</v>
      </c>
      <c r="D1310" s="108" t="s">
        <v>3451</v>
      </c>
      <c r="E1310" s="108" t="s">
        <v>3633</v>
      </c>
      <c r="F1310" s="108" t="s">
        <v>3734</v>
      </c>
      <c r="G1310" s="108">
        <v>18</v>
      </c>
      <c r="H1310" s="71">
        <v>18</v>
      </c>
      <c r="I1310" s="109">
        <f t="shared" ref="I1310:I1355" si="96">F1310*G1310</f>
        <v>549</v>
      </c>
      <c r="J1310" s="110">
        <f t="shared" ref="J1310:J1355" si="97">F1310*H1310</f>
        <v>549</v>
      </c>
      <c r="K1310" s="111">
        <f t="shared" ref="K1310:K1355" si="98">G1310-H1310</f>
        <v>0</v>
      </c>
      <c r="L1310" s="110">
        <f t="shared" ref="L1310:L1355" si="99">I1310-J1310</f>
        <v>0</v>
      </c>
      <c r="M1310" s="112"/>
    </row>
    <row r="1311" spans="2:13" s="52" customFormat="1" ht="19.5" hidden="1" customHeight="1">
      <c r="B1311" s="108">
        <v>11</v>
      </c>
      <c r="C1311" s="139" t="s">
        <v>57</v>
      </c>
      <c r="D1311" s="108" t="s">
        <v>3735</v>
      </c>
      <c r="E1311" s="108" t="s">
        <v>3905</v>
      </c>
      <c r="F1311" s="108" t="s">
        <v>4072</v>
      </c>
      <c r="G1311" s="108">
        <v>1</v>
      </c>
      <c r="H1311" s="71">
        <v>1</v>
      </c>
      <c r="I1311" s="109">
        <f t="shared" si="96"/>
        <v>180</v>
      </c>
      <c r="J1311" s="110">
        <f t="shared" si="97"/>
        <v>180</v>
      </c>
      <c r="K1311" s="111">
        <f t="shared" si="98"/>
        <v>0</v>
      </c>
      <c r="L1311" s="110">
        <f t="shared" si="99"/>
        <v>0</v>
      </c>
      <c r="M1311" s="112"/>
    </row>
    <row r="1312" spans="2:13" s="52" customFormat="1" ht="19.5" hidden="1" customHeight="1">
      <c r="B1312" s="108">
        <v>11</v>
      </c>
      <c r="C1312" s="115" t="s">
        <v>57</v>
      </c>
      <c r="D1312" s="108" t="s">
        <v>3736</v>
      </c>
      <c r="E1312" s="108" t="s">
        <v>3906</v>
      </c>
      <c r="F1312" s="108" t="s">
        <v>1646</v>
      </c>
      <c r="G1312" s="108">
        <v>1</v>
      </c>
      <c r="H1312" s="71">
        <v>1</v>
      </c>
      <c r="I1312" s="109">
        <f t="shared" si="96"/>
        <v>250</v>
      </c>
      <c r="J1312" s="110">
        <f t="shared" si="97"/>
        <v>250</v>
      </c>
      <c r="K1312" s="111">
        <f t="shared" si="98"/>
        <v>0</v>
      </c>
      <c r="L1312" s="110">
        <f t="shared" si="99"/>
        <v>0</v>
      </c>
      <c r="M1312" s="112"/>
    </row>
    <row r="1313" spans="2:13" s="52" customFormat="1" ht="19.5" hidden="1" customHeight="1">
      <c r="B1313" s="108">
        <v>11</v>
      </c>
      <c r="C1313" s="139" t="s">
        <v>57</v>
      </c>
      <c r="D1313" s="108" t="s">
        <v>3737</v>
      </c>
      <c r="E1313" s="108" t="s">
        <v>3907</v>
      </c>
      <c r="F1313" s="108" t="s">
        <v>1648</v>
      </c>
      <c r="G1313" s="108">
        <v>1</v>
      </c>
      <c r="H1313" s="71">
        <v>1</v>
      </c>
      <c r="I1313" s="109">
        <f t="shared" si="96"/>
        <v>300</v>
      </c>
      <c r="J1313" s="110">
        <f t="shared" si="97"/>
        <v>300</v>
      </c>
      <c r="K1313" s="111">
        <f t="shared" si="98"/>
        <v>0</v>
      </c>
      <c r="L1313" s="110">
        <f t="shared" si="99"/>
        <v>0</v>
      </c>
      <c r="M1313" s="112"/>
    </row>
    <row r="1314" spans="2:13" s="52" customFormat="1" ht="19.5" hidden="1" customHeight="1">
      <c r="B1314" s="108">
        <v>11</v>
      </c>
      <c r="C1314" s="115" t="s">
        <v>57</v>
      </c>
      <c r="D1314" s="108" t="s">
        <v>3738</v>
      </c>
      <c r="E1314" s="108" t="s">
        <v>3908</v>
      </c>
      <c r="F1314" s="108" t="s">
        <v>1647</v>
      </c>
      <c r="G1314" s="108">
        <v>1</v>
      </c>
      <c r="H1314" s="71">
        <v>1</v>
      </c>
      <c r="I1314" s="109">
        <f t="shared" si="96"/>
        <v>150</v>
      </c>
      <c r="J1314" s="110">
        <f t="shared" si="97"/>
        <v>150</v>
      </c>
      <c r="K1314" s="111">
        <f t="shared" si="98"/>
        <v>0</v>
      </c>
      <c r="L1314" s="110">
        <f t="shared" si="99"/>
        <v>0</v>
      </c>
      <c r="M1314" s="112"/>
    </row>
    <row r="1315" spans="2:13" s="52" customFormat="1" ht="19.5" hidden="1" customHeight="1">
      <c r="B1315" s="108">
        <v>11</v>
      </c>
      <c r="C1315" s="139" t="s">
        <v>57</v>
      </c>
      <c r="D1315" s="108" t="s">
        <v>3739</v>
      </c>
      <c r="E1315" s="108" t="s">
        <v>3909</v>
      </c>
      <c r="F1315" s="108" t="s">
        <v>1648</v>
      </c>
      <c r="G1315" s="108">
        <v>1</v>
      </c>
      <c r="H1315" s="71">
        <v>1</v>
      </c>
      <c r="I1315" s="109">
        <f t="shared" si="96"/>
        <v>300</v>
      </c>
      <c r="J1315" s="110">
        <f t="shared" si="97"/>
        <v>300</v>
      </c>
      <c r="K1315" s="111">
        <f t="shared" si="98"/>
        <v>0</v>
      </c>
      <c r="L1315" s="110">
        <f t="shared" si="99"/>
        <v>0</v>
      </c>
      <c r="M1315" s="112"/>
    </row>
    <row r="1316" spans="2:13" s="52" customFormat="1" ht="19.5" hidden="1" customHeight="1">
      <c r="B1316" s="108">
        <v>11</v>
      </c>
      <c r="C1316" s="115" t="s">
        <v>57</v>
      </c>
      <c r="D1316" s="108" t="s">
        <v>3740</v>
      </c>
      <c r="E1316" s="108" t="s">
        <v>3910</v>
      </c>
      <c r="F1316" s="108" t="s">
        <v>1205</v>
      </c>
      <c r="G1316" s="108">
        <v>5</v>
      </c>
      <c r="H1316" s="71">
        <v>5</v>
      </c>
      <c r="I1316" s="109">
        <f t="shared" si="96"/>
        <v>375</v>
      </c>
      <c r="J1316" s="110">
        <f t="shared" si="97"/>
        <v>375</v>
      </c>
      <c r="K1316" s="111">
        <f t="shared" si="98"/>
        <v>0</v>
      </c>
      <c r="L1316" s="110">
        <f t="shared" si="99"/>
        <v>0</v>
      </c>
      <c r="M1316" s="112"/>
    </row>
    <row r="1317" spans="2:13" s="52" customFormat="1" ht="19.5" customHeight="1">
      <c r="B1317" s="108">
        <v>11</v>
      </c>
      <c r="C1317" s="139" t="s">
        <v>57</v>
      </c>
      <c r="D1317" s="108" t="s">
        <v>3741</v>
      </c>
      <c r="E1317" s="108" t="s">
        <v>3911</v>
      </c>
      <c r="F1317" s="108" t="s">
        <v>1804</v>
      </c>
      <c r="G1317" s="108">
        <v>2</v>
      </c>
      <c r="H1317" s="71"/>
      <c r="I1317" s="109">
        <f t="shared" si="96"/>
        <v>280</v>
      </c>
      <c r="J1317" s="110">
        <f t="shared" si="97"/>
        <v>0</v>
      </c>
      <c r="K1317" s="111">
        <f t="shared" si="98"/>
        <v>2</v>
      </c>
      <c r="L1317" s="110">
        <f t="shared" si="99"/>
        <v>280</v>
      </c>
      <c r="M1317" s="112"/>
    </row>
    <row r="1318" spans="2:13" s="52" customFormat="1" ht="19.5" hidden="1" customHeight="1">
      <c r="B1318" s="108">
        <v>11</v>
      </c>
      <c r="C1318" s="115" t="s">
        <v>57</v>
      </c>
      <c r="D1318" s="108" t="s">
        <v>3742</v>
      </c>
      <c r="E1318" s="108" t="s">
        <v>3912</v>
      </c>
      <c r="F1318" s="108" t="s">
        <v>839</v>
      </c>
      <c r="G1318" s="108">
        <v>2</v>
      </c>
      <c r="H1318" s="71">
        <v>2</v>
      </c>
      <c r="I1318" s="109">
        <f t="shared" si="96"/>
        <v>320</v>
      </c>
      <c r="J1318" s="110">
        <f t="shared" si="97"/>
        <v>320</v>
      </c>
      <c r="K1318" s="111">
        <f t="shared" si="98"/>
        <v>0</v>
      </c>
      <c r="L1318" s="110">
        <f t="shared" si="99"/>
        <v>0</v>
      </c>
      <c r="M1318" s="112"/>
    </row>
    <row r="1319" spans="2:13" s="52" customFormat="1" ht="19.5" customHeight="1">
      <c r="B1319" s="108">
        <v>11</v>
      </c>
      <c r="C1319" s="139" t="s">
        <v>57</v>
      </c>
      <c r="D1319" s="108" t="s">
        <v>3743</v>
      </c>
      <c r="E1319" s="108" t="s">
        <v>3913</v>
      </c>
      <c r="F1319" s="108" t="s">
        <v>839</v>
      </c>
      <c r="G1319" s="108">
        <v>1</v>
      </c>
      <c r="H1319" s="71"/>
      <c r="I1319" s="109">
        <f t="shared" si="96"/>
        <v>160</v>
      </c>
      <c r="J1319" s="110">
        <f t="shared" si="97"/>
        <v>0</v>
      </c>
      <c r="K1319" s="111">
        <f t="shared" si="98"/>
        <v>1</v>
      </c>
      <c r="L1319" s="110">
        <f t="shared" si="99"/>
        <v>160</v>
      </c>
      <c r="M1319" s="112"/>
    </row>
    <row r="1320" spans="2:13" s="52" customFormat="1" ht="19.5" hidden="1" customHeight="1">
      <c r="B1320" s="108">
        <v>11</v>
      </c>
      <c r="C1320" s="115" t="s">
        <v>57</v>
      </c>
      <c r="D1320" s="108" t="s">
        <v>3744</v>
      </c>
      <c r="E1320" s="108" t="s">
        <v>3914</v>
      </c>
      <c r="F1320" s="108" t="s">
        <v>839</v>
      </c>
      <c r="G1320" s="108">
        <v>2</v>
      </c>
      <c r="H1320" s="71">
        <v>2</v>
      </c>
      <c r="I1320" s="109">
        <f t="shared" si="96"/>
        <v>320</v>
      </c>
      <c r="J1320" s="110">
        <f t="shared" si="97"/>
        <v>320</v>
      </c>
      <c r="K1320" s="111">
        <f t="shared" si="98"/>
        <v>0</v>
      </c>
      <c r="L1320" s="110">
        <f t="shared" si="99"/>
        <v>0</v>
      </c>
      <c r="M1320" s="112"/>
    </row>
    <row r="1321" spans="2:13" s="52" customFormat="1" ht="19.5" customHeight="1">
      <c r="B1321" s="108">
        <v>11</v>
      </c>
      <c r="C1321" s="139" t="s">
        <v>57</v>
      </c>
      <c r="D1321" s="108" t="s">
        <v>3745</v>
      </c>
      <c r="E1321" s="108" t="s">
        <v>3915</v>
      </c>
      <c r="F1321" s="108" t="s">
        <v>1205</v>
      </c>
      <c r="G1321" s="108">
        <v>7</v>
      </c>
      <c r="H1321" s="71"/>
      <c r="I1321" s="109">
        <f t="shared" si="96"/>
        <v>525</v>
      </c>
      <c r="J1321" s="110">
        <f t="shared" si="97"/>
        <v>0</v>
      </c>
      <c r="K1321" s="111">
        <f t="shared" si="98"/>
        <v>7</v>
      </c>
      <c r="L1321" s="110">
        <f t="shared" si="99"/>
        <v>525</v>
      </c>
      <c r="M1321" s="112"/>
    </row>
    <row r="1322" spans="2:13" s="52" customFormat="1" ht="19.5" hidden="1" customHeight="1">
      <c r="B1322" s="108">
        <v>11</v>
      </c>
      <c r="C1322" s="115" t="s">
        <v>57</v>
      </c>
      <c r="D1322" s="108" t="s">
        <v>3746</v>
      </c>
      <c r="E1322" s="108" t="s">
        <v>3916</v>
      </c>
      <c r="F1322" s="108" t="s">
        <v>1804</v>
      </c>
      <c r="G1322" s="108">
        <v>1</v>
      </c>
      <c r="H1322" s="71">
        <v>1</v>
      </c>
      <c r="I1322" s="109">
        <f t="shared" si="96"/>
        <v>140</v>
      </c>
      <c r="J1322" s="110">
        <f t="shared" si="97"/>
        <v>140</v>
      </c>
      <c r="K1322" s="111">
        <f t="shared" si="98"/>
        <v>0</v>
      </c>
      <c r="L1322" s="110">
        <f t="shared" si="99"/>
        <v>0</v>
      </c>
      <c r="M1322" s="112"/>
    </row>
    <row r="1323" spans="2:13" s="52" customFormat="1" ht="19.5" hidden="1" customHeight="1">
      <c r="B1323" s="108">
        <v>11</v>
      </c>
      <c r="C1323" s="139" t="s">
        <v>57</v>
      </c>
      <c r="D1323" s="108" t="s">
        <v>3747</v>
      </c>
      <c r="E1323" s="108" t="s">
        <v>3917</v>
      </c>
      <c r="F1323" s="108" t="s">
        <v>4073</v>
      </c>
      <c r="G1323" s="108">
        <v>1</v>
      </c>
      <c r="H1323" s="71">
        <v>1</v>
      </c>
      <c r="I1323" s="109">
        <f t="shared" si="96"/>
        <v>105</v>
      </c>
      <c r="J1323" s="110">
        <f t="shared" si="97"/>
        <v>105</v>
      </c>
      <c r="K1323" s="111">
        <f t="shared" si="98"/>
        <v>0</v>
      </c>
      <c r="L1323" s="110">
        <f t="shared" si="99"/>
        <v>0</v>
      </c>
      <c r="M1323" s="112"/>
    </row>
    <row r="1324" spans="2:13" s="52" customFormat="1" ht="19.5" hidden="1" customHeight="1">
      <c r="B1324" s="108">
        <v>11</v>
      </c>
      <c r="C1324" s="115" t="s">
        <v>57</v>
      </c>
      <c r="D1324" s="108" t="s">
        <v>3748</v>
      </c>
      <c r="E1324" s="108" t="s">
        <v>3918</v>
      </c>
      <c r="F1324" s="108" t="s">
        <v>4074</v>
      </c>
      <c r="G1324" s="108">
        <v>2</v>
      </c>
      <c r="H1324" s="71">
        <v>2</v>
      </c>
      <c r="I1324" s="109">
        <f t="shared" si="96"/>
        <v>587.66</v>
      </c>
      <c r="J1324" s="110">
        <f t="shared" si="97"/>
        <v>587.66</v>
      </c>
      <c r="K1324" s="111">
        <f t="shared" si="98"/>
        <v>0</v>
      </c>
      <c r="L1324" s="110">
        <f t="shared" si="99"/>
        <v>0</v>
      </c>
      <c r="M1324" s="112"/>
    </row>
    <row r="1325" spans="2:13" s="52" customFormat="1" ht="19.5" hidden="1" customHeight="1">
      <c r="B1325" s="108">
        <v>11</v>
      </c>
      <c r="C1325" s="139" t="s">
        <v>57</v>
      </c>
      <c r="D1325" s="108" t="s">
        <v>3749</v>
      </c>
      <c r="E1325" s="108" t="s">
        <v>3919</v>
      </c>
      <c r="F1325" s="108" t="s">
        <v>4075</v>
      </c>
      <c r="G1325" s="108">
        <v>2</v>
      </c>
      <c r="H1325" s="71">
        <v>2</v>
      </c>
      <c r="I1325" s="109">
        <f t="shared" si="96"/>
        <v>454.66</v>
      </c>
      <c r="J1325" s="110">
        <f t="shared" si="97"/>
        <v>454.66</v>
      </c>
      <c r="K1325" s="111">
        <f t="shared" si="98"/>
        <v>0</v>
      </c>
      <c r="L1325" s="110">
        <f t="shared" si="99"/>
        <v>0</v>
      </c>
      <c r="M1325" s="112"/>
    </row>
    <row r="1326" spans="2:13" s="52" customFormat="1" ht="19.5" hidden="1" customHeight="1">
      <c r="B1326" s="108">
        <v>11</v>
      </c>
      <c r="C1326" s="115" t="s">
        <v>57</v>
      </c>
      <c r="D1326" s="108" t="s">
        <v>3750</v>
      </c>
      <c r="E1326" s="108" t="s">
        <v>3920</v>
      </c>
      <c r="F1326" s="108" t="s">
        <v>4076</v>
      </c>
      <c r="G1326" s="108">
        <v>3</v>
      </c>
      <c r="H1326" s="71">
        <v>3</v>
      </c>
      <c r="I1326" s="109">
        <f t="shared" si="96"/>
        <v>672</v>
      </c>
      <c r="J1326" s="110">
        <f t="shared" si="97"/>
        <v>672</v>
      </c>
      <c r="K1326" s="111">
        <f t="shared" si="98"/>
        <v>0</v>
      </c>
      <c r="L1326" s="110">
        <f t="shared" si="99"/>
        <v>0</v>
      </c>
      <c r="M1326" s="112"/>
    </row>
    <row r="1327" spans="2:13" s="52" customFormat="1" ht="19.5" hidden="1" customHeight="1">
      <c r="B1327" s="108">
        <v>11</v>
      </c>
      <c r="C1327" s="139" t="s">
        <v>57</v>
      </c>
      <c r="D1327" s="108" t="s">
        <v>3751</v>
      </c>
      <c r="E1327" s="108" t="s">
        <v>3921</v>
      </c>
      <c r="F1327" s="108" t="s">
        <v>4076</v>
      </c>
      <c r="G1327" s="108">
        <v>3</v>
      </c>
      <c r="H1327" s="71">
        <v>3</v>
      </c>
      <c r="I1327" s="109">
        <f t="shared" si="96"/>
        <v>672</v>
      </c>
      <c r="J1327" s="110">
        <f t="shared" si="97"/>
        <v>672</v>
      </c>
      <c r="K1327" s="111">
        <f t="shared" si="98"/>
        <v>0</v>
      </c>
      <c r="L1327" s="110">
        <f t="shared" si="99"/>
        <v>0</v>
      </c>
      <c r="M1327" s="112"/>
    </row>
    <row r="1328" spans="2:13" s="52" customFormat="1" ht="19.5" hidden="1" customHeight="1">
      <c r="B1328" s="108">
        <v>11</v>
      </c>
      <c r="C1328" s="115" t="s">
        <v>57</v>
      </c>
      <c r="D1328" s="108" t="s">
        <v>3752</v>
      </c>
      <c r="E1328" s="108" t="s">
        <v>3922</v>
      </c>
      <c r="F1328" s="108" t="s">
        <v>4076</v>
      </c>
      <c r="G1328" s="108">
        <v>1</v>
      </c>
      <c r="H1328" s="71">
        <v>1</v>
      </c>
      <c r="I1328" s="109">
        <f t="shared" si="96"/>
        <v>224</v>
      </c>
      <c r="J1328" s="110">
        <f t="shared" si="97"/>
        <v>224</v>
      </c>
      <c r="K1328" s="111">
        <f t="shared" si="98"/>
        <v>0</v>
      </c>
      <c r="L1328" s="110">
        <f t="shared" si="99"/>
        <v>0</v>
      </c>
      <c r="M1328" s="112"/>
    </row>
    <row r="1329" spans="2:13" s="52" customFormat="1" ht="19.5" hidden="1" customHeight="1">
      <c r="B1329" s="108">
        <v>11</v>
      </c>
      <c r="C1329" s="139" t="s">
        <v>57</v>
      </c>
      <c r="D1329" s="108" t="s">
        <v>3753</v>
      </c>
      <c r="E1329" s="108" t="s">
        <v>3923</v>
      </c>
      <c r="F1329" s="108" t="s">
        <v>4076</v>
      </c>
      <c r="G1329" s="108">
        <v>3</v>
      </c>
      <c r="H1329" s="71">
        <v>3</v>
      </c>
      <c r="I1329" s="109">
        <f t="shared" si="96"/>
        <v>672</v>
      </c>
      <c r="J1329" s="110">
        <f t="shared" si="97"/>
        <v>672</v>
      </c>
      <c r="K1329" s="111">
        <f t="shared" si="98"/>
        <v>0</v>
      </c>
      <c r="L1329" s="110">
        <f t="shared" si="99"/>
        <v>0</v>
      </c>
      <c r="M1329" s="112"/>
    </row>
    <row r="1330" spans="2:13" s="52" customFormat="1" ht="19.5" hidden="1" customHeight="1">
      <c r="B1330" s="108">
        <v>11</v>
      </c>
      <c r="C1330" s="115" t="s">
        <v>57</v>
      </c>
      <c r="D1330" s="108" t="s">
        <v>3754</v>
      </c>
      <c r="E1330" s="108" t="s">
        <v>3924</v>
      </c>
      <c r="F1330" s="108" t="s">
        <v>4076</v>
      </c>
      <c r="G1330" s="108">
        <v>3</v>
      </c>
      <c r="H1330" s="71">
        <v>3</v>
      </c>
      <c r="I1330" s="109">
        <f t="shared" si="96"/>
        <v>672</v>
      </c>
      <c r="J1330" s="110">
        <f t="shared" si="97"/>
        <v>672</v>
      </c>
      <c r="K1330" s="111">
        <f t="shared" si="98"/>
        <v>0</v>
      </c>
      <c r="L1330" s="110">
        <f t="shared" si="99"/>
        <v>0</v>
      </c>
      <c r="M1330" s="112"/>
    </row>
    <row r="1331" spans="2:13" s="52" customFormat="1" ht="19.5" hidden="1" customHeight="1">
      <c r="B1331" s="108">
        <v>11</v>
      </c>
      <c r="C1331" s="139" t="s">
        <v>57</v>
      </c>
      <c r="D1331" s="108" t="s">
        <v>3755</v>
      </c>
      <c r="E1331" s="108" t="s">
        <v>3925</v>
      </c>
      <c r="F1331" s="108" t="s">
        <v>4076</v>
      </c>
      <c r="G1331" s="108">
        <v>2</v>
      </c>
      <c r="H1331" s="71">
        <v>2</v>
      </c>
      <c r="I1331" s="109">
        <f t="shared" si="96"/>
        <v>448</v>
      </c>
      <c r="J1331" s="110">
        <f t="shared" si="97"/>
        <v>448</v>
      </c>
      <c r="K1331" s="111">
        <f t="shared" si="98"/>
        <v>0</v>
      </c>
      <c r="L1331" s="110">
        <f t="shared" si="99"/>
        <v>0</v>
      </c>
      <c r="M1331" s="112"/>
    </row>
    <row r="1332" spans="2:13" s="52" customFormat="1" ht="19.5" hidden="1" customHeight="1">
      <c r="B1332" s="108">
        <v>11</v>
      </c>
      <c r="C1332" s="115" t="s">
        <v>57</v>
      </c>
      <c r="D1332" s="108" t="s">
        <v>3756</v>
      </c>
      <c r="E1332" s="108" t="s">
        <v>3926</v>
      </c>
      <c r="F1332" s="108" t="s">
        <v>4076</v>
      </c>
      <c r="G1332" s="108">
        <v>2</v>
      </c>
      <c r="H1332" s="71">
        <v>2</v>
      </c>
      <c r="I1332" s="109">
        <f t="shared" si="96"/>
        <v>448</v>
      </c>
      <c r="J1332" s="110">
        <f t="shared" si="97"/>
        <v>448</v>
      </c>
      <c r="K1332" s="111">
        <f t="shared" si="98"/>
        <v>0</v>
      </c>
      <c r="L1332" s="110">
        <f t="shared" si="99"/>
        <v>0</v>
      </c>
      <c r="M1332" s="112"/>
    </row>
    <row r="1333" spans="2:13" s="52" customFormat="1" ht="19.5" hidden="1" customHeight="1">
      <c r="B1333" s="108">
        <v>11</v>
      </c>
      <c r="C1333" s="139" t="s">
        <v>57</v>
      </c>
      <c r="D1333" s="108" t="s">
        <v>3757</v>
      </c>
      <c r="E1333" s="108" t="s">
        <v>3927</v>
      </c>
      <c r="F1333" s="108" t="s">
        <v>4076</v>
      </c>
      <c r="G1333" s="108">
        <v>3</v>
      </c>
      <c r="H1333" s="71">
        <v>3</v>
      </c>
      <c r="I1333" s="109">
        <f t="shared" si="96"/>
        <v>672</v>
      </c>
      <c r="J1333" s="110">
        <f t="shared" si="97"/>
        <v>672</v>
      </c>
      <c r="K1333" s="111">
        <f t="shared" si="98"/>
        <v>0</v>
      </c>
      <c r="L1333" s="110">
        <f t="shared" si="99"/>
        <v>0</v>
      </c>
      <c r="M1333" s="112"/>
    </row>
    <row r="1334" spans="2:13" s="52" customFormat="1" ht="19.5" hidden="1" customHeight="1">
      <c r="B1334" s="108">
        <v>11</v>
      </c>
      <c r="C1334" s="115" t="s">
        <v>57</v>
      </c>
      <c r="D1334" s="108" t="s">
        <v>3758</v>
      </c>
      <c r="E1334" s="108" t="s">
        <v>3928</v>
      </c>
      <c r="F1334" s="108" t="s">
        <v>4076</v>
      </c>
      <c r="G1334" s="108">
        <v>2</v>
      </c>
      <c r="H1334" s="71">
        <v>2</v>
      </c>
      <c r="I1334" s="109">
        <f t="shared" si="96"/>
        <v>448</v>
      </c>
      <c r="J1334" s="110">
        <f t="shared" si="97"/>
        <v>448</v>
      </c>
      <c r="K1334" s="111">
        <f t="shared" si="98"/>
        <v>0</v>
      </c>
      <c r="L1334" s="110">
        <f t="shared" si="99"/>
        <v>0</v>
      </c>
      <c r="M1334" s="112"/>
    </row>
    <row r="1335" spans="2:13" s="52" customFormat="1" ht="19.5" hidden="1" customHeight="1">
      <c r="B1335" s="108">
        <v>11</v>
      </c>
      <c r="C1335" s="139" t="s">
        <v>57</v>
      </c>
      <c r="D1335" s="108" t="s">
        <v>3759</v>
      </c>
      <c r="E1335" s="108" t="s">
        <v>3929</v>
      </c>
      <c r="F1335" s="108" t="s">
        <v>4077</v>
      </c>
      <c r="G1335" s="108">
        <v>2</v>
      </c>
      <c r="H1335" s="71">
        <v>2</v>
      </c>
      <c r="I1335" s="109">
        <f t="shared" si="96"/>
        <v>406</v>
      </c>
      <c r="J1335" s="110">
        <f t="shared" si="97"/>
        <v>406</v>
      </c>
      <c r="K1335" s="111">
        <f t="shared" si="98"/>
        <v>0</v>
      </c>
      <c r="L1335" s="110">
        <f t="shared" si="99"/>
        <v>0</v>
      </c>
      <c r="M1335" s="112"/>
    </row>
    <row r="1336" spans="2:13" s="52" customFormat="1" ht="19.5" hidden="1" customHeight="1">
      <c r="B1336" s="108">
        <v>11</v>
      </c>
      <c r="C1336" s="115" t="s">
        <v>57</v>
      </c>
      <c r="D1336" s="108" t="s">
        <v>3760</v>
      </c>
      <c r="E1336" s="108" t="s">
        <v>3930</v>
      </c>
      <c r="F1336" s="108" t="s">
        <v>4077</v>
      </c>
      <c r="G1336" s="108">
        <v>1</v>
      </c>
      <c r="H1336" s="71">
        <v>1</v>
      </c>
      <c r="I1336" s="109">
        <f t="shared" si="96"/>
        <v>203</v>
      </c>
      <c r="J1336" s="110">
        <f t="shared" si="97"/>
        <v>203</v>
      </c>
      <c r="K1336" s="111">
        <f t="shared" si="98"/>
        <v>0</v>
      </c>
      <c r="L1336" s="110">
        <f t="shared" si="99"/>
        <v>0</v>
      </c>
      <c r="M1336" s="112"/>
    </row>
    <row r="1337" spans="2:13" s="52" customFormat="1" ht="19.5" hidden="1" customHeight="1">
      <c r="B1337" s="108">
        <v>11</v>
      </c>
      <c r="C1337" s="139" t="s">
        <v>57</v>
      </c>
      <c r="D1337" s="108" t="s">
        <v>3761</v>
      </c>
      <c r="E1337" s="108" t="s">
        <v>3931</v>
      </c>
      <c r="F1337" s="108" t="s">
        <v>4077</v>
      </c>
      <c r="G1337" s="108">
        <v>2</v>
      </c>
      <c r="H1337" s="71">
        <v>2</v>
      </c>
      <c r="I1337" s="109">
        <f t="shared" si="96"/>
        <v>406</v>
      </c>
      <c r="J1337" s="110">
        <f t="shared" si="97"/>
        <v>406</v>
      </c>
      <c r="K1337" s="111">
        <f t="shared" si="98"/>
        <v>0</v>
      </c>
      <c r="L1337" s="110">
        <f t="shared" si="99"/>
        <v>0</v>
      </c>
      <c r="M1337" s="112"/>
    </row>
    <row r="1338" spans="2:13" s="52" customFormat="1" ht="19.5" hidden="1" customHeight="1">
      <c r="B1338" s="108">
        <v>11</v>
      </c>
      <c r="C1338" s="115" t="s">
        <v>57</v>
      </c>
      <c r="D1338" s="108" t="s">
        <v>3762</v>
      </c>
      <c r="E1338" s="108" t="s">
        <v>3932</v>
      </c>
      <c r="F1338" s="108" t="s">
        <v>4078</v>
      </c>
      <c r="G1338" s="108">
        <v>1</v>
      </c>
      <c r="H1338" s="71">
        <v>1</v>
      </c>
      <c r="I1338" s="109">
        <f t="shared" si="96"/>
        <v>210</v>
      </c>
      <c r="J1338" s="110">
        <f t="shared" si="97"/>
        <v>210</v>
      </c>
      <c r="K1338" s="111">
        <f t="shared" si="98"/>
        <v>0</v>
      </c>
      <c r="L1338" s="110">
        <f t="shared" si="99"/>
        <v>0</v>
      </c>
      <c r="M1338" s="112"/>
    </row>
    <row r="1339" spans="2:13" s="52" customFormat="1" ht="19.5" hidden="1" customHeight="1">
      <c r="B1339" s="108">
        <v>11</v>
      </c>
      <c r="C1339" s="139" t="s">
        <v>57</v>
      </c>
      <c r="D1339" s="108" t="s">
        <v>3763</v>
      </c>
      <c r="E1339" s="108" t="s">
        <v>3933</v>
      </c>
      <c r="F1339" s="108" t="s">
        <v>4078</v>
      </c>
      <c r="G1339" s="108">
        <v>1</v>
      </c>
      <c r="H1339" s="71">
        <v>1</v>
      </c>
      <c r="I1339" s="109">
        <f t="shared" si="96"/>
        <v>210</v>
      </c>
      <c r="J1339" s="110">
        <f t="shared" si="97"/>
        <v>210</v>
      </c>
      <c r="K1339" s="111">
        <f t="shared" si="98"/>
        <v>0</v>
      </c>
      <c r="L1339" s="110">
        <f t="shared" si="99"/>
        <v>0</v>
      </c>
      <c r="M1339" s="112"/>
    </row>
    <row r="1340" spans="2:13" s="52" customFormat="1" ht="19.5" hidden="1" customHeight="1">
      <c r="B1340" s="108">
        <v>11</v>
      </c>
      <c r="C1340" s="115" t="s">
        <v>57</v>
      </c>
      <c r="D1340" s="108" t="s">
        <v>3764</v>
      </c>
      <c r="E1340" s="108" t="s">
        <v>3934</v>
      </c>
      <c r="F1340" s="108" t="s">
        <v>4079</v>
      </c>
      <c r="G1340" s="108">
        <v>3</v>
      </c>
      <c r="H1340" s="71">
        <v>3</v>
      </c>
      <c r="I1340" s="109">
        <f t="shared" si="96"/>
        <v>336</v>
      </c>
      <c r="J1340" s="110">
        <f t="shared" si="97"/>
        <v>336</v>
      </c>
      <c r="K1340" s="111">
        <f t="shared" si="98"/>
        <v>0</v>
      </c>
      <c r="L1340" s="110">
        <f t="shared" si="99"/>
        <v>0</v>
      </c>
      <c r="M1340" s="112"/>
    </row>
    <row r="1341" spans="2:13" s="52" customFormat="1" ht="19.5" hidden="1" customHeight="1">
      <c r="B1341" s="108">
        <v>11</v>
      </c>
      <c r="C1341" s="139" t="s">
        <v>57</v>
      </c>
      <c r="D1341" s="108" t="s">
        <v>3765</v>
      </c>
      <c r="E1341" s="108" t="s">
        <v>3935</v>
      </c>
      <c r="F1341" s="108" t="s">
        <v>4080</v>
      </c>
      <c r="G1341" s="108">
        <v>5</v>
      </c>
      <c r="H1341" s="71">
        <v>5</v>
      </c>
      <c r="I1341" s="109">
        <f t="shared" si="96"/>
        <v>720</v>
      </c>
      <c r="J1341" s="110">
        <f t="shared" si="97"/>
        <v>720</v>
      </c>
      <c r="K1341" s="111">
        <f t="shared" si="98"/>
        <v>0</v>
      </c>
      <c r="L1341" s="110">
        <f t="shared" si="99"/>
        <v>0</v>
      </c>
      <c r="M1341" s="112"/>
    </row>
    <row r="1342" spans="2:13" s="52" customFormat="1" ht="19.5" hidden="1" customHeight="1">
      <c r="B1342" s="108">
        <v>11</v>
      </c>
      <c r="C1342" s="115" t="s">
        <v>57</v>
      </c>
      <c r="D1342" s="108" t="s">
        <v>3766</v>
      </c>
      <c r="E1342" s="108" t="s">
        <v>3936</v>
      </c>
      <c r="F1342" s="108" t="s">
        <v>4081</v>
      </c>
      <c r="G1342" s="108">
        <v>1</v>
      </c>
      <c r="H1342" s="71">
        <v>1</v>
      </c>
      <c r="I1342" s="109">
        <f t="shared" si="96"/>
        <v>542.5</v>
      </c>
      <c r="J1342" s="110">
        <f t="shared" si="97"/>
        <v>542.5</v>
      </c>
      <c r="K1342" s="111">
        <f t="shared" si="98"/>
        <v>0</v>
      </c>
      <c r="L1342" s="110">
        <f t="shared" si="99"/>
        <v>0</v>
      </c>
      <c r="M1342" s="112"/>
    </row>
    <row r="1343" spans="2:13" s="52" customFormat="1" ht="19.5" hidden="1" customHeight="1">
      <c r="B1343" s="108">
        <v>11</v>
      </c>
      <c r="C1343" s="139" t="s">
        <v>57</v>
      </c>
      <c r="D1343" s="108" t="s">
        <v>3767</v>
      </c>
      <c r="E1343" s="108" t="s">
        <v>3937</v>
      </c>
      <c r="F1343" s="108" t="s">
        <v>4082</v>
      </c>
      <c r="G1343" s="108">
        <v>1</v>
      </c>
      <c r="H1343" s="71">
        <v>1</v>
      </c>
      <c r="I1343" s="109">
        <f t="shared" si="96"/>
        <v>230.83</v>
      </c>
      <c r="J1343" s="110">
        <f t="shared" si="97"/>
        <v>230.83</v>
      </c>
      <c r="K1343" s="111">
        <f t="shared" si="98"/>
        <v>0</v>
      </c>
      <c r="L1343" s="110">
        <f t="shared" si="99"/>
        <v>0</v>
      </c>
      <c r="M1343" s="112"/>
    </row>
    <row r="1344" spans="2:13" s="52" customFormat="1" ht="19.5" hidden="1" customHeight="1">
      <c r="B1344" s="108">
        <v>11</v>
      </c>
      <c r="C1344" s="115" t="s">
        <v>57</v>
      </c>
      <c r="D1344" s="108" t="s">
        <v>3768</v>
      </c>
      <c r="E1344" s="108" t="s">
        <v>3938</v>
      </c>
      <c r="F1344" s="108" t="s">
        <v>4083</v>
      </c>
      <c r="G1344" s="108">
        <v>1</v>
      </c>
      <c r="H1344" s="71">
        <v>1</v>
      </c>
      <c r="I1344" s="109">
        <f t="shared" si="96"/>
        <v>188.3</v>
      </c>
      <c r="J1344" s="110">
        <f t="shared" si="97"/>
        <v>188.3</v>
      </c>
      <c r="K1344" s="111">
        <f t="shared" si="98"/>
        <v>0</v>
      </c>
      <c r="L1344" s="110">
        <f t="shared" si="99"/>
        <v>0</v>
      </c>
      <c r="M1344" s="112"/>
    </row>
    <row r="1345" spans="2:13" s="52" customFormat="1" ht="19.5" hidden="1" customHeight="1">
      <c r="B1345" s="108">
        <v>11</v>
      </c>
      <c r="C1345" s="139" t="s">
        <v>57</v>
      </c>
      <c r="D1345" s="108" t="s">
        <v>3769</v>
      </c>
      <c r="E1345" s="108" t="s">
        <v>3939</v>
      </c>
      <c r="F1345" s="108" t="s">
        <v>4083</v>
      </c>
      <c r="G1345" s="108">
        <v>1</v>
      </c>
      <c r="H1345" s="71">
        <v>1</v>
      </c>
      <c r="I1345" s="109">
        <f t="shared" si="96"/>
        <v>188.3</v>
      </c>
      <c r="J1345" s="110">
        <f t="shared" si="97"/>
        <v>188.3</v>
      </c>
      <c r="K1345" s="111">
        <f t="shared" si="98"/>
        <v>0</v>
      </c>
      <c r="L1345" s="110">
        <f t="shared" si="99"/>
        <v>0</v>
      </c>
      <c r="M1345" s="112"/>
    </row>
    <row r="1346" spans="2:13" s="52" customFormat="1" ht="19.5" hidden="1" customHeight="1">
      <c r="B1346" s="108">
        <v>11</v>
      </c>
      <c r="C1346" s="115" t="s">
        <v>57</v>
      </c>
      <c r="D1346" s="108" t="s">
        <v>3770</v>
      </c>
      <c r="E1346" s="108" t="s">
        <v>3940</v>
      </c>
      <c r="F1346" s="108" t="s">
        <v>4083</v>
      </c>
      <c r="G1346" s="108">
        <v>1</v>
      </c>
      <c r="H1346" s="71">
        <v>1</v>
      </c>
      <c r="I1346" s="109">
        <f t="shared" si="96"/>
        <v>188.3</v>
      </c>
      <c r="J1346" s="110">
        <f t="shared" si="97"/>
        <v>188.3</v>
      </c>
      <c r="K1346" s="111">
        <f t="shared" si="98"/>
        <v>0</v>
      </c>
      <c r="L1346" s="110">
        <f t="shared" si="99"/>
        <v>0</v>
      </c>
      <c r="M1346" s="112"/>
    </row>
    <row r="1347" spans="2:13" s="52" customFormat="1" ht="19.5" hidden="1" customHeight="1">
      <c r="B1347" s="108">
        <v>11</v>
      </c>
      <c r="C1347" s="139" t="s">
        <v>57</v>
      </c>
      <c r="D1347" s="108" t="s">
        <v>3771</v>
      </c>
      <c r="E1347" s="108" t="s">
        <v>3941</v>
      </c>
      <c r="F1347" s="108" t="s">
        <v>4084</v>
      </c>
      <c r="G1347" s="108">
        <v>1</v>
      </c>
      <c r="H1347" s="71">
        <v>1</v>
      </c>
      <c r="I1347" s="109">
        <f t="shared" si="96"/>
        <v>153.83000000000001</v>
      </c>
      <c r="J1347" s="110">
        <f t="shared" si="97"/>
        <v>153.83000000000001</v>
      </c>
      <c r="K1347" s="111">
        <f t="shared" si="98"/>
        <v>0</v>
      </c>
      <c r="L1347" s="110">
        <f t="shared" si="99"/>
        <v>0</v>
      </c>
      <c r="M1347" s="112"/>
    </row>
    <row r="1348" spans="2:13" s="52" customFormat="1" ht="19.5" hidden="1" customHeight="1">
      <c r="B1348" s="108">
        <v>11</v>
      </c>
      <c r="C1348" s="115" t="s">
        <v>57</v>
      </c>
      <c r="D1348" s="108" t="s">
        <v>3773</v>
      </c>
      <c r="E1348" s="108" t="s">
        <v>3942</v>
      </c>
      <c r="F1348" s="108" t="s">
        <v>4084</v>
      </c>
      <c r="G1348" s="108">
        <v>1</v>
      </c>
      <c r="H1348" s="71">
        <v>1</v>
      </c>
      <c r="I1348" s="109">
        <f t="shared" si="96"/>
        <v>153.83000000000001</v>
      </c>
      <c r="J1348" s="110">
        <f t="shared" si="97"/>
        <v>153.83000000000001</v>
      </c>
      <c r="K1348" s="111">
        <f t="shared" si="98"/>
        <v>0</v>
      </c>
      <c r="L1348" s="110">
        <f t="shared" si="99"/>
        <v>0</v>
      </c>
      <c r="M1348" s="112"/>
    </row>
    <row r="1349" spans="2:13" s="52" customFormat="1" ht="19.5" hidden="1" customHeight="1">
      <c r="B1349" s="108">
        <v>11</v>
      </c>
      <c r="C1349" s="139" t="s">
        <v>57</v>
      </c>
      <c r="D1349" s="108" t="s">
        <v>3772</v>
      </c>
      <c r="E1349" s="108" t="s">
        <v>3942</v>
      </c>
      <c r="F1349" s="108" t="s">
        <v>4085</v>
      </c>
      <c r="G1349" s="108">
        <v>1</v>
      </c>
      <c r="H1349" s="71">
        <v>1</v>
      </c>
      <c r="I1349" s="109">
        <f t="shared" si="96"/>
        <v>188.83</v>
      </c>
      <c r="J1349" s="110">
        <f t="shared" si="97"/>
        <v>188.83</v>
      </c>
      <c r="K1349" s="111">
        <f t="shared" si="98"/>
        <v>0</v>
      </c>
      <c r="L1349" s="110">
        <f t="shared" si="99"/>
        <v>0</v>
      </c>
      <c r="M1349" s="112"/>
    </row>
    <row r="1350" spans="2:13" s="52" customFormat="1" ht="19.5" hidden="1" customHeight="1">
      <c r="B1350" s="108">
        <v>11</v>
      </c>
      <c r="C1350" s="115" t="s">
        <v>57</v>
      </c>
      <c r="D1350" s="108" t="s">
        <v>3774</v>
      </c>
      <c r="E1350" s="108" t="s">
        <v>3943</v>
      </c>
      <c r="F1350" s="108" t="s">
        <v>4085</v>
      </c>
      <c r="G1350" s="108">
        <v>1</v>
      </c>
      <c r="H1350" s="71">
        <v>1</v>
      </c>
      <c r="I1350" s="109">
        <f t="shared" si="96"/>
        <v>188.83</v>
      </c>
      <c r="J1350" s="110">
        <f t="shared" si="97"/>
        <v>188.83</v>
      </c>
      <c r="K1350" s="111">
        <f t="shared" si="98"/>
        <v>0</v>
      </c>
      <c r="L1350" s="110">
        <f t="shared" si="99"/>
        <v>0</v>
      </c>
      <c r="M1350" s="112"/>
    </row>
    <row r="1351" spans="2:13" s="52" customFormat="1" ht="19.5" hidden="1" customHeight="1">
      <c r="B1351" s="108">
        <v>11</v>
      </c>
      <c r="C1351" s="139" t="s">
        <v>57</v>
      </c>
      <c r="D1351" s="108" t="s">
        <v>3775</v>
      </c>
      <c r="E1351" s="108" t="s">
        <v>3943</v>
      </c>
      <c r="F1351" s="108" t="s">
        <v>4084</v>
      </c>
      <c r="G1351" s="108">
        <v>1</v>
      </c>
      <c r="H1351" s="71">
        <v>1</v>
      </c>
      <c r="I1351" s="109">
        <f t="shared" si="96"/>
        <v>153.83000000000001</v>
      </c>
      <c r="J1351" s="110">
        <f t="shared" si="97"/>
        <v>153.83000000000001</v>
      </c>
      <c r="K1351" s="111">
        <f t="shared" si="98"/>
        <v>0</v>
      </c>
      <c r="L1351" s="110">
        <f t="shared" si="99"/>
        <v>0</v>
      </c>
      <c r="M1351" s="112"/>
    </row>
    <row r="1352" spans="2:13" s="52" customFormat="1" ht="19.5" hidden="1" customHeight="1">
      <c r="B1352" s="108">
        <v>11</v>
      </c>
      <c r="C1352" s="115" t="s">
        <v>57</v>
      </c>
      <c r="D1352" s="108" t="s">
        <v>3777</v>
      </c>
      <c r="E1352" s="108" t="s">
        <v>3944</v>
      </c>
      <c r="F1352" s="108" t="s">
        <v>4084</v>
      </c>
      <c r="G1352" s="108">
        <v>1</v>
      </c>
      <c r="H1352" s="71">
        <v>1</v>
      </c>
      <c r="I1352" s="109">
        <f t="shared" si="96"/>
        <v>153.83000000000001</v>
      </c>
      <c r="J1352" s="110">
        <f t="shared" si="97"/>
        <v>153.83000000000001</v>
      </c>
      <c r="K1352" s="111">
        <f t="shared" si="98"/>
        <v>0</v>
      </c>
      <c r="L1352" s="110">
        <f t="shared" si="99"/>
        <v>0</v>
      </c>
      <c r="M1352" s="112"/>
    </row>
    <row r="1353" spans="2:13" s="52" customFormat="1" ht="19.5" hidden="1" customHeight="1">
      <c r="B1353" s="108">
        <v>11</v>
      </c>
      <c r="C1353" s="139" t="s">
        <v>57</v>
      </c>
      <c r="D1353" s="108" t="s">
        <v>3776</v>
      </c>
      <c r="E1353" s="108" t="s">
        <v>3944</v>
      </c>
      <c r="F1353" s="108" t="s">
        <v>4085</v>
      </c>
      <c r="G1353" s="108">
        <v>1</v>
      </c>
      <c r="H1353" s="71">
        <v>1</v>
      </c>
      <c r="I1353" s="109">
        <f t="shared" si="96"/>
        <v>188.83</v>
      </c>
      <c r="J1353" s="110">
        <f t="shared" si="97"/>
        <v>188.83</v>
      </c>
      <c r="K1353" s="111">
        <f t="shared" si="98"/>
        <v>0</v>
      </c>
      <c r="L1353" s="110">
        <f t="shared" si="99"/>
        <v>0</v>
      </c>
      <c r="M1353" s="112"/>
    </row>
    <row r="1354" spans="2:13" s="52" customFormat="1" ht="19.5" hidden="1" customHeight="1">
      <c r="B1354" s="108">
        <v>11</v>
      </c>
      <c r="C1354" s="115" t="s">
        <v>57</v>
      </c>
      <c r="D1354" s="108" t="s">
        <v>3778</v>
      </c>
      <c r="E1354" s="108" t="s">
        <v>3945</v>
      </c>
      <c r="F1354" s="108" t="s">
        <v>4085</v>
      </c>
      <c r="G1354" s="108">
        <v>1</v>
      </c>
      <c r="H1354" s="71">
        <v>1</v>
      </c>
      <c r="I1354" s="109">
        <f t="shared" si="96"/>
        <v>188.83</v>
      </c>
      <c r="J1354" s="110">
        <f t="shared" si="97"/>
        <v>188.83</v>
      </c>
      <c r="K1354" s="111">
        <f t="shared" si="98"/>
        <v>0</v>
      </c>
      <c r="L1354" s="110">
        <f t="shared" si="99"/>
        <v>0</v>
      </c>
      <c r="M1354" s="112"/>
    </row>
    <row r="1355" spans="2:13" s="52" customFormat="1" ht="19.5" hidden="1" customHeight="1">
      <c r="B1355" s="108">
        <v>11</v>
      </c>
      <c r="C1355" s="139" t="s">
        <v>57</v>
      </c>
      <c r="D1355" s="108" t="s">
        <v>3779</v>
      </c>
      <c r="E1355" s="108" t="s">
        <v>3946</v>
      </c>
      <c r="F1355" s="108" t="s">
        <v>4086</v>
      </c>
      <c r="G1355" s="108">
        <v>3</v>
      </c>
      <c r="H1355" s="71">
        <v>3</v>
      </c>
      <c r="I1355" s="109">
        <f t="shared" si="96"/>
        <v>837.90000000000009</v>
      </c>
      <c r="J1355" s="110">
        <f t="shared" si="97"/>
        <v>837.90000000000009</v>
      </c>
      <c r="K1355" s="111">
        <f t="shared" si="98"/>
        <v>0</v>
      </c>
      <c r="L1355" s="110">
        <f t="shared" si="99"/>
        <v>0</v>
      </c>
      <c r="M1355" s="112"/>
    </row>
    <row r="1356" spans="2:13" s="52" customFormat="1" ht="19.5" hidden="1" customHeight="1">
      <c r="B1356" s="108">
        <v>11</v>
      </c>
      <c r="C1356" s="115" t="s">
        <v>57</v>
      </c>
      <c r="D1356" s="108" t="s">
        <v>3780</v>
      </c>
      <c r="E1356" s="108" t="s">
        <v>3947</v>
      </c>
      <c r="F1356" s="108" t="s">
        <v>4086</v>
      </c>
      <c r="G1356" s="108">
        <v>1</v>
      </c>
      <c r="H1356" s="71">
        <v>1</v>
      </c>
      <c r="I1356" s="109">
        <f t="shared" si="91"/>
        <v>279.3</v>
      </c>
      <c r="J1356" s="110">
        <f t="shared" ref="J1356:J1416" si="100">F1356*H1356</f>
        <v>279.3</v>
      </c>
      <c r="K1356" s="111">
        <f t="shared" ref="K1356:K1416" si="101">G1356-H1356</f>
        <v>0</v>
      </c>
      <c r="L1356" s="110">
        <f t="shared" ref="L1356:L1416" si="102">I1356-J1356</f>
        <v>0</v>
      </c>
      <c r="M1356" s="112"/>
    </row>
    <row r="1357" spans="2:13" s="52" customFormat="1" ht="19.5" hidden="1" customHeight="1">
      <c r="B1357" s="108">
        <v>11</v>
      </c>
      <c r="C1357" s="139" t="s">
        <v>57</v>
      </c>
      <c r="D1357" s="108" t="s">
        <v>3781</v>
      </c>
      <c r="E1357" s="108" t="s">
        <v>3948</v>
      </c>
      <c r="F1357" s="108" t="s">
        <v>4086</v>
      </c>
      <c r="G1357" s="108">
        <v>3</v>
      </c>
      <c r="H1357" s="71">
        <v>3</v>
      </c>
      <c r="I1357" s="109">
        <f t="shared" si="91"/>
        <v>837.90000000000009</v>
      </c>
      <c r="J1357" s="110">
        <f t="shared" si="100"/>
        <v>837.90000000000009</v>
      </c>
      <c r="K1357" s="111">
        <f t="shared" si="101"/>
        <v>0</v>
      </c>
      <c r="L1357" s="110">
        <f t="shared" si="102"/>
        <v>0</v>
      </c>
      <c r="M1357" s="112"/>
    </row>
    <row r="1358" spans="2:13" s="52" customFormat="1" ht="19.5" hidden="1" customHeight="1">
      <c r="B1358" s="108">
        <v>11</v>
      </c>
      <c r="C1358" s="115" t="s">
        <v>57</v>
      </c>
      <c r="D1358" s="108" t="s">
        <v>3782</v>
      </c>
      <c r="E1358" s="108" t="s">
        <v>3949</v>
      </c>
      <c r="F1358" s="108" t="s">
        <v>4087</v>
      </c>
      <c r="G1358" s="108">
        <v>1</v>
      </c>
      <c r="H1358" s="71">
        <v>1</v>
      </c>
      <c r="I1358" s="109">
        <f t="shared" si="91"/>
        <v>265.3</v>
      </c>
      <c r="J1358" s="110">
        <f t="shared" si="100"/>
        <v>265.3</v>
      </c>
      <c r="K1358" s="111">
        <f t="shared" si="101"/>
        <v>0</v>
      </c>
      <c r="L1358" s="110">
        <f t="shared" si="102"/>
        <v>0</v>
      </c>
      <c r="M1358" s="112"/>
    </row>
    <row r="1359" spans="2:13" s="52" customFormat="1" ht="19.5" hidden="1" customHeight="1">
      <c r="B1359" s="108">
        <v>11</v>
      </c>
      <c r="C1359" s="139" t="s">
        <v>57</v>
      </c>
      <c r="D1359" s="108" t="s">
        <v>3783</v>
      </c>
      <c r="E1359" s="108" t="s">
        <v>3950</v>
      </c>
      <c r="F1359" s="108" t="s">
        <v>4087</v>
      </c>
      <c r="G1359" s="108">
        <v>1</v>
      </c>
      <c r="H1359" s="71">
        <v>1</v>
      </c>
      <c r="I1359" s="109">
        <f t="shared" si="91"/>
        <v>265.3</v>
      </c>
      <c r="J1359" s="110">
        <f t="shared" si="100"/>
        <v>265.3</v>
      </c>
      <c r="K1359" s="111">
        <f t="shared" si="101"/>
        <v>0</v>
      </c>
      <c r="L1359" s="110">
        <f t="shared" si="102"/>
        <v>0</v>
      </c>
      <c r="M1359" s="112"/>
    </row>
    <row r="1360" spans="2:13" s="52" customFormat="1" ht="19.5" hidden="1" customHeight="1">
      <c r="B1360" s="108">
        <v>11</v>
      </c>
      <c r="C1360" s="115" t="s">
        <v>57</v>
      </c>
      <c r="D1360" s="108" t="s">
        <v>3784</v>
      </c>
      <c r="E1360" s="108" t="s">
        <v>3951</v>
      </c>
      <c r="F1360" s="108" t="s">
        <v>4088</v>
      </c>
      <c r="G1360" s="108">
        <v>2</v>
      </c>
      <c r="H1360" s="71">
        <v>2</v>
      </c>
      <c r="I1360" s="109">
        <f t="shared" si="91"/>
        <v>868</v>
      </c>
      <c r="J1360" s="110">
        <f t="shared" si="100"/>
        <v>868</v>
      </c>
      <c r="K1360" s="111">
        <f t="shared" si="101"/>
        <v>0</v>
      </c>
      <c r="L1360" s="110">
        <f t="shared" si="102"/>
        <v>0</v>
      </c>
      <c r="M1360" s="112"/>
    </row>
    <row r="1361" spans="2:13" s="52" customFormat="1" ht="19.5" hidden="1" customHeight="1">
      <c r="B1361" s="108">
        <v>11</v>
      </c>
      <c r="C1361" s="139" t="s">
        <v>57</v>
      </c>
      <c r="D1361" s="108" t="s">
        <v>3785</v>
      </c>
      <c r="E1361" s="108" t="s">
        <v>3952</v>
      </c>
      <c r="F1361" s="108" t="s">
        <v>4088</v>
      </c>
      <c r="G1361" s="108">
        <v>1</v>
      </c>
      <c r="H1361" s="71">
        <v>1</v>
      </c>
      <c r="I1361" s="109">
        <f t="shared" si="91"/>
        <v>434</v>
      </c>
      <c r="J1361" s="110">
        <f t="shared" si="100"/>
        <v>434</v>
      </c>
      <c r="K1361" s="111">
        <f t="shared" si="101"/>
        <v>0</v>
      </c>
      <c r="L1361" s="110">
        <f t="shared" si="102"/>
        <v>0</v>
      </c>
      <c r="M1361" s="112"/>
    </row>
    <row r="1362" spans="2:13" s="52" customFormat="1" ht="19.5" hidden="1" customHeight="1">
      <c r="B1362" s="108">
        <v>11</v>
      </c>
      <c r="C1362" s="115" t="s">
        <v>57</v>
      </c>
      <c r="D1362" s="108" t="s">
        <v>3786</v>
      </c>
      <c r="E1362" s="108" t="s">
        <v>3953</v>
      </c>
      <c r="F1362" s="108" t="s">
        <v>4088</v>
      </c>
      <c r="G1362" s="108">
        <v>1</v>
      </c>
      <c r="H1362" s="71">
        <v>1</v>
      </c>
      <c r="I1362" s="109">
        <f t="shared" si="91"/>
        <v>434</v>
      </c>
      <c r="J1362" s="110">
        <f t="shared" si="100"/>
        <v>434</v>
      </c>
      <c r="K1362" s="111">
        <f t="shared" si="101"/>
        <v>0</v>
      </c>
      <c r="L1362" s="110">
        <f t="shared" si="102"/>
        <v>0</v>
      </c>
      <c r="M1362" s="112"/>
    </row>
    <row r="1363" spans="2:13" s="52" customFormat="1" ht="19.5" hidden="1" customHeight="1">
      <c r="B1363" s="108">
        <v>11</v>
      </c>
      <c r="C1363" s="139" t="s">
        <v>57</v>
      </c>
      <c r="D1363" s="108" t="s">
        <v>3787</v>
      </c>
      <c r="E1363" s="108" t="s">
        <v>3954</v>
      </c>
      <c r="F1363" s="108" t="s">
        <v>4087</v>
      </c>
      <c r="G1363" s="108">
        <v>1</v>
      </c>
      <c r="H1363" s="71">
        <v>1</v>
      </c>
      <c r="I1363" s="109">
        <f t="shared" si="91"/>
        <v>265.3</v>
      </c>
      <c r="J1363" s="110">
        <f t="shared" si="100"/>
        <v>265.3</v>
      </c>
      <c r="K1363" s="111">
        <f t="shared" si="101"/>
        <v>0</v>
      </c>
      <c r="L1363" s="110">
        <f t="shared" si="102"/>
        <v>0</v>
      </c>
      <c r="M1363" s="112"/>
    </row>
    <row r="1364" spans="2:13" s="52" customFormat="1" ht="19.5" hidden="1" customHeight="1">
      <c r="B1364" s="108">
        <v>11</v>
      </c>
      <c r="C1364" s="115" t="s">
        <v>57</v>
      </c>
      <c r="D1364" s="108" t="s">
        <v>3788</v>
      </c>
      <c r="E1364" s="108" t="s">
        <v>3955</v>
      </c>
      <c r="F1364" s="108" t="s">
        <v>4087</v>
      </c>
      <c r="G1364" s="108">
        <v>1</v>
      </c>
      <c r="H1364" s="71">
        <v>1</v>
      </c>
      <c r="I1364" s="109">
        <f t="shared" si="91"/>
        <v>265.3</v>
      </c>
      <c r="J1364" s="110">
        <f t="shared" si="100"/>
        <v>265.3</v>
      </c>
      <c r="K1364" s="111">
        <f t="shared" si="101"/>
        <v>0</v>
      </c>
      <c r="L1364" s="110">
        <f t="shared" si="102"/>
        <v>0</v>
      </c>
      <c r="M1364" s="112"/>
    </row>
    <row r="1365" spans="2:13" s="52" customFormat="1" ht="19.5" hidden="1" customHeight="1">
      <c r="B1365" s="108">
        <v>11</v>
      </c>
      <c r="C1365" s="139" t="s">
        <v>57</v>
      </c>
      <c r="D1365" s="108" t="s">
        <v>3789</v>
      </c>
      <c r="E1365" s="108" t="s">
        <v>3956</v>
      </c>
      <c r="F1365" s="108" t="s">
        <v>4087</v>
      </c>
      <c r="G1365" s="108">
        <v>1</v>
      </c>
      <c r="H1365" s="71">
        <v>1</v>
      </c>
      <c r="I1365" s="109">
        <f t="shared" si="91"/>
        <v>265.3</v>
      </c>
      <c r="J1365" s="110">
        <f t="shared" si="100"/>
        <v>265.3</v>
      </c>
      <c r="K1365" s="111">
        <f t="shared" si="101"/>
        <v>0</v>
      </c>
      <c r="L1365" s="110">
        <f t="shared" si="102"/>
        <v>0</v>
      </c>
      <c r="M1365" s="112"/>
    </row>
    <row r="1366" spans="2:13" s="52" customFormat="1" ht="19.5" hidden="1" customHeight="1">
      <c r="B1366" s="108">
        <v>11</v>
      </c>
      <c r="C1366" s="115" t="s">
        <v>57</v>
      </c>
      <c r="D1366" s="108" t="s">
        <v>3790</v>
      </c>
      <c r="E1366" s="108" t="s">
        <v>3957</v>
      </c>
      <c r="F1366" s="108" t="s">
        <v>4089</v>
      </c>
      <c r="G1366" s="108">
        <v>1</v>
      </c>
      <c r="H1366" s="71">
        <v>1</v>
      </c>
      <c r="I1366" s="109">
        <f t="shared" si="91"/>
        <v>153.30000000000001</v>
      </c>
      <c r="J1366" s="110">
        <f t="shared" si="100"/>
        <v>153.30000000000001</v>
      </c>
      <c r="K1366" s="111">
        <f t="shared" si="101"/>
        <v>0</v>
      </c>
      <c r="L1366" s="110">
        <f t="shared" si="102"/>
        <v>0</v>
      </c>
      <c r="M1366" s="112"/>
    </row>
    <row r="1367" spans="2:13" s="52" customFormat="1" ht="19.5" hidden="1" customHeight="1">
      <c r="B1367" s="108">
        <v>11</v>
      </c>
      <c r="C1367" s="139" t="s">
        <v>57</v>
      </c>
      <c r="D1367" s="108" t="s">
        <v>3791</v>
      </c>
      <c r="E1367" s="108" t="s">
        <v>3958</v>
      </c>
      <c r="F1367" s="108" t="s">
        <v>4090</v>
      </c>
      <c r="G1367" s="108">
        <v>1</v>
      </c>
      <c r="H1367" s="71">
        <v>1</v>
      </c>
      <c r="I1367" s="109">
        <f t="shared" si="91"/>
        <v>167.3</v>
      </c>
      <c r="J1367" s="110">
        <f t="shared" si="100"/>
        <v>167.3</v>
      </c>
      <c r="K1367" s="111">
        <f t="shared" si="101"/>
        <v>0</v>
      </c>
      <c r="L1367" s="110">
        <f t="shared" si="102"/>
        <v>0</v>
      </c>
      <c r="M1367" s="112"/>
    </row>
    <row r="1368" spans="2:13" s="52" customFormat="1" ht="19.5" hidden="1" customHeight="1">
      <c r="B1368" s="108">
        <v>11</v>
      </c>
      <c r="C1368" s="115" t="s">
        <v>57</v>
      </c>
      <c r="D1368" s="108" t="s">
        <v>3792</v>
      </c>
      <c r="E1368" s="108" t="s">
        <v>3959</v>
      </c>
      <c r="F1368" s="108" t="s">
        <v>4091</v>
      </c>
      <c r="G1368" s="108">
        <v>3</v>
      </c>
      <c r="H1368" s="71">
        <v>3</v>
      </c>
      <c r="I1368" s="109">
        <f t="shared" si="91"/>
        <v>417.90000000000003</v>
      </c>
      <c r="J1368" s="110">
        <f t="shared" si="100"/>
        <v>417.90000000000003</v>
      </c>
      <c r="K1368" s="111">
        <f t="shared" si="101"/>
        <v>0</v>
      </c>
      <c r="L1368" s="110">
        <f t="shared" si="102"/>
        <v>0</v>
      </c>
      <c r="M1368" s="112"/>
    </row>
    <row r="1369" spans="2:13" s="52" customFormat="1" ht="19.5" hidden="1" customHeight="1">
      <c r="B1369" s="108">
        <v>11</v>
      </c>
      <c r="C1369" s="139" t="s">
        <v>57</v>
      </c>
      <c r="D1369" s="108" t="s">
        <v>3793</v>
      </c>
      <c r="E1369" s="108" t="s">
        <v>3960</v>
      </c>
      <c r="F1369" s="108" t="s">
        <v>4089</v>
      </c>
      <c r="G1369" s="108">
        <v>6</v>
      </c>
      <c r="H1369" s="71">
        <v>6</v>
      </c>
      <c r="I1369" s="109">
        <f t="shared" si="91"/>
        <v>919.80000000000007</v>
      </c>
      <c r="J1369" s="110">
        <f t="shared" si="100"/>
        <v>919.80000000000007</v>
      </c>
      <c r="K1369" s="111">
        <f t="shared" si="101"/>
        <v>0</v>
      </c>
      <c r="L1369" s="110">
        <f t="shared" si="102"/>
        <v>0</v>
      </c>
      <c r="M1369" s="112"/>
    </row>
    <row r="1370" spans="2:13" s="52" customFormat="1" ht="19.5" hidden="1" customHeight="1">
      <c r="B1370" s="108">
        <v>11</v>
      </c>
      <c r="C1370" s="115" t="s">
        <v>57</v>
      </c>
      <c r="D1370" s="108" t="s">
        <v>3794</v>
      </c>
      <c r="E1370" s="108" t="s">
        <v>3961</v>
      </c>
      <c r="F1370" s="108" t="s">
        <v>4089</v>
      </c>
      <c r="G1370" s="108">
        <v>1</v>
      </c>
      <c r="H1370" s="71">
        <v>1</v>
      </c>
      <c r="I1370" s="109">
        <f t="shared" si="91"/>
        <v>153.30000000000001</v>
      </c>
      <c r="J1370" s="110">
        <f t="shared" si="100"/>
        <v>153.30000000000001</v>
      </c>
      <c r="K1370" s="111">
        <f t="shared" si="101"/>
        <v>0</v>
      </c>
      <c r="L1370" s="110">
        <f t="shared" si="102"/>
        <v>0</v>
      </c>
      <c r="M1370" s="112"/>
    </row>
    <row r="1371" spans="2:13" s="52" customFormat="1" ht="19.5" hidden="1" customHeight="1">
      <c r="B1371" s="108">
        <v>11</v>
      </c>
      <c r="C1371" s="139" t="s">
        <v>57</v>
      </c>
      <c r="D1371" s="108" t="s">
        <v>3795</v>
      </c>
      <c r="E1371" s="108" t="s">
        <v>3962</v>
      </c>
      <c r="F1371" s="108" t="s">
        <v>4091</v>
      </c>
      <c r="G1371" s="108">
        <v>1</v>
      </c>
      <c r="H1371" s="71">
        <v>1</v>
      </c>
      <c r="I1371" s="109">
        <f t="shared" si="91"/>
        <v>139.30000000000001</v>
      </c>
      <c r="J1371" s="110">
        <f t="shared" si="100"/>
        <v>139.30000000000001</v>
      </c>
      <c r="K1371" s="111">
        <f t="shared" si="101"/>
        <v>0</v>
      </c>
      <c r="L1371" s="110">
        <f t="shared" si="102"/>
        <v>0</v>
      </c>
      <c r="M1371" s="112"/>
    </row>
    <row r="1372" spans="2:13" s="52" customFormat="1" ht="19.5" hidden="1" customHeight="1">
      <c r="B1372" s="108">
        <v>11</v>
      </c>
      <c r="C1372" s="115" t="s">
        <v>57</v>
      </c>
      <c r="D1372" s="108" t="s">
        <v>3796</v>
      </c>
      <c r="E1372" s="108" t="s">
        <v>3963</v>
      </c>
      <c r="F1372" s="108" t="s">
        <v>4092</v>
      </c>
      <c r="G1372" s="108">
        <v>2</v>
      </c>
      <c r="H1372" s="71">
        <v>2</v>
      </c>
      <c r="I1372" s="109">
        <f t="shared" si="91"/>
        <v>314.66000000000003</v>
      </c>
      <c r="J1372" s="110">
        <f t="shared" si="100"/>
        <v>314.66000000000003</v>
      </c>
      <c r="K1372" s="111">
        <f t="shared" si="101"/>
        <v>0</v>
      </c>
      <c r="L1372" s="110">
        <f t="shared" si="102"/>
        <v>0</v>
      </c>
      <c r="M1372" s="112"/>
    </row>
    <row r="1373" spans="2:13" s="52" customFormat="1" ht="19.5" hidden="1" customHeight="1">
      <c r="B1373" s="108">
        <v>11</v>
      </c>
      <c r="C1373" s="139" t="s">
        <v>57</v>
      </c>
      <c r="D1373" s="108" t="s">
        <v>3797</v>
      </c>
      <c r="E1373" s="108" t="s">
        <v>3964</v>
      </c>
      <c r="F1373" s="108" t="s">
        <v>4093</v>
      </c>
      <c r="G1373" s="108">
        <v>1</v>
      </c>
      <c r="H1373" s="71">
        <v>1</v>
      </c>
      <c r="I1373" s="109">
        <f t="shared" si="91"/>
        <v>171.33</v>
      </c>
      <c r="J1373" s="110">
        <f t="shared" si="100"/>
        <v>171.33</v>
      </c>
      <c r="K1373" s="111">
        <f t="shared" si="101"/>
        <v>0</v>
      </c>
      <c r="L1373" s="110">
        <f t="shared" si="102"/>
        <v>0</v>
      </c>
      <c r="M1373" s="112"/>
    </row>
    <row r="1374" spans="2:13" s="52" customFormat="1" ht="19.5" hidden="1" customHeight="1">
      <c r="B1374" s="108">
        <v>11</v>
      </c>
      <c r="C1374" s="115" t="s">
        <v>57</v>
      </c>
      <c r="D1374" s="108" t="s">
        <v>3798</v>
      </c>
      <c r="E1374" s="108" t="s">
        <v>3965</v>
      </c>
      <c r="F1374" s="108" t="s">
        <v>4092</v>
      </c>
      <c r="G1374" s="108">
        <v>1</v>
      </c>
      <c r="H1374" s="71">
        <v>1</v>
      </c>
      <c r="I1374" s="109">
        <f t="shared" si="91"/>
        <v>157.33000000000001</v>
      </c>
      <c r="J1374" s="110">
        <f t="shared" si="100"/>
        <v>157.33000000000001</v>
      </c>
      <c r="K1374" s="111">
        <f t="shared" si="101"/>
        <v>0</v>
      </c>
      <c r="L1374" s="110">
        <f t="shared" si="102"/>
        <v>0</v>
      </c>
      <c r="M1374" s="112"/>
    </row>
    <row r="1375" spans="2:13" s="52" customFormat="1" ht="19.5" hidden="1" customHeight="1">
      <c r="B1375" s="108">
        <v>11</v>
      </c>
      <c r="C1375" s="139" t="s">
        <v>57</v>
      </c>
      <c r="D1375" s="108" t="s">
        <v>3799</v>
      </c>
      <c r="E1375" s="108" t="s">
        <v>3966</v>
      </c>
      <c r="F1375" s="108" t="s">
        <v>4091</v>
      </c>
      <c r="G1375" s="108">
        <v>5</v>
      </c>
      <c r="H1375" s="71">
        <v>5</v>
      </c>
      <c r="I1375" s="109">
        <f t="shared" si="91"/>
        <v>696.5</v>
      </c>
      <c r="J1375" s="110">
        <f t="shared" si="100"/>
        <v>696.5</v>
      </c>
      <c r="K1375" s="111">
        <f t="shared" si="101"/>
        <v>0</v>
      </c>
      <c r="L1375" s="110">
        <f t="shared" si="102"/>
        <v>0</v>
      </c>
      <c r="M1375" s="112"/>
    </row>
    <row r="1376" spans="2:13" s="52" customFormat="1" ht="19.5" hidden="1" customHeight="1">
      <c r="B1376" s="108">
        <v>11</v>
      </c>
      <c r="C1376" s="115" t="s">
        <v>57</v>
      </c>
      <c r="D1376" s="108" t="s">
        <v>3800</v>
      </c>
      <c r="E1376" s="108" t="s">
        <v>3967</v>
      </c>
      <c r="F1376" s="108" t="s">
        <v>4092</v>
      </c>
      <c r="G1376" s="108">
        <v>1</v>
      </c>
      <c r="H1376" s="71">
        <v>1</v>
      </c>
      <c r="I1376" s="109">
        <f t="shared" si="91"/>
        <v>157.33000000000001</v>
      </c>
      <c r="J1376" s="110">
        <f t="shared" si="100"/>
        <v>157.33000000000001</v>
      </c>
      <c r="K1376" s="111">
        <f t="shared" si="101"/>
        <v>0</v>
      </c>
      <c r="L1376" s="110">
        <f t="shared" si="102"/>
        <v>0</v>
      </c>
      <c r="M1376" s="112"/>
    </row>
    <row r="1377" spans="2:13" s="52" customFormat="1" ht="19.5" hidden="1" customHeight="1">
      <c r="B1377" s="108">
        <v>11</v>
      </c>
      <c r="C1377" s="139" t="s">
        <v>57</v>
      </c>
      <c r="D1377" s="108" t="s">
        <v>3801</v>
      </c>
      <c r="E1377" s="108" t="s">
        <v>3968</v>
      </c>
      <c r="F1377" s="108" t="s">
        <v>4084</v>
      </c>
      <c r="G1377" s="108">
        <v>1</v>
      </c>
      <c r="H1377" s="71">
        <v>1</v>
      </c>
      <c r="I1377" s="109">
        <f t="shared" si="91"/>
        <v>153.83000000000001</v>
      </c>
      <c r="J1377" s="110">
        <f t="shared" si="100"/>
        <v>153.83000000000001</v>
      </c>
      <c r="K1377" s="111">
        <f t="shared" si="101"/>
        <v>0</v>
      </c>
      <c r="L1377" s="110">
        <f t="shared" si="102"/>
        <v>0</v>
      </c>
      <c r="M1377" s="112"/>
    </row>
    <row r="1378" spans="2:13" s="52" customFormat="1" ht="19.5" hidden="1" customHeight="1">
      <c r="B1378" s="108">
        <v>11</v>
      </c>
      <c r="C1378" s="115" t="s">
        <v>57</v>
      </c>
      <c r="D1378" s="108" t="s">
        <v>3802</v>
      </c>
      <c r="E1378" s="108" t="s">
        <v>3969</v>
      </c>
      <c r="F1378" s="108" t="s">
        <v>4094</v>
      </c>
      <c r="G1378" s="108">
        <v>1</v>
      </c>
      <c r="H1378" s="71">
        <v>1</v>
      </c>
      <c r="I1378" s="109">
        <f t="shared" si="91"/>
        <v>244.83</v>
      </c>
      <c r="J1378" s="110">
        <f t="shared" si="100"/>
        <v>244.83</v>
      </c>
      <c r="K1378" s="111">
        <f t="shared" si="101"/>
        <v>0</v>
      </c>
      <c r="L1378" s="110">
        <f t="shared" si="102"/>
        <v>0</v>
      </c>
      <c r="M1378" s="112"/>
    </row>
    <row r="1379" spans="2:13" s="52" customFormat="1" ht="19.5" hidden="1" customHeight="1">
      <c r="B1379" s="108">
        <v>11</v>
      </c>
      <c r="C1379" s="139" t="s">
        <v>57</v>
      </c>
      <c r="D1379" s="108" t="s">
        <v>3803</v>
      </c>
      <c r="E1379" s="108" t="s">
        <v>3970</v>
      </c>
      <c r="F1379" s="108" t="s">
        <v>4095</v>
      </c>
      <c r="G1379" s="108">
        <v>10</v>
      </c>
      <c r="H1379" s="71">
        <v>10</v>
      </c>
      <c r="I1379" s="109">
        <f t="shared" si="91"/>
        <v>2583</v>
      </c>
      <c r="J1379" s="110">
        <f t="shared" si="100"/>
        <v>2583</v>
      </c>
      <c r="K1379" s="111">
        <f t="shared" si="101"/>
        <v>0</v>
      </c>
      <c r="L1379" s="110">
        <f t="shared" si="102"/>
        <v>0</v>
      </c>
      <c r="M1379" s="112"/>
    </row>
    <row r="1380" spans="2:13" s="52" customFormat="1" ht="19.5" hidden="1" customHeight="1">
      <c r="B1380" s="108">
        <v>11</v>
      </c>
      <c r="C1380" s="115" t="s">
        <v>57</v>
      </c>
      <c r="D1380" s="108" t="s">
        <v>3804</v>
      </c>
      <c r="E1380" s="108" t="s">
        <v>3971</v>
      </c>
      <c r="F1380" s="108" t="s">
        <v>4096</v>
      </c>
      <c r="G1380" s="108">
        <v>9</v>
      </c>
      <c r="H1380" s="71">
        <v>9</v>
      </c>
      <c r="I1380" s="109">
        <f t="shared" si="91"/>
        <v>2198.7000000000003</v>
      </c>
      <c r="J1380" s="110">
        <f t="shared" si="100"/>
        <v>2198.7000000000003</v>
      </c>
      <c r="K1380" s="111">
        <f t="shared" si="101"/>
        <v>0</v>
      </c>
      <c r="L1380" s="110">
        <f t="shared" si="102"/>
        <v>0</v>
      </c>
      <c r="M1380" s="112"/>
    </row>
    <row r="1381" spans="2:13" s="52" customFormat="1" ht="19.5" hidden="1" customHeight="1">
      <c r="B1381" s="108">
        <v>11</v>
      </c>
      <c r="C1381" s="139" t="s">
        <v>57</v>
      </c>
      <c r="D1381" s="108" t="s">
        <v>3805</v>
      </c>
      <c r="E1381" s="108" t="s">
        <v>3972</v>
      </c>
      <c r="F1381" s="108" t="s">
        <v>4096</v>
      </c>
      <c r="G1381" s="108">
        <v>8</v>
      </c>
      <c r="H1381" s="71">
        <v>8</v>
      </c>
      <c r="I1381" s="109">
        <f t="shared" si="91"/>
        <v>1954.4</v>
      </c>
      <c r="J1381" s="110">
        <f t="shared" si="100"/>
        <v>1954.4</v>
      </c>
      <c r="K1381" s="111">
        <f t="shared" si="101"/>
        <v>0</v>
      </c>
      <c r="L1381" s="110">
        <f t="shared" si="102"/>
        <v>0</v>
      </c>
      <c r="M1381" s="112"/>
    </row>
    <row r="1382" spans="2:13" s="52" customFormat="1" ht="19.5" hidden="1" customHeight="1">
      <c r="B1382" s="108">
        <v>11</v>
      </c>
      <c r="C1382" s="115" t="s">
        <v>57</v>
      </c>
      <c r="D1382" s="108" t="s">
        <v>3806</v>
      </c>
      <c r="E1382" s="108" t="s">
        <v>3973</v>
      </c>
      <c r="F1382" s="108" t="s">
        <v>4097</v>
      </c>
      <c r="G1382" s="108">
        <v>2</v>
      </c>
      <c r="H1382" s="71">
        <v>3</v>
      </c>
      <c r="I1382" s="109">
        <f t="shared" si="91"/>
        <v>502.6</v>
      </c>
      <c r="J1382" s="110">
        <f t="shared" si="100"/>
        <v>753.90000000000009</v>
      </c>
      <c r="K1382" s="111">
        <f t="shared" si="101"/>
        <v>-1</v>
      </c>
      <c r="L1382" s="110">
        <f t="shared" si="102"/>
        <v>-251.30000000000007</v>
      </c>
      <c r="M1382" s="112"/>
    </row>
    <row r="1383" spans="2:13" s="52" customFormat="1" ht="19.5" hidden="1" customHeight="1">
      <c r="B1383" s="108">
        <v>11</v>
      </c>
      <c r="C1383" s="139" t="s">
        <v>57</v>
      </c>
      <c r="D1383" s="108" t="s">
        <v>3807</v>
      </c>
      <c r="E1383" s="108" t="s">
        <v>3974</v>
      </c>
      <c r="F1383" s="108" t="s">
        <v>4098</v>
      </c>
      <c r="G1383" s="108">
        <v>1</v>
      </c>
      <c r="H1383" s="71">
        <v>1</v>
      </c>
      <c r="I1383" s="109">
        <f t="shared" si="91"/>
        <v>181.83</v>
      </c>
      <c r="J1383" s="110">
        <f t="shared" si="100"/>
        <v>181.83</v>
      </c>
      <c r="K1383" s="111">
        <f t="shared" si="101"/>
        <v>0</v>
      </c>
      <c r="L1383" s="110">
        <f t="shared" si="102"/>
        <v>0</v>
      </c>
      <c r="M1383" s="112"/>
    </row>
    <row r="1384" spans="2:13" s="52" customFormat="1" ht="19.5" hidden="1" customHeight="1">
      <c r="B1384" s="108">
        <v>11</v>
      </c>
      <c r="C1384" s="115" t="s">
        <v>57</v>
      </c>
      <c r="D1384" s="108" t="s">
        <v>3808</v>
      </c>
      <c r="E1384" s="108" t="s">
        <v>3975</v>
      </c>
      <c r="F1384" s="108" t="s">
        <v>4098</v>
      </c>
      <c r="G1384" s="108">
        <v>1</v>
      </c>
      <c r="H1384" s="71">
        <v>1</v>
      </c>
      <c r="I1384" s="109">
        <f t="shared" si="91"/>
        <v>181.83</v>
      </c>
      <c r="J1384" s="110">
        <f t="shared" si="100"/>
        <v>181.83</v>
      </c>
      <c r="K1384" s="111">
        <f t="shared" si="101"/>
        <v>0</v>
      </c>
      <c r="L1384" s="110">
        <f t="shared" si="102"/>
        <v>0</v>
      </c>
      <c r="M1384" s="112"/>
    </row>
    <row r="1385" spans="2:13" s="52" customFormat="1" ht="19.5" hidden="1" customHeight="1">
      <c r="B1385" s="108">
        <v>11</v>
      </c>
      <c r="C1385" s="139" t="s">
        <v>57</v>
      </c>
      <c r="D1385" s="108" t="s">
        <v>3809</v>
      </c>
      <c r="E1385" s="108" t="s">
        <v>3976</v>
      </c>
      <c r="F1385" s="108" t="s">
        <v>4098</v>
      </c>
      <c r="G1385" s="108">
        <v>1</v>
      </c>
      <c r="H1385" s="71">
        <v>1</v>
      </c>
      <c r="I1385" s="109">
        <f t="shared" si="91"/>
        <v>181.83</v>
      </c>
      <c r="J1385" s="110">
        <f t="shared" si="100"/>
        <v>181.83</v>
      </c>
      <c r="K1385" s="111">
        <f t="shared" si="101"/>
        <v>0</v>
      </c>
      <c r="L1385" s="110">
        <f t="shared" si="102"/>
        <v>0</v>
      </c>
      <c r="M1385" s="112"/>
    </row>
    <row r="1386" spans="2:13" s="52" customFormat="1" ht="19.5" hidden="1" customHeight="1">
      <c r="B1386" s="108">
        <v>11</v>
      </c>
      <c r="C1386" s="115" t="s">
        <v>57</v>
      </c>
      <c r="D1386" s="108" t="s">
        <v>3810</v>
      </c>
      <c r="E1386" s="108" t="s">
        <v>3977</v>
      </c>
      <c r="F1386" s="108" t="s">
        <v>4083</v>
      </c>
      <c r="G1386" s="108">
        <v>2</v>
      </c>
      <c r="H1386" s="71">
        <v>2</v>
      </c>
      <c r="I1386" s="109">
        <f t="shared" si="91"/>
        <v>376.6</v>
      </c>
      <c r="J1386" s="110">
        <f t="shared" si="100"/>
        <v>376.6</v>
      </c>
      <c r="K1386" s="111">
        <f t="shared" si="101"/>
        <v>0</v>
      </c>
      <c r="L1386" s="110">
        <f t="shared" si="102"/>
        <v>0</v>
      </c>
      <c r="M1386" s="112"/>
    </row>
    <row r="1387" spans="2:13" s="52" customFormat="1" ht="19.5" hidden="1" customHeight="1">
      <c r="B1387" s="108">
        <v>11</v>
      </c>
      <c r="C1387" s="139" t="s">
        <v>57</v>
      </c>
      <c r="D1387" s="108" t="s">
        <v>3811</v>
      </c>
      <c r="E1387" s="108" t="s">
        <v>3978</v>
      </c>
      <c r="F1387" s="108" t="s">
        <v>4083</v>
      </c>
      <c r="G1387" s="108">
        <v>1</v>
      </c>
      <c r="H1387" s="71">
        <v>1</v>
      </c>
      <c r="I1387" s="109">
        <f t="shared" si="91"/>
        <v>188.3</v>
      </c>
      <c r="J1387" s="110">
        <f t="shared" si="100"/>
        <v>188.3</v>
      </c>
      <c r="K1387" s="111">
        <f t="shared" si="101"/>
        <v>0</v>
      </c>
      <c r="L1387" s="110">
        <f t="shared" si="102"/>
        <v>0</v>
      </c>
      <c r="M1387" s="112"/>
    </row>
    <row r="1388" spans="2:13" s="52" customFormat="1" ht="19.5" hidden="1" customHeight="1">
      <c r="B1388" s="108">
        <v>11</v>
      </c>
      <c r="C1388" s="115" t="s">
        <v>57</v>
      </c>
      <c r="D1388" s="108" t="s">
        <v>3812</v>
      </c>
      <c r="E1388" s="108" t="s">
        <v>3979</v>
      </c>
      <c r="F1388" s="108" t="s">
        <v>4083</v>
      </c>
      <c r="G1388" s="108">
        <v>1</v>
      </c>
      <c r="H1388" s="71">
        <v>1</v>
      </c>
      <c r="I1388" s="109">
        <f t="shared" si="91"/>
        <v>188.3</v>
      </c>
      <c r="J1388" s="110">
        <f t="shared" si="100"/>
        <v>188.3</v>
      </c>
      <c r="K1388" s="111">
        <f t="shared" si="101"/>
        <v>0</v>
      </c>
      <c r="L1388" s="110">
        <f t="shared" si="102"/>
        <v>0</v>
      </c>
      <c r="M1388" s="112"/>
    </row>
    <row r="1389" spans="2:13" s="52" customFormat="1" ht="19.5" hidden="1" customHeight="1">
      <c r="B1389" s="108">
        <v>11</v>
      </c>
      <c r="C1389" s="139" t="s">
        <v>57</v>
      </c>
      <c r="D1389" s="108" t="s">
        <v>3813</v>
      </c>
      <c r="E1389" s="108" t="s">
        <v>3980</v>
      </c>
      <c r="F1389" s="108" t="s">
        <v>4083</v>
      </c>
      <c r="G1389" s="108">
        <v>2</v>
      </c>
      <c r="H1389" s="71">
        <v>2</v>
      </c>
      <c r="I1389" s="109">
        <f t="shared" si="91"/>
        <v>376.6</v>
      </c>
      <c r="J1389" s="110">
        <f t="shared" si="100"/>
        <v>376.6</v>
      </c>
      <c r="K1389" s="111">
        <f t="shared" si="101"/>
        <v>0</v>
      </c>
      <c r="L1389" s="110">
        <f t="shared" si="102"/>
        <v>0</v>
      </c>
      <c r="M1389" s="112"/>
    </row>
    <row r="1390" spans="2:13" s="52" customFormat="1" ht="19.5" hidden="1" customHeight="1">
      <c r="B1390" s="108">
        <v>11</v>
      </c>
      <c r="C1390" s="115" t="s">
        <v>57</v>
      </c>
      <c r="D1390" s="108" t="s">
        <v>3814</v>
      </c>
      <c r="E1390" s="108" t="s">
        <v>3981</v>
      </c>
      <c r="F1390" s="108" t="s">
        <v>4083</v>
      </c>
      <c r="G1390" s="108">
        <v>1</v>
      </c>
      <c r="H1390" s="71">
        <v>1</v>
      </c>
      <c r="I1390" s="109">
        <f t="shared" si="91"/>
        <v>188.3</v>
      </c>
      <c r="J1390" s="110">
        <f t="shared" si="100"/>
        <v>188.3</v>
      </c>
      <c r="K1390" s="111">
        <f t="shared" si="101"/>
        <v>0</v>
      </c>
      <c r="L1390" s="110">
        <f t="shared" si="102"/>
        <v>0</v>
      </c>
      <c r="M1390" s="112"/>
    </row>
    <row r="1391" spans="2:13" s="52" customFormat="1" ht="19.5" hidden="1" customHeight="1">
      <c r="B1391" s="108">
        <v>11</v>
      </c>
      <c r="C1391" s="139" t="s">
        <v>57</v>
      </c>
      <c r="D1391" s="108" t="s">
        <v>3815</v>
      </c>
      <c r="E1391" s="108" t="s">
        <v>3982</v>
      </c>
      <c r="F1391" s="108" t="s">
        <v>4099</v>
      </c>
      <c r="G1391" s="108">
        <v>1</v>
      </c>
      <c r="H1391" s="71">
        <v>1</v>
      </c>
      <c r="I1391" s="109">
        <f t="shared" si="91"/>
        <v>507.5</v>
      </c>
      <c r="J1391" s="110">
        <f t="shared" si="100"/>
        <v>507.5</v>
      </c>
      <c r="K1391" s="111">
        <f t="shared" si="101"/>
        <v>0</v>
      </c>
      <c r="L1391" s="110">
        <f t="shared" si="102"/>
        <v>0</v>
      </c>
      <c r="M1391" s="112"/>
    </row>
    <row r="1392" spans="2:13" s="52" customFormat="1" ht="19.5" hidden="1" customHeight="1">
      <c r="B1392" s="108">
        <v>11</v>
      </c>
      <c r="C1392" s="115" t="s">
        <v>57</v>
      </c>
      <c r="D1392" s="108" t="s">
        <v>3816</v>
      </c>
      <c r="E1392" s="108" t="s">
        <v>3983</v>
      </c>
      <c r="F1392" s="108" t="s">
        <v>4100</v>
      </c>
      <c r="G1392" s="108">
        <v>3</v>
      </c>
      <c r="H1392" s="71">
        <v>3</v>
      </c>
      <c r="I1392" s="109">
        <f t="shared" si="91"/>
        <v>963.90000000000009</v>
      </c>
      <c r="J1392" s="110">
        <f t="shared" si="100"/>
        <v>963.90000000000009</v>
      </c>
      <c r="K1392" s="111">
        <f t="shared" si="101"/>
        <v>0</v>
      </c>
      <c r="L1392" s="110">
        <f t="shared" si="102"/>
        <v>0</v>
      </c>
      <c r="M1392" s="112"/>
    </row>
    <row r="1393" spans="2:13" s="52" customFormat="1" ht="19.5" hidden="1" customHeight="1">
      <c r="B1393" s="108">
        <v>11</v>
      </c>
      <c r="C1393" s="139" t="s">
        <v>57</v>
      </c>
      <c r="D1393" s="108" t="s">
        <v>3817</v>
      </c>
      <c r="E1393" s="108" t="s">
        <v>3984</v>
      </c>
      <c r="F1393" s="108" t="s">
        <v>4101</v>
      </c>
      <c r="G1393" s="108">
        <v>1</v>
      </c>
      <c r="H1393" s="71">
        <v>1</v>
      </c>
      <c r="I1393" s="109">
        <f t="shared" si="91"/>
        <v>300.3</v>
      </c>
      <c r="J1393" s="110">
        <f t="shared" si="100"/>
        <v>300.3</v>
      </c>
      <c r="K1393" s="111">
        <f t="shared" si="101"/>
        <v>0</v>
      </c>
      <c r="L1393" s="110">
        <f t="shared" si="102"/>
        <v>0</v>
      </c>
      <c r="M1393" s="112"/>
    </row>
    <row r="1394" spans="2:13" s="52" customFormat="1" ht="19.5" hidden="1" customHeight="1">
      <c r="B1394" s="108">
        <v>11</v>
      </c>
      <c r="C1394" s="115" t="s">
        <v>57</v>
      </c>
      <c r="D1394" s="108" t="s">
        <v>3818</v>
      </c>
      <c r="E1394" s="108" t="s">
        <v>3985</v>
      </c>
      <c r="F1394" s="108" t="s">
        <v>4101</v>
      </c>
      <c r="G1394" s="108">
        <v>1</v>
      </c>
      <c r="H1394" s="71">
        <v>1</v>
      </c>
      <c r="I1394" s="109">
        <f t="shared" si="91"/>
        <v>300.3</v>
      </c>
      <c r="J1394" s="110">
        <f t="shared" si="100"/>
        <v>300.3</v>
      </c>
      <c r="K1394" s="111">
        <f t="shared" si="101"/>
        <v>0</v>
      </c>
      <c r="L1394" s="110">
        <f t="shared" si="102"/>
        <v>0</v>
      </c>
      <c r="M1394" s="112"/>
    </row>
    <row r="1395" spans="2:13" s="52" customFormat="1" ht="19.5" hidden="1" customHeight="1">
      <c r="B1395" s="108">
        <v>11</v>
      </c>
      <c r="C1395" s="139" t="s">
        <v>57</v>
      </c>
      <c r="D1395" s="108" t="s">
        <v>3819</v>
      </c>
      <c r="E1395" s="108" t="s">
        <v>3986</v>
      </c>
      <c r="F1395" s="108" t="s">
        <v>4101</v>
      </c>
      <c r="G1395" s="108">
        <v>1</v>
      </c>
      <c r="H1395" s="71">
        <v>1</v>
      </c>
      <c r="I1395" s="109">
        <f t="shared" ref="I1395:I1514" si="103">F1395*G1395</f>
        <v>300.3</v>
      </c>
      <c r="J1395" s="110">
        <f t="shared" si="100"/>
        <v>300.3</v>
      </c>
      <c r="K1395" s="111">
        <f t="shared" si="101"/>
        <v>0</v>
      </c>
      <c r="L1395" s="110">
        <f t="shared" si="102"/>
        <v>0</v>
      </c>
      <c r="M1395" s="112"/>
    </row>
    <row r="1396" spans="2:13" s="52" customFormat="1" ht="19.5" hidden="1" customHeight="1">
      <c r="B1396" s="108">
        <v>11</v>
      </c>
      <c r="C1396" s="115" t="s">
        <v>57</v>
      </c>
      <c r="D1396" s="108" t="s">
        <v>3820</v>
      </c>
      <c r="E1396" s="108" t="s">
        <v>3987</v>
      </c>
      <c r="F1396" s="108" t="s">
        <v>4101</v>
      </c>
      <c r="G1396" s="108">
        <v>1</v>
      </c>
      <c r="H1396" s="71">
        <v>1</v>
      </c>
      <c r="I1396" s="109">
        <f t="shared" si="103"/>
        <v>300.3</v>
      </c>
      <c r="J1396" s="110">
        <f t="shared" si="100"/>
        <v>300.3</v>
      </c>
      <c r="K1396" s="111">
        <f t="shared" si="101"/>
        <v>0</v>
      </c>
      <c r="L1396" s="110">
        <f t="shared" si="102"/>
        <v>0</v>
      </c>
      <c r="M1396" s="112"/>
    </row>
    <row r="1397" spans="2:13" s="52" customFormat="1" ht="19.5" hidden="1" customHeight="1">
      <c r="B1397" s="108">
        <v>11</v>
      </c>
      <c r="C1397" s="139" t="s">
        <v>57</v>
      </c>
      <c r="D1397" s="108" t="s">
        <v>3821</v>
      </c>
      <c r="E1397" s="108" t="s">
        <v>3988</v>
      </c>
      <c r="F1397" s="108" t="s">
        <v>4074</v>
      </c>
      <c r="G1397" s="108">
        <v>1</v>
      </c>
      <c r="H1397" s="71">
        <v>1</v>
      </c>
      <c r="I1397" s="109">
        <f t="shared" si="103"/>
        <v>293.83</v>
      </c>
      <c r="J1397" s="110">
        <f t="shared" si="100"/>
        <v>293.83</v>
      </c>
      <c r="K1397" s="111">
        <f t="shared" si="101"/>
        <v>0</v>
      </c>
      <c r="L1397" s="110">
        <f t="shared" si="102"/>
        <v>0</v>
      </c>
      <c r="M1397" s="112"/>
    </row>
    <row r="1398" spans="2:13" s="52" customFormat="1" ht="19.5" hidden="1" customHeight="1">
      <c r="B1398" s="108">
        <v>11</v>
      </c>
      <c r="C1398" s="115" t="s">
        <v>57</v>
      </c>
      <c r="D1398" s="108" t="s">
        <v>3822</v>
      </c>
      <c r="E1398" s="108" t="s">
        <v>3989</v>
      </c>
      <c r="F1398" s="108" t="s">
        <v>4074</v>
      </c>
      <c r="G1398" s="108">
        <v>1</v>
      </c>
      <c r="H1398" s="71">
        <v>1</v>
      </c>
      <c r="I1398" s="109">
        <f t="shared" si="103"/>
        <v>293.83</v>
      </c>
      <c r="J1398" s="110">
        <f t="shared" si="100"/>
        <v>293.83</v>
      </c>
      <c r="K1398" s="111">
        <f t="shared" si="101"/>
        <v>0</v>
      </c>
      <c r="L1398" s="110">
        <f t="shared" si="102"/>
        <v>0</v>
      </c>
      <c r="M1398" s="112"/>
    </row>
    <row r="1399" spans="2:13" s="52" customFormat="1" ht="19.5" hidden="1" customHeight="1">
      <c r="B1399" s="108">
        <v>11</v>
      </c>
      <c r="C1399" s="139" t="s">
        <v>57</v>
      </c>
      <c r="D1399" s="108" t="s">
        <v>3823</v>
      </c>
      <c r="E1399" s="108" t="s">
        <v>3990</v>
      </c>
      <c r="F1399" s="108" t="s">
        <v>4074</v>
      </c>
      <c r="G1399" s="108">
        <v>1</v>
      </c>
      <c r="H1399" s="71">
        <v>1</v>
      </c>
      <c r="I1399" s="109">
        <f t="shared" si="103"/>
        <v>293.83</v>
      </c>
      <c r="J1399" s="110">
        <f t="shared" si="100"/>
        <v>293.83</v>
      </c>
      <c r="K1399" s="111">
        <f t="shared" si="101"/>
        <v>0</v>
      </c>
      <c r="L1399" s="110">
        <f t="shared" si="102"/>
        <v>0</v>
      </c>
      <c r="M1399" s="112"/>
    </row>
    <row r="1400" spans="2:13" s="52" customFormat="1" ht="19.5" hidden="1" customHeight="1">
      <c r="B1400" s="108">
        <v>11</v>
      </c>
      <c r="C1400" s="115" t="s">
        <v>57</v>
      </c>
      <c r="D1400" s="108" t="s">
        <v>3824</v>
      </c>
      <c r="E1400" s="108" t="s">
        <v>3991</v>
      </c>
      <c r="F1400" s="108" t="s">
        <v>4074</v>
      </c>
      <c r="G1400" s="108">
        <v>1</v>
      </c>
      <c r="H1400" s="71">
        <v>1</v>
      </c>
      <c r="I1400" s="109">
        <f t="shared" si="103"/>
        <v>293.83</v>
      </c>
      <c r="J1400" s="110">
        <f t="shared" si="100"/>
        <v>293.83</v>
      </c>
      <c r="K1400" s="111">
        <f t="shared" si="101"/>
        <v>0</v>
      </c>
      <c r="L1400" s="110">
        <f t="shared" si="102"/>
        <v>0</v>
      </c>
      <c r="M1400" s="112"/>
    </row>
    <row r="1401" spans="2:13" s="52" customFormat="1" ht="19.5" hidden="1" customHeight="1">
      <c r="B1401" s="108">
        <v>11</v>
      </c>
      <c r="C1401" s="139" t="s">
        <v>57</v>
      </c>
      <c r="D1401" s="108" t="s">
        <v>3825</v>
      </c>
      <c r="E1401" s="108" t="s">
        <v>3992</v>
      </c>
      <c r="F1401" s="108" t="s">
        <v>4102</v>
      </c>
      <c r="G1401" s="108">
        <v>1</v>
      </c>
      <c r="H1401" s="71">
        <v>1</v>
      </c>
      <c r="I1401" s="109">
        <f t="shared" si="103"/>
        <v>300.83</v>
      </c>
      <c r="J1401" s="110">
        <f t="shared" si="100"/>
        <v>300.83</v>
      </c>
      <c r="K1401" s="111">
        <f t="shared" si="101"/>
        <v>0</v>
      </c>
      <c r="L1401" s="110">
        <f t="shared" si="102"/>
        <v>0</v>
      </c>
      <c r="M1401" s="112"/>
    </row>
    <row r="1402" spans="2:13" s="52" customFormat="1" ht="19.5" hidden="1" customHeight="1">
      <c r="B1402" s="108">
        <v>11</v>
      </c>
      <c r="C1402" s="115" t="s">
        <v>57</v>
      </c>
      <c r="D1402" s="108" t="s">
        <v>3826</v>
      </c>
      <c r="E1402" s="108" t="s">
        <v>3993</v>
      </c>
      <c r="F1402" s="108" t="s">
        <v>4103</v>
      </c>
      <c r="G1402" s="108">
        <v>1</v>
      </c>
      <c r="H1402" s="71">
        <v>1</v>
      </c>
      <c r="I1402" s="109">
        <f t="shared" si="103"/>
        <v>237.83</v>
      </c>
      <c r="J1402" s="110">
        <f t="shared" si="100"/>
        <v>237.83</v>
      </c>
      <c r="K1402" s="111">
        <f t="shared" si="101"/>
        <v>0</v>
      </c>
      <c r="L1402" s="110">
        <f t="shared" si="102"/>
        <v>0</v>
      </c>
      <c r="M1402" s="112"/>
    </row>
    <row r="1403" spans="2:13" s="52" customFormat="1" ht="19.5" hidden="1" customHeight="1">
      <c r="B1403" s="108">
        <v>11</v>
      </c>
      <c r="C1403" s="139" t="s">
        <v>57</v>
      </c>
      <c r="D1403" s="108" t="s">
        <v>3827</v>
      </c>
      <c r="E1403" s="108" t="s">
        <v>3994</v>
      </c>
      <c r="F1403" s="108" t="s">
        <v>4100</v>
      </c>
      <c r="G1403" s="108">
        <v>1</v>
      </c>
      <c r="H1403" s="71">
        <v>1</v>
      </c>
      <c r="I1403" s="109">
        <f t="shared" si="103"/>
        <v>321.3</v>
      </c>
      <c r="J1403" s="110">
        <f t="shared" si="100"/>
        <v>321.3</v>
      </c>
      <c r="K1403" s="111">
        <f t="shared" si="101"/>
        <v>0</v>
      </c>
      <c r="L1403" s="110">
        <f t="shared" si="102"/>
        <v>0</v>
      </c>
      <c r="M1403" s="112"/>
    </row>
    <row r="1404" spans="2:13" s="52" customFormat="1" ht="19.5" hidden="1" customHeight="1">
      <c r="B1404" s="108">
        <v>11</v>
      </c>
      <c r="C1404" s="115" t="s">
        <v>57</v>
      </c>
      <c r="D1404" s="108" t="s">
        <v>3828</v>
      </c>
      <c r="E1404" s="108" t="s">
        <v>3995</v>
      </c>
      <c r="F1404" s="108" t="s">
        <v>4102</v>
      </c>
      <c r="G1404" s="108">
        <v>2</v>
      </c>
      <c r="H1404" s="71">
        <v>2</v>
      </c>
      <c r="I1404" s="109">
        <f t="shared" si="103"/>
        <v>601.66</v>
      </c>
      <c r="J1404" s="110">
        <f t="shared" si="100"/>
        <v>601.66</v>
      </c>
      <c r="K1404" s="111">
        <f t="shared" si="101"/>
        <v>0</v>
      </c>
      <c r="L1404" s="110">
        <f t="shared" si="102"/>
        <v>0</v>
      </c>
      <c r="M1404" s="112"/>
    </row>
    <row r="1405" spans="2:13" s="52" customFormat="1" ht="19.5" hidden="1" customHeight="1">
      <c r="B1405" s="108">
        <v>11</v>
      </c>
      <c r="C1405" s="139" t="s">
        <v>57</v>
      </c>
      <c r="D1405" s="108" t="s">
        <v>3829</v>
      </c>
      <c r="E1405" s="108" t="s">
        <v>3996</v>
      </c>
      <c r="F1405" s="108" t="s">
        <v>4102</v>
      </c>
      <c r="G1405" s="108">
        <v>1</v>
      </c>
      <c r="H1405" s="71">
        <v>2</v>
      </c>
      <c r="I1405" s="109">
        <f t="shared" si="103"/>
        <v>300.83</v>
      </c>
      <c r="J1405" s="110">
        <f t="shared" si="100"/>
        <v>601.66</v>
      </c>
      <c r="K1405" s="111">
        <f t="shared" si="101"/>
        <v>-1</v>
      </c>
      <c r="L1405" s="110">
        <f t="shared" si="102"/>
        <v>-300.83</v>
      </c>
      <c r="M1405" s="112"/>
    </row>
    <row r="1406" spans="2:13" s="52" customFormat="1" ht="19.5" hidden="1" customHeight="1">
      <c r="B1406" s="108">
        <v>11</v>
      </c>
      <c r="C1406" s="115" t="s">
        <v>57</v>
      </c>
      <c r="D1406" s="108" t="s">
        <v>3830</v>
      </c>
      <c r="E1406" s="108" t="s">
        <v>3997</v>
      </c>
      <c r="F1406" s="108" t="s">
        <v>4104</v>
      </c>
      <c r="G1406" s="108">
        <v>1</v>
      </c>
      <c r="H1406" s="71">
        <v>1</v>
      </c>
      <c r="I1406" s="109">
        <f t="shared" si="103"/>
        <v>314.83</v>
      </c>
      <c r="J1406" s="110">
        <f t="shared" si="100"/>
        <v>314.83</v>
      </c>
      <c r="K1406" s="111">
        <f t="shared" si="101"/>
        <v>0</v>
      </c>
      <c r="L1406" s="110">
        <f t="shared" si="102"/>
        <v>0</v>
      </c>
      <c r="M1406" s="112"/>
    </row>
    <row r="1407" spans="2:13" s="52" customFormat="1" ht="19.5" hidden="1" customHeight="1">
      <c r="B1407" s="108">
        <v>11</v>
      </c>
      <c r="C1407" s="139" t="s">
        <v>57</v>
      </c>
      <c r="D1407" s="108" t="s">
        <v>3831</v>
      </c>
      <c r="E1407" s="108" t="s">
        <v>3998</v>
      </c>
      <c r="F1407" s="108" t="s">
        <v>4102</v>
      </c>
      <c r="G1407" s="108">
        <v>1</v>
      </c>
      <c r="H1407" s="71">
        <v>1</v>
      </c>
      <c r="I1407" s="109">
        <f t="shared" si="103"/>
        <v>300.83</v>
      </c>
      <c r="J1407" s="110">
        <f t="shared" si="100"/>
        <v>300.83</v>
      </c>
      <c r="K1407" s="111">
        <f t="shared" si="101"/>
        <v>0</v>
      </c>
      <c r="L1407" s="110">
        <f t="shared" si="102"/>
        <v>0</v>
      </c>
      <c r="M1407" s="112"/>
    </row>
    <row r="1408" spans="2:13" s="52" customFormat="1" ht="19.5" hidden="1" customHeight="1">
      <c r="B1408" s="108">
        <v>11</v>
      </c>
      <c r="C1408" s="115" t="s">
        <v>57</v>
      </c>
      <c r="D1408" s="108" t="s">
        <v>3832</v>
      </c>
      <c r="E1408" s="108" t="s">
        <v>3999</v>
      </c>
      <c r="F1408" s="108" t="s">
        <v>3174</v>
      </c>
      <c r="G1408" s="108">
        <v>1</v>
      </c>
      <c r="H1408" s="71">
        <v>1</v>
      </c>
      <c r="I1408" s="109">
        <f t="shared" si="103"/>
        <v>209.3</v>
      </c>
      <c r="J1408" s="110">
        <f t="shared" si="100"/>
        <v>209.3</v>
      </c>
      <c r="K1408" s="111">
        <f t="shared" si="101"/>
        <v>0</v>
      </c>
      <c r="L1408" s="110">
        <f t="shared" si="102"/>
        <v>0</v>
      </c>
      <c r="M1408" s="112"/>
    </row>
    <row r="1409" spans="2:13" s="52" customFormat="1" ht="19.5" hidden="1" customHeight="1">
      <c r="B1409" s="108">
        <v>11</v>
      </c>
      <c r="C1409" s="139" t="s">
        <v>57</v>
      </c>
      <c r="D1409" s="108" t="s">
        <v>3833</v>
      </c>
      <c r="E1409" s="108" t="s">
        <v>4000</v>
      </c>
      <c r="F1409" s="108" t="s">
        <v>3174</v>
      </c>
      <c r="G1409" s="108">
        <v>1</v>
      </c>
      <c r="H1409" s="71">
        <v>1</v>
      </c>
      <c r="I1409" s="109">
        <f t="shared" si="103"/>
        <v>209.3</v>
      </c>
      <c r="J1409" s="110">
        <f t="shared" si="100"/>
        <v>209.3</v>
      </c>
      <c r="K1409" s="111">
        <f t="shared" si="101"/>
        <v>0</v>
      </c>
      <c r="L1409" s="110">
        <f t="shared" si="102"/>
        <v>0</v>
      </c>
      <c r="M1409" s="112"/>
    </row>
    <row r="1410" spans="2:13" s="52" customFormat="1" ht="19.5" hidden="1" customHeight="1">
      <c r="B1410" s="108">
        <v>11</v>
      </c>
      <c r="C1410" s="115" t="s">
        <v>57</v>
      </c>
      <c r="D1410" s="108" t="s">
        <v>3834</v>
      </c>
      <c r="E1410" s="108" t="s">
        <v>4001</v>
      </c>
      <c r="F1410" s="108" t="s">
        <v>4082</v>
      </c>
      <c r="G1410" s="108">
        <v>1</v>
      </c>
      <c r="H1410" s="71">
        <v>1</v>
      </c>
      <c r="I1410" s="109">
        <f t="shared" si="103"/>
        <v>230.83</v>
      </c>
      <c r="J1410" s="110">
        <f t="shared" si="100"/>
        <v>230.83</v>
      </c>
      <c r="K1410" s="111">
        <f t="shared" si="101"/>
        <v>0</v>
      </c>
      <c r="L1410" s="110">
        <f t="shared" si="102"/>
        <v>0</v>
      </c>
      <c r="M1410" s="112"/>
    </row>
    <row r="1411" spans="2:13" s="52" customFormat="1" ht="19.5" hidden="1" customHeight="1">
      <c r="B1411" s="108">
        <v>11</v>
      </c>
      <c r="C1411" s="139" t="s">
        <v>57</v>
      </c>
      <c r="D1411" s="108" t="s">
        <v>3835</v>
      </c>
      <c r="E1411" s="108" t="s">
        <v>4002</v>
      </c>
      <c r="F1411" s="108" t="s">
        <v>4105</v>
      </c>
      <c r="G1411" s="108">
        <v>1</v>
      </c>
      <c r="H1411" s="71">
        <v>1</v>
      </c>
      <c r="I1411" s="109">
        <f t="shared" si="103"/>
        <v>195.83</v>
      </c>
      <c r="J1411" s="110">
        <f t="shared" si="100"/>
        <v>195.83</v>
      </c>
      <c r="K1411" s="111">
        <f t="shared" si="101"/>
        <v>0</v>
      </c>
      <c r="L1411" s="110">
        <f t="shared" si="102"/>
        <v>0</v>
      </c>
      <c r="M1411" s="112"/>
    </row>
    <row r="1412" spans="2:13" s="52" customFormat="1" ht="19.5" hidden="1" customHeight="1">
      <c r="B1412" s="108">
        <v>11</v>
      </c>
      <c r="C1412" s="115" t="s">
        <v>57</v>
      </c>
      <c r="D1412" s="108" t="s">
        <v>3836</v>
      </c>
      <c r="E1412" s="108" t="s">
        <v>4003</v>
      </c>
      <c r="F1412" s="108" t="s">
        <v>4106</v>
      </c>
      <c r="G1412" s="108">
        <v>1</v>
      </c>
      <c r="H1412" s="71">
        <v>1</v>
      </c>
      <c r="I1412" s="109">
        <f t="shared" si="103"/>
        <v>174.83</v>
      </c>
      <c r="J1412" s="110">
        <f t="shared" si="100"/>
        <v>174.83</v>
      </c>
      <c r="K1412" s="111">
        <f t="shared" si="101"/>
        <v>0</v>
      </c>
      <c r="L1412" s="110">
        <f t="shared" si="102"/>
        <v>0</v>
      </c>
      <c r="M1412" s="112"/>
    </row>
    <row r="1413" spans="2:13" s="52" customFormat="1" ht="19.5" hidden="1" customHeight="1">
      <c r="B1413" s="108">
        <v>11</v>
      </c>
      <c r="C1413" s="139" t="s">
        <v>57</v>
      </c>
      <c r="D1413" s="108" t="s">
        <v>3837</v>
      </c>
      <c r="E1413" s="108" t="s">
        <v>4004</v>
      </c>
      <c r="F1413" s="108" t="s">
        <v>4082</v>
      </c>
      <c r="G1413" s="108">
        <v>2</v>
      </c>
      <c r="H1413" s="71">
        <v>2</v>
      </c>
      <c r="I1413" s="109">
        <f t="shared" si="103"/>
        <v>461.66</v>
      </c>
      <c r="J1413" s="110">
        <f t="shared" si="100"/>
        <v>461.66</v>
      </c>
      <c r="K1413" s="111">
        <f t="shared" si="101"/>
        <v>0</v>
      </c>
      <c r="L1413" s="110">
        <f t="shared" si="102"/>
        <v>0</v>
      </c>
      <c r="M1413" s="112"/>
    </row>
    <row r="1414" spans="2:13" s="52" customFormat="1" ht="19.5" hidden="1" customHeight="1">
      <c r="B1414" s="108">
        <v>11</v>
      </c>
      <c r="C1414" s="115" t="s">
        <v>57</v>
      </c>
      <c r="D1414" s="108" t="s">
        <v>3838</v>
      </c>
      <c r="E1414" s="108" t="s">
        <v>4005</v>
      </c>
      <c r="F1414" s="108" t="s">
        <v>4106</v>
      </c>
      <c r="G1414" s="108">
        <v>1</v>
      </c>
      <c r="H1414" s="71">
        <v>1</v>
      </c>
      <c r="I1414" s="109">
        <f t="shared" si="103"/>
        <v>174.83</v>
      </c>
      <c r="J1414" s="110">
        <f t="shared" si="100"/>
        <v>174.83</v>
      </c>
      <c r="K1414" s="111">
        <f t="shared" si="101"/>
        <v>0</v>
      </c>
      <c r="L1414" s="110">
        <f t="shared" si="102"/>
        <v>0</v>
      </c>
      <c r="M1414" s="112"/>
    </row>
    <row r="1415" spans="2:13" s="52" customFormat="1" ht="19.5" hidden="1" customHeight="1">
      <c r="B1415" s="108">
        <v>11</v>
      </c>
      <c r="C1415" s="139" t="s">
        <v>57</v>
      </c>
      <c r="D1415" s="108" t="s">
        <v>3839</v>
      </c>
      <c r="E1415" s="108" t="s">
        <v>4006</v>
      </c>
      <c r="F1415" s="108" t="s">
        <v>4106</v>
      </c>
      <c r="G1415" s="108">
        <v>1</v>
      </c>
      <c r="H1415" s="71">
        <v>1</v>
      </c>
      <c r="I1415" s="109">
        <f t="shared" si="103"/>
        <v>174.83</v>
      </c>
      <c r="J1415" s="110">
        <f t="shared" si="100"/>
        <v>174.83</v>
      </c>
      <c r="K1415" s="111">
        <f t="shared" si="101"/>
        <v>0</v>
      </c>
      <c r="L1415" s="110">
        <f t="shared" si="102"/>
        <v>0</v>
      </c>
      <c r="M1415" s="112"/>
    </row>
    <row r="1416" spans="2:13" s="52" customFormat="1" ht="19.5" hidden="1" customHeight="1">
      <c r="B1416" s="108">
        <v>11</v>
      </c>
      <c r="C1416" s="115" t="s">
        <v>57</v>
      </c>
      <c r="D1416" s="108" t="s">
        <v>3840</v>
      </c>
      <c r="E1416" s="108" t="s">
        <v>4007</v>
      </c>
      <c r="F1416" s="108" t="s">
        <v>4106</v>
      </c>
      <c r="G1416" s="108">
        <v>1</v>
      </c>
      <c r="H1416" s="71">
        <v>1</v>
      </c>
      <c r="I1416" s="109">
        <f t="shared" si="103"/>
        <v>174.83</v>
      </c>
      <c r="J1416" s="110">
        <f t="shared" si="100"/>
        <v>174.83</v>
      </c>
      <c r="K1416" s="111">
        <f t="shared" si="101"/>
        <v>0</v>
      </c>
      <c r="L1416" s="110">
        <f t="shared" si="102"/>
        <v>0</v>
      </c>
      <c r="M1416" s="112"/>
    </row>
    <row r="1417" spans="2:13" s="52" customFormat="1" ht="19.5" hidden="1" customHeight="1">
      <c r="B1417" s="108">
        <v>11</v>
      </c>
      <c r="C1417" s="139" t="s">
        <v>57</v>
      </c>
      <c r="D1417" s="108" t="s">
        <v>3841</v>
      </c>
      <c r="E1417" s="108" t="s">
        <v>4008</v>
      </c>
      <c r="F1417" s="108" t="s">
        <v>4107</v>
      </c>
      <c r="G1417" s="108">
        <v>1</v>
      </c>
      <c r="H1417" s="71">
        <v>1</v>
      </c>
      <c r="I1417" s="109">
        <f t="shared" si="103"/>
        <v>206.33</v>
      </c>
      <c r="J1417" s="110">
        <f t="shared" ref="J1417:J1536" si="104">F1417*H1417</f>
        <v>206.33</v>
      </c>
      <c r="K1417" s="111">
        <f t="shared" ref="K1417:K1536" si="105">G1417-H1417</f>
        <v>0</v>
      </c>
      <c r="L1417" s="110">
        <f t="shared" ref="L1417:L1536" si="106">I1417-J1417</f>
        <v>0</v>
      </c>
      <c r="M1417" s="112"/>
    </row>
    <row r="1418" spans="2:13" s="52" customFormat="1" ht="19.5" hidden="1" customHeight="1">
      <c r="B1418" s="108">
        <v>11</v>
      </c>
      <c r="C1418" s="115" t="s">
        <v>57</v>
      </c>
      <c r="D1418" s="108" t="s">
        <v>3842</v>
      </c>
      <c r="E1418" s="108" t="s">
        <v>4009</v>
      </c>
      <c r="F1418" s="108" t="s">
        <v>4107</v>
      </c>
      <c r="G1418" s="108">
        <v>5</v>
      </c>
      <c r="H1418" s="71">
        <v>5</v>
      </c>
      <c r="I1418" s="109">
        <f t="shared" si="103"/>
        <v>1031.6500000000001</v>
      </c>
      <c r="J1418" s="110">
        <f t="shared" si="104"/>
        <v>1031.6500000000001</v>
      </c>
      <c r="K1418" s="111">
        <f t="shared" si="105"/>
        <v>0</v>
      </c>
      <c r="L1418" s="110">
        <f t="shared" si="106"/>
        <v>0</v>
      </c>
      <c r="M1418" s="112"/>
    </row>
    <row r="1419" spans="2:13" s="52" customFormat="1" ht="19.5" hidden="1" customHeight="1">
      <c r="B1419" s="108">
        <v>11</v>
      </c>
      <c r="C1419" s="139" t="s">
        <v>57</v>
      </c>
      <c r="D1419" s="108" t="s">
        <v>3843</v>
      </c>
      <c r="E1419" s="108" t="s">
        <v>4010</v>
      </c>
      <c r="F1419" s="108" t="s">
        <v>4107</v>
      </c>
      <c r="G1419" s="108">
        <v>1</v>
      </c>
      <c r="H1419" s="71">
        <v>1</v>
      </c>
      <c r="I1419" s="109">
        <f t="shared" si="103"/>
        <v>206.33</v>
      </c>
      <c r="J1419" s="110">
        <f t="shared" si="104"/>
        <v>206.33</v>
      </c>
      <c r="K1419" s="111">
        <f t="shared" si="105"/>
        <v>0</v>
      </c>
      <c r="L1419" s="110">
        <f t="shared" si="106"/>
        <v>0</v>
      </c>
      <c r="M1419" s="112"/>
    </row>
    <row r="1420" spans="2:13" s="52" customFormat="1" ht="19.5" hidden="1" customHeight="1">
      <c r="B1420" s="108">
        <v>11</v>
      </c>
      <c r="C1420" s="115" t="s">
        <v>57</v>
      </c>
      <c r="D1420" s="108" t="s">
        <v>3844</v>
      </c>
      <c r="E1420" s="108" t="s">
        <v>4011</v>
      </c>
      <c r="F1420" s="108" t="s">
        <v>4108</v>
      </c>
      <c r="G1420" s="108">
        <v>1</v>
      </c>
      <c r="H1420" s="71">
        <v>1</v>
      </c>
      <c r="I1420" s="109">
        <f t="shared" si="103"/>
        <v>272.3</v>
      </c>
      <c r="J1420" s="110">
        <f t="shared" si="104"/>
        <v>272.3</v>
      </c>
      <c r="K1420" s="111">
        <f t="shared" si="105"/>
        <v>0</v>
      </c>
      <c r="L1420" s="110">
        <f t="shared" si="106"/>
        <v>0</v>
      </c>
      <c r="M1420" s="112"/>
    </row>
    <row r="1421" spans="2:13" s="52" customFormat="1" ht="19.5" hidden="1" customHeight="1">
      <c r="B1421" s="108">
        <v>11</v>
      </c>
      <c r="C1421" s="139" t="s">
        <v>57</v>
      </c>
      <c r="D1421" s="108" t="s">
        <v>3845</v>
      </c>
      <c r="E1421" s="108" t="s">
        <v>4012</v>
      </c>
      <c r="F1421" s="108" t="s">
        <v>4108</v>
      </c>
      <c r="G1421" s="108">
        <v>1</v>
      </c>
      <c r="H1421" s="71">
        <v>1</v>
      </c>
      <c r="I1421" s="109">
        <f t="shared" si="103"/>
        <v>272.3</v>
      </c>
      <c r="J1421" s="110">
        <f t="shared" si="104"/>
        <v>272.3</v>
      </c>
      <c r="K1421" s="111">
        <f t="shared" si="105"/>
        <v>0</v>
      </c>
      <c r="L1421" s="110">
        <f t="shared" si="106"/>
        <v>0</v>
      </c>
      <c r="M1421" s="112"/>
    </row>
    <row r="1422" spans="2:13" s="52" customFormat="1" ht="19.5" hidden="1" customHeight="1">
      <c r="B1422" s="108">
        <v>11</v>
      </c>
      <c r="C1422" s="115" t="s">
        <v>57</v>
      </c>
      <c r="D1422" s="108" t="s">
        <v>3846</v>
      </c>
      <c r="E1422" s="108" t="s">
        <v>4013</v>
      </c>
      <c r="F1422" s="108" t="s">
        <v>4109</v>
      </c>
      <c r="G1422" s="108">
        <v>3</v>
      </c>
      <c r="H1422" s="71">
        <v>3</v>
      </c>
      <c r="I1422" s="109">
        <f t="shared" si="103"/>
        <v>442.5</v>
      </c>
      <c r="J1422" s="110">
        <f t="shared" si="104"/>
        <v>442.5</v>
      </c>
      <c r="K1422" s="111">
        <f t="shared" si="105"/>
        <v>0</v>
      </c>
      <c r="L1422" s="110">
        <f t="shared" si="106"/>
        <v>0</v>
      </c>
      <c r="M1422" s="112"/>
    </row>
    <row r="1423" spans="2:13" s="52" customFormat="1" ht="19.5" hidden="1" customHeight="1">
      <c r="B1423" s="108">
        <v>11</v>
      </c>
      <c r="C1423" s="139" t="s">
        <v>57</v>
      </c>
      <c r="D1423" s="108" t="s">
        <v>3847</v>
      </c>
      <c r="E1423" s="108" t="s">
        <v>4014</v>
      </c>
      <c r="F1423" s="108" t="s">
        <v>4110</v>
      </c>
      <c r="G1423" s="108">
        <v>2</v>
      </c>
      <c r="H1423" s="71">
        <v>2</v>
      </c>
      <c r="I1423" s="109">
        <f t="shared" si="103"/>
        <v>575</v>
      </c>
      <c r="J1423" s="110">
        <f t="shared" si="104"/>
        <v>575</v>
      </c>
      <c r="K1423" s="111">
        <f t="shared" si="105"/>
        <v>0</v>
      </c>
      <c r="L1423" s="110">
        <f t="shared" si="106"/>
        <v>0</v>
      </c>
      <c r="M1423" s="112"/>
    </row>
    <row r="1424" spans="2:13" s="52" customFormat="1" ht="19.5" hidden="1" customHeight="1">
      <c r="B1424" s="108">
        <v>11</v>
      </c>
      <c r="C1424" s="115" t="s">
        <v>57</v>
      </c>
      <c r="D1424" s="108" t="s">
        <v>3848</v>
      </c>
      <c r="E1424" s="108" t="s">
        <v>4015</v>
      </c>
      <c r="F1424" s="108" t="s">
        <v>4110</v>
      </c>
      <c r="G1424" s="108">
        <v>2</v>
      </c>
      <c r="H1424" s="71">
        <v>2</v>
      </c>
      <c r="I1424" s="109">
        <f t="shared" si="103"/>
        <v>575</v>
      </c>
      <c r="J1424" s="110">
        <f t="shared" si="104"/>
        <v>575</v>
      </c>
      <c r="K1424" s="111">
        <f t="shared" si="105"/>
        <v>0</v>
      </c>
      <c r="L1424" s="110">
        <f t="shared" si="106"/>
        <v>0</v>
      </c>
      <c r="M1424" s="112"/>
    </row>
    <row r="1425" spans="2:13" s="52" customFormat="1" ht="19.5" hidden="1" customHeight="1">
      <c r="B1425" s="108">
        <v>11</v>
      </c>
      <c r="C1425" s="139" t="s">
        <v>57</v>
      </c>
      <c r="D1425" s="108" t="s">
        <v>3849</v>
      </c>
      <c r="E1425" s="108" t="s">
        <v>4016</v>
      </c>
      <c r="F1425" s="108" t="s">
        <v>3174</v>
      </c>
      <c r="G1425" s="108">
        <v>2</v>
      </c>
      <c r="H1425" s="71">
        <v>2</v>
      </c>
      <c r="I1425" s="109">
        <f t="shared" si="103"/>
        <v>418.6</v>
      </c>
      <c r="J1425" s="110">
        <f t="shared" si="104"/>
        <v>418.6</v>
      </c>
      <c r="K1425" s="111">
        <f t="shared" si="105"/>
        <v>0</v>
      </c>
      <c r="L1425" s="110">
        <f t="shared" si="106"/>
        <v>0</v>
      </c>
      <c r="M1425" s="112"/>
    </row>
    <row r="1426" spans="2:13" s="52" customFormat="1" ht="19.5" hidden="1" customHeight="1">
      <c r="B1426" s="108">
        <v>11</v>
      </c>
      <c r="C1426" s="115" t="s">
        <v>57</v>
      </c>
      <c r="D1426" s="108" t="s">
        <v>3850</v>
      </c>
      <c r="E1426" s="108" t="s">
        <v>4017</v>
      </c>
      <c r="F1426" s="108" t="s">
        <v>3174</v>
      </c>
      <c r="G1426" s="108">
        <v>2</v>
      </c>
      <c r="H1426" s="71">
        <v>2</v>
      </c>
      <c r="I1426" s="109">
        <f t="shared" si="103"/>
        <v>418.6</v>
      </c>
      <c r="J1426" s="110">
        <f t="shared" si="104"/>
        <v>418.6</v>
      </c>
      <c r="K1426" s="111">
        <f t="shared" si="105"/>
        <v>0</v>
      </c>
      <c r="L1426" s="110">
        <f t="shared" si="106"/>
        <v>0</v>
      </c>
      <c r="M1426" s="112"/>
    </row>
    <row r="1427" spans="2:13" s="52" customFormat="1" ht="19.5" hidden="1" customHeight="1">
      <c r="B1427" s="108">
        <v>11</v>
      </c>
      <c r="C1427" s="139" t="s">
        <v>57</v>
      </c>
      <c r="D1427" s="108" t="s">
        <v>3851</v>
      </c>
      <c r="E1427" s="108" t="s">
        <v>4018</v>
      </c>
      <c r="F1427" s="108" t="s">
        <v>3174</v>
      </c>
      <c r="G1427" s="108">
        <v>3</v>
      </c>
      <c r="H1427" s="71">
        <v>3</v>
      </c>
      <c r="I1427" s="109">
        <f t="shared" si="103"/>
        <v>627.90000000000009</v>
      </c>
      <c r="J1427" s="110">
        <f t="shared" si="104"/>
        <v>627.90000000000009</v>
      </c>
      <c r="K1427" s="111">
        <f t="shared" si="105"/>
        <v>0</v>
      </c>
      <c r="L1427" s="110">
        <f t="shared" si="106"/>
        <v>0</v>
      </c>
      <c r="M1427" s="112"/>
    </row>
    <row r="1428" spans="2:13" s="52" customFormat="1" ht="19.5" customHeight="1">
      <c r="B1428" s="108">
        <v>11</v>
      </c>
      <c r="C1428" s="115" t="s">
        <v>57</v>
      </c>
      <c r="D1428" s="108" t="s">
        <v>3852</v>
      </c>
      <c r="E1428" s="108" t="s">
        <v>4019</v>
      </c>
      <c r="F1428" s="108" t="s">
        <v>4111</v>
      </c>
      <c r="G1428" s="108">
        <v>1</v>
      </c>
      <c r="H1428" s="71"/>
      <c r="I1428" s="109">
        <f t="shared" si="103"/>
        <v>130</v>
      </c>
      <c r="J1428" s="110">
        <f t="shared" si="104"/>
        <v>0</v>
      </c>
      <c r="K1428" s="111">
        <f t="shared" si="105"/>
        <v>1</v>
      </c>
      <c r="L1428" s="110">
        <f t="shared" si="106"/>
        <v>130</v>
      </c>
      <c r="M1428" s="112"/>
    </row>
    <row r="1429" spans="2:13" s="52" customFormat="1" ht="19.5" hidden="1" customHeight="1">
      <c r="B1429" s="108">
        <v>11</v>
      </c>
      <c r="C1429" s="139" t="s">
        <v>57</v>
      </c>
      <c r="D1429" s="108" t="s">
        <v>3853</v>
      </c>
      <c r="E1429" s="108" t="s">
        <v>4020</v>
      </c>
      <c r="F1429" s="108" t="s">
        <v>1804</v>
      </c>
      <c r="G1429" s="108">
        <v>3</v>
      </c>
      <c r="H1429" s="71">
        <v>3</v>
      </c>
      <c r="I1429" s="109">
        <f t="shared" si="103"/>
        <v>420</v>
      </c>
      <c r="J1429" s="110">
        <f t="shared" si="104"/>
        <v>420</v>
      </c>
      <c r="K1429" s="111">
        <f t="shared" si="105"/>
        <v>0</v>
      </c>
      <c r="L1429" s="110">
        <f t="shared" si="106"/>
        <v>0</v>
      </c>
      <c r="M1429" s="112"/>
    </row>
    <row r="1430" spans="2:13" s="52" customFormat="1" ht="19.5" hidden="1" customHeight="1">
      <c r="B1430" s="108">
        <v>11</v>
      </c>
      <c r="C1430" s="115" t="s">
        <v>57</v>
      </c>
      <c r="D1430" s="108" t="s">
        <v>3854</v>
      </c>
      <c r="E1430" s="108" t="s">
        <v>4021</v>
      </c>
      <c r="F1430" s="108" t="s">
        <v>3065</v>
      </c>
      <c r="G1430" s="108">
        <v>21</v>
      </c>
      <c r="H1430" s="71">
        <v>22</v>
      </c>
      <c r="I1430" s="109">
        <f t="shared" si="103"/>
        <v>2415</v>
      </c>
      <c r="J1430" s="110">
        <f t="shared" si="104"/>
        <v>2530</v>
      </c>
      <c r="K1430" s="111">
        <f t="shared" si="105"/>
        <v>-1</v>
      </c>
      <c r="L1430" s="110">
        <f t="shared" si="106"/>
        <v>-115</v>
      </c>
      <c r="M1430" s="112"/>
    </row>
    <row r="1431" spans="2:13" s="52" customFormat="1" ht="19.5" hidden="1" customHeight="1">
      <c r="B1431" s="108">
        <v>11</v>
      </c>
      <c r="C1431" s="139" t="s">
        <v>57</v>
      </c>
      <c r="D1431" s="108" t="s">
        <v>3855</v>
      </c>
      <c r="E1431" s="108" t="s">
        <v>4022</v>
      </c>
      <c r="F1431" s="108" t="s">
        <v>4112</v>
      </c>
      <c r="G1431" s="108">
        <v>1</v>
      </c>
      <c r="H1431" s="71">
        <v>1</v>
      </c>
      <c r="I1431" s="109">
        <f t="shared" si="103"/>
        <v>1215</v>
      </c>
      <c r="J1431" s="110">
        <f t="shared" si="104"/>
        <v>1215</v>
      </c>
      <c r="K1431" s="111">
        <f t="shared" si="105"/>
        <v>0</v>
      </c>
      <c r="L1431" s="110">
        <f t="shared" si="106"/>
        <v>0</v>
      </c>
      <c r="M1431" s="112"/>
    </row>
    <row r="1432" spans="2:13" s="52" customFormat="1" ht="19.5" hidden="1" customHeight="1">
      <c r="B1432" s="108">
        <v>11</v>
      </c>
      <c r="C1432" s="115" t="s">
        <v>57</v>
      </c>
      <c r="D1432" s="108" t="s">
        <v>3856</v>
      </c>
      <c r="E1432" s="108" t="s">
        <v>4023</v>
      </c>
      <c r="F1432" s="108" t="s">
        <v>4113</v>
      </c>
      <c r="G1432" s="108">
        <v>1</v>
      </c>
      <c r="H1432" s="71">
        <v>1</v>
      </c>
      <c r="I1432" s="109">
        <f t="shared" si="103"/>
        <v>1476</v>
      </c>
      <c r="J1432" s="110">
        <f t="shared" si="104"/>
        <v>1476</v>
      </c>
      <c r="K1432" s="111">
        <f t="shared" si="105"/>
        <v>0</v>
      </c>
      <c r="L1432" s="110">
        <f t="shared" si="106"/>
        <v>0</v>
      </c>
      <c r="M1432" s="112"/>
    </row>
    <row r="1433" spans="2:13" s="52" customFormat="1" ht="19.5" hidden="1" customHeight="1">
      <c r="B1433" s="108">
        <v>11</v>
      </c>
      <c r="C1433" s="139" t="s">
        <v>57</v>
      </c>
      <c r="D1433" s="108" t="s">
        <v>3857</v>
      </c>
      <c r="E1433" s="108" t="s">
        <v>4024</v>
      </c>
      <c r="F1433" s="108" t="s">
        <v>4114</v>
      </c>
      <c r="G1433" s="108">
        <v>1</v>
      </c>
      <c r="H1433" s="71">
        <v>1</v>
      </c>
      <c r="I1433" s="109">
        <f t="shared" si="103"/>
        <v>985.5</v>
      </c>
      <c r="J1433" s="110">
        <f t="shared" si="104"/>
        <v>985.5</v>
      </c>
      <c r="K1433" s="111">
        <f t="shared" si="105"/>
        <v>0</v>
      </c>
      <c r="L1433" s="110">
        <f t="shared" si="106"/>
        <v>0</v>
      </c>
      <c r="M1433" s="112"/>
    </row>
    <row r="1434" spans="2:13" s="52" customFormat="1" ht="19.5" hidden="1" customHeight="1">
      <c r="B1434" s="108">
        <v>11</v>
      </c>
      <c r="C1434" s="115" t="s">
        <v>57</v>
      </c>
      <c r="D1434" s="108" t="s">
        <v>3858</v>
      </c>
      <c r="E1434" s="108" t="s">
        <v>4025</v>
      </c>
      <c r="F1434" s="108" t="s">
        <v>4112</v>
      </c>
      <c r="G1434" s="108">
        <v>1</v>
      </c>
      <c r="H1434" s="71">
        <v>1</v>
      </c>
      <c r="I1434" s="109">
        <f t="shared" si="103"/>
        <v>1215</v>
      </c>
      <c r="J1434" s="110">
        <f t="shared" si="104"/>
        <v>1215</v>
      </c>
      <c r="K1434" s="111">
        <f t="shared" si="105"/>
        <v>0</v>
      </c>
      <c r="L1434" s="110">
        <f t="shared" si="106"/>
        <v>0</v>
      </c>
      <c r="M1434" s="112"/>
    </row>
    <row r="1435" spans="2:13" s="52" customFormat="1" ht="19.5" hidden="1" customHeight="1">
      <c r="B1435" s="108">
        <v>11</v>
      </c>
      <c r="C1435" s="139" t="s">
        <v>57</v>
      </c>
      <c r="D1435" s="108" t="s">
        <v>3859</v>
      </c>
      <c r="E1435" s="108" t="s">
        <v>4026</v>
      </c>
      <c r="F1435" s="108" t="s">
        <v>4115</v>
      </c>
      <c r="G1435" s="108">
        <v>3</v>
      </c>
      <c r="H1435" s="71">
        <v>3</v>
      </c>
      <c r="I1435" s="109">
        <f t="shared" si="103"/>
        <v>1485</v>
      </c>
      <c r="J1435" s="110">
        <f t="shared" si="104"/>
        <v>1485</v>
      </c>
      <c r="K1435" s="111">
        <f t="shared" si="105"/>
        <v>0</v>
      </c>
      <c r="L1435" s="110">
        <f t="shared" si="106"/>
        <v>0</v>
      </c>
      <c r="M1435" s="112"/>
    </row>
    <row r="1436" spans="2:13" s="52" customFormat="1" ht="19.5" hidden="1" customHeight="1">
      <c r="B1436" s="108">
        <v>11</v>
      </c>
      <c r="C1436" s="115" t="s">
        <v>57</v>
      </c>
      <c r="D1436" s="108" t="s">
        <v>3860</v>
      </c>
      <c r="E1436" s="108" t="s">
        <v>4027</v>
      </c>
      <c r="F1436" s="108" t="s">
        <v>4112</v>
      </c>
      <c r="G1436" s="108">
        <v>1</v>
      </c>
      <c r="H1436" s="71">
        <v>1</v>
      </c>
      <c r="I1436" s="109">
        <f t="shared" si="103"/>
        <v>1215</v>
      </c>
      <c r="J1436" s="110">
        <f t="shared" si="104"/>
        <v>1215</v>
      </c>
      <c r="K1436" s="111">
        <f t="shared" si="105"/>
        <v>0</v>
      </c>
      <c r="L1436" s="110">
        <f t="shared" si="106"/>
        <v>0</v>
      </c>
      <c r="M1436" s="112"/>
    </row>
    <row r="1437" spans="2:13" s="52" customFormat="1" ht="19.5" hidden="1" customHeight="1">
      <c r="B1437" s="108">
        <v>11</v>
      </c>
      <c r="C1437" s="139" t="s">
        <v>57</v>
      </c>
      <c r="D1437" s="108" t="s">
        <v>3861</v>
      </c>
      <c r="E1437" s="108" t="s">
        <v>4028</v>
      </c>
      <c r="F1437" s="108" t="s">
        <v>4114</v>
      </c>
      <c r="G1437" s="108">
        <v>1</v>
      </c>
      <c r="H1437" s="71">
        <v>1</v>
      </c>
      <c r="I1437" s="109">
        <f t="shared" si="103"/>
        <v>985.5</v>
      </c>
      <c r="J1437" s="110">
        <f t="shared" si="104"/>
        <v>985.5</v>
      </c>
      <c r="K1437" s="111">
        <f t="shared" si="105"/>
        <v>0</v>
      </c>
      <c r="L1437" s="110">
        <f t="shared" si="106"/>
        <v>0</v>
      </c>
      <c r="M1437" s="112"/>
    </row>
    <row r="1438" spans="2:13" s="52" customFormat="1" ht="19.5" hidden="1" customHeight="1">
      <c r="B1438" s="108">
        <v>11</v>
      </c>
      <c r="C1438" s="115" t="s">
        <v>57</v>
      </c>
      <c r="D1438" s="108" t="s">
        <v>3862</v>
      </c>
      <c r="E1438" s="108" t="s">
        <v>4029</v>
      </c>
      <c r="F1438" s="108" t="s">
        <v>4116</v>
      </c>
      <c r="G1438" s="108">
        <v>8</v>
      </c>
      <c r="H1438" s="71">
        <v>8</v>
      </c>
      <c r="I1438" s="109">
        <f t="shared" si="103"/>
        <v>720</v>
      </c>
      <c r="J1438" s="110">
        <f t="shared" si="104"/>
        <v>720</v>
      </c>
      <c r="K1438" s="111">
        <f t="shared" si="105"/>
        <v>0</v>
      </c>
      <c r="L1438" s="110">
        <f t="shared" si="106"/>
        <v>0</v>
      </c>
      <c r="M1438" s="112"/>
    </row>
    <row r="1439" spans="2:13" s="52" customFormat="1" ht="19.5" hidden="1" customHeight="1">
      <c r="B1439" s="108">
        <v>11</v>
      </c>
      <c r="C1439" s="139" t="s">
        <v>57</v>
      </c>
      <c r="D1439" s="108" t="s">
        <v>3863</v>
      </c>
      <c r="E1439" s="108" t="s">
        <v>4030</v>
      </c>
      <c r="F1439" s="108" t="s">
        <v>4091</v>
      </c>
      <c r="G1439" s="108">
        <v>4</v>
      </c>
      <c r="H1439" s="71">
        <v>4</v>
      </c>
      <c r="I1439" s="109">
        <f t="shared" si="103"/>
        <v>557.20000000000005</v>
      </c>
      <c r="J1439" s="110">
        <f t="shared" si="104"/>
        <v>557.20000000000005</v>
      </c>
      <c r="K1439" s="111">
        <f t="shared" si="105"/>
        <v>0</v>
      </c>
      <c r="L1439" s="110">
        <f t="shared" si="106"/>
        <v>0</v>
      </c>
      <c r="M1439" s="112"/>
    </row>
    <row r="1440" spans="2:13" s="52" customFormat="1" ht="19.5" hidden="1" customHeight="1">
      <c r="B1440" s="108">
        <v>11</v>
      </c>
      <c r="C1440" s="115" t="s">
        <v>57</v>
      </c>
      <c r="D1440" s="108" t="s">
        <v>3864</v>
      </c>
      <c r="E1440" s="108" t="s">
        <v>4031</v>
      </c>
      <c r="F1440" s="108" t="s">
        <v>4096</v>
      </c>
      <c r="G1440" s="108">
        <v>3</v>
      </c>
      <c r="H1440" s="71">
        <v>3</v>
      </c>
      <c r="I1440" s="109">
        <f t="shared" si="103"/>
        <v>732.90000000000009</v>
      </c>
      <c r="J1440" s="110">
        <f t="shared" si="104"/>
        <v>732.90000000000009</v>
      </c>
      <c r="K1440" s="111">
        <f t="shared" si="105"/>
        <v>0</v>
      </c>
      <c r="L1440" s="110">
        <f t="shared" si="106"/>
        <v>0</v>
      </c>
      <c r="M1440" s="112"/>
    </row>
    <row r="1441" spans="2:13" s="52" customFormat="1" ht="19.5" hidden="1" customHeight="1">
      <c r="B1441" s="108">
        <v>11</v>
      </c>
      <c r="C1441" s="139" t="s">
        <v>57</v>
      </c>
      <c r="D1441" s="108" t="s">
        <v>3865</v>
      </c>
      <c r="E1441" s="108" t="s">
        <v>4032</v>
      </c>
      <c r="F1441" s="108" t="s">
        <v>4096</v>
      </c>
      <c r="G1441" s="108">
        <v>1</v>
      </c>
      <c r="H1441" s="71">
        <v>1</v>
      </c>
      <c r="I1441" s="109">
        <f t="shared" si="103"/>
        <v>244.3</v>
      </c>
      <c r="J1441" s="110">
        <f t="shared" si="104"/>
        <v>244.3</v>
      </c>
      <c r="K1441" s="111">
        <f t="shared" si="105"/>
        <v>0</v>
      </c>
      <c r="L1441" s="110">
        <f t="shared" si="106"/>
        <v>0</v>
      </c>
      <c r="M1441" s="112"/>
    </row>
    <row r="1442" spans="2:13" s="52" customFormat="1" ht="19.5" hidden="1" customHeight="1">
      <c r="B1442" s="108">
        <v>11</v>
      </c>
      <c r="C1442" s="115" t="s">
        <v>57</v>
      </c>
      <c r="D1442" s="108" t="s">
        <v>3866</v>
      </c>
      <c r="E1442" s="108" t="s">
        <v>4033</v>
      </c>
      <c r="F1442" s="108" t="s">
        <v>4117</v>
      </c>
      <c r="G1442" s="108">
        <v>2</v>
      </c>
      <c r="H1442" s="71">
        <v>2</v>
      </c>
      <c r="I1442" s="109">
        <f t="shared" si="103"/>
        <v>194.6</v>
      </c>
      <c r="J1442" s="110">
        <f t="shared" si="104"/>
        <v>194.6</v>
      </c>
      <c r="K1442" s="111">
        <f t="shared" si="105"/>
        <v>0</v>
      </c>
      <c r="L1442" s="110">
        <f t="shared" si="106"/>
        <v>0</v>
      </c>
      <c r="M1442" s="112"/>
    </row>
    <row r="1443" spans="2:13" s="52" customFormat="1" ht="19.5" hidden="1" customHeight="1">
      <c r="B1443" s="108">
        <v>11</v>
      </c>
      <c r="C1443" s="139" t="s">
        <v>57</v>
      </c>
      <c r="D1443" s="108" t="s">
        <v>3867</v>
      </c>
      <c r="E1443" s="108" t="s">
        <v>4034</v>
      </c>
      <c r="F1443" s="108" t="s">
        <v>4091</v>
      </c>
      <c r="G1443" s="108">
        <v>4</v>
      </c>
      <c r="H1443" s="71">
        <v>4</v>
      </c>
      <c r="I1443" s="109">
        <f t="shared" si="103"/>
        <v>557.20000000000005</v>
      </c>
      <c r="J1443" s="110">
        <f t="shared" si="104"/>
        <v>557.20000000000005</v>
      </c>
      <c r="K1443" s="111">
        <f t="shared" si="105"/>
        <v>0</v>
      </c>
      <c r="L1443" s="110">
        <f t="shared" si="106"/>
        <v>0</v>
      </c>
      <c r="M1443" s="112"/>
    </row>
    <row r="1444" spans="2:13" s="52" customFormat="1" ht="19.5" customHeight="1">
      <c r="B1444" s="108">
        <v>11</v>
      </c>
      <c r="C1444" s="115" t="s">
        <v>57</v>
      </c>
      <c r="D1444" s="108" t="s">
        <v>3868</v>
      </c>
      <c r="E1444" s="108" t="s">
        <v>4035</v>
      </c>
      <c r="F1444" s="108" t="s">
        <v>4079</v>
      </c>
      <c r="G1444" s="108">
        <v>1</v>
      </c>
      <c r="H1444" s="71">
        <v>0</v>
      </c>
      <c r="I1444" s="109">
        <f t="shared" si="103"/>
        <v>112</v>
      </c>
      <c r="J1444" s="110">
        <f t="shared" si="104"/>
        <v>0</v>
      </c>
      <c r="K1444" s="111">
        <f t="shared" si="105"/>
        <v>1</v>
      </c>
      <c r="L1444" s="110">
        <f t="shared" si="106"/>
        <v>112</v>
      </c>
      <c r="M1444" s="112"/>
    </row>
    <row r="1445" spans="2:13" s="52" customFormat="1" ht="19.5" customHeight="1">
      <c r="B1445" s="108">
        <v>11</v>
      </c>
      <c r="C1445" s="139" t="s">
        <v>57</v>
      </c>
      <c r="D1445" s="108" t="s">
        <v>3869</v>
      </c>
      <c r="E1445" s="108" t="s">
        <v>4036</v>
      </c>
      <c r="F1445" s="108" t="s">
        <v>4118</v>
      </c>
      <c r="G1445" s="108">
        <v>5</v>
      </c>
      <c r="H1445" s="71">
        <v>4</v>
      </c>
      <c r="I1445" s="109">
        <f t="shared" si="103"/>
        <v>920</v>
      </c>
      <c r="J1445" s="110">
        <f t="shared" si="104"/>
        <v>736</v>
      </c>
      <c r="K1445" s="111">
        <f t="shared" si="105"/>
        <v>1</v>
      </c>
      <c r="L1445" s="110">
        <f t="shared" si="106"/>
        <v>184</v>
      </c>
      <c r="M1445" s="112"/>
    </row>
    <row r="1446" spans="2:13" s="52" customFormat="1" ht="19.5" hidden="1" customHeight="1">
      <c r="B1446" s="108">
        <v>11</v>
      </c>
      <c r="C1446" s="115" t="s">
        <v>57</v>
      </c>
      <c r="D1446" s="108" t="s">
        <v>3870</v>
      </c>
      <c r="E1446" s="108" t="s">
        <v>4037</v>
      </c>
      <c r="F1446" s="108" t="s">
        <v>4119</v>
      </c>
      <c r="G1446" s="108">
        <v>2</v>
      </c>
      <c r="H1446" s="71">
        <v>2</v>
      </c>
      <c r="I1446" s="109">
        <f t="shared" si="103"/>
        <v>166.6</v>
      </c>
      <c r="J1446" s="110">
        <f t="shared" si="104"/>
        <v>166.6</v>
      </c>
      <c r="K1446" s="111">
        <f t="shared" si="105"/>
        <v>0</v>
      </c>
      <c r="L1446" s="110">
        <f t="shared" si="106"/>
        <v>0</v>
      </c>
      <c r="M1446" s="112"/>
    </row>
    <row r="1447" spans="2:13" s="52" customFormat="1" ht="19.5" hidden="1" customHeight="1">
      <c r="B1447" s="108">
        <v>11</v>
      </c>
      <c r="C1447" s="139" t="s">
        <v>57</v>
      </c>
      <c r="D1447" s="108" t="s">
        <v>3871</v>
      </c>
      <c r="E1447" s="108" t="s">
        <v>4038</v>
      </c>
      <c r="F1447" s="108" t="s">
        <v>4096</v>
      </c>
      <c r="G1447" s="108">
        <v>2</v>
      </c>
      <c r="H1447" s="71">
        <v>2</v>
      </c>
      <c r="I1447" s="109">
        <f t="shared" si="103"/>
        <v>488.6</v>
      </c>
      <c r="J1447" s="110">
        <f t="shared" si="104"/>
        <v>488.6</v>
      </c>
      <c r="K1447" s="111">
        <f t="shared" si="105"/>
        <v>0</v>
      </c>
      <c r="L1447" s="110">
        <f t="shared" si="106"/>
        <v>0</v>
      </c>
      <c r="M1447" s="112"/>
    </row>
    <row r="1448" spans="2:13" s="52" customFormat="1" ht="19.5" hidden="1" customHeight="1">
      <c r="B1448" s="108">
        <v>11</v>
      </c>
      <c r="C1448" s="115" t="s">
        <v>57</v>
      </c>
      <c r="D1448" s="108" t="s">
        <v>3872</v>
      </c>
      <c r="E1448" s="108" t="s">
        <v>4039</v>
      </c>
      <c r="F1448" s="108" t="s">
        <v>3174</v>
      </c>
      <c r="G1448" s="108">
        <v>5</v>
      </c>
      <c r="H1448" s="71">
        <v>5</v>
      </c>
      <c r="I1448" s="109">
        <f t="shared" si="103"/>
        <v>1046.5</v>
      </c>
      <c r="J1448" s="110">
        <f t="shared" si="104"/>
        <v>1046.5</v>
      </c>
      <c r="K1448" s="111">
        <f t="shared" si="105"/>
        <v>0</v>
      </c>
      <c r="L1448" s="110">
        <f t="shared" si="106"/>
        <v>0</v>
      </c>
      <c r="M1448" s="112"/>
    </row>
    <row r="1449" spans="2:13" s="52" customFormat="1" ht="19.5" hidden="1" customHeight="1">
      <c r="B1449" s="108">
        <v>11</v>
      </c>
      <c r="C1449" s="139" t="s">
        <v>57</v>
      </c>
      <c r="D1449" s="108" t="s">
        <v>3873</v>
      </c>
      <c r="E1449" s="108" t="s">
        <v>4040</v>
      </c>
      <c r="F1449" s="108" t="s">
        <v>4091</v>
      </c>
      <c r="G1449" s="108">
        <v>5</v>
      </c>
      <c r="H1449" s="71">
        <v>5</v>
      </c>
      <c r="I1449" s="109">
        <f t="shared" si="103"/>
        <v>696.5</v>
      </c>
      <c r="J1449" s="110">
        <f t="shared" si="104"/>
        <v>696.5</v>
      </c>
      <c r="K1449" s="111">
        <f t="shared" si="105"/>
        <v>0</v>
      </c>
      <c r="L1449" s="110">
        <f t="shared" si="106"/>
        <v>0</v>
      </c>
      <c r="M1449" s="112"/>
    </row>
    <row r="1450" spans="2:13" s="52" customFormat="1" ht="19.5" hidden="1" customHeight="1">
      <c r="B1450" s="108">
        <v>11</v>
      </c>
      <c r="C1450" s="115" t="s">
        <v>57</v>
      </c>
      <c r="D1450" s="108" t="s">
        <v>3874</v>
      </c>
      <c r="E1450" s="108" t="s">
        <v>4041</v>
      </c>
      <c r="F1450" s="108" t="s">
        <v>4120</v>
      </c>
      <c r="G1450" s="108">
        <v>1</v>
      </c>
      <c r="H1450" s="71">
        <v>1</v>
      </c>
      <c r="I1450" s="109">
        <f t="shared" si="103"/>
        <v>62.3</v>
      </c>
      <c r="J1450" s="110">
        <f t="shared" si="104"/>
        <v>62.3</v>
      </c>
      <c r="K1450" s="111">
        <f t="shared" si="105"/>
        <v>0</v>
      </c>
      <c r="L1450" s="110">
        <f t="shared" si="106"/>
        <v>0</v>
      </c>
      <c r="M1450" s="112"/>
    </row>
    <row r="1451" spans="2:13" s="52" customFormat="1" ht="19.5" hidden="1" customHeight="1">
      <c r="B1451" s="108">
        <v>11</v>
      </c>
      <c r="C1451" s="139" t="s">
        <v>57</v>
      </c>
      <c r="D1451" s="108" t="s">
        <v>3875</v>
      </c>
      <c r="E1451" s="108" t="s">
        <v>4042</v>
      </c>
      <c r="F1451" s="108" t="s">
        <v>4121</v>
      </c>
      <c r="G1451" s="108">
        <v>1</v>
      </c>
      <c r="H1451" s="71">
        <v>1</v>
      </c>
      <c r="I1451" s="109">
        <f t="shared" si="103"/>
        <v>125.3</v>
      </c>
      <c r="J1451" s="110">
        <f t="shared" si="104"/>
        <v>125.3</v>
      </c>
      <c r="K1451" s="111">
        <f t="shared" si="105"/>
        <v>0</v>
      </c>
      <c r="L1451" s="110">
        <f t="shared" si="106"/>
        <v>0</v>
      </c>
      <c r="M1451" s="112"/>
    </row>
    <row r="1452" spans="2:13" s="52" customFormat="1" ht="19.5" hidden="1" customHeight="1">
      <c r="B1452" s="108">
        <v>11</v>
      </c>
      <c r="C1452" s="115" t="s">
        <v>57</v>
      </c>
      <c r="D1452" s="108" t="s">
        <v>3876</v>
      </c>
      <c r="E1452" s="108" t="s">
        <v>4043</v>
      </c>
      <c r="F1452" s="108" t="s">
        <v>3174</v>
      </c>
      <c r="G1452" s="108">
        <v>1</v>
      </c>
      <c r="H1452" s="71">
        <v>1</v>
      </c>
      <c r="I1452" s="109">
        <f t="shared" si="103"/>
        <v>209.3</v>
      </c>
      <c r="J1452" s="110">
        <f t="shared" si="104"/>
        <v>209.3</v>
      </c>
      <c r="K1452" s="111">
        <f t="shared" si="105"/>
        <v>0</v>
      </c>
      <c r="L1452" s="110">
        <f t="shared" si="106"/>
        <v>0</v>
      </c>
      <c r="M1452" s="112"/>
    </row>
    <row r="1453" spans="2:13" s="52" customFormat="1" ht="19.5" hidden="1" customHeight="1">
      <c r="B1453" s="108">
        <v>11</v>
      </c>
      <c r="C1453" s="139" t="s">
        <v>57</v>
      </c>
      <c r="D1453" s="108" t="s">
        <v>3877</v>
      </c>
      <c r="E1453" s="108" t="s">
        <v>4044</v>
      </c>
      <c r="F1453" s="108" t="s">
        <v>3174</v>
      </c>
      <c r="G1453" s="108">
        <v>1</v>
      </c>
      <c r="H1453" s="71">
        <v>1</v>
      </c>
      <c r="I1453" s="109">
        <f t="shared" si="103"/>
        <v>209.3</v>
      </c>
      <c r="J1453" s="110">
        <f t="shared" si="104"/>
        <v>209.3</v>
      </c>
      <c r="K1453" s="111">
        <f t="shared" si="105"/>
        <v>0</v>
      </c>
      <c r="L1453" s="110">
        <f t="shared" si="106"/>
        <v>0</v>
      </c>
      <c r="M1453" s="112"/>
    </row>
    <row r="1454" spans="2:13" s="52" customFormat="1" ht="19.5" hidden="1" customHeight="1">
      <c r="B1454" s="108">
        <v>11</v>
      </c>
      <c r="C1454" s="115" t="s">
        <v>57</v>
      </c>
      <c r="D1454" s="108" t="s">
        <v>3878</v>
      </c>
      <c r="E1454" s="108" t="s">
        <v>4045</v>
      </c>
      <c r="F1454" s="108" t="s">
        <v>4119</v>
      </c>
      <c r="G1454" s="108">
        <v>4</v>
      </c>
      <c r="H1454" s="71">
        <v>4</v>
      </c>
      <c r="I1454" s="109">
        <f t="shared" si="103"/>
        <v>333.2</v>
      </c>
      <c r="J1454" s="110">
        <f t="shared" si="104"/>
        <v>333.2</v>
      </c>
      <c r="K1454" s="111">
        <f t="shared" si="105"/>
        <v>0</v>
      </c>
      <c r="L1454" s="110">
        <f t="shared" si="106"/>
        <v>0</v>
      </c>
      <c r="M1454" s="112"/>
    </row>
    <row r="1455" spans="2:13" s="52" customFormat="1" ht="19.5" hidden="1" customHeight="1">
      <c r="B1455" s="108">
        <v>11</v>
      </c>
      <c r="C1455" s="139" t="s">
        <v>57</v>
      </c>
      <c r="D1455" s="108" t="s">
        <v>3879</v>
      </c>
      <c r="E1455" s="108" t="s">
        <v>4046</v>
      </c>
      <c r="F1455" s="108" t="s">
        <v>4122</v>
      </c>
      <c r="G1455" s="108">
        <v>5</v>
      </c>
      <c r="H1455" s="71">
        <v>5</v>
      </c>
      <c r="I1455" s="109">
        <f t="shared" si="103"/>
        <v>906.5</v>
      </c>
      <c r="J1455" s="110">
        <f t="shared" si="104"/>
        <v>906.5</v>
      </c>
      <c r="K1455" s="111">
        <f t="shared" si="105"/>
        <v>0</v>
      </c>
      <c r="L1455" s="110">
        <f t="shared" si="106"/>
        <v>0</v>
      </c>
      <c r="M1455" s="112"/>
    </row>
    <row r="1456" spans="2:13" s="52" customFormat="1" ht="19.5" hidden="1" customHeight="1">
      <c r="B1456" s="108">
        <v>11</v>
      </c>
      <c r="C1456" s="115" t="s">
        <v>57</v>
      </c>
      <c r="D1456" s="115" t="s">
        <v>3880</v>
      </c>
      <c r="E1456" s="115" t="s">
        <v>4047</v>
      </c>
      <c r="F1456" s="115" t="s">
        <v>4122</v>
      </c>
      <c r="G1456" s="115">
        <v>2</v>
      </c>
      <c r="H1456" s="71">
        <v>2</v>
      </c>
      <c r="I1456" s="109"/>
      <c r="J1456" s="110">
        <f t="shared" si="104"/>
        <v>362.6</v>
      </c>
      <c r="K1456" s="111">
        <f t="shared" si="105"/>
        <v>0</v>
      </c>
      <c r="L1456" s="110"/>
      <c r="M1456" s="112"/>
    </row>
    <row r="1457" spans="2:13" s="52" customFormat="1" ht="19.5" hidden="1" customHeight="1">
      <c r="B1457" s="108">
        <v>11</v>
      </c>
      <c r="C1457" s="139" t="s">
        <v>57</v>
      </c>
      <c r="D1457" s="115" t="s">
        <v>3881</v>
      </c>
      <c r="E1457" s="115" t="s">
        <v>4048</v>
      </c>
      <c r="F1457" s="115" t="s">
        <v>4122</v>
      </c>
      <c r="G1457" s="115">
        <v>1</v>
      </c>
      <c r="H1457" s="71">
        <v>1</v>
      </c>
      <c r="I1457" s="109"/>
      <c r="J1457" s="110">
        <f t="shared" si="104"/>
        <v>181.3</v>
      </c>
      <c r="K1457" s="111">
        <f t="shared" si="105"/>
        <v>0</v>
      </c>
      <c r="L1457" s="110"/>
      <c r="M1457" s="112"/>
    </row>
    <row r="1458" spans="2:13" s="52" customFormat="1" ht="19.5" hidden="1" customHeight="1">
      <c r="B1458" s="108">
        <v>11</v>
      </c>
      <c r="C1458" s="115" t="s">
        <v>57</v>
      </c>
      <c r="D1458" s="115" t="s">
        <v>3882</v>
      </c>
      <c r="E1458" s="115" t="s">
        <v>4049</v>
      </c>
      <c r="F1458" s="115" t="s">
        <v>4123</v>
      </c>
      <c r="G1458" s="115">
        <v>5</v>
      </c>
      <c r="H1458" s="71">
        <v>5</v>
      </c>
      <c r="I1458" s="109"/>
      <c r="J1458" s="110">
        <f t="shared" si="104"/>
        <v>871.5</v>
      </c>
      <c r="K1458" s="111">
        <f t="shared" si="105"/>
        <v>0</v>
      </c>
      <c r="L1458" s="110"/>
      <c r="M1458" s="112"/>
    </row>
    <row r="1459" spans="2:13" s="52" customFormat="1" ht="19.5" hidden="1" customHeight="1">
      <c r="B1459" s="108">
        <v>11</v>
      </c>
      <c r="C1459" s="139" t="s">
        <v>57</v>
      </c>
      <c r="D1459" s="115" t="s">
        <v>3883</v>
      </c>
      <c r="E1459" s="115" t="s">
        <v>4050</v>
      </c>
      <c r="F1459" s="115" t="s">
        <v>4123</v>
      </c>
      <c r="G1459" s="115">
        <v>3</v>
      </c>
      <c r="H1459" s="71">
        <v>3</v>
      </c>
      <c r="I1459" s="109"/>
      <c r="J1459" s="110">
        <f t="shared" si="104"/>
        <v>522.90000000000009</v>
      </c>
      <c r="K1459" s="111">
        <f t="shared" si="105"/>
        <v>0</v>
      </c>
      <c r="L1459" s="110"/>
      <c r="M1459" s="112"/>
    </row>
    <row r="1460" spans="2:13" s="52" customFormat="1" ht="19.5" hidden="1" customHeight="1">
      <c r="B1460" s="108">
        <v>11</v>
      </c>
      <c r="C1460" s="115" t="s">
        <v>57</v>
      </c>
      <c r="D1460" s="115" t="s">
        <v>3884</v>
      </c>
      <c r="E1460" s="115" t="s">
        <v>4051</v>
      </c>
      <c r="F1460" s="115" t="s">
        <v>4123</v>
      </c>
      <c r="G1460" s="115">
        <v>2</v>
      </c>
      <c r="H1460" s="71">
        <v>2</v>
      </c>
      <c r="I1460" s="109"/>
      <c r="J1460" s="110">
        <f t="shared" si="104"/>
        <v>348.6</v>
      </c>
      <c r="K1460" s="111">
        <f t="shared" si="105"/>
        <v>0</v>
      </c>
      <c r="L1460" s="110"/>
      <c r="M1460" s="112"/>
    </row>
    <row r="1461" spans="2:13" s="52" customFormat="1" ht="19.5" hidden="1" customHeight="1">
      <c r="B1461" s="108">
        <v>11</v>
      </c>
      <c r="C1461" s="139" t="s">
        <v>57</v>
      </c>
      <c r="D1461" s="115" t="s">
        <v>3885</v>
      </c>
      <c r="E1461" s="115" t="s">
        <v>4052</v>
      </c>
      <c r="F1461" s="115" t="s">
        <v>4120</v>
      </c>
      <c r="G1461" s="115">
        <v>13</v>
      </c>
      <c r="H1461" s="71">
        <v>13</v>
      </c>
      <c r="I1461" s="109"/>
      <c r="J1461" s="110">
        <f t="shared" si="104"/>
        <v>809.9</v>
      </c>
      <c r="K1461" s="111">
        <f t="shared" si="105"/>
        <v>0</v>
      </c>
      <c r="L1461" s="110"/>
      <c r="M1461" s="112"/>
    </row>
    <row r="1462" spans="2:13" s="52" customFormat="1" ht="19.5" hidden="1" customHeight="1">
      <c r="B1462" s="108">
        <v>11</v>
      </c>
      <c r="C1462" s="115" t="s">
        <v>57</v>
      </c>
      <c r="D1462" s="115" t="s">
        <v>3886</v>
      </c>
      <c r="E1462" s="115" t="s">
        <v>4053</v>
      </c>
      <c r="F1462" s="115" t="s">
        <v>4124</v>
      </c>
      <c r="G1462" s="115">
        <v>6</v>
      </c>
      <c r="H1462" s="71">
        <v>6</v>
      </c>
      <c r="I1462" s="109"/>
      <c r="J1462" s="110">
        <f t="shared" si="104"/>
        <v>415.79999999999995</v>
      </c>
      <c r="K1462" s="111">
        <f t="shared" si="105"/>
        <v>0</v>
      </c>
      <c r="L1462" s="110"/>
      <c r="M1462" s="112"/>
    </row>
    <row r="1463" spans="2:13" s="52" customFormat="1" ht="19.5" hidden="1" customHeight="1">
      <c r="B1463" s="108">
        <v>11</v>
      </c>
      <c r="C1463" s="139" t="s">
        <v>57</v>
      </c>
      <c r="D1463" s="115" t="s">
        <v>3887</v>
      </c>
      <c r="E1463" s="115" t="s">
        <v>4054</v>
      </c>
      <c r="F1463" s="115" t="s">
        <v>4120</v>
      </c>
      <c r="G1463" s="115">
        <v>12</v>
      </c>
      <c r="H1463" s="71">
        <v>12</v>
      </c>
      <c r="I1463" s="109"/>
      <c r="J1463" s="110">
        <f t="shared" si="104"/>
        <v>747.59999999999991</v>
      </c>
      <c r="K1463" s="111">
        <f t="shared" si="105"/>
        <v>0</v>
      </c>
      <c r="L1463" s="110"/>
      <c r="M1463" s="112"/>
    </row>
    <row r="1464" spans="2:13" s="52" customFormat="1" ht="19.5" hidden="1" customHeight="1">
      <c r="B1464" s="108">
        <v>11</v>
      </c>
      <c r="C1464" s="115" t="s">
        <v>57</v>
      </c>
      <c r="D1464" s="115" t="s">
        <v>3888</v>
      </c>
      <c r="E1464" s="115" t="s">
        <v>4055</v>
      </c>
      <c r="F1464" s="115" t="s">
        <v>4125</v>
      </c>
      <c r="G1464" s="115">
        <v>6</v>
      </c>
      <c r="H1464" s="71">
        <v>6</v>
      </c>
      <c r="I1464" s="109"/>
      <c r="J1464" s="110">
        <f t="shared" si="104"/>
        <v>541.79999999999995</v>
      </c>
      <c r="K1464" s="111">
        <f t="shared" si="105"/>
        <v>0</v>
      </c>
      <c r="L1464" s="110"/>
      <c r="M1464" s="112"/>
    </row>
    <row r="1465" spans="2:13" s="52" customFormat="1" ht="19.5" hidden="1" customHeight="1">
      <c r="B1465" s="108">
        <v>11</v>
      </c>
      <c r="C1465" s="139" t="s">
        <v>57</v>
      </c>
      <c r="D1465" s="115" t="s">
        <v>3889</v>
      </c>
      <c r="E1465" s="115" t="s">
        <v>4056</v>
      </c>
      <c r="F1465" s="115" t="s">
        <v>4119</v>
      </c>
      <c r="G1465" s="115">
        <v>3</v>
      </c>
      <c r="H1465" s="71">
        <v>3</v>
      </c>
      <c r="I1465" s="109"/>
      <c r="J1465" s="110">
        <f t="shared" si="104"/>
        <v>249.89999999999998</v>
      </c>
      <c r="K1465" s="111">
        <f t="shared" si="105"/>
        <v>0</v>
      </c>
      <c r="L1465" s="110"/>
      <c r="M1465" s="112"/>
    </row>
    <row r="1466" spans="2:13" s="52" customFormat="1" ht="19.5" hidden="1" customHeight="1">
      <c r="B1466" s="108">
        <v>11</v>
      </c>
      <c r="C1466" s="115" t="s">
        <v>57</v>
      </c>
      <c r="D1466" s="115" t="s">
        <v>3890</v>
      </c>
      <c r="E1466" s="115" t="s">
        <v>4057</v>
      </c>
      <c r="F1466" s="115" t="s">
        <v>4120</v>
      </c>
      <c r="G1466" s="115">
        <v>2</v>
      </c>
      <c r="H1466" s="71">
        <v>2</v>
      </c>
      <c r="I1466" s="109"/>
      <c r="J1466" s="110">
        <f t="shared" si="104"/>
        <v>124.6</v>
      </c>
      <c r="K1466" s="111">
        <f t="shared" si="105"/>
        <v>0</v>
      </c>
      <c r="L1466" s="110"/>
      <c r="M1466" s="112"/>
    </row>
    <row r="1467" spans="2:13" s="52" customFormat="1" ht="19.5" hidden="1" customHeight="1">
      <c r="B1467" s="108">
        <v>11</v>
      </c>
      <c r="C1467" s="139" t="s">
        <v>57</v>
      </c>
      <c r="D1467" s="115" t="s">
        <v>3891</v>
      </c>
      <c r="E1467" s="115" t="s">
        <v>4058</v>
      </c>
      <c r="F1467" s="115" t="s">
        <v>4120</v>
      </c>
      <c r="G1467" s="115">
        <v>7</v>
      </c>
      <c r="H1467" s="71">
        <v>7</v>
      </c>
      <c r="I1467" s="109"/>
      <c r="J1467" s="110">
        <f t="shared" si="104"/>
        <v>436.09999999999997</v>
      </c>
      <c r="K1467" s="111">
        <f t="shared" si="105"/>
        <v>0</v>
      </c>
      <c r="L1467" s="110"/>
      <c r="M1467" s="112"/>
    </row>
    <row r="1468" spans="2:13" s="52" customFormat="1" ht="19.5" hidden="1" customHeight="1">
      <c r="B1468" s="108">
        <v>11</v>
      </c>
      <c r="C1468" s="115" t="s">
        <v>57</v>
      </c>
      <c r="D1468" s="115" t="s">
        <v>3892</v>
      </c>
      <c r="E1468" s="115" t="s">
        <v>4059</v>
      </c>
      <c r="F1468" s="115" t="s">
        <v>4120</v>
      </c>
      <c r="G1468" s="115">
        <v>9</v>
      </c>
      <c r="H1468" s="71">
        <v>9</v>
      </c>
      <c r="I1468" s="109"/>
      <c r="J1468" s="110">
        <f t="shared" si="104"/>
        <v>560.69999999999993</v>
      </c>
      <c r="K1468" s="111">
        <f t="shared" si="105"/>
        <v>0</v>
      </c>
      <c r="L1468" s="110"/>
      <c r="M1468" s="112"/>
    </row>
    <row r="1469" spans="2:13" s="52" customFormat="1" ht="19.5" hidden="1" customHeight="1">
      <c r="B1469" s="108">
        <v>11</v>
      </c>
      <c r="C1469" s="139" t="s">
        <v>57</v>
      </c>
      <c r="D1469" s="115" t="s">
        <v>3893</v>
      </c>
      <c r="E1469" s="115" t="s">
        <v>4060</v>
      </c>
      <c r="F1469" s="115" t="s">
        <v>4125</v>
      </c>
      <c r="G1469" s="115">
        <v>5</v>
      </c>
      <c r="H1469" s="71">
        <v>5</v>
      </c>
      <c r="I1469" s="109"/>
      <c r="J1469" s="110">
        <f t="shared" si="104"/>
        <v>451.5</v>
      </c>
      <c r="K1469" s="111">
        <f t="shared" si="105"/>
        <v>0</v>
      </c>
      <c r="L1469" s="110"/>
      <c r="M1469" s="112"/>
    </row>
    <row r="1470" spans="2:13" s="52" customFormat="1" ht="19.5" hidden="1" customHeight="1">
      <c r="B1470" s="108">
        <v>11</v>
      </c>
      <c r="C1470" s="115" t="s">
        <v>57</v>
      </c>
      <c r="D1470" s="115" t="s">
        <v>3894</v>
      </c>
      <c r="E1470" s="115" t="s">
        <v>4061</v>
      </c>
      <c r="F1470" s="115" t="s">
        <v>4125</v>
      </c>
      <c r="G1470" s="115">
        <v>3</v>
      </c>
      <c r="H1470" s="71">
        <v>3</v>
      </c>
      <c r="I1470" s="109"/>
      <c r="J1470" s="110">
        <f t="shared" si="104"/>
        <v>270.89999999999998</v>
      </c>
      <c r="K1470" s="111">
        <f t="shared" si="105"/>
        <v>0</v>
      </c>
      <c r="L1470" s="110"/>
      <c r="M1470" s="112"/>
    </row>
    <row r="1471" spans="2:13" s="52" customFormat="1" ht="19.5" hidden="1" customHeight="1">
      <c r="B1471" s="108">
        <v>11</v>
      </c>
      <c r="C1471" s="139" t="s">
        <v>57</v>
      </c>
      <c r="D1471" s="115" t="s">
        <v>3895</v>
      </c>
      <c r="E1471" s="115" t="s">
        <v>4062</v>
      </c>
      <c r="F1471" s="115" t="s">
        <v>4125</v>
      </c>
      <c r="G1471" s="115">
        <v>8</v>
      </c>
      <c r="H1471" s="71">
        <v>8</v>
      </c>
      <c r="I1471" s="109"/>
      <c r="J1471" s="110">
        <f t="shared" si="104"/>
        <v>722.4</v>
      </c>
      <c r="K1471" s="111">
        <f t="shared" si="105"/>
        <v>0</v>
      </c>
      <c r="L1471" s="110"/>
      <c r="M1471" s="112"/>
    </row>
    <row r="1472" spans="2:13" s="52" customFormat="1" ht="19.5" hidden="1" customHeight="1">
      <c r="B1472" s="108">
        <v>11</v>
      </c>
      <c r="C1472" s="115" t="s">
        <v>57</v>
      </c>
      <c r="D1472" s="115" t="s">
        <v>3896</v>
      </c>
      <c r="E1472" s="115" t="s">
        <v>4063</v>
      </c>
      <c r="F1472" s="115" t="s">
        <v>4120</v>
      </c>
      <c r="G1472" s="115">
        <v>2</v>
      </c>
      <c r="H1472" s="71">
        <v>2</v>
      </c>
      <c r="I1472" s="109"/>
      <c r="J1472" s="110">
        <f t="shared" si="104"/>
        <v>124.6</v>
      </c>
      <c r="K1472" s="111">
        <f t="shared" si="105"/>
        <v>0</v>
      </c>
      <c r="L1472" s="110"/>
      <c r="M1472" s="112"/>
    </row>
    <row r="1473" spans="2:13" s="52" customFormat="1" ht="19.5" hidden="1" customHeight="1">
      <c r="B1473" s="108">
        <v>11</v>
      </c>
      <c r="C1473" s="139" t="s">
        <v>57</v>
      </c>
      <c r="D1473" s="115" t="s">
        <v>3897</v>
      </c>
      <c r="E1473" s="115" t="s">
        <v>4064</v>
      </c>
      <c r="F1473" s="115" t="s">
        <v>3174</v>
      </c>
      <c r="G1473" s="115">
        <v>4</v>
      </c>
      <c r="H1473" s="71">
        <v>4</v>
      </c>
      <c r="I1473" s="109"/>
      <c r="J1473" s="110">
        <f t="shared" si="104"/>
        <v>837.2</v>
      </c>
      <c r="K1473" s="111">
        <f t="shared" si="105"/>
        <v>0</v>
      </c>
      <c r="L1473" s="110"/>
      <c r="M1473" s="112"/>
    </row>
    <row r="1474" spans="2:13" s="52" customFormat="1" ht="19.5" hidden="1" customHeight="1">
      <c r="B1474" s="108">
        <v>11</v>
      </c>
      <c r="C1474" s="115" t="s">
        <v>57</v>
      </c>
      <c r="D1474" s="115" t="s">
        <v>3898</v>
      </c>
      <c r="E1474" s="115" t="s">
        <v>4065</v>
      </c>
      <c r="F1474" s="115" t="s">
        <v>4126</v>
      </c>
      <c r="G1474" s="115">
        <v>1</v>
      </c>
      <c r="H1474" s="71">
        <v>1</v>
      </c>
      <c r="I1474" s="109"/>
      <c r="J1474" s="110">
        <f t="shared" si="104"/>
        <v>110</v>
      </c>
      <c r="K1474" s="111">
        <f t="shared" si="105"/>
        <v>0</v>
      </c>
      <c r="L1474" s="110"/>
      <c r="M1474" s="112"/>
    </row>
    <row r="1475" spans="2:13" s="52" customFormat="1" ht="19.5" hidden="1" customHeight="1">
      <c r="B1475" s="108">
        <v>11</v>
      </c>
      <c r="C1475" s="139" t="s">
        <v>57</v>
      </c>
      <c r="D1475" s="115" t="s">
        <v>3899</v>
      </c>
      <c r="E1475" s="115" t="s">
        <v>4066</v>
      </c>
      <c r="F1475" s="115" t="s">
        <v>4119</v>
      </c>
      <c r="G1475" s="115">
        <v>4</v>
      </c>
      <c r="H1475" s="71">
        <v>4</v>
      </c>
      <c r="I1475" s="109">
        <f t="shared" ref="I1475" si="107">F1475*G1475</f>
        <v>333.2</v>
      </c>
      <c r="J1475" s="110">
        <f t="shared" si="104"/>
        <v>333.2</v>
      </c>
      <c r="K1475" s="111">
        <f t="shared" si="105"/>
        <v>0</v>
      </c>
      <c r="L1475" s="110">
        <f t="shared" ref="L1475" si="108">I1475-J1475</f>
        <v>0</v>
      </c>
      <c r="M1475" s="112"/>
    </row>
    <row r="1476" spans="2:13" s="52" customFormat="1" ht="19.5" hidden="1" customHeight="1">
      <c r="B1476" s="108">
        <v>11</v>
      </c>
      <c r="C1476" s="115" t="s">
        <v>57</v>
      </c>
      <c r="D1476" s="115" t="s">
        <v>3900</v>
      </c>
      <c r="E1476" s="115" t="s">
        <v>4067</v>
      </c>
      <c r="F1476" s="115" t="s">
        <v>4091</v>
      </c>
      <c r="G1476" s="115">
        <v>3</v>
      </c>
      <c r="H1476" s="71">
        <v>3</v>
      </c>
      <c r="I1476" s="109"/>
      <c r="J1476" s="110">
        <f t="shared" si="104"/>
        <v>417.90000000000003</v>
      </c>
      <c r="K1476" s="111">
        <f t="shared" si="105"/>
        <v>0</v>
      </c>
      <c r="L1476" s="110"/>
      <c r="M1476" s="112"/>
    </row>
    <row r="1477" spans="2:13" s="52" customFormat="1" ht="19.5" hidden="1" customHeight="1">
      <c r="B1477" s="108">
        <v>11</v>
      </c>
      <c r="C1477" s="139" t="s">
        <v>57</v>
      </c>
      <c r="D1477" s="115" t="s">
        <v>3901</v>
      </c>
      <c r="E1477" s="115" t="s">
        <v>4068</v>
      </c>
      <c r="F1477" s="115" t="s">
        <v>4086</v>
      </c>
      <c r="G1477" s="115">
        <v>2</v>
      </c>
      <c r="H1477" s="71">
        <v>2</v>
      </c>
      <c r="I1477" s="109"/>
      <c r="J1477" s="110">
        <f t="shared" si="104"/>
        <v>558.6</v>
      </c>
      <c r="K1477" s="111">
        <f t="shared" si="105"/>
        <v>0</v>
      </c>
      <c r="L1477" s="110"/>
      <c r="M1477" s="112"/>
    </row>
    <row r="1478" spans="2:13" s="52" customFormat="1" ht="19.5" hidden="1" customHeight="1">
      <c r="B1478" s="108">
        <v>11</v>
      </c>
      <c r="C1478" s="115" t="s">
        <v>57</v>
      </c>
      <c r="D1478" s="115" t="s">
        <v>3902</v>
      </c>
      <c r="E1478" s="115" t="s">
        <v>4069</v>
      </c>
      <c r="F1478" s="115" t="s">
        <v>4124</v>
      </c>
      <c r="G1478" s="115">
        <v>1</v>
      </c>
      <c r="H1478" s="71">
        <v>1</v>
      </c>
      <c r="I1478" s="109"/>
      <c r="J1478" s="110">
        <f t="shared" si="104"/>
        <v>69.3</v>
      </c>
      <c r="K1478" s="111">
        <f t="shared" si="105"/>
        <v>0</v>
      </c>
      <c r="L1478" s="110"/>
      <c r="M1478" s="112"/>
    </row>
    <row r="1479" spans="2:13" s="52" customFormat="1" ht="19.5" hidden="1" customHeight="1">
      <c r="B1479" s="108">
        <v>11</v>
      </c>
      <c r="C1479" s="139" t="s">
        <v>57</v>
      </c>
      <c r="D1479" s="115" t="s">
        <v>3903</v>
      </c>
      <c r="E1479" s="115" t="s">
        <v>4070</v>
      </c>
      <c r="F1479" s="115" t="s">
        <v>4089</v>
      </c>
      <c r="G1479" s="115">
        <v>1</v>
      </c>
      <c r="H1479" s="71">
        <v>1</v>
      </c>
      <c r="I1479" s="109"/>
      <c r="J1479" s="110">
        <f t="shared" si="104"/>
        <v>153.30000000000001</v>
      </c>
      <c r="K1479" s="111">
        <f t="shared" si="105"/>
        <v>0</v>
      </c>
      <c r="L1479" s="110"/>
      <c r="M1479" s="112"/>
    </row>
    <row r="1480" spans="2:13" s="52" customFormat="1" ht="19.5" hidden="1" customHeight="1">
      <c r="B1480" s="108">
        <v>11</v>
      </c>
      <c r="C1480" s="115" t="s">
        <v>57</v>
      </c>
      <c r="D1480" s="115" t="s">
        <v>3904</v>
      </c>
      <c r="E1480" s="115" t="s">
        <v>4071</v>
      </c>
      <c r="F1480" s="115" t="s">
        <v>4091</v>
      </c>
      <c r="G1480" s="115">
        <v>3</v>
      </c>
      <c r="H1480" s="71">
        <v>3</v>
      </c>
      <c r="I1480" s="109"/>
      <c r="J1480" s="110">
        <f t="shared" si="104"/>
        <v>417.90000000000003</v>
      </c>
      <c r="K1480" s="111">
        <f t="shared" si="105"/>
        <v>0</v>
      </c>
      <c r="L1480" s="110"/>
      <c r="M1480" s="112"/>
    </row>
    <row r="1481" spans="2:13" s="52" customFormat="1" ht="19.5" hidden="1" customHeight="1">
      <c r="B1481" s="108">
        <v>12</v>
      </c>
      <c r="C1481" s="139" t="s">
        <v>58</v>
      </c>
      <c r="D1481" s="115" t="s">
        <v>4127</v>
      </c>
      <c r="E1481" s="115" t="s">
        <v>4164</v>
      </c>
      <c r="F1481" s="115" t="s">
        <v>4201</v>
      </c>
      <c r="G1481" s="115">
        <v>35</v>
      </c>
      <c r="H1481" s="71">
        <f>17+18</f>
        <v>35</v>
      </c>
      <c r="I1481" s="109"/>
      <c r="J1481" s="110">
        <f t="shared" si="104"/>
        <v>1458.45</v>
      </c>
      <c r="K1481" s="111">
        <f t="shared" si="105"/>
        <v>0</v>
      </c>
      <c r="L1481" s="110"/>
      <c r="M1481" s="112"/>
    </row>
    <row r="1482" spans="2:13" s="52" customFormat="1" ht="19.5" customHeight="1">
      <c r="B1482" s="108">
        <v>12</v>
      </c>
      <c r="C1482" s="108" t="s">
        <v>58</v>
      </c>
      <c r="D1482" s="115" t="s">
        <v>4128</v>
      </c>
      <c r="E1482" s="115" t="s">
        <v>4165</v>
      </c>
      <c r="F1482" s="115" t="s">
        <v>4202</v>
      </c>
      <c r="G1482" s="115">
        <v>12</v>
      </c>
      <c r="H1482" s="71"/>
      <c r="I1482" s="109"/>
      <c r="J1482" s="110">
        <f t="shared" si="104"/>
        <v>0</v>
      </c>
      <c r="K1482" s="111">
        <f t="shared" si="105"/>
        <v>12</v>
      </c>
      <c r="L1482" s="110"/>
      <c r="M1482" s="112"/>
    </row>
    <row r="1483" spans="2:13" s="52" customFormat="1" ht="19.5" customHeight="1">
      <c r="B1483" s="108">
        <v>12</v>
      </c>
      <c r="C1483" s="139" t="s">
        <v>58</v>
      </c>
      <c r="D1483" s="115" t="s">
        <v>4129</v>
      </c>
      <c r="E1483" s="115" t="s">
        <v>4166</v>
      </c>
      <c r="F1483" s="115" t="s">
        <v>4201</v>
      </c>
      <c r="G1483" s="115">
        <v>27</v>
      </c>
      <c r="H1483" s="71">
        <f>2+12</f>
        <v>14</v>
      </c>
      <c r="I1483" s="109"/>
      <c r="J1483" s="110">
        <f t="shared" si="104"/>
        <v>583.38</v>
      </c>
      <c r="K1483" s="111">
        <f t="shared" si="105"/>
        <v>13</v>
      </c>
      <c r="L1483" s="110"/>
      <c r="M1483" s="112"/>
    </row>
    <row r="1484" spans="2:13" s="52" customFormat="1" ht="19.5" hidden="1" customHeight="1">
      <c r="B1484" s="108">
        <v>12</v>
      </c>
      <c r="C1484" s="108" t="s">
        <v>58</v>
      </c>
      <c r="D1484" s="115" t="s">
        <v>4130</v>
      </c>
      <c r="E1484" s="115" t="s">
        <v>4167</v>
      </c>
      <c r="F1484" s="115" t="s">
        <v>4720</v>
      </c>
      <c r="G1484" s="115">
        <v>24</v>
      </c>
      <c r="H1484" s="71">
        <v>24</v>
      </c>
      <c r="I1484" s="109"/>
      <c r="J1484" s="110">
        <f t="shared" si="104"/>
        <v>1668.2400000000002</v>
      </c>
      <c r="K1484" s="111">
        <f t="shared" si="105"/>
        <v>0</v>
      </c>
      <c r="L1484" s="110"/>
      <c r="M1484" s="112"/>
    </row>
    <row r="1485" spans="2:13" s="52" customFormat="1" ht="19.5" hidden="1" customHeight="1">
      <c r="B1485" s="108">
        <v>12</v>
      </c>
      <c r="C1485" s="139" t="s">
        <v>58</v>
      </c>
      <c r="D1485" s="115" t="s">
        <v>4131</v>
      </c>
      <c r="E1485" s="115" t="s">
        <v>4168</v>
      </c>
      <c r="F1485" s="115" t="s">
        <v>4116</v>
      </c>
      <c r="G1485" s="115">
        <v>1</v>
      </c>
      <c r="H1485" s="71">
        <v>2</v>
      </c>
      <c r="I1485" s="109"/>
      <c r="J1485" s="110">
        <f t="shared" si="104"/>
        <v>180</v>
      </c>
      <c r="K1485" s="111">
        <f t="shared" si="105"/>
        <v>-1</v>
      </c>
      <c r="L1485" s="110"/>
      <c r="M1485" s="112"/>
    </row>
    <row r="1486" spans="2:13" s="52" customFormat="1" ht="19.5" hidden="1" customHeight="1">
      <c r="B1486" s="108">
        <v>12</v>
      </c>
      <c r="C1486" s="108" t="s">
        <v>58</v>
      </c>
      <c r="D1486" s="115" t="s">
        <v>4132</v>
      </c>
      <c r="E1486" s="115" t="s">
        <v>4169</v>
      </c>
      <c r="F1486" s="115" t="s">
        <v>4116</v>
      </c>
      <c r="G1486" s="115">
        <v>2</v>
      </c>
      <c r="H1486" s="71">
        <v>2</v>
      </c>
      <c r="I1486" s="109"/>
      <c r="J1486" s="110">
        <f t="shared" si="104"/>
        <v>180</v>
      </c>
      <c r="K1486" s="111">
        <f t="shared" si="105"/>
        <v>0</v>
      </c>
      <c r="L1486" s="110"/>
      <c r="M1486" s="112"/>
    </row>
    <row r="1487" spans="2:13" s="52" customFormat="1" ht="19.5" hidden="1" customHeight="1">
      <c r="B1487" s="108">
        <v>12</v>
      </c>
      <c r="C1487" s="139" t="s">
        <v>58</v>
      </c>
      <c r="D1487" s="115" t="s">
        <v>4133</v>
      </c>
      <c r="E1487" s="115" t="s">
        <v>4170</v>
      </c>
      <c r="F1487" s="115" t="s">
        <v>4721</v>
      </c>
      <c r="G1487" s="115">
        <v>2</v>
      </c>
      <c r="H1487" s="71">
        <v>2</v>
      </c>
      <c r="I1487" s="109"/>
      <c r="J1487" s="110">
        <f t="shared" si="104"/>
        <v>111.3</v>
      </c>
      <c r="K1487" s="111">
        <f t="shared" si="105"/>
        <v>0</v>
      </c>
      <c r="L1487" s="110"/>
      <c r="M1487" s="112"/>
    </row>
    <row r="1488" spans="2:13" s="52" customFormat="1" ht="19.5" hidden="1" customHeight="1">
      <c r="B1488" s="108">
        <v>12</v>
      </c>
      <c r="C1488" s="108" t="s">
        <v>58</v>
      </c>
      <c r="D1488" s="115" t="s">
        <v>4134</v>
      </c>
      <c r="E1488" s="115" t="s">
        <v>4171</v>
      </c>
      <c r="F1488" s="115" t="s">
        <v>4203</v>
      </c>
      <c r="G1488" s="115">
        <v>2</v>
      </c>
      <c r="H1488" s="71">
        <v>2</v>
      </c>
      <c r="I1488" s="109"/>
      <c r="J1488" s="110">
        <f t="shared" si="104"/>
        <v>109.12</v>
      </c>
      <c r="K1488" s="111">
        <f t="shared" si="105"/>
        <v>0</v>
      </c>
      <c r="L1488" s="110"/>
      <c r="M1488" s="112"/>
    </row>
    <row r="1489" spans="2:13" s="52" customFormat="1" ht="19.5" hidden="1" customHeight="1">
      <c r="B1489" s="108">
        <v>12</v>
      </c>
      <c r="C1489" s="139" t="s">
        <v>58</v>
      </c>
      <c r="D1489" s="115" t="s">
        <v>4135</v>
      </c>
      <c r="E1489" s="115" t="s">
        <v>4172</v>
      </c>
      <c r="F1489" s="115" t="s">
        <v>4204</v>
      </c>
      <c r="G1489" s="115">
        <v>5</v>
      </c>
      <c r="H1489" s="71">
        <v>5</v>
      </c>
      <c r="I1489" s="109"/>
      <c r="J1489" s="110">
        <f t="shared" si="104"/>
        <v>81.75</v>
      </c>
      <c r="K1489" s="111">
        <f t="shared" si="105"/>
        <v>0</v>
      </c>
      <c r="L1489" s="110"/>
      <c r="M1489" s="112"/>
    </row>
    <row r="1490" spans="2:13" s="52" customFormat="1" ht="19.5" customHeight="1">
      <c r="B1490" s="108">
        <v>12</v>
      </c>
      <c r="C1490" s="108" t="s">
        <v>58</v>
      </c>
      <c r="D1490" s="115" t="s">
        <v>4136</v>
      </c>
      <c r="E1490" s="115" t="s">
        <v>4173</v>
      </c>
      <c r="F1490" s="115" t="s">
        <v>4204</v>
      </c>
      <c r="G1490" s="115">
        <v>8</v>
      </c>
      <c r="H1490" s="71">
        <v>7</v>
      </c>
      <c r="I1490" s="109"/>
      <c r="J1490" s="110">
        <f t="shared" si="104"/>
        <v>114.45000000000002</v>
      </c>
      <c r="K1490" s="111">
        <f t="shared" si="105"/>
        <v>1</v>
      </c>
      <c r="L1490" s="110"/>
      <c r="M1490" s="112"/>
    </row>
    <row r="1491" spans="2:13" s="52" customFormat="1" ht="19.5" hidden="1" customHeight="1">
      <c r="B1491" s="108">
        <v>12</v>
      </c>
      <c r="C1491" s="139" t="s">
        <v>58</v>
      </c>
      <c r="D1491" s="115" t="s">
        <v>4725</v>
      </c>
      <c r="E1491" s="115" t="s">
        <v>4717</v>
      </c>
      <c r="F1491" s="115" t="s">
        <v>4722</v>
      </c>
      <c r="G1491" s="115">
        <v>1</v>
      </c>
      <c r="H1491" s="71">
        <v>1</v>
      </c>
      <c r="I1491" s="109"/>
      <c r="J1491" s="110">
        <f t="shared" si="104"/>
        <v>97.36</v>
      </c>
      <c r="K1491" s="111">
        <f t="shared" si="105"/>
        <v>0</v>
      </c>
      <c r="L1491" s="110"/>
      <c r="M1491" s="112"/>
    </row>
    <row r="1492" spans="2:13" s="52" customFormat="1" ht="19.5" hidden="1" customHeight="1">
      <c r="B1492" s="108">
        <v>12</v>
      </c>
      <c r="C1492" s="108" t="s">
        <v>58</v>
      </c>
      <c r="D1492" s="115" t="s">
        <v>4137</v>
      </c>
      <c r="E1492" s="115" t="s">
        <v>4174</v>
      </c>
      <c r="F1492" s="115" t="s">
        <v>4207</v>
      </c>
      <c r="G1492" s="115">
        <v>1</v>
      </c>
      <c r="H1492" s="71">
        <v>1</v>
      </c>
      <c r="I1492" s="109"/>
      <c r="J1492" s="110">
        <f t="shared" si="104"/>
        <v>140.9</v>
      </c>
      <c r="K1492" s="111">
        <f t="shared" si="105"/>
        <v>0</v>
      </c>
      <c r="L1492" s="110"/>
      <c r="M1492" s="112"/>
    </row>
    <row r="1493" spans="2:13" s="52" customFormat="1" ht="19.5" hidden="1" customHeight="1">
      <c r="B1493" s="108">
        <v>12</v>
      </c>
      <c r="C1493" s="139" t="s">
        <v>58</v>
      </c>
      <c r="D1493" s="115" t="s">
        <v>4137</v>
      </c>
      <c r="E1493" s="115" t="s">
        <v>4174</v>
      </c>
      <c r="F1493" s="115" t="s">
        <v>4206</v>
      </c>
      <c r="G1493" s="115">
        <v>1</v>
      </c>
      <c r="H1493" s="71">
        <v>1</v>
      </c>
      <c r="I1493" s="109"/>
      <c r="J1493" s="110">
        <f t="shared" si="104"/>
        <v>135.44999999999999</v>
      </c>
      <c r="K1493" s="111">
        <f t="shared" si="105"/>
        <v>0</v>
      </c>
      <c r="L1493" s="110"/>
      <c r="M1493" s="112"/>
    </row>
    <row r="1494" spans="2:13" s="52" customFormat="1" ht="19.5" hidden="1" customHeight="1">
      <c r="B1494" s="108">
        <v>12</v>
      </c>
      <c r="C1494" s="108" t="s">
        <v>58</v>
      </c>
      <c r="D1494" s="115" t="s">
        <v>4138</v>
      </c>
      <c r="E1494" s="115" t="s">
        <v>4175</v>
      </c>
      <c r="F1494" s="115" t="s">
        <v>1673</v>
      </c>
      <c r="G1494" s="115">
        <v>7</v>
      </c>
      <c r="H1494" s="71">
        <v>7</v>
      </c>
      <c r="I1494" s="109"/>
      <c r="J1494" s="110">
        <f t="shared" si="104"/>
        <v>127.39999999999999</v>
      </c>
      <c r="K1494" s="111">
        <f t="shared" si="105"/>
        <v>0</v>
      </c>
      <c r="L1494" s="110"/>
      <c r="M1494" s="112"/>
    </row>
    <row r="1495" spans="2:13" s="52" customFormat="1" ht="19.5" hidden="1" customHeight="1">
      <c r="B1495" s="108">
        <v>12</v>
      </c>
      <c r="C1495" s="139" t="s">
        <v>58</v>
      </c>
      <c r="D1495" s="115" t="s">
        <v>4139</v>
      </c>
      <c r="E1495" s="115" t="s">
        <v>4176</v>
      </c>
      <c r="F1495" s="115" t="s">
        <v>1673</v>
      </c>
      <c r="G1495" s="115">
        <v>49</v>
      </c>
      <c r="H1495" s="71">
        <f>11+18+24</f>
        <v>53</v>
      </c>
      <c r="I1495" s="109"/>
      <c r="J1495" s="110">
        <f t="shared" si="104"/>
        <v>964.59999999999991</v>
      </c>
      <c r="K1495" s="111">
        <f t="shared" si="105"/>
        <v>-4</v>
      </c>
      <c r="L1495" s="110"/>
      <c r="M1495" s="112"/>
    </row>
    <row r="1496" spans="2:13" s="52" customFormat="1" ht="19.5" customHeight="1">
      <c r="B1496" s="108">
        <v>12</v>
      </c>
      <c r="C1496" s="108" t="s">
        <v>58</v>
      </c>
      <c r="D1496" s="115" t="s">
        <v>4140</v>
      </c>
      <c r="E1496" s="115" t="s">
        <v>4177</v>
      </c>
      <c r="F1496" s="115" t="s">
        <v>4723</v>
      </c>
      <c r="G1496" s="115">
        <v>64</v>
      </c>
      <c r="H1496" s="71">
        <f>24+6+24</f>
        <v>54</v>
      </c>
      <c r="I1496" s="109"/>
      <c r="J1496" s="110">
        <f t="shared" si="104"/>
        <v>1101.5999999999999</v>
      </c>
      <c r="K1496" s="111">
        <f t="shared" si="105"/>
        <v>10</v>
      </c>
      <c r="L1496" s="110"/>
      <c r="M1496" s="112"/>
    </row>
    <row r="1497" spans="2:13" s="52" customFormat="1" ht="19.5" hidden="1" customHeight="1">
      <c r="B1497" s="108">
        <v>12</v>
      </c>
      <c r="C1497" s="108" t="s">
        <v>58</v>
      </c>
      <c r="D1497" s="115" t="s">
        <v>4141</v>
      </c>
      <c r="E1497" s="115" t="s">
        <v>4178</v>
      </c>
      <c r="F1497" s="115" t="s">
        <v>4208</v>
      </c>
      <c r="G1497" s="115">
        <v>25</v>
      </c>
      <c r="H1497" s="71">
        <f>19+2+18</f>
        <v>39</v>
      </c>
      <c r="I1497" s="109"/>
      <c r="J1497" s="110">
        <f t="shared" si="104"/>
        <v>1064.7</v>
      </c>
      <c r="K1497" s="111">
        <f t="shared" si="105"/>
        <v>-14</v>
      </c>
      <c r="L1497" s="110"/>
      <c r="M1497" s="112"/>
    </row>
    <row r="1498" spans="2:13" s="52" customFormat="1" ht="19.5" customHeight="1">
      <c r="B1498" s="108">
        <v>12</v>
      </c>
      <c r="C1498" s="108" t="s">
        <v>58</v>
      </c>
      <c r="D1498" s="115" t="s">
        <v>4142</v>
      </c>
      <c r="E1498" s="115" t="s">
        <v>4179</v>
      </c>
      <c r="F1498" s="115" t="s">
        <v>4208</v>
      </c>
      <c r="G1498" s="115">
        <v>1</v>
      </c>
      <c r="H1498" s="71"/>
      <c r="I1498" s="109"/>
      <c r="J1498" s="110">
        <f t="shared" si="104"/>
        <v>0</v>
      </c>
      <c r="K1498" s="111">
        <f t="shared" si="105"/>
        <v>1</v>
      </c>
      <c r="L1498" s="110"/>
      <c r="M1498" s="112"/>
    </row>
    <row r="1499" spans="2:13" s="52" customFormat="1" ht="19.5" customHeight="1">
      <c r="B1499" s="108">
        <v>12</v>
      </c>
      <c r="C1499" s="139" t="s">
        <v>58</v>
      </c>
      <c r="D1499" s="115" t="s">
        <v>4143</v>
      </c>
      <c r="E1499" s="115" t="s">
        <v>4180</v>
      </c>
      <c r="F1499" s="115" t="s">
        <v>4208</v>
      </c>
      <c r="G1499" s="115">
        <v>18</v>
      </c>
      <c r="H1499" s="71">
        <v>15</v>
      </c>
      <c r="I1499" s="109"/>
      <c r="J1499" s="110">
        <f t="shared" si="104"/>
        <v>409.5</v>
      </c>
      <c r="K1499" s="111">
        <f t="shared" si="105"/>
        <v>3</v>
      </c>
      <c r="L1499" s="110"/>
      <c r="M1499" s="112"/>
    </row>
    <row r="1500" spans="2:13" s="52" customFormat="1" ht="19.5" hidden="1" customHeight="1">
      <c r="B1500" s="108">
        <v>12</v>
      </c>
      <c r="C1500" s="108" t="s">
        <v>58</v>
      </c>
      <c r="D1500" s="115" t="s">
        <v>4144</v>
      </c>
      <c r="E1500" s="115" t="s">
        <v>4181</v>
      </c>
      <c r="F1500" s="115" t="s">
        <v>1673</v>
      </c>
      <c r="G1500" s="115">
        <v>40</v>
      </c>
      <c r="H1500" s="71">
        <f>24+16</f>
        <v>40</v>
      </c>
      <c r="I1500" s="109"/>
      <c r="J1500" s="110">
        <f t="shared" si="104"/>
        <v>728</v>
      </c>
      <c r="K1500" s="111">
        <f t="shared" si="105"/>
        <v>0</v>
      </c>
      <c r="L1500" s="110"/>
      <c r="M1500" s="112"/>
    </row>
    <row r="1501" spans="2:13" s="52" customFormat="1" ht="19.5" customHeight="1">
      <c r="B1501" s="108">
        <v>12</v>
      </c>
      <c r="C1501" s="139" t="s">
        <v>58</v>
      </c>
      <c r="D1501" s="115" t="s">
        <v>4145</v>
      </c>
      <c r="E1501" s="115" t="s">
        <v>4182</v>
      </c>
      <c r="F1501" s="115" t="s">
        <v>4206</v>
      </c>
      <c r="G1501" s="115">
        <v>4</v>
      </c>
      <c r="H1501" s="71">
        <v>1</v>
      </c>
      <c r="I1501" s="109"/>
      <c r="J1501" s="110">
        <f t="shared" si="104"/>
        <v>135.44999999999999</v>
      </c>
      <c r="K1501" s="111">
        <f t="shared" si="105"/>
        <v>3</v>
      </c>
      <c r="L1501" s="110"/>
      <c r="M1501" s="112"/>
    </row>
    <row r="1502" spans="2:13" s="52" customFormat="1" ht="19.5" hidden="1" customHeight="1">
      <c r="B1502" s="108">
        <v>12</v>
      </c>
      <c r="C1502" s="108" t="s">
        <v>58</v>
      </c>
      <c r="D1502" s="115" t="s">
        <v>4146</v>
      </c>
      <c r="E1502" s="115" t="s">
        <v>4183</v>
      </c>
      <c r="F1502" s="115" t="s">
        <v>1673</v>
      </c>
      <c r="G1502" s="115">
        <v>13</v>
      </c>
      <c r="H1502" s="71">
        <v>13</v>
      </c>
      <c r="I1502" s="109"/>
      <c r="J1502" s="110">
        <f t="shared" si="104"/>
        <v>236.6</v>
      </c>
      <c r="K1502" s="111">
        <f t="shared" si="105"/>
        <v>0</v>
      </c>
      <c r="L1502" s="110"/>
      <c r="M1502" s="112"/>
    </row>
    <row r="1503" spans="2:13" s="52" customFormat="1" ht="19.5" customHeight="1">
      <c r="B1503" s="108">
        <v>12</v>
      </c>
      <c r="C1503" s="139" t="s">
        <v>58</v>
      </c>
      <c r="D1503" s="115" t="s">
        <v>4147</v>
      </c>
      <c r="E1503" s="115" t="s">
        <v>4184</v>
      </c>
      <c r="F1503" s="115" t="s">
        <v>4205</v>
      </c>
      <c r="G1503" s="115">
        <v>1</v>
      </c>
      <c r="H1503" s="71"/>
      <c r="I1503" s="109"/>
      <c r="J1503" s="110">
        <f t="shared" si="104"/>
        <v>0</v>
      </c>
      <c r="K1503" s="111">
        <f t="shared" si="105"/>
        <v>1</v>
      </c>
      <c r="L1503" s="110"/>
      <c r="M1503" s="112"/>
    </row>
    <row r="1504" spans="2:13" s="52" customFormat="1" ht="19.5" hidden="1" customHeight="1">
      <c r="B1504" s="108">
        <v>12</v>
      </c>
      <c r="C1504" s="108" t="s">
        <v>58</v>
      </c>
      <c r="D1504" s="115" t="s">
        <v>4148</v>
      </c>
      <c r="E1504" s="115" t="s">
        <v>4185</v>
      </c>
      <c r="F1504" s="115" t="s">
        <v>4209</v>
      </c>
      <c r="G1504" s="115">
        <v>8</v>
      </c>
      <c r="H1504" s="71">
        <v>13</v>
      </c>
      <c r="I1504" s="109"/>
      <c r="J1504" s="110">
        <f t="shared" si="104"/>
        <v>295.09999999999997</v>
      </c>
      <c r="K1504" s="111">
        <f t="shared" si="105"/>
        <v>-5</v>
      </c>
      <c r="L1504" s="110"/>
      <c r="M1504" s="112"/>
    </row>
    <row r="1505" spans="2:13" s="52" customFormat="1" ht="19.5" customHeight="1">
      <c r="B1505" s="108">
        <v>12</v>
      </c>
      <c r="C1505" s="139" t="s">
        <v>58</v>
      </c>
      <c r="D1505" s="115" t="s">
        <v>4149</v>
      </c>
      <c r="E1505" s="115" t="s">
        <v>4186</v>
      </c>
      <c r="F1505" s="115" t="s">
        <v>4724</v>
      </c>
      <c r="G1505" s="115">
        <v>2</v>
      </c>
      <c r="H1505" s="71">
        <v>1</v>
      </c>
      <c r="I1505" s="109"/>
      <c r="J1505" s="110">
        <f t="shared" si="104"/>
        <v>115.88</v>
      </c>
      <c r="K1505" s="111">
        <f t="shared" si="105"/>
        <v>1</v>
      </c>
      <c r="L1505" s="110"/>
      <c r="M1505" s="112"/>
    </row>
    <row r="1506" spans="2:13" s="52" customFormat="1" ht="19.5" hidden="1" customHeight="1">
      <c r="B1506" s="108">
        <v>12</v>
      </c>
      <c r="C1506" s="108" t="s">
        <v>58</v>
      </c>
      <c r="D1506" s="115" t="s">
        <v>4150</v>
      </c>
      <c r="E1506" s="115" t="s">
        <v>4187</v>
      </c>
      <c r="F1506" s="115" t="s">
        <v>1646</v>
      </c>
      <c r="G1506" s="115">
        <v>1</v>
      </c>
      <c r="H1506" s="71">
        <v>1</v>
      </c>
      <c r="I1506" s="109"/>
      <c r="J1506" s="110">
        <f t="shared" si="104"/>
        <v>250</v>
      </c>
      <c r="K1506" s="111">
        <f t="shared" si="105"/>
        <v>0</v>
      </c>
      <c r="L1506" s="110"/>
      <c r="M1506" s="112"/>
    </row>
    <row r="1507" spans="2:13" s="52" customFormat="1" ht="19.5" customHeight="1">
      <c r="B1507" s="108">
        <v>12</v>
      </c>
      <c r="C1507" s="139" t="s">
        <v>58</v>
      </c>
      <c r="D1507" s="115" t="s">
        <v>4726</v>
      </c>
      <c r="E1507" s="115" t="s">
        <v>4718</v>
      </c>
      <c r="F1507" s="115" t="s">
        <v>4724</v>
      </c>
      <c r="G1507" s="115">
        <v>2</v>
      </c>
      <c r="H1507" s="71">
        <v>1</v>
      </c>
      <c r="I1507" s="109"/>
      <c r="J1507" s="110">
        <f t="shared" si="104"/>
        <v>115.88</v>
      </c>
      <c r="K1507" s="111">
        <f t="shared" si="105"/>
        <v>1</v>
      </c>
      <c r="L1507" s="110"/>
      <c r="M1507" s="112"/>
    </row>
    <row r="1508" spans="2:13" s="52" customFormat="1" ht="19.5" customHeight="1">
      <c r="B1508" s="108">
        <v>12</v>
      </c>
      <c r="C1508" s="108" t="s">
        <v>58</v>
      </c>
      <c r="D1508" s="115" t="s">
        <v>4151</v>
      </c>
      <c r="E1508" s="115" t="s">
        <v>4188</v>
      </c>
      <c r="F1508" s="115" t="s">
        <v>4211</v>
      </c>
      <c r="G1508" s="115">
        <v>1</v>
      </c>
      <c r="H1508" s="71"/>
      <c r="I1508" s="109"/>
      <c r="J1508" s="110">
        <f t="shared" si="104"/>
        <v>0</v>
      </c>
      <c r="K1508" s="111">
        <f t="shared" si="105"/>
        <v>1</v>
      </c>
      <c r="L1508" s="110"/>
      <c r="M1508" s="112"/>
    </row>
    <row r="1509" spans="2:13" s="52" customFormat="1" ht="19.5" customHeight="1">
      <c r="B1509" s="108">
        <v>12</v>
      </c>
      <c r="C1509" s="139" t="s">
        <v>58</v>
      </c>
      <c r="D1509" s="115" t="s">
        <v>4152</v>
      </c>
      <c r="E1509" s="115" t="s">
        <v>4189</v>
      </c>
      <c r="F1509" s="115" t="s">
        <v>4211</v>
      </c>
      <c r="G1509" s="115">
        <v>1</v>
      </c>
      <c r="H1509" s="71"/>
      <c r="I1509" s="109"/>
      <c r="J1509" s="110">
        <f t="shared" si="104"/>
        <v>0</v>
      </c>
      <c r="K1509" s="111">
        <f t="shared" si="105"/>
        <v>1</v>
      </c>
      <c r="L1509" s="110"/>
      <c r="M1509" s="112"/>
    </row>
    <row r="1510" spans="2:13" s="52" customFormat="1" ht="19.5" customHeight="1">
      <c r="B1510" s="108">
        <v>12</v>
      </c>
      <c r="C1510" s="108" t="s">
        <v>58</v>
      </c>
      <c r="D1510" s="115" t="s">
        <v>4153</v>
      </c>
      <c r="E1510" s="115" t="s">
        <v>4190</v>
      </c>
      <c r="F1510" s="115" t="s">
        <v>4211</v>
      </c>
      <c r="G1510" s="115">
        <v>1</v>
      </c>
      <c r="H1510" s="71"/>
      <c r="I1510" s="109"/>
      <c r="J1510" s="110">
        <f t="shared" si="104"/>
        <v>0</v>
      </c>
      <c r="K1510" s="111">
        <f t="shared" si="105"/>
        <v>1</v>
      </c>
      <c r="L1510" s="110"/>
      <c r="M1510" s="112"/>
    </row>
    <row r="1511" spans="2:13" s="52" customFormat="1" ht="19.5" customHeight="1">
      <c r="B1511" s="108">
        <v>12</v>
      </c>
      <c r="C1511" s="139" t="s">
        <v>58</v>
      </c>
      <c r="D1511" s="115" t="s">
        <v>4154</v>
      </c>
      <c r="E1511" s="115" t="s">
        <v>4191</v>
      </c>
      <c r="F1511" s="115" t="s">
        <v>4210</v>
      </c>
      <c r="G1511" s="115">
        <v>1</v>
      </c>
      <c r="H1511" s="71"/>
      <c r="I1511" s="109"/>
      <c r="J1511" s="110">
        <f t="shared" si="104"/>
        <v>0</v>
      </c>
      <c r="K1511" s="111">
        <f t="shared" si="105"/>
        <v>1</v>
      </c>
      <c r="L1511" s="110"/>
      <c r="M1511" s="112"/>
    </row>
    <row r="1512" spans="2:13" s="52" customFormat="1" ht="19.5" customHeight="1">
      <c r="B1512" s="108">
        <v>12</v>
      </c>
      <c r="C1512" s="108" t="s">
        <v>58</v>
      </c>
      <c r="D1512" s="115" t="s">
        <v>4155</v>
      </c>
      <c r="E1512" s="115" t="s">
        <v>4192</v>
      </c>
      <c r="F1512" s="115" t="s">
        <v>1646</v>
      </c>
      <c r="G1512" s="115">
        <v>1</v>
      </c>
      <c r="H1512" s="71"/>
      <c r="I1512" s="109">
        <f t="shared" si="103"/>
        <v>250</v>
      </c>
      <c r="J1512" s="110">
        <f t="shared" si="104"/>
        <v>0</v>
      </c>
      <c r="K1512" s="111">
        <f t="shared" si="105"/>
        <v>1</v>
      </c>
      <c r="L1512" s="110">
        <f t="shared" si="106"/>
        <v>250</v>
      </c>
      <c r="M1512" s="112"/>
    </row>
    <row r="1513" spans="2:13" s="52" customFormat="1" ht="19.5" customHeight="1">
      <c r="B1513" s="108">
        <v>12</v>
      </c>
      <c r="C1513" s="139" t="s">
        <v>58</v>
      </c>
      <c r="D1513" s="115" t="s">
        <v>4156</v>
      </c>
      <c r="E1513" s="115" t="s">
        <v>4193</v>
      </c>
      <c r="F1513" s="115" t="s">
        <v>4212</v>
      </c>
      <c r="G1513" s="115">
        <v>1</v>
      </c>
      <c r="H1513" s="71"/>
      <c r="I1513" s="109">
        <f t="shared" si="103"/>
        <v>227.51</v>
      </c>
      <c r="J1513" s="110">
        <f t="shared" si="104"/>
        <v>0</v>
      </c>
      <c r="K1513" s="111">
        <f t="shared" si="105"/>
        <v>1</v>
      </c>
      <c r="L1513" s="110">
        <f t="shared" si="106"/>
        <v>227.51</v>
      </c>
      <c r="M1513" s="112"/>
    </row>
    <row r="1514" spans="2:13" s="52" customFormat="1" ht="19.5" customHeight="1">
      <c r="B1514" s="108">
        <v>12</v>
      </c>
      <c r="C1514" s="108" t="s">
        <v>58</v>
      </c>
      <c r="D1514" s="115" t="s">
        <v>4156</v>
      </c>
      <c r="E1514" s="115" t="s">
        <v>4193</v>
      </c>
      <c r="F1514" s="115" t="s">
        <v>4213</v>
      </c>
      <c r="G1514" s="115">
        <v>1</v>
      </c>
      <c r="H1514" s="71"/>
      <c r="I1514" s="109">
        <f t="shared" si="103"/>
        <v>231.8</v>
      </c>
      <c r="J1514" s="110">
        <f t="shared" si="104"/>
        <v>0</v>
      </c>
      <c r="K1514" s="111">
        <f t="shared" si="105"/>
        <v>1</v>
      </c>
      <c r="L1514" s="110">
        <f t="shared" si="106"/>
        <v>231.8</v>
      </c>
      <c r="M1514" s="112"/>
    </row>
    <row r="1515" spans="2:13" s="52" customFormat="1" ht="19.5" hidden="1" customHeight="1">
      <c r="B1515" s="108">
        <v>12</v>
      </c>
      <c r="C1515" s="139" t="s">
        <v>58</v>
      </c>
      <c r="D1515" s="115" t="s">
        <v>4157</v>
      </c>
      <c r="E1515" s="115" t="s">
        <v>4194</v>
      </c>
      <c r="F1515" s="115" t="s">
        <v>4206</v>
      </c>
      <c r="G1515" s="115">
        <v>1</v>
      </c>
      <c r="H1515" s="71">
        <v>1</v>
      </c>
      <c r="I1515" s="109">
        <f t="shared" ref="I1515:I1577" si="109">F1515*G1515</f>
        <v>135.44999999999999</v>
      </c>
      <c r="J1515" s="110">
        <f t="shared" si="104"/>
        <v>135.44999999999999</v>
      </c>
      <c r="K1515" s="111">
        <f t="shared" si="105"/>
        <v>0</v>
      </c>
      <c r="L1515" s="110">
        <f t="shared" si="106"/>
        <v>0</v>
      </c>
      <c r="M1515" s="112"/>
    </row>
    <row r="1516" spans="2:13" s="52" customFormat="1" ht="19.5" customHeight="1">
      <c r="B1516" s="108">
        <v>12</v>
      </c>
      <c r="C1516" s="108" t="s">
        <v>58</v>
      </c>
      <c r="D1516" s="115" t="s">
        <v>4157</v>
      </c>
      <c r="E1516" s="115" t="s">
        <v>4194</v>
      </c>
      <c r="F1516" s="115" t="s">
        <v>4207</v>
      </c>
      <c r="G1516" s="115">
        <v>2</v>
      </c>
      <c r="H1516" s="71"/>
      <c r="I1516" s="109">
        <f t="shared" si="109"/>
        <v>281.8</v>
      </c>
      <c r="J1516" s="110">
        <f t="shared" si="104"/>
        <v>0</v>
      </c>
      <c r="K1516" s="111">
        <f t="shared" si="105"/>
        <v>2</v>
      </c>
      <c r="L1516" s="110">
        <f t="shared" si="106"/>
        <v>281.8</v>
      </c>
      <c r="M1516" s="112"/>
    </row>
    <row r="1517" spans="2:13" s="52" customFormat="1" ht="19.5" hidden="1" customHeight="1">
      <c r="B1517" s="108">
        <v>12</v>
      </c>
      <c r="C1517" s="139" t="s">
        <v>58</v>
      </c>
      <c r="D1517" s="115" t="s">
        <v>4158</v>
      </c>
      <c r="E1517" s="115" t="s">
        <v>4195</v>
      </c>
      <c r="F1517" s="115" t="s">
        <v>4207</v>
      </c>
      <c r="G1517" s="115">
        <v>1</v>
      </c>
      <c r="H1517" s="71">
        <v>1</v>
      </c>
      <c r="I1517" s="109">
        <f t="shared" si="109"/>
        <v>140.9</v>
      </c>
      <c r="J1517" s="110">
        <f t="shared" si="104"/>
        <v>140.9</v>
      </c>
      <c r="K1517" s="111">
        <f t="shared" si="105"/>
        <v>0</v>
      </c>
      <c r="L1517" s="110">
        <f t="shared" si="106"/>
        <v>0</v>
      </c>
      <c r="M1517" s="112"/>
    </row>
    <row r="1518" spans="2:13" s="52" customFormat="1" ht="19.5" customHeight="1">
      <c r="B1518" s="108">
        <v>12</v>
      </c>
      <c r="C1518" s="108" t="s">
        <v>58</v>
      </c>
      <c r="D1518" s="115" t="s">
        <v>4159</v>
      </c>
      <c r="E1518" s="115" t="s">
        <v>4196</v>
      </c>
      <c r="F1518" s="115" t="s">
        <v>1646</v>
      </c>
      <c r="G1518" s="115">
        <v>2</v>
      </c>
      <c r="H1518" s="71">
        <v>1</v>
      </c>
      <c r="I1518" s="109">
        <f t="shared" si="109"/>
        <v>500</v>
      </c>
      <c r="J1518" s="110">
        <f t="shared" si="104"/>
        <v>250</v>
      </c>
      <c r="K1518" s="111">
        <f t="shared" si="105"/>
        <v>1</v>
      </c>
      <c r="L1518" s="110">
        <f t="shared" si="106"/>
        <v>250</v>
      </c>
      <c r="M1518" s="112"/>
    </row>
    <row r="1519" spans="2:13" s="52" customFormat="1" ht="19.5" hidden="1" customHeight="1">
      <c r="B1519" s="108">
        <v>12</v>
      </c>
      <c r="C1519" s="139" t="s">
        <v>58</v>
      </c>
      <c r="D1519" s="115" t="s">
        <v>4160</v>
      </c>
      <c r="E1519" s="115" t="s">
        <v>4197</v>
      </c>
      <c r="F1519" s="115" t="s">
        <v>4212</v>
      </c>
      <c r="G1519" s="115">
        <v>1</v>
      </c>
      <c r="H1519" s="71">
        <v>1</v>
      </c>
      <c r="I1519" s="109">
        <f t="shared" si="109"/>
        <v>227.51</v>
      </c>
      <c r="J1519" s="110">
        <f t="shared" si="104"/>
        <v>227.51</v>
      </c>
      <c r="K1519" s="111">
        <f t="shared" si="105"/>
        <v>0</v>
      </c>
      <c r="L1519" s="110">
        <f t="shared" si="106"/>
        <v>0</v>
      </c>
      <c r="M1519" s="112"/>
    </row>
    <row r="1520" spans="2:13" s="52" customFormat="1" ht="19.5" hidden="1" customHeight="1">
      <c r="B1520" s="108">
        <v>12</v>
      </c>
      <c r="C1520" s="108" t="s">
        <v>58</v>
      </c>
      <c r="D1520" s="115" t="s">
        <v>4160</v>
      </c>
      <c r="E1520" s="115" t="s">
        <v>4197</v>
      </c>
      <c r="F1520" s="115" t="s">
        <v>4213</v>
      </c>
      <c r="G1520" s="115">
        <v>1</v>
      </c>
      <c r="H1520" s="71">
        <v>1</v>
      </c>
      <c r="I1520" s="109">
        <f t="shared" si="109"/>
        <v>231.8</v>
      </c>
      <c r="J1520" s="110">
        <f t="shared" si="104"/>
        <v>231.8</v>
      </c>
      <c r="K1520" s="111">
        <f t="shared" si="105"/>
        <v>0</v>
      </c>
      <c r="L1520" s="110">
        <f t="shared" si="106"/>
        <v>0</v>
      </c>
      <c r="M1520" s="112"/>
    </row>
    <row r="1521" spans="2:13" s="52" customFormat="1" ht="19.5" hidden="1" customHeight="1">
      <c r="B1521" s="108">
        <v>12</v>
      </c>
      <c r="C1521" s="139" t="s">
        <v>58</v>
      </c>
      <c r="D1521" s="115" t="s">
        <v>4161</v>
      </c>
      <c r="E1521" s="115" t="s">
        <v>4198</v>
      </c>
      <c r="F1521" s="115" t="s">
        <v>4207</v>
      </c>
      <c r="G1521" s="115">
        <v>1</v>
      </c>
      <c r="H1521" s="71">
        <v>1</v>
      </c>
      <c r="I1521" s="109">
        <f t="shared" si="109"/>
        <v>140.9</v>
      </c>
      <c r="J1521" s="110">
        <f t="shared" si="104"/>
        <v>140.9</v>
      </c>
      <c r="K1521" s="111">
        <f t="shared" si="105"/>
        <v>0</v>
      </c>
      <c r="L1521" s="110">
        <f t="shared" si="106"/>
        <v>0</v>
      </c>
      <c r="M1521" s="112"/>
    </row>
    <row r="1522" spans="2:13" s="52" customFormat="1" ht="19.5" hidden="1" customHeight="1">
      <c r="B1522" s="108">
        <v>12</v>
      </c>
      <c r="C1522" s="108" t="s">
        <v>58</v>
      </c>
      <c r="D1522" s="115" t="s">
        <v>4162</v>
      </c>
      <c r="E1522" s="115" t="s">
        <v>4199</v>
      </c>
      <c r="F1522" s="115" t="s">
        <v>4206</v>
      </c>
      <c r="G1522" s="115">
        <v>3</v>
      </c>
      <c r="H1522" s="71">
        <v>3</v>
      </c>
      <c r="I1522" s="109">
        <f t="shared" si="109"/>
        <v>406.34999999999997</v>
      </c>
      <c r="J1522" s="110">
        <f t="shared" si="104"/>
        <v>406.34999999999997</v>
      </c>
      <c r="K1522" s="111">
        <f t="shared" si="105"/>
        <v>0</v>
      </c>
      <c r="L1522" s="110">
        <f t="shared" si="106"/>
        <v>0</v>
      </c>
      <c r="M1522" s="112"/>
    </row>
    <row r="1523" spans="2:13" s="52" customFormat="1" ht="19.5" hidden="1" customHeight="1">
      <c r="B1523" s="108">
        <v>12</v>
      </c>
      <c r="C1523" s="139" t="s">
        <v>58</v>
      </c>
      <c r="D1523" s="115" t="s">
        <v>4727</v>
      </c>
      <c r="E1523" s="115" t="s">
        <v>4719</v>
      </c>
      <c r="F1523" s="115" t="s">
        <v>3725</v>
      </c>
      <c r="G1523" s="115">
        <v>12</v>
      </c>
      <c r="H1523" s="71">
        <v>16</v>
      </c>
      <c r="I1523" s="109">
        <f t="shared" si="109"/>
        <v>277.79999999999995</v>
      </c>
      <c r="J1523" s="110">
        <f t="shared" si="104"/>
        <v>370.4</v>
      </c>
      <c r="K1523" s="111">
        <f t="shared" si="105"/>
        <v>-4</v>
      </c>
      <c r="L1523" s="110">
        <f t="shared" si="106"/>
        <v>-92.600000000000023</v>
      </c>
      <c r="M1523" s="112"/>
    </row>
    <row r="1524" spans="2:13" s="52" customFormat="1" ht="19.5" hidden="1" customHeight="1">
      <c r="B1524" s="108">
        <v>12</v>
      </c>
      <c r="C1524" s="108" t="s">
        <v>58</v>
      </c>
      <c r="D1524" s="115" t="s">
        <v>4163</v>
      </c>
      <c r="E1524" s="115" t="s">
        <v>4200</v>
      </c>
      <c r="F1524" s="115" t="s">
        <v>3078</v>
      </c>
      <c r="G1524" s="115">
        <v>7</v>
      </c>
      <c r="H1524" s="71">
        <v>9</v>
      </c>
      <c r="I1524" s="109">
        <f t="shared" si="109"/>
        <v>159.25</v>
      </c>
      <c r="J1524" s="110">
        <f t="shared" si="104"/>
        <v>204.75</v>
      </c>
      <c r="K1524" s="111">
        <f t="shared" si="105"/>
        <v>-2</v>
      </c>
      <c r="L1524" s="110">
        <f t="shared" si="106"/>
        <v>-45.5</v>
      </c>
      <c r="M1524" s="112"/>
    </row>
    <row r="1525" spans="2:13" s="52" customFormat="1" ht="19.5" customHeight="1">
      <c r="B1525" s="108">
        <v>13</v>
      </c>
      <c r="C1525" s="139" t="s">
        <v>59</v>
      </c>
      <c r="D1525" s="115" t="s">
        <v>4214</v>
      </c>
      <c r="E1525" s="115" t="s">
        <v>4280</v>
      </c>
      <c r="F1525" s="115" t="s">
        <v>3109</v>
      </c>
      <c r="G1525" s="115">
        <v>42</v>
      </c>
      <c r="H1525" s="71">
        <v>40</v>
      </c>
      <c r="I1525" s="109">
        <f t="shared" si="109"/>
        <v>2089.5</v>
      </c>
      <c r="J1525" s="110">
        <f t="shared" si="104"/>
        <v>1990</v>
      </c>
      <c r="K1525" s="111">
        <f t="shared" si="105"/>
        <v>2</v>
      </c>
      <c r="L1525" s="110">
        <f t="shared" si="106"/>
        <v>99.5</v>
      </c>
      <c r="M1525" s="112"/>
    </row>
    <row r="1526" spans="2:13" s="52" customFormat="1" ht="19.5" customHeight="1">
      <c r="B1526" s="108">
        <v>13</v>
      </c>
      <c r="C1526" s="108" t="s">
        <v>59</v>
      </c>
      <c r="D1526" s="115" t="s">
        <v>4215</v>
      </c>
      <c r="E1526" s="115" t="s">
        <v>4281</v>
      </c>
      <c r="F1526" s="115" t="s">
        <v>1235</v>
      </c>
      <c r="G1526" s="115">
        <v>143</v>
      </c>
      <c r="H1526" s="71">
        <v>120</v>
      </c>
      <c r="I1526" s="109">
        <f t="shared" si="109"/>
        <v>1751.75</v>
      </c>
      <c r="J1526" s="110">
        <f t="shared" si="104"/>
        <v>1470</v>
      </c>
      <c r="K1526" s="111">
        <f t="shared" si="105"/>
        <v>23</v>
      </c>
      <c r="L1526" s="110">
        <f t="shared" si="106"/>
        <v>281.75</v>
      </c>
      <c r="M1526" s="112"/>
    </row>
    <row r="1527" spans="2:13" s="52" customFormat="1" ht="19.5" customHeight="1">
      <c r="B1527" s="108">
        <v>13</v>
      </c>
      <c r="C1527" s="108" t="s">
        <v>59</v>
      </c>
      <c r="D1527" s="115" t="s">
        <v>4216</v>
      </c>
      <c r="E1527" s="115" t="s">
        <v>4282</v>
      </c>
      <c r="F1527" s="115" t="s">
        <v>4345</v>
      </c>
      <c r="G1527" s="115">
        <v>2</v>
      </c>
      <c r="H1527" s="71"/>
      <c r="I1527" s="109">
        <f t="shared" si="109"/>
        <v>124</v>
      </c>
      <c r="J1527" s="110">
        <f t="shared" si="104"/>
        <v>0</v>
      </c>
      <c r="K1527" s="111">
        <f t="shared" si="105"/>
        <v>2</v>
      </c>
      <c r="L1527" s="110">
        <f t="shared" si="106"/>
        <v>124</v>
      </c>
      <c r="M1527" s="112"/>
    </row>
    <row r="1528" spans="2:13" s="52" customFormat="1" ht="19.5" customHeight="1">
      <c r="B1528" s="108">
        <v>13</v>
      </c>
      <c r="C1528" s="139" t="s">
        <v>59</v>
      </c>
      <c r="D1528" s="115" t="s">
        <v>4217</v>
      </c>
      <c r="E1528" s="115" t="s">
        <v>4283</v>
      </c>
      <c r="F1528" s="115" t="s">
        <v>1436</v>
      </c>
      <c r="G1528" s="115">
        <v>64</v>
      </c>
      <c r="H1528" s="71"/>
      <c r="I1528" s="109">
        <f t="shared" si="109"/>
        <v>2368</v>
      </c>
      <c r="J1528" s="110">
        <f t="shared" si="104"/>
        <v>0</v>
      </c>
      <c r="K1528" s="111">
        <f t="shared" si="105"/>
        <v>64</v>
      </c>
      <c r="L1528" s="110">
        <f t="shared" si="106"/>
        <v>2368</v>
      </c>
      <c r="M1528" s="112"/>
    </row>
    <row r="1529" spans="2:13" s="52" customFormat="1" ht="19.5" customHeight="1">
      <c r="B1529" s="108">
        <v>13</v>
      </c>
      <c r="C1529" s="108" t="s">
        <v>59</v>
      </c>
      <c r="D1529" s="115" t="s">
        <v>4218</v>
      </c>
      <c r="E1529" s="115" t="s">
        <v>4284</v>
      </c>
      <c r="F1529" s="115" t="s">
        <v>4347</v>
      </c>
      <c r="G1529" s="115">
        <v>24</v>
      </c>
      <c r="H1529" s="71">
        <f>16+7</f>
        <v>23</v>
      </c>
      <c r="I1529" s="109">
        <f t="shared" si="109"/>
        <v>761.04</v>
      </c>
      <c r="J1529" s="110">
        <f t="shared" si="104"/>
        <v>729.33</v>
      </c>
      <c r="K1529" s="111">
        <f t="shared" si="105"/>
        <v>1</v>
      </c>
      <c r="L1529" s="110">
        <f t="shared" si="106"/>
        <v>31.709999999999923</v>
      </c>
      <c r="M1529" s="112"/>
    </row>
    <row r="1530" spans="2:13" s="52" customFormat="1" ht="19.5" hidden="1" customHeight="1">
      <c r="B1530" s="108">
        <v>13</v>
      </c>
      <c r="C1530" s="108" t="s">
        <v>59</v>
      </c>
      <c r="D1530" s="115" t="s">
        <v>4219</v>
      </c>
      <c r="E1530" s="115" t="s">
        <v>4285</v>
      </c>
      <c r="F1530" s="115" t="s">
        <v>4348</v>
      </c>
      <c r="G1530" s="115">
        <v>4</v>
      </c>
      <c r="H1530" s="71">
        <v>4</v>
      </c>
      <c r="I1530" s="109">
        <f t="shared" si="109"/>
        <v>234.32</v>
      </c>
      <c r="J1530" s="110">
        <f t="shared" si="104"/>
        <v>234.32</v>
      </c>
      <c r="K1530" s="111">
        <f t="shared" si="105"/>
        <v>0</v>
      </c>
      <c r="L1530" s="110">
        <f t="shared" si="106"/>
        <v>0</v>
      </c>
      <c r="M1530" s="112"/>
    </row>
    <row r="1531" spans="2:13" s="52" customFormat="1" ht="19.5" customHeight="1">
      <c r="B1531" s="108">
        <v>13</v>
      </c>
      <c r="C1531" s="139" t="s">
        <v>59</v>
      </c>
      <c r="D1531" s="115" t="s">
        <v>4220</v>
      </c>
      <c r="E1531" s="115" t="s">
        <v>4286</v>
      </c>
      <c r="F1531" s="115" t="s">
        <v>4350</v>
      </c>
      <c r="G1531" s="115">
        <v>85</v>
      </c>
      <c r="H1531" s="71">
        <f>26+1</f>
        <v>27</v>
      </c>
      <c r="I1531" s="109">
        <f t="shared" si="109"/>
        <v>920.55</v>
      </c>
      <c r="J1531" s="110">
        <f t="shared" si="104"/>
        <v>292.41000000000003</v>
      </c>
      <c r="K1531" s="111">
        <f t="shared" si="105"/>
        <v>58</v>
      </c>
      <c r="L1531" s="110">
        <f t="shared" si="106"/>
        <v>628.13999999999987</v>
      </c>
      <c r="M1531" s="112"/>
    </row>
    <row r="1532" spans="2:13" s="52" customFormat="1" ht="19.5" customHeight="1">
      <c r="B1532" s="108">
        <v>13</v>
      </c>
      <c r="C1532" s="108" t="s">
        <v>59</v>
      </c>
      <c r="D1532" s="115" t="s">
        <v>4221</v>
      </c>
      <c r="E1532" s="115" t="s">
        <v>4287</v>
      </c>
      <c r="F1532" s="115" t="s">
        <v>4348</v>
      </c>
      <c r="G1532" s="115">
        <v>6</v>
      </c>
      <c r="H1532" s="71"/>
      <c r="I1532" s="109">
        <f t="shared" si="109"/>
        <v>351.48</v>
      </c>
      <c r="J1532" s="110">
        <f t="shared" si="104"/>
        <v>0</v>
      </c>
      <c r="K1532" s="111">
        <f t="shared" si="105"/>
        <v>6</v>
      </c>
      <c r="L1532" s="110">
        <f t="shared" si="106"/>
        <v>351.48</v>
      </c>
      <c r="M1532" s="112"/>
    </row>
    <row r="1533" spans="2:13" s="52" customFormat="1" ht="19.5" hidden="1" customHeight="1">
      <c r="B1533" s="108">
        <v>13</v>
      </c>
      <c r="C1533" s="108" t="s">
        <v>59</v>
      </c>
      <c r="D1533" s="115" t="s">
        <v>4222</v>
      </c>
      <c r="E1533" s="140" t="s">
        <v>4754</v>
      </c>
      <c r="F1533" s="115" t="s">
        <v>4351</v>
      </c>
      <c r="G1533" s="115">
        <v>3</v>
      </c>
      <c r="H1533" s="71">
        <v>6</v>
      </c>
      <c r="I1533" s="109">
        <f t="shared" si="109"/>
        <v>225.99</v>
      </c>
      <c r="J1533" s="110">
        <f t="shared" si="104"/>
        <v>451.98</v>
      </c>
      <c r="K1533" s="111">
        <f t="shared" si="105"/>
        <v>-3</v>
      </c>
      <c r="L1533" s="110">
        <f t="shared" si="106"/>
        <v>-225.99</v>
      </c>
      <c r="M1533" s="112"/>
    </row>
    <row r="1534" spans="2:13" s="52" customFormat="1" ht="19.5" customHeight="1">
      <c r="B1534" s="108">
        <v>13</v>
      </c>
      <c r="C1534" s="139" t="s">
        <v>59</v>
      </c>
      <c r="D1534" s="115" t="s">
        <v>4223</v>
      </c>
      <c r="E1534" s="115" t="s">
        <v>4288</v>
      </c>
      <c r="F1534" s="115" t="s">
        <v>4352</v>
      </c>
      <c r="G1534" s="115">
        <v>6</v>
      </c>
      <c r="H1534" s="71">
        <v>3</v>
      </c>
      <c r="I1534" s="109">
        <f t="shared" si="109"/>
        <v>52.800000000000004</v>
      </c>
      <c r="J1534" s="110">
        <f t="shared" si="104"/>
        <v>26.400000000000002</v>
      </c>
      <c r="K1534" s="111">
        <f t="shared" si="105"/>
        <v>3</v>
      </c>
      <c r="L1534" s="110">
        <f t="shared" si="106"/>
        <v>26.400000000000002</v>
      </c>
      <c r="M1534" s="112"/>
    </row>
    <row r="1535" spans="2:13" s="52" customFormat="1" ht="19.5" hidden="1" customHeight="1">
      <c r="B1535" s="108">
        <v>13</v>
      </c>
      <c r="C1535" s="108" t="s">
        <v>59</v>
      </c>
      <c r="D1535" s="115" t="s">
        <v>4224</v>
      </c>
      <c r="E1535" s="115" t="s">
        <v>4289</v>
      </c>
      <c r="F1535" s="115" t="s">
        <v>1639</v>
      </c>
      <c r="G1535" s="115">
        <v>1</v>
      </c>
      <c r="H1535" s="71">
        <v>2</v>
      </c>
      <c r="I1535" s="109">
        <f t="shared" si="109"/>
        <v>11.5</v>
      </c>
      <c r="J1535" s="110">
        <f t="shared" si="104"/>
        <v>23</v>
      </c>
      <c r="K1535" s="111">
        <f t="shared" si="105"/>
        <v>-1</v>
      </c>
      <c r="L1535" s="110">
        <f t="shared" si="106"/>
        <v>-11.5</v>
      </c>
      <c r="M1535" s="112"/>
    </row>
    <row r="1536" spans="2:13" s="52" customFormat="1" ht="19.5" customHeight="1">
      <c r="B1536" s="108">
        <v>13</v>
      </c>
      <c r="C1536" s="108" t="s">
        <v>59</v>
      </c>
      <c r="D1536" s="115" t="s">
        <v>4225</v>
      </c>
      <c r="E1536" s="115" t="s">
        <v>4290</v>
      </c>
      <c r="F1536" s="115" t="s">
        <v>1639</v>
      </c>
      <c r="G1536" s="115">
        <v>97</v>
      </c>
      <c r="H1536" s="71">
        <v>60</v>
      </c>
      <c r="I1536" s="109">
        <f t="shared" si="109"/>
        <v>1115.5</v>
      </c>
      <c r="J1536" s="110">
        <f t="shared" si="104"/>
        <v>690</v>
      </c>
      <c r="K1536" s="111">
        <f t="shared" si="105"/>
        <v>37</v>
      </c>
      <c r="L1536" s="110">
        <f t="shared" si="106"/>
        <v>425.5</v>
      </c>
      <c r="M1536" s="112"/>
    </row>
    <row r="1537" spans="2:13" s="52" customFormat="1" ht="19.5" hidden="1" customHeight="1">
      <c r="B1537" s="108">
        <v>13</v>
      </c>
      <c r="C1537" s="139" t="s">
        <v>59</v>
      </c>
      <c r="D1537" s="115" t="s">
        <v>4226</v>
      </c>
      <c r="E1537" s="115" t="s">
        <v>4291</v>
      </c>
      <c r="F1537" s="115" t="s">
        <v>4346</v>
      </c>
      <c r="G1537" s="115">
        <v>12</v>
      </c>
      <c r="H1537" s="71">
        <f>43+2</f>
        <v>45</v>
      </c>
      <c r="I1537" s="109">
        <f t="shared" si="109"/>
        <v>714.96</v>
      </c>
      <c r="J1537" s="110">
        <f t="shared" ref="J1537:J1598" si="110">F1537*H1537</f>
        <v>2681.1</v>
      </c>
      <c r="K1537" s="111">
        <f t="shared" ref="K1537:K1598" si="111">G1537-H1537</f>
        <v>-33</v>
      </c>
      <c r="L1537" s="110">
        <f t="shared" ref="L1537:L1598" si="112">I1537-J1537</f>
        <v>-1966.1399999999999</v>
      </c>
      <c r="M1537" s="112"/>
    </row>
    <row r="1538" spans="2:13" s="52" customFormat="1" ht="19.5" customHeight="1">
      <c r="B1538" s="108">
        <v>13</v>
      </c>
      <c r="C1538" s="108" t="s">
        <v>59</v>
      </c>
      <c r="D1538" s="115" t="s">
        <v>4227</v>
      </c>
      <c r="E1538" s="115" t="s">
        <v>4292</v>
      </c>
      <c r="F1538" s="115" t="s">
        <v>4353</v>
      </c>
      <c r="G1538" s="115">
        <v>45</v>
      </c>
      <c r="H1538" s="71"/>
      <c r="I1538" s="109">
        <f t="shared" si="109"/>
        <v>318.60000000000002</v>
      </c>
      <c r="J1538" s="110">
        <f t="shared" si="110"/>
        <v>0</v>
      </c>
      <c r="K1538" s="111">
        <f t="shared" si="111"/>
        <v>45</v>
      </c>
      <c r="L1538" s="110">
        <f t="shared" si="112"/>
        <v>318.60000000000002</v>
      </c>
      <c r="M1538" s="112"/>
    </row>
    <row r="1539" spans="2:13" s="52" customFormat="1" ht="19.5" hidden="1" customHeight="1">
      <c r="B1539" s="108">
        <v>13</v>
      </c>
      <c r="C1539" s="108" t="s">
        <v>59</v>
      </c>
      <c r="D1539" s="115" t="s">
        <v>4228</v>
      </c>
      <c r="E1539" s="115" t="s">
        <v>4293</v>
      </c>
      <c r="F1539" s="115" t="s">
        <v>4349</v>
      </c>
      <c r="G1539" s="115">
        <v>24</v>
      </c>
      <c r="H1539" s="71">
        <f>35+19</f>
        <v>54</v>
      </c>
      <c r="I1539" s="109">
        <f t="shared" si="109"/>
        <v>388.08000000000004</v>
      </c>
      <c r="J1539" s="110">
        <f t="shared" si="110"/>
        <v>873.18000000000006</v>
      </c>
      <c r="K1539" s="111">
        <f t="shared" si="111"/>
        <v>-30</v>
      </c>
      <c r="L1539" s="110">
        <f t="shared" si="112"/>
        <v>-485.1</v>
      </c>
      <c r="M1539" s="112"/>
    </row>
    <row r="1540" spans="2:13" s="52" customFormat="1" ht="19.5" hidden="1" customHeight="1">
      <c r="B1540" s="108">
        <v>13</v>
      </c>
      <c r="C1540" s="139" t="s">
        <v>59</v>
      </c>
      <c r="D1540" s="115" t="s">
        <v>4229</v>
      </c>
      <c r="E1540" s="115" t="s">
        <v>4294</v>
      </c>
      <c r="F1540" s="115" t="s">
        <v>4354</v>
      </c>
      <c r="G1540" s="115">
        <v>20</v>
      </c>
      <c r="H1540" s="71">
        <v>21</v>
      </c>
      <c r="I1540" s="109">
        <f t="shared" si="109"/>
        <v>313.39999999999998</v>
      </c>
      <c r="J1540" s="110">
        <f t="shared" si="110"/>
        <v>329.07</v>
      </c>
      <c r="K1540" s="111">
        <f t="shared" si="111"/>
        <v>-1</v>
      </c>
      <c r="L1540" s="110">
        <f t="shared" si="112"/>
        <v>-15.670000000000016</v>
      </c>
      <c r="M1540" s="112"/>
    </row>
    <row r="1541" spans="2:13" s="52" customFormat="1" ht="19.5" customHeight="1">
      <c r="B1541" s="108">
        <v>13</v>
      </c>
      <c r="C1541" s="108" t="s">
        <v>59</v>
      </c>
      <c r="D1541" s="115" t="s">
        <v>4230</v>
      </c>
      <c r="E1541" s="115" t="s">
        <v>4295</v>
      </c>
      <c r="F1541" s="115" t="s">
        <v>1635</v>
      </c>
      <c r="G1541" s="115">
        <v>60</v>
      </c>
      <c r="H1541" s="71">
        <v>25</v>
      </c>
      <c r="I1541" s="109">
        <f t="shared" si="109"/>
        <v>709.8</v>
      </c>
      <c r="J1541" s="110">
        <f t="shared" si="110"/>
        <v>295.75</v>
      </c>
      <c r="K1541" s="111">
        <f t="shared" si="111"/>
        <v>35</v>
      </c>
      <c r="L1541" s="110">
        <f t="shared" si="112"/>
        <v>414.04999999999995</v>
      </c>
      <c r="M1541" s="112"/>
    </row>
    <row r="1542" spans="2:13" s="52" customFormat="1" ht="19.5" hidden="1" customHeight="1">
      <c r="B1542" s="108">
        <v>13</v>
      </c>
      <c r="C1542" s="108" t="s">
        <v>59</v>
      </c>
      <c r="D1542" s="115" t="s">
        <v>4231</v>
      </c>
      <c r="E1542" s="115" t="s">
        <v>4296</v>
      </c>
      <c r="F1542" s="115" t="s">
        <v>4346</v>
      </c>
      <c r="G1542" s="115">
        <v>16</v>
      </c>
      <c r="H1542" s="71">
        <f>20+22</f>
        <v>42</v>
      </c>
      <c r="I1542" s="109">
        <f t="shared" si="109"/>
        <v>953.28</v>
      </c>
      <c r="J1542" s="110">
        <f t="shared" si="110"/>
        <v>2502.36</v>
      </c>
      <c r="K1542" s="111">
        <f t="shared" si="111"/>
        <v>-26</v>
      </c>
      <c r="L1542" s="110">
        <f t="shared" si="112"/>
        <v>-1549.0800000000002</v>
      </c>
      <c r="M1542" s="112"/>
    </row>
    <row r="1543" spans="2:13" s="52" customFormat="1" ht="19.5" customHeight="1">
      <c r="B1543" s="108">
        <v>13</v>
      </c>
      <c r="C1543" s="139" t="s">
        <v>59</v>
      </c>
      <c r="D1543" s="115" t="s">
        <v>4232</v>
      </c>
      <c r="E1543" s="115" t="s">
        <v>4297</v>
      </c>
      <c r="F1543" s="115" t="s">
        <v>4349</v>
      </c>
      <c r="G1543" s="115">
        <v>55</v>
      </c>
      <c r="H1543" s="71">
        <f>5+11</f>
        <v>16</v>
      </c>
      <c r="I1543" s="109">
        <f t="shared" si="109"/>
        <v>889.35000000000014</v>
      </c>
      <c r="J1543" s="110">
        <f t="shared" si="110"/>
        <v>258.72000000000003</v>
      </c>
      <c r="K1543" s="111">
        <f t="shared" si="111"/>
        <v>39</v>
      </c>
      <c r="L1543" s="110">
        <f t="shared" si="112"/>
        <v>630.63000000000011</v>
      </c>
      <c r="M1543" s="112"/>
    </row>
    <row r="1544" spans="2:13" s="52" customFormat="1" ht="19.5" customHeight="1">
      <c r="B1544" s="108">
        <v>13</v>
      </c>
      <c r="C1544" s="108" t="s">
        <v>59</v>
      </c>
      <c r="D1544" s="115" t="s">
        <v>4233</v>
      </c>
      <c r="E1544" s="115" t="s">
        <v>4298</v>
      </c>
      <c r="F1544" s="115" t="s">
        <v>1635</v>
      </c>
      <c r="G1544" s="115">
        <v>72</v>
      </c>
      <c r="H1544" s="71">
        <f>24+43</f>
        <v>67</v>
      </c>
      <c r="I1544" s="109">
        <f t="shared" si="109"/>
        <v>851.76</v>
      </c>
      <c r="J1544" s="110">
        <f t="shared" si="110"/>
        <v>792.61</v>
      </c>
      <c r="K1544" s="111">
        <f t="shared" si="111"/>
        <v>5</v>
      </c>
      <c r="L1544" s="110">
        <f t="shared" si="112"/>
        <v>59.149999999999977</v>
      </c>
      <c r="M1544" s="112"/>
    </row>
    <row r="1545" spans="2:13" s="52" customFormat="1" ht="19.5" customHeight="1">
      <c r="B1545" s="108">
        <v>13</v>
      </c>
      <c r="C1545" s="108" t="s">
        <v>59</v>
      </c>
      <c r="D1545" s="115" t="s">
        <v>4234</v>
      </c>
      <c r="E1545" s="115" t="s">
        <v>4299</v>
      </c>
      <c r="F1545" s="115" t="s">
        <v>4728</v>
      </c>
      <c r="G1545" s="115">
        <v>11</v>
      </c>
      <c r="H1545" s="71"/>
      <c r="I1545" s="109">
        <f t="shared" si="109"/>
        <v>103.18</v>
      </c>
      <c r="J1545" s="110">
        <f t="shared" si="110"/>
        <v>0</v>
      </c>
      <c r="K1545" s="111">
        <f t="shared" si="111"/>
        <v>11</v>
      </c>
      <c r="L1545" s="110">
        <f t="shared" si="112"/>
        <v>103.18</v>
      </c>
      <c r="M1545" s="112"/>
    </row>
    <row r="1546" spans="2:13" s="52" customFormat="1" ht="19.5" hidden="1" customHeight="1">
      <c r="B1546" s="108">
        <v>13</v>
      </c>
      <c r="C1546" s="139" t="s">
        <v>59</v>
      </c>
      <c r="D1546" s="115" t="s">
        <v>4235</v>
      </c>
      <c r="E1546" s="115" t="s">
        <v>4300</v>
      </c>
      <c r="F1546" s="115" t="s">
        <v>4355</v>
      </c>
      <c r="G1546" s="115">
        <v>19</v>
      </c>
      <c r="H1546" s="71">
        <f>21+5</f>
        <v>26</v>
      </c>
      <c r="I1546" s="109">
        <f t="shared" si="109"/>
        <v>431.87</v>
      </c>
      <c r="J1546" s="110">
        <f t="shared" si="110"/>
        <v>590.98</v>
      </c>
      <c r="K1546" s="111">
        <f t="shared" si="111"/>
        <v>-7</v>
      </c>
      <c r="L1546" s="110">
        <f t="shared" si="112"/>
        <v>-159.11000000000001</v>
      </c>
      <c r="M1546" s="112"/>
    </row>
    <row r="1547" spans="2:13" s="52" customFormat="1" ht="19.5" hidden="1" customHeight="1">
      <c r="B1547" s="108">
        <v>13</v>
      </c>
      <c r="C1547" s="108" t="s">
        <v>59</v>
      </c>
      <c r="D1547" s="115" t="s">
        <v>4236</v>
      </c>
      <c r="E1547" s="115" t="s">
        <v>4301</v>
      </c>
      <c r="F1547" s="115" t="s">
        <v>4355</v>
      </c>
      <c r="G1547" s="115">
        <v>9</v>
      </c>
      <c r="H1547" s="71">
        <f>11+1</f>
        <v>12</v>
      </c>
      <c r="I1547" s="109">
        <f t="shared" si="109"/>
        <v>204.57</v>
      </c>
      <c r="J1547" s="110">
        <f t="shared" si="110"/>
        <v>272.76</v>
      </c>
      <c r="K1547" s="111">
        <f t="shared" si="111"/>
        <v>-3</v>
      </c>
      <c r="L1547" s="110">
        <f t="shared" si="112"/>
        <v>-68.19</v>
      </c>
      <c r="M1547" s="112"/>
    </row>
    <row r="1548" spans="2:13" s="52" customFormat="1" ht="19.5" customHeight="1">
      <c r="B1548" s="108">
        <v>13</v>
      </c>
      <c r="C1548" s="108" t="s">
        <v>59</v>
      </c>
      <c r="D1548" s="115" t="s">
        <v>4237</v>
      </c>
      <c r="E1548" s="115" t="s">
        <v>4302</v>
      </c>
      <c r="F1548" s="115" t="s">
        <v>4356</v>
      </c>
      <c r="G1548" s="115">
        <v>14</v>
      </c>
      <c r="H1548" s="71"/>
      <c r="I1548" s="109">
        <f t="shared" si="109"/>
        <v>421.96000000000004</v>
      </c>
      <c r="J1548" s="110">
        <f t="shared" si="110"/>
        <v>0</v>
      </c>
      <c r="K1548" s="111">
        <f t="shared" si="111"/>
        <v>14</v>
      </c>
      <c r="L1548" s="110">
        <f t="shared" si="112"/>
        <v>421.96000000000004</v>
      </c>
      <c r="M1548" s="112"/>
    </row>
    <row r="1549" spans="2:13" s="52" customFormat="1" ht="19.5" customHeight="1">
      <c r="B1549" s="108">
        <v>13</v>
      </c>
      <c r="C1549" s="139" t="s">
        <v>59</v>
      </c>
      <c r="D1549" s="115" t="s">
        <v>4238</v>
      </c>
      <c r="E1549" s="115" t="s">
        <v>4303</v>
      </c>
      <c r="F1549" s="115" t="s">
        <v>4357</v>
      </c>
      <c r="G1549" s="115">
        <v>1</v>
      </c>
      <c r="H1549" s="71"/>
      <c r="I1549" s="109">
        <f t="shared" si="109"/>
        <v>165.95</v>
      </c>
      <c r="J1549" s="110">
        <f t="shared" si="110"/>
        <v>0</v>
      </c>
      <c r="K1549" s="111">
        <f t="shared" si="111"/>
        <v>1</v>
      </c>
      <c r="L1549" s="110">
        <f t="shared" si="112"/>
        <v>165.95</v>
      </c>
      <c r="M1549" s="112"/>
    </row>
    <row r="1550" spans="2:13" s="52" customFormat="1" ht="19.5" customHeight="1">
      <c r="B1550" s="108">
        <v>13</v>
      </c>
      <c r="C1550" s="108" t="s">
        <v>59</v>
      </c>
      <c r="D1550" s="115" t="s">
        <v>4239</v>
      </c>
      <c r="E1550" s="115" t="s">
        <v>4304</v>
      </c>
      <c r="F1550" s="115" t="s">
        <v>4358</v>
      </c>
      <c r="G1550" s="115">
        <v>4</v>
      </c>
      <c r="H1550" s="108"/>
      <c r="I1550" s="109">
        <f t="shared" si="109"/>
        <v>115.56</v>
      </c>
      <c r="J1550" s="110">
        <f t="shared" si="110"/>
        <v>0</v>
      </c>
      <c r="K1550" s="111">
        <f t="shared" si="111"/>
        <v>4</v>
      </c>
      <c r="L1550" s="110">
        <f t="shared" si="112"/>
        <v>115.56</v>
      </c>
      <c r="M1550" s="112"/>
    </row>
    <row r="1551" spans="2:13" s="52" customFormat="1" ht="19.5" customHeight="1">
      <c r="B1551" s="108">
        <v>13</v>
      </c>
      <c r="C1551" s="108" t="s">
        <v>59</v>
      </c>
      <c r="D1551" s="115" t="s">
        <v>4240</v>
      </c>
      <c r="E1551" s="115" t="s">
        <v>4305</v>
      </c>
      <c r="F1551" s="115" t="s">
        <v>4359</v>
      </c>
      <c r="G1551" s="115">
        <v>55</v>
      </c>
      <c r="H1551" s="108">
        <f>5+30+11</f>
        <v>46</v>
      </c>
      <c r="I1551" s="109">
        <f t="shared" si="109"/>
        <v>1553.75</v>
      </c>
      <c r="J1551" s="110">
        <f t="shared" si="110"/>
        <v>1299.5</v>
      </c>
      <c r="K1551" s="111">
        <f t="shared" si="111"/>
        <v>9</v>
      </c>
      <c r="L1551" s="110">
        <f t="shared" si="112"/>
        <v>254.25</v>
      </c>
      <c r="M1551" s="112"/>
    </row>
    <row r="1552" spans="2:13" s="52" customFormat="1" ht="19.5" customHeight="1">
      <c r="B1552" s="108">
        <v>13</v>
      </c>
      <c r="C1552" s="139" t="s">
        <v>59</v>
      </c>
      <c r="D1552" s="115" t="s">
        <v>4241</v>
      </c>
      <c r="E1552" s="115" t="s">
        <v>4306</v>
      </c>
      <c r="F1552" s="115" t="s">
        <v>4360</v>
      </c>
      <c r="G1552" s="115">
        <v>112</v>
      </c>
      <c r="H1552" s="108">
        <f>12+17+6+6</f>
        <v>41</v>
      </c>
      <c r="I1552" s="109">
        <f t="shared" si="109"/>
        <v>3448.48</v>
      </c>
      <c r="J1552" s="110">
        <f t="shared" si="110"/>
        <v>1262.3899999999999</v>
      </c>
      <c r="K1552" s="111">
        <f t="shared" si="111"/>
        <v>71</v>
      </c>
      <c r="L1552" s="110">
        <f t="shared" si="112"/>
        <v>2186.09</v>
      </c>
      <c r="M1552" s="112"/>
    </row>
    <row r="1553" spans="2:13" s="52" customFormat="1" ht="19.5" customHeight="1">
      <c r="B1553" s="108">
        <v>13</v>
      </c>
      <c r="C1553" s="108" t="s">
        <v>59</v>
      </c>
      <c r="D1553" s="115" t="s">
        <v>4242</v>
      </c>
      <c r="E1553" s="115" t="s">
        <v>4307</v>
      </c>
      <c r="F1553" s="115" t="s">
        <v>4361</v>
      </c>
      <c r="G1553" s="115">
        <v>9</v>
      </c>
      <c r="H1553" s="108"/>
      <c r="I1553" s="109">
        <f t="shared" si="109"/>
        <v>171.99</v>
      </c>
      <c r="J1553" s="110">
        <f t="shared" si="110"/>
        <v>0</v>
      </c>
      <c r="K1553" s="111">
        <f t="shared" si="111"/>
        <v>9</v>
      </c>
      <c r="L1553" s="110">
        <f t="shared" si="112"/>
        <v>171.99</v>
      </c>
      <c r="M1553" s="112"/>
    </row>
    <row r="1554" spans="2:13" s="52" customFormat="1" ht="19.5" customHeight="1">
      <c r="B1554" s="108">
        <v>13</v>
      </c>
      <c r="C1554" s="108" t="s">
        <v>59</v>
      </c>
      <c r="D1554" s="115" t="s">
        <v>4243</v>
      </c>
      <c r="E1554" s="115" t="s">
        <v>4308</v>
      </c>
      <c r="F1554" s="115" t="s">
        <v>4362</v>
      </c>
      <c r="G1554" s="115">
        <v>3</v>
      </c>
      <c r="H1554" s="108"/>
      <c r="I1554" s="109">
        <f t="shared" si="109"/>
        <v>31.950000000000003</v>
      </c>
      <c r="J1554" s="110">
        <f t="shared" si="110"/>
        <v>0</v>
      </c>
      <c r="K1554" s="111">
        <f t="shared" si="111"/>
        <v>3</v>
      </c>
      <c r="L1554" s="110">
        <f t="shared" si="112"/>
        <v>31.950000000000003</v>
      </c>
      <c r="M1554" s="112"/>
    </row>
    <row r="1555" spans="2:13" s="52" customFormat="1" ht="19.5" customHeight="1">
      <c r="B1555" s="108">
        <v>13</v>
      </c>
      <c r="C1555" s="139" t="s">
        <v>59</v>
      </c>
      <c r="D1555" s="115" t="s">
        <v>4244</v>
      </c>
      <c r="E1555" s="115" t="s">
        <v>4309</v>
      </c>
      <c r="F1555" s="115" t="s">
        <v>4363</v>
      </c>
      <c r="G1555" s="115">
        <v>288</v>
      </c>
      <c r="H1555" s="108">
        <v>100</v>
      </c>
      <c r="I1555" s="109">
        <f t="shared" si="109"/>
        <v>3168</v>
      </c>
      <c r="J1555" s="110">
        <f t="shared" si="110"/>
        <v>1100</v>
      </c>
      <c r="K1555" s="111">
        <f t="shared" si="111"/>
        <v>188</v>
      </c>
      <c r="L1555" s="110">
        <f t="shared" si="112"/>
        <v>2068</v>
      </c>
      <c r="M1555" s="112"/>
    </row>
    <row r="1556" spans="2:13" s="52" customFormat="1" ht="19.5" customHeight="1">
      <c r="B1556" s="108">
        <v>13</v>
      </c>
      <c r="C1556" s="108" t="s">
        <v>59</v>
      </c>
      <c r="D1556" s="115" t="s">
        <v>4245</v>
      </c>
      <c r="E1556" s="115" t="s">
        <v>4310</v>
      </c>
      <c r="F1556" s="115" t="s">
        <v>3096</v>
      </c>
      <c r="G1556" s="115">
        <v>40</v>
      </c>
      <c r="H1556" s="108"/>
      <c r="I1556" s="109">
        <f t="shared" si="109"/>
        <v>1800</v>
      </c>
      <c r="J1556" s="110">
        <f t="shared" si="110"/>
        <v>0</v>
      </c>
      <c r="K1556" s="111">
        <f t="shared" si="111"/>
        <v>40</v>
      </c>
      <c r="L1556" s="110">
        <f t="shared" si="112"/>
        <v>1800</v>
      </c>
      <c r="M1556" s="112"/>
    </row>
    <row r="1557" spans="2:13" s="52" customFormat="1" ht="19.5" customHeight="1">
      <c r="B1557" s="108">
        <v>13</v>
      </c>
      <c r="C1557" s="108" t="s">
        <v>59</v>
      </c>
      <c r="D1557" s="115" t="s">
        <v>4246</v>
      </c>
      <c r="E1557" s="115" t="s">
        <v>4311</v>
      </c>
      <c r="F1557" s="115" t="s">
        <v>4361</v>
      </c>
      <c r="G1557" s="115">
        <v>3</v>
      </c>
      <c r="H1557" s="108"/>
      <c r="I1557" s="109">
        <f t="shared" si="109"/>
        <v>57.33</v>
      </c>
      <c r="J1557" s="110">
        <f t="shared" si="110"/>
        <v>0</v>
      </c>
      <c r="K1557" s="111">
        <f t="shared" si="111"/>
        <v>3</v>
      </c>
      <c r="L1557" s="110">
        <f t="shared" si="112"/>
        <v>57.33</v>
      </c>
      <c r="M1557" s="112"/>
    </row>
    <row r="1558" spans="2:13" s="52" customFormat="1" ht="19.5" customHeight="1">
      <c r="B1558" s="108">
        <v>13</v>
      </c>
      <c r="C1558" s="139" t="s">
        <v>59</v>
      </c>
      <c r="D1558" s="115" t="s">
        <v>4247</v>
      </c>
      <c r="E1558" s="115" t="s">
        <v>4312</v>
      </c>
      <c r="F1558" s="115" t="s">
        <v>4362</v>
      </c>
      <c r="G1558" s="115">
        <v>4</v>
      </c>
      <c r="H1558" s="108">
        <v>2</v>
      </c>
      <c r="I1558" s="109">
        <f t="shared" si="109"/>
        <v>42.6</v>
      </c>
      <c r="J1558" s="110">
        <f t="shared" si="110"/>
        <v>21.3</v>
      </c>
      <c r="K1558" s="111">
        <f t="shared" si="111"/>
        <v>2</v>
      </c>
      <c r="L1558" s="110">
        <f t="shared" si="112"/>
        <v>21.3</v>
      </c>
      <c r="M1558" s="112"/>
    </row>
    <row r="1559" spans="2:13" s="52" customFormat="1" ht="19.5" customHeight="1">
      <c r="B1559" s="108">
        <v>13</v>
      </c>
      <c r="C1559" s="108" t="s">
        <v>59</v>
      </c>
      <c r="D1559" s="115" t="s">
        <v>4248</v>
      </c>
      <c r="E1559" s="115" t="s">
        <v>4313</v>
      </c>
      <c r="F1559" s="115" t="s">
        <v>4361</v>
      </c>
      <c r="G1559" s="115">
        <v>13</v>
      </c>
      <c r="H1559" s="108"/>
      <c r="I1559" s="109">
        <f t="shared" si="109"/>
        <v>248.43</v>
      </c>
      <c r="J1559" s="110">
        <f t="shared" si="110"/>
        <v>0</v>
      </c>
      <c r="K1559" s="111">
        <f t="shared" si="111"/>
        <v>13</v>
      </c>
      <c r="L1559" s="110">
        <f t="shared" si="112"/>
        <v>248.43</v>
      </c>
      <c r="M1559" s="112"/>
    </row>
    <row r="1560" spans="2:13" s="52" customFormat="1" ht="19.5" customHeight="1">
      <c r="B1560" s="108">
        <v>13</v>
      </c>
      <c r="C1560" s="108" t="s">
        <v>59</v>
      </c>
      <c r="D1560" s="115" t="s">
        <v>4249</v>
      </c>
      <c r="E1560" s="115" t="s">
        <v>4314</v>
      </c>
      <c r="F1560" s="115" t="s">
        <v>4362</v>
      </c>
      <c r="G1560" s="115">
        <v>11</v>
      </c>
      <c r="H1560" s="108"/>
      <c r="I1560" s="109">
        <f t="shared" si="109"/>
        <v>117.15</v>
      </c>
      <c r="J1560" s="110">
        <f t="shared" si="110"/>
        <v>0</v>
      </c>
      <c r="K1560" s="111">
        <f t="shared" si="111"/>
        <v>11</v>
      </c>
      <c r="L1560" s="110">
        <f t="shared" si="112"/>
        <v>117.15</v>
      </c>
      <c r="M1560" s="112"/>
    </row>
    <row r="1561" spans="2:13" s="52" customFormat="1" ht="19.5" customHeight="1">
      <c r="B1561" s="108">
        <v>13</v>
      </c>
      <c r="C1561" s="139" t="s">
        <v>59</v>
      </c>
      <c r="D1561" s="115" t="s">
        <v>4250</v>
      </c>
      <c r="E1561" s="115" t="s">
        <v>4315</v>
      </c>
      <c r="F1561" s="115" t="s">
        <v>4361</v>
      </c>
      <c r="G1561" s="115">
        <v>11</v>
      </c>
      <c r="H1561" s="108"/>
      <c r="I1561" s="109">
        <f t="shared" si="109"/>
        <v>210.20999999999998</v>
      </c>
      <c r="J1561" s="110">
        <f t="shared" si="110"/>
        <v>0</v>
      </c>
      <c r="K1561" s="111">
        <f t="shared" si="111"/>
        <v>11</v>
      </c>
      <c r="L1561" s="110">
        <f t="shared" si="112"/>
        <v>210.20999999999998</v>
      </c>
      <c r="M1561" s="112"/>
    </row>
    <row r="1562" spans="2:13" s="52" customFormat="1" ht="19.5" customHeight="1">
      <c r="B1562" s="108">
        <v>13</v>
      </c>
      <c r="C1562" s="108" t="s">
        <v>59</v>
      </c>
      <c r="D1562" s="115" t="s">
        <v>4251</v>
      </c>
      <c r="E1562" s="115" t="s">
        <v>4316</v>
      </c>
      <c r="F1562" s="115" t="s">
        <v>4362</v>
      </c>
      <c r="G1562" s="115">
        <v>10</v>
      </c>
      <c r="H1562" s="108"/>
      <c r="I1562" s="109">
        <f t="shared" si="109"/>
        <v>106.5</v>
      </c>
      <c r="J1562" s="110">
        <f t="shared" si="110"/>
        <v>0</v>
      </c>
      <c r="K1562" s="111">
        <f t="shared" si="111"/>
        <v>10</v>
      </c>
      <c r="L1562" s="110">
        <f t="shared" si="112"/>
        <v>106.5</v>
      </c>
      <c r="M1562" s="112"/>
    </row>
    <row r="1563" spans="2:13" s="52" customFormat="1" ht="19.5" customHeight="1">
      <c r="B1563" s="108">
        <v>13</v>
      </c>
      <c r="C1563" s="108" t="s">
        <v>59</v>
      </c>
      <c r="D1563" s="115" t="s">
        <v>4252</v>
      </c>
      <c r="E1563" s="115" t="s">
        <v>4317</v>
      </c>
      <c r="F1563" s="115" t="s">
        <v>4361</v>
      </c>
      <c r="G1563" s="115">
        <v>9</v>
      </c>
      <c r="H1563" s="108"/>
      <c r="I1563" s="109">
        <f t="shared" si="109"/>
        <v>171.99</v>
      </c>
      <c r="J1563" s="110">
        <f t="shared" si="110"/>
        <v>0</v>
      </c>
      <c r="K1563" s="111">
        <f t="shared" si="111"/>
        <v>9</v>
      </c>
      <c r="L1563" s="110">
        <f t="shared" si="112"/>
        <v>171.99</v>
      </c>
      <c r="M1563" s="112"/>
    </row>
    <row r="1564" spans="2:13" s="52" customFormat="1" ht="19.5" customHeight="1">
      <c r="B1564" s="108">
        <v>13</v>
      </c>
      <c r="C1564" s="139" t="s">
        <v>59</v>
      </c>
      <c r="D1564" s="115" t="s">
        <v>4253</v>
      </c>
      <c r="E1564" s="115" t="s">
        <v>4318</v>
      </c>
      <c r="F1564" s="115" t="s">
        <v>4362</v>
      </c>
      <c r="G1564" s="115">
        <v>9</v>
      </c>
      <c r="H1564" s="108"/>
      <c r="I1564" s="109">
        <f t="shared" si="109"/>
        <v>95.850000000000009</v>
      </c>
      <c r="J1564" s="110">
        <f t="shared" si="110"/>
        <v>0</v>
      </c>
      <c r="K1564" s="111">
        <f t="shared" si="111"/>
        <v>9</v>
      </c>
      <c r="L1564" s="110">
        <f t="shared" si="112"/>
        <v>95.850000000000009</v>
      </c>
      <c r="M1564" s="112"/>
    </row>
    <row r="1565" spans="2:13" s="52" customFormat="1" ht="19.5" customHeight="1">
      <c r="B1565" s="108">
        <v>13</v>
      </c>
      <c r="C1565" s="108" t="s">
        <v>59</v>
      </c>
      <c r="D1565" s="115" t="s">
        <v>4254</v>
      </c>
      <c r="E1565" s="115" t="s">
        <v>4319</v>
      </c>
      <c r="F1565" s="115" t="s">
        <v>4361</v>
      </c>
      <c r="G1565" s="115">
        <v>19</v>
      </c>
      <c r="H1565" s="108"/>
      <c r="I1565" s="109">
        <f t="shared" si="109"/>
        <v>363.09</v>
      </c>
      <c r="J1565" s="110">
        <f t="shared" si="110"/>
        <v>0</v>
      </c>
      <c r="K1565" s="111">
        <f t="shared" si="111"/>
        <v>19</v>
      </c>
      <c r="L1565" s="110">
        <f t="shared" si="112"/>
        <v>363.09</v>
      </c>
      <c r="M1565" s="112"/>
    </row>
    <row r="1566" spans="2:13" s="52" customFormat="1" ht="19.5" customHeight="1">
      <c r="B1566" s="108">
        <v>13</v>
      </c>
      <c r="C1566" s="108" t="s">
        <v>59</v>
      </c>
      <c r="D1566" s="115" t="s">
        <v>4255</v>
      </c>
      <c r="E1566" s="115" t="s">
        <v>4320</v>
      </c>
      <c r="F1566" s="115" t="s">
        <v>4362</v>
      </c>
      <c r="G1566" s="115">
        <v>13</v>
      </c>
      <c r="H1566" s="108"/>
      <c r="I1566" s="109">
        <f t="shared" si="109"/>
        <v>138.45000000000002</v>
      </c>
      <c r="J1566" s="110">
        <f t="shared" si="110"/>
        <v>0</v>
      </c>
      <c r="K1566" s="111">
        <f t="shared" si="111"/>
        <v>13</v>
      </c>
      <c r="L1566" s="110">
        <f t="shared" si="112"/>
        <v>138.45000000000002</v>
      </c>
      <c r="M1566" s="112"/>
    </row>
    <row r="1567" spans="2:13" s="52" customFormat="1" ht="19.5" customHeight="1">
      <c r="B1567" s="108">
        <v>13</v>
      </c>
      <c r="C1567" s="139" t="s">
        <v>59</v>
      </c>
      <c r="D1567" s="115" t="s">
        <v>4256</v>
      </c>
      <c r="E1567" s="115" t="s">
        <v>4321</v>
      </c>
      <c r="F1567" s="115" t="s">
        <v>3634</v>
      </c>
      <c r="G1567" s="115">
        <v>5</v>
      </c>
      <c r="H1567" s="108"/>
      <c r="I1567" s="109">
        <f t="shared" si="109"/>
        <v>390</v>
      </c>
      <c r="J1567" s="110">
        <f t="shared" si="110"/>
        <v>0</v>
      </c>
      <c r="K1567" s="111">
        <f t="shared" si="111"/>
        <v>5</v>
      </c>
      <c r="L1567" s="110">
        <f t="shared" si="112"/>
        <v>390</v>
      </c>
      <c r="M1567" s="112"/>
    </row>
    <row r="1568" spans="2:13" s="52" customFormat="1" ht="19.5" hidden="1" customHeight="1">
      <c r="B1568" s="108">
        <v>13</v>
      </c>
      <c r="C1568" s="108" t="s">
        <v>59</v>
      </c>
      <c r="D1568" s="115" t="s">
        <v>4257</v>
      </c>
      <c r="E1568" s="115" t="s">
        <v>4322</v>
      </c>
      <c r="F1568" s="115" t="s">
        <v>1804</v>
      </c>
      <c r="G1568" s="115">
        <v>1</v>
      </c>
      <c r="H1568" s="108">
        <v>1</v>
      </c>
      <c r="I1568" s="109">
        <f t="shared" si="109"/>
        <v>140</v>
      </c>
      <c r="J1568" s="110">
        <f t="shared" si="110"/>
        <v>140</v>
      </c>
      <c r="K1568" s="111">
        <f t="shared" si="111"/>
        <v>0</v>
      </c>
      <c r="L1568" s="110">
        <f t="shared" si="112"/>
        <v>0</v>
      </c>
      <c r="M1568" s="112"/>
    </row>
    <row r="1569" spans="2:13" s="52" customFormat="1" ht="19.5" customHeight="1">
      <c r="B1569" s="108">
        <v>13</v>
      </c>
      <c r="C1569" s="108" t="s">
        <v>59</v>
      </c>
      <c r="D1569" s="115" t="s">
        <v>4258</v>
      </c>
      <c r="E1569" s="115" t="s">
        <v>4323</v>
      </c>
      <c r="F1569" s="115" t="s">
        <v>4364</v>
      </c>
      <c r="G1569" s="115">
        <v>48</v>
      </c>
      <c r="H1569" s="108">
        <v>18</v>
      </c>
      <c r="I1569" s="109">
        <f t="shared" si="109"/>
        <v>4899.84</v>
      </c>
      <c r="J1569" s="110">
        <f t="shared" si="110"/>
        <v>1837.44</v>
      </c>
      <c r="K1569" s="111">
        <f t="shared" si="111"/>
        <v>30</v>
      </c>
      <c r="L1569" s="110">
        <f t="shared" si="112"/>
        <v>3062.4</v>
      </c>
      <c r="M1569" s="112"/>
    </row>
    <row r="1570" spans="2:13" s="52" customFormat="1" ht="19.5" customHeight="1">
      <c r="B1570" s="108">
        <v>13</v>
      </c>
      <c r="C1570" s="139" t="s">
        <v>59</v>
      </c>
      <c r="D1570" s="115" t="s">
        <v>4259</v>
      </c>
      <c r="E1570" s="115" t="s">
        <v>4324</v>
      </c>
      <c r="F1570" s="115" t="s">
        <v>4360</v>
      </c>
      <c r="G1570" s="115">
        <v>75</v>
      </c>
      <c r="H1570" s="108"/>
      <c r="I1570" s="109">
        <f t="shared" si="109"/>
        <v>2309.25</v>
      </c>
      <c r="J1570" s="110">
        <f t="shared" si="110"/>
        <v>0</v>
      </c>
      <c r="K1570" s="111">
        <f t="shared" si="111"/>
        <v>75</v>
      </c>
      <c r="L1570" s="110">
        <f t="shared" si="112"/>
        <v>2309.25</v>
      </c>
      <c r="M1570" s="112"/>
    </row>
    <row r="1571" spans="2:13" s="52" customFormat="1" ht="19.5" customHeight="1">
      <c r="B1571" s="108">
        <v>13</v>
      </c>
      <c r="C1571" s="108" t="s">
        <v>59</v>
      </c>
      <c r="D1571" s="115" t="s">
        <v>4260</v>
      </c>
      <c r="E1571" s="115" t="s">
        <v>4325</v>
      </c>
      <c r="F1571" s="115" t="s">
        <v>4365</v>
      </c>
      <c r="G1571" s="115">
        <v>155</v>
      </c>
      <c r="H1571" s="108">
        <v>85</v>
      </c>
      <c r="I1571" s="109">
        <f t="shared" si="109"/>
        <v>6021.75</v>
      </c>
      <c r="J1571" s="110">
        <f t="shared" si="110"/>
        <v>3302.25</v>
      </c>
      <c r="K1571" s="111">
        <f t="shared" si="111"/>
        <v>70</v>
      </c>
      <c r="L1571" s="110">
        <f t="shared" si="112"/>
        <v>2719.5</v>
      </c>
      <c r="M1571" s="112"/>
    </row>
    <row r="1572" spans="2:13" s="52" customFormat="1" ht="19.5" customHeight="1">
      <c r="B1572" s="108">
        <v>13</v>
      </c>
      <c r="C1572" s="108" t="s">
        <v>59</v>
      </c>
      <c r="D1572" s="115" t="s">
        <v>4261</v>
      </c>
      <c r="E1572" s="115" t="s">
        <v>4326</v>
      </c>
      <c r="F1572" s="115" t="s">
        <v>4366</v>
      </c>
      <c r="G1572" s="115">
        <v>1</v>
      </c>
      <c r="H1572" s="71"/>
      <c r="I1572" s="109">
        <f t="shared" si="109"/>
        <v>9.91</v>
      </c>
      <c r="J1572" s="110">
        <f t="shared" si="110"/>
        <v>0</v>
      </c>
      <c r="K1572" s="111">
        <f t="shared" si="111"/>
        <v>1</v>
      </c>
      <c r="L1572" s="110">
        <f t="shared" si="112"/>
        <v>9.91</v>
      </c>
      <c r="M1572" s="112"/>
    </row>
    <row r="1573" spans="2:13" s="52" customFormat="1" ht="19.5" hidden="1" customHeight="1">
      <c r="B1573" s="108">
        <v>13</v>
      </c>
      <c r="C1573" s="139" t="s">
        <v>59</v>
      </c>
      <c r="D1573" s="115" t="s">
        <v>4262</v>
      </c>
      <c r="E1573" s="115" t="s">
        <v>4327</v>
      </c>
      <c r="F1573" s="115" t="s">
        <v>4367</v>
      </c>
      <c r="G1573" s="115">
        <v>5</v>
      </c>
      <c r="H1573" s="71">
        <v>5</v>
      </c>
      <c r="I1573" s="109">
        <f t="shared" si="109"/>
        <v>1925</v>
      </c>
      <c r="J1573" s="110">
        <f t="shared" si="110"/>
        <v>1925</v>
      </c>
      <c r="K1573" s="111">
        <f t="shared" si="111"/>
        <v>0</v>
      </c>
      <c r="L1573" s="110">
        <f t="shared" si="112"/>
        <v>0</v>
      </c>
      <c r="M1573" s="112"/>
    </row>
    <row r="1574" spans="2:13" s="52" customFormat="1" ht="19.5" hidden="1" customHeight="1">
      <c r="B1574" s="108">
        <v>13</v>
      </c>
      <c r="C1574" s="108" t="s">
        <v>59</v>
      </c>
      <c r="D1574" s="115" t="s">
        <v>4263</v>
      </c>
      <c r="E1574" s="115" t="s">
        <v>4328</v>
      </c>
      <c r="F1574" s="115" t="s">
        <v>1205</v>
      </c>
      <c r="G1574" s="115">
        <v>1</v>
      </c>
      <c r="H1574" s="71">
        <v>1</v>
      </c>
      <c r="I1574" s="109">
        <f t="shared" si="109"/>
        <v>75</v>
      </c>
      <c r="J1574" s="110">
        <f t="shared" si="110"/>
        <v>75</v>
      </c>
      <c r="K1574" s="111">
        <f t="shared" si="111"/>
        <v>0</v>
      </c>
      <c r="L1574" s="110">
        <f t="shared" si="112"/>
        <v>0</v>
      </c>
      <c r="M1574" s="112"/>
    </row>
    <row r="1575" spans="2:13" s="52" customFormat="1" ht="19.5" customHeight="1">
      <c r="B1575" s="108">
        <v>13</v>
      </c>
      <c r="C1575" s="108" t="s">
        <v>59</v>
      </c>
      <c r="D1575" s="115" t="s">
        <v>4264</v>
      </c>
      <c r="E1575" s="115" t="s">
        <v>4329</v>
      </c>
      <c r="F1575" s="115" t="s">
        <v>1395</v>
      </c>
      <c r="G1575" s="115">
        <v>20</v>
      </c>
      <c r="H1575" s="71"/>
      <c r="I1575" s="109">
        <f t="shared" si="109"/>
        <v>150</v>
      </c>
      <c r="J1575" s="110">
        <f t="shared" si="110"/>
        <v>0</v>
      </c>
      <c r="K1575" s="111">
        <f t="shared" si="111"/>
        <v>20</v>
      </c>
      <c r="L1575" s="110">
        <f t="shared" si="112"/>
        <v>150</v>
      </c>
      <c r="M1575" s="112"/>
    </row>
    <row r="1576" spans="2:13" s="52" customFormat="1" ht="19.5" hidden="1" customHeight="1">
      <c r="B1576" s="108">
        <v>13</v>
      </c>
      <c r="C1576" s="139" t="s">
        <v>59</v>
      </c>
      <c r="D1576" s="115" t="s">
        <v>4265</v>
      </c>
      <c r="E1576" s="115" t="s">
        <v>4330</v>
      </c>
      <c r="F1576" s="115" t="s">
        <v>1205</v>
      </c>
      <c r="G1576" s="115">
        <v>1</v>
      </c>
      <c r="H1576" s="71">
        <v>1</v>
      </c>
      <c r="I1576" s="109">
        <f t="shared" si="109"/>
        <v>75</v>
      </c>
      <c r="J1576" s="110">
        <f t="shared" si="110"/>
        <v>75</v>
      </c>
      <c r="K1576" s="111">
        <f t="shared" si="111"/>
        <v>0</v>
      </c>
      <c r="L1576" s="110">
        <f t="shared" si="112"/>
        <v>0</v>
      </c>
      <c r="M1576" s="112"/>
    </row>
    <row r="1577" spans="2:13" s="52" customFormat="1" ht="19.5" customHeight="1">
      <c r="B1577" s="108">
        <v>13</v>
      </c>
      <c r="C1577" s="108" t="s">
        <v>59</v>
      </c>
      <c r="D1577" s="115" t="s">
        <v>4266</v>
      </c>
      <c r="E1577" s="115" t="s">
        <v>4331</v>
      </c>
      <c r="F1577" s="115" t="s">
        <v>4368</v>
      </c>
      <c r="G1577" s="115">
        <v>14</v>
      </c>
      <c r="H1577" s="71">
        <v>2</v>
      </c>
      <c r="I1577" s="109">
        <f t="shared" si="109"/>
        <v>77</v>
      </c>
      <c r="J1577" s="110">
        <f t="shared" si="110"/>
        <v>11</v>
      </c>
      <c r="K1577" s="111">
        <f t="shared" si="111"/>
        <v>12</v>
      </c>
      <c r="L1577" s="110">
        <f t="shared" si="112"/>
        <v>66</v>
      </c>
      <c r="M1577" s="112"/>
    </row>
    <row r="1578" spans="2:13" s="52" customFormat="1" ht="19.5" hidden="1" customHeight="1">
      <c r="B1578" s="108">
        <v>13</v>
      </c>
      <c r="C1578" s="139" t="s">
        <v>59</v>
      </c>
      <c r="D1578" s="115" t="s">
        <v>4267</v>
      </c>
      <c r="E1578" s="115" t="s">
        <v>4332</v>
      </c>
      <c r="F1578" s="115" t="s">
        <v>4369</v>
      </c>
      <c r="G1578" s="115">
        <v>10</v>
      </c>
      <c r="H1578" s="71">
        <v>11</v>
      </c>
      <c r="I1578" s="109">
        <f t="shared" ref="I1578:I1640" si="113">F1578*G1578</f>
        <v>264.20000000000005</v>
      </c>
      <c r="J1578" s="110">
        <f t="shared" si="110"/>
        <v>290.62</v>
      </c>
      <c r="K1578" s="111">
        <f t="shared" si="111"/>
        <v>-1</v>
      </c>
      <c r="L1578" s="110">
        <f t="shared" si="112"/>
        <v>-26.419999999999959</v>
      </c>
      <c r="M1578" s="112"/>
    </row>
    <row r="1579" spans="2:13" s="52" customFormat="1" ht="19.5" hidden="1" customHeight="1">
      <c r="B1579" s="108">
        <v>13</v>
      </c>
      <c r="C1579" s="108" t="s">
        <v>59</v>
      </c>
      <c r="D1579" s="115" t="s">
        <v>4268</v>
      </c>
      <c r="E1579" s="115" t="s">
        <v>4333</v>
      </c>
      <c r="F1579" s="115" t="s">
        <v>3640</v>
      </c>
      <c r="G1579" s="115">
        <v>42</v>
      </c>
      <c r="H1579" s="71">
        <v>42</v>
      </c>
      <c r="I1579" s="109">
        <f t="shared" si="113"/>
        <v>817.74</v>
      </c>
      <c r="J1579" s="110">
        <f t="shared" si="110"/>
        <v>817.74</v>
      </c>
      <c r="K1579" s="111">
        <f t="shared" si="111"/>
        <v>0</v>
      </c>
      <c r="L1579" s="110">
        <f t="shared" si="112"/>
        <v>0</v>
      </c>
      <c r="M1579" s="112"/>
    </row>
    <row r="1580" spans="2:13" s="52" customFormat="1" ht="19.5" customHeight="1">
      <c r="B1580" s="108">
        <v>13</v>
      </c>
      <c r="C1580" s="108" t="s">
        <v>59</v>
      </c>
      <c r="D1580" s="115" t="s">
        <v>4269</v>
      </c>
      <c r="E1580" s="115" t="s">
        <v>4334</v>
      </c>
      <c r="F1580" s="115" t="s">
        <v>1639</v>
      </c>
      <c r="G1580" s="115">
        <v>29</v>
      </c>
      <c r="H1580" s="71"/>
      <c r="I1580" s="109">
        <f t="shared" si="113"/>
        <v>333.5</v>
      </c>
      <c r="J1580" s="110">
        <f t="shared" si="110"/>
        <v>0</v>
      </c>
      <c r="K1580" s="111">
        <f t="shared" si="111"/>
        <v>29</v>
      </c>
      <c r="L1580" s="110">
        <f t="shared" si="112"/>
        <v>333.5</v>
      </c>
      <c r="M1580" s="112"/>
    </row>
    <row r="1581" spans="2:13" s="52" customFormat="1" ht="19.5" customHeight="1">
      <c r="B1581" s="108">
        <v>13</v>
      </c>
      <c r="C1581" s="139" t="s">
        <v>59</v>
      </c>
      <c r="D1581" s="115" t="s">
        <v>4269</v>
      </c>
      <c r="E1581" s="115" t="s">
        <v>4334</v>
      </c>
      <c r="F1581" s="115" t="s">
        <v>1639</v>
      </c>
      <c r="G1581" s="115">
        <v>14</v>
      </c>
      <c r="H1581" s="71"/>
      <c r="I1581" s="109">
        <f t="shared" si="113"/>
        <v>161</v>
      </c>
      <c r="J1581" s="110">
        <f t="shared" si="110"/>
        <v>0</v>
      </c>
      <c r="K1581" s="111">
        <f t="shared" si="111"/>
        <v>14</v>
      </c>
      <c r="L1581" s="110">
        <f t="shared" si="112"/>
        <v>161</v>
      </c>
      <c r="M1581" s="112"/>
    </row>
    <row r="1582" spans="2:13" s="52" customFormat="1" ht="19.5" customHeight="1">
      <c r="B1582" s="108">
        <v>13</v>
      </c>
      <c r="C1582" s="108" t="s">
        <v>59</v>
      </c>
      <c r="D1582" s="115" t="s">
        <v>4270</v>
      </c>
      <c r="E1582" s="115" t="s">
        <v>4335</v>
      </c>
      <c r="F1582" s="115" t="s">
        <v>4370</v>
      </c>
      <c r="G1582" s="115">
        <v>1</v>
      </c>
      <c r="H1582" s="71"/>
      <c r="I1582" s="109">
        <f t="shared" si="113"/>
        <v>57.97</v>
      </c>
      <c r="J1582" s="110">
        <f t="shared" si="110"/>
        <v>0</v>
      </c>
      <c r="K1582" s="111">
        <f t="shared" si="111"/>
        <v>1</v>
      </c>
      <c r="L1582" s="110">
        <f t="shared" si="112"/>
        <v>57.97</v>
      </c>
      <c r="M1582" s="112"/>
    </row>
    <row r="1583" spans="2:13" s="52" customFormat="1" ht="19.5" customHeight="1">
      <c r="B1583" s="108">
        <v>13</v>
      </c>
      <c r="C1583" s="108" t="s">
        <v>59</v>
      </c>
      <c r="D1583" s="115" t="s">
        <v>4271</v>
      </c>
      <c r="E1583" s="115" t="s">
        <v>4336</v>
      </c>
      <c r="F1583" s="115" t="s">
        <v>3256</v>
      </c>
      <c r="G1583" s="115">
        <v>3</v>
      </c>
      <c r="H1583" s="71"/>
      <c r="I1583" s="109">
        <f t="shared" si="113"/>
        <v>174</v>
      </c>
      <c r="J1583" s="110">
        <f t="shared" si="110"/>
        <v>0</v>
      </c>
      <c r="K1583" s="111">
        <f t="shared" si="111"/>
        <v>3</v>
      </c>
      <c r="L1583" s="110">
        <f t="shared" si="112"/>
        <v>174</v>
      </c>
      <c r="M1583" s="112"/>
    </row>
    <row r="1584" spans="2:13" s="52" customFormat="1" ht="19.5" customHeight="1">
      <c r="B1584" s="108">
        <v>13</v>
      </c>
      <c r="C1584" s="139" t="s">
        <v>59</v>
      </c>
      <c r="D1584" s="115" t="s">
        <v>4272</v>
      </c>
      <c r="E1584" s="115" t="s">
        <v>4337</v>
      </c>
      <c r="F1584" s="115" t="s">
        <v>4371</v>
      </c>
      <c r="G1584" s="115">
        <v>1</v>
      </c>
      <c r="H1584" s="71"/>
      <c r="I1584" s="109">
        <f t="shared" si="113"/>
        <v>525</v>
      </c>
      <c r="J1584" s="110">
        <f t="shared" si="110"/>
        <v>0</v>
      </c>
      <c r="K1584" s="111">
        <f t="shared" si="111"/>
        <v>1</v>
      </c>
      <c r="L1584" s="110">
        <f t="shared" si="112"/>
        <v>525</v>
      </c>
      <c r="M1584" s="112"/>
    </row>
    <row r="1585" spans="2:13" s="52" customFormat="1" ht="19.5" customHeight="1">
      <c r="B1585" s="108">
        <v>13</v>
      </c>
      <c r="C1585" s="108" t="s">
        <v>59</v>
      </c>
      <c r="D1585" s="115" t="s">
        <v>4273</v>
      </c>
      <c r="E1585" s="115" t="s">
        <v>4338</v>
      </c>
      <c r="F1585" s="115" t="s">
        <v>4372</v>
      </c>
      <c r="G1585" s="115">
        <v>1</v>
      </c>
      <c r="H1585" s="71"/>
      <c r="I1585" s="109">
        <f t="shared" si="113"/>
        <v>11.9</v>
      </c>
      <c r="J1585" s="110">
        <f t="shared" si="110"/>
        <v>0</v>
      </c>
      <c r="K1585" s="111">
        <f t="shared" si="111"/>
        <v>1</v>
      </c>
      <c r="L1585" s="110">
        <f t="shared" si="112"/>
        <v>11.9</v>
      </c>
      <c r="M1585" s="112"/>
    </row>
    <row r="1586" spans="2:13" s="52" customFormat="1" ht="19.5" hidden="1" customHeight="1">
      <c r="B1586" s="108">
        <v>13</v>
      </c>
      <c r="C1586" s="108" t="s">
        <v>59</v>
      </c>
      <c r="D1586" s="115" t="s">
        <v>4274</v>
      </c>
      <c r="E1586" s="115" t="s">
        <v>4339</v>
      </c>
      <c r="F1586" s="115" t="s">
        <v>4373</v>
      </c>
      <c r="G1586" s="115">
        <v>1</v>
      </c>
      <c r="H1586" s="71">
        <v>7</v>
      </c>
      <c r="I1586" s="109">
        <f t="shared" si="113"/>
        <v>104.33</v>
      </c>
      <c r="J1586" s="110">
        <f t="shared" si="110"/>
        <v>730.31</v>
      </c>
      <c r="K1586" s="111">
        <f t="shared" si="111"/>
        <v>-6</v>
      </c>
      <c r="L1586" s="110">
        <f t="shared" si="112"/>
        <v>-625.9799999999999</v>
      </c>
      <c r="M1586" s="112"/>
    </row>
    <row r="1587" spans="2:13" s="52" customFormat="1" ht="19.5" customHeight="1">
      <c r="B1587" s="108">
        <v>13</v>
      </c>
      <c r="C1587" s="139" t="s">
        <v>59</v>
      </c>
      <c r="D1587" s="115" t="s">
        <v>4275</v>
      </c>
      <c r="E1587" s="115" t="s">
        <v>4340</v>
      </c>
      <c r="F1587" s="115" t="s">
        <v>4374</v>
      </c>
      <c r="G1587" s="115">
        <v>6</v>
      </c>
      <c r="H1587" s="71"/>
      <c r="I1587" s="109">
        <f t="shared" si="113"/>
        <v>251.28000000000003</v>
      </c>
      <c r="J1587" s="110">
        <f t="shared" si="110"/>
        <v>0</v>
      </c>
      <c r="K1587" s="111">
        <f t="shared" si="111"/>
        <v>6</v>
      </c>
      <c r="L1587" s="110">
        <f t="shared" si="112"/>
        <v>251.28000000000003</v>
      </c>
      <c r="M1587" s="112"/>
    </row>
    <row r="1588" spans="2:13" s="52" customFormat="1" ht="19.5" hidden="1" customHeight="1">
      <c r="B1588" s="108">
        <v>13</v>
      </c>
      <c r="C1588" s="108" t="s">
        <v>59</v>
      </c>
      <c r="D1588" s="115" t="s">
        <v>4276</v>
      </c>
      <c r="E1588" s="115" t="s">
        <v>4341</v>
      </c>
      <c r="F1588" s="115" t="s">
        <v>4375</v>
      </c>
      <c r="G1588" s="115">
        <v>72</v>
      </c>
      <c r="H1588" s="71">
        <v>96</v>
      </c>
      <c r="I1588" s="109">
        <f t="shared" si="113"/>
        <v>2856.2400000000002</v>
      </c>
      <c r="J1588" s="110">
        <f t="shared" si="110"/>
        <v>3808.32</v>
      </c>
      <c r="K1588" s="111">
        <f t="shared" si="111"/>
        <v>-24</v>
      </c>
      <c r="L1588" s="110">
        <f t="shared" si="112"/>
        <v>-952.07999999999993</v>
      </c>
      <c r="M1588" s="112"/>
    </row>
    <row r="1589" spans="2:13" s="52" customFormat="1" ht="19.5" customHeight="1">
      <c r="B1589" s="108">
        <v>13</v>
      </c>
      <c r="C1589" s="108" t="s">
        <v>59</v>
      </c>
      <c r="D1589" s="115" t="s">
        <v>4277</v>
      </c>
      <c r="E1589" s="115" t="s">
        <v>4342</v>
      </c>
      <c r="F1589" s="115" t="s">
        <v>4376</v>
      </c>
      <c r="G1589" s="115">
        <v>3</v>
      </c>
      <c r="H1589" s="71"/>
      <c r="I1589" s="109">
        <f t="shared" si="113"/>
        <v>121.5</v>
      </c>
      <c r="J1589" s="110">
        <f t="shared" si="110"/>
        <v>0</v>
      </c>
      <c r="K1589" s="111">
        <f t="shared" si="111"/>
        <v>3</v>
      </c>
      <c r="L1589" s="110">
        <f t="shared" si="112"/>
        <v>121.5</v>
      </c>
      <c r="M1589" s="112"/>
    </row>
    <row r="1590" spans="2:13" s="52" customFormat="1" ht="19.5" hidden="1" customHeight="1">
      <c r="B1590" s="108">
        <v>13</v>
      </c>
      <c r="C1590" s="139" t="s">
        <v>59</v>
      </c>
      <c r="D1590" s="115" t="s">
        <v>4278</v>
      </c>
      <c r="E1590" s="115" t="s">
        <v>4343</v>
      </c>
      <c r="F1590" s="115" t="s">
        <v>4377</v>
      </c>
      <c r="G1590" s="115">
        <v>29</v>
      </c>
      <c r="H1590" s="71">
        <v>32</v>
      </c>
      <c r="I1590" s="109">
        <f t="shared" si="113"/>
        <v>707.02</v>
      </c>
      <c r="J1590" s="110">
        <f t="shared" si="110"/>
        <v>780.16</v>
      </c>
      <c r="K1590" s="111">
        <f t="shared" si="111"/>
        <v>-3</v>
      </c>
      <c r="L1590" s="110">
        <f t="shared" si="112"/>
        <v>-73.139999999999986</v>
      </c>
      <c r="M1590" s="112"/>
    </row>
    <row r="1591" spans="2:13" s="52" customFormat="1" ht="19.5" hidden="1" customHeight="1">
      <c r="B1591" s="108">
        <v>13</v>
      </c>
      <c r="C1591" s="108" t="s">
        <v>59</v>
      </c>
      <c r="D1591" s="115" t="s">
        <v>4279</v>
      </c>
      <c r="E1591" s="115" t="s">
        <v>4344</v>
      </c>
      <c r="F1591" s="115" t="s">
        <v>4116</v>
      </c>
      <c r="G1591" s="115">
        <v>3</v>
      </c>
      <c r="H1591" s="71">
        <v>3</v>
      </c>
      <c r="I1591" s="109">
        <f t="shared" si="113"/>
        <v>270</v>
      </c>
      <c r="J1591" s="110">
        <f t="shared" si="110"/>
        <v>270</v>
      </c>
      <c r="K1591" s="111">
        <f t="shared" si="111"/>
        <v>0</v>
      </c>
      <c r="L1591" s="110">
        <f t="shared" si="112"/>
        <v>0</v>
      </c>
      <c r="M1591" s="112"/>
    </row>
    <row r="1592" spans="2:13" s="52" customFormat="1" ht="19.5" customHeight="1">
      <c r="B1592" s="108">
        <v>14</v>
      </c>
      <c r="C1592" s="139" t="s">
        <v>60</v>
      </c>
      <c r="D1592" s="115" t="s">
        <v>4378</v>
      </c>
      <c r="E1592" s="115" t="s">
        <v>4404</v>
      </c>
      <c r="F1592" s="115" t="s">
        <v>3647</v>
      </c>
      <c r="G1592" s="115">
        <v>54</v>
      </c>
      <c r="H1592" s="71"/>
      <c r="I1592" s="109">
        <f t="shared" si="113"/>
        <v>1134</v>
      </c>
      <c r="J1592" s="110">
        <f t="shared" si="110"/>
        <v>0</v>
      </c>
      <c r="K1592" s="111">
        <f t="shared" si="111"/>
        <v>54</v>
      </c>
      <c r="L1592" s="110">
        <f t="shared" si="112"/>
        <v>1134</v>
      </c>
      <c r="M1592" s="112"/>
    </row>
    <row r="1593" spans="2:13" s="52" customFormat="1" ht="19.5" hidden="1" customHeight="1">
      <c r="B1593" s="108">
        <v>14</v>
      </c>
      <c r="C1593" s="139" t="s">
        <v>60</v>
      </c>
      <c r="D1593" s="115" t="s">
        <v>4729</v>
      </c>
      <c r="E1593" s="115" t="s">
        <v>4734</v>
      </c>
      <c r="F1593" s="115" t="s">
        <v>4739</v>
      </c>
      <c r="G1593" s="115">
        <v>23</v>
      </c>
      <c r="H1593" s="71">
        <v>23</v>
      </c>
      <c r="I1593" s="109">
        <f t="shared" si="113"/>
        <v>986.01</v>
      </c>
      <c r="J1593" s="110">
        <f t="shared" si="110"/>
        <v>986.01</v>
      </c>
      <c r="K1593" s="111">
        <f t="shared" si="111"/>
        <v>0</v>
      </c>
      <c r="L1593" s="110">
        <f t="shared" si="112"/>
        <v>0</v>
      </c>
      <c r="M1593" s="112"/>
    </row>
    <row r="1594" spans="2:13" s="52" customFormat="1" ht="19.5" customHeight="1">
      <c r="B1594" s="108">
        <v>14</v>
      </c>
      <c r="C1594" s="139" t="s">
        <v>60</v>
      </c>
      <c r="D1594" s="115" t="s">
        <v>4379</v>
      </c>
      <c r="E1594" s="115" t="s">
        <v>4405</v>
      </c>
      <c r="F1594" s="115" t="s">
        <v>2459</v>
      </c>
      <c r="G1594" s="115">
        <v>12</v>
      </c>
      <c r="H1594" s="71">
        <v>11</v>
      </c>
      <c r="I1594" s="109">
        <f t="shared" si="113"/>
        <v>363</v>
      </c>
      <c r="J1594" s="110">
        <f t="shared" si="110"/>
        <v>332.75</v>
      </c>
      <c r="K1594" s="111">
        <f t="shared" si="111"/>
        <v>1</v>
      </c>
      <c r="L1594" s="110">
        <f t="shared" si="112"/>
        <v>30.25</v>
      </c>
      <c r="M1594" s="112"/>
    </row>
    <row r="1595" spans="2:13" s="52" customFormat="1" ht="19.5" hidden="1" customHeight="1">
      <c r="B1595" s="108">
        <v>14</v>
      </c>
      <c r="C1595" s="139" t="s">
        <v>60</v>
      </c>
      <c r="D1595" s="115" t="s">
        <v>4380</v>
      </c>
      <c r="E1595" s="115" t="s">
        <v>4406</v>
      </c>
      <c r="F1595" s="115" t="s">
        <v>4430</v>
      </c>
      <c r="G1595" s="115">
        <v>220</v>
      </c>
      <c r="H1595" s="71">
        <v>220</v>
      </c>
      <c r="I1595" s="109">
        <f t="shared" si="113"/>
        <v>33946</v>
      </c>
      <c r="J1595" s="110">
        <f t="shared" si="110"/>
        <v>33946</v>
      </c>
      <c r="K1595" s="111">
        <f t="shared" si="111"/>
        <v>0</v>
      </c>
      <c r="L1595" s="110">
        <f t="shared" si="112"/>
        <v>0</v>
      </c>
      <c r="M1595" s="112"/>
    </row>
    <row r="1596" spans="2:13" s="52" customFormat="1" ht="19.5" customHeight="1">
      <c r="B1596" s="108">
        <v>14</v>
      </c>
      <c r="C1596" s="139" t="s">
        <v>60</v>
      </c>
      <c r="D1596" s="115" t="s">
        <v>4381</v>
      </c>
      <c r="E1596" s="115" t="s">
        <v>4407</v>
      </c>
      <c r="F1596" s="115" t="s">
        <v>4431</v>
      </c>
      <c r="G1596" s="115">
        <v>327</v>
      </c>
      <c r="H1596" s="71">
        <f>300+26</f>
        <v>326</v>
      </c>
      <c r="I1596" s="109">
        <f t="shared" si="113"/>
        <v>41103.9</v>
      </c>
      <c r="J1596" s="110">
        <f t="shared" si="110"/>
        <v>40978.200000000004</v>
      </c>
      <c r="K1596" s="111">
        <f t="shared" si="111"/>
        <v>1</v>
      </c>
      <c r="L1596" s="110">
        <f t="shared" si="112"/>
        <v>125.69999999999709</v>
      </c>
      <c r="M1596" s="112"/>
    </row>
    <row r="1597" spans="2:13" s="52" customFormat="1" ht="19.5" hidden="1" customHeight="1">
      <c r="B1597" s="108">
        <v>14</v>
      </c>
      <c r="C1597" s="139" t="s">
        <v>60</v>
      </c>
      <c r="D1597" s="115" t="s">
        <v>4382</v>
      </c>
      <c r="E1597" s="115" t="s">
        <v>4408</v>
      </c>
      <c r="F1597" s="115" t="s">
        <v>4432</v>
      </c>
      <c r="G1597" s="115">
        <v>94</v>
      </c>
      <c r="H1597" s="71">
        <v>94</v>
      </c>
      <c r="I1597" s="109">
        <f t="shared" si="113"/>
        <v>658</v>
      </c>
      <c r="J1597" s="110">
        <f t="shared" si="110"/>
        <v>658</v>
      </c>
      <c r="K1597" s="111">
        <f t="shared" si="111"/>
        <v>0</v>
      </c>
      <c r="L1597" s="110">
        <f t="shared" si="112"/>
        <v>0</v>
      </c>
      <c r="M1597" s="112"/>
    </row>
    <row r="1598" spans="2:13" s="52" customFormat="1" ht="19.5" customHeight="1">
      <c r="B1598" s="108">
        <v>14</v>
      </c>
      <c r="C1598" s="139" t="s">
        <v>60</v>
      </c>
      <c r="D1598" s="115" t="s">
        <v>4383</v>
      </c>
      <c r="E1598" s="115" t="s">
        <v>4409</v>
      </c>
      <c r="F1598" s="115" t="s">
        <v>4433</v>
      </c>
      <c r="G1598" s="115">
        <v>2</v>
      </c>
      <c r="H1598" s="71">
        <v>1</v>
      </c>
      <c r="I1598" s="109">
        <f t="shared" si="113"/>
        <v>133.78</v>
      </c>
      <c r="J1598" s="110">
        <f t="shared" si="110"/>
        <v>66.89</v>
      </c>
      <c r="K1598" s="111">
        <f t="shared" si="111"/>
        <v>1</v>
      </c>
      <c r="L1598" s="110">
        <f t="shared" si="112"/>
        <v>66.89</v>
      </c>
      <c r="M1598" s="112"/>
    </row>
    <row r="1599" spans="2:13" s="52" customFormat="1" ht="19.5" hidden="1" customHeight="1">
      <c r="B1599" s="108">
        <v>14</v>
      </c>
      <c r="C1599" s="139" t="s">
        <v>60</v>
      </c>
      <c r="D1599" s="115" t="s">
        <v>4384</v>
      </c>
      <c r="E1599" s="115" t="s">
        <v>4410</v>
      </c>
      <c r="F1599" s="115" t="s">
        <v>3261</v>
      </c>
      <c r="G1599" s="115">
        <v>43</v>
      </c>
      <c r="H1599" s="71">
        <v>53</v>
      </c>
      <c r="I1599" s="109">
        <f t="shared" si="113"/>
        <v>258</v>
      </c>
      <c r="J1599" s="110">
        <f t="shared" ref="J1599:J1656" si="114">F1599*H1599</f>
        <v>318</v>
      </c>
      <c r="K1599" s="111">
        <f t="shared" ref="K1599:K1656" si="115">G1599-H1599</f>
        <v>-10</v>
      </c>
      <c r="L1599" s="110">
        <f t="shared" ref="L1599:L1656" si="116">I1599-J1599</f>
        <v>-60</v>
      </c>
      <c r="M1599" s="112"/>
    </row>
    <row r="1600" spans="2:13" s="52" customFormat="1" ht="19.5" customHeight="1">
      <c r="B1600" s="108">
        <v>14</v>
      </c>
      <c r="C1600" s="139" t="s">
        <v>60</v>
      </c>
      <c r="D1600" s="115" t="s">
        <v>4730</v>
      </c>
      <c r="E1600" s="115" t="s">
        <v>4735</v>
      </c>
      <c r="F1600" s="115" t="s">
        <v>4740</v>
      </c>
      <c r="G1600" s="115">
        <v>1</v>
      </c>
      <c r="H1600" s="71"/>
      <c r="I1600" s="109">
        <f t="shared" si="113"/>
        <v>4.12</v>
      </c>
      <c r="J1600" s="110">
        <f t="shared" si="114"/>
        <v>0</v>
      </c>
      <c r="K1600" s="111">
        <f t="shared" si="115"/>
        <v>1</v>
      </c>
      <c r="L1600" s="110">
        <f t="shared" si="116"/>
        <v>4.12</v>
      </c>
      <c r="M1600" s="112"/>
    </row>
    <row r="1601" spans="2:13" s="52" customFormat="1" ht="19.5" hidden="1" customHeight="1">
      <c r="B1601" s="108">
        <v>14</v>
      </c>
      <c r="C1601" s="139" t="s">
        <v>60</v>
      </c>
      <c r="D1601" s="115" t="s">
        <v>4385</v>
      </c>
      <c r="E1601" s="115" t="s">
        <v>4411</v>
      </c>
      <c r="F1601" s="115" t="s">
        <v>4740</v>
      </c>
      <c r="G1601" s="115">
        <v>1</v>
      </c>
      <c r="H1601" s="71">
        <v>1</v>
      </c>
      <c r="I1601" s="109">
        <f t="shared" si="113"/>
        <v>4.12</v>
      </c>
      <c r="J1601" s="110">
        <f t="shared" si="114"/>
        <v>4.12</v>
      </c>
      <c r="K1601" s="111">
        <f t="shared" si="115"/>
        <v>0</v>
      </c>
      <c r="L1601" s="110">
        <f t="shared" si="116"/>
        <v>0</v>
      </c>
      <c r="M1601" s="112"/>
    </row>
    <row r="1602" spans="2:13" s="52" customFormat="1" ht="19.5" hidden="1" customHeight="1">
      <c r="B1602" s="108">
        <v>14</v>
      </c>
      <c r="C1602" s="139" t="s">
        <v>60</v>
      </c>
      <c r="D1602" s="115" t="s">
        <v>4386</v>
      </c>
      <c r="E1602" s="115" t="s">
        <v>4412</v>
      </c>
      <c r="F1602" s="115" t="s">
        <v>4434</v>
      </c>
      <c r="G1602" s="115">
        <v>12</v>
      </c>
      <c r="H1602" s="71">
        <v>14</v>
      </c>
      <c r="I1602" s="109">
        <f t="shared" si="113"/>
        <v>43.2</v>
      </c>
      <c r="J1602" s="110">
        <f t="shared" si="114"/>
        <v>50.4</v>
      </c>
      <c r="K1602" s="111">
        <f t="shared" si="115"/>
        <v>-2</v>
      </c>
      <c r="L1602" s="110">
        <f t="shared" si="116"/>
        <v>-7.1999999999999957</v>
      </c>
      <c r="M1602" s="112"/>
    </row>
    <row r="1603" spans="2:13" s="52" customFormat="1" ht="19.5" hidden="1" customHeight="1">
      <c r="B1603" s="108">
        <v>14</v>
      </c>
      <c r="C1603" s="139" t="s">
        <v>60</v>
      </c>
      <c r="D1603" s="115" t="s">
        <v>4387</v>
      </c>
      <c r="E1603" s="115" t="s">
        <v>4413</v>
      </c>
      <c r="F1603" s="115" t="s">
        <v>4434</v>
      </c>
      <c r="G1603" s="115">
        <v>2</v>
      </c>
      <c r="H1603" s="71">
        <v>5</v>
      </c>
      <c r="I1603" s="109">
        <f t="shared" si="113"/>
        <v>7.2</v>
      </c>
      <c r="J1603" s="110">
        <f t="shared" si="114"/>
        <v>18</v>
      </c>
      <c r="K1603" s="111">
        <f t="shared" si="115"/>
        <v>-3</v>
      </c>
      <c r="L1603" s="110">
        <f t="shared" si="116"/>
        <v>-10.8</v>
      </c>
      <c r="M1603" s="112"/>
    </row>
    <row r="1604" spans="2:13" s="52" customFormat="1" ht="19.5" hidden="1" customHeight="1">
      <c r="B1604" s="108">
        <v>14</v>
      </c>
      <c r="C1604" s="139" t="s">
        <v>60</v>
      </c>
      <c r="D1604" s="115" t="s">
        <v>4388</v>
      </c>
      <c r="E1604" s="115" t="s">
        <v>4414</v>
      </c>
      <c r="F1604" s="115" t="s">
        <v>4432</v>
      </c>
      <c r="G1604" s="115">
        <v>6</v>
      </c>
      <c r="H1604" s="71">
        <v>6</v>
      </c>
      <c r="I1604" s="109">
        <f t="shared" si="113"/>
        <v>42</v>
      </c>
      <c r="J1604" s="110">
        <f t="shared" si="114"/>
        <v>42</v>
      </c>
      <c r="K1604" s="111">
        <f t="shared" si="115"/>
        <v>0</v>
      </c>
      <c r="L1604" s="110">
        <f t="shared" si="116"/>
        <v>0</v>
      </c>
      <c r="M1604" s="112"/>
    </row>
    <row r="1605" spans="2:13" s="52" customFormat="1" ht="19.5" customHeight="1">
      <c r="B1605" s="108">
        <v>14</v>
      </c>
      <c r="C1605" s="139" t="s">
        <v>60</v>
      </c>
      <c r="D1605" s="115" t="s">
        <v>4389</v>
      </c>
      <c r="E1605" s="115" t="s">
        <v>4415</v>
      </c>
      <c r="F1605" s="115" t="s">
        <v>4435</v>
      </c>
      <c r="G1605" s="115">
        <v>1</v>
      </c>
      <c r="H1605" s="71"/>
      <c r="I1605" s="109">
        <f t="shared" si="113"/>
        <v>20</v>
      </c>
      <c r="J1605" s="110">
        <f t="shared" si="114"/>
        <v>0</v>
      </c>
      <c r="K1605" s="111">
        <f t="shared" si="115"/>
        <v>1</v>
      </c>
      <c r="L1605" s="110">
        <f t="shared" si="116"/>
        <v>20</v>
      </c>
      <c r="M1605" s="112"/>
    </row>
    <row r="1606" spans="2:13" s="52" customFormat="1" ht="19.5" hidden="1" customHeight="1">
      <c r="B1606" s="108">
        <v>14</v>
      </c>
      <c r="C1606" s="139" t="s">
        <v>60</v>
      </c>
      <c r="D1606" s="115" t="s">
        <v>4390</v>
      </c>
      <c r="E1606" s="115" t="s">
        <v>4416</v>
      </c>
      <c r="F1606" s="115" t="s">
        <v>4436</v>
      </c>
      <c r="G1606" s="115">
        <v>6</v>
      </c>
      <c r="H1606" s="71">
        <v>11</v>
      </c>
      <c r="I1606" s="109">
        <f t="shared" si="113"/>
        <v>4.5600000000000005</v>
      </c>
      <c r="J1606" s="110">
        <f t="shared" si="114"/>
        <v>8.36</v>
      </c>
      <c r="K1606" s="111">
        <f t="shared" si="115"/>
        <v>-5</v>
      </c>
      <c r="L1606" s="110">
        <f t="shared" si="116"/>
        <v>-3.7999999999999989</v>
      </c>
      <c r="M1606" s="112"/>
    </row>
    <row r="1607" spans="2:13" s="52" customFormat="1" ht="19.5" hidden="1" customHeight="1">
      <c r="B1607" s="108">
        <v>14</v>
      </c>
      <c r="C1607" s="139" t="s">
        <v>60</v>
      </c>
      <c r="D1607" s="115" t="s">
        <v>4731</v>
      </c>
      <c r="E1607" s="115" t="s">
        <v>4736</v>
      </c>
      <c r="F1607" s="115" t="s">
        <v>4436</v>
      </c>
      <c r="G1607" s="115">
        <v>61</v>
      </c>
      <c r="H1607" s="71">
        <v>64</v>
      </c>
      <c r="I1607" s="109">
        <f t="shared" si="113"/>
        <v>46.36</v>
      </c>
      <c r="J1607" s="110">
        <f t="shared" si="114"/>
        <v>48.64</v>
      </c>
      <c r="K1607" s="111">
        <f t="shared" si="115"/>
        <v>-3</v>
      </c>
      <c r="L1607" s="110">
        <f t="shared" si="116"/>
        <v>-2.2800000000000011</v>
      </c>
      <c r="M1607" s="112"/>
    </row>
    <row r="1608" spans="2:13" s="52" customFormat="1" ht="19.5" customHeight="1">
      <c r="B1608" s="108">
        <v>14</v>
      </c>
      <c r="C1608" s="139" t="s">
        <v>60</v>
      </c>
      <c r="D1608" s="115" t="s">
        <v>4391</v>
      </c>
      <c r="E1608" s="115" t="s">
        <v>4417</v>
      </c>
      <c r="F1608" s="115" t="s">
        <v>4437</v>
      </c>
      <c r="G1608" s="115">
        <v>4</v>
      </c>
      <c r="H1608" s="71"/>
      <c r="I1608" s="109">
        <f t="shared" si="113"/>
        <v>142</v>
      </c>
      <c r="J1608" s="110">
        <f t="shared" si="114"/>
        <v>0</v>
      </c>
      <c r="K1608" s="111">
        <f t="shared" si="115"/>
        <v>4</v>
      </c>
      <c r="L1608" s="110">
        <f t="shared" si="116"/>
        <v>142</v>
      </c>
      <c r="M1608" s="112"/>
    </row>
    <row r="1609" spans="2:13" s="52" customFormat="1" ht="19.5" customHeight="1">
      <c r="B1609" s="108">
        <v>14</v>
      </c>
      <c r="C1609" s="139" t="s">
        <v>60</v>
      </c>
      <c r="D1609" s="115" t="s">
        <v>4392</v>
      </c>
      <c r="E1609" s="115" t="s">
        <v>4418</v>
      </c>
      <c r="F1609" s="115" t="s">
        <v>1198</v>
      </c>
      <c r="G1609" s="115">
        <v>1</v>
      </c>
      <c r="H1609" s="71"/>
      <c r="I1609" s="109">
        <f t="shared" si="113"/>
        <v>52.75</v>
      </c>
      <c r="J1609" s="110">
        <f t="shared" si="114"/>
        <v>0</v>
      </c>
      <c r="K1609" s="111">
        <f t="shared" si="115"/>
        <v>1</v>
      </c>
      <c r="L1609" s="110">
        <f t="shared" si="116"/>
        <v>52.75</v>
      </c>
      <c r="M1609" s="112"/>
    </row>
    <row r="1610" spans="2:13" s="52" customFormat="1" ht="19.5" customHeight="1">
      <c r="B1610" s="108">
        <v>14</v>
      </c>
      <c r="C1610" s="139" t="s">
        <v>60</v>
      </c>
      <c r="D1610" s="115" t="s">
        <v>4393</v>
      </c>
      <c r="E1610" s="115" t="s">
        <v>4419</v>
      </c>
      <c r="F1610" s="115" t="s">
        <v>3206</v>
      </c>
      <c r="G1610" s="115">
        <v>1</v>
      </c>
      <c r="H1610" s="71"/>
      <c r="I1610" s="109">
        <f t="shared" si="113"/>
        <v>5.74</v>
      </c>
      <c r="J1610" s="110">
        <f t="shared" si="114"/>
        <v>0</v>
      </c>
      <c r="K1610" s="111">
        <f t="shared" si="115"/>
        <v>1</v>
      </c>
      <c r="L1610" s="110">
        <f t="shared" si="116"/>
        <v>5.74</v>
      </c>
      <c r="M1610" s="112"/>
    </row>
    <row r="1611" spans="2:13" s="52" customFormat="1" ht="19.5" hidden="1" customHeight="1">
      <c r="B1611" s="108">
        <v>14</v>
      </c>
      <c r="C1611" s="139" t="s">
        <v>60</v>
      </c>
      <c r="D1611" s="115" t="s">
        <v>4394</v>
      </c>
      <c r="E1611" s="115" t="s">
        <v>4420</v>
      </c>
      <c r="F1611" s="115" t="s">
        <v>4438</v>
      </c>
      <c r="G1611" s="115">
        <v>2</v>
      </c>
      <c r="H1611" s="71">
        <v>2</v>
      </c>
      <c r="I1611" s="109">
        <f t="shared" si="113"/>
        <v>7.76</v>
      </c>
      <c r="J1611" s="110">
        <f t="shared" si="114"/>
        <v>7.76</v>
      </c>
      <c r="K1611" s="111">
        <f t="shared" si="115"/>
        <v>0</v>
      </c>
      <c r="L1611" s="110">
        <f t="shared" si="116"/>
        <v>0</v>
      </c>
      <c r="M1611" s="112"/>
    </row>
    <row r="1612" spans="2:13" s="52" customFormat="1" ht="19.5" hidden="1" customHeight="1">
      <c r="B1612" s="108">
        <v>14</v>
      </c>
      <c r="C1612" s="139" t="s">
        <v>60</v>
      </c>
      <c r="D1612" s="115" t="s">
        <v>4395</v>
      </c>
      <c r="E1612" s="115" t="s">
        <v>4421</v>
      </c>
      <c r="F1612" s="115" t="s">
        <v>4436</v>
      </c>
      <c r="G1612" s="115">
        <v>28</v>
      </c>
      <c r="H1612" s="71">
        <v>32</v>
      </c>
      <c r="I1612" s="109">
        <f t="shared" si="113"/>
        <v>21.28</v>
      </c>
      <c r="J1612" s="110">
        <f t="shared" si="114"/>
        <v>24.32</v>
      </c>
      <c r="K1612" s="111">
        <f t="shared" si="115"/>
        <v>-4</v>
      </c>
      <c r="L1612" s="110">
        <f t="shared" si="116"/>
        <v>-3.0399999999999991</v>
      </c>
      <c r="M1612" s="112"/>
    </row>
    <row r="1613" spans="2:13" s="52" customFormat="1" ht="19.5" hidden="1" customHeight="1">
      <c r="B1613" s="108">
        <v>14</v>
      </c>
      <c r="C1613" s="139" t="s">
        <v>60</v>
      </c>
      <c r="D1613" s="115" t="s">
        <v>4396</v>
      </c>
      <c r="E1613" s="115" t="s">
        <v>4422</v>
      </c>
      <c r="F1613" s="115" t="s">
        <v>1831</v>
      </c>
      <c r="G1613" s="115">
        <v>18</v>
      </c>
      <c r="H1613" s="71">
        <v>18</v>
      </c>
      <c r="I1613" s="109">
        <f t="shared" si="113"/>
        <v>162</v>
      </c>
      <c r="J1613" s="110">
        <f t="shared" si="114"/>
        <v>162</v>
      </c>
      <c r="K1613" s="111">
        <f t="shared" si="115"/>
        <v>0</v>
      </c>
      <c r="L1613" s="110">
        <f t="shared" si="116"/>
        <v>0</v>
      </c>
      <c r="M1613" s="112"/>
    </row>
    <row r="1614" spans="2:13" s="52" customFormat="1" ht="19.5" customHeight="1">
      <c r="B1614" s="108">
        <v>14</v>
      </c>
      <c r="C1614" s="139" t="s">
        <v>60</v>
      </c>
      <c r="D1614" s="115" t="s">
        <v>4397</v>
      </c>
      <c r="E1614" s="115" t="s">
        <v>4423</v>
      </c>
      <c r="F1614" s="115" t="s">
        <v>3263</v>
      </c>
      <c r="G1614" s="115">
        <v>15</v>
      </c>
      <c r="H1614" s="71">
        <f>9+5</f>
        <v>14</v>
      </c>
      <c r="I1614" s="109">
        <f t="shared" si="113"/>
        <v>75</v>
      </c>
      <c r="J1614" s="110">
        <f t="shared" si="114"/>
        <v>70</v>
      </c>
      <c r="K1614" s="111">
        <f t="shared" si="115"/>
        <v>1</v>
      </c>
      <c r="L1614" s="110">
        <f t="shared" si="116"/>
        <v>5</v>
      </c>
      <c r="M1614" s="112"/>
    </row>
    <row r="1615" spans="2:13" s="52" customFormat="1" ht="19.5" customHeight="1">
      <c r="B1615" s="108">
        <v>14</v>
      </c>
      <c r="C1615" s="139" t="s">
        <v>60</v>
      </c>
      <c r="D1615" s="115" t="s">
        <v>4732</v>
      </c>
      <c r="E1615" s="115" t="s">
        <v>4737</v>
      </c>
      <c r="F1615" s="115" t="s">
        <v>4741</v>
      </c>
      <c r="G1615" s="115">
        <v>3</v>
      </c>
      <c r="H1615" s="71">
        <v>2</v>
      </c>
      <c r="I1615" s="109">
        <f t="shared" si="113"/>
        <v>24.450000000000003</v>
      </c>
      <c r="J1615" s="110">
        <f t="shared" si="114"/>
        <v>16.3</v>
      </c>
      <c r="K1615" s="111">
        <f t="shared" si="115"/>
        <v>1</v>
      </c>
      <c r="L1615" s="110">
        <f t="shared" si="116"/>
        <v>8.1500000000000021</v>
      </c>
      <c r="M1615" s="112"/>
    </row>
    <row r="1616" spans="2:13" s="52" customFormat="1" ht="19.5" customHeight="1">
      <c r="B1616" s="108">
        <v>14</v>
      </c>
      <c r="C1616" s="139" t="s">
        <v>60</v>
      </c>
      <c r="D1616" s="115" t="s">
        <v>4398</v>
      </c>
      <c r="E1616" s="115" t="s">
        <v>4424</v>
      </c>
      <c r="F1616" s="115" t="s">
        <v>1637</v>
      </c>
      <c r="G1616" s="115">
        <v>6</v>
      </c>
      <c r="H1616" s="71"/>
      <c r="I1616" s="109">
        <f t="shared" si="113"/>
        <v>0</v>
      </c>
      <c r="J1616" s="110">
        <f t="shared" si="114"/>
        <v>0</v>
      </c>
      <c r="K1616" s="111">
        <f t="shared" si="115"/>
        <v>6</v>
      </c>
      <c r="L1616" s="110">
        <f t="shared" si="116"/>
        <v>0</v>
      </c>
      <c r="M1616" s="112"/>
    </row>
    <row r="1617" spans="2:13" s="52" customFormat="1" ht="19.5" hidden="1" customHeight="1">
      <c r="B1617" s="108">
        <v>14</v>
      </c>
      <c r="C1617" s="139" t="s">
        <v>60</v>
      </c>
      <c r="D1617" s="115" t="s">
        <v>4733</v>
      </c>
      <c r="E1617" s="115" t="s">
        <v>4738</v>
      </c>
      <c r="F1617" s="115" t="s">
        <v>4742</v>
      </c>
      <c r="G1617" s="115">
        <v>1</v>
      </c>
      <c r="H1617" s="71">
        <v>1</v>
      </c>
      <c r="I1617" s="109">
        <f t="shared" si="113"/>
        <v>6.03</v>
      </c>
      <c r="J1617" s="110">
        <f t="shared" si="114"/>
        <v>6.03</v>
      </c>
      <c r="K1617" s="111">
        <f t="shared" si="115"/>
        <v>0</v>
      </c>
      <c r="L1617" s="110">
        <f t="shared" si="116"/>
        <v>0</v>
      </c>
      <c r="M1617" s="112"/>
    </row>
    <row r="1618" spans="2:13" s="52" customFormat="1" ht="19.5" hidden="1" customHeight="1">
      <c r="B1618" s="108">
        <v>14</v>
      </c>
      <c r="C1618" s="139" t="s">
        <v>60</v>
      </c>
      <c r="D1618" s="115" t="s">
        <v>4399</v>
      </c>
      <c r="E1618" s="115" t="s">
        <v>4425</v>
      </c>
      <c r="F1618" s="115" t="s">
        <v>1831</v>
      </c>
      <c r="G1618" s="115">
        <v>1</v>
      </c>
      <c r="H1618" s="71">
        <v>1</v>
      </c>
      <c r="I1618" s="109">
        <f t="shared" si="113"/>
        <v>9</v>
      </c>
      <c r="J1618" s="110">
        <f t="shared" si="114"/>
        <v>9</v>
      </c>
      <c r="K1618" s="111">
        <f t="shared" si="115"/>
        <v>0</v>
      </c>
      <c r="L1618" s="110">
        <f t="shared" si="116"/>
        <v>0</v>
      </c>
      <c r="M1618" s="112"/>
    </row>
    <row r="1619" spans="2:13" s="52" customFormat="1" ht="19.5" hidden="1" customHeight="1">
      <c r="B1619" s="108">
        <v>14</v>
      </c>
      <c r="C1619" s="139" t="s">
        <v>60</v>
      </c>
      <c r="D1619" s="115" t="s">
        <v>4400</v>
      </c>
      <c r="E1619" s="115" t="s">
        <v>4426</v>
      </c>
      <c r="F1619" s="115" t="s">
        <v>4439</v>
      </c>
      <c r="G1619" s="115">
        <v>1</v>
      </c>
      <c r="H1619" s="71">
        <v>1</v>
      </c>
      <c r="I1619" s="109">
        <f t="shared" si="113"/>
        <v>10.7</v>
      </c>
      <c r="J1619" s="110">
        <f t="shared" si="114"/>
        <v>10.7</v>
      </c>
      <c r="K1619" s="111">
        <f t="shared" si="115"/>
        <v>0</v>
      </c>
      <c r="L1619" s="110">
        <f t="shared" si="116"/>
        <v>0</v>
      </c>
      <c r="M1619" s="112"/>
    </row>
    <row r="1620" spans="2:13" s="52" customFormat="1" ht="19.5" hidden="1" customHeight="1">
      <c r="B1620" s="108">
        <v>14</v>
      </c>
      <c r="C1620" s="139" t="s">
        <v>60</v>
      </c>
      <c r="D1620" s="115" t="s">
        <v>4401</v>
      </c>
      <c r="E1620" s="115" t="s">
        <v>4427</v>
      </c>
      <c r="F1620" s="115" t="s">
        <v>4440</v>
      </c>
      <c r="G1620" s="115">
        <v>8</v>
      </c>
      <c r="H1620" s="71">
        <v>8</v>
      </c>
      <c r="I1620" s="109">
        <f t="shared" si="113"/>
        <v>88.96</v>
      </c>
      <c r="J1620" s="110">
        <f t="shared" si="114"/>
        <v>88.96</v>
      </c>
      <c r="K1620" s="111">
        <f t="shared" si="115"/>
        <v>0</v>
      </c>
      <c r="L1620" s="110">
        <f t="shared" si="116"/>
        <v>0</v>
      </c>
      <c r="M1620" s="112"/>
    </row>
    <row r="1621" spans="2:13" s="52" customFormat="1" ht="19.5" customHeight="1">
      <c r="B1621" s="108">
        <v>14</v>
      </c>
      <c r="C1621" s="139" t="s">
        <v>60</v>
      </c>
      <c r="D1621" s="115" t="s">
        <v>4402</v>
      </c>
      <c r="E1621" s="115" t="s">
        <v>4428</v>
      </c>
      <c r="F1621" s="115" t="s">
        <v>3269</v>
      </c>
      <c r="G1621" s="115">
        <v>212</v>
      </c>
      <c r="H1621" s="71">
        <v>102</v>
      </c>
      <c r="I1621" s="109">
        <f t="shared" si="113"/>
        <v>5300</v>
      </c>
      <c r="J1621" s="110">
        <f t="shared" si="114"/>
        <v>2550</v>
      </c>
      <c r="K1621" s="111">
        <f t="shared" si="115"/>
        <v>110</v>
      </c>
      <c r="L1621" s="110">
        <f t="shared" si="116"/>
        <v>2750</v>
      </c>
      <c r="M1621" s="112"/>
    </row>
    <row r="1622" spans="2:13" s="52" customFormat="1" ht="19.5" hidden="1" customHeight="1">
      <c r="B1622" s="108">
        <v>14</v>
      </c>
      <c r="C1622" s="139" t="s">
        <v>60</v>
      </c>
      <c r="D1622" s="115" t="s">
        <v>4403</v>
      </c>
      <c r="E1622" s="115" t="s">
        <v>4429</v>
      </c>
      <c r="F1622" s="115" t="s">
        <v>4080</v>
      </c>
      <c r="G1622" s="115">
        <v>2</v>
      </c>
      <c r="H1622" s="71">
        <v>2</v>
      </c>
      <c r="I1622" s="109">
        <f t="shared" si="113"/>
        <v>288</v>
      </c>
      <c r="J1622" s="110">
        <f t="shared" si="114"/>
        <v>288</v>
      </c>
      <c r="K1622" s="111">
        <f t="shared" si="115"/>
        <v>0</v>
      </c>
      <c r="L1622" s="110">
        <f t="shared" si="116"/>
        <v>0</v>
      </c>
      <c r="M1622" s="112"/>
    </row>
    <row r="1623" spans="2:13" s="52" customFormat="1" ht="19.5" customHeight="1">
      <c r="B1623" s="108">
        <v>15</v>
      </c>
      <c r="C1623" s="139" t="s">
        <v>61</v>
      </c>
      <c r="D1623" s="115" t="s">
        <v>4441</v>
      </c>
      <c r="E1623" s="115" t="s">
        <v>4481</v>
      </c>
      <c r="F1623" s="115" t="s">
        <v>4521</v>
      </c>
      <c r="G1623" s="115">
        <v>1</v>
      </c>
      <c r="H1623" s="71"/>
      <c r="I1623" s="109">
        <f t="shared" si="113"/>
        <v>89.75</v>
      </c>
      <c r="J1623" s="110">
        <f t="shared" si="114"/>
        <v>0</v>
      </c>
      <c r="K1623" s="111">
        <f t="shared" si="115"/>
        <v>1</v>
      </c>
      <c r="L1623" s="110">
        <f t="shared" si="116"/>
        <v>89.75</v>
      </c>
      <c r="M1623" s="112"/>
    </row>
    <row r="1624" spans="2:13" s="52" customFormat="1" ht="19.5" hidden="1" customHeight="1">
      <c r="B1624" s="108">
        <v>15</v>
      </c>
      <c r="C1624" s="139" t="s">
        <v>61</v>
      </c>
      <c r="D1624" s="115" t="s">
        <v>4442</v>
      </c>
      <c r="E1624" s="115" t="s">
        <v>4482</v>
      </c>
      <c r="F1624" s="115" t="s">
        <v>4522</v>
      </c>
      <c r="G1624" s="115">
        <v>6</v>
      </c>
      <c r="H1624" s="71">
        <v>6</v>
      </c>
      <c r="I1624" s="109">
        <f t="shared" si="113"/>
        <v>784.5</v>
      </c>
      <c r="J1624" s="110">
        <f t="shared" si="114"/>
        <v>784.5</v>
      </c>
      <c r="K1624" s="111">
        <f t="shared" si="115"/>
        <v>0</v>
      </c>
      <c r="L1624" s="110">
        <f t="shared" si="116"/>
        <v>0</v>
      </c>
      <c r="M1624" s="112"/>
    </row>
    <row r="1625" spans="2:13" s="52" customFormat="1" ht="19.5" customHeight="1">
      <c r="B1625" s="108">
        <v>15</v>
      </c>
      <c r="C1625" s="139" t="s">
        <v>61</v>
      </c>
      <c r="D1625" s="115" t="s">
        <v>4443</v>
      </c>
      <c r="E1625" s="115" t="s">
        <v>4483</v>
      </c>
      <c r="F1625" s="115" t="s">
        <v>4523</v>
      </c>
      <c r="G1625" s="115">
        <v>5</v>
      </c>
      <c r="H1625" s="71"/>
      <c r="I1625" s="109">
        <f t="shared" si="113"/>
        <v>191.64999999999998</v>
      </c>
      <c r="J1625" s="110">
        <f t="shared" si="114"/>
        <v>0</v>
      </c>
      <c r="K1625" s="111">
        <f t="shared" si="115"/>
        <v>5</v>
      </c>
      <c r="L1625" s="110">
        <f t="shared" si="116"/>
        <v>191.64999999999998</v>
      </c>
      <c r="M1625" s="112"/>
    </row>
    <row r="1626" spans="2:13" s="52" customFormat="1" ht="19.5" hidden="1" customHeight="1">
      <c r="B1626" s="108">
        <v>15</v>
      </c>
      <c r="C1626" s="139" t="s">
        <v>61</v>
      </c>
      <c r="D1626" s="115" t="s">
        <v>4444</v>
      </c>
      <c r="E1626" s="115" t="s">
        <v>4484</v>
      </c>
      <c r="F1626" s="115" t="s">
        <v>4524</v>
      </c>
      <c r="G1626" s="115">
        <v>6</v>
      </c>
      <c r="H1626" s="71">
        <v>7</v>
      </c>
      <c r="I1626" s="109">
        <f t="shared" si="113"/>
        <v>101.69999999999999</v>
      </c>
      <c r="J1626" s="110">
        <f t="shared" si="114"/>
        <v>118.64999999999999</v>
      </c>
      <c r="K1626" s="111">
        <f t="shared" si="115"/>
        <v>-1</v>
      </c>
      <c r="L1626" s="110">
        <f t="shared" si="116"/>
        <v>-16.950000000000003</v>
      </c>
      <c r="M1626" s="112"/>
    </row>
    <row r="1627" spans="2:13" s="52" customFormat="1" ht="19.5" hidden="1" customHeight="1">
      <c r="B1627" s="108">
        <v>15</v>
      </c>
      <c r="C1627" s="139" t="s">
        <v>61</v>
      </c>
      <c r="D1627" s="115" t="s">
        <v>4445</v>
      </c>
      <c r="E1627" s="115" t="s">
        <v>4485</v>
      </c>
      <c r="F1627" s="115" t="s">
        <v>4524</v>
      </c>
      <c r="G1627" s="115">
        <v>28</v>
      </c>
      <c r="H1627" s="71">
        <v>28</v>
      </c>
      <c r="I1627" s="109">
        <f t="shared" si="113"/>
        <v>474.59999999999997</v>
      </c>
      <c r="J1627" s="110">
        <f t="shared" si="114"/>
        <v>474.59999999999997</v>
      </c>
      <c r="K1627" s="111">
        <f t="shared" si="115"/>
        <v>0</v>
      </c>
      <c r="L1627" s="110">
        <f t="shared" si="116"/>
        <v>0</v>
      </c>
      <c r="M1627" s="112"/>
    </row>
    <row r="1628" spans="2:13" s="52" customFormat="1" ht="19.5" hidden="1" customHeight="1">
      <c r="B1628" s="108">
        <v>15</v>
      </c>
      <c r="C1628" s="139" t="s">
        <v>61</v>
      </c>
      <c r="D1628" s="115" t="s">
        <v>4446</v>
      </c>
      <c r="E1628" s="115" t="s">
        <v>4486</v>
      </c>
      <c r="F1628" s="115" t="s">
        <v>4524</v>
      </c>
      <c r="G1628" s="115">
        <v>18</v>
      </c>
      <c r="H1628" s="71">
        <v>18</v>
      </c>
      <c r="I1628" s="109">
        <f t="shared" si="113"/>
        <v>305.09999999999997</v>
      </c>
      <c r="J1628" s="110">
        <f t="shared" si="114"/>
        <v>305.09999999999997</v>
      </c>
      <c r="K1628" s="111">
        <f t="shared" si="115"/>
        <v>0</v>
      </c>
      <c r="L1628" s="110">
        <f t="shared" si="116"/>
        <v>0</v>
      </c>
      <c r="M1628" s="112"/>
    </row>
    <row r="1629" spans="2:13" s="52" customFormat="1" ht="19.5" customHeight="1">
      <c r="B1629" s="108">
        <v>15</v>
      </c>
      <c r="C1629" s="139" t="s">
        <v>61</v>
      </c>
      <c r="D1629" s="115" t="s">
        <v>4447</v>
      </c>
      <c r="E1629" s="115" t="s">
        <v>4487</v>
      </c>
      <c r="F1629" s="115" t="s">
        <v>4525</v>
      </c>
      <c r="G1629" s="115">
        <v>43</v>
      </c>
      <c r="H1629" s="71">
        <v>35</v>
      </c>
      <c r="I1629" s="109">
        <f t="shared" si="113"/>
        <v>2306.52</v>
      </c>
      <c r="J1629" s="110">
        <f t="shared" si="114"/>
        <v>1877.4</v>
      </c>
      <c r="K1629" s="111">
        <f t="shared" si="115"/>
        <v>8</v>
      </c>
      <c r="L1629" s="110">
        <f t="shared" si="116"/>
        <v>429.11999999999989</v>
      </c>
      <c r="M1629" s="112"/>
    </row>
    <row r="1630" spans="2:13" s="52" customFormat="1" ht="19.5" customHeight="1">
      <c r="B1630" s="108">
        <v>15</v>
      </c>
      <c r="C1630" s="139" t="s">
        <v>61</v>
      </c>
      <c r="D1630" s="115" t="s">
        <v>4448</v>
      </c>
      <c r="E1630" s="115" t="s">
        <v>4488</v>
      </c>
      <c r="F1630" s="115" t="s">
        <v>4526</v>
      </c>
      <c r="G1630" s="115">
        <v>7</v>
      </c>
      <c r="H1630" s="71"/>
      <c r="I1630" s="109">
        <f t="shared" si="113"/>
        <v>566.30000000000007</v>
      </c>
      <c r="J1630" s="110">
        <f t="shared" si="114"/>
        <v>0</v>
      </c>
      <c r="K1630" s="111">
        <f t="shared" si="115"/>
        <v>7</v>
      </c>
      <c r="L1630" s="110">
        <f t="shared" si="116"/>
        <v>566.30000000000007</v>
      </c>
      <c r="M1630" s="112"/>
    </row>
    <row r="1631" spans="2:13" s="52" customFormat="1" ht="19.5" customHeight="1">
      <c r="B1631" s="108">
        <v>15</v>
      </c>
      <c r="C1631" s="139" t="s">
        <v>61</v>
      </c>
      <c r="D1631" s="108" t="s">
        <v>4449</v>
      </c>
      <c r="E1631" s="108" t="s">
        <v>4489</v>
      </c>
      <c r="F1631" s="108" t="s">
        <v>1189</v>
      </c>
      <c r="G1631" s="108">
        <v>8</v>
      </c>
      <c r="H1631" s="71"/>
      <c r="I1631" s="109">
        <f t="shared" si="113"/>
        <v>800</v>
      </c>
      <c r="J1631" s="110">
        <f t="shared" si="114"/>
        <v>0</v>
      </c>
      <c r="K1631" s="111">
        <f t="shared" si="115"/>
        <v>8</v>
      </c>
      <c r="L1631" s="110">
        <f t="shared" si="116"/>
        <v>800</v>
      </c>
      <c r="M1631" s="112"/>
    </row>
    <row r="1632" spans="2:13" s="52" customFormat="1" ht="19.5" hidden="1" customHeight="1">
      <c r="B1632" s="108">
        <v>15</v>
      </c>
      <c r="C1632" s="139" t="s">
        <v>61</v>
      </c>
      <c r="D1632" s="108" t="s">
        <v>4450</v>
      </c>
      <c r="E1632" s="108" t="s">
        <v>4490</v>
      </c>
      <c r="F1632" s="108" t="s">
        <v>4527</v>
      </c>
      <c r="G1632" s="108">
        <v>79</v>
      </c>
      <c r="H1632" s="71">
        <f>3+76</f>
        <v>79</v>
      </c>
      <c r="I1632" s="109">
        <f t="shared" si="113"/>
        <v>1528.65</v>
      </c>
      <c r="J1632" s="110">
        <f t="shared" si="114"/>
        <v>1528.65</v>
      </c>
      <c r="K1632" s="111">
        <f t="shared" si="115"/>
        <v>0</v>
      </c>
      <c r="L1632" s="110">
        <f t="shared" si="116"/>
        <v>0</v>
      </c>
      <c r="M1632" s="112"/>
    </row>
    <row r="1633" spans="2:13" s="52" customFormat="1" ht="19.5" hidden="1" customHeight="1">
      <c r="B1633" s="108">
        <v>15</v>
      </c>
      <c r="C1633" s="139" t="s">
        <v>61</v>
      </c>
      <c r="D1633" s="108" t="s">
        <v>4451</v>
      </c>
      <c r="E1633" s="108" t="s">
        <v>4491</v>
      </c>
      <c r="F1633" s="108" t="s">
        <v>833</v>
      </c>
      <c r="G1633" s="108">
        <v>14</v>
      </c>
      <c r="H1633" s="71">
        <v>14</v>
      </c>
      <c r="I1633" s="109">
        <f t="shared" si="113"/>
        <v>1190</v>
      </c>
      <c r="J1633" s="110">
        <f t="shared" si="114"/>
        <v>1190</v>
      </c>
      <c r="K1633" s="111">
        <f t="shared" si="115"/>
        <v>0</v>
      </c>
      <c r="L1633" s="110">
        <f t="shared" si="116"/>
        <v>0</v>
      </c>
      <c r="M1633" s="112"/>
    </row>
    <row r="1634" spans="2:13" s="52" customFormat="1" ht="19.5" customHeight="1">
      <c r="B1634" s="108">
        <v>15</v>
      </c>
      <c r="C1634" s="139" t="s">
        <v>61</v>
      </c>
      <c r="D1634" s="108" t="s">
        <v>4452</v>
      </c>
      <c r="E1634" s="108" t="s">
        <v>4492</v>
      </c>
      <c r="F1634" s="108" t="s">
        <v>3263</v>
      </c>
      <c r="G1634" s="108">
        <v>141</v>
      </c>
      <c r="H1634" s="71">
        <v>22</v>
      </c>
      <c r="I1634" s="109">
        <f t="shared" si="113"/>
        <v>705</v>
      </c>
      <c r="J1634" s="110">
        <f t="shared" si="114"/>
        <v>110</v>
      </c>
      <c r="K1634" s="111">
        <f t="shared" si="115"/>
        <v>119</v>
      </c>
      <c r="L1634" s="110">
        <f t="shared" si="116"/>
        <v>595</v>
      </c>
      <c r="M1634" s="112"/>
    </row>
    <row r="1635" spans="2:13" s="52" customFormat="1" ht="19.5" customHeight="1">
      <c r="B1635" s="108">
        <v>15</v>
      </c>
      <c r="C1635" s="139" t="s">
        <v>61</v>
      </c>
      <c r="D1635" s="108" t="s">
        <v>4453</v>
      </c>
      <c r="E1635" s="108" t="s">
        <v>4493</v>
      </c>
      <c r="F1635" s="108" t="s">
        <v>4432</v>
      </c>
      <c r="G1635" s="108">
        <v>3</v>
      </c>
      <c r="H1635" s="71">
        <v>1</v>
      </c>
      <c r="I1635" s="109">
        <f t="shared" si="113"/>
        <v>21</v>
      </c>
      <c r="J1635" s="110">
        <f t="shared" si="114"/>
        <v>7</v>
      </c>
      <c r="K1635" s="111">
        <f t="shared" si="115"/>
        <v>2</v>
      </c>
      <c r="L1635" s="110">
        <f t="shared" si="116"/>
        <v>14</v>
      </c>
      <c r="M1635" s="112"/>
    </row>
    <row r="1636" spans="2:13" s="52" customFormat="1" ht="19.5" customHeight="1">
      <c r="B1636" s="108">
        <v>15</v>
      </c>
      <c r="C1636" s="139" t="s">
        <v>61</v>
      </c>
      <c r="D1636" s="108" t="s">
        <v>4454</v>
      </c>
      <c r="E1636" s="108" t="s">
        <v>4494</v>
      </c>
      <c r="F1636" s="108" t="s">
        <v>3261</v>
      </c>
      <c r="G1636" s="108">
        <v>38</v>
      </c>
      <c r="H1636" s="71">
        <v>4</v>
      </c>
      <c r="I1636" s="109">
        <f t="shared" si="113"/>
        <v>228</v>
      </c>
      <c r="J1636" s="110">
        <f t="shared" si="114"/>
        <v>24</v>
      </c>
      <c r="K1636" s="111">
        <f t="shared" si="115"/>
        <v>34</v>
      </c>
      <c r="L1636" s="110">
        <f t="shared" si="116"/>
        <v>204</v>
      </c>
      <c r="M1636" s="112"/>
    </row>
    <row r="1637" spans="2:13" s="52" customFormat="1" ht="19.5" hidden="1" customHeight="1">
      <c r="B1637" s="108">
        <v>15</v>
      </c>
      <c r="C1637" s="139" t="s">
        <v>61</v>
      </c>
      <c r="D1637" s="108" t="s">
        <v>4455</v>
      </c>
      <c r="E1637" s="108" t="s">
        <v>4495</v>
      </c>
      <c r="F1637" s="108" t="s">
        <v>3261</v>
      </c>
      <c r="G1637" s="108">
        <v>59</v>
      </c>
      <c r="H1637" s="71">
        <v>125</v>
      </c>
      <c r="I1637" s="109">
        <f t="shared" si="113"/>
        <v>354</v>
      </c>
      <c r="J1637" s="110">
        <f t="shared" si="114"/>
        <v>750</v>
      </c>
      <c r="K1637" s="111">
        <f t="shared" si="115"/>
        <v>-66</v>
      </c>
      <c r="L1637" s="110">
        <f t="shared" si="116"/>
        <v>-396</v>
      </c>
      <c r="M1637" s="112"/>
    </row>
    <row r="1638" spans="2:13" s="52" customFormat="1" ht="19.5" customHeight="1">
      <c r="B1638" s="108">
        <v>15</v>
      </c>
      <c r="C1638" s="139" t="s">
        <v>61</v>
      </c>
      <c r="D1638" s="108" t="s">
        <v>4456</v>
      </c>
      <c r="E1638" s="108" t="s">
        <v>4496</v>
      </c>
      <c r="F1638" s="108" t="s">
        <v>1396</v>
      </c>
      <c r="G1638" s="108">
        <v>56</v>
      </c>
      <c r="H1638" s="71">
        <v>41</v>
      </c>
      <c r="I1638" s="109">
        <f t="shared" si="113"/>
        <v>448</v>
      </c>
      <c r="J1638" s="110">
        <f t="shared" si="114"/>
        <v>328</v>
      </c>
      <c r="K1638" s="111">
        <f t="shared" si="115"/>
        <v>15</v>
      </c>
      <c r="L1638" s="110">
        <f t="shared" si="116"/>
        <v>120</v>
      </c>
      <c r="M1638" s="112"/>
    </row>
    <row r="1639" spans="2:13" s="52" customFormat="1" ht="19.5" hidden="1" customHeight="1">
      <c r="B1639" s="108">
        <v>15</v>
      </c>
      <c r="C1639" s="139" t="s">
        <v>61</v>
      </c>
      <c r="D1639" s="108" t="s">
        <v>4457</v>
      </c>
      <c r="E1639" s="108" t="s">
        <v>4497</v>
      </c>
      <c r="F1639" s="108" t="s">
        <v>4528</v>
      </c>
      <c r="G1639" s="108">
        <v>2</v>
      </c>
      <c r="H1639" s="71">
        <v>2</v>
      </c>
      <c r="I1639" s="109">
        <f t="shared" si="113"/>
        <v>3800</v>
      </c>
      <c r="J1639" s="110">
        <f t="shared" si="114"/>
        <v>3800</v>
      </c>
      <c r="K1639" s="111">
        <f t="shared" si="115"/>
        <v>0</v>
      </c>
      <c r="L1639" s="110">
        <f t="shared" si="116"/>
        <v>0</v>
      </c>
      <c r="M1639" s="112"/>
    </row>
    <row r="1640" spans="2:13" s="52" customFormat="1" ht="19.5" hidden="1" customHeight="1">
      <c r="B1640" s="108">
        <v>15</v>
      </c>
      <c r="C1640" s="139" t="s">
        <v>61</v>
      </c>
      <c r="D1640" s="108" t="s">
        <v>4458</v>
      </c>
      <c r="E1640" s="108" t="s">
        <v>4498</v>
      </c>
      <c r="F1640" s="108" t="s">
        <v>4529</v>
      </c>
      <c r="G1640" s="108">
        <v>2</v>
      </c>
      <c r="H1640" s="71">
        <f>2+7</f>
        <v>9</v>
      </c>
      <c r="I1640" s="109">
        <f t="shared" si="113"/>
        <v>2196</v>
      </c>
      <c r="J1640" s="110">
        <f t="shared" si="114"/>
        <v>9882</v>
      </c>
      <c r="K1640" s="111">
        <f t="shared" si="115"/>
        <v>-7</v>
      </c>
      <c r="L1640" s="110">
        <f t="shared" si="116"/>
        <v>-7686</v>
      </c>
      <c r="M1640" s="112"/>
    </row>
    <row r="1641" spans="2:13" s="52" customFormat="1" ht="19.5" customHeight="1">
      <c r="B1641" s="108">
        <v>15</v>
      </c>
      <c r="C1641" s="139" t="s">
        <v>61</v>
      </c>
      <c r="D1641" s="108" t="s">
        <v>4459</v>
      </c>
      <c r="E1641" s="108" t="s">
        <v>4499</v>
      </c>
      <c r="F1641" s="108" t="s">
        <v>1163</v>
      </c>
      <c r="G1641" s="108">
        <v>21</v>
      </c>
      <c r="H1641" s="71"/>
      <c r="I1641" s="109">
        <f t="shared" ref="I1641:I1692" si="117">F1641*G1641</f>
        <v>735</v>
      </c>
      <c r="J1641" s="110">
        <f t="shared" si="114"/>
        <v>0</v>
      </c>
      <c r="K1641" s="111">
        <f t="shared" si="115"/>
        <v>21</v>
      </c>
      <c r="L1641" s="110">
        <f t="shared" si="116"/>
        <v>735</v>
      </c>
      <c r="M1641" s="112"/>
    </row>
    <row r="1642" spans="2:13" s="52" customFormat="1" ht="19.5" customHeight="1">
      <c r="B1642" s="108">
        <v>15</v>
      </c>
      <c r="C1642" s="139" t="s">
        <v>61</v>
      </c>
      <c r="D1642" s="108" t="s">
        <v>4460</v>
      </c>
      <c r="E1642" s="108" t="s">
        <v>4500</v>
      </c>
      <c r="F1642" s="108" t="s">
        <v>1396</v>
      </c>
      <c r="G1642" s="108">
        <v>5</v>
      </c>
      <c r="H1642" s="71"/>
      <c r="I1642" s="109">
        <f t="shared" si="117"/>
        <v>40</v>
      </c>
      <c r="J1642" s="110">
        <f t="shared" si="114"/>
        <v>0</v>
      </c>
      <c r="K1642" s="111">
        <f t="shared" si="115"/>
        <v>5</v>
      </c>
      <c r="L1642" s="110">
        <f t="shared" si="116"/>
        <v>40</v>
      </c>
      <c r="M1642" s="112"/>
    </row>
    <row r="1643" spans="2:13" s="52" customFormat="1" ht="19.5" customHeight="1">
      <c r="B1643" s="108">
        <v>15</v>
      </c>
      <c r="C1643" s="139" t="s">
        <v>61</v>
      </c>
      <c r="D1643" s="108" t="s">
        <v>4461</v>
      </c>
      <c r="E1643" s="108" t="s">
        <v>4501</v>
      </c>
      <c r="F1643" s="108" t="s">
        <v>4363</v>
      </c>
      <c r="G1643" s="108">
        <v>5</v>
      </c>
      <c r="H1643" s="71"/>
      <c r="I1643" s="109">
        <f t="shared" si="117"/>
        <v>55</v>
      </c>
      <c r="J1643" s="110">
        <f t="shared" si="114"/>
        <v>0</v>
      </c>
      <c r="K1643" s="111">
        <f t="shared" si="115"/>
        <v>5</v>
      </c>
      <c r="L1643" s="110">
        <f t="shared" si="116"/>
        <v>55</v>
      </c>
      <c r="M1643" s="112"/>
    </row>
    <row r="1644" spans="2:13" s="52" customFormat="1" ht="19.5" hidden="1" customHeight="1">
      <c r="B1644" s="108">
        <v>15</v>
      </c>
      <c r="C1644" s="139" t="s">
        <v>61</v>
      </c>
      <c r="D1644" s="108" t="s">
        <v>4462</v>
      </c>
      <c r="E1644" s="108" t="s">
        <v>4502</v>
      </c>
      <c r="F1644" s="108" t="s">
        <v>3246</v>
      </c>
      <c r="G1644" s="108">
        <v>1</v>
      </c>
      <c r="H1644" s="71">
        <v>1</v>
      </c>
      <c r="I1644" s="109">
        <f t="shared" si="117"/>
        <v>30</v>
      </c>
      <c r="J1644" s="110">
        <f t="shared" si="114"/>
        <v>30</v>
      </c>
      <c r="K1644" s="111">
        <f t="shared" si="115"/>
        <v>0</v>
      </c>
      <c r="L1644" s="110">
        <f t="shared" si="116"/>
        <v>0</v>
      </c>
      <c r="M1644" s="112"/>
    </row>
    <row r="1645" spans="2:13" s="52" customFormat="1" ht="19.5" customHeight="1">
      <c r="B1645" s="108">
        <v>15</v>
      </c>
      <c r="C1645" s="139" t="s">
        <v>61</v>
      </c>
      <c r="D1645" s="108" t="s">
        <v>4463</v>
      </c>
      <c r="E1645" s="108" t="s">
        <v>4503</v>
      </c>
      <c r="F1645" s="108" t="s">
        <v>4111</v>
      </c>
      <c r="G1645" s="108">
        <v>9</v>
      </c>
      <c r="H1645" s="71">
        <v>1</v>
      </c>
      <c r="I1645" s="109">
        <f t="shared" si="117"/>
        <v>1170</v>
      </c>
      <c r="J1645" s="110">
        <f t="shared" si="114"/>
        <v>130</v>
      </c>
      <c r="K1645" s="111">
        <f t="shared" si="115"/>
        <v>8</v>
      </c>
      <c r="L1645" s="110">
        <f t="shared" si="116"/>
        <v>1040</v>
      </c>
      <c r="M1645" s="112"/>
    </row>
    <row r="1646" spans="2:13" s="52" customFormat="1" ht="19.5" customHeight="1">
      <c r="B1646" s="108">
        <v>15</v>
      </c>
      <c r="C1646" s="139" t="s">
        <v>61</v>
      </c>
      <c r="D1646" s="108" t="s">
        <v>4464</v>
      </c>
      <c r="E1646" s="108" t="s">
        <v>4504</v>
      </c>
      <c r="F1646" s="108" t="s">
        <v>4530</v>
      </c>
      <c r="G1646" s="108">
        <v>1</v>
      </c>
      <c r="H1646" s="71"/>
      <c r="I1646" s="109">
        <f t="shared" si="117"/>
        <v>320</v>
      </c>
      <c r="J1646" s="110">
        <f t="shared" si="114"/>
        <v>0</v>
      </c>
      <c r="K1646" s="111">
        <f t="shared" si="115"/>
        <v>1</v>
      </c>
      <c r="L1646" s="110">
        <f t="shared" si="116"/>
        <v>320</v>
      </c>
      <c r="M1646" s="112"/>
    </row>
    <row r="1647" spans="2:13" s="52" customFormat="1" ht="19.5" customHeight="1">
      <c r="B1647" s="108">
        <v>15</v>
      </c>
      <c r="C1647" s="139" t="s">
        <v>61</v>
      </c>
      <c r="D1647" s="108" t="s">
        <v>4465</v>
      </c>
      <c r="E1647" s="108" t="s">
        <v>4505</v>
      </c>
      <c r="F1647" s="108" t="s">
        <v>1804</v>
      </c>
      <c r="G1647" s="108">
        <v>9</v>
      </c>
      <c r="H1647" s="71"/>
      <c r="I1647" s="109">
        <f t="shared" si="117"/>
        <v>1260</v>
      </c>
      <c r="J1647" s="110">
        <f t="shared" si="114"/>
        <v>0</v>
      </c>
      <c r="K1647" s="111">
        <f t="shared" si="115"/>
        <v>9</v>
      </c>
      <c r="L1647" s="110">
        <f t="shared" si="116"/>
        <v>1260</v>
      </c>
      <c r="M1647" s="112"/>
    </row>
    <row r="1648" spans="2:13" s="52" customFormat="1" ht="19.5" customHeight="1">
      <c r="B1648" s="108">
        <v>15</v>
      </c>
      <c r="C1648" s="139" t="s">
        <v>61</v>
      </c>
      <c r="D1648" s="108" t="s">
        <v>4466</v>
      </c>
      <c r="E1648" s="108" t="s">
        <v>4506</v>
      </c>
      <c r="F1648" s="108" t="s">
        <v>1648</v>
      </c>
      <c r="G1648" s="108">
        <v>1</v>
      </c>
      <c r="H1648" s="71"/>
      <c r="I1648" s="109">
        <f t="shared" si="117"/>
        <v>300</v>
      </c>
      <c r="J1648" s="110">
        <f t="shared" si="114"/>
        <v>0</v>
      </c>
      <c r="K1648" s="111">
        <f t="shared" si="115"/>
        <v>1</v>
      </c>
      <c r="L1648" s="110">
        <f t="shared" si="116"/>
        <v>300</v>
      </c>
      <c r="M1648" s="112"/>
    </row>
    <row r="1649" spans="2:13" s="52" customFormat="1" ht="19.5" hidden="1" customHeight="1">
      <c r="B1649" s="108">
        <v>15</v>
      </c>
      <c r="C1649" s="139" t="s">
        <v>61</v>
      </c>
      <c r="D1649" s="108" t="s">
        <v>4467</v>
      </c>
      <c r="E1649" s="108" t="s">
        <v>4507</v>
      </c>
      <c r="F1649" s="108" t="s">
        <v>1804</v>
      </c>
      <c r="G1649" s="108">
        <v>2</v>
      </c>
      <c r="H1649" s="71">
        <v>5</v>
      </c>
      <c r="I1649" s="109">
        <f t="shared" si="117"/>
        <v>280</v>
      </c>
      <c r="J1649" s="110">
        <f t="shared" si="114"/>
        <v>700</v>
      </c>
      <c r="K1649" s="111">
        <f t="shared" si="115"/>
        <v>-3</v>
      </c>
      <c r="L1649" s="110">
        <f t="shared" si="116"/>
        <v>-420</v>
      </c>
      <c r="M1649" s="112"/>
    </row>
    <row r="1650" spans="2:13" s="52" customFormat="1" ht="19.5" hidden="1" customHeight="1">
      <c r="B1650" s="108">
        <v>15</v>
      </c>
      <c r="C1650" s="139" t="s">
        <v>61</v>
      </c>
      <c r="D1650" s="108" t="s">
        <v>4468</v>
      </c>
      <c r="E1650" s="108" t="s">
        <v>4508</v>
      </c>
      <c r="F1650" s="108" t="s">
        <v>833</v>
      </c>
      <c r="G1650" s="108">
        <v>13</v>
      </c>
      <c r="H1650" s="71">
        <v>13</v>
      </c>
      <c r="I1650" s="109">
        <f t="shared" si="117"/>
        <v>1105</v>
      </c>
      <c r="J1650" s="110">
        <f t="shared" si="114"/>
        <v>1105</v>
      </c>
      <c r="K1650" s="111">
        <f t="shared" si="115"/>
        <v>0</v>
      </c>
      <c r="L1650" s="110">
        <f t="shared" si="116"/>
        <v>0</v>
      </c>
      <c r="M1650" s="112"/>
    </row>
    <row r="1651" spans="2:13" s="52" customFormat="1" ht="19.5" customHeight="1">
      <c r="B1651" s="108">
        <v>15</v>
      </c>
      <c r="C1651" s="139" t="s">
        <v>61</v>
      </c>
      <c r="D1651" s="108" t="s">
        <v>4469</v>
      </c>
      <c r="E1651" s="108" t="s">
        <v>4509</v>
      </c>
      <c r="F1651" s="108" t="s">
        <v>4531</v>
      </c>
      <c r="G1651" s="108">
        <v>7</v>
      </c>
      <c r="H1651" s="71"/>
      <c r="I1651" s="109">
        <f t="shared" si="117"/>
        <v>2326.31</v>
      </c>
      <c r="J1651" s="110">
        <f t="shared" si="114"/>
        <v>0</v>
      </c>
      <c r="K1651" s="111">
        <f t="shared" si="115"/>
        <v>7</v>
      </c>
      <c r="L1651" s="110">
        <f t="shared" si="116"/>
        <v>2326.31</v>
      </c>
      <c r="M1651" s="112"/>
    </row>
    <row r="1652" spans="2:13" s="52" customFormat="1" ht="19.5" customHeight="1">
      <c r="B1652" s="108">
        <v>15</v>
      </c>
      <c r="C1652" s="139" t="s">
        <v>61</v>
      </c>
      <c r="D1652" s="108" t="s">
        <v>4470</v>
      </c>
      <c r="E1652" s="108" t="s">
        <v>4510</v>
      </c>
      <c r="F1652" s="108" t="s">
        <v>783</v>
      </c>
      <c r="G1652" s="108">
        <v>2</v>
      </c>
      <c r="H1652" s="71"/>
      <c r="I1652" s="109">
        <f t="shared" si="117"/>
        <v>66</v>
      </c>
      <c r="J1652" s="110">
        <f t="shared" si="114"/>
        <v>0</v>
      </c>
      <c r="K1652" s="111">
        <f t="shared" si="115"/>
        <v>2</v>
      </c>
      <c r="L1652" s="110">
        <f t="shared" si="116"/>
        <v>66</v>
      </c>
      <c r="M1652" s="112"/>
    </row>
    <row r="1653" spans="2:13" s="52" customFormat="1" ht="19.5" customHeight="1">
      <c r="B1653" s="108">
        <v>15</v>
      </c>
      <c r="C1653" s="139" t="s">
        <v>61</v>
      </c>
      <c r="D1653" s="108" t="s">
        <v>4471</v>
      </c>
      <c r="E1653" s="108" t="s">
        <v>4511</v>
      </c>
      <c r="F1653" s="108" t="s">
        <v>1822</v>
      </c>
      <c r="G1653" s="108">
        <v>6</v>
      </c>
      <c r="H1653" s="71">
        <v>5</v>
      </c>
      <c r="I1653" s="109">
        <f t="shared" si="117"/>
        <v>90</v>
      </c>
      <c r="J1653" s="110">
        <f t="shared" si="114"/>
        <v>75</v>
      </c>
      <c r="K1653" s="111">
        <f t="shared" si="115"/>
        <v>1</v>
      </c>
      <c r="L1653" s="110">
        <f t="shared" si="116"/>
        <v>15</v>
      </c>
      <c r="M1653" s="112"/>
    </row>
    <row r="1654" spans="2:13" s="52" customFormat="1" ht="19.5" customHeight="1">
      <c r="B1654" s="108">
        <v>15</v>
      </c>
      <c r="C1654" s="139" t="s">
        <v>61</v>
      </c>
      <c r="D1654" s="108" t="s">
        <v>4472</v>
      </c>
      <c r="E1654" s="108" t="s">
        <v>4512</v>
      </c>
      <c r="F1654" s="108" t="s">
        <v>3647</v>
      </c>
      <c r="G1654" s="108">
        <v>9</v>
      </c>
      <c r="H1654" s="71"/>
      <c r="I1654" s="109">
        <f t="shared" si="117"/>
        <v>189</v>
      </c>
      <c r="J1654" s="110">
        <f t="shared" si="114"/>
        <v>0</v>
      </c>
      <c r="K1654" s="111">
        <f t="shared" si="115"/>
        <v>9</v>
      </c>
      <c r="L1654" s="110">
        <f t="shared" si="116"/>
        <v>189</v>
      </c>
      <c r="M1654" s="112"/>
    </row>
    <row r="1655" spans="2:13" s="52" customFormat="1" ht="19.5" customHeight="1">
      <c r="B1655" s="108">
        <v>15</v>
      </c>
      <c r="C1655" s="139" t="s">
        <v>61</v>
      </c>
      <c r="D1655" s="108" t="s">
        <v>4473</v>
      </c>
      <c r="E1655" s="108" t="s">
        <v>4513</v>
      </c>
      <c r="F1655" s="108" t="s">
        <v>1814</v>
      </c>
      <c r="G1655" s="108">
        <v>5</v>
      </c>
      <c r="H1655" s="71"/>
      <c r="I1655" s="109">
        <f t="shared" si="117"/>
        <v>160</v>
      </c>
      <c r="J1655" s="110">
        <f t="shared" si="114"/>
        <v>0</v>
      </c>
      <c r="K1655" s="111">
        <f t="shared" si="115"/>
        <v>5</v>
      </c>
      <c r="L1655" s="110">
        <f t="shared" si="116"/>
        <v>160</v>
      </c>
      <c r="M1655" s="112"/>
    </row>
    <row r="1656" spans="2:13" s="52" customFormat="1" ht="19.5" customHeight="1">
      <c r="B1656" s="108">
        <v>15</v>
      </c>
      <c r="C1656" s="139" t="s">
        <v>61</v>
      </c>
      <c r="D1656" s="108" t="s">
        <v>4474</v>
      </c>
      <c r="E1656" s="108" t="s">
        <v>4514</v>
      </c>
      <c r="F1656" s="108" t="s">
        <v>1821</v>
      </c>
      <c r="G1656" s="108">
        <v>1</v>
      </c>
      <c r="H1656" s="71"/>
      <c r="I1656" s="109">
        <f t="shared" si="117"/>
        <v>18.75</v>
      </c>
      <c r="J1656" s="110">
        <f t="shared" si="114"/>
        <v>0</v>
      </c>
      <c r="K1656" s="111">
        <f t="shared" si="115"/>
        <v>1</v>
      </c>
      <c r="L1656" s="110">
        <f t="shared" si="116"/>
        <v>18.75</v>
      </c>
      <c r="M1656" s="112"/>
    </row>
    <row r="1657" spans="2:13" s="52" customFormat="1" ht="19.5" customHeight="1">
      <c r="B1657" s="108">
        <v>15</v>
      </c>
      <c r="C1657" s="139" t="s">
        <v>61</v>
      </c>
      <c r="D1657" s="108" t="s">
        <v>4475</v>
      </c>
      <c r="E1657" s="108" t="s">
        <v>4515</v>
      </c>
      <c r="F1657" s="108" t="s">
        <v>1192</v>
      </c>
      <c r="G1657" s="108">
        <v>21</v>
      </c>
      <c r="H1657" s="71">
        <v>19</v>
      </c>
      <c r="I1657" s="109">
        <f t="shared" si="117"/>
        <v>2625</v>
      </c>
      <c r="J1657" s="110">
        <f t="shared" ref="J1657:J1702" si="118">F1657*H1657</f>
        <v>2375</v>
      </c>
      <c r="K1657" s="111">
        <f t="shared" ref="K1657:K1702" si="119">G1657-H1657</f>
        <v>2</v>
      </c>
      <c r="L1657" s="110">
        <f t="shared" ref="L1657:L1702" si="120">I1657-J1657</f>
        <v>250</v>
      </c>
      <c r="M1657" s="112"/>
    </row>
    <row r="1658" spans="2:13" s="52" customFormat="1" ht="19.5" customHeight="1">
      <c r="B1658" s="108">
        <v>15</v>
      </c>
      <c r="C1658" s="139" t="s">
        <v>61</v>
      </c>
      <c r="D1658" s="108" t="s">
        <v>4476</v>
      </c>
      <c r="E1658" s="108" t="s">
        <v>4516</v>
      </c>
      <c r="F1658" s="108" t="s">
        <v>4532</v>
      </c>
      <c r="G1658" s="108">
        <v>1</v>
      </c>
      <c r="H1658" s="71"/>
      <c r="I1658" s="109">
        <f t="shared" si="117"/>
        <v>290</v>
      </c>
      <c r="J1658" s="110">
        <f t="shared" si="118"/>
        <v>0</v>
      </c>
      <c r="K1658" s="111">
        <f t="shared" si="119"/>
        <v>1</v>
      </c>
      <c r="L1658" s="110">
        <f t="shared" si="120"/>
        <v>290</v>
      </c>
      <c r="M1658" s="112"/>
    </row>
    <row r="1659" spans="2:13" s="52" customFormat="1" ht="19.5" customHeight="1">
      <c r="B1659" s="108">
        <v>15</v>
      </c>
      <c r="C1659" s="139" t="s">
        <v>61</v>
      </c>
      <c r="D1659" s="108" t="s">
        <v>4477</v>
      </c>
      <c r="E1659" s="108" t="s">
        <v>4517</v>
      </c>
      <c r="F1659" s="108" t="s">
        <v>4523</v>
      </c>
      <c r="G1659" s="108">
        <v>1</v>
      </c>
      <c r="H1659" s="71"/>
      <c r="I1659" s="109">
        <f t="shared" si="117"/>
        <v>38.33</v>
      </c>
      <c r="J1659" s="110">
        <f t="shared" si="118"/>
        <v>0</v>
      </c>
      <c r="K1659" s="111">
        <f t="shared" si="119"/>
        <v>1</v>
      </c>
      <c r="L1659" s="110">
        <f t="shared" si="120"/>
        <v>38.33</v>
      </c>
      <c r="M1659" s="112"/>
    </row>
    <row r="1660" spans="2:13" s="52" customFormat="1" ht="19.5" customHeight="1">
      <c r="B1660" s="108">
        <v>15</v>
      </c>
      <c r="C1660" s="139" t="s">
        <v>61</v>
      </c>
      <c r="D1660" s="108" t="s">
        <v>4478</v>
      </c>
      <c r="E1660" s="108" t="s">
        <v>4518</v>
      </c>
      <c r="F1660" s="108" t="s">
        <v>4533</v>
      </c>
      <c r="G1660" s="108">
        <v>1</v>
      </c>
      <c r="H1660" s="71"/>
      <c r="I1660" s="109">
        <f t="shared" si="117"/>
        <v>22</v>
      </c>
      <c r="J1660" s="110">
        <f t="shared" si="118"/>
        <v>0</v>
      </c>
      <c r="K1660" s="111">
        <f t="shared" si="119"/>
        <v>1</v>
      </c>
      <c r="L1660" s="110">
        <f t="shared" si="120"/>
        <v>22</v>
      </c>
      <c r="M1660" s="112"/>
    </row>
    <row r="1661" spans="2:13" s="52" customFormat="1" ht="19.5" customHeight="1">
      <c r="B1661" s="108">
        <v>15</v>
      </c>
      <c r="C1661" s="139" t="s">
        <v>61</v>
      </c>
      <c r="D1661" s="108" t="s">
        <v>4479</v>
      </c>
      <c r="E1661" s="108" t="s">
        <v>4519</v>
      </c>
      <c r="F1661" s="108" t="s">
        <v>4201</v>
      </c>
      <c r="G1661" s="108">
        <v>8</v>
      </c>
      <c r="H1661" s="71"/>
      <c r="I1661" s="109">
        <f t="shared" si="117"/>
        <v>333.36</v>
      </c>
      <c r="J1661" s="110">
        <f t="shared" si="118"/>
        <v>0</v>
      </c>
      <c r="K1661" s="111">
        <f t="shared" si="119"/>
        <v>8</v>
      </c>
      <c r="L1661" s="110">
        <f t="shared" si="120"/>
        <v>333.36</v>
      </c>
      <c r="M1661" s="112"/>
    </row>
    <row r="1662" spans="2:13" s="52" customFormat="1" ht="19.5" customHeight="1">
      <c r="B1662" s="108">
        <v>15</v>
      </c>
      <c r="C1662" s="139" t="s">
        <v>61</v>
      </c>
      <c r="D1662" s="108" t="s">
        <v>4480</v>
      </c>
      <c r="E1662" s="108" t="s">
        <v>4520</v>
      </c>
      <c r="F1662" s="108" t="s">
        <v>3096</v>
      </c>
      <c r="G1662" s="108">
        <v>3</v>
      </c>
      <c r="H1662" s="71"/>
      <c r="I1662" s="109">
        <f t="shared" si="117"/>
        <v>135</v>
      </c>
      <c r="J1662" s="110">
        <f t="shared" si="118"/>
        <v>0</v>
      </c>
      <c r="K1662" s="111">
        <f t="shared" si="119"/>
        <v>3</v>
      </c>
      <c r="L1662" s="110">
        <f t="shared" si="120"/>
        <v>135</v>
      </c>
      <c r="M1662" s="112"/>
    </row>
    <row r="1663" spans="2:13" s="52" customFormat="1" ht="19.5" customHeight="1">
      <c r="B1663" s="108">
        <v>18</v>
      </c>
      <c r="C1663" s="108" t="s">
        <v>62</v>
      </c>
      <c r="D1663" s="108" t="s">
        <v>4534</v>
      </c>
      <c r="E1663" s="108" t="s">
        <v>4544</v>
      </c>
      <c r="F1663" s="108" t="s">
        <v>4554</v>
      </c>
      <c r="G1663" s="108">
        <v>8</v>
      </c>
      <c r="H1663" s="71">
        <v>3</v>
      </c>
      <c r="I1663" s="109">
        <f t="shared" si="117"/>
        <v>672</v>
      </c>
      <c r="J1663" s="110">
        <f t="shared" si="118"/>
        <v>252</v>
      </c>
      <c r="K1663" s="111">
        <f t="shared" si="119"/>
        <v>5</v>
      </c>
      <c r="L1663" s="110">
        <f t="shared" si="120"/>
        <v>420</v>
      </c>
      <c r="M1663" s="112"/>
    </row>
    <row r="1664" spans="2:13" s="52" customFormat="1" ht="19.5" hidden="1" customHeight="1">
      <c r="B1664" s="108">
        <v>18</v>
      </c>
      <c r="C1664" s="108" t="s">
        <v>62</v>
      </c>
      <c r="D1664" s="108" t="s">
        <v>4535</v>
      </c>
      <c r="E1664" s="108" t="s">
        <v>4545</v>
      </c>
      <c r="F1664" s="108" t="s">
        <v>4073</v>
      </c>
      <c r="G1664" s="108">
        <v>20</v>
      </c>
      <c r="H1664" s="71">
        <v>20</v>
      </c>
      <c r="I1664" s="109">
        <f t="shared" si="117"/>
        <v>2100</v>
      </c>
      <c r="J1664" s="110">
        <f t="shared" si="118"/>
        <v>2100</v>
      </c>
      <c r="K1664" s="111">
        <f t="shared" si="119"/>
        <v>0</v>
      </c>
      <c r="L1664" s="110">
        <f t="shared" si="120"/>
        <v>0</v>
      </c>
      <c r="M1664" s="112"/>
    </row>
    <row r="1665" spans="2:13" s="52" customFormat="1" ht="19.5" hidden="1" customHeight="1">
      <c r="B1665" s="108">
        <v>18</v>
      </c>
      <c r="C1665" s="108" t="s">
        <v>62</v>
      </c>
      <c r="D1665" s="108" t="s">
        <v>4535</v>
      </c>
      <c r="E1665" s="108" t="s">
        <v>4545</v>
      </c>
      <c r="F1665" s="108" t="s">
        <v>1229</v>
      </c>
      <c r="G1665" s="108">
        <v>13</v>
      </c>
      <c r="H1665" s="71">
        <v>13</v>
      </c>
      <c r="I1665" s="109">
        <f t="shared" si="117"/>
        <v>1079</v>
      </c>
      <c r="J1665" s="110">
        <f t="shared" si="118"/>
        <v>1079</v>
      </c>
      <c r="K1665" s="111">
        <f t="shared" si="119"/>
        <v>0</v>
      </c>
      <c r="L1665" s="110">
        <f t="shared" si="120"/>
        <v>0</v>
      </c>
      <c r="M1665" s="112"/>
    </row>
    <row r="1666" spans="2:13" s="52" customFormat="1" ht="19.5" hidden="1" customHeight="1">
      <c r="B1666" s="108">
        <v>18</v>
      </c>
      <c r="C1666" s="108" t="s">
        <v>62</v>
      </c>
      <c r="D1666" s="108" t="s">
        <v>4536</v>
      </c>
      <c r="E1666" s="108" t="s">
        <v>4546</v>
      </c>
      <c r="F1666" s="108" t="s">
        <v>4555</v>
      </c>
      <c r="G1666" s="108">
        <v>15</v>
      </c>
      <c r="H1666" s="71">
        <v>15</v>
      </c>
      <c r="I1666" s="109">
        <f t="shared" si="117"/>
        <v>1341</v>
      </c>
      <c r="J1666" s="110">
        <f t="shared" si="118"/>
        <v>1341</v>
      </c>
      <c r="K1666" s="111">
        <f t="shared" si="119"/>
        <v>0</v>
      </c>
      <c r="L1666" s="110">
        <f t="shared" si="120"/>
        <v>0</v>
      </c>
      <c r="M1666" s="112"/>
    </row>
    <row r="1667" spans="2:13" s="52" customFormat="1" ht="19.5" hidden="1" customHeight="1">
      <c r="B1667" s="108">
        <v>18</v>
      </c>
      <c r="C1667" s="108" t="s">
        <v>62</v>
      </c>
      <c r="D1667" s="108" t="s">
        <v>4537</v>
      </c>
      <c r="E1667" s="108" t="s">
        <v>4547</v>
      </c>
      <c r="F1667" s="108" t="s">
        <v>4556</v>
      </c>
      <c r="G1667" s="108">
        <v>8</v>
      </c>
      <c r="H1667" s="71">
        <v>10</v>
      </c>
      <c r="I1667" s="109">
        <f t="shared" si="117"/>
        <v>1344</v>
      </c>
      <c r="J1667" s="110">
        <f t="shared" si="118"/>
        <v>1680</v>
      </c>
      <c r="K1667" s="111">
        <f t="shared" si="119"/>
        <v>-2</v>
      </c>
      <c r="L1667" s="110">
        <f t="shared" si="120"/>
        <v>-336</v>
      </c>
      <c r="M1667" s="112"/>
    </row>
    <row r="1668" spans="2:13" s="52" customFormat="1" ht="19.5" hidden="1" customHeight="1">
      <c r="B1668" s="108">
        <v>18</v>
      </c>
      <c r="C1668" s="108" t="s">
        <v>62</v>
      </c>
      <c r="D1668" s="108" t="s">
        <v>4538</v>
      </c>
      <c r="E1668" s="108" t="s">
        <v>4548</v>
      </c>
      <c r="F1668" s="108" t="s">
        <v>4555</v>
      </c>
      <c r="G1668" s="108">
        <v>15</v>
      </c>
      <c r="H1668" s="71">
        <v>15</v>
      </c>
      <c r="I1668" s="109">
        <f t="shared" si="117"/>
        <v>1341</v>
      </c>
      <c r="J1668" s="110">
        <f t="shared" si="118"/>
        <v>1341</v>
      </c>
      <c r="K1668" s="111">
        <f t="shared" si="119"/>
        <v>0</v>
      </c>
      <c r="L1668" s="110">
        <f t="shared" si="120"/>
        <v>0</v>
      </c>
      <c r="M1668" s="112"/>
    </row>
    <row r="1669" spans="2:13" s="52" customFormat="1" ht="19.5" customHeight="1">
      <c r="B1669" s="108">
        <v>18</v>
      </c>
      <c r="C1669" s="108" t="s">
        <v>62</v>
      </c>
      <c r="D1669" s="108" t="s">
        <v>4539</v>
      </c>
      <c r="E1669" s="108" t="s">
        <v>4549</v>
      </c>
      <c r="F1669" s="108" t="s">
        <v>4556</v>
      </c>
      <c r="G1669" s="108">
        <v>11</v>
      </c>
      <c r="H1669" s="71">
        <v>6</v>
      </c>
      <c r="I1669" s="109">
        <f t="shared" si="117"/>
        <v>1848</v>
      </c>
      <c r="J1669" s="110">
        <f t="shared" si="118"/>
        <v>1008</v>
      </c>
      <c r="K1669" s="111">
        <f t="shared" si="119"/>
        <v>5</v>
      </c>
      <c r="L1669" s="110">
        <f t="shared" si="120"/>
        <v>840</v>
      </c>
      <c r="M1669" s="112"/>
    </row>
    <row r="1670" spans="2:13" s="52" customFormat="1" ht="19.5" hidden="1" customHeight="1">
      <c r="B1670" s="108">
        <v>18</v>
      </c>
      <c r="C1670" s="108" t="s">
        <v>62</v>
      </c>
      <c r="D1670" s="108" t="s">
        <v>4540</v>
      </c>
      <c r="E1670" s="108" t="s">
        <v>4550</v>
      </c>
      <c r="F1670" s="108" t="s">
        <v>4073</v>
      </c>
      <c r="G1670" s="108">
        <v>27</v>
      </c>
      <c r="H1670" s="71">
        <f>14+13</f>
        <v>27</v>
      </c>
      <c r="I1670" s="109">
        <f t="shared" si="117"/>
        <v>2835</v>
      </c>
      <c r="J1670" s="110">
        <f t="shared" si="118"/>
        <v>2835</v>
      </c>
      <c r="K1670" s="111">
        <f t="shared" si="119"/>
        <v>0</v>
      </c>
      <c r="L1670" s="110">
        <f t="shared" si="120"/>
        <v>0</v>
      </c>
      <c r="M1670" s="112"/>
    </row>
    <row r="1671" spans="2:13" s="52" customFormat="1" ht="19.5" hidden="1" customHeight="1">
      <c r="B1671" s="108">
        <v>18</v>
      </c>
      <c r="C1671" s="108" t="s">
        <v>62</v>
      </c>
      <c r="D1671" s="108" t="s">
        <v>4541</v>
      </c>
      <c r="E1671" s="108" t="s">
        <v>4551</v>
      </c>
      <c r="F1671" s="108" t="s">
        <v>1400</v>
      </c>
      <c r="G1671" s="108">
        <v>27</v>
      </c>
      <c r="H1671" s="71">
        <v>27</v>
      </c>
      <c r="I1671" s="109">
        <f t="shared" si="117"/>
        <v>972</v>
      </c>
      <c r="J1671" s="110">
        <f t="shared" si="118"/>
        <v>972</v>
      </c>
      <c r="K1671" s="111">
        <f t="shared" si="119"/>
        <v>0</v>
      </c>
      <c r="L1671" s="110">
        <f t="shared" si="120"/>
        <v>0</v>
      </c>
      <c r="M1671" s="112"/>
    </row>
    <row r="1672" spans="2:13" s="52" customFormat="1" ht="19.5" hidden="1" customHeight="1">
      <c r="B1672" s="108">
        <v>18</v>
      </c>
      <c r="C1672" s="108" t="s">
        <v>62</v>
      </c>
      <c r="D1672" s="108" t="s">
        <v>4542</v>
      </c>
      <c r="E1672" s="108" t="s">
        <v>4552</v>
      </c>
      <c r="F1672" s="108" t="s">
        <v>4554</v>
      </c>
      <c r="G1672" s="108">
        <v>10</v>
      </c>
      <c r="H1672" s="71">
        <v>15</v>
      </c>
      <c r="I1672" s="109">
        <f t="shared" si="117"/>
        <v>840</v>
      </c>
      <c r="J1672" s="110">
        <f t="shared" si="118"/>
        <v>1260</v>
      </c>
      <c r="K1672" s="111">
        <f t="shared" si="119"/>
        <v>-5</v>
      </c>
      <c r="L1672" s="110">
        <f t="shared" si="120"/>
        <v>-420</v>
      </c>
      <c r="M1672" s="112"/>
    </row>
    <row r="1673" spans="2:13" s="52" customFormat="1" ht="19.5" hidden="1" customHeight="1">
      <c r="B1673" s="108">
        <v>18</v>
      </c>
      <c r="C1673" s="108" t="s">
        <v>62</v>
      </c>
      <c r="D1673" s="108" t="s">
        <v>4543</v>
      </c>
      <c r="E1673" s="108" t="s">
        <v>4553</v>
      </c>
      <c r="F1673" s="108" t="s">
        <v>4073</v>
      </c>
      <c r="G1673" s="108">
        <v>16</v>
      </c>
      <c r="H1673" s="71">
        <v>16</v>
      </c>
      <c r="I1673" s="109">
        <f t="shared" si="117"/>
        <v>1680</v>
      </c>
      <c r="J1673" s="110">
        <f t="shared" si="118"/>
        <v>1680</v>
      </c>
      <c r="K1673" s="111">
        <f t="shared" si="119"/>
        <v>0</v>
      </c>
      <c r="L1673" s="110">
        <f t="shared" si="120"/>
        <v>0</v>
      </c>
      <c r="M1673" s="112"/>
    </row>
    <row r="1674" spans="2:13" s="52" customFormat="1" ht="19.5" hidden="1" customHeight="1">
      <c r="B1674" s="108">
        <v>23</v>
      </c>
      <c r="C1674" s="108" t="s">
        <v>63</v>
      </c>
      <c r="D1674" s="108" t="s">
        <v>4557</v>
      </c>
      <c r="E1674" s="108" t="s">
        <v>4584</v>
      </c>
      <c r="F1674" s="108" t="s">
        <v>4745</v>
      </c>
      <c r="G1674" s="108">
        <v>2</v>
      </c>
      <c r="H1674" s="71">
        <v>2</v>
      </c>
      <c r="I1674" s="109">
        <f t="shared" si="117"/>
        <v>356</v>
      </c>
      <c r="J1674" s="110">
        <f t="shared" si="118"/>
        <v>356</v>
      </c>
      <c r="K1674" s="111">
        <f t="shared" si="119"/>
        <v>0</v>
      </c>
      <c r="L1674" s="110">
        <f t="shared" si="120"/>
        <v>0</v>
      </c>
      <c r="M1674" s="112"/>
    </row>
    <row r="1675" spans="2:13" s="52" customFormat="1" ht="19.5" customHeight="1">
      <c r="B1675" s="108">
        <v>23</v>
      </c>
      <c r="C1675" s="108" t="s">
        <v>63</v>
      </c>
      <c r="D1675" s="108" t="s">
        <v>4558</v>
      </c>
      <c r="E1675" s="108" t="s">
        <v>4585</v>
      </c>
      <c r="F1675" s="108" t="s">
        <v>4432</v>
      </c>
      <c r="G1675" s="108">
        <v>10</v>
      </c>
      <c r="H1675" s="71">
        <v>7</v>
      </c>
      <c r="I1675" s="109">
        <f t="shared" si="117"/>
        <v>70</v>
      </c>
      <c r="J1675" s="110">
        <f t="shared" si="118"/>
        <v>49</v>
      </c>
      <c r="K1675" s="111">
        <f t="shared" si="119"/>
        <v>3</v>
      </c>
      <c r="L1675" s="110">
        <f t="shared" si="120"/>
        <v>21</v>
      </c>
      <c r="M1675" s="112"/>
    </row>
    <row r="1676" spans="2:13" s="52" customFormat="1" ht="19.5" customHeight="1">
      <c r="B1676" s="108">
        <v>23</v>
      </c>
      <c r="C1676" s="108" t="s">
        <v>63</v>
      </c>
      <c r="D1676" s="108" t="s">
        <v>4559</v>
      </c>
      <c r="E1676" s="108" t="s">
        <v>4586</v>
      </c>
      <c r="F1676" s="108" t="s">
        <v>4746</v>
      </c>
      <c r="G1676" s="108">
        <v>24</v>
      </c>
      <c r="H1676" s="71">
        <v>15</v>
      </c>
      <c r="I1676" s="109">
        <f t="shared" si="117"/>
        <v>72</v>
      </c>
      <c r="J1676" s="110">
        <f t="shared" si="118"/>
        <v>45</v>
      </c>
      <c r="K1676" s="111">
        <f t="shared" si="119"/>
        <v>9</v>
      </c>
      <c r="L1676" s="110">
        <f t="shared" si="120"/>
        <v>27</v>
      </c>
      <c r="M1676" s="112"/>
    </row>
    <row r="1677" spans="2:13" s="52" customFormat="1" ht="19.5" hidden="1" customHeight="1">
      <c r="B1677" s="108">
        <v>23</v>
      </c>
      <c r="C1677" s="108" t="s">
        <v>63</v>
      </c>
      <c r="D1677" s="108" t="s">
        <v>4560</v>
      </c>
      <c r="E1677" s="108" t="s">
        <v>4587</v>
      </c>
      <c r="F1677" s="108" t="s">
        <v>4747</v>
      </c>
      <c r="G1677" s="108">
        <v>1</v>
      </c>
      <c r="H1677" s="71">
        <v>1</v>
      </c>
      <c r="I1677" s="109">
        <f t="shared" si="117"/>
        <v>118</v>
      </c>
      <c r="J1677" s="110">
        <f t="shared" si="118"/>
        <v>118</v>
      </c>
      <c r="K1677" s="111">
        <f t="shared" si="119"/>
        <v>0</v>
      </c>
      <c r="L1677" s="110">
        <f t="shared" si="120"/>
        <v>0</v>
      </c>
      <c r="M1677" s="112"/>
    </row>
    <row r="1678" spans="2:13" s="52" customFormat="1" ht="19.5" customHeight="1">
      <c r="B1678" s="108">
        <v>23</v>
      </c>
      <c r="C1678" s="108" t="s">
        <v>63</v>
      </c>
      <c r="D1678" s="108" t="s">
        <v>4561</v>
      </c>
      <c r="E1678" s="108" t="s">
        <v>4588</v>
      </c>
      <c r="F1678" s="108" t="s">
        <v>4748</v>
      </c>
      <c r="G1678" s="108">
        <v>6</v>
      </c>
      <c r="H1678" s="71">
        <v>0</v>
      </c>
      <c r="I1678" s="109">
        <f t="shared" si="117"/>
        <v>24</v>
      </c>
      <c r="J1678" s="110">
        <f t="shared" si="118"/>
        <v>0</v>
      </c>
      <c r="K1678" s="111">
        <f t="shared" si="119"/>
        <v>6</v>
      </c>
      <c r="L1678" s="110">
        <f t="shared" si="120"/>
        <v>24</v>
      </c>
      <c r="M1678" s="112"/>
    </row>
    <row r="1679" spans="2:13" s="52" customFormat="1" ht="19.5" customHeight="1">
      <c r="B1679" s="108">
        <v>23</v>
      </c>
      <c r="C1679" s="108" t="s">
        <v>63</v>
      </c>
      <c r="D1679" s="108" t="s">
        <v>4562</v>
      </c>
      <c r="E1679" s="108" t="s">
        <v>4589</v>
      </c>
      <c r="F1679" s="108" t="s">
        <v>4749</v>
      </c>
      <c r="G1679" s="108">
        <v>1</v>
      </c>
      <c r="H1679" s="71">
        <v>0</v>
      </c>
      <c r="I1679" s="109">
        <f t="shared" si="117"/>
        <v>2</v>
      </c>
      <c r="J1679" s="110">
        <f t="shared" si="118"/>
        <v>0</v>
      </c>
      <c r="K1679" s="111">
        <f t="shared" si="119"/>
        <v>1</v>
      </c>
      <c r="L1679" s="110">
        <f t="shared" si="120"/>
        <v>2</v>
      </c>
      <c r="M1679" s="112"/>
    </row>
    <row r="1680" spans="2:13" s="52" customFormat="1" ht="19.5" customHeight="1">
      <c r="B1680" s="108">
        <v>23</v>
      </c>
      <c r="C1680" s="108" t="s">
        <v>63</v>
      </c>
      <c r="D1680" s="108" t="s">
        <v>4563</v>
      </c>
      <c r="E1680" s="108" t="s">
        <v>4590</v>
      </c>
      <c r="F1680" s="108" t="s">
        <v>1396</v>
      </c>
      <c r="G1680" s="108">
        <v>1</v>
      </c>
      <c r="H1680" s="71">
        <v>0</v>
      </c>
      <c r="I1680" s="109">
        <f t="shared" si="117"/>
        <v>8</v>
      </c>
      <c r="J1680" s="110">
        <f t="shared" si="118"/>
        <v>0</v>
      </c>
      <c r="K1680" s="111">
        <f t="shared" si="119"/>
        <v>1</v>
      </c>
      <c r="L1680" s="110">
        <f t="shared" si="120"/>
        <v>8</v>
      </c>
      <c r="M1680" s="112"/>
    </row>
    <row r="1681" spans="2:13" s="52" customFormat="1" ht="19.5" customHeight="1">
      <c r="B1681" s="108">
        <v>23</v>
      </c>
      <c r="C1681" s="108" t="s">
        <v>63</v>
      </c>
      <c r="D1681" s="108" t="s">
        <v>4564</v>
      </c>
      <c r="E1681" s="108" t="s">
        <v>4591</v>
      </c>
      <c r="F1681" s="108" t="s">
        <v>1396</v>
      </c>
      <c r="G1681" s="108">
        <v>3</v>
      </c>
      <c r="H1681" s="71">
        <v>0</v>
      </c>
      <c r="I1681" s="109">
        <f t="shared" si="117"/>
        <v>24</v>
      </c>
      <c r="J1681" s="110">
        <f t="shared" si="118"/>
        <v>0</v>
      </c>
      <c r="K1681" s="111">
        <f t="shared" si="119"/>
        <v>3</v>
      </c>
      <c r="L1681" s="110">
        <f t="shared" si="120"/>
        <v>24</v>
      </c>
      <c r="M1681" s="112"/>
    </row>
    <row r="1682" spans="2:13" s="52" customFormat="1" ht="19.5" customHeight="1">
      <c r="B1682" s="108">
        <v>23</v>
      </c>
      <c r="C1682" s="108" t="s">
        <v>63</v>
      </c>
      <c r="D1682" s="108" t="s">
        <v>4565</v>
      </c>
      <c r="E1682" s="108" t="s">
        <v>4592</v>
      </c>
      <c r="F1682" s="108" t="s">
        <v>4432</v>
      </c>
      <c r="G1682" s="108">
        <v>26</v>
      </c>
      <c r="H1682" s="71">
        <v>25</v>
      </c>
      <c r="I1682" s="109">
        <f t="shared" si="117"/>
        <v>182</v>
      </c>
      <c r="J1682" s="110">
        <f t="shared" si="118"/>
        <v>175</v>
      </c>
      <c r="K1682" s="111">
        <f t="shared" si="119"/>
        <v>1</v>
      </c>
      <c r="L1682" s="110">
        <f t="shared" si="120"/>
        <v>7</v>
      </c>
      <c r="M1682" s="112"/>
    </row>
    <row r="1683" spans="2:13" s="52" customFormat="1" ht="19.5" hidden="1" customHeight="1">
      <c r="B1683" s="108">
        <v>23</v>
      </c>
      <c r="C1683" s="108" t="s">
        <v>63</v>
      </c>
      <c r="D1683" s="108" t="s">
        <v>4566</v>
      </c>
      <c r="E1683" s="108" t="s">
        <v>4593</v>
      </c>
      <c r="F1683" s="108" t="s">
        <v>4432</v>
      </c>
      <c r="G1683" s="108">
        <v>29</v>
      </c>
      <c r="H1683" s="71">
        <v>37</v>
      </c>
      <c r="I1683" s="109">
        <f t="shared" si="117"/>
        <v>203</v>
      </c>
      <c r="J1683" s="110">
        <f t="shared" si="118"/>
        <v>259</v>
      </c>
      <c r="K1683" s="111">
        <f t="shared" si="119"/>
        <v>-8</v>
      </c>
      <c r="L1683" s="110">
        <f t="shared" si="120"/>
        <v>-56</v>
      </c>
      <c r="M1683" s="112"/>
    </row>
    <row r="1684" spans="2:13" s="52" customFormat="1" ht="19.5" customHeight="1">
      <c r="B1684" s="108">
        <v>23</v>
      </c>
      <c r="C1684" s="108" t="s">
        <v>63</v>
      </c>
      <c r="D1684" s="108" t="s">
        <v>4567</v>
      </c>
      <c r="E1684" s="115" t="s">
        <v>4594</v>
      </c>
      <c r="F1684" s="108" t="s">
        <v>4533</v>
      </c>
      <c r="G1684" s="115">
        <v>2</v>
      </c>
      <c r="H1684" s="71">
        <v>0</v>
      </c>
      <c r="I1684" s="109">
        <f t="shared" si="117"/>
        <v>44</v>
      </c>
      <c r="J1684" s="110">
        <f t="shared" si="118"/>
        <v>0</v>
      </c>
      <c r="K1684" s="111">
        <f t="shared" si="119"/>
        <v>2</v>
      </c>
      <c r="L1684" s="110">
        <f t="shared" si="120"/>
        <v>44</v>
      </c>
      <c r="M1684" s="112"/>
    </row>
    <row r="1685" spans="2:13" s="52" customFormat="1" ht="19.5" customHeight="1">
      <c r="B1685" s="108">
        <v>23</v>
      </c>
      <c r="C1685" s="108" t="s">
        <v>63</v>
      </c>
      <c r="D1685" s="108" t="s">
        <v>4568</v>
      </c>
      <c r="E1685" s="115" t="s">
        <v>4595</v>
      </c>
      <c r="F1685" s="108" t="s">
        <v>3646</v>
      </c>
      <c r="G1685" s="115">
        <v>10</v>
      </c>
      <c r="H1685" s="71">
        <v>7</v>
      </c>
      <c r="I1685" s="109">
        <f t="shared" si="117"/>
        <v>180</v>
      </c>
      <c r="J1685" s="110">
        <f t="shared" si="118"/>
        <v>126</v>
      </c>
      <c r="K1685" s="111">
        <f t="shared" si="119"/>
        <v>3</v>
      </c>
      <c r="L1685" s="110">
        <f t="shared" si="120"/>
        <v>54</v>
      </c>
      <c r="M1685" s="112"/>
    </row>
    <row r="1686" spans="2:13" s="52" customFormat="1" ht="19.5" hidden="1" customHeight="1">
      <c r="B1686" s="108">
        <v>23</v>
      </c>
      <c r="C1686" s="108" t="s">
        <v>63</v>
      </c>
      <c r="D1686" s="108" t="s">
        <v>4569</v>
      </c>
      <c r="E1686" s="115" t="s">
        <v>4596</v>
      </c>
      <c r="F1686" s="108" t="s">
        <v>4750</v>
      </c>
      <c r="G1686" s="115">
        <v>4</v>
      </c>
      <c r="H1686" s="71">
        <v>7</v>
      </c>
      <c r="I1686" s="109">
        <f t="shared" si="117"/>
        <v>52</v>
      </c>
      <c r="J1686" s="110">
        <f t="shared" si="118"/>
        <v>91</v>
      </c>
      <c r="K1686" s="111">
        <f t="shared" si="119"/>
        <v>-3</v>
      </c>
      <c r="L1686" s="110">
        <f t="shared" si="120"/>
        <v>-39</v>
      </c>
      <c r="M1686" s="112"/>
    </row>
    <row r="1687" spans="2:13" s="52" customFormat="1" ht="19.5" customHeight="1">
      <c r="B1687" s="108">
        <v>23</v>
      </c>
      <c r="C1687" s="108" t="s">
        <v>63</v>
      </c>
      <c r="D1687" s="108" t="s">
        <v>4570</v>
      </c>
      <c r="E1687" s="115" t="s">
        <v>4597</v>
      </c>
      <c r="F1687" s="108" t="s">
        <v>4750</v>
      </c>
      <c r="G1687" s="115">
        <v>6</v>
      </c>
      <c r="H1687" s="71">
        <v>2</v>
      </c>
      <c r="I1687" s="109">
        <f t="shared" si="117"/>
        <v>78</v>
      </c>
      <c r="J1687" s="110">
        <f t="shared" si="118"/>
        <v>26</v>
      </c>
      <c r="K1687" s="111">
        <f t="shared" si="119"/>
        <v>4</v>
      </c>
      <c r="L1687" s="110">
        <f t="shared" si="120"/>
        <v>52</v>
      </c>
      <c r="M1687" s="112"/>
    </row>
    <row r="1688" spans="2:13" s="52" customFormat="1" ht="19.5" customHeight="1">
      <c r="B1688" s="108">
        <v>23</v>
      </c>
      <c r="C1688" s="108" t="s">
        <v>63</v>
      </c>
      <c r="D1688" s="108" t="s">
        <v>4571</v>
      </c>
      <c r="E1688" s="115" t="s">
        <v>4598</v>
      </c>
      <c r="F1688" s="108" t="s">
        <v>4432</v>
      </c>
      <c r="G1688" s="115">
        <v>1</v>
      </c>
      <c r="H1688" s="71">
        <v>0</v>
      </c>
      <c r="I1688" s="109">
        <f t="shared" si="117"/>
        <v>7</v>
      </c>
      <c r="J1688" s="110">
        <f t="shared" si="118"/>
        <v>0</v>
      </c>
      <c r="K1688" s="111">
        <f t="shared" si="119"/>
        <v>1</v>
      </c>
      <c r="L1688" s="110">
        <f t="shared" si="120"/>
        <v>7</v>
      </c>
      <c r="M1688" s="112"/>
    </row>
    <row r="1689" spans="2:13" s="52" customFormat="1" ht="19.5" hidden="1" customHeight="1">
      <c r="B1689" s="108">
        <v>23</v>
      </c>
      <c r="C1689" s="108" t="s">
        <v>63</v>
      </c>
      <c r="D1689" s="108" t="s">
        <v>4572</v>
      </c>
      <c r="E1689" s="115" t="s">
        <v>4599</v>
      </c>
      <c r="F1689" s="108" t="s">
        <v>3263</v>
      </c>
      <c r="G1689" s="115">
        <v>20</v>
      </c>
      <c r="H1689" s="71">
        <v>20</v>
      </c>
      <c r="I1689" s="109">
        <f t="shared" si="117"/>
        <v>100</v>
      </c>
      <c r="J1689" s="110">
        <f t="shared" si="118"/>
        <v>100</v>
      </c>
      <c r="K1689" s="111">
        <f t="shared" si="119"/>
        <v>0</v>
      </c>
      <c r="L1689" s="110">
        <f t="shared" si="120"/>
        <v>0</v>
      </c>
      <c r="M1689" s="112"/>
    </row>
    <row r="1690" spans="2:13" s="52" customFormat="1" ht="19.5" hidden="1" customHeight="1">
      <c r="B1690" s="108">
        <v>23</v>
      </c>
      <c r="C1690" s="108" t="s">
        <v>63</v>
      </c>
      <c r="D1690" s="108" t="s">
        <v>4573</v>
      </c>
      <c r="E1690" s="115" t="s">
        <v>4600</v>
      </c>
      <c r="F1690" s="108" t="s">
        <v>3690</v>
      </c>
      <c r="G1690" s="115">
        <v>3</v>
      </c>
      <c r="H1690" s="71">
        <v>3</v>
      </c>
      <c r="I1690" s="109">
        <f t="shared" si="117"/>
        <v>171</v>
      </c>
      <c r="J1690" s="110">
        <f t="shared" si="118"/>
        <v>171</v>
      </c>
      <c r="K1690" s="111">
        <f t="shared" si="119"/>
        <v>0</v>
      </c>
      <c r="L1690" s="110">
        <f t="shared" si="120"/>
        <v>0</v>
      </c>
      <c r="M1690" s="112"/>
    </row>
    <row r="1691" spans="2:13" s="52" customFormat="1" ht="19.5" hidden="1" customHeight="1">
      <c r="B1691" s="108">
        <v>23</v>
      </c>
      <c r="C1691" s="108" t="s">
        <v>63</v>
      </c>
      <c r="D1691" s="108" t="s">
        <v>4743</v>
      </c>
      <c r="E1691" s="115" t="s">
        <v>4601</v>
      </c>
      <c r="F1691" s="108" t="s">
        <v>4751</v>
      </c>
      <c r="G1691" s="115">
        <v>8</v>
      </c>
      <c r="H1691" s="71">
        <v>8</v>
      </c>
      <c r="I1691" s="109">
        <f t="shared" si="117"/>
        <v>3096</v>
      </c>
      <c r="J1691" s="110">
        <f t="shared" si="118"/>
        <v>3096</v>
      </c>
      <c r="K1691" s="111">
        <f t="shared" si="119"/>
        <v>0</v>
      </c>
      <c r="L1691" s="110">
        <f t="shared" si="120"/>
        <v>0</v>
      </c>
      <c r="M1691" s="112"/>
    </row>
    <row r="1692" spans="2:13" s="52" customFormat="1" ht="19.5" hidden="1" customHeight="1">
      <c r="B1692" s="108">
        <v>23</v>
      </c>
      <c r="C1692" s="108" t="s">
        <v>63</v>
      </c>
      <c r="D1692" s="108" t="s">
        <v>4574</v>
      </c>
      <c r="E1692" s="115" t="s">
        <v>4602</v>
      </c>
      <c r="F1692" s="108" t="s">
        <v>4752</v>
      </c>
      <c r="G1692" s="115">
        <v>1</v>
      </c>
      <c r="H1692" s="71">
        <v>1</v>
      </c>
      <c r="I1692" s="109">
        <f t="shared" si="117"/>
        <v>166</v>
      </c>
      <c r="J1692" s="110">
        <f t="shared" si="118"/>
        <v>166</v>
      </c>
      <c r="K1692" s="111">
        <f t="shared" si="119"/>
        <v>0</v>
      </c>
      <c r="L1692" s="110">
        <f t="shared" si="120"/>
        <v>0</v>
      </c>
      <c r="M1692" s="112"/>
    </row>
    <row r="1693" spans="2:13" s="52" customFormat="1" ht="19.5" hidden="1" customHeight="1">
      <c r="B1693" s="108">
        <v>23</v>
      </c>
      <c r="C1693" s="108" t="s">
        <v>63</v>
      </c>
      <c r="D1693" s="108" t="s">
        <v>4575</v>
      </c>
      <c r="E1693" s="115" t="s">
        <v>4603</v>
      </c>
      <c r="F1693" s="108" t="s">
        <v>3246</v>
      </c>
      <c r="G1693" s="115">
        <v>3</v>
      </c>
      <c r="H1693" s="71">
        <v>3</v>
      </c>
      <c r="I1693" s="109">
        <f t="shared" ref="I1693:I1702" si="121">F1693*G1693</f>
        <v>90</v>
      </c>
      <c r="J1693" s="110">
        <f t="shared" si="118"/>
        <v>90</v>
      </c>
      <c r="K1693" s="111">
        <f t="shared" si="119"/>
        <v>0</v>
      </c>
      <c r="L1693" s="110">
        <f t="shared" si="120"/>
        <v>0</v>
      </c>
      <c r="M1693" s="112"/>
    </row>
    <row r="1694" spans="2:13" s="52" customFormat="1" ht="19.5" hidden="1" customHeight="1">
      <c r="B1694" s="108">
        <v>23</v>
      </c>
      <c r="C1694" s="108" t="s">
        <v>63</v>
      </c>
      <c r="D1694" s="108" t="s">
        <v>4576</v>
      </c>
      <c r="E1694" s="115" t="s">
        <v>4604</v>
      </c>
      <c r="F1694" s="108" t="s">
        <v>4435</v>
      </c>
      <c r="G1694" s="115">
        <v>2</v>
      </c>
      <c r="H1694" s="71">
        <v>2</v>
      </c>
      <c r="I1694" s="109">
        <f t="shared" si="121"/>
        <v>40</v>
      </c>
      <c r="J1694" s="110">
        <f t="shared" si="118"/>
        <v>40</v>
      </c>
      <c r="K1694" s="111">
        <f t="shared" si="119"/>
        <v>0</v>
      </c>
      <c r="L1694" s="110">
        <f t="shared" si="120"/>
        <v>0</v>
      </c>
      <c r="M1694" s="112"/>
    </row>
    <row r="1695" spans="2:13" s="52" customFormat="1" ht="19.5" hidden="1" customHeight="1">
      <c r="B1695" s="108">
        <v>23</v>
      </c>
      <c r="C1695" s="108" t="s">
        <v>63</v>
      </c>
      <c r="D1695" s="108" t="s">
        <v>4577</v>
      </c>
      <c r="E1695" s="115" t="s">
        <v>4605</v>
      </c>
      <c r="F1695" s="108" t="s">
        <v>3092</v>
      </c>
      <c r="G1695" s="115">
        <v>1</v>
      </c>
      <c r="H1695" s="71">
        <v>1</v>
      </c>
      <c r="I1695" s="109">
        <f t="shared" si="121"/>
        <v>171</v>
      </c>
      <c r="J1695" s="110">
        <f t="shared" si="118"/>
        <v>171</v>
      </c>
      <c r="K1695" s="111">
        <f t="shared" si="119"/>
        <v>0</v>
      </c>
      <c r="L1695" s="110">
        <f t="shared" si="120"/>
        <v>0</v>
      </c>
      <c r="M1695" s="112"/>
    </row>
    <row r="1696" spans="2:13" s="52" customFormat="1" ht="19.5" customHeight="1">
      <c r="B1696" s="108">
        <v>23</v>
      </c>
      <c r="C1696" s="108" t="s">
        <v>63</v>
      </c>
      <c r="D1696" s="108" t="s">
        <v>4578</v>
      </c>
      <c r="E1696" s="115" t="s">
        <v>4606</v>
      </c>
      <c r="F1696" s="108" t="s">
        <v>4753</v>
      </c>
      <c r="G1696" s="115">
        <v>2</v>
      </c>
      <c r="H1696" s="71">
        <v>1</v>
      </c>
      <c r="I1696" s="109">
        <f t="shared" si="121"/>
        <v>112</v>
      </c>
      <c r="J1696" s="110">
        <f t="shared" si="118"/>
        <v>56</v>
      </c>
      <c r="K1696" s="111">
        <f t="shared" si="119"/>
        <v>1</v>
      </c>
      <c r="L1696" s="110">
        <f t="shared" si="120"/>
        <v>56</v>
      </c>
      <c r="M1696" s="112"/>
    </row>
    <row r="1697" spans="2:13" s="52" customFormat="1" ht="19.5" hidden="1" customHeight="1">
      <c r="B1697" s="108">
        <v>23</v>
      </c>
      <c r="C1697" s="108" t="s">
        <v>63</v>
      </c>
      <c r="D1697" s="108" t="s">
        <v>4579</v>
      </c>
      <c r="E1697" s="115" t="s">
        <v>4607</v>
      </c>
      <c r="F1697" s="108" t="s">
        <v>1823</v>
      </c>
      <c r="G1697" s="115">
        <v>1</v>
      </c>
      <c r="H1697" s="71">
        <v>1</v>
      </c>
      <c r="I1697" s="109">
        <f t="shared" si="121"/>
        <v>14</v>
      </c>
      <c r="J1697" s="110">
        <f t="shared" si="118"/>
        <v>14</v>
      </c>
      <c r="K1697" s="111">
        <f t="shared" si="119"/>
        <v>0</v>
      </c>
      <c r="L1697" s="110">
        <f t="shared" si="120"/>
        <v>0</v>
      </c>
      <c r="M1697" s="112"/>
    </row>
    <row r="1698" spans="2:13" s="52" customFormat="1" ht="19.5" hidden="1" customHeight="1">
      <c r="B1698" s="108">
        <v>23</v>
      </c>
      <c r="C1698" s="108" t="s">
        <v>63</v>
      </c>
      <c r="D1698" s="108" t="s">
        <v>4744</v>
      </c>
      <c r="E1698" s="115" t="s">
        <v>4608</v>
      </c>
      <c r="F1698" s="108" t="s">
        <v>1823</v>
      </c>
      <c r="G1698" s="115">
        <v>11</v>
      </c>
      <c r="H1698" s="71">
        <v>11</v>
      </c>
      <c r="I1698" s="109">
        <f t="shared" si="121"/>
        <v>154</v>
      </c>
      <c r="J1698" s="110">
        <f t="shared" si="118"/>
        <v>154</v>
      </c>
      <c r="K1698" s="111">
        <f t="shared" si="119"/>
        <v>0</v>
      </c>
      <c r="L1698" s="110">
        <f t="shared" si="120"/>
        <v>0</v>
      </c>
      <c r="M1698" s="112"/>
    </row>
    <row r="1699" spans="2:13" s="52" customFormat="1" ht="19.5" hidden="1" customHeight="1">
      <c r="B1699" s="108">
        <v>23</v>
      </c>
      <c r="C1699" s="108" t="s">
        <v>63</v>
      </c>
      <c r="D1699" s="108" t="s">
        <v>4580</v>
      </c>
      <c r="E1699" s="115" t="s">
        <v>4609</v>
      </c>
      <c r="F1699" s="108" t="s">
        <v>1823</v>
      </c>
      <c r="G1699" s="115">
        <v>6</v>
      </c>
      <c r="H1699" s="71">
        <v>6</v>
      </c>
      <c r="I1699" s="109">
        <f t="shared" si="121"/>
        <v>84</v>
      </c>
      <c r="J1699" s="110">
        <f t="shared" si="118"/>
        <v>84</v>
      </c>
      <c r="K1699" s="111">
        <f t="shared" si="119"/>
        <v>0</v>
      </c>
      <c r="L1699" s="110">
        <f t="shared" si="120"/>
        <v>0</v>
      </c>
      <c r="M1699" s="112"/>
    </row>
    <row r="1700" spans="2:13" s="52" customFormat="1" ht="19.5" hidden="1" customHeight="1">
      <c r="B1700" s="108">
        <v>23</v>
      </c>
      <c r="C1700" s="108" t="s">
        <v>63</v>
      </c>
      <c r="D1700" s="108" t="s">
        <v>4581</v>
      </c>
      <c r="E1700" s="115" t="s">
        <v>4610</v>
      </c>
      <c r="F1700" s="108" t="s">
        <v>1823</v>
      </c>
      <c r="G1700" s="115">
        <v>6</v>
      </c>
      <c r="H1700" s="71">
        <v>6</v>
      </c>
      <c r="I1700" s="109">
        <f t="shared" si="121"/>
        <v>84</v>
      </c>
      <c r="J1700" s="110">
        <f t="shared" si="118"/>
        <v>84</v>
      </c>
      <c r="K1700" s="111">
        <f t="shared" si="119"/>
        <v>0</v>
      </c>
      <c r="L1700" s="110">
        <f t="shared" si="120"/>
        <v>0</v>
      </c>
      <c r="M1700" s="112"/>
    </row>
    <row r="1701" spans="2:13" s="52" customFormat="1" ht="19.5" hidden="1" customHeight="1">
      <c r="B1701" s="108">
        <v>23</v>
      </c>
      <c r="C1701" s="108" t="s">
        <v>63</v>
      </c>
      <c r="D1701" s="108" t="s">
        <v>4582</v>
      </c>
      <c r="E1701" s="115" t="s">
        <v>4611</v>
      </c>
      <c r="F1701" s="108" t="s">
        <v>3246</v>
      </c>
      <c r="G1701" s="115">
        <v>4</v>
      </c>
      <c r="H1701" s="71">
        <v>4</v>
      </c>
      <c r="I1701" s="109">
        <f t="shared" si="121"/>
        <v>120</v>
      </c>
      <c r="J1701" s="110">
        <f t="shared" si="118"/>
        <v>120</v>
      </c>
      <c r="K1701" s="111">
        <f t="shared" si="119"/>
        <v>0</v>
      </c>
      <c r="L1701" s="110">
        <f t="shared" si="120"/>
        <v>0</v>
      </c>
      <c r="M1701" s="112"/>
    </row>
    <row r="1702" spans="2:13" s="52" customFormat="1" ht="19.5" hidden="1" customHeight="1">
      <c r="B1702" s="108">
        <v>23</v>
      </c>
      <c r="C1702" s="108" t="s">
        <v>63</v>
      </c>
      <c r="D1702" s="108" t="s">
        <v>4583</v>
      </c>
      <c r="E1702" s="115" t="s">
        <v>4612</v>
      </c>
      <c r="F1702" s="108" t="s">
        <v>4746</v>
      </c>
      <c r="G1702" s="115">
        <v>9</v>
      </c>
      <c r="H1702" s="71">
        <v>9</v>
      </c>
      <c r="I1702" s="109">
        <f t="shared" si="121"/>
        <v>27</v>
      </c>
      <c r="J1702" s="110">
        <f t="shared" si="118"/>
        <v>27</v>
      </c>
      <c r="K1702" s="111">
        <f t="shared" si="119"/>
        <v>0</v>
      </c>
      <c r="L1702" s="110">
        <f t="shared" si="120"/>
        <v>0</v>
      </c>
      <c r="M1702" s="112"/>
    </row>
    <row r="1703" spans="2:13" s="8" customFormat="1" hidden="1">
      <c r="B1703" s="23" t="s">
        <v>14</v>
      </c>
      <c r="C1703" s="90"/>
      <c r="D1703" s="84"/>
      <c r="E1703" s="92"/>
      <c r="F1703" s="93"/>
      <c r="G1703" s="94">
        <f>SUM(G6:G1702)</f>
        <v>64986</v>
      </c>
      <c r="H1703" s="94">
        <f>SUM(H6:H1702)</f>
        <v>79281</v>
      </c>
      <c r="I1703" s="94">
        <f>SUM(I6:I1702)</f>
        <v>1449806.9800000039</v>
      </c>
      <c r="J1703" s="94">
        <f t="shared" ref="J1703:L1703" si="122">SUM(J6:J1702)</f>
        <v>1282896.3500000017</v>
      </c>
      <c r="K1703" s="94">
        <f t="shared" si="122"/>
        <v>-14295</v>
      </c>
      <c r="L1703" s="94">
        <f t="shared" si="122"/>
        <v>187622.63999999969</v>
      </c>
      <c r="M1703" s="91"/>
    </row>
    <row r="1705" spans="2:13">
      <c r="B1705" s="25" t="s">
        <v>15</v>
      </c>
      <c r="C1705" s="66"/>
      <c r="D1705" s="98" t="s">
        <v>16</v>
      </c>
      <c r="E1705" s="78" t="s">
        <v>17</v>
      </c>
      <c r="F1705" s="158" t="s">
        <v>18</v>
      </c>
      <c r="G1705" s="158"/>
      <c r="H1705" s="159"/>
      <c r="I1705" s="160"/>
    </row>
    <row r="1706" spans="2:13" ht="15.75" customHeight="1">
      <c r="B1706" s="40" t="s">
        <v>19</v>
      </c>
      <c r="C1706" s="59"/>
      <c r="D1706" s="99">
        <f>I1703</f>
        <v>1449806.9800000039</v>
      </c>
      <c r="E1706" s="79">
        <f>G1703</f>
        <v>64986</v>
      </c>
      <c r="F1706" s="148" t="s">
        <v>42</v>
      </c>
      <c r="G1706" s="148"/>
      <c r="H1706" s="149"/>
      <c r="I1706" s="150"/>
    </row>
    <row r="1707" spans="2:13">
      <c r="B1707" s="41" t="s">
        <v>8</v>
      </c>
      <c r="C1707" s="67"/>
      <c r="D1707" s="99">
        <f>J1703</f>
        <v>1282896.3500000017</v>
      </c>
      <c r="E1707" s="79">
        <f>H1703</f>
        <v>79281</v>
      </c>
      <c r="F1707" s="151"/>
      <c r="G1707" s="151"/>
      <c r="H1707" s="152"/>
      <c r="I1707" s="153"/>
    </row>
    <row r="1708" spans="2:13">
      <c r="B1708" s="42" t="s">
        <v>20</v>
      </c>
      <c r="C1708" s="68"/>
      <c r="D1708" s="100">
        <f>D1706-D1707</f>
        <v>166910.63000000222</v>
      </c>
      <c r="E1708" s="80">
        <f>E1706-E1707</f>
        <v>-14295</v>
      </c>
      <c r="F1708" s="154"/>
      <c r="G1708" s="154"/>
      <c r="H1708" s="155"/>
      <c r="I1708" s="156"/>
    </row>
    <row r="1710" spans="2:13">
      <c r="B1710" s="3" t="s">
        <v>21</v>
      </c>
      <c r="C1710" s="60"/>
      <c r="D1710" s="101"/>
      <c r="E1710" s="81" t="s">
        <v>22</v>
      </c>
      <c r="F1710" s="61"/>
      <c r="G1710" s="72" t="s">
        <v>23</v>
      </c>
      <c r="H1710" s="32"/>
    </row>
    <row r="1711" spans="2:13">
      <c r="B1711" s="3"/>
      <c r="C1711" s="60"/>
      <c r="D1711" s="101"/>
      <c r="E1711" s="81"/>
      <c r="F1711" s="61"/>
      <c r="G1711" s="72"/>
      <c r="H1711" s="32"/>
    </row>
    <row r="1712" spans="2:13">
      <c r="B1712" s="145" t="s">
        <v>45</v>
      </c>
      <c r="C1712" s="145"/>
      <c r="D1712" s="5"/>
      <c r="E1712" s="82" t="s">
        <v>44</v>
      </c>
      <c r="F1712" s="62"/>
      <c r="G1712" s="144" t="s">
        <v>24</v>
      </c>
      <c r="H1712" s="145"/>
      <c r="I1712" s="144"/>
    </row>
    <row r="1713" spans="1:9" ht="30">
      <c r="B1713" s="147" t="s">
        <v>25</v>
      </c>
      <c r="C1713" s="147"/>
      <c r="D1713" s="5"/>
      <c r="E1713" s="12" t="s">
        <v>26</v>
      </c>
      <c r="G1713" s="146" t="s">
        <v>27</v>
      </c>
      <c r="H1713" s="147"/>
      <c r="I1713" s="146"/>
    </row>
    <row r="1714" spans="1:9">
      <c r="D1714" s="5"/>
      <c r="G1714" s="32"/>
      <c r="H1714" s="32"/>
    </row>
    <row r="1715" spans="1:9">
      <c r="D1715" s="5"/>
      <c r="G1715" s="32"/>
      <c r="H1715" s="32"/>
    </row>
    <row r="1716" spans="1:9">
      <c r="B1716" s="3" t="s">
        <v>28</v>
      </c>
      <c r="C1716" s="69"/>
      <c r="D1716" s="5"/>
      <c r="G1716" s="72" t="s">
        <v>29</v>
      </c>
      <c r="H1716" s="32"/>
    </row>
    <row r="1717" spans="1:9">
      <c r="B1717" s="3"/>
      <c r="C1717" s="69"/>
      <c r="D1717" s="5"/>
      <c r="G1717" s="72"/>
      <c r="H1717" s="32"/>
    </row>
    <row r="1718" spans="1:9">
      <c r="B1718" s="145" t="s">
        <v>65</v>
      </c>
      <c r="C1718" s="145"/>
      <c r="D1718" s="8"/>
      <c r="E1718" s="83"/>
      <c r="G1718" s="144" t="s">
        <v>30</v>
      </c>
      <c r="H1718" s="145"/>
      <c r="I1718" s="144"/>
    </row>
    <row r="1719" spans="1:9">
      <c r="A1719" s="157" t="s">
        <v>66</v>
      </c>
      <c r="B1719" s="157"/>
      <c r="C1719" s="157"/>
      <c r="D1719"/>
      <c r="G1719" s="146" t="s">
        <v>31</v>
      </c>
      <c r="H1719" s="147"/>
      <c r="I1719" s="146"/>
    </row>
  </sheetData>
  <autoFilter ref="B5:M1703" xr:uid="{00000000-0001-0000-0000-000000000000}">
    <filterColumn colId="9">
      <filters>
        <filter val="1"/>
        <filter val="1,171"/>
        <filter val="10"/>
        <filter val="103"/>
        <filter val="104"/>
        <filter val="106"/>
        <filter val="108"/>
        <filter val="109"/>
        <filter val="11"/>
        <filter val="110"/>
        <filter val="113"/>
        <filter val="114"/>
        <filter val="115"/>
        <filter val="116"/>
        <filter val="119"/>
        <filter val="12"/>
        <filter val="121"/>
        <filter val="122"/>
        <filter val="126"/>
        <filter val="128"/>
        <filter val="13"/>
        <filter val="130"/>
        <filter val="131"/>
        <filter val="134"/>
        <filter val="135"/>
        <filter val="138"/>
        <filter val="139"/>
        <filter val="14"/>
        <filter val="141"/>
        <filter val="146"/>
        <filter val="148"/>
        <filter val="149"/>
        <filter val="15"/>
        <filter val="150"/>
        <filter val="153"/>
        <filter val="155"/>
        <filter val="156"/>
        <filter val="157"/>
        <filter val="159"/>
        <filter val="16"/>
        <filter val="161"/>
        <filter val="164"/>
        <filter val="166"/>
        <filter val="17"/>
        <filter val="171"/>
        <filter val="172"/>
        <filter val="18"/>
        <filter val="186"/>
        <filter val="187"/>
        <filter val="188"/>
        <filter val="19"/>
        <filter val="194"/>
        <filter val="2"/>
        <filter val="20"/>
        <filter val="206"/>
        <filter val="21"/>
        <filter val="22"/>
        <filter val="228"/>
        <filter val="23"/>
        <filter val="236"/>
        <filter val="24"/>
        <filter val="247"/>
        <filter val="25"/>
        <filter val="252"/>
        <filter val="256"/>
        <filter val="258"/>
        <filter val="26"/>
        <filter val="27"/>
        <filter val="273"/>
        <filter val="28"/>
        <filter val="29"/>
        <filter val="3"/>
        <filter val="30"/>
        <filter val="31"/>
        <filter val="314"/>
        <filter val="32"/>
        <filter val="33"/>
        <filter val="34"/>
        <filter val="35"/>
        <filter val="36"/>
        <filter val="369"/>
        <filter val="37"/>
        <filter val="38"/>
        <filter val="381"/>
        <filter val="39"/>
        <filter val="396"/>
        <filter val="4"/>
        <filter val="40"/>
        <filter val="41"/>
        <filter val="43"/>
        <filter val="433"/>
        <filter val="44"/>
        <filter val="45"/>
        <filter val="46"/>
        <filter val="47"/>
        <filter val="477"/>
        <filter val="48"/>
        <filter val="49"/>
        <filter val="5"/>
        <filter val="50"/>
        <filter val="51"/>
        <filter val="52"/>
        <filter val="527"/>
        <filter val="53"/>
        <filter val="54"/>
        <filter val="55"/>
        <filter val="57"/>
        <filter val="58"/>
        <filter val="59"/>
        <filter val="6"/>
        <filter val="60"/>
        <filter val="61"/>
        <filter val="62"/>
        <filter val="63"/>
        <filter val="637"/>
        <filter val="64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2"/>
        <filter val="79"/>
        <filter val="8"/>
        <filter val="82"/>
        <filter val="84"/>
        <filter val="85"/>
        <filter val="87"/>
        <filter val="88"/>
        <filter val="89"/>
        <filter val="9"/>
        <filter val="90"/>
        <filter val="91"/>
        <filter val="92"/>
        <filter val="93"/>
        <filter val="94"/>
        <filter val="96"/>
        <filter val="97"/>
        <filter val="99"/>
      </filters>
    </filterColumn>
  </autoFilter>
  <mergeCells count="10">
    <mergeCell ref="F1705:I1705"/>
    <mergeCell ref="B1712:C1712"/>
    <mergeCell ref="G1712:I1712"/>
    <mergeCell ref="B1713:C1713"/>
    <mergeCell ref="G1713:I1713"/>
    <mergeCell ref="G1718:I1718"/>
    <mergeCell ref="G1719:I1719"/>
    <mergeCell ref="F1706:I1708"/>
    <mergeCell ref="B1718:C1718"/>
    <mergeCell ref="A1719:C1719"/>
  </mergeCells>
  <pageMargins left="0.7" right="0.7" top="0.75" bottom="0.75" header="0.3" footer="0.3"/>
  <pageSetup paperSize="14" scale="57" fitToHeight="0" orientation="landscape" r:id="rId1"/>
  <rowBreaks count="1" manualBreakCount="1">
    <brk id="1299" max="7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A1:Q1238"/>
  <sheetViews>
    <sheetView showGridLines="0" tabSelected="1" view="pageBreakPreview" topLeftCell="A1209" zoomScale="85" zoomScaleNormal="85" zoomScaleSheetLayoutView="85" workbookViewId="0">
      <selection activeCell="C1217" sqref="C1217"/>
    </sheetView>
  </sheetViews>
  <sheetFormatPr defaultColWidth="9" defaultRowHeight="15"/>
  <cols>
    <col min="2" max="2" width="21.5703125" customWidth="1"/>
    <col min="3" max="3" width="51.28515625" customWidth="1"/>
    <col min="4" max="4" width="8.7109375" customWidth="1"/>
    <col min="5" max="5" width="11.28515625" customWidth="1"/>
    <col min="6" max="6" width="10.5703125" style="105" customWidth="1"/>
    <col min="7" max="7" width="13.5703125" style="105" customWidth="1"/>
    <col min="8" max="8" width="12.85546875" style="105" customWidth="1"/>
    <col min="9" max="9" width="12.42578125" customWidth="1"/>
    <col min="10" max="10" width="12.28515625" style="7" customWidth="1"/>
    <col min="11" max="11" width="24.5703125" customWidth="1"/>
    <col min="13" max="13" width="43.5703125" bestFit="1" customWidth="1"/>
    <col min="14" max="14" width="9" customWidth="1"/>
    <col min="15" max="15" width="11.28515625" bestFit="1" customWidth="1"/>
    <col min="16" max="16" width="11.7109375" bestFit="1" customWidth="1"/>
  </cols>
  <sheetData>
    <row r="1" spans="2:12">
      <c r="B1" s="3" t="s">
        <v>32</v>
      </c>
    </row>
    <row r="2" spans="2:12">
      <c r="B2" s="3" t="str">
        <f>'CONVIE-NOT FINAL'!B2</f>
        <v>AS OF MAY 2026</v>
      </c>
    </row>
    <row r="3" spans="2:12" s="35" customFormat="1">
      <c r="B3" s="8" t="s">
        <v>33</v>
      </c>
      <c r="C3"/>
      <c r="D3"/>
      <c r="E3"/>
      <c r="F3" s="105"/>
      <c r="G3" s="105"/>
      <c r="H3" s="105"/>
      <c r="I3"/>
      <c r="J3" s="7"/>
      <c r="K3"/>
    </row>
    <row r="4" spans="2:12" s="85" customFormat="1" ht="18.75" customHeight="1">
      <c r="B4" s="31" t="s">
        <v>4</v>
      </c>
      <c r="C4" s="1" t="s">
        <v>5</v>
      </c>
      <c r="D4" s="51" t="s">
        <v>6</v>
      </c>
      <c r="E4" s="21" t="s">
        <v>7</v>
      </c>
      <c r="F4" s="21" t="s">
        <v>8</v>
      </c>
      <c r="G4" s="10" t="s">
        <v>9</v>
      </c>
      <c r="H4" s="10" t="s">
        <v>10</v>
      </c>
      <c r="I4" s="21" t="s">
        <v>11</v>
      </c>
      <c r="J4" s="10" t="s">
        <v>12</v>
      </c>
      <c r="K4" s="1" t="s">
        <v>13</v>
      </c>
      <c r="L4" s="35"/>
    </row>
    <row r="5" spans="2:12" s="85" customFormat="1">
      <c r="B5" s="115" t="s">
        <v>542</v>
      </c>
      <c r="C5" s="115" t="s">
        <v>655</v>
      </c>
      <c r="D5" s="115" t="s">
        <v>752</v>
      </c>
      <c r="E5" s="115">
        <v>16</v>
      </c>
      <c r="F5" s="71">
        <v>48</v>
      </c>
      <c r="G5" s="109">
        <v>203.04</v>
      </c>
      <c r="H5" s="110">
        <v>609.12</v>
      </c>
      <c r="I5" s="111">
        <v>-32</v>
      </c>
      <c r="J5" s="110">
        <v>-406.08000000000004</v>
      </c>
      <c r="K5" s="117"/>
      <c r="L5" s="35"/>
    </row>
    <row r="6" spans="2:12" s="85" customFormat="1">
      <c r="B6" s="115" t="s">
        <v>549</v>
      </c>
      <c r="C6" s="115" t="s">
        <v>662</v>
      </c>
      <c r="D6" s="115" t="s">
        <v>759</v>
      </c>
      <c r="E6" s="115">
        <v>13</v>
      </c>
      <c r="F6" s="71">
        <v>25</v>
      </c>
      <c r="G6" s="109">
        <v>400.01</v>
      </c>
      <c r="H6" s="110">
        <v>769.25</v>
      </c>
      <c r="I6" s="111">
        <v>-12</v>
      </c>
      <c r="J6" s="110">
        <v>-369.24</v>
      </c>
      <c r="K6" s="117"/>
      <c r="L6" s="35"/>
    </row>
    <row r="7" spans="2:12" s="85" customFormat="1">
      <c r="B7" s="115" t="s">
        <v>552</v>
      </c>
      <c r="C7" s="115" t="s">
        <v>665</v>
      </c>
      <c r="D7" s="115" t="s">
        <v>762</v>
      </c>
      <c r="E7" s="115">
        <v>9</v>
      </c>
      <c r="F7" s="71">
        <v>31</v>
      </c>
      <c r="G7" s="109">
        <v>1033.1100000000001</v>
      </c>
      <c r="H7" s="110">
        <v>3558.4900000000002</v>
      </c>
      <c r="I7" s="111">
        <v>-22</v>
      </c>
      <c r="J7" s="110">
        <v>-2525.38</v>
      </c>
      <c r="K7" s="117"/>
      <c r="L7" s="35"/>
    </row>
    <row r="8" spans="2:12" s="85" customFormat="1">
      <c r="B8" s="115" t="s">
        <v>556</v>
      </c>
      <c r="C8" s="115" t="s">
        <v>669</v>
      </c>
      <c r="D8" s="115" t="s">
        <v>763</v>
      </c>
      <c r="E8" s="115">
        <v>16</v>
      </c>
      <c r="F8" s="71">
        <v>17</v>
      </c>
      <c r="G8" s="109">
        <v>1420</v>
      </c>
      <c r="H8" s="110">
        <v>1508.75</v>
      </c>
      <c r="I8" s="111">
        <v>-1</v>
      </c>
      <c r="J8" s="110">
        <v>-88.75</v>
      </c>
      <c r="K8" s="117"/>
      <c r="L8" s="35"/>
    </row>
    <row r="9" spans="2:12" s="85" customFormat="1">
      <c r="B9" s="115" t="s">
        <v>557</v>
      </c>
      <c r="C9" s="115" t="s">
        <v>670</v>
      </c>
      <c r="D9" s="115" t="s">
        <v>764</v>
      </c>
      <c r="E9" s="115">
        <v>8</v>
      </c>
      <c r="F9" s="71">
        <v>18</v>
      </c>
      <c r="G9" s="109">
        <v>125.44</v>
      </c>
      <c r="H9" s="110">
        <v>282.24</v>
      </c>
      <c r="I9" s="111">
        <v>-10</v>
      </c>
      <c r="J9" s="110">
        <v>-156.80000000000001</v>
      </c>
      <c r="K9" s="117"/>
      <c r="L9" s="35"/>
    </row>
    <row r="10" spans="2:12" s="85" customFormat="1">
      <c r="B10" s="115" t="s">
        <v>570</v>
      </c>
      <c r="C10" s="115" t="s">
        <v>683</v>
      </c>
      <c r="D10" s="115" t="s">
        <v>773</v>
      </c>
      <c r="E10" s="115">
        <v>70</v>
      </c>
      <c r="F10" s="71">
        <v>1726</v>
      </c>
      <c r="G10" s="109">
        <v>2656.5</v>
      </c>
      <c r="H10" s="110">
        <v>65501.700000000004</v>
      </c>
      <c r="I10" s="111">
        <v>-1656</v>
      </c>
      <c r="J10" s="110">
        <v>-62845.200000000004</v>
      </c>
      <c r="K10" s="117"/>
      <c r="L10" s="35"/>
    </row>
    <row r="11" spans="2:12" s="85" customFormat="1">
      <c r="B11" s="115" t="s">
        <v>571</v>
      </c>
      <c r="C11" s="115" t="s">
        <v>684</v>
      </c>
      <c r="D11" s="115" t="s">
        <v>728</v>
      </c>
      <c r="E11" s="115">
        <v>119</v>
      </c>
      <c r="F11" s="71">
        <v>133</v>
      </c>
      <c r="G11" s="109">
        <v>735.42</v>
      </c>
      <c r="H11" s="110">
        <v>821.93999999999994</v>
      </c>
      <c r="I11" s="111">
        <v>-14</v>
      </c>
      <c r="J11" s="110">
        <v>-86.519999999999982</v>
      </c>
      <c r="K11" s="117"/>
      <c r="L11" s="35"/>
    </row>
    <row r="12" spans="2:12" s="85" customFormat="1">
      <c r="B12" s="115" t="s">
        <v>576</v>
      </c>
      <c r="C12" s="115" t="s">
        <v>689</v>
      </c>
      <c r="D12" s="115" t="s">
        <v>728</v>
      </c>
      <c r="E12" s="115">
        <v>40</v>
      </c>
      <c r="F12" s="71">
        <v>83</v>
      </c>
      <c r="G12" s="109">
        <v>247.2</v>
      </c>
      <c r="H12" s="110">
        <v>512.93999999999994</v>
      </c>
      <c r="I12" s="111">
        <v>-43</v>
      </c>
      <c r="J12" s="110">
        <v>-265.73999999999995</v>
      </c>
      <c r="K12" s="117"/>
      <c r="L12" s="35"/>
    </row>
    <row r="13" spans="2:12" s="85" customFormat="1">
      <c r="B13" s="115" t="s">
        <v>610</v>
      </c>
      <c r="C13" s="115" t="s">
        <v>723</v>
      </c>
      <c r="D13" s="115" t="s">
        <v>788</v>
      </c>
      <c r="E13" s="115">
        <v>69</v>
      </c>
      <c r="F13" s="71">
        <v>75</v>
      </c>
      <c r="G13" s="109">
        <v>1079.8500000000001</v>
      </c>
      <c r="H13" s="110">
        <v>1173.75</v>
      </c>
      <c r="I13" s="111">
        <v>-6</v>
      </c>
      <c r="J13" s="110">
        <v>-93.899999999999864</v>
      </c>
      <c r="K13" s="117"/>
      <c r="L13" s="35"/>
    </row>
    <row r="14" spans="2:12" s="85" customFormat="1">
      <c r="B14" s="115" t="s">
        <v>796</v>
      </c>
      <c r="C14" s="115" t="s">
        <v>815</v>
      </c>
      <c r="D14" s="115" t="s">
        <v>833</v>
      </c>
      <c r="E14" s="115">
        <v>13</v>
      </c>
      <c r="F14" s="71">
        <v>14</v>
      </c>
      <c r="G14" s="109">
        <v>1105</v>
      </c>
      <c r="H14" s="110">
        <v>1190</v>
      </c>
      <c r="I14" s="111">
        <v>-1</v>
      </c>
      <c r="J14" s="110">
        <v>-85</v>
      </c>
      <c r="K14" s="117"/>
      <c r="L14" s="35"/>
    </row>
    <row r="15" spans="2:12" s="85" customFormat="1">
      <c r="B15" s="115" t="s">
        <v>798</v>
      </c>
      <c r="C15" s="115" t="s">
        <v>817</v>
      </c>
      <c r="D15" s="115" t="s">
        <v>835</v>
      </c>
      <c r="E15" s="115">
        <v>3</v>
      </c>
      <c r="F15" s="71">
        <v>15</v>
      </c>
      <c r="G15" s="109">
        <v>363</v>
      </c>
      <c r="H15" s="110">
        <v>1815</v>
      </c>
      <c r="I15" s="111">
        <v>-12</v>
      </c>
      <c r="J15" s="110">
        <v>-1452</v>
      </c>
      <c r="K15" s="117"/>
      <c r="L15" s="35"/>
    </row>
    <row r="16" spans="2:12" s="85" customFormat="1">
      <c r="B16" s="115" t="s">
        <v>800</v>
      </c>
      <c r="C16" s="115" t="s">
        <v>819</v>
      </c>
      <c r="D16" s="115" t="s">
        <v>837</v>
      </c>
      <c r="E16" s="115">
        <v>30</v>
      </c>
      <c r="F16" s="71">
        <v>72</v>
      </c>
      <c r="G16" s="109">
        <v>3525</v>
      </c>
      <c r="H16" s="110">
        <v>8460</v>
      </c>
      <c r="I16" s="111">
        <v>-42</v>
      </c>
      <c r="J16" s="110">
        <v>-4935</v>
      </c>
      <c r="K16" s="117"/>
      <c r="L16" s="35"/>
    </row>
    <row r="17" spans="2:12" s="85" customFormat="1">
      <c r="B17" s="115" t="s">
        <v>851</v>
      </c>
      <c r="C17" s="115" t="s">
        <v>1004</v>
      </c>
      <c r="D17" s="115" t="s">
        <v>1156</v>
      </c>
      <c r="E17" s="115">
        <v>16</v>
      </c>
      <c r="F17" s="71">
        <v>20</v>
      </c>
      <c r="G17" s="109">
        <v>100.96</v>
      </c>
      <c r="H17" s="110">
        <v>126.19999999999999</v>
      </c>
      <c r="I17" s="111">
        <v>-4</v>
      </c>
      <c r="J17" s="110">
        <v>-25.239999999999995</v>
      </c>
      <c r="K17" s="117"/>
      <c r="L17" s="35"/>
    </row>
    <row r="18" spans="2:12" s="85" customFormat="1">
      <c r="B18" s="115" t="s">
        <v>854</v>
      </c>
      <c r="C18" s="115" t="s">
        <v>1007</v>
      </c>
      <c r="D18" s="115" t="s">
        <v>1159</v>
      </c>
      <c r="E18" s="115">
        <v>6</v>
      </c>
      <c r="F18" s="71">
        <v>7</v>
      </c>
      <c r="G18" s="109">
        <v>226.79999999999998</v>
      </c>
      <c r="H18" s="110">
        <v>264.59999999999997</v>
      </c>
      <c r="I18" s="111">
        <v>-1</v>
      </c>
      <c r="J18" s="110">
        <v>-37.799999999999983</v>
      </c>
      <c r="K18" s="117"/>
      <c r="L18" s="35"/>
    </row>
    <row r="19" spans="2:12" s="85" customFormat="1">
      <c r="B19" s="115" t="s">
        <v>862</v>
      </c>
      <c r="C19" s="115" t="s">
        <v>1015</v>
      </c>
      <c r="D19" s="115" t="s">
        <v>1163</v>
      </c>
      <c r="E19" s="115">
        <v>7</v>
      </c>
      <c r="F19" s="71">
        <v>8</v>
      </c>
      <c r="G19" s="109">
        <v>245</v>
      </c>
      <c r="H19" s="110">
        <v>280</v>
      </c>
      <c r="I19" s="111">
        <v>-1</v>
      </c>
      <c r="J19" s="110">
        <v>-35</v>
      </c>
      <c r="K19" s="117"/>
      <c r="L19" s="35"/>
    </row>
    <row r="20" spans="2:12" s="85" customFormat="1">
      <c r="B20" s="115" t="s">
        <v>865</v>
      </c>
      <c r="C20" s="115" t="s">
        <v>1018</v>
      </c>
      <c r="D20" s="115" t="s">
        <v>1166</v>
      </c>
      <c r="E20" s="115">
        <v>1</v>
      </c>
      <c r="F20" s="71">
        <v>6</v>
      </c>
      <c r="G20" s="109">
        <v>51.98</v>
      </c>
      <c r="H20" s="110">
        <v>311.88</v>
      </c>
      <c r="I20" s="111">
        <v>-5</v>
      </c>
      <c r="J20" s="110">
        <v>-259.89999999999998</v>
      </c>
      <c r="K20" s="117"/>
      <c r="L20" s="35"/>
    </row>
    <row r="21" spans="2:12" s="85" customFormat="1">
      <c r="B21" s="115" t="s">
        <v>873</v>
      </c>
      <c r="C21" s="115" t="s">
        <v>1026</v>
      </c>
      <c r="D21" s="115" t="s">
        <v>1170</v>
      </c>
      <c r="E21" s="115">
        <v>36</v>
      </c>
      <c r="F21" s="71">
        <v>37</v>
      </c>
      <c r="G21" s="109">
        <v>744.48</v>
      </c>
      <c r="H21" s="110">
        <v>765.16</v>
      </c>
      <c r="I21" s="111">
        <v>-1</v>
      </c>
      <c r="J21" s="110">
        <v>-20.67999999999995</v>
      </c>
      <c r="K21" s="117"/>
      <c r="L21" s="35"/>
    </row>
    <row r="22" spans="2:12" s="85" customFormat="1">
      <c r="B22" s="115" t="s">
        <v>875</v>
      </c>
      <c r="C22" s="115" t="s">
        <v>1028</v>
      </c>
      <c r="D22" s="115" t="s">
        <v>1172</v>
      </c>
      <c r="E22" s="115">
        <v>1</v>
      </c>
      <c r="F22" s="71">
        <v>2</v>
      </c>
      <c r="G22" s="109">
        <v>13.02</v>
      </c>
      <c r="H22" s="110">
        <v>26.04</v>
      </c>
      <c r="I22" s="111">
        <v>-1</v>
      </c>
      <c r="J22" s="110">
        <v>-13.02</v>
      </c>
      <c r="K22" s="117"/>
      <c r="L22" s="35"/>
    </row>
    <row r="23" spans="2:12" s="85" customFormat="1">
      <c r="B23" s="115" t="s">
        <v>941</v>
      </c>
      <c r="C23" s="115" t="s">
        <v>1094</v>
      </c>
      <c r="D23" s="115" t="s">
        <v>1227</v>
      </c>
      <c r="E23" s="115">
        <v>3</v>
      </c>
      <c r="F23" s="71">
        <v>4</v>
      </c>
      <c r="G23" s="109">
        <v>533.70000000000005</v>
      </c>
      <c r="H23" s="110">
        <v>711.6</v>
      </c>
      <c r="I23" s="111">
        <v>-1</v>
      </c>
      <c r="J23" s="110">
        <v>-177.89999999999998</v>
      </c>
      <c r="K23" s="117"/>
      <c r="L23" s="35"/>
    </row>
    <row r="24" spans="2:12" s="85" customFormat="1">
      <c r="B24" s="115" t="s">
        <v>951</v>
      </c>
      <c r="C24" s="115" t="s">
        <v>1104</v>
      </c>
      <c r="D24" s="115" t="s">
        <v>1155</v>
      </c>
      <c r="E24" s="115">
        <v>1</v>
      </c>
      <c r="F24" s="71">
        <v>8</v>
      </c>
      <c r="G24" s="109">
        <v>59.5</v>
      </c>
      <c r="H24" s="110">
        <v>476</v>
      </c>
      <c r="I24" s="111">
        <v>-7</v>
      </c>
      <c r="J24" s="110">
        <v>-416.5</v>
      </c>
      <c r="K24" s="117"/>
      <c r="L24" s="35"/>
    </row>
    <row r="25" spans="2:12" s="85" customFormat="1">
      <c r="B25" s="115" t="s">
        <v>957</v>
      </c>
      <c r="C25" s="115" t="s">
        <v>1110</v>
      </c>
      <c r="D25" s="115" t="s">
        <v>1236</v>
      </c>
      <c r="E25" s="115">
        <v>3</v>
      </c>
      <c r="F25" s="71">
        <v>4</v>
      </c>
      <c r="G25" s="109">
        <v>151.5</v>
      </c>
      <c r="H25" s="110">
        <v>202</v>
      </c>
      <c r="I25" s="111">
        <v>-1</v>
      </c>
      <c r="J25" s="110">
        <v>-50.5</v>
      </c>
      <c r="K25" s="117"/>
      <c r="L25" s="35"/>
    </row>
    <row r="26" spans="2:12" s="85" customFormat="1">
      <c r="B26" s="115" t="s">
        <v>958</v>
      </c>
      <c r="C26" s="115" t="s">
        <v>1111</v>
      </c>
      <c r="D26" s="115" t="s">
        <v>1236</v>
      </c>
      <c r="E26" s="115">
        <v>6</v>
      </c>
      <c r="F26" s="71">
        <v>8</v>
      </c>
      <c r="G26" s="109">
        <v>303</v>
      </c>
      <c r="H26" s="110">
        <v>404</v>
      </c>
      <c r="I26" s="111">
        <v>-2</v>
      </c>
      <c r="J26" s="110">
        <v>-101</v>
      </c>
      <c r="K26" s="117"/>
      <c r="L26" s="35"/>
    </row>
    <row r="27" spans="2:12" s="85" customFormat="1">
      <c r="B27" s="115" t="s">
        <v>960</v>
      </c>
      <c r="C27" s="115" t="s">
        <v>1113</v>
      </c>
      <c r="D27" s="115" t="s">
        <v>1238</v>
      </c>
      <c r="E27" s="115">
        <v>2</v>
      </c>
      <c r="F27" s="71">
        <v>8</v>
      </c>
      <c r="G27" s="109">
        <v>141.82</v>
      </c>
      <c r="H27" s="110">
        <v>567.28</v>
      </c>
      <c r="I27" s="111">
        <v>-6</v>
      </c>
      <c r="J27" s="110">
        <v>-425.46</v>
      </c>
      <c r="K27" s="117"/>
      <c r="L27" s="35"/>
    </row>
    <row r="28" spans="2:12" s="85" customFormat="1">
      <c r="B28" s="115" t="s">
        <v>983</v>
      </c>
      <c r="C28" s="115" t="s">
        <v>1136</v>
      </c>
      <c r="D28" s="115" t="s">
        <v>1247</v>
      </c>
      <c r="E28" s="115">
        <v>24</v>
      </c>
      <c r="F28" s="71">
        <v>36</v>
      </c>
      <c r="G28" s="109">
        <v>1390.8000000000002</v>
      </c>
      <c r="H28" s="110">
        <v>2086.2000000000003</v>
      </c>
      <c r="I28" s="111">
        <v>-12</v>
      </c>
      <c r="J28" s="110">
        <v>-695.40000000000009</v>
      </c>
      <c r="K28" s="117"/>
      <c r="L28" s="35"/>
    </row>
    <row r="29" spans="2:12" s="85" customFormat="1">
      <c r="B29" s="115" t="s">
        <v>985</v>
      </c>
      <c r="C29" s="115" t="s">
        <v>1138</v>
      </c>
      <c r="D29" s="115" t="s">
        <v>1245</v>
      </c>
      <c r="E29" s="115">
        <v>4</v>
      </c>
      <c r="F29" s="71">
        <v>5</v>
      </c>
      <c r="G29" s="109">
        <v>241</v>
      </c>
      <c r="H29" s="110">
        <v>301.25</v>
      </c>
      <c r="I29" s="111">
        <v>-1</v>
      </c>
      <c r="J29" s="110">
        <v>-60.25</v>
      </c>
      <c r="K29" s="117"/>
      <c r="L29" s="35"/>
    </row>
    <row r="30" spans="2:12" s="85" customFormat="1">
      <c r="B30" s="115" t="s">
        <v>990</v>
      </c>
      <c r="C30" s="115" t="s">
        <v>1143</v>
      </c>
      <c r="D30" s="115" t="s">
        <v>1250</v>
      </c>
      <c r="E30" s="115">
        <v>2</v>
      </c>
      <c r="F30" s="71">
        <v>10</v>
      </c>
      <c r="G30" s="109">
        <v>247.8</v>
      </c>
      <c r="H30" s="110">
        <v>1239</v>
      </c>
      <c r="I30" s="111">
        <v>-8</v>
      </c>
      <c r="J30" s="110">
        <v>-991.2</v>
      </c>
      <c r="K30" s="117"/>
      <c r="L30" s="35"/>
    </row>
    <row r="31" spans="2:12" s="85" customFormat="1">
      <c r="B31" s="115" t="s">
        <v>993</v>
      </c>
      <c r="C31" s="115" t="s">
        <v>1146</v>
      </c>
      <c r="D31" s="115" t="s">
        <v>1252</v>
      </c>
      <c r="E31" s="115">
        <v>1</v>
      </c>
      <c r="F31" s="71">
        <v>3</v>
      </c>
      <c r="G31" s="109">
        <v>56.37</v>
      </c>
      <c r="H31" s="110">
        <v>169.10999999999999</v>
      </c>
      <c r="I31" s="111">
        <v>-2</v>
      </c>
      <c r="J31" s="110">
        <v>-112.73999999999998</v>
      </c>
      <c r="K31" s="117"/>
      <c r="L31" s="35"/>
    </row>
    <row r="32" spans="2:12" s="85" customFormat="1">
      <c r="B32" s="115" t="s">
        <v>995</v>
      </c>
      <c r="C32" s="115" t="s">
        <v>1148</v>
      </c>
      <c r="D32" s="115" t="s">
        <v>1201</v>
      </c>
      <c r="E32" s="115">
        <v>2</v>
      </c>
      <c r="F32" s="71">
        <v>3</v>
      </c>
      <c r="G32" s="109">
        <v>98.2</v>
      </c>
      <c r="H32" s="110">
        <v>147.30000000000001</v>
      </c>
      <c r="I32" s="111">
        <v>-1</v>
      </c>
      <c r="J32" s="110">
        <v>-49.100000000000009</v>
      </c>
      <c r="K32" s="117"/>
      <c r="L32" s="35"/>
    </row>
    <row r="33" spans="2:12" s="85" customFormat="1">
      <c r="B33" s="115" t="s">
        <v>1258</v>
      </c>
      <c r="C33" s="115" t="s">
        <v>1328</v>
      </c>
      <c r="D33" s="115" t="s">
        <v>1399</v>
      </c>
      <c r="E33" s="115">
        <v>103</v>
      </c>
      <c r="F33" s="71">
        <v>104</v>
      </c>
      <c r="G33" s="109">
        <v>863.1400000000001</v>
      </c>
      <c r="H33" s="110">
        <v>871.5200000000001</v>
      </c>
      <c r="I33" s="111">
        <v>-1</v>
      </c>
      <c r="J33" s="110">
        <v>-8.3799999999999955</v>
      </c>
      <c r="K33" s="117"/>
      <c r="L33" s="35"/>
    </row>
    <row r="34" spans="2:12" s="85" customFormat="1">
      <c r="B34" s="115" t="s">
        <v>1264</v>
      </c>
      <c r="C34" s="115" t="s">
        <v>1334</v>
      </c>
      <c r="D34" s="115" t="s">
        <v>1404</v>
      </c>
      <c r="E34" s="115">
        <v>10</v>
      </c>
      <c r="F34" s="71">
        <v>67</v>
      </c>
      <c r="G34" s="109">
        <v>146.5</v>
      </c>
      <c r="H34" s="110">
        <v>981.55000000000007</v>
      </c>
      <c r="I34" s="111">
        <v>-57</v>
      </c>
      <c r="J34" s="110">
        <v>-835.05000000000007</v>
      </c>
      <c r="K34" s="117"/>
      <c r="L34" s="35"/>
    </row>
    <row r="35" spans="2:12" s="85" customFormat="1">
      <c r="B35" s="115" t="s">
        <v>1288</v>
      </c>
      <c r="C35" s="115" t="s">
        <v>1358</v>
      </c>
      <c r="D35" s="115" t="s">
        <v>1422</v>
      </c>
      <c r="E35" s="115">
        <v>9</v>
      </c>
      <c r="F35" s="71">
        <v>10</v>
      </c>
      <c r="G35" s="109">
        <v>261</v>
      </c>
      <c r="H35" s="110">
        <v>290</v>
      </c>
      <c r="I35" s="111">
        <v>-1</v>
      </c>
      <c r="J35" s="110">
        <v>-29</v>
      </c>
      <c r="K35" s="117"/>
      <c r="L35" s="35"/>
    </row>
    <row r="36" spans="2:12" s="85" customFormat="1">
      <c r="B36" s="115" t="s">
        <v>1290</v>
      </c>
      <c r="C36" s="115" t="s">
        <v>1360</v>
      </c>
      <c r="D36" s="115" t="s">
        <v>1423</v>
      </c>
      <c r="E36" s="115">
        <v>2</v>
      </c>
      <c r="F36" s="71">
        <v>7</v>
      </c>
      <c r="G36" s="109">
        <v>31</v>
      </c>
      <c r="H36" s="110">
        <v>108.5</v>
      </c>
      <c r="I36" s="111">
        <v>-5</v>
      </c>
      <c r="J36" s="110">
        <v>-77.5</v>
      </c>
      <c r="K36" s="117"/>
      <c r="L36" s="35"/>
    </row>
    <row r="37" spans="2:12" s="85" customFormat="1">
      <c r="B37" s="115" t="s">
        <v>1291</v>
      </c>
      <c r="C37" s="115" t="s">
        <v>1361</v>
      </c>
      <c r="D37" s="115" t="s">
        <v>1409</v>
      </c>
      <c r="E37" s="115">
        <v>3</v>
      </c>
      <c r="F37" s="71">
        <v>6</v>
      </c>
      <c r="G37" s="109">
        <v>114</v>
      </c>
      <c r="H37" s="110">
        <v>228</v>
      </c>
      <c r="I37" s="111">
        <v>-3</v>
      </c>
      <c r="J37" s="110">
        <v>-114</v>
      </c>
      <c r="K37" s="117"/>
      <c r="L37" s="35"/>
    </row>
    <row r="38" spans="2:12" s="85" customFormat="1">
      <c r="B38" s="115" t="s">
        <v>1316</v>
      </c>
      <c r="C38" s="115" t="s">
        <v>1386</v>
      </c>
      <c r="D38" s="115" t="s">
        <v>1433</v>
      </c>
      <c r="E38" s="115">
        <v>15</v>
      </c>
      <c r="F38" s="71">
        <v>19</v>
      </c>
      <c r="G38" s="109">
        <v>694.5</v>
      </c>
      <c r="H38" s="110">
        <v>879.69999999999993</v>
      </c>
      <c r="I38" s="111">
        <v>-4</v>
      </c>
      <c r="J38" s="110">
        <v>-185.19999999999993</v>
      </c>
      <c r="K38" s="117"/>
      <c r="L38" s="35"/>
    </row>
    <row r="39" spans="2:12" s="85" customFormat="1">
      <c r="B39" s="115" t="s">
        <v>1443</v>
      </c>
      <c r="C39" s="115" t="s">
        <v>1527</v>
      </c>
      <c r="D39" s="115" t="s">
        <v>1611</v>
      </c>
      <c r="E39" s="115">
        <v>3</v>
      </c>
      <c r="F39" s="71">
        <v>5</v>
      </c>
      <c r="G39" s="109">
        <v>788.76</v>
      </c>
      <c r="H39" s="110">
        <v>1314.6000000000001</v>
      </c>
      <c r="I39" s="111">
        <v>-2</v>
      </c>
      <c r="J39" s="110">
        <v>-525.84000000000015</v>
      </c>
      <c r="K39" s="117"/>
      <c r="L39" s="35"/>
    </row>
    <row r="40" spans="2:12" s="85" customFormat="1">
      <c r="B40" s="115" t="s">
        <v>1447</v>
      </c>
      <c r="C40" s="115" t="s">
        <v>1531</v>
      </c>
      <c r="D40" s="115" t="s">
        <v>1615</v>
      </c>
      <c r="E40" s="115">
        <v>59</v>
      </c>
      <c r="F40" s="71">
        <v>63</v>
      </c>
      <c r="G40" s="109">
        <v>1405.38</v>
      </c>
      <c r="H40" s="110">
        <v>1500.66</v>
      </c>
      <c r="I40" s="111">
        <v>-4</v>
      </c>
      <c r="J40" s="110">
        <v>-95.279999999999973</v>
      </c>
      <c r="K40" s="117"/>
      <c r="L40" s="35"/>
    </row>
    <row r="41" spans="2:12" s="85" customFormat="1">
      <c r="B41" s="115" t="s">
        <v>1466</v>
      </c>
      <c r="C41" s="115" t="s">
        <v>1550</v>
      </c>
      <c r="D41" s="115" t="s">
        <v>1631</v>
      </c>
      <c r="E41" s="115">
        <v>116</v>
      </c>
      <c r="F41" s="71">
        <v>117</v>
      </c>
      <c r="G41" s="109">
        <v>1321.24</v>
      </c>
      <c r="H41" s="110">
        <v>1332.63</v>
      </c>
      <c r="I41" s="111">
        <v>-1</v>
      </c>
      <c r="J41" s="110">
        <v>-11.3900000000001</v>
      </c>
      <c r="K41" s="117"/>
      <c r="L41" s="35"/>
    </row>
    <row r="42" spans="2:12" s="85" customFormat="1">
      <c r="B42" s="115" t="s">
        <v>1475</v>
      </c>
      <c r="C42" s="115" t="s">
        <v>1559</v>
      </c>
      <c r="D42" s="115" t="s">
        <v>1640</v>
      </c>
      <c r="E42" s="115">
        <v>20</v>
      </c>
      <c r="F42" s="71">
        <v>21</v>
      </c>
      <c r="G42" s="109">
        <v>224</v>
      </c>
      <c r="H42" s="110">
        <v>235.2</v>
      </c>
      <c r="I42" s="111">
        <v>-1</v>
      </c>
      <c r="J42" s="110">
        <v>-11.199999999999989</v>
      </c>
      <c r="K42" s="117"/>
      <c r="L42" s="35"/>
    </row>
    <row r="43" spans="2:12" s="85" customFormat="1">
      <c r="B43" s="115" t="s">
        <v>4654</v>
      </c>
      <c r="C43" s="115" t="s">
        <v>4657</v>
      </c>
      <c r="D43" s="115" t="s">
        <v>4660</v>
      </c>
      <c r="E43" s="115">
        <v>5</v>
      </c>
      <c r="F43" s="71">
        <v>7</v>
      </c>
      <c r="G43" s="109">
        <v>635.90000000000009</v>
      </c>
      <c r="H43" s="110">
        <v>890.26</v>
      </c>
      <c r="I43" s="111">
        <v>-2</v>
      </c>
      <c r="J43" s="110">
        <v>-254.3599999999999</v>
      </c>
      <c r="K43" s="117"/>
      <c r="L43" s="35"/>
    </row>
    <row r="44" spans="2:12" s="85" customFormat="1">
      <c r="B44" s="115" t="s">
        <v>1490</v>
      </c>
      <c r="C44" s="115" t="s">
        <v>1574</v>
      </c>
      <c r="D44" s="115" t="s">
        <v>1653</v>
      </c>
      <c r="E44" s="115">
        <v>3</v>
      </c>
      <c r="F44" s="71">
        <v>4</v>
      </c>
      <c r="G44" s="109">
        <v>714.3</v>
      </c>
      <c r="H44" s="110">
        <v>952.4</v>
      </c>
      <c r="I44" s="111">
        <v>-1</v>
      </c>
      <c r="J44" s="110">
        <v>-238.10000000000002</v>
      </c>
      <c r="K44" s="117"/>
      <c r="L44" s="35"/>
    </row>
    <row r="45" spans="2:12" s="85" customFormat="1" ht="30">
      <c r="B45" s="115" t="s">
        <v>1494</v>
      </c>
      <c r="C45" s="115" t="s">
        <v>1579</v>
      </c>
      <c r="D45" s="115" t="s">
        <v>1658</v>
      </c>
      <c r="E45" s="115">
        <v>29</v>
      </c>
      <c r="F45" s="71">
        <v>34</v>
      </c>
      <c r="G45" s="109">
        <v>383.09000000000003</v>
      </c>
      <c r="H45" s="110">
        <v>449.14000000000004</v>
      </c>
      <c r="I45" s="111">
        <v>-5</v>
      </c>
      <c r="J45" s="110">
        <v>-66.050000000000011</v>
      </c>
      <c r="K45" s="117"/>
      <c r="L45" s="35"/>
    </row>
    <row r="46" spans="2:12" s="85" customFormat="1">
      <c r="B46" s="115" t="s">
        <v>1498</v>
      </c>
      <c r="C46" s="115" t="s">
        <v>1583</v>
      </c>
      <c r="D46" s="115" t="s">
        <v>1657</v>
      </c>
      <c r="E46" s="115">
        <v>155</v>
      </c>
      <c r="F46" s="71">
        <v>164</v>
      </c>
      <c r="G46" s="109">
        <v>2064.6</v>
      </c>
      <c r="H46" s="110">
        <v>2184.48</v>
      </c>
      <c r="I46" s="111">
        <v>-9</v>
      </c>
      <c r="J46" s="110">
        <v>-119.88000000000011</v>
      </c>
      <c r="K46" s="117"/>
      <c r="L46" s="35"/>
    </row>
    <row r="47" spans="2:12" s="85" customFormat="1">
      <c r="B47" s="115" t="s">
        <v>1506</v>
      </c>
      <c r="C47" s="115" t="s">
        <v>1591</v>
      </c>
      <c r="D47" s="115" t="s">
        <v>1666</v>
      </c>
      <c r="E47" s="115">
        <v>6</v>
      </c>
      <c r="F47" s="71">
        <v>8</v>
      </c>
      <c r="G47" s="109">
        <v>1212</v>
      </c>
      <c r="H47" s="110">
        <v>1616</v>
      </c>
      <c r="I47" s="111">
        <v>-2</v>
      </c>
      <c r="J47" s="110">
        <v>-404</v>
      </c>
      <c r="K47" s="117"/>
      <c r="L47" s="35"/>
    </row>
    <row r="48" spans="2:12" s="85" customFormat="1">
      <c r="B48" s="115" t="s">
        <v>1507</v>
      </c>
      <c r="C48" s="115" t="s">
        <v>1592</v>
      </c>
      <c r="D48" s="115" t="s">
        <v>1667</v>
      </c>
      <c r="E48" s="115">
        <v>48</v>
      </c>
      <c r="F48" s="71">
        <v>50</v>
      </c>
      <c r="G48" s="109">
        <v>2149.44</v>
      </c>
      <c r="H48" s="110">
        <v>2239</v>
      </c>
      <c r="I48" s="111">
        <v>-2</v>
      </c>
      <c r="J48" s="110">
        <v>-89.559999999999945</v>
      </c>
      <c r="K48" s="117"/>
      <c r="L48" s="35"/>
    </row>
    <row r="49" spans="2:12" s="85" customFormat="1">
      <c r="B49" s="115" t="s">
        <v>4662</v>
      </c>
      <c r="C49" s="115" t="s">
        <v>4663</v>
      </c>
      <c r="D49" s="115" t="s">
        <v>4664</v>
      </c>
      <c r="E49" s="115">
        <v>16</v>
      </c>
      <c r="F49" s="71">
        <v>17</v>
      </c>
      <c r="G49" s="109">
        <v>812.8</v>
      </c>
      <c r="H49" s="110">
        <v>863.59999999999991</v>
      </c>
      <c r="I49" s="111">
        <v>-1</v>
      </c>
      <c r="J49" s="110">
        <v>-50.799999999999955</v>
      </c>
      <c r="K49" s="117"/>
      <c r="L49" s="35"/>
    </row>
    <row r="50" spans="2:12" s="85" customFormat="1">
      <c r="B50" s="115" t="s">
        <v>1680</v>
      </c>
      <c r="C50" s="115" t="s">
        <v>1743</v>
      </c>
      <c r="D50" s="115" t="s">
        <v>1806</v>
      </c>
      <c r="E50" s="115">
        <v>29</v>
      </c>
      <c r="F50" s="71">
        <v>30</v>
      </c>
      <c r="G50" s="109">
        <v>759.8</v>
      </c>
      <c r="H50" s="110">
        <v>786</v>
      </c>
      <c r="I50" s="111">
        <v>-1</v>
      </c>
      <c r="J50" s="110">
        <v>-26.200000000000045</v>
      </c>
      <c r="K50" s="117"/>
      <c r="L50" s="35"/>
    </row>
    <row r="51" spans="2:12" s="85" customFormat="1">
      <c r="B51" s="115" t="s">
        <v>1688</v>
      </c>
      <c r="C51" s="115" t="s">
        <v>1751</v>
      </c>
      <c r="D51" s="115" t="s">
        <v>1813</v>
      </c>
      <c r="E51" s="115">
        <v>107</v>
      </c>
      <c r="F51" s="71">
        <v>144</v>
      </c>
      <c r="G51" s="109">
        <v>3121.19</v>
      </c>
      <c r="H51" s="110">
        <v>4200.4800000000005</v>
      </c>
      <c r="I51" s="111">
        <v>-37</v>
      </c>
      <c r="J51" s="110">
        <v>-1079.2900000000004</v>
      </c>
      <c r="K51" s="117"/>
      <c r="L51" s="35"/>
    </row>
    <row r="52" spans="2:12" s="85" customFormat="1">
      <c r="B52" s="115" t="s">
        <v>1691</v>
      </c>
      <c r="C52" s="115" t="s">
        <v>1754</v>
      </c>
      <c r="D52" s="115" t="s">
        <v>1816</v>
      </c>
      <c r="E52" s="115">
        <v>20</v>
      </c>
      <c r="F52" s="71">
        <v>54</v>
      </c>
      <c r="G52" s="109">
        <v>304</v>
      </c>
      <c r="H52" s="110">
        <v>820.8</v>
      </c>
      <c r="I52" s="111">
        <v>-34</v>
      </c>
      <c r="J52" s="110">
        <v>-516.79999999999995</v>
      </c>
      <c r="K52" s="117"/>
      <c r="L52" s="35"/>
    </row>
    <row r="53" spans="2:12" s="85" customFormat="1">
      <c r="B53" s="115" t="s">
        <v>1694</v>
      </c>
      <c r="C53" s="115" t="s">
        <v>1757</v>
      </c>
      <c r="D53" s="115" t="s">
        <v>1818</v>
      </c>
      <c r="E53" s="115">
        <v>41</v>
      </c>
      <c r="F53" s="71">
        <v>115</v>
      </c>
      <c r="G53" s="109">
        <v>358.75</v>
      </c>
      <c r="H53" s="110">
        <v>1006.25</v>
      </c>
      <c r="I53" s="111">
        <v>-74</v>
      </c>
      <c r="J53" s="110">
        <v>-647.5</v>
      </c>
      <c r="K53" s="117"/>
      <c r="L53" s="35"/>
    </row>
    <row r="54" spans="2:12" s="85" customFormat="1">
      <c r="B54" s="115" t="s">
        <v>1710</v>
      </c>
      <c r="C54" s="115" t="s">
        <v>1773</v>
      </c>
      <c r="D54" s="115" t="s">
        <v>1825</v>
      </c>
      <c r="E54" s="115">
        <v>36</v>
      </c>
      <c r="F54" s="71">
        <v>50</v>
      </c>
      <c r="G54" s="109">
        <v>513</v>
      </c>
      <c r="H54" s="110">
        <v>712.5</v>
      </c>
      <c r="I54" s="111">
        <v>-14</v>
      </c>
      <c r="J54" s="110">
        <v>-199.5</v>
      </c>
      <c r="K54" s="117"/>
      <c r="L54" s="35"/>
    </row>
    <row r="55" spans="2:12" s="85" customFormat="1">
      <c r="B55" s="115" t="s">
        <v>1712</v>
      </c>
      <c r="C55" s="115" t="s">
        <v>1775</v>
      </c>
      <c r="D55" s="115" t="s">
        <v>1823</v>
      </c>
      <c r="E55" s="115">
        <v>40</v>
      </c>
      <c r="F55" s="71">
        <v>42</v>
      </c>
      <c r="G55" s="109">
        <v>560</v>
      </c>
      <c r="H55" s="110">
        <v>588</v>
      </c>
      <c r="I55" s="111">
        <v>-2</v>
      </c>
      <c r="J55" s="110">
        <v>-28</v>
      </c>
      <c r="K55" s="117"/>
      <c r="L55" s="35"/>
    </row>
    <row r="56" spans="2:12" s="85" customFormat="1">
      <c r="B56" s="115" t="s">
        <v>1843</v>
      </c>
      <c r="C56" s="115" t="s">
        <v>1965</v>
      </c>
      <c r="D56" s="115" t="s">
        <v>2084</v>
      </c>
      <c r="E56" s="115">
        <v>23</v>
      </c>
      <c r="F56" s="71">
        <v>26</v>
      </c>
      <c r="G56" s="109">
        <v>438.38</v>
      </c>
      <c r="H56" s="110">
        <v>495.55999999999995</v>
      </c>
      <c r="I56" s="111">
        <v>-3</v>
      </c>
      <c r="J56" s="110">
        <v>-57.17999999999995</v>
      </c>
      <c r="K56" s="117"/>
      <c r="L56" s="35"/>
    </row>
    <row r="57" spans="2:12" s="85" customFormat="1">
      <c r="B57" s="115" t="s">
        <v>1844</v>
      </c>
      <c r="C57" s="115" t="s">
        <v>1966</v>
      </c>
      <c r="D57" s="115" t="s">
        <v>4667</v>
      </c>
      <c r="E57" s="115">
        <v>24</v>
      </c>
      <c r="F57" s="71">
        <v>27</v>
      </c>
      <c r="G57" s="109">
        <v>885.59999999999991</v>
      </c>
      <c r="H57" s="110">
        <v>996.3</v>
      </c>
      <c r="I57" s="111">
        <v>-3</v>
      </c>
      <c r="J57" s="110">
        <v>-110.70000000000005</v>
      </c>
      <c r="K57" s="117"/>
      <c r="L57" s="35"/>
    </row>
    <row r="58" spans="2:12" s="85" customFormat="1">
      <c r="B58" s="115" t="s">
        <v>1867</v>
      </c>
      <c r="C58" s="115" t="s">
        <v>1989</v>
      </c>
      <c r="D58" s="115" t="s">
        <v>2107</v>
      </c>
      <c r="E58" s="115">
        <v>2</v>
      </c>
      <c r="F58" s="71">
        <v>3</v>
      </c>
      <c r="G58" s="109">
        <v>50.3</v>
      </c>
      <c r="H58" s="110">
        <v>75.449999999999989</v>
      </c>
      <c r="I58" s="111">
        <v>-1</v>
      </c>
      <c r="J58" s="110">
        <v>-25.149999999999991</v>
      </c>
      <c r="K58" s="117"/>
      <c r="L58" s="35"/>
    </row>
    <row r="59" spans="2:12" s="85" customFormat="1">
      <c r="B59" s="115" t="s">
        <v>1875</v>
      </c>
      <c r="C59" s="115" t="s">
        <v>1997</v>
      </c>
      <c r="D59" s="115" t="s">
        <v>2115</v>
      </c>
      <c r="E59" s="115">
        <v>2</v>
      </c>
      <c r="F59" s="71">
        <v>3</v>
      </c>
      <c r="G59" s="109">
        <v>83.72</v>
      </c>
      <c r="H59" s="110">
        <v>125.58</v>
      </c>
      <c r="I59" s="111">
        <v>-1</v>
      </c>
      <c r="J59" s="110">
        <v>-41.86</v>
      </c>
      <c r="K59" s="117"/>
      <c r="L59" s="35"/>
    </row>
    <row r="60" spans="2:12" s="85" customFormat="1">
      <c r="B60" s="115" t="s">
        <v>1884</v>
      </c>
      <c r="C60" s="115" t="s">
        <v>2006</v>
      </c>
      <c r="D60" s="115" t="s">
        <v>2124</v>
      </c>
      <c r="E60" s="115">
        <v>8</v>
      </c>
      <c r="F60" s="71">
        <v>10</v>
      </c>
      <c r="G60" s="109">
        <v>1104.8</v>
      </c>
      <c r="H60" s="110">
        <v>1381</v>
      </c>
      <c r="I60" s="111">
        <v>-2</v>
      </c>
      <c r="J60" s="110">
        <v>-276.20000000000005</v>
      </c>
      <c r="K60" s="117"/>
      <c r="L60" s="35"/>
    </row>
    <row r="61" spans="2:12" s="85" customFormat="1">
      <c r="B61" s="115" t="s">
        <v>1889</v>
      </c>
      <c r="C61" s="115" t="s">
        <v>2011</v>
      </c>
      <c r="D61" s="115" t="s">
        <v>2129</v>
      </c>
      <c r="E61" s="115">
        <v>16</v>
      </c>
      <c r="F61" s="71">
        <v>28</v>
      </c>
      <c r="G61" s="109">
        <v>533.28</v>
      </c>
      <c r="H61" s="110">
        <v>933.24</v>
      </c>
      <c r="I61" s="111">
        <v>-12</v>
      </c>
      <c r="J61" s="110">
        <v>-399.96000000000004</v>
      </c>
      <c r="K61" s="117"/>
      <c r="L61" s="35"/>
    </row>
    <row r="62" spans="2:12" s="85" customFormat="1">
      <c r="B62" s="115" t="s">
        <v>1917</v>
      </c>
      <c r="C62" s="115" t="s">
        <v>2038</v>
      </c>
      <c r="D62" s="115" t="s">
        <v>2149</v>
      </c>
      <c r="E62" s="115">
        <v>1</v>
      </c>
      <c r="F62" s="71">
        <v>2</v>
      </c>
      <c r="G62" s="109">
        <v>116</v>
      </c>
      <c r="H62" s="110">
        <v>232</v>
      </c>
      <c r="I62" s="111">
        <v>-1</v>
      </c>
      <c r="J62" s="110">
        <v>-116</v>
      </c>
      <c r="K62" s="117"/>
      <c r="L62" s="35"/>
    </row>
    <row r="63" spans="2:12" s="85" customFormat="1">
      <c r="B63" s="115" t="s">
        <v>1945</v>
      </c>
      <c r="C63" s="115" t="s">
        <v>2066</v>
      </c>
      <c r="D63" s="115" t="s">
        <v>2173</v>
      </c>
      <c r="E63" s="115">
        <v>9</v>
      </c>
      <c r="F63" s="71">
        <v>11</v>
      </c>
      <c r="G63" s="109">
        <v>779.22</v>
      </c>
      <c r="H63" s="110">
        <v>952.38</v>
      </c>
      <c r="I63" s="111">
        <v>-2</v>
      </c>
      <c r="J63" s="110">
        <v>-173.15999999999997</v>
      </c>
      <c r="K63" s="117"/>
      <c r="L63" s="35"/>
    </row>
    <row r="64" spans="2:12" s="85" customFormat="1">
      <c r="B64" s="115" t="s">
        <v>2199</v>
      </c>
      <c r="C64" s="115" t="s">
        <v>2302</v>
      </c>
      <c r="D64" s="115" t="s">
        <v>4675</v>
      </c>
      <c r="E64" s="115">
        <v>43</v>
      </c>
      <c r="F64" s="71">
        <v>76</v>
      </c>
      <c r="G64" s="109">
        <v>1412.98</v>
      </c>
      <c r="H64" s="110">
        <v>2497.36</v>
      </c>
      <c r="I64" s="111">
        <v>-33</v>
      </c>
      <c r="J64" s="110">
        <v>-1084.3800000000001</v>
      </c>
      <c r="K64" s="117"/>
      <c r="L64" s="35"/>
    </row>
    <row r="65" spans="2:12" s="85" customFormat="1">
      <c r="B65" s="115" t="s">
        <v>2220</v>
      </c>
      <c r="C65" s="115" t="s">
        <v>2323</v>
      </c>
      <c r="D65" s="115" t="s">
        <v>1232</v>
      </c>
      <c r="E65" s="115">
        <v>2</v>
      </c>
      <c r="F65" s="71">
        <v>9</v>
      </c>
      <c r="G65" s="109">
        <v>20</v>
      </c>
      <c r="H65" s="110">
        <v>90</v>
      </c>
      <c r="I65" s="111">
        <v>-7</v>
      </c>
      <c r="J65" s="110">
        <v>-70</v>
      </c>
      <c r="K65" s="117"/>
      <c r="L65" s="35"/>
    </row>
    <row r="66" spans="2:12" s="85" customFormat="1">
      <c r="B66" s="115" t="s">
        <v>2224</v>
      </c>
      <c r="C66" s="115" t="s">
        <v>2327</v>
      </c>
      <c r="D66" s="115" t="s">
        <v>1163</v>
      </c>
      <c r="E66" s="115">
        <v>4</v>
      </c>
      <c r="F66" s="71">
        <v>9</v>
      </c>
      <c r="G66" s="109">
        <v>140</v>
      </c>
      <c r="H66" s="110">
        <v>315</v>
      </c>
      <c r="I66" s="111">
        <v>-5</v>
      </c>
      <c r="J66" s="110">
        <v>-175</v>
      </c>
      <c r="K66" s="117"/>
      <c r="L66" s="35"/>
    </row>
    <row r="67" spans="2:12" s="85" customFormat="1">
      <c r="B67" s="115" t="s">
        <v>2225</v>
      </c>
      <c r="C67" s="115" t="s">
        <v>2328</v>
      </c>
      <c r="D67" s="115" t="s">
        <v>2422</v>
      </c>
      <c r="E67" s="115">
        <v>12</v>
      </c>
      <c r="F67" s="71">
        <v>18</v>
      </c>
      <c r="G67" s="109">
        <v>202.56</v>
      </c>
      <c r="H67" s="110">
        <v>303.83999999999997</v>
      </c>
      <c r="I67" s="111">
        <v>-6</v>
      </c>
      <c r="J67" s="110">
        <v>-101.27999999999997</v>
      </c>
      <c r="K67" s="117"/>
      <c r="L67" s="35"/>
    </row>
    <row r="68" spans="2:12" s="85" customFormat="1">
      <c r="B68" s="115" t="s">
        <v>2228</v>
      </c>
      <c r="C68" s="115" t="s">
        <v>2331</v>
      </c>
      <c r="D68" s="115" t="s">
        <v>2424</v>
      </c>
      <c r="E68" s="115">
        <v>96</v>
      </c>
      <c r="F68" s="71">
        <v>172</v>
      </c>
      <c r="G68" s="109">
        <v>577.91999999999996</v>
      </c>
      <c r="H68" s="110">
        <v>1035.4399999999998</v>
      </c>
      <c r="I68" s="111">
        <v>-76</v>
      </c>
      <c r="J68" s="110">
        <v>-457.51999999999987</v>
      </c>
      <c r="K68" s="117"/>
      <c r="L68" s="35"/>
    </row>
    <row r="69" spans="2:12" s="85" customFormat="1">
      <c r="B69" s="115" t="s">
        <v>2240</v>
      </c>
      <c r="C69" s="115" t="s">
        <v>2343</v>
      </c>
      <c r="D69" s="115" t="s">
        <v>2424</v>
      </c>
      <c r="E69" s="115">
        <v>102</v>
      </c>
      <c r="F69" s="71">
        <v>122</v>
      </c>
      <c r="G69" s="109">
        <v>614.04</v>
      </c>
      <c r="H69" s="110">
        <v>734.43999999999994</v>
      </c>
      <c r="I69" s="111">
        <v>-20</v>
      </c>
      <c r="J69" s="110">
        <v>-120.39999999999998</v>
      </c>
      <c r="K69" s="117"/>
      <c r="L69" s="35"/>
    </row>
    <row r="70" spans="2:12" s="85" customFormat="1">
      <c r="B70" s="115" t="s">
        <v>2243</v>
      </c>
      <c r="C70" s="115" t="s">
        <v>2346</v>
      </c>
      <c r="D70" s="115" t="s">
        <v>2433</v>
      </c>
      <c r="E70" s="115">
        <v>51</v>
      </c>
      <c r="F70" s="71">
        <v>79</v>
      </c>
      <c r="G70" s="109">
        <v>364.14</v>
      </c>
      <c r="H70" s="110">
        <v>564.05999999999995</v>
      </c>
      <c r="I70" s="111">
        <v>-28</v>
      </c>
      <c r="J70" s="110">
        <v>-199.91999999999996</v>
      </c>
      <c r="K70" s="117"/>
      <c r="L70" s="35"/>
    </row>
    <row r="71" spans="2:12" s="85" customFormat="1">
      <c r="B71" s="115" t="s">
        <v>2251</v>
      </c>
      <c r="C71" s="115" t="s">
        <v>2354</v>
      </c>
      <c r="D71" s="115" t="s">
        <v>2441</v>
      </c>
      <c r="E71" s="115">
        <v>16</v>
      </c>
      <c r="F71" s="71">
        <v>17</v>
      </c>
      <c r="G71" s="109">
        <v>544.79999999999995</v>
      </c>
      <c r="H71" s="110">
        <v>578.84999999999991</v>
      </c>
      <c r="I71" s="111">
        <v>-1</v>
      </c>
      <c r="J71" s="110">
        <v>-34.049999999999955</v>
      </c>
      <c r="K71" s="117"/>
      <c r="L71" s="35"/>
    </row>
    <row r="72" spans="2:12" s="85" customFormat="1">
      <c r="B72" s="115" t="s">
        <v>2285</v>
      </c>
      <c r="C72" s="115" t="s">
        <v>2388</v>
      </c>
      <c r="D72" s="115" t="s">
        <v>2466</v>
      </c>
      <c r="E72" s="115">
        <v>31</v>
      </c>
      <c r="F72" s="71">
        <v>33</v>
      </c>
      <c r="G72" s="109">
        <v>554.9</v>
      </c>
      <c r="H72" s="110">
        <v>590.69999999999993</v>
      </c>
      <c r="I72" s="111">
        <v>-2</v>
      </c>
      <c r="J72" s="110">
        <v>-35.799999999999955</v>
      </c>
      <c r="K72" s="117"/>
      <c r="L72" s="35"/>
    </row>
    <row r="73" spans="2:12" s="85" customFormat="1">
      <c r="B73" s="115" t="s">
        <v>2491</v>
      </c>
      <c r="C73" s="115" t="s">
        <v>2787</v>
      </c>
      <c r="D73" s="115" t="s">
        <v>3070</v>
      </c>
      <c r="E73" s="115">
        <v>2</v>
      </c>
      <c r="F73" s="71">
        <v>3</v>
      </c>
      <c r="G73" s="109">
        <v>166.92</v>
      </c>
      <c r="H73" s="110">
        <v>250.38</v>
      </c>
      <c r="I73" s="111">
        <v>-1</v>
      </c>
      <c r="J73" s="110">
        <v>-83.460000000000008</v>
      </c>
      <c r="K73" s="117"/>
      <c r="L73" s="35"/>
    </row>
    <row r="74" spans="2:12" s="85" customFormat="1">
      <c r="B74" s="115" t="s">
        <v>2498</v>
      </c>
      <c r="C74" s="115" t="s">
        <v>2794</v>
      </c>
      <c r="D74" s="115" t="s">
        <v>3075</v>
      </c>
      <c r="E74" s="115">
        <v>49</v>
      </c>
      <c r="F74" s="71">
        <v>54</v>
      </c>
      <c r="G74" s="109">
        <v>779.1</v>
      </c>
      <c r="H74" s="110">
        <v>858.6</v>
      </c>
      <c r="I74" s="111">
        <v>-5</v>
      </c>
      <c r="J74" s="110">
        <v>-79.5</v>
      </c>
      <c r="K74" s="117"/>
      <c r="L74" s="35"/>
    </row>
    <row r="75" spans="2:12" s="85" customFormat="1">
      <c r="B75" s="115" t="s">
        <v>2508</v>
      </c>
      <c r="C75" s="115" t="s">
        <v>2804</v>
      </c>
      <c r="D75" s="115" t="s">
        <v>3084</v>
      </c>
      <c r="E75" s="115">
        <v>1</v>
      </c>
      <c r="F75" s="71">
        <v>170</v>
      </c>
      <c r="G75" s="109">
        <v>121.38</v>
      </c>
      <c r="H75" s="110">
        <v>20634.599999999999</v>
      </c>
      <c r="I75" s="111">
        <v>-169</v>
      </c>
      <c r="J75" s="110">
        <v>-20513.219999999998</v>
      </c>
      <c r="K75" s="117"/>
      <c r="L75" s="35"/>
    </row>
    <row r="76" spans="2:12" s="85" customFormat="1">
      <c r="B76" s="115" t="s">
        <v>2509</v>
      </c>
      <c r="C76" s="115" t="s">
        <v>2805</v>
      </c>
      <c r="D76" s="115" t="s">
        <v>3083</v>
      </c>
      <c r="E76" s="115">
        <v>97</v>
      </c>
      <c r="F76" s="71">
        <v>99</v>
      </c>
      <c r="G76" s="109">
        <v>751.75</v>
      </c>
      <c r="H76" s="110">
        <v>767.25</v>
      </c>
      <c r="I76" s="111">
        <v>-2</v>
      </c>
      <c r="J76" s="110">
        <v>-15.5</v>
      </c>
      <c r="K76" s="117"/>
      <c r="L76" s="35"/>
    </row>
    <row r="77" spans="2:12" s="85" customFormat="1">
      <c r="B77" s="115" t="s">
        <v>2517</v>
      </c>
      <c r="C77" s="115" t="s">
        <v>2813</v>
      </c>
      <c r="D77" s="115" t="s">
        <v>3089</v>
      </c>
      <c r="E77" s="115">
        <v>4</v>
      </c>
      <c r="F77" s="71">
        <v>24</v>
      </c>
      <c r="G77" s="109">
        <v>366</v>
      </c>
      <c r="H77" s="110">
        <v>2196</v>
      </c>
      <c r="I77" s="111">
        <v>-20</v>
      </c>
      <c r="J77" s="110">
        <v>-1830</v>
      </c>
      <c r="K77" s="117"/>
      <c r="L77" s="35"/>
    </row>
    <row r="78" spans="2:12" s="85" customFormat="1" ht="30">
      <c r="B78" s="115" t="s">
        <v>2518</v>
      </c>
      <c r="C78" s="115" t="s">
        <v>2814</v>
      </c>
      <c r="D78" s="115" t="s">
        <v>3090</v>
      </c>
      <c r="E78" s="115">
        <v>1</v>
      </c>
      <c r="F78" s="71">
        <v>6</v>
      </c>
      <c r="G78" s="109">
        <v>152</v>
      </c>
      <c r="H78" s="110">
        <v>912</v>
      </c>
      <c r="I78" s="111">
        <v>-5</v>
      </c>
      <c r="J78" s="110">
        <v>-760</v>
      </c>
      <c r="K78" s="117"/>
      <c r="L78" s="35"/>
    </row>
    <row r="79" spans="2:12" s="85" customFormat="1">
      <c r="B79" s="115" t="s">
        <v>2520</v>
      </c>
      <c r="C79" s="115" t="s">
        <v>2816</v>
      </c>
      <c r="D79" s="115" t="s">
        <v>3090</v>
      </c>
      <c r="E79" s="115">
        <v>1</v>
      </c>
      <c r="F79" s="71">
        <v>10</v>
      </c>
      <c r="G79" s="109">
        <v>152</v>
      </c>
      <c r="H79" s="110">
        <v>1520</v>
      </c>
      <c r="I79" s="111">
        <v>-9</v>
      </c>
      <c r="J79" s="110">
        <v>-1368</v>
      </c>
      <c r="K79" s="117"/>
      <c r="L79" s="35"/>
    </row>
    <row r="80" spans="2:12" s="85" customFormat="1">
      <c r="B80" s="115" t="s">
        <v>2524</v>
      </c>
      <c r="C80" s="115" t="s">
        <v>2820</v>
      </c>
      <c r="D80" s="115" t="s">
        <v>3093</v>
      </c>
      <c r="E80" s="115">
        <v>402</v>
      </c>
      <c r="F80" s="71">
        <v>502</v>
      </c>
      <c r="G80" s="109">
        <v>3336.6000000000004</v>
      </c>
      <c r="H80" s="110">
        <v>4166.6000000000004</v>
      </c>
      <c r="I80" s="111">
        <v>-100</v>
      </c>
      <c r="J80" s="110">
        <v>-830</v>
      </c>
      <c r="K80" s="117"/>
      <c r="L80" s="35"/>
    </row>
    <row r="81" spans="2:12" s="85" customFormat="1">
      <c r="B81" s="115" t="s">
        <v>2530</v>
      </c>
      <c r="C81" s="115" t="s">
        <v>2826</v>
      </c>
      <c r="D81" s="115" t="s">
        <v>3091</v>
      </c>
      <c r="E81" s="115">
        <v>7</v>
      </c>
      <c r="F81" s="71">
        <v>8</v>
      </c>
      <c r="G81" s="109">
        <v>931</v>
      </c>
      <c r="H81" s="110">
        <v>1064</v>
      </c>
      <c r="I81" s="111">
        <v>-1</v>
      </c>
      <c r="J81" s="110">
        <v>-133</v>
      </c>
      <c r="K81" s="117"/>
      <c r="L81" s="35"/>
    </row>
    <row r="82" spans="2:12" s="85" customFormat="1">
      <c r="B82" s="115" t="s">
        <v>2543</v>
      </c>
      <c r="C82" s="115" t="s">
        <v>2839</v>
      </c>
      <c r="D82" s="115" t="s">
        <v>3104</v>
      </c>
      <c r="E82" s="115">
        <v>21</v>
      </c>
      <c r="F82" s="71">
        <v>26</v>
      </c>
      <c r="G82" s="109">
        <v>1425.48</v>
      </c>
      <c r="H82" s="110">
        <v>1764.8799999999999</v>
      </c>
      <c r="I82" s="111">
        <v>-5</v>
      </c>
      <c r="J82" s="110">
        <v>-339.39999999999986</v>
      </c>
      <c r="K82" s="117"/>
      <c r="L82" s="35"/>
    </row>
    <row r="83" spans="2:12" s="85" customFormat="1" ht="30">
      <c r="B83" s="115" t="s">
        <v>2547</v>
      </c>
      <c r="C83" s="115" t="s">
        <v>2843</v>
      </c>
      <c r="D83" s="115" t="s">
        <v>3108</v>
      </c>
      <c r="E83" s="115">
        <v>108</v>
      </c>
      <c r="F83" s="71">
        <v>111</v>
      </c>
      <c r="G83" s="109">
        <v>664.2</v>
      </c>
      <c r="H83" s="110">
        <v>682.65000000000009</v>
      </c>
      <c r="I83" s="111">
        <v>-3</v>
      </c>
      <c r="J83" s="110">
        <v>-18.450000000000045</v>
      </c>
      <c r="K83" s="117"/>
      <c r="L83" s="35"/>
    </row>
    <row r="84" spans="2:12" s="85" customFormat="1">
      <c r="B84" s="115" t="s">
        <v>2567</v>
      </c>
      <c r="C84" s="115" t="s">
        <v>2863</v>
      </c>
      <c r="D84" s="115" t="s">
        <v>3125</v>
      </c>
      <c r="E84" s="115">
        <v>250</v>
      </c>
      <c r="F84" s="71">
        <v>251</v>
      </c>
      <c r="G84" s="109">
        <v>937.5</v>
      </c>
      <c r="H84" s="110">
        <v>941.25</v>
      </c>
      <c r="I84" s="111">
        <v>-1</v>
      </c>
      <c r="J84" s="110">
        <v>-3.75</v>
      </c>
      <c r="K84" s="117"/>
      <c r="L84" s="35"/>
    </row>
    <row r="85" spans="2:12" s="85" customFormat="1" ht="30">
      <c r="B85" s="115" t="s">
        <v>2592</v>
      </c>
      <c r="C85" s="115" t="s">
        <v>2888</v>
      </c>
      <c r="D85" s="115" t="s">
        <v>3144</v>
      </c>
      <c r="E85" s="115">
        <v>1411</v>
      </c>
      <c r="F85" s="71">
        <v>1529</v>
      </c>
      <c r="G85" s="109">
        <v>9764.1200000000008</v>
      </c>
      <c r="H85" s="110">
        <v>10580.68</v>
      </c>
      <c r="I85" s="111">
        <v>-118</v>
      </c>
      <c r="J85" s="110">
        <v>-816.55999999999949</v>
      </c>
      <c r="K85" s="117"/>
      <c r="L85" s="35"/>
    </row>
    <row r="86" spans="2:12" s="85" customFormat="1" ht="30">
      <c r="B86" s="115" t="s">
        <v>2593</v>
      </c>
      <c r="C86" s="115" t="s">
        <v>2889</v>
      </c>
      <c r="D86" s="115" t="s">
        <v>4689</v>
      </c>
      <c r="E86" s="115">
        <v>144</v>
      </c>
      <c r="F86" s="71">
        <v>993</v>
      </c>
      <c r="G86" s="109">
        <v>1051.2</v>
      </c>
      <c r="H86" s="110">
        <v>7248.9</v>
      </c>
      <c r="I86" s="111">
        <v>-849</v>
      </c>
      <c r="J86" s="110">
        <v>-6197.7</v>
      </c>
      <c r="K86" s="117"/>
      <c r="L86" s="35"/>
    </row>
    <row r="87" spans="2:12" s="85" customFormat="1" ht="30">
      <c r="B87" s="115" t="s">
        <v>2593</v>
      </c>
      <c r="C87" s="115" t="s">
        <v>2889</v>
      </c>
      <c r="D87" s="115" t="s">
        <v>3145</v>
      </c>
      <c r="E87" s="115">
        <v>637</v>
      </c>
      <c r="F87" s="71">
        <v>35944</v>
      </c>
      <c r="G87" s="109">
        <v>4197.83</v>
      </c>
      <c r="H87" s="110">
        <v>236870.96</v>
      </c>
      <c r="I87" s="111">
        <v>-35307</v>
      </c>
      <c r="J87" s="110">
        <v>-232673.13</v>
      </c>
      <c r="K87" s="117"/>
      <c r="L87" s="35"/>
    </row>
    <row r="88" spans="2:12" s="85" customFormat="1">
      <c r="B88" s="115" t="s">
        <v>2595</v>
      </c>
      <c r="C88" s="115" t="s">
        <v>2891</v>
      </c>
      <c r="D88" s="115" t="s">
        <v>3147</v>
      </c>
      <c r="E88" s="115">
        <v>1</v>
      </c>
      <c r="F88" s="71">
        <v>8</v>
      </c>
      <c r="G88" s="109">
        <v>39.200000000000003</v>
      </c>
      <c r="H88" s="110">
        <v>313.60000000000002</v>
      </c>
      <c r="I88" s="111">
        <v>-7</v>
      </c>
      <c r="J88" s="110">
        <v>-274.40000000000003</v>
      </c>
      <c r="K88" s="117"/>
      <c r="L88" s="35"/>
    </row>
    <row r="89" spans="2:12" s="85" customFormat="1">
      <c r="B89" s="115" t="s">
        <v>2629</v>
      </c>
      <c r="C89" s="115" t="s">
        <v>2925</v>
      </c>
      <c r="D89" s="115" t="s">
        <v>3178</v>
      </c>
      <c r="E89" s="115">
        <v>2</v>
      </c>
      <c r="F89" s="71">
        <v>6</v>
      </c>
      <c r="G89" s="109">
        <v>381.6</v>
      </c>
      <c r="H89" s="110">
        <v>1144.8000000000002</v>
      </c>
      <c r="I89" s="111">
        <v>-4</v>
      </c>
      <c r="J89" s="110">
        <v>-763.20000000000016</v>
      </c>
      <c r="K89" s="117"/>
      <c r="L89" s="35"/>
    </row>
    <row r="90" spans="2:12" s="85" customFormat="1">
      <c r="B90" s="115" t="s">
        <v>2635</v>
      </c>
      <c r="C90" s="115" t="s">
        <v>2931</v>
      </c>
      <c r="D90" s="115" t="s">
        <v>3184</v>
      </c>
      <c r="E90" s="115">
        <v>2</v>
      </c>
      <c r="F90" s="71">
        <v>4</v>
      </c>
      <c r="G90" s="109">
        <v>455.7</v>
      </c>
      <c r="H90" s="110">
        <v>911.4</v>
      </c>
      <c r="I90" s="111">
        <v>-2</v>
      </c>
      <c r="J90" s="110">
        <v>-455.7</v>
      </c>
      <c r="K90" s="117"/>
      <c r="L90" s="35"/>
    </row>
    <row r="91" spans="2:12" s="85" customFormat="1">
      <c r="B91" s="115" t="s">
        <v>2654</v>
      </c>
      <c r="C91" s="115" t="s">
        <v>2950</v>
      </c>
      <c r="D91" s="115" t="s">
        <v>3194</v>
      </c>
      <c r="E91" s="115">
        <v>1</v>
      </c>
      <c r="F91" s="71">
        <v>15</v>
      </c>
      <c r="G91" s="109">
        <v>8.6</v>
      </c>
      <c r="H91" s="110">
        <v>129</v>
      </c>
      <c r="I91" s="111">
        <v>-14</v>
      </c>
      <c r="J91" s="110">
        <v>-120.4</v>
      </c>
      <c r="K91" s="117"/>
      <c r="L91" s="35"/>
    </row>
    <row r="92" spans="2:12" s="85" customFormat="1" ht="30">
      <c r="B92" s="115" t="s">
        <v>2662</v>
      </c>
      <c r="C92" s="115" t="s">
        <v>2958</v>
      </c>
      <c r="D92" s="115" t="s">
        <v>3200</v>
      </c>
      <c r="E92" s="115">
        <v>12</v>
      </c>
      <c r="F92" s="71">
        <v>77</v>
      </c>
      <c r="G92" s="109">
        <v>1011</v>
      </c>
      <c r="H92" s="110">
        <v>6487.25</v>
      </c>
      <c r="I92" s="111">
        <v>-65</v>
      </c>
      <c r="J92" s="110">
        <v>-5476.25</v>
      </c>
      <c r="K92" s="117"/>
      <c r="L92" s="35"/>
    </row>
    <row r="93" spans="2:12" s="85" customFormat="1">
      <c r="B93" s="115" t="s">
        <v>2666</v>
      </c>
      <c r="C93" s="115" t="s">
        <v>2962</v>
      </c>
      <c r="D93" s="115" t="s">
        <v>3201</v>
      </c>
      <c r="E93" s="115">
        <v>255</v>
      </c>
      <c r="F93" s="71">
        <v>440</v>
      </c>
      <c r="G93" s="109">
        <v>1338.75</v>
      </c>
      <c r="H93" s="110">
        <v>2310</v>
      </c>
      <c r="I93" s="111">
        <v>-185</v>
      </c>
      <c r="J93" s="110">
        <v>-971.25</v>
      </c>
      <c r="K93" s="117"/>
      <c r="L93" s="35"/>
    </row>
    <row r="94" spans="2:12" s="85" customFormat="1">
      <c r="B94" s="115" t="s">
        <v>2667</v>
      </c>
      <c r="C94" s="115" t="s">
        <v>2963</v>
      </c>
      <c r="D94" s="115" t="s">
        <v>3198</v>
      </c>
      <c r="E94" s="115">
        <v>92</v>
      </c>
      <c r="F94" s="71">
        <v>115</v>
      </c>
      <c r="G94" s="109">
        <v>5314.84</v>
      </c>
      <c r="H94" s="110">
        <v>6643.55</v>
      </c>
      <c r="I94" s="111">
        <v>-23</v>
      </c>
      <c r="J94" s="110">
        <v>-1328.71</v>
      </c>
      <c r="K94" s="117"/>
      <c r="L94" s="35"/>
    </row>
    <row r="95" spans="2:12" s="85" customFormat="1">
      <c r="B95" s="115" t="s">
        <v>2688</v>
      </c>
      <c r="C95" s="115" t="s">
        <v>2984</v>
      </c>
      <c r="D95" s="115" t="s">
        <v>3222</v>
      </c>
      <c r="E95" s="115">
        <v>7</v>
      </c>
      <c r="F95" s="71">
        <v>11</v>
      </c>
      <c r="G95" s="109">
        <v>46.199999999999996</v>
      </c>
      <c r="H95" s="110">
        <v>72.599999999999994</v>
      </c>
      <c r="I95" s="111">
        <v>-4</v>
      </c>
      <c r="J95" s="110">
        <v>-26.4</v>
      </c>
      <c r="K95" s="117"/>
      <c r="L95" s="35"/>
    </row>
    <row r="96" spans="2:12" s="85" customFormat="1">
      <c r="B96" s="115" t="s">
        <v>2690</v>
      </c>
      <c r="C96" s="115" t="s">
        <v>2986</v>
      </c>
      <c r="D96" s="115" t="s">
        <v>3220</v>
      </c>
      <c r="E96" s="115">
        <v>18</v>
      </c>
      <c r="F96" s="71">
        <v>30</v>
      </c>
      <c r="G96" s="109">
        <v>121.14000000000001</v>
      </c>
      <c r="H96" s="110">
        <v>201.9</v>
      </c>
      <c r="I96" s="111">
        <v>-12</v>
      </c>
      <c r="J96" s="110">
        <v>-80.759999999999991</v>
      </c>
      <c r="K96" s="117"/>
      <c r="L96" s="35"/>
    </row>
    <row r="97" spans="2:12" s="85" customFormat="1">
      <c r="B97" s="115" t="s">
        <v>2692</v>
      </c>
      <c r="C97" s="115" t="s">
        <v>2988</v>
      </c>
      <c r="D97" s="115" t="s">
        <v>3224</v>
      </c>
      <c r="E97" s="115">
        <v>1</v>
      </c>
      <c r="F97" s="71">
        <v>11</v>
      </c>
      <c r="G97" s="109">
        <v>121.12</v>
      </c>
      <c r="H97" s="110">
        <v>1332.3200000000002</v>
      </c>
      <c r="I97" s="111">
        <v>-10</v>
      </c>
      <c r="J97" s="110">
        <v>-1211.2000000000003</v>
      </c>
      <c r="K97" s="117"/>
      <c r="L97" s="35"/>
    </row>
    <row r="98" spans="2:12" s="85" customFormat="1">
      <c r="B98" s="115" t="s">
        <v>2695</v>
      </c>
      <c r="C98" s="115" t="s">
        <v>2991</v>
      </c>
      <c r="D98" s="115" t="s">
        <v>3227</v>
      </c>
      <c r="E98" s="115">
        <v>9</v>
      </c>
      <c r="F98" s="71">
        <v>11</v>
      </c>
      <c r="G98" s="109">
        <v>502.74</v>
      </c>
      <c r="H98" s="110">
        <v>614.46</v>
      </c>
      <c r="I98" s="111">
        <v>-2</v>
      </c>
      <c r="J98" s="110">
        <v>-111.72000000000003</v>
      </c>
      <c r="K98" s="117"/>
      <c r="L98" s="35"/>
    </row>
    <row r="99" spans="2:12" s="85" customFormat="1">
      <c r="B99" s="115" t="s">
        <v>2702</v>
      </c>
      <c r="C99" s="115" t="s">
        <v>2998</v>
      </c>
      <c r="D99" s="115" t="s">
        <v>3233</v>
      </c>
      <c r="E99" s="115">
        <v>35</v>
      </c>
      <c r="F99" s="71">
        <v>51</v>
      </c>
      <c r="G99" s="109">
        <v>652.4</v>
      </c>
      <c r="H99" s="110">
        <v>950.64</v>
      </c>
      <c r="I99" s="111">
        <v>-16</v>
      </c>
      <c r="J99" s="110">
        <v>-298.24</v>
      </c>
      <c r="K99" s="117"/>
      <c r="L99" s="35"/>
    </row>
    <row r="100" spans="2:12" s="85" customFormat="1">
      <c r="B100" s="115" t="s">
        <v>2710</v>
      </c>
      <c r="C100" s="115" t="s">
        <v>3006</v>
      </c>
      <c r="D100" s="115" t="s">
        <v>3237</v>
      </c>
      <c r="E100" s="115">
        <v>68</v>
      </c>
      <c r="F100" s="71">
        <v>72</v>
      </c>
      <c r="G100" s="109">
        <v>1915.5600000000002</v>
      </c>
      <c r="H100" s="110">
        <v>2028.2400000000002</v>
      </c>
      <c r="I100" s="111">
        <v>-4</v>
      </c>
      <c r="J100" s="110">
        <v>-112.68000000000006</v>
      </c>
      <c r="K100" s="117"/>
      <c r="L100" s="35"/>
    </row>
    <row r="101" spans="2:12" s="85" customFormat="1">
      <c r="B101" s="115" t="s">
        <v>2718</v>
      </c>
      <c r="C101" s="115" t="s">
        <v>3014</v>
      </c>
      <c r="D101" s="115" t="s">
        <v>3244</v>
      </c>
      <c r="E101" s="115">
        <v>4</v>
      </c>
      <c r="F101" s="71">
        <v>8</v>
      </c>
      <c r="G101" s="109">
        <v>95</v>
      </c>
      <c r="H101" s="110">
        <v>190</v>
      </c>
      <c r="I101" s="111">
        <v>-4</v>
      </c>
      <c r="J101" s="110">
        <v>-95</v>
      </c>
      <c r="K101" s="117"/>
      <c r="L101" s="35"/>
    </row>
    <row r="102" spans="2:12" s="85" customFormat="1">
      <c r="B102" s="115" t="s">
        <v>2725</v>
      </c>
      <c r="C102" s="115" t="s">
        <v>3021</v>
      </c>
      <c r="D102" s="115" t="s">
        <v>3249</v>
      </c>
      <c r="E102" s="115">
        <v>15</v>
      </c>
      <c r="F102" s="71">
        <v>16</v>
      </c>
      <c r="G102" s="109">
        <v>142.5</v>
      </c>
      <c r="H102" s="110">
        <v>152</v>
      </c>
      <c r="I102" s="111">
        <v>-1</v>
      </c>
      <c r="J102" s="110">
        <v>-9.5</v>
      </c>
      <c r="K102" s="117"/>
      <c r="L102" s="35"/>
    </row>
    <row r="103" spans="2:12" s="85" customFormat="1">
      <c r="B103" s="115" t="s">
        <v>2734</v>
      </c>
      <c r="C103" s="115" t="s">
        <v>3030</v>
      </c>
      <c r="D103" s="115" t="s">
        <v>3121</v>
      </c>
      <c r="E103" s="115">
        <v>65</v>
      </c>
      <c r="F103" s="71">
        <v>77</v>
      </c>
      <c r="G103" s="109">
        <v>4156.75</v>
      </c>
      <c r="H103" s="110">
        <v>4924.1500000000005</v>
      </c>
      <c r="I103" s="111">
        <v>-12</v>
      </c>
      <c r="J103" s="110">
        <v>-767.40000000000055</v>
      </c>
      <c r="K103" s="117"/>
      <c r="L103" s="35"/>
    </row>
    <row r="104" spans="2:12" s="85" customFormat="1">
      <c r="B104" s="115" t="s">
        <v>3287</v>
      </c>
      <c r="C104" s="115" t="s">
        <v>3468</v>
      </c>
      <c r="D104" s="115" t="s">
        <v>3635</v>
      </c>
      <c r="E104" s="115">
        <v>2</v>
      </c>
      <c r="F104" s="71">
        <v>12</v>
      </c>
      <c r="G104" s="109">
        <v>87</v>
      </c>
      <c r="H104" s="110">
        <v>522</v>
      </c>
      <c r="I104" s="111">
        <v>-10</v>
      </c>
      <c r="J104" s="110">
        <v>-435</v>
      </c>
      <c r="K104" s="117"/>
      <c r="L104" s="35"/>
    </row>
    <row r="105" spans="2:12" s="85" customFormat="1">
      <c r="B105" s="115" t="s">
        <v>3294</v>
      </c>
      <c r="C105" s="115" t="s">
        <v>3475</v>
      </c>
      <c r="D105" s="115" t="s">
        <v>3638</v>
      </c>
      <c r="E105" s="115">
        <v>265</v>
      </c>
      <c r="F105" s="71">
        <v>292</v>
      </c>
      <c r="G105" s="109">
        <v>3821.3</v>
      </c>
      <c r="H105" s="110">
        <v>4210.6400000000003</v>
      </c>
      <c r="I105" s="111">
        <v>-27</v>
      </c>
      <c r="J105" s="110">
        <v>-389.34000000000015</v>
      </c>
      <c r="K105" s="117"/>
      <c r="L105" s="35"/>
    </row>
    <row r="106" spans="2:12" s="85" customFormat="1">
      <c r="B106" s="115" t="s">
        <v>3295</v>
      </c>
      <c r="C106" s="115" t="s">
        <v>3476</v>
      </c>
      <c r="D106" s="115" t="s">
        <v>3639</v>
      </c>
      <c r="E106" s="115">
        <v>440</v>
      </c>
      <c r="F106" s="71">
        <v>580</v>
      </c>
      <c r="G106" s="109">
        <v>6560.4</v>
      </c>
      <c r="H106" s="110">
        <v>8647.7999999999993</v>
      </c>
      <c r="I106" s="111">
        <v>-140</v>
      </c>
      <c r="J106" s="110">
        <v>-2087.3999999999996</v>
      </c>
      <c r="K106" s="117"/>
      <c r="L106" s="35"/>
    </row>
    <row r="107" spans="2:12" s="85" customFormat="1">
      <c r="B107" s="115" t="s">
        <v>3303</v>
      </c>
      <c r="C107" s="115" t="s">
        <v>3484</v>
      </c>
      <c r="D107" s="115" t="s">
        <v>3645</v>
      </c>
      <c r="E107" s="115">
        <v>5</v>
      </c>
      <c r="F107" s="71">
        <v>16</v>
      </c>
      <c r="G107" s="109">
        <v>1636.25</v>
      </c>
      <c r="H107" s="110">
        <v>5236</v>
      </c>
      <c r="I107" s="111">
        <v>-11</v>
      </c>
      <c r="J107" s="110">
        <v>-3599.75</v>
      </c>
      <c r="K107" s="117"/>
      <c r="L107" s="35"/>
    </row>
    <row r="108" spans="2:12" s="85" customFormat="1">
      <c r="B108" s="115" t="s">
        <v>3306</v>
      </c>
      <c r="C108" s="115" t="s">
        <v>3487</v>
      </c>
      <c r="D108" s="115" t="s">
        <v>833</v>
      </c>
      <c r="E108" s="115">
        <v>5</v>
      </c>
      <c r="F108" s="71">
        <v>6</v>
      </c>
      <c r="G108" s="109">
        <v>425</v>
      </c>
      <c r="H108" s="110">
        <v>510</v>
      </c>
      <c r="I108" s="111">
        <v>-1</v>
      </c>
      <c r="J108" s="110">
        <v>-85</v>
      </c>
      <c r="K108" s="117"/>
      <c r="L108" s="35"/>
    </row>
    <row r="109" spans="2:12" s="85" customFormat="1">
      <c r="B109" s="115" t="s">
        <v>3307</v>
      </c>
      <c r="C109" s="115" t="s">
        <v>3488</v>
      </c>
      <c r="D109" s="115" t="s">
        <v>3648</v>
      </c>
      <c r="E109" s="115">
        <v>14</v>
      </c>
      <c r="F109" s="71">
        <v>63</v>
      </c>
      <c r="G109" s="109">
        <v>1066.6599999999999</v>
      </c>
      <c r="H109" s="110">
        <v>4799.97</v>
      </c>
      <c r="I109" s="111">
        <v>-49</v>
      </c>
      <c r="J109" s="110">
        <v>-3733.3100000000004</v>
      </c>
      <c r="K109" s="117"/>
      <c r="L109" s="35"/>
    </row>
    <row r="110" spans="2:12" s="85" customFormat="1">
      <c r="B110" s="115" t="s">
        <v>3309</v>
      </c>
      <c r="C110" s="115" t="s">
        <v>3490</v>
      </c>
      <c r="D110" s="115" t="s">
        <v>3648</v>
      </c>
      <c r="E110" s="115">
        <v>17</v>
      </c>
      <c r="F110" s="71">
        <v>18</v>
      </c>
      <c r="G110" s="109">
        <v>1295.23</v>
      </c>
      <c r="H110" s="110">
        <v>1371.42</v>
      </c>
      <c r="I110" s="111">
        <v>-1</v>
      </c>
      <c r="J110" s="110">
        <v>-76.190000000000055</v>
      </c>
      <c r="K110" s="117"/>
      <c r="L110" s="35"/>
    </row>
    <row r="111" spans="2:12" s="85" customFormat="1">
      <c r="B111" s="115" t="s">
        <v>3318</v>
      </c>
      <c r="C111" s="115" t="s">
        <v>3499</v>
      </c>
      <c r="D111" s="115" t="s">
        <v>3654</v>
      </c>
      <c r="E111" s="115">
        <v>63</v>
      </c>
      <c r="F111" s="71">
        <v>385</v>
      </c>
      <c r="G111" s="109">
        <v>336.42</v>
      </c>
      <c r="H111" s="110">
        <v>2055.9</v>
      </c>
      <c r="I111" s="111">
        <v>-322</v>
      </c>
      <c r="J111" s="110">
        <v>-1719.48</v>
      </c>
      <c r="K111" s="117"/>
      <c r="L111" s="35"/>
    </row>
    <row r="112" spans="2:12" s="85" customFormat="1">
      <c r="B112" s="115" t="s">
        <v>3322</v>
      </c>
      <c r="C112" s="115" t="s">
        <v>3503</v>
      </c>
      <c r="D112" s="115" t="s">
        <v>3654</v>
      </c>
      <c r="E112" s="115">
        <v>101</v>
      </c>
      <c r="F112" s="71">
        <v>233</v>
      </c>
      <c r="G112" s="109">
        <v>539.34</v>
      </c>
      <c r="H112" s="110">
        <v>1244.22</v>
      </c>
      <c r="I112" s="111">
        <v>-132</v>
      </c>
      <c r="J112" s="110">
        <v>-704.88</v>
      </c>
      <c r="K112" s="117"/>
      <c r="L112" s="35"/>
    </row>
    <row r="113" spans="2:12" s="85" customFormat="1">
      <c r="B113" s="115" t="s">
        <v>3329</v>
      </c>
      <c r="C113" s="115" t="s">
        <v>3510</v>
      </c>
      <c r="D113" s="115" t="s">
        <v>3661</v>
      </c>
      <c r="E113" s="115">
        <v>164</v>
      </c>
      <c r="F113" s="71">
        <v>167</v>
      </c>
      <c r="G113" s="109">
        <v>610.08000000000004</v>
      </c>
      <c r="H113" s="110">
        <v>621.24</v>
      </c>
      <c r="I113" s="111">
        <v>-3</v>
      </c>
      <c r="J113" s="110">
        <v>-11.159999999999968</v>
      </c>
      <c r="K113" s="117"/>
      <c r="L113" s="35"/>
    </row>
    <row r="114" spans="2:12" s="85" customFormat="1">
      <c r="B114" s="115" t="s">
        <v>3330</v>
      </c>
      <c r="C114" s="115" t="s">
        <v>3511</v>
      </c>
      <c r="D114" s="115" t="s">
        <v>3661</v>
      </c>
      <c r="E114" s="115">
        <v>160</v>
      </c>
      <c r="F114" s="71">
        <v>527</v>
      </c>
      <c r="G114" s="109">
        <v>595.20000000000005</v>
      </c>
      <c r="H114" s="110">
        <v>1960.44</v>
      </c>
      <c r="I114" s="111">
        <v>-367</v>
      </c>
      <c r="J114" s="110">
        <v>-1365.24</v>
      </c>
      <c r="K114" s="117"/>
      <c r="L114" s="35"/>
    </row>
    <row r="115" spans="2:12" s="85" customFormat="1">
      <c r="B115" s="115" t="s">
        <v>3335</v>
      </c>
      <c r="C115" s="115" t="s">
        <v>3516</v>
      </c>
      <c r="D115" s="115" t="s">
        <v>3102</v>
      </c>
      <c r="E115" s="115">
        <v>201</v>
      </c>
      <c r="F115" s="71">
        <v>386</v>
      </c>
      <c r="G115" s="109">
        <v>1230.1200000000001</v>
      </c>
      <c r="H115" s="110">
        <v>2362.3200000000002</v>
      </c>
      <c r="I115" s="111">
        <v>-185</v>
      </c>
      <c r="J115" s="110">
        <v>-1132.2</v>
      </c>
      <c r="K115" s="117"/>
      <c r="L115" s="35"/>
    </row>
    <row r="116" spans="2:12" s="85" customFormat="1">
      <c r="B116" s="115" t="s">
        <v>3336</v>
      </c>
      <c r="C116" s="115" t="s">
        <v>3517</v>
      </c>
      <c r="D116" s="115" t="s">
        <v>3663</v>
      </c>
      <c r="E116" s="115">
        <v>197</v>
      </c>
      <c r="F116" s="71">
        <v>294</v>
      </c>
      <c r="G116" s="109">
        <v>2732.39</v>
      </c>
      <c r="H116" s="110">
        <v>4077.7799999999997</v>
      </c>
      <c r="I116" s="111">
        <v>-97</v>
      </c>
      <c r="J116" s="110">
        <v>-1345.3899999999999</v>
      </c>
      <c r="K116" s="117"/>
      <c r="L116" s="35"/>
    </row>
    <row r="117" spans="2:12" s="85" customFormat="1">
      <c r="B117" s="115" t="s">
        <v>3343</v>
      </c>
      <c r="C117" s="115" t="s">
        <v>3524</v>
      </c>
      <c r="D117" s="115" t="s">
        <v>3667</v>
      </c>
      <c r="E117" s="115">
        <v>5</v>
      </c>
      <c r="F117" s="71">
        <v>6</v>
      </c>
      <c r="G117" s="109">
        <v>764.85</v>
      </c>
      <c r="H117" s="110">
        <v>917.81999999999994</v>
      </c>
      <c r="I117" s="111">
        <v>-1</v>
      </c>
      <c r="J117" s="110">
        <v>-152.96999999999991</v>
      </c>
      <c r="K117" s="117"/>
      <c r="L117" s="35"/>
    </row>
    <row r="118" spans="2:12" s="85" customFormat="1">
      <c r="B118" s="115" t="s">
        <v>3352</v>
      </c>
      <c r="C118" s="115" t="s">
        <v>3533</v>
      </c>
      <c r="D118" s="115" t="s">
        <v>3673</v>
      </c>
      <c r="E118" s="115">
        <v>11</v>
      </c>
      <c r="F118" s="71">
        <v>24</v>
      </c>
      <c r="G118" s="109">
        <v>3854.95</v>
      </c>
      <c r="H118" s="110">
        <v>8410.7999999999993</v>
      </c>
      <c r="I118" s="111">
        <v>-13</v>
      </c>
      <c r="J118" s="110">
        <v>-4555.8499999999995</v>
      </c>
      <c r="K118" s="117"/>
      <c r="L118" s="35"/>
    </row>
    <row r="119" spans="2:12" s="85" customFormat="1">
      <c r="B119" s="115" t="s">
        <v>3353</v>
      </c>
      <c r="C119" s="115" t="s">
        <v>3534</v>
      </c>
      <c r="D119" s="115" t="s">
        <v>3174</v>
      </c>
      <c r="E119" s="115">
        <v>6</v>
      </c>
      <c r="F119" s="71">
        <v>10</v>
      </c>
      <c r="G119" s="109">
        <v>1255.8000000000002</v>
      </c>
      <c r="H119" s="110">
        <v>2093</v>
      </c>
      <c r="I119" s="111">
        <v>-4</v>
      </c>
      <c r="J119" s="110">
        <v>-837.19999999999982</v>
      </c>
      <c r="K119" s="117"/>
      <c r="L119" s="35"/>
    </row>
    <row r="120" spans="2:12" s="85" customFormat="1">
      <c r="B120" s="115" t="s">
        <v>3360</v>
      </c>
      <c r="C120" s="115" t="s">
        <v>3541</v>
      </c>
      <c r="D120" s="115" t="s">
        <v>2464</v>
      </c>
      <c r="E120" s="115">
        <v>46</v>
      </c>
      <c r="F120" s="71">
        <v>47</v>
      </c>
      <c r="G120" s="109">
        <v>1449</v>
      </c>
      <c r="H120" s="110">
        <v>1480.5</v>
      </c>
      <c r="I120" s="111">
        <v>-1</v>
      </c>
      <c r="J120" s="110">
        <v>-31.5</v>
      </c>
      <c r="K120" s="117"/>
      <c r="L120" s="35"/>
    </row>
    <row r="121" spans="2:12" s="85" customFormat="1">
      <c r="B121" s="115" t="s">
        <v>3390</v>
      </c>
      <c r="C121" s="115" t="s">
        <v>3572</v>
      </c>
      <c r="D121" s="115" t="s">
        <v>3698</v>
      </c>
      <c r="E121" s="115">
        <v>164</v>
      </c>
      <c r="F121" s="71">
        <v>180</v>
      </c>
      <c r="G121" s="109">
        <v>751.12</v>
      </c>
      <c r="H121" s="110">
        <v>824.4</v>
      </c>
      <c r="I121" s="111">
        <v>-16</v>
      </c>
      <c r="J121" s="110">
        <v>-73.279999999999973</v>
      </c>
      <c r="K121" s="117"/>
      <c r="L121" s="35"/>
    </row>
    <row r="122" spans="2:12" s="85" customFormat="1">
      <c r="B122" s="115" t="s">
        <v>3400</v>
      </c>
      <c r="C122" s="115" t="s">
        <v>3582</v>
      </c>
      <c r="D122" s="115" t="s">
        <v>3702</v>
      </c>
      <c r="E122" s="115">
        <v>97</v>
      </c>
      <c r="F122" s="71">
        <v>109</v>
      </c>
      <c r="G122" s="109">
        <v>524.77</v>
      </c>
      <c r="H122" s="110">
        <v>589.69000000000005</v>
      </c>
      <c r="I122" s="111">
        <v>-12</v>
      </c>
      <c r="J122" s="110">
        <v>-64.920000000000073</v>
      </c>
      <c r="K122" s="117"/>
      <c r="L122" s="35"/>
    </row>
    <row r="123" spans="2:12" s="85" customFormat="1">
      <c r="B123" s="115" t="s">
        <v>3402</v>
      </c>
      <c r="C123" s="115" t="s">
        <v>3584</v>
      </c>
      <c r="D123" s="115" t="s">
        <v>3702</v>
      </c>
      <c r="E123" s="115">
        <v>633</v>
      </c>
      <c r="F123" s="71">
        <v>867</v>
      </c>
      <c r="G123" s="109">
        <v>3424.53</v>
      </c>
      <c r="H123" s="110">
        <v>4690.47</v>
      </c>
      <c r="I123" s="111">
        <v>-234</v>
      </c>
      <c r="J123" s="110">
        <v>-1265.94</v>
      </c>
      <c r="K123" s="117"/>
      <c r="L123" s="35"/>
    </row>
    <row r="124" spans="2:12" s="85" customFormat="1">
      <c r="B124" s="115" t="s">
        <v>3407</v>
      </c>
      <c r="C124" s="115" t="s">
        <v>3589</v>
      </c>
      <c r="D124" s="115" t="s">
        <v>3704</v>
      </c>
      <c r="E124" s="115">
        <v>329</v>
      </c>
      <c r="F124" s="71">
        <v>648</v>
      </c>
      <c r="G124" s="109">
        <v>2095.73</v>
      </c>
      <c r="H124" s="110">
        <v>4127.76</v>
      </c>
      <c r="I124" s="111">
        <v>-319</v>
      </c>
      <c r="J124" s="110">
        <v>-2032.0300000000002</v>
      </c>
      <c r="K124" s="117"/>
      <c r="L124" s="35"/>
    </row>
    <row r="125" spans="2:12" s="85" customFormat="1">
      <c r="B125" s="115" t="s">
        <v>3409</v>
      </c>
      <c r="C125" s="115" t="s">
        <v>3591</v>
      </c>
      <c r="D125" s="115" t="s">
        <v>3191</v>
      </c>
      <c r="E125" s="115">
        <v>123</v>
      </c>
      <c r="F125" s="71">
        <v>233</v>
      </c>
      <c r="G125" s="109">
        <v>4612.5</v>
      </c>
      <c r="H125" s="110">
        <v>8737.5</v>
      </c>
      <c r="I125" s="111">
        <v>-110</v>
      </c>
      <c r="J125" s="110">
        <v>-4125</v>
      </c>
      <c r="K125" s="117"/>
      <c r="L125" s="35"/>
    </row>
    <row r="126" spans="2:12" s="85" customFormat="1">
      <c r="B126" s="115" t="s">
        <v>3412</v>
      </c>
      <c r="C126" s="115" t="s">
        <v>3594</v>
      </c>
      <c r="D126" s="115" t="s">
        <v>3191</v>
      </c>
      <c r="E126" s="115">
        <v>100</v>
      </c>
      <c r="F126" s="71">
        <v>246</v>
      </c>
      <c r="G126" s="109">
        <v>3750</v>
      </c>
      <c r="H126" s="110">
        <v>9225</v>
      </c>
      <c r="I126" s="111">
        <v>-146</v>
      </c>
      <c r="J126" s="110">
        <v>-5475</v>
      </c>
      <c r="K126" s="117"/>
      <c r="L126" s="35"/>
    </row>
    <row r="127" spans="2:12" s="85" customFormat="1">
      <c r="B127" s="115" t="s">
        <v>3423</v>
      </c>
      <c r="C127" s="115" t="s">
        <v>3605</v>
      </c>
      <c r="D127" s="115" t="s">
        <v>3712</v>
      </c>
      <c r="E127" s="115">
        <v>185</v>
      </c>
      <c r="F127" s="71">
        <v>228</v>
      </c>
      <c r="G127" s="109">
        <v>2669.5499999999997</v>
      </c>
      <c r="H127" s="110">
        <v>3290.04</v>
      </c>
      <c r="I127" s="111">
        <v>-43</v>
      </c>
      <c r="J127" s="110">
        <v>-620.49000000000024</v>
      </c>
      <c r="K127" s="117"/>
      <c r="L127" s="35"/>
    </row>
    <row r="128" spans="2:12" s="85" customFormat="1">
      <c r="B128" s="115" t="s">
        <v>3429</v>
      </c>
      <c r="C128" s="115" t="s">
        <v>3611</v>
      </c>
      <c r="D128" s="115" t="s">
        <v>3716</v>
      </c>
      <c r="E128" s="115">
        <v>11</v>
      </c>
      <c r="F128" s="71">
        <v>18</v>
      </c>
      <c r="G128" s="109">
        <v>2373.25</v>
      </c>
      <c r="H128" s="110">
        <v>3883.5</v>
      </c>
      <c r="I128" s="111">
        <v>-7</v>
      </c>
      <c r="J128" s="110">
        <v>-1510.25</v>
      </c>
      <c r="K128" s="117"/>
      <c r="L128" s="35"/>
    </row>
    <row r="129" spans="2:12" s="85" customFormat="1">
      <c r="B129" s="115" t="s">
        <v>3431</v>
      </c>
      <c r="C129" s="115" t="s">
        <v>3613</v>
      </c>
      <c r="D129" s="115" t="s">
        <v>767</v>
      </c>
      <c r="E129" s="115">
        <v>83</v>
      </c>
      <c r="F129" s="71">
        <v>84</v>
      </c>
      <c r="G129" s="109">
        <v>454.01</v>
      </c>
      <c r="H129" s="110">
        <v>459.47999999999996</v>
      </c>
      <c r="I129" s="111">
        <v>-1</v>
      </c>
      <c r="J129" s="110">
        <v>-5.4699999999999704</v>
      </c>
      <c r="K129" s="117"/>
      <c r="L129" s="35"/>
    </row>
    <row r="130" spans="2:12" s="85" customFormat="1">
      <c r="B130" s="115" t="s">
        <v>3432</v>
      </c>
      <c r="C130" s="115" t="s">
        <v>3614</v>
      </c>
      <c r="D130" s="115" t="s">
        <v>3717</v>
      </c>
      <c r="E130" s="115">
        <v>294</v>
      </c>
      <c r="F130" s="71">
        <v>369</v>
      </c>
      <c r="G130" s="109">
        <v>1666.98</v>
      </c>
      <c r="H130" s="110">
        <v>2092.23</v>
      </c>
      <c r="I130" s="111">
        <v>-75</v>
      </c>
      <c r="J130" s="110">
        <v>-425.25</v>
      </c>
      <c r="K130" s="117"/>
      <c r="L130" s="35"/>
    </row>
    <row r="131" spans="2:12" s="85" customFormat="1">
      <c r="B131" s="115" t="s">
        <v>3433</v>
      </c>
      <c r="C131" s="115" t="s">
        <v>3615</v>
      </c>
      <c r="D131" s="115" t="s">
        <v>3717</v>
      </c>
      <c r="E131" s="115">
        <v>14</v>
      </c>
      <c r="F131" s="71">
        <v>369</v>
      </c>
      <c r="G131" s="109">
        <v>79.38</v>
      </c>
      <c r="H131" s="110">
        <v>2092.23</v>
      </c>
      <c r="I131" s="111">
        <v>-355</v>
      </c>
      <c r="J131" s="110">
        <v>-2012.85</v>
      </c>
      <c r="K131" s="117"/>
      <c r="L131" s="35"/>
    </row>
    <row r="132" spans="2:12" s="85" customFormat="1">
      <c r="B132" s="115" t="s">
        <v>3434</v>
      </c>
      <c r="C132" s="115" t="s">
        <v>3616</v>
      </c>
      <c r="D132" s="115" t="s">
        <v>3263</v>
      </c>
      <c r="E132" s="115">
        <v>57</v>
      </c>
      <c r="F132" s="71">
        <v>126</v>
      </c>
      <c r="G132" s="109">
        <v>285</v>
      </c>
      <c r="H132" s="110">
        <v>630</v>
      </c>
      <c r="I132" s="111">
        <v>-69</v>
      </c>
      <c r="J132" s="110">
        <v>-345</v>
      </c>
      <c r="K132" s="117"/>
      <c r="L132" s="35"/>
    </row>
    <row r="133" spans="2:12" s="85" customFormat="1">
      <c r="B133" s="115" t="s">
        <v>3449</v>
      </c>
      <c r="C133" s="115" t="s">
        <v>3631</v>
      </c>
      <c r="D133" s="115" t="s">
        <v>3732</v>
      </c>
      <c r="E133" s="115">
        <v>23</v>
      </c>
      <c r="F133" s="71">
        <v>24</v>
      </c>
      <c r="G133" s="109">
        <v>499.79</v>
      </c>
      <c r="H133" s="110">
        <v>521.52</v>
      </c>
      <c r="I133" s="111">
        <v>-1</v>
      </c>
      <c r="J133" s="110">
        <v>-21.729999999999961</v>
      </c>
      <c r="K133" s="117"/>
      <c r="L133" s="35"/>
    </row>
    <row r="134" spans="2:12" s="85" customFormat="1">
      <c r="B134" s="115" t="s">
        <v>3450</v>
      </c>
      <c r="C134" s="115" t="s">
        <v>3632</v>
      </c>
      <c r="D134" s="115" t="s">
        <v>3733</v>
      </c>
      <c r="E134" s="115">
        <v>1</v>
      </c>
      <c r="F134" s="71">
        <v>24</v>
      </c>
      <c r="G134" s="109">
        <v>51.92</v>
      </c>
      <c r="H134" s="110">
        <v>1246.08</v>
      </c>
      <c r="I134" s="111">
        <v>-23</v>
      </c>
      <c r="J134" s="110">
        <v>-1194.1599999999999</v>
      </c>
      <c r="K134" s="117"/>
      <c r="L134" s="35"/>
    </row>
    <row r="135" spans="2:12" s="85" customFormat="1" ht="30">
      <c r="B135" s="115" t="s">
        <v>3806</v>
      </c>
      <c r="C135" s="115" t="s">
        <v>3973</v>
      </c>
      <c r="D135" s="115" t="s">
        <v>4097</v>
      </c>
      <c r="E135" s="115">
        <v>2</v>
      </c>
      <c r="F135" s="71">
        <v>3</v>
      </c>
      <c r="G135" s="109">
        <v>502.6</v>
      </c>
      <c r="H135" s="110">
        <v>753.90000000000009</v>
      </c>
      <c r="I135" s="111">
        <v>-1</v>
      </c>
      <c r="J135" s="110">
        <v>-251.30000000000007</v>
      </c>
      <c r="K135" s="117"/>
      <c r="L135" s="35"/>
    </row>
    <row r="136" spans="2:12" s="85" customFormat="1">
      <c r="B136" s="115" t="s">
        <v>3829</v>
      </c>
      <c r="C136" s="115" t="s">
        <v>3996</v>
      </c>
      <c r="D136" s="115" t="s">
        <v>4102</v>
      </c>
      <c r="E136" s="115">
        <v>1</v>
      </c>
      <c r="F136" s="71">
        <v>2</v>
      </c>
      <c r="G136" s="109">
        <v>300.83</v>
      </c>
      <c r="H136" s="110">
        <v>601.66</v>
      </c>
      <c r="I136" s="111">
        <v>-1</v>
      </c>
      <c r="J136" s="110">
        <v>-300.83</v>
      </c>
      <c r="K136" s="117"/>
      <c r="L136" s="35"/>
    </row>
    <row r="137" spans="2:12" s="85" customFormat="1">
      <c r="B137" s="115" t="s">
        <v>3854</v>
      </c>
      <c r="C137" s="115" t="s">
        <v>4021</v>
      </c>
      <c r="D137" s="115" t="s">
        <v>3065</v>
      </c>
      <c r="E137" s="115">
        <v>21</v>
      </c>
      <c r="F137" s="71">
        <v>22</v>
      </c>
      <c r="G137" s="109">
        <v>2415</v>
      </c>
      <c r="H137" s="110">
        <v>2530</v>
      </c>
      <c r="I137" s="111">
        <v>-1</v>
      </c>
      <c r="J137" s="110">
        <v>-115</v>
      </c>
      <c r="K137" s="117"/>
      <c r="L137" s="35"/>
    </row>
    <row r="138" spans="2:12" s="85" customFormat="1">
      <c r="B138" s="108" t="s">
        <v>4131</v>
      </c>
      <c r="C138" s="108" t="s">
        <v>4168</v>
      </c>
      <c r="D138" s="108" t="s">
        <v>4116</v>
      </c>
      <c r="E138" s="108">
        <v>1</v>
      </c>
      <c r="F138" s="71">
        <v>2</v>
      </c>
      <c r="G138" s="109"/>
      <c r="H138" s="110">
        <v>180</v>
      </c>
      <c r="I138" s="111">
        <v>-1</v>
      </c>
      <c r="J138" s="110"/>
      <c r="K138" s="111"/>
      <c r="L138" s="35"/>
    </row>
    <row r="139" spans="2:12" s="85" customFormat="1">
      <c r="B139" s="108" t="s">
        <v>4139</v>
      </c>
      <c r="C139" s="108" t="s">
        <v>4176</v>
      </c>
      <c r="D139" s="108" t="s">
        <v>1673</v>
      </c>
      <c r="E139" s="108">
        <v>49</v>
      </c>
      <c r="F139" s="71">
        <v>53</v>
      </c>
      <c r="G139" s="109"/>
      <c r="H139" s="110">
        <v>964.59999999999991</v>
      </c>
      <c r="I139" s="111">
        <v>-4</v>
      </c>
      <c r="J139" s="110"/>
      <c r="K139" s="111"/>
      <c r="L139" s="35"/>
    </row>
    <row r="140" spans="2:12" s="85" customFormat="1">
      <c r="B140" s="108" t="s">
        <v>4141</v>
      </c>
      <c r="C140" s="108" t="s">
        <v>4178</v>
      </c>
      <c r="D140" s="108" t="s">
        <v>4208</v>
      </c>
      <c r="E140" s="108">
        <v>25</v>
      </c>
      <c r="F140" s="71">
        <v>39</v>
      </c>
      <c r="G140" s="109"/>
      <c r="H140" s="110">
        <v>1064.7</v>
      </c>
      <c r="I140" s="111">
        <v>-14</v>
      </c>
      <c r="J140" s="110"/>
      <c r="K140" s="111"/>
      <c r="L140" s="35"/>
    </row>
    <row r="141" spans="2:12" s="85" customFormat="1">
      <c r="B141" s="108" t="s">
        <v>4148</v>
      </c>
      <c r="C141" s="108" t="s">
        <v>4185</v>
      </c>
      <c r="D141" s="108" t="s">
        <v>4209</v>
      </c>
      <c r="E141" s="108">
        <v>8</v>
      </c>
      <c r="F141" s="71">
        <v>13</v>
      </c>
      <c r="G141" s="109"/>
      <c r="H141" s="110">
        <v>295.09999999999997</v>
      </c>
      <c r="I141" s="111">
        <v>-5</v>
      </c>
      <c r="J141" s="110"/>
      <c r="K141" s="111"/>
      <c r="L141" s="35"/>
    </row>
    <row r="142" spans="2:12" s="85" customFormat="1">
      <c r="B142" s="115" t="s">
        <v>4727</v>
      </c>
      <c r="C142" s="115" t="s">
        <v>4719</v>
      </c>
      <c r="D142" s="115" t="s">
        <v>3725</v>
      </c>
      <c r="E142" s="115">
        <v>12</v>
      </c>
      <c r="F142" s="71">
        <v>16</v>
      </c>
      <c r="G142" s="109">
        <v>277.79999999999995</v>
      </c>
      <c r="H142" s="110">
        <v>370.4</v>
      </c>
      <c r="I142" s="111">
        <v>-4</v>
      </c>
      <c r="J142" s="110">
        <v>-92.600000000000023</v>
      </c>
      <c r="K142" s="111"/>
      <c r="L142" s="35"/>
    </row>
    <row r="143" spans="2:12" s="85" customFormat="1">
      <c r="B143" s="108" t="s">
        <v>4163</v>
      </c>
      <c r="C143" s="108" t="s">
        <v>4200</v>
      </c>
      <c r="D143" s="108" t="s">
        <v>3078</v>
      </c>
      <c r="E143" s="108">
        <v>7</v>
      </c>
      <c r="F143" s="71">
        <v>9</v>
      </c>
      <c r="G143" s="109">
        <v>159.25</v>
      </c>
      <c r="H143" s="110">
        <v>204.75</v>
      </c>
      <c r="I143" s="111">
        <v>-2</v>
      </c>
      <c r="J143" s="110">
        <v>-45.5</v>
      </c>
      <c r="K143" s="53"/>
      <c r="L143" s="35"/>
    </row>
    <row r="144" spans="2:12" s="85" customFormat="1">
      <c r="B144" s="108" t="s">
        <v>4222</v>
      </c>
      <c r="C144" s="115" t="s">
        <v>4754</v>
      </c>
      <c r="D144" s="108" t="s">
        <v>4351</v>
      </c>
      <c r="E144" s="115">
        <v>3</v>
      </c>
      <c r="F144" s="71">
        <v>6</v>
      </c>
      <c r="G144" s="109">
        <v>225.99</v>
      </c>
      <c r="H144" s="110">
        <v>451.98</v>
      </c>
      <c r="I144" s="111">
        <v>-3</v>
      </c>
      <c r="J144" s="110">
        <v>-225.99</v>
      </c>
      <c r="K144" s="53"/>
      <c r="L144" s="35"/>
    </row>
    <row r="145" spans="2:11" s="85" customFormat="1">
      <c r="B145" s="115" t="s">
        <v>4224</v>
      </c>
      <c r="C145" s="115" t="s">
        <v>4289</v>
      </c>
      <c r="D145" s="115" t="s">
        <v>1639</v>
      </c>
      <c r="E145" s="115">
        <v>1</v>
      </c>
      <c r="F145" s="71">
        <v>2</v>
      </c>
      <c r="G145" s="109">
        <v>11.5</v>
      </c>
      <c r="H145" s="110">
        <v>23</v>
      </c>
      <c r="I145" s="111">
        <v>-1</v>
      </c>
      <c r="J145" s="110">
        <v>-11.5</v>
      </c>
      <c r="K145" s="53"/>
    </row>
    <row r="146" spans="2:11" s="85" customFormat="1">
      <c r="B146" s="115" t="s">
        <v>4226</v>
      </c>
      <c r="C146" s="115" t="s">
        <v>4291</v>
      </c>
      <c r="D146" s="115" t="s">
        <v>4346</v>
      </c>
      <c r="E146" s="115">
        <v>12</v>
      </c>
      <c r="F146" s="71">
        <v>45</v>
      </c>
      <c r="G146" s="109">
        <v>714.96</v>
      </c>
      <c r="H146" s="110">
        <v>2681.1</v>
      </c>
      <c r="I146" s="111">
        <v>-33</v>
      </c>
      <c r="J146" s="110">
        <v>-1966.1399999999999</v>
      </c>
      <c r="K146" s="53"/>
    </row>
    <row r="147" spans="2:11" s="85" customFormat="1">
      <c r="B147" s="115" t="s">
        <v>4228</v>
      </c>
      <c r="C147" s="115" t="s">
        <v>4293</v>
      </c>
      <c r="D147" s="115" t="s">
        <v>4349</v>
      </c>
      <c r="E147" s="115">
        <v>24</v>
      </c>
      <c r="F147" s="71">
        <v>54</v>
      </c>
      <c r="G147" s="109">
        <v>388.08000000000004</v>
      </c>
      <c r="H147" s="110">
        <v>873.18000000000006</v>
      </c>
      <c r="I147" s="111">
        <v>-30</v>
      </c>
      <c r="J147" s="110">
        <v>-485.1</v>
      </c>
      <c r="K147" s="53"/>
    </row>
    <row r="148" spans="2:11" s="85" customFormat="1">
      <c r="B148" s="108" t="s">
        <v>4229</v>
      </c>
      <c r="C148" s="108" t="s">
        <v>4294</v>
      </c>
      <c r="D148" s="108" t="s">
        <v>4354</v>
      </c>
      <c r="E148" s="108">
        <v>20</v>
      </c>
      <c r="F148" s="71">
        <v>21</v>
      </c>
      <c r="G148" s="109">
        <v>313.39999999999998</v>
      </c>
      <c r="H148" s="110">
        <v>329.07</v>
      </c>
      <c r="I148" s="111">
        <v>-1</v>
      </c>
      <c r="J148" s="110">
        <v>-15.670000000000016</v>
      </c>
      <c r="K148" s="53"/>
    </row>
    <row r="149" spans="2:11" s="85" customFormat="1">
      <c r="B149" s="108" t="s">
        <v>4231</v>
      </c>
      <c r="C149" s="108" t="s">
        <v>4296</v>
      </c>
      <c r="D149" s="108" t="s">
        <v>4346</v>
      </c>
      <c r="E149" s="108">
        <v>16</v>
      </c>
      <c r="F149" s="71">
        <v>42</v>
      </c>
      <c r="G149" s="109">
        <v>953.28</v>
      </c>
      <c r="H149" s="110">
        <v>2502.36</v>
      </c>
      <c r="I149" s="111">
        <v>-26</v>
      </c>
      <c r="J149" s="110">
        <v>-1549.0800000000002</v>
      </c>
      <c r="K149" s="53"/>
    </row>
    <row r="150" spans="2:11" s="85" customFormat="1">
      <c r="B150" s="108" t="s">
        <v>4235</v>
      </c>
      <c r="C150" s="108" t="s">
        <v>4300</v>
      </c>
      <c r="D150" s="108" t="s">
        <v>4355</v>
      </c>
      <c r="E150" s="108">
        <v>19</v>
      </c>
      <c r="F150" s="71">
        <v>26</v>
      </c>
      <c r="G150" s="109">
        <v>431.87</v>
      </c>
      <c r="H150" s="110">
        <v>590.98</v>
      </c>
      <c r="I150" s="111">
        <v>-7</v>
      </c>
      <c r="J150" s="110">
        <v>-159.11000000000001</v>
      </c>
      <c r="K150" s="53"/>
    </row>
    <row r="151" spans="2:11" s="85" customFormat="1">
      <c r="B151" s="108" t="s">
        <v>4236</v>
      </c>
      <c r="C151" s="115" t="s">
        <v>4301</v>
      </c>
      <c r="D151" s="108" t="s">
        <v>4355</v>
      </c>
      <c r="E151" s="115">
        <v>9</v>
      </c>
      <c r="F151" s="71">
        <v>12</v>
      </c>
      <c r="G151" s="109">
        <v>204.57</v>
      </c>
      <c r="H151" s="110">
        <v>272.76</v>
      </c>
      <c r="I151" s="111">
        <v>-3</v>
      </c>
      <c r="J151" s="110">
        <v>-68.19</v>
      </c>
      <c r="K151" s="53"/>
    </row>
    <row r="152" spans="2:11" s="85" customFormat="1">
      <c r="B152" s="115" t="s">
        <v>4267</v>
      </c>
      <c r="C152" s="115" t="s">
        <v>4332</v>
      </c>
      <c r="D152" s="115" t="s">
        <v>4369</v>
      </c>
      <c r="E152" s="115">
        <v>10</v>
      </c>
      <c r="F152" s="71">
        <v>11</v>
      </c>
      <c r="G152" s="109">
        <v>264.20000000000005</v>
      </c>
      <c r="H152" s="110">
        <v>290.62</v>
      </c>
      <c r="I152" s="111">
        <v>-1</v>
      </c>
      <c r="J152" s="110">
        <v>-26.419999999999959</v>
      </c>
      <c r="K152" s="53"/>
    </row>
    <row r="153" spans="2:11" s="85" customFormat="1">
      <c r="B153" s="115" t="s">
        <v>4274</v>
      </c>
      <c r="C153" s="115" t="s">
        <v>4339</v>
      </c>
      <c r="D153" s="115" t="s">
        <v>4373</v>
      </c>
      <c r="E153" s="115">
        <v>1</v>
      </c>
      <c r="F153" s="71">
        <v>7</v>
      </c>
      <c r="G153" s="109">
        <v>104.33</v>
      </c>
      <c r="H153" s="110">
        <v>730.31</v>
      </c>
      <c r="I153" s="111">
        <v>-6</v>
      </c>
      <c r="J153" s="110">
        <v>-625.9799999999999</v>
      </c>
      <c r="K153" s="53"/>
    </row>
    <row r="154" spans="2:11" s="85" customFormat="1">
      <c r="B154" s="115" t="s">
        <v>4276</v>
      </c>
      <c r="C154" s="115" t="s">
        <v>4341</v>
      </c>
      <c r="D154" s="115" t="s">
        <v>4375</v>
      </c>
      <c r="E154" s="115">
        <v>72</v>
      </c>
      <c r="F154" s="71">
        <v>96</v>
      </c>
      <c r="G154" s="109">
        <v>2856.2400000000002</v>
      </c>
      <c r="H154" s="110">
        <v>3808.32</v>
      </c>
      <c r="I154" s="111">
        <v>-24</v>
      </c>
      <c r="J154" s="110">
        <v>-952.07999999999993</v>
      </c>
      <c r="K154" s="53"/>
    </row>
    <row r="155" spans="2:11" s="85" customFormat="1">
      <c r="B155" s="115" t="s">
        <v>4278</v>
      </c>
      <c r="C155" s="115" t="s">
        <v>4343</v>
      </c>
      <c r="D155" s="115" t="s">
        <v>4377</v>
      </c>
      <c r="E155" s="115">
        <v>29</v>
      </c>
      <c r="F155" s="71">
        <v>32</v>
      </c>
      <c r="G155" s="109">
        <v>707.02</v>
      </c>
      <c r="H155" s="110">
        <v>780.16</v>
      </c>
      <c r="I155" s="111">
        <v>-3</v>
      </c>
      <c r="J155" s="110">
        <v>-73.139999999999986</v>
      </c>
      <c r="K155" s="53"/>
    </row>
    <row r="156" spans="2:11" s="85" customFormat="1">
      <c r="B156" s="115" t="s">
        <v>4384</v>
      </c>
      <c r="C156" s="115" t="s">
        <v>4410</v>
      </c>
      <c r="D156" s="115" t="s">
        <v>3261</v>
      </c>
      <c r="E156" s="115">
        <v>43</v>
      </c>
      <c r="F156" s="71">
        <v>53</v>
      </c>
      <c r="G156" s="109">
        <v>258</v>
      </c>
      <c r="H156" s="110">
        <v>318</v>
      </c>
      <c r="I156" s="111">
        <v>-10</v>
      </c>
      <c r="J156" s="110">
        <v>-60</v>
      </c>
      <c r="K156" s="53"/>
    </row>
    <row r="157" spans="2:11" s="85" customFormat="1">
      <c r="B157" s="115" t="s">
        <v>4386</v>
      </c>
      <c r="C157" s="115" t="s">
        <v>4412</v>
      </c>
      <c r="D157" s="115" t="s">
        <v>4434</v>
      </c>
      <c r="E157" s="115">
        <v>12</v>
      </c>
      <c r="F157" s="71">
        <v>14</v>
      </c>
      <c r="G157" s="109">
        <v>43.2</v>
      </c>
      <c r="H157" s="110">
        <v>50.4</v>
      </c>
      <c r="I157" s="111">
        <v>-2</v>
      </c>
      <c r="J157" s="110">
        <v>-7.1999999999999957</v>
      </c>
      <c r="K157" s="53"/>
    </row>
    <row r="158" spans="2:11" s="85" customFormat="1">
      <c r="B158" s="108" t="s">
        <v>4387</v>
      </c>
      <c r="C158" s="115" t="s">
        <v>4413</v>
      </c>
      <c r="D158" s="108" t="s">
        <v>4434</v>
      </c>
      <c r="E158" s="115">
        <v>2</v>
      </c>
      <c r="F158" s="71">
        <v>5</v>
      </c>
      <c r="G158" s="109">
        <v>7.2</v>
      </c>
      <c r="H158" s="110">
        <v>18</v>
      </c>
      <c r="I158" s="111">
        <v>-3</v>
      </c>
      <c r="J158" s="110">
        <v>-10.8</v>
      </c>
      <c r="K158" s="53"/>
    </row>
    <row r="159" spans="2:11" s="85" customFormat="1">
      <c r="B159" s="115" t="s">
        <v>4390</v>
      </c>
      <c r="C159" s="115" t="s">
        <v>4416</v>
      </c>
      <c r="D159" s="115" t="s">
        <v>4436</v>
      </c>
      <c r="E159" s="115">
        <v>6</v>
      </c>
      <c r="F159" s="71">
        <v>11</v>
      </c>
      <c r="G159" s="109">
        <v>4.5600000000000005</v>
      </c>
      <c r="H159" s="110">
        <v>8.36</v>
      </c>
      <c r="I159" s="111">
        <v>-5</v>
      </c>
      <c r="J159" s="110">
        <v>-3.7999999999999989</v>
      </c>
      <c r="K159" s="53"/>
    </row>
    <row r="160" spans="2:11" s="85" customFormat="1">
      <c r="B160" s="115" t="s">
        <v>4731</v>
      </c>
      <c r="C160" s="115" t="s">
        <v>4736</v>
      </c>
      <c r="D160" s="115" t="s">
        <v>4436</v>
      </c>
      <c r="E160" s="115">
        <v>61</v>
      </c>
      <c r="F160" s="71">
        <v>64</v>
      </c>
      <c r="G160" s="109">
        <v>46.36</v>
      </c>
      <c r="H160" s="110">
        <v>48.64</v>
      </c>
      <c r="I160" s="111">
        <v>-3</v>
      </c>
      <c r="J160" s="110">
        <v>-2.2800000000000011</v>
      </c>
      <c r="K160" s="53"/>
    </row>
    <row r="161" spans="2:17" s="85" customFormat="1">
      <c r="B161" s="115" t="s">
        <v>4395</v>
      </c>
      <c r="C161" s="115" t="s">
        <v>4421</v>
      </c>
      <c r="D161" s="115" t="s">
        <v>4436</v>
      </c>
      <c r="E161" s="115">
        <v>28</v>
      </c>
      <c r="F161" s="71">
        <v>32</v>
      </c>
      <c r="G161" s="109">
        <v>21.28</v>
      </c>
      <c r="H161" s="110">
        <v>24.32</v>
      </c>
      <c r="I161" s="111">
        <v>-4</v>
      </c>
      <c r="J161" s="110">
        <v>-3.0399999999999991</v>
      </c>
      <c r="K161" s="53"/>
    </row>
    <row r="162" spans="2:17" s="85" customFormat="1">
      <c r="B162" s="115" t="s">
        <v>4444</v>
      </c>
      <c r="C162" s="115" t="s">
        <v>4484</v>
      </c>
      <c r="D162" s="115" t="s">
        <v>4524</v>
      </c>
      <c r="E162" s="115">
        <v>6</v>
      </c>
      <c r="F162" s="71">
        <v>7</v>
      </c>
      <c r="G162" s="109">
        <v>101.69999999999999</v>
      </c>
      <c r="H162" s="110">
        <v>118.64999999999999</v>
      </c>
      <c r="I162" s="111">
        <v>-1</v>
      </c>
      <c r="J162" s="110">
        <v>-16.950000000000003</v>
      </c>
      <c r="K162" s="53"/>
    </row>
    <row r="163" spans="2:17" s="85" customFormat="1">
      <c r="B163" s="115" t="s">
        <v>4455</v>
      </c>
      <c r="C163" s="115" t="s">
        <v>4495</v>
      </c>
      <c r="D163" s="115" t="s">
        <v>3261</v>
      </c>
      <c r="E163" s="115">
        <v>59</v>
      </c>
      <c r="F163" s="71">
        <v>125</v>
      </c>
      <c r="G163" s="109">
        <v>354</v>
      </c>
      <c r="H163" s="110">
        <v>750</v>
      </c>
      <c r="I163" s="111">
        <v>-66</v>
      </c>
      <c r="J163" s="110">
        <v>-396</v>
      </c>
      <c r="K163" s="53"/>
    </row>
    <row r="164" spans="2:17" s="85" customFormat="1">
      <c r="B164" s="115" t="s">
        <v>4458</v>
      </c>
      <c r="C164" s="115" t="s">
        <v>4498</v>
      </c>
      <c r="D164" s="115" t="s">
        <v>4529</v>
      </c>
      <c r="E164" s="115">
        <v>2</v>
      </c>
      <c r="F164" s="71">
        <v>9</v>
      </c>
      <c r="G164" s="109">
        <v>2196</v>
      </c>
      <c r="H164" s="110">
        <v>9882</v>
      </c>
      <c r="I164" s="111">
        <v>-7</v>
      </c>
      <c r="J164" s="110">
        <v>-7686</v>
      </c>
      <c r="K164" s="53"/>
    </row>
    <row r="165" spans="2:17" s="85" customFormat="1">
      <c r="B165" s="115" t="s">
        <v>4467</v>
      </c>
      <c r="C165" s="115" t="s">
        <v>4507</v>
      </c>
      <c r="D165" s="115" t="s">
        <v>1804</v>
      </c>
      <c r="E165" s="115">
        <v>2</v>
      </c>
      <c r="F165" s="71">
        <v>5</v>
      </c>
      <c r="G165" s="109">
        <v>280</v>
      </c>
      <c r="H165" s="110">
        <v>700</v>
      </c>
      <c r="I165" s="111">
        <v>-3</v>
      </c>
      <c r="J165" s="110">
        <v>-420</v>
      </c>
      <c r="K165" s="53"/>
    </row>
    <row r="166" spans="2:17" s="85" customFormat="1">
      <c r="B166" s="108" t="s">
        <v>4537</v>
      </c>
      <c r="C166" s="65" t="s">
        <v>4547</v>
      </c>
      <c r="D166" s="71" t="s">
        <v>4556</v>
      </c>
      <c r="E166" s="71">
        <v>8</v>
      </c>
      <c r="F166" s="106">
        <v>10</v>
      </c>
      <c r="G166" s="106">
        <v>1344</v>
      </c>
      <c r="H166" s="106">
        <v>1680</v>
      </c>
      <c r="I166" s="111">
        <v>-2</v>
      </c>
      <c r="J166" s="110">
        <v>-336</v>
      </c>
      <c r="K166" s="53"/>
    </row>
    <row r="167" spans="2:17" s="85" customFormat="1">
      <c r="B167" s="108" t="s">
        <v>4542</v>
      </c>
      <c r="C167" s="65" t="s">
        <v>4552</v>
      </c>
      <c r="D167" s="71" t="s">
        <v>4554</v>
      </c>
      <c r="E167" s="71">
        <v>10</v>
      </c>
      <c r="F167" s="106">
        <v>15</v>
      </c>
      <c r="G167" s="106">
        <v>840</v>
      </c>
      <c r="H167" s="106">
        <v>1260</v>
      </c>
      <c r="I167" s="111">
        <v>-5</v>
      </c>
      <c r="J167" s="110">
        <v>-420</v>
      </c>
      <c r="K167" s="53"/>
    </row>
    <row r="168" spans="2:17" s="85" customFormat="1">
      <c r="B168" s="108" t="s">
        <v>4566</v>
      </c>
      <c r="C168" s="65" t="s">
        <v>4593</v>
      </c>
      <c r="D168" s="71" t="s">
        <v>4432</v>
      </c>
      <c r="E168" s="71">
        <v>29</v>
      </c>
      <c r="F168" s="106">
        <v>37</v>
      </c>
      <c r="G168" s="106">
        <v>203</v>
      </c>
      <c r="H168" s="106">
        <v>259</v>
      </c>
      <c r="I168" s="111">
        <v>-8</v>
      </c>
      <c r="J168" s="110">
        <v>-56</v>
      </c>
      <c r="K168" s="53"/>
    </row>
    <row r="169" spans="2:17" s="85" customFormat="1">
      <c r="B169" s="108" t="s">
        <v>4569</v>
      </c>
      <c r="C169" s="65" t="s">
        <v>4596</v>
      </c>
      <c r="D169" s="71" t="s">
        <v>4750</v>
      </c>
      <c r="E169" s="71">
        <v>4</v>
      </c>
      <c r="F169" s="106">
        <v>7</v>
      </c>
      <c r="G169" s="106">
        <v>52</v>
      </c>
      <c r="H169" s="106">
        <v>91</v>
      </c>
      <c r="I169" s="111">
        <v>-3</v>
      </c>
      <c r="J169" s="110">
        <v>-39</v>
      </c>
      <c r="K169" s="53"/>
    </row>
    <row r="170" spans="2:17">
      <c r="B170" s="36"/>
      <c r="C170" s="22"/>
      <c r="D170" s="37"/>
      <c r="E170" s="37"/>
      <c r="F170" s="107"/>
      <c r="G170" s="107"/>
      <c r="H170" s="107"/>
      <c r="I170" s="94">
        <f>SUM(I5:I169)</f>
        <v>-42399</v>
      </c>
      <c r="J170" s="94">
        <f>SUM(J5:J169)</f>
        <v>-421491.15</v>
      </c>
      <c r="K170" s="22"/>
    </row>
    <row r="171" spans="2:17" ht="6.75" customHeight="1"/>
    <row r="172" spans="2:17" s="57" customFormat="1">
      <c r="B172" s="38" t="s">
        <v>35</v>
      </c>
      <c r="C172"/>
      <c r="D172"/>
      <c r="E172"/>
      <c r="F172" s="105"/>
      <c r="G172" s="105"/>
      <c r="H172" s="105"/>
      <c r="I172"/>
      <c r="J172" s="7"/>
      <c r="K172"/>
      <c r="M172"/>
      <c r="N172"/>
      <c r="O172"/>
      <c r="P172"/>
      <c r="Q172"/>
    </row>
    <row r="173" spans="2:17" s="57" customFormat="1" ht="17.25" customHeight="1">
      <c r="B173" s="31" t="s">
        <v>4</v>
      </c>
      <c r="C173" s="1" t="s">
        <v>5</v>
      </c>
      <c r="D173" s="51" t="s">
        <v>6</v>
      </c>
      <c r="E173" s="21" t="s">
        <v>7</v>
      </c>
      <c r="F173" s="21" t="s">
        <v>8</v>
      </c>
      <c r="G173" s="10" t="s">
        <v>9</v>
      </c>
      <c r="H173" s="10" t="s">
        <v>10</v>
      </c>
      <c r="I173" s="21" t="s">
        <v>11</v>
      </c>
      <c r="J173" s="10" t="s">
        <v>12</v>
      </c>
      <c r="K173" s="1" t="s">
        <v>13</v>
      </c>
      <c r="M173"/>
      <c r="N173"/>
      <c r="O173"/>
      <c r="P173"/>
      <c r="Q173"/>
    </row>
    <row r="174" spans="2:17" s="57" customFormat="1" ht="14.25" customHeight="1">
      <c r="B174" s="115" t="s">
        <v>498</v>
      </c>
      <c r="C174" s="115" t="s">
        <v>611</v>
      </c>
      <c r="D174" s="115" t="s">
        <v>4619</v>
      </c>
      <c r="E174" s="115">
        <v>107</v>
      </c>
      <c r="F174" s="71">
        <v>11</v>
      </c>
      <c r="G174" s="109">
        <v>2082.2200000000003</v>
      </c>
      <c r="H174" s="110">
        <v>214.06</v>
      </c>
      <c r="I174" s="111">
        <v>96</v>
      </c>
      <c r="J174" s="110">
        <v>1868.1600000000003</v>
      </c>
      <c r="K174" s="111"/>
      <c r="M174"/>
      <c r="N174"/>
      <c r="O174"/>
      <c r="P174"/>
      <c r="Q174"/>
    </row>
    <row r="175" spans="2:17" s="57" customFormat="1" ht="14.25" customHeight="1">
      <c r="B175" s="115" t="s">
        <v>499</v>
      </c>
      <c r="C175" s="115" t="s">
        <v>612</v>
      </c>
      <c r="D175" s="115" t="s">
        <v>725</v>
      </c>
      <c r="E175" s="115">
        <v>66</v>
      </c>
      <c r="F175" s="71">
        <v>23</v>
      </c>
      <c r="G175" s="109">
        <v>1057.98</v>
      </c>
      <c r="H175" s="110">
        <v>368.69000000000005</v>
      </c>
      <c r="I175" s="111">
        <v>43</v>
      </c>
      <c r="J175" s="110">
        <v>689.29</v>
      </c>
      <c r="K175" s="111"/>
      <c r="M175"/>
      <c r="N175"/>
      <c r="O175"/>
      <c r="P175"/>
      <c r="Q175"/>
    </row>
    <row r="176" spans="2:17" s="57" customFormat="1" ht="14.25" customHeight="1">
      <c r="B176" s="108" t="s">
        <v>500</v>
      </c>
      <c r="C176" s="108" t="s">
        <v>613</v>
      </c>
      <c r="D176" s="108" t="s">
        <v>725</v>
      </c>
      <c r="E176" s="108">
        <v>52</v>
      </c>
      <c r="F176" s="71">
        <v>15</v>
      </c>
      <c r="G176" s="109">
        <v>833.56000000000006</v>
      </c>
      <c r="H176" s="110">
        <v>240.45000000000002</v>
      </c>
      <c r="I176" s="111">
        <v>37</v>
      </c>
      <c r="J176" s="110">
        <v>593.11</v>
      </c>
      <c r="K176" s="111"/>
      <c r="M176"/>
      <c r="N176"/>
      <c r="O176"/>
      <c r="P176"/>
      <c r="Q176"/>
    </row>
    <row r="177" spans="2:17" s="57" customFormat="1" ht="14.25" customHeight="1">
      <c r="B177" s="108" t="s">
        <v>501</v>
      </c>
      <c r="C177" s="108" t="s">
        <v>614</v>
      </c>
      <c r="D177" s="108" t="s">
        <v>725</v>
      </c>
      <c r="E177" s="108">
        <v>91</v>
      </c>
      <c r="F177" s="71">
        <v>70</v>
      </c>
      <c r="G177" s="109">
        <v>1458.73</v>
      </c>
      <c r="H177" s="110">
        <v>1122.1000000000001</v>
      </c>
      <c r="I177" s="111">
        <v>21</v>
      </c>
      <c r="J177" s="110">
        <v>336.62999999999988</v>
      </c>
      <c r="K177" s="111"/>
      <c r="M177"/>
      <c r="N177"/>
      <c r="O177"/>
      <c r="P177"/>
      <c r="Q177"/>
    </row>
    <row r="178" spans="2:17" s="57" customFormat="1" ht="14.25" customHeight="1">
      <c r="B178" s="108" t="s">
        <v>502</v>
      </c>
      <c r="C178" s="108" t="s">
        <v>615</v>
      </c>
      <c r="D178" s="108" t="s">
        <v>725</v>
      </c>
      <c r="E178" s="108">
        <v>77</v>
      </c>
      <c r="F178" s="71">
        <v>25</v>
      </c>
      <c r="G178" s="109">
        <v>1234.3100000000002</v>
      </c>
      <c r="H178" s="110">
        <v>400.75</v>
      </c>
      <c r="I178" s="111">
        <v>52</v>
      </c>
      <c r="J178" s="110">
        <v>833.56000000000017</v>
      </c>
      <c r="K178" s="111"/>
      <c r="M178"/>
      <c r="N178"/>
      <c r="O178"/>
      <c r="P178"/>
      <c r="Q178"/>
    </row>
    <row r="179" spans="2:17" s="57" customFormat="1" ht="14.25" customHeight="1">
      <c r="B179" s="108" t="s">
        <v>503</v>
      </c>
      <c r="C179" s="108" t="s">
        <v>616</v>
      </c>
      <c r="D179" s="108" t="s">
        <v>726</v>
      </c>
      <c r="E179" s="108">
        <v>24</v>
      </c>
      <c r="F179" s="71">
        <v>2</v>
      </c>
      <c r="G179" s="109">
        <v>430.79999999999995</v>
      </c>
      <c r="H179" s="110">
        <v>35.9</v>
      </c>
      <c r="I179" s="111">
        <v>22</v>
      </c>
      <c r="J179" s="110">
        <v>394.9</v>
      </c>
      <c r="K179" s="111"/>
      <c r="M179"/>
      <c r="N179"/>
      <c r="O179"/>
      <c r="P179"/>
      <c r="Q179"/>
    </row>
    <row r="180" spans="2:17" s="57" customFormat="1" ht="14.25" customHeight="1">
      <c r="B180" s="108" t="s">
        <v>504</v>
      </c>
      <c r="C180" s="108" t="s">
        <v>617</v>
      </c>
      <c r="D180" s="108" t="s">
        <v>725</v>
      </c>
      <c r="E180" s="108">
        <v>70</v>
      </c>
      <c r="F180" s="71">
        <v>58</v>
      </c>
      <c r="G180" s="109">
        <v>1122.1000000000001</v>
      </c>
      <c r="H180" s="110">
        <v>929.74</v>
      </c>
      <c r="I180" s="111">
        <v>12</v>
      </c>
      <c r="J180" s="110">
        <v>192.36000000000013</v>
      </c>
      <c r="K180" s="111"/>
      <c r="M180"/>
      <c r="N180"/>
      <c r="O180"/>
      <c r="P180"/>
      <c r="Q180"/>
    </row>
    <row r="181" spans="2:17" s="57" customFormat="1" ht="14.25" customHeight="1">
      <c r="B181" s="108" t="s">
        <v>505</v>
      </c>
      <c r="C181" s="108" t="s">
        <v>618</v>
      </c>
      <c r="D181" s="108" t="s">
        <v>725</v>
      </c>
      <c r="E181" s="108">
        <v>38</v>
      </c>
      <c r="F181" s="71">
        <v>36</v>
      </c>
      <c r="G181" s="109">
        <v>609.1400000000001</v>
      </c>
      <c r="H181" s="110">
        <v>577.08000000000004</v>
      </c>
      <c r="I181" s="111">
        <v>2</v>
      </c>
      <c r="J181" s="110">
        <v>32.060000000000059</v>
      </c>
      <c r="K181" s="111"/>
      <c r="M181"/>
      <c r="N181"/>
      <c r="O181"/>
      <c r="P181"/>
      <c r="Q181"/>
    </row>
    <row r="182" spans="2:17" s="57" customFormat="1" ht="14.25" customHeight="1">
      <c r="B182" s="108" t="s">
        <v>506</v>
      </c>
      <c r="C182" s="108" t="s">
        <v>619</v>
      </c>
      <c r="D182" s="108" t="s">
        <v>4620</v>
      </c>
      <c r="E182" s="108">
        <v>40</v>
      </c>
      <c r="F182" s="71">
        <v>19</v>
      </c>
      <c r="G182" s="109">
        <v>1350</v>
      </c>
      <c r="H182" s="110">
        <v>641.25</v>
      </c>
      <c r="I182" s="111">
        <v>21</v>
      </c>
      <c r="J182" s="110">
        <v>708.75</v>
      </c>
      <c r="K182" s="111"/>
      <c r="M182"/>
      <c r="N182"/>
      <c r="O182"/>
      <c r="P182"/>
      <c r="Q182"/>
    </row>
    <row r="183" spans="2:17" s="57" customFormat="1" ht="14.25" customHeight="1">
      <c r="B183" s="108" t="s">
        <v>506</v>
      </c>
      <c r="C183" s="108" t="s">
        <v>619</v>
      </c>
      <c r="D183" s="108" t="s">
        <v>727</v>
      </c>
      <c r="E183" s="108">
        <v>24</v>
      </c>
      <c r="F183" s="71"/>
      <c r="G183" s="109">
        <v>771.12000000000012</v>
      </c>
      <c r="H183" s="110">
        <v>0</v>
      </c>
      <c r="I183" s="111">
        <v>24</v>
      </c>
      <c r="J183" s="110">
        <v>771.12000000000012</v>
      </c>
      <c r="K183" s="111"/>
      <c r="M183"/>
      <c r="N183"/>
      <c r="O183"/>
      <c r="P183"/>
      <c r="Q183"/>
    </row>
    <row r="184" spans="2:17" s="57" customFormat="1" ht="14.25" customHeight="1">
      <c r="B184" s="108" t="s">
        <v>507</v>
      </c>
      <c r="C184" s="108" t="s">
        <v>620</v>
      </c>
      <c r="D184" s="108" t="s">
        <v>724</v>
      </c>
      <c r="E184" s="108">
        <v>29</v>
      </c>
      <c r="F184" s="71"/>
      <c r="G184" s="109">
        <v>537.37</v>
      </c>
      <c r="H184" s="110">
        <v>0</v>
      </c>
      <c r="I184" s="111">
        <v>29</v>
      </c>
      <c r="J184" s="110">
        <v>537.37</v>
      </c>
      <c r="K184" s="111"/>
      <c r="M184"/>
      <c r="N184"/>
      <c r="O184"/>
      <c r="P184"/>
      <c r="Q184"/>
    </row>
    <row r="185" spans="2:17" s="57" customFormat="1" ht="14.25" customHeight="1">
      <c r="B185" s="108" t="s">
        <v>508</v>
      </c>
      <c r="C185" s="108" t="s">
        <v>621</v>
      </c>
      <c r="D185" s="108" t="s">
        <v>728</v>
      </c>
      <c r="E185" s="108">
        <v>86</v>
      </c>
      <c r="F185" s="71">
        <v>55</v>
      </c>
      <c r="G185" s="109">
        <v>531.48</v>
      </c>
      <c r="H185" s="110">
        <v>339.9</v>
      </c>
      <c r="I185" s="111">
        <v>31</v>
      </c>
      <c r="J185" s="110">
        <v>191.58000000000004</v>
      </c>
      <c r="K185" s="111"/>
      <c r="M185"/>
      <c r="N185"/>
      <c r="O185"/>
      <c r="P185"/>
      <c r="Q185"/>
    </row>
    <row r="186" spans="2:17" s="57" customFormat="1" ht="14.25" customHeight="1">
      <c r="B186" s="115" t="s">
        <v>510</v>
      </c>
      <c r="C186" s="108" t="s">
        <v>623</v>
      </c>
      <c r="D186" s="115" t="s">
        <v>730</v>
      </c>
      <c r="E186" s="108">
        <v>13</v>
      </c>
      <c r="F186" s="71">
        <v>10</v>
      </c>
      <c r="G186" s="109">
        <v>96.2</v>
      </c>
      <c r="H186" s="110">
        <v>74</v>
      </c>
      <c r="I186" s="111">
        <v>3</v>
      </c>
      <c r="J186" s="110">
        <v>22.200000000000003</v>
      </c>
      <c r="K186" s="111"/>
      <c r="M186"/>
      <c r="N186"/>
      <c r="O186"/>
      <c r="P186"/>
      <c r="Q186"/>
    </row>
    <row r="187" spans="2:17" s="57" customFormat="1" ht="14.25" customHeight="1">
      <c r="B187" s="108" t="s">
        <v>511</v>
      </c>
      <c r="C187" s="108" t="s">
        <v>624</v>
      </c>
      <c r="D187" s="108" t="s">
        <v>731</v>
      </c>
      <c r="E187" s="108">
        <v>24</v>
      </c>
      <c r="F187" s="71">
        <v>19</v>
      </c>
      <c r="G187" s="109">
        <v>626.16</v>
      </c>
      <c r="H187" s="110">
        <v>495.71</v>
      </c>
      <c r="I187" s="111">
        <v>5</v>
      </c>
      <c r="J187" s="110">
        <v>130.44999999999999</v>
      </c>
      <c r="K187" s="111"/>
      <c r="M187"/>
      <c r="N187"/>
      <c r="O187"/>
      <c r="P187"/>
      <c r="Q187"/>
    </row>
    <row r="188" spans="2:17" s="57" customFormat="1" ht="14.25" customHeight="1">
      <c r="B188" s="108" t="s">
        <v>512</v>
      </c>
      <c r="C188" s="108" t="s">
        <v>625</v>
      </c>
      <c r="D188" s="108" t="s">
        <v>730</v>
      </c>
      <c r="E188" s="108">
        <v>47</v>
      </c>
      <c r="F188" s="71"/>
      <c r="G188" s="109">
        <v>347.8</v>
      </c>
      <c r="H188" s="110">
        <v>0</v>
      </c>
      <c r="I188" s="111">
        <v>47</v>
      </c>
      <c r="J188" s="110">
        <v>347.8</v>
      </c>
      <c r="K188" s="111"/>
      <c r="M188"/>
      <c r="N188"/>
      <c r="O188"/>
      <c r="P188"/>
      <c r="Q188"/>
    </row>
    <row r="189" spans="2:17" s="57" customFormat="1" ht="14.25" customHeight="1">
      <c r="B189" s="108" t="s">
        <v>514</v>
      </c>
      <c r="C189" s="108" t="s">
        <v>627</v>
      </c>
      <c r="D189" s="108" t="s">
        <v>733</v>
      </c>
      <c r="E189" s="108">
        <v>11</v>
      </c>
      <c r="F189" s="71"/>
      <c r="G189" s="109">
        <v>188.10000000000002</v>
      </c>
      <c r="H189" s="110">
        <v>0</v>
      </c>
      <c r="I189" s="111">
        <v>11</v>
      </c>
      <c r="J189" s="110">
        <v>188.10000000000002</v>
      </c>
      <c r="K189" s="111"/>
      <c r="M189"/>
      <c r="N189"/>
      <c r="O189"/>
      <c r="P189"/>
      <c r="Q189"/>
    </row>
    <row r="190" spans="2:17" s="57" customFormat="1" ht="14.25" customHeight="1">
      <c r="B190" s="108" t="s">
        <v>515</v>
      </c>
      <c r="C190" s="108" t="s">
        <v>628</v>
      </c>
      <c r="D190" s="108" t="s">
        <v>735</v>
      </c>
      <c r="E190" s="108">
        <v>40</v>
      </c>
      <c r="F190" s="71">
        <v>31</v>
      </c>
      <c r="G190" s="109">
        <v>273.2</v>
      </c>
      <c r="H190" s="110">
        <v>211.73</v>
      </c>
      <c r="I190" s="111">
        <v>9</v>
      </c>
      <c r="J190" s="110">
        <v>61.47</v>
      </c>
      <c r="K190" s="111"/>
      <c r="M190"/>
      <c r="N190"/>
      <c r="O190"/>
      <c r="P190"/>
      <c r="Q190"/>
    </row>
    <row r="191" spans="2:17" s="57" customFormat="1" ht="14.25" customHeight="1">
      <c r="B191" s="108" t="s">
        <v>515</v>
      </c>
      <c r="C191" s="108" t="s">
        <v>628</v>
      </c>
      <c r="D191" s="108" t="s">
        <v>734</v>
      </c>
      <c r="E191" s="108">
        <v>21</v>
      </c>
      <c r="F191" s="71"/>
      <c r="G191" s="109">
        <v>141.12</v>
      </c>
      <c r="H191" s="110">
        <v>0</v>
      </c>
      <c r="I191" s="111">
        <v>21</v>
      </c>
      <c r="J191" s="110">
        <v>141.12</v>
      </c>
      <c r="K191" s="112"/>
      <c r="M191"/>
      <c r="N191"/>
      <c r="O191"/>
      <c r="P191"/>
      <c r="Q191"/>
    </row>
    <row r="192" spans="2:17" s="57" customFormat="1" ht="14.25" customHeight="1">
      <c r="B192" s="108" t="s">
        <v>516</v>
      </c>
      <c r="C192" s="108" t="s">
        <v>629</v>
      </c>
      <c r="D192" s="108" t="s">
        <v>736</v>
      </c>
      <c r="E192" s="108">
        <v>18</v>
      </c>
      <c r="F192" s="71"/>
      <c r="G192" s="109">
        <v>349.2</v>
      </c>
      <c r="H192" s="110">
        <v>0</v>
      </c>
      <c r="I192" s="111">
        <v>18</v>
      </c>
      <c r="J192" s="110">
        <v>349.2</v>
      </c>
      <c r="K192" s="111"/>
      <c r="M192"/>
      <c r="N192"/>
      <c r="O192"/>
      <c r="P192"/>
      <c r="Q192"/>
    </row>
    <row r="193" spans="1:17" s="57" customFormat="1" ht="14.25" customHeight="1">
      <c r="B193" s="108" t="s">
        <v>517</v>
      </c>
      <c r="C193" s="108" t="s">
        <v>630</v>
      </c>
      <c r="D193" s="108" t="s">
        <v>735</v>
      </c>
      <c r="E193" s="108">
        <v>37</v>
      </c>
      <c r="F193" s="71">
        <v>33</v>
      </c>
      <c r="G193" s="109">
        <v>252.71</v>
      </c>
      <c r="H193" s="110">
        <v>225.39000000000001</v>
      </c>
      <c r="I193" s="111">
        <v>4</v>
      </c>
      <c r="J193" s="110">
        <v>27.319999999999993</v>
      </c>
      <c r="K193" s="111"/>
      <c r="M193"/>
      <c r="N193"/>
      <c r="O193"/>
      <c r="P193"/>
      <c r="Q193"/>
    </row>
    <row r="194" spans="1:17" s="57" customFormat="1" ht="14.25" customHeight="1">
      <c r="B194" s="108" t="s">
        <v>518</v>
      </c>
      <c r="C194" s="108" t="s">
        <v>631</v>
      </c>
      <c r="D194" s="108" t="s">
        <v>736</v>
      </c>
      <c r="E194" s="108">
        <v>11</v>
      </c>
      <c r="F194" s="71">
        <v>2</v>
      </c>
      <c r="G194" s="109">
        <v>213.39999999999998</v>
      </c>
      <c r="H194" s="110">
        <v>38.799999999999997</v>
      </c>
      <c r="I194" s="111">
        <v>9</v>
      </c>
      <c r="J194" s="110">
        <v>174.59999999999997</v>
      </c>
      <c r="K194" s="111"/>
      <c r="M194"/>
      <c r="N194"/>
      <c r="O194"/>
      <c r="P194"/>
      <c r="Q194"/>
    </row>
    <row r="195" spans="1:17" s="57" customFormat="1" ht="14.25" customHeight="1">
      <c r="B195" s="108" t="s">
        <v>519</v>
      </c>
      <c r="C195" s="108" t="s">
        <v>632</v>
      </c>
      <c r="D195" s="108" t="s">
        <v>737</v>
      </c>
      <c r="E195" s="108">
        <v>52</v>
      </c>
      <c r="F195" s="71"/>
      <c r="G195" s="109">
        <v>917.8</v>
      </c>
      <c r="H195" s="110">
        <v>0</v>
      </c>
      <c r="I195" s="111">
        <v>52</v>
      </c>
      <c r="J195" s="110">
        <v>917.8</v>
      </c>
      <c r="K195" s="111"/>
      <c r="M195"/>
      <c r="N195"/>
      <c r="O195"/>
      <c r="P195"/>
      <c r="Q195"/>
    </row>
    <row r="196" spans="1:17" s="57" customFormat="1" ht="14.25" customHeight="1">
      <c r="B196" s="108" t="s">
        <v>520</v>
      </c>
      <c r="C196" s="108" t="s">
        <v>633</v>
      </c>
      <c r="D196" s="108" t="s">
        <v>737</v>
      </c>
      <c r="E196" s="108">
        <v>16</v>
      </c>
      <c r="F196" s="71">
        <v>9</v>
      </c>
      <c r="G196" s="109">
        <v>282.39999999999998</v>
      </c>
      <c r="H196" s="110">
        <v>158.85</v>
      </c>
      <c r="I196" s="111">
        <v>7</v>
      </c>
      <c r="J196" s="110">
        <v>123.54999999999998</v>
      </c>
      <c r="K196" s="111"/>
      <c r="M196"/>
      <c r="N196"/>
      <c r="O196"/>
      <c r="P196"/>
      <c r="Q196"/>
    </row>
    <row r="197" spans="1:17" s="57" customFormat="1" ht="14.25" customHeight="1">
      <c r="B197" s="108" t="s">
        <v>521</v>
      </c>
      <c r="C197" s="108" t="s">
        <v>634</v>
      </c>
      <c r="D197" s="108" t="s">
        <v>4621</v>
      </c>
      <c r="E197" s="108">
        <v>20</v>
      </c>
      <c r="F197" s="71">
        <v>15</v>
      </c>
      <c r="G197" s="109">
        <v>373</v>
      </c>
      <c r="H197" s="110">
        <v>279.75</v>
      </c>
      <c r="I197" s="111">
        <v>5</v>
      </c>
      <c r="J197" s="110">
        <v>93.25</v>
      </c>
      <c r="K197" s="111"/>
      <c r="M197"/>
      <c r="N197"/>
      <c r="O197"/>
      <c r="P197"/>
      <c r="Q197"/>
    </row>
    <row r="198" spans="1:17" s="57" customFormat="1" ht="14.25" customHeight="1">
      <c r="B198" s="115" t="s">
        <v>521</v>
      </c>
      <c r="C198" s="115" t="s">
        <v>634</v>
      </c>
      <c r="D198" s="115" t="s">
        <v>737</v>
      </c>
      <c r="E198" s="115">
        <v>22</v>
      </c>
      <c r="F198" s="71"/>
      <c r="G198" s="109">
        <v>388.29999999999995</v>
      </c>
      <c r="H198" s="110">
        <v>0</v>
      </c>
      <c r="I198" s="111">
        <v>22</v>
      </c>
      <c r="J198" s="110">
        <v>388.29999999999995</v>
      </c>
      <c r="K198" s="111"/>
      <c r="M198"/>
      <c r="N198"/>
      <c r="O198"/>
      <c r="P198"/>
      <c r="Q198"/>
    </row>
    <row r="199" spans="1:17" s="57" customFormat="1" ht="14.25" customHeight="1">
      <c r="B199" s="108" t="s">
        <v>522</v>
      </c>
      <c r="C199" s="108" t="s">
        <v>635</v>
      </c>
      <c r="D199" s="108" t="s">
        <v>737</v>
      </c>
      <c r="E199" s="108">
        <v>40</v>
      </c>
      <c r="F199" s="71">
        <v>1</v>
      </c>
      <c r="G199" s="109">
        <v>706</v>
      </c>
      <c r="H199" s="110">
        <v>17.649999999999999</v>
      </c>
      <c r="I199" s="111">
        <v>39</v>
      </c>
      <c r="J199" s="110">
        <v>688.35</v>
      </c>
      <c r="K199" s="111"/>
      <c r="M199"/>
      <c r="N199"/>
      <c r="O199"/>
      <c r="P199"/>
      <c r="Q199"/>
    </row>
    <row r="200" spans="1:17" s="57" customFormat="1" ht="14.25" customHeight="1">
      <c r="B200" s="108" t="s">
        <v>523</v>
      </c>
      <c r="C200" s="108" t="s">
        <v>636</v>
      </c>
      <c r="D200" s="108" t="s">
        <v>738</v>
      </c>
      <c r="E200" s="108">
        <v>126</v>
      </c>
      <c r="F200" s="71"/>
      <c r="G200" s="109">
        <v>845.46</v>
      </c>
      <c r="H200" s="110">
        <v>0</v>
      </c>
      <c r="I200" s="111">
        <v>126</v>
      </c>
      <c r="J200" s="110">
        <v>845.46</v>
      </c>
      <c r="K200" s="111"/>
      <c r="M200"/>
      <c r="N200"/>
      <c r="O200"/>
      <c r="P200"/>
      <c r="Q200"/>
    </row>
    <row r="201" spans="1:17" s="57" customFormat="1" ht="14.25" customHeight="1">
      <c r="B201" s="108" t="s">
        <v>524</v>
      </c>
      <c r="C201" s="115" t="s">
        <v>637</v>
      </c>
      <c r="D201" s="108" t="s">
        <v>740</v>
      </c>
      <c r="E201" s="115">
        <v>50</v>
      </c>
      <c r="F201" s="71">
        <v>27</v>
      </c>
      <c r="G201" s="109">
        <v>901.5</v>
      </c>
      <c r="H201" s="110">
        <v>486.81000000000006</v>
      </c>
      <c r="I201" s="111">
        <v>23</v>
      </c>
      <c r="J201" s="110">
        <v>414.68999999999994</v>
      </c>
      <c r="K201" s="111"/>
      <c r="M201"/>
      <c r="N201"/>
      <c r="O201"/>
      <c r="P201"/>
      <c r="Q201"/>
    </row>
    <row r="202" spans="1:17" s="57" customFormat="1" ht="14.25" customHeight="1">
      <c r="B202" s="108" t="s">
        <v>524</v>
      </c>
      <c r="C202" s="115" t="s">
        <v>637</v>
      </c>
      <c r="D202" s="108" t="s">
        <v>739</v>
      </c>
      <c r="E202" s="115">
        <v>24</v>
      </c>
      <c r="F202" s="71"/>
      <c r="G202" s="109">
        <v>426</v>
      </c>
      <c r="H202" s="110">
        <v>0</v>
      </c>
      <c r="I202" s="111">
        <v>24</v>
      </c>
      <c r="J202" s="110">
        <v>426</v>
      </c>
      <c r="K202" s="111"/>
      <c r="M202"/>
      <c r="N202"/>
      <c r="O202"/>
      <c r="P202"/>
      <c r="Q202"/>
    </row>
    <row r="203" spans="1:17" s="57" customFormat="1" ht="14.25" customHeight="1">
      <c r="B203" s="115" t="s">
        <v>525</v>
      </c>
      <c r="C203" s="115" t="s">
        <v>638</v>
      </c>
      <c r="D203" s="115" t="s">
        <v>741</v>
      </c>
      <c r="E203" s="115">
        <v>38</v>
      </c>
      <c r="F203" s="71">
        <v>16</v>
      </c>
      <c r="G203" s="109">
        <v>861.84</v>
      </c>
      <c r="H203" s="110">
        <v>362.88</v>
      </c>
      <c r="I203" s="111">
        <v>22</v>
      </c>
      <c r="J203" s="110">
        <v>498.96000000000004</v>
      </c>
      <c r="K203" s="111"/>
      <c r="M203"/>
      <c r="N203"/>
      <c r="O203"/>
      <c r="P203"/>
      <c r="Q203"/>
    </row>
    <row r="204" spans="1:17" s="132" customFormat="1" ht="14.25" customHeight="1">
      <c r="B204" s="115" t="s">
        <v>525</v>
      </c>
      <c r="C204" s="115" t="s">
        <v>638</v>
      </c>
      <c r="D204" s="115" t="s">
        <v>742</v>
      </c>
      <c r="E204" s="115">
        <v>25</v>
      </c>
      <c r="F204" s="71"/>
      <c r="G204" s="109">
        <v>576.75</v>
      </c>
      <c r="H204" s="110">
        <v>0</v>
      </c>
      <c r="I204" s="111">
        <v>25</v>
      </c>
      <c r="J204" s="110">
        <v>576.75</v>
      </c>
      <c r="K204" s="112"/>
      <c r="M204" s="52"/>
      <c r="N204" s="52"/>
      <c r="O204" s="52"/>
      <c r="P204" s="52"/>
      <c r="Q204" s="52"/>
    </row>
    <row r="205" spans="1:17" s="130" customFormat="1" ht="14.25" customHeight="1">
      <c r="A205" s="132"/>
      <c r="B205" s="115" t="s">
        <v>526</v>
      </c>
      <c r="C205" s="115" t="s">
        <v>639</v>
      </c>
      <c r="D205" s="115" t="s">
        <v>735</v>
      </c>
      <c r="E205" s="115">
        <v>40</v>
      </c>
      <c r="F205" s="71">
        <v>3</v>
      </c>
      <c r="G205" s="109">
        <v>273.2</v>
      </c>
      <c r="H205" s="110">
        <v>20.490000000000002</v>
      </c>
      <c r="I205" s="111">
        <v>37</v>
      </c>
      <c r="J205" s="110">
        <v>252.70999999999998</v>
      </c>
      <c r="K205" s="111"/>
      <c r="L205" s="132"/>
      <c r="M205" s="131"/>
      <c r="N205" s="131"/>
      <c r="O205" s="131"/>
      <c r="P205" s="131"/>
      <c r="Q205" s="131"/>
    </row>
    <row r="206" spans="1:17" s="131" customFormat="1">
      <c r="A206" s="52"/>
      <c r="B206" s="115" t="s">
        <v>526</v>
      </c>
      <c r="C206" s="115" t="s">
        <v>639</v>
      </c>
      <c r="D206" s="115" t="s">
        <v>738</v>
      </c>
      <c r="E206" s="115">
        <v>49</v>
      </c>
      <c r="F206" s="71"/>
      <c r="G206" s="109">
        <v>328.79</v>
      </c>
      <c r="H206" s="110">
        <v>0</v>
      </c>
      <c r="I206" s="111">
        <v>49</v>
      </c>
      <c r="J206" s="110">
        <v>328.79</v>
      </c>
      <c r="K206" s="111"/>
      <c r="L206" s="132"/>
    </row>
    <row r="207" spans="1:17" s="131" customFormat="1" ht="20.25" customHeight="1">
      <c r="A207" s="52"/>
      <c r="B207" s="115" t="s">
        <v>527</v>
      </c>
      <c r="C207" s="115" t="s">
        <v>640</v>
      </c>
      <c r="D207" s="115" t="s">
        <v>728</v>
      </c>
      <c r="E207" s="115">
        <v>166</v>
      </c>
      <c r="F207" s="71">
        <v>84</v>
      </c>
      <c r="G207" s="109">
        <v>1025.8799999999999</v>
      </c>
      <c r="H207" s="110">
        <v>519.12</v>
      </c>
      <c r="I207" s="111">
        <v>82</v>
      </c>
      <c r="J207" s="110">
        <v>506.75999999999988</v>
      </c>
      <c r="K207" s="111"/>
      <c r="L207" s="132"/>
    </row>
    <row r="208" spans="1:17" s="131" customFormat="1">
      <c r="A208" s="52"/>
      <c r="B208" s="108" t="s">
        <v>528</v>
      </c>
      <c r="C208" s="115" t="s">
        <v>641</v>
      </c>
      <c r="D208" s="108" t="s">
        <v>743</v>
      </c>
      <c r="E208" s="115">
        <v>23</v>
      </c>
      <c r="F208" s="71"/>
      <c r="G208" s="109">
        <v>1174.3800000000001</v>
      </c>
      <c r="H208" s="110">
        <v>0</v>
      </c>
      <c r="I208" s="111">
        <v>23</v>
      </c>
      <c r="J208" s="110">
        <v>1174.3800000000001</v>
      </c>
      <c r="K208" s="111"/>
      <c r="L208" s="132"/>
    </row>
    <row r="209" spans="1:12" s="131" customFormat="1">
      <c r="A209" s="52"/>
      <c r="B209" s="108" t="s">
        <v>529</v>
      </c>
      <c r="C209" s="115" t="s">
        <v>642</v>
      </c>
      <c r="D209" s="108" t="s">
        <v>744</v>
      </c>
      <c r="E209" s="115">
        <v>97</v>
      </c>
      <c r="F209" s="71">
        <v>94</v>
      </c>
      <c r="G209" s="109">
        <v>728.47</v>
      </c>
      <c r="H209" s="110">
        <v>705.93999999999994</v>
      </c>
      <c r="I209" s="111">
        <v>3</v>
      </c>
      <c r="J209" s="110">
        <v>22.530000000000086</v>
      </c>
      <c r="K209" s="111"/>
      <c r="L209" s="132"/>
    </row>
    <row r="210" spans="1:12" s="131" customFormat="1">
      <c r="A210" s="52"/>
      <c r="B210" s="108" t="s">
        <v>530</v>
      </c>
      <c r="C210" s="115" t="s">
        <v>643</v>
      </c>
      <c r="D210" s="108" t="s">
        <v>745</v>
      </c>
      <c r="E210" s="115">
        <v>6</v>
      </c>
      <c r="F210" s="71">
        <v>3</v>
      </c>
      <c r="G210" s="109">
        <v>133.14000000000001</v>
      </c>
      <c r="H210" s="110">
        <v>66.570000000000007</v>
      </c>
      <c r="I210" s="111">
        <v>3</v>
      </c>
      <c r="J210" s="110">
        <v>66.570000000000007</v>
      </c>
      <c r="K210" s="111"/>
      <c r="L210" s="132"/>
    </row>
    <row r="211" spans="1:12" s="131" customFormat="1">
      <c r="A211" s="52"/>
      <c r="B211" s="108" t="s">
        <v>533</v>
      </c>
      <c r="C211" s="115" t="s">
        <v>646</v>
      </c>
      <c r="D211" s="108" t="s">
        <v>728</v>
      </c>
      <c r="E211" s="115">
        <v>147</v>
      </c>
      <c r="F211" s="71">
        <v>73</v>
      </c>
      <c r="G211" s="109">
        <v>908.45999999999992</v>
      </c>
      <c r="H211" s="110">
        <v>451.14</v>
      </c>
      <c r="I211" s="111">
        <v>74</v>
      </c>
      <c r="J211" s="110">
        <v>457.31999999999994</v>
      </c>
      <c r="K211" s="111"/>
      <c r="L211" s="132"/>
    </row>
    <row r="212" spans="1:12" s="131" customFormat="1">
      <c r="A212" s="52"/>
      <c r="B212" s="108" t="s">
        <v>534</v>
      </c>
      <c r="C212" s="115" t="s">
        <v>647</v>
      </c>
      <c r="D212" s="108" t="s">
        <v>748</v>
      </c>
      <c r="E212" s="115">
        <v>5</v>
      </c>
      <c r="F212" s="71"/>
      <c r="G212" s="109">
        <v>28.3</v>
      </c>
      <c r="H212" s="110">
        <v>0</v>
      </c>
      <c r="I212" s="111">
        <v>5</v>
      </c>
      <c r="J212" s="110">
        <v>28.3</v>
      </c>
      <c r="K212" s="111"/>
      <c r="L212" s="132"/>
    </row>
    <row r="213" spans="1:12" s="131" customFormat="1">
      <c r="A213" s="52"/>
      <c r="B213" s="108" t="s">
        <v>535</v>
      </c>
      <c r="C213" s="115" t="s">
        <v>648</v>
      </c>
      <c r="D213" s="108" t="s">
        <v>749</v>
      </c>
      <c r="E213" s="115">
        <v>7</v>
      </c>
      <c r="F213" s="71"/>
      <c r="G213" s="109">
        <v>133.56</v>
      </c>
      <c r="H213" s="110">
        <v>0</v>
      </c>
      <c r="I213" s="111">
        <v>7</v>
      </c>
      <c r="J213" s="110">
        <v>133.56</v>
      </c>
      <c r="K213" s="111"/>
      <c r="L213" s="132"/>
    </row>
    <row r="214" spans="1:12" s="131" customFormat="1">
      <c r="A214" s="52"/>
      <c r="B214" s="108" t="s">
        <v>536</v>
      </c>
      <c r="C214" s="115" t="s">
        <v>649</v>
      </c>
      <c r="D214" s="108" t="s">
        <v>749</v>
      </c>
      <c r="E214" s="115">
        <v>5</v>
      </c>
      <c r="F214" s="71"/>
      <c r="G214" s="109">
        <v>95.399999999999991</v>
      </c>
      <c r="H214" s="110">
        <v>0</v>
      </c>
      <c r="I214" s="111">
        <v>5</v>
      </c>
      <c r="J214" s="110">
        <v>95.399999999999991</v>
      </c>
      <c r="K214" s="111"/>
      <c r="L214" s="132"/>
    </row>
    <row r="215" spans="1:12" s="131" customFormat="1">
      <c r="A215" s="52"/>
      <c r="B215" s="115" t="s">
        <v>537</v>
      </c>
      <c r="C215" s="115" t="s">
        <v>650</v>
      </c>
      <c r="D215" s="115" t="s">
        <v>748</v>
      </c>
      <c r="E215" s="115">
        <v>12</v>
      </c>
      <c r="F215" s="71"/>
      <c r="G215" s="109">
        <v>67.92</v>
      </c>
      <c r="H215" s="110">
        <v>0</v>
      </c>
      <c r="I215" s="111">
        <v>12</v>
      </c>
      <c r="J215" s="110">
        <v>67.92</v>
      </c>
      <c r="K215" s="111"/>
      <c r="L215" s="132"/>
    </row>
    <row r="216" spans="1:12" s="131" customFormat="1">
      <c r="A216" s="52"/>
      <c r="B216" s="115" t="s">
        <v>538</v>
      </c>
      <c r="C216" s="115" t="s">
        <v>651</v>
      </c>
      <c r="D216" s="115" t="s">
        <v>748</v>
      </c>
      <c r="E216" s="115">
        <v>18</v>
      </c>
      <c r="F216" s="71"/>
      <c r="G216" s="109">
        <v>101.88</v>
      </c>
      <c r="H216" s="110">
        <v>0</v>
      </c>
      <c r="I216" s="111">
        <v>18</v>
      </c>
      <c r="J216" s="110">
        <v>101.88</v>
      </c>
      <c r="K216" s="111"/>
      <c r="L216" s="132"/>
    </row>
    <row r="217" spans="1:12" s="131" customFormat="1">
      <c r="A217" s="52"/>
      <c r="B217" s="115" t="s">
        <v>539</v>
      </c>
      <c r="C217" s="115" t="s">
        <v>652</v>
      </c>
      <c r="D217" s="115" t="s">
        <v>750</v>
      </c>
      <c r="E217" s="115">
        <v>32</v>
      </c>
      <c r="F217" s="71"/>
      <c r="G217" s="109">
        <v>751.36</v>
      </c>
      <c r="H217" s="110">
        <v>0</v>
      </c>
      <c r="I217" s="111">
        <v>32</v>
      </c>
      <c r="J217" s="110">
        <v>751.36</v>
      </c>
      <c r="K217" s="112"/>
      <c r="L217" s="132"/>
    </row>
    <row r="218" spans="1:12" s="131" customFormat="1">
      <c r="A218" s="52"/>
      <c r="B218" s="115" t="s">
        <v>540</v>
      </c>
      <c r="C218" s="115" t="s">
        <v>653</v>
      </c>
      <c r="D218" s="115" t="s">
        <v>750</v>
      </c>
      <c r="E218" s="115">
        <v>10</v>
      </c>
      <c r="F218" s="71"/>
      <c r="G218" s="109">
        <v>234.8</v>
      </c>
      <c r="H218" s="110">
        <v>0</v>
      </c>
      <c r="I218" s="111">
        <v>10</v>
      </c>
      <c r="J218" s="110">
        <v>234.8</v>
      </c>
      <c r="K218" s="111"/>
      <c r="L218" s="132"/>
    </row>
    <row r="219" spans="1:12" s="131" customFormat="1">
      <c r="A219" s="52"/>
      <c r="B219" s="115" t="s">
        <v>541</v>
      </c>
      <c r="C219" s="115" t="s">
        <v>654</v>
      </c>
      <c r="D219" s="115" t="s">
        <v>751</v>
      </c>
      <c r="E219" s="115">
        <v>13</v>
      </c>
      <c r="F219" s="71"/>
      <c r="G219" s="109">
        <v>90.350000000000009</v>
      </c>
      <c r="H219" s="110">
        <v>0</v>
      </c>
      <c r="I219" s="111">
        <v>13</v>
      </c>
      <c r="J219" s="110">
        <v>90.350000000000009</v>
      </c>
      <c r="K219" s="111"/>
      <c r="L219" s="132"/>
    </row>
    <row r="220" spans="1:12" s="131" customFormat="1">
      <c r="A220" s="52"/>
      <c r="B220" s="115" t="s">
        <v>543</v>
      </c>
      <c r="C220" s="115" t="s">
        <v>656</v>
      </c>
      <c r="D220" s="115" t="s">
        <v>753</v>
      </c>
      <c r="E220" s="115">
        <v>9</v>
      </c>
      <c r="F220" s="71">
        <v>5</v>
      </c>
      <c r="G220" s="109">
        <v>309.42</v>
      </c>
      <c r="H220" s="110">
        <v>171.9</v>
      </c>
      <c r="I220" s="111">
        <v>4</v>
      </c>
      <c r="J220" s="110">
        <v>137.52000000000001</v>
      </c>
      <c r="K220" s="111"/>
      <c r="L220" s="132"/>
    </row>
    <row r="221" spans="1:12" s="131" customFormat="1">
      <c r="A221" s="52"/>
      <c r="B221" s="115" t="s">
        <v>545</v>
      </c>
      <c r="C221" s="115" t="s">
        <v>658</v>
      </c>
      <c r="D221" s="115" t="s">
        <v>755</v>
      </c>
      <c r="E221" s="115">
        <v>3</v>
      </c>
      <c r="F221" s="71"/>
      <c r="G221" s="109">
        <v>77.64</v>
      </c>
      <c r="H221" s="110">
        <v>0</v>
      </c>
      <c r="I221" s="111">
        <v>3</v>
      </c>
      <c r="J221" s="110">
        <v>77.64</v>
      </c>
      <c r="K221" s="111"/>
      <c r="L221" s="132"/>
    </row>
    <row r="222" spans="1:12" s="131" customFormat="1" hidden="1">
      <c r="A222" s="52"/>
      <c r="B222" s="115" t="s">
        <v>546</v>
      </c>
      <c r="C222" s="115" t="s">
        <v>659</v>
      </c>
      <c r="D222" s="115" t="s">
        <v>756</v>
      </c>
      <c r="E222" s="115">
        <v>23</v>
      </c>
      <c r="F222" s="71">
        <v>19</v>
      </c>
      <c r="G222" s="109">
        <v>1414.5</v>
      </c>
      <c r="H222" s="110">
        <v>1168.5</v>
      </c>
      <c r="I222" s="111">
        <v>4</v>
      </c>
      <c r="J222" s="110">
        <v>246</v>
      </c>
      <c r="K222" s="111"/>
      <c r="L222" s="132"/>
    </row>
    <row r="223" spans="1:12" s="131" customFormat="1" hidden="1">
      <c r="A223" s="52"/>
      <c r="B223" s="115" t="s">
        <v>554</v>
      </c>
      <c r="C223" s="115" t="s">
        <v>667</v>
      </c>
      <c r="D223" s="115" t="s">
        <v>758</v>
      </c>
      <c r="E223" s="115">
        <v>22</v>
      </c>
      <c r="F223" s="71"/>
      <c r="G223" s="109">
        <v>804.76</v>
      </c>
      <c r="H223" s="110">
        <v>0</v>
      </c>
      <c r="I223" s="111">
        <v>22</v>
      </c>
      <c r="J223" s="110">
        <v>804.76</v>
      </c>
      <c r="K223" s="111"/>
      <c r="L223" s="132"/>
    </row>
    <row r="224" spans="1:12" s="131" customFormat="1" hidden="1">
      <c r="A224" s="52"/>
      <c r="B224" s="115" t="s">
        <v>555</v>
      </c>
      <c r="C224" s="115" t="s">
        <v>668</v>
      </c>
      <c r="D224" s="115" t="s">
        <v>759</v>
      </c>
      <c r="E224" s="115">
        <v>28</v>
      </c>
      <c r="F224" s="71">
        <v>9</v>
      </c>
      <c r="G224" s="109">
        <v>861.56</v>
      </c>
      <c r="H224" s="110">
        <v>276.93</v>
      </c>
      <c r="I224" s="111">
        <v>19</v>
      </c>
      <c r="J224" s="110">
        <v>584.62999999999988</v>
      </c>
      <c r="K224" s="111"/>
      <c r="L224" s="132"/>
    </row>
    <row r="225" spans="1:12" s="131" customFormat="1" hidden="1">
      <c r="A225" s="52"/>
      <c r="B225" s="115" t="s">
        <v>558</v>
      </c>
      <c r="C225" s="115" t="s">
        <v>671</v>
      </c>
      <c r="D225" s="115" t="s">
        <v>4622</v>
      </c>
      <c r="E225" s="115">
        <v>24</v>
      </c>
      <c r="F225" s="71">
        <v>23</v>
      </c>
      <c r="G225" s="109">
        <v>1003.92</v>
      </c>
      <c r="H225" s="110">
        <v>962.08999999999992</v>
      </c>
      <c r="I225" s="111">
        <v>1</v>
      </c>
      <c r="J225" s="110">
        <v>41.830000000000041</v>
      </c>
      <c r="K225" s="111"/>
      <c r="L225" s="132"/>
    </row>
    <row r="226" spans="1:12" s="131" customFormat="1" hidden="1">
      <c r="A226" s="52"/>
      <c r="B226" s="115" t="s">
        <v>558</v>
      </c>
      <c r="C226" s="115" t="s">
        <v>671</v>
      </c>
      <c r="D226" s="115" t="s">
        <v>765</v>
      </c>
      <c r="E226" s="115">
        <v>4</v>
      </c>
      <c r="F226" s="71"/>
      <c r="G226" s="109">
        <v>157.91999999999999</v>
      </c>
      <c r="H226" s="110">
        <v>0</v>
      </c>
      <c r="I226" s="111">
        <v>4</v>
      </c>
      <c r="J226" s="110">
        <v>157.91999999999999</v>
      </c>
      <c r="K226" s="111"/>
      <c r="L226" s="132"/>
    </row>
    <row r="227" spans="1:12" s="131" customFormat="1" hidden="1">
      <c r="A227" s="52"/>
      <c r="B227" s="115" t="s">
        <v>559</v>
      </c>
      <c r="C227" s="115" t="s">
        <v>672</v>
      </c>
      <c r="D227" s="115" t="s">
        <v>728</v>
      </c>
      <c r="E227" s="115">
        <v>128</v>
      </c>
      <c r="F227" s="71">
        <v>62</v>
      </c>
      <c r="G227" s="109">
        <v>791.04</v>
      </c>
      <c r="H227" s="110">
        <v>383.15999999999997</v>
      </c>
      <c r="I227" s="111">
        <v>66</v>
      </c>
      <c r="J227" s="110">
        <v>407.88</v>
      </c>
      <c r="K227" s="111"/>
      <c r="L227" s="132"/>
    </row>
    <row r="228" spans="1:12" s="131" customFormat="1" hidden="1">
      <c r="A228" s="52"/>
      <c r="B228" s="115" t="s">
        <v>560</v>
      </c>
      <c r="C228" s="115" t="s">
        <v>673</v>
      </c>
      <c r="D228" s="115" t="s">
        <v>766</v>
      </c>
      <c r="E228" s="115">
        <v>16</v>
      </c>
      <c r="F228" s="71"/>
      <c r="G228" s="109">
        <v>316</v>
      </c>
      <c r="H228" s="110">
        <v>0</v>
      </c>
      <c r="I228" s="111">
        <v>16</v>
      </c>
      <c r="J228" s="110">
        <v>316</v>
      </c>
      <c r="K228" s="111"/>
      <c r="L228" s="132"/>
    </row>
    <row r="229" spans="1:12" s="131" customFormat="1" hidden="1">
      <c r="A229" s="52"/>
      <c r="B229" s="115" t="s">
        <v>561</v>
      </c>
      <c r="C229" s="115" t="s">
        <v>674</v>
      </c>
      <c r="D229" s="115" t="s">
        <v>766</v>
      </c>
      <c r="E229" s="115">
        <v>21</v>
      </c>
      <c r="F229" s="71"/>
      <c r="G229" s="109">
        <v>414.75</v>
      </c>
      <c r="H229" s="110">
        <v>0</v>
      </c>
      <c r="I229" s="111">
        <v>21</v>
      </c>
      <c r="J229" s="110">
        <v>414.75</v>
      </c>
      <c r="K229" s="111"/>
      <c r="L229" s="132"/>
    </row>
    <row r="230" spans="1:12" s="131" customFormat="1" hidden="1">
      <c r="A230" s="52"/>
      <c r="B230" s="115" t="s">
        <v>562</v>
      </c>
      <c r="C230" s="115" t="s">
        <v>675</v>
      </c>
      <c r="D230" s="115" t="s">
        <v>728</v>
      </c>
      <c r="E230" s="115">
        <v>135</v>
      </c>
      <c r="F230" s="71">
        <v>100</v>
      </c>
      <c r="G230" s="109">
        <v>834.3</v>
      </c>
      <c r="H230" s="110">
        <v>618</v>
      </c>
      <c r="I230" s="111">
        <v>35</v>
      </c>
      <c r="J230" s="110">
        <v>216.29999999999995</v>
      </c>
      <c r="K230" s="111"/>
      <c r="L230" s="132"/>
    </row>
    <row r="231" spans="1:12" s="131" customFormat="1" hidden="1">
      <c r="A231" s="52"/>
      <c r="B231" s="115" t="s">
        <v>563</v>
      </c>
      <c r="C231" s="115" t="s">
        <v>676</v>
      </c>
      <c r="D231" s="115" t="s">
        <v>767</v>
      </c>
      <c r="E231" s="115">
        <v>24</v>
      </c>
      <c r="F231" s="71"/>
      <c r="G231" s="109">
        <v>131.28</v>
      </c>
      <c r="H231" s="110">
        <v>0</v>
      </c>
      <c r="I231" s="111">
        <v>24</v>
      </c>
      <c r="J231" s="110">
        <v>131.28</v>
      </c>
      <c r="K231" s="111"/>
      <c r="L231" s="132"/>
    </row>
    <row r="232" spans="1:12" s="131" customFormat="1" hidden="1">
      <c r="A232" s="52"/>
      <c r="B232" s="115" t="s">
        <v>564</v>
      </c>
      <c r="C232" s="115" t="s">
        <v>677</v>
      </c>
      <c r="D232" s="115" t="s">
        <v>768</v>
      </c>
      <c r="E232" s="115">
        <v>41</v>
      </c>
      <c r="F232" s="71">
        <v>23</v>
      </c>
      <c r="G232" s="109">
        <v>312.42</v>
      </c>
      <c r="H232" s="110">
        <v>175.26</v>
      </c>
      <c r="I232" s="111">
        <v>18</v>
      </c>
      <c r="J232" s="110">
        <v>137.16000000000003</v>
      </c>
      <c r="K232" s="111"/>
      <c r="L232" s="132"/>
    </row>
    <row r="233" spans="1:12" s="131" customFormat="1" hidden="1">
      <c r="A233" s="52"/>
      <c r="B233" s="115" t="s">
        <v>565</v>
      </c>
      <c r="C233" s="115" t="s">
        <v>678</v>
      </c>
      <c r="D233" s="115" t="s">
        <v>769</v>
      </c>
      <c r="E233" s="115">
        <v>4</v>
      </c>
      <c r="F233" s="71"/>
      <c r="G233" s="109">
        <v>83.24</v>
      </c>
      <c r="H233" s="110">
        <v>0</v>
      </c>
      <c r="I233" s="111">
        <v>4</v>
      </c>
      <c r="J233" s="110">
        <v>83.24</v>
      </c>
      <c r="K233" s="111"/>
      <c r="L233" s="132"/>
    </row>
    <row r="234" spans="1:12" s="131" customFormat="1" hidden="1">
      <c r="A234" s="52"/>
      <c r="B234" s="115" t="s">
        <v>566</v>
      </c>
      <c r="C234" s="115" t="s">
        <v>679</v>
      </c>
      <c r="D234" s="115" t="s">
        <v>770</v>
      </c>
      <c r="E234" s="115">
        <v>16</v>
      </c>
      <c r="F234" s="71">
        <v>1</v>
      </c>
      <c r="G234" s="109">
        <v>188.48</v>
      </c>
      <c r="H234" s="110">
        <v>11.78</v>
      </c>
      <c r="I234" s="111">
        <v>15</v>
      </c>
      <c r="J234" s="110">
        <v>176.7</v>
      </c>
      <c r="K234" s="111"/>
      <c r="L234" s="132"/>
    </row>
    <row r="235" spans="1:12" s="131" customFormat="1" hidden="1">
      <c r="A235" s="52"/>
      <c r="B235" s="115" t="s">
        <v>567</v>
      </c>
      <c r="C235" s="115" t="s">
        <v>680</v>
      </c>
      <c r="D235" s="115" t="s">
        <v>771</v>
      </c>
      <c r="E235" s="115">
        <v>34</v>
      </c>
      <c r="F235" s="71"/>
      <c r="G235" s="109">
        <v>521.9</v>
      </c>
      <c r="H235" s="110">
        <v>0</v>
      </c>
      <c r="I235" s="111">
        <v>34</v>
      </c>
      <c r="J235" s="110">
        <v>521.9</v>
      </c>
      <c r="K235" s="111"/>
      <c r="L235" s="132"/>
    </row>
    <row r="236" spans="1:12" s="131" customFormat="1" hidden="1">
      <c r="A236" s="52"/>
      <c r="B236" s="115" t="s">
        <v>568</v>
      </c>
      <c r="C236" s="115" t="s">
        <v>681</v>
      </c>
      <c r="D236" s="115" t="s">
        <v>772</v>
      </c>
      <c r="E236" s="115">
        <v>20</v>
      </c>
      <c r="F236" s="71"/>
      <c r="G236" s="109">
        <v>649.4</v>
      </c>
      <c r="H236" s="110">
        <v>0</v>
      </c>
      <c r="I236" s="111">
        <v>20</v>
      </c>
      <c r="J236" s="110">
        <v>649.4</v>
      </c>
      <c r="K236" s="111"/>
      <c r="L236" s="132"/>
    </row>
    <row r="237" spans="1:12" s="131" customFormat="1" hidden="1">
      <c r="A237" s="52"/>
      <c r="B237" s="115" t="s">
        <v>569</v>
      </c>
      <c r="C237" s="115" t="s">
        <v>682</v>
      </c>
      <c r="D237" s="115" t="s">
        <v>728</v>
      </c>
      <c r="E237" s="115">
        <v>99</v>
      </c>
      <c r="F237" s="71">
        <v>53</v>
      </c>
      <c r="G237" s="109">
        <v>611.81999999999994</v>
      </c>
      <c r="H237" s="110">
        <v>327.53999999999996</v>
      </c>
      <c r="I237" s="111">
        <v>46</v>
      </c>
      <c r="J237" s="110">
        <v>284.27999999999997</v>
      </c>
      <c r="K237" s="111"/>
      <c r="L237" s="132"/>
    </row>
    <row r="238" spans="1:12" s="131" customFormat="1" hidden="1">
      <c r="A238" s="52"/>
      <c r="B238" s="115" t="s">
        <v>573</v>
      </c>
      <c r="C238" s="115" t="s">
        <v>686</v>
      </c>
      <c r="D238" s="115" t="s">
        <v>728</v>
      </c>
      <c r="E238" s="115">
        <v>197</v>
      </c>
      <c r="F238" s="71">
        <v>49</v>
      </c>
      <c r="G238" s="109">
        <v>1217.46</v>
      </c>
      <c r="H238" s="110">
        <v>302.82</v>
      </c>
      <c r="I238" s="111">
        <v>148</v>
      </c>
      <c r="J238" s="110">
        <v>914.6400000000001</v>
      </c>
      <c r="K238" s="111"/>
      <c r="L238" s="52"/>
    </row>
    <row r="239" spans="1:12" s="131" customFormat="1" hidden="1">
      <c r="A239" s="52"/>
      <c r="B239" s="115" t="s">
        <v>574</v>
      </c>
      <c r="C239" s="115" t="s">
        <v>687</v>
      </c>
      <c r="D239" s="115" t="s">
        <v>774</v>
      </c>
      <c r="E239" s="115">
        <v>57</v>
      </c>
      <c r="F239" s="71">
        <v>32</v>
      </c>
      <c r="G239" s="109">
        <v>1252.29</v>
      </c>
      <c r="H239" s="110">
        <v>703.04</v>
      </c>
      <c r="I239" s="111">
        <v>25</v>
      </c>
      <c r="J239" s="110">
        <v>549.25</v>
      </c>
      <c r="K239" s="111"/>
      <c r="L239" s="52"/>
    </row>
    <row r="240" spans="1:12" s="131" customFormat="1" hidden="1">
      <c r="A240" s="52"/>
      <c r="B240" s="115" t="s">
        <v>575</v>
      </c>
      <c r="C240" s="115" t="s">
        <v>688</v>
      </c>
      <c r="D240" s="115" t="s">
        <v>775</v>
      </c>
      <c r="E240" s="115">
        <v>16</v>
      </c>
      <c r="F240" s="71"/>
      <c r="G240" s="109">
        <v>102.88</v>
      </c>
      <c r="H240" s="110">
        <v>0</v>
      </c>
      <c r="I240" s="111">
        <v>16</v>
      </c>
      <c r="J240" s="110">
        <v>102.88</v>
      </c>
      <c r="K240" s="111"/>
      <c r="L240" s="52"/>
    </row>
    <row r="241" spans="2:11" s="52" customFormat="1" hidden="1">
      <c r="B241" s="115" t="s">
        <v>577</v>
      </c>
      <c r="C241" s="115" t="s">
        <v>690</v>
      </c>
      <c r="D241" s="115" t="s">
        <v>766</v>
      </c>
      <c r="E241" s="115">
        <v>21</v>
      </c>
      <c r="F241" s="71"/>
      <c r="G241" s="109">
        <v>414.75</v>
      </c>
      <c r="H241" s="110">
        <v>0</v>
      </c>
      <c r="I241" s="111">
        <v>21</v>
      </c>
      <c r="J241" s="110">
        <v>414.75</v>
      </c>
      <c r="K241" s="111"/>
    </row>
    <row r="242" spans="2:11" s="52" customFormat="1" hidden="1">
      <c r="B242" s="115" t="s">
        <v>578</v>
      </c>
      <c r="C242" s="115" t="s">
        <v>691</v>
      </c>
      <c r="D242" s="115" t="s">
        <v>776</v>
      </c>
      <c r="E242" s="115">
        <v>60</v>
      </c>
      <c r="F242" s="71"/>
      <c r="G242" s="109">
        <v>945</v>
      </c>
      <c r="H242" s="110">
        <v>0</v>
      </c>
      <c r="I242" s="111">
        <v>60</v>
      </c>
      <c r="J242" s="110">
        <v>945</v>
      </c>
      <c r="K242" s="111"/>
    </row>
    <row r="243" spans="2:11" hidden="1">
      <c r="B243" s="115" t="s">
        <v>579</v>
      </c>
      <c r="C243" s="115" t="s">
        <v>692</v>
      </c>
      <c r="D243" s="115" t="s">
        <v>775</v>
      </c>
      <c r="E243" s="115">
        <v>91</v>
      </c>
      <c r="F243" s="71"/>
      <c r="G243" s="109">
        <v>585.13</v>
      </c>
      <c r="H243" s="110">
        <v>0</v>
      </c>
      <c r="I243" s="111">
        <v>91</v>
      </c>
      <c r="J243" s="110">
        <v>585.13</v>
      </c>
      <c r="K243" s="111"/>
    </row>
    <row r="244" spans="2:11" hidden="1">
      <c r="B244" s="115" t="s">
        <v>580</v>
      </c>
      <c r="C244" s="115" t="s">
        <v>693</v>
      </c>
      <c r="D244" s="115" t="s">
        <v>777</v>
      </c>
      <c r="E244" s="115">
        <v>154</v>
      </c>
      <c r="F244" s="71">
        <v>51</v>
      </c>
      <c r="G244" s="109">
        <v>1325.9399999999998</v>
      </c>
      <c r="H244" s="110">
        <v>439.10999999999996</v>
      </c>
      <c r="I244" s="111">
        <v>103</v>
      </c>
      <c r="J244" s="110">
        <v>886.82999999999993</v>
      </c>
      <c r="K244" s="111"/>
    </row>
    <row r="245" spans="2:11" hidden="1">
      <c r="B245" s="115" t="s">
        <v>581</v>
      </c>
      <c r="C245" s="115" t="s">
        <v>694</v>
      </c>
      <c r="D245" s="115" t="s">
        <v>773</v>
      </c>
      <c r="E245" s="115">
        <v>71</v>
      </c>
      <c r="F245" s="71"/>
      <c r="G245" s="109">
        <v>2694.4500000000003</v>
      </c>
      <c r="H245" s="110">
        <v>0</v>
      </c>
      <c r="I245" s="111">
        <v>71</v>
      </c>
      <c r="J245" s="110">
        <v>2694.4500000000003</v>
      </c>
      <c r="K245" s="111"/>
    </row>
    <row r="246" spans="2:11" hidden="1">
      <c r="B246" s="115" t="s">
        <v>582</v>
      </c>
      <c r="C246" s="115" t="s">
        <v>695</v>
      </c>
      <c r="D246" s="115" t="s">
        <v>777</v>
      </c>
      <c r="E246" s="115">
        <v>22</v>
      </c>
      <c r="F246" s="71"/>
      <c r="G246" s="109">
        <v>189.42</v>
      </c>
      <c r="H246" s="110">
        <v>0</v>
      </c>
      <c r="I246" s="111">
        <v>22</v>
      </c>
      <c r="J246" s="110">
        <v>189.42</v>
      </c>
      <c r="K246" s="111"/>
    </row>
    <row r="247" spans="2:11" hidden="1">
      <c r="B247" s="115" t="s">
        <v>583</v>
      </c>
      <c r="C247" s="115" t="s">
        <v>696</v>
      </c>
      <c r="D247" s="115" t="s">
        <v>775</v>
      </c>
      <c r="E247" s="115">
        <v>38</v>
      </c>
      <c r="F247" s="71"/>
      <c r="G247" s="109">
        <v>244.33999999999997</v>
      </c>
      <c r="H247" s="110">
        <v>0</v>
      </c>
      <c r="I247" s="111">
        <v>38</v>
      </c>
      <c r="J247" s="110">
        <v>244.33999999999997</v>
      </c>
      <c r="K247" s="111"/>
    </row>
    <row r="248" spans="2:11" hidden="1">
      <c r="B248" s="115" t="s">
        <v>584</v>
      </c>
      <c r="C248" s="115" t="s">
        <v>697</v>
      </c>
      <c r="D248" s="115" t="s">
        <v>778</v>
      </c>
      <c r="E248" s="115">
        <v>1</v>
      </c>
      <c r="F248" s="71"/>
      <c r="G248" s="109">
        <v>30.75</v>
      </c>
      <c r="H248" s="110">
        <v>0</v>
      </c>
      <c r="I248" s="111">
        <v>1</v>
      </c>
      <c r="J248" s="110">
        <v>30.75</v>
      </c>
      <c r="K248" s="111"/>
    </row>
    <row r="249" spans="2:11" hidden="1">
      <c r="B249" s="115" t="s">
        <v>585</v>
      </c>
      <c r="C249" s="115" t="s">
        <v>698</v>
      </c>
      <c r="D249" s="115" t="s">
        <v>775</v>
      </c>
      <c r="E249" s="115">
        <v>60</v>
      </c>
      <c r="F249" s="71"/>
      <c r="G249" s="109">
        <v>385.79999999999995</v>
      </c>
      <c r="H249" s="110">
        <v>0</v>
      </c>
      <c r="I249" s="111">
        <v>60</v>
      </c>
      <c r="J249" s="110">
        <v>385.79999999999995</v>
      </c>
      <c r="K249" s="111"/>
    </row>
    <row r="250" spans="2:11" hidden="1">
      <c r="B250" s="115" t="s">
        <v>586</v>
      </c>
      <c r="C250" s="115" t="s">
        <v>699</v>
      </c>
      <c r="D250" s="115" t="s">
        <v>779</v>
      </c>
      <c r="E250" s="115">
        <v>14</v>
      </c>
      <c r="F250" s="71"/>
      <c r="G250" s="109">
        <v>320.03999999999996</v>
      </c>
      <c r="H250" s="110">
        <v>0</v>
      </c>
      <c r="I250" s="111">
        <v>14</v>
      </c>
      <c r="J250" s="110">
        <v>320.03999999999996</v>
      </c>
      <c r="K250" s="111"/>
    </row>
    <row r="251" spans="2:11" hidden="1">
      <c r="B251" s="115" t="s">
        <v>587</v>
      </c>
      <c r="C251" s="115" t="s">
        <v>700</v>
      </c>
      <c r="D251" s="115" t="s">
        <v>779</v>
      </c>
      <c r="E251" s="115">
        <v>6</v>
      </c>
      <c r="F251" s="71"/>
      <c r="G251" s="109">
        <v>137.16</v>
      </c>
      <c r="H251" s="110">
        <v>0</v>
      </c>
      <c r="I251" s="111">
        <v>6</v>
      </c>
      <c r="J251" s="110">
        <v>137.16</v>
      </c>
      <c r="K251" s="111"/>
    </row>
    <row r="252" spans="2:11" hidden="1">
      <c r="B252" s="115" t="s">
        <v>588</v>
      </c>
      <c r="C252" s="115" t="s">
        <v>701</v>
      </c>
      <c r="D252" s="115" t="s">
        <v>728</v>
      </c>
      <c r="E252" s="115">
        <v>243</v>
      </c>
      <c r="F252" s="71">
        <v>129</v>
      </c>
      <c r="G252" s="109">
        <v>1501.74</v>
      </c>
      <c r="H252" s="110">
        <v>797.21999999999991</v>
      </c>
      <c r="I252" s="111">
        <v>114</v>
      </c>
      <c r="J252" s="110">
        <v>704.5200000000001</v>
      </c>
      <c r="K252" s="111"/>
    </row>
    <row r="253" spans="2:11" hidden="1">
      <c r="B253" s="115" t="s">
        <v>589</v>
      </c>
      <c r="C253" s="115" t="s">
        <v>702</v>
      </c>
      <c r="D253" s="115" t="s">
        <v>774</v>
      </c>
      <c r="E253" s="115">
        <v>27</v>
      </c>
      <c r="F253" s="71">
        <v>17</v>
      </c>
      <c r="G253" s="109">
        <v>593.18999999999994</v>
      </c>
      <c r="H253" s="110">
        <v>373.49</v>
      </c>
      <c r="I253" s="111">
        <v>10</v>
      </c>
      <c r="J253" s="110">
        <v>219.69999999999993</v>
      </c>
      <c r="K253" s="111"/>
    </row>
    <row r="254" spans="2:11" hidden="1">
      <c r="B254" s="115" t="s">
        <v>590</v>
      </c>
      <c r="C254" s="115" t="s">
        <v>703</v>
      </c>
      <c r="D254" s="115" t="s">
        <v>775</v>
      </c>
      <c r="E254" s="115">
        <v>65</v>
      </c>
      <c r="F254" s="71">
        <v>32</v>
      </c>
      <c r="G254" s="109">
        <v>417.95</v>
      </c>
      <c r="H254" s="110">
        <v>205.76</v>
      </c>
      <c r="I254" s="111">
        <v>33</v>
      </c>
      <c r="J254" s="110">
        <v>212.19</v>
      </c>
      <c r="K254" s="111"/>
    </row>
    <row r="255" spans="2:11" hidden="1">
      <c r="B255" s="115" t="s">
        <v>591</v>
      </c>
      <c r="C255" s="115" t="s">
        <v>704</v>
      </c>
      <c r="D255" s="115" t="s">
        <v>779</v>
      </c>
      <c r="E255" s="115">
        <v>17</v>
      </c>
      <c r="F255" s="71"/>
      <c r="G255" s="109">
        <v>388.62</v>
      </c>
      <c r="H255" s="110">
        <v>0</v>
      </c>
      <c r="I255" s="111">
        <v>17</v>
      </c>
      <c r="J255" s="110">
        <v>388.62</v>
      </c>
      <c r="K255" s="111"/>
    </row>
    <row r="256" spans="2:11" hidden="1">
      <c r="B256" s="115" t="s">
        <v>592</v>
      </c>
      <c r="C256" s="115" t="s">
        <v>705</v>
      </c>
      <c r="D256" s="115" t="s">
        <v>777</v>
      </c>
      <c r="E256" s="115">
        <v>24</v>
      </c>
      <c r="F256" s="71"/>
      <c r="G256" s="109">
        <v>206.64</v>
      </c>
      <c r="H256" s="110">
        <v>0</v>
      </c>
      <c r="I256" s="111">
        <v>24</v>
      </c>
      <c r="J256" s="110">
        <v>206.64</v>
      </c>
      <c r="K256" s="111"/>
    </row>
    <row r="257" spans="2:11" hidden="1">
      <c r="B257" s="115" t="s">
        <v>593</v>
      </c>
      <c r="C257" s="115" t="s">
        <v>706</v>
      </c>
      <c r="D257" s="115" t="s">
        <v>780</v>
      </c>
      <c r="E257" s="115">
        <v>2</v>
      </c>
      <c r="F257" s="71">
        <v>1</v>
      </c>
      <c r="G257" s="109">
        <v>120</v>
      </c>
      <c r="H257" s="110">
        <v>60</v>
      </c>
      <c r="I257" s="111">
        <v>1</v>
      </c>
      <c r="J257" s="110">
        <v>60</v>
      </c>
      <c r="K257" s="111"/>
    </row>
    <row r="258" spans="2:11" hidden="1">
      <c r="B258" s="115" t="s">
        <v>594</v>
      </c>
      <c r="C258" s="115" t="s">
        <v>707</v>
      </c>
      <c r="D258" s="115" t="s">
        <v>781</v>
      </c>
      <c r="E258" s="115">
        <v>202</v>
      </c>
      <c r="F258" s="71">
        <v>74</v>
      </c>
      <c r="G258" s="109">
        <v>3054.24</v>
      </c>
      <c r="H258" s="110">
        <v>1118.8799999999999</v>
      </c>
      <c r="I258" s="111">
        <v>128</v>
      </c>
      <c r="J258" s="110">
        <v>1935.36</v>
      </c>
      <c r="K258" s="111"/>
    </row>
    <row r="259" spans="2:11" hidden="1">
      <c r="B259" s="115" t="s">
        <v>595</v>
      </c>
      <c r="C259" s="115" t="s">
        <v>708</v>
      </c>
      <c r="D259" s="115" t="s">
        <v>782</v>
      </c>
      <c r="E259" s="115">
        <v>49</v>
      </c>
      <c r="F259" s="71">
        <v>42</v>
      </c>
      <c r="G259" s="109">
        <v>1548.4</v>
      </c>
      <c r="H259" s="110">
        <v>1327.2</v>
      </c>
      <c r="I259" s="111">
        <v>7</v>
      </c>
      <c r="J259" s="110">
        <v>221.20000000000005</v>
      </c>
      <c r="K259" s="111"/>
    </row>
    <row r="260" spans="2:11" hidden="1">
      <c r="B260" s="115" t="s">
        <v>596</v>
      </c>
      <c r="C260" s="115" t="s">
        <v>709</v>
      </c>
      <c r="D260" s="115" t="s">
        <v>781</v>
      </c>
      <c r="E260" s="115">
        <v>32</v>
      </c>
      <c r="F260" s="71">
        <v>16</v>
      </c>
      <c r="G260" s="109">
        <v>483.84</v>
      </c>
      <c r="H260" s="110">
        <v>241.92</v>
      </c>
      <c r="I260" s="111">
        <v>16</v>
      </c>
      <c r="J260" s="110">
        <v>241.92</v>
      </c>
      <c r="K260" s="111"/>
    </row>
    <row r="261" spans="2:11" hidden="1">
      <c r="B261" s="115" t="s">
        <v>597</v>
      </c>
      <c r="C261" s="115" t="s">
        <v>710</v>
      </c>
      <c r="D261" s="115" t="s">
        <v>782</v>
      </c>
      <c r="E261" s="115">
        <v>50</v>
      </c>
      <c r="F261" s="71">
        <v>40</v>
      </c>
      <c r="G261" s="109">
        <v>1580</v>
      </c>
      <c r="H261" s="110">
        <v>1264</v>
      </c>
      <c r="I261" s="111">
        <v>10</v>
      </c>
      <c r="J261" s="110">
        <v>316</v>
      </c>
      <c r="K261" s="111"/>
    </row>
    <row r="262" spans="2:11" hidden="1">
      <c r="B262" s="115" t="s">
        <v>597</v>
      </c>
      <c r="C262" s="115" t="s">
        <v>710</v>
      </c>
      <c r="D262" s="115" t="s">
        <v>784</v>
      </c>
      <c r="E262" s="115">
        <v>27</v>
      </c>
      <c r="F262" s="71"/>
      <c r="G262" s="109">
        <v>851.85</v>
      </c>
      <c r="H262" s="110">
        <v>0</v>
      </c>
      <c r="I262" s="111">
        <v>27</v>
      </c>
      <c r="J262" s="110">
        <v>851.85</v>
      </c>
      <c r="K262" s="111"/>
    </row>
    <row r="263" spans="2:11" hidden="1">
      <c r="B263" s="115" t="s">
        <v>598</v>
      </c>
      <c r="C263" s="115" t="s">
        <v>711</v>
      </c>
      <c r="D263" s="115" t="s">
        <v>785</v>
      </c>
      <c r="E263" s="115">
        <v>11</v>
      </c>
      <c r="F263" s="71"/>
      <c r="G263" s="109">
        <v>148.5</v>
      </c>
      <c r="H263" s="110">
        <v>0</v>
      </c>
      <c r="I263" s="111">
        <v>11</v>
      </c>
      <c r="J263" s="110">
        <v>148.5</v>
      </c>
      <c r="K263" s="111"/>
    </row>
    <row r="264" spans="2:11" hidden="1">
      <c r="B264" s="115" t="s">
        <v>600</v>
      </c>
      <c r="C264" s="115" t="s">
        <v>713</v>
      </c>
      <c r="D264" s="115" t="s">
        <v>781</v>
      </c>
      <c r="E264" s="115">
        <v>80</v>
      </c>
      <c r="F264" s="71">
        <v>63</v>
      </c>
      <c r="G264" s="109">
        <v>1209.5999999999999</v>
      </c>
      <c r="H264" s="110">
        <v>952.56</v>
      </c>
      <c r="I264" s="111">
        <v>17</v>
      </c>
      <c r="J264" s="110">
        <v>257.03999999999996</v>
      </c>
      <c r="K264" s="111"/>
    </row>
    <row r="265" spans="2:11" hidden="1">
      <c r="B265" s="115" t="s">
        <v>600</v>
      </c>
      <c r="C265" s="115" t="s">
        <v>713</v>
      </c>
      <c r="D265" s="115" t="s">
        <v>786</v>
      </c>
      <c r="E265" s="115">
        <v>139</v>
      </c>
      <c r="F265" s="71"/>
      <c r="G265" s="109">
        <v>2103.0700000000002</v>
      </c>
      <c r="H265" s="110">
        <v>0</v>
      </c>
      <c r="I265" s="111">
        <v>139</v>
      </c>
      <c r="J265" s="110">
        <v>2103.0700000000002</v>
      </c>
      <c r="K265" s="111"/>
    </row>
    <row r="266" spans="2:11" hidden="1">
      <c r="B266" s="115" t="s">
        <v>601</v>
      </c>
      <c r="C266" s="115" t="s">
        <v>714</v>
      </c>
      <c r="D266" s="115" t="s">
        <v>787</v>
      </c>
      <c r="E266" s="115">
        <v>3</v>
      </c>
      <c r="F266" s="71"/>
      <c r="G266" s="109">
        <v>94.74</v>
      </c>
      <c r="H266" s="110">
        <v>0</v>
      </c>
      <c r="I266" s="111">
        <v>3</v>
      </c>
      <c r="J266" s="110">
        <v>94.74</v>
      </c>
      <c r="K266" s="111"/>
    </row>
    <row r="267" spans="2:11" hidden="1">
      <c r="B267" s="115" t="s">
        <v>602</v>
      </c>
      <c r="C267" s="115" t="s">
        <v>715</v>
      </c>
      <c r="D267" s="115" t="s">
        <v>788</v>
      </c>
      <c r="E267" s="115">
        <v>177</v>
      </c>
      <c r="F267" s="71">
        <v>87</v>
      </c>
      <c r="G267" s="109">
        <v>2770.05</v>
      </c>
      <c r="H267" s="110">
        <v>1361.55</v>
      </c>
      <c r="I267" s="111">
        <v>90</v>
      </c>
      <c r="J267" s="110">
        <v>1408.5000000000002</v>
      </c>
      <c r="K267" s="111"/>
    </row>
    <row r="268" spans="2:11" hidden="1">
      <c r="B268" s="115" t="s">
        <v>603</v>
      </c>
      <c r="C268" s="115" t="s">
        <v>716</v>
      </c>
      <c r="D268" s="115" t="s">
        <v>789</v>
      </c>
      <c r="E268" s="115">
        <v>75</v>
      </c>
      <c r="F268" s="71">
        <v>46</v>
      </c>
      <c r="G268" s="109">
        <v>2585.25</v>
      </c>
      <c r="H268" s="110">
        <v>1585.62</v>
      </c>
      <c r="I268" s="111">
        <v>29</v>
      </c>
      <c r="J268" s="110">
        <v>999.63000000000011</v>
      </c>
      <c r="K268" s="111"/>
    </row>
    <row r="269" spans="2:11" hidden="1">
      <c r="B269" s="115" t="s">
        <v>604</v>
      </c>
      <c r="C269" s="115" t="s">
        <v>717</v>
      </c>
      <c r="D269" s="115" t="s">
        <v>728</v>
      </c>
      <c r="E269" s="115">
        <v>131</v>
      </c>
      <c r="F269" s="71">
        <v>49</v>
      </c>
      <c r="G269" s="109">
        <v>809.57999999999993</v>
      </c>
      <c r="H269" s="110">
        <v>302.82</v>
      </c>
      <c r="I269" s="111">
        <v>82</v>
      </c>
      <c r="J269" s="110">
        <v>506.75999999999993</v>
      </c>
      <c r="K269" s="111"/>
    </row>
    <row r="270" spans="2:11" hidden="1">
      <c r="B270" s="115" t="s">
        <v>605</v>
      </c>
      <c r="C270" s="115" t="s">
        <v>718</v>
      </c>
      <c r="D270" s="115" t="s">
        <v>775</v>
      </c>
      <c r="E270" s="115">
        <v>93</v>
      </c>
      <c r="F270" s="71"/>
      <c r="G270" s="109">
        <v>597.99</v>
      </c>
      <c r="H270" s="110">
        <v>0</v>
      </c>
      <c r="I270" s="111">
        <v>93</v>
      </c>
      <c r="J270" s="110">
        <v>597.99</v>
      </c>
      <c r="K270" s="111"/>
    </row>
    <row r="271" spans="2:11" hidden="1">
      <c r="B271" s="115" t="s">
        <v>606</v>
      </c>
      <c r="C271" s="115" t="s">
        <v>719</v>
      </c>
      <c r="D271" s="115" t="s">
        <v>741</v>
      </c>
      <c r="E271" s="115">
        <v>35</v>
      </c>
      <c r="F271" s="71"/>
      <c r="G271" s="109">
        <v>793.8</v>
      </c>
      <c r="H271" s="110">
        <v>0</v>
      </c>
      <c r="I271" s="111">
        <v>35</v>
      </c>
      <c r="J271" s="110">
        <v>793.8</v>
      </c>
      <c r="K271" s="111"/>
    </row>
    <row r="272" spans="2:11" hidden="1">
      <c r="B272" s="115" t="s">
        <v>607</v>
      </c>
      <c r="C272" s="115" t="s">
        <v>720</v>
      </c>
      <c r="D272" s="115" t="s">
        <v>738</v>
      </c>
      <c r="E272" s="115">
        <v>27</v>
      </c>
      <c r="F272" s="71"/>
      <c r="G272" s="109">
        <v>181.17</v>
      </c>
      <c r="H272" s="110">
        <v>0</v>
      </c>
      <c r="I272" s="111">
        <v>27</v>
      </c>
      <c r="J272" s="110">
        <v>181.17</v>
      </c>
      <c r="K272" s="111"/>
    </row>
    <row r="273" spans="2:11" hidden="1">
      <c r="B273" s="115" t="s">
        <v>607</v>
      </c>
      <c r="C273" s="115" t="s">
        <v>720</v>
      </c>
      <c r="D273" s="115" t="s">
        <v>1153</v>
      </c>
      <c r="E273" s="115">
        <v>100</v>
      </c>
      <c r="F273" s="71">
        <v>98</v>
      </c>
      <c r="G273" s="109">
        <v>706</v>
      </c>
      <c r="H273" s="110">
        <v>691.88</v>
      </c>
      <c r="I273" s="111">
        <v>2</v>
      </c>
      <c r="J273" s="110">
        <v>14.120000000000005</v>
      </c>
      <c r="K273" s="111"/>
    </row>
    <row r="274" spans="2:11" hidden="1">
      <c r="B274" s="115" t="s">
        <v>608</v>
      </c>
      <c r="C274" s="115" t="s">
        <v>721</v>
      </c>
      <c r="D274" s="115" t="s">
        <v>775</v>
      </c>
      <c r="E274" s="115">
        <v>20</v>
      </c>
      <c r="F274" s="71"/>
      <c r="G274" s="109">
        <v>128.6</v>
      </c>
      <c r="H274" s="110">
        <v>0</v>
      </c>
      <c r="I274" s="111">
        <v>20</v>
      </c>
      <c r="J274" s="110">
        <v>128.6</v>
      </c>
      <c r="K274" s="111"/>
    </row>
    <row r="275" spans="2:11" hidden="1">
      <c r="B275" s="115" t="s">
        <v>4617</v>
      </c>
      <c r="C275" s="115" t="s">
        <v>4618</v>
      </c>
      <c r="D275" s="115" t="s">
        <v>4624</v>
      </c>
      <c r="E275" s="115">
        <v>5</v>
      </c>
      <c r="F275" s="71"/>
      <c r="G275" s="109">
        <v>370</v>
      </c>
      <c r="H275" s="110">
        <v>0</v>
      </c>
      <c r="I275" s="111">
        <v>5</v>
      </c>
      <c r="J275" s="110">
        <v>370</v>
      </c>
      <c r="K275" s="111"/>
    </row>
    <row r="276" spans="2:11" hidden="1">
      <c r="B276" s="115" t="s">
        <v>609</v>
      </c>
      <c r="C276" s="115" t="s">
        <v>722</v>
      </c>
      <c r="D276" s="115" t="s">
        <v>750</v>
      </c>
      <c r="E276" s="115">
        <v>10</v>
      </c>
      <c r="F276" s="71"/>
      <c r="G276" s="109">
        <v>234.8</v>
      </c>
      <c r="H276" s="110">
        <v>0</v>
      </c>
      <c r="I276" s="111">
        <v>10</v>
      </c>
      <c r="J276" s="110">
        <v>234.8</v>
      </c>
      <c r="K276" s="111"/>
    </row>
    <row r="277" spans="2:11" hidden="1">
      <c r="B277" s="115" t="s">
        <v>791</v>
      </c>
      <c r="C277" s="115" t="s">
        <v>810</v>
      </c>
      <c r="D277" s="115" t="s">
        <v>829</v>
      </c>
      <c r="E277" s="115">
        <v>17</v>
      </c>
      <c r="F277" s="71">
        <v>13</v>
      </c>
      <c r="G277" s="109">
        <v>4641</v>
      </c>
      <c r="H277" s="110">
        <v>3549</v>
      </c>
      <c r="I277" s="111">
        <v>4</v>
      </c>
      <c r="J277" s="110">
        <v>1092</v>
      </c>
      <c r="K277" s="111"/>
    </row>
    <row r="278" spans="2:11" hidden="1">
      <c r="B278" s="115" t="s">
        <v>792</v>
      </c>
      <c r="C278" s="115" t="s">
        <v>811</v>
      </c>
      <c r="D278" s="115" t="s">
        <v>830</v>
      </c>
      <c r="E278" s="115">
        <v>7</v>
      </c>
      <c r="F278" s="71">
        <v>6</v>
      </c>
      <c r="G278" s="109">
        <v>964.25</v>
      </c>
      <c r="H278" s="110">
        <v>826.5</v>
      </c>
      <c r="I278" s="111">
        <v>1</v>
      </c>
      <c r="J278" s="110">
        <v>137.75</v>
      </c>
      <c r="K278" s="111"/>
    </row>
    <row r="279" spans="2:11" hidden="1">
      <c r="B279" s="115" t="s">
        <v>793</v>
      </c>
      <c r="C279" s="115" t="s">
        <v>812</v>
      </c>
      <c r="D279" s="115" t="s">
        <v>831</v>
      </c>
      <c r="E279" s="115">
        <v>4</v>
      </c>
      <c r="F279" s="71"/>
      <c r="G279" s="109">
        <v>1305.68</v>
      </c>
      <c r="H279" s="110">
        <v>0</v>
      </c>
      <c r="I279" s="111">
        <v>4</v>
      </c>
      <c r="J279" s="110">
        <v>1305.68</v>
      </c>
      <c r="K279" s="111"/>
    </row>
    <row r="280" spans="2:11" hidden="1">
      <c r="B280" s="115" t="s">
        <v>795</v>
      </c>
      <c r="C280" s="115" t="s">
        <v>814</v>
      </c>
      <c r="D280" s="115" t="s">
        <v>833</v>
      </c>
      <c r="E280" s="115">
        <v>16</v>
      </c>
      <c r="F280" s="71">
        <v>14</v>
      </c>
      <c r="G280" s="109">
        <v>1360</v>
      </c>
      <c r="H280" s="110">
        <v>1190</v>
      </c>
      <c r="I280" s="111">
        <v>2</v>
      </c>
      <c r="J280" s="110">
        <v>170</v>
      </c>
      <c r="K280" s="111"/>
    </row>
    <row r="281" spans="2:11" hidden="1">
      <c r="B281" s="115" t="s">
        <v>799</v>
      </c>
      <c r="C281" s="115" t="s">
        <v>818</v>
      </c>
      <c r="D281" s="115" t="s">
        <v>836</v>
      </c>
      <c r="E281" s="115">
        <v>35</v>
      </c>
      <c r="F281" s="71">
        <v>12</v>
      </c>
      <c r="G281" s="109">
        <v>5372.5</v>
      </c>
      <c r="H281" s="110">
        <v>1842</v>
      </c>
      <c r="I281" s="111">
        <v>23</v>
      </c>
      <c r="J281" s="110">
        <v>3530.5</v>
      </c>
      <c r="K281" s="111"/>
    </row>
    <row r="282" spans="2:11" hidden="1">
      <c r="B282" s="115" t="s">
        <v>801</v>
      </c>
      <c r="C282" s="115" t="s">
        <v>820</v>
      </c>
      <c r="D282" s="115" t="s">
        <v>838</v>
      </c>
      <c r="E282" s="115">
        <v>5</v>
      </c>
      <c r="F282" s="71">
        <v>1</v>
      </c>
      <c r="G282" s="109">
        <v>1775</v>
      </c>
      <c r="H282" s="110">
        <v>355</v>
      </c>
      <c r="I282" s="111">
        <v>4</v>
      </c>
      <c r="J282" s="110">
        <v>1420</v>
      </c>
      <c r="K282" s="111"/>
    </row>
    <row r="283" spans="2:11" hidden="1">
      <c r="B283" s="115" t="s">
        <v>805</v>
      </c>
      <c r="C283" s="115" t="s">
        <v>824</v>
      </c>
      <c r="D283" s="115" t="s">
        <v>844</v>
      </c>
      <c r="E283" s="115">
        <v>2</v>
      </c>
      <c r="F283" s="71">
        <v>1</v>
      </c>
      <c r="G283" s="109">
        <v>241.5</v>
      </c>
      <c r="H283" s="110">
        <v>120.75</v>
      </c>
      <c r="I283" s="111">
        <v>1</v>
      </c>
      <c r="J283" s="110">
        <v>120.75</v>
      </c>
      <c r="K283" s="111"/>
    </row>
    <row r="284" spans="2:11" hidden="1">
      <c r="B284" s="115" t="s">
        <v>847</v>
      </c>
      <c r="C284" s="115" t="s">
        <v>1000</v>
      </c>
      <c r="D284" s="115" t="s">
        <v>1153</v>
      </c>
      <c r="E284" s="115">
        <v>18</v>
      </c>
      <c r="F284" s="71">
        <v>17</v>
      </c>
      <c r="G284" s="109">
        <v>127.08</v>
      </c>
      <c r="H284" s="110">
        <v>120.02</v>
      </c>
      <c r="I284" s="111">
        <v>1</v>
      </c>
      <c r="J284" s="110">
        <v>7.0600000000000023</v>
      </c>
      <c r="K284" s="111"/>
    </row>
    <row r="285" spans="2:11" hidden="1">
      <c r="B285" s="115" t="s">
        <v>848</v>
      </c>
      <c r="C285" s="115" t="s">
        <v>1001</v>
      </c>
      <c r="D285" s="115" t="s">
        <v>1155</v>
      </c>
      <c r="E285" s="115">
        <v>12</v>
      </c>
      <c r="F285" s="71">
        <v>7</v>
      </c>
      <c r="G285" s="109">
        <v>714</v>
      </c>
      <c r="H285" s="110">
        <v>416.5</v>
      </c>
      <c r="I285" s="111">
        <v>5</v>
      </c>
      <c r="J285" s="110">
        <v>297.5</v>
      </c>
      <c r="K285" s="111"/>
    </row>
    <row r="286" spans="2:11" hidden="1">
      <c r="B286" s="115" t="s">
        <v>848</v>
      </c>
      <c r="C286" s="115" t="s">
        <v>1001</v>
      </c>
      <c r="D286" s="115" t="s">
        <v>1154</v>
      </c>
      <c r="E286" s="115">
        <v>5</v>
      </c>
      <c r="F286" s="71"/>
      <c r="G286" s="109">
        <v>286.25</v>
      </c>
      <c r="H286" s="110">
        <v>0</v>
      </c>
      <c r="I286" s="111">
        <v>5</v>
      </c>
      <c r="J286" s="110">
        <v>286.25</v>
      </c>
      <c r="K286" s="111"/>
    </row>
    <row r="287" spans="2:11" hidden="1">
      <c r="B287" s="115" t="s">
        <v>849</v>
      </c>
      <c r="C287" s="115" t="s">
        <v>1002</v>
      </c>
      <c r="D287" s="115" t="s">
        <v>1155</v>
      </c>
      <c r="E287" s="115">
        <v>12</v>
      </c>
      <c r="F287" s="71">
        <v>3</v>
      </c>
      <c r="G287" s="109">
        <v>714</v>
      </c>
      <c r="H287" s="110">
        <v>178.5</v>
      </c>
      <c r="I287" s="111">
        <v>9</v>
      </c>
      <c r="J287" s="110">
        <v>535.5</v>
      </c>
      <c r="K287" s="111"/>
    </row>
    <row r="288" spans="2:11" hidden="1">
      <c r="B288" s="115" t="s">
        <v>849</v>
      </c>
      <c r="C288" s="115" t="s">
        <v>1002</v>
      </c>
      <c r="D288" s="115" t="s">
        <v>1154</v>
      </c>
      <c r="E288" s="115">
        <v>1</v>
      </c>
      <c r="F288" s="71"/>
      <c r="G288" s="109">
        <v>57.25</v>
      </c>
      <c r="H288" s="110">
        <v>0</v>
      </c>
      <c r="I288" s="111">
        <v>1</v>
      </c>
      <c r="J288" s="110">
        <v>57.25</v>
      </c>
      <c r="K288" s="111"/>
    </row>
    <row r="289" spans="2:11" hidden="1">
      <c r="B289" s="115" t="s">
        <v>850</v>
      </c>
      <c r="C289" s="115" t="s">
        <v>1003</v>
      </c>
      <c r="D289" s="115" t="s">
        <v>1155</v>
      </c>
      <c r="E289" s="115">
        <v>9</v>
      </c>
      <c r="F289" s="71">
        <v>5</v>
      </c>
      <c r="G289" s="109">
        <v>535.5</v>
      </c>
      <c r="H289" s="110">
        <v>297.5</v>
      </c>
      <c r="I289" s="111">
        <v>4</v>
      </c>
      <c r="J289" s="110">
        <v>238</v>
      </c>
      <c r="K289" s="111"/>
    </row>
    <row r="290" spans="2:11" hidden="1">
      <c r="B290" s="115" t="s">
        <v>852</v>
      </c>
      <c r="C290" s="115" t="s">
        <v>1005</v>
      </c>
      <c r="D290" s="115" t="s">
        <v>1157</v>
      </c>
      <c r="E290" s="115">
        <v>57</v>
      </c>
      <c r="F290" s="71">
        <v>50</v>
      </c>
      <c r="G290" s="109">
        <v>612.75</v>
      </c>
      <c r="H290" s="110">
        <v>537.5</v>
      </c>
      <c r="I290" s="111">
        <v>7</v>
      </c>
      <c r="J290" s="110">
        <v>75.25</v>
      </c>
      <c r="K290" s="111"/>
    </row>
    <row r="291" spans="2:11" hidden="1">
      <c r="B291" s="115" t="s">
        <v>853</v>
      </c>
      <c r="C291" s="115" t="s">
        <v>1006</v>
      </c>
      <c r="D291" s="115" t="s">
        <v>1158</v>
      </c>
      <c r="E291" s="115">
        <v>1</v>
      </c>
      <c r="F291" s="71"/>
      <c r="G291" s="109">
        <v>31.75</v>
      </c>
      <c r="H291" s="110">
        <v>0</v>
      </c>
      <c r="I291" s="111">
        <v>1</v>
      </c>
      <c r="J291" s="110">
        <v>31.75</v>
      </c>
      <c r="K291" s="111"/>
    </row>
    <row r="292" spans="2:11" hidden="1">
      <c r="B292" s="115" t="s">
        <v>855</v>
      </c>
      <c r="C292" s="115" t="s">
        <v>1008</v>
      </c>
      <c r="D292" s="115" t="s">
        <v>1154</v>
      </c>
      <c r="E292" s="115">
        <v>7</v>
      </c>
      <c r="F292" s="71">
        <v>5</v>
      </c>
      <c r="G292" s="109">
        <v>400.75</v>
      </c>
      <c r="H292" s="110">
        <v>286.25</v>
      </c>
      <c r="I292" s="111">
        <v>2</v>
      </c>
      <c r="J292" s="110">
        <v>114.5</v>
      </c>
      <c r="K292" s="111"/>
    </row>
    <row r="293" spans="2:11" hidden="1">
      <c r="B293" s="115" t="s">
        <v>857</v>
      </c>
      <c r="C293" s="115" t="s">
        <v>1010</v>
      </c>
      <c r="D293" s="115" t="s">
        <v>1162</v>
      </c>
      <c r="E293" s="115">
        <v>25</v>
      </c>
      <c r="F293" s="71">
        <v>12</v>
      </c>
      <c r="G293" s="109">
        <v>1120</v>
      </c>
      <c r="H293" s="110">
        <v>537.59999999999991</v>
      </c>
      <c r="I293" s="111">
        <v>13</v>
      </c>
      <c r="J293" s="110">
        <v>582.40000000000009</v>
      </c>
      <c r="K293" s="111"/>
    </row>
    <row r="294" spans="2:11" hidden="1">
      <c r="B294" s="115" t="s">
        <v>857</v>
      </c>
      <c r="C294" s="115" t="s">
        <v>1010</v>
      </c>
      <c r="D294" s="115" t="s">
        <v>1161</v>
      </c>
      <c r="E294" s="115">
        <v>10</v>
      </c>
      <c r="F294" s="71"/>
      <c r="G294" s="109">
        <v>412</v>
      </c>
      <c r="H294" s="110">
        <v>0</v>
      </c>
      <c r="I294" s="111">
        <v>10</v>
      </c>
      <c r="J294" s="110">
        <v>412</v>
      </c>
      <c r="K294" s="111"/>
    </row>
    <row r="295" spans="2:11" hidden="1">
      <c r="B295" s="115" t="s">
        <v>858</v>
      </c>
      <c r="C295" s="115" t="s">
        <v>1011</v>
      </c>
      <c r="D295" s="115" t="s">
        <v>1162</v>
      </c>
      <c r="E295" s="115">
        <v>15</v>
      </c>
      <c r="F295" s="71">
        <v>8</v>
      </c>
      <c r="G295" s="109">
        <v>672</v>
      </c>
      <c r="H295" s="110">
        <v>358.4</v>
      </c>
      <c r="I295" s="111">
        <v>7</v>
      </c>
      <c r="J295" s="110">
        <v>313.60000000000002</v>
      </c>
      <c r="K295" s="111"/>
    </row>
    <row r="296" spans="2:11" hidden="1">
      <c r="B296" s="115" t="s">
        <v>858</v>
      </c>
      <c r="C296" s="115" t="s">
        <v>1011</v>
      </c>
      <c r="D296" s="115" t="s">
        <v>1161</v>
      </c>
      <c r="E296" s="115">
        <v>1</v>
      </c>
      <c r="F296" s="71"/>
      <c r="G296" s="109">
        <v>41.2</v>
      </c>
      <c r="H296" s="110">
        <v>0</v>
      </c>
      <c r="I296" s="111">
        <v>1</v>
      </c>
      <c r="J296" s="110">
        <v>41.2</v>
      </c>
      <c r="K296" s="111"/>
    </row>
    <row r="297" spans="2:11" hidden="1">
      <c r="B297" s="115" t="s">
        <v>865</v>
      </c>
      <c r="C297" s="115" t="s">
        <v>1018</v>
      </c>
      <c r="D297" s="115" t="s">
        <v>1167</v>
      </c>
      <c r="E297" s="115">
        <v>6</v>
      </c>
      <c r="F297" s="71"/>
      <c r="G297" s="109">
        <v>324.29999999999995</v>
      </c>
      <c r="H297" s="110">
        <v>0</v>
      </c>
      <c r="I297" s="111">
        <v>6</v>
      </c>
      <c r="J297" s="110">
        <v>324.29999999999995</v>
      </c>
      <c r="K297" s="111"/>
    </row>
    <row r="298" spans="2:11">
      <c r="B298" s="115" t="s">
        <v>866</v>
      </c>
      <c r="C298" s="115" t="s">
        <v>1019</v>
      </c>
      <c r="D298" s="115" t="s">
        <v>1153</v>
      </c>
      <c r="E298" s="115">
        <v>10</v>
      </c>
      <c r="F298" s="71"/>
      <c r="G298" s="109">
        <v>70.599999999999994</v>
      </c>
      <c r="H298" s="110">
        <v>0</v>
      </c>
      <c r="I298" s="111">
        <v>10</v>
      </c>
      <c r="J298" s="110">
        <v>70.599999999999994</v>
      </c>
      <c r="K298" s="111"/>
    </row>
    <row r="299" spans="2:11">
      <c r="B299" s="115" t="s">
        <v>867</v>
      </c>
      <c r="C299" s="115" t="s">
        <v>1020</v>
      </c>
      <c r="D299" s="115" t="s">
        <v>1168</v>
      </c>
      <c r="E299" s="115">
        <v>10</v>
      </c>
      <c r="F299" s="71"/>
      <c r="G299" s="109">
        <v>859</v>
      </c>
      <c r="H299" s="110">
        <v>0</v>
      </c>
      <c r="I299" s="111">
        <v>10</v>
      </c>
      <c r="J299" s="110">
        <v>859</v>
      </c>
      <c r="K299" s="111"/>
    </row>
    <row r="300" spans="2:11">
      <c r="B300" s="115" t="s">
        <v>868</v>
      </c>
      <c r="C300" s="115" t="s">
        <v>1021</v>
      </c>
      <c r="D300" s="115" t="s">
        <v>1169</v>
      </c>
      <c r="E300" s="115">
        <v>9</v>
      </c>
      <c r="F300" s="71">
        <v>2</v>
      </c>
      <c r="G300" s="109">
        <v>616.86</v>
      </c>
      <c r="H300" s="110">
        <v>137.08000000000001</v>
      </c>
      <c r="I300" s="111">
        <v>7</v>
      </c>
      <c r="J300" s="110">
        <v>479.78</v>
      </c>
      <c r="K300" s="111"/>
    </row>
    <row r="301" spans="2:11">
      <c r="B301" s="115" t="s">
        <v>869</v>
      </c>
      <c r="C301" s="115" t="s">
        <v>1022</v>
      </c>
      <c r="D301" s="115" t="s">
        <v>1169</v>
      </c>
      <c r="E301" s="115">
        <v>12</v>
      </c>
      <c r="F301" s="71">
        <v>5</v>
      </c>
      <c r="G301" s="109">
        <v>822.48</v>
      </c>
      <c r="H301" s="110">
        <v>342.70000000000005</v>
      </c>
      <c r="I301" s="111">
        <v>7</v>
      </c>
      <c r="J301" s="110">
        <v>479.78</v>
      </c>
      <c r="K301" s="111"/>
    </row>
    <row r="302" spans="2:11">
      <c r="B302" s="115" t="s">
        <v>870</v>
      </c>
      <c r="C302" s="115" t="s">
        <v>1023</v>
      </c>
      <c r="D302" s="115" t="s">
        <v>1168</v>
      </c>
      <c r="E302" s="115">
        <v>5</v>
      </c>
      <c r="F302" s="71"/>
      <c r="G302" s="109">
        <v>429.5</v>
      </c>
      <c r="H302" s="110">
        <v>0</v>
      </c>
      <c r="I302" s="111">
        <v>5</v>
      </c>
      <c r="J302" s="110">
        <v>429.5</v>
      </c>
      <c r="K302" s="111"/>
    </row>
    <row r="303" spans="2:11">
      <c r="B303" s="115" t="s">
        <v>871</v>
      </c>
      <c r="C303" s="115" t="s">
        <v>1024</v>
      </c>
      <c r="D303" s="115" t="s">
        <v>1169</v>
      </c>
      <c r="E303" s="115">
        <v>17</v>
      </c>
      <c r="F303" s="71">
        <v>2</v>
      </c>
      <c r="G303" s="109">
        <v>1165.18</v>
      </c>
      <c r="H303" s="110">
        <v>137.08000000000001</v>
      </c>
      <c r="I303" s="111">
        <v>15</v>
      </c>
      <c r="J303" s="110">
        <v>1028.1000000000001</v>
      </c>
      <c r="K303" s="111"/>
    </row>
    <row r="304" spans="2:11">
      <c r="B304" s="115" t="s">
        <v>872</v>
      </c>
      <c r="C304" s="115" t="s">
        <v>1025</v>
      </c>
      <c r="D304" s="115" t="s">
        <v>1170</v>
      </c>
      <c r="E304" s="115">
        <v>8</v>
      </c>
      <c r="F304" s="71">
        <v>6</v>
      </c>
      <c r="G304" s="109">
        <v>165.44</v>
      </c>
      <c r="H304" s="110">
        <v>124.08</v>
      </c>
      <c r="I304" s="111">
        <v>2</v>
      </c>
      <c r="J304" s="110">
        <v>41.36</v>
      </c>
      <c r="K304" s="111"/>
    </row>
    <row r="305" spans="2:11">
      <c r="B305" s="115" t="s">
        <v>876</v>
      </c>
      <c r="C305" s="115" t="s">
        <v>1029</v>
      </c>
      <c r="D305" s="115" t="s">
        <v>1173</v>
      </c>
      <c r="E305" s="115">
        <v>18</v>
      </c>
      <c r="F305" s="71">
        <v>17</v>
      </c>
      <c r="G305" s="109">
        <v>147.6</v>
      </c>
      <c r="H305" s="110">
        <v>139.39999999999998</v>
      </c>
      <c r="I305" s="111">
        <v>1</v>
      </c>
      <c r="J305" s="110">
        <v>8.2000000000000171</v>
      </c>
      <c r="K305" s="111"/>
    </row>
    <row r="306" spans="2:11">
      <c r="B306" s="115" t="s">
        <v>877</v>
      </c>
      <c r="C306" s="115" t="s">
        <v>1030</v>
      </c>
      <c r="D306" s="115" t="s">
        <v>1174</v>
      </c>
      <c r="E306" s="115">
        <v>12</v>
      </c>
      <c r="F306" s="71">
        <v>3</v>
      </c>
      <c r="G306" s="109">
        <v>678</v>
      </c>
      <c r="H306" s="110">
        <v>169.5</v>
      </c>
      <c r="I306" s="111">
        <v>9</v>
      </c>
      <c r="J306" s="110">
        <v>508.5</v>
      </c>
      <c r="K306" s="111"/>
    </row>
    <row r="307" spans="2:11">
      <c r="B307" s="115" t="s">
        <v>878</v>
      </c>
      <c r="C307" s="115" t="s">
        <v>1031</v>
      </c>
      <c r="D307" s="115" t="s">
        <v>1175</v>
      </c>
      <c r="E307" s="115">
        <v>5</v>
      </c>
      <c r="F307" s="71"/>
      <c r="G307" s="109">
        <v>313.75</v>
      </c>
      <c r="H307" s="110">
        <v>0</v>
      </c>
      <c r="I307" s="111">
        <v>5</v>
      </c>
      <c r="J307" s="110">
        <v>313.75</v>
      </c>
      <c r="K307" s="111"/>
    </row>
    <row r="308" spans="2:11">
      <c r="B308" s="115" t="s">
        <v>879</v>
      </c>
      <c r="C308" s="115" t="s">
        <v>1032</v>
      </c>
      <c r="D308" s="115" t="s">
        <v>1175</v>
      </c>
      <c r="E308" s="115">
        <v>2</v>
      </c>
      <c r="F308" s="71"/>
      <c r="G308" s="109">
        <v>125.5</v>
      </c>
      <c r="H308" s="110">
        <v>0</v>
      </c>
      <c r="I308" s="111">
        <v>2</v>
      </c>
      <c r="J308" s="110">
        <v>125.5</v>
      </c>
      <c r="K308" s="111"/>
    </row>
    <row r="309" spans="2:11">
      <c r="B309" s="115" t="s">
        <v>880</v>
      </c>
      <c r="C309" s="115" t="s">
        <v>1033</v>
      </c>
      <c r="D309" s="115" t="s">
        <v>1176</v>
      </c>
      <c r="E309" s="115">
        <v>2</v>
      </c>
      <c r="F309" s="71"/>
      <c r="G309" s="109">
        <v>113.58</v>
      </c>
      <c r="H309" s="110">
        <v>0</v>
      </c>
      <c r="I309" s="111">
        <v>2</v>
      </c>
      <c r="J309" s="110">
        <v>113.58</v>
      </c>
      <c r="K309" s="111"/>
    </row>
    <row r="310" spans="2:11">
      <c r="B310" s="115" t="s">
        <v>881</v>
      </c>
      <c r="C310" s="115" t="s">
        <v>1034</v>
      </c>
      <c r="D310" s="115" t="s">
        <v>1177</v>
      </c>
      <c r="E310" s="115">
        <v>2</v>
      </c>
      <c r="F310" s="71"/>
      <c r="G310" s="109">
        <v>227.3</v>
      </c>
      <c r="H310" s="110">
        <v>0</v>
      </c>
      <c r="I310" s="111">
        <v>2</v>
      </c>
      <c r="J310" s="110">
        <v>227.3</v>
      </c>
      <c r="K310" s="111"/>
    </row>
    <row r="311" spans="2:11">
      <c r="B311" s="115" t="s">
        <v>882</v>
      </c>
      <c r="C311" s="115" t="s">
        <v>1035</v>
      </c>
      <c r="D311" s="115" t="s">
        <v>1178</v>
      </c>
      <c r="E311" s="115">
        <v>1</v>
      </c>
      <c r="F311" s="71"/>
      <c r="G311" s="109">
        <v>22.85</v>
      </c>
      <c r="H311" s="110">
        <v>0</v>
      </c>
      <c r="I311" s="111">
        <v>1</v>
      </c>
      <c r="J311" s="110">
        <v>22.85</v>
      </c>
      <c r="K311" s="111"/>
    </row>
    <row r="312" spans="2:11">
      <c r="B312" s="115" t="s">
        <v>883</v>
      </c>
      <c r="C312" s="115" t="s">
        <v>1036</v>
      </c>
      <c r="D312" s="115" t="s">
        <v>1180</v>
      </c>
      <c r="E312" s="115">
        <v>1</v>
      </c>
      <c r="F312" s="71"/>
      <c r="G312" s="109">
        <v>17.7</v>
      </c>
      <c r="H312" s="110">
        <v>0</v>
      </c>
      <c r="I312" s="111">
        <v>1</v>
      </c>
      <c r="J312" s="110">
        <v>17.7</v>
      </c>
      <c r="K312" s="111"/>
    </row>
    <row r="313" spans="2:11">
      <c r="B313" s="115" t="s">
        <v>884</v>
      </c>
      <c r="C313" s="115" t="s">
        <v>1037</v>
      </c>
      <c r="D313" s="115" t="s">
        <v>1181</v>
      </c>
      <c r="E313" s="115">
        <v>7</v>
      </c>
      <c r="F313" s="71">
        <v>6</v>
      </c>
      <c r="G313" s="109">
        <v>1183.7</v>
      </c>
      <c r="H313" s="110">
        <v>1014.5999999999999</v>
      </c>
      <c r="I313" s="111">
        <v>1</v>
      </c>
      <c r="J313" s="110">
        <v>169.10000000000014</v>
      </c>
      <c r="K313" s="111"/>
    </row>
    <row r="314" spans="2:11">
      <c r="B314" s="115" t="s">
        <v>885</v>
      </c>
      <c r="C314" s="115" t="s">
        <v>1038</v>
      </c>
      <c r="D314" s="115" t="s">
        <v>1163</v>
      </c>
      <c r="E314" s="115">
        <v>14</v>
      </c>
      <c r="F314" s="71">
        <v>6</v>
      </c>
      <c r="G314" s="109">
        <v>490</v>
      </c>
      <c r="H314" s="110">
        <v>210</v>
      </c>
      <c r="I314" s="111">
        <v>8</v>
      </c>
      <c r="J314" s="110">
        <v>280</v>
      </c>
      <c r="K314" s="111"/>
    </row>
    <row r="315" spans="2:11">
      <c r="B315" s="115" t="s">
        <v>885</v>
      </c>
      <c r="C315" s="115" t="s">
        <v>1038</v>
      </c>
      <c r="D315" s="115" t="s">
        <v>1182</v>
      </c>
      <c r="E315" s="115">
        <v>4</v>
      </c>
      <c r="F315" s="71"/>
      <c r="G315" s="109">
        <v>149</v>
      </c>
      <c r="H315" s="110">
        <v>0</v>
      </c>
      <c r="I315" s="111">
        <v>4</v>
      </c>
      <c r="J315" s="110">
        <v>149</v>
      </c>
      <c r="K315" s="111"/>
    </row>
    <row r="316" spans="2:11">
      <c r="B316" s="115" t="s">
        <v>886</v>
      </c>
      <c r="C316" s="115" t="s">
        <v>1039</v>
      </c>
      <c r="D316" s="115" t="s">
        <v>1183</v>
      </c>
      <c r="E316" s="115">
        <v>5</v>
      </c>
      <c r="F316" s="71">
        <v>1</v>
      </c>
      <c r="G316" s="109">
        <v>325</v>
      </c>
      <c r="H316" s="110">
        <v>65</v>
      </c>
      <c r="I316" s="111">
        <v>4</v>
      </c>
      <c r="J316" s="110">
        <v>260</v>
      </c>
      <c r="K316" s="111"/>
    </row>
    <row r="317" spans="2:11">
      <c r="B317" s="115" t="s">
        <v>887</v>
      </c>
      <c r="C317" s="115" t="s">
        <v>1040</v>
      </c>
      <c r="D317" s="115" t="s">
        <v>1184</v>
      </c>
      <c r="E317" s="115">
        <v>1</v>
      </c>
      <c r="F317" s="71"/>
      <c r="G317" s="109">
        <v>83.65</v>
      </c>
      <c r="H317" s="110">
        <v>0</v>
      </c>
      <c r="I317" s="111">
        <v>1</v>
      </c>
      <c r="J317" s="110">
        <v>83.65</v>
      </c>
      <c r="K317" s="111"/>
    </row>
    <row r="318" spans="2:11">
      <c r="B318" s="115" t="s">
        <v>888</v>
      </c>
      <c r="C318" s="115" t="s">
        <v>1041</v>
      </c>
      <c r="D318" s="115" t="s">
        <v>1185</v>
      </c>
      <c r="E318" s="115">
        <v>1</v>
      </c>
      <c r="F318" s="71"/>
      <c r="G318" s="109">
        <v>19.55</v>
      </c>
      <c r="H318" s="110">
        <v>0</v>
      </c>
      <c r="I318" s="111">
        <v>1</v>
      </c>
      <c r="J318" s="110">
        <v>19.55</v>
      </c>
      <c r="K318" s="111"/>
    </row>
    <row r="319" spans="2:11">
      <c r="B319" s="115" t="s">
        <v>889</v>
      </c>
      <c r="C319" s="115" t="s">
        <v>1042</v>
      </c>
      <c r="D319" s="115" t="s">
        <v>4640</v>
      </c>
      <c r="E319" s="115">
        <v>2</v>
      </c>
      <c r="F319" s="71"/>
      <c r="G319" s="109">
        <v>117.7</v>
      </c>
      <c r="H319" s="110">
        <v>0</v>
      </c>
      <c r="I319" s="111">
        <v>2</v>
      </c>
      <c r="J319" s="110">
        <v>117.7</v>
      </c>
      <c r="K319" s="111"/>
    </row>
    <row r="320" spans="2:11">
      <c r="B320" s="115" t="s">
        <v>889</v>
      </c>
      <c r="C320" s="115" t="s">
        <v>1042</v>
      </c>
      <c r="D320" s="115" t="s">
        <v>1160</v>
      </c>
      <c r="E320" s="115">
        <v>1</v>
      </c>
      <c r="F320" s="71"/>
      <c r="G320" s="109">
        <v>58.45</v>
      </c>
      <c r="H320" s="110">
        <v>0</v>
      </c>
      <c r="I320" s="111">
        <v>1</v>
      </c>
      <c r="J320" s="110">
        <v>58.45</v>
      </c>
      <c r="K320" s="111"/>
    </row>
    <row r="321" spans="2:11">
      <c r="B321" s="115" t="s">
        <v>889</v>
      </c>
      <c r="C321" s="115" t="s">
        <v>1042</v>
      </c>
      <c r="D321" s="115" t="s">
        <v>4641</v>
      </c>
      <c r="E321" s="115">
        <v>2</v>
      </c>
      <c r="F321" s="71"/>
      <c r="G321" s="109">
        <v>117.3</v>
      </c>
      <c r="H321" s="110">
        <v>0</v>
      </c>
      <c r="I321" s="111">
        <v>2</v>
      </c>
      <c r="J321" s="110">
        <v>117.3</v>
      </c>
      <c r="K321" s="111"/>
    </row>
    <row r="322" spans="2:11">
      <c r="B322" s="115" t="s">
        <v>890</v>
      </c>
      <c r="C322" s="115" t="s">
        <v>1043</v>
      </c>
      <c r="D322" s="115" t="s">
        <v>4642</v>
      </c>
      <c r="E322" s="115">
        <v>6</v>
      </c>
      <c r="F322" s="71"/>
      <c r="G322" s="109">
        <v>508.79999999999995</v>
      </c>
      <c r="H322" s="110">
        <v>0</v>
      </c>
      <c r="I322" s="111">
        <v>6</v>
      </c>
      <c r="J322" s="110">
        <v>508.79999999999995</v>
      </c>
      <c r="K322" s="111"/>
    </row>
    <row r="323" spans="2:11">
      <c r="B323" s="115" t="s">
        <v>890</v>
      </c>
      <c r="C323" s="115" t="s">
        <v>1043</v>
      </c>
      <c r="D323" s="115" t="s">
        <v>4642</v>
      </c>
      <c r="E323" s="115">
        <v>2</v>
      </c>
      <c r="F323" s="71"/>
      <c r="G323" s="109">
        <v>169.6</v>
      </c>
      <c r="H323" s="110">
        <v>0</v>
      </c>
      <c r="I323" s="111">
        <v>2</v>
      </c>
      <c r="J323" s="110">
        <v>169.6</v>
      </c>
      <c r="K323" s="111"/>
    </row>
    <row r="324" spans="2:11">
      <c r="B324" s="115" t="s">
        <v>890</v>
      </c>
      <c r="C324" s="115" t="s">
        <v>1043</v>
      </c>
      <c r="D324" s="115" t="s">
        <v>4643</v>
      </c>
      <c r="E324" s="115">
        <v>2</v>
      </c>
      <c r="F324" s="71"/>
      <c r="G324" s="109">
        <v>169.7</v>
      </c>
      <c r="H324" s="110">
        <v>0</v>
      </c>
      <c r="I324" s="111">
        <v>2</v>
      </c>
      <c r="J324" s="110">
        <v>169.7</v>
      </c>
      <c r="K324" s="111"/>
    </row>
    <row r="325" spans="2:11">
      <c r="B325" s="115" t="s">
        <v>890</v>
      </c>
      <c r="C325" s="115" t="s">
        <v>1043</v>
      </c>
      <c r="D325" s="115" t="s">
        <v>4644</v>
      </c>
      <c r="E325" s="115">
        <v>1</v>
      </c>
      <c r="F325" s="71"/>
      <c r="G325" s="109">
        <v>84.55</v>
      </c>
      <c r="H325" s="110">
        <v>0</v>
      </c>
      <c r="I325" s="111">
        <v>1</v>
      </c>
      <c r="J325" s="110">
        <v>84.55</v>
      </c>
      <c r="K325" s="111"/>
    </row>
    <row r="326" spans="2:11">
      <c r="B326" s="115" t="s">
        <v>891</v>
      </c>
      <c r="C326" s="115" t="s">
        <v>1044</v>
      </c>
      <c r="D326" s="115" t="s">
        <v>4116</v>
      </c>
      <c r="E326" s="115">
        <v>3</v>
      </c>
      <c r="F326" s="71">
        <v>1</v>
      </c>
      <c r="G326" s="109">
        <v>270</v>
      </c>
      <c r="H326" s="110">
        <v>90</v>
      </c>
      <c r="I326" s="111">
        <v>2</v>
      </c>
      <c r="J326" s="110">
        <v>180</v>
      </c>
      <c r="K326" s="111"/>
    </row>
    <row r="327" spans="2:11">
      <c r="B327" s="115" t="s">
        <v>892</v>
      </c>
      <c r="C327" s="115" t="s">
        <v>1045</v>
      </c>
      <c r="D327" s="115" t="s">
        <v>4645</v>
      </c>
      <c r="E327" s="115">
        <v>2</v>
      </c>
      <c r="F327" s="71"/>
      <c r="G327" s="109">
        <v>145.9</v>
      </c>
      <c r="H327" s="110">
        <v>0</v>
      </c>
      <c r="I327" s="111">
        <v>2</v>
      </c>
      <c r="J327" s="110">
        <v>145.9</v>
      </c>
      <c r="K327" s="111"/>
    </row>
    <row r="328" spans="2:11">
      <c r="B328" s="115" t="s">
        <v>893</v>
      </c>
      <c r="C328" s="115" t="s">
        <v>1046</v>
      </c>
      <c r="D328" s="115" t="s">
        <v>1189</v>
      </c>
      <c r="E328" s="115">
        <v>2</v>
      </c>
      <c r="F328" s="71"/>
      <c r="G328" s="109">
        <v>200</v>
      </c>
      <c r="H328" s="110">
        <v>0</v>
      </c>
      <c r="I328" s="111">
        <v>2</v>
      </c>
      <c r="J328" s="110">
        <v>200</v>
      </c>
      <c r="K328" s="111"/>
    </row>
    <row r="329" spans="2:11">
      <c r="B329" s="115" t="s">
        <v>893</v>
      </c>
      <c r="C329" s="115" t="s">
        <v>1046</v>
      </c>
      <c r="D329" s="115" t="s">
        <v>1188</v>
      </c>
      <c r="E329" s="115">
        <v>3</v>
      </c>
      <c r="F329" s="71"/>
      <c r="G329" s="109">
        <v>272.70000000000005</v>
      </c>
      <c r="H329" s="110">
        <v>0</v>
      </c>
      <c r="I329" s="111">
        <v>3</v>
      </c>
      <c r="J329" s="110">
        <v>272.70000000000005</v>
      </c>
      <c r="K329" s="111"/>
    </row>
    <row r="330" spans="2:11">
      <c r="B330" s="115" t="s">
        <v>894</v>
      </c>
      <c r="C330" s="115" t="s">
        <v>1047</v>
      </c>
      <c r="D330" s="115" t="s">
        <v>1191</v>
      </c>
      <c r="E330" s="115">
        <v>1</v>
      </c>
      <c r="F330" s="71"/>
      <c r="G330" s="109">
        <v>97.95</v>
      </c>
      <c r="H330" s="110">
        <v>0</v>
      </c>
      <c r="I330" s="111">
        <v>1</v>
      </c>
      <c r="J330" s="110">
        <v>97.95</v>
      </c>
      <c r="K330" s="111"/>
    </row>
    <row r="331" spans="2:11">
      <c r="B331" s="115" t="s">
        <v>894</v>
      </c>
      <c r="C331" s="115" t="s">
        <v>1047</v>
      </c>
      <c r="D331" s="115" t="s">
        <v>1190</v>
      </c>
      <c r="E331" s="115">
        <v>1</v>
      </c>
      <c r="F331" s="71"/>
      <c r="G331" s="109">
        <v>98.2</v>
      </c>
      <c r="H331" s="110">
        <v>0</v>
      </c>
      <c r="I331" s="111">
        <v>1</v>
      </c>
      <c r="J331" s="110">
        <v>98.2</v>
      </c>
      <c r="K331" s="111"/>
    </row>
    <row r="332" spans="2:11">
      <c r="B332" s="115" t="s">
        <v>895</v>
      </c>
      <c r="C332" s="115" t="s">
        <v>1048</v>
      </c>
      <c r="D332" s="115" t="s">
        <v>1192</v>
      </c>
      <c r="E332" s="115">
        <v>1</v>
      </c>
      <c r="F332" s="71"/>
      <c r="G332" s="109">
        <v>125</v>
      </c>
      <c r="H332" s="110">
        <v>0</v>
      </c>
      <c r="I332" s="111">
        <v>1</v>
      </c>
      <c r="J332" s="110">
        <v>125</v>
      </c>
      <c r="K332" s="111"/>
    </row>
    <row r="333" spans="2:11">
      <c r="B333" s="115" t="s">
        <v>896</v>
      </c>
      <c r="C333" s="115" t="s">
        <v>1049</v>
      </c>
      <c r="D333" s="115" t="s">
        <v>1193</v>
      </c>
      <c r="E333" s="115">
        <v>4</v>
      </c>
      <c r="F333" s="71">
        <v>1</v>
      </c>
      <c r="G333" s="109">
        <v>141.80000000000001</v>
      </c>
      <c r="H333" s="110">
        <v>35.450000000000003</v>
      </c>
      <c r="I333" s="111">
        <v>3</v>
      </c>
      <c r="J333" s="110">
        <v>106.35000000000001</v>
      </c>
      <c r="K333" s="111"/>
    </row>
    <row r="334" spans="2:11">
      <c r="B334" s="115" t="s">
        <v>896</v>
      </c>
      <c r="C334" s="115" t="s">
        <v>1049</v>
      </c>
      <c r="D334" s="115" t="s">
        <v>761</v>
      </c>
      <c r="E334" s="115">
        <v>2</v>
      </c>
      <c r="F334" s="71"/>
      <c r="G334" s="109">
        <v>82.3</v>
      </c>
      <c r="H334" s="110">
        <v>0</v>
      </c>
      <c r="I334" s="111">
        <v>2</v>
      </c>
      <c r="J334" s="110">
        <v>82.3</v>
      </c>
      <c r="K334" s="111"/>
    </row>
    <row r="335" spans="2:11">
      <c r="B335" s="115" t="s">
        <v>896</v>
      </c>
      <c r="C335" s="115" t="s">
        <v>1049</v>
      </c>
      <c r="D335" s="115" t="s">
        <v>1194</v>
      </c>
      <c r="E335" s="115">
        <v>2</v>
      </c>
      <c r="F335" s="71"/>
      <c r="G335" s="109">
        <v>82.96</v>
      </c>
      <c r="H335" s="110">
        <v>0</v>
      </c>
      <c r="I335" s="111">
        <v>2</v>
      </c>
      <c r="J335" s="110">
        <v>82.96</v>
      </c>
      <c r="K335" s="111"/>
    </row>
    <row r="336" spans="2:11">
      <c r="B336" s="115" t="s">
        <v>897</v>
      </c>
      <c r="C336" s="115" t="s">
        <v>1050</v>
      </c>
      <c r="D336" s="115" t="s">
        <v>1197</v>
      </c>
      <c r="E336" s="115">
        <v>3</v>
      </c>
      <c r="F336" s="71"/>
      <c r="G336" s="109">
        <v>245.54999999999998</v>
      </c>
      <c r="H336" s="110">
        <v>0</v>
      </c>
      <c r="I336" s="111">
        <v>3</v>
      </c>
      <c r="J336" s="110">
        <v>245.54999999999998</v>
      </c>
      <c r="K336" s="111"/>
    </row>
    <row r="337" spans="2:11">
      <c r="B337" s="115" t="s">
        <v>897</v>
      </c>
      <c r="C337" s="115" t="s">
        <v>1050</v>
      </c>
      <c r="D337" s="115" t="s">
        <v>1196</v>
      </c>
      <c r="E337" s="115">
        <v>1</v>
      </c>
      <c r="F337" s="71"/>
      <c r="G337" s="109">
        <v>76.55</v>
      </c>
      <c r="H337" s="110">
        <v>0</v>
      </c>
      <c r="I337" s="111">
        <v>1</v>
      </c>
      <c r="J337" s="110">
        <v>76.55</v>
      </c>
      <c r="K337" s="111"/>
    </row>
    <row r="338" spans="2:11">
      <c r="B338" s="115" t="s">
        <v>897</v>
      </c>
      <c r="C338" s="115" t="s">
        <v>1050</v>
      </c>
      <c r="D338" s="115" t="s">
        <v>1195</v>
      </c>
      <c r="E338" s="115">
        <v>1</v>
      </c>
      <c r="F338" s="71"/>
      <c r="G338" s="109">
        <v>74.55</v>
      </c>
      <c r="H338" s="110">
        <v>0</v>
      </c>
      <c r="I338" s="111">
        <v>1</v>
      </c>
      <c r="J338" s="110">
        <v>74.55</v>
      </c>
      <c r="K338" s="111"/>
    </row>
    <row r="339" spans="2:11">
      <c r="B339" s="115" t="s">
        <v>898</v>
      </c>
      <c r="C339" s="115" t="s">
        <v>1051</v>
      </c>
      <c r="D339" s="115" t="s">
        <v>1199</v>
      </c>
      <c r="E339" s="115">
        <v>1</v>
      </c>
      <c r="F339" s="71"/>
      <c r="G339" s="109">
        <v>53.65</v>
      </c>
      <c r="H339" s="110">
        <v>0</v>
      </c>
      <c r="I339" s="111">
        <v>1</v>
      </c>
      <c r="J339" s="110">
        <v>53.65</v>
      </c>
      <c r="K339" s="111"/>
    </row>
    <row r="340" spans="2:11">
      <c r="B340" s="115" t="s">
        <v>898</v>
      </c>
      <c r="C340" s="115" t="s">
        <v>1051</v>
      </c>
      <c r="D340" s="115" t="s">
        <v>1200</v>
      </c>
      <c r="E340" s="115">
        <v>1</v>
      </c>
      <c r="F340" s="71"/>
      <c r="G340" s="109">
        <v>56.35</v>
      </c>
      <c r="H340" s="110">
        <v>0</v>
      </c>
      <c r="I340" s="111">
        <v>1</v>
      </c>
      <c r="J340" s="110">
        <v>56.35</v>
      </c>
      <c r="K340" s="111"/>
    </row>
    <row r="341" spans="2:11">
      <c r="B341" s="115" t="s">
        <v>898</v>
      </c>
      <c r="C341" s="115" t="s">
        <v>1051</v>
      </c>
      <c r="D341" s="115" t="s">
        <v>1198</v>
      </c>
      <c r="E341" s="115">
        <v>2</v>
      </c>
      <c r="F341" s="71"/>
      <c r="G341" s="109">
        <v>105.5</v>
      </c>
      <c r="H341" s="110">
        <v>0</v>
      </c>
      <c r="I341" s="111">
        <v>2</v>
      </c>
      <c r="J341" s="110">
        <v>105.5</v>
      </c>
      <c r="K341" s="111"/>
    </row>
    <row r="342" spans="2:11">
      <c r="B342" s="115" t="s">
        <v>898</v>
      </c>
      <c r="C342" s="115" t="s">
        <v>1051</v>
      </c>
      <c r="D342" s="115" t="s">
        <v>4641</v>
      </c>
      <c r="E342" s="115">
        <v>1</v>
      </c>
      <c r="F342" s="71"/>
      <c r="G342" s="109">
        <v>58.65</v>
      </c>
      <c r="H342" s="110">
        <v>0</v>
      </c>
      <c r="I342" s="111">
        <v>1</v>
      </c>
      <c r="J342" s="110">
        <v>58.65</v>
      </c>
      <c r="K342" s="111"/>
    </row>
    <row r="343" spans="2:11">
      <c r="B343" s="115" t="s">
        <v>899</v>
      </c>
      <c r="C343" s="115" t="s">
        <v>1052</v>
      </c>
      <c r="D343" s="115" t="s">
        <v>4646</v>
      </c>
      <c r="E343" s="115">
        <v>3</v>
      </c>
      <c r="F343" s="71">
        <v>2</v>
      </c>
      <c r="G343" s="109">
        <v>161.69999999999999</v>
      </c>
      <c r="H343" s="110">
        <v>107.8</v>
      </c>
      <c r="I343" s="111">
        <v>1</v>
      </c>
      <c r="J343" s="110">
        <v>53.899999999999991</v>
      </c>
      <c r="K343" s="111"/>
    </row>
    <row r="344" spans="2:11">
      <c r="B344" s="115" t="s">
        <v>900</v>
      </c>
      <c r="C344" s="115" t="s">
        <v>1053</v>
      </c>
      <c r="D344" s="115" t="s">
        <v>1202</v>
      </c>
      <c r="E344" s="115">
        <v>2</v>
      </c>
      <c r="F344" s="71"/>
      <c r="G344" s="109">
        <v>38.4</v>
      </c>
      <c r="H344" s="110">
        <v>0</v>
      </c>
      <c r="I344" s="111">
        <v>2</v>
      </c>
      <c r="J344" s="110">
        <v>38.4</v>
      </c>
      <c r="K344" s="111"/>
    </row>
    <row r="345" spans="2:11">
      <c r="B345" s="115" t="s">
        <v>4627</v>
      </c>
      <c r="C345" s="115" t="s">
        <v>4634</v>
      </c>
      <c r="D345" s="115" t="s">
        <v>4647</v>
      </c>
      <c r="E345" s="115">
        <v>1</v>
      </c>
      <c r="F345" s="71"/>
      <c r="G345" s="109">
        <v>55.95</v>
      </c>
      <c r="H345" s="110">
        <v>0</v>
      </c>
      <c r="I345" s="111">
        <v>1</v>
      </c>
      <c r="J345" s="110">
        <v>55.95</v>
      </c>
      <c r="K345" s="111"/>
    </row>
    <row r="346" spans="2:11">
      <c r="B346" s="115" t="s">
        <v>902</v>
      </c>
      <c r="C346" s="115" t="s">
        <v>1055</v>
      </c>
      <c r="D346" s="115" t="s">
        <v>1203</v>
      </c>
      <c r="E346" s="115">
        <v>23</v>
      </c>
      <c r="F346" s="71">
        <v>14</v>
      </c>
      <c r="G346" s="109">
        <v>1570.8999999999999</v>
      </c>
      <c r="H346" s="110">
        <v>956.19999999999993</v>
      </c>
      <c r="I346" s="111">
        <v>9</v>
      </c>
      <c r="J346" s="110">
        <v>614.69999999999993</v>
      </c>
      <c r="K346" s="111"/>
    </row>
    <row r="347" spans="2:11">
      <c r="B347" s="115" t="s">
        <v>903</v>
      </c>
      <c r="C347" s="115" t="s">
        <v>1056</v>
      </c>
      <c r="D347" s="115" t="s">
        <v>1206</v>
      </c>
      <c r="E347" s="115">
        <v>103</v>
      </c>
      <c r="F347" s="71"/>
      <c r="G347" s="109">
        <v>1021.76</v>
      </c>
      <c r="H347" s="110">
        <v>0</v>
      </c>
      <c r="I347" s="111">
        <v>103</v>
      </c>
      <c r="J347" s="110">
        <v>1021.76</v>
      </c>
      <c r="K347" s="111"/>
    </row>
    <row r="348" spans="2:11">
      <c r="B348" s="115" t="s">
        <v>904</v>
      </c>
      <c r="C348" s="115" t="s">
        <v>1057</v>
      </c>
      <c r="D348" s="115" t="s">
        <v>1207</v>
      </c>
      <c r="E348" s="115">
        <v>1</v>
      </c>
      <c r="F348" s="71"/>
      <c r="G348" s="109">
        <v>41.46</v>
      </c>
      <c r="H348" s="110">
        <v>0</v>
      </c>
      <c r="I348" s="111">
        <v>1</v>
      </c>
      <c r="J348" s="110">
        <v>41.46</v>
      </c>
      <c r="K348" s="111"/>
    </row>
    <row r="349" spans="2:11">
      <c r="B349" s="115" t="s">
        <v>905</v>
      </c>
      <c r="C349" s="115" t="s">
        <v>1058</v>
      </c>
      <c r="D349" s="115" t="s">
        <v>1176</v>
      </c>
      <c r="E349" s="115">
        <v>5</v>
      </c>
      <c r="F349" s="71"/>
      <c r="G349" s="109">
        <v>283.95</v>
      </c>
      <c r="H349" s="110">
        <v>0</v>
      </c>
      <c r="I349" s="111">
        <v>5</v>
      </c>
      <c r="J349" s="110">
        <v>283.95</v>
      </c>
      <c r="K349" s="111"/>
    </row>
    <row r="350" spans="2:11">
      <c r="B350" s="115" t="s">
        <v>906</v>
      </c>
      <c r="C350" s="115" t="s">
        <v>1059</v>
      </c>
      <c r="D350" s="115" t="s">
        <v>1176</v>
      </c>
      <c r="E350" s="115">
        <v>4</v>
      </c>
      <c r="F350" s="71"/>
      <c r="G350" s="109">
        <v>227.16</v>
      </c>
      <c r="H350" s="110">
        <v>0</v>
      </c>
      <c r="I350" s="111">
        <v>4</v>
      </c>
      <c r="J350" s="110">
        <v>227.16</v>
      </c>
      <c r="K350" s="111"/>
    </row>
    <row r="351" spans="2:11">
      <c r="B351" s="115" t="s">
        <v>907</v>
      </c>
      <c r="C351" s="115" t="s">
        <v>1060</v>
      </c>
      <c r="D351" s="115" t="s">
        <v>1208</v>
      </c>
      <c r="E351" s="115">
        <v>46</v>
      </c>
      <c r="F351" s="71"/>
      <c r="G351" s="109">
        <v>2492.7399999999998</v>
      </c>
      <c r="H351" s="110">
        <v>0</v>
      </c>
      <c r="I351" s="111">
        <v>46</v>
      </c>
      <c r="J351" s="110">
        <v>2492.7399999999998</v>
      </c>
      <c r="K351" s="111"/>
    </row>
    <row r="352" spans="2:11">
      <c r="B352" s="115" t="s">
        <v>908</v>
      </c>
      <c r="C352" s="115" t="s">
        <v>1061</v>
      </c>
      <c r="D352" s="115" t="s">
        <v>1176</v>
      </c>
      <c r="E352" s="115">
        <v>9</v>
      </c>
      <c r="F352" s="71"/>
      <c r="G352" s="109">
        <v>511.11</v>
      </c>
      <c r="H352" s="110">
        <v>0</v>
      </c>
      <c r="I352" s="111">
        <v>9</v>
      </c>
      <c r="J352" s="110">
        <v>511.11</v>
      </c>
      <c r="K352" s="111"/>
    </row>
    <row r="353" spans="2:11">
      <c r="B353" s="115" t="s">
        <v>909</v>
      </c>
      <c r="C353" s="115" t="s">
        <v>1062</v>
      </c>
      <c r="D353" s="115" t="s">
        <v>1176</v>
      </c>
      <c r="E353" s="115">
        <v>6</v>
      </c>
      <c r="F353" s="71"/>
      <c r="G353" s="109">
        <v>340.74</v>
      </c>
      <c r="H353" s="110">
        <v>0</v>
      </c>
      <c r="I353" s="111">
        <v>6</v>
      </c>
      <c r="J353" s="110">
        <v>340.74</v>
      </c>
      <c r="K353" s="111"/>
    </row>
    <row r="354" spans="2:11">
      <c r="B354" s="115" t="s">
        <v>911</v>
      </c>
      <c r="C354" s="115" t="s">
        <v>1064</v>
      </c>
      <c r="D354" s="115" t="s">
        <v>1210</v>
      </c>
      <c r="E354" s="115">
        <v>6</v>
      </c>
      <c r="F354" s="71">
        <v>3</v>
      </c>
      <c r="G354" s="109">
        <v>344.4</v>
      </c>
      <c r="H354" s="110">
        <v>172.2</v>
      </c>
      <c r="I354" s="111">
        <v>3</v>
      </c>
      <c r="J354" s="110">
        <v>172.2</v>
      </c>
      <c r="K354" s="111"/>
    </row>
    <row r="355" spans="2:11">
      <c r="B355" s="115" t="s">
        <v>912</v>
      </c>
      <c r="C355" s="115" t="s">
        <v>1065</v>
      </c>
      <c r="D355" s="115" t="s">
        <v>1210</v>
      </c>
      <c r="E355" s="115">
        <v>8</v>
      </c>
      <c r="F355" s="71">
        <v>6</v>
      </c>
      <c r="G355" s="109">
        <v>459.2</v>
      </c>
      <c r="H355" s="110">
        <v>344.4</v>
      </c>
      <c r="I355" s="111">
        <v>2</v>
      </c>
      <c r="J355" s="110">
        <v>114.80000000000001</v>
      </c>
      <c r="K355" s="111"/>
    </row>
    <row r="356" spans="2:11">
      <c r="B356" s="115" t="s">
        <v>913</v>
      </c>
      <c r="C356" s="115" t="s">
        <v>1066</v>
      </c>
      <c r="D356" s="115" t="s">
        <v>1211</v>
      </c>
      <c r="E356" s="115">
        <v>1</v>
      </c>
      <c r="F356" s="71"/>
      <c r="G356" s="109">
        <v>53.15</v>
      </c>
      <c r="H356" s="110">
        <v>0</v>
      </c>
      <c r="I356" s="111">
        <v>1</v>
      </c>
      <c r="J356" s="110">
        <v>53.15</v>
      </c>
      <c r="K356" s="111"/>
    </row>
    <row r="357" spans="2:11">
      <c r="B357" s="115" t="s">
        <v>914</v>
      </c>
      <c r="C357" s="115" t="s">
        <v>1067</v>
      </c>
      <c r="D357" s="115" t="s">
        <v>1212</v>
      </c>
      <c r="E357" s="115">
        <v>2</v>
      </c>
      <c r="F357" s="71"/>
      <c r="G357" s="109">
        <v>142</v>
      </c>
      <c r="H357" s="110">
        <v>0</v>
      </c>
      <c r="I357" s="111">
        <v>2</v>
      </c>
      <c r="J357" s="110">
        <v>142</v>
      </c>
      <c r="K357" s="111"/>
    </row>
    <row r="358" spans="2:11" ht="30">
      <c r="B358" s="115" t="s">
        <v>916</v>
      </c>
      <c r="C358" s="115" t="s">
        <v>1069</v>
      </c>
      <c r="D358" s="115" t="s">
        <v>1214</v>
      </c>
      <c r="E358" s="115">
        <v>4</v>
      </c>
      <c r="F358" s="71"/>
      <c r="G358" s="109">
        <v>226.84</v>
      </c>
      <c r="H358" s="110">
        <v>0</v>
      </c>
      <c r="I358" s="111">
        <v>4</v>
      </c>
      <c r="J358" s="110">
        <v>226.84</v>
      </c>
      <c r="K358" s="111"/>
    </row>
    <row r="359" spans="2:11">
      <c r="B359" s="115" t="s">
        <v>917</v>
      </c>
      <c r="C359" s="115" t="s">
        <v>1070</v>
      </c>
      <c r="D359" s="115" t="s">
        <v>1215</v>
      </c>
      <c r="E359" s="115">
        <v>9</v>
      </c>
      <c r="F359" s="71">
        <v>6</v>
      </c>
      <c r="G359" s="109">
        <v>360.54</v>
      </c>
      <c r="H359" s="110">
        <v>240.36</v>
      </c>
      <c r="I359" s="111">
        <v>3</v>
      </c>
      <c r="J359" s="110">
        <v>120.18</v>
      </c>
      <c r="K359" s="111"/>
    </row>
    <row r="360" spans="2:11">
      <c r="B360" s="115" t="s">
        <v>922</v>
      </c>
      <c r="C360" s="115" t="s">
        <v>1075</v>
      </c>
      <c r="D360" s="115" t="s">
        <v>1217</v>
      </c>
      <c r="E360" s="115">
        <v>8</v>
      </c>
      <c r="F360" s="71"/>
      <c r="G360" s="109">
        <v>572</v>
      </c>
      <c r="H360" s="110">
        <v>0</v>
      </c>
      <c r="I360" s="111">
        <v>8</v>
      </c>
      <c r="J360" s="110">
        <v>572</v>
      </c>
      <c r="K360" s="111"/>
    </row>
    <row r="361" spans="2:11">
      <c r="B361" s="115" t="s">
        <v>923</v>
      </c>
      <c r="C361" s="115" t="s">
        <v>1076</v>
      </c>
      <c r="D361" s="115" t="s">
        <v>1217</v>
      </c>
      <c r="E361" s="115">
        <v>3</v>
      </c>
      <c r="F361" s="71"/>
      <c r="G361" s="109">
        <v>214.5</v>
      </c>
      <c r="H361" s="110">
        <v>0</v>
      </c>
      <c r="I361" s="111">
        <v>3</v>
      </c>
      <c r="J361" s="110">
        <v>214.5</v>
      </c>
      <c r="K361" s="111"/>
    </row>
    <row r="362" spans="2:11">
      <c r="B362" s="115" t="s">
        <v>924</v>
      </c>
      <c r="C362" s="115" t="s">
        <v>1077</v>
      </c>
      <c r="D362" s="115" t="s">
        <v>1217</v>
      </c>
      <c r="E362" s="115">
        <v>6</v>
      </c>
      <c r="F362" s="71"/>
      <c r="G362" s="109">
        <v>429</v>
      </c>
      <c r="H362" s="110">
        <v>0</v>
      </c>
      <c r="I362" s="111">
        <v>6</v>
      </c>
      <c r="J362" s="110">
        <v>429</v>
      </c>
      <c r="K362" s="111"/>
    </row>
    <row r="363" spans="2:11">
      <c r="B363" s="115" t="s">
        <v>925</v>
      </c>
      <c r="C363" s="115" t="s">
        <v>1078</v>
      </c>
      <c r="D363" s="115" t="s">
        <v>1218</v>
      </c>
      <c r="E363" s="115">
        <v>3</v>
      </c>
      <c r="F363" s="71"/>
      <c r="G363" s="109">
        <v>231</v>
      </c>
      <c r="H363" s="110">
        <v>0</v>
      </c>
      <c r="I363" s="111">
        <v>3</v>
      </c>
      <c r="J363" s="110">
        <v>231</v>
      </c>
      <c r="K363" s="111"/>
    </row>
    <row r="364" spans="2:11">
      <c r="B364" s="115" t="s">
        <v>926</v>
      </c>
      <c r="C364" s="115" t="s">
        <v>1079</v>
      </c>
      <c r="D364" s="115" t="s">
        <v>1218</v>
      </c>
      <c r="E364" s="115">
        <v>1</v>
      </c>
      <c r="F364" s="71"/>
      <c r="G364" s="109">
        <v>77</v>
      </c>
      <c r="H364" s="110">
        <v>0</v>
      </c>
      <c r="I364" s="111">
        <v>1</v>
      </c>
      <c r="J364" s="110">
        <v>77</v>
      </c>
      <c r="K364" s="111"/>
    </row>
    <row r="365" spans="2:11">
      <c r="B365" s="115" t="s">
        <v>927</v>
      </c>
      <c r="C365" s="115" t="s">
        <v>1080</v>
      </c>
      <c r="D365" s="115" t="s">
        <v>1219</v>
      </c>
      <c r="E365" s="115">
        <v>2</v>
      </c>
      <c r="F365" s="71"/>
      <c r="G365" s="109">
        <v>144.84</v>
      </c>
      <c r="H365" s="110">
        <v>0</v>
      </c>
      <c r="I365" s="111">
        <v>2</v>
      </c>
      <c r="J365" s="110">
        <v>144.84</v>
      </c>
      <c r="K365" s="111"/>
    </row>
    <row r="366" spans="2:11">
      <c r="B366" s="115" t="s">
        <v>928</v>
      </c>
      <c r="C366" s="115" t="s">
        <v>1081</v>
      </c>
      <c r="D366" s="115" t="s">
        <v>3636</v>
      </c>
      <c r="E366" s="115">
        <v>6</v>
      </c>
      <c r="F366" s="71">
        <v>4</v>
      </c>
      <c r="G366" s="109">
        <v>249</v>
      </c>
      <c r="H366" s="110">
        <v>166</v>
      </c>
      <c r="I366" s="111">
        <v>2</v>
      </c>
      <c r="J366" s="110">
        <v>83</v>
      </c>
      <c r="K366" s="111"/>
    </row>
    <row r="367" spans="2:11">
      <c r="B367" s="115" t="s">
        <v>928</v>
      </c>
      <c r="C367" s="115" t="s">
        <v>1081</v>
      </c>
      <c r="D367" s="115" t="s">
        <v>1220</v>
      </c>
      <c r="E367" s="115">
        <v>17</v>
      </c>
      <c r="F367" s="71"/>
      <c r="G367" s="109">
        <v>683.91</v>
      </c>
      <c r="H367" s="110">
        <v>0</v>
      </c>
      <c r="I367" s="111">
        <v>17</v>
      </c>
      <c r="J367" s="110">
        <v>683.91</v>
      </c>
      <c r="K367" s="111"/>
    </row>
    <row r="368" spans="2:11">
      <c r="B368" s="115" t="s">
        <v>929</v>
      </c>
      <c r="C368" s="115" t="s">
        <v>1082</v>
      </c>
      <c r="D368" s="115" t="s">
        <v>1221</v>
      </c>
      <c r="E368" s="115">
        <v>1</v>
      </c>
      <c r="F368" s="71"/>
      <c r="G368" s="109">
        <v>183.75</v>
      </c>
      <c r="H368" s="110">
        <v>0</v>
      </c>
      <c r="I368" s="111">
        <v>1</v>
      </c>
      <c r="J368" s="110">
        <v>183.75</v>
      </c>
      <c r="K368" s="111"/>
    </row>
    <row r="369" spans="2:11">
      <c r="B369" s="115" t="s">
        <v>930</v>
      </c>
      <c r="C369" s="115" t="s">
        <v>1083</v>
      </c>
      <c r="D369" s="115" t="s">
        <v>1222</v>
      </c>
      <c r="E369" s="115">
        <v>99</v>
      </c>
      <c r="F369" s="71"/>
      <c r="G369" s="109">
        <v>673.19999999999993</v>
      </c>
      <c r="H369" s="110">
        <v>0</v>
      </c>
      <c r="I369" s="111">
        <v>99</v>
      </c>
      <c r="J369" s="110">
        <v>673.19999999999993</v>
      </c>
      <c r="K369" s="111"/>
    </row>
    <row r="370" spans="2:11">
      <c r="B370" s="115" t="s">
        <v>931</v>
      </c>
      <c r="C370" s="115" t="s">
        <v>1084</v>
      </c>
      <c r="D370" s="115" t="s">
        <v>1222</v>
      </c>
      <c r="E370" s="115">
        <v>13</v>
      </c>
      <c r="F370" s="71">
        <v>4</v>
      </c>
      <c r="G370" s="109">
        <v>88.399999999999991</v>
      </c>
      <c r="H370" s="110">
        <v>27.2</v>
      </c>
      <c r="I370" s="111">
        <v>9</v>
      </c>
      <c r="J370" s="110">
        <v>61.199999999999989</v>
      </c>
      <c r="K370" s="111"/>
    </row>
    <row r="371" spans="2:11">
      <c r="B371" s="115" t="s">
        <v>932</v>
      </c>
      <c r="C371" s="115" t="s">
        <v>1085</v>
      </c>
      <c r="D371" s="115" t="s">
        <v>1223</v>
      </c>
      <c r="E371" s="115">
        <v>8</v>
      </c>
      <c r="F371" s="71">
        <v>3</v>
      </c>
      <c r="G371" s="109">
        <v>430.96</v>
      </c>
      <c r="H371" s="110">
        <v>161.60999999999999</v>
      </c>
      <c r="I371" s="111">
        <v>5</v>
      </c>
      <c r="J371" s="110">
        <v>269.35000000000002</v>
      </c>
      <c r="K371" s="111"/>
    </row>
    <row r="372" spans="2:11">
      <c r="B372" s="115" t="s">
        <v>933</v>
      </c>
      <c r="C372" s="115" t="s">
        <v>1086</v>
      </c>
      <c r="D372" s="115" t="s">
        <v>1223</v>
      </c>
      <c r="E372" s="115">
        <v>1</v>
      </c>
      <c r="F372" s="71"/>
      <c r="G372" s="109">
        <v>53.87</v>
      </c>
      <c r="H372" s="110">
        <v>0</v>
      </c>
      <c r="I372" s="111">
        <v>1</v>
      </c>
      <c r="J372" s="110">
        <v>53.87</v>
      </c>
      <c r="K372" s="111"/>
    </row>
    <row r="373" spans="2:11">
      <c r="B373" s="115" t="s">
        <v>935</v>
      </c>
      <c r="C373" s="115" t="s">
        <v>1088</v>
      </c>
      <c r="D373" s="115" t="s">
        <v>1153</v>
      </c>
      <c r="E373" s="115">
        <v>14</v>
      </c>
      <c r="F373" s="71">
        <v>12</v>
      </c>
      <c r="G373" s="109">
        <v>98.839999999999989</v>
      </c>
      <c r="H373" s="110">
        <v>84.72</v>
      </c>
      <c r="I373" s="111">
        <v>2</v>
      </c>
      <c r="J373" s="110">
        <v>14.11999999999999</v>
      </c>
      <c r="K373" s="111"/>
    </row>
    <row r="374" spans="2:11">
      <c r="B374" s="115" t="s">
        <v>936</v>
      </c>
      <c r="C374" s="115" t="s">
        <v>1089</v>
      </c>
      <c r="D374" s="115" t="s">
        <v>1153</v>
      </c>
      <c r="E374" s="115">
        <v>6</v>
      </c>
      <c r="F374" s="71"/>
      <c r="G374" s="109">
        <v>42.36</v>
      </c>
      <c r="H374" s="110">
        <v>0</v>
      </c>
      <c r="I374" s="111">
        <v>6</v>
      </c>
      <c r="J374" s="110">
        <v>42.36</v>
      </c>
      <c r="K374" s="111"/>
    </row>
    <row r="375" spans="2:11">
      <c r="B375" s="115" t="s">
        <v>938</v>
      </c>
      <c r="C375" s="115" t="s">
        <v>1091</v>
      </c>
      <c r="D375" s="115" t="s">
        <v>1225</v>
      </c>
      <c r="E375" s="115">
        <v>1</v>
      </c>
      <c r="F375" s="71"/>
      <c r="G375" s="109">
        <v>21.25</v>
      </c>
      <c r="H375" s="110">
        <v>0</v>
      </c>
      <c r="I375" s="111">
        <v>1</v>
      </c>
      <c r="J375" s="110">
        <v>21.25</v>
      </c>
      <c r="K375" s="111"/>
    </row>
    <row r="376" spans="2:11">
      <c r="B376" s="115" t="s">
        <v>940</v>
      </c>
      <c r="C376" s="115" t="s">
        <v>1093</v>
      </c>
      <c r="D376" s="115" t="s">
        <v>1226</v>
      </c>
      <c r="E376" s="115">
        <v>9</v>
      </c>
      <c r="F376" s="71">
        <v>4</v>
      </c>
      <c r="G376" s="109">
        <v>835.19999999999993</v>
      </c>
      <c r="H376" s="110">
        <v>371.2</v>
      </c>
      <c r="I376" s="111">
        <v>5</v>
      </c>
      <c r="J376" s="110">
        <v>463.99999999999994</v>
      </c>
      <c r="K376" s="111"/>
    </row>
    <row r="377" spans="2:11">
      <c r="B377" s="115" t="s">
        <v>942</v>
      </c>
      <c r="C377" s="115" t="s">
        <v>1095</v>
      </c>
      <c r="D377" s="115" t="s">
        <v>1228</v>
      </c>
      <c r="E377" s="115">
        <v>1</v>
      </c>
      <c r="F377" s="71"/>
      <c r="G377" s="109">
        <v>96</v>
      </c>
      <c r="H377" s="110">
        <v>0</v>
      </c>
      <c r="I377" s="111">
        <v>1</v>
      </c>
      <c r="J377" s="110">
        <v>96</v>
      </c>
      <c r="K377" s="111"/>
    </row>
    <row r="378" spans="2:11">
      <c r="B378" s="115" t="s">
        <v>943</v>
      </c>
      <c r="C378" s="115" t="s">
        <v>1096</v>
      </c>
      <c r="D378" s="115" t="s">
        <v>1229</v>
      </c>
      <c r="E378" s="115">
        <v>18</v>
      </c>
      <c r="F378" s="71"/>
      <c r="G378" s="109">
        <v>1494</v>
      </c>
      <c r="H378" s="110">
        <v>0</v>
      </c>
      <c r="I378" s="111">
        <v>18</v>
      </c>
      <c r="J378" s="110">
        <v>1494</v>
      </c>
      <c r="K378" s="111"/>
    </row>
    <row r="379" spans="2:11">
      <c r="B379" s="115" t="s">
        <v>944</v>
      </c>
      <c r="C379" s="115" t="s">
        <v>1097</v>
      </c>
      <c r="D379" s="115" t="s">
        <v>1230</v>
      </c>
      <c r="E379" s="115">
        <v>24</v>
      </c>
      <c r="F379" s="71">
        <v>1</v>
      </c>
      <c r="G379" s="109">
        <v>136.32</v>
      </c>
      <c r="H379" s="110">
        <v>5.68</v>
      </c>
      <c r="I379" s="111">
        <v>23</v>
      </c>
      <c r="J379" s="110">
        <v>130.63999999999999</v>
      </c>
      <c r="K379" s="111"/>
    </row>
    <row r="380" spans="2:11">
      <c r="B380" s="115" t="s">
        <v>946</v>
      </c>
      <c r="C380" s="115" t="s">
        <v>1099</v>
      </c>
      <c r="D380" s="115" t="s">
        <v>1155</v>
      </c>
      <c r="E380" s="115">
        <v>3</v>
      </c>
      <c r="F380" s="71">
        <v>2</v>
      </c>
      <c r="G380" s="109">
        <v>178.5</v>
      </c>
      <c r="H380" s="110">
        <v>119</v>
      </c>
      <c r="I380" s="111">
        <v>1</v>
      </c>
      <c r="J380" s="110">
        <v>59.5</v>
      </c>
      <c r="K380" s="111"/>
    </row>
    <row r="381" spans="2:11">
      <c r="B381" s="115" t="s">
        <v>947</v>
      </c>
      <c r="C381" s="115" t="s">
        <v>1100</v>
      </c>
      <c r="D381" s="115" t="s">
        <v>1232</v>
      </c>
      <c r="E381" s="115">
        <v>3</v>
      </c>
      <c r="F381" s="71">
        <v>1</v>
      </c>
      <c r="G381" s="109">
        <v>30</v>
      </c>
      <c r="H381" s="110">
        <v>10</v>
      </c>
      <c r="I381" s="111">
        <v>2</v>
      </c>
      <c r="J381" s="110">
        <v>20</v>
      </c>
      <c r="K381" s="111"/>
    </row>
    <row r="382" spans="2:11">
      <c r="B382" s="115" t="s">
        <v>948</v>
      </c>
      <c r="C382" s="115" t="s">
        <v>1101</v>
      </c>
      <c r="D382" s="115" t="s">
        <v>1233</v>
      </c>
      <c r="E382" s="115">
        <v>39</v>
      </c>
      <c r="F382" s="71">
        <v>1</v>
      </c>
      <c r="G382" s="109">
        <v>229.32</v>
      </c>
      <c r="H382" s="110">
        <v>5.88</v>
      </c>
      <c r="I382" s="111">
        <v>38</v>
      </c>
      <c r="J382" s="110">
        <v>223.44</v>
      </c>
      <c r="K382" s="111"/>
    </row>
    <row r="383" spans="2:11">
      <c r="B383" s="115" t="s">
        <v>949</v>
      </c>
      <c r="C383" s="115" t="s">
        <v>1102</v>
      </c>
      <c r="D383" s="115" t="s">
        <v>1231</v>
      </c>
      <c r="E383" s="115">
        <v>5</v>
      </c>
      <c r="F383" s="71">
        <v>4</v>
      </c>
      <c r="G383" s="109">
        <v>294</v>
      </c>
      <c r="H383" s="110">
        <v>235.2</v>
      </c>
      <c r="I383" s="111">
        <v>1</v>
      </c>
      <c r="J383" s="110">
        <v>58.800000000000011</v>
      </c>
      <c r="K383" s="111"/>
    </row>
    <row r="384" spans="2:11">
      <c r="B384" s="115" t="s">
        <v>950</v>
      </c>
      <c r="C384" s="115" t="s">
        <v>1103</v>
      </c>
      <c r="D384" s="115" t="s">
        <v>1234</v>
      </c>
      <c r="E384" s="115">
        <v>1</v>
      </c>
      <c r="F384" s="71"/>
      <c r="G384" s="109">
        <v>219.5</v>
      </c>
      <c r="H384" s="110">
        <v>0</v>
      </c>
      <c r="I384" s="111">
        <v>1</v>
      </c>
      <c r="J384" s="110">
        <v>219.5</v>
      </c>
      <c r="K384" s="111"/>
    </row>
    <row r="385" spans="2:11">
      <c r="B385" s="115" t="s">
        <v>952</v>
      </c>
      <c r="C385" s="115" t="s">
        <v>1105</v>
      </c>
      <c r="D385" s="115" t="s">
        <v>1235</v>
      </c>
      <c r="E385" s="115">
        <v>7</v>
      </c>
      <c r="F385" s="71"/>
      <c r="G385" s="109">
        <v>85.75</v>
      </c>
      <c r="H385" s="110">
        <v>0</v>
      </c>
      <c r="I385" s="111">
        <v>7</v>
      </c>
      <c r="J385" s="110">
        <v>85.75</v>
      </c>
      <c r="K385" s="111"/>
    </row>
    <row r="386" spans="2:11">
      <c r="B386" s="115" t="s">
        <v>953</v>
      </c>
      <c r="C386" s="115" t="s">
        <v>1106</v>
      </c>
      <c r="D386" s="115" t="s">
        <v>1236</v>
      </c>
      <c r="E386" s="115">
        <v>6</v>
      </c>
      <c r="F386" s="71">
        <v>4</v>
      </c>
      <c r="G386" s="109">
        <v>303</v>
      </c>
      <c r="H386" s="110">
        <v>202</v>
      </c>
      <c r="I386" s="111">
        <v>2</v>
      </c>
      <c r="J386" s="110">
        <v>101</v>
      </c>
      <c r="K386" s="111"/>
    </row>
    <row r="387" spans="2:11">
      <c r="B387" s="115" t="s">
        <v>954</v>
      </c>
      <c r="C387" s="115" t="s">
        <v>1107</v>
      </c>
      <c r="D387" s="115" t="s">
        <v>1235</v>
      </c>
      <c r="E387" s="115">
        <v>16</v>
      </c>
      <c r="F387" s="71"/>
      <c r="G387" s="109">
        <v>196</v>
      </c>
      <c r="H387" s="110">
        <v>0</v>
      </c>
      <c r="I387" s="111">
        <v>16</v>
      </c>
      <c r="J387" s="110">
        <v>196</v>
      </c>
      <c r="K387" s="111"/>
    </row>
    <row r="388" spans="2:11">
      <c r="B388" s="115" t="s">
        <v>956</v>
      </c>
      <c r="C388" s="115" t="s">
        <v>1109</v>
      </c>
      <c r="D388" s="115" t="s">
        <v>1235</v>
      </c>
      <c r="E388" s="115">
        <v>2</v>
      </c>
      <c r="F388" s="71"/>
      <c r="G388" s="109">
        <v>24.5</v>
      </c>
      <c r="H388" s="110">
        <v>0</v>
      </c>
      <c r="I388" s="111">
        <v>2</v>
      </c>
      <c r="J388" s="110">
        <v>24.5</v>
      </c>
      <c r="K388" s="111"/>
    </row>
    <row r="389" spans="2:11">
      <c r="B389" s="115" t="s">
        <v>959</v>
      </c>
      <c r="C389" s="115" t="s">
        <v>1112</v>
      </c>
      <c r="D389" s="115" t="s">
        <v>1237</v>
      </c>
      <c r="E389" s="115">
        <v>2</v>
      </c>
      <c r="F389" s="71">
        <v>1</v>
      </c>
      <c r="G389" s="109">
        <v>134.56</v>
      </c>
      <c r="H389" s="110">
        <v>67.28</v>
      </c>
      <c r="I389" s="111">
        <v>1</v>
      </c>
      <c r="J389" s="110">
        <v>67.28</v>
      </c>
      <c r="K389" s="111"/>
    </row>
    <row r="390" spans="2:11">
      <c r="B390" s="115" t="s">
        <v>961</v>
      </c>
      <c r="C390" s="115" t="s">
        <v>1114</v>
      </c>
      <c r="D390" s="115" t="s">
        <v>1239</v>
      </c>
      <c r="E390" s="115">
        <v>1</v>
      </c>
      <c r="F390" s="71"/>
      <c r="G390" s="109">
        <v>5.36</v>
      </c>
      <c r="H390" s="110">
        <v>0</v>
      </c>
      <c r="I390" s="111">
        <v>1</v>
      </c>
      <c r="J390" s="110">
        <v>5.36</v>
      </c>
      <c r="K390" s="111"/>
    </row>
    <row r="391" spans="2:11">
      <c r="B391" s="115" t="s">
        <v>962</v>
      </c>
      <c r="C391" s="115" t="s">
        <v>1115</v>
      </c>
      <c r="D391" s="115" t="s">
        <v>1240</v>
      </c>
      <c r="E391" s="115">
        <v>1</v>
      </c>
      <c r="F391" s="71"/>
      <c r="G391" s="109">
        <v>6.4</v>
      </c>
      <c r="H391" s="110">
        <v>0</v>
      </c>
      <c r="I391" s="111">
        <v>1</v>
      </c>
      <c r="J391" s="110">
        <v>6.4</v>
      </c>
      <c r="K391" s="111"/>
    </row>
    <row r="392" spans="2:11">
      <c r="B392" s="115" t="s">
        <v>963</v>
      </c>
      <c r="C392" s="115" t="s">
        <v>1116</v>
      </c>
      <c r="D392" s="115" t="s">
        <v>1206</v>
      </c>
      <c r="E392" s="115">
        <v>8</v>
      </c>
      <c r="F392" s="71"/>
      <c r="G392" s="109">
        <v>79.36</v>
      </c>
      <c r="H392" s="110">
        <v>0</v>
      </c>
      <c r="I392" s="111">
        <v>8</v>
      </c>
      <c r="J392" s="110">
        <v>79.36</v>
      </c>
      <c r="K392" s="111"/>
    </row>
    <row r="393" spans="2:11">
      <c r="B393" s="115" t="s">
        <v>964</v>
      </c>
      <c r="C393" s="115" t="s">
        <v>1117</v>
      </c>
      <c r="D393" s="115" t="s">
        <v>1214</v>
      </c>
      <c r="E393" s="115">
        <v>16</v>
      </c>
      <c r="F393" s="71"/>
      <c r="G393" s="109">
        <v>907.36</v>
      </c>
      <c r="H393" s="110">
        <v>0</v>
      </c>
      <c r="I393" s="111">
        <v>16</v>
      </c>
      <c r="J393" s="110">
        <v>907.36</v>
      </c>
      <c r="K393" s="111"/>
    </row>
    <row r="394" spans="2:11">
      <c r="B394" s="115" t="s">
        <v>965</v>
      </c>
      <c r="C394" s="115" t="s">
        <v>1118</v>
      </c>
      <c r="D394" s="115" t="s">
        <v>1241</v>
      </c>
      <c r="E394" s="115">
        <v>1</v>
      </c>
      <c r="F394" s="71"/>
      <c r="G394" s="109">
        <v>59.51</v>
      </c>
      <c r="H394" s="110">
        <v>0</v>
      </c>
      <c r="I394" s="111">
        <v>1</v>
      </c>
      <c r="J394" s="110">
        <v>59.51</v>
      </c>
      <c r="K394" s="111"/>
    </row>
    <row r="395" spans="2:11">
      <c r="B395" s="115" t="s">
        <v>966</v>
      </c>
      <c r="C395" s="115" t="s">
        <v>1119</v>
      </c>
      <c r="D395" s="115" t="s">
        <v>1241</v>
      </c>
      <c r="E395" s="115">
        <v>33</v>
      </c>
      <c r="F395" s="71">
        <v>6</v>
      </c>
      <c r="G395" s="109">
        <v>1963.83</v>
      </c>
      <c r="H395" s="110">
        <v>357.06</v>
      </c>
      <c r="I395" s="111">
        <v>27</v>
      </c>
      <c r="J395" s="110">
        <v>1606.77</v>
      </c>
      <c r="K395" s="111"/>
    </row>
    <row r="396" spans="2:11">
      <c r="B396" s="115" t="s">
        <v>967</v>
      </c>
      <c r="C396" s="115" t="s">
        <v>1120</v>
      </c>
      <c r="D396" s="115" t="s">
        <v>1242</v>
      </c>
      <c r="E396" s="115">
        <v>1</v>
      </c>
      <c r="F396" s="71"/>
      <c r="G396" s="109">
        <v>76.94</v>
      </c>
      <c r="H396" s="110">
        <v>0</v>
      </c>
      <c r="I396" s="111">
        <v>1</v>
      </c>
      <c r="J396" s="110">
        <v>76.94</v>
      </c>
      <c r="K396" s="111"/>
    </row>
    <row r="397" spans="2:11">
      <c r="B397" s="115" t="s">
        <v>968</v>
      </c>
      <c r="C397" s="115" t="s">
        <v>1121</v>
      </c>
      <c r="D397" s="115" t="s">
        <v>1176</v>
      </c>
      <c r="E397" s="115">
        <v>7</v>
      </c>
      <c r="F397" s="71"/>
      <c r="G397" s="109">
        <v>397.53</v>
      </c>
      <c r="H397" s="110">
        <v>0</v>
      </c>
      <c r="I397" s="111">
        <v>7</v>
      </c>
      <c r="J397" s="110">
        <v>397.53</v>
      </c>
      <c r="K397" s="111"/>
    </row>
    <row r="398" spans="2:11">
      <c r="B398" s="115" t="s">
        <v>969</v>
      </c>
      <c r="C398" s="115" t="s">
        <v>1122</v>
      </c>
      <c r="D398" s="115" t="s">
        <v>1176</v>
      </c>
      <c r="E398" s="115">
        <v>6</v>
      </c>
      <c r="F398" s="71"/>
      <c r="G398" s="109">
        <v>340.74</v>
      </c>
      <c r="H398" s="110">
        <v>0</v>
      </c>
      <c r="I398" s="111">
        <v>6</v>
      </c>
      <c r="J398" s="110">
        <v>340.74</v>
      </c>
      <c r="K398" s="111"/>
    </row>
    <row r="399" spans="2:11">
      <c r="B399" s="115" t="s">
        <v>970</v>
      </c>
      <c r="C399" s="115" t="s">
        <v>1123</v>
      </c>
      <c r="D399" s="115" t="s">
        <v>1243</v>
      </c>
      <c r="E399" s="115">
        <v>13</v>
      </c>
      <c r="F399" s="71"/>
      <c r="G399" s="109">
        <v>786.5</v>
      </c>
      <c r="H399" s="110">
        <v>0</v>
      </c>
      <c r="I399" s="111">
        <v>13</v>
      </c>
      <c r="J399" s="110">
        <v>786.5</v>
      </c>
      <c r="K399" s="111"/>
    </row>
    <row r="400" spans="2:11">
      <c r="B400" s="115" t="s">
        <v>971</v>
      </c>
      <c r="C400" s="115" t="s">
        <v>1124</v>
      </c>
      <c r="D400" s="115" t="s">
        <v>1208</v>
      </c>
      <c r="E400" s="115">
        <v>40</v>
      </c>
      <c r="F400" s="71"/>
      <c r="G400" s="109">
        <v>2167.6</v>
      </c>
      <c r="H400" s="110">
        <v>0</v>
      </c>
      <c r="I400" s="111">
        <v>40</v>
      </c>
      <c r="J400" s="110">
        <v>2167.6</v>
      </c>
      <c r="K400" s="111"/>
    </row>
    <row r="401" spans="2:11">
      <c r="B401" s="115" t="s">
        <v>972</v>
      </c>
      <c r="C401" s="115" t="s">
        <v>1125</v>
      </c>
      <c r="D401" s="115" t="s">
        <v>1208</v>
      </c>
      <c r="E401" s="115">
        <v>20</v>
      </c>
      <c r="F401" s="71"/>
      <c r="G401" s="109">
        <v>1083.8</v>
      </c>
      <c r="H401" s="110">
        <v>0</v>
      </c>
      <c r="I401" s="111">
        <v>20</v>
      </c>
      <c r="J401" s="110">
        <v>1083.8</v>
      </c>
      <c r="K401" s="111"/>
    </row>
    <row r="402" spans="2:11">
      <c r="B402" s="115" t="s">
        <v>973</v>
      </c>
      <c r="C402" s="115" t="s">
        <v>1126</v>
      </c>
      <c r="D402" s="115" t="s">
        <v>1176</v>
      </c>
      <c r="E402" s="115">
        <v>7</v>
      </c>
      <c r="F402" s="71"/>
      <c r="G402" s="109">
        <v>397.53</v>
      </c>
      <c r="H402" s="110">
        <v>0</v>
      </c>
      <c r="I402" s="111">
        <v>7</v>
      </c>
      <c r="J402" s="110">
        <v>397.53</v>
      </c>
      <c r="K402" s="111"/>
    </row>
    <row r="403" spans="2:11">
      <c r="B403" s="115" t="s">
        <v>974</v>
      </c>
      <c r="C403" s="115" t="s">
        <v>1127</v>
      </c>
      <c r="D403" s="115" t="s">
        <v>1176</v>
      </c>
      <c r="E403" s="115">
        <v>7</v>
      </c>
      <c r="F403" s="71"/>
      <c r="G403" s="109">
        <v>397.53</v>
      </c>
      <c r="H403" s="110">
        <v>0</v>
      </c>
      <c r="I403" s="111">
        <v>7</v>
      </c>
      <c r="J403" s="110">
        <v>397.53</v>
      </c>
      <c r="K403" s="111"/>
    </row>
    <row r="404" spans="2:11">
      <c r="B404" s="115" t="s">
        <v>975</v>
      </c>
      <c r="C404" s="115" t="s">
        <v>1128</v>
      </c>
      <c r="D404" s="115" t="s">
        <v>1176</v>
      </c>
      <c r="E404" s="115">
        <v>9</v>
      </c>
      <c r="F404" s="71"/>
      <c r="G404" s="109">
        <v>511.11</v>
      </c>
      <c r="H404" s="110">
        <v>0</v>
      </c>
      <c r="I404" s="111">
        <v>9</v>
      </c>
      <c r="J404" s="110">
        <v>511.11</v>
      </c>
      <c r="K404" s="111"/>
    </row>
    <row r="405" spans="2:11">
      <c r="B405" s="115" t="s">
        <v>976</v>
      </c>
      <c r="C405" s="115" t="s">
        <v>1129</v>
      </c>
      <c r="D405" s="115" t="s">
        <v>1206</v>
      </c>
      <c r="E405" s="115">
        <v>8</v>
      </c>
      <c r="F405" s="71">
        <v>5</v>
      </c>
      <c r="G405" s="109">
        <v>79.36</v>
      </c>
      <c r="H405" s="110">
        <v>49.6</v>
      </c>
      <c r="I405" s="111">
        <v>3</v>
      </c>
      <c r="J405" s="110">
        <v>29.759999999999998</v>
      </c>
      <c r="K405" s="111"/>
    </row>
    <row r="406" spans="2:11">
      <c r="B406" s="115" t="s">
        <v>977</v>
      </c>
      <c r="C406" s="115" t="s">
        <v>1130</v>
      </c>
      <c r="D406" s="115" t="s">
        <v>1244</v>
      </c>
      <c r="E406" s="115">
        <v>14</v>
      </c>
      <c r="F406" s="71"/>
      <c r="G406" s="109">
        <v>770</v>
      </c>
      <c r="H406" s="110">
        <v>0</v>
      </c>
      <c r="I406" s="111">
        <v>14</v>
      </c>
      <c r="J406" s="110">
        <v>770</v>
      </c>
      <c r="K406" s="111"/>
    </row>
    <row r="407" spans="2:11">
      <c r="B407" s="115" t="s">
        <v>978</v>
      </c>
      <c r="C407" s="115" t="s">
        <v>1131</v>
      </c>
      <c r="D407" s="115" t="s">
        <v>1244</v>
      </c>
      <c r="E407" s="115">
        <v>16</v>
      </c>
      <c r="F407" s="71"/>
      <c r="G407" s="109">
        <v>880</v>
      </c>
      <c r="H407" s="110">
        <v>0</v>
      </c>
      <c r="I407" s="111">
        <v>16</v>
      </c>
      <c r="J407" s="110">
        <v>880</v>
      </c>
      <c r="K407" s="111"/>
    </row>
    <row r="408" spans="2:11">
      <c r="B408" s="115" t="s">
        <v>979</v>
      </c>
      <c r="C408" s="115" t="s">
        <v>1132</v>
      </c>
      <c r="D408" s="115" t="s">
        <v>1206</v>
      </c>
      <c r="E408" s="115">
        <v>9</v>
      </c>
      <c r="F408" s="71"/>
      <c r="G408" s="109">
        <v>89.28</v>
      </c>
      <c r="H408" s="110">
        <v>0</v>
      </c>
      <c r="I408" s="111">
        <v>9</v>
      </c>
      <c r="J408" s="110">
        <v>89.28</v>
      </c>
      <c r="K408" s="111"/>
    </row>
    <row r="409" spans="2:11">
      <c r="B409" s="115" t="s">
        <v>980</v>
      </c>
      <c r="C409" s="115" t="s">
        <v>1133</v>
      </c>
      <c r="D409" s="115" t="s">
        <v>1206</v>
      </c>
      <c r="E409" s="115">
        <v>2</v>
      </c>
      <c r="F409" s="71"/>
      <c r="G409" s="109">
        <v>19.84</v>
      </c>
      <c r="H409" s="110">
        <v>0</v>
      </c>
      <c r="I409" s="111">
        <v>2</v>
      </c>
      <c r="J409" s="110">
        <v>19.84</v>
      </c>
      <c r="K409" s="111"/>
    </row>
    <row r="410" spans="2:11">
      <c r="B410" s="115" t="s">
        <v>981</v>
      </c>
      <c r="C410" s="115" t="s">
        <v>1134</v>
      </c>
      <c r="D410" s="115" t="s">
        <v>1245</v>
      </c>
      <c r="E410" s="115">
        <v>7</v>
      </c>
      <c r="F410" s="71">
        <v>2</v>
      </c>
      <c r="G410" s="109">
        <v>421.75</v>
      </c>
      <c r="H410" s="110">
        <v>120.5</v>
      </c>
      <c r="I410" s="111">
        <v>5</v>
      </c>
      <c r="J410" s="110">
        <v>301.25</v>
      </c>
      <c r="K410" s="111"/>
    </row>
    <row r="411" spans="2:11">
      <c r="B411" s="115" t="s">
        <v>982</v>
      </c>
      <c r="C411" s="115" t="s">
        <v>1135</v>
      </c>
      <c r="D411" s="115" t="s">
        <v>1246</v>
      </c>
      <c r="E411" s="115">
        <v>6</v>
      </c>
      <c r="F411" s="71">
        <v>1</v>
      </c>
      <c r="G411" s="109">
        <v>384</v>
      </c>
      <c r="H411" s="110">
        <v>64</v>
      </c>
      <c r="I411" s="111">
        <v>5</v>
      </c>
      <c r="J411" s="110">
        <v>320</v>
      </c>
      <c r="K411" s="111"/>
    </row>
    <row r="412" spans="2:11">
      <c r="B412" s="115" t="s">
        <v>984</v>
      </c>
      <c r="C412" s="115" t="s">
        <v>1137</v>
      </c>
      <c r="D412" s="115" t="s">
        <v>1248</v>
      </c>
      <c r="E412" s="115">
        <v>2</v>
      </c>
      <c r="F412" s="71"/>
      <c r="G412" s="109">
        <v>254.5</v>
      </c>
      <c r="H412" s="110">
        <v>0</v>
      </c>
      <c r="I412" s="111">
        <v>2</v>
      </c>
      <c r="J412" s="110">
        <v>254.5</v>
      </c>
      <c r="K412" s="111"/>
    </row>
    <row r="413" spans="2:11">
      <c r="B413" s="115" t="s">
        <v>987</v>
      </c>
      <c r="C413" s="115" t="s">
        <v>1140</v>
      </c>
      <c r="D413" s="115" t="s">
        <v>1249</v>
      </c>
      <c r="E413" s="115">
        <v>1</v>
      </c>
      <c r="F413" s="71"/>
      <c r="G413" s="109">
        <v>64.900000000000006</v>
      </c>
      <c r="H413" s="110">
        <v>0</v>
      </c>
      <c r="I413" s="111">
        <v>1</v>
      </c>
      <c r="J413" s="110">
        <v>64.900000000000006</v>
      </c>
      <c r="K413" s="111"/>
    </row>
    <row r="414" spans="2:11">
      <c r="B414" s="115" t="s">
        <v>988</v>
      </c>
      <c r="C414" s="115" t="s">
        <v>1141</v>
      </c>
      <c r="D414" s="115" t="s">
        <v>1245</v>
      </c>
      <c r="E414" s="115">
        <v>4</v>
      </c>
      <c r="F414" s="71">
        <v>1</v>
      </c>
      <c r="G414" s="109">
        <v>241</v>
      </c>
      <c r="H414" s="110">
        <v>60.25</v>
      </c>
      <c r="I414" s="111">
        <v>3</v>
      </c>
      <c r="J414" s="110">
        <v>180.75</v>
      </c>
      <c r="K414" s="111"/>
    </row>
    <row r="415" spans="2:11">
      <c r="B415" s="115" t="s">
        <v>989</v>
      </c>
      <c r="C415" s="115" t="s">
        <v>1142</v>
      </c>
      <c r="D415" s="115" t="s">
        <v>1246</v>
      </c>
      <c r="E415" s="115">
        <v>6</v>
      </c>
      <c r="F415" s="71">
        <v>3</v>
      </c>
      <c r="G415" s="109">
        <v>384</v>
      </c>
      <c r="H415" s="110">
        <v>192</v>
      </c>
      <c r="I415" s="111">
        <v>3</v>
      </c>
      <c r="J415" s="110">
        <v>192</v>
      </c>
      <c r="K415" s="111"/>
    </row>
    <row r="416" spans="2:11">
      <c r="B416" s="115" t="s">
        <v>991</v>
      </c>
      <c r="C416" s="115" t="s">
        <v>1144</v>
      </c>
      <c r="D416" s="115" t="s">
        <v>1251</v>
      </c>
      <c r="E416" s="115">
        <v>4</v>
      </c>
      <c r="F416" s="71">
        <v>1</v>
      </c>
      <c r="G416" s="109">
        <v>235.8</v>
      </c>
      <c r="H416" s="110">
        <v>58.95</v>
      </c>
      <c r="I416" s="111">
        <v>3</v>
      </c>
      <c r="J416" s="110">
        <v>176.85000000000002</v>
      </c>
      <c r="K416" s="111"/>
    </row>
    <row r="417" spans="2:11">
      <c r="B417" s="115" t="s">
        <v>992</v>
      </c>
      <c r="C417" s="115" t="s">
        <v>1145</v>
      </c>
      <c r="D417" s="115" t="s">
        <v>3138</v>
      </c>
      <c r="E417" s="115">
        <v>15</v>
      </c>
      <c r="F417" s="71">
        <v>12</v>
      </c>
      <c r="G417" s="109">
        <v>926.25</v>
      </c>
      <c r="H417" s="110">
        <v>741</v>
      </c>
      <c r="I417" s="111">
        <v>3</v>
      </c>
      <c r="J417" s="110">
        <v>185.25</v>
      </c>
      <c r="K417" s="111"/>
    </row>
    <row r="418" spans="2:11">
      <c r="B418" s="115" t="s">
        <v>994</v>
      </c>
      <c r="C418" s="115" t="s">
        <v>1147</v>
      </c>
      <c r="D418" s="115" t="s">
        <v>1252</v>
      </c>
      <c r="E418" s="115">
        <v>4</v>
      </c>
      <c r="F418" s="71"/>
      <c r="G418" s="109">
        <v>225.48</v>
      </c>
      <c r="H418" s="110">
        <v>0</v>
      </c>
      <c r="I418" s="111">
        <v>4</v>
      </c>
      <c r="J418" s="110">
        <v>225.48</v>
      </c>
      <c r="K418" s="111"/>
    </row>
    <row r="419" spans="2:11">
      <c r="B419" s="115" t="s">
        <v>996</v>
      </c>
      <c r="C419" s="115" t="s">
        <v>1149</v>
      </c>
      <c r="D419" s="115" t="s">
        <v>1201</v>
      </c>
      <c r="E419" s="115">
        <v>1</v>
      </c>
      <c r="F419" s="71"/>
      <c r="G419" s="109">
        <v>49.1</v>
      </c>
      <c r="H419" s="110">
        <v>0</v>
      </c>
      <c r="I419" s="111">
        <v>1</v>
      </c>
      <c r="J419" s="110">
        <v>49.1</v>
      </c>
      <c r="K419" s="111"/>
    </row>
    <row r="420" spans="2:11">
      <c r="B420" s="115" t="s">
        <v>997</v>
      </c>
      <c r="C420" s="115" t="s">
        <v>1150</v>
      </c>
      <c r="D420" s="115" t="s">
        <v>1253</v>
      </c>
      <c r="E420" s="115">
        <v>1</v>
      </c>
      <c r="F420" s="71"/>
      <c r="G420" s="109">
        <v>68.56</v>
      </c>
      <c r="H420" s="110">
        <v>0</v>
      </c>
      <c r="I420" s="111">
        <v>1</v>
      </c>
      <c r="J420" s="110">
        <v>68.56</v>
      </c>
      <c r="K420" s="111"/>
    </row>
    <row r="421" spans="2:11">
      <c r="B421" s="115" t="s">
        <v>998</v>
      </c>
      <c r="C421" s="115" t="s">
        <v>1151</v>
      </c>
      <c r="D421" s="115" t="s">
        <v>1254</v>
      </c>
      <c r="E421" s="115">
        <v>1</v>
      </c>
      <c r="F421" s="71"/>
      <c r="G421" s="109">
        <v>58.4</v>
      </c>
      <c r="H421" s="110">
        <v>0</v>
      </c>
      <c r="I421" s="111">
        <v>1</v>
      </c>
      <c r="J421" s="110">
        <v>58.4</v>
      </c>
      <c r="K421" s="111"/>
    </row>
    <row r="422" spans="2:11">
      <c r="B422" s="115" t="s">
        <v>999</v>
      </c>
      <c r="C422" s="115" t="s">
        <v>1152</v>
      </c>
      <c r="D422" s="115" t="s">
        <v>1254</v>
      </c>
      <c r="E422" s="115">
        <v>5</v>
      </c>
      <c r="F422" s="71"/>
      <c r="G422" s="109">
        <v>292</v>
      </c>
      <c r="H422" s="110">
        <v>0</v>
      </c>
      <c r="I422" s="111">
        <v>5</v>
      </c>
      <c r="J422" s="110">
        <v>292</v>
      </c>
      <c r="K422" s="111"/>
    </row>
    <row r="423" spans="2:11">
      <c r="B423" s="115" t="s">
        <v>1255</v>
      </c>
      <c r="C423" s="115" t="s">
        <v>1325</v>
      </c>
      <c r="D423" s="115" t="s">
        <v>1395</v>
      </c>
      <c r="E423" s="115">
        <v>206</v>
      </c>
      <c r="F423" s="71">
        <v>171</v>
      </c>
      <c r="G423" s="109">
        <v>1545</v>
      </c>
      <c r="H423" s="110">
        <v>1282.5</v>
      </c>
      <c r="I423" s="111">
        <v>35</v>
      </c>
      <c r="J423" s="110">
        <v>262.5</v>
      </c>
      <c r="K423" s="111"/>
    </row>
    <row r="424" spans="2:11">
      <c r="B424" s="115" t="s">
        <v>1256</v>
      </c>
      <c r="C424" s="115" t="s">
        <v>1326</v>
      </c>
      <c r="D424" s="115" t="s">
        <v>1397</v>
      </c>
      <c r="E424" s="115">
        <v>26</v>
      </c>
      <c r="F424" s="71">
        <v>3</v>
      </c>
      <c r="G424" s="109">
        <v>938.86</v>
      </c>
      <c r="H424" s="110">
        <v>108.33</v>
      </c>
      <c r="I424" s="111">
        <v>23</v>
      </c>
      <c r="J424" s="110">
        <v>830.53</v>
      </c>
      <c r="K424" s="111"/>
    </row>
    <row r="425" spans="2:11">
      <c r="B425" s="115" t="s">
        <v>1257</v>
      </c>
      <c r="C425" s="115" t="s">
        <v>1327</v>
      </c>
      <c r="D425" s="115" t="s">
        <v>1398</v>
      </c>
      <c r="E425" s="115">
        <v>79</v>
      </c>
      <c r="F425" s="71"/>
      <c r="G425" s="109">
        <v>575.12</v>
      </c>
      <c r="H425" s="110">
        <v>0</v>
      </c>
      <c r="I425" s="111">
        <v>79</v>
      </c>
      <c r="J425" s="110">
        <v>575.12</v>
      </c>
      <c r="K425" s="111"/>
    </row>
    <row r="426" spans="2:11">
      <c r="B426" s="115" t="s">
        <v>1262</v>
      </c>
      <c r="C426" s="115" t="s">
        <v>1332</v>
      </c>
      <c r="D426" s="115" t="s">
        <v>1402</v>
      </c>
      <c r="E426" s="115">
        <v>26</v>
      </c>
      <c r="F426" s="71"/>
      <c r="G426" s="109">
        <v>188.5</v>
      </c>
      <c r="H426" s="110">
        <v>0</v>
      </c>
      <c r="I426" s="111">
        <v>26</v>
      </c>
      <c r="J426" s="110">
        <v>188.5</v>
      </c>
      <c r="K426" s="111"/>
    </row>
    <row r="427" spans="2:11">
      <c r="B427" s="115" t="s">
        <v>1263</v>
      </c>
      <c r="C427" s="115" t="s">
        <v>1333</v>
      </c>
      <c r="D427" s="115" t="s">
        <v>1403</v>
      </c>
      <c r="E427" s="115">
        <v>3</v>
      </c>
      <c r="F427" s="71"/>
      <c r="G427" s="109">
        <v>23.1</v>
      </c>
      <c r="H427" s="110">
        <v>0</v>
      </c>
      <c r="I427" s="111">
        <v>3</v>
      </c>
      <c r="J427" s="110">
        <v>23.1</v>
      </c>
      <c r="K427" s="111"/>
    </row>
    <row r="428" spans="2:11">
      <c r="B428" s="115" t="s">
        <v>1265</v>
      </c>
      <c r="C428" s="115" t="s">
        <v>1335</v>
      </c>
      <c r="D428" s="115" t="s">
        <v>1405</v>
      </c>
      <c r="E428" s="115">
        <v>2</v>
      </c>
      <c r="F428" s="71"/>
      <c r="G428" s="109">
        <v>11.62</v>
      </c>
      <c r="H428" s="110">
        <v>0</v>
      </c>
      <c r="I428" s="111">
        <v>2</v>
      </c>
      <c r="J428" s="110">
        <v>11.62</v>
      </c>
      <c r="K428" s="111"/>
    </row>
    <row r="429" spans="2:11">
      <c r="B429" s="115" t="s">
        <v>1266</v>
      </c>
      <c r="C429" s="115" t="s">
        <v>1336</v>
      </c>
      <c r="D429" s="115" t="s">
        <v>1406</v>
      </c>
      <c r="E429" s="115">
        <v>33</v>
      </c>
      <c r="F429" s="71">
        <v>29</v>
      </c>
      <c r="G429" s="109">
        <v>955.0200000000001</v>
      </c>
      <c r="H429" s="110">
        <v>839.26</v>
      </c>
      <c r="I429" s="111">
        <v>4</v>
      </c>
      <c r="J429" s="110">
        <v>115.7600000000001</v>
      </c>
      <c r="K429" s="111"/>
    </row>
    <row r="430" spans="2:11">
      <c r="B430" s="115" t="s">
        <v>1268</v>
      </c>
      <c r="C430" s="115" t="s">
        <v>1338</v>
      </c>
      <c r="D430" s="115" t="s">
        <v>1408</v>
      </c>
      <c r="E430" s="115">
        <v>6</v>
      </c>
      <c r="F430" s="71">
        <v>2</v>
      </c>
      <c r="G430" s="109">
        <v>202.56</v>
      </c>
      <c r="H430" s="110">
        <v>67.52</v>
      </c>
      <c r="I430" s="111">
        <v>4</v>
      </c>
      <c r="J430" s="110">
        <v>135.04000000000002</v>
      </c>
      <c r="K430" s="111"/>
    </row>
    <row r="431" spans="2:11">
      <c r="B431" s="115" t="s">
        <v>1269</v>
      </c>
      <c r="C431" s="115" t="s">
        <v>1339</v>
      </c>
      <c r="D431" s="115" t="s">
        <v>1409</v>
      </c>
      <c r="E431" s="115">
        <v>12</v>
      </c>
      <c r="F431" s="71">
        <v>3</v>
      </c>
      <c r="G431" s="109">
        <v>456</v>
      </c>
      <c r="H431" s="110">
        <v>114</v>
      </c>
      <c r="I431" s="111">
        <v>9</v>
      </c>
      <c r="J431" s="110">
        <v>342</v>
      </c>
      <c r="K431" s="111"/>
    </row>
    <row r="432" spans="2:11">
      <c r="B432" s="115" t="s">
        <v>1270</v>
      </c>
      <c r="C432" s="115" t="s">
        <v>1340</v>
      </c>
      <c r="D432" s="115" t="s">
        <v>1409</v>
      </c>
      <c r="E432" s="115">
        <v>3</v>
      </c>
      <c r="F432" s="71">
        <v>2</v>
      </c>
      <c r="G432" s="109">
        <v>114</v>
      </c>
      <c r="H432" s="110">
        <v>76</v>
      </c>
      <c r="I432" s="111">
        <v>1</v>
      </c>
      <c r="J432" s="110">
        <v>38</v>
      </c>
      <c r="K432" s="111"/>
    </row>
    <row r="433" spans="2:11">
      <c r="B433" s="115" t="s">
        <v>1272</v>
      </c>
      <c r="C433" s="115" t="s">
        <v>1342</v>
      </c>
      <c r="D433" s="115" t="s">
        <v>1411</v>
      </c>
      <c r="E433" s="115">
        <v>13</v>
      </c>
      <c r="F433" s="71"/>
      <c r="G433" s="109">
        <v>445.51000000000005</v>
      </c>
      <c r="H433" s="110">
        <v>0</v>
      </c>
      <c r="I433" s="111">
        <v>13</v>
      </c>
      <c r="J433" s="110">
        <v>445.51000000000005</v>
      </c>
      <c r="K433" s="111"/>
    </row>
    <row r="434" spans="2:11">
      <c r="B434" s="115" t="s">
        <v>1273</v>
      </c>
      <c r="C434" s="115" t="s">
        <v>1343</v>
      </c>
      <c r="D434" s="115" t="s">
        <v>1411</v>
      </c>
      <c r="E434" s="115">
        <v>12</v>
      </c>
      <c r="F434" s="71"/>
      <c r="G434" s="109">
        <v>411.24</v>
      </c>
      <c r="H434" s="110">
        <v>0</v>
      </c>
      <c r="I434" s="111">
        <v>12</v>
      </c>
      <c r="J434" s="110">
        <v>411.24</v>
      </c>
      <c r="K434" s="111"/>
    </row>
    <row r="435" spans="2:11">
      <c r="B435" s="115" t="s">
        <v>1274</v>
      </c>
      <c r="C435" s="115" t="s">
        <v>1344</v>
      </c>
      <c r="D435" s="115" t="s">
        <v>1412</v>
      </c>
      <c r="E435" s="115">
        <v>8</v>
      </c>
      <c r="F435" s="71">
        <v>2</v>
      </c>
      <c r="G435" s="109">
        <v>14.16</v>
      </c>
      <c r="H435" s="110">
        <v>3.54</v>
      </c>
      <c r="I435" s="111">
        <v>6</v>
      </c>
      <c r="J435" s="110">
        <v>10.620000000000001</v>
      </c>
      <c r="K435" s="111"/>
    </row>
    <row r="436" spans="2:11">
      <c r="B436" s="115" t="s">
        <v>1275</v>
      </c>
      <c r="C436" s="115" t="s">
        <v>1345</v>
      </c>
      <c r="D436" s="115" t="s">
        <v>1413</v>
      </c>
      <c r="E436" s="115">
        <v>7</v>
      </c>
      <c r="F436" s="71"/>
      <c r="G436" s="109">
        <v>141.82000000000002</v>
      </c>
      <c r="H436" s="110">
        <v>0</v>
      </c>
      <c r="I436" s="111">
        <v>7</v>
      </c>
      <c r="J436" s="110">
        <v>141.82000000000002</v>
      </c>
      <c r="K436" s="111"/>
    </row>
    <row r="437" spans="2:11">
      <c r="B437" s="115" t="s">
        <v>1277</v>
      </c>
      <c r="C437" s="115" t="s">
        <v>1347</v>
      </c>
      <c r="D437" s="115" t="s">
        <v>1415</v>
      </c>
      <c r="E437" s="115">
        <v>2</v>
      </c>
      <c r="F437" s="71"/>
      <c r="G437" s="109">
        <v>94.54</v>
      </c>
      <c r="H437" s="110">
        <v>0</v>
      </c>
      <c r="I437" s="111">
        <v>2</v>
      </c>
      <c r="J437" s="110">
        <v>94.54</v>
      </c>
      <c r="K437" s="111"/>
    </row>
    <row r="438" spans="2:11">
      <c r="B438" s="115" t="s">
        <v>1278</v>
      </c>
      <c r="C438" s="115" t="s">
        <v>1348</v>
      </c>
      <c r="D438" s="115" t="s">
        <v>1416</v>
      </c>
      <c r="E438" s="115">
        <v>10</v>
      </c>
      <c r="F438" s="71"/>
      <c r="G438" s="109">
        <v>212.2</v>
      </c>
      <c r="H438" s="110">
        <v>0</v>
      </c>
      <c r="I438" s="111">
        <v>10</v>
      </c>
      <c r="J438" s="110">
        <v>212.2</v>
      </c>
      <c r="K438" s="111"/>
    </row>
    <row r="439" spans="2:11">
      <c r="B439" s="115" t="s">
        <v>1279</v>
      </c>
      <c r="C439" s="115" t="s">
        <v>1349</v>
      </c>
      <c r="D439" s="115" t="s">
        <v>1413</v>
      </c>
      <c r="E439" s="115">
        <v>12</v>
      </c>
      <c r="F439" s="71"/>
      <c r="G439" s="109">
        <v>243.12</v>
      </c>
      <c r="H439" s="110">
        <v>0</v>
      </c>
      <c r="I439" s="111">
        <v>12</v>
      </c>
      <c r="J439" s="110">
        <v>243.12</v>
      </c>
      <c r="K439" s="111"/>
    </row>
    <row r="440" spans="2:11">
      <c r="B440" s="115" t="s">
        <v>1280</v>
      </c>
      <c r="C440" s="115" t="s">
        <v>1350</v>
      </c>
      <c r="D440" s="115" t="s">
        <v>1414</v>
      </c>
      <c r="E440" s="115">
        <v>1</v>
      </c>
      <c r="F440" s="71"/>
      <c r="G440" s="109">
        <v>44.37</v>
      </c>
      <c r="H440" s="110">
        <v>0</v>
      </c>
      <c r="I440" s="111">
        <v>1</v>
      </c>
      <c r="J440" s="110">
        <v>44.37</v>
      </c>
      <c r="K440" s="111"/>
    </row>
    <row r="441" spans="2:11">
      <c r="B441" s="115" t="s">
        <v>1281</v>
      </c>
      <c r="C441" s="115" t="s">
        <v>1351</v>
      </c>
      <c r="D441" s="115" t="s">
        <v>1417</v>
      </c>
      <c r="E441" s="115">
        <v>3</v>
      </c>
      <c r="F441" s="71"/>
      <c r="G441" s="109">
        <v>77.16</v>
      </c>
      <c r="H441" s="110">
        <v>0</v>
      </c>
      <c r="I441" s="111">
        <v>3</v>
      </c>
      <c r="J441" s="110">
        <v>77.16</v>
      </c>
      <c r="K441" s="111"/>
    </row>
    <row r="442" spans="2:11">
      <c r="B442" s="115" t="s">
        <v>1282</v>
      </c>
      <c r="C442" s="115" t="s">
        <v>1352</v>
      </c>
      <c r="D442" s="115" t="s">
        <v>1414</v>
      </c>
      <c r="E442" s="115">
        <v>4</v>
      </c>
      <c r="F442" s="71">
        <v>3</v>
      </c>
      <c r="G442" s="109">
        <v>177.48</v>
      </c>
      <c r="H442" s="110">
        <v>133.10999999999999</v>
      </c>
      <c r="I442" s="111">
        <v>1</v>
      </c>
      <c r="J442" s="110">
        <v>44.370000000000005</v>
      </c>
      <c r="K442" s="111"/>
    </row>
    <row r="443" spans="2:11">
      <c r="B443" s="115" t="s">
        <v>1283</v>
      </c>
      <c r="C443" s="115" t="s">
        <v>1353</v>
      </c>
      <c r="D443" s="115" t="s">
        <v>1418</v>
      </c>
      <c r="E443" s="115">
        <v>3</v>
      </c>
      <c r="F443" s="71">
        <v>1</v>
      </c>
      <c r="G443" s="109">
        <v>92.61</v>
      </c>
      <c r="H443" s="110">
        <v>30.87</v>
      </c>
      <c r="I443" s="111">
        <v>2</v>
      </c>
      <c r="J443" s="110">
        <v>61.739999999999995</v>
      </c>
      <c r="K443" s="111"/>
    </row>
    <row r="444" spans="2:11">
      <c r="B444" s="115" t="s">
        <v>1285</v>
      </c>
      <c r="C444" s="115" t="s">
        <v>1355</v>
      </c>
      <c r="D444" s="115" t="s">
        <v>1420</v>
      </c>
      <c r="E444" s="115">
        <v>2</v>
      </c>
      <c r="F444" s="71"/>
      <c r="G444" s="109">
        <v>109.96</v>
      </c>
      <c r="H444" s="110">
        <v>0</v>
      </c>
      <c r="I444" s="111">
        <v>2</v>
      </c>
      <c r="J444" s="110">
        <v>109.96</v>
      </c>
      <c r="K444" s="111"/>
    </row>
    <row r="445" spans="2:11">
      <c r="B445" s="115" t="s">
        <v>1286</v>
      </c>
      <c r="C445" s="115" t="s">
        <v>1356</v>
      </c>
      <c r="D445" s="115" t="s">
        <v>1421</v>
      </c>
      <c r="E445" s="115">
        <v>5</v>
      </c>
      <c r="F445" s="71"/>
      <c r="G445" s="109">
        <v>163.35000000000002</v>
      </c>
      <c r="H445" s="110">
        <v>0</v>
      </c>
      <c r="I445" s="111">
        <v>5</v>
      </c>
      <c r="J445" s="110">
        <v>163.35000000000002</v>
      </c>
      <c r="K445" s="111"/>
    </row>
    <row r="446" spans="2:11">
      <c r="B446" s="115" t="s">
        <v>1287</v>
      </c>
      <c r="C446" s="115" t="s">
        <v>1357</v>
      </c>
      <c r="D446" s="115" t="s">
        <v>1207</v>
      </c>
      <c r="E446" s="115">
        <v>2</v>
      </c>
      <c r="F446" s="71">
        <v>1</v>
      </c>
      <c r="G446" s="109">
        <v>82.92</v>
      </c>
      <c r="H446" s="110">
        <v>41.46</v>
      </c>
      <c r="I446" s="111">
        <v>1</v>
      </c>
      <c r="J446" s="110">
        <v>41.46</v>
      </c>
      <c r="K446" s="111"/>
    </row>
    <row r="447" spans="2:11">
      <c r="B447" s="115" t="s">
        <v>1289</v>
      </c>
      <c r="C447" s="115" t="s">
        <v>1359</v>
      </c>
      <c r="D447" s="115" t="s">
        <v>1411</v>
      </c>
      <c r="E447" s="115">
        <v>3</v>
      </c>
      <c r="F447" s="71"/>
      <c r="G447" s="109">
        <v>102.81</v>
      </c>
      <c r="H447" s="110">
        <v>0</v>
      </c>
      <c r="I447" s="111">
        <v>3</v>
      </c>
      <c r="J447" s="110">
        <v>102.81</v>
      </c>
      <c r="K447" s="111"/>
    </row>
    <row r="448" spans="2:11">
      <c r="B448" s="115" t="s">
        <v>1292</v>
      </c>
      <c r="C448" s="115" t="s">
        <v>1362</v>
      </c>
      <c r="D448" s="115" t="s">
        <v>1409</v>
      </c>
      <c r="E448" s="115">
        <v>3</v>
      </c>
      <c r="F448" s="71"/>
      <c r="G448" s="109">
        <v>114</v>
      </c>
      <c r="H448" s="110">
        <v>0</v>
      </c>
      <c r="I448" s="111">
        <v>3</v>
      </c>
      <c r="J448" s="110">
        <v>114</v>
      </c>
      <c r="K448" s="111"/>
    </row>
    <row r="449" spans="2:11">
      <c r="B449" s="115" t="s">
        <v>1293</v>
      </c>
      <c r="C449" s="115" t="s">
        <v>1363</v>
      </c>
      <c r="D449" s="115" t="s">
        <v>1424</v>
      </c>
      <c r="E449" s="115">
        <v>2</v>
      </c>
      <c r="F449" s="71"/>
      <c r="G449" s="109">
        <v>116.28</v>
      </c>
      <c r="H449" s="110">
        <v>0</v>
      </c>
      <c r="I449" s="111">
        <v>2</v>
      </c>
      <c r="J449" s="110">
        <v>116.28</v>
      </c>
      <c r="K449" s="111"/>
    </row>
    <row r="450" spans="2:11">
      <c r="B450" s="115" t="s">
        <v>1294</v>
      </c>
      <c r="C450" s="115" t="s">
        <v>1364</v>
      </c>
      <c r="D450" s="115" t="s">
        <v>1424</v>
      </c>
      <c r="E450" s="115">
        <v>10</v>
      </c>
      <c r="F450" s="71"/>
      <c r="G450" s="109">
        <v>581.4</v>
      </c>
      <c r="H450" s="110">
        <v>0</v>
      </c>
      <c r="I450" s="111">
        <v>10</v>
      </c>
      <c r="J450" s="110">
        <v>581.4</v>
      </c>
      <c r="K450" s="111"/>
    </row>
    <row r="451" spans="2:11">
      <c r="B451" s="115" t="s">
        <v>1295</v>
      </c>
      <c r="C451" s="115" t="s">
        <v>1365</v>
      </c>
      <c r="D451" s="115" t="s">
        <v>1424</v>
      </c>
      <c r="E451" s="115">
        <v>8</v>
      </c>
      <c r="F451" s="71"/>
      <c r="G451" s="109">
        <v>465.12</v>
      </c>
      <c r="H451" s="110">
        <v>0</v>
      </c>
      <c r="I451" s="111">
        <v>8</v>
      </c>
      <c r="J451" s="110">
        <v>465.12</v>
      </c>
      <c r="K451" s="111"/>
    </row>
    <row r="452" spans="2:11">
      <c r="B452" s="115" t="s">
        <v>1296</v>
      </c>
      <c r="C452" s="115" t="s">
        <v>1366</v>
      </c>
      <c r="D452" s="115" t="s">
        <v>1425</v>
      </c>
      <c r="E452" s="115">
        <v>2</v>
      </c>
      <c r="F452" s="71">
        <v>0</v>
      </c>
      <c r="G452" s="109">
        <v>20.18</v>
      </c>
      <c r="H452" s="110">
        <v>0</v>
      </c>
      <c r="I452" s="111">
        <v>2</v>
      </c>
      <c r="J452" s="110">
        <v>20.18</v>
      </c>
      <c r="K452" s="111"/>
    </row>
    <row r="453" spans="2:11">
      <c r="B453" s="115" t="s">
        <v>1297</v>
      </c>
      <c r="C453" s="115" t="s">
        <v>1367</v>
      </c>
      <c r="D453" s="115" t="s">
        <v>1409</v>
      </c>
      <c r="E453" s="115">
        <v>27</v>
      </c>
      <c r="F453" s="71">
        <v>5</v>
      </c>
      <c r="G453" s="109">
        <v>1026</v>
      </c>
      <c r="H453" s="110">
        <v>190</v>
      </c>
      <c r="I453" s="111">
        <v>22</v>
      </c>
      <c r="J453" s="110">
        <v>836</v>
      </c>
      <c r="K453" s="111"/>
    </row>
    <row r="454" spans="2:11">
      <c r="B454" s="115" t="s">
        <v>1298</v>
      </c>
      <c r="C454" s="115" t="s">
        <v>1368</v>
      </c>
      <c r="D454" s="115" t="s">
        <v>1409</v>
      </c>
      <c r="E454" s="115">
        <v>25</v>
      </c>
      <c r="F454" s="71">
        <v>4</v>
      </c>
      <c r="G454" s="109">
        <v>950</v>
      </c>
      <c r="H454" s="110">
        <v>152</v>
      </c>
      <c r="I454" s="111">
        <v>21</v>
      </c>
      <c r="J454" s="110">
        <v>798</v>
      </c>
      <c r="K454" s="111"/>
    </row>
    <row r="455" spans="2:11">
      <c r="B455" s="115" t="s">
        <v>1299</v>
      </c>
      <c r="C455" s="115" t="s">
        <v>1369</v>
      </c>
      <c r="D455" s="115" t="s">
        <v>1409</v>
      </c>
      <c r="E455" s="115">
        <v>11</v>
      </c>
      <c r="F455" s="71">
        <v>3</v>
      </c>
      <c r="G455" s="109">
        <v>418</v>
      </c>
      <c r="H455" s="110">
        <v>114</v>
      </c>
      <c r="I455" s="111">
        <v>8</v>
      </c>
      <c r="J455" s="110">
        <v>304</v>
      </c>
      <c r="K455" s="111"/>
    </row>
    <row r="456" spans="2:11">
      <c r="B456" s="115" t="s">
        <v>1300</v>
      </c>
      <c r="C456" s="115" t="s">
        <v>1370</v>
      </c>
      <c r="D456" s="115" t="s">
        <v>1409</v>
      </c>
      <c r="E456" s="115">
        <v>25</v>
      </c>
      <c r="F456" s="71">
        <v>4</v>
      </c>
      <c r="G456" s="109">
        <v>950</v>
      </c>
      <c r="H456" s="110">
        <v>152</v>
      </c>
      <c r="I456" s="111">
        <v>21</v>
      </c>
      <c r="J456" s="110">
        <v>798</v>
      </c>
      <c r="K456" s="111"/>
    </row>
    <row r="457" spans="2:11">
      <c r="B457" s="115" t="s">
        <v>1301</v>
      </c>
      <c r="C457" s="115" t="s">
        <v>1371</v>
      </c>
      <c r="D457" s="115" t="s">
        <v>1409</v>
      </c>
      <c r="E457" s="115">
        <v>31</v>
      </c>
      <c r="F457" s="71"/>
      <c r="G457" s="109">
        <v>1178</v>
      </c>
      <c r="H457" s="110">
        <v>0</v>
      </c>
      <c r="I457" s="111">
        <v>31</v>
      </c>
      <c r="J457" s="110">
        <v>1178</v>
      </c>
      <c r="K457" s="111"/>
    </row>
    <row r="458" spans="2:11">
      <c r="B458" s="115" t="s">
        <v>1302</v>
      </c>
      <c r="C458" s="115" t="s">
        <v>1372</v>
      </c>
      <c r="D458" s="115" t="s">
        <v>1409</v>
      </c>
      <c r="E458" s="115">
        <v>2</v>
      </c>
      <c r="F458" s="71"/>
      <c r="G458" s="109">
        <v>76</v>
      </c>
      <c r="H458" s="110">
        <v>0</v>
      </c>
      <c r="I458" s="111">
        <v>2</v>
      </c>
      <c r="J458" s="110">
        <v>76</v>
      </c>
      <c r="K458" s="111"/>
    </row>
    <row r="459" spans="2:11">
      <c r="B459" s="115" t="s">
        <v>1303</v>
      </c>
      <c r="C459" s="115" t="s">
        <v>1373</v>
      </c>
      <c r="D459" s="115" t="s">
        <v>1409</v>
      </c>
      <c r="E459" s="115">
        <v>7</v>
      </c>
      <c r="F459" s="71">
        <v>5</v>
      </c>
      <c r="G459" s="109">
        <v>266</v>
      </c>
      <c r="H459" s="110">
        <v>190</v>
      </c>
      <c r="I459" s="111">
        <v>2</v>
      </c>
      <c r="J459" s="110">
        <v>76</v>
      </c>
      <c r="K459" s="111"/>
    </row>
    <row r="460" spans="2:11">
      <c r="B460" s="115" t="s">
        <v>1304</v>
      </c>
      <c r="C460" s="115" t="s">
        <v>1374</v>
      </c>
      <c r="D460" s="115" t="s">
        <v>1409</v>
      </c>
      <c r="E460" s="115">
        <v>4</v>
      </c>
      <c r="F460" s="71"/>
      <c r="G460" s="109">
        <v>152</v>
      </c>
      <c r="H460" s="110">
        <v>0</v>
      </c>
      <c r="I460" s="111">
        <v>4</v>
      </c>
      <c r="J460" s="110">
        <v>152</v>
      </c>
      <c r="K460" s="111"/>
    </row>
    <row r="461" spans="2:11">
      <c r="B461" s="115" t="s">
        <v>1305</v>
      </c>
      <c r="C461" s="115" t="s">
        <v>1375</v>
      </c>
      <c r="D461" s="115" t="s">
        <v>1426</v>
      </c>
      <c r="E461" s="115">
        <v>17</v>
      </c>
      <c r="F461" s="71">
        <v>16</v>
      </c>
      <c r="G461" s="109">
        <v>66.98</v>
      </c>
      <c r="H461" s="110">
        <v>63.04</v>
      </c>
      <c r="I461" s="111">
        <v>1</v>
      </c>
      <c r="J461" s="110">
        <v>3.9400000000000048</v>
      </c>
      <c r="K461" s="111"/>
    </row>
    <row r="462" spans="2:11">
      <c r="B462" s="115" t="s">
        <v>1306</v>
      </c>
      <c r="C462" s="115" t="s">
        <v>1376</v>
      </c>
      <c r="D462" s="115" t="s">
        <v>1427</v>
      </c>
      <c r="E462" s="115">
        <v>12</v>
      </c>
      <c r="F462" s="71"/>
      <c r="G462" s="109">
        <v>378.24</v>
      </c>
      <c r="H462" s="110">
        <v>0</v>
      </c>
      <c r="I462" s="111">
        <v>12</v>
      </c>
      <c r="J462" s="110">
        <v>378.24</v>
      </c>
      <c r="K462" s="111"/>
    </row>
    <row r="463" spans="2:11">
      <c r="B463" s="115" t="s">
        <v>1307</v>
      </c>
      <c r="C463" s="115" t="s">
        <v>1377</v>
      </c>
      <c r="D463" s="115" t="s">
        <v>1428</v>
      </c>
      <c r="E463" s="115">
        <v>3</v>
      </c>
      <c r="F463" s="71">
        <v>1</v>
      </c>
      <c r="G463" s="109">
        <v>64.44</v>
      </c>
      <c r="H463" s="110">
        <v>21.48</v>
      </c>
      <c r="I463" s="111">
        <v>2</v>
      </c>
      <c r="J463" s="110">
        <v>42.959999999999994</v>
      </c>
      <c r="K463" s="111"/>
    </row>
    <row r="464" spans="2:11">
      <c r="B464" s="115" t="s">
        <v>1308</v>
      </c>
      <c r="C464" s="115" t="s">
        <v>1378</v>
      </c>
      <c r="D464" s="115" t="s">
        <v>1428</v>
      </c>
      <c r="E464" s="115">
        <v>13</v>
      </c>
      <c r="F464" s="71"/>
      <c r="G464" s="109">
        <v>279.24</v>
      </c>
      <c r="H464" s="110">
        <v>0</v>
      </c>
      <c r="I464" s="111">
        <v>13</v>
      </c>
      <c r="J464" s="110">
        <v>279.24</v>
      </c>
      <c r="K464" s="111"/>
    </row>
    <row r="465" spans="2:11">
      <c r="B465" s="115" t="s">
        <v>1310</v>
      </c>
      <c r="C465" s="115" t="s">
        <v>1380</v>
      </c>
      <c r="D465" s="115" t="s">
        <v>1429</v>
      </c>
      <c r="E465" s="115">
        <v>7</v>
      </c>
      <c r="F465" s="71">
        <v>1</v>
      </c>
      <c r="G465" s="109">
        <v>167.79</v>
      </c>
      <c r="H465" s="110">
        <v>23.97</v>
      </c>
      <c r="I465" s="111">
        <v>6</v>
      </c>
      <c r="J465" s="110">
        <v>143.82</v>
      </c>
      <c r="K465" s="111"/>
    </row>
    <row r="466" spans="2:11">
      <c r="B466" s="115" t="s">
        <v>1311</v>
      </c>
      <c r="C466" s="115" t="s">
        <v>1381</v>
      </c>
      <c r="D466" s="115" t="s">
        <v>1430</v>
      </c>
      <c r="E466" s="115">
        <v>1</v>
      </c>
      <c r="F466" s="71"/>
      <c r="G466" s="109">
        <v>23.72</v>
      </c>
      <c r="H466" s="110">
        <v>0</v>
      </c>
      <c r="I466" s="111">
        <v>1</v>
      </c>
      <c r="J466" s="110">
        <v>23.72</v>
      </c>
      <c r="K466" s="111"/>
    </row>
    <row r="467" spans="2:11" ht="30">
      <c r="B467" s="115" t="s">
        <v>1312</v>
      </c>
      <c r="C467" s="115" t="s">
        <v>1382</v>
      </c>
      <c r="D467" s="115" t="s">
        <v>1430</v>
      </c>
      <c r="E467" s="115">
        <v>2</v>
      </c>
      <c r="F467" s="71"/>
      <c r="G467" s="109">
        <v>47.44</v>
      </c>
      <c r="H467" s="110">
        <v>0</v>
      </c>
      <c r="I467" s="111">
        <v>2</v>
      </c>
      <c r="J467" s="110">
        <v>47.44</v>
      </c>
      <c r="K467" s="111"/>
    </row>
    <row r="468" spans="2:11">
      <c r="B468" s="115" t="s">
        <v>1313</v>
      </c>
      <c r="C468" s="115" t="s">
        <v>1383</v>
      </c>
      <c r="D468" s="115" t="s">
        <v>1411</v>
      </c>
      <c r="E468" s="115">
        <v>6</v>
      </c>
      <c r="F468" s="71">
        <v>1</v>
      </c>
      <c r="G468" s="109">
        <v>205.62</v>
      </c>
      <c r="H468" s="110">
        <v>34.270000000000003</v>
      </c>
      <c r="I468" s="111">
        <v>5</v>
      </c>
      <c r="J468" s="110">
        <v>171.35</v>
      </c>
      <c r="K468" s="111"/>
    </row>
    <row r="469" spans="2:11">
      <c r="B469" s="115" t="s">
        <v>1314</v>
      </c>
      <c r="C469" s="115" t="s">
        <v>1384</v>
      </c>
      <c r="D469" s="115" t="s">
        <v>1431</v>
      </c>
      <c r="E469" s="115">
        <v>4</v>
      </c>
      <c r="F469" s="71"/>
      <c r="G469" s="109">
        <v>45.28</v>
      </c>
      <c r="H469" s="110">
        <v>0</v>
      </c>
      <c r="I469" s="111">
        <v>4</v>
      </c>
      <c r="J469" s="110">
        <v>45.28</v>
      </c>
      <c r="K469" s="111"/>
    </row>
    <row r="470" spans="2:11">
      <c r="B470" s="115" t="s">
        <v>1315</v>
      </c>
      <c r="C470" s="115" t="s">
        <v>1385</v>
      </c>
      <c r="D470" s="115" t="s">
        <v>1432</v>
      </c>
      <c r="E470" s="115">
        <v>15</v>
      </c>
      <c r="F470" s="71">
        <v>7</v>
      </c>
      <c r="G470" s="109">
        <v>448.5</v>
      </c>
      <c r="H470" s="110">
        <v>209.29999999999998</v>
      </c>
      <c r="I470" s="111">
        <v>8</v>
      </c>
      <c r="J470" s="110">
        <v>239.20000000000002</v>
      </c>
      <c r="K470" s="111"/>
    </row>
    <row r="471" spans="2:11">
      <c r="B471" s="115" t="s">
        <v>1317</v>
      </c>
      <c r="C471" s="115" t="s">
        <v>1387</v>
      </c>
      <c r="D471" s="115" t="s">
        <v>1434</v>
      </c>
      <c r="E471" s="115">
        <v>13</v>
      </c>
      <c r="F471" s="71">
        <v>7</v>
      </c>
      <c r="G471" s="109">
        <v>764.92000000000007</v>
      </c>
      <c r="H471" s="110">
        <v>411.88</v>
      </c>
      <c r="I471" s="111">
        <v>6</v>
      </c>
      <c r="J471" s="110">
        <v>353.04000000000008</v>
      </c>
      <c r="K471" s="111"/>
    </row>
    <row r="472" spans="2:11">
      <c r="B472" s="115" t="s">
        <v>1321</v>
      </c>
      <c r="C472" s="115" t="s">
        <v>1391</v>
      </c>
      <c r="D472" s="115" t="s">
        <v>1438</v>
      </c>
      <c r="E472" s="115">
        <v>1</v>
      </c>
      <c r="F472" s="71"/>
      <c r="G472" s="109">
        <v>102.9</v>
      </c>
      <c r="H472" s="110">
        <v>0</v>
      </c>
      <c r="I472" s="111">
        <v>1</v>
      </c>
      <c r="J472" s="110">
        <v>102.9</v>
      </c>
      <c r="K472" s="111"/>
    </row>
    <row r="473" spans="2:11">
      <c r="B473" s="115" t="s">
        <v>1322</v>
      </c>
      <c r="C473" s="115" t="s">
        <v>1392</v>
      </c>
      <c r="D473" s="115" t="s">
        <v>1411</v>
      </c>
      <c r="E473" s="115">
        <v>44</v>
      </c>
      <c r="F473" s="71"/>
      <c r="G473" s="109">
        <v>1507.88</v>
      </c>
      <c r="H473" s="110">
        <v>0</v>
      </c>
      <c r="I473" s="111">
        <v>44</v>
      </c>
      <c r="J473" s="110">
        <v>1507.88</v>
      </c>
      <c r="K473" s="111"/>
    </row>
    <row r="474" spans="2:11">
      <c r="B474" s="115" t="s">
        <v>1323</v>
      </c>
      <c r="C474" s="115" t="s">
        <v>1393</v>
      </c>
      <c r="D474" s="115" t="s">
        <v>1409</v>
      </c>
      <c r="E474" s="115">
        <v>7</v>
      </c>
      <c r="F474" s="71"/>
      <c r="G474" s="109">
        <v>266</v>
      </c>
      <c r="H474" s="110">
        <v>0</v>
      </c>
      <c r="I474" s="111">
        <v>7</v>
      </c>
      <c r="J474" s="110">
        <v>266</v>
      </c>
      <c r="K474" s="111"/>
    </row>
    <row r="475" spans="2:11">
      <c r="B475" s="115" t="s">
        <v>1324</v>
      </c>
      <c r="C475" s="115" t="s">
        <v>1394</v>
      </c>
      <c r="D475" s="115" t="s">
        <v>1409</v>
      </c>
      <c r="E475" s="115">
        <v>5</v>
      </c>
      <c r="F475" s="71"/>
      <c r="G475" s="109">
        <v>190</v>
      </c>
      <c r="H475" s="110">
        <v>0</v>
      </c>
      <c r="I475" s="111">
        <v>5</v>
      </c>
      <c r="J475" s="110">
        <v>190</v>
      </c>
      <c r="K475" s="111"/>
    </row>
    <row r="476" spans="2:11">
      <c r="B476" s="115" t="s">
        <v>1439</v>
      </c>
      <c r="C476" s="115" t="s">
        <v>1523</v>
      </c>
      <c r="D476" s="115" t="s">
        <v>1608</v>
      </c>
      <c r="E476" s="115">
        <v>5</v>
      </c>
      <c r="F476" s="71"/>
      <c r="G476" s="109">
        <v>179.4</v>
      </c>
      <c r="H476" s="110">
        <v>0</v>
      </c>
      <c r="I476" s="111">
        <v>5</v>
      </c>
      <c r="J476" s="110">
        <v>179.4</v>
      </c>
      <c r="K476" s="111"/>
    </row>
    <row r="477" spans="2:11">
      <c r="B477" s="115" t="s">
        <v>1440</v>
      </c>
      <c r="C477" s="115" t="s">
        <v>1524</v>
      </c>
      <c r="D477" s="115" t="s">
        <v>1609</v>
      </c>
      <c r="E477" s="115">
        <v>28</v>
      </c>
      <c r="F477" s="71">
        <v>9</v>
      </c>
      <c r="G477" s="109">
        <v>2775.36</v>
      </c>
      <c r="H477" s="110">
        <v>892.08</v>
      </c>
      <c r="I477" s="111">
        <v>19</v>
      </c>
      <c r="J477" s="110">
        <v>1883.2800000000002</v>
      </c>
      <c r="K477" s="111"/>
    </row>
    <row r="478" spans="2:11">
      <c r="B478" s="115" t="s">
        <v>1441</v>
      </c>
      <c r="C478" s="115" t="s">
        <v>1525</v>
      </c>
      <c r="D478" s="115" t="s">
        <v>1173</v>
      </c>
      <c r="E478" s="115">
        <v>36</v>
      </c>
      <c r="F478" s="71">
        <v>12</v>
      </c>
      <c r="G478" s="109">
        <v>295.2</v>
      </c>
      <c r="H478" s="110">
        <v>98.399999999999991</v>
      </c>
      <c r="I478" s="111">
        <v>24</v>
      </c>
      <c r="J478" s="110">
        <v>196.8</v>
      </c>
      <c r="K478" s="111"/>
    </row>
    <row r="479" spans="2:11">
      <c r="B479" s="115" t="s">
        <v>1442</v>
      </c>
      <c r="C479" s="115" t="s">
        <v>1526</v>
      </c>
      <c r="D479" s="115" t="s">
        <v>1610</v>
      </c>
      <c r="E479" s="115">
        <v>4</v>
      </c>
      <c r="F479" s="71"/>
      <c r="G479" s="109">
        <v>557.76</v>
      </c>
      <c r="H479" s="110">
        <v>0</v>
      </c>
      <c r="I479" s="111">
        <v>4</v>
      </c>
      <c r="J479" s="110">
        <v>557.76</v>
      </c>
      <c r="K479" s="111"/>
    </row>
    <row r="480" spans="2:11">
      <c r="B480" s="115" t="s">
        <v>1444</v>
      </c>
      <c r="C480" s="115" t="s">
        <v>1528</v>
      </c>
      <c r="D480" s="115" t="s">
        <v>1612</v>
      </c>
      <c r="E480" s="115">
        <v>280</v>
      </c>
      <c r="F480" s="71">
        <v>108</v>
      </c>
      <c r="G480" s="109">
        <v>2416.4</v>
      </c>
      <c r="H480" s="110">
        <v>932.04000000000008</v>
      </c>
      <c r="I480" s="111">
        <v>172</v>
      </c>
      <c r="J480" s="110">
        <v>1484.3600000000001</v>
      </c>
      <c r="K480" s="111"/>
    </row>
    <row r="481" spans="2:11">
      <c r="B481" s="115" t="s">
        <v>1446</v>
      </c>
      <c r="C481" s="115" t="s">
        <v>1530</v>
      </c>
      <c r="D481" s="115" t="s">
        <v>1614</v>
      </c>
      <c r="E481" s="115">
        <v>14</v>
      </c>
      <c r="F481" s="71"/>
      <c r="G481" s="109">
        <v>98.56</v>
      </c>
      <c r="H481" s="110">
        <v>0</v>
      </c>
      <c r="I481" s="111">
        <v>14</v>
      </c>
      <c r="J481" s="110">
        <v>98.56</v>
      </c>
      <c r="K481" s="111"/>
    </row>
    <row r="482" spans="2:11">
      <c r="B482" s="115" t="s">
        <v>1448</v>
      </c>
      <c r="C482" s="115" t="s">
        <v>1532</v>
      </c>
      <c r="D482" s="115" t="s">
        <v>1423</v>
      </c>
      <c r="E482" s="115">
        <v>14</v>
      </c>
      <c r="F482" s="71"/>
      <c r="G482" s="109">
        <v>217</v>
      </c>
      <c r="H482" s="110">
        <v>0</v>
      </c>
      <c r="I482" s="111">
        <v>14</v>
      </c>
      <c r="J482" s="110">
        <v>217</v>
      </c>
      <c r="K482" s="111"/>
    </row>
    <row r="483" spans="2:11">
      <c r="B483" s="115" t="s">
        <v>1450</v>
      </c>
      <c r="C483" s="115" t="s">
        <v>1534</v>
      </c>
      <c r="D483" s="115" t="s">
        <v>1617</v>
      </c>
      <c r="E483" s="115">
        <v>55</v>
      </c>
      <c r="F483" s="71">
        <v>54</v>
      </c>
      <c r="G483" s="109">
        <v>891</v>
      </c>
      <c r="H483" s="110">
        <v>874.8</v>
      </c>
      <c r="I483" s="111">
        <v>1</v>
      </c>
      <c r="J483" s="110">
        <v>16.200000000000045</v>
      </c>
      <c r="K483" s="111"/>
    </row>
    <row r="484" spans="2:11">
      <c r="B484" s="115" t="s">
        <v>1452</v>
      </c>
      <c r="C484" s="115" t="s">
        <v>1536</v>
      </c>
      <c r="D484" s="115" t="s">
        <v>1173</v>
      </c>
      <c r="E484" s="115">
        <v>544</v>
      </c>
      <c r="F484" s="71">
        <v>148</v>
      </c>
      <c r="G484" s="109">
        <v>4460.7999999999993</v>
      </c>
      <c r="H484" s="110">
        <v>1213.5999999999999</v>
      </c>
      <c r="I484" s="111">
        <v>396</v>
      </c>
      <c r="J484" s="110">
        <v>3247.1999999999994</v>
      </c>
      <c r="K484" s="111"/>
    </row>
    <row r="485" spans="2:11">
      <c r="B485" s="115" t="s">
        <v>1453</v>
      </c>
      <c r="C485" s="115" t="s">
        <v>1537</v>
      </c>
      <c r="D485" s="115" t="s">
        <v>1395</v>
      </c>
      <c r="E485" s="115">
        <v>442</v>
      </c>
      <c r="F485" s="71">
        <v>278</v>
      </c>
      <c r="G485" s="109">
        <v>3315</v>
      </c>
      <c r="H485" s="110">
        <v>2085</v>
      </c>
      <c r="I485" s="111">
        <v>164</v>
      </c>
      <c r="J485" s="110">
        <v>1230</v>
      </c>
      <c r="K485" s="111"/>
    </row>
    <row r="486" spans="2:11">
      <c r="B486" s="115" t="s">
        <v>1454</v>
      </c>
      <c r="C486" s="115" t="s">
        <v>1538</v>
      </c>
      <c r="D486" s="115" t="s">
        <v>1619</v>
      </c>
      <c r="E486" s="115">
        <v>58</v>
      </c>
      <c r="F486" s="71"/>
      <c r="G486" s="109">
        <v>833.45999999999992</v>
      </c>
      <c r="H486" s="110">
        <v>0</v>
      </c>
      <c r="I486" s="111">
        <v>58</v>
      </c>
      <c r="J486" s="110">
        <v>833.45999999999992</v>
      </c>
      <c r="K486" s="111"/>
    </row>
    <row r="487" spans="2:11">
      <c r="B487" s="115" t="s">
        <v>1455</v>
      </c>
      <c r="C487" s="115" t="s">
        <v>1539</v>
      </c>
      <c r="D487" s="115" t="s">
        <v>1620</v>
      </c>
      <c r="E487" s="115">
        <v>30</v>
      </c>
      <c r="F487" s="71"/>
      <c r="G487" s="109">
        <v>199.5</v>
      </c>
      <c r="H487" s="110">
        <v>0</v>
      </c>
      <c r="I487" s="111">
        <v>30</v>
      </c>
      <c r="J487" s="110">
        <v>199.5</v>
      </c>
      <c r="K487" s="111"/>
    </row>
    <row r="488" spans="2:11">
      <c r="B488" s="115" t="s">
        <v>1456</v>
      </c>
      <c r="C488" s="115" t="s">
        <v>1540</v>
      </c>
      <c r="D488" s="115" t="s">
        <v>1621</v>
      </c>
      <c r="E488" s="115">
        <v>6</v>
      </c>
      <c r="F488" s="71"/>
      <c r="G488" s="109">
        <v>45.599999999999994</v>
      </c>
      <c r="H488" s="110">
        <v>0</v>
      </c>
      <c r="I488" s="111">
        <v>6</v>
      </c>
      <c r="J488" s="110">
        <v>45.599999999999994</v>
      </c>
      <c r="K488" s="111"/>
    </row>
    <row r="489" spans="2:11">
      <c r="B489" s="115" t="s">
        <v>1457</v>
      </c>
      <c r="C489" s="115" t="s">
        <v>1541</v>
      </c>
      <c r="D489" s="115" t="s">
        <v>1622</v>
      </c>
      <c r="E489" s="115">
        <v>389</v>
      </c>
      <c r="F489" s="71">
        <v>255</v>
      </c>
      <c r="G489" s="109">
        <v>4574.6400000000003</v>
      </c>
      <c r="H489" s="110">
        <v>2998.7999999999997</v>
      </c>
      <c r="I489" s="111">
        <v>134</v>
      </c>
      <c r="J489" s="110">
        <v>1575.8400000000006</v>
      </c>
      <c r="K489" s="111"/>
    </row>
    <row r="490" spans="2:11">
      <c r="B490" s="115" t="s">
        <v>1460</v>
      </c>
      <c r="C490" s="115" t="s">
        <v>1544</v>
      </c>
      <c r="D490" s="115" t="s">
        <v>1625</v>
      </c>
      <c r="E490" s="115">
        <v>49</v>
      </c>
      <c r="F490" s="71">
        <v>16</v>
      </c>
      <c r="G490" s="109">
        <v>4736.83</v>
      </c>
      <c r="H490" s="110">
        <v>1546.72</v>
      </c>
      <c r="I490" s="111">
        <v>33</v>
      </c>
      <c r="J490" s="110">
        <v>3190.1099999999997</v>
      </c>
      <c r="K490" s="111"/>
    </row>
    <row r="491" spans="2:11">
      <c r="B491" s="115" t="s">
        <v>1461</v>
      </c>
      <c r="C491" s="115" t="s">
        <v>1545</v>
      </c>
      <c r="D491" s="115" t="s">
        <v>1626</v>
      </c>
      <c r="E491" s="115">
        <v>155</v>
      </c>
      <c r="F491" s="71">
        <v>45</v>
      </c>
      <c r="G491" s="109">
        <v>3853.2999999999997</v>
      </c>
      <c r="H491" s="110">
        <v>1118.7</v>
      </c>
      <c r="I491" s="111">
        <v>110</v>
      </c>
      <c r="J491" s="110">
        <v>2734.5999999999995</v>
      </c>
      <c r="K491" s="111"/>
    </row>
    <row r="492" spans="2:11">
      <c r="B492" s="115" t="s">
        <v>1462</v>
      </c>
      <c r="C492" s="115" t="s">
        <v>1546</v>
      </c>
      <c r="D492" s="115" t="s">
        <v>1627</v>
      </c>
      <c r="E492" s="115">
        <v>37</v>
      </c>
      <c r="F492" s="71">
        <v>17</v>
      </c>
      <c r="G492" s="109">
        <v>1805.6</v>
      </c>
      <c r="H492" s="110">
        <v>829.59999999999991</v>
      </c>
      <c r="I492" s="111">
        <v>20</v>
      </c>
      <c r="J492" s="110">
        <v>976</v>
      </c>
      <c r="K492" s="111"/>
    </row>
    <row r="493" spans="2:11">
      <c r="B493" s="115" t="s">
        <v>1463</v>
      </c>
      <c r="C493" s="115" t="s">
        <v>1547</v>
      </c>
      <c r="D493" s="115" t="s">
        <v>1628</v>
      </c>
      <c r="E493" s="115">
        <v>83</v>
      </c>
      <c r="F493" s="71">
        <v>10</v>
      </c>
      <c r="G493" s="109">
        <v>7850.1399999999994</v>
      </c>
      <c r="H493" s="110">
        <v>945.8</v>
      </c>
      <c r="I493" s="111">
        <v>73</v>
      </c>
      <c r="J493" s="110">
        <v>6904.3399999999992</v>
      </c>
      <c r="K493" s="111"/>
    </row>
    <row r="494" spans="2:11">
      <c r="B494" s="115" t="s">
        <v>1464</v>
      </c>
      <c r="C494" s="115" t="s">
        <v>1548</v>
      </c>
      <c r="D494" s="115" t="s">
        <v>1629</v>
      </c>
      <c r="E494" s="115">
        <v>593</v>
      </c>
      <c r="F494" s="71">
        <v>66</v>
      </c>
      <c r="G494" s="109">
        <v>14439.550000000001</v>
      </c>
      <c r="H494" s="110">
        <v>1607.1000000000001</v>
      </c>
      <c r="I494" s="111">
        <v>527</v>
      </c>
      <c r="J494" s="110">
        <v>12832.45</v>
      </c>
      <c r="K494" s="111"/>
    </row>
    <row r="495" spans="2:11">
      <c r="B495" s="115" t="s">
        <v>1465</v>
      </c>
      <c r="C495" s="115" t="s">
        <v>1549</v>
      </c>
      <c r="D495" s="115" t="s">
        <v>1630</v>
      </c>
      <c r="E495" s="115">
        <v>96</v>
      </c>
      <c r="F495" s="71">
        <v>27</v>
      </c>
      <c r="G495" s="109">
        <v>4582.08</v>
      </c>
      <c r="H495" s="110">
        <v>1288.7099999999998</v>
      </c>
      <c r="I495" s="111">
        <v>69</v>
      </c>
      <c r="J495" s="110">
        <v>3293.37</v>
      </c>
      <c r="K495" s="111"/>
    </row>
    <row r="496" spans="2:11">
      <c r="B496" s="115" t="s">
        <v>1467</v>
      </c>
      <c r="C496" s="115" t="s">
        <v>1551</v>
      </c>
      <c r="D496" s="115" t="s">
        <v>1631</v>
      </c>
      <c r="E496" s="115">
        <v>198</v>
      </c>
      <c r="F496" s="71">
        <v>106</v>
      </c>
      <c r="G496" s="109">
        <v>2255.2200000000003</v>
      </c>
      <c r="H496" s="110">
        <v>1207.3400000000001</v>
      </c>
      <c r="I496" s="111">
        <v>92</v>
      </c>
      <c r="J496" s="110">
        <v>1047.8800000000001</v>
      </c>
      <c r="K496" s="111"/>
    </row>
    <row r="497" spans="2:11">
      <c r="B497" s="115" t="s">
        <v>1468</v>
      </c>
      <c r="C497" s="115" t="s">
        <v>1552</v>
      </c>
      <c r="D497" s="115" t="s">
        <v>1632</v>
      </c>
      <c r="E497" s="115">
        <v>35</v>
      </c>
      <c r="F497" s="71"/>
      <c r="G497" s="109">
        <v>4049.5</v>
      </c>
      <c r="H497" s="110">
        <v>0</v>
      </c>
      <c r="I497" s="111">
        <v>35</v>
      </c>
      <c r="J497" s="110">
        <v>4049.5</v>
      </c>
      <c r="K497" s="111"/>
    </row>
    <row r="498" spans="2:11">
      <c r="B498" s="115" t="s">
        <v>1469</v>
      </c>
      <c r="C498" s="115" t="s">
        <v>1553</v>
      </c>
      <c r="D498" s="115" t="s">
        <v>1633</v>
      </c>
      <c r="E498" s="115">
        <v>10</v>
      </c>
      <c r="F498" s="71"/>
      <c r="G498" s="109">
        <v>76.399999999999991</v>
      </c>
      <c r="H498" s="110">
        <v>0</v>
      </c>
      <c r="I498" s="111">
        <v>10</v>
      </c>
      <c r="J498" s="110">
        <v>76.399999999999991</v>
      </c>
      <c r="K498" s="111"/>
    </row>
    <row r="499" spans="2:11">
      <c r="B499" s="115" t="s">
        <v>1470</v>
      </c>
      <c r="C499" s="115" t="s">
        <v>1554</v>
      </c>
      <c r="D499" s="115" t="s">
        <v>1634</v>
      </c>
      <c r="E499" s="115">
        <v>34</v>
      </c>
      <c r="F499" s="71">
        <v>20</v>
      </c>
      <c r="G499" s="109">
        <v>1311.38</v>
      </c>
      <c r="H499" s="110">
        <v>771.4</v>
      </c>
      <c r="I499" s="111">
        <v>14</v>
      </c>
      <c r="J499" s="110">
        <v>539.98000000000013</v>
      </c>
      <c r="K499" s="111"/>
    </row>
    <row r="500" spans="2:11">
      <c r="B500" s="115" t="s">
        <v>1471</v>
      </c>
      <c r="C500" s="115" t="s">
        <v>1555</v>
      </c>
      <c r="D500" s="115" t="s">
        <v>1636</v>
      </c>
      <c r="E500" s="115">
        <v>91</v>
      </c>
      <c r="F500" s="71">
        <v>61</v>
      </c>
      <c r="G500" s="109">
        <v>1142.96</v>
      </c>
      <c r="H500" s="110">
        <v>766.16000000000008</v>
      </c>
      <c r="I500" s="111">
        <v>30</v>
      </c>
      <c r="J500" s="110">
        <v>376.79999999999995</v>
      </c>
      <c r="K500" s="111"/>
    </row>
    <row r="501" spans="2:11">
      <c r="B501" s="115" t="s">
        <v>1472</v>
      </c>
      <c r="C501" s="115" t="s">
        <v>1556</v>
      </c>
      <c r="D501" s="115" t="s">
        <v>1638</v>
      </c>
      <c r="E501" s="115">
        <v>132</v>
      </c>
      <c r="F501" s="71">
        <v>123</v>
      </c>
      <c r="G501" s="109">
        <v>1671.1200000000001</v>
      </c>
      <c r="H501" s="110">
        <v>1557.18</v>
      </c>
      <c r="I501" s="111">
        <v>9</v>
      </c>
      <c r="J501" s="110">
        <v>113.94000000000005</v>
      </c>
      <c r="K501" s="111"/>
    </row>
    <row r="502" spans="2:11">
      <c r="B502" s="115" t="s">
        <v>1472</v>
      </c>
      <c r="C502" s="115" t="s">
        <v>1556</v>
      </c>
      <c r="D502" s="115" t="s">
        <v>1637</v>
      </c>
      <c r="E502" s="115">
        <v>2131</v>
      </c>
      <c r="F502" s="71">
        <v>960</v>
      </c>
      <c r="G502" s="109">
        <v>0</v>
      </c>
      <c r="H502" s="110">
        <v>0</v>
      </c>
      <c r="I502" s="111">
        <v>1171</v>
      </c>
      <c r="J502" s="110">
        <v>0</v>
      </c>
      <c r="K502" s="111"/>
    </row>
    <row r="503" spans="2:11">
      <c r="B503" s="115" t="s">
        <v>1473</v>
      </c>
      <c r="C503" s="115" t="s">
        <v>1557</v>
      </c>
      <c r="D503" s="115" t="s">
        <v>1639</v>
      </c>
      <c r="E503" s="115">
        <v>313</v>
      </c>
      <c r="F503" s="71">
        <v>77</v>
      </c>
      <c r="G503" s="109">
        <v>3599.5</v>
      </c>
      <c r="H503" s="110">
        <v>885.5</v>
      </c>
      <c r="I503" s="111">
        <v>236</v>
      </c>
      <c r="J503" s="110">
        <v>2714</v>
      </c>
      <c r="K503" s="111"/>
    </row>
    <row r="504" spans="2:11">
      <c r="B504" s="115" t="s">
        <v>1474</v>
      </c>
      <c r="C504" s="115" t="s">
        <v>1558</v>
      </c>
      <c r="D504" s="115" t="s">
        <v>1640</v>
      </c>
      <c r="E504" s="115">
        <v>161</v>
      </c>
      <c r="F504" s="71">
        <v>11</v>
      </c>
      <c r="G504" s="109">
        <v>1803.1999999999998</v>
      </c>
      <c r="H504" s="110">
        <v>123.19999999999999</v>
      </c>
      <c r="I504" s="111">
        <v>150</v>
      </c>
      <c r="J504" s="110">
        <v>1679.9999999999998</v>
      </c>
      <c r="K504" s="111"/>
    </row>
    <row r="505" spans="2:11">
      <c r="B505" s="115" t="s">
        <v>1476</v>
      </c>
      <c r="C505" s="115" t="s">
        <v>1560</v>
      </c>
      <c r="D505" s="115" t="s">
        <v>1641</v>
      </c>
      <c r="E505" s="115">
        <v>57</v>
      </c>
      <c r="F505" s="71">
        <v>6</v>
      </c>
      <c r="G505" s="109">
        <v>5457.1799999999994</v>
      </c>
      <c r="H505" s="110">
        <v>574.43999999999994</v>
      </c>
      <c r="I505" s="111">
        <v>51</v>
      </c>
      <c r="J505" s="110">
        <v>4882.74</v>
      </c>
      <c r="K505" s="111"/>
    </row>
    <row r="506" spans="2:11">
      <c r="B506" s="115" t="s">
        <v>1477</v>
      </c>
      <c r="C506" s="115" t="s">
        <v>1561</v>
      </c>
      <c r="D506" s="115" t="s">
        <v>1642</v>
      </c>
      <c r="E506" s="115">
        <v>135</v>
      </c>
      <c r="F506" s="71"/>
      <c r="G506" s="109">
        <v>2651.4</v>
      </c>
      <c r="H506" s="110">
        <v>0</v>
      </c>
      <c r="I506" s="111">
        <v>135</v>
      </c>
      <c r="J506" s="110">
        <v>2651.4</v>
      </c>
      <c r="K506" s="111"/>
    </row>
    <row r="507" spans="2:11">
      <c r="B507" s="115" t="s">
        <v>1479</v>
      </c>
      <c r="C507" s="115" t="s">
        <v>1563</v>
      </c>
      <c r="D507" s="115" t="s">
        <v>1644</v>
      </c>
      <c r="E507" s="115">
        <v>51</v>
      </c>
      <c r="F507" s="71">
        <v>7</v>
      </c>
      <c r="G507" s="109">
        <v>668.1</v>
      </c>
      <c r="H507" s="110">
        <v>91.7</v>
      </c>
      <c r="I507" s="111">
        <v>44</v>
      </c>
      <c r="J507" s="110">
        <v>576.4</v>
      </c>
      <c r="K507" s="111"/>
    </row>
    <row r="508" spans="2:11">
      <c r="B508" s="115" t="s">
        <v>1480</v>
      </c>
      <c r="C508" s="115" t="s">
        <v>1564</v>
      </c>
      <c r="D508" s="115" t="s">
        <v>1644</v>
      </c>
      <c r="E508" s="115">
        <v>39</v>
      </c>
      <c r="F508" s="71">
        <v>12</v>
      </c>
      <c r="G508" s="109">
        <v>510.9</v>
      </c>
      <c r="H508" s="110">
        <v>157.19999999999999</v>
      </c>
      <c r="I508" s="111">
        <v>27</v>
      </c>
      <c r="J508" s="110">
        <v>353.7</v>
      </c>
      <c r="K508" s="111"/>
    </row>
    <row r="509" spans="2:11">
      <c r="B509" s="115" t="s">
        <v>1481</v>
      </c>
      <c r="C509" s="115" t="s">
        <v>1565</v>
      </c>
      <c r="D509" s="115" t="s">
        <v>1644</v>
      </c>
      <c r="E509" s="115">
        <v>33</v>
      </c>
      <c r="F509" s="71">
        <v>11</v>
      </c>
      <c r="G509" s="109">
        <v>432.3</v>
      </c>
      <c r="H509" s="110">
        <v>144.1</v>
      </c>
      <c r="I509" s="111">
        <v>22</v>
      </c>
      <c r="J509" s="110">
        <v>288.20000000000005</v>
      </c>
      <c r="K509" s="111"/>
    </row>
    <row r="510" spans="2:11">
      <c r="B510" s="115" t="s">
        <v>1482</v>
      </c>
      <c r="C510" s="115" t="s">
        <v>1566</v>
      </c>
      <c r="D510" s="115" t="s">
        <v>1645</v>
      </c>
      <c r="E510" s="115">
        <v>14</v>
      </c>
      <c r="F510" s="71"/>
      <c r="G510" s="109">
        <v>176.4</v>
      </c>
      <c r="H510" s="110">
        <v>0</v>
      </c>
      <c r="I510" s="111">
        <v>14</v>
      </c>
      <c r="J510" s="110">
        <v>176.4</v>
      </c>
      <c r="K510" s="111"/>
    </row>
    <row r="511" spans="2:11">
      <c r="B511" s="115" t="s">
        <v>1485</v>
      </c>
      <c r="C511" s="115" t="s">
        <v>1569</v>
      </c>
      <c r="D511" s="115" t="s">
        <v>1648</v>
      </c>
      <c r="E511" s="115">
        <v>18</v>
      </c>
      <c r="F511" s="71">
        <v>17</v>
      </c>
      <c r="G511" s="109">
        <v>5400</v>
      </c>
      <c r="H511" s="110">
        <v>5100</v>
      </c>
      <c r="I511" s="111">
        <v>1</v>
      </c>
      <c r="J511" s="110">
        <v>300</v>
      </c>
      <c r="K511" s="111"/>
    </row>
    <row r="512" spans="2:11">
      <c r="B512" s="115" t="s">
        <v>1486</v>
      </c>
      <c r="C512" s="115" t="s">
        <v>1570</v>
      </c>
      <c r="D512" s="115" t="s">
        <v>1649</v>
      </c>
      <c r="E512" s="115">
        <v>5</v>
      </c>
      <c r="F512" s="71"/>
      <c r="G512" s="109">
        <v>725.90000000000009</v>
      </c>
      <c r="H512" s="110">
        <v>0</v>
      </c>
      <c r="I512" s="111">
        <v>5</v>
      </c>
      <c r="J512" s="110">
        <v>725.90000000000009</v>
      </c>
      <c r="K512" s="111"/>
    </row>
    <row r="513" spans="2:11">
      <c r="B513" s="115" t="s">
        <v>1487</v>
      </c>
      <c r="C513" s="115" t="s">
        <v>1571</v>
      </c>
      <c r="D513" s="115" t="s">
        <v>1650</v>
      </c>
      <c r="E513" s="115">
        <v>6</v>
      </c>
      <c r="F513" s="71">
        <v>5</v>
      </c>
      <c r="G513" s="109">
        <v>1200.18</v>
      </c>
      <c r="H513" s="110">
        <v>1000.15</v>
      </c>
      <c r="I513" s="111">
        <v>1</v>
      </c>
      <c r="J513" s="110">
        <v>200.03000000000009</v>
      </c>
      <c r="K513" s="111"/>
    </row>
    <row r="514" spans="2:11">
      <c r="B514" s="115" t="s">
        <v>1488</v>
      </c>
      <c r="C514" s="115" t="s">
        <v>1572</v>
      </c>
      <c r="D514" s="115" t="s">
        <v>1651</v>
      </c>
      <c r="E514" s="115">
        <v>5</v>
      </c>
      <c r="F514" s="71"/>
      <c r="G514" s="109">
        <v>90.35</v>
      </c>
      <c r="H514" s="110">
        <v>0</v>
      </c>
      <c r="I514" s="111">
        <v>5</v>
      </c>
      <c r="J514" s="110">
        <v>90.35</v>
      </c>
      <c r="K514" s="111"/>
    </row>
    <row r="515" spans="2:11">
      <c r="B515" s="115" t="s">
        <v>1491</v>
      </c>
      <c r="C515" s="115" t="s">
        <v>1575</v>
      </c>
      <c r="D515" s="115" t="s">
        <v>1654</v>
      </c>
      <c r="E515" s="115">
        <v>27</v>
      </c>
      <c r="F515" s="71">
        <v>26</v>
      </c>
      <c r="G515" s="109">
        <v>822.96</v>
      </c>
      <c r="H515" s="110">
        <v>792.48</v>
      </c>
      <c r="I515" s="111">
        <v>1</v>
      </c>
      <c r="J515" s="110">
        <v>30.480000000000018</v>
      </c>
      <c r="K515" s="111"/>
    </row>
    <row r="516" spans="2:11">
      <c r="B516" s="115" t="s">
        <v>4656</v>
      </c>
      <c r="C516" s="115" t="s">
        <v>1577</v>
      </c>
      <c r="D516" s="115" t="s">
        <v>1656</v>
      </c>
      <c r="E516" s="115">
        <v>77</v>
      </c>
      <c r="F516" s="71">
        <v>75</v>
      </c>
      <c r="G516" s="109">
        <v>3883.11</v>
      </c>
      <c r="H516" s="110">
        <v>3782.25</v>
      </c>
      <c r="I516" s="111">
        <v>2</v>
      </c>
      <c r="J516" s="110">
        <v>100.86000000000013</v>
      </c>
      <c r="K516" s="111"/>
    </row>
    <row r="517" spans="2:11">
      <c r="B517" s="115" t="s">
        <v>1493</v>
      </c>
      <c r="C517" s="115" t="s">
        <v>1578</v>
      </c>
      <c r="D517" s="115" t="s">
        <v>1657</v>
      </c>
      <c r="E517" s="115">
        <v>148</v>
      </c>
      <c r="F517" s="71">
        <v>147</v>
      </c>
      <c r="G517" s="109">
        <v>1971.3600000000001</v>
      </c>
      <c r="H517" s="110">
        <v>1958.04</v>
      </c>
      <c r="I517" s="111">
        <v>1</v>
      </c>
      <c r="J517" s="110">
        <v>13.320000000000164</v>
      </c>
      <c r="K517" s="111"/>
    </row>
    <row r="518" spans="2:11">
      <c r="B518" s="115" t="s">
        <v>1495</v>
      </c>
      <c r="C518" s="115" t="s">
        <v>1580</v>
      </c>
      <c r="D518" s="115" t="s">
        <v>1657</v>
      </c>
      <c r="E518" s="115">
        <v>113</v>
      </c>
      <c r="F518" s="71">
        <v>108</v>
      </c>
      <c r="G518" s="109">
        <v>1505.16</v>
      </c>
      <c r="H518" s="110">
        <v>1438.56</v>
      </c>
      <c r="I518" s="111">
        <v>5</v>
      </c>
      <c r="J518" s="110">
        <v>66.600000000000136</v>
      </c>
      <c r="K518" s="111"/>
    </row>
    <row r="519" spans="2:11" ht="30">
      <c r="B519" s="115" t="s">
        <v>1497</v>
      </c>
      <c r="C519" s="115" t="s">
        <v>1582</v>
      </c>
      <c r="D519" s="115" t="s">
        <v>1658</v>
      </c>
      <c r="E519" s="115">
        <v>125</v>
      </c>
      <c r="F519" s="71">
        <v>38</v>
      </c>
      <c r="G519" s="109">
        <v>1651.25</v>
      </c>
      <c r="H519" s="110">
        <v>501.98</v>
      </c>
      <c r="I519" s="111">
        <v>87</v>
      </c>
      <c r="J519" s="110">
        <v>1149.27</v>
      </c>
      <c r="K519" s="111"/>
    </row>
    <row r="520" spans="2:11">
      <c r="B520" s="115" t="s">
        <v>1499</v>
      </c>
      <c r="C520" s="115" t="s">
        <v>1584</v>
      </c>
      <c r="D520" s="115" t="s">
        <v>1660</v>
      </c>
      <c r="E520" s="115">
        <v>242</v>
      </c>
      <c r="F520" s="71">
        <v>136</v>
      </c>
      <c r="G520" s="109">
        <v>4493.9400000000005</v>
      </c>
      <c r="H520" s="110">
        <v>2525.52</v>
      </c>
      <c r="I520" s="111">
        <v>106</v>
      </c>
      <c r="J520" s="110">
        <v>1968.4200000000005</v>
      </c>
      <c r="K520" s="111"/>
    </row>
    <row r="521" spans="2:11">
      <c r="B521" s="115" t="s">
        <v>1500</v>
      </c>
      <c r="C521" s="115" t="s">
        <v>1585</v>
      </c>
      <c r="D521" s="115" t="s">
        <v>1660</v>
      </c>
      <c r="E521" s="115">
        <v>200</v>
      </c>
      <c r="F521" s="71">
        <v>6</v>
      </c>
      <c r="G521" s="109">
        <v>3714</v>
      </c>
      <c r="H521" s="110">
        <v>111.42</v>
      </c>
      <c r="I521" s="111">
        <v>194</v>
      </c>
      <c r="J521" s="110">
        <v>3602.58</v>
      </c>
      <c r="K521" s="111"/>
    </row>
    <row r="522" spans="2:11">
      <c r="B522" s="115" t="s">
        <v>1505</v>
      </c>
      <c r="C522" s="115" t="s">
        <v>1590</v>
      </c>
      <c r="D522" s="115" t="s">
        <v>1665</v>
      </c>
      <c r="E522" s="115">
        <v>94</v>
      </c>
      <c r="F522" s="71">
        <v>88</v>
      </c>
      <c r="G522" s="109">
        <v>1000.1600000000001</v>
      </c>
      <c r="H522" s="110">
        <v>936.32</v>
      </c>
      <c r="I522" s="111">
        <v>6</v>
      </c>
      <c r="J522" s="110">
        <v>63.840000000000032</v>
      </c>
      <c r="K522" s="111"/>
    </row>
    <row r="523" spans="2:11">
      <c r="B523" s="115" t="s">
        <v>1508</v>
      </c>
      <c r="C523" s="115" t="s">
        <v>1593</v>
      </c>
      <c r="D523" s="115" t="s">
        <v>1668</v>
      </c>
      <c r="E523" s="115">
        <v>26</v>
      </c>
      <c r="F523" s="71">
        <v>21</v>
      </c>
      <c r="G523" s="109">
        <v>1610.18</v>
      </c>
      <c r="H523" s="110">
        <v>1300.53</v>
      </c>
      <c r="I523" s="111">
        <v>5</v>
      </c>
      <c r="J523" s="110">
        <v>309.65000000000009</v>
      </c>
      <c r="K523" s="111"/>
    </row>
    <row r="524" spans="2:11">
      <c r="B524" s="115" t="s">
        <v>1510</v>
      </c>
      <c r="C524" s="115" t="s">
        <v>1595</v>
      </c>
      <c r="D524" s="115" t="s">
        <v>1670</v>
      </c>
      <c r="E524" s="115">
        <v>5</v>
      </c>
      <c r="F524" s="71">
        <v>4</v>
      </c>
      <c r="G524" s="109">
        <v>454.7</v>
      </c>
      <c r="H524" s="110">
        <v>363.76</v>
      </c>
      <c r="I524" s="111">
        <v>1</v>
      </c>
      <c r="J524" s="110">
        <v>90.94</v>
      </c>
      <c r="K524" s="111"/>
    </row>
    <row r="525" spans="2:11">
      <c r="B525" s="115" t="s">
        <v>1511</v>
      </c>
      <c r="C525" s="115" t="s">
        <v>1596</v>
      </c>
      <c r="D525" s="115" t="s">
        <v>1666</v>
      </c>
      <c r="E525" s="115">
        <v>11</v>
      </c>
      <c r="F525" s="71">
        <v>6</v>
      </c>
      <c r="G525" s="109">
        <v>2222</v>
      </c>
      <c r="H525" s="110">
        <v>1212</v>
      </c>
      <c r="I525" s="111">
        <v>5</v>
      </c>
      <c r="J525" s="110">
        <v>1010</v>
      </c>
      <c r="K525" s="111"/>
    </row>
    <row r="526" spans="2:11">
      <c r="B526" s="115" t="s">
        <v>1512</v>
      </c>
      <c r="C526" s="115" t="s">
        <v>1597</v>
      </c>
      <c r="D526" s="115" t="s">
        <v>1671</v>
      </c>
      <c r="E526" s="115">
        <v>2</v>
      </c>
      <c r="F526" s="71"/>
      <c r="G526" s="109">
        <v>372.4</v>
      </c>
      <c r="H526" s="110">
        <v>0</v>
      </c>
      <c r="I526" s="111">
        <v>2</v>
      </c>
      <c r="J526" s="110">
        <v>372.4</v>
      </c>
      <c r="K526" s="111"/>
    </row>
    <row r="527" spans="2:11">
      <c r="B527" s="115" t="s">
        <v>1514</v>
      </c>
      <c r="C527" s="115" t="s">
        <v>1599</v>
      </c>
      <c r="D527" s="115" t="s">
        <v>1673</v>
      </c>
      <c r="E527" s="115">
        <v>105</v>
      </c>
      <c r="F527" s="71">
        <v>20</v>
      </c>
      <c r="G527" s="109">
        <v>1911</v>
      </c>
      <c r="H527" s="110">
        <v>364</v>
      </c>
      <c r="I527" s="111">
        <v>85</v>
      </c>
      <c r="J527" s="110">
        <v>1547</v>
      </c>
      <c r="K527" s="111"/>
    </row>
    <row r="528" spans="2:11">
      <c r="B528" s="115" t="s">
        <v>1515</v>
      </c>
      <c r="C528" s="115" t="s">
        <v>1600</v>
      </c>
      <c r="D528" s="115" t="s">
        <v>1674</v>
      </c>
      <c r="E528" s="115">
        <v>54</v>
      </c>
      <c r="F528" s="71"/>
      <c r="G528" s="109">
        <v>961.7399999999999</v>
      </c>
      <c r="H528" s="110">
        <v>0</v>
      </c>
      <c r="I528" s="111">
        <v>54</v>
      </c>
      <c r="J528" s="110">
        <v>961.7399999999999</v>
      </c>
      <c r="K528" s="111"/>
    </row>
    <row r="529" spans="2:11">
      <c r="B529" s="115" t="s">
        <v>1516</v>
      </c>
      <c r="C529" s="115" t="s">
        <v>1601</v>
      </c>
      <c r="D529" s="115" t="s">
        <v>1675</v>
      </c>
      <c r="E529" s="115">
        <v>3</v>
      </c>
      <c r="F529" s="71"/>
      <c r="G529" s="109">
        <v>57.150000000000006</v>
      </c>
      <c r="H529" s="110">
        <v>0</v>
      </c>
      <c r="I529" s="111">
        <v>3</v>
      </c>
      <c r="J529" s="110">
        <v>57.150000000000006</v>
      </c>
      <c r="K529" s="111"/>
    </row>
    <row r="530" spans="2:11">
      <c r="B530" s="115" t="s">
        <v>1517</v>
      </c>
      <c r="C530" s="115" t="s">
        <v>1602</v>
      </c>
      <c r="D530" s="115" t="s">
        <v>1674</v>
      </c>
      <c r="E530" s="115">
        <v>33</v>
      </c>
      <c r="F530" s="71"/>
      <c r="G530" s="109">
        <v>587.7299999999999</v>
      </c>
      <c r="H530" s="110">
        <v>0</v>
      </c>
      <c r="I530" s="111">
        <v>33</v>
      </c>
      <c r="J530" s="110">
        <v>587.7299999999999</v>
      </c>
      <c r="K530" s="111"/>
    </row>
    <row r="531" spans="2:11">
      <c r="B531" s="115" t="s">
        <v>1518</v>
      </c>
      <c r="C531" s="115" t="s">
        <v>1603</v>
      </c>
      <c r="D531" s="115" t="s">
        <v>1676</v>
      </c>
      <c r="E531" s="115">
        <v>5</v>
      </c>
      <c r="F531" s="71"/>
      <c r="G531" s="109">
        <v>873.9</v>
      </c>
      <c r="H531" s="110">
        <v>0</v>
      </c>
      <c r="I531" s="111">
        <v>5</v>
      </c>
      <c r="J531" s="110">
        <v>873.9</v>
      </c>
      <c r="K531" s="111"/>
    </row>
    <row r="532" spans="2:11">
      <c r="B532" s="115" t="s">
        <v>1519</v>
      </c>
      <c r="C532" s="115" t="s">
        <v>1604</v>
      </c>
      <c r="D532" s="115" t="s">
        <v>1673</v>
      </c>
      <c r="E532" s="115">
        <v>211</v>
      </c>
      <c r="F532" s="71">
        <v>25</v>
      </c>
      <c r="G532" s="109">
        <v>3840.2</v>
      </c>
      <c r="H532" s="110">
        <v>455</v>
      </c>
      <c r="I532" s="111">
        <v>186</v>
      </c>
      <c r="J532" s="110">
        <v>3385.2</v>
      </c>
      <c r="K532" s="111"/>
    </row>
    <row r="533" spans="2:11">
      <c r="B533" s="115" t="s">
        <v>1520</v>
      </c>
      <c r="C533" s="115" t="s">
        <v>1605</v>
      </c>
      <c r="D533" s="115" t="s">
        <v>1673</v>
      </c>
      <c r="E533" s="115">
        <v>151</v>
      </c>
      <c r="F533" s="71">
        <v>23</v>
      </c>
      <c r="G533" s="109">
        <v>2748.2</v>
      </c>
      <c r="H533" s="110">
        <v>418.59999999999997</v>
      </c>
      <c r="I533" s="111">
        <v>128</v>
      </c>
      <c r="J533" s="110">
        <v>2329.6</v>
      </c>
      <c r="K533" s="111"/>
    </row>
    <row r="534" spans="2:11">
      <c r="B534" s="115" t="s">
        <v>1521</v>
      </c>
      <c r="C534" s="115" t="s">
        <v>1606</v>
      </c>
      <c r="D534" s="115" t="s">
        <v>1675</v>
      </c>
      <c r="E534" s="115">
        <v>52</v>
      </c>
      <c r="F534" s="71"/>
      <c r="G534" s="109">
        <v>990.6</v>
      </c>
      <c r="H534" s="110">
        <v>0</v>
      </c>
      <c r="I534" s="111">
        <v>52</v>
      </c>
      <c r="J534" s="110">
        <v>990.6</v>
      </c>
      <c r="K534" s="111"/>
    </row>
    <row r="535" spans="2:11">
      <c r="B535" s="115" t="s">
        <v>1522</v>
      </c>
      <c r="C535" s="115" t="s">
        <v>1607</v>
      </c>
      <c r="D535" s="115" t="s">
        <v>1674</v>
      </c>
      <c r="E535" s="115">
        <v>38</v>
      </c>
      <c r="F535" s="71"/>
      <c r="G535" s="109">
        <v>676.78</v>
      </c>
      <c r="H535" s="110">
        <v>0</v>
      </c>
      <c r="I535" s="111">
        <v>38</v>
      </c>
      <c r="J535" s="110">
        <v>676.78</v>
      </c>
      <c r="K535" s="111"/>
    </row>
    <row r="536" spans="2:11">
      <c r="B536" s="115" t="s">
        <v>1677</v>
      </c>
      <c r="C536" s="115" t="s">
        <v>1740</v>
      </c>
      <c r="D536" s="115" t="s">
        <v>1803</v>
      </c>
      <c r="E536" s="115">
        <v>9</v>
      </c>
      <c r="F536" s="71">
        <v>5</v>
      </c>
      <c r="G536" s="109">
        <v>448.2</v>
      </c>
      <c r="H536" s="110">
        <v>249</v>
      </c>
      <c r="I536" s="111">
        <v>4</v>
      </c>
      <c r="J536" s="110">
        <v>199.2</v>
      </c>
      <c r="K536" s="111"/>
    </row>
    <row r="537" spans="2:11">
      <c r="B537" s="115" t="s">
        <v>1678</v>
      </c>
      <c r="C537" s="115" t="s">
        <v>1741</v>
      </c>
      <c r="D537" s="115" t="s">
        <v>1804</v>
      </c>
      <c r="E537" s="115">
        <v>4</v>
      </c>
      <c r="F537" s="71"/>
      <c r="G537" s="109">
        <v>560</v>
      </c>
      <c r="H537" s="110">
        <v>0</v>
      </c>
      <c r="I537" s="111">
        <v>4</v>
      </c>
      <c r="J537" s="110">
        <v>560</v>
      </c>
      <c r="K537" s="111"/>
    </row>
    <row r="538" spans="2:11">
      <c r="B538" s="115" t="s">
        <v>1679</v>
      </c>
      <c r="C538" s="115" t="s">
        <v>1742</v>
      </c>
      <c r="D538" s="115" t="s">
        <v>1805</v>
      </c>
      <c r="E538" s="115">
        <v>97</v>
      </c>
      <c r="F538" s="71"/>
      <c r="G538" s="109">
        <v>2502.6</v>
      </c>
      <c r="H538" s="110">
        <v>0</v>
      </c>
      <c r="I538" s="111">
        <v>97</v>
      </c>
      <c r="J538" s="110">
        <v>2502.6</v>
      </c>
      <c r="K538" s="111"/>
    </row>
    <row r="539" spans="2:11">
      <c r="B539" s="115" t="s">
        <v>1681</v>
      </c>
      <c r="C539" s="115" t="s">
        <v>1744</v>
      </c>
      <c r="D539" s="115" t="s">
        <v>1807</v>
      </c>
      <c r="E539" s="115">
        <v>39</v>
      </c>
      <c r="F539" s="71">
        <v>5</v>
      </c>
      <c r="G539" s="109">
        <v>1895.4</v>
      </c>
      <c r="H539" s="110">
        <v>243</v>
      </c>
      <c r="I539" s="111">
        <v>34</v>
      </c>
      <c r="J539" s="110">
        <v>1652.4</v>
      </c>
      <c r="K539" s="111"/>
    </row>
    <row r="540" spans="2:11">
      <c r="B540" s="115" t="s">
        <v>1682</v>
      </c>
      <c r="C540" s="115" t="s">
        <v>1745</v>
      </c>
      <c r="D540" s="115" t="s">
        <v>1805</v>
      </c>
      <c r="E540" s="115">
        <v>367</v>
      </c>
      <c r="F540" s="71">
        <v>195</v>
      </c>
      <c r="G540" s="109">
        <v>9468.6</v>
      </c>
      <c r="H540" s="110">
        <v>5031</v>
      </c>
      <c r="I540" s="111">
        <v>172</v>
      </c>
      <c r="J540" s="110">
        <v>4437.6000000000004</v>
      </c>
      <c r="K540" s="111"/>
    </row>
    <row r="541" spans="2:11" ht="30">
      <c r="B541" s="115" t="s">
        <v>1683</v>
      </c>
      <c r="C541" s="115" t="s">
        <v>1746</v>
      </c>
      <c r="D541" s="115" t="s">
        <v>1808</v>
      </c>
      <c r="E541" s="115">
        <v>122</v>
      </c>
      <c r="F541" s="71">
        <v>61</v>
      </c>
      <c r="G541" s="109">
        <v>12236.6</v>
      </c>
      <c r="H541" s="110">
        <v>6118.3</v>
      </c>
      <c r="I541" s="111">
        <v>61</v>
      </c>
      <c r="J541" s="110">
        <v>6118.3</v>
      </c>
      <c r="K541" s="111"/>
    </row>
    <row r="542" spans="2:11">
      <c r="B542" s="115" t="s">
        <v>1684</v>
      </c>
      <c r="C542" s="115" t="s">
        <v>1747</v>
      </c>
      <c r="D542" s="115" t="s">
        <v>1809</v>
      </c>
      <c r="E542" s="115">
        <v>16</v>
      </c>
      <c r="F542" s="71">
        <v>10</v>
      </c>
      <c r="G542" s="109">
        <v>1181.76</v>
      </c>
      <c r="H542" s="110">
        <v>738.6</v>
      </c>
      <c r="I542" s="111">
        <v>6</v>
      </c>
      <c r="J542" s="110">
        <v>443.15999999999997</v>
      </c>
      <c r="K542" s="111"/>
    </row>
    <row r="543" spans="2:11">
      <c r="B543" s="115" t="s">
        <v>1685</v>
      </c>
      <c r="C543" s="115" t="s">
        <v>1748</v>
      </c>
      <c r="D543" s="115" t="s">
        <v>1810</v>
      </c>
      <c r="E543" s="115">
        <v>1</v>
      </c>
      <c r="F543" s="71"/>
      <c r="G543" s="109">
        <v>39.85</v>
      </c>
      <c r="H543" s="110">
        <v>0</v>
      </c>
      <c r="I543" s="111">
        <v>1</v>
      </c>
      <c r="J543" s="110">
        <v>39.85</v>
      </c>
      <c r="K543" s="111"/>
    </row>
    <row r="544" spans="2:11" ht="30">
      <c r="B544" s="115" t="s">
        <v>1686</v>
      </c>
      <c r="C544" s="115" t="s">
        <v>1749</v>
      </c>
      <c r="D544" s="115" t="s">
        <v>1811</v>
      </c>
      <c r="E544" s="115">
        <v>9</v>
      </c>
      <c r="F544" s="71"/>
      <c r="G544" s="109">
        <v>1161.8999999999999</v>
      </c>
      <c r="H544" s="110">
        <v>0</v>
      </c>
      <c r="I544" s="111">
        <v>9</v>
      </c>
      <c r="J544" s="110">
        <v>1161.8999999999999</v>
      </c>
      <c r="K544" s="111"/>
    </row>
    <row r="545" spans="2:11">
      <c r="B545" s="115" t="s">
        <v>1687</v>
      </c>
      <c r="C545" s="115" t="s">
        <v>1750</v>
      </c>
      <c r="D545" s="115" t="s">
        <v>1812</v>
      </c>
      <c r="E545" s="115">
        <v>47</v>
      </c>
      <c r="F545" s="71"/>
      <c r="G545" s="109">
        <v>493.5</v>
      </c>
      <c r="H545" s="110">
        <v>0</v>
      </c>
      <c r="I545" s="111">
        <v>47</v>
      </c>
      <c r="J545" s="110">
        <v>493.5</v>
      </c>
      <c r="K545" s="111"/>
    </row>
    <row r="546" spans="2:11">
      <c r="B546" s="115" t="s">
        <v>1689</v>
      </c>
      <c r="C546" s="115" t="s">
        <v>1752</v>
      </c>
      <c r="D546" s="115" t="s">
        <v>1814</v>
      </c>
      <c r="E546" s="115">
        <v>140</v>
      </c>
      <c r="F546" s="71">
        <v>14</v>
      </c>
      <c r="G546" s="109">
        <v>4480</v>
      </c>
      <c r="H546" s="110">
        <v>448</v>
      </c>
      <c r="I546" s="111">
        <v>126</v>
      </c>
      <c r="J546" s="110">
        <v>4032</v>
      </c>
      <c r="K546" s="111"/>
    </row>
    <row r="547" spans="2:11">
      <c r="B547" s="115" t="s">
        <v>1690</v>
      </c>
      <c r="C547" s="115" t="s">
        <v>1753</v>
      </c>
      <c r="D547" s="115" t="s">
        <v>1815</v>
      </c>
      <c r="E547" s="115">
        <v>3</v>
      </c>
      <c r="F547" s="71"/>
      <c r="G547" s="109">
        <v>23.64</v>
      </c>
      <c r="H547" s="110">
        <v>0</v>
      </c>
      <c r="I547" s="111">
        <v>3</v>
      </c>
      <c r="J547" s="110">
        <v>23.64</v>
      </c>
      <c r="K547" s="111"/>
    </row>
    <row r="548" spans="2:11">
      <c r="B548" s="115" t="s">
        <v>1692</v>
      </c>
      <c r="C548" s="115" t="s">
        <v>1755</v>
      </c>
      <c r="D548" s="115" t="s">
        <v>771</v>
      </c>
      <c r="E548" s="115">
        <v>51</v>
      </c>
      <c r="F548" s="71">
        <v>11</v>
      </c>
      <c r="G548" s="109">
        <v>782.85</v>
      </c>
      <c r="H548" s="110">
        <v>168.85</v>
      </c>
      <c r="I548" s="111">
        <v>40</v>
      </c>
      <c r="J548" s="110">
        <v>614</v>
      </c>
      <c r="K548" s="111"/>
    </row>
    <row r="549" spans="2:11">
      <c r="B549" s="115" t="s">
        <v>1693</v>
      </c>
      <c r="C549" s="115" t="s">
        <v>1756</v>
      </c>
      <c r="D549" s="115" t="s">
        <v>1817</v>
      </c>
      <c r="E549" s="115">
        <v>80</v>
      </c>
      <c r="F549" s="71">
        <v>74</v>
      </c>
      <c r="G549" s="109">
        <v>2466.3999999999996</v>
      </c>
      <c r="H549" s="110">
        <v>2281.42</v>
      </c>
      <c r="I549" s="111">
        <v>6</v>
      </c>
      <c r="J549" s="110">
        <v>184.97999999999956</v>
      </c>
      <c r="K549" s="111"/>
    </row>
    <row r="550" spans="2:11">
      <c r="B550" s="115" t="s">
        <v>1695</v>
      </c>
      <c r="C550" s="115" t="s">
        <v>1758</v>
      </c>
      <c r="D550" s="115" t="s">
        <v>1818</v>
      </c>
      <c r="E550" s="115">
        <v>64</v>
      </c>
      <c r="F550" s="71">
        <v>52</v>
      </c>
      <c r="G550" s="109">
        <v>560</v>
      </c>
      <c r="H550" s="110">
        <v>455</v>
      </c>
      <c r="I550" s="111">
        <v>12</v>
      </c>
      <c r="J550" s="110">
        <v>105</v>
      </c>
      <c r="K550" s="111"/>
    </row>
    <row r="551" spans="2:11">
      <c r="B551" s="115" t="s">
        <v>1696</v>
      </c>
      <c r="C551" s="115" t="s">
        <v>1759</v>
      </c>
      <c r="D551" s="115" t="s">
        <v>1819</v>
      </c>
      <c r="E551" s="115">
        <v>8</v>
      </c>
      <c r="F551" s="71"/>
      <c r="G551" s="109">
        <v>172</v>
      </c>
      <c r="H551" s="110">
        <v>0</v>
      </c>
      <c r="I551" s="111">
        <v>8</v>
      </c>
      <c r="J551" s="110">
        <v>172</v>
      </c>
      <c r="K551" s="111"/>
    </row>
    <row r="552" spans="2:11">
      <c r="B552" s="115" t="s">
        <v>1697</v>
      </c>
      <c r="C552" s="115" t="s">
        <v>1760</v>
      </c>
      <c r="D552" s="115" t="s">
        <v>1819</v>
      </c>
      <c r="E552" s="115">
        <v>13</v>
      </c>
      <c r="F552" s="71"/>
      <c r="G552" s="109">
        <v>279.5</v>
      </c>
      <c r="H552" s="110">
        <v>0</v>
      </c>
      <c r="I552" s="111">
        <v>13</v>
      </c>
      <c r="J552" s="110">
        <v>279.5</v>
      </c>
      <c r="K552" s="111"/>
    </row>
    <row r="553" spans="2:11">
      <c r="B553" s="115" t="s">
        <v>1698</v>
      </c>
      <c r="C553" s="115" t="s">
        <v>1761</v>
      </c>
      <c r="D553" s="115" t="s">
        <v>1819</v>
      </c>
      <c r="E553" s="115">
        <v>9</v>
      </c>
      <c r="F553" s="71"/>
      <c r="G553" s="109">
        <v>193.5</v>
      </c>
      <c r="H553" s="110">
        <v>0</v>
      </c>
      <c r="I553" s="111">
        <v>9</v>
      </c>
      <c r="J553" s="110">
        <v>193.5</v>
      </c>
      <c r="K553" s="111"/>
    </row>
    <row r="554" spans="2:11">
      <c r="B554" s="115" t="s">
        <v>1699</v>
      </c>
      <c r="C554" s="115" t="s">
        <v>1762</v>
      </c>
      <c r="D554" s="115" t="s">
        <v>1819</v>
      </c>
      <c r="E554" s="115">
        <v>10</v>
      </c>
      <c r="F554" s="71"/>
      <c r="G554" s="109">
        <v>215</v>
      </c>
      <c r="H554" s="110">
        <v>0</v>
      </c>
      <c r="I554" s="111">
        <v>10</v>
      </c>
      <c r="J554" s="110">
        <v>215</v>
      </c>
      <c r="K554" s="111"/>
    </row>
    <row r="555" spans="2:11">
      <c r="B555" s="115" t="s">
        <v>1700</v>
      </c>
      <c r="C555" s="115" t="s">
        <v>1763</v>
      </c>
      <c r="D555" s="115" t="s">
        <v>1819</v>
      </c>
      <c r="E555" s="115">
        <v>8</v>
      </c>
      <c r="F555" s="71"/>
      <c r="G555" s="109">
        <v>172</v>
      </c>
      <c r="H555" s="110">
        <v>0</v>
      </c>
      <c r="I555" s="111">
        <v>8</v>
      </c>
      <c r="J555" s="110">
        <v>172</v>
      </c>
      <c r="K555" s="111"/>
    </row>
    <row r="556" spans="2:11">
      <c r="B556" s="115" t="s">
        <v>1701</v>
      </c>
      <c r="C556" s="115" t="s">
        <v>1764</v>
      </c>
      <c r="D556" s="115" t="s">
        <v>1820</v>
      </c>
      <c r="E556" s="115">
        <v>8</v>
      </c>
      <c r="F556" s="71"/>
      <c r="G556" s="109">
        <v>204</v>
      </c>
      <c r="H556" s="110">
        <v>0</v>
      </c>
      <c r="I556" s="111">
        <v>8</v>
      </c>
      <c r="J556" s="110">
        <v>204</v>
      </c>
      <c r="K556" s="111"/>
    </row>
    <row r="557" spans="2:11">
      <c r="B557" s="115" t="s">
        <v>1702</v>
      </c>
      <c r="C557" s="115" t="s">
        <v>1765</v>
      </c>
      <c r="D557" s="115" t="s">
        <v>1820</v>
      </c>
      <c r="E557" s="115">
        <v>9</v>
      </c>
      <c r="F557" s="71"/>
      <c r="G557" s="109">
        <v>229.5</v>
      </c>
      <c r="H557" s="110">
        <v>0</v>
      </c>
      <c r="I557" s="111">
        <v>9</v>
      </c>
      <c r="J557" s="110">
        <v>229.5</v>
      </c>
      <c r="K557" s="111"/>
    </row>
    <row r="558" spans="2:11">
      <c r="B558" s="115" t="s">
        <v>1703</v>
      </c>
      <c r="C558" s="115" t="s">
        <v>1766</v>
      </c>
      <c r="D558" s="115" t="s">
        <v>1819</v>
      </c>
      <c r="E558" s="115">
        <v>10</v>
      </c>
      <c r="F558" s="71"/>
      <c r="G558" s="109">
        <v>215</v>
      </c>
      <c r="H558" s="110">
        <v>0</v>
      </c>
      <c r="I558" s="111">
        <v>10</v>
      </c>
      <c r="J558" s="110">
        <v>215</v>
      </c>
      <c r="K558" s="111"/>
    </row>
    <row r="559" spans="2:11">
      <c r="B559" s="115" t="s">
        <v>1704</v>
      </c>
      <c r="C559" s="115" t="s">
        <v>1767</v>
      </c>
      <c r="D559" s="115" t="s">
        <v>1819</v>
      </c>
      <c r="E559" s="115">
        <v>11</v>
      </c>
      <c r="F559" s="71">
        <v>1</v>
      </c>
      <c r="G559" s="109">
        <v>236.5</v>
      </c>
      <c r="H559" s="110">
        <v>21.5</v>
      </c>
      <c r="I559" s="111">
        <v>10</v>
      </c>
      <c r="J559" s="110">
        <v>215</v>
      </c>
      <c r="K559" s="111"/>
    </row>
    <row r="560" spans="2:11">
      <c r="B560" s="115" t="s">
        <v>1705</v>
      </c>
      <c r="C560" s="115" t="s">
        <v>1768</v>
      </c>
      <c r="D560" s="115" t="s">
        <v>1232</v>
      </c>
      <c r="E560" s="115">
        <v>60</v>
      </c>
      <c r="F560" s="71"/>
      <c r="G560" s="109">
        <v>600</v>
      </c>
      <c r="H560" s="110">
        <v>0</v>
      </c>
      <c r="I560" s="111">
        <v>60</v>
      </c>
      <c r="J560" s="110">
        <v>600</v>
      </c>
      <c r="K560" s="111"/>
    </row>
    <row r="561" spans="2:11">
      <c r="B561" s="115" t="s">
        <v>1706</v>
      </c>
      <c r="C561" s="115" t="s">
        <v>1769</v>
      </c>
      <c r="D561" s="115" t="s">
        <v>1821</v>
      </c>
      <c r="E561" s="115">
        <v>11</v>
      </c>
      <c r="F561" s="71">
        <v>10</v>
      </c>
      <c r="G561" s="109">
        <v>206.25</v>
      </c>
      <c r="H561" s="110">
        <v>187.5</v>
      </c>
      <c r="I561" s="111">
        <v>1</v>
      </c>
      <c r="J561" s="110">
        <v>18.75</v>
      </c>
      <c r="K561" s="111"/>
    </row>
    <row r="562" spans="2:11">
      <c r="B562" s="115" t="s">
        <v>1707</v>
      </c>
      <c r="C562" s="115" t="s">
        <v>1770</v>
      </c>
      <c r="D562" s="115" t="s">
        <v>3666</v>
      </c>
      <c r="E562" s="115">
        <v>15</v>
      </c>
      <c r="F562" s="71">
        <v>13</v>
      </c>
      <c r="G562" s="109">
        <v>228.75</v>
      </c>
      <c r="H562" s="110">
        <v>198.25</v>
      </c>
      <c r="I562" s="111">
        <v>2</v>
      </c>
      <c r="J562" s="110">
        <v>30.5</v>
      </c>
      <c r="K562" s="111"/>
    </row>
    <row r="563" spans="2:11">
      <c r="B563" s="115" t="s">
        <v>1709</v>
      </c>
      <c r="C563" s="115" t="s">
        <v>1772</v>
      </c>
      <c r="D563" s="115" t="s">
        <v>1824</v>
      </c>
      <c r="E563" s="115">
        <v>27</v>
      </c>
      <c r="F563" s="71">
        <v>5</v>
      </c>
      <c r="G563" s="109">
        <v>499.5</v>
      </c>
      <c r="H563" s="110">
        <v>92.5</v>
      </c>
      <c r="I563" s="111">
        <v>22</v>
      </c>
      <c r="J563" s="110">
        <v>407</v>
      </c>
      <c r="K563" s="111"/>
    </row>
    <row r="564" spans="2:11" ht="30">
      <c r="B564" s="115" t="s">
        <v>1711</v>
      </c>
      <c r="C564" s="115" t="s">
        <v>1774</v>
      </c>
      <c r="D564" s="115" t="s">
        <v>1824</v>
      </c>
      <c r="E564" s="115">
        <v>24</v>
      </c>
      <c r="F564" s="71">
        <v>4</v>
      </c>
      <c r="G564" s="109">
        <v>444</v>
      </c>
      <c r="H564" s="110">
        <v>74</v>
      </c>
      <c r="I564" s="111">
        <v>20</v>
      </c>
      <c r="J564" s="110">
        <v>370</v>
      </c>
      <c r="K564" s="111"/>
    </row>
    <row r="565" spans="2:11">
      <c r="B565" s="115" t="s">
        <v>1713</v>
      </c>
      <c r="C565" s="115" t="s">
        <v>1776</v>
      </c>
      <c r="D565" s="115" t="s">
        <v>1824</v>
      </c>
      <c r="E565" s="115">
        <v>40</v>
      </c>
      <c r="F565" s="71">
        <v>10</v>
      </c>
      <c r="G565" s="109">
        <v>740</v>
      </c>
      <c r="H565" s="110">
        <v>185</v>
      </c>
      <c r="I565" s="111">
        <v>30</v>
      </c>
      <c r="J565" s="110">
        <v>555</v>
      </c>
      <c r="K565" s="111"/>
    </row>
    <row r="566" spans="2:11">
      <c r="B566" s="115" t="s">
        <v>1714</v>
      </c>
      <c r="C566" s="115" t="s">
        <v>1777</v>
      </c>
      <c r="D566" s="115" t="s">
        <v>1823</v>
      </c>
      <c r="E566" s="115">
        <v>24</v>
      </c>
      <c r="F566" s="71">
        <v>11</v>
      </c>
      <c r="G566" s="109">
        <v>336</v>
      </c>
      <c r="H566" s="110">
        <v>154</v>
      </c>
      <c r="I566" s="111">
        <v>13</v>
      </c>
      <c r="J566" s="110">
        <v>182</v>
      </c>
      <c r="K566" s="111"/>
    </row>
    <row r="567" spans="2:11">
      <c r="B567" s="115" t="s">
        <v>1715</v>
      </c>
      <c r="C567" s="115" t="s">
        <v>1778</v>
      </c>
      <c r="D567" s="115" t="s">
        <v>1824</v>
      </c>
      <c r="E567" s="115">
        <v>10</v>
      </c>
      <c r="F567" s="71"/>
      <c r="G567" s="109">
        <v>185</v>
      </c>
      <c r="H567" s="110">
        <v>0</v>
      </c>
      <c r="I567" s="111">
        <v>10</v>
      </c>
      <c r="J567" s="110">
        <v>185</v>
      </c>
      <c r="K567" s="111"/>
    </row>
    <row r="568" spans="2:11">
      <c r="B568" s="115" t="s">
        <v>1716</v>
      </c>
      <c r="C568" s="115" t="s">
        <v>1779</v>
      </c>
      <c r="D568" s="115" t="s">
        <v>1232</v>
      </c>
      <c r="E568" s="115">
        <v>173</v>
      </c>
      <c r="F568" s="71">
        <v>18</v>
      </c>
      <c r="G568" s="109">
        <v>1730</v>
      </c>
      <c r="H568" s="110">
        <v>180</v>
      </c>
      <c r="I568" s="111">
        <v>155</v>
      </c>
      <c r="J568" s="110">
        <v>1550</v>
      </c>
      <c r="K568" s="111"/>
    </row>
    <row r="569" spans="2:11">
      <c r="B569" s="115" t="s">
        <v>1717</v>
      </c>
      <c r="C569" s="115" t="s">
        <v>1780</v>
      </c>
      <c r="D569" s="115" t="s">
        <v>1826</v>
      </c>
      <c r="E569" s="115">
        <v>8</v>
      </c>
      <c r="F569" s="71"/>
      <c r="G569" s="109">
        <v>146.80000000000001</v>
      </c>
      <c r="H569" s="110">
        <v>0</v>
      </c>
      <c r="I569" s="111">
        <v>8</v>
      </c>
      <c r="J569" s="110">
        <v>146.80000000000001</v>
      </c>
      <c r="K569" s="111"/>
    </row>
    <row r="570" spans="2:11">
      <c r="B570" s="115" t="s">
        <v>1718</v>
      </c>
      <c r="C570" s="115" t="s">
        <v>1781</v>
      </c>
      <c r="D570" s="115" t="s">
        <v>1827</v>
      </c>
      <c r="E570" s="115">
        <v>9</v>
      </c>
      <c r="F570" s="71">
        <v>7</v>
      </c>
      <c r="G570" s="109">
        <v>184.95000000000002</v>
      </c>
      <c r="H570" s="110">
        <v>143.85</v>
      </c>
      <c r="I570" s="111">
        <v>2</v>
      </c>
      <c r="J570" s="110">
        <v>41.100000000000023</v>
      </c>
      <c r="K570" s="111"/>
    </row>
    <row r="571" spans="2:11">
      <c r="B571" s="115" t="s">
        <v>1720</v>
      </c>
      <c r="C571" s="115" t="s">
        <v>1783</v>
      </c>
      <c r="D571" s="115" t="s">
        <v>1827</v>
      </c>
      <c r="E571" s="115">
        <v>55</v>
      </c>
      <c r="F571" s="71">
        <v>23</v>
      </c>
      <c r="G571" s="109">
        <v>1130.25</v>
      </c>
      <c r="H571" s="110">
        <v>472.65000000000003</v>
      </c>
      <c r="I571" s="111">
        <v>32</v>
      </c>
      <c r="J571" s="110">
        <v>657.59999999999991</v>
      </c>
      <c r="K571" s="111"/>
    </row>
    <row r="572" spans="2:11">
      <c r="B572" s="115" t="s">
        <v>1721</v>
      </c>
      <c r="C572" s="115" t="s">
        <v>1784</v>
      </c>
      <c r="D572" s="115" t="s">
        <v>1828</v>
      </c>
      <c r="E572" s="115">
        <v>28</v>
      </c>
      <c r="F572" s="71">
        <v>11</v>
      </c>
      <c r="G572" s="109">
        <v>652.96</v>
      </c>
      <c r="H572" s="110">
        <v>256.52</v>
      </c>
      <c r="I572" s="111">
        <v>17</v>
      </c>
      <c r="J572" s="110">
        <v>396.44000000000005</v>
      </c>
      <c r="K572" s="111"/>
    </row>
    <row r="573" spans="2:11">
      <c r="B573" s="115" t="s">
        <v>1722</v>
      </c>
      <c r="C573" s="115" t="s">
        <v>1785</v>
      </c>
      <c r="D573" s="115" t="s">
        <v>1826</v>
      </c>
      <c r="E573" s="115">
        <v>1</v>
      </c>
      <c r="F573" s="71"/>
      <c r="G573" s="109">
        <v>18.350000000000001</v>
      </c>
      <c r="H573" s="110">
        <v>0</v>
      </c>
      <c r="I573" s="111">
        <v>1</v>
      </c>
      <c r="J573" s="110">
        <v>18.350000000000001</v>
      </c>
      <c r="K573" s="111"/>
    </row>
    <row r="574" spans="2:11">
      <c r="B574" s="115" t="s">
        <v>1723</v>
      </c>
      <c r="C574" s="115" t="s">
        <v>1786</v>
      </c>
      <c r="D574" s="115" t="s">
        <v>1827</v>
      </c>
      <c r="E574" s="115">
        <v>27</v>
      </c>
      <c r="F574" s="71">
        <v>17</v>
      </c>
      <c r="G574" s="109">
        <v>554.85</v>
      </c>
      <c r="H574" s="110">
        <v>349.35</v>
      </c>
      <c r="I574" s="111">
        <v>10</v>
      </c>
      <c r="J574" s="110">
        <v>205.5</v>
      </c>
      <c r="K574" s="111"/>
    </row>
    <row r="575" spans="2:11">
      <c r="B575" s="115" t="s">
        <v>1724</v>
      </c>
      <c r="C575" s="115" t="s">
        <v>1787</v>
      </c>
      <c r="D575" s="115" t="s">
        <v>1829</v>
      </c>
      <c r="E575" s="115">
        <v>6</v>
      </c>
      <c r="F575" s="71"/>
      <c r="G575" s="109">
        <v>136.85999999999999</v>
      </c>
      <c r="H575" s="110">
        <v>0</v>
      </c>
      <c r="I575" s="111">
        <v>6</v>
      </c>
      <c r="J575" s="110">
        <v>136.85999999999999</v>
      </c>
      <c r="K575" s="111"/>
    </row>
    <row r="576" spans="2:11">
      <c r="B576" s="115" t="s">
        <v>1725</v>
      </c>
      <c r="C576" s="115" t="s">
        <v>1788</v>
      </c>
      <c r="D576" s="115" t="s">
        <v>1830</v>
      </c>
      <c r="E576" s="115">
        <v>29</v>
      </c>
      <c r="F576" s="71">
        <v>27</v>
      </c>
      <c r="G576" s="109">
        <v>613.93000000000006</v>
      </c>
      <c r="H576" s="110">
        <v>571.59</v>
      </c>
      <c r="I576" s="111">
        <v>2</v>
      </c>
      <c r="J576" s="110">
        <v>42.340000000000032</v>
      </c>
      <c r="K576" s="111"/>
    </row>
    <row r="577" spans="2:11">
      <c r="B577" s="115" t="s">
        <v>1726</v>
      </c>
      <c r="C577" s="115" t="s">
        <v>1789</v>
      </c>
      <c r="D577" s="115" t="s">
        <v>1827</v>
      </c>
      <c r="E577" s="115">
        <v>66</v>
      </c>
      <c r="F577" s="71">
        <v>52</v>
      </c>
      <c r="G577" s="109">
        <v>1356.3</v>
      </c>
      <c r="H577" s="110">
        <v>1068.6000000000001</v>
      </c>
      <c r="I577" s="111">
        <v>14</v>
      </c>
      <c r="J577" s="110">
        <v>287.69999999999982</v>
      </c>
      <c r="K577" s="111"/>
    </row>
    <row r="578" spans="2:11">
      <c r="B578" s="115" t="s">
        <v>1726</v>
      </c>
      <c r="C578" s="115" t="s">
        <v>1789</v>
      </c>
      <c r="D578" s="115" t="s">
        <v>1830</v>
      </c>
      <c r="E578" s="115">
        <v>24</v>
      </c>
      <c r="F578" s="71"/>
      <c r="G578" s="109">
        <v>508.08000000000004</v>
      </c>
      <c r="H578" s="110">
        <v>0</v>
      </c>
      <c r="I578" s="111">
        <v>24</v>
      </c>
      <c r="J578" s="110">
        <v>508.08000000000004</v>
      </c>
      <c r="K578" s="111"/>
    </row>
    <row r="579" spans="2:11">
      <c r="B579" s="115" t="s">
        <v>1727</v>
      </c>
      <c r="C579" s="115" t="s">
        <v>1790</v>
      </c>
      <c r="D579" s="115" t="s">
        <v>1831</v>
      </c>
      <c r="E579" s="115">
        <v>51</v>
      </c>
      <c r="F579" s="71">
        <v>24</v>
      </c>
      <c r="G579" s="109">
        <v>459</v>
      </c>
      <c r="H579" s="110">
        <v>216</v>
      </c>
      <c r="I579" s="111">
        <v>27</v>
      </c>
      <c r="J579" s="110">
        <v>243</v>
      </c>
      <c r="K579" s="111"/>
    </row>
    <row r="580" spans="2:11">
      <c r="B580" s="115" t="s">
        <v>1728</v>
      </c>
      <c r="C580" s="115" t="s">
        <v>1791</v>
      </c>
      <c r="D580" s="115" t="s">
        <v>1832</v>
      </c>
      <c r="E580" s="115">
        <v>15</v>
      </c>
      <c r="F580" s="71"/>
      <c r="G580" s="109">
        <v>152.25</v>
      </c>
      <c r="H580" s="110">
        <v>0</v>
      </c>
      <c r="I580" s="111">
        <v>15</v>
      </c>
      <c r="J580" s="110">
        <v>152.25</v>
      </c>
      <c r="K580" s="111"/>
    </row>
    <row r="581" spans="2:11">
      <c r="B581" s="115" t="s">
        <v>1729</v>
      </c>
      <c r="C581" s="115" t="s">
        <v>1792</v>
      </c>
      <c r="D581" s="115" t="s">
        <v>1644</v>
      </c>
      <c r="E581" s="115">
        <v>72</v>
      </c>
      <c r="F581" s="71">
        <v>35</v>
      </c>
      <c r="G581" s="109">
        <v>943.19999999999993</v>
      </c>
      <c r="H581" s="110">
        <v>458.5</v>
      </c>
      <c r="I581" s="111">
        <v>37</v>
      </c>
      <c r="J581" s="110">
        <v>484.69999999999993</v>
      </c>
      <c r="K581" s="111"/>
    </row>
    <row r="582" spans="2:11">
      <c r="B582" s="115" t="s">
        <v>1730</v>
      </c>
      <c r="C582" s="115" t="s">
        <v>1793</v>
      </c>
      <c r="D582" s="115" t="s">
        <v>1644</v>
      </c>
      <c r="E582" s="115">
        <v>24</v>
      </c>
      <c r="F582" s="71">
        <v>22</v>
      </c>
      <c r="G582" s="109">
        <v>314.39999999999998</v>
      </c>
      <c r="H582" s="110">
        <v>288.2</v>
      </c>
      <c r="I582" s="111">
        <v>2</v>
      </c>
      <c r="J582" s="110">
        <v>26.199999999999989</v>
      </c>
      <c r="K582" s="111"/>
    </row>
    <row r="583" spans="2:11">
      <c r="B583" s="115" t="s">
        <v>1730</v>
      </c>
      <c r="C583" s="115" t="s">
        <v>1793</v>
      </c>
      <c r="D583" s="115" t="s">
        <v>1644</v>
      </c>
      <c r="E583" s="115">
        <v>116</v>
      </c>
      <c r="F583" s="71"/>
      <c r="G583" s="109">
        <v>1519.6</v>
      </c>
      <c r="H583" s="110">
        <v>0</v>
      </c>
      <c r="I583" s="111">
        <v>116</v>
      </c>
      <c r="J583" s="110">
        <v>1519.6</v>
      </c>
      <c r="K583" s="111"/>
    </row>
    <row r="584" spans="2:11">
      <c r="B584" s="115" t="s">
        <v>1731</v>
      </c>
      <c r="C584" s="115" t="s">
        <v>1794</v>
      </c>
      <c r="D584" s="115" t="s">
        <v>1644</v>
      </c>
      <c r="E584" s="115">
        <v>67</v>
      </c>
      <c r="F584" s="71">
        <v>22</v>
      </c>
      <c r="G584" s="109">
        <v>877.69999999999993</v>
      </c>
      <c r="H584" s="110">
        <v>288.2</v>
      </c>
      <c r="I584" s="111">
        <v>45</v>
      </c>
      <c r="J584" s="110">
        <v>589.5</v>
      </c>
      <c r="K584" s="111"/>
    </row>
    <row r="585" spans="2:11">
      <c r="B585" s="115" t="s">
        <v>1731</v>
      </c>
      <c r="C585" s="115" t="s">
        <v>1794</v>
      </c>
      <c r="D585" s="115" t="s">
        <v>1644</v>
      </c>
      <c r="E585" s="115">
        <v>24</v>
      </c>
      <c r="F585" s="71"/>
      <c r="G585" s="109">
        <v>314.39999999999998</v>
      </c>
      <c r="H585" s="110">
        <v>0</v>
      </c>
      <c r="I585" s="111">
        <v>24</v>
      </c>
      <c r="J585" s="110">
        <v>314.39999999999998</v>
      </c>
      <c r="K585" s="111"/>
    </row>
    <row r="586" spans="2:11">
      <c r="B586" s="115" t="s">
        <v>1732</v>
      </c>
      <c r="C586" s="115" t="s">
        <v>1795</v>
      </c>
      <c r="D586" s="115" t="s">
        <v>1644</v>
      </c>
      <c r="E586" s="115">
        <v>24</v>
      </c>
      <c r="F586" s="71">
        <v>19</v>
      </c>
      <c r="G586" s="109">
        <v>314.39999999999998</v>
      </c>
      <c r="H586" s="110">
        <v>248.9</v>
      </c>
      <c r="I586" s="111">
        <v>5</v>
      </c>
      <c r="J586" s="110">
        <v>65.499999999999972</v>
      </c>
      <c r="K586" s="111"/>
    </row>
    <row r="587" spans="2:11">
      <c r="B587" s="115" t="s">
        <v>1732</v>
      </c>
      <c r="C587" s="115" t="s">
        <v>1795</v>
      </c>
      <c r="D587" s="115" t="s">
        <v>1644</v>
      </c>
      <c r="E587" s="115">
        <v>17</v>
      </c>
      <c r="F587" s="71"/>
      <c r="G587" s="109">
        <v>222.7</v>
      </c>
      <c r="H587" s="110">
        <v>0</v>
      </c>
      <c r="I587" s="111">
        <v>17</v>
      </c>
      <c r="J587" s="110">
        <v>222.7</v>
      </c>
      <c r="K587" s="111"/>
    </row>
    <row r="588" spans="2:11">
      <c r="B588" s="115" t="s">
        <v>1733</v>
      </c>
      <c r="C588" s="115" t="s">
        <v>1796</v>
      </c>
      <c r="D588" s="115" t="s">
        <v>1833</v>
      </c>
      <c r="E588" s="115">
        <v>36</v>
      </c>
      <c r="F588" s="71"/>
      <c r="G588" s="109">
        <v>257.40000000000003</v>
      </c>
      <c r="H588" s="110">
        <v>0</v>
      </c>
      <c r="I588" s="111">
        <v>36</v>
      </c>
      <c r="J588" s="110">
        <v>257.40000000000003</v>
      </c>
      <c r="K588" s="111"/>
    </row>
    <row r="589" spans="2:11">
      <c r="B589" s="115" t="s">
        <v>1734</v>
      </c>
      <c r="C589" s="115" t="s">
        <v>1797</v>
      </c>
      <c r="D589" s="115" t="s">
        <v>1834</v>
      </c>
      <c r="E589" s="115">
        <v>111</v>
      </c>
      <c r="F589" s="71">
        <v>48</v>
      </c>
      <c r="G589" s="109">
        <v>1870.3500000000001</v>
      </c>
      <c r="H589" s="110">
        <v>808.80000000000007</v>
      </c>
      <c r="I589" s="111">
        <v>63</v>
      </c>
      <c r="J589" s="110">
        <v>1061.5500000000002</v>
      </c>
      <c r="K589" s="111"/>
    </row>
    <row r="590" spans="2:11">
      <c r="B590" s="115" t="s">
        <v>1735</v>
      </c>
      <c r="C590" s="115" t="s">
        <v>1798</v>
      </c>
      <c r="D590" s="115" t="s">
        <v>1834</v>
      </c>
      <c r="E590" s="115">
        <v>99</v>
      </c>
      <c r="F590" s="71"/>
      <c r="G590" s="109">
        <v>1668.15</v>
      </c>
      <c r="H590" s="110">
        <v>0</v>
      </c>
      <c r="I590" s="111">
        <v>99</v>
      </c>
      <c r="J590" s="110">
        <v>1668.15</v>
      </c>
      <c r="K590" s="111"/>
    </row>
    <row r="591" spans="2:11" ht="30">
      <c r="B591" s="115" t="s">
        <v>1737</v>
      </c>
      <c r="C591" s="115" t="s">
        <v>1800</v>
      </c>
      <c r="D591" s="115" t="s">
        <v>1834</v>
      </c>
      <c r="E591" s="115">
        <v>50</v>
      </c>
      <c r="F591" s="71">
        <v>24</v>
      </c>
      <c r="G591" s="109">
        <v>842.50000000000011</v>
      </c>
      <c r="H591" s="110">
        <v>404.40000000000003</v>
      </c>
      <c r="I591" s="111">
        <v>26</v>
      </c>
      <c r="J591" s="110">
        <v>438.10000000000008</v>
      </c>
      <c r="K591" s="111"/>
    </row>
    <row r="592" spans="2:11">
      <c r="B592" s="115" t="s">
        <v>1738</v>
      </c>
      <c r="C592" s="115" t="s">
        <v>1801</v>
      </c>
      <c r="D592" s="115" t="s">
        <v>1835</v>
      </c>
      <c r="E592" s="115">
        <v>1</v>
      </c>
      <c r="F592" s="71"/>
      <c r="G592" s="109">
        <v>35.700000000000003</v>
      </c>
      <c r="H592" s="110">
        <v>0</v>
      </c>
      <c r="I592" s="111">
        <v>1</v>
      </c>
      <c r="J592" s="110">
        <v>35.700000000000003</v>
      </c>
      <c r="K592" s="111"/>
    </row>
    <row r="593" spans="2:11">
      <c r="B593" s="115" t="s">
        <v>1739</v>
      </c>
      <c r="C593" s="115" t="s">
        <v>1802</v>
      </c>
      <c r="D593" s="115" t="s">
        <v>1836</v>
      </c>
      <c r="E593" s="115">
        <v>46</v>
      </c>
      <c r="F593" s="71">
        <v>1</v>
      </c>
      <c r="G593" s="109">
        <v>1564</v>
      </c>
      <c r="H593" s="110">
        <v>34</v>
      </c>
      <c r="I593" s="111">
        <v>45</v>
      </c>
      <c r="J593" s="110">
        <v>1530</v>
      </c>
      <c r="K593" s="111"/>
    </row>
    <row r="594" spans="2:11">
      <c r="B594" s="115" t="s">
        <v>1837</v>
      </c>
      <c r="C594" s="115" t="s">
        <v>1959</v>
      </c>
      <c r="D594" s="115" t="s">
        <v>732</v>
      </c>
      <c r="E594" s="115">
        <v>9</v>
      </c>
      <c r="F594" s="71"/>
      <c r="G594" s="109">
        <v>247.5</v>
      </c>
      <c r="H594" s="110">
        <v>0</v>
      </c>
      <c r="I594" s="111">
        <v>9</v>
      </c>
      <c r="J594" s="110">
        <v>247.5</v>
      </c>
      <c r="K594" s="111"/>
    </row>
    <row r="595" spans="2:11">
      <c r="B595" s="115" t="s">
        <v>1838</v>
      </c>
      <c r="C595" s="115" t="s">
        <v>1960</v>
      </c>
      <c r="D595" s="115" t="s">
        <v>732</v>
      </c>
      <c r="E595" s="115">
        <v>32</v>
      </c>
      <c r="F595" s="71"/>
      <c r="G595" s="109">
        <v>880</v>
      </c>
      <c r="H595" s="110">
        <v>0</v>
      </c>
      <c r="I595" s="111">
        <v>32</v>
      </c>
      <c r="J595" s="110">
        <v>880</v>
      </c>
      <c r="K595" s="111"/>
    </row>
    <row r="596" spans="2:11">
      <c r="B596" s="115" t="s">
        <v>1839</v>
      </c>
      <c r="C596" s="115" t="s">
        <v>1961</v>
      </c>
      <c r="D596" s="115" t="s">
        <v>2080</v>
      </c>
      <c r="E596" s="115">
        <v>25</v>
      </c>
      <c r="F596" s="71"/>
      <c r="G596" s="109">
        <v>681.25</v>
      </c>
      <c r="H596" s="110">
        <v>0</v>
      </c>
      <c r="I596" s="111">
        <v>25</v>
      </c>
      <c r="J596" s="110">
        <v>681.25</v>
      </c>
      <c r="K596" s="111"/>
    </row>
    <row r="597" spans="2:11">
      <c r="B597" s="115" t="s">
        <v>1840</v>
      </c>
      <c r="C597" s="115" t="s">
        <v>1962</v>
      </c>
      <c r="D597" s="115" t="s">
        <v>2081</v>
      </c>
      <c r="E597" s="115">
        <v>19</v>
      </c>
      <c r="F597" s="71"/>
      <c r="G597" s="109">
        <v>559.92999999999995</v>
      </c>
      <c r="H597" s="110">
        <v>0</v>
      </c>
      <c r="I597" s="111">
        <v>19</v>
      </c>
      <c r="J597" s="110">
        <v>559.92999999999995</v>
      </c>
      <c r="K597" s="111"/>
    </row>
    <row r="598" spans="2:11">
      <c r="B598" s="115" t="s">
        <v>1841</v>
      </c>
      <c r="C598" s="115" t="s">
        <v>1963</v>
      </c>
      <c r="D598" s="115" t="s">
        <v>2082</v>
      </c>
      <c r="E598" s="115">
        <v>49</v>
      </c>
      <c r="F598" s="71">
        <v>25</v>
      </c>
      <c r="G598" s="109">
        <v>2759.19</v>
      </c>
      <c r="H598" s="110">
        <v>1407.75</v>
      </c>
      <c r="I598" s="111">
        <v>24</v>
      </c>
      <c r="J598" s="110">
        <v>1351.44</v>
      </c>
      <c r="K598" s="111"/>
    </row>
    <row r="599" spans="2:11">
      <c r="B599" s="115" t="s">
        <v>1842</v>
      </c>
      <c r="C599" s="115" t="s">
        <v>1964</v>
      </c>
      <c r="D599" s="115" t="s">
        <v>2083</v>
      </c>
      <c r="E599" s="115">
        <v>4</v>
      </c>
      <c r="F599" s="71">
        <v>2</v>
      </c>
      <c r="G599" s="109">
        <v>217.92</v>
      </c>
      <c r="H599" s="110">
        <v>108.96</v>
      </c>
      <c r="I599" s="111">
        <v>2</v>
      </c>
      <c r="J599" s="110">
        <v>108.96</v>
      </c>
      <c r="K599" s="111"/>
    </row>
    <row r="600" spans="2:11">
      <c r="B600" s="115" t="s">
        <v>1844</v>
      </c>
      <c r="C600" s="115" t="s">
        <v>1966</v>
      </c>
      <c r="D600" s="115" t="s">
        <v>2085</v>
      </c>
      <c r="E600" s="115">
        <v>31</v>
      </c>
      <c r="F600" s="71"/>
      <c r="G600" s="109">
        <v>1089.6499999999999</v>
      </c>
      <c r="H600" s="110">
        <v>0</v>
      </c>
      <c r="I600" s="111">
        <v>31</v>
      </c>
      <c r="J600" s="110">
        <v>1089.6499999999999</v>
      </c>
      <c r="K600" s="111"/>
    </row>
    <row r="601" spans="2:11">
      <c r="B601" s="115" t="s">
        <v>1844</v>
      </c>
      <c r="C601" s="115" t="s">
        <v>1966</v>
      </c>
      <c r="D601" s="115" t="s">
        <v>4668</v>
      </c>
      <c r="E601" s="115">
        <v>24</v>
      </c>
      <c r="F601" s="71"/>
      <c r="G601" s="109">
        <v>851.52</v>
      </c>
      <c r="H601" s="110">
        <v>0</v>
      </c>
      <c r="I601" s="111">
        <v>24</v>
      </c>
      <c r="J601" s="110">
        <v>851.52</v>
      </c>
      <c r="K601" s="111"/>
    </row>
    <row r="602" spans="2:11">
      <c r="B602" s="115" t="s">
        <v>1845</v>
      </c>
      <c r="C602" s="115" t="s">
        <v>1967</v>
      </c>
      <c r="D602" s="115" t="s">
        <v>2086</v>
      </c>
      <c r="E602" s="115">
        <v>13</v>
      </c>
      <c r="F602" s="71">
        <v>7</v>
      </c>
      <c r="G602" s="109">
        <v>1748.89</v>
      </c>
      <c r="H602" s="110">
        <v>941.71</v>
      </c>
      <c r="I602" s="111">
        <v>6</v>
      </c>
      <c r="J602" s="110">
        <v>807.18000000000006</v>
      </c>
      <c r="K602" s="111"/>
    </row>
    <row r="603" spans="2:11">
      <c r="B603" s="115" t="s">
        <v>1846</v>
      </c>
      <c r="C603" s="115" t="s">
        <v>1968</v>
      </c>
      <c r="D603" s="115" t="s">
        <v>2087</v>
      </c>
      <c r="E603" s="115">
        <v>28</v>
      </c>
      <c r="F603" s="71">
        <v>20</v>
      </c>
      <c r="G603" s="109">
        <v>1931.1599999999999</v>
      </c>
      <c r="H603" s="110">
        <v>1379.4</v>
      </c>
      <c r="I603" s="111">
        <v>8</v>
      </c>
      <c r="J603" s="110">
        <v>551.75999999999976</v>
      </c>
      <c r="K603" s="111"/>
    </row>
    <row r="604" spans="2:11">
      <c r="B604" s="115" t="s">
        <v>1847</v>
      </c>
      <c r="C604" s="115" t="s">
        <v>1969</v>
      </c>
      <c r="D604" s="115" t="s">
        <v>2088</v>
      </c>
      <c r="E604" s="115">
        <v>37</v>
      </c>
      <c r="F604" s="71">
        <v>7</v>
      </c>
      <c r="G604" s="109">
        <v>1867.76</v>
      </c>
      <c r="H604" s="110">
        <v>353.35999999999996</v>
      </c>
      <c r="I604" s="111">
        <v>30</v>
      </c>
      <c r="J604" s="110">
        <v>1514.4</v>
      </c>
      <c r="K604" s="111"/>
    </row>
    <row r="605" spans="2:11">
      <c r="B605" s="115" t="s">
        <v>1848</v>
      </c>
      <c r="C605" s="115" t="s">
        <v>1970</v>
      </c>
      <c r="D605" s="115" t="s">
        <v>2089</v>
      </c>
      <c r="E605" s="115">
        <v>23</v>
      </c>
      <c r="F605" s="71">
        <v>13</v>
      </c>
      <c r="G605" s="109">
        <v>691.61</v>
      </c>
      <c r="H605" s="110">
        <v>390.91</v>
      </c>
      <c r="I605" s="111">
        <v>10</v>
      </c>
      <c r="J605" s="110">
        <v>300.7</v>
      </c>
      <c r="K605" s="111"/>
    </row>
    <row r="606" spans="2:11">
      <c r="B606" s="115" t="s">
        <v>1849</v>
      </c>
      <c r="C606" s="115" t="s">
        <v>1971</v>
      </c>
      <c r="D606" s="115" t="s">
        <v>3148</v>
      </c>
      <c r="E606" s="115">
        <v>24</v>
      </c>
      <c r="F606" s="71">
        <v>23</v>
      </c>
      <c r="G606" s="109">
        <v>1370.4</v>
      </c>
      <c r="H606" s="110">
        <v>1313.3</v>
      </c>
      <c r="I606" s="111">
        <v>1</v>
      </c>
      <c r="J606" s="110">
        <v>57.100000000000136</v>
      </c>
      <c r="K606" s="111"/>
    </row>
    <row r="607" spans="2:11">
      <c r="B607" s="115" t="s">
        <v>1849</v>
      </c>
      <c r="C607" s="115" t="s">
        <v>1971</v>
      </c>
      <c r="D607" s="115" t="s">
        <v>2090</v>
      </c>
      <c r="E607" s="115">
        <v>11</v>
      </c>
      <c r="F607" s="71"/>
      <c r="G607" s="109">
        <v>655.04999999999995</v>
      </c>
      <c r="H607" s="110">
        <v>0</v>
      </c>
      <c r="I607" s="111">
        <v>11</v>
      </c>
      <c r="J607" s="110">
        <v>655.04999999999995</v>
      </c>
      <c r="K607" s="111"/>
    </row>
    <row r="608" spans="2:11">
      <c r="B608" s="115" t="s">
        <v>1851</v>
      </c>
      <c r="C608" s="115" t="s">
        <v>1973</v>
      </c>
      <c r="D608" s="115" t="s">
        <v>2091</v>
      </c>
      <c r="E608" s="115">
        <v>30</v>
      </c>
      <c r="F608" s="71"/>
      <c r="G608" s="109">
        <v>1037.3999999999999</v>
      </c>
      <c r="H608" s="110">
        <v>0</v>
      </c>
      <c r="I608" s="111">
        <v>30</v>
      </c>
      <c r="J608" s="110">
        <v>1037.3999999999999</v>
      </c>
      <c r="K608" s="111"/>
    </row>
    <row r="609" spans="2:11">
      <c r="B609" s="115" t="s">
        <v>1852</v>
      </c>
      <c r="C609" s="115" t="s">
        <v>1974</v>
      </c>
      <c r="D609" s="115" t="s">
        <v>2092</v>
      </c>
      <c r="E609" s="115">
        <v>62</v>
      </c>
      <c r="F609" s="71">
        <v>21</v>
      </c>
      <c r="G609" s="109">
        <v>2406.2200000000003</v>
      </c>
      <c r="H609" s="110">
        <v>815.01</v>
      </c>
      <c r="I609" s="111">
        <v>41</v>
      </c>
      <c r="J609" s="110">
        <v>1591.2100000000003</v>
      </c>
      <c r="K609" s="111"/>
    </row>
    <row r="610" spans="2:11">
      <c r="B610" s="115" t="s">
        <v>1853</v>
      </c>
      <c r="C610" s="115" t="s">
        <v>1975</v>
      </c>
      <c r="D610" s="115" t="s">
        <v>2093</v>
      </c>
      <c r="E610" s="115">
        <v>42</v>
      </c>
      <c r="F610" s="71">
        <v>34</v>
      </c>
      <c r="G610" s="109">
        <v>885.3599999999999</v>
      </c>
      <c r="H610" s="110">
        <v>716.71999999999991</v>
      </c>
      <c r="I610" s="111">
        <v>8</v>
      </c>
      <c r="J610" s="110">
        <v>168.64</v>
      </c>
      <c r="K610" s="111"/>
    </row>
    <row r="611" spans="2:11">
      <c r="B611" s="115" t="s">
        <v>1854</v>
      </c>
      <c r="C611" s="115" t="s">
        <v>1976</v>
      </c>
      <c r="D611" s="115" t="s">
        <v>2094</v>
      </c>
      <c r="E611" s="115">
        <v>57</v>
      </c>
      <c r="F611" s="71"/>
      <c r="G611" s="109">
        <v>2482.92</v>
      </c>
      <c r="H611" s="110">
        <v>0</v>
      </c>
      <c r="I611" s="111">
        <v>57</v>
      </c>
      <c r="J611" s="110">
        <v>2482.92</v>
      </c>
      <c r="K611" s="111"/>
    </row>
    <row r="612" spans="2:11">
      <c r="B612" s="115" t="s">
        <v>1855</v>
      </c>
      <c r="C612" s="115" t="s">
        <v>1977</v>
      </c>
      <c r="D612" s="115" t="s">
        <v>2095</v>
      </c>
      <c r="E612" s="115">
        <v>16</v>
      </c>
      <c r="F612" s="71"/>
      <c r="G612" s="109">
        <v>341.6</v>
      </c>
      <c r="H612" s="110">
        <v>0</v>
      </c>
      <c r="I612" s="111">
        <v>16</v>
      </c>
      <c r="J612" s="110">
        <v>341.6</v>
      </c>
      <c r="K612" s="111"/>
    </row>
    <row r="613" spans="2:11">
      <c r="B613" s="115" t="s">
        <v>1856</v>
      </c>
      <c r="C613" s="115" t="s">
        <v>1978</v>
      </c>
      <c r="D613" s="115" t="s">
        <v>2096</v>
      </c>
      <c r="E613" s="115">
        <v>26</v>
      </c>
      <c r="F613" s="71">
        <v>3</v>
      </c>
      <c r="G613" s="109">
        <v>641.94000000000005</v>
      </c>
      <c r="H613" s="110">
        <v>74.070000000000007</v>
      </c>
      <c r="I613" s="111">
        <v>23</v>
      </c>
      <c r="J613" s="110">
        <v>567.87</v>
      </c>
      <c r="K613" s="111"/>
    </row>
    <row r="614" spans="2:11">
      <c r="B614" s="115" t="s">
        <v>1857</v>
      </c>
      <c r="C614" s="115" t="s">
        <v>1979</v>
      </c>
      <c r="D614" s="115" t="s">
        <v>2097</v>
      </c>
      <c r="E614" s="115">
        <v>27</v>
      </c>
      <c r="F614" s="71">
        <v>19</v>
      </c>
      <c r="G614" s="109">
        <v>531.9</v>
      </c>
      <c r="H614" s="110">
        <v>374.3</v>
      </c>
      <c r="I614" s="111">
        <v>8</v>
      </c>
      <c r="J614" s="110">
        <v>157.59999999999997</v>
      </c>
      <c r="K614" s="111"/>
    </row>
    <row r="615" spans="2:11">
      <c r="B615" s="115" t="s">
        <v>1858</v>
      </c>
      <c r="C615" s="115" t="s">
        <v>1980</v>
      </c>
      <c r="D615" s="115" t="s">
        <v>2098</v>
      </c>
      <c r="E615" s="115">
        <v>31</v>
      </c>
      <c r="F615" s="71">
        <v>19</v>
      </c>
      <c r="G615" s="109">
        <v>883.5</v>
      </c>
      <c r="H615" s="110">
        <v>541.5</v>
      </c>
      <c r="I615" s="111">
        <v>12</v>
      </c>
      <c r="J615" s="110">
        <v>342</v>
      </c>
      <c r="K615" s="111"/>
    </row>
    <row r="616" spans="2:11">
      <c r="B616" s="115" t="s">
        <v>1859</v>
      </c>
      <c r="C616" s="115" t="s">
        <v>1981</v>
      </c>
      <c r="D616" s="115" t="s">
        <v>2099</v>
      </c>
      <c r="E616" s="115">
        <v>70</v>
      </c>
      <c r="F616" s="71">
        <v>15</v>
      </c>
      <c r="G616" s="109">
        <v>2292.5</v>
      </c>
      <c r="H616" s="110">
        <v>491.25</v>
      </c>
      <c r="I616" s="111">
        <v>55</v>
      </c>
      <c r="J616" s="110">
        <v>1801.25</v>
      </c>
      <c r="K616" s="111"/>
    </row>
    <row r="617" spans="2:11">
      <c r="B617" s="115" t="s">
        <v>1860</v>
      </c>
      <c r="C617" s="115" t="s">
        <v>1982</v>
      </c>
      <c r="D617" s="115" t="s">
        <v>2100</v>
      </c>
      <c r="E617" s="115">
        <v>15</v>
      </c>
      <c r="F617" s="71"/>
      <c r="G617" s="109">
        <v>666.59999999999991</v>
      </c>
      <c r="H617" s="110">
        <v>0</v>
      </c>
      <c r="I617" s="111">
        <v>15</v>
      </c>
      <c r="J617" s="110">
        <v>666.59999999999991</v>
      </c>
      <c r="K617" s="111"/>
    </row>
    <row r="618" spans="2:11">
      <c r="B618" s="115" t="s">
        <v>1861</v>
      </c>
      <c r="C618" s="115" t="s">
        <v>1983</v>
      </c>
      <c r="D618" s="115" t="s">
        <v>2101</v>
      </c>
      <c r="E618" s="115">
        <v>38</v>
      </c>
      <c r="F618" s="71">
        <v>12</v>
      </c>
      <c r="G618" s="109">
        <v>668.80000000000007</v>
      </c>
      <c r="H618" s="110">
        <v>211.20000000000002</v>
      </c>
      <c r="I618" s="111">
        <v>26</v>
      </c>
      <c r="J618" s="110">
        <v>457.6</v>
      </c>
      <c r="K618" s="111"/>
    </row>
    <row r="619" spans="2:11">
      <c r="B619" s="115" t="s">
        <v>1862</v>
      </c>
      <c r="C619" s="115" t="s">
        <v>1984</v>
      </c>
      <c r="D619" s="115" t="s">
        <v>2102</v>
      </c>
      <c r="E619" s="115">
        <v>15</v>
      </c>
      <c r="F619" s="71"/>
      <c r="G619" s="109">
        <v>438.75</v>
      </c>
      <c r="H619" s="110">
        <v>0</v>
      </c>
      <c r="I619" s="111">
        <v>15</v>
      </c>
      <c r="J619" s="110">
        <v>438.75</v>
      </c>
      <c r="K619" s="111"/>
    </row>
    <row r="620" spans="2:11">
      <c r="B620" s="115" t="s">
        <v>1863</v>
      </c>
      <c r="C620" s="115" t="s">
        <v>1985</v>
      </c>
      <c r="D620" s="115" t="s">
        <v>2103</v>
      </c>
      <c r="E620" s="115">
        <v>50</v>
      </c>
      <c r="F620" s="71">
        <v>10</v>
      </c>
      <c r="G620" s="109">
        <v>1048</v>
      </c>
      <c r="H620" s="110">
        <v>209.60000000000002</v>
      </c>
      <c r="I620" s="111">
        <v>40</v>
      </c>
      <c r="J620" s="110">
        <v>838.4</v>
      </c>
      <c r="K620" s="111"/>
    </row>
    <row r="621" spans="2:11">
      <c r="B621" s="115" t="s">
        <v>1865</v>
      </c>
      <c r="C621" s="115" t="s">
        <v>1987</v>
      </c>
      <c r="D621" s="115" t="s">
        <v>2105</v>
      </c>
      <c r="E621" s="115">
        <v>47</v>
      </c>
      <c r="F621" s="71">
        <v>29</v>
      </c>
      <c r="G621" s="109">
        <v>1804.33</v>
      </c>
      <c r="H621" s="110">
        <v>1113.31</v>
      </c>
      <c r="I621" s="111">
        <v>18</v>
      </c>
      <c r="J621" s="110">
        <v>691.02</v>
      </c>
      <c r="K621" s="111"/>
    </row>
    <row r="622" spans="2:11">
      <c r="B622" s="115" t="s">
        <v>1866</v>
      </c>
      <c r="C622" s="115" t="s">
        <v>1988</v>
      </c>
      <c r="D622" s="115" t="s">
        <v>2106</v>
      </c>
      <c r="E622" s="115">
        <v>28</v>
      </c>
      <c r="F622" s="71">
        <v>7</v>
      </c>
      <c r="G622" s="109">
        <v>1267.8400000000001</v>
      </c>
      <c r="H622" s="110">
        <v>316.96000000000004</v>
      </c>
      <c r="I622" s="111">
        <v>21</v>
      </c>
      <c r="J622" s="110">
        <v>950.88000000000011</v>
      </c>
      <c r="K622" s="111"/>
    </row>
    <row r="623" spans="2:11">
      <c r="B623" s="115" t="s">
        <v>1868</v>
      </c>
      <c r="C623" s="115" t="s">
        <v>1990</v>
      </c>
      <c r="D623" s="115" t="s">
        <v>2108</v>
      </c>
      <c r="E623" s="115">
        <v>34</v>
      </c>
      <c r="F623" s="71"/>
      <c r="G623" s="109">
        <v>1204.6199999999999</v>
      </c>
      <c r="H623" s="110">
        <v>0</v>
      </c>
      <c r="I623" s="111">
        <v>34</v>
      </c>
      <c r="J623" s="110">
        <v>1204.6199999999999</v>
      </c>
      <c r="K623" s="111"/>
    </row>
    <row r="624" spans="2:11">
      <c r="B624" s="115" t="s">
        <v>1869</v>
      </c>
      <c r="C624" s="115" t="s">
        <v>1991</v>
      </c>
      <c r="D624" s="115" t="s">
        <v>2109</v>
      </c>
      <c r="E624" s="115">
        <v>48</v>
      </c>
      <c r="F624" s="71">
        <v>44</v>
      </c>
      <c r="G624" s="109">
        <v>2202.2400000000002</v>
      </c>
      <c r="H624" s="110">
        <v>2018.72</v>
      </c>
      <c r="I624" s="111">
        <v>4</v>
      </c>
      <c r="J624" s="110">
        <v>183.52000000000021</v>
      </c>
      <c r="K624" s="111"/>
    </row>
    <row r="625" spans="2:11">
      <c r="B625" s="115" t="s">
        <v>1870</v>
      </c>
      <c r="C625" s="115" t="s">
        <v>1992</v>
      </c>
      <c r="D625" s="115" t="s">
        <v>2110</v>
      </c>
      <c r="E625" s="115">
        <v>10</v>
      </c>
      <c r="F625" s="71">
        <v>5</v>
      </c>
      <c r="G625" s="109">
        <v>433.40000000000003</v>
      </c>
      <c r="H625" s="110">
        <v>216.70000000000002</v>
      </c>
      <c r="I625" s="111">
        <v>5</v>
      </c>
      <c r="J625" s="110">
        <v>216.70000000000002</v>
      </c>
      <c r="K625" s="111"/>
    </row>
    <row r="626" spans="2:11">
      <c r="B626" s="115" t="s">
        <v>1871</v>
      </c>
      <c r="C626" s="115" t="s">
        <v>1993</v>
      </c>
      <c r="D626" s="115" t="s">
        <v>2111</v>
      </c>
      <c r="E626" s="115">
        <v>16</v>
      </c>
      <c r="F626" s="71">
        <v>11</v>
      </c>
      <c r="G626" s="109">
        <v>1455.36</v>
      </c>
      <c r="H626" s="110">
        <v>1000.56</v>
      </c>
      <c r="I626" s="111">
        <v>5</v>
      </c>
      <c r="J626" s="110">
        <v>454.79999999999995</v>
      </c>
      <c r="K626" s="111"/>
    </row>
    <row r="627" spans="2:11">
      <c r="B627" s="115" t="s">
        <v>1873</v>
      </c>
      <c r="C627" s="115" t="s">
        <v>1995</v>
      </c>
      <c r="D627" s="115" t="s">
        <v>2113</v>
      </c>
      <c r="E627" s="115">
        <v>23</v>
      </c>
      <c r="F627" s="71">
        <v>16</v>
      </c>
      <c r="G627" s="109">
        <v>646.30000000000007</v>
      </c>
      <c r="H627" s="110">
        <v>449.6</v>
      </c>
      <c r="I627" s="111">
        <v>7</v>
      </c>
      <c r="J627" s="110">
        <v>196.70000000000005</v>
      </c>
      <c r="K627" s="111"/>
    </row>
    <row r="628" spans="2:11">
      <c r="B628" s="115" t="s">
        <v>1876</v>
      </c>
      <c r="C628" s="115" t="s">
        <v>1998</v>
      </c>
      <c r="D628" s="115" t="s">
        <v>2116</v>
      </c>
      <c r="E628" s="115">
        <v>8</v>
      </c>
      <c r="F628" s="71"/>
      <c r="G628" s="109">
        <v>283.04000000000002</v>
      </c>
      <c r="H628" s="110">
        <v>0</v>
      </c>
      <c r="I628" s="111">
        <v>8</v>
      </c>
      <c r="J628" s="110">
        <v>283.04000000000002</v>
      </c>
      <c r="K628" s="111"/>
    </row>
    <row r="629" spans="2:11">
      <c r="B629" s="115" t="s">
        <v>1877</v>
      </c>
      <c r="C629" s="115" t="s">
        <v>1999</v>
      </c>
      <c r="D629" s="115" t="s">
        <v>2117</v>
      </c>
      <c r="E629" s="115">
        <v>1</v>
      </c>
      <c r="F629" s="71"/>
      <c r="G629" s="109">
        <v>199.95</v>
      </c>
      <c r="H629" s="110">
        <v>0</v>
      </c>
      <c r="I629" s="111">
        <v>1</v>
      </c>
      <c r="J629" s="110">
        <v>199.95</v>
      </c>
      <c r="K629" s="111"/>
    </row>
    <row r="630" spans="2:11">
      <c r="B630" s="115" t="s">
        <v>1878</v>
      </c>
      <c r="C630" s="115" t="s">
        <v>2000</v>
      </c>
      <c r="D630" s="115" t="s">
        <v>2118</v>
      </c>
      <c r="E630" s="115">
        <v>1</v>
      </c>
      <c r="F630" s="71"/>
      <c r="G630" s="109">
        <v>28.86</v>
      </c>
      <c r="H630" s="110">
        <v>0</v>
      </c>
      <c r="I630" s="111">
        <v>1</v>
      </c>
      <c r="J630" s="110">
        <v>28.86</v>
      </c>
      <c r="K630" s="111"/>
    </row>
    <row r="631" spans="2:11">
      <c r="B631" s="115" t="s">
        <v>1879</v>
      </c>
      <c r="C631" s="115" t="s">
        <v>2001</v>
      </c>
      <c r="D631" s="115" t="s">
        <v>2119</v>
      </c>
      <c r="E631" s="115">
        <v>14</v>
      </c>
      <c r="F631" s="71"/>
      <c r="G631" s="109">
        <v>483.28000000000003</v>
      </c>
      <c r="H631" s="110">
        <v>0</v>
      </c>
      <c r="I631" s="111">
        <v>14</v>
      </c>
      <c r="J631" s="110">
        <v>483.28000000000003</v>
      </c>
      <c r="K631" s="111"/>
    </row>
    <row r="632" spans="2:11">
      <c r="B632" s="115" t="s">
        <v>1880</v>
      </c>
      <c r="C632" s="115" t="s">
        <v>2002</v>
      </c>
      <c r="D632" s="115" t="s">
        <v>2120</v>
      </c>
      <c r="E632" s="115">
        <v>60</v>
      </c>
      <c r="F632" s="71">
        <v>34</v>
      </c>
      <c r="G632" s="109">
        <v>954.6</v>
      </c>
      <c r="H632" s="110">
        <v>540.94000000000005</v>
      </c>
      <c r="I632" s="111">
        <v>26</v>
      </c>
      <c r="J632" s="110">
        <v>413.65999999999997</v>
      </c>
      <c r="K632" s="111"/>
    </row>
    <row r="633" spans="2:11">
      <c r="B633" s="115" t="s">
        <v>1881</v>
      </c>
      <c r="C633" s="115" t="s">
        <v>2003</v>
      </c>
      <c r="D633" s="115" t="s">
        <v>2121</v>
      </c>
      <c r="E633" s="115">
        <v>18</v>
      </c>
      <c r="F633" s="71">
        <v>14</v>
      </c>
      <c r="G633" s="109">
        <v>1731.42</v>
      </c>
      <c r="H633" s="110">
        <v>1346.6599999999999</v>
      </c>
      <c r="I633" s="111">
        <v>4</v>
      </c>
      <c r="J633" s="110">
        <v>384.76000000000022</v>
      </c>
      <c r="K633" s="111"/>
    </row>
    <row r="634" spans="2:11">
      <c r="B634" s="115" t="s">
        <v>1882</v>
      </c>
      <c r="C634" s="115" t="s">
        <v>2004</v>
      </c>
      <c r="D634" s="115" t="s">
        <v>2122</v>
      </c>
      <c r="E634" s="115">
        <v>3</v>
      </c>
      <c r="F634" s="71"/>
      <c r="G634" s="109">
        <v>134.37</v>
      </c>
      <c r="H634" s="110">
        <v>0</v>
      </c>
      <c r="I634" s="111">
        <v>3</v>
      </c>
      <c r="J634" s="110">
        <v>134.37</v>
      </c>
      <c r="K634" s="111"/>
    </row>
    <row r="635" spans="2:11">
      <c r="B635" s="115" t="s">
        <v>1883</v>
      </c>
      <c r="C635" s="115" t="s">
        <v>2005</v>
      </c>
      <c r="D635" s="115" t="s">
        <v>2123</v>
      </c>
      <c r="E635" s="115">
        <v>48</v>
      </c>
      <c r="F635" s="71">
        <v>21</v>
      </c>
      <c r="G635" s="109">
        <v>2582.88</v>
      </c>
      <c r="H635" s="110">
        <v>1130.01</v>
      </c>
      <c r="I635" s="111">
        <v>27</v>
      </c>
      <c r="J635" s="110">
        <v>1452.8700000000001</v>
      </c>
      <c r="K635" s="111"/>
    </row>
    <row r="636" spans="2:11">
      <c r="B636" s="115" t="s">
        <v>1883</v>
      </c>
      <c r="C636" s="115" t="s">
        <v>2005</v>
      </c>
      <c r="D636" s="115" t="s">
        <v>2123</v>
      </c>
      <c r="E636" s="115">
        <v>14</v>
      </c>
      <c r="F636" s="71"/>
      <c r="G636" s="109">
        <v>753.34</v>
      </c>
      <c r="H636" s="110">
        <v>0</v>
      </c>
      <c r="I636" s="111">
        <v>14</v>
      </c>
      <c r="J636" s="110">
        <v>753.34</v>
      </c>
      <c r="K636" s="111"/>
    </row>
    <row r="637" spans="2:11">
      <c r="B637" s="115" t="s">
        <v>1885</v>
      </c>
      <c r="C637" s="115" t="s">
        <v>2007</v>
      </c>
      <c r="D637" s="115" t="s">
        <v>2125</v>
      </c>
      <c r="E637" s="115">
        <v>8</v>
      </c>
      <c r="F637" s="71">
        <v>7</v>
      </c>
      <c r="G637" s="109">
        <v>838.16</v>
      </c>
      <c r="H637" s="110">
        <v>733.39</v>
      </c>
      <c r="I637" s="111">
        <v>1</v>
      </c>
      <c r="J637" s="110">
        <v>104.76999999999998</v>
      </c>
      <c r="K637" s="111"/>
    </row>
    <row r="638" spans="2:11">
      <c r="B638" s="115" t="s">
        <v>1886</v>
      </c>
      <c r="C638" s="115" t="s">
        <v>2008</v>
      </c>
      <c r="D638" s="115" t="s">
        <v>2126</v>
      </c>
      <c r="E638" s="115">
        <v>17</v>
      </c>
      <c r="F638" s="71"/>
      <c r="G638" s="109">
        <v>267.24</v>
      </c>
      <c r="H638" s="110">
        <v>0</v>
      </c>
      <c r="I638" s="111">
        <v>17</v>
      </c>
      <c r="J638" s="110">
        <v>267.24</v>
      </c>
      <c r="K638" s="111"/>
    </row>
    <row r="639" spans="2:11">
      <c r="B639" s="115" t="s">
        <v>1887</v>
      </c>
      <c r="C639" s="115" t="s">
        <v>2009</v>
      </c>
      <c r="D639" s="115" t="s">
        <v>2127</v>
      </c>
      <c r="E639" s="115">
        <v>7</v>
      </c>
      <c r="F639" s="71"/>
      <c r="G639" s="109">
        <v>731.5</v>
      </c>
      <c r="H639" s="110">
        <v>0</v>
      </c>
      <c r="I639" s="111">
        <v>7</v>
      </c>
      <c r="J639" s="110">
        <v>731.5</v>
      </c>
      <c r="K639" s="111"/>
    </row>
    <row r="640" spans="2:11">
      <c r="B640" s="115" t="s">
        <v>1888</v>
      </c>
      <c r="C640" s="115" t="s">
        <v>2010</v>
      </c>
      <c r="D640" s="115" t="s">
        <v>2128</v>
      </c>
      <c r="E640" s="115">
        <v>3</v>
      </c>
      <c r="F640" s="71"/>
      <c r="G640" s="109">
        <v>923.12999999999988</v>
      </c>
      <c r="H640" s="110">
        <v>0</v>
      </c>
      <c r="I640" s="111">
        <v>3</v>
      </c>
      <c r="J640" s="110">
        <v>923.12999999999988</v>
      </c>
      <c r="K640" s="111"/>
    </row>
    <row r="641" spans="2:11">
      <c r="B641" s="115" t="s">
        <v>1890</v>
      </c>
      <c r="C641" s="115" t="s">
        <v>2012</v>
      </c>
      <c r="D641" s="115" t="s">
        <v>2130</v>
      </c>
      <c r="E641" s="115">
        <v>41</v>
      </c>
      <c r="F641" s="71"/>
      <c r="G641" s="109">
        <v>2916.33</v>
      </c>
      <c r="H641" s="110">
        <v>0</v>
      </c>
      <c r="I641" s="111">
        <v>41</v>
      </c>
      <c r="J641" s="110">
        <v>2916.33</v>
      </c>
      <c r="K641" s="111"/>
    </row>
    <row r="642" spans="2:11">
      <c r="B642" s="115" t="s">
        <v>1891</v>
      </c>
      <c r="C642" s="115" t="s">
        <v>2013</v>
      </c>
      <c r="D642" s="115" t="s">
        <v>2131</v>
      </c>
      <c r="E642" s="115">
        <v>10</v>
      </c>
      <c r="F642" s="71">
        <v>8</v>
      </c>
      <c r="G642" s="109">
        <v>628</v>
      </c>
      <c r="H642" s="110">
        <v>502.4</v>
      </c>
      <c r="I642" s="111">
        <v>2</v>
      </c>
      <c r="J642" s="110">
        <v>125.60000000000002</v>
      </c>
      <c r="K642" s="111"/>
    </row>
    <row r="643" spans="2:11">
      <c r="B643" s="115" t="s">
        <v>1892</v>
      </c>
      <c r="C643" s="115" t="s">
        <v>2014</v>
      </c>
      <c r="D643" s="115" t="s">
        <v>2132</v>
      </c>
      <c r="E643" s="115">
        <v>7</v>
      </c>
      <c r="F643" s="71"/>
      <c r="G643" s="109">
        <v>878.5</v>
      </c>
      <c r="H643" s="110">
        <v>0</v>
      </c>
      <c r="I643" s="111">
        <v>7</v>
      </c>
      <c r="J643" s="110">
        <v>878.5</v>
      </c>
      <c r="K643" s="111"/>
    </row>
    <row r="644" spans="2:11">
      <c r="B644" s="115" t="s">
        <v>1893</v>
      </c>
      <c r="C644" s="115" t="s">
        <v>2015</v>
      </c>
      <c r="D644" s="115" t="s">
        <v>2133</v>
      </c>
      <c r="E644" s="115">
        <v>68</v>
      </c>
      <c r="F644" s="71"/>
      <c r="G644" s="109">
        <v>2748.56</v>
      </c>
      <c r="H644" s="110">
        <v>0</v>
      </c>
      <c r="I644" s="111">
        <v>68</v>
      </c>
      <c r="J644" s="110">
        <v>2748.56</v>
      </c>
      <c r="K644" s="111"/>
    </row>
    <row r="645" spans="2:11">
      <c r="B645" s="115" t="s">
        <v>1894</v>
      </c>
      <c r="C645" s="115" t="s">
        <v>2016</v>
      </c>
      <c r="D645" s="115" t="s">
        <v>2134</v>
      </c>
      <c r="E645" s="115">
        <v>75</v>
      </c>
      <c r="F645" s="71"/>
      <c r="G645" s="109">
        <v>2313.75</v>
      </c>
      <c r="H645" s="110">
        <v>0</v>
      </c>
      <c r="I645" s="111">
        <v>75</v>
      </c>
      <c r="J645" s="110">
        <v>2313.75</v>
      </c>
      <c r="K645" s="111"/>
    </row>
    <row r="646" spans="2:11">
      <c r="B646" s="115" t="s">
        <v>1895</v>
      </c>
      <c r="C646" s="115" t="s">
        <v>2017</v>
      </c>
      <c r="D646" s="115" t="s">
        <v>2135</v>
      </c>
      <c r="E646" s="115">
        <v>1</v>
      </c>
      <c r="F646" s="71"/>
      <c r="G646" s="109">
        <v>41.89</v>
      </c>
      <c r="H646" s="110">
        <v>0</v>
      </c>
      <c r="I646" s="111">
        <v>1</v>
      </c>
      <c r="J646" s="110">
        <v>41.89</v>
      </c>
      <c r="K646" s="111"/>
    </row>
    <row r="647" spans="2:11">
      <c r="B647" s="115" t="s">
        <v>1897</v>
      </c>
      <c r="C647" s="115" t="s">
        <v>2019</v>
      </c>
      <c r="D647" s="115" t="s">
        <v>2137</v>
      </c>
      <c r="E647" s="115">
        <v>1</v>
      </c>
      <c r="F647" s="71"/>
      <c r="G647" s="109">
        <v>37.04</v>
      </c>
      <c r="H647" s="110">
        <v>0</v>
      </c>
      <c r="I647" s="111">
        <v>1</v>
      </c>
      <c r="J647" s="110">
        <v>37.04</v>
      </c>
      <c r="K647" s="111"/>
    </row>
    <row r="648" spans="2:11">
      <c r="B648" s="115" t="s">
        <v>1898</v>
      </c>
      <c r="C648" s="115" t="s">
        <v>2020</v>
      </c>
      <c r="D648" s="115" t="s">
        <v>2138</v>
      </c>
      <c r="E648" s="115">
        <v>1</v>
      </c>
      <c r="F648" s="71"/>
      <c r="G648" s="109">
        <v>53.26</v>
      </c>
      <c r="H648" s="110">
        <v>0</v>
      </c>
      <c r="I648" s="111">
        <v>1</v>
      </c>
      <c r="J648" s="110">
        <v>53.26</v>
      </c>
      <c r="K648" s="111"/>
    </row>
    <row r="649" spans="2:11">
      <c r="B649" s="115" t="s">
        <v>1899</v>
      </c>
      <c r="C649" s="115" t="s">
        <v>2021</v>
      </c>
      <c r="D649" s="115" t="s">
        <v>2139</v>
      </c>
      <c r="E649" s="115">
        <v>18</v>
      </c>
      <c r="F649" s="71">
        <v>11</v>
      </c>
      <c r="G649" s="109">
        <v>223.02</v>
      </c>
      <c r="H649" s="110">
        <v>136.29000000000002</v>
      </c>
      <c r="I649" s="111">
        <v>7</v>
      </c>
      <c r="J649" s="110">
        <v>86.72999999999999</v>
      </c>
      <c r="K649" s="111"/>
    </row>
    <row r="650" spans="2:11">
      <c r="B650" s="115" t="s">
        <v>1900</v>
      </c>
      <c r="C650" s="115" t="s">
        <v>2022</v>
      </c>
      <c r="D650" s="115" t="s">
        <v>2140</v>
      </c>
      <c r="E650" s="115">
        <v>18</v>
      </c>
      <c r="F650" s="71">
        <v>11</v>
      </c>
      <c r="G650" s="109">
        <v>639.9</v>
      </c>
      <c r="H650" s="110">
        <v>391.04999999999995</v>
      </c>
      <c r="I650" s="111">
        <v>7</v>
      </c>
      <c r="J650" s="110">
        <v>248.85000000000002</v>
      </c>
      <c r="K650" s="111"/>
    </row>
    <row r="651" spans="2:11">
      <c r="B651" s="115" t="s">
        <v>1901</v>
      </c>
      <c r="C651" s="115" t="s">
        <v>2023</v>
      </c>
      <c r="D651" s="115" t="s">
        <v>2141</v>
      </c>
      <c r="E651" s="115">
        <v>2</v>
      </c>
      <c r="F651" s="71">
        <v>1</v>
      </c>
      <c r="G651" s="109">
        <v>250.1</v>
      </c>
      <c r="H651" s="110">
        <v>125.05</v>
      </c>
      <c r="I651" s="111">
        <v>1</v>
      </c>
      <c r="J651" s="110">
        <v>125.05</v>
      </c>
      <c r="K651" s="111"/>
    </row>
    <row r="652" spans="2:11" ht="30">
      <c r="B652" s="115" t="s">
        <v>1902</v>
      </c>
      <c r="C652" s="115" t="s">
        <v>2024</v>
      </c>
      <c r="D652" s="115" t="s">
        <v>2142</v>
      </c>
      <c r="E652" s="115">
        <v>2</v>
      </c>
      <c r="F652" s="71"/>
      <c r="G652" s="109">
        <v>194.42</v>
      </c>
      <c r="H652" s="110">
        <v>0</v>
      </c>
      <c r="I652" s="111">
        <v>2</v>
      </c>
      <c r="J652" s="110">
        <v>194.42</v>
      </c>
      <c r="K652" s="111"/>
    </row>
    <row r="653" spans="2:11">
      <c r="B653" s="115" t="s">
        <v>1903</v>
      </c>
      <c r="C653" s="115" t="s">
        <v>2025</v>
      </c>
      <c r="D653" s="115" t="s">
        <v>2139</v>
      </c>
      <c r="E653" s="115">
        <v>22</v>
      </c>
      <c r="F653" s="71">
        <v>15</v>
      </c>
      <c r="G653" s="109">
        <v>272.58000000000004</v>
      </c>
      <c r="H653" s="110">
        <v>185.85000000000002</v>
      </c>
      <c r="I653" s="111">
        <v>7</v>
      </c>
      <c r="J653" s="110">
        <v>86.730000000000018</v>
      </c>
      <c r="K653" s="111"/>
    </row>
    <row r="654" spans="2:11">
      <c r="B654" s="115" t="s">
        <v>1904</v>
      </c>
      <c r="C654" s="115" t="s">
        <v>2026</v>
      </c>
      <c r="D654" s="115" t="s">
        <v>2142</v>
      </c>
      <c r="E654" s="115">
        <v>8</v>
      </c>
      <c r="F654" s="71"/>
      <c r="G654" s="109">
        <v>777.68</v>
      </c>
      <c r="H654" s="110">
        <v>0</v>
      </c>
      <c r="I654" s="111">
        <v>8</v>
      </c>
      <c r="J654" s="110">
        <v>777.68</v>
      </c>
      <c r="K654" s="111"/>
    </row>
    <row r="655" spans="2:11">
      <c r="B655" s="115" t="s">
        <v>1905</v>
      </c>
      <c r="C655" s="115" t="s">
        <v>2027</v>
      </c>
      <c r="D655" s="115" t="s">
        <v>2140</v>
      </c>
      <c r="E655" s="115">
        <v>12</v>
      </c>
      <c r="F655" s="71">
        <v>8</v>
      </c>
      <c r="G655" s="109">
        <v>426.59999999999997</v>
      </c>
      <c r="H655" s="110">
        <v>284.39999999999998</v>
      </c>
      <c r="I655" s="111">
        <v>4</v>
      </c>
      <c r="J655" s="110">
        <v>142.19999999999999</v>
      </c>
      <c r="K655" s="111"/>
    </row>
    <row r="656" spans="2:11">
      <c r="B656" s="115" t="s">
        <v>1905</v>
      </c>
      <c r="C656" s="115" t="s">
        <v>2027</v>
      </c>
      <c r="D656" s="115" t="s">
        <v>2140</v>
      </c>
      <c r="E656" s="115">
        <v>8</v>
      </c>
      <c r="F656" s="71"/>
      <c r="G656" s="109">
        <v>284.39999999999998</v>
      </c>
      <c r="H656" s="110">
        <v>0</v>
      </c>
      <c r="I656" s="111">
        <v>8</v>
      </c>
      <c r="J656" s="110">
        <v>284.39999999999998</v>
      </c>
      <c r="K656" s="111"/>
    </row>
    <row r="657" spans="2:11">
      <c r="B657" s="115" t="s">
        <v>1906</v>
      </c>
      <c r="C657" s="115" t="s">
        <v>2028</v>
      </c>
      <c r="D657" s="115" t="s">
        <v>2142</v>
      </c>
      <c r="E657" s="115">
        <v>1</v>
      </c>
      <c r="F657" s="71"/>
      <c r="G657" s="109">
        <v>97.21</v>
      </c>
      <c r="H657" s="110">
        <v>0</v>
      </c>
      <c r="I657" s="111">
        <v>1</v>
      </c>
      <c r="J657" s="110">
        <v>97.21</v>
      </c>
      <c r="K657" s="111"/>
    </row>
    <row r="658" spans="2:11">
      <c r="B658" s="115" t="s">
        <v>1909</v>
      </c>
      <c r="C658" s="115" t="s">
        <v>2030</v>
      </c>
      <c r="D658" s="115" t="s">
        <v>2140</v>
      </c>
      <c r="E658" s="115">
        <v>19</v>
      </c>
      <c r="F658" s="71">
        <v>14</v>
      </c>
      <c r="G658" s="109">
        <v>675.44999999999993</v>
      </c>
      <c r="H658" s="110">
        <v>497.69999999999993</v>
      </c>
      <c r="I658" s="111">
        <v>5</v>
      </c>
      <c r="J658" s="110">
        <v>177.75</v>
      </c>
      <c r="K658" s="111"/>
    </row>
    <row r="659" spans="2:11">
      <c r="B659" s="115" t="s">
        <v>1910</v>
      </c>
      <c r="C659" s="115" t="s">
        <v>2031</v>
      </c>
      <c r="D659" s="115" t="s">
        <v>2143</v>
      </c>
      <c r="E659" s="115">
        <v>1</v>
      </c>
      <c r="F659" s="71"/>
      <c r="G659" s="109">
        <v>89.91</v>
      </c>
      <c r="H659" s="110">
        <v>0</v>
      </c>
      <c r="I659" s="111">
        <v>1</v>
      </c>
      <c r="J659" s="110">
        <v>89.91</v>
      </c>
      <c r="K659" s="111"/>
    </row>
    <row r="660" spans="2:11">
      <c r="B660" s="115" t="s">
        <v>1911</v>
      </c>
      <c r="C660" s="115" t="s">
        <v>2032</v>
      </c>
      <c r="D660" s="115" t="s">
        <v>2139</v>
      </c>
      <c r="E660" s="115">
        <v>36</v>
      </c>
      <c r="F660" s="71">
        <v>24</v>
      </c>
      <c r="G660" s="109">
        <v>446.04</v>
      </c>
      <c r="H660" s="110">
        <v>297.36</v>
      </c>
      <c r="I660" s="111">
        <v>12</v>
      </c>
      <c r="J660" s="110">
        <v>148.68</v>
      </c>
      <c r="K660" s="111"/>
    </row>
    <row r="661" spans="2:11">
      <c r="B661" s="115" t="s">
        <v>1912</v>
      </c>
      <c r="C661" s="115" t="s">
        <v>2033</v>
      </c>
      <c r="D661" s="115" t="s">
        <v>2144</v>
      </c>
      <c r="E661" s="115">
        <v>3</v>
      </c>
      <c r="F661" s="71"/>
      <c r="G661" s="109">
        <v>696.15000000000009</v>
      </c>
      <c r="H661" s="110">
        <v>0</v>
      </c>
      <c r="I661" s="111">
        <v>3</v>
      </c>
      <c r="J661" s="110">
        <v>696.15000000000009</v>
      </c>
      <c r="K661" s="111"/>
    </row>
    <row r="662" spans="2:11">
      <c r="B662" s="115" t="s">
        <v>1913</v>
      </c>
      <c r="C662" s="115" t="s">
        <v>2034</v>
      </c>
      <c r="D662" s="115" t="s">
        <v>2145</v>
      </c>
      <c r="E662" s="115">
        <v>12</v>
      </c>
      <c r="F662" s="71"/>
      <c r="G662" s="109">
        <v>394.08000000000004</v>
      </c>
      <c r="H662" s="110">
        <v>0</v>
      </c>
      <c r="I662" s="111">
        <v>12</v>
      </c>
      <c r="J662" s="110">
        <v>394.08000000000004</v>
      </c>
      <c r="K662" s="111"/>
    </row>
    <row r="663" spans="2:11">
      <c r="B663" s="115" t="s">
        <v>1914</v>
      </c>
      <c r="C663" s="115" t="s">
        <v>2035</v>
      </c>
      <c r="D663" s="115" t="s">
        <v>2146</v>
      </c>
      <c r="E663" s="115">
        <v>2</v>
      </c>
      <c r="F663" s="71"/>
      <c r="G663" s="109">
        <v>187.68</v>
      </c>
      <c r="H663" s="110">
        <v>0</v>
      </c>
      <c r="I663" s="111">
        <v>2</v>
      </c>
      <c r="J663" s="110">
        <v>187.68</v>
      </c>
      <c r="K663" s="111"/>
    </row>
    <row r="664" spans="2:11">
      <c r="B664" s="115" t="s">
        <v>1915</v>
      </c>
      <c r="C664" s="115" t="s">
        <v>2036</v>
      </c>
      <c r="D664" s="115" t="s">
        <v>2147</v>
      </c>
      <c r="E664" s="115">
        <v>12</v>
      </c>
      <c r="F664" s="71">
        <v>7</v>
      </c>
      <c r="G664" s="109">
        <v>386.15999999999997</v>
      </c>
      <c r="H664" s="110">
        <v>225.26</v>
      </c>
      <c r="I664" s="111">
        <v>5</v>
      </c>
      <c r="J664" s="110">
        <v>160.89999999999998</v>
      </c>
      <c r="K664" s="111"/>
    </row>
    <row r="665" spans="2:11">
      <c r="B665" s="115" t="s">
        <v>1915</v>
      </c>
      <c r="C665" s="115" t="s">
        <v>2036</v>
      </c>
      <c r="D665" s="115" t="s">
        <v>2147</v>
      </c>
      <c r="E665" s="115">
        <v>1</v>
      </c>
      <c r="F665" s="71"/>
      <c r="G665" s="109">
        <v>32.18</v>
      </c>
      <c r="H665" s="110">
        <v>0</v>
      </c>
      <c r="I665" s="111">
        <v>1</v>
      </c>
      <c r="J665" s="110">
        <v>32.18</v>
      </c>
      <c r="K665" s="111"/>
    </row>
    <row r="666" spans="2:11">
      <c r="B666" s="115" t="s">
        <v>1916</v>
      </c>
      <c r="C666" s="115" t="s">
        <v>2037</v>
      </c>
      <c r="D666" s="115" t="s">
        <v>2148</v>
      </c>
      <c r="E666" s="115">
        <v>20</v>
      </c>
      <c r="F666" s="71">
        <v>17</v>
      </c>
      <c r="G666" s="109">
        <v>449</v>
      </c>
      <c r="H666" s="110">
        <v>381.65</v>
      </c>
      <c r="I666" s="111">
        <v>3</v>
      </c>
      <c r="J666" s="110">
        <v>67.350000000000023</v>
      </c>
      <c r="K666" s="111"/>
    </row>
    <row r="667" spans="2:11">
      <c r="B667" s="115" t="s">
        <v>1918</v>
      </c>
      <c r="C667" s="115" t="s">
        <v>2039</v>
      </c>
      <c r="D667" s="115" t="s">
        <v>1409</v>
      </c>
      <c r="E667" s="115">
        <v>3</v>
      </c>
      <c r="F667" s="71"/>
      <c r="G667" s="109">
        <v>114</v>
      </c>
      <c r="H667" s="110">
        <v>0</v>
      </c>
      <c r="I667" s="111">
        <v>3</v>
      </c>
      <c r="J667" s="110">
        <v>114</v>
      </c>
      <c r="K667" s="111"/>
    </row>
    <row r="668" spans="2:11">
      <c r="B668" s="115" t="s">
        <v>1919</v>
      </c>
      <c r="C668" s="115" t="s">
        <v>2040</v>
      </c>
      <c r="D668" s="115" t="s">
        <v>2150</v>
      </c>
      <c r="E668" s="115">
        <v>417</v>
      </c>
      <c r="F668" s="71">
        <v>48</v>
      </c>
      <c r="G668" s="109">
        <v>10108.08</v>
      </c>
      <c r="H668" s="110">
        <v>1163.52</v>
      </c>
      <c r="I668" s="111">
        <v>369</v>
      </c>
      <c r="J668" s="110">
        <v>8944.56</v>
      </c>
      <c r="K668" s="111"/>
    </row>
    <row r="669" spans="2:11">
      <c r="B669" s="115" t="s">
        <v>1920</v>
      </c>
      <c r="C669" s="115" t="s">
        <v>2041</v>
      </c>
      <c r="D669" s="115" t="s">
        <v>2151</v>
      </c>
      <c r="E669" s="115">
        <v>3</v>
      </c>
      <c r="F669" s="71"/>
      <c r="G669" s="109">
        <v>78</v>
      </c>
      <c r="H669" s="110">
        <v>0</v>
      </c>
      <c r="I669" s="111">
        <v>3</v>
      </c>
      <c r="J669" s="110">
        <v>78</v>
      </c>
      <c r="K669" s="111"/>
    </row>
    <row r="670" spans="2:11">
      <c r="B670" s="115" t="s">
        <v>1921</v>
      </c>
      <c r="C670" s="115" t="s">
        <v>2042</v>
      </c>
      <c r="D670" s="115" t="s">
        <v>2151</v>
      </c>
      <c r="E670" s="115">
        <v>5</v>
      </c>
      <c r="F670" s="71"/>
      <c r="G670" s="109">
        <v>130</v>
      </c>
      <c r="H670" s="110">
        <v>0</v>
      </c>
      <c r="I670" s="111">
        <v>5</v>
      </c>
      <c r="J670" s="110">
        <v>130</v>
      </c>
      <c r="K670" s="111"/>
    </row>
    <row r="671" spans="2:11">
      <c r="B671" s="115" t="s">
        <v>1922</v>
      </c>
      <c r="C671" s="115" t="s">
        <v>2043</v>
      </c>
      <c r="D671" s="115" t="s">
        <v>2152</v>
      </c>
      <c r="E671" s="115">
        <v>41</v>
      </c>
      <c r="F671" s="71"/>
      <c r="G671" s="109">
        <v>2478.4500000000003</v>
      </c>
      <c r="H671" s="110">
        <v>0</v>
      </c>
      <c r="I671" s="111">
        <v>41</v>
      </c>
      <c r="J671" s="110">
        <v>2478.4500000000003</v>
      </c>
      <c r="K671" s="111"/>
    </row>
    <row r="672" spans="2:11">
      <c r="B672" s="115" t="s">
        <v>1923</v>
      </c>
      <c r="C672" s="115" t="s">
        <v>2044</v>
      </c>
      <c r="D672" s="115" t="s">
        <v>2154</v>
      </c>
      <c r="E672" s="115">
        <v>9</v>
      </c>
      <c r="F672" s="71"/>
      <c r="G672" s="109">
        <v>533.69999999999993</v>
      </c>
      <c r="H672" s="110">
        <v>0</v>
      </c>
      <c r="I672" s="111">
        <v>9</v>
      </c>
      <c r="J672" s="110">
        <v>533.69999999999993</v>
      </c>
      <c r="K672" s="111"/>
    </row>
    <row r="673" spans="2:11">
      <c r="B673" s="115" t="s">
        <v>1924</v>
      </c>
      <c r="C673" s="115" t="s">
        <v>2045</v>
      </c>
      <c r="D673" s="115" t="s">
        <v>2155</v>
      </c>
      <c r="E673" s="115">
        <v>21</v>
      </c>
      <c r="F673" s="71"/>
      <c r="G673" s="109">
        <v>493.5</v>
      </c>
      <c r="H673" s="110">
        <v>0</v>
      </c>
      <c r="I673" s="111">
        <v>21</v>
      </c>
      <c r="J673" s="110">
        <v>493.5</v>
      </c>
      <c r="K673" s="111"/>
    </row>
    <row r="674" spans="2:11">
      <c r="B674" s="115" t="s">
        <v>1925</v>
      </c>
      <c r="C674" s="115" t="s">
        <v>2046</v>
      </c>
      <c r="D674" s="115" t="s">
        <v>2156</v>
      </c>
      <c r="E674" s="115">
        <v>70</v>
      </c>
      <c r="F674" s="71"/>
      <c r="G674" s="109">
        <v>1733.8999999999999</v>
      </c>
      <c r="H674" s="110">
        <v>0</v>
      </c>
      <c r="I674" s="111">
        <v>70</v>
      </c>
      <c r="J674" s="110">
        <v>1733.8999999999999</v>
      </c>
      <c r="K674" s="111"/>
    </row>
    <row r="675" spans="2:11">
      <c r="B675" s="115" t="s">
        <v>1926</v>
      </c>
      <c r="C675" s="115" t="s">
        <v>2047</v>
      </c>
      <c r="D675" s="115" t="s">
        <v>2157</v>
      </c>
      <c r="E675" s="115">
        <v>4</v>
      </c>
      <c r="F675" s="71"/>
      <c r="G675" s="109">
        <v>232.2</v>
      </c>
      <c r="H675" s="110">
        <v>0</v>
      </c>
      <c r="I675" s="111">
        <v>4</v>
      </c>
      <c r="J675" s="110">
        <v>232.2</v>
      </c>
      <c r="K675" s="111"/>
    </row>
    <row r="676" spans="2:11">
      <c r="B676" s="115" t="s">
        <v>1927</v>
      </c>
      <c r="C676" s="115" t="s">
        <v>2048</v>
      </c>
      <c r="D676" s="115" t="s">
        <v>2158</v>
      </c>
      <c r="E676" s="115">
        <v>10</v>
      </c>
      <c r="F676" s="71"/>
      <c r="G676" s="109">
        <v>585.70000000000005</v>
      </c>
      <c r="H676" s="110">
        <v>0</v>
      </c>
      <c r="I676" s="111">
        <v>10</v>
      </c>
      <c r="J676" s="110">
        <v>585.70000000000005</v>
      </c>
      <c r="K676" s="111"/>
    </row>
    <row r="677" spans="2:11">
      <c r="B677" s="115" t="s">
        <v>1928</v>
      </c>
      <c r="C677" s="115" t="s">
        <v>2049</v>
      </c>
      <c r="D677" s="115" t="s">
        <v>2159</v>
      </c>
      <c r="E677" s="115">
        <v>87</v>
      </c>
      <c r="F677" s="71"/>
      <c r="G677" s="109">
        <v>2177.61</v>
      </c>
      <c r="H677" s="110">
        <v>0</v>
      </c>
      <c r="I677" s="111">
        <v>87</v>
      </c>
      <c r="J677" s="110">
        <v>2177.61</v>
      </c>
      <c r="K677" s="111"/>
    </row>
    <row r="678" spans="2:11">
      <c r="B678" s="115" t="s">
        <v>1929</v>
      </c>
      <c r="C678" s="115" t="s">
        <v>2050</v>
      </c>
      <c r="D678" s="115" t="s">
        <v>2160</v>
      </c>
      <c r="E678" s="115">
        <v>67</v>
      </c>
      <c r="F678" s="71">
        <v>8</v>
      </c>
      <c r="G678" s="109">
        <v>3133.59</v>
      </c>
      <c r="H678" s="110">
        <v>374.16</v>
      </c>
      <c r="I678" s="111">
        <v>59</v>
      </c>
      <c r="J678" s="110">
        <v>2759.4300000000003</v>
      </c>
      <c r="K678" s="111"/>
    </row>
    <row r="679" spans="2:11">
      <c r="B679" s="115" t="s">
        <v>1930</v>
      </c>
      <c r="C679" s="115" t="s">
        <v>2051</v>
      </c>
      <c r="D679" s="115" t="s">
        <v>2161</v>
      </c>
      <c r="E679" s="115">
        <v>2</v>
      </c>
      <c r="F679" s="71"/>
      <c r="G679" s="109">
        <v>40.24</v>
      </c>
      <c r="H679" s="110">
        <v>0</v>
      </c>
      <c r="I679" s="111">
        <v>2</v>
      </c>
      <c r="J679" s="110">
        <v>40.24</v>
      </c>
      <c r="K679" s="111"/>
    </row>
    <row r="680" spans="2:11">
      <c r="B680" s="115" t="s">
        <v>1931</v>
      </c>
      <c r="C680" s="115" t="s">
        <v>2052</v>
      </c>
      <c r="D680" s="115" t="s">
        <v>2162</v>
      </c>
      <c r="E680" s="115">
        <v>14</v>
      </c>
      <c r="F680" s="71"/>
      <c r="G680" s="109">
        <v>751.24</v>
      </c>
      <c r="H680" s="110">
        <v>0</v>
      </c>
      <c r="I680" s="111">
        <v>14</v>
      </c>
      <c r="J680" s="110">
        <v>751.24</v>
      </c>
      <c r="K680" s="111"/>
    </row>
    <row r="681" spans="2:11">
      <c r="B681" s="115" t="s">
        <v>1932</v>
      </c>
      <c r="C681" s="115" t="s">
        <v>2053</v>
      </c>
      <c r="D681" s="115" t="s">
        <v>756</v>
      </c>
      <c r="E681" s="115">
        <v>129</v>
      </c>
      <c r="F681" s="71">
        <v>35</v>
      </c>
      <c r="G681" s="109">
        <v>7933.5</v>
      </c>
      <c r="H681" s="110">
        <v>2152.5</v>
      </c>
      <c r="I681" s="111">
        <v>94</v>
      </c>
      <c r="J681" s="110">
        <v>5781</v>
      </c>
      <c r="K681" s="111"/>
    </row>
    <row r="682" spans="2:11">
      <c r="B682" s="115" t="s">
        <v>1933</v>
      </c>
      <c r="C682" s="115" t="s">
        <v>2054</v>
      </c>
      <c r="D682" s="115" t="s">
        <v>2163</v>
      </c>
      <c r="E682" s="115">
        <v>187</v>
      </c>
      <c r="F682" s="71">
        <v>28</v>
      </c>
      <c r="G682" s="109">
        <v>5600.65</v>
      </c>
      <c r="H682" s="110">
        <v>838.6</v>
      </c>
      <c r="I682" s="111">
        <v>159</v>
      </c>
      <c r="J682" s="110">
        <v>4762.0499999999993</v>
      </c>
      <c r="K682" s="111"/>
    </row>
    <row r="683" spans="2:11">
      <c r="B683" s="115" t="s">
        <v>1934</v>
      </c>
      <c r="C683" s="115" t="s">
        <v>2055</v>
      </c>
      <c r="D683" s="115" t="s">
        <v>2164</v>
      </c>
      <c r="E683" s="115">
        <v>73</v>
      </c>
      <c r="F683" s="71">
        <v>12</v>
      </c>
      <c r="G683" s="109">
        <v>2730.93</v>
      </c>
      <c r="H683" s="110">
        <v>448.91999999999996</v>
      </c>
      <c r="I683" s="111">
        <v>61</v>
      </c>
      <c r="J683" s="110">
        <v>2282.0099999999998</v>
      </c>
      <c r="K683" s="111"/>
    </row>
    <row r="684" spans="2:11">
      <c r="B684" s="115" t="s">
        <v>1935</v>
      </c>
      <c r="C684" s="115" t="s">
        <v>2056</v>
      </c>
      <c r="D684" s="115" t="s">
        <v>1422</v>
      </c>
      <c r="E684" s="115">
        <v>28</v>
      </c>
      <c r="F684" s="71">
        <v>23</v>
      </c>
      <c r="G684" s="109">
        <v>812</v>
      </c>
      <c r="H684" s="110">
        <v>667</v>
      </c>
      <c r="I684" s="111">
        <v>5</v>
      </c>
      <c r="J684" s="110">
        <v>145</v>
      </c>
      <c r="K684" s="111"/>
    </row>
    <row r="685" spans="2:11">
      <c r="B685" s="115" t="s">
        <v>1936</v>
      </c>
      <c r="C685" s="115" t="s">
        <v>2057</v>
      </c>
      <c r="D685" s="115" t="s">
        <v>2166</v>
      </c>
      <c r="E685" s="115">
        <v>13</v>
      </c>
      <c r="F685" s="71"/>
      <c r="G685" s="109">
        <v>505.7</v>
      </c>
      <c r="H685" s="110">
        <v>0</v>
      </c>
      <c r="I685" s="111">
        <v>13</v>
      </c>
      <c r="J685" s="110">
        <v>505.7</v>
      </c>
      <c r="K685" s="111"/>
    </row>
    <row r="686" spans="2:11">
      <c r="B686" s="115" t="s">
        <v>1937</v>
      </c>
      <c r="C686" s="115" t="s">
        <v>2058</v>
      </c>
      <c r="D686" s="115" t="s">
        <v>2168</v>
      </c>
      <c r="E686" s="115">
        <v>48</v>
      </c>
      <c r="F686" s="71"/>
      <c r="G686" s="109">
        <v>2208</v>
      </c>
      <c r="H686" s="110">
        <v>0</v>
      </c>
      <c r="I686" s="111">
        <v>48</v>
      </c>
      <c r="J686" s="110">
        <v>2208</v>
      </c>
      <c r="K686" s="111"/>
    </row>
    <row r="687" spans="2:11">
      <c r="B687" s="115" t="s">
        <v>1937</v>
      </c>
      <c r="C687" s="115" t="s">
        <v>2058</v>
      </c>
      <c r="D687" s="115" t="s">
        <v>2167</v>
      </c>
      <c r="E687" s="115">
        <v>21</v>
      </c>
      <c r="F687" s="71"/>
      <c r="G687" s="109">
        <v>1006.95</v>
      </c>
      <c r="H687" s="110">
        <v>0</v>
      </c>
      <c r="I687" s="111">
        <v>21</v>
      </c>
      <c r="J687" s="110">
        <v>1006.95</v>
      </c>
      <c r="K687" s="111"/>
    </row>
    <row r="688" spans="2:11">
      <c r="B688" s="115" t="s">
        <v>1938</v>
      </c>
      <c r="C688" s="115" t="s">
        <v>2059</v>
      </c>
      <c r="D688" s="115" t="s">
        <v>2165</v>
      </c>
      <c r="E688" s="115">
        <v>40</v>
      </c>
      <c r="F688" s="71">
        <v>30</v>
      </c>
      <c r="G688" s="109">
        <v>1102.8</v>
      </c>
      <c r="H688" s="110">
        <v>827.1</v>
      </c>
      <c r="I688" s="111">
        <v>10</v>
      </c>
      <c r="J688" s="110">
        <v>275.69999999999993</v>
      </c>
      <c r="K688" s="111"/>
    </row>
    <row r="689" spans="2:11">
      <c r="B689" s="115" t="s">
        <v>1938</v>
      </c>
      <c r="C689" s="115" t="s">
        <v>2059</v>
      </c>
      <c r="D689" s="115" t="s">
        <v>1422</v>
      </c>
      <c r="E689" s="115">
        <v>24</v>
      </c>
      <c r="F689" s="71"/>
      <c r="G689" s="109">
        <v>696</v>
      </c>
      <c r="H689" s="110">
        <v>0</v>
      </c>
      <c r="I689" s="111">
        <v>24</v>
      </c>
      <c r="J689" s="110">
        <v>696</v>
      </c>
      <c r="K689" s="111"/>
    </row>
    <row r="690" spans="2:11">
      <c r="B690" s="115" t="s">
        <v>1939</v>
      </c>
      <c r="C690" s="115" t="s">
        <v>2060</v>
      </c>
      <c r="D690" s="115" t="s">
        <v>2166</v>
      </c>
      <c r="E690" s="115">
        <v>21</v>
      </c>
      <c r="F690" s="71"/>
      <c r="G690" s="109">
        <v>816.9</v>
      </c>
      <c r="H690" s="110">
        <v>0</v>
      </c>
      <c r="I690" s="111">
        <v>21</v>
      </c>
      <c r="J690" s="110">
        <v>816.9</v>
      </c>
      <c r="K690" s="111"/>
    </row>
    <row r="691" spans="2:11">
      <c r="B691" s="115" t="s">
        <v>1940</v>
      </c>
      <c r="C691" s="115" t="s">
        <v>2061</v>
      </c>
      <c r="D691" s="115" t="s">
        <v>2169</v>
      </c>
      <c r="E691" s="115">
        <v>75</v>
      </c>
      <c r="F691" s="71">
        <v>47</v>
      </c>
      <c r="G691" s="109">
        <v>3703.5</v>
      </c>
      <c r="H691" s="110">
        <v>2320.86</v>
      </c>
      <c r="I691" s="111">
        <v>28</v>
      </c>
      <c r="J691" s="110">
        <v>1382.6399999999999</v>
      </c>
      <c r="K691" s="111"/>
    </row>
    <row r="692" spans="2:11">
      <c r="B692" s="115" t="s">
        <v>1941</v>
      </c>
      <c r="C692" s="115" t="s">
        <v>2062</v>
      </c>
      <c r="D692" s="115" t="s">
        <v>732</v>
      </c>
      <c r="E692" s="115">
        <v>5</v>
      </c>
      <c r="F692" s="71"/>
      <c r="G692" s="109">
        <v>137.5</v>
      </c>
      <c r="H692" s="110">
        <v>0</v>
      </c>
      <c r="I692" s="111">
        <v>5</v>
      </c>
      <c r="J692" s="110">
        <v>137.5</v>
      </c>
      <c r="K692" s="111"/>
    </row>
    <row r="693" spans="2:11">
      <c r="B693" s="115" t="s">
        <v>1942</v>
      </c>
      <c r="C693" s="115" t="s">
        <v>2063</v>
      </c>
      <c r="D693" s="115" t="s">
        <v>2170</v>
      </c>
      <c r="E693" s="115">
        <v>2</v>
      </c>
      <c r="F693" s="71"/>
      <c r="G693" s="109">
        <v>91.66</v>
      </c>
      <c r="H693" s="110">
        <v>0</v>
      </c>
      <c r="I693" s="111">
        <v>2</v>
      </c>
      <c r="J693" s="110">
        <v>91.66</v>
      </c>
      <c r="K693" s="111"/>
    </row>
    <row r="694" spans="2:11">
      <c r="B694" s="115" t="s">
        <v>1943</v>
      </c>
      <c r="C694" s="115" t="s">
        <v>2064</v>
      </c>
      <c r="D694" s="115" t="s">
        <v>2171</v>
      </c>
      <c r="E694" s="115">
        <v>69</v>
      </c>
      <c r="F694" s="71">
        <v>67</v>
      </c>
      <c r="G694" s="109">
        <v>2949.75</v>
      </c>
      <c r="H694" s="110">
        <v>2864.25</v>
      </c>
      <c r="I694" s="111">
        <v>2</v>
      </c>
      <c r="J694" s="110">
        <v>85.5</v>
      </c>
      <c r="K694" s="111"/>
    </row>
    <row r="695" spans="2:11">
      <c r="B695" s="115" t="s">
        <v>1946</v>
      </c>
      <c r="C695" s="115" t="s">
        <v>2067</v>
      </c>
      <c r="D695" s="115" t="s">
        <v>2174</v>
      </c>
      <c r="E695" s="115">
        <v>17</v>
      </c>
      <c r="F695" s="71">
        <v>14</v>
      </c>
      <c r="G695" s="109">
        <v>671.5</v>
      </c>
      <c r="H695" s="110">
        <v>553</v>
      </c>
      <c r="I695" s="111">
        <v>3</v>
      </c>
      <c r="J695" s="110">
        <v>118.5</v>
      </c>
      <c r="K695" s="111"/>
    </row>
    <row r="696" spans="2:11">
      <c r="B696" s="115" t="s">
        <v>1947</v>
      </c>
      <c r="C696" s="115" t="s">
        <v>2068</v>
      </c>
      <c r="D696" s="115" t="s">
        <v>2175</v>
      </c>
      <c r="E696" s="115">
        <v>12</v>
      </c>
      <c r="F696" s="71">
        <v>4</v>
      </c>
      <c r="G696" s="109">
        <v>465</v>
      </c>
      <c r="H696" s="110">
        <v>155</v>
      </c>
      <c r="I696" s="111">
        <v>8</v>
      </c>
      <c r="J696" s="110">
        <v>310</v>
      </c>
      <c r="K696" s="111"/>
    </row>
    <row r="697" spans="2:11">
      <c r="B697" s="115" t="s">
        <v>1948</v>
      </c>
      <c r="C697" s="115" t="s">
        <v>2069</v>
      </c>
      <c r="D697" s="115" t="s">
        <v>2176</v>
      </c>
      <c r="E697" s="115">
        <v>25</v>
      </c>
      <c r="F697" s="71">
        <v>21</v>
      </c>
      <c r="G697" s="109">
        <v>893.75</v>
      </c>
      <c r="H697" s="110">
        <v>750.75</v>
      </c>
      <c r="I697" s="111">
        <v>4</v>
      </c>
      <c r="J697" s="110">
        <v>143</v>
      </c>
      <c r="K697" s="111"/>
    </row>
    <row r="698" spans="2:11">
      <c r="B698" s="115" t="s">
        <v>1950</v>
      </c>
      <c r="C698" s="115" t="s">
        <v>2071</v>
      </c>
      <c r="D698" s="115" t="s">
        <v>2178</v>
      </c>
      <c r="E698" s="115">
        <v>11</v>
      </c>
      <c r="F698" s="71">
        <v>9</v>
      </c>
      <c r="G698" s="109">
        <v>458.91999999999996</v>
      </c>
      <c r="H698" s="110">
        <v>375.48</v>
      </c>
      <c r="I698" s="111">
        <v>2</v>
      </c>
      <c r="J698" s="110">
        <v>83.439999999999941</v>
      </c>
      <c r="K698" s="111"/>
    </row>
    <row r="699" spans="2:11">
      <c r="B699" s="115" t="s">
        <v>1951</v>
      </c>
      <c r="C699" s="115" t="s">
        <v>2072</v>
      </c>
      <c r="D699" s="115" t="s">
        <v>2179</v>
      </c>
      <c r="E699" s="115">
        <v>108</v>
      </c>
      <c r="F699" s="71">
        <v>64</v>
      </c>
      <c r="G699" s="109">
        <v>3466.8</v>
      </c>
      <c r="H699" s="110">
        <v>2054.4</v>
      </c>
      <c r="I699" s="111">
        <v>44</v>
      </c>
      <c r="J699" s="110">
        <v>1412.4</v>
      </c>
      <c r="K699" s="111"/>
    </row>
    <row r="700" spans="2:11">
      <c r="B700" s="115" t="s">
        <v>1952</v>
      </c>
      <c r="C700" s="115" t="s">
        <v>2073</v>
      </c>
      <c r="D700" s="115" t="s">
        <v>2180</v>
      </c>
      <c r="E700" s="115">
        <v>24</v>
      </c>
      <c r="F700" s="71">
        <v>12</v>
      </c>
      <c r="G700" s="109">
        <v>1705.44</v>
      </c>
      <c r="H700" s="110">
        <v>852.72</v>
      </c>
      <c r="I700" s="111">
        <v>12</v>
      </c>
      <c r="J700" s="110">
        <v>852.72</v>
      </c>
      <c r="K700" s="111"/>
    </row>
    <row r="701" spans="2:11">
      <c r="B701" s="115" t="s">
        <v>1954</v>
      </c>
      <c r="C701" s="115" t="s">
        <v>2075</v>
      </c>
      <c r="D701" s="115" t="s">
        <v>2182</v>
      </c>
      <c r="E701" s="115">
        <v>22</v>
      </c>
      <c r="F701" s="71">
        <v>8</v>
      </c>
      <c r="G701" s="109">
        <v>496.98</v>
      </c>
      <c r="H701" s="110">
        <v>180.72</v>
      </c>
      <c r="I701" s="111">
        <v>14</v>
      </c>
      <c r="J701" s="110">
        <v>316.26</v>
      </c>
      <c r="K701" s="111"/>
    </row>
    <row r="702" spans="2:11">
      <c r="B702" s="115" t="s">
        <v>1955</v>
      </c>
      <c r="C702" s="115" t="s">
        <v>2076</v>
      </c>
      <c r="D702" s="115" t="s">
        <v>2183</v>
      </c>
      <c r="E702" s="115">
        <v>13</v>
      </c>
      <c r="F702" s="71"/>
      <c r="G702" s="109">
        <v>280.8</v>
      </c>
      <c r="H702" s="110">
        <v>0</v>
      </c>
      <c r="I702" s="111">
        <v>13</v>
      </c>
      <c r="J702" s="110">
        <v>280.8</v>
      </c>
      <c r="K702" s="111"/>
    </row>
    <row r="703" spans="2:11">
      <c r="B703" s="115" t="s">
        <v>1956</v>
      </c>
      <c r="C703" s="115" t="s">
        <v>2077</v>
      </c>
      <c r="D703" s="115" t="s">
        <v>2182</v>
      </c>
      <c r="E703" s="115">
        <v>10</v>
      </c>
      <c r="F703" s="71"/>
      <c r="G703" s="109">
        <v>225.9</v>
      </c>
      <c r="H703" s="110">
        <v>0</v>
      </c>
      <c r="I703" s="111">
        <v>10</v>
      </c>
      <c r="J703" s="110">
        <v>225.9</v>
      </c>
      <c r="K703" s="111"/>
    </row>
    <row r="704" spans="2:11">
      <c r="B704" s="115" t="s">
        <v>1957</v>
      </c>
      <c r="C704" s="115" t="s">
        <v>2078</v>
      </c>
      <c r="D704" s="115" t="s">
        <v>2182</v>
      </c>
      <c r="E704" s="115">
        <v>14</v>
      </c>
      <c r="F704" s="71">
        <v>4</v>
      </c>
      <c r="G704" s="109">
        <v>316.26</v>
      </c>
      <c r="H704" s="110">
        <v>90.36</v>
      </c>
      <c r="I704" s="111">
        <v>10</v>
      </c>
      <c r="J704" s="110">
        <v>225.89999999999998</v>
      </c>
      <c r="K704" s="111"/>
    </row>
    <row r="705" spans="2:11">
      <c r="B705" s="115" t="s">
        <v>1958</v>
      </c>
      <c r="C705" s="115" t="s">
        <v>2079</v>
      </c>
      <c r="D705" s="115" t="s">
        <v>2182</v>
      </c>
      <c r="E705" s="115">
        <v>6</v>
      </c>
      <c r="F705" s="71"/>
      <c r="G705" s="109">
        <v>135.54</v>
      </c>
      <c r="H705" s="110">
        <v>0</v>
      </c>
      <c r="I705" s="111">
        <v>6</v>
      </c>
      <c r="J705" s="110">
        <v>135.54</v>
      </c>
      <c r="K705" s="111"/>
    </row>
    <row r="706" spans="2:11">
      <c r="B706" s="115" t="s">
        <v>2184</v>
      </c>
      <c r="C706" s="115" t="s">
        <v>2287</v>
      </c>
      <c r="D706" s="115" t="s">
        <v>2390</v>
      </c>
      <c r="E706" s="115">
        <v>149</v>
      </c>
      <c r="F706" s="71"/>
      <c r="G706" s="109">
        <v>2293.11</v>
      </c>
      <c r="H706" s="110">
        <v>0</v>
      </c>
      <c r="I706" s="111">
        <v>149</v>
      </c>
      <c r="J706" s="110">
        <v>2293.11</v>
      </c>
      <c r="K706" s="111"/>
    </row>
    <row r="707" spans="2:11">
      <c r="B707" s="115" t="s">
        <v>2185</v>
      </c>
      <c r="C707" s="115" t="s">
        <v>2288</v>
      </c>
      <c r="D707" s="115" t="s">
        <v>2391</v>
      </c>
      <c r="E707" s="115">
        <v>221</v>
      </c>
      <c r="F707" s="71">
        <v>168</v>
      </c>
      <c r="G707" s="109">
        <v>3469.7</v>
      </c>
      <c r="H707" s="110">
        <v>2637.6</v>
      </c>
      <c r="I707" s="111">
        <v>53</v>
      </c>
      <c r="J707" s="110">
        <v>832.09999999999991</v>
      </c>
      <c r="K707" s="111"/>
    </row>
    <row r="708" spans="2:11">
      <c r="B708" s="115" t="s">
        <v>2186</v>
      </c>
      <c r="C708" s="115" t="s">
        <v>2289</v>
      </c>
      <c r="D708" s="115" t="s">
        <v>2392</v>
      </c>
      <c r="E708" s="115">
        <v>24</v>
      </c>
      <c r="F708" s="71"/>
      <c r="G708" s="109">
        <v>574.08000000000004</v>
      </c>
      <c r="H708" s="110">
        <v>0</v>
      </c>
      <c r="I708" s="111">
        <v>24</v>
      </c>
      <c r="J708" s="110">
        <v>574.08000000000004</v>
      </c>
      <c r="K708" s="111"/>
    </row>
    <row r="709" spans="2:11">
      <c r="B709" s="115" t="s">
        <v>2187</v>
      </c>
      <c r="C709" s="115" t="s">
        <v>2290</v>
      </c>
      <c r="D709" s="115" t="s">
        <v>2393</v>
      </c>
      <c r="E709" s="115">
        <v>12</v>
      </c>
      <c r="F709" s="71"/>
      <c r="G709" s="109">
        <v>551.40000000000009</v>
      </c>
      <c r="H709" s="110">
        <v>0</v>
      </c>
      <c r="I709" s="111">
        <v>12</v>
      </c>
      <c r="J709" s="110">
        <v>551.40000000000009</v>
      </c>
      <c r="K709" s="111"/>
    </row>
    <row r="710" spans="2:11">
      <c r="B710" s="115" t="s">
        <v>2188</v>
      </c>
      <c r="C710" s="115" t="s">
        <v>2291</v>
      </c>
      <c r="D710" s="115" t="s">
        <v>2394</v>
      </c>
      <c r="E710" s="115">
        <v>30</v>
      </c>
      <c r="F710" s="71"/>
      <c r="G710" s="109">
        <v>1827</v>
      </c>
      <c r="H710" s="110">
        <v>0</v>
      </c>
      <c r="I710" s="111">
        <v>30</v>
      </c>
      <c r="J710" s="110">
        <v>1827</v>
      </c>
      <c r="K710" s="111"/>
    </row>
    <row r="711" spans="2:11">
      <c r="B711" s="115" t="s">
        <v>2189</v>
      </c>
      <c r="C711" s="115" t="s">
        <v>2292</v>
      </c>
      <c r="D711" s="115" t="s">
        <v>2395</v>
      </c>
      <c r="E711" s="115">
        <v>3</v>
      </c>
      <c r="F711" s="71"/>
      <c r="G711" s="109">
        <v>518.54999999999995</v>
      </c>
      <c r="H711" s="110">
        <v>0</v>
      </c>
      <c r="I711" s="111">
        <v>3</v>
      </c>
      <c r="J711" s="110">
        <v>518.54999999999995</v>
      </c>
      <c r="K711" s="111"/>
    </row>
    <row r="712" spans="2:11">
      <c r="B712" s="115" t="s">
        <v>2190</v>
      </c>
      <c r="C712" s="115" t="s">
        <v>2293</v>
      </c>
      <c r="D712" s="115" t="s">
        <v>2396</v>
      </c>
      <c r="E712" s="115">
        <v>258</v>
      </c>
      <c r="F712" s="71"/>
      <c r="G712" s="109">
        <v>1573.8</v>
      </c>
      <c r="H712" s="110">
        <v>0</v>
      </c>
      <c r="I712" s="111">
        <v>258</v>
      </c>
      <c r="J712" s="110">
        <v>1573.8</v>
      </c>
      <c r="K712" s="111"/>
    </row>
    <row r="713" spans="2:11">
      <c r="B713" s="115" t="s">
        <v>2191</v>
      </c>
      <c r="C713" s="115" t="s">
        <v>2294</v>
      </c>
      <c r="D713" s="115" t="s">
        <v>2397</v>
      </c>
      <c r="E713" s="115">
        <v>56</v>
      </c>
      <c r="F713" s="71">
        <v>26</v>
      </c>
      <c r="G713" s="109">
        <v>3382.4</v>
      </c>
      <c r="H713" s="110">
        <v>1570.3999999999999</v>
      </c>
      <c r="I713" s="111">
        <v>30</v>
      </c>
      <c r="J713" s="110">
        <v>1812.0000000000002</v>
      </c>
      <c r="K713" s="111"/>
    </row>
    <row r="714" spans="2:11">
      <c r="B714" s="115" t="s">
        <v>2192</v>
      </c>
      <c r="C714" s="115" t="s">
        <v>2295</v>
      </c>
      <c r="D714" s="115" t="s">
        <v>2398</v>
      </c>
      <c r="E714" s="115">
        <v>16</v>
      </c>
      <c r="F714" s="71">
        <v>14</v>
      </c>
      <c r="G714" s="109">
        <v>1768</v>
      </c>
      <c r="H714" s="110">
        <v>1547</v>
      </c>
      <c r="I714" s="111">
        <v>2</v>
      </c>
      <c r="J714" s="110">
        <v>221</v>
      </c>
      <c r="K714" s="111"/>
    </row>
    <row r="715" spans="2:11">
      <c r="B715" s="115" t="s">
        <v>2193</v>
      </c>
      <c r="C715" s="115" t="s">
        <v>2296</v>
      </c>
      <c r="D715" s="115" t="s">
        <v>2399</v>
      </c>
      <c r="E715" s="115">
        <v>88</v>
      </c>
      <c r="F715" s="71"/>
      <c r="G715" s="109">
        <v>1026.08</v>
      </c>
      <c r="H715" s="110">
        <v>0</v>
      </c>
      <c r="I715" s="111">
        <v>88</v>
      </c>
      <c r="J715" s="110">
        <v>1026.08</v>
      </c>
      <c r="K715" s="111"/>
    </row>
    <row r="716" spans="2:11">
      <c r="B716" s="115" t="s">
        <v>2194</v>
      </c>
      <c r="C716" s="115" t="s">
        <v>2297</v>
      </c>
      <c r="D716" s="115" t="s">
        <v>2400</v>
      </c>
      <c r="E716" s="115">
        <v>1</v>
      </c>
      <c r="F716" s="71"/>
      <c r="G716" s="109">
        <v>76.17</v>
      </c>
      <c r="H716" s="110">
        <v>0</v>
      </c>
      <c r="I716" s="111">
        <v>1</v>
      </c>
      <c r="J716" s="110">
        <v>76.17</v>
      </c>
      <c r="K716" s="111"/>
    </row>
    <row r="717" spans="2:11">
      <c r="B717" s="115" t="s">
        <v>2198</v>
      </c>
      <c r="C717" s="115" t="s">
        <v>2301</v>
      </c>
      <c r="D717" s="115" t="s">
        <v>2403</v>
      </c>
      <c r="E717" s="115">
        <v>35</v>
      </c>
      <c r="F717" s="71"/>
      <c r="G717" s="109">
        <v>531.65</v>
      </c>
      <c r="H717" s="110">
        <v>0</v>
      </c>
      <c r="I717" s="111">
        <v>35</v>
      </c>
      <c r="J717" s="110">
        <v>531.65</v>
      </c>
      <c r="K717" s="111"/>
    </row>
    <row r="718" spans="2:11">
      <c r="B718" s="115" t="s">
        <v>2200</v>
      </c>
      <c r="C718" s="115" t="s">
        <v>2303</v>
      </c>
      <c r="D718" s="115" t="s">
        <v>2404</v>
      </c>
      <c r="E718" s="115">
        <v>36</v>
      </c>
      <c r="F718" s="71">
        <v>24</v>
      </c>
      <c r="G718" s="109">
        <v>2374.2000000000003</v>
      </c>
      <c r="H718" s="110">
        <v>1582.8000000000002</v>
      </c>
      <c r="I718" s="111">
        <v>12</v>
      </c>
      <c r="J718" s="110">
        <v>791.40000000000009</v>
      </c>
      <c r="K718" s="111"/>
    </row>
    <row r="719" spans="2:11">
      <c r="B719" s="115" t="s">
        <v>2201</v>
      </c>
      <c r="C719" s="115" t="s">
        <v>2304</v>
      </c>
      <c r="D719" s="115" t="s">
        <v>2405</v>
      </c>
      <c r="E719" s="115">
        <v>71</v>
      </c>
      <c r="F719" s="71">
        <v>9</v>
      </c>
      <c r="G719" s="109">
        <v>962.76</v>
      </c>
      <c r="H719" s="110">
        <v>122.04</v>
      </c>
      <c r="I719" s="111">
        <v>62</v>
      </c>
      <c r="J719" s="110">
        <v>840.72</v>
      </c>
      <c r="K719" s="111"/>
    </row>
    <row r="720" spans="2:11">
      <c r="B720" s="115" t="s">
        <v>2202</v>
      </c>
      <c r="C720" s="115" t="s">
        <v>2305</v>
      </c>
      <c r="D720" s="115" t="s">
        <v>2406</v>
      </c>
      <c r="E720" s="115">
        <v>4</v>
      </c>
      <c r="F720" s="71">
        <v>1</v>
      </c>
      <c r="G720" s="109">
        <v>287</v>
      </c>
      <c r="H720" s="110">
        <v>71.75</v>
      </c>
      <c r="I720" s="111">
        <v>3</v>
      </c>
      <c r="J720" s="110">
        <v>215.25</v>
      </c>
      <c r="K720" s="111"/>
    </row>
    <row r="721" spans="2:11">
      <c r="B721" s="115" t="s">
        <v>2203</v>
      </c>
      <c r="C721" s="115" t="s">
        <v>2306</v>
      </c>
      <c r="D721" s="115" t="s">
        <v>2407</v>
      </c>
      <c r="E721" s="115">
        <v>5</v>
      </c>
      <c r="F721" s="71"/>
      <c r="G721" s="109">
        <v>128.25</v>
      </c>
      <c r="H721" s="110">
        <v>0</v>
      </c>
      <c r="I721" s="111">
        <v>5</v>
      </c>
      <c r="J721" s="110">
        <v>128.25</v>
      </c>
      <c r="K721" s="111"/>
    </row>
    <row r="722" spans="2:11">
      <c r="B722" s="115" t="s">
        <v>2204</v>
      </c>
      <c r="C722" s="115" t="s">
        <v>2307</v>
      </c>
      <c r="D722" s="115" t="s">
        <v>2408</v>
      </c>
      <c r="E722" s="115">
        <v>77</v>
      </c>
      <c r="F722" s="71">
        <v>63</v>
      </c>
      <c r="G722" s="109">
        <v>3927</v>
      </c>
      <c r="H722" s="110">
        <v>3213</v>
      </c>
      <c r="I722" s="111">
        <v>14</v>
      </c>
      <c r="J722" s="110">
        <v>714</v>
      </c>
      <c r="K722" s="111"/>
    </row>
    <row r="723" spans="2:11">
      <c r="B723" s="115" t="s">
        <v>2205</v>
      </c>
      <c r="C723" s="115" t="s">
        <v>2308</v>
      </c>
      <c r="D723" s="115" t="s">
        <v>1232</v>
      </c>
      <c r="E723" s="115">
        <v>171</v>
      </c>
      <c r="F723" s="71"/>
      <c r="G723" s="109">
        <v>1710</v>
      </c>
      <c r="H723" s="110">
        <v>0</v>
      </c>
      <c r="I723" s="111">
        <v>171</v>
      </c>
      <c r="J723" s="110">
        <v>1710</v>
      </c>
      <c r="K723" s="111"/>
    </row>
    <row r="724" spans="2:11">
      <c r="B724" s="115" t="s">
        <v>2206</v>
      </c>
      <c r="C724" s="115" t="s">
        <v>2309</v>
      </c>
      <c r="D724" s="115" t="s">
        <v>2409</v>
      </c>
      <c r="E724" s="115">
        <v>29</v>
      </c>
      <c r="F724" s="71"/>
      <c r="G724" s="109">
        <v>550.41999999999996</v>
      </c>
      <c r="H724" s="110">
        <v>0</v>
      </c>
      <c r="I724" s="111">
        <v>29</v>
      </c>
      <c r="J724" s="110">
        <v>550.41999999999996</v>
      </c>
      <c r="K724" s="111"/>
    </row>
    <row r="725" spans="2:11">
      <c r="B725" s="115" t="s">
        <v>2207</v>
      </c>
      <c r="C725" s="115" t="s">
        <v>2310</v>
      </c>
      <c r="D725" s="115" t="s">
        <v>2410</v>
      </c>
      <c r="E725" s="115">
        <v>38</v>
      </c>
      <c r="F725" s="71">
        <v>6</v>
      </c>
      <c r="G725" s="109">
        <v>1567.5</v>
      </c>
      <c r="H725" s="110">
        <v>247.5</v>
      </c>
      <c r="I725" s="111">
        <v>32</v>
      </c>
      <c r="J725" s="110">
        <v>1320</v>
      </c>
      <c r="K725" s="111"/>
    </row>
    <row r="726" spans="2:11">
      <c r="B726" s="115" t="s">
        <v>2208</v>
      </c>
      <c r="C726" s="115" t="s">
        <v>2311</v>
      </c>
      <c r="D726" s="115" t="s">
        <v>1621</v>
      </c>
      <c r="E726" s="115">
        <v>190</v>
      </c>
      <c r="F726" s="71">
        <v>3</v>
      </c>
      <c r="G726" s="109">
        <v>1444</v>
      </c>
      <c r="H726" s="110">
        <v>22.799999999999997</v>
      </c>
      <c r="I726" s="111">
        <v>187</v>
      </c>
      <c r="J726" s="110">
        <v>1421.2</v>
      </c>
      <c r="K726" s="111"/>
    </row>
    <row r="727" spans="2:11">
      <c r="B727" s="115" t="s">
        <v>2210</v>
      </c>
      <c r="C727" s="115" t="s">
        <v>2313</v>
      </c>
      <c r="D727" s="115" t="s">
        <v>2412</v>
      </c>
      <c r="E727" s="115">
        <v>16</v>
      </c>
      <c r="F727" s="71"/>
      <c r="G727" s="109">
        <v>265.60000000000002</v>
      </c>
      <c r="H727" s="110">
        <v>0</v>
      </c>
      <c r="I727" s="111">
        <v>16</v>
      </c>
      <c r="J727" s="110">
        <v>265.60000000000002</v>
      </c>
      <c r="K727" s="111"/>
    </row>
    <row r="728" spans="2:11">
      <c r="B728" s="115" t="s">
        <v>2211</v>
      </c>
      <c r="C728" s="115" t="s">
        <v>2314</v>
      </c>
      <c r="D728" s="115" t="s">
        <v>2413</v>
      </c>
      <c r="E728" s="115">
        <v>3</v>
      </c>
      <c r="F728" s="71"/>
      <c r="G728" s="109">
        <v>275.70000000000005</v>
      </c>
      <c r="H728" s="110">
        <v>0</v>
      </c>
      <c r="I728" s="111">
        <v>3</v>
      </c>
      <c r="J728" s="110">
        <v>275.70000000000005</v>
      </c>
      <c r="K728" s="111"/>
    </row>
    <row r="729" spans="2:11">
      <c r="B729" s="115" t="s">
        <v>2212</v>
      </c>
      <c r="C729" s="115" t="s">
        <v>2315</v>
      </c>
      <c r="D729" s="115" t="s">
        <v>2414</v>
      </c>
      <c r="E729" s="115">
        <v>18</v>
      </c>
      <c r="F729" s="71">
        <v>11</v>
      </c>
      <c r="G729" s="109">
        <v>1624.32</v>
      </c>
      <c r="H729" s="110">
        <v>992.64</v>
      </c>
      <c r="I729" s="111">
        <v>7</v>
      </c>
      <c r="J729" s="110">
        <v>631.67999999999995</v>
      </c>
      <c r="K729" s="111"/>
    </row>
    <row r="730" spans="2:11">
      <c r="B730" s="115" t="s">
        <v>2213</v>
      </c>
      <c r="C730" s="115" t="s">
        <v>2316</v>
      </c>
      <c r="D730" s="115" t="s">
        <v>2415</v>
      </c>
      <c r="E730" s="115">
        <v>3</v>
      </c>
      <c r="F730" s="71"/>
      <c r="G730" s="109">
        <v>164.28</v>
      </c>
      <c r="H730" s="110">
        <v>0</v>
      </c>
      <c r="I730" s="111">
        <v>3</v>
      </c>
      <c r="J730" s="110">
        <v>164.28</v>
      </c>
      <c r="K730" s="111"/>
    </row>
    <row r="731" spans="2:11">
      <c r="B731" s="115" t="s">
        <v>2214</v>
      </c>
      <c r="C731" s="115" t="s">
        <v>2317</v>
      </c>
      <c r="D731" s="115" t="s">
        <v>2416</v>
      </c>
      <c r="E731" s="115">
        <v>4</v>
      </c>
      <c r="F731" s="71">
        <v>1</v>
      </c>
      <c r="G731" s="109">
        <v>379.04</v>
      </c>
      <c r="H731" s="110">
        <v>94.76</v>
      </c>
      <c r="I731" s="111">
        <v>3</v>
      </c>
      <c r="J731" s="110">
        <v>284.28000000000003</v>
      </c>
      <c r="K731" s="111"/>
    </row>
    <row r="732" spans="2:11">
      <c r="B732" s="115" t="s">
        <v>2215</v>
      </c>
      <c r="C732" s="115" t="s">
        <v>2318</v>
      </c>
      <c r="D732" s="115" t="s">
        <v>2417</v>
      </c>
      <c r="E732" s="115">
        <v>55</v>
      </c>
      <c r="F732" s="71">
        <v>52</v>
      </c>
      <c r="G732" s="109">
        <v>1715.45</v>
      </c>
      <c r="H732" s="110">
        <v>1621.88</v>
      </c>
      <c r="I732" s="111">
        <v>3</v>
      </c>
      <c r="J732" s="110">
        <v>93.569999999999936</v>
      </c>
      <c r="K732" s="111"/>
    </row>
    <row r="733" spans="2:11">
      <c r="B733" s="115" t="s">
        <v>2216</v>
      </c>
      <c r="C733" s="115" t="s">
        <v>2319</v>
      </c>
      <c r="D733" s="115" t="s">
        <v>2418</v>
      </c>
      <c r="E733" s="115">
        <v>6</v>
      </c>
      <c r="F733" s="71">
        <v>1</v>
      </c>
      <c r="G733" s="109">
        <v>158.57999999999998</v>
      </c>
      <c r="H733" s="110">
        <v>26.43</v>
      </c>
      <c r="I733" s="111">
        <v>5</v>
      </c>
      <c r="J733" s="110">
        <v>132.14999999999998</v>
      </c>
      <c r="K733" s="111"/>
    </row>
    <row r="734" spans="2:11">
      <c r="B734" s="115" t="s">
        <v>2217</v>
      </c>
      <c r="C734" s="115" t="s">
        <v>2320</v>
      </c>
      <c r="D734" s="115" t="s">
        <v>2419</v>
      </c>
      <c r="E734" s="115">
        <v>6</v>
      </c>
      <c r="F734" s="71"/>
      <c r="G734" s="109">
        <v>138.30000000000001</v>
      </c>
      <c r="H734" s="110">
        <v>0</v>
      </c>
      <c r="I734" s="111">
        <v>6</v>
      </c>
      <c r="J734" s="110">
        <v>138.30000000000001</v>
      </c>
      <c r="K734" s="111"/>
    </row>
    <row r="735" spans="2:11">
      <c r="B735" s="115" t="s">
        <v>2218</v>
      </c>
      <c r="C735" s="115" t="s">
        <v>2321</v>
      </c>
      <c r="D735" s="115" t="s">
        <v>1232</v>
      </c>
      <c r="E735" s="115">
        <v>9</v>
      </c>
      <c r="F735" s="71"/>
      <c r="G735" s="109">
        <v>90</v>
      </c>
      <c r="H735" s="110">
        <v>0</v>
      </c>
      <c r="I735" s="111">
        <v>9</v>
      </c>
      <c r="J735" s="110">
        <v>90</v>
      </c>
      <c r="K735" s="111"/>
    </row>
    <row r="736" spans="2:11">
      <c r="B736" s="115" t="s">
        <v>2219</v>
      </c>
      <c r="C736" s="115" t="s">
        <v>2322</v>
      </c>
      <c r="D736" s="115" t="s">
        <v>1232</v>
      </c>
      <c r="E736" s="115">
        <v>7</v>
      </c>
      <c r="F736" s="71"/>
      <c r="G736" s="109">
        <v>70</v>
      </c>
      <c r="H736" s="110">
        <v>0</v>
      </c>
      <c r="I736" s="111">
        <v>7</v>
      </c>
      <c r="J736" s="110">
        <v>70</v>
      </c>
      <c r="K736" s="111"/>
    </row>
    <row r="737" spans="2:11">
      <c r="B737" s="115" t="s">
        <v>2221</v>
      </c>
      <c r="C737" s="115" t="s">
        <v>2324</v>
      </c>
      <c r="D737" s="115" t="s">
        <v>2420</v>
      </c>
      <c r="E737" s="115">
        <v>12</v>
      </c>
      <c r="F737" s="71">
        <v>7</v>
      </c>
      <c r="G737" s="109">
        <v>257.15999999999997</v>
      </c>
      <c r="H737" s="110">
        <v>150.01</v>
      </c>
      <c r="I737" s="111">
        <v>5</v>
      </c>
      <c r="J737" s="110">
        <v>107.14999999999998</v>
      </c>
      <c r="K737" s="111"/>
    </row>
    <row r="738" spans="2:11">
      <c r="B738" s="115" t="s">
        <v>2222</v>
      </c>
      <c r="C738" s="115" t="s">
        <v>2325</v>
      </c>
      <c r="D738" s="115" t="s">
        <v>1401</v>
      </c>
      <c r="E738" s="115">
        <v>31</v>
      </c>
      <c r="F738" s="71">
        <v>20</v>
      </c>
      <c r="G738" s="109">
        <v>3332.5</v>
      </c>
      <c r="H738" s="110">
        <v>2150</v>
      </c>
      <c r="I738" s="111">
        <v>11</v>
      </c>
      <c r="J738" s="110">
        <v>1182.5</v>
      </c>
      <c r="K738" s="111"/>
    </row>
    <row r="739" spans="2:11">
      <c r="B739" s="115" t="s">
        <v>2223</v>
      </c>
      <c r="C739" s="115" t="s">
        <v>2326</v>
      </c>
      <c r="D739" s="115" t="s">
        <v>2421</v>
      </c>
      <c r="E739" s="115">
        <v>4</v>
      </c>
      <c r="F739" s="71"/>
      <c r="G739" s="109">
        <v>196.8</v>
      </c>
      <c r="H739" s="110">
        <v>0</v>
      </c>
      <c r="I739" s="111">
        <v>4</v>
      </c>
      <c r="J739" s="110">
        <v>196.8</v>
      </c>
      <c r="K739" s="111"/>
    </row>
    <row r="740" spans="2:11">
      <c r="B740" s="115" t="s">
        <v>2226</v>
      </c>
      <c r="C740" s="115" t="s">
        <v>2329</v>
      </c>
      <c r="D740" s="115" t="s">
        <v>2423</v>
      </c>
      <c r="E740" s="115">
        <v>1</v>
      </c>
      <c r="F740" s="71"/>
      <c r="G740" s="109">
        <v>251.15</v>
      </c>
      <c r="H740" s="110">
        <v>0</v>
      </c>
      <c r="I740" s="111">
        <v>1</v>
      </c>
      <c r="J740" s="110">
        <v>251.15</v>
      </c>
      <c r="K740" s="111"/>
    </row>
    <row r="741" spans="2:11">
      <c r="B741" s="115" t="s">
        <v>2229</v>
      </c>
      <c r="C741" s="115" t="s">
        <v>2332</v>
      </c>
      <c r="D741" s="115" t="s">
        <v>2425</v>
      </c>
      <c r="E741" s="115">
        <v>14</v>
      </c>
      <c r="F741" s="71">
        <v>12</v>
      </c>
      <c r="G741" s="109">
        <v>727.57999999999993</v>
      </c>
      <c r="H741" s="110">
        <v>623.64</v>
      </c>
      <c r="I741" s="111">
        <v>2</v>
      </c>
      <c r="J741" s="110">
        <v>103.93999999999994</v>
      </c>
      <c r="K741" s="111"/>
    </row>
    <row r="742" spans="2:11">
      <c r="B742" s="115" t="s">
        <v>2230</v>
      </c>
      <c r="C742" s="115" t="s">
        <v>2333</v>
      </c>
      <c r="D742" s="115" t="s">
        <v>2424</v>
      </c>
      <c r="E742" s="115">
        <v>112</v>
      </c>
      <c r="F742" s="71">
        <v>45</v>
      </c>
      <c r="G742" s="109">
        <v>674.24</v>
      </c>
      <c r="H742" s="110">
        <v>270.89999999999998</v>
      </c>
      <c r="I742" s="111">
        <v>67</v>
      </c>
      <c r="J742" s="110">
        <v>403.34000000000003</v>
      </c>
      <c r="K742" s="111"/>
    </row>
    <row r="743" spans="2:11">
      <c r="B743" s="115" t="s">
        <v>2231</v>
      </c>
      <c r="C743" s="115" t="s">
        <v>2334</v>
      </c>
      <c r="D743" s="115" t="s">
        <v>2426</v>
      </c>
      <c r="E743" s="115">
        <v>6</v>
      </c>
      <c r="F743" s="71"/>
      <c r="G743" s="109">
        <v>209.28000000000003</v>
      </c>
      <c r="H743" s="110">
        <v>0</v>
      </c>
      <c r="I743" s="111">
        <v>6</v>
      </c>
      <c r="J743" s="110">
        <v>209.28000000000003</v>
      </c>
      <c r="K743" s="111"/>
    </row>
    <row r="744" spans="2:11">
      <c r="B744" s="115" t="s">
        <v>2232</v>
      </c>
      <c r="C744" s="115" t="s">
        <v>2335</v>
      </c>
      <c r="D744" s="115" t="s">
        <v>2425</v>
      </c>
      <c r="E744" s="115">
        <v>21</v>
      </c>
      <c r="F744" s="71">
        <v>6</v>
      </c>
      <c r="G744" s="109">
        <v>1091.3699999999999</v>
      </c>
      <c r="H744" s="110">
        <v>311.82</v>
      </c>
      <c r="I744" s="111">
        <v>15</v>
      </c>
      <c r="J744" s="110">
        <v>779.55</v>
      </c>
      <c r="K744" s="111"/>
    </row>
    <row r="745" spans="2:11">
      <c r="B745" s="115" t="s">
        <v>2233</v>
      </c>
      <c r="C745" s="115" t="s">
        <v>2336</v>
      </c>
      <c r="D745" s="115" t="s">
        <v>2427</v>
      </c>
      <c r="E745" s="115">
        <v>19</v>
      </c>
      <c r="F745" s="71"/>
      <c r="G745" s="109">
        <v>672.41</v>
      </c>
      <c r="H745" s="110">
        <v>0</v>
      </c>
      <c r="I745" s="111">
        <v>19</v>
      </c>
      <c r="J745" s="110">
        <v>672.41</v>
      </c>
      <c r="K745" s="111"/>
    </row>
    <row r="746" spans="2:11">
      <c r="B746" s="115" t="s">
        <v>2234</v>
      </c>
      <c r="C746" s="115" t="s">
        <v>2337</v>
      </c>
      <c r="D746" s="115" t="s">
        <v>2427</v>
      </c>
      <c r="E746" s="115">
        <v>29</v>
      </c>
      <c r="F746" s="71"/>
      <c r="G746" s="109">
        <v>1026.31</v>
      </c>
      <c r="H746" s="110">
        <v>0</v>
      </c>
      <c r="I746" s="111">
        <v>29</v>
      </c>
      <c r="J746" s="110">
        <v>1026.31</v>
      </c>
      <c r="K746" s="111"/>
    </row>
    <row r="747" spans="2:11">
      <c r="B747" s="115" t="s">
        <v>2235</v>
      </c>
      <c r="C747" s="115" t="s">
        <v>2338</v>
      </c>
      <c r="D747" s="115" t="s">
        <v>2425</v>
      </c>
      <c r="E747" s="115">
        <v>95</v>
      </c>
      <c r="F747" s="71">
        <v>58</v>
      </c>
      <c r="G747" s="109">
        <v>4937.1499999999996</v>
      </c>
      <c r="H747" s="110">
        <v>3014.2599999999998</v>
      </c>
      <c r="I747" s="111">
        <v>37</v>
      </c>
      <c r="J747" s="110">
        <v>1922.8899999999999</v>
      </c>
      <c r="K747" s="111"/>
    </row>
    <row r="748" spans="2:11">
      <c r="B748" s="115" t="s">
        <v>2236</v>
      </c>
      <c r="C748" s="115" t="s">
        <v>2339</v>
      </c>
      <c r="D748" s="115" t="s">
        <v>2428</v>
      </c>
      <c r="E748" s="115">
        <v>4</v>
      </c>
      <c r="F748" s="71"/>
      <c r="G748" s="109">
        <v>242.56</v>
      </c>
      <c r="H748" s="110">
        <v>0</v>
      </c>
      <c r="I748" s="111">
        <v>4</v>
      </c>
      <c r="J748" s="110">
        <v>242.56</v>
      </c>
      <c r="K748" s="111"/>
    </row>
    <row r="749" spans="2:11">
      <c r="B749" s="115" t="s">
        <v>2237</v>
      </c>
      <c r="C749" s="115" t="s">
        <v>2340</v>
      </c>
      <c r="D749" s="115" t="s">
        <v>2429</v>
      </c>
      <c r="E749" s="115">
        <v>2</v>
      </c>
      <c r="F749" s="71"/>
      <c r="G749" s="109">
        <v>198.18</v>
      </c>
      <c r="H749" s="110">
        <v>0</v>
      </c>
      <c r="I749" s="111">
        <v>2</v>
      </c>
      <c r="J749" s="110">
        <v>198.18</v>
      </c>
      <c r="K749" s="111"/>
    </row>
    <row r="750" spans="2:11">
      <c r="B750" s="115" t="s">
        <v>2238</v>
      </c>
      <c r="C750" s="115" t="s">
        <v>2341</v>
      </c>
      <c r="D750" s="115" t="s">
        <v>2430</v>
      </c>
      <c r="E750" s="115">
        <v>7</v>
      </c>
      <c r="F750" s="71"/>
      <c r="G750" s="109">
        <v>395.78</v>
      </c>
      <c r="H750" s="110">
        <v>0</v>
      </c>
      <c r="I750" s="111">
        <v>7</v>
      </c>
      <c r="J750" s="110">
        <v>395.78</v>
      </c>
      <c r="K750" s="111"/>
    </row>
    <row r="751" spans="2:11">
      <c r="B751" s="115" t="s">
        <v>2239</v>
      </c>
      <c r="C751" s="115" t="s">
        <v>2342</v>
      </c>
      <c r="D751" s="115" t="s">
        <v>2431</v>
      </c>
      <c r="E751" s="115">
        <v>5</v>
      </c>
      <c r="F751" s="71">
        <v>3</v>
      </c>
      <c r="G751" s="109">
        <v>1509.35</v>
      </c>
      <c r="H751" s="110">
        <v>905.61</v>
      </c>
      <c r="I751" s="111">
        <v>2</v>
      </c>
      <c r="J751" s="110">
        <v>603.7399999999999</v>
      </c>
      <c r="K751" s="111"/>
    </row>
    <row r="752" spans="2:11">
      <c r="B752" s="115" t="s">
        <v>2241</v>
      </c>
      <c r="C752" s="115" t="s">
        <v>2344</v>
      </c>
      <c r="D752" s="115" t="s">
        <v>2424</v>
      </c>
      <c r="E752" s="115">
        <v>92</v>
      </c>
      <c r="F752" s="71">
        <v>1</v>
      </c>
      <c r="G752" s="109">
        <v>553.83999999999992</v>
      </c>
      <c r="H752" s="110">
        <v>6.02</v>
      </c>
      <c r="I752" s="111">
        <v>91</v>
      </c>
      <c r="J752" s="110">
        <v>547.81999999999994</v>
      </c>
      <c r="K752" s="111"/>
    </row>
    <row r="753" spans="2:11">
      <c r="B753" s="115" t="s">
        <v>2242</v>
      </c>
      <c r="C753" s="115" t="s">
        <v>2345</v>
      </c>
      <c r="D753" s="115" t="s">
        <v>2432</v>
      </c>
      <c r="E753" s="115">
        <v>12</v>
      </c>
      <c r="F753" s="71"/>
      <c r="G753" s="109">
        <v>1035.48</v>
      </c>
      <c r="H753" s="110">
        <v>0</v>
      </c>
      <c r="I753" s="111">
        <v>12</v>
      </c>
      <c r="J753" s="110">
        <v>1035.48</v>
      </c>
      <c r="K753" s="111"/>
    </row>
    <row r="754" spans="2:11">
      <c r="B754" s="115" t="s">
        <v>2244</v>
      </c>
      <c r="C754" s="115" t="s">
        <v>2347</v>
      </c>
      <c r="D754" s="115" t="s">
        <v>2434</v>
      </c>
      <c r="E754" s="115">
        <v>10</v>
      </c>
      <c r="F754" s="71"/>
      <c r="G754" s="109">
        <v>826.2</v>
      </c>
      <c r="H754" s="110">
        <v>0</v>
      </c>
      <c r="I754" s="111">
        <v>10</v>
      </c>
      <c r="J754" s="110">
        <v>826.2</v>
      </c>
      <c r="K754" s="111"/>
    </row>
    <row r="755" spans="2:11">
      <c r="B755" s="115" t="s">
        <v>2245</v>
      </c>
      <c r="C755" s="115" t="s">
        <v>2348</v>
      </c>
      <c r="D755" s="115" t="s">
        <v>2435</v>
      </c>
      <c r="E755" s="115">
        <v>149</v>
      </c>
      <c r="F755" s="71">
        <v>65</v>
      </c>
      <c r="G755" s="109">
        <v>2142.62</v>
      </c>
      <c r="H755" s="110">
        <v>934.7</v>
      </c>
      <c r="I755" s="111">
        <v>84</v>
      </c>
      <c r="J755" s="110">
        <v>1207.9199999999998</v>
      </c>
      <c r="K755" s="111"/>
    </row>
    <row r="756" spans="2:11">
      <c r="B756" s="115" t="s">
        <v>2246</v>
      </c>
      <c r="C756" s="115" t="s">
        <v>2349</v>
      </c>
      <c r="D756" s="115" t="s">
        <v>2436</v>
      </c>
      <c r="E756" s="115">
        <v>48</v>
      </c>
      <c r="F756" s="71">
        <v>46</v>
      </c>
      <c r="G756" s="109">
        <v>1336.32</v>
      </c>
      <c r="H756" s="110">
        <v>1280.6400000000001</v>
      </c>
      <c r="I756" s="111">
        <v>2</v>
      </c>
      <c r="J756" s="110">
        <v>55.679999999999836</v>
      </c>
      <c r="K756" s="111"/>
    </row>
    <row r="757" spans="2:11">
      <c r="B757" s="115" t="s">
        <v>2247</v>
      </c>
      <c r="C757" s="115" t="s">
        <v>2350</v>
      </c>
      <c r="D757" s="115" t="s">
        <v>2437</v>
      </c>
      <c r="E757" s="115">
        <v>48</v>
      </c>
      <c r="F757" s="71">
        <v>43</v>
      </c>
      <c r="G757" s="109">
        <v>668.16</v>
      </c>
      <c r="H757" s="110">
        <v>598.55999999999995</v>
      </c>
      <c r="I757" s="111">
        <v>5</v>
      </c>
      <c r="J757" s="110">
        <v>69.600000000000023</v>
      </c>
      <c r="K757" s="111"/>
    </row>
    <row r="758" spans="2:11">
      <c r="B758" s="115" t="s">
        <v>2248</v>
      </c>
      <c r="C758" s="115" t="s">
        <v>2351</v>
      </c>
      <c r="D758" s="115" t="s">
        <v>2438</v>
      </c>
      <c r="E758" s="115">
        <v>1157</v>
      </c>
      <c r="F758" s="71">
        <v>1036</v>
      </c>
      <c r="G758" s="109">
        <v>5484.18</v>
      </c>
      <c r="H758" s="110">
        <v>4910.6400000000003</v>
      </c>
      <c r="I758" s="111">
        <v>121</v>
      </c>
      <c r="J758" s="110">
        <v>573.54</v>
      </c>
      <c r="K758" s="111"/>
    </row>
    <row r="759" spans="2:11">
      <c r="B759" s="115" t="s">
        <v>2249</v>
      </c>
      <c r="C759" s="115" t="s">
        <v>2352</v>
      </c>
      <c r="D759" s="115" t="s">
        <v>2439</v>
      </c>
      <c r="E759" s="115">
        <v>5</v>
      </c>
      <c r="F759" s="71"/>
      <c r="G759" s="109">
        <v>608.25</v>
      </c>
      <c r="H759" s="110">
        <v>0</v>
      </c>
      <c r="I759" s="111">
        <v>5</v>
      </c>
      <c r="J759" s="110">
        <v>608.25</v>
      </c>
      <c r="K759" s="111"/>
    </row>
    <row r="760" spans="2:11">
      <c r="B760" s="115" t="s">
        <v>2250</v>
      </c>
      <c r="C760" s="115" t="s">
        <v>2353</v>
      </c>
      <c r="D760" s="115" t="s">
        <v>2440</v>
      </c>
      <c r="E760" s="115">
        <v>209</v>
      </c>
      <c r="F760" s="71">
        <v>53</v>
      </c>
      <c r="G760" s="109">
        <v>4347.2</v>
      </c>
      <c r="H760" s="110">
        <v>1102.4000000000001</v>
      </c>
      <c r="I760" s="111">
        <v>156</v>
      </c>
      <c r="J760" s="110">
        <v>3244.7999999999997</v>
      </c>
      <c r="K760" s="111"/>
    </row>
    <row r="761" spans="2:11">
      <c r="B761" s="115" t="s">
        <v>2253</v>
      </c>
      <c r="C761" s="115" t="s">
        <v>2356</v>
      </c>
      <c r="D761" s="115" t="s">
        <v>2443</v>
      </c>
      <c r="E761" s="115">
        <v>29</v>
      </c>
      <c r="F761" s="71">
        <v>27</v>
      </c>
      <c r="G761" s="109">
        <v>1034.72</v>
      </c>
      <c r="H761" s="110">
        <v>963.36</v>
      </c>
      <c r="I761" s="111">
        <v>2</v>
      </c>
      <c r="J761" s="110">
        <v>71.360000000000014</v>
      </c>
      <c r="K761" s="111"/>
    </row>
    <row r="762" spans="2:11">
      <c r="B762" s="115" t="s">
        <v>2254</v>
      </c>
      <c r="C762" s="115" t="s">
        <v>2357</v>
      </c>
      <c r="D762" s="115" t="s">
        <v>2444</v>
      </c>
      <c r="E762" s="115">
        <v>36</v>
      </c>
      <c r="F762" s="71">
        <v>34</v>
      </c>
      <c r="G762" s="109">
        <v>1117.44</v>
      </c>
      <c r="H762" s="110">
        <v>1055.3599999999999</v>
      </c>
      <c r="I762" s="111">
        <v>2</v>
      </c>
      <c r="J762" s="110">
        <v>62.080000000000155</v>
      </c>
      <c r="K762" s="111"/>
    </row>
    <row r="763" spans="2:11">
      <c r="B763" s="115" t="s">
        <v>2255</v>
      </c>
      <c r="C763" s="115" t="s">
        <v>2358</v>
      </c>
      <c r="D763" s="115" t="s">
        <v>2445</v>
      </c>
      <c r="E763" s="115">
        <v>100</v>
      </c>
      <c r="F763" s="71">
        <v>42</v>
      </c>
      <c r="G763" s="109">
        <v>1339</v>
      </c>
      <c r="H763" s="110">
        <v>562.38</v>
      </c>
      <c r="I763" s="111">
        <v>58</v>
      </c>
      <c r="J763" s="110">
        <v>776.62</v>
      </c>
      <c r="K763" s="111"/>
    </row>
    <row r="764" spans="2:11">
      <c r="B764" s="115" t="s">
        <v>2256</v>
      </c>
      <c r="C764" s="115" t="s">
        <v>2359</v>
      </c>
      <c r="D764" s="115" t="s">
        <v>2446</v>
      </c>
      <c r="E764" s="115">
        <v>2</v>
      </c>
      <c r="F764" s="71"/>
      <c r="G764" s="109">
        <v>725</v>
      </c>
      <c r="H764" s="110">
        <v>0</v>
      </c>
      <c r="I764" s="111">
        <v>2</v>
      </c>
      <c r="J764" s="110">
        <v>725</v>
      </c>
      <c r="K764" s="111"/>
    </row>
    <row r="765" spans="2:11">
      <c r="B765" s="115" t="s">
        <v>2257</v>
      </c>
      <c r="C765" s="115" t="s">
        <v>2360</v>
      </c>
      <c r="D765" s="115" t="s">
        <v>2447</v>
      </c>
      <c r="E765" s="115">
        <v>129</v>
      </c>
      <c r="F765" s="71">
        <v>68</v>
      </c>
      <c r="G765" s="109">
        <v>723.69</v>
      </c>
      <c r="H765" s="110">
        <v>381.48</v>
      </c>
      <c r="I765" s="111">
        <v>61</v>
      </c>
      <c r="J765" s="110">
        <v>342.21000000000004</v>
      </c>
      <c r="K765" s="111"/>
    </row>
    <row r="766" spans="2:11">
      <c r="B766" s="115" t="s">
        <v>2259</v>
      </c>
      <c r="C766" s="115" t="s">
        <v>2362</v>
      </c>
      <c r="D766" s="115" t="s">
        <v>2449</v>
      </c>
      <c r="E766" s="115">
        <v>19</v>
      </c>
      <c r="F766" s="71">
        <v>15</v>
      </c>
      <c r="G766" s="109">
        <v>711.55000000000007</v>
      </c>
      <c r="H766" s="110">
        <v>561.75</v>
      </c>
      <c r="I766" s="111">
        <v>4</v>
      </c>
      <c r="J766" s="110">
        <v>149.80000000000007</v>
      </c>
      <c r="K766" s="111"/>
    </row>
    <row r="767" spans="2:11">
      <c r="B767" s="115" t="s">
        <v>2260</v>
      </c>
      <c r="C767" s="115" t="s">
        <v>2363</v>
      </c>
      <c r="D767" s="115" t="s">
        <v>2450</v>
      </c>
      <c r="E767" s="115">
        <v>39</v>
      </c>
      <c r="F767" s="71"/>
      <c r="G767" s="109">
        <v>429.78</v>
      </c>
      <c r="H767" s="110">
        <v>0</v>
      </c>
      <c r="I767" s="111">
        <v>39</v>
      </c>
      <c r="J767" s="110">
        <v>429.78</v>
      </c>
      <c r="K767" s="111"/>
    </row>
    <row r="768" spans="2:11">
      <c r="B768" s="115" t="s">
        <v>2261</v>
      </c>
      <c r="C768" s="115" t="s">
        <v>2364</v>
      </c>
      <c r="D768" s="115" t="s">
        <v>1163</v>
      </c>
      <c r="E768" s="115">
        <v>17</v>
      </c>
      <c r="F768" s="71">
        <v>3</v>
      </c>
      <c r="G768" s="109">
        <v>595</v>
      </c>
      <c r="H768" s="110">
        <v>105</v>
      </c>
      <c r="I768" s="111">
        <v>14</v>
      </c>
      <c r="J768" s="110">
        <v>490</v>
      </c>
      <c r="K768" s="111"/>
    </row>
    <row r="769" spans="2:11">
      <c r="B769" s="115" t="s">
        <v>2262</v>
      </c>
      <c r="C769" s="115" t="s">
        <v>2365</v>
      </c>
      <c r="D769" s="115" t="s">
        <v>1400</v>
      </c>
      <c r="E769" s="115">
        <v>3</v>
      </c>
      <c r="F769" s="71"/>
      <c r="G769" s="109">
        <v>108</v>
      </c>
      <c r="H769" s="110">
        <v>0</v>
      </c>
      <c r="I769" s="111">
        <v>3</v>
      </c>
      <c r="J769" s="110">
        <v>108</v>
      </c>
      <c r="K769" s="111"/>
    </row>
    <row r="770" spans="2:11">
      <c r="B770" s="115" t="s">
        <v>2263</v>
      </c>
      <c r="C770" s="115" t="s">
        <v>2366</v>
      </c>
      <c r="D770" s="115" t="s">
        <v>1644</v>
      </c>
      <c r="E770" s="115">
        <v>35</v>
      </c>
      <c r="F770" s="71">
        <v>5</v>
      </c>
      <c r="G770" s="109">
        <v>458.5</v>
      </c>
      <c r="H770" s="110">
        <v>65.5</v>
      </c>
      <c r="I770" s="111">
        <v>30</v>
      </c>
      <c r="J770" s="110">
        <v>393</v>
      </c>
      <c r="K770" s="111"/>
    </row>
    <row r="771" spans="2:11">
      <c r="B771" s="115" t="s">
        <v>2264</v>
      </c>
      <c r="C771" s="115" t="s">
        <v>2367</v>
      </c>
      <c r="D771" s="115" t="s">
        <v>1644</v>
      </c>
      <c r="E771" s="115">
        <v>32</v>
      </c>
      <c r="F771" s="71">
        <v>7</v>
      </c>
      <c r="G771" s="109">
        <v>419.2</v>
      </c>
      <c r="H771" s="110">
        <v>91.7</v>
      </c>
      <c r="I771" s="111">
        <v>25</v>
      </c>
      <c r="J771" s="110">
        <v>327.5</v>
      </c>
      <c r="K771" s="111"/>
    </row>
    <row r="772" spans="2:11">
      <c r="B772" s="115" t="s">
        <v>2265</v>
      </c>
      <c r="C772" s="115" t="s">
        <v>2368</v>
      </c>
      <c r="D772" s="115" t="s">
        <v>2452</v>
      </c>
      <c r="E772" s="115">
        <v>6</v>
      </c>
      <c r="F772" s="71"/>
      <c r="G772" s="109">
        <v>105.72</v>
      </c>
      <c r="H772" s="110">
        <v>0</v>
      </c>
      <c r="I772" s="111">
        <v>6</v>
      </c>
      <c r="J772" s="110">
        <v>105.72</v>
      </c>
      <c r="K772" s="111"/>
    </row>
    <row r="773" spans="2:11">
      <c r="B773" s="115" t="s">
        <v>2266</v>
      </c>
      <c r="C773" s="115" t="s">
        <v>2369</v>
      </c>
      <c r="D773" s="115" t="s">
        <v>2453</v>
      </c>
      <c r="E773" s="115">
        <v>19</v>
      </c>
      <c r="F773" s="71"/>
      <c r="G773" s="109">
        <v>1278.5100000000002</v>
      </c>
      <c r="H773" s="110">
        <v>0</v>
      </c>
      <c r="I773" s="111">
        <v>19</v>
      </c>
      <c r="J773" s="110">
        <v>1278.5100000000002</v>
      </c>
      <c r="K773" s="111"/>
    </row>
    <row r="774" spans="2:11">
      <c r="B774" s="115" t="s">
        <v>2266</v>
      </c>
      <c r="C774" s="115" t="s">
        <v>2369</v>
      </c>
      <c r="D774" s="115" t="s">
        <v>2453</v>
      </c>
      <c r="E774" s="115">
        <v>48</v>
      </c>
      <c r="F774" s="71"/>
      <c r="G774" s="109">
        <v>3229.92</v>
      </c>
      <c r="H774" s="110">
        <v>0</v>
      </c>
      <c r="I774" s="111">
        <v>48</v>
      </c>
      <c r="J774" s="110">
        <v>3229.92</v>
      </c>
      <c r="K774" s="111"/>
    </row>
    <row r="775" spans="2:11">
      <c r="B775" s="115" t="s">
        <v>2267</v>
      </c>
      <c r="C775" s="115" t="s">
        <v>2370</v>
      </c>
      <c r="D775" s="115" t="s">
        <v>2454</v>
      </c>
      <c r="E775" s="115">
        <v>25</v>
      </c>
      <c r="F775" s="71">
        <v>24</v>
      </c>
      <c r="G775" s="109">
        <v>1612.2499999999998</v>
      </c>
      <c r="H775" s="110">
        <v>1547.7599999999998</v>
      </c>
      <c r="I775" s="111">
        <v>1</v>
      </c>
      <c r="J775" s="110">
        <v>64.490000000000009</v>
      </c>
      <c r="K775" s="111"/>
    </row>
    <row r="776" spans="2:11">
      <c r="B776" s="115" t="s">
        <v>2268</v>
      </c>
      <c r="C776" s="115" t="s">
        <v>2371</v>
      </c>
      <c r="D776" s="115" t="s">
        <v>2455</v>
      </c>
      <c r="E776" s="115">
        <v>16</v>
      </c>
      <c r="F776" s="71"/>
      <c r="G776" s="109">
        <v>1460</v>
      </c>
      <c r="H776" s="110">
        <v>0</v>
      </c>
      <c r="I776" s="111">
        <v>16</v>
      </c>
      <c r="J776" s="110">
        <v>1460</v>
      </c>
      <c r="K776" s="111"/>
    </row>
    <row r="777" spans="2:11">
      <c r="B777" s="115" t="s">
        <v>2269</v>
      </c>
      <c r="C777" s="115" t="s">
        <v>2372</v>
      </c>
      <c r="D777" s="115" t="s">
        <v>2456</v>
      </c>
      <c r="E777" s="115">
        <v>22</v>
      </c>
      <c r="F777" s="71"/>
      <c r="G777" s="109">
        <v>1468.5</v>
      </c>
      <c r="H777" s="110">
        <v>0</v>
      </c>
      <c r="I777" s="111">
        <v>22</v>
      </c>
      <c r="J777" s="110">
        <v>1468.5</v>
      </c>
      <c r="K777" s="111"/>
    </row>
    <row r="778" spans="2:11">
      <c r="B778" s="115" t="s">
        <v>2270</v>
      </c>
      <c r="C778" s="115" t="s">
        <v>2373</v>
      </c>
      <c r="D778" s="115" t="s">
        <v>2457</v>
      </c>
      <c r="E778" s="115">
        <v>17</v>
      </c>
      <c r="F778" s="71"/>
      <c r="G778" s="109">
        <v>1334.5</v>
      </c>
      <c r="H778" s="110">
        <v>0</v>
      </c>
      <c r="I778" s="111">
        <v>17</v>
      </c>
      <c r="J778" s="110">
        <v>1334.5</v>
      </c>
      <c r="K778" s="111"/>
    </row>
    <row r="779" spans="2:11">
      <c r="B779" s="115" t="s">
        <v>2271</v>
      </c>
      <c r="C779" s="115" t="s">
        <v>2374</v>
      </c>
      <c r="D779" s="115" t="s">
        <v>2458</v>
      </c>
      <c r="E779" s="115">
        <v>1</v>
      </c>
      <c r="F779" s="71"/>
      <c r="G779" s="109">
        <v>120</v>
      </c>
      <c r="H779" s="110">
        <v>0</v>
      </c>
      <c r="I779" s="111">
        <v>1</v>
      </c>
      <c r="J779" s="110">
        <v>120</v>
      </c>
      <c r="K779" s="111"/>
    </row>
    <row r="780" spans="2:11">
      <c r="B780" s="115" t="s">
        <v>2272</v>
      </c>
      <c r="C780" s="115" t="s">
        <v>2375</v>
      </c>
      <c r="D780" s="115" t="s">
        <v>2459</v>
      </c>
      <c r="E780" s="115">
        <v>2</v>
      </c>
      <c r="F780" s="71"/>
      <c r="G780" s="109">
        <v>60.5</v>
      </c>
      <c r="H780" s="110">
        <v>0</v>
      </c>
      <c r="I780" s="111">
        <v>2</v>
      </c>
      <c r="J780" s="110">
        <v>60.5</v>
      </c>
      <c r="K780" s="111"/>
    </row>
    <row r="781" spans="2:11">
      <c r="B781" s="115" t="s">
        <v>2276</v>
      </c>
      <c r="C781" s="115" t="s">
        <v>2379</v>
      </c>
      <c r="D781" s="115" t="s">
        <v>2117</v>
      </c>
      <c r="E781" s="115">
        <v>2</v>
      </c>
      <c r="F781" s="71"/>
      <c r="G781" s="109">
        <v>399.9</v>
      </c>
      <c r="H781" s="110">
        <v>0</v>
      </c>
      <c r="I781" s="111">
        <v>2</v>
      </c>
      <c r="J781" s="110">
        <v>399.9</v>
      </c>
      <c r="K781" s="111"/>
    </row>
    <row r="782" spans="2:11">
      <c r="B782" s="115" t="s">
        <v>2277</v>
      </c>
      <c r="C782" s="115" t="s">
        <v>2380</v>
      </c>
      <c r="D782" s="115" t="s">
        <v>2461</v>
      </c>
      <c r="E782" s="115">
        <v>17</v>
      </c>
      <c r="F782" s="71"/>
      <c r="G782" s="109">
        <v>174.25</v>
      </c>
      <c r="H782" s="110">
        <v>0</v>
      </c>
      <c r="I782" s="111">
        <v>17</v>
      </c>
      <c r="J782" s="110">
        <v>174.25</v>
      </c>
      <c r="K782" s="111"/>
    </row>
    <row r="783" spans="2:11">
      <c r="B783" s="115" t="s">
        <v>2278</v>
      </c>
      <c r="C783" s="115" t="s">
        <v>2381</v>
      </c>
      <c r="D783" s="115" t="s">
        <v>841</v>
      </c>
      <c r="E783" s="115">
        <v>8</v>
      </c>
      <c r="F783" s="71"/>
      <c r="G783" s="109">
        <v>544</v>
      </c>
      <c r="H783" s="110">
        <v>0</v>
      </c>
      <c r="I783" s="111">
        <v>8</v>
      </c>
      <c r="J783" s="110">
        <v>544</v>
      </c>
      <c r="K783" s="111"/>
    </row>
    <row r="784" spans="2:11">
      <c r="B784" s="115" t="s">
        <v>2279</v>
      </c>
      <c r="C784" s="115" t="s">
        <v>2382</v>
      </c>
      <c r="D784" s="115" t="s">
        <v>2462</v>
      </c>
      <c r="E784" s="115">
        <v>5</v>
      </c>
      <c r="F784" s="71"/>
      <c r="G784" s="109">
        <v>87.5</v>
      </c>
      <c r="H784" s="110">
        <v>0</v>
      </c>
      <c r="I784" s="111">
        <v>5</v>
      </c>
      <c r="J784" s="110">
        <v>87.5</v>
      </c>
      <c r="K784" s="111"/>
    </row>
    <row r="785" spans="2:11">
      <c r="B785" s="115" t="s">
        <v>2280</v>
      </c>
      <c r="C785" s="115" t="s">
        <v>2383</v>
      </c>
      <c r="D785" s="115" t="s">
        <v>2151</v>
      </c>
      <c r="E785" s="115">
        <v>21</v>
      </c>
      <c r="F785" s="71">
        <v>1</v>
      </c>
      <c r="G785" s="109">
        <v>546</v>
      </c>
      <c r="H785" s="110">
        <v>26</v>
      </c>
      <c r="I785" s="111">
        <v>20</v>
      </c>
      <c r="J785" s="110">
        <v>520</v>
      </c>
      <c r="K785" s="111"/>
    </row>
    <row r="786" spans="2:11">
      <c r="B786" s="115" t="s">
        <v>2281</v>
      </c>
      <c r="C786" s="115" t="s">
        <v>2384</v>
      </c>
      <c r="D786" s="115" t="s">
        <v>2463</v>
      </c>
      <c r="E786" s="115">
        <v>6</v>
      </c>
      <c r="F786" s="71">
        <v>5</v>
      </c>
      <c r="G786" s="109">
        <v>811.5</v>
      </c>
      <c r="H786" s="110">
        <v>676.25</v>
      </c>
      <c r="I786" s="111">
        <v>1</v>
      </c>
      <c r="J786" s="110">
        <v>135.25</v>
      </c>
      <c r="K786" s="111"/>
    </row>
    <row r="787" spans="2:11">
      <c r="B787" s="115" t="s">
        <v>2282</v>
      </c>
      <c r="C787" s="115" t="s">
        <v>2385</v>
      </c>
      <c r="D787" s="115" t="s">
        <v>2464</v>
      </c>
      <c r="E787" s="115">
        <v>14</v>
      </c>
      <c r="F787" s="71"/>
      <c r="G787" s="109">
        <v>441</v>
      </c>
      <c r="H787" s="110">
        <v>0</v>
      </c>
      <c r="I787" s="111">
        <v>14</v>
      </c>
      <c r="J787" s="110">
        <v>441</v>
      </c>
      <c r="K787" s="111"/>
    </row>
    <row r="788" spans="2:11">
      <c r="B788" s="115" t="s">
        <v>2282</v>
      </c>
      <c r="C788" s="115" t="s">
        <v>2385</v>
      </c>
      <c r="D788" s="115" t="s">
        <v>2464</v>
      </c>
      <c r="E788" s="115">
        <v>17</v>
      </c>
      <c r="F788" s="71"/>
      <c r="G788" s="109">
        <v>535.5</v>
      </c>
      <c r="H788" s="110">
        <v>0</v>
      </c>
      <c r="I788" s="111">
        <v>17</v>
      </c>
      <c r="J788" s="110">
        <v>535.5</v>
      </c>
      <c r="K788" s="111"/>
    </row>
    <row r="789" spans="2:11">
      <c r="B789" s="115" t="s">
        <v>2283</v>
      </c>
      <c r="C789" s="115" t="s">
        <v>2386</v>
      </c>
      <c r="D789" s="115" t="s">
        <v>840</v>
      </c>
      <c r="E789" s="115">
        <v>24</v>
      </c>
      <c r="F789" s="71"/>
      <c r="G789" s="109">
        <v>1464</v>
      </c>
      <c r="H789" s="110">
        <v>0</v>
      </c>
      <c r="I789" s="111">
        <v>24</v>
      </c>
      <c r="J789" s="110">
        <v>1464</v>
      </c>
      <c r="K789" s="111"/>
    </row>
    <row r="790" spans="2:11">
      <c r="B790" s="115" t="s">
        <v>2284</v>
      </c>
      <c r="C790" s="115" t="s">
        <v>2387</v>
      </c>
      <c r="D790" s="115" t="s">
        <v>2465</v>
      </c>
      <c r="E790" s="115">
        <v>8</v>
      </c>
      <c r="F790" s="71"/>
      <c r="G790" s="109">
        <v>167.04</v>
      </c>
      <c r="H790" s="110">
        <v>0</v>
      </c>
      <c r="I790" s="111">
        <v>8</v>
      </c>
      <c r="J790" s="110">
        <v>167.04</v>
      </c>
      <c r="K790" s="111"/>
    </row>
    <row r="791" spans="2:11">
      <c r="B791" s="115" t="s">
        <v>2286</v>
      </c>
      <c r="C791" s="115" t="s">
        <v>2389</v>
      </c>
      <c r="D791" s="115" t="s">
        <v>2467</v>
      </c>
      <c r="E791" s="115">
        <v>4</v>
      </c>
      <c r="F791" s="71"/>
      <c r="G791" s="109">
        <v>12200</v>
      </c>
      <c r="H791" s="110">
        <v>0</v>
      </c>
      <c r="I791" s="111">
        <v>4</v>
      </c>
      <c r="J791" s="110">
        <v>12200</v>
      </c>
      <c r="K791" s="111"/>
    </row>
    <row r="792" spans="2:11">
      <c r="B792" s="115" t="s">
        <v>2469</v>
      </c>
      <c r="C792" s="115" t="s">
        <v>2765</v>
      </c>
      <c r="D792" s="115" t="s">
        <v>3061</v>
      </c>
      <c r="E792" s="115">
        <v>9</v>
      </c>
      <c r="F792" s="71"/>
      <c r="G792" s="109">
        <v>792</v>
      </c>
      <c r="H792" s="110">
        <v>0</v>
      </c>
      <c r="I792" s="111">
        <v>9</v>
      </c>
      <c r="J792" s="110">
        <v>792</v>
      </c>
      <c r="K792" s="111"/>
    </row>
    <row r="793" spans="2:11">
      <c r="B793" s="115" t="s">
        <v>2470</v>
      </c>
      <c r="C793" s="115" t="s">
        <v>2766</v>
      </c>
      <c r="D793" s="115" t="s">
        <v>3062</v>
      </c>
      <c r="E793" s="115">
        <v>4</v>
      </c>
      <c r="F793" s="71"/>
      <c r="G793" s="109">
        <v>19.84</v>
      </c>
      <c r="H793" s="110">
        <v>0</v>
      </c>
      <c r="I793" s="111">
        <v>4</v>
      </c>
      <c r="J793" s="110">
        <v>19.84</v>
      </c>
      <c r="K793" s="111"/>
    </row>
    <row r="794" spans="2:11">
      <c r="B794" s="115" t="s">
        <v>2472</v>
      </c>
      <c r="C794" s="115" t="s">
        <v>2768</v>
      </c>
      <c r="D794" s="115" t="s">
        <v>3063</v>
      </c>
      <c r="E794" s="115">
        <v>7</v>
      </c>
      <c r="F794" s="71">
        <v>5</v>
      </c>
      <c r="G794" s="109">
        <v>378</v>
      </c>
      <c r="H794" s="110">
        <v>270</v>
      </c>
      <c r="I794" s="111">
        <v>2</v>
      </c>
      <c r="J794" s="110">
        <v>108</v>
      </c>
      <c r="K794" s="111"/>
    </row>
    <row r="795" spans="2:11">
      <c r="B795" s="115" t="s">
        <v>2473</v>
      </c>
      <c r="C795" s="115" t="s">
        <v>2769</v>
      </c>
      <c r="D795" s="115" t="s">
        <v>3063</v>
      </c>
      <c r="E795" s="115">
        <v>8</v>
      </c>
      <c r="F795" s="71">
        <v>6</v>
      </c>
      <c r="G795" s="109">
        <v>432</v>
      </c>
      <c r="H795" s="110">
        <v>324</v>
      </c>
      <c r="I795" s="111">
        <v>2</v>
      </c>
      <c r="J795" s="110">
        <v>108</v>
      </c>
      <c r="K795" s="111"/>
    </row>
    <row r="796" spans="2:11">
      <c r="B796" s="115" t="s">
        <v>2474</v>
      </c>
      <c r="C796" s="115" t="s">
        <v>2770</v>
      </c>
      <c r="D796" s="115" t="s">
        <v>3063</v>
      </c>
      <c r="E796" s="115">
        <v>8</v>
      </c>
      <c r="F796" s="71">
        <v>6</v>
      </c>
      <c r="G796" s="109">
        <v>432</v>
      </c>
      <c r="H796" s="110">
        <v>324</v>
      </c>
      <c r="I796" s="111">
        <v>2</v>
      </c>
      <c r="J796" s="110">
        <v>108</v>
      </c>
      <c r="K796" s="111"/>
    </row>
    <row r="797" spans="2:11">
      <c r="B797" s="115" t="s">
        <v>2475</v>
      </c>
      <c r="C797" s="115" t="s">
        <v>2771</v>
      </c>
      <c r="D797" s="115" t="s">
        <v>3064</v>
      </c>
      <c r="E797" s="115">
        <v>2</v>
      </c>
      <c r="F797" s="71"/>
      <c r="G797" s="109">
        <v>54</v>
      </c>
      <c r="H797" s="110">
        <v>0</v>
      </c>
      <c r="I797" s="111">
        <v>2</v>
      </c>
      <c r="J797" s="110">
        <v>54</v>
      </c>
      <c r="K797" s="111"/>
    </row>
    <row r="798" spans="2:11" ht="30">
      <c r="B798" s="115" t="s">
        <v>2477</v>
      </c>
      <c r="C798" s="115" t="s">
        <v>2773</v>
      </c>
      <c r="D798" s="115" t="s">
        <v>3063</v>
      </c>
      <c r="E798" s="115">
        <v>8</v>
      </c>
      <c r="F798" s="71">
        <v>6</v>
      </c>
      <c r="G798" s="109">
        <v>432</v>
      </c>
      <c r="H798" s="110">
        <v>324</v>
      </c>
      <c r="I798" s="111">
        <v>2</v>
      </c>
      <c r="J798" s="110">
        <v>108</v>
      </c>
      <c r="K798" s="111"/>
    </row>
    <row r="799" spans="2:11">
      <c r="B799" s="115" t="s">
        <v>2482</v>
      </c>
      <c r="C799" s="115" t="s">
        <v>2778</v>
      </c>
      <c r="D799" s="115" t="s">
        <v>3065</v>
      </c>
      <c r="E799" s="115">
        <v>3</v>
      </c>
      <c r="F799" s="71"/>
      <c r="G799" s="109">
        <v>345</v>
      </c>
      <c r="H799" s="110">
        <v>0</v>
      </c>
      <c r="I799" s="111">
        <v>3</v>
      </c>
      <c r="J799" s="110">
        <v>345</v>
      </c>
      <c r="K799" s="111"/>
    </row>
    <row r="800" spans="2:11">
      <c r="B800" s="115" t="s">
        <v>2486</v>
      </c>
      <c r="C800" s="115" t="s">
        <v>2782</v>
      </c>
      <c r="D800" s="115" t="s">
        <v>1409</v>
      </c>
      <c r="E800" s="115">
        <v>10</v>
      </c>
      <c r="F800" s="71">
        <v>5</v>
      </c>
      <c r="G800" s="109">
        <v>380</v>
      </c>
      <c r="H800" s="110">
        <v>190</v>
      </c>
      <c r="I800" s="111">
        <v>5</v>
      </c>
      <c r="J800" s="110">
        <v>190</v>
      </c>
      <c r="K800" s="111"/>
    </row>
    <row r="801" spans="2:11">
      <c r="B801" s="115" t="s">
        <v>2487</v>
      </c>
      <c r="C801" s="115" t="s">
        <v>2783</v>
      </c>
      <c r="D801" s="115" t="s">
        <v>1409</v>
      </c>
      <c r="E801" s="115">
        <v>6</v>
      </c>
      <c r="F801" s="71">
        <v>5</v>
      </c>
      <c r="G801" s="109">
        <v>228</v>
      </c>
      <c r="H801" s="110">
        <v>190</v>
      </c>
      <c r="I801" s="111">
        <v>1</v>
      </c>
      <c r="J801" s="110">
        <v>38</v>
      </c>
      <c r="K801" s="111"/>
    </row>
    <row r="802" spans="2:11">
      <c r="B802" s="115" t="s">
        <v>2492</v>
      </c>
      <c r="C802" s="115" t="s">
        <v>2788</v>
      </c>
      <c r="D802" s="115" t="s">
        <v>3071</v>
      </c>
      <c r="E802" s="115">
        <v>3</v>
      </c>
      <c r="F802" s="71">
        <v>1</v>
      </c>
      <c r="G802" s="109">
        <v>618.68999999999994</v>
      </c>
      <c r="H802" s="110">
        <v>206.23</v>
      </c>
      <c r="I802" s="111">
        <v>2</v>
      </c>
      <c r="J802" s="110">
        <v>412.45999999999992</v>
      </c>
      <c r="K802" s="111"/>
    </row>
    <row r="803" spans="2:11">
      <c r="B803" s="115" t="s">
        <v>2493</v>
      </c>
      <c r="C803" s="115" t="s">
        <v>2789</v>
      </c>
      <c r="D803" s="115" t="s">
        <v>3072</v>
      </c>
      <c r="E803" s="115">
        <v>1</v>
      </c>
      <c r="F803" s="71"/>
      <c r="G803" s="109">
        <v>185.74</v>
      </c>
      <c r="H803" s="110">
        <v>0</v>
      </c>
      <c r="I803" s="111">
        <v>1</v>
      </c>
      <c r="J803" s="110">
        <v>185.74</v>
      </c>
      <c r="K803" s="111"/>
    </row>
    <row r="804" spans="2:11">
      <c r="B804" s="115" t="s">
        <v>2494</v>
      </c>
      <c r="C804" s="115" t="s">
        <v>2790</v>
      </c>
      <c r="D804" s="115" t="s">
        <v>3073</v>
      </c>
      <c r="E804" s="115">
        <v>24</v>
      </c>
      <c r="F804" s="71"/>
      <c r="G804" s="109">
        <v>985.44</v>
      </c>
      <c r="H804" s="110">
        <v>0</v>
      </c>
      <c r="I804" s="111">
        <v>24</v>
      </c>
      <c r="J804" s="110">
        <v>985.44</v>
      </c>
      <c r="K804" s="111"/>
    </row>
    <row r="805" spans="2:11">
      <c r="B805" s="115" t="s">
        <v>2495</v>
      </c>
      <c r="C805" s="115" t="s">
        <v>2791</v>
      </c>
      <c r="D805" s="115" t="s">
        <v>3074</v>
      </c>
      <c r="E805" s="115">
        <v>140</v>
      </c>
      <c r="F805" s="71">
        <v>36</v>
      </c>
      <c r="G805" s="109">
        <v>2284.8000000000002</v>
      </c>
      <c r="H805" s="110">
        <v>587.52</v>
      </c>
      <c r="I805" s="111">
        <v>104</v>
      </c>
      <c r="J805" s="110">
        <v>1697.2800000000002</v>
      </c>
      <c r="K805" s="111"/>
    </row>
    <row r="806" spans="2:11">
      <c r="B806" s="115" t="s">
        <v>2496</v>
      </c>
      <c r="C806" s="115" t="s">
        <v>2792</v>
      </c>
      <c r="D806" s="115" t="s">
        <v>3073</v>
      </c>
      <c r="E806" s="115">
        <v>20</v>
      </c>
      <c r="F806" s="71"/>
      <c r="G806" s="109">
        <v>821.2</v>
      </c>
      <c r="H806" s="110">
        <v>0</v>
      </c>
      <c r="I806" s="111">
        <v>20</v>
      </c>
      <c r="J806" s="110">
        <v>821.2</v>
      </c>
      <c r="K806" s="111"/>
    </row>
    <row r="807" spans="2:11">
      <c r="B807" s="115" t="s">
        <v>2499</v>
      </c>
      <c r="C807" s="115" t="s">
        <v>2795</v>
      </c>
      <c r="D807" s="115" t="s">
        <v>3076</v>
      </c>
      <c r="E807" s="115">
        <v>1</v>
      </c>
      <c r="F807" s="71"/>
      <c r="G807" s="109">
        <v>8.4499999999999993</v>
      </c>
      <c r="H807" s="110">
        <v>0</v>
      </c>
      <c r="I807" s="111">
        <v>1</v>
      </c>
      <c r="J807" s="110">
        <v>8.4499999999999993</v>
      </c>
      <c r="K807" s="111"/>
    </row>
    <row r="808" spans="2:11">
      <c r="B808" s="115" t="s">
        <v>2500</v>
      </c>
      <c r="C808" s="115" t="s">
        <v>2796</v>
      </c>
      <c r="D808" s="115" t="s">
        <v>843</v>
      </c>
      <c r="E808" s="115">
        <v>2</v>
      </c>
      <c r="F808" s="71"/>
      <c r="G808" s="109">
        <v>199</v>
      </c>
      <c r="H808" s="110">
        <v>0</v>
      </c>
      <c r="I808" s="111">
        <v>2</v>
      </c>
      <c r="J808" s="110">
        <v>199</v>
      </c>
      <c r="K808" s="111"/>
    </row>
    <row r="809" spans="2:11">
      <c r="B809" s="115" t="s">
        <v>2501</v>
      </c>
      <c r="C809" s="115" t="s">
        <v>2797</v>
      </c>
      <c r="D809" s="115" t="s">
        <v>3077</v>
      </c>
      <c r="E809" s="115">
        <v>1</v>
      </c>
      <c r="F809" s="71"/>
      <c r="G809" s="109">
        <v>24.5</v>
      </c>
      <c r="H809" s="110">
        <v>0</v>
      </c>
      <c r="I809" s="111">
        <v>1</v>
      </c>
      <c r="J809" s="110">
        <v>24.5</v>
      </c>
      <c r="K809" s="111"/>
    </row>
    <row r="810" spans="2:11">
      <c r="B810" s="115" t="s">
        <v>2502</v>
      </c>
      <c r="C810" s="115" t="s">
        <v>2798</v>
      </c>
      <c r="D810" s="115" t="s">
        <v>3078</v>
      </c>
      <c r="E810" s="115">
        <v>1</v>
      </c>
      <c r="F810" s="71"/>
      <c r="G810" s="109">
        <v>22.75</v>
      </c>
      <c r="H810" s="110">
        <v>0</v>
      </c>
      <c r="I810" s="111">
        <v>1</v>
      </c>
      <c r="J810" s="110">
        <v>22.75</v>
      </c>
      <c r="K810" s="111"/>
    </row>
    <row r="811" spans="2:11">
      <c r="B811" s="115" t="s">
        <v>2503</v>
      </c>
      <c r="C811" s="115" t="s">
        <v>2799</v>
      </c>
      <c r="D811" s="115" t="s">
        <v>3079</v>
      </c>
      <c r="E811" s="115">
        <v>108</v>
      </c>
      <c r="F811" s="71">
        <v>48</v>
      </c>
      <c r="G811" s="109">
        <v>589.67999999999995</v>
      </c>
      <c r="H811" s="110">
        <v>262.08</v>
      </c>
      <c r="I811" s="111">
        <v>60</v>
      </c>
      <c r="J811" s="110">
        <v>327.59999999999997</v>
      </c>
      <c r="K811" s="111"/>
    </row>
    <row r="812" spans="2:11">
      <c r="B812" s="115" t="s">
        <v>2504</v>
      </c>
      <c r="C812" s="115" t="s">
        <v>2800</v>
      </c>
      <c r="D812" s="115" t="s">
        <v>3080</v>
      </c>
      <c r="E812" s="115">
        <v>1</v>
      </c>
      <c r="F812" s="71"/>
      <c r="G812" s="109">
        <v>47</v>
      </c>
      <c r="H812" s="110">
        <v>0</v>
      </c>
      <c r="I812" s="111">
        <v>1</v>
      </c>
      <c r="J812" s="110">
        <v>47</v>
      </c>
      <c r="K812" s="111"/>
    </row>
    <row r="813" spans="2:11">
      <c r="B813" s="115" t="s">
        <v>2505</v>
      </c>
      <c r="C813" s="115" t="s">
        <v>2801</v>
      </c>
      <c r="D813" s="115" t="s">
        <v>3081</v>
      </c>
      <c r="E813" s="115">
        <v>1</v>
      </c>
      <c r="F813" s="71"/>
      <c r="G813" s="109">
        <v>125.26</v>
      </c>
      <c r="H813" s="110">
        <v>0</v>
      </c>
      <c r="I813" s="111">
        <v>1</v>
      </c>
      <c r="J813" s="110">
        <v>125.26</v>
      </c>
      <c r="K813" s="111"/>
    </row>
    <row r="814" spans="2:11">
      <c r="B814" s="115" t="s">
        <v>2506</v>
      </c>
      <c r="C814" s="115" t="s">
        <v>2802</v>
      </c>
      <c r="D814" s="115" t="s">
        <v>3082</v>
      </c>
      <c r="E814" s="115">
        <v>1</v>
      </c>
      <c r="F814" s="71"/>
      <c r="G814" s="109">
        <v>83.05</v>
      </c>
      <c r="H814" s="110">
        <v>0</v>
      </c>
      <c r="I814" s="111">
        <v>1</v>
      </c>
      <c r="J814" s="110">
        <v>83.05</v>
      </c>
      <c r="K814" s="111"/>
    </row>
    <row r="815" spans="2:11">
      <c r="B815" s="115" t="s">
        <v>2507</v>
      </c>
      <c r="C815" s="115" t="s">
        <v>2803</v>
      </c>
      <c r="D815" s="115" t="s">
        <v>3083</v>
      </c>
      <c r="E815" s="115">
        <v>166</v>
      </c>
      <c r="F815" s="71"/>
      <c r="G815" s="109">
        <v>1286.5</v>
      </c>
      <c r="H815" s="110">
        <v>0</v>
      </c>
      <c r="I815" s="111">
        <v>166</v>
      </c>
      <c r="J815" s="110">
        <v>1286.5</v>
      </c>
      <c r="K815" s="111"/>
    </row>
    <row r="816" spans="2:11">
      <c r="B816" s="115" t="s">
        <v>2511</v>
      </c>
      <c r="C816" s="115" t="s">
        <v>2807</v>
      </c>
      <c r="D816" s="115" t="s">
        <v>1217</v>
      </c>
      <c r="E816" s="115">
        <v>3</v>
      </c>
      <c r="F816" s="71">
        <v>1</v>
      </c>
      <c r="G816" s="109">
        <v>214.5</v>
      </c>
      <c r="H816" s="110">
        <v>71.5</v>
      </c>
      <c r="I816" s="111">
        <v>2</v>
      </c>
      <c r="J816" s="110">
        <v>143</v>
      </c>
      <c r="K816" s="111"/>
    </row>
    <row r="817" spans="2:11">
      <c r="B817" s="115" t="s">
        <v>2512</v>
      </c>
      <c r="C817" s="115" t="s">
        <v>2808</v>
      </c>
      <c r="D817" s="115" t="s">
        <v>1217</v>
      </c>
      <c r="E817" s="115">
        <v>4</v>
      </c>
      <c r="F817" s="71">
        <v>2</v>
      </c>
      <c r="G817" s="109">
        <v>286</v>
      </c>
      <c r="H817" s="110">
        <v>143</v>
      </c>
      <c r="I817" s="111">
        <v>2</v>
      </c>
      <c r="J817" s="110">
        <v>143</v>
      </c>
      <c r="K817" s="111"/>
    </row>
    <row r="818" spans="2:11">
      <c r="B818" s="115" t="s">
        <v>2513</v>
      </c>
      <c r="C818" s="115" t="s">
        <v>2809</v>
      </c>
      <c r="D818" s="115" t="s">
        <v>3086</v>
      </c>
      <c r="E818" s="115">
        <v>94</v>
      </c>
      <c r="F818" s="71">
        <v>89</v>
      </c>
      <c r="G818" s="109">
        <v>861.98</v>
      </c>
      <c r="H818" s="110">
        <v>816.13</v>
      </c>
      <c r="I818" s="111">
        <v>5</v>
      </c>
      <c r="J818" s="110">
        <v>45.850000000000023</v>
      </c>
      <c r="K818" s="111"/>
    </row>
    <row r="819" spans="2:11">
      <c r="B819" s="115" t="s">
        <v>2515</v>
      </c>
      <c r="C819" s="115" t="s">
        <v>2811</v>
      </c>
      <c r="D819" s="115" t="s">
        <v>3087</v>
      </c>
      <c r="E819" s="115">
        <v>6</v>
      </c>
      <c r="F819" s="71"/>
      <c r="G819" s="109">
        <v>76.02</v>
      </c>
      <c r="H819" s="110">
        <v>0</v>
      </c>
      <c r="I819" s="111">
        <v>6</v>
      </c>
      <c r="J819" s="110">
        <v>76.02</v>
      </c>
      <c r="K819" s="111"/>
    </row>
    <row r="820" spans="2:11">
      <c r="B820" s="115" t="s">
        <v>2516</v>
      </c>
      <c r="C820" s="115" t="s">
        <v>2812</v>
      </c>
      <c r="D820" s="115" t="s">
        <v>3088</v>
      </c>
      <c r="E820" s="115">
        <v>3</v>
      </c>
      <c r="F820" s="71"/>
      <c r="G820" s="109">
        <v>90.6</v>
      </c>
      <c r="H820" s="110">
        <v>0</v>
      </c>
      <c r="I820" s="111">
        <v>3</v>
      </c>
      <c r="J820" s="110">
        <v>90.6</v>
      </c>
      <c r="K820" s="111"/>
    </row>
    <row r="821" spans="2:11">
      <c r="B821" s="115" t="s">
        <v>2519</v>
      </c>
      <c r="C821" s="115" t="s">
        <v>2815</v>
      </c>
      <c r="D821" s="115" t="s">
        <v>3091</v>
      </c>
      <c r="E821" s="115">
        <v>3</v>
      </c>
      <c r="F821" s="71"/>
      <c r="G821" s="109">
        <v>399</v>
      </c>
      <c r="H821" s="110">
        <v>0</v>
      </c>
      <c r="I821" s="111">
        <v>3</v>
      </c>
      <c r="J821" s="110">
        <v>399</v>
      </c>
      <c r="K821" s="111"/>
    </row>
    <row r="822" spans="2:11">
      <c r="B822" s="115" t="s">
        <v>2521</v>
      </c>
      <c r="C822" s="115" t="s">
        <v>2817</v>
      </c>
      <c r="D822" s="115" t="s">
        <v>3091</v>
      </c>
      <c r="E822" s="115">
        <v>2</v>
      </c>
      <c r="F822" s="71"/>
      <c r="G822" s="109">
        <v>266</v>
      </c>
      <c r="H822" s="110">
        <v>0</v>
      </c>
      <c r="I822" s="111">
        <v>2</v>
      </c>
      <c r="J822" s="110">
        <v>266</v>
      </c>
      <c r="K822" s="111"/>
    </row>
    <row r="823" spans="2:11">
      <c r="B823" s="115" t="s">
        <v>2522</v>
      </c>
      <c r="C823" s="115" t="s">
        <v>2818</v>
      </c>
      <c r="D823" s="115" t="s">
        <v>3090</v>
      </c>
      <c r="E823" s="115">
        <v>5</v>
      </c>
      <c r="F823" s="71"/>
      <c r="G823" s="109">
        <v>760</v>
      </c>
      <c r="H823" s="110">
        <v>0</v>
      </c>
      <c r="I823" s="111">
        <v>5</v>
      </c>
      <c r="J823" s="110">
        <v>760</v>
      </c>
      <c r="K823" s="111"/>
    </row>
    <row r="824" spans="2:11">
      <c r="B824" s="115" t="s">
        <v>2523</v>
      </c>
      <c r="C824" s="115" t="s">
        <v>2819</v>
      </c>
      <c r="D824" s="115" t="s">
        <v>3092</v>
      </c>
      <c r="E824" s="115">
        <v>4</v>
      </c>
      <c r="F824" s="71"/>
      <c r="G824" s="109">
        <v>684</v>
      </c>
      <c r="H824" s="110">
        <v>0</v>
      </c>
      <c r="I824" s="111">
        <v>4</v>
      </c>
      <c r="J824" s="110">
        <v>684</v>
      </c>
      <c r="K824" s="111"/>
    </row>
    <row r="825" spans="2:11">
      <c r="B825" s="115" t="s">
        <v>2525</v>
      </c>
      <c r="C825" s="115" t="s">
        <v>2821</v>
      </c>
      <c r="D825" s="115" t="s">
        <v>3094</v>
      </c>
      <c r="E825" s="115">
        <v>1</v>
      </c>
      <c r="F825" s="71"/>
      <c r="G825" s="109">
        <v>120.1</v>
      </c>
      <c r="H825" s="110">
        <v>0</v>
      </c>
      <c r="I825" s="111">
        <v>1</v>
      </c>
      <c r="J825" s="110">
        <v>120.1</v>
      </c>
      <c r="K825" s="111"/>
    </row>
    <row r="826" spans="2:11">
      <c r="B826" s="115" t="s">
        <v>2526</v>
      </c>
      <c r="C826" s="115" t="s">
        <v>2822</v>
      </c>
      <c r="D826" s="115" t="s">
        <v>3094</v>
      </c>
      <c r="E826" s="115">
        <v>5</v>
      </c>
      <c r="F826" s="71">
        <v>4</v>
      </c>
      <c r="G826" s="109">
        <v>600.5</v>
      </c>
      <c r="H826" s="110">
        <v>480.4</v>
      </c>
      <c r="I826" s="111">
        <v>1</v>
      </c>
      <c r="J826" s="110">
        <v>120.10000000000002</v>
      </c>
      <c r="K826" s="111"/>
    </row>
    <row r="827" spans="2:11">
      <c r="B827" s="115" t="s">
        <v>2527</v>
      </c>
      <c r="C827" s="115" t="s">
        <v>2823</v>
      </c>
      <c r="D827" s="115" t="s">
        <v>3095</v>
      </c>
      <c r="E827" s="115">
        <v>1</v>
      </c>
      <c r="F827" s="71"/>
      <c r="G827" s="109">
        <v>28.97</v>
      </c>
      <c r="H827" s="110">
        <v>0</v>
      </c>
      <c r="I827" s="111">
        <v>1</v>
      </c>
      <c r="J827" s="110">
        <v>28.97</v>
      </c>
      <c r="K827" s="111"/>
    </row>
    <row r="828" spans="2:11">
      <c r="B828" s="115" t="s">
        <v>2528</v>
      </c>
      <c r="C828" s="115" t="s">
        <v>2824</v>
      </c>
      <c r="D828" s="115" t="s">
        <v>3094</v>
      </c>
      <c r="E828" s="115">
        <v>1</v>
      </c>
      <c r="F828" s="71"/>
      <c r="G828" s="109">
        <v>120.1</v>
      </c>
      <c r="H828" s="110">
        <v>0</v>
      </c>
      <c r="I828" s="111">
        <v>1</v>
      </c>
      <c r="J828" s="110">
        <v>120.1</v>
      </c>
      <c r="K828" s="111"/>
    </row>
    <row r="829" spans="2:11">
      <c r="B829" s="115" t="s">
        <v>2529</v>
      </c>
      <c r="C829" s="115" t="s">
        <v>2825</v>
      </c>
      <c r="D829" s="115" t="s">
        <v>3089</v>
      </c>
      <c r="E829" s="115">
        <v>13</v>
      </c>
      <c r="F829" s="71">
        <v>11</v>
      </c>
      <c r="G829" s="109">
        <v>1189.5</v>
      </c>
      <c r="H829" s="110">
        <v>1006.5</v>
      </c>
      <c r="I829" s="111">
        <v>2</v>
      </c>
      <c r="J829" s="110">
        <v>183</v>
      </c>
      <c r="K829" s="111"/>
    </row>
    <row r="830" spans="2:11">
      <c r="B830" s="115" t="s">
        <v>2531</v>
      </c>
      <c r="C830" s="115" t="s">
        <v>2827</v>
      </c>
      <c r="D830" s="115" t="s">
        <v>3093</v>
      </c>
      <c r="E830" s="115">
        <v>29</v>
      </c>
      <c r="F830" s="71">
        <v>24</v>
      </c>
      <c r="G830" s="109">
        <v>240.70000000000002</v>
      </c>
      <c r="H830" s="110">
        <v>199.20000000000002</v>
      </c>
      <c r="I830" s="111">
        <v>5</v>
      </c>
      <c r="J830" s="110">
        <v>41.5</v>
      </c>
      <c r="K830" s="111"/>
    </row>
    <row r="831" spans="2:11">
      <c r="B831" s="115" t="s">
        <v>2532</v>
      </c>
      <c r="C831" s="115" t="s">
        <v>2828</v>
      </c>
      <c r="D831" s="115" t="s">
        <v>3096</v>
      </c>
      <c r="E831" s="115">
        <v>5</v>
      </c>
      <c r="F831" s="71">
        <v>3</v>
      </c>
      <c r="G831" s="109">
        <v>225</v>
      </c>
      <c r="H831" s="110">
        <v>135</v>
      </c>
      <c r="I831" s="111">
        <v>2</v>
      </c>
      <c r="J831" s="110">
        <v>90</v>
      </c>
      <c r="K831" s="111"/>
    </row>
    <row r="832" spans="2:11">
      <c r="B832" s="115" t="s">
        <v>2533</v>
      </c>
      <c r="C832" s="115" t="s">
        <v>2829</v>
      </c>
      <c r="D832" s="115" t="s">
        <v>3097</v>
      </c>
      <c r="E832" s="115">
        <v>10</v>
      </c>
      <c r="F832" s="71"/>
      <c r="G832" s="109">
        <v>231</v>
      </c>
      <c r="H832" s="110">
        <v>0</v>
      </c>
      <c r="I832" s="111">
        <v>10</v>
      </c>
      <c r="J832" s="110">
        <v>231</v>
      </c>
      <c r="K832" s="111"/>
    </row>
    <row r="833" spans="2:11">
      <c r="B833" s="115" t="s">
        <v>2534</v>
      </c>
      <c r="C833" s="115" t="s">
        <v>2830</v>
      </c>
      <c r="D833" s="115" t="s">
        <v>3098</v>
      </c>
      <c r="E833" s="115">
        <v>20</v>
      </c>
      <c r="F833" s="71"/>
      <c r="G833" s="109">
        <v>322</v>
      </c>
      <c r="H833" s="110">
        <v>0</v>
      </c>
      <c r="I833" s="111">
        <v>20</v>
      </c>
      <c r="J833" s="110">
        <v>322</v>
      </c>
      <c r="K833" s="111"/>
    </row>
    <row r="834" spans="2:11">
      <c r="B834" s="115" t="s">
        <v>2535</v>
      </c>
      <c r="C834" s="115" t="s">
        <v>2831</v>
      </c>
      <c r="D834" s="115" t="s">
        <v>3099</v>
      </c>
      <c r="E834" s="115">
        <v>2</v>
      </c>
      <c r="F834" s="71"/>
      <c r="G834" s="109">
        <v>314</v>
      </c>
      <c r="H834" s="110">
        <v>0</v>
      </c>
      <c r="I834" s="111">
        <v>2</v>
      </c>
      <c r="J834" s="110">
        <v>314</v>
      </c>
      <c r="K834" s="111"/>
    </row>
    <row r="835" spans="2:11">
      <c r="B835" s="115" t="s">
        <v>2536</v>
      </c>
      <c r="C835" s="115" t="s">
        <v>2832</v>
      </c>
      <c r="D835" s="115" t="s">
        <v>3100</v>
      </c>
      <c r="E835" s="115">
        <v>12</v>
      </c>
      <c r="F835" s="71">
        <v>1</v>
      </c>
      <c r="G835" s="109">
        <v>2124</v>
      </c>
      <c r="H835" s="110">
        <v>177</v>
      </c>
      <c r="I835" s="111">
        <v>11</v>
      </c>
      <c r="J835" s="110">
        <v>1947</v>
      </c>
      <c r="K835" s="111"/>
    </row>
    <row r="836" spans="2:11">
      <c r="B836" s="115" t="s">
        <v>2537</v>
      </c>
      <c r="C836" s="115" t="s">
        <v>2833</v>
      </c>
      <c r="D836" s="115" t="s">
        <v>3101</v>
      </c>
      <c r="E836" s="115">
        <v>108</v>
      </c>
      <c r="F836" s="71"/>
      <c r="G836" s="109">
        <v>947.16</v>
      </c>
      <c r="H836" s="110">
        <v>0</v>
      </c>
      <c r="I836" s="111">
        <v>108</v>
      </c>
      <c r="J836" s="110">
        <v>947.16</v>
      </c>
      <c r="K836" s="111"/>
    </row>
    <row r="837" spans="2:11">
      <c r="B837" s="115" t="s">
        <v>2537</v>
      </c>
      <c r="C837" s="115" t="s">
        <v>2833</v>
      </c>
      <c r="D837" s="115" t="s">
        <v>3101</v>
      </c>
      <c r="E837" s="115">
        <v>6</v>
      </c>
      <c r="F837" s="71"/>
      <c r="G837" s="109">
        <v>52.62</v>
      </c>
      <c r="H837" s="110">
        <v>0</v>
      </c>
      <c r="I837" s="111">
        <v>6</v>
      </c>
      <c r="J837" s="110">
        <v>52.62</v>
      </c>
      <c r="K837" s="111"/>
    </row>
    <row r="838" spans="2:11">
      <c r="B838" s="115" t="s">
        <v>2538</v>
      </c>
      <c r="C838" s="115" t="s">
        <v>2834</v>
      </c>
      <c r="D838" s="115" t="s">
        <v>3102</v>
      </c>
      <c r="E838" s="115">
        <v>2</v>
      </c>
      <c r="F838" s="71"/>
      <c r="G838" s="109">
        <v>12.24</v>
      </c>
      <c r="H838" s="110">
        <v>0</v>
      </c>
      <c r="I838" s="111">
        <v>2</v>
      </c>
      <c r="J838" s="110">
        <v>12.24</v>
      </c>
      <c r="K838" s="111"/>
    </row>
    <row r="839" spans="2:11">
      <c r="B839" s="115" t="s">
        <v>2539</v>
      </c>
      <c r="C839" s="115" t="s">
        <v>2835</v>
      </c>
      <c r="D839" s="115" t="s">
        <v>3101</v>
      </c>
      <c r="E839" s="115">
        <v>59</v>
      </c>
      <c r="F839" s="71"/>
      <c r="G839" s="109">
        <v>517.42999999999995</v>
      </c>
      <c r="H839" s="110">
        <v>0</v>
      </c>
      <c r="I839" s="111">
        <v>59</v>
      </c>
      <c r="J839" s="110">
        <v>517.42999999999995</v>
      </c>
      <c r="K839" s="111"/>
    </row>
    <row r="840" spans="2:11">
      <c r="B840" s="115" t="s">
        <v>2540</v>
      </c>
      <c r="C840" s="115" t="s">
        <v>2836</v>
      </c>
      <c r="D840" s="115" t="s">
        <v>3103</v>
      </c>
      <c r="E840" s="115">
        <v>554</v>
      </c>
      <c r="F840" s="71">
        <v>440</v>
      </c>
      <c r="G840" s="109">
        <v>3351.7</v>
      </c>
      <c r="H840" s="110">
        <v>2662</v>
      </c>
      <c r="I840" s="111">
        <v>114</v>
      </c>
      <c r="J840" s="110">
        <v>689.69999999999982</v>
      </c>
      <c r="K840" s="111"/>
    </row>
    <row r="841" spans="2:11">
      <c r="B841" s="115" t="s">
        <v>2541</v>
      </c>
      <c r="C841" s="115" t="s">
        <v>2837</v>
      </c>
      <c r="D841" s="115" t="s">
        <v>3104</v>
      </c>
      <c r="E841" s="115">
        <v>41</v>
      </c>
      <c r="F841" s="71">
        <v>6</v>
      </c>
      <c r="G841" s="109">
        <v>2783.08</v>
      </c>
      <c r="H841" s="110">
        <v>407.28</v>
      </c>
      <c r="I841" s="111">
        <v>35</v>
      </c>
      <c r="J841" s="110">
        <v>2375.8000000000002</v>
      </c>
      <c r="K841" s="111"/>
    </row>
    <row r="842" spans="2:11">
      <c r="B842" s="115" t="s">
        <v>2542</v>
      </c>
      <c r="C842" s="115" t="s">
        <v>2838</v>
      </c>
      <c r="D842" s="115" t="s">
        <v>3105</v>
      </c>
      <c r="E842" s="115">
        <v>146</v>
      </c>
      <c r="F842" s="71"/>
      <c r="G842" s="109">
        <v>900.81999999999994</v>
      </c>
      <c r="H842" s="110">
        <v>0</v>
      </c>
      <c r="I842" s="111">
        <v>146</v>
      </c>
      <c r="J842" s="110">
        <v>900.81999999999994</v>
      </c>
      <c r="K842" s="111"/>
    </row>
    <row r="843" spans="2:11">
      <c r="B843" s="115" t="s">
        <v>2542</v>
      </c>
      <c r="C843" s="115" t="s">
        <v>2838</v>
      </c>
      <c r="D843" s="115" t="s">
        <v>3105</v>
      </c>
      <c r="E843" s="115">
        <v>6</v>
      </c>
      <c r="F843" s="71"/>
      <c r="G843" s="109">
        <v>37.019999999999996</v>
      </c>
      <c r="H843" s="110">
        <v>0</v>
      </c>
      <c r="I843" s="111">
        <v>6</v>
      </c>
      <c r="J843" s="110">
        <v>37.019999999999996</v>
      </c>
      <c r="K843" s="111"/>
    </row>
    <row r="844" spans="2:11">
      <c r="B844" s="115" t="s">
        <v>2544</v>
      </c>
      <c r="C844" s="115" t="s">
        <v>2840</v>
      </c>
      <c r="D844" s="115" t="s">
        <v>3106</v>
      </c>
      <c r="E844" s="115">
        <v>23</v>
      </c>
      <c r="F844" s="71">
        <v>5</v>
      </c>
      <c r="G844" s="109">
        <v>2219.27</v>
      </c>
      <c r="H844" s="110">
        <v>482.45</v>
      </c>
      <c r="I844" s="111">
        <v>18</v>
      </c>
      <c r="J844" s="110">
        <v>1736.82</v>
      </c>
      <c r="K844" s="111"/>
    </row>
    <row r="845" spans="2:11">
      <c r="B845" s="115" t="s">
        <v>2545</v>
      </c>
      <c r="C845" s="115" t="s">
        <v>2841</v>
      </c>
      <c r="D845" s="115" t="s">
        <v>3107</v>
      </c>
      <c r="E845" s="115">
        <v>50</v>
      </c>
      <c r="F845" s="71">
        <v>40</v>
      </c>
      <c r="G845" s="109">
        <v>3107.5</v>
      </c>
      <c r="H845" s="110">
        <v>2486</v>
      </c>
      <c r="I845" s="111">
        <v>10</v>
      </c>
      <c r="J845" s="110">
        <v>621.5</v>
      </c>
      <c r="K845" s="111"/>
    </row>
    <row r="846" spans="2:11">
      <c r="B846" s="115" t="s">
        <v>2546</v>
      </c>
      <c r="C846" s="115" t="s">
        <v>2842</v>
      </c>
      <c r="D846" s="115" t="s">
        <v>3105</v>
      </c>
      <c r="E846" s="115">
        <v>6</v>
      </c>
      <c r="F846" s="71">
        <v>3</v>
      </c>
      <c r="G846" s="109">
        <v>37.019999999999996</v>
      </c>
      <c r="H846" s="110">
        <v>18.509999999999998</v>
      </c>
      <c r="I846" s="111">
        <v>3</v>
      </c>
      <c r="J846" s="110">
        <v>18.509999999999998</v>
      </c>
      <c r="K846" s="111"/>
    </row>
    <row r="847" spans="2:11">
      <c r="B847" s="115" t="s">
        <v>2546</v>
      </c>
      <c r="C847" s="115" t="s">
        <v>2842</v>
      </c>
      <c r="D847" s="115" t="s">
        <v>3105</v>
      </c>
      <c r="E847" s="115">
        <v>72</v>
      </c>
      <c r="F847" s="71"/>
      <c r="G847" s="109">
        <v>444.24</v>
      </c>
      <c r="H847" s="110">
        <v>0</v>
      </c>
      <c r="I847" s="111">
        <v>72</v>
      </c>
      <c r="J847" s="110">
        <v>444.24</v>
      </c>
      <c r="K847" s="111"/>
    </row>
    <row r="848" spans="2:11">
      <c r="B848" s="115" t="s">
        <v>2548</v>
      </c>
      <c r="C848" s="115" t="s">
        <v>2844</v>
      </c>
      <c r="D848" s="115" t="s">
        <v>3063</v>
      </c>
      <c r="E848" s="115">
        <v>4</v>
      </c>
      <c r="F848" s="71">
        <v>3</v>
      </c>
      <c r="G848" s="109">
        <v>216</v>
      </c>
      <c r="H848" s="110">
        <v>162</v>
      </c>
      <c r="I848" s="111">
        <v>1</v>
      </c>
      <c r="J848" s="110">
        <v>54</v>
      </c>
      <c r="K848" s="111"/>
    </row>
    <row r="849" spans="2:11">
      <c r="B849" s="115" t="s">
        <v>2549</v>
      </c>
      <c r="C849" s="115" t="s">
        <v>2845</v>
      </c>
      <c r="D849" s="115" t="s">
        <v>3110</v>
      </c>
      <c r="E849" s="115">
        <v>5</v>
      </c>
      <c r="F849" s="71">
        <v>3</v>
      </c>
      <c r="G849" s="109">
        <v>67.75</v>
      </c>
      <c r="H849" s="110">
        <v>40.650000000000006</v>
      </c>
      <c r="I849" s="111">
        <v>2</v>
      </c>
      <c r="J849" s="110">
        <v>27.099999999999994</v>
      </c>
      <c r="K849" s="111"/>
    </row>
    <row r="850" spans="2:11">
      <c r="B850" s="115" t="s">
        <v>2550</v>
      </c>
      <c r="C850" s="115" t="s">
        <v>2846</v>
      </c>
      <c r="D850" s="115" t="s">
        <v>3111</v>
      </c>
      <c r="E850" s="115">
        <v>2</v>
      </c>
      <c r="F850" s="71"/>
      <c r="G850" s="109">
        <v>369.96</v>
      </c>
      <c r="H850" s="110">
        <v>0</v>
      </c>
      <c r="I850" s="111">
        <v>2</v>
      </c>
      <c r="J850" s="110">
        <v>369.96</v>
      </c>
      <c r="K850" s="111"/>
    </row>
    <row r="851" spans="2:11">
      <c r="B851" s="115" t="s">
        <v>2554</v>
      </c>
      <c r="C851" s="115" t="s">
        <v>2850</v>
      </c>
      <c r="D851" s="115" t="s">
        <v>3111</v>
      </c>
      <c r="E851" s="115">
        <v>3</v>
      </c>
      <c r="F851" s="71">
        <v>2</v>
      </c>
      <c r="G851" s="109">
        <v>554.93999999999994</v>
      </c>
      <c r="H851" s="110">
        <v>369.96</v>
      </c>
      <c r="I851" s="111">
        <v>1</v>
      </c>
      <c r="J851" s="110">
        <v>184.97999999999996</v>
      </c>
      <c r="K851" s="111"/>
    </row>
    <row r="852" spans="2:11">
      <c r="B852" s="115" t="s">
        <v>2555</v>
      </c>
      <c r="C852" s="115" t="s">
        <v>2851</v>
      </c>
      <c r="D852" s="115" t="s">
        <v>3115</v>
      </c>
      <c r="E852" s="115">
        <v>314</v>
      </c>
      <c r="F852" s="71">
        <v>306</v>
      </c>
      <c r="G852" s="109">
        <v>2034.72</v>
      </c>
      <c r="H852" s="110">
        <v>1982.88</v>
      </c>
      <c r="I852" s="111">
        <v>8</v>
      </c>
      <c r="J852" s="110">
        <v>51.839999999999918</v>
      </c>
      <c r="K852" s="111"/>
    </row>
    <row r="853" spans="2:11">
      <c r="B853" s="115" t="s">
        <v>2558</v>
      </c>
      <c r="C853" s="115" t="s">
        <v>2854</v>
      </c>
      <c r="D853" s="115" t="s">
        <v>3117</v>
      </c>
      <c r="E853" s="115">
        <v>23</v>
      </c>
      <c r="F853" s="71">
        <v>6</v>
      </c>
      <c r="G853" s="109">
        <v>117.3</v>
      </c>
      <c r="H853" s="110">
        <v>30.599999999999998</v>
      </c>
      <c r="I853" s="111">
        <v>17</v>
      </c>
      <c r="J853" s="110">
        <v>86.7</v>
      </c>
      <c r="K853" s="111"/>
    </row>
    <row r="854" spans="2:11" ht="30">
      <c r="B854" s="115" t="s">
        <v>2559</v>
      </c>
      <c r="C854" s="115" t="s">
        <v>2855</v>
      </c>
      <c r="D854" s="115" t="s">
        <v>3118</v>
      </c>
      <c r="E854" s="115">
        <v>7</v>
      </c>
      <c r="F854" s="71">
        <v>1</v>
      </c>
      <c r="G854" s="109">
        <v>400.53999999999996</v>
      </c>
      <c r="H854" s="110">
        <v>57.22</v>
      </c>
      <c r="I854" s="111">
        <v>6</v>
      </c>
      <c r="J854" s="110">
        <v>343.31999999999994</v>
      </c>
      <c r="K854" s="111"/>
    </row>
    <row r="855" spans="2:11">
      <c r="B855" s="115" t="s">
        <v>2560</v>
      </c>
      <c r="C855" s="115" t="s">
        <v>2856</v>
      </c>
      <c r="D855" s="115" t="s">
        <v>3119</v>
      </c>
      <c r="E855" s="115">
        <v>130</v>
      </c>
      <c r="F855" s="71"/>
      <c r="G855" s="109">
        <v>676</v>
      </c>
      <c r="H855" s="110">
        <v>0</v>
      </c>
      <c r="I855" s="111">
        <v>130</v>
      </c>
      <c r="J855" s="110">
        <v>676</v>
      </c>
      <c r="K855" s="111"/>
    </row>
    <row r="856" spans="2:11">
      <c r="B856" s="115" t="s">
        <v>2562</v>
      </c>
      <c r="C856" s="115" t="s">
        <v>2858</v>
      </c>
      <c r="D856" s="115" t="s">
        <v>3120</v>
      </c>
      <c r="E856" s="115">
        <v>6</v>
      </c>
      <c r="F856" s="71"/>
      <c r="G856" s="109">
        <v>35.519999999999996</v>
      </c>
      <c r="H856" s="110">
        <v>0</v>
      </c>
      <c r="I856" s="111">
        <v>6</v>
      </c>
      <c r="J856" s="110">
        <v>35.519999999999996</v>
      </c>
      <c r="K856" s="111"/>
    </row>
    <row r="857" spans="2:11" ht="30">
      <c r="B857" s="115" t="s">
        <v>2563</v>
      </c>
      <c r="C857" s="115" t="s">
        <v>2859</v>
      </c>
      <c r="D857" s="115" t="s">
        <v>3121</v>
      </c>
      <c r="E857" s="115">
        <v>49</v>
      </c>
      <c r="F857" s="71">
        <v>42</v>
      </c>
      <c r="G857" s="109">
        <v>3133.55</v>
      </c>
      <c r="H857" s="110">
        <v>2685.9</v>
      </c>
      <c r="I857" s="111">
        <v>7</v>
      </c>
      <c r="J857" s="110">
        <v>447.65000000000009</v>
      </c>
      <c r="K857" s="111"/>
    </row>
    <row r="858" spans="2:11">
      <c r="B858" s="115" t="s">
        <v>2566</v>
      </c>
      <c r="C858" s="115" t="s">
        <v>2862</v>
      </c>
      <c r="D858" s="115" t="s">
        <v>3124</v>
      </c>
      <c r="E858" s="115">
        <v>63</v>
      </c>
      <c r="F858" s="71">
        <v>8</v>
      </c>
      <c r="G858" s="109">
        <v>1653.75</v>
      </c>
      <c r="H858" s="110">
        <v>210</v>
      </c>
      <c r="I858" s="111">
        <v>55</v>
      </c>
      <c r="J858" s="110">
        <v>1443.75</v>
      </c>
      <c r="K858" s="111"/>
    </row>
    <row r="859" spans="2:11">
      <c r="B859" s="115" t="s">
        <v>2568</v>
      </c>
      <c r="C859" s="115" t="s">
        <v>2864</v>
      </c>
      <c r="D859" s="115" t="s">
        <v>3126</v>
      </c>
      <c r="E859" s="115">
        <v>18</v>
      </c>
      <c r="F859" s="71"/>
      <c r="G859" s="109">
        <v>354.06000000000006</v>
      </c>
      <c r="H859" s="110">
        <v>0</v>
      </c>
      <c r="I859" s="111">
        <v>18</v>
      </c>
      <c r="J859" s="110">
        <v>354.06000000000006</v>
      </c>
      <c r="K859" s="111"/>
    </row>
    <row r="860" spans="2:11">
      <c r="B860" s="115" t="s">
        <v>2570</v>
      </c>
      <c r="C860" s="115" t="s">
        <v>2866</v>
      </c>
      <c r="D860" s="115" t="s">
        <v>3128</v>
      </c>
      <c r="E860" s="115">
        <v>1</v>
      </c>
      <c r="F860" s="71"/>
      <c r="G860" s="109">
        <v>551.66</v>
      </c>
      <c r="H860" s="110">
        <v>0</v>
      </c>
      <c r="I860" s="111">
        <v>1</v>
      </c>
      <c r="J860" s="110">
        <v>551.66</v>
      </c>
      <c r="K860" s="111"/>
    </row>
    <row r="861" spans="2:11">
      <c r="B861" s="115" t="s">
        <v>2571</v>
      </c>
      <c r="C861" s="115" t="s">
        <v>2867</v>
      </c>
      <c r="D861" s="115" t="s">
        <v>3129</v>
      </c>
      <c r="E861" s="115">
        <v>1</v>
      </c>
      <c r="F861" s="71"/>
      <c r="G861" s="109">
        <v>171.82</v>
      </c>
      <c r="H861" s="110">
        <v>0</v>
      </c>
      <c r="I861" s="111">
        <v>1</v>
      </c>
      <c r="J861" s="110">
        <v>171.82</v>
      </c>
      <c r="K861" s="111"/>
    </row>
    <row r="862" spans="2:11">
      <c r="B862" s="115" t="s">
        <v>2572</v>
      </c>
      <c r="C862" s="115" t="s">
        <v>2868</v>
      </c>
      <c r="D862" s="115" t="s">
        <v>3130</v>
      </c>
      <c r="E862" s="115">
        <v>5</v>
      </c>
      <c r="F862" s="71"/>
      <c r="G862" s="109">
        <v>421.8</v>
      </c>
      <c r="H862" s="110">
        <v>0</v>
      </c>
      <c r="I862" s="111">
        <v>5</v>
      </c>
      <c r="J862" s="110">
        <v>421.8</v>
      </c>
      <c r="K862" s="111"/>
    </row>
    <row r="863" spans="2:11">
      <c r="B863" s="115" t="s">
        <v>2573</v>
      </c>
      <c r="C863" s="115" t="s">
        <v>2869</v>
      </c>
      <c r="D863" s="115" t="s">
        <v>3131</v>
      </c>
      <c r="E863" s="115">
        <v>25</v>
      </c>
      <c r="F863" s="71">
        <v>23</v>
      </c>
      <c r="G863" s="109">
        <v>13239.500000000002</v>
      </c>
      <c r="H863" s="110">
        <v>12180.34</v>
      </c>
      <c r="I863" s="111">
        <v>2</v>
      </c>
      <c r="J863" s="110">
        <v>1059.1600000000017</v>
      </c>
      <c r="K863" s="111"/>
    </row>
    <row r="864" spans="2:11">
      <c r="B864" s="115" t="s">
        <v>2574</v>
      </c>
      <c r="C864" s="115" t="s">
        <v>2870</v>
      </c>
      <c r="D864" s="115" t="s">
        <v>3132</v>
      </c>
      <c r="E864" s="115">
        <v>11</v>
      </c>
      <c r="F864" s="71">
        <v>10</v>
      </c>
      <c r="G864" s="109">
        <v>598.18000000000006</v>
      </c>
      <c r="H864" s="110">
        <v>543.80000000000007</v>
      </c>
      <c r="I864" s="111">
        <v>1</v>
      </c>
      <c r="J864" s="110">
        <v>54.379999999999995</v>
      </c>
      <c r="K864" s="111"/>
    </row>
    <row r="865" spans="2:11">
      <c r="B865" s="115" t="s">
        <v>2575</v>
      </c>
      <c r="C865" s="115" t="s">
        <v>2871</v>
      </c>
      <c r="D865" s="115" t="s">
        <v>3133</v>
      </c>
      <c r="E865" s="115">
        <v>37</v>
      </c>
      <c r="F865" s="71">
        <v>26</v>
      </c>
      <c r="G865" s="109">
        <v>1148.8500000000001</v>
      </c>
      <c r="H865" s="110">
        <v>807.30000000000007</v>
      </c>
      <c r="I865" s="111">
        <v>11</v>
      </c>
      <c r="J865" s="110">
        <v>341.55000000000007</v>
      </c>
      <c r="K865" s="111"/>
    </row>
    <row r="866" spans="2:11">
      <c r="B866" s="115" t="s">
        <v>2576</v>
      </c>
      <c r="C866" s="115" t="s">
        <v>2872</v>
      </c>
      <c r="D866" s="115" t="s">
        <v>3134</v>
      </c>
      <c r="E866" s="115">
        <v>27</v>
      </c>
      <c r="F866" s="71">
        <v>21</v>
      </c>
      <c r="G866" s="109">
        <v>753.3</v>
      </c>
      <c r="H866" s="110">
        <v>585.9</v>
      </c>
      <c r="I866" s="111">
        <v>6</v>
      </c>
      <c r="J866" s="110">
        <v>167.39999999999998</v>
      </c>
      <c r="K866" s="111"/>
    </row>
    <row r="867" spans="2:11">
      <c r="B867" s="115" t="s">
        <v>2577</v>
      </c>
      <c r="C867" s="115" t="s">
        <v>2873</v>
      </c>
      <c r="D867" s="115" t="s">
        <v>1820</v>
      </c>
      <c r="E867" s="115">
        <v>6</v>
      </c>
      <c r="F867" s="71"/>
      <c r="G867" s="109">
        <v>153</v>
      </c>
      <c r="H867" s="110">
        <v>0</v>
      </c>
      <c r="I867" s="111">
        <v>6</v>
      </c>
      <c r="J867" s="110">
        <v>153</v>
      </c>
      <c r="K867" s="111"/>
    </row>
    <row r="868" spans="2:11">
      <c r="B868" s="115" t="s">
        <v>2579</v>
      </c>
      <c r="C868" s="115" t="s">
        <v>2875</v>
      </c>
      <c r="D868" s="115" t="s">
        <v>3137</v>
      </c>
      <c r="E868" s="115">
        <v>7</v>
      </c>
      <c r="F868" s="71">
        <v>4</v>
      </c>
      <c r="G868" s="109">
        <v>360.84999999999997</v>
      </c>
      <c r="H868" s="110">
        <v>206.2</v>
      </c>
      <c r="I868" s="111">
        <v>3</v>
      </c>
      <c r="J868" s="110">
        <v>154.64999999999998</v>
      </c>
      <c r="K868" s="111"/>
    </row>
    <row r="869" spans="2:11">
      <c r="B869" s="115" t="s">
        <v>2580</v>
      </c>
      <c r="C869" s="115" t="s">
        <v>2876</v>
      </c>
      <c r="D869" s="115" t="s">
        <v>3136</v>
      </c>
      <c r="E869" s="115">
        <v>6</v>
      </c>
      <c r="F869" s="71">
        <v>4</v>
      </c>
      <c r="G869" s="109">
        <v>307.79999999999995</v>
      </c>
      <c r="H869" s="110">
        <v>205.2</v>
      </c>
      <c r="I869" s="111">
        <v>2</v>
      </c>
      <c r="J869" s="110">
        <v>102.59999999999997</v>
      </c>
      <c r="K869" s="111"/>
    </row>
    <row r="870" spans="2:11">
      <c r="B870" s="115" t="s">
        <v>2581</v>
      </c>
      <c r="C870" s="115" t="s">
        <v>2877</v>
      </c>
      <c r="D870" s="115" t="s">
        <v>3138</v>
      </c>
      <c r="E870" s="115">
        <v>13</v>
      </c>
      <c r="F870" s="71">
        <v>11</v>
      </c>
      <c r="G870" s="109">
        <v>802.75</v>
      </c>
      <c r="H870" s="110">
        <v>679.25</v>
      </c>
      <c r="I870" s="111">
        <v>2</v>
      </c>
      <c r="J870" s="110">
        <v>123.5</v>
      </c>
      <c r="K870" s="111"/>
    </row>
    <row r="871" spans="2:11">
      <c r="B871" s="115" t="s">
        <v>2582</v>
      </c>
      <c r="C871" s="115" t="s">
        <v>2878</v>
      </c>
      <c r="D871" s="115" t="s">
        <v>3139</v>
      </c>
      <c r="E871" s="115">
        <v>444</v>
      </c>
      <c r="F871" s="71">
        <v>11</v>
      </c>
      <c r="G871" s="109">
        <v>4528.7999999999993</v>
      </c>
      <c r="H871" s="110">
        <v>112.19999999999999</v>
      </c>
      <c r="I871" s="111">
        <v>433</v>
      </c>
      <c r="J871" s="110">
        <v>4416.5999999999995</v>
      </c>
      <c r="K871" s="111"/>
    </row>
    <row r="872" spans="2:11" ht="30">
      <c r="B872" s="115" t="s">
        <v>2590</v>
      </c>
      <c r="C872" s="115" t="s">
        <v>2886</v>
      </c>
      <c r="D872" s="115" t="s">
        <v>3142</v>
      </c>
      <c r="E872" s="115">
        <v>320</v>
      </c>
      <c r="F872" s="71">
        <v>6</v>
      </c>
      <c r="G872" s="109">
        <v>2182.4</v>
      </c>
      <c r="H872" s="110">
        <v>40.92</v>
      </c>
      <c r="I872" s="111">
        <v>314</v>
      </c>
      <c r="J872" s="110">
        <v>2141.48</v>
      </c>
      <c r="K872" s="111"/>
    </row>
    <row r="873" spans="2:11">
      <c r="B873" s="115" t="s">
        <v>2591</v>
      </c>
      <c r="C873" s="115" t="s">
        <v>2887</v>
      </c>
      <c r="D873" s="115" t="s">
        <v>3143</v>
      </c>
      <c r="E873" s="115">
        <v>183</v>
      </c>
      <c r="F873" s="71">
        <v>168</v>
      </c>
      <c r="G873" s="109">
        <v>920.49</v>
      </c>
      <c r="H873" s="110">
        <v>845.04000000000008</v>
      </c>
      <c r="I873" s="111">
        <v>15</v>
      </c>
      <c r="J873" s="110">
        <v>75.449999999999932</v>
      </c>
      <c r="K873" s="111"/>
    </row>
    <row r="874" spans="2:11">
      <c r="B874" s="115" t="s">
        <v>2596</v>
      </c>
      <c r="C874" s="115" t="s">
        <v>2892</v>
      </c>
      <c r="D874" s="115" t="s">
        <v>3148</v>
      </c>
      <c r="E874" s="115">
        <v>16</v>
      </c>
      <c r="F874" s="71">
        <v>4</v>
      </c>
      <c r="G874" s="109">
        <v>913.6</v>
      </c>
      <c r="H874" s="110">
        <v>228.4</v>
      </c>
      <c r="I874" s="111">
        <v>12</v>
      </c>
      <c r="J874" s="110">
        <v>685.2</v>
      </c>
      <c r="K874" s="111"/>
    </row>
    <row r="875" spans="2:11">
      <c r="B875" s="115" t="s">
        <v>2598</v>
      </c>
      <c r="C875" s="115" t="s">
        <v>2894</v>
      </c>
      <c r="D875" s="115" t="s">
        <v>3150</v>
      </c>
      <c r="E875" s="115">
        <v>10</v>
      </c>
      <c r="F875" s="71">
        <v>3</v>
      </c>
      <c r="G875" s="109">
        <v>311.5</v>
      </c>
      <c r="H875" s="110">
        <v>93.449999999999989</v>
      </c>
      <c r="I875" s="111">
        <v>7</v>
      </c>
      <c r="J875" s="110">
        <v>218.05</v>
      </c>
      <c r="K875" s="111"/>
    </row>
    <row r="876" spans="2:11">
      <c r="B876" s="115" t="s">
        <v>2599</v>
      </c>
      <c r="C876" s="115" t="s">
        <v>2895</v>
      </c>
      <c r="D876" s="115" t="s">
        <v>3151</v>
      </c>
      <c r="E876" s="115">
        <v>1</v>
      </c>
      <c r="F876" s="71"/>
      <c r="G876" s="109">
        <v>93.75</v>
      </c>
      <c r="H876" s="110">
        <v>0</v>
      </c>
      <c r="I876" s="111">
        <v>1</v>
      </c>
      <c r="J876" s="110">
        <v>93.75</v>
      </c>
      <c r="K876" s="111"/>
    </row>
    <row r="877" spans="2:11">
      <c r="B877" s="115" t="s">
        <v>2600</v>
      </c>
      <c r="C877" s="115" t="s">
        <v>2896</v>
      </c>
      <c r="D877" s="115" t="s">
        <v>3152</v>
      </c>
      <c r="E877" s="115">
        <v>7</v>
      </c>
      <c r="F877" s="71">
        <v>5</v>
      </c>
      <c r="G877" s="109">
        <v>329.7</v>
      </c>
      <c r="H877" s="110">
        <v>235.5</v>
      </c>
      <c r="I877" s="111">
        <v>2</v>
      </c>
      <c r="J877" s="110">
        <v>94.199999999999989</v>
      </c>
      <c r="K877" s="111"/>
    </row>
    <row r="878" spans="2:11">
      <c r="B878" s="115" t="s">
        <v>2601</v>
      </c>
      <c r="C878" s="115" t="s">
        <v>2897</v>
      </c>
      <c r="D878" s="115" t="s">
        <v>3153</v>
      </c>
      <c r="E878" s="115">
        <v>2</v>
      </c>
      <c r="F878" s="71"/>
      <c r="G878" s="109">
        <v>162.69999999999999</v>
      </c>
      <c r="H878" s="110">
        <v>0</v>
      </c>
      <c r="I878" s="111">
        <v>2</v>
      </c>
      <c r="J878" s="110">
        <v>162.69999999999999</v>
      </c>
      <c r="K878" s="111"/>
    </row>
    <row r="879" spans="2:11">
      <c r="B879" s="115" t="s">
        <v>2602</v>
      </c>
      <c r="C879" s="115" t="s">
        <v>2898</v>
      </c>
      <c r="D879" s="115" t="s">
        <v>3154</v>
      </c>
      <c r="E879" s="115">
        <v>16</v>
      </c>
      <c r="F879" s="71">
        <v>9</v>
      </c>
      <c r="G879" s="109">
        <v>385.28</v>
      </c>
      <c r="H879" s="110">
        <v>216.71999999999997</v>
      </c>
      <c r="I879" s="111">
        <v>7</v>
      </c>
      <c r="J879" s="110">
        <v>168.56</v>
      </c>
      <c r="K879" s="111"/>
    </row>
    <row r="880" spans="2:11">
      <c r="B880" s="115" t="s">
        <v>2603</v>
      </c>
      <c r="C880" s="115" t="s">
        <v>2899</v>
      </c>
      <c r="D880" s="115" t="s">
        <v>3155</v>
      </c>
      <c r="E880" s="115">
        <v>16</v>
      </c>
      <c r="F880" s="71"/>
      <c r="G880" s="109">
        <v>739.68</v>
      </c>
      <c r="H880" s="110">
        <v>0</v>
      </c>
      <c r="I880" s="111">
        <v>16</v>
      </c>
      <c r="J880" s="110">
        <v>739.68</v>
      </c>
      <c r="K880" s="111"/>
    </row>
    <row r="881" spans="2:11">
      <c r="B881" s="115" t="s">
        <v>2605</v>
      </c>
      <c r="C881" s="115" t="s">
        <v>2901</v>
      </c>
      <c r="D881" s="115" t="s">
        <v>3157</v>
      </c>
      <c r="E881" s="115">
        <v>11</v>
      </c>
      <c r="F881" s="71">
        <v>10</v>
      </c>
      <c r="G881" s="109">
        <v>307.45</v>
      </c>
      <c r="H881" s="110">
        <v>279.5</v>
      </c>
      <c r="I881" s="111">
        <v>1</v>
      </c>
      <c r="J881" s="110">
        <v>27.949999999999989</v>
      </c>
      <c r="K881" s="111"/>
    </row>
    <row r="882" spans="2:11">
      <c r="B882" s="115" t="s">
        <v>2606</v>
      </c>
      <c r="C882" s="115" t="s">
        <v>2902</v>
      </c>
      <c r="D882" s="115" t="s">
        <v>3158</v>
      </c>
      <c r="E882" s="115">
        <v>2</v>
      </c>
      <c r="F882" s="71"/>
      <c r="G882" s="109">
        <v>115.7</v>
      </c>
      <c r="H882" s="110">
        <v>0</v>
      </c>
      <c r="I882" s="111">
        <v>2</v>
      </c>
      <c r="J882" s="110">
        <v>115.7</v>
      </c>
      <c r="K882" s="111"/>
    </row>
    <row r="883" spans="2:11">
      <c r="B883" s="115" t="s">
        <v>2607</v>
      </c>
      <c r="C883" s="115" t="s">
        <v>2903</v>
      </c>
      <c r="D883" s="115" t="s">
        <v>3159</v>
      </c>
      <c r="E883" s="115">
        <v>2</v>
      </c>
      <c r="F883" s="71"/>
      <c r="G883" s="109">
        <v>189.4</v>
      </c>
      <c r="H883" s="110">
        <v>0</v>
      </c>
      <c r="I883" s="111">
        <v>2</v>
      </c>
      <c r="J883" s="110">
        <v>189.4</v>
      </c>
      <c r="K883" s="111"/>
    </row>
    <row r="884" spans="2:11">
      <c r="B884" s="115" t="s">
        <v>2608</v>
      </c>
      <c r="C884" s="115" t="s">
        <v>2904</v>
      </c>
      <c r="D884" s="115" t="s">
        <v>3160</v>
      </c>
      <c r="E884" s="115">
        <v>4</v>
      </c>
      <c r="F884" s="71"/>
      <c r="G884" s="109">
        <v>55.8</v>
      </c>
      <c r="H884" s="110">
        <v>0</v>
      </c>
      <c r="I884" s="111">
        <v>4</v>
      </c>
      <c r="J884" s="110">
        <v>55.8</v>
      </c>
      <c r="K884" s="111"/>
    </row>
    <row r="885" spans="2:11">
      <c r="B885" s="115" t="s">
        <v>2610</v>
      </c>
      <c r="C885" s="115" t="s">
        <v>2906</v>
      </c>
      <c r="D885" s="115" t="s">
        <v>3147</v>
      </c>
      <c r="E885" s="115">
        <v>4</v>
      </c>
      <c r="F885" s="71">
        <v>3</v>
      </c>
      <c r="G885" s="109">
        <v>156.80000000000001</v>
      </c>
      <c r="H885" s="110">
        <v>117.60000000000001</v>
      </c>
      <c r="I885" s="111">
        <v>1</v>
      </c>
      <c r="J885" s="110">
        <v>39.200000000000003</v>
      </c>
      <c r="K885" s="111"/>
    </row>
    <row r="886" spans="2:11">
      <c r="B886" s="115" t="s">
        <v>2611</v>
      </c>
      <c r="C886" s="115" t="s">
        <v>2907</v>
      </c>
      <c r="D886" s="115" t="s">
        <v>3162</v>
      </c>
      <c r="E886" s="115">
        <v>29</v>
      </c>
      <c r="F886" s="71">
        <v>7</v>
      </c>
      <c r="G886" s="109">
        <v>448.34000000000003</v>
      </c>
      <c r="H886" s="110">
        <v>108.22</v>
      </c>
      <c r="I886" s="111">
        <v>22</v>
      </c>
      <c r="J886" s="110">
        <v>340.12</v>
      </c>
      <c r="K886" s="111"/>
    </row>
    <row r="887" spans="2:11">
      <c r="B887" s="115" t="s">
        <v>2612</v>
      </c>
      <c r="C887" s="115" t="s">
        <v>2908</v>
      </c>
      <c r="D887" s="115" t="s">
        <v>3100</v>
      </c>
      <c r="E887" s="115">
        <v>2</v>
      </c>
      <c r="F887" s="71"/>
      <c r="G887" s="109">
        <v>354</v>
      </c>
      <c r="H887" s="110">
        <v>0</v>
      </c>
      <c r="I887" s="111">
        <v>2</v>
      </c>
      <c r="J887" s="110">
        <v>354</v>
      </c>
      <c r="K887" s="111"/>
    </row>
    <row r="888" spans="2:11">
      <c r="B888" s="115" t="s">
        <v>2614</v>
      </c>
      <c r="C888" s="115" t="s">
        <v>2910</v>
      </c>
      <c r="D888" s="115" t="s">
        <v>3164</v>
      </c>
      <c r="E888" s="115">
        <v>14</v>
      </c>
      <c r="F888" s="71">
        <v>13</v>
      </c>
      <c r="G888" s="109">
        <v>975.10000000000014</v>
      </c>
      <c r="H888" s="110">
        <v>905.45</v>
      </c>
      <c r="I888" s="111">
        <v>1</v>
      </c>
      <c r="J888" s="110">
        <v>69.650000000000091</v>
      </c>
      <c r="K888" s="111"/>
    </row>
    <row r="889" spans="2:11">
      <c r="B889" s="115" t="s">
        <v>2615</v>
      </c>
      <c r="C889" s="115" t="s">
        <v>2911</v>
      </c>
      <c r="D889" s="115" t="s">
        <v>3165</v>
      </c>
      <c r="E889" s="115">
        <v>1</v>
      </c>
      <c r="F889" s="71"/>
      <c r="G889" s="109">
        <v>292.89</v>
      </c>
      <c r="H889" s="110">
        <v>0</v>
      </c>
      <c r="I889" s="111">
        <v>1</v>
      </c>
      <c r="J889" s="110">
        <v>292.89</v>
      </c>
      <c r="K889" s="111"/>
    </row>
    <row r="890" spans="2:11">
      <c r="B890" s="115" t="s">
        <v>2617</v>
      </c>
      <c r="C890" s="115" t="s">
        <v>2913</v>
      </c>
      <c r="D890" s="115" t="s">
        <v>3134</v>
      </c>
      <c r="E890" s="115">
        <v>6</v>
      </c>
      <c r="F890" s="71"/>
      <c r="G890" s="109">
        <v>167.39999999999998</v>
      </c>
      <c r="H890" s="110">
        <v>0</v>
      </c>
      <c r="I890" s="111">
        <v>6</v>
      </c>
      <c r="J890" s="110">
        <v>167.39999999999998</v>
      </c>
      <c r="K890" s="111"/>
    </row>
    <row r="891" spans="2:11">
      <c r="B891" s="115" t="s">
        <v>2618</v>
      </c>
      <c r="C891" s="115" t="s">
        <v>2914</v>
      </c>
      <c r="D891" s="115" t="s">
        <v>3167</v>
      </c>
      <c r="E891" s="115">
        <v>1</v>
      </c>
      <c r="F891" s="71"/>
      <c r="G891" s="109">
        <v>71.650000000000006</v>
      </c>
      <c r="H891" s="110">
        <v>0</v>
      </c>
      <c r="I891" s="111">
        <v>1</v>
      </c>
      <c r="J891" s="110">
        <v>71.650000000000006</v>
      </c>
      <c r="K891" s="111"/>
    </row>
    <row r="892" spans="2:11">
      <c r="B892" s="115" t="s">
        <v>2619</v>
      </c>
      <c r="C892" s="115" t="s">
        <v>2915</v>
      </c>
      <c r="D892" s="115" t="s">
        <v>3168</v>
      </c>
      <c r="E892" s="115">
        <v>26</v>
      </c>
      <c r="F892" s="71"/>
      <c r="G892" s="109">
        <v>1838.2</v>
      </c>
      <c r="H892" s="110">
        <v>0</v>
      </c>
      <c r="I892" s="111">
        <v>26</v>
      </c>
      <c r="J892" s="110">
        <v>1838.2</v>
      </c>
      <c r="K892" s="111"/>
    </row>
    <row r="893" spans="2:11">
      <c r="B893" s="115" t="s">
        <v>2620</v>
      </c>
      <c r="C893" s="115" t="s">
        <v>2916</v>
      </c>
      <c r="D893" s="115" t="s">
        <v>3169</v>
      </c>
      <c r="E893" s="115">
        <v>30</v>
      </c>
      <c r="F893" s="71">
        <v>17</v>
      </c>
      <c r="G893" s="109">
        <v>1873.5</v>
      </c>
      <c r="H893" s="110">
        <v>1061.6500000000001</v>
      </c>
      <c r="I893" s="111">
        <v>13</v>
      </c>
      <c r="J893" s="110">
        <v>811.84999999999991</v>
      </c>
      <c r="K893" s="111"/>
    </row>
    <row r="894" spans="2:11">
      <c r="B894" s="115" t="s">
        <v>2621</v>
      </c>
      <c r="C894" s="115" t="s">
        <v>2917</v>
      </c>
      <c r="D894" s="115" t="s">
        <v>3170</v>
      </c>
      <c r="E894" s="115">
        <v>3</v>
      </c>
      <c r="F894" s="71"/>
      <c r="G894" s="109">
        <v>1041.1500000000001</v>
      </c>
      <c r="H894" s="110">
        <v>0</v>
      </c>
      <c r="I894" s="111">
        <v>3</v>
      </c>
      <c r="J894" s="110">
        <v>1041.1500000000001</v>
      </c>
      <c r="K894" s="111"/>
    </row>
    <row r="895" spans="2:11">
      <c r="B895" s="115" t="s">
        <v>2623</v>
      </c>
      <c r="C895" s="115" t="s">
        <v>2919</v>
      </c>
      <c r="D895" s="115" t="s">
        <v>3172</v>
      </c>
      <c r="E895" s="115">
        <v>3</v>
      </c>
      <c r="F895" s="71"/>
      <c r="G895" s="109">
        <v>1127.8499999999999</v>
      </c>
      <c r="H895" s="110">
        <v>0</v>
      </c>
      <c r="I895" s="111">
        <v>3</v>
      </c>
      <c r="J895" s="110">
        <v>1127.8499999999999</v>
      </c>
      <c r="K895" s="111"/>
    </row>
    <row r="896" spans="2:11">
      <c r="B896" s="115" t="s">
        <v>2624</v>
      </c>
      <c r="C896" s="115" t="s">
        <v>2920</v>
      </c>
      <c r="D896" s="115" t="s">
        <v>3173</v>
      </c>
      <c r="E896" s="115">
        <v>5</v>
      </c>
      <c r="F896" s="71"/>
      <c r="G896" s="109">
        <v>352</v>
      </c>
      <c r="H896" s="110">
        <v>0</v>
      </c>
      <c r="I896" s="111">
        <v>5</v>
      </c>
      <c r="J896" s="110">
        <v>352</v>
      </c>
      <c r="K896" s="111"/>
    </row>
    <row r="897" spans="2:11">
      <c r="B897" s="115" t="s">
        <v>2625</v>
      </c>
      <c r="C897" s="115" t="s">
        <v>2921</v>
      </c>
      <c r="D897" s="115" t="s">
        <v>3174</v>
      </c>
      <c r="E897" s="115">
        <v>2</v>
      </c>
      <c r="F897" s="71"/>
      <c r="G897" s="109">
        <v>418.6</v>
      </c>
      <c r="H897" s="110">
        <v>0</v>
      </c>
      <c r="I897" s="111">
        <v>2</v>
      </c>
      <c r="J897" s="110">
        <v>418.6</v>
      </c>
      <c r="K897" s="111"/>
    </row>
    <row r="898" spans="2:11">
      <c r="B898" s="115" t="s">
        <v>2626</v>
      </c>
      <c r="C898" s="115" t="s">
        <v>2922</v>
      </c>
      <c r="D898" s="115" t="s">
        <v>3175</v>
      </c>
      <c r="E898" s="115">
        <v>18</v>
      </c>
      <c r="F898" s="71">
        <v>1</v>
      </c>
      <c r="G898" s="109">
        <v>511.2</v>
      </c>
      <c r="H898" s="110">
        <v>28.4</v>
      </c>
      <c r="I898" s="111">
        <v>17</v>
      </c>
      <c r="J898" s="110">
        <v>482.8</v>
      </c>
      <c r="K898" s="111"/>
    </row>
    <row r="899" spans="2:11">
      <c r="B899" s="115" t="s">
        <v>2627</v>
      </c>
      <c r="C899" s="115" t="s">
        <v>2923</v>
      </c>
      <c r="D899" s="115" t="s">
        <v>3176</v>
      </c>
      <c r="E899" s="115">
        <v>107</v>
      </c>
      <c r="F899" s="71">
        <v>49</v>
      </c>
      <c r="G899" s="109">
        <v>4003.94</v>
      </c>
      <c r="H899" s="110">
        <v>1833.5800000000002</v>
      </c>
      <c r="I899" s="111">
        <v>58</v>
      </c>
      <c r="J899" s="110">
        <v>2170.3599999999997</v>
      </c>
      <c r="K899" s="111"/>
    </row>
    <row r="900" spans="2:11">
      <c r="B900" s="115" t="s">
        <v>2628</v>
      </c>
      <c r="C900" s="115" t="s">
        <v>2924</v>
      </c>
      <c r="D900" s="115" t="s">
        <v>3177</v>
      </c>
      <c r="E900" s="115">
        <v>53</v>
      </c>
      <c r="F900" s="71"/>
      <c r="G900" s="109">
        <v>3402.6000000000004</v>
      </c>
      <c r="H900" s="110">
        <v>0</v>
      </c>
      <c r="I900" s="111">
        <v>53</v>
      </c>
      <c r="J900" s="110">
        <v>3402.6000000000004</v>
      </c>
      <c r="K900" s="111"/>
    </row>
    <row r="901" spans="2:11">
      <c r="B901" s="115" t="s">
        <v>2630</v>
      </c>
      <c r="C901" s="115" t="s">
        <v>2926</v>
      </c>
      <c r="D901" s="115" t="s">
        <v>3179</v>
      </c>
      <c r="E901" s="115">
        <v>10</v>
      </c>
      <c r="F901" s="71"/>
      <c r="G901" s="109">
        <v>259.5</v>
      </c>
      <c r="H901" s="110">
        <v>0</v>
      </c>
      <c r="I901" s="111">
        <v>10</v>
      </c>
      <c r="J901" s="110">
        <v>259.5</v>
      </c>
      <c r="K901" s="111"/>
    </row>
    <row r="902" spans="2:11">
      <c r="B902" s="115" t="s">
        <v>2631</v>
      </c>
      <c r="C902" s="115" t="s">
        <v>2927</v>
      </c>
      <c r="D902" s="115" t="s">
        <v>3180</v>
      </c>
      <c r="E902" s="115">
        <v>8</v>
      </c>
      <c r="F902" s="71">
        <v>6</v>
      </c>
      <c r="G902" s="109">
        <v>656.8</v>
      </c>
      <c r="H902" s="110">
        <v>492.59999999999997</v>
      </c>
      <c r="I902" s="111">
        <v>2</v>
      </c>
      <c r="J902" s="110">
        <v>164.2</v>
      </c>
      <c r="K902" s="111"/>
    </row>
    <row r="903" spans="2:11">
      <c r="B903" s="115" t="s">
        <v>2632</v>
      </c>
      <c r="C903" s="115" t="s">
        <v>2928</v>
      </c>
      <c r="D903" s="115" t="s">
        <v>3181</v>
      </c>
      <c r="E903" s="115">
        <v>3</v>
      </c>
      <c r="F903" s="71">
        <v>2</v>
      </c>
      <c r="G903" s="109">
        <v>739.05</v>
      </c>
      <c r="H903" s="110">
        <v>492.7</v>
      </c>
      <c r="I903" s="111">
        <v>1</v>
      </c>
      <c r="J903" s="110">
        <v>246.34999999999997</v>
      </c>
      <c r="K903" s="111"/>
    </row>
    <row r="904" spans="2:11">
      <c r="B904" s="115" t="s">
        <v>2634</v>
      </c>
      <c r="C904" s="115" t="s">
        <v>2930</v>
      </c>
      <c r="D904" s="115" t="s">
        <v>3183</v>
      </c>
      <c r="E904" s="115">
        <v>4</v>
      </c>
      <c r="F904" s="71"/>
      <c r="G904" s="109">
        <v>306.39999999999998</v>
      </c>
      <c r="H904" s="110">
        <v>0</v>
      </c>
      <c r="I904" s="111">
        <v>4</v>
      </c>
      <c r="J904" s="110">
        <v>306.39999999999998</v>
      </c>
      <c r="K904" s="111"/>
    </row>
    <row r="905" spans="2:11">
      <c r="B905" s="115" t="s">
        <v>2636</v>
      </c>
      <c r="C905" s="115" t="s">
        <v>2932</v>
      </c>
      <c r="D905" s="115" t="s">
        <v>3185</v>
      </c>
      <c r="E905" s="115">
        <v>11</v>
      </c>
      <c r="F905" s="71">
        <v>1</v>
      </c>
      <c r="G905" s="109">
        <v>339.9</v>
      </c>
      <c r="H905" s="110">
        <v>30.9</v>
      </c>
      <c r="I905" s="111">
        <v>10</v>
      </c>
      <c r="J905" s="110">
        <v>309</v>
      </c>
      <c r="K905" s="111"/>
    </row>
    <row r="906" spans="2:11">
      <c r="B906" s="115" t="s">
        <v>2638</v>
      </c>
      <c r="C906" s="115" t="s">
        <v>2934</v>
      </c>
      <c r="D906" s="115" t="s">
        <v>2157</v>
      </c>
      <c r="E906" s="115">
        <v>4</v>
      </c>
      <c r="F906" s="71"/>
      <c r="G906" s="109">
        <v>232.2</v>
      </c>
      <c r="H906" s="110">
        <v>0</v>
      </c>
      <c r="I906" s="111">
        <v>4</v>
      </c>
      <c r="J906" s="110">
        <v>232.2</v>
      </c>
      <c r="K906" s="111"/>
    </row>
    <row r="907" spans="2:11">
      <c r="B907" s="115" t="s">
        <v>2639</v>
      </c>
      <c r="C907" s="115" t="s">
        <v>2935</v>
      </c>
      <c r="D907" s="115" t="s">
        <v>2155</v>
      </c>
      <c r="E907" s="115">
        <v>7</v>
      </c>
      <c r="F907" s="71"/>
      <c r="G907" s="109">
        <v>164.5</v>
      </c>
      <c r="H907" s="110">
        <v>0</v>
      </c>
      <c r="I907" s="111">
        <v>7</v>
      </c>
      <c r="J907" s="110">
        <v>164.5</v>
      </c>
      <c r="K907" s="111"/>
    </row>
    <row r="908" spans="2:11">
      <c r="B908" s="115" t="s">
        <v>2641</v>
      </c>
      <c r="C908" s="115" t="s">
        <v>2937</v>
      </c>
      <c r="D908" s="115" t="s">
        <v>3188</v>
      </c>
      <c r="E908" s="115">
        <v>1</v>
      </c>
      <c r="F908" s="71"/>
      <c r="G908" s="109">
        <v>235.25</v>
      </c>
      <c r="H908" s="110">
        <v>0</v>
      </c>
      <c r="I908" s="111">
        <v>1</v>
      </c>
      <c r="J908" s="110">
        <v>235.25</v>
      </c>
      <c r="K908" s="111"/>
    </row>
    <row r="909" spans="2:11">
      <c r="B909" s="115" t="s">
        <v>2645</v>
      </c>
      <c r="C909" s="115" t="s">
        <v>2941</v>
      </c>
      <c r="D909" s="115" t="s">
        <v>3190</v>
      </c>
      <c r="E909" s="115">
        <v>2</v>
      </c>
      <c r="F909" s="71">
        <v>1</v>
      </c>
      <c r="G909" s="109">
        <v>98.5</v>
      </c>
      <c r="H909" s="110">
        <v>49.25</v>
      </c>
      <c r="I909" s="111">
        <v>1</v>
      </c>
      <c r="J909" s="110">
        <v>49.25</v>
      </c>
      <c r="K909" s="111"/>
    </row>
    <row r="910" spans="2:11">
      <c r="B910" s="115" t="s">
        <v>2646</v>
      </c>
      <c r="C910" s="115" t="s">
        <v>2942</v>
      </c>
      <c r="D910" s="115" t="s">
        <v>1182</v>
      </c>
      <c r="E910" s="115">
        <v>2</v>
      </c>
      <c r="F910" s="71"/>
      <c r="G910" s="109">
        <v>74.5</v>
      </c>
      <c r="H910" s="110">
        <v>0</v>
      </c>
      <c r="I910" s="111">
        <v>2</v>
      </c>
      <c r="J910" s="110">
        <v>74.5</v>
      </c>
      <c r="K910" s="111"/>
    </row>
    <row r="911" spans="2:11">
      <c r="B911" s="115" t="s">
        <v>2647</v>
      </c>
      <c r="C911" s="115" t="s">
        <v>2943</v>
      </c>
      <c r="D911" s="115" t="s">
        <v>3191</v>
      </c>
      <c r="E911" s="115">
        <v>3</v>
      </c>
      <c r="F911" s="71"/>
      <c r="G911" s="109">
        <v>112.5</v>
      </c>
      <c r="H911" s="110">
        <v>0</v>
      </c>
      <c r="I911" s="111">
        <v>3</v>
      </c>
      <c r="J911" s="110">
        <v>112.5</v>
      </c>
      <c r="K911" s="111"/>
    </row>
    <row r="912" spans="2:11">
      <c r="B912" s="115" t="s">
        <v>2648</v>
      </c>
      <c r="C912" s="115" t="s">
        <v>2944</v>
      </c>
      <c r="D912" s="115" t="s">
        <v>3191</v>
      </c>
      <c r="E912" s="115">
        <v>3</v>
      </c>
      <c r="F912" s="71">
        <v>2</v>
      </c>
      <c r="G912" s="109">
        <v>112.5</v>
      </c>
      <c r="H912" s="110">
        <v>75</v>
      </c>
      <c r="I912" s="111">
        <v>1</v>
      </c>
      <c r="J912" s="110">
        <v>37.5</v>
      </c>
      <c r="K912" s="111"/>
    </row>
    <row r="913" spans="2:11">
      <c r="B913" s="115" t="s">
        <v>2650</v>
      </c>
      <c r="C913" s="115" t="s">
        <v>2946</v>
      </c>
      <c r="D913" s="115" t="s">
        <v>4690</v>
      </c>
      <c r="E913" s="115">
        <v>13</v>
      </c>
      <c r="F913" s="71"/>
      <c r="G913" s="109">
        <v>839.54</v>
      </c>
      <c r="H913" s="110">
        <v>0</v>
      </c>
      <c r="I913" s="111">
        <v>13</v>
      </c>
      <c r="J913" s="110">
        <v>839.54</v>
      </c>
      <c r="K913" s="111"/>
    </row>
    <row r="914" spans="2:11">
      <c r="B914" s="115" t="s">
        <v>2651</v>
      </c>
      <c r="C914" s="115" t="s">
        <v>2947</v>
      </c>
      <c r="D914" s="115" t="s">
        <v>1217</v>
      </c>
      <c r="E914" s="115">
        <v>3</v>
      </c>
      <c r="F914" s="71"/>
      <c r="G914" s="109">
        <v>214.5</v>
      </c>
      <c r="H914" s="110">
        <v>0</v>
      </c>
      <c r="I914" s="111">
        <v>3</v>
      </c>
      <c r="J914" s="110">
        <v>214.5</v>
      </c>
      <c r="K914" s="111"/>
    </row>
    <row r="915" spans="2:11">
      <c r="B915" s="115" t="s">
        <v>2655</v>
      </c>
      <c r="C915" s="115" t="s">
        <v>2951</v>
      </c>
      <c r="D915" s="115" t="s">
        <v>3194</v>
      </c>
      <c r="E915" s="115">
        <v>59</v>
      </c>
      <c r="F915" s="71">
        <v>37</v>
      </c>
      <c r="G915" s="109">
        <v>507.4</v>
      </c>
      <c r="H915" s="110">
        <v>318.2</v>
      </c>
      <c r="I915" s="111">
        <v>22</v>
      </c>
      <c r="J915" s="110">
        <v>189.2</v>
      </c>
      <c r="K915" s="111"/>
    </row>
    <row r="916" spans="2:11" ht="30">
      <c r="B916" s="115" t="s">
        <v>2657</v>
      </c>
      <c r="C916" s="115" t="s">
        <v>2953</v>
      </c>
      <c r="D916" s="115" t="s">
        <v>3196</v>
      </c>
      <c r="E916" s="115">
        <v>7</v>
      </c>
      <c r="F916" s="71">
        <v>6</v>
      </c>
      <c r="G916" s="109">
        <v>88.13</v>
      </c>
      <c r="H916" s="110">
        <v>75.539999999999992</v>
      </c>
      <c r="I916" s="111">
        <v>1</v>
      </c>
      <c r="J916" s="110">
        <v>12.590000000000003</v>
      </c>
      <c r="K916" s="111"/>
    </row>
    <row r="917" spans="2:11">
      <c r="B917" s="115" t="s">
        <v>2658</v>
      </c>
      <c r="C917" s="115" t="s">
        <v>2954</v>
      </c>
      <c r="D917" s="115" t="s">
        <v>3197</v>
      </c>
      <c r="E917" s="115">
        <v>2</v>
      </c>
      <c r="F917" s="71"/>
      <c r="G917" s="109">
        <v>37.24</v>
      </c>
      <c r="H917" s="110">
        <v>0</v>
      </c>
      <c r="I917" s="111">
        <v>2</v>
      </c>
      <c r="J917" s="110">
        <v>37.24</v>
      </c>
      <c r="K917" s="111"/>
    </row>
    <row r="918" spans="2:11">
      <c r="B918" s="115" t="s">
        <v>2659</v>
      </c>
      <c r="C918" s="115" t="s">
        <v>2955</v>
      </c>
      <c r="D918" s="115" t="s">
        <v>3198</v>
      </c>
      <c r="E918" s="115">
        <v>9</v>
      </c>
      <c r="F918" s="71"/>
      <c r="G918" s="109">
        <v>519.93000000000006</v>
      </c>
      <c r="H918" s="110">
        <v>0</v>
      </c>
      <c r="I918" s="111">
        <v>9</v>
      </c>
      <c r="J918" s="110">
        <v>519.93000000000006</v>
      </c>
      <c r="K918" s="111"/>
    </row>
    <row r="919" spans="2:11">
      <c r="B919" s="115" t="s">
        <v>2660</v>
      </c>
      <c r="C919" s="115" t="s">
        <v>2956</v>
      </c>
      <c r="D919" s="115" t="s">
        <v>756</v>
      </c>
      <c r="E919" s="115">
        <v>82</v>
      </c>
      <c r="F919" s="71">
        <v>45</v>
      </c>
      <c r="G919" s="109">
        <v>5043</v>
      </c>
      <c r="H919" s="110">
        <v>2767.5</v>
      </c>
      <c r="I919" s="111">
        <v>37</v>
      </c>
      <c r="J919" s="110">
        <v>2275.5</v>
      </c>
      <c r="K919" s="111"/>
    </row>
    <row r="920" spans="2:11">
      <c r="B920" s="115" t="s">
        <v>2661</v>
      </c>
      <c r="C920" s="115" t="s">
        <v>2957</v>
      </c>
      <c r="D920" s="115" t="s">
        <v>3199</v>
      </c>
      <c r="E920" s="115">
        <v>49</v>
      </c>
      <c r="F920" s="71">
        <v>8</v>
      </c>
      <c r="G920" s="109">
        <v>273.90999999999997</v>
      </c>
      <c r="H920" s="110">
        <v>44.72</v>
      </c>
      <c r="I920" s="111">
        <v>41</v>
      </c>
      <c r="J920" s="110">
        <v>229.18999999999997</v>
      </c>
      <c r="K920" s="111"/>
    </row>
    <row r="921" spans="2:11">
      <c r="B921" s="115" t="s">
        <v>2663</v>
      </c>
      <c r="C921" s="115" t="s">
        <v>2959</v>
      </c>
      <c r="D921" s="115" t="s">
        <v>3200</v>
      </c>
      <c r="E921" s="115">
        <v>9</v>
      </c>
      <c r="F921" s="71"/>
      <c r="G921" s="109">
        <v>758.25</v>
      </c>
      <c r="H921" s="110">
        <v>0</v>
      </c>
      <c r="I921" s="111">
        <v>9</v>
      </c>
      <c r="J921" s="110">
        <v>758.25</v>
      </c>
      <c r="K921" s="111"/>
    </row>
    <row r="922" spans="2:11" ht="30">
      <c r="B922" s="115" t="s">
        <v>2664</v>
      </c>
      <c r="C922" s="115" t="s">
        <v>2960</v>
      </c>
      <c r="D922" s="115" t="s">
        <v>3200</v>
      </c>
      <c r="E922" s="115">
        <v>1</v>
      </c>
      <c r="F922" s="71"/>
      <c r="G922" s="109">
        <v>84.25</v>
      </c>
      <c r="H922" s="110">
        <v>0</v>
      </c>
      <c r="I922" s="111">
        <v>1</v>
      </c>
      <c r="J922" s="110">
        <v>84.25</v>
      </c>
      <c r="K922" s="111"/>
    </row>
    <row r="923" spans="2:11">
      <c r="B923" s="115" t="s">
        <v>2665</v>
      </c>
      <c r="C923" s="115" t="s">
        <v>2961</v>
      </c>
      <c r="D923" s="115" t="s">
        <v>756</v>
      </c>
      <c r="E923" s="115">
        <v>83</v>
      </c>
      <c r="F923" s="71">
        <v>67</v>
      </c>
      <c r="G923" s="109">
        <v>5104.5</v>
      </c>
      <c r="H923" s="110">
        <v>4120.5</v>
      </c>
      <c r="I923" s="111">
        <v>16</v>
      </c>
      <c r="J923" s="110">
        <v>984</v>
      </c>
      <c r="K923" s="111"/>
    </row>
    <row r="924" spans="2:11">
      <c r="B924" s="115" t="s">
        <v>2668</v>
      </c>
      <c r="C924" s="115" t="s">
        <v>2964</v>
      </c>
      <c r="D924" s="115" t="s">
        <v>3202</v>
      </c>
      <c r="E924" s="115">
        <v>157</v>
      </c>
      <c r="F924" s="71"/>
      <c r="G924" s="109">
        <v>1040.9100000000001</v>
      </c>
      <c r="H924" s="110">
        <v>0</v>
      </c>
      <c r="I924" s="111">
        <v>157</v>
      </c>
      <c r="J924" s="110">
        <v>1040.9100000000001</v>
      </c>
      <c r="K924" s="111"/>
    </row>
    <row r="925" spans="2:11">
      <c r="B925" s="115" t="s">
        <v>2668</v>
      </c>
      <c r="C925" s="115" t="s">
        <v>2964</v>
      </c>
      <c r="D925" s="115" t="s">
        <v>3202</v>
      </c>
      <c r="E925" s="115">
        <v>252</v>
      </c>
      <c r="F925" s="71">
        <v>144</v>
      </c>
      <c r="G925" s="109">
        <v>1670.76</v>
      </c>
      <c r="H925" s="110">
        <v>954.72</v>
      </c>
      <c r="I925" s="111">
        <v>108</v>
      </c>
      <c r="J925" s="110">
        <v>716.04</v>
      </c>
      <c r="K925" s="111"/>
    </row>
    <row r="926" spans="2:11">
      <c r="B926" s="115" t="s">
        <v>2668</v>
      </c>
      <c r="C926" s="115" t="s">
        <v>2964</v>
      </c>
      <c r="D926" s="115" t="s">
        <v>3203</v>
      </c>
      <c r="E926" s="115">
        <v>12</v>
      </c>
      <c r="F926" s="71"/>
      <c r="G926" s="109">
        <v>83.64</v>
      </c>
      <c r="H926" s="110">
        <v>0</v>
      </c>
      <c r="I926" s="111">
        <v>12</v>
      </c>
      <c r="J926" s="110">
        <v>83.64</v>
      </c>
      <c r="K926" s="111"/>
    </row>
    <row r="927" spans="2:11" ht="30">
      <c r="B927" s="115" t="s">
        <v>2669</v>
      </c>
      <c r="C927" s="115" t="s">
        <v>2965</v>
      </c>
      <c r="D927" s="115" t="s">
        <v>3204</v>
      </c>
      <c r="E927" s="115">
        <v>151</v>
      </c>
      <c r="F927" s="71">
        <v>149</v>
      </c>
      <c r="G927" s="109">
        <v>1164.21</v>
      </c>
      <c r="H927" s="110">
        <v>1148.79</v>
      </c>
      <c r="I927" s="111">
        <v>2</v>
      </c>
      <c r="J927" s="110">
        <v>15.420000000000073</v>
      </c>
      <c r="K927" s="111"/>
    </row>
    <row r="928" spans="2:11">
      <c r="B928" s="115" t="s">
        <v>2670</v>
      </c>
      <c r="C928" s="115" t="s">
        <v>2966</v>
      </c>
      <c r="D928" s="115" t="s">
        <v>3205</v>
      </c>
      <c r="E928" s="115">
        <v>206</v>
      </c>
      <c r="F928" s="71"/>
      <c r="G928" s="109">
        <v>1180.3800000000001</v>
      </c>
      <c r="H928" s="110">
        <v>0</v>
      </c>
      <c r="I928" s="111">
        <v>206</v>
      </c>
      <c r="J928" s="110">
        <v>1180.3800000000001</v>
      </c>
      <c r="K928" s="111"/>
    </row>
    <row r="929" spans="2:11">
      <c r="B929" s="115" t="s">
        <v>2671</v>
      </c>
      <c r="C929" s="115" t="s">
        <v>2967</v>
      </c>
      <c r="D929" s="115" t="s">
        <v>3206</v>
      </c>
      <c r="E929" s="115">
        <v>12</v>
      </c>
      <c r="F929" s="71"/>
      <c r="G929" s="109">
        <v>68.88</v>
      </c>
      <c r="H929" s="110">
        <v>0</v>
      </c>
      <c r="I929" s="111">
        <v>12</v>
      </c>
      <c r="J929" s="110">
        <v>68.88</v>
      </c>
      <c r="K929" s="111"/>
    </row>
    <row r="930" spans="2:11">
      <c r="B930" s="115" t="s">
        <v>2672</v>
      </c>
      <c r="C930" s="115" t="s">
        <v>2968</v>
      </c>
      <c r="D930" s="115" t="s">
        <v>3207</v>
      </c>
      <c r="E930" s="115">
        <v>1</v>
      </c>
      <c r="F930" s="71"/>
      <c r="G930" s="109">
        <v>43.23</v>
      </c>
      <c r="H930" s="110">
        <v>0</v>
      </c>
      <c r="I930" s="111">
        <v>1</v>
      </c>
      <c r="J930" s="110">
        <v>43.23</v>
      </c>
      <c r="K930" s="111"/>
    </row>
    <row r="931" spans="2:11">
      <c r="B931" s="115" t="s">
        <v>2675</v>
      </c>
      <c r="C931" s="115" t="s">
        <v>2971</v>
      </c>
      <c r="D931" s="115" t="s">
        <v>3210</v>
      </c>
      <c r="E931" s="115">
        <v>2</v>
      </c>
      <c r="F931" s="71"/>
      <c r="G931" s="109">
        <v>48.08</v>
      </c>
      <c r="H931" s="110">
        <v>0</v>
      </c>
      <c r="I931" s="111">
        <v>2</v>
      </c>
      <c r="J931" s="110">
        <v>48.08</v>
      </c>
      <c r="K931" s="111"/>
    </row>
    <row r="932" spans="2:11">
      <c r="B932" s="115" t="s">
        <v>2676</v>
      </c>
      <c r="C932" s="115" t="s">
        <v>2972</v>
      </c>
      <c r="D932" s="115" t="s">
        <v>3211</v>
      </c>
      <c r="E932" s="115">
        <v>5</v>
      </c>
      <c r="F932" s="71"/>
      <c r="G932" s="109">
        <v>151.19999999999999</v>
      </c>
      <c r="H932" s="110">
        <v>0</v>
      </c>
      <c r="I932" s="111">
        <v>5</v>
      </c>
      <c r="J932" s="110">
        <v>151.19999999999999</v>
      </c>
      <c r="K932" s="111"/>
    </row>
    <row r="933" spans="2:11">
      <c r="B933" s="115" t="s">
        <v>2677</v>
      </c>
      <c r="C933" s="115" t="s">
        <v>2973</v>
      </c>
      <c r="D933" s="115" t="s">
        <v>3212</v>
      </c>
      <c r="E933" s="115">
        <v>1</v>
      </c>
      <c r="F933" s="71"/>
      <c r="G933" s="109">
        <v>58.77</v>
      </c>
      <c r="H933" s="110">
        <v>0</v>
      </c>
      <c r="I933" s="111">
        <v>1</v>
      </c>
      <c r="J933" s="110">
        <v>58.77</v>
      </c>
      <c r="K933" s="111"/>
    </row>
    <row r="934" spans="2:11">
      <c r="B934" s="115" t="s">
        <v>2678</v>
      </c>
      <c r="C934" s="115" t="s">
        <v>2974</v>
      </c>
      <c r="D934" s="115" t="s">
        <v>3213</v>
      </c>
      <c r="E934" s="115">
        <v>4</v>
      </c>
      <c r="F934" s="71"/>
      <c r="G934" s="109">
        <v>26.72</v>
      </c>
      <c r="H934" s="110">
        <v>0</v>
      </c>
      <c r="I934" s="111">
        <v>4</v>
      </c>
      <c r="J934" s="110">
        <v>26.72</v>
      </c>
      <c r="K934" s="111"/>
    </row>
    <row r="935" spans="2:11">
      <c r="B935" s="115" t="s">
        <v>2679</v>
      </c>
      <c r="C935" s="115" t="s">
        <v>2975</v>
      </c>
      <c r="D935" s="115" t="s">
        <v>3214</v>
      </c>
      <c r="E935" s="115">
        <v>1</v>
      </c>
      <c r="F935" s="71"/>
      <c r="G935" s="109">
        <v>29.39</v>
      </c>
      <c r="H935" s="110">
        <v>0</v>
      </c>
      <c r="I935" s="111">
        <v>1</v>
      </c>
      <c r="J935" s="110">
        <v>29.39</v>
      </c>
      <c r="K935" s="111"/>
    </row>
    <row r="936" spans="2:11">
      <c r="B936" s="115" t="s">
        <v>2680</v>
      </c>
      <c r="C936" s="115" t="s">
        <v>2976</v>
      </c>
      <c r="D936" s="115" t="s">
        <v>3215</v>
      </c>
      <c r="E936" s="115">
        <v>3</v>
      </c>
      <c r="F936" s="71"/>
      <c r="G936" s="109">
        <v>240.45000000000002</v>
      </c>
      <c r="H936" s="110">
        <v>0</v>
      </c>
      <c r="I936" s="111">
        <v>3</v>
      </c>
      <c r="J936" s="110">
        <v>240.45000000000002</v>
      </c>
      <c r="K936" s="111"/>
    </row>
    <row r="937" spans="2:11">
      <c r="B937" s="115" t="s">
        <v>2681</v>
      </c>
      <c r="C937" s="115" t="s">
        <v>2977</v>
      </c>
      <c r="D937" s="115" t="s">
        <v>3216</v>
      </c>
      <c r="E937" s="115">
        <v>5</v>
      </c>
      <c r="F937" s="71"/>
      <c r="G937" s="109">
        <v>276.84999999999997</v>
      </c>
      <c r="H937" s="110">
        <v>0</v>
      </c>
      <c r="I937" s="111">
        <v>5</v>
      </c>
      <c r="J937" s="110">
        <v>276.84999999999997</v>
      </c>
      <c r="K937" s="111"/>
    </row>
    <row r="938" spans="2:11">
      <c r="B938" s="115" t="s">
        <v>2682</v>
      </c>
      <c r="C938" s="115" t="s">
        <v>2978</v>
      </c>
      <c r="D938" s="115" t="s">
        <v>3217</v>
      </c>
      <c r="E938" s="115">
        <v>2</v>
      </c>
      <c r="F938" s="71"/>
      <c r="G938" s="109">
        <v>84.52</v>
      </c>
      <c r="H938" s="110">
        <v>0</v>
      </c>
      <c r="I938" s="111">
        <v>2</v>
      </c>
      <c r="J938" s="110">
        <v>84.52</v>
      </c>
      <c r="K938" s="111"/>
    </row>
    <row r="939" spans="2:11">
      <c r="B939" s="115" t="s">
        <v>2683</v>
      </c>
      <c r="C939" s="115" t="s">
        <v>2979</v>
      </c>
      <c r="D939" s="115" t="s">
        <v>3218</v>
      </c>
      <c r="E939" s="115">
        <v>14</v>
      </c>
      <c r="F939" s="71">
        <v>4</v>
      </c>
      <c r="G939" s="109">
        <v>81.06</v>
      </c>
      <c r="H939" s="110">
        <v>23.16</v>
      </c>
      <c r="I939" s="111">
        <v>10</v>
      </c>
      <c r="J939" s="110">
        <v>57.900000000000006</v>
      </c>
      <c r="K939" s="111"/>
    </row>
    <row r="940" spans="2:11">
      <c r="B940" s="115" t="s">
        <v>2684</v>
      </c>
      <c r="C940" s="115" t="s">
        <v>2980</v>
      </c>
      <c r="D940" s="115" t="s">
        <v>3219</v>
      </c>
      <c r="E940" s="115">
        <v>15</v>
      </c>
      <c r="F940" s="71">
        <v>1</v>
      </c>
      <c r="G940" s="109">
        <v>70.5</v>
      </c>
      <c r="H940" s="110">
        <v>4.7</v>
      </c>
      <c r="I940" s="111">
        <v>14</v>
      </c>
      <c r="J940" s="110">
        <v>65.8</v>
      </c>
      <c r="K940" s="111"/>
    </row>
    <row r="941" spans="2:11">
      <c r="B941" s="115" t="s">
        <v>2685</v>
      </c>
      <c r="C941" s="115" t="s">
        <v>2981</v>
      </c>
      <c r="D941" s="115" t="s">
        <v>3220</v>
      </c>
      <c r="E941" s="115">
        <v>81</v>
      </c>
      <c r="F941" s="71">
        <v>31</v>
      </c>
      <c r="G941" s="109">
        <v>545.13</v>
      </c>
      <c r="H941" s="110">
        <v>208.63000000000002</v>
      </c>
      <c r="I941" s="111">
        <v>50</v>
      </c>
      <c r="J941" s="110">
        <v>336.5</v>
      </c>
      <c r="K941" s="111"/>
    </row>
    <row r="942" spans="2:11">
      <c r="B942" s="115" t="s">
        <v>2686</v>
      </c>
      <c r="C942" s="115" t="s">
        <v>2982</v>
      </c>
      <c r="D942" s="115" t="s">
        <v>3221</v>
      </c>
      <c r="E942" s="115">
        <v>3</v>
      </c>
      <c r="F942" s="71"/>
      <c r="G942" s="109">
        <v>194.91</v>
      </c>
      <c r="H942" s="110">
        <v>0</v>
      </c>
      <c r="I942" s="111">
        <v>3</v>
      </c>
      <c r="J942" s="110">
        <v>194.91</v>
      </c>
      <c r="K942" s="111"/>
    </row>
    <row r="943" spans="2:11">
      <c r="B943" s="115" t="s">
        <v>2687</v>
      </c>
      <c r="C943" s="115" t="s">
        <v>2983</v>
      </c>
      <c r="D943" s="115" t="s">
        <v>3222</v>
      </c>
      <c r="E943" s="115">
        <v>27</v>
      </c>
      <c r="F943" s="71">
        <v>26</v>
      </c>
      <c r="G943" s="109">
        <v>178.2</v>
      </c>
      <c r="H943" s="110">
        <v>171.6</v>
      </c>
      <c r="I943" s="111">
        <v>1</v>
      </c>
      <c r="J943" s="110">
        <v>6.5999999999999943</v>
      </c>
      <c r="K943" s="111"/>
    </row>
    <row r="944" spans="2:11">
      <c r="B944" s="115" t="s">
        <v>2689</v>
      </c>
      <c r="C944" s="115" t="s">
        <v>2985</v>
      </c>
      <c r="D944" s="115" t="s">
        <v>3220</v>
      </c>
      <c r="E944" s="115">
        <v>38</v>
      </c>
      <c r="F944" s="71">
        <v>22</v>
      </c>
      <c r="G944" s="109">
        <v>255.74</v>
      </c>
      <c r="H944" s="110">
        <v>148.06</v>
      </c>
      <c r="I944" s="111">
        <v>16</v>
      </c>
      <c r="J944" s="110">
        <v>107.68</v>
      </c>
      <c r="K944" s="111"/>
    </row>
    <row r="945" spans="2:11">
      <c r="B945" s="115" t="s">
        <v>2691</v>
      </c>
      <c r="C945" s="115" t="s">
        <v>2987</v>
      </c>
      <c r="D945" s="115" t="s">
        <v>3223</v>
      </c>
      <c r="E945" s="115">
        <v>2</v>
      </c>
      <c r="F945" s="71"/>
      <c r="G945" s="109">
        <v>129.96</v>
      </c>
      <c r="H945" s="110">
        <v>0</v>
      </c>
      <c r="I945" s="111">
        <v>2</v>
      </c>
      <c r="J945" s="110">
        <v>129.96</v>
      </c>
      <c r="K945" s="111"/>
    </row>
    <row r="946" spans="2:11">
      <c r="B946" s="115" t="s">
        <v>2693</v>
      </c>
      <c r="C946" s="115" t="s">
        <v>2989</v>
      </c>
      <c r="D946" s="115" t="s">
        <v>3225</v>
      </c>
      <c r="E946" s="115">
        <v>11</v>
      </c>
      <c r="F946" s="71"/>
      <c r="G946" s="109">
        <v>895.29</v>
      </c>
      <c r="H946" s="110">
        <v>0</v>
      </c>
      <c r="I946" s="111">
        <v>11</v>
      </c>
      <c r="J946" s="110">
        <v>895.29</v>
      </c>
      <c r="K946" s="111"/>
    </row>
    <row r="947" spans="2:11">
      <c r="B947" s="115" t="s">
        <v>2696</v>
      </c>
      <c r="C947" s="115" t="s">
        <v>2992</v>
      </c>
      <c r="D947" s="115" t="s">
        <v>3228</v>
      </c>
      <c r="E947" s="115">
        <v>42</v>
      </c>
      <c r="F947" s="71">
        <v>39</v>
      </c>
      <c r="G947" s="109">
        <v>1982.4</v>
      </c>
      <c r="H947" s="110">
        <v>1840.8000000000002</v>
      </c>
      <c r="I947" s="111">
        <v>3</v>
      </c>
      <c r="J947" s="110">
        <v>141.59999999999991</v>
      </c>
      <c r="K947" s="111"/>
    </row>
    <row r="948" spans="2:11">
      <c r="B948" s="115" t="s">
        <v>2697</v>
      </c>
      <c r="C948" s="115" t="s">
        <v>2993</v>
      </c>
      <c r="D948" s="115" t="s">
        <v>3229</v>
      </c>
      <c r="E948" s="115">
        <v>14</v>
      </c>
      <c r="F948" s="71">
        <v>12</v>
      </c>
      <c r="G948" s="109">
        <v>1109.08</v>
      </c>
      <c r="H948" s="110">
        <v>950.64</v>
      </c>
      <c r="I948" s="111">
        <v>2</v>
      </c>
      <c r="J948" s="110">
        <v>158.43999999999994</v>
      </c>
      <c r="K948" s="111"/>
    </row>
    <row r="949" spans="2:11">
      <c r="B949" s="115" t="s">
        <v>2698</v>
      </c>
      <c r="C949" s="115" t="s">
        <v>2994</v>
      </c>
      <c r="D949" s="115" t="s">
        <v>3230</v>
      </c>
      <c r="E949" s="115">
        <v>37</v>
      </c>
      <c r="F949" s="71">
        <v>23</v>
      </c>
      <c r="G949" s="109">
        <v>1363.0800000000002</v>
      </c>
      <c r="H949" s="110">
        <v>847.32</v>
      </c>
      <c r="I949" s="111">
        <v>14</v>
      </c>
      <c r="J949" s="110">
        <v>515.7600000000001</v>
      </c>
      <c r="K949" s="111"/>
    </row>
    <row r="950" spans="2:11">
      <c r="B950" s="115" t="s">
        <v>2700</v>
      </c>
      <c r="C950" s="115" t="s">
        <v>2996</v>
      </c>
      <c r="D950" s="115" t="s">
        <v>3232</v>
      </c>
      <c r="E950" s="115">
        <v>5</v>
      </c>
      <c r="F950" s="71"/>
      <c r="G950" s="109">
        <v>309.14999999999998</v>
      </c>
      <c r="H950" s="110">
        <v>0</v>
      </c>
      <c r="I950" s="111">
        <v>5</v>
      </c>
      <c r="J950" s="110">
        <v>309.14999999999998</v>
      </c>
      <c r="K950" s="111"/>
    </row>
    <row r="951" spans="2:11">
      <c r="B951" s="115" t="s">
        <v>2701</v>
      </c>
      <c r="C951" s="115" t="s">
        <v>2997</v>
      </c>
      <c r="D951" s="115" t="s">
        <v>3233</v>
      </c>
      <c r="E951" s="115">
        <v>275</v>
      </c>
      <c r="F951" s="71">
        <v>137</v>
      </c>
      <c r="G951" s="109">
        <v>5126</v>
      </c>
      <c r="H951" s="110">
        <v>2553.6800000000003</v>
      </c>
      <c r="I951" s="111">
        <v>138</v>
      </c>
      <c r="J951" s="110">
        <v>2572.3199999999997</v>
      </c>
      <c r="K951" s="111"/>
    </row>
    <row r="952" spans="2:11">
      <c r="B952" s="115" t="s">
        <v>2702</v>
      </c>
      <c r="C952" s="115" t="s">
        <v>2998</v>
      </c>
      <c r="D952" s="115" t="s">
        <v>3234</v>
      </c>
      <c r="E952" s="115">
        <v>60</v>
      </c>
      <c r="F952" s="71"/>
      <c r="G952" s="109">
        <v>1234.2</v>
      </c>
      <c r="H952" s="110">
        <v>0</v>
      </c>
      <c r="I952" s="111">
        <v>60</v>
      </c>
      <c r="J952" s="110">
        <v>1234.2</v>
      </c>
      <c r="K952" s="111"/>
    </row>
    <row r="953" spans="2:11">
      <c r="B953" s="115" t="s">
        <v>2705</v>
      </c>
      <c r="C953" s="115" t="s">
        <v>3001</v>
      </c>
      <c r="D953" s="115" t="s">
        <v>3228</v>
      </c>
      <c r="E953" s="115">
        <v>53</v>
      </c>
      <c r="F953" s="71">
        <v>47</v>
      </c>
      <c r="G953" s="109">
        <v>2501.6000000000004</v>
      </c>
      <c r="H953" s="110">
        <v>2218.4</v>
      </c>
      <c r="I953" s="111">
        <v>6</v>
      </c>
      <c r="J953" s="110">
        <v>283.20000000000027</v>
      </c>
      <c r="K953" s="111"/>
    </row>
    <row r="954" spans="2:11">
      <c r="B954" s="115" t="s">
        <v>2707</v>
      </c>
      <c r="C954" s="115" t="s">
        <v>3003</v>
      </c>
      <c r="D954" s="115" t="s">
        <v>3233</v>
      </c>
      <c r="E954" s="115">
        <v>57</v>
      </c>
      <c r="F954" s="71">
        <v>56</v>
      </c>
      <c r="G954" s="109">
        <v>1062.48</v>
      </c>
      <c r="H954" s="110">
        <v>1043.8400000000001</v>
      </c>
      <c r="I954" s="111">
        <v>1</v>
      </c>
      <c r="J954" s="110">
        <v>18.639999999999873</v>
      </c>
      <c r="K954" s="111"/>
    </row>
    <row r="955" spans="2:11">
      <c r="B955" s="115" t="s">
        <v>2708</v>
      </c>
      <c r="C955" s="115" t="s">
        <v>3004</v>
      </c>
      <c r="D955" s="115" t="s">
        <v>3236</v>
      </c>
      <c r="E955" s="115">
        <v>25</v>
      </c>
      <c r="F955" s="71">
        <v>14</v>
      </c>
      <c r="G955" s="109">
        <v>490.25</v>
      </c>
      <c r="H955" s="110">
        <v>274.53999999999996</v>
      </c>
      <c r="I955" s="111">
        <v>11</v>
      </c>
      <c r="J955" s="110">
        <v>215.71000000000004</v>
      </c>
      <c r="K955" s="111"/>
    </row>
    <row r="956" spans="2:11">
      <c r="B956" s="115" t="s">
        <v>2709</v>
      </c>
      <c r="C956" s="115" t="s">
        <v>3005</v>
      </c>
      <c r="D956" s="115" t="s">
        <v>3230</v>
      </c>
      <c r="E956" s="115">
        <v>44</v>
      </c>
      <c r="F956" s="71">
        <v>34</v>
      </c>
      <c r="G956" s="109">
        <v>1620.96</v>
      </c>
      <c r="H956" s="110">
        <v>1252.5600000000002</v>
      </c>
      <c r="I956" s="111">
        <v>10</v>
      </c>
      <c r="J956" s="110">
        <v>368.39999999999986</v>
      </c>
      <c r="K956" s="111"/>
    </row>
    <row r="957" spans="2:11">
      <c r="B957" s="115" t="s">
        <v>2712</v>
      </c>
      <c r="C957" s="115" t="s">
        <v>3008</v>
      </c>
      <c r="D957" s="115" t="s">
        <v>3239</v>
      </c>
      <c r="E957" s="115">
        <v>1</v>
      </c>
      <c r="F957" s="71"/>
      <c r="G957" s="109">
        <v>60.75</v>
      </c>
      <c r="H957" s="110">
        <v>0</v>
      </c>
      <c r="I957" s="111">
        <v>1</v>
      </c>
      <c r="J957" s="110">
        <v>60.75</v>
      </c>
      <c r="K957" s="111"/>
    </row>
    <row r="958" spans="2:11">
      <c r="B958" s="115" t="s">
        <v>2713</v>
      </c>
      <c r="C958" s="115" t="s">
        <v>3009</v>
      </c>
      <c r="D958" s="115" t="s">
        <v>3240</v>
      </c>
      <c r="E958" s="115">
        <v>89</v>
      </c>
      <c r="F958" s="71">
        <v>79</v>
      </c>
      <c r="G958" s="109">
        <v>24897.75</v>
      </c>
      <c r="H958" s="110">
        <v>22100.25</v>
      </c>
      <c r="I958" s="111">
        <v>10</v>
      </c>
      <c r="J958" s="110">
        <v>2797.5</v>
      </c>
      <c r="K958" s="111"/>
    </row>
    <row r="959" spans="2:11">
      <c r="B959" s="115" t="s">
        <v>2714</v>
      </c>
      <c r="C959" s="115" t="s">
        <v>3010</v>
      </c>
      <c r="D959" s="115" t="s">
        <v>3185</v>
      </c>
      <c r="E959" s="115">
        <v>14</v>
      </c>
      <c r="F959" s="71">
        <v>13</v>
      </c>
      <c r="G959" s="109">
        <v>432.59999999999997</v>
      </c>
      <c r="H959" s="110">
        <v>401.7</v>
      </c>
      <c r="I959" s="111">
        <v>1</v>
      </c>
      <c r="J959" s="110">
        <v>30.899999999999977</v>
      </c>
      <c r="K959" s="111"/>
    </row>
    <row r="960" spans="2:11">
      <c r="B960" s="115" t="s">
        <v>2715</v>
      </c>
      <c r="C960" s="115" t="s">
        <v>3011</v>
      </c>
      <c r="D960" s="115" t="s">
        <v>3241</v>
      </c>
      <c r="E960" s="115">
        <v>40</v>
      </c>
      <c r="F960" s="71"/>
      <c r="G960" s="109">
        <v>819.2</v>
      </c>
      <c r="H960" s="110">
        <v>0</v>
      </c>
      <c r="I960" s="111">
        <v>40</v>
      </c>
      <c r="J960" s="110">
        <v>819.2</v>
      </c>
      <c r="K960" s="111"/>
    </row>
    <row r="961" spans="2:11">
      <c r="B961" s="115" t="s">
        <v>2716</v>
      </c>
      <c r="C961" s="115" t="s">
        <v>3012</v>
      </c>
      <c r="D961" s="115" t="s">
        <v>3242</v>
      </c>
      <c r="E961" s="115">
        <v>186</v>
      </c>
      <c r="F961" s="71">
        <v>98</v>
      </c>
      <c r="G961" s="109">
        <v>3173.16</v>
      </c>
      <c r="H961" s="110">
        <v>1671.8799999999999</v>
      </c>
      <c r="I961" s="111">
        <v>88</v>
      </c>
      <c r="J961" s="110">
        <v>1501.28</v>
      </c>
      <c r="K961" s="111"/>
    </row>
    <row r="962" spans="2:11">
      <c r="B962" s="115" t="s">
        <v>2717</v>
      </c>
      <c r="C962" s="115" t="s">
        <v>3013</v>
      </c>
      <c r="D962" s="115" t="s">
        <v>3243</v>
      </c>
      <c r="E962" s="115">
        <v>19</v>
      </c>
      <c r="F962" s="71">
        <v>5</v>
      </c>
      <c r="G962" s="109">
        <v>394.25</v>
      </c>
      <c r="H962" s="110">
        <v>103.75</v>
      </c>
      <c r="I962" s="111">
        <v>14</v>
      </c>
      <c r="J962" s="110">
        <v>290.5</v>
      </c>
      <c r="K962" s="111"/>
    </row>
    <row r="963" spans="2:11">
      <c r="B963" s="115" t="s">
        <v>2719</v>
      </c>
      <c r="C963" s="115" t="s">
        <v>3015</v>
      </c>
      <c r="D963" s="115" t="s">
        <v>3245</v>
      </c>
      <c r="E963" s="115">
        <v>13</v>
      </c>
      <c r="F963" s="71">
        <v>4</v>
      </c>
      <c r="G963" s="109">
        <v>299</v>
      </c>
      <c r="H963" s="110">
        <v>92</v>
      </c>
      <c r="I963" s="111">
        <v>9</v>
      </c>
      <c r="J963" s="110">
        <v>207</v>
      </c>
      <c r="K963" s="111"/>
    </row>
    <row r="964" spans="2:11">
      <c r="B964" s="115" t="s">
        <v>2720</v>
      </c>
      <c r="C964" s="115" t="s">
        <v>3016</v>
      </c>
      <c r="D964" s="115" t="s">
        <v>3246</v>
      </c>
      <c r="E964" s="115">
        <v>7</v>
      </c>
      <c r="F964" s="71">
        <v>6</v>
      </c>
      <c r="G964" s="109">
        <v>210</v>
      </c>
      <c r="H964" s="110">
        <v>180</v>
      </c>
      <c r="I964" s="111">
        <v>1</v>
      </c>
      <c r="J964" s="110">
        <v>30</v>
      </c>
      <c r="K964" s="111"/>
    </row>
    <row r="965" spans="2:11">
      <c r="B965" s="115" t="s">
        <v>2721</v>
      </c>
      <c r="C965" s="115" t="s">
        <v>3017</v>
      </c>
      <c r="D965" s="115" t="s">
        <v>3247</v>
      </c>
      <c r="E965" s="115">
        <v>3</v>
      </c>
      <c r="F965" s="71">
        <v>2</v>
      </c>
      <c r="G965" s="109">
        <v>54.75</v>
      </c>
      <c r="H965" s="110">
        <v>36.5</v>
      </c>
      <c r="I965" s="111">
        <v>1</v>
      </c>
      <c r="J965" s="110">
        <v>18.25</v>
      </c>
      <c r="K965" s="111"/>
    </row>
    <row r="966" spans="2:11">
      <c r="B966" s="115" t="s">
        <v>2722</v>
      </c>
      <c r="C966" s="115" t="s">
        <v>3018</v>
      </c>
      <c r="D966" s="115" t="s">
        <v>3248</v>
      </c>
      <c r="E966" s="115">
        <v>4</v>
      </c>
      <c r="F966" s="71"/>
      <c r="G966" s="109">
        <v>106</v>
      </c>
      <c r="H966" s="110">
        <v>0</v>
      </c>
      <c r="I966" s="111">
        <v>4</v>
      </c>
      <c r="J966" s="110">
        <v>106</v>
      </c>
      <c r="K966" s="111"/>
    </row>
    <row r="967" spans="2:11">
      <c r="B967" s="115" t="s">
        <v>2723</v>
      </c>
      <c r="C967" s="115" t="s">
        <v>3019</v>
      </c>
      <c r="D967" s="115" t="s">
        <v>3248</v>
      </c>
      <c r="E967" s="115">
        <v>14</v>
      </c>
      <c r="F967" s="71"/>
      <c r="G967" s="109">
        <v>371</v>
      </c>
      <c r="H967" s="110">
        <v>0</v>
      </c>
      <c r="I967" s="111">
        <v>14</v>
      </c>
      <c r="J967" s="110">
        <v>371</v>
      </c>
      <c r="K967" s="111"/>
    </row>
    <row r="968" spans="2:11">
      <c r="B968" s="115" t="s">
        <v>2724</v>
      </c>
      <c r="C968" s="115" t="s">
        <v>3020</v>
      </c>
      <c r="D968" s="115" t="s">
        <v>3247</v>
      </c>
      <c r="E968" s="115">
        <v>22</v>
      </c>
      <c r="F968" s="71">
        <v>13</v>
      </c>
      <c r="G968" s="109">
        <v>401.5</v>
      </c>
      <c r="H968" s="110">
        <v>237.25</v>
      </c>
      <c r="I968" s="111">
        <v>9</v>
      </c>
      <c r="J968" s="110">
        <v>164.25</v>
      </c>
      <c r="K968" s="111"/>
    </row>
    <row r="969" spans="2:11">
      <c r="B969" s="115" t="s">
        <v>2727</v>
      </c>
      <c r="C969" s="115" t="s">
        <v>3023</v>
      </c>
      <c r="D969" s="115" t="s">
        <v>3248</v>
      </c>
      <c r="E969" s="115">
        <v>4</v>
      </c>
      <c r="F969" s="71">
        <v>1</v>
      </c>
      <c r="G969" s="109">
        <v>106</v>
      </c>
      <c r="H969" s="110">
        <v>26.5</v>
      </c>
      <c r="I969" s="111">
        <v>3</v>
      </c>
      <c r="J969" s="110">
        <v>79.5</v>
      </c>
      <c r="K969" s="111"/>
    </row>
    <row r="970" spans="2:11">
      <c r="B970" s="115" t="s">
        <v>2728</v>
      </c>
      <c r="C970" s="115" t="s">
        <v>3024</v>
      </c>
      <c r="D970" s="115" t="s">
        <v>3146</v>
      </c>
      <c r="E970" s="115">
        <v>10</v>
      </c>
      <c r="F970" s="71">
        <v>8</v>
      </c>
      <c r="G970" s="109">
        <v>475</v>
      </c>
      <c r="H970" s="110">
        <v>380</v>
      </c>
      <c r="I970" s="111">
        <v>2</v>
      </c>
      <c r="J970" s="110">
        <v>95</v>
      </c>
      <c r="K970" s="111"/>
    </row>
    <row r="971" spans="2:11">
      <c r="B971" s="115" t="s">
        <v>2729</v>
      </c>
      <c r="C971" s="115" t="s">
        <v>3025</v>
      </c>
      <c r="D971" s="115" t="s">
        <v>3078</v>
      </c>
      <c r="E971" s="115">
        <v>2</v>
      </c>
      <c r="F971" s="71"/>
      <c r="G971" s="109">
        <v>45.5</v>
      </c>
      <c r="H971" s="110">
        <v>0</v>
      </c>
      <c r="I971" s="111">
        <v>2</v>
      </c>
      <c r="J971" s="110">
        <v>45.5</v>
      </c>
      <c r="K971" s="111"/>
    </row>
    <row r="972" spans="2:11" ht="30">
      <c r="B972" s="115" t="s">
        <v>2731</v>
      </c>
      <c r="C972" s="115" t="s">
        <v>3027</v>
      </c>
      <c r="D972" s="115" t="s">
        <v>3252</v>
      </c>
      <c r="E972" s="115">
        <v>5</v>
      </c>
      <c r="F972" s="71"/>
      <c r="G972" s="109">
        <v>356.5</v>
      </c>
      <c r="H972" s="110">
        <v>0</v>
      </c>
      <c r="I972" s="111">
        <v>5</v>
      </c>
      <c r="J972" s="110">
        <v>356.5</v>
      </c>
      <c r="K972" s="111"/>
    </row>
    <row r="973" spans="2:11">
      <c r="B973" s="115" t="s">
        <v>2732</v>
      </c>
      <c r="C973" s="115" t="s">
        <v>3028</v>
      </c>
      <c r="D973" s="115" t="s">
        <v>3121</v>
      </c>
      <c r="E973" s="115">
        <v>63</v>
      </c>
      <c r="F973" s="71">
        <v>48</v>
      </c>
      <c r="G973" s="109">
        <v>4028.8500000000004</v>
      </c>
      <c r="H973" s="110">
        <v>3069.6000000000004</v>
      </c>
      <c r="I973" s="111">
        <v>15</v>
      </c>
      <c r="J973" s="110">
        <v>959.25</v>
      </c>
      <c r="K973" s="111"/>
    </row>
    <row r="974" spans="2:11">
      <c r="B974" s="115" t="s">
        <v>2733</v>
      </c>
      <c r="C974" s="115" t="s">
        <v>3029</v>
      </c>
      <c r="D974" s="115" t="s">
        <v>3120</v>
      </c>
      <c r="E974" s="115">
        <v>646</v>
      </c>
      <c r="F974" s="71">
        <v>390</v>
      </c>
      <c r="G974" s="109">
        <v>3824.32</v>
      </c>
      <c r="H974" s="110">
        <v>2308.8000000000002</v>
      </c>
      <c r="I974" s="111">
        <v>256</v>
      </c>
      <c r="J974" s="110">
        <v>1515.52</v>
      </c>
      <c r="K974" s="111"/>
    </row>
    <row r="975" spans="2:11">
      <c r="B975" s="115" t="s">
        <v>2735</v>
      </c>
      <c r="C975" s="115" t="s">
        <v>3031</v>
      </c>
      <c r="D975" s="115" t="s">
        <v>3120</v>
      </c>
      <c r="E975" s="115">
        <v>708</v>
      </c>
      <c r="F975" s="71">
        <v>586</v>
      </c>
      <c r="G975" s="109">
        <v>4191.3599999999997</v>
      </c>
      <c r="H975" s="110">
        <v>3469.12</v>
      </c>
      <c r="I975" s="111">
        <v>122</v>
      </c>
      <c r="J975" s="110">
        <v>722.23999999999978</v>
      </c>
      <c r="K975" s="111"/>
    </row>
    <row r="976" spans="2:11">
      <c r="B976" s="115" t="s">
        <v>2738</v>
      </c>
      <c r="C976" s="115" t="s">
        <v>3034</v>
      </c>
      <c r="D976" s="115" t="s">
        <v>3113</v>
      </c>
      <c r="E976" s="115">
        <v>19</v>
      </c>
      <c r="F976" s="71">
        <v>18</v>
      </c>
      <c r="G976" s="109">
        <v>91.2</v>
      </c>
      <c r="H976" s="110">
        <v>86.399999999999991</v>
      </c>
      <c r="I976" s="111">
        <v>1</v>
      </c>
      <c r="J976" s="110">
        <v>4.8000000000000114</v>
      </c>
      <c r="K976" s="111"/>
    </row>
    <row r="977" spans="2:11">
      <c r="B977" s="115" t="s">
        <v>2739</v>
      </c>
      <c r="C977" s="115" t="s">
        <v>3035</v>
      </c>
      <c r="D977" s="115" t="s">
        <v>3253</v>
      </c>
      <c r="E977" s="115">
        <v>7</v>
      </c>
      <c r="F977" s="71"/>
      <c r="G977" s="109">
        <v>374.84999999999997</v>
      </c>
      <c r="H977" s="110">
        <v>0</v>
      </c>
      <c r="I977" s="111">
        <v>7</v>
      </c>
      <c r="J977" s="110">
        <v>374.84999999999997</v>
      </c>
      <c r="K977" s="111"/>
    </row>
    <row r="978" spans="2:11">
      <c r="B978" s="115">
        <v>8850006590348</v>
      </c>
      <c r="C978" s="115" t="s">
        <v>3036</v>
      </c>
      <c r="D978" s="115" t="s">
        <v>3254</v>
      </c>
      <c r="E978" s="115">
        <v>9</v>
      </c>
      <c r="F978" s="71">
        <v>1</v>
      </c>
      <c r="G978" s="109">
        <v>418.5</v>
      </c>
      <c r="H978" s="110">
        <v>46.5</v>
      </c>
      <c r="I978" s="111">
        <v>8</v>
      </c>
      <c r="J978" s="110">
        <v>372</v>
      </c>
      <c r="K978" s="111"/>
    </row>
    <row r="979" spans="2:11">
      <c r="B979" s="115" t="s">
        <v>2741</v>
      </c>
      <c r="C979" s="115" t="s">
        <v>3038</v>
      </c>
      <c r="D979" s="115" t="s">
        <v>3255</v>
      </c>
      <c r="E979" s="115">
        <v>1</v>
      </c>
      <c r="F979" s="71"/>
      <c r="G979" s="109">
        <v>39.35</v>
      </c>
      <c r="H979" s="110">
        <v>0</v>
      </c>
      <c r="I979" s="111">
        <v>1</v>
      </c>
      <c r="J979" s="110">
        <v>39.35</v>
      </c>
      <c r="K979" s="111"/>
    </row>
    <row r="980" spans="2:11">
      <c r="B980" s="115" t="s">
        <v>2742</v>
      </c>
      <c r="C980" s="115" t="s">
        <v>3039</v>
      </c>
      <c r="D980" s="115" t="s">
        <v>3064</v>
      </c>
      <c r="E980" s="115">
        <v>13</v>
      </c>
      <c r="F980" s="71">
        <v>12</v>
      </c>
      <c r="G980" s="109">
        <v>351</v>
      </c>
      <c r="H980" s="110">
        <v>324</v>
      </c>
      <c r="I980" s="111">
        <v>1</v>
      </c>
      <c r="J980" s="110">
        <v>27</v>
      </c>
      <c r="K980" s="111"/>
    </row>
    <row r="981" spans="2:11">
      <c r="B981" s="115" t="s">
        <v>4682</v>
      </c>
      <c r="C981" s="115" t="s">
        <v>4686</v>
      </c>
      <c r="D981" s="115" t="s">
        <v>4691</v>
      </c>
      <c r="E981" s="115">
        <v>89</v>
      </c>
      <c r="F981" s="71">
        <v>30</v>
      </c>
      <c r="G981" s="109">
        <v>1167.6799999999998</v>
      </c>
      <c r="H981" s="110">
        <v>393.59999999999997</v>
      </c>
      <c r="I981" s="111">
        <v>59</v>
      </c>
      <c r="J981" s="110">
        <v>774.07999999999993</v>
      </c>
      <c r="K981" s="111"/>
    </row>
    <row r="982" spans="2:11">
      <c r="B982" s="115" t="s">
        <v>2745</v>
      </c>
      <c r="C982" s="115" t="s">
        <v>3042</v>
      </c>
      <c r="D982" s="115" t="s">
        <v>3108</v>
      </c>
      <c r="E982" s="115">
        <v>273</v>
      </c>
      <c r="F982" s="71"/>
      <c r="G982" s="109">
        <v>1678.95</v>
      </c>
      <c r="H982" s="110">
        <v>0</v>
      </c>
      <c r="I982" s="111">
        <v>273</v>
      </c>
      <c r="J982" s="110">
        <v>1678.95</v>
      </c>
      <c r="K982" s="111"/>
    </row>
    <row r="983" spans="2:11">
      <c r="B983" s="115" t="s">
        <v>2746</v>
      </c>
      <c r="C983" s="115" t="s">
        <v>3043</v>
      </c>
      <c r="D983" s="115" t="s">
        <v>3257</v>
      </c>
      <c r="E983" s="115">
        <v>4</v>
      </c>
      <c r="F983" s="71">
        <v>3</v>
      </c>
      <c r="G983" s="109">
        <v>462</v>
      </c>
      <c r="H983" s="110">
        <v>346.5</v>
      </c>
      <c r="I983" s="111">
        <v>1</v>
      </c>
      <c r="J983" s="110">
        <v>115.5</v>
      </c>
      <c r="K983" s="111"/>
    </row>
    <row r="984" spans="2:11">
      <c r="B984" s="115" t="s">
        <v>2748</v>
      </c>
      <c r="C984" s="115" t="s">
        <v>3045</v>
      </c>
      <c r="D984" s="115" t="s">
        <v>3258</v>
      </c>
      <c r="E984" s="115">
        <v>1</v>
      </c>
      <c r="F984" s="71"/>
      <c r="G984" s="109">
        <v>132</v>
      </c>
      <c r="H984" s="110">
        <v>0</v>
      </c>
      <c r="I984" s="111">
        <v>1</v>
      </c>
      <c r="J984" s="110">
        <v>132</v>
      </c>
      <c r="K984" s="111"/>
    </row>
    <row r="985" spans="2:11">
      <c r="B985" s="115" t="s">
        <v>2749</v>
      </c>
      <c r="C985" s="115" t="s">
        <v>3046</v>
      </c>
      <c r="D985" s="115" t="s">
        <v>3259</v>
      </c>
      <c r="E985" s="115">
        <v>2</v>
      </c>
      <c r="F985" s="71"/>
      <c r="G985" s="109">
        <v>286.5</v>
      </c>
      <c r="H985" s="110">
        <v>0</v>
      </c>
      <c r="I985" s="111">
        <v>2</v>
      </c>
      <c r="J985" s="110">
        <v>286.5</v>
      </c>
      <c r="K985" s="111"/>
    </row>
    <row r="986" spans="2:11" ht="30">
      <c r="B986" s="115" t="s">
        <v>2750</v>
      </c>
      <c r="C986" s="115" t="s">
        <v>3047</v>
      </c>
      <c r="D986" s="115" t="s">
        <v>1243</v>
      </c>
      <c r="E986" s="115">
        <v>5</v>
      </c>
      <c r="F986" s="71">
        <v>4</v>
      </c>
      <c r="G986" s="109">
        <v>302.5</v>
      </c>
      <c r="H986" s="110">
        <v>242</v>
      </c>
      <c r="I986" s="111">
        <v>1</v>
      </c>
      <c r="J986" s="110">
        <v>60.5</v>
      </c>
      <c r="K986" s="111"/>
    </row>
    <row r="987" spans="2:11" ht="30">
      <c r="B987" s="115" t="s">
        <v>2751</v>
      </c>
      <c r="C987" s="115" t="s">
        <v>3048</v>
      </c>
      <c r="D987" s="115" t="s">
        <v>3260</v>
      </c>
      <c r="E987" s="115">
        <v>17</v>
      </c>
      <c r="F987" s="71"/>
      <c r="G987" s="109">
        <v>1122</v>
      </c>
      <c r="H987" s="110">
        <v>0</v>
      </c>
      <c r="I987" s="111">
        <v>17</v>
      </c>
      <c r="J987" s="110">
        <v>1122</v>
      </c>
      <c r="K987" s="111"/>
    </row>
    <row r="988" spans="2:11">
      <c r="B988" s="115" t="s">
        <v>2752</v>
      </c>
      <c r="C988" s="115" t="s">
        <v>3049</v>
      </c>
      <c r="D988" s="115" t="s">
        <v>3261</v>
      </c>
      <c r="E988" s="115">
        <v>225</v>
      </c>
      <c r="F988" s="71">
        <v>143</v>
      </c>
      <c r="G988" s="109">
        <v>1350</v>
      </c>
      <c r="H988" s="110">
        <v>858</v>
      </c>
      <c r="I988" s="111">
        <v>82</v>
      </c>
      <c r="J988" s="110">
        <v>492</v>
      </c>
      <c r="K988" s="111"/>
    </row>
    <row r="989" spans="2:11" ht="30">
      <c r="B989" s="115" t="s">
        <v>2753</v>
      </c>
      <c r="C989" s="115" t="s">
        <v>3050</v>
      </c>
      <c r="D989" s="115" t="s">
        <v>3262</v>
      </c>
      <c r="E989" s="115">
        <v>223</v>
      </c>
      <c r="F989" s="71">
        <v>127</v>
      </c>
      <c r="G989" s="109">
        <v>1003.5</v>
      </c>
      <c r="H989" s="110">
        <v>571.5</v>
      </c>
      <c r="I989" s="111">
        <v>96</v>
      </c>
      <c r="J989" s="110">
        <v>432</v>
      </c>
      <c r="K989" s="111"/>
    </row>
    <row r="990" spans="2:11">
      <c r="B990" s="115" t="s">
        <v>2754</v>
      </c>
      <c r="C990" s="115" t="s">
        <v>3051</v>
      </c>
      <c r="D990" s="115" t="s">
        <v>3263</v>
      </c>
      <c r="E990" s="115">
        <v>345</v>
      </c>
      <c r="F990" s="71">
        <v>332</v>
      </c>
      <c r="G990" s="109">
        <v>1725</v>
      </c>
      <c r="H990" s="110">
        <v>1660</v>
      </c>
      <c r="I990" s="111">
        <v>13</v>
      </c>
      <c r="J990" s="110">
        <v>65</v>
      </c>
      <c r="K990" s="111"/>
    </row>
    <row r="991" spans="2:11">
      <c r="B991" s="115" t="s">
        <v>2755</v>
      </c>
      <c r="C991" s="115" t="s">
        <v>3052</v>
      </c>
      <c r="D991" s="115" t="s">
        <v>3261</v>
      </c>
      <c r="E991" s="115">
        <v>136</v>
      </c>
      <c r="F991" s="71">
        <v>134</v>
      </c>
      <c r="G991" s="109">
        <v>816</v>
      </c>
      <c r="H991" s="110">
        <v>804</v>
      </c>
      <c r="I991" s="111">
        <v>2</v>
      </c>
      <c r="J991" s="110">
        <v>12</v>
      </c>
      <c r="K991" s="111"/>
    </row>
    <row r="992" spans="2:11">
      <c r="B992" s="115" t="s">
        <v>2756</v>
      </c>
      <c r="C992" s="115" t="s">
        <v>3053</v>
      </c>
      <c r="D992" s="115" t="s">
        <v>3096</v>
      </c>
      <c r="E992" s="115">
        <v>11</v>
      </c>
      <c r="F992" s="71"/>
      <c r="G992" s="109">
        <v>495</v>
      </c>
      <c r="H992" s="110">
        <v>0</v>
      </c>
      <c r="I992" s="111">
        <v>11</v>
      </c>
      <c r="J992" s="110">
        <v>495</v>
      </c>
      <c r="K992" s="111"/>
    </row>
    <row r="993" spans="2:11">
      <c r="B993" s="115" t="s">
        <v>2757</v>
      </c>
      <c r="C993" s="115" t="s">
        <v>3054</v>
      </c>
      <c r="D993" s="115" t="s">
        <v>3264</v>
      </c>
      <c r="E993" s="115">
        <v>11</v>
      </c>
      <c r="F993" s="71"/>
      <c r="G993" s="109">
        <v>47.849999999999994</v>
      </c>
      <c r="H993" s="110">
        <v>0</v>
      </c>
      <c r="I993" s="111">
        <v>11</v>
      </c>
      <c r="J993" s="110">
        <v>47.849999999999994</v>
      </c>
      <c r="K993" s="111"/>
    </row>
    <row r="994" spans="2:11">
      <c r="B994" s="115" t="s">
        <v>2758</v>
      </c>
      <c r="C994" s="115" t="s">
        <v>3055</v>
      </c>
      <c r="D994" s="115" t="s">
        <v>3265</v>
      </c>
      <c r="E994" s="115">
        <v>1</v>
      </c>
      <c r="F994" s="71"/>
      <c r="G994" s="109">
        <v>26.86</v>
      </c>
      <c r="H994" s="110">
        <v>0</v>
      </c>
      <c r="I994" s="111">
        <v>1</v>
      </c>
      <c r="J994" s="110">
        <v>26.86</v>
      </c>
      <c r="K994" s="111"/>
    </row>
    <row r="995" spans="2:11">
      <c r="B995" s="115" t="s">
        <v>2759</v>
      </c>
      <c r="C995" s="115" t="s">
        <v>3056</v>
      </c>
      <c r="D995" s="115" t="s">
        <v>3266</v>
      </c>
      <c r="E995" s="115">
        <v>1</v>
      </c>
      <c r="F995" s="71"/>
      <c r="G995" s="109">
        <v>46.08</v>
      </c>
      <c r="H995" s="110">
        <v>0</v>
      </c>
      <c r="I995" s="111">
        <v>1</v>
      </c>
      <c r="J995" s="110">
        <v>46.08</v>
      </c>
      <c r="K995" s="111"/>
    </row>
    <row r="996" spans="2:11">
      <c r="B996" s="115" t="s">
        <v>2760</v>
      </c>
      <c r="C996" s="115" t="s">
        <v>3057</v>
      </c>
      <c r="D996" s="115" t="s">
        <v>3267</v>
      </c>
      <c r="E996" s="115">
        <v>33</v>
      </c>
      <c r="F996" s="71">
        <v>5</v>
      </c>
      <c r="G996" s="109">
        <v>1869.78</v>
      </c>
      <c r="H996" s="110">
        <v>283.29999999999995</v>
      </c>
      <c r="I996" s="111">
        <v>28</v>
      </c>
      <c r="J996" s="110">
        <v>1586.48</v>
      </c>
      <c r="K996" s="111"/>
    </row>
    <row r="997" spans="2:11">
      <c r="B997" s="115" t="s">
        <v>2761</v>
      </c>
      <c r="C997" s="115" t="s">
        <v>3058</v>
      </c>
      <c r="D997" s="115" t="s">
        <v>3268</v>
      </c>
      <c r="E997" s="115">
        <v>114</v>
      </c>
      <c r="F997" s="71">
        <v>112</v>
      </c>
      <c r="G997" s="109">
        <v>587.1</v>
      </c>
      <c r="H997" s="110">
        <v>576.80000000000007</v>
      </c>
      <c r="I997" s="111">
        <v>2</v>
      </c>
      <c r="J997" s="110">
        <v>10.299999999999955</v>
      </c>
      <c r="K997" s="111"/>
    </row>
    <row r="998" spans="2:11">
      <c r="B998" s="115" t="s">
        <v>2762</v>
      </c>
      <c r="C998" s="115" t="s">
        <v>3059</v>
      </c>
      <c r="D998" s="115" t="s">
        <v>3268</v>
      </c>
      <c r="E998" s="115">
        <v>160</v>
      </c>
      <c r="F998" s="71">
        <v>156</v>
      </c>
      <c r="G998" s="109">
        <v>824</v>
      </c>
      <c r="H998" s="110">
        <v>803.40000000000009</v>
      </c>
      <c r="I998" s="111">
        <v>4</v>
      </c>
      <c r="J998" s="110">
        <v>20.599999999999909</v>
      </c>
      <c r="K998" s="111"/>
    </row>
    <row r="999" spans="2:11">
      <c r="B999" s="115" t="s">
        <v>2763</v>
      </c>
      <c r="C999" s="115" t="s">
        <v>3060</v>
      </c>
      <c r="D999" s="115" t="s">
        <v>3269</v>
      </c>
      <c r="E999" s="115">
        <v>2</v>
      </c>
      <c r="F999" s="71"/>
      <c r="G999" s="109">
        <v>50</v>
      </c>
      <c r="H999" s="110">
        <v>0</v>
      </c>
      <c r="I999" s="111">
        <v>2</v>
      </c>
      <c r="J999" s="110">
        <v>50</v>
      </c>
      <c r="K999" s="111"/>
    </row>
    <row r="1000" spans="2:11">
      <c r="B1000" s="115" t="s">
        <v>3276</v>
      </c>
      <c r="C1000" s="115" t="s">
        <v>3458</v>
      </c>
      <c r="D1000" s="115" t="s">
        <v>1814</v>
      </c>
      <c r="E1000" s="115">
        <v>1</v>
      </c>
      <c r="F1000" s="71"/>
      <c r="G1000" s="109">
        <v>32</v>
      </c>
      <c r="H1000" s="110">
        <v>0</v>
      </c>
      <c r="I1000" s="111">
        <v>1</v>
      </c>
      <c r="J1000" s="110">
        <v>32</v>
      </c>
      <c r="K1000" s="111"/>
    </row>
    <row r="1001" spans="2:11">
      <c r="B1001" s="115" t="s">
        <v>3278</v>
      </c>
      <c r="C1001" s="115" t="s">
        <v>3460</v>
      </c>
      <c r="D1001" s="115" t="s">
        <v>1244</v>
      </c>
      <c r="E1001" s="115">
        <v>1</v>
      </c>
      <c r="F1001" s="71"/>
      <c r="G1001" s="109">
        <v>55</v>
      </c>
      <c r="H1001" s="110">
        <v>0</v>
      </c>
      <c r="I1001" s="111">
        <v>1</v>
      </c>
      <c r="J1001" s="110">
        <v>55</v>
      </c>
      <c r="K1001" s="111"/>
    </row>
    <row r="1002" spans="2:11">
      <c r="B1002" s="115" t="s">
        <v>3280</v>
      </c>
      <c r="C1002" s="115" t="s">
        <v>3462</v>
      </c>
      <c r="D1002" s="115" t="s">
        <v>1814</v>
      </c>
      <c r="E1002" s="115">
        <v>1</v>
      </c>
      <c r="F1002" s="71"/>
      <c r="G1002" s="109">
        <v>32</v>
      </c>
      <c r="H1002" s="110">
        <v>0</v>
      </c>
      <c r="I1002" s="111">
        <v>1</v>
      </c>
      <c r="J1002" s="110">
        <v>32</v>
      </c>
      <c r="K1002" s="111"/>
    </row>
    <row r="1003" spans="2:11">
      <c r="B1003" s="115" t="s">
        <v>3281</v>
      </c>
      <c r="C1003" s="115" t="s">
        <v>3463</v>
      </c>
      <c r="D1003" s="115" t="s">
        <v>1175</v>
      </c>
      <c r="E1003" s="115">
        <v>1</v>
      </c>
      <c r="F1003" s="71"/>
      <c r="G1003" s="109">
        <v>62.75</v>
      </c>
      <c r="H1003" s="110">
        <v>0</v>
      </c>
      <c r="I1003" s="111">
        <v>1</v>
      </c>
      <c r="J1003" s="110">
        <v>62.75</v>
      </c>
      <c r="K1003" s="111"/>
    </row>
    <row r="1004" spans="2:11">
      <c r="B1004" s="115" t="s">
        <v>3282</v>
      </c>
      <c r="C1004" s="115" t="s">
        <v>3464</v>
      </c>
      <c r="D1004" s="115" t="s">
        <v>3636</v>
      </c>
      <c r="E1004" s="115">
        <v>7</v>
      </c>
      <c r="F1004" s="71"/>
      <c r="G1004" s="109">
        <v>290.5</v>
      </c>
      <c r="H1004" s="110">
        <v>0</v>
      </c>
      <c r="I1004" s="111">
        <v>7</v>
      </c>
      <c r="J1004" s="110">
        <v>290.5</v>
      </c>
      <c r="K1004" s="111"/>
    </row>
    <row r="1005" spans="2:11">
      <c r="B1005" s="115" t="s">
        <v>3284</v>
      </c>
      <c r="C1005" s="115" t="s">
        <v>3466</v>
      </c>
      <c r="D1005" s="115" t="s">
        <v>2080</v>
      </c>
      <c r="E1005" s="115">
        <v>3</v>
      </c>
      <c r="F1005" s="71"/>
      <c r="G1005" s="109">
        <v>81.75</v>
      </c>
      <c r="H1005" s="110">
        <v>0</v>
      </c>
      <c r="I1005" s="111">
        <v>3</v>
      </c>
      <c r="J1005" s="110">
        <v>81.75</v>
      </c>
      <c r="K1005" s="111"/>
    </row>
    <row r="1006" spans="2:11">
      <c r="B1006" s="115" t="s">
        <v>3286</v>
      </c>
      <c r="C1006" s="115" t="s">
        <v>3467</v>
      </c>
      <c r="D1006" s="115" t="s">
        <v>1183</v>
      </c>
      <c r="E1006" s="115">
        <v>11</v>
      </c>
      <c r="F1006" s="71"/>
      <c r="G1006" s="109">
        <v>715</v>
      </c>
      <c r="H1006" s="110">
        <v>0</v>
      </c>
      <c r="I1006" s="111">
        <v>11</v>
      </c>
      <c r="J1006" s="110">
        <v>715</v>
      </c>
      <c r="K1006" s="111"/>
    </row>
    <row r="1007" spans="2:11">
      <c r="B1007" s="115" t="s">
        <v>3288</v>
      </c>
      <c r="C1007" s="115" t="s">
        <v>3469</v>
      </c>
      <c r="D1007" s="115" t="s">
        <v>1244</v>
      </c>
      <c r="E1007" s="115">
        <v>1</v>
      </c>
      <c r="F1007" s="71"/>
      <c r="G1007" s="109">
        <v>55</v>
      </c>
      <c r="H1007" s="110">
        <v>0</v>
      </c>
      <c r="I1007" s="111">
        <v>1</v>
      </c>
      <c r="J1007" s="110">
        <v>55</v>
      </c>
      <c r="K1007" s="111"/>
    </row>
    <row r="1008" spans="2:11">
      <c r="B1008" s="115" t="s">
        <v>3291</v>
      </c>
      <c r="C1008" s="115" t="s">
        <v>3472</v>
      </c>
      <c r="D1008" s="115" t="s">
        <v>1814</v>
      </c>
      <c r="E1008" s="115">
        <v>3</v>
      </c>
      <c r="F1008" s="71"/>
      <c r="G1008" s="109">
        <v>96</v>
      </c>
      <c r="H1008" s="110">
        <v>0</v>
      </c>
      <c r="I1008" s="111">
        <v>3</v>
      </c>
      <c r="J1008" s="110">
        <v>96</v>
      </c>
      <c r="K1008" s="111"/>
    </row>
    <row r="1009" spans="2:11">
      <c r="B1009" s="115" t="s">
        <v>3292</v>
      </c>
      <c r="C1009" s="115" t="s">
        <v>3473</v>
      </c>
      <c r="D1009" s="115" t="s">
        <v>1821</v>
      </c>
      <c r="E1009" s="115">
        <v>13</v>
      </c>
      <c r="F1009" s="71"/>
      <c r="G1009" s="109">
        <v>243.75</v>
      </c>
      <c r="H1009" s="110">
        <v>0</v>
      </c>
      <c r="I1009" s="111">
        <v>13</v>
      </c>
      <c r="J1009" s="110">
        <v>243.75</v>
      </c>
      <c r="K1009" s="111"/>
    </row>
    <row r="1010" spans="2:11">
      <c r="B1010" s="115" t="s">
        <v>3296</v>
      </c>
      <c r="C1010" s="115" t="s">
        <v>3477</v>
      </c>
      <c r="D1010" s="115" t="s">
        <v>3640</v>
      </c>
      <c r="E1010" s="115">
        <v>40</v>
      </c>
      <c r="F1010" s="71">
        <v>27</v>
      </c>
      <c r="G1010" s="109">
        <v>778.8</v>
      </c>
      <c r="H1010" s="110">
        <v>525.68999999999994</v>
      </c>
      <c r="I1010" s="111">
        <v>13</v>
      </c>
      <c r="J1010" s="110">
        <v>253.11</v>
      </c>
      <c r="K1010" s="111"/>
    </row>
    <row r="1011" spans="2:11">
      <c r="B1011" s="115" t="s">
        <v>3297</v>
      </c>
      <c r="C1011" s="115" t="s">
        <v>3478</v>
      </c>
      <c r="D1011" s="115" t="s">
        <v>3638</v>
      </c>
      <c r="E1011" s="115">
        <v>114</v>
      </c>
      <c r="F1011" s="71">
        <v>66</v>
      </c>
      <c r="G1011" s="109">
        <v>1643.8799999999999</v>
      </c>
      <c r="H1011" s="110">
        <v>951.72</v>
      </c>
      <c r="I1011" s="111">
        <v>48</v>
      </c>
      <c r="J1011" s="110">
        <v>692.15999999999985</v>
      </c>
      <c r="K1011" s="111"/>
    </row>
    <row r="1012" spans="2:11">
      <c r="B1012" s="115" t="s">
        <v>3298</v>
      </c>
      <c r="C1012" s="115" t="s">
        <v>3479</v>
      </c>
      <c r="D1012" s="115" t="s">
        <v>3641</v>
      </c>
      <c r="E1012" s="115">
        <v>1</v>
      </c>
      <c r="F1012" s="71"/>
      <c r="G1012" s="109">
        <v>279.33999999999997</v>
      </c>
      <c r="H1012" s="110">
        <v>0</v>
      </c>
      <c r="I1012" s="111">
        <v>1</v>
      </c>
      <c r="J1012" s="110">
        <v>279.33999999999997</v>
      </c>
      <c r="K1012" s="111"/>
    </row>
    <row r="1013" spans="2:11">
      <c r="B1013" s="115" t="s">
        <v>3300</v>
      </c>
      <c r="C1013" s="115" t="s">
        <v>3481</v>
      </c>
      <c r="D1013" s="115" t="s">
        <v>3643</v>
      </c>
      <c r="E1013" s="115">
        <v>11</v>
      </c>
      <c r="F1013" s="71"/>
      <c r="G1013" s="109">
        <v>3257.1000000000004</v>
      </c>
      <c r="H1013" s="110">
        <v>0</v>
      </c>
      <c r="I1013" s="111">
        <v>11</v>
      </c>
      <c r="J1013" s="110">
        <v>3257.1000000000004</v>
      </c>
      <c r="K1013" s="111"/>
    </row>
    <row r="1014" spans="2:11">
      <c r="B1014" s="115" t="s">
        <v>3301</v>
      </c>
      <c r="C1014" s="115" t="s">
        <v>3482</v>
      </c>
      <c r="D1014" s="115" t="s">
        <v>3644</v>
      </c>
      <c r="E1014" s="115">
        <v>3</v>
      </c>
      <c r="F1014" s="71"/>
      <c r="G1014" s="109">
        <v>1081.9499999999998</v>
      </c>
      <c r="H1014" s="110">
        <v>0</v>
      </c>
      <c r="I1014" s="111">
        <v>3</v>
      </c>
      <c r="J1014" s="110">
        <v>1081.9499999999998</v>
      </c>
      <c r="K1014" s="111"/>
    </row>
    <row r="1015" spans="2:11">
      <c r="B1015" s="115" t="s">
        <v>3304</v>
      </c>
      <c r="C1015" s="115" t="s">
        <v>3485</v>
      </c>
      <c r="D1015" s="115" t="s">
        <v>3646</v>
      </c>
      <c r="E1015" s="115">
        <v>131</v>
      </c>
      <c r="F1015" s="71"/>
      <c r="G1015" s="109">
        <v>2358</v>
      </c>
      <c r="H1015" s="110">
        <v>0</v>
      </c>
      <c r="I1015" s="111">
        <v>131</v>
      </c>
      <c r="J1015" s="110">
        <v>2358</v>
      </c>
      <c r="K1015" s="111"/>
    </row>
    <row r="1016" spans="2:11">
      <c r="B1016" s="115" t="s">
        <v>3305</v>
      </c>
      <c r="C1016" s="115" t="s">
        <v>3486</v>
      </c>
      <c r="D1016" s="115" t="s">
        <v>3647</v>
      </c>
      <c r="E1016" s="115">
        <v>29</v>
      </c>
      <c r="F1016" s="71"/>
      <c r="G1016" s="109">
        <v>609</v>
      </c>
      <c r="H1016" s="110">
        <v>0</v>
      </c>
      <c r="I1016" s="111">
        <v>29</v>
      </c>
      <c r="J1016" s="110">
        <v>609</v>
      </c>
      <c r="K1016" s="111"/>
    </row>
    <row r="1017" spans="2:11">
      <c r="B1017" s="115" t="s">
        <v>3308</v>
      </c>
      <c r="C1017" s="115" t="s">
        <v>3489</v>
      </c>
      <c r="D1017" s="115" t="s">
        <v>3649</v>
      </c>
      <c r="E1017" s="115">
        <v>10</v>
      </c>
      <c r="F1017" s="71"/>
      <c r="G1017" s="109">
        <v>127</v>
      </c>
      <c r="H1017" s="110">
        <v>0</v>
      </c>
      <c r="I1017" s="111">
        <v>10</v>
      </c>
      <c r="J1017" s="110">
        <v>127</v>
      </c>
      <c r="K1017" s="111"/>
    </row>
    <row r="1018" spans="2:11">
      <c r="B1018" s="115" t="s">
        <v>3311</v>
      </c>
      <c r="C1018" s="115" t="s">
        <v>3492</v>
      </c>
      <c r="D1018" s="115" t="s">
        <v>3650</v>
      </c>
      <c r="E1018" s="115">
        <v>2</v>
      </c>
      <c r="F1018" s="71">
        <v>1</v>
      </c>
      <c r="G1018" s="109">
        <v>12.58</v>
      </c>
      <c r="H1018" s="110">
        <v>6.29</v>
      </c>
      <c r="I1018" s="111">
        <v>1</v>
      </c>
      <c r="J1018" s="110">
        <v>6.29</v>
      </c>
      <c r="K1018" s="111"/>
    </row>
    <row r="1019" spans="2:11">
      <c r="B1019" s="115" t="s">
        <v>3313</v>
      </c>
      <c r="C1019" s="115" t="s">
        <v>3494</v>
      </c>
      <c r="D1019" s="115" t="s">
        <v>3651</v>
      </c>
      <c r="E1019" s="115">
        <v>253</v>
      </c>
      <c r="F1019" s="71">
        <v>144</v>
      </c>
      <c r="G1019" s="109">
        <v>5588.7699999999995</v>
      </c>
      <c r="H1019" s="110">
        <v>3180.96</v>
      </c>
      <c r="I1019" s="111">
        <v>109</v>
      </c>
      <c r="J1019" s="110">
        <v>2407.8099999999995</v>
      </c>
      <c r="K1019" s="111"/>
    </row>
    <row r="1020" spans="2:11">
      <c r="B1020" s="115" t="s">
        <v>3316</v>
      </c>
      <c r="C1020" s="115" t="s">
        <v>3497</v>
      </c>
      <c r="D1020" s="115" t="s">
        <v>3652</v>
      </c>
      <c r="E1020" s="115">
        <v>339</v>
      </c>
      <c r="F1020" s="71">
        <v>224</v>
      </c>
      <c r="G1020" s="109">
        <v>7651.2300000000005</v>
      </c>
      <c r="H1020" s="110">
        <v>5055.68</v>
      </c>
      <c r="I1020" s="111">
        <v>115</v>
      </c>
      <c r="J1020" s="110">
        <v>2595.5500000000002</v>
      </c>
      <c r="K1020" s="111"/>
    </row>
    <row r="1021" spans="2:11">
      <c r="B1021" s="115" t="s">
        <v>3319</v>
      </c>
      <c r="C1021" s="115" t="s">
        <v>3500</v>
      </c>
      <c r="D1021" s="115" t="s">
        <v>3655</v>
      </c>
      <c r="E1021" s="115">
        <v>80</v>
      </c>
      <c r="F1021" s="71">
        <v>62</v>
      </c>
      <c r="G1021" s="109">
        <v>401.59999999999997</v>
      </c>
      <c r="H1021" s="110">
        <v>311.23999999999995</v>
      </c>
      <c r="I1021" s="111">
        <v>18</v>
      </c>
      <c r="J1021" s="110">
        <v>90.360000000000014</v>
      </c>
      <c r="K1021" s="111"/>
    </row>
    <row r="1022" spans="2:11">
      <c r="B1022" s="115" t="s">
        <v>3320</v>
      </c>
      <c r="C1022" s="115" t="s">
        <v>3501</v>
      </c>
      <c r="D1022" s="115" t="s">
        <v>3656</v>
      </c>
      <c r="E1022" s="115">
        <v>33</v>
      </c>
      <c r="F1022" s="71">
        <v>8</v>
      </c>
      <c r="G1022" s="109">
        <v>158.07</v>
      </c>
      <c r="H1022" s="110">
        <v>38.32</v>
      </c>
      <c r="I1022" s="111">
        <v>25</v>
      </c>
      <c r="J1022" s="110">
        <v>119.75</v>
      </c>
      <c r="K1022" s="111"/>
    </row>
    <row r="1023" spans="2:11">
      <c r="B1023" s="115" t="s">
        <v>3321</v>
      </c>
      <c r="C1023" s="115" t="s">
        <v>3502</v>
      </c>
      <c r="D1023" s="115" t="s">
        <v>3655</v>
      </c>
      <c r="E1023" s="115">
        <v>124</v>
      </c>
      <c r="F1023" s="71">
        <v>84</v>
      </c>
      <c r="G1023" s="109">
        <v>622.4799999999999</v>
      </c>
      <c r="H1023" s="110">
        <v>421.67999999999995</v>
      </c>
      <c r="I1023" s="111">
        <v>40</v>
      </c>
      <c r="J1023" s="110">
        <v>200.79999999999995</v>
      </c>
      <c r="K1023" s="111"/>
    </row>
    <row r="1024" spans="2:11">
      <c r="B1024" s="115" t="s">
        <v>3323</v>
      </c>
      <c r="C1024" s="115" t="s">
        <v>3504</v>
      </c>
      <c r="D1024" s="115" t="s">
        <v>752</v>
      </c>
      <c r="E1024" s="115">
        <v>75</v>
      </c>
      <c r="F1024" s="71">
        <v>74</v>
      </c>
      <c r="G1024" s="109">
        <v>951.75</v>
      </c>
      <c r="H1024" s="110">
        <v>939.06</v>
      </c>
      <c r="I1024" s="111">
        <v>1</v>
      </c>
      <c r="J1024" s="110">
        <v>12.690000000000055</v>
      </c>
      <c r="K1024" s="111"/>
    </row>
    <row r="1025" spans="2:11">
      <c r="B1025" s="115" t="s">
        <v>3325</v>
      </c>
      <c r="C1025" s="115" t="s">
        <v>3506</v>
      </c>
      <c r="D1025" s="115" t="s">
        <v>3658</v>
      </c>
      <c r="E1025" s="115">
        <v>86</v>
      </c>
      <c r="F1025" s="71">
        <v>74</v>
      </c>
      <c r="G1025" s="109">
        <v>3139.8599999999997</v>
      </c>
      <c r="H1025" s="110">
        <v>2701.74</v>
      </c>
      <c r="I1025" s="111">
        <v>12</v>
      </c>
      <c r="J1025" s="110">
        <v>438.11999999999989</v>
      </c>
      <c r="K1025" s="111"/>
    </row>
    <row r="1026" spans="2:11">
      <c r="B1026" s="115" t="s">
        <v>3326</v>
      </c>
      <c r="C1026" s="115" t="s">
        <v>3507</v>
      </c>
      <c r="D1026" s="115" t="s">
        <v>3659</v>
      </c>
      <c r="E1026" s="115">
        <v>85</v>
      </c>
      <c r="F1026" s="71">
        <v>80</v>
      </c>
      <c r="G1026" s="109">
        <v>1671.1</v>
      </c>
      <c r="H1026" s="110">
        <v>1572.8</v>
      </c>
      <c r="I1026" s="111">
        <v>5</v>
      </c>
      <c r="J1026" s="110">
        <v>98.299999999999955</v>
      </c>
      <c r="K1026" s="111"/>
    </row>
    <row r="1027" spans="2:11">
      <c r="B1027" s="115" t="s">
        <v>3328</v>
      </c>
      <c r="C1027" s="115" t="s">
        <v>3509</v>
      </c>
      <c r="D1027" s="115" t="s">
        <v>1822</v>
      </c>
      <c r="E1027" s="115">
        <v>4</v>
      </c>
      <c r="F1027" s="71"/>
      <c r="G1027" s="109">
        <v>60</v>
      </c>
      <c r="H1027" s="110">
        <v>0</v>
      </c>
      <c r="I1027" s="111">
        <v>4</v>
      </c>
      <c r="J1027" s="110">
        <v>60</v>
      </c>
      <c r="K1027" s="111"/>
    </row>
    <row r="1028" spans="2:11">
      <c r="B1028" s="115" t="s">
        <v>3331</v>
      </c>
      <c r="C1028" s="115" t="s">
        <v>3512</v>
      </c>
      <c r="D1028" s="115" t="s">
        <v>3219</v>
      </c>
      <c r="E1028" s="115">
        <v>397</v>
      </c>
      <c r="F1028" s="71">
        <v>16</v>
      </c>
      <c r="G1028" s="109">
        <v>1865.9</v>
      </c>
      <c r="H1028" s="110">
        <v>75.2</v>
      </c>
      <c r="I1028" s="111">
        <v>381</v>
      </c>
      <c r="J1028" s="110">
        <v>1790.7</v>
      </c>
      <c r="K1028" s="111"/>
    </row>
    <row r="1029" spans="2:11">
      <c r="B1029" s="115" t="s">
        <v>3334</v>
      </c>
      <c r="C1029" s="115" t="s">
        <v>3515</v>
      </c>
      <c r="D1029" s="115" t="s">
        <v>3662</v>
      </c>
      <c r="E1029" s="115">
        <v>74</v>
      </c>
      <c r="F1029" s="71"/>
      <c r="G1029" s="109">
        <v>552.04</v>
      </c>
      <c r="H1029" s="110">
        <v>0</v>
      </c>
      <c r="I1029" s="111">
        <v>74</v>
      </c>
      <c r="J1029" s="110">
        <v>552.04</v>
      </c>
      <c r="K1029" s="111"/>
    </row>
    <row r="1030" spans="2:11">
      <c r="B1030" s="115" t="s">
        <v>3337</v>
      </c>
      <c r="C1030" s="115" t="s">
        <v>3518</v>
      </c>
      <c r="D1030" s="115" t="s">
        <v>3102</v>
      </c>
      <c r="E1030" s="115">
        <v>463</v>
      </c>
      <c r="F1030" s="71">
        <v>348</v>
      </c>
      <c r="G1030" s="109">
        <v>2833.56</v>
      </c>
      <c r="H1030" s="110">
        <v>2129.7600000000002</v>
      </c>
      <c r="I1030" s="111">
        <v>115</v>
      </c>
      <c r="J1030" s="110">
        <v>703.79999999999973</v>
      </c>
      <c r="K1030" s="111"/>
    </row>
    <row r="1031" spans="2:11">
      <c r="B1031" s="115" t="s">
        <v>3339</v>
      </c>
      <c r="C1031" s="115" t="s">
        <v>3520</v>
      </c>
      <c r="D1031" s="115" t="s">
        <v>3665</v>
      </c>
      <c r="E1031" s="115">
        <v>8</v>
      </c>
      <c r="F1031" s="71"/>
      <c r="G1031" s="109">
        <v>1284.08</v>
      </c>
      <c r="H1031" s="110">
        <v>0</v>
      </c>
      <c r="I1031" s="111">
        <v>8</v>
      </c>
      <c r="J1031" s="110">
        <v>1284.08</v>
      </c>
      <c r="K1031" s="111"/>
    </row>
    <row r="1032" spans="2:11">
      <c r="B1032" s="115" t="s">
        <v>3340</v>
      </c>
      <c r="C1032" s="115" t="s">
        <v>3521</v>
      </c>
      <c r="D1032" s="115" t="s">
        <v>3666</v>
      </c>
      <c r="E1032" s="115">
        <v>476</v>
      </c>
      <c r="F1032" s="71">
        <v>468</v>
      </c>
      <c r="G1032" s="109">
        <v>7259</v>
      </c>
      <c r="H1032" s="110">
        <v>7137</v>
      </c>
      <c r="I1032" s="111">
        <v>8</v>
      </c>
      <c r="J1032" s="110">
        <v>122</v>
      </c>
      <c r="K1032" s="111"/>
    </row>
    <row r="1033" spans="2:11">
      <c r="B1033" s="115" t="s">
        <v>3340</v>
      </c>
      <c r="C1033" s="115" t="s">
        <v>3521</v>
      </c>
      <c r="D1033" s="115" t="s">
        <v>3663</v>
      </c>
      <c r="E1033" s="115">
        <v>12</v>
      </c>
      <c r="F1033" s="71"/>
      <c r="G1033" s="109">
        <v>166.44</v>
      </c>
      <c r="H1033" s="110">
        <v>0</v>
      </c>
      <c r="I1033" s="111">
        <v>12</v>
      </c>
      <c r="J1033" s="110">
        <v>166.44</v>
      </c>
      <c r="K1033" s="111"/>
    </row>
    <row r="1034" spans="2:11">
      <c r="B1034" s="115" t="s">
        <v>3341</v>
      </c>
      <c r="C1034" s="115" t="s">
        <v>3522</v>
      </c>
      <c r="D1034" s="115" t="s">
        <v>3102</v>
      </c>
      <c r="E1034" s="115">
        <v>345</v>
      </c>
      <c r="F1034" s="71">
        <v>256</v>
      </c>
      <c r="G1034" s="109">
        <v>2111.4</v>
      </c>
      <c r="H1034" s="110">
        <v>1566.72</v>
      </c>
      <c r="I1034" s="111">
        <v>89</v>
      </c>
      <c r="J1034" s="110">
        <v>544.68000000000006</v>
      </c>
      <c r="K1034" s="111"/>
    </row>
    <row r="1035" spans="2:11">
      <c r="B1035" s="115" t="s">
        <v>3342</v>
      </c>
      <c r="C1035" s="115" t="s">
        <v>3523</v>
      </c>
      <c r="D1035" s="115" t="s">
        <v>1233</v>
      </c>
      <c r="E1035" s="115">
        <v>24</v>
      </c>
      <c r="F1035" s="71">
        <v>1</v>
      </c>
      <c r="G1035" s="109">
        <v>141.12</v>
      </c>
      <c r="H1035" s="110">
        <v>5.88</v>
      </c>
      <c r="I1035" s="111">
        <v>23</v>
      </c>
      <c r="J1035" s="110">
        <v>135.24</v>
      </c>
      <c r="K1035" s="111"/>
    </row>
    <row r="1036" spans="2:11">
      <c r="B1036" s="115" t="s">
        <v>3344</v>
      </c>
      <c r="C1036" s="115" t="s">
        <v>3525</v>
      </c>
      <c r="D1036" s="115" t="s">
        <v>3102</v>
      </c>
      <c r="E1036" s="115">
        <v>112</v>
      </c>
      <c r="F1036" s="71">
        <v>9</v>
      </c>
      <c r="G1036" s="109">
        <v>685.44</v>
      </c>
      <c r="H1036" s="110">
        <v>55.08</v>
      </c>
      <c r="I1036" s="111">
        <v>103</v>
      </c>
      <c r="J1036" s="110">
        <v>630.36</v>
      </c>
      <c r="K1036" s="111"/>
    </row>
    <row r="1037" spans="2:11">
      <c r="B1037" s="115" t="s">
        <v>3345</v>
      </c>
      <c r="C1037" s="115" t="s">
        <v>3526</v>
      </c>
      <c r="D1037" s="115" t="s">
        <v>3665</v>
      </c>
      <c r="E1037" s="115">
        <v>25</v>
      </c>
      <c r="F1037" s="71">
        <v>17</v>
      </c>
      <c r="G1037" s="109">
        <v>4012.75</v>
      </c>
      <c r="H1037" s="110">
        <v>2728.67</v>
      </c>
      <c r="I1037" s="111">
        <v>8</v>
      </c>
      <c r="J1037" s="110">
        <v>1284.08</v>
      </c>
      <c r="K1037" s="111"/>
    </row>
    <row r="1038" spans="2:11">
      <c r="B1038" s="115" t="s">
        <v>3346</v>
      </c>
      <c r="C1038" s="115" t="s">
        <v>3527</v>
      </c>
      <c r="D1038" s="115" t="s">
        <v>3668</v>
      </c>
      <c r="E1038" s="115">
        <v>228</v>
      </c>
      <c r="F1038" s="71"/>
      <c r="G1038" s="109">
        <v>3164.6400000000003</v>
      </c>
      <c r="H1038" s="110">
        <v>0</v>
      </c>
      <c r="I1038" s="111">
        <v>228</v>
      </c>
      <c r="J1038" s="110">
        <v>3164.6400000000003</v>
      </c>
      <c r="K1038" s="111"/>
    </row>
    <row r="1039" spans="2:11">
      <c r="B1039" s="115" t="s">
        <v>3347</v>
      </c>
      <c r="C1039" s="115" t="s">
        <v>3528</v>
      </c>
      <c r="D1039" s="115" t="s">
        <v>3669</v>
      </c>
      <c r="E1039" s="115">
        <v>4</v>
      </c>
      <c r="F1039" s="71"/>
      <c r="G1039" s="109">
        <v>633</v>
      </c>
      <c r="H1039" s="110">
        <v>0</v>
      </c>
      <c r="I1039" s="111">
        <v>4</v>
      </c>
      <c r="J1039" s="110">
        <v>633</v>
      </c>
      <c r="K1039" s="111"/>
    </row>
    <row r="1040" spans="2:11">
      <c r="B1040" s="115" t="s">
        <v>3354</v>
      </c>
      <c r="C1040" s="115" t="s">
        <v>3535</v>
      </c>
      <c r="D1040" s="115" t="s">
        <v>3674</v>
      </c>
      <c r="E1040" s="115">
        <v>1</v>
      </c>
      <c r="F1040" s="71"/>
      <c r="G1040" s="109">
        <v>199.35</v>
      </c>
      <c r="H1040" s="110">
        <v>0</v>
      </c>
      <c r="I1040" s="111">
        <v>1</v>
      </c>
      <c r="J1040" s="110">
        <v>199.35</v>
      </c>
      <c r="K1040" s="111"/>
    </row>
    <row r="1041" spans="2:11">
      <c r="B1041" s="115" t="s">
        <v>3355</v>
      </c>
      <c r="C1041" s="115" t="s">
        <v>3536</v>
      </c>
      <c r="D1041" s="115" t="s">
        <v>3174</v>
      </c>
      <c r="E1041" s="115">
        <v>5</v>
      </c>
      <c r="F1041" s="71"/>
      <c r="G1041" s="109">
        <v>1046.5</v>
      </c>
      <c r="H1041" s="110">
        <v>0</v>
      </c>
      <c r="I1041" s="111">
        <v>5</v>
      </c>
      <c r="J1041" s="110">
        <v>1046.5</v>
      </c>
      <c r="K1041" s="111"/>
    </row>
    <row r="1042" spans="2:11">
      <c r="B1042" s="115" t="s">
        <v>3356</v>
      </c>
      <c r="C1042" s="115" t="s">
        <v>3537</v>
      </c>
      <c r="D1042" s="115" t="s">
        <v>3174</v>
      </c>
      <c r="E1042" s="115">
        <v>10</v>
      </c>
      <c r="F1042" s="71">
        <v>9</v>
      </c>
      <c r="G1042" s="109">
        <v>2093</v>
      </c>
      <c r="H1042" s="110">
        <v>1883.7</v>
      </c>
      <c r="I1042" s="111">
        <v>1</v>
      </c>
      <c r="J1042" s="110">
        <v>209.29999999999995</v>
      </c>
      <c r="K1042" s="111"/>
    </row>
    <row r="1043" spans="2:11">
      <c r="B1043" s="115" t="s">
        <v>3358</v>
      </c>
      <c r="C1043" s="115" t="s">
        <v>3539</v>
      </c>
      <c r="D1043" s="115" t="s">
        <v>3135</v>
      </c>
      <c r="E1043" s="115">
        <v>5</v>
      </c>
      <c r="F1043" s="71"/>
      <c r="G1043" s="109">
        <v>1335</v>
      </c>
      <c r="H1043" s="110">
        <v>0</v>
      </c>
      <c r="I1043" s="111">
        <v>5</v>
      </c>
      <c r="J1043" s="110">
        <v>1335</v>
      </c>
      <c r="K1043" s="111"/>
    </row>
    <row r="1044" spans="2:11">
      <c r="B1044" s="115" t="s">
        <v>3359</v>
      </c>
      <c r="C1044" s="115" t="s">
        <v>3540</v>
      </c>
      <c r="D1044" s="115" t="s">
        <v>3135</v>
      </c>
      <c r="E1044" s="115">
        <v>4</v>
      </c>
      <c r="F1044" s="71"/>
      <c r="G1044" s="109">
        <v>1068</v>
      </c>
      <c r="H1044" s="110">
        <v>0</v>
      </c>
      <c r="I1044" s="111">
        <v>4</v>
      </c>
      <c r="J1044" s="110">
        <v>1068</v>
      </c>
      <c r="K1044" s="111"/>
    </row>
    <row r="1045" spans="2:11">
      <c r="B1045" s="115" t="s">
        <v>3361</v>
      </c>
      <c r="C1045" s="115" t="s">
        <v>3542</v>
      </c>
      <c r="D1045" s="115" t="s">
        <v>3676</v>
      </c>
      <c r="E1045" s="115">
        <v>5</v>
      </c>
      <c r="F1045" s="71"/>
      <c r="G1045" s="109">
        <v>223.75</v>
      </c>
      <c r="H1045" s="110">
        <v>0</v>
      </c>
      <c r="I1045" s="111">
        <v>5</v>
      </c>
      <c r="J1045" s="110">
        <v>223.75</v>
      </c>
      <c r="K1045" s="111"/>
    </row>
    <row r="1046" spans="2:11">
      <c r="B1046" s="115" t="s">
        <v>3362</v>
      </c>
      <c r="C1046" s="115" t="s">
        <v>3543</v>
      </c>
      <c r="D1046" s="115" t="s">
        <v>3677</v>
      </c>
      <c r="E1046" s="115">
        <v>4</v>
      </c>
      <c r="F1046" s="71"/>
      <c r="G1046" s="109">
        <v>37.880000000000003</v>
      </c>
      <c r="H1046" s="110">
        <v>0</v>
      </c>
      <c r="I1046" s="111">
        <v>4</v>
      </c>
      <c r="J1046" s="110">
        <v>37.880000000000003</v>
      </c>
      <c r="K1046" s="111"/>
    </row>
    <row r="1047" spans="2:11">
      <c r="B1047" s="115" t="s">
        <v>3363</v>
      </c>
      <c r="C1047" s="115" t="s">
        <v>3544</v>
      </c>
      <c r="D1047" s="115" t="s">
        <v>3678</v>
      </c>
      <c r="E1047" s="115">
        <v>12</v>
      </c>
      <c r="F1047" s="71">
        <v>10</v>
      </c>
      <c r="G1047" s="109">
        <v>669.59999999999991</v>
      </c>
      <c r="H1047" s="110">
        <v>558</v>
      </c>
      <c r="I1047" s="111">
        <v>2</v>
      </c>
      <c r="J1047" s="110">
        <v>111.59999999999991</v>
      </c>
      <c r="K1047" s="111"/>
    </row>
    <row r="1048" spans="2:11">
      <c r="B1048" s="115" t="s">
        <v>3364</v>
      </c>
      <c r="C1048" s="115" t="s">
        <v>3545</v>
      </c>
      <c r="D1048" s="115" t="s">
        <v>3679</v>
      </c>
      <c r="E1048" s="115">
        <v>98</v>
      </c>
      <c r="F1048" s="71">
        <v>96</v>
      </c>
      <c r="G1048" s="109">
        <v>1087.8</v>
      </c>
      <c r="H1048" s="110">
        <v>1065.5999999999999</v>
      </c>
      <c r="I1048" s="111">
        <v>2</v>
      </c>
      <c r="J1048" s="110">
        <v>22.200000000000045</v>
      </c>
      <c r="K1048" s="111"/>
    </row>
    <row r="1049" spans="2:11">
      <c r="B1049" s="115" t="s">
        <v>3365</v>
      </c>
      <c r="C1049" s="115" t="s">
        <v>3546</v>
      </c>
      <c r="D1049" s="115" t="s">
        <v>3680</v>
      </c>
      <c r="E1049" s="115">
        <v>62</v>
      </c>
      <c r="F1049" s="71">
        <v>60</v>
      </c>
      <c r="G1049" s="109">
        <v>357.73999999999995</v>
      </c>
      <c r="H1049" s="110">
        <v>346.2</v>
      </c>
      <c r="I1049" s="111">
        <v>2</v>
      </c>
      <c r="J1049" s="110">
        <v>11.539999999999964</v>
      </c>
      <c r="K1049" s="111"/>
    </row>
    <row r="1050" spans="2:11">
      <c r="B1050" s="115" t="s">
        <v>3366</v>
      </c>
      <c r="C1050" s="115" t="s">
        <v>3547</v>
      </c>
      <c r="D1050" s="115" t="s">
        <v>3681</v>
      </c>
      <c r="E1050" s="115">
        <v>1</v>
      </c>
      <c r="F1050" s="71"/>
      <c r="G1050" s="109">
        <v>144.31</v>
      </c>
      <c r="H1050" s="110">
        <v>0</v>
      </c>
      <c r="I1050" s="111">
        <v>1</v>
      </c>
      <c r="J1050" s="110">
        <v>144.31</v>
      </c>
      <c r="K1050" s="111"/>
    </row>
    <row r="1051" spans="2:11">
      <c r="B1051" s="115" t="s">
        <v>4706</v>
      </c>
      <c r="C1051" s="115" t="s">
        <v>4696</v>
      </c>
      <c r="D1051" s="115" t="s">
        <v>4713</v>
      </c>
      <c r="E1051" s="115">
        <v>130</v>
      </c>
      <c r="F1051" s="71">
        <v>17</v>
      </c>
      <c r="G1051" s="109">
        <v>15360.8</v>
      </c>
      <c r="H1051" s="110">
        <v>2008.72</v>
      </c>
      <c r="I1051" s="111">
        <v>113</v>
      </c>
      <c r="J1051" s="110">
        <v>13352.08</v>
      </c>
      <c r="K1051" s="111"/>
    </row>
    <row r="1052" spans="2:11">
      <c r="B1052" s="115" t="s">
        <v>3368</v>
      </c>
      <c r="C1052" s="115" t="s">
        <v>3549</v>
      </c>
      <c r="D1052" s="115" t="s">
        <v>3679</v>
      </c>
      <c r="E1052" s="115">
        <v>105</v>
      </c>
      <c r="F1052" s="71">
        <v>96</v>
      </c>
      <c r="G1052" s="109">
        <v>1165.5</v>
      </c>
      <c r="H1052" s="110">
        <v>1065.5999999999999</v>
      </c>
      <c r="I1052" s="111">
        <v>9</v>
      </c>
      <c r="J1052" s="110">
        <v>99.900000000000091</v>
      </c>
      <c r="K1052" s="111"/>
    </row>
    <row r="1053" spans="2:11">
      <c r="B1053" s="115" t="s">
        <v>4708</v>
      </c>
      <c r="C1053" s="115" t="s">
        <v>4698</v>
      </c>
      <c r="D1053" s="115" t="s">
        <v>4713</v>
      </c>
      <c r="E1053" s="115">
        <v>16</v>
      </c>
      <c r="F1053" s="71">
        <v>13</v>
      </c>
      <c r="G1053" s="109">
        <v>1890.56</v>
      </c>
      <c r="H1053" s="110">
        <v>1536.08</v>
      </c>
      <c r="I1053" s="111">
        <v>3</v>
      </c>
      <c r="J1053" s="110">
        <v>354.48</v>
      </c>
      <c r="K1053" s="111"/>
    </row>
    <row r="1054" spans="2:11">
      <c r="B1054" s="115" t="s">
        <v>3369</v>
      </c>
      <c r="C1054" s="115" t="s">
        <v>3550</v>
      </c>
      <c r="D1054" s="115" t="s">
        <v>3682</v>
      </c>
      <c r="E1054" s="115">
        <v>96</v>
      </c>
      <c r="F1054" s="71">
        <v>95</v>
      </c>
      <c r="G1054" s="109">
        <v>554.88</v>
      </c>
      <c r="H1054" s="110">
        <v>549.1</v>
      </c>
      <c r="I1054" s="111">
        <v>1</v>
      </c>
      <c r="J1054" s="110">
        <v>5.7799999999999727</v>
      </c>
      <c r="K1054" s="111"/>
    </row>
    <row r="1055" spans="2:11">
      <c r="B1055" s="115" t="s">
        <v>3370</v>
      </c>
      <c r="C1055" s="115" t="s">
        <v>3551</v>
      </c>
      <c r="D1055" s="115" t="s">
        <v>3683</v>
      </c>
      <c r="E1055" s="115">
        <v>3</v>
      </c>
      <c r="F1055" s="71"/>
      <c r="G1055" s="109">
        <v>21.6</v>
      </c>
      <c r="H1055" s="110">
        <v>0</v>
      </c>
      <c r="I1055" s="111">
        <v>3</v>
      </c>
      <c r="J1055" s="110">
        <v>21.6</v>
      </c>
      <c r="K1055" s="111"/>
    </row>
    <row r="1056" spans="2:11">
      <c r="B1056" s="115" t="s">
        <v>3371</v>
      </c>
      <c r="C1056" s="115" t="s">
        <v>3552</v>
      </c>
      <c r="D1056" s="115" t="s">
        <v>1204</v>
      </c>
      <c r="E1056" s="115">
        <v>3</v>
      </c>
      <c r="F1056" s="71"/>
      <c r="G1056" s="109">
        <v>226.35000000000002</v>
      </c>
      <c r="H1056" s="110">
        <v>0</v>
      </c>
      <c r="I1056" s="111">
        <v>3</v>
      </c>
      <c r="J1056" s="110">
        <v>226.35000000000002</v>
      </c>
      <c r="K1056" s="111"/>
    </row>
    <row r="1057" spans="2:11">
      <c r="B1057" s="115" t="s">
        <v>3372</v>
      </c>
      <c r="C1057" s="115" t="s">
        <v>3553</v>
      </c>
      <c r="D1057" s="115" t="s">
        <v>3684</v>
      </c>
      <c r="E1057" s="115">
        <v>5</v>
      </c>
      <c r="F1057" s="71"/>
      <c r="G1057" s="109">
        <v>1905.05</v>
      </c>
      <c r="H1057" s="110">
        <v>0</v>
      </c>
      <c r="I1057" s="111">
        <v>5</v>
      </c>
      <c r="J1057" s="110">
        <v>1905.05</v>
      </c>
      <c r="K1057" s="111"/>
    </row>
    <row r="1058" spans="2:11">
      <c r="B1058" s="115" t="s">
        <v>3373</v>
      </c>
      <c r="C1058" s="115" t="s">
        <v>3554</v>
      </c>
      <c r="D1058" s="115" t="s">
        <v>3685</v>
      </c>
      <c r="E1058" s="115">
        <v>15</v>
      </c>
      <c r="F1058" s="71"/>
      <c r="G1058" s="109">
        <v>431.25</v>
      </c>
      <c r="H1058" s="110">
        <v>0</v>
      </c>
      <c r="I1058" s="111">
        <v>15</v>
      </c>
      <c r="J1058" s="110">
        <v>431.25</v>
      </c>
      <c r="K1058" s="111"/>
    </row>
    <row r="1059" spans="2:11">
      <c r="B1059" s="115" t="s">
        <v>3374</v>
      </c>
      <c r="C1059" s="115" t="s">
        <v>3555</v>
      </c>
      <c r="D1059" s="115" t="s">
        <v>1836</v>
      </c>
      <c r="E1059" s="115">
        <v>2</v>
      </c>
      <c r="F1059" s="71"/>
      <c r="G1059" s="109">
        <v>68</v>
      </c>
      <c r="H1059" s="110">
        <v>0</v>
      </c>
      <c r="I1059" s="111">
        <v>2</v>
      </c>
      <c r="J1059" s="110">
        <v>68</v>
      </c>
      <c r="K1059" s="111"/>
    </row>
    <row r="1060" spans="2:11" ht="30">
      <c r="B1060" s="115" t="s">
        <v>3375</v>
      </c>
      <c r="C1060" s="115" t="s">
        <v>3556</v>
      </c>
      <c r="D1060" s="115" t="s">
        <v>3686</v>
      </c>
      <c r="E1060" s="115">
        <v>4</v>
      </c>
      <c r="F1060" s="71">
        <v>3</v>
      </c>
      <c r="G1060" s="109">
        <v>900</v>
      </c>
      <c r="H1060" s="110">
        <v>675</v>
      </c>
      <c r="I1060" s="111">
        <v>1</v>
      </c>
      <c r="J1060" s="110">
        <v>225</v>
      </c>
      <c r="K1060" s="111"/>
    </row>
    <row r="1061" spans="2:11">
      <c r="B1061" s="115" t="s">
        <v>3378</v>
      </c>
      <c r="C1061" s="115" t="s">
        <v>3559</v>
      </c>
      <c r="D1061" s="115" t="s">
        <v>3688</v>
      </c>
      <c r="E1061" s="115">
        <v>10</v>
      </c>
      <c r="F1061" s="71"/>
      <c r="G1061" s="109">
        <v>280</v>
      </c>
      <c r="H1061" s="110">
        <v>0</v>
      </c>
      <c r="I1061" s="111">
        <v>10</v>
      </c>
      <c r="J1061" s="110">
        <v>280</v>
      </c>
      <c r="K1061" s="111"/>
    </row>
    <row r="1062" spans="2:11">
      <c r="B1062" s="115" t="s">
        <v>3379</v>
      </c>
      <c r="C1062" s="115" t="s">
        <v>3560</v>
      </c>
      <c r="D1062" s="115" t="s">
        <v>3689</v>
      </c>
      <c r="E1062" s="115">
        <v>2</v>
      </c>
      <c r="F1062" s="71"/>
      <c r="G1062" s="109">
        <v>504</v>
      </c>
      <c r="H1062" s="110">
        <v>0</v>
      </c>
      <c r="I1062" s="111">
        <v>2</v>
      </c>
      <c r="J1062" s="110">
        <v>504</v>
      </c>
      <c r="K1062" s="111"/>
    </row>
    <row r="1063" spans="2:11">
      <c r="B1063" s="115" t="s">
        <v>3380</v>
      </c>
      <c r="C1063" s="115" t="s">
        <v>3561</v>
      </c>
      <c r="D1063" s="115" t="s">
        <v>3689</v>
      </c>
      <c r="E1063" s="115">
        <v>1</v>
      </c>
      <c r="F1063" s="71"/>
      <c r="G1063" s="109">
        <v>252</v>
      </c>
      <c r="H1063" s="110">
        <v>0</v>
      </c>
      <c r="I1063" s="111">
        <v>1</v>
      </c>
      <c r="J1063" s="110">
        <v>252</v>
      </c>
      <c r="K1063" s="111"/>
    </row>
    <row r="1064" spans="2:11">
      <c r="B1064" s="115" t="s">
        <v>790</v>
      </c>
      <c r="C1064" s="115" t="s">
        <v>3562</v>
      </c>
      <c r="D1064" s="115" t="s">
        <v>3690</v>
      </c>
      <c r="E1064" s="115">
        <v>50</v>
      </c>
      <c r="F1064" s="71">
        <v>25</v>
      </c>
      <c r="G1064" s="109">
        <v>2850</v>
      </c>
      <c r="H1064" s="110">
        <v>1425</v>
      </c>
      <c r="I1064" s="111">
        <v>25</v>
      </c>
      <c r="J1064" s="110">
        <v>1425</v>
      </c>
      <c r="K1064" s="111"/>
    </row>
    <row r="1065" spans="2:11">
      <c r="B1065" s="115" t="s">
        <v>3381</v>
      </c>
      <c r="C1065" s="115" t="s">
        <v>3563</v>
      </c>
      <c r="D1065" s="115" t="s">
        <v>3691</v>
      </c>
      <c r="E1065" s="115">
        <v>161</v>
      </c>
      <c r="F1065" s="71"/>
      <c r="G1065" s="109">
        <v>7889</v>
      </c>
      <c r="H1065" s="110">
        <v>0</v>
      </c>
      <c r="I1065" s="111">
        <v>161</v>
      </c>
      <c r="J1065" s="110">
        <v>7889</v>
      </c>
      <c r="K1065" s="111"/>
    </row>
    <row r="1066" spans="2:11">
      <c r="B1066" s="115" t="s">
        <v>3383</v>
      </c>
      <c r="C1066" s="115" t="s">
        <v>3565</v>
      </c>
      <c r="D1066" s="115" t="s">
        <v>3693</v>
      </c>
      <c r="E1066" s="115">
        <v>106</v>
      </c>
      <c r="F1066" s="71">
        <v>96</v>
      </c>
      <c r="G1066" s="109">
        <v>4020.58</v>
      </c>
      <c r="H1066" s="110">
        <v>3641.2799999999997</v>
      </c>
      <c r="I1066" s="111">
        <v>10</v>
      </c>
      <c r="J1066" s="110">
        <v>379.30000000000018</v>
      </c>
      <c r="K1066" s="111"/>
    </row>
    <row r="1067" spans="2:11">
      <c r="B1067" s="115" t="s">
        <v>3384</v>
      </c>
      <c r="C1067" s="115" t="s">
        <v>3566</v>
      </c>
      <c r="D1067" s="115" t="s">
        <v>3694</v>
      </c>
      <c r="E1067" s="115">
        <v>1</v>
      </c>
      <c r="F1067" s="71"/>
      <c r="G1067" s="109">
        <v>58.25</v>
      </c>
      <c r="H1067" s="110">
        <v>0</v>
      </c>
      <c r="I1067" s="111">
        <v>1</v>
      </c>
      <c r="J1067" s="110">
        <v>58.25</v>
      </c>
      <c r="K1067" s="111"/>
    </row>
    <row r="1068" spans="2:11" ht="30">
      <c r="B1068" s="115" t="s">
        <v>3385</v>
      </c>
      <c r="C1068" s="115" t="s">
        <v>3567</v>
      </c>
      <c r="D1068" s="115" t="s">
        <v>3695</v>
      </c>
      <c r="E1068" s="115">
        <v>3</v>
      </c>
      <c r="F1068" s="71"/>
      <c r="G1068" s="109">
        <v>110.25</v>
      </c>
      <c r="H1068" s="110">
        <v>0</v>
      </c>
      <c r="I1068" s="111">
        <v>3</v>
      </c>
      <c r="J1068" s="110">
        <v>110.25</v>
      </c>
      <c r="K1068" s="111"/>
    </row>
    <row r="1069" spans="2:11">
      <c r="B1069" s="115" t="s">
        <v>3386</v>
      </c>
      <c r="C1069" s="115" t="s">
        <v>3568</v>
      </c>
      <c r="D1069" s="115" t="s">
        <v>3696</v>
      </c>
      <c r="E1069" s="115">
        <v>1</v>
      </c>
      <c r="F1069" s="71"/>
      <c r="G1069" s="109">
        <v>1030</v>
      </c>
      <c r="H1069" s="110">
        <v>0</v>
      </c>
      <c r="I1069" s="111">
        <v>1</v>
      </c>
      <c r="J1069" s="110">
        <v>1030</v>
      </c>
      <c r="K1069" s="111"/>
    </row>
    <row r="1070" spans="2:11">
      <c r="B1070" s="115" t="s">
        <v>3388</v>
      </c>
      <c r="C1070" s="115" t="s">
        <v>3570</v>
      </c>
      <c r="D1070" s="115" t="s">
        <v>3698</v>
      </c>
      <c r="E1070" s="115">
        <v>188</v>
      </c>
      <c r="F1070" s="71">
        <v>180</v>
      </c>
      <c r="G1070" s="109">
        <v>861.04</v>
      </c>
      <c r="H1070" s="110">
        <v>824.4</v>
      </c>
      <c r="I1070" s="111">
        <v>8</v>
      </c>
      <c r="J1070" s="110">
        <v>36.639999999999986</v>
      </c>
      <c r="K1070" s="111"/>
    </row>
    <row r="1071" spans="2:11">
      <c r="B1071" s="115" t="s">
        <v>3389</v>
      </c>
      <c r="C1071" s="115" t="s">
        <v>3571</v>
      </c>
      <c r="D1071" s="115" t="s">
        <v>3697</v>
      </c>
      <c r="E1071" s="115">
        <v>228</v>
      </c>
      <c r="F1071" s="71">
        <v>180</v>
      </c>
      <c r="G1071" s="109">
        <v>1105.8</v>
      </c>
      <c r="H1071" s="110">
        <v>872.99999999999989</v>
      </c>
      <c r="I1071" s="111">
        <v>48</v>
      </c>
      <c r="J1071" s="110">
        <v>232.80000000000007</v>
      </c>
      <c r="K1071" s="111"/>
    </row>
    <row r="1072" spans="2:11">
      <c r="B1072" s="115" t="s">
        <v>3392</v>
      </c>
      <c r="C1072" s="115" t="s">
        <v>3574</v>
      </c>
      <c r="D1072" s="115" t="s">
        <v>3699</v>
      </c>
      <c r="E1072" s="115">
        <v>11</v>
      </c>
      <c r="F1072" s="71"/>
      <c r="G1072" s="109">
        <v>301.95</v>
      </c>
      <c r="H1072" s="110">
        <v>0</v>
      </c>
      <c r="I1072" s="111">
        <v>11</v>
      </c>
      <c r="J1072" s="110">
        <v>301.95</v>
      </c>
      <c r="K1072" s="111"/>
    </row>
    <row r="1073" spans="2:11">
      <c r="B1073" s="115" t="s">
        <v>3393</v>
      </c>
      <c r="C1073" s="115" t="s">
        <v>3575</v>
      </c>
      <c r="D1073" s="115" t="s">
        <v>3700</v>
      </c>
      <c r="E1073" s="115">
        <v>75</v>
      </c>
      <c r="F1073" s="71">
        <v>54</v>
      </c>
      <c r="G1073" s="109">
        <v>837.75</v>
      </c>
      <c r="H1073" s="110">
        <v>603.17999999999995</v>
      </c>
      <c r="I1073" s="111">
        <v>21</v>
      </c>
      <c r="J1073" s="110">
        <v>234.57000000000005</v>
      </c>
      <c r="K1073" s="111"/>
    </row>
    <row r="1074" spans="2:11">
      <c r="B1074" s="115" t="s">
        <v>3394</v>
      </c>
      <c r="C1074" s="115" t="s">
        <v>3576</v>
      </c>
      <c r="D1074" s="115" t="s">
        <v>3701</v>
      </c>
      <c r="E1074" s="115">
        <v>14</v>
      </c>
      <c r="F1074" s="71"/>
      <c r="G1074" s="109">
        <v>356.3</v>
      </c>
      <c r="H1074" s="110">
        <v>0</v>
      </c>
      <c r="I1074" s="111">
        <v>14</v>
      </c>
      <c r="J1074" s="110">
        <v>356.3</v>
      </c>
      <c r="K1074" s="111"/>
    </row>
    <row r="1075" spans="2:11">
      <c r="B1075" s="115" t="s">
        <v>3395</v>
      </c>
      <c r="C1075" s="115" t="s">
        <v>3577</v>
      </c>
      <c r="D1075" s="115" t="s">
        <v>3700</v>
      </c>
      <c r="E1075" s="115">
        <v>7</v>
      </c>
      <c r="F1075" s="71">
        <v>4</v>
      </c>
      <c r="G1075" s="109">
        <v>78.19</v>
      </c>
      <c r="H1075" s="110">
        <v>44.68</v>
      </c>
      <c r="I1075" s="111">
        <v>3</v>
      </c>
      <c r="J1075" s="110">
        <v>33.51</v>
      </c>
      <c r="K1075" s="111"/>
    </row>
    <row r="1076" spans="2:11">
      <c r="B1076" s="115" t="s">
        <v>3396</v>
      </c>
      <c r="C1076" s="115" t="s">
        <v>3578</v>
      </c>
      <c r="D1076" s="115" t="s">
        <v>3701</v>
      </c>
      <c r="E1076" s="115">
        <v>23</v>
      </c>
      <c r="F1076" s="71">
        <v>22</v>
      </c>
      <c r="G1076" s="109">
        <v>585.35</v>
      </c>
      <c r="H1076" s="110">
        <v>559.9</v>
      </c>
      <c r="I1076" s="111">
        <v>1</v>
      </c>
      <c r="J1076" s="110">
        <v>25.450000000000045</v>
      </c>
      <c r="K1076" s="111"/>
    </row>
    <row r="1077" spans="2:11">
      <c r="B1077" s="115" t="s">
        <v>3398</v>
      </c>
      <c r="C1077" s="115" t="s">
        <v>3580</v>
      </c>
      <c r="D1077" s="115" t="s">
        <v>3700</v>
      </c>
      <c r="E1077" s="115">
        <v>1</v>
      </c>
      <c r="F1077" s="71"/>
      <c r="G1077" s="109">
        <v>11.17</v>
      </c>
      <c r="H1077" s="110">
        <v>0</v>
      </c>
      <c r="I1077" s="111">
        <v>1</v>
      </c>
      <c r="J1077" s="110">
        <v>11.17</v>
      </c>
      <c r="K1077" s="111"/>
    </row>
    <row r="1078" spans="2:11">
      <c r="B1078" s="115" t="s">
        <v>3399</v>
      </c>
      <c r="C1078" s="115" t="s">
        <v>3581</v>
      </c>
      <c r="D1078" s="115" t="s">
        <v>3702</v>
      </c>
      <c r="E1078" s="115">
        <v>74</v>
      </c>
      <c r="F1078" s="71">
        <v>3</v>
      </c>
      <c r="G1078" s="109">
        <v>400.34000000000003</v>
      </c>
      <c r="H1078" s="110">
        <v>16.23</v>
      </c>
      <c r="I1078" s="111">
        <v>71</v>
      </c>
      <c r="J1078" s="110">
        <v>384.11</v>
      </c>
      <c r="K1078" s="111"/>
    </row>
    <row r="1079" spans="2:11">
      <c r="B1079" s="115" t="s">
        <v>3401</v>
      </c>
      <c r="C1079" s="115" t="s">
        <v>3583</v>
      </c>
      <c r="D1079" s="115" t="s">
        <v>3702</v>
      </c>
      <c r="E1079" s="115">
        <v>276</v>
      </c>
      <c r="F1079" s="71">
        <v>213</v>
      </c>
      <c r="G1079" s="109">
        <v>1493.16</v>
      </c>
      <c r="H1079" s="110">
        <v>1152.33</v>
      </c>
      <c r="I1079" s="111">
        <v>63</v>
      </c>
      <c r="J1079" s="110">
        <v>340.83000000000015</v>
      </c>
      <c r="K1079" s="111"/>
    </row>
    <row r="1080" spans="2:11">
      <c r="B1080" s="115" t="s">
        <v>3403</v>
      </c>
      <c r="C1080" s="115" t="s">
        <v>3585</v>
      </c>
      <c r="D1080" s="115" t="s">
        <v>3703</v>
      </c>
      <c r="E1080" s="115">
        <v>12</v>
      </c>
      <c r="F1080" s="71"/>
      <c r="G1080" s="109">
        <v>324.36</v>
      </c>
      <c r="H1080" s="110">
        <v>0</v>
      </c>
      <c r="I1080" s="111">
        <v>12</v>
      </c>
      <c r="J1080" s="110">
        <v>324.36</v>
      </c>
      <c r="K1080" s="111"/>
    </row>
    <row r="1081" spans="2:11">
      <c r="B1081" s="115" t="s">
        <v>3405</v>
      </c>
      <c r="C1081" s="115" t="s">
        <v>3587</v>
      </c>
      <c r="D1081" s="115" t="s">
        <v>3704</v>
      </c>
      <c r="E1081" s="115">
        <v>637</v>
      </c>
      <c r="F1081" s="71"/>
      <c r="G1081" s="109">
        <v>4057.69</v>
      </c>
      <c r="H1081" s="110">
        <v>0</v>
      </c>
      <c r="I1081" s="111">
        <v>637</v>
      </c>
      <c r="J1081" s="110">
        <v>4057.69</v>
      </c>
      <c r="K1081" s="111"/>
    </row>
    <row r="1082" spans="2:11">
      <c r="B1082" s="115" t="s">
        <v>3406</v>
      </c>
      <c r="C1082" s="115" t="s">
        <v>3588</v>
      </c>
      <c r="D1082" s="115" t="s">
        <v>3702</v>
      </c>
      <c r="E1082" s="115">
        <v>217</v>
      </c>
      <c r="F1082" s="71">
        <v>196</v>
      </c>
      <c r="G1082" s="109">
        <v>1173.97</v>
      </c>
      <c r="H1082" s="110">
        <v>1060.3600000000001</v>
      </c>
      <c r="I1082" s="111">
        <v>21</v>
      </c>
      <c r="J1082" s="110">
        <v>113.6099999999999</v>
      </c>
      <c r="K1082" s="111"/>
    </row>
    <row r="1083" spans="2:11">
      <c r="B1083" s="115" t="s">
        <v>3408</v>
      </c>
      <c r="C1083" s="115" t="s">
        <v>3590</v>
      </c>
      <c r="D1083" s="115" t="s">
        <v>3704</v>
      </c>
      <c r="E1083" s="115">
        <v>882</v>
      </c>
      <c r="F1083" s="71">
        <v>120</v>
      </c>
      <c r="G1083" s="109">
        <v>5618.34</v>
      </c>
      <c r="H1083" s="110">
        <v>764.4</v>
      </c>
      <c r="I1083" s="111">
        <v>762</v>
      </c>
      <c r="J1083" s="110">
        <v>4853.9400000000005</v>
      </c>
      <c r="K1083" s="111"/>
    </row>
    <row r="1084" spans="2:11">
      <c r="B1084" s="115" t="s">
        <v>3410</v>
      </c>
      <c r="C1084" s="115" t="s">
        <v>3592</v>
      </c>
      <c r="D1084" s="115" t="s">
        <v>3704</v>
      </c>
      <c r="E1084" s="115">
        <v>252</v>
      </c>
      <c r="F1084" s="71"/>
      <c r="G1084" s="109">
        <v>1605.24</v>
      </c>
      <c r="H1084" s="110">
        <v>0</v>
      </c>
      <c r="I1084" s="111">
        <v>252</v>
      </c>
      <c r="J1084" s="110">
        <v>1605.24</v>
      </c>
      <c r="K1084" s="111"/>
    </row>
    <row r="1085" spans="2:11">
      <c r="B1085" s="115" t="s">
        <v>3411</v>
      </c>
      <c r="C1085" s="115" t="s">
        <v>3593</v>
      </c>
      <c r="D1085" s="115" t="s">
        <v>3704</v>
      </c>
      <c r="E1085" s="115">
        <v>951</v>
      </c>
      <c r="F1085" s="71">
        <v>704</v>
      </c>
      <c r="G1085" s="109">
        <v>6057.87</v>
      </c>
      <c r="H1085" s="110">
        <v>4484.4800000000005</v>
      </c>
      <c r="I1085" s="111">
        <v>247</v>
      </c>
      <c r="J1085" s="110">
        <v>1573.3899999999994</v>
      </c>
      <c r="K1085" s="111"/>
    </row>
    <row r="1086" spans="2:11">
      <c r="B1086" s="115" t="s">
        <v>3413</v>
      </c>
      <c r="C1086" s="115" t="s">
        <v>3595</v>
      </c>
      <c r="D1086" s="115" t="s">
        <v>3704</v>
      </c>
      <c r="E1086" s="115">
        <v>1093</v>
      </c>
      <c r="F1086" s="71">
        <v>954</v>
      </c>
      <c r="G1086" s="109">
        <v>6962.41</v>
      </c>
      <c r="H1086" s="110">
        <v>6076.9800000000005</v>
      </c>
      <c r="I1086" s="111">
        <v>139</v>
      </c>
      <c r="J1086" s="110">
        <v>885.42999999999938</v>
      </c>
      <c r="K1086" s="111"/>
    </row>
    <row r="1087" spans="2:11">
      <c r="B1087" s="115" t="s">
        <v>3414</v>
      </c>
      <c r="C1087" s="115" t="s">
        <v>3596</v>
      </c>
      <c r="D1087" s="115" t="s">
        <v>3704</v>
      </c>
      <c r="E1087" s="115">
        <v>844</v>
      </c>
      <c r="F1087" s="71">
        <v>367</v>
      </c>
      <c r="G1087" s="109">
        <v>5376.28</v>
      </c>
      <c r="H1087" s="110">
        <v>2337.79</v>
      </c>
      <c r="I1087" s="111">
        <v>477</v>
      </c>
      <c r="J1087" s="110">
        <v>3038.49</v>
      </c>
      <c r="K1087" s="111"/>
    </row>
    <row r="1088" spans="2:11">
      <c r="B1088" s="115" t="s">
        <v>3416</v>
      </c>
      <c r="C1088" s="115" t="s">
        <v>3598</v>
      </c>
      <c r="D1088" s="115" t="s">
        <v>3705</v>
      </c>
      <c r="E1088" s="115">
        <v>1</v>
      </c>
      <c r="F1088" s="71"/>
      <c r="G1088" s="109">
        <v>60.95</v>
      </c>
      <c r="H1088" s="110">
        <v>0</v>
      </c>
      <c r="I1088" s="111">
        <v>1</v>
      </c>
      <c r="J1088" s="110">
        <v>60.95</v>
      </c>
      <c r="K1088" s="111"/>
    </row>
    <row r="1089" spans="2:11">
      <c r="B1089" s="115" t="s">
        <v>3417</v>
      </c>
      <c r="C1089" s="115" t="s">
        <v>3599</v>
      </c>
      <c r="D1089" s="115" t="s">
        <v>3706</v>
      </c>
      <c r="E1089" s="115">
        <v>1</v>
      </c>
      <c r="F1089" s="71"/>
      <c r="G1089" s="109">
        <v>154.75</v>
      </c>
      <c r="H1089" s="110">
        <v>0</v>
      </c>
      <c r="I1089" s="111">
        <v>1</v>
      </c>
      <c r="J1089" s="110">
        <v>154.75</v>
      </c>
      <c r="K1089" s="111"/>
    </row>
    <row r="1090" spans="2:11">
      <c r="B1090" s="115" t="s">
        <v>3419</v>
      </c>
      <c r="C1090" s="115" t="s">
        <v>3601</v>
      </c>
      <c r="D1090" s="115" t="s">
        <v>3708</v>
      </c>
      <c r="E1090" s="115">
        <v>2</v>
      </c>
      <c r="F1090" s="71"/>
      <c r="G1090" s="109">
        <v>326.5</v>
      </c>
      <c r="H1090" s="110">
        <v>0</v>
      </c>
      <c r="I1090" s="111">
        <v>2</v>
      </c>
      <c r="J1090" s="110">
        <v>326.5</v>
      </c>
      <c r="K1090" s="111"/>
    </row>
    <row r="1091" spans="2:11">
      <c r="B1091" s="115" t="s">
        <v>3421</v>
      </c>
      <c r="C1091" s="115" t="s">
        <v>3603</v>
      </c>
      <c r="D1091" s="115" t="s">
        <v>3710</v>
      </c>
      <c r="E1091" s="115">
        <v>1</v>
      </c>
      <c r="F1091" s="71"/>
      <c r="G1091" s="109">
        <v>13.17</v>
      </c>
      <c r="H1091" s="110">
        <v>0</v>
      </c>
      <c r="I1091" s="111">
        <v>1</v>
      </c>
      <c r="J1091" s="110">
        <v>13.17</v>
      </c>
      <c r="K1091" s="111"/>
    </row>
    <row r="1092" spans="2:11">
      <c r="B1092" s="115" t="s">
        <v>3422</v>
      </c>
      <c r="C1092" s="115" t="s">
        <v>3604</v>
      </c>
      <c r="D1092" s="115" t="s">
        <v>3711</v>
      </c>
      <c r="E1092" s="115">
        <v>109</v>
      </c>
      <c r="F1092" s="71"/>
      <c r="G1092" s="109">
        <v>1521.64</v>
      </c>
      <c r="H1092" s="110">
        <v>0</v>
      </c>
      <c r="I1092" s="111">
        <v>109</v>
      </c>
      <c r="J1092" s="110">
        <v>1521.64</v>
      </c>
      <c r="K1092" s="111"/>
    </row>
    <row r="1093" spans="2:11" ht="30">
      <c r="B1093" s="115" t="s">
        <v>3424</v>
      </c>
      <c r="C1093" s="115" t="s">
        <v>3606</v>
      </c>
      <c r="D1093" s="115" t="s">
        <v>3712</v>
      </c>
      <c r="E1093" s="115">
        <v>126</v>
      </c>
      <c r="F1093" s="71"/>
      <c r="G1093" s="109">
        <v>1818.18</v>
      </c>
      <c r="H1093" s="110">
        <v>0</v>
      </c>
      <c r="I1093" s="111">
        <v>126</v>
      </c>
      <c r="J1093" s="110">
        <v>1818.18</v>
      </c>
      <c r="K1093" s="111"/>
    </row>
    <row r="1094" spans="2:11">
      <c r="B1094" s="115" t="s">
        <v>3426</v>
      </c>
      <c r="C1094" s="115" t="s">
        <v>3608</v>
      </c>
      <c r="D1094" s="115" t="s">
        <v>3064</v>
      </c>
      <c r="E1094" s="115">
        <v>5</v>
      </c>
      <c r="F1094" s="71">
        <v>4</v>
      </c>
      <c r="G1094" s="109">
        <v>135</v>
      </c>
      <c r="H1094" s="110">
        <v>108</v>
      </c>
      <c r="I1094" s="111">
        <v>1</v>
      </c>
      <c r="J1094" s="110">
        <v>27</v>
      </c>
      <c r="K1094" s="111"/>
    </row>
    <row r="1095" spans="2:11">
      <c r="B1095" s="115" t="s">
        <v>3428</v>
      </c>
      <c r="C1095" s="115" t="s">
        <v>3610</v>
      </c>
      <c r="D1095" s="115" t="s">
        <v>3715</v>
      </c>
      <c r="E1095" s="115">
        <v>1</v>
      </c>
      <c r="F1095" s="71"/>
      <c r="G1095" s="109">
        <v>200</v>
      </c>
      <c r="H1095" s="110">
        <v>0</v>
      </c>
      <c r="I1095" s="111">
        <v>1</v>
      </c>
      <c r="J1095" s="110">
        <v>200</v>
      </c>
      <c r="K1095" s="111"/>
    </row>
    <row r="1096" spans="2:11">
      <c r="B1096" s="115" t="s">
        <v>3430</v>
      </c>
      <c r="C1096" s="115" t="s">
        <v>3612</v>
      </c>
      <c r="D1096" s="115" t="s">
        <v>2409</v>
      </c>
      <c r="E1096" s="115">
        <v>59</v>
      </c>
      <c r="F1096" s="71">
        <v>58</v>
      </c>
      <c r="G1096" s="109">
        <v>1119.82</v>
      </c>
      <c r="H1096" s="110">
        <v>1100.8399999999999</v>
      </c>
      <c r="I1096" s="111">
        <v>1</v>
      </c>
      <c r="J1096" s="110">
        <v>18.980000000000018</v>
      </c>
      <c r="K1096" s="111"/>
    </row>
    <row r="1097" spans="2:11">
      <c r="B1097" s="115" t="s">
        <v>3435</v>
      </c>
      <c r="C1097" s="115" t="s">
        <v>3617</v>
      </c>
      <c r="D1097" s="115" t="s">
        <v>3718</v>
      </c>
      <c r="E1097" s="115">
        <v>12</v>
      </c>
      <c r="F1097" s="71"/>
      <c r="G1097" s="109">
        <v>54.480000000000004</v>
      </c>
      <c r="H1097" s="110">
        <v>0</v>
      </c>
      <c r="I1097" s="111">
        <v>12</v>
      </c>
      <c r="J1097" s="110">
        <v>54.480000000000004</v>
      </c>
      <c r="K1097" s="111"/>
    </row>
    <row r="1098" spans="2:11">
      <c r="B1098" s="115" t="s">
        <v>3436</v>
      </c>
      <c r="C1098" s="115" t="s">
        <v>3618</v>
      </c>
      <c r="D1098" s="115" t="s">
        <v>3263</v>
      </c>
      <c r="E1098" s="115">
        <v>18</v>
      </c>
      <c r="F1098" s="71">
        <v>11</v>
      </c>
      <c r="G1098" s="109">
        <v>90</v>
      </c>
      <c r="H1098" s="110">
        <v>55</v>
      </c>
      <c r="I1098" s="111">
        <v>7</v>
      </c>
      <c r="J1098" s="110">
        <v>35</v>
      </c>
      <c r="K1098" s="111"/>
    </row>
    <row r="1099" spans="2:11">
      <c r="B1099" s="115" t="s">
        <v>3437</v>
      </c>
      <c r="C1099" s="115" t="s">
        <v>3619</v>
      </c>
      <c r="D1099" s="115" t="s">
        <v>3263</v>
      </c>
      <c r="E1099" s="115">
        <v>25</v>
      </c>
      <c r="F1099" s="71">
        <v>12</v>
      </c>
      <c r="G1099" s="109">
        <v>125</v>
      </c>
      <c r="H1099" s="110">
        <v>60</v>
      </c>
      <c r="I1099" s="111">
        <v>13</v>
      </c>
      <c r="J1099" s="110">
        <v>65</v>
      </c>
      <c r="K1099" s="111"/>
    </row>
    <row r="1100" spans="2:11">
      <c r="B1100" s="115" t="s">
        <v>3439</v>
      </c>
      <c r="C1100" s="115" t="s">
        <v>3621</v>
      </c>
      <c r="D1100" s="115" t="s">
        <v>3720</v>
      </c>
      <c r="E1100" s="115">
        <v>153</v>
      </c>
      <c r="F1100" s="71"/>
      <c r="G1100" s="109">
        <v>1161.27</v>
      </c>
      <c r="H1100" s="110">
        <v>0</v>
      </c>
      <c r="I1100" s="111">
        <v>153</v>
      </c>
      <c r="J1100" s="110">
        <v>1161.27</v>
      </c>
      <c r="K1100" s="111"/>
    </row>
    <row r="1101" spans="2:11">
      <c r="B1101" s="115" t="s">
        <v>3440</v>
      </c>
      <c r="C1101" s="115" t="s">
        <v>3622</v>
      </c>
      <c r="D1101" s="115" t="s">
        <v>3722</v>
      </c>
      <c r="E1101" s="115">
        <v>16</v>
      </c>
      <c r="F1101" s="71">
        <v>11</v>
      </c>
      <c r="G1101" s="109">
        <v>638.08000000000004</v>
      </c>
      <c r="H1101" s="110">
        <v>438.68</v>
      </c>
      <c r="I1101" s="111">
        <v>5</v>
      </c>
      <c r="J1101" s="110">
        <v>199.40000000000003</v>
      </c>
      <c r="K1101" s="111"/>
    </row>
    <row r="1102" spans="2:11">
      <c r="B1102" s="115" t="s">
        <v>3441</v>
      </c>
      <c r="C1102" s="115" t="s">
        <v>3623</v>
      </c>
      <c r="D1102" s="115" t="s">
        <v>3723</v>
      </c>
      <c r="E1102" s="115">
        <v>148</v>
      </c>
      <c r="F1102" s="71">
        <v>7</v>
      </c>
      <c r="G1102" s="109">
        <v>2242.2000000000003</v>
      </c>
      <c r="H1102" s="110">
        <v>106.05</v>
      </c>
      <c r="I1102" s="111">
        <v>141</v>
      </c>
      <c r="J1102" s="110">
        <v>2136.15</v>
      </c>
      <c r="K1102" s="111"/>
    </row>
    <row r="1103" spans="2:11">
      <c r="B1103" s="115" t="s">
        <v>3442</v>
      </c>
      <c r="C1103" s="115" t="s">
        <v>3624</v>
      </c>
      <c r="D1103" s="115" t="s">
        <v>3724</v>
      </c>
      <c r="E1103" s="115">
        <v>158</v>
      </c>
      <c r="F1103" s="71">
        <v>87</v>
      </c>
      <c r="G1103" s="109">
        <v>3694.04</v>
      </c>
      <c r="H1103" s="110">
        <v>2034.06</v>
      </c>
      <c r="I1103" s="111">
        <v>71</v>
      </c>
      <c r="J1103" s="110">
        <v>1659.98</v>
      </c>
      <c r="K1103" s="111"/>
    </row>
    <row r="1104" spans="2:11">
      <c r="B1104" s="115" t="s">
        <v>3443</v>
      </c>
      <c r="C1104" s="115" t="s">
        <v>3625</v>
      </c>
      <c r="D1104" s="115" t="s">
        <v>3726</v>
      </c>
      <c r="E1104" s="115">
        <v>20</v>
      </c>
      <c r="F1104" s="71">
        <v>19</v>
      </c>
      <c r="G1104" s="109">
        <v>163.19999999999999</v>
      </c>
      <c r="H1104" s="110">
        <v>155.04</v>
      </c>
      <c r="I1104" s="111">
        <v>1</v>
      </c>
      <c r="J1104" s="110">
        <v>8.1599999999999966</v>
      </c>
      <c r="K1104" s="111"/>
    </row>
    <row r="1105" spans="2:11">
      <c r="B1105" s="115" t="s">
        <v>3445</v>
      </c>
      <c r="C1105" s="115" t="s">
        <v>3627</v>
      </c>
      <c r="D1105" s="115" t="s">
        <v>3728</v>
      </c>
      <c r="E1105" s="115">
        <v>76</v>
      </c>
      <c r="F1105" s="71">
        <v>57</v>
      </c>
      <c r="G1105" s="109">
        <v>1783.7199999999998</v>
      </c>
      <c r="H1105" s="110">
        <v>1337.79</v>
      </c>
      <c r="I1105" s="111">
        <v>19</v>
      </c>
      <c r="J1105" s="110">
        <v>445.92999999999984</v>
      </c>
      <c r="K1105" s="111"/>
    </row>
    <row r="1106" spans="2:11">
      <c r="B1106" s="115" t="s">
        <v>3446</v>
      </c>
      <c r="C1106" s="115" t="s">
        <v>3628</v>
      </c>
      <c r="D1106" s="115" t="s">
        <v>3729</v>
      </c>
      <c r="E1106" s="115">
        <v>81</v>
      </c>
      <c r="F1106" s="71">
        <v>67</v>
      </c>
      <c r="G1106" s="109">
        <v>3078.81</v>
      </c>
      <c r="H1106" s="110">
        <v>2546.67</v>
      </c>
      <c r="I1106" s="111">
        <v>14</v>
      </c>
      <c r="J1106" s="110">
        <v>532.13999999999987</v>
      </c>
      <c r="K1106" s="111"/>
    </row>
    <row r="1107" spans="2:11">
      <c r="B1107" s="115" t="s">
        <v>3446</v>
      </c>
      <c r="C1107" s="115" t="s">
        <v>3628</v>
      </c>
      <c r="D1107" s="115" t="s">
        <v>3730</v>
      </c>
      <c r="E1107" s="115">
        <v>72</v>
      </c>
      <c r="F1107" s="71">
        <v>65</v>
      </c>
      <c r="G1107" s="109">
        <v>2710.08</v>
      </c>
      <c r="H1107" s="110">
        <v>2446.6</v>
      </c>
      <c r="I1107" s="111">
        <v>7</v>
      </c>
      <c r="J1107" s="110">
        <v>263.48</v>
      </c>
      <c r="K1107" s="111"/>
    </row>
    <row r="1108" spans="2:11">
      <c r="B1108" s="115" t="s">
        <v>3447</v>
      </c>
      <c r="C1108" s="115" t="s">
        <v>3629</v>
      </c>
      <c r="D1108" s="115" t="s">
        <v>3731</v>
      </c>
      <c r="E1108" s="115">
        <v>20</v>
      </c>
      <c r="F1108" s="71">
        <v>18</v>
      </c>
      <c r="G1108" s="109">
        <v>1319.8</v>
      </c>
      <c r="H1108" s="110">
        <v>1187.82</v>
      </c>
      <c r="I1108" s="111">
        <v>2</v>
      </c>
      <c r="J1108" s="110">
        <v>131.98000000000002</v>
      </c>
      <c r="K1108" s="111"/>
    </row>
    <row r="1109" spans="2:11">
      <c r="B1109" s="115" t="s">
        <v>3448</v>
      </c>
      <c r="C1109" s="115" t="s">
        <v>3630</v>
      </c>
      <c r="D1109" s="115" t="s">
        <v>1431</v>
      </c>
      <c r="E1109" s="115">
        <v>55</v>
      </c>
      <c r="F1109" s="71">
        <v>25</v>
      </c>
      <c r="G1109" s="109">
        <v>622.6</v>
      </c>
      <c r="H1109" s="110">
        <v>283</v>
      </c>
      <c r="I1109" s="111">
        <v>30</v>
      </c>
      <c r="J1109" s="110">
        <v>339.6</v>
      </c>
      <c r="K1109" s="111"/>
    </row>
    <row r="1110" spans="2:11">
      <c r="B1110" s="115" t="s">
        <v>3741</v>
      </c>
      <c r="C1110" s="115" t="s">
        <v>3911</v>
      </c>
      <c r="D1110" s="115" t="s">
        <v>1804</v>
      </c>
      <c r="E1110" s="115">
        <v>2</v>
      </c>
      <c r="F1110" s="71"/>
      <c r="G1110" s="109">
        <v>280</v>
      </c>
      <c r="H1110" s="110">
        <v>0</v>
      </c>
      <c r="I1110" s="111">
        <v>2</v>
      </c>
      <c r="J1110" s="110">
        <v>280</v>
      </c>
      <c r="K1110" s="111"/>
    </row>
    <row r="1111" spans="2:11">
      <c r="B1111" s="115" t="s">
        <v>3743</v>
      </c>
      <c r="C1111" s="115" t="s">
        <v>3913</v>
      </c>
      <c r="D1111" s="115" t="s">
        <v>839</v>
      </c>
      <c r="E1111" s="115">
        <v>1</v>
      </c>
      <c r="F1111" s="71"/>
      <c r="G1111" s="109">
        <v>160</v>
      </c>
      <c r="H1111" s="110">
        <v>0</v>
      </c>
      <c r="I1111" s="111">
        <v>1</v>
      </c>
      <c r="J1111" s="110">
        <v>160</v>
      </c>
      <c r="K1111" s="111"/>
    </row>
    <row r="1112" spans="2:11">
      <c r="B1112" s="115" t="s">
        <v>3745</v>
      </c>
      <c r="C1112" s="115" t="s">
        <v>3915</v>
      </c>
      <c r="D1112" s="115" t="s">
        <v>1205</v>
      </c>
      <c r="E1112" s="115">
        <v>7</v>
      </c>
      <c r="F1112" s="71"/>
      <c r="G1112" s="109">
        <v>525</v>
      </c>
      <c r="H1112" s="110">
        <v>0</v>
      </c>
      <c r="I1112" s="111">
        <v>7</v>
      </c>
      <c r="J1112" s="110">
        <v>525</v>
      </c>
      <c r="K1112" s="111"/>
    </row>
    <row r="1113" spans="2:11">
      <c r="B1113" s="115" t="s">
        <v>3852</v>
      </c>
      <c r="C1113" s="115" t="s">
        <v>4019</v>
      </c>
      <c r="D1113" s="115" t="s">
        <v>4111</v>
      </c>
      <c r="E1113" s="115">
        <v>1</v>
      </c>
      <c r="F1113" s="71"/>
      <c r="G1113" s="109">
        <v>130</v>
      </c>
      <c r="H1113" s="110">
        <v>0</v>
      </c>
      <c r="I1113" s="111">
        <v>1</v>
      </c>
      <c r="J1113" s="110">
        <v>130</v>
      </c>
      <c r="K1113" s="111"/>
    </row>
    <row r="1114" spans="2:11">
      <c r="B1114" s="115" t="s">
        <v>3868</v>
      </c>
      <c r="C1114" s="115" t="s">
        <v>4035</v>
      </c>
      <c r="D1114" s="115" t="s">
        <v>4079</v>
      </c>
      <c r="E1114" s="115">
        <v>1</v>
      </c>
      <c r="F1114" s="71">
        <v>0</v>
      </c>
      <c r="G1114" s="109">
        <v>112</v>
      </c>
      <c r="H1114" s="110">
        <v>0</v>
      </c>
      <c r="I1114" s="111">
        <v>1</v>
      </c>
      <c r="J1114" s="110">
        <v>112</v>
      </c>
      <c r="K1114" s="111"/>
    </row>
    <row r="1115" spans="2:11">
      <c r="B1115" s="115" t="s">
        <v>3869</v>
      </c>
      <c r="C1115" s="115" t="s">
        <v>4036</v>
      </c>
      <c r="D1115" s="115" t="s">
        <v>4118</v>
      </c>
      <c r="E1115" s="115">
        <v>5</v>
      </c>
      <c r="F1115" s="71">
        <v>4</v>
      </c>
      <c r="G1115" s="109">
        <v>920</v>
      </c>
      <c r="H1115" s="110">
        <v>736</v>
      </c>
      <c r="I1115" s="111">
        <v>1</v>
      </c>
      <c r="J1115" s="110">
        <v>184</v>
      </c>
      <c r="K1115" s="111"/>
    </row>
    <row r="1116" spans="2:11">
      <c r="B1116" s="115" t="s">
        <v>4128</v>
      </c>
      <c r="C1116" s="115" t="s">
        <v>4165</v>
      </c>
      <c r="D1116" s="115" t="s">
        <v>4202</v>
      </c>
      <c r="E1116" s="115">
        <v>12</v>
      </c>
      <c r="F1116" s="71"/>
      <c r="G1116" s="109"/>
      <c r="H1116" s="110">
        <v>0</v>
      </c>
      <c r="I1116" s="111">
        <v>12</v>
      </c>
      <c r="J1116" s="110"/>
      <c r="K1116" s="111"/>
    </row>
    <row r="1117" spans="2:11">
      <c r="B1117" s="115" t="s">
        <v>4129</v>
      </c>
      <c r="C1117" s="115" t="s">
        <v>4166</v>
      </c>
      <c r="D1117" s="115" t="s">
        <v>4201</v>
      </c>
      <c r="E1117" s="115">
        <v>27</v>
      </c>
      <c r="F1117" s="71">
        <v>14</v>
      </c>
      <c r="G1117" s="109"/>
      <c r="H1117" s="110">
        <v>583.38</v>
      </c>
      <c r="I1117" s="111">
        <v>13</v>
      </c>
      <c r="J1117" s="110"/>
      <c r="K1117" s="111"/>
    </row>
    <row r="1118" spans="2:11">
      <c r="B1118" s="115" t="s">
        <v>4136</v>
      </c>
      <c r="C1118" s="115" t="s">
        <v>4173</v>
      </c>
      <c r="D1118" s="115" t="s">
        <v>4204</v>
      </c>
      <c r="E1118" s="115">
        <v>8</v>
      </c>
      <c r="F1118" s="71">
        <v>7</v>
      </c>
      <c r="G1118" s="109"/>
      <c r="H1118" s="110">
        <v>114.45000000000002</v>
      </c>
      <c r="I1118" s="111">
        <v>1</v>
      </c>
      <c r="J1118" s="110"/>
      <c r="K1118" s="111"/>
    </row>
    <row r="1119" spans="2:11">
      <c r="B1119" s="115" t="s">
        <v>4140</v>
      </c>
      <c r="C1119" s="115" t="s">
        <v>4177</v>
      </c>
      <c r="D1119" s="115" t="s">
        <v>4723</v>
      </c>
      <c r="E1119" s="115">
        <v>64</v>
      </c>
      <c r="F1119" s="71">
        <v>54</v>
      </c>
      <c r="G1119" s="109"/>
      <c r="H1119" s="110">
        <v>1101.5999999999999</v>
      </c>
      <c r="I1119" s="111">
        <v>10</v>
      </c>
      <c r="J1119" s="110"/>
      <c r="K1119" s="111"/>
    </row>
    <row r="1120" spans="2:11">
      <c r="B1120" s="115" t="s">
        <v>4142</v>
      </c>
      <c r="C1120" s="115" t="s">
        <v>4179</v>
      </c>
      <c r="D1120" s="115" t="s">
        <v>4208</v>
      </c>
      <c r="E1120" s="115">
        <v>1</v>
      </c>
      <c r="F1120" s="71"/>
      <c r="G1120" s="109"/>
      <c r="H1120" s="110">
        <v>0</v>
      </c>
      <c r="I1120" s="111">
        <v>1</v>
      </c>
      <c r="J1120" s="110"/>
      <c r="K1120" s="111"/>
    </row>
    <row r="1121" spans="2:11" ht="30">
      <c r="B1121" s="115" t="s">
        <v>4143</v>
      </c>
      <c r="C1121" s="115" t="s">
        <v>4180</v>
      </c>
      <c r="D1121" s="115" t="s">
        <v>4208</v>
      </c>
      <c r="E1121" s="115">
        <v>18</v>
      </c>
      <c r="F1121" s="71">
        <v>15</v>
      </c>
      <c r="G1121" s="109"/>
      <c r="H1121" s="110">
        <v>409.5</v>
      </c>
      <c r="I1121" s="111">
        <v>3</v>
      </c>
      <c r="J1121" s="110"/>
      <c r="K1121" s="111"/>
    </row>
    <row r="1122" spans="2:11">
      <c r="B1122" s="115" t="s">
        <v>4145</v>
      </c>
      <c r="C1122" s="115" t="s">
        <v>4182</v>
      </c>
      <c r="D1122" s="115" t="s">
        <v>4206</v>
      </c>
      <c r="E1122" s="115">
        <v>4</v>
      </c>
      <c r="F1122" s="71">
        <v>1</v>
      </c>
      <c r="G1122" s="109"/>
      <c r="H1122" s="110">
        <v>135.44999999999999</v>
      </c>
      <c r="I1122" s="111">
        <v>3</v>
      </c>
      <c r="J1122" s="110"/>
      <c r="K1122" s="111"/>
    </row>
    <row r="1123" spans="2:11">
      <c r="B1123" s="115" t="s">
        <v>4147</v>
      </c>
      <c r="C1123" s="115" t="s">
        <v>4184</v>
      </c>
      <c r="D1123" s="115" t="s">
        <v>4205</v>
      </c>
      <c r="E1123" s="115">
        <v>1</v>
      </c>
      <c r="F1123" s="71"/>
      <c r="G1123" s="109"/>
      <c r="H1123" s="110">
        <v>0</v>
      </c>
      <c r="I1123" s="111">
        <v>1</v>
      </c>
      <c r="J1123" s="110"/>
      <c r="K1123" s="111"/>
    </row>
    <row r="1124" spans="2:11">
      <c r="B1124" s="115" t="s">
        <v>4149</v>
      </c>
      <c r="C1124" s="115" t="s">
        <v>4186</v>
      </c>
      <c r="D1124" s="115" t="s">
        <v>4724</v>
      </c>
      <c r="E1124" s="115">
        <v>2</v>
      </c>
      <c r="F1124" s="71">
        <v>1</v>
      </c>
      <c r="G1124" s="109"/>
      <c r="H1124" s="110">
        <v>115.88</v>
      </c>
      <c r="I1124" s="111">
        <v>1</v>
      </c>
      <c r="J1124" s="110"/>
      <c r="K1124" s="111"/>
    </row>
    <row r="1125" spans="2:11">
      <c r="B1125" s="115" t="s">
        <v>4726</v>
      </c>
      <c r="C1125" s="115" t="s">
        <v>4718</v>
      </c>
      <c r="D1125" s="115" t="s">
        <v>4724</v>
      </c>
      <c r="E1125" s="115">
        <v>2</v>
      </c>
      <c r="F1125" s="71">
        <v>1</v>
      </c>
      <c r="G1125" s="109"/>
      <c r="H1125" s="110">
        <v>115.88</v>
      </c>
      <c r="I1125" s="111">
        <v>1</v>
      </c>
      <c r="J1125" s="110"/>
      <c r="K1125" s="111"/>
    </row>
    <row r="1126" spans="2:11">
      <c r="B1126" s="115" t="s">
        <v>4151</v>
      </c>
      <c r="C1126" s="115" t="s">
        <v>4188</v>
      </c>
      <c r="D1126" s="115" t="s">
        <v>4211</v>
      </c>
      <c r="E1126" s="115">
        <v>1</v>
      </c>
      <c r="F1126" s="71"/>
      <c r="G1126" s="109"/>
      <c r="H1126" s="110">
        <v>0</v>
      </c>
      <c r="I1126" s="111">
        <v>1</v>
      </c>
      <c r="J1126" s="110"/>
      <c r="K1126" s="111"/>
    </row>
    <row r="1127" spans="2:11">
      <c r="B1127" s="115" t="s">
        <v>4152</v>
      </c>
      <c r="C1127" s="115" t="s">
        <v>4189</v>
      </c>
      <c r="D1127" s="115" t="s">
        <v>4211</v>
      </c>
      <c r="E1127" s="115">
        <v>1</v>
      </c>
      <c r="F1127" s="71"/>
      <c r="G1127" s="109"/>
      <c r="H1127" s="110">
        <v>0</v>
      </c>
      <c r="I1127" s="111">
        <v>1</v>
      </c>
      <c r="J1127" s="110"/>
      <c r="K1127" s="111"/>
    </row>
    <row r="1128" spans="2:11">
      <c r="B1128" s="115" t="s">
        <v>4153</v>
      </c>
      <c r="C1128" s="115" t="s">
        <v>4190</v>
      </c>
      <c r="D1128" s="115" t="s">
        <v>4211</v>
      </c>
      <c r="E1128" s="115">
        <v>1</v>
      </c>
      <c r="F1128" s="71"/>
      <c r="G1128" s="109"/>
      <c r="H1128" s="110">
        <v>0</v>
      </c>
      <c r="I1128" s="111">
        <v>1</v>
      </c>
      <c r="J1128" s="110"/>
      <c r="K1128" s="111"/>
    </row>
    <row r="1129" spans="2:11">
      <c r="B1129" s="115" t="s">
        <v>4154</v>
      </c>
      <c r="C1129" s="115" t="s">
        <v>4191</v>
      </c>
      <c r="D1129" s="115" t="s">
        <v>4210</v>
      </c>
      <c r="E1129" s="115">
        <v>1</v>
      </c>
      <c r="F1129" s="71"/>
      <c r="G1129" s="109"/>
      <c r="H1129" s="110">
        <v>0</v>
      </c>
      <c r="I1129" s="111">
        <v>1</v>
      </c>
      <c r="J1129" s="110"/>
      <c r="K1129" s="111"/>
    </row>
    <row r="1130" spans="2:11">
      <c r="B1130" s="115" t="s">
        <v>4155</v>
      </c>
      <c r="C1130" s="115" t="s">
        <v>4192</v>
      </c>
      <c r="D1130" s="115" t="s">
        <v>1646</v>
      </c>
      <c r="E1130" s="115">
        <v>1</v>
      </c>
      <c r="F1130" s="71"/>
      <c r="G1130" s="109">
        <v>250</v>
      </c>
      <c r="H1130" s="110">
        <v>0</v>
      </c>
      <c r="I1130" s="111">
        <v>1</v>
      </c>
      <c r="J1130" s="110">
        <v>250</v>
      </c>
      <c r="K1130" s="111"/>
    </row>
    <row r="1131" spans="2:11">
      <c r="B1131" s="115" t="s">
        <v>4156</v>
      </c>
      <c r="C1131" s="115" t="s">
        <v>4193</v>
      </c>
      <c r="D1131" s="115" t="s">
        <v>4212</v>
      </c>
      <c r="E1131" s="115">
        <v>1</v>
      </c>
      <c r="F1131" s="71"/>
      <c r="G1131" s="109">
        <v>227.51</v>
      </c>
      <c r="H1131" s="110">
        <v>0</v>
      </c>
      <c r="I1131" s="111">
        <v>1</v>
      </c>
      <c r="J1131" s="110">
        <v>227.51</v>
      </c>
      <c r="K1131" s="111"/>
    </row>
    <row r="1132" spans="2:11">
      <c r="B1132" s="115" t="s">
        <v>4156</v>
      </c>
      <c r="C1132" s="115" t="s">
        <v>4193</v>
      </c>
      <c r="D1132" s="115" t="s">
        <v>4213</v>
      </c>
      <c r="E1132" s="115">
        <v>1</v>
      </c>
      <c r="F1132" s="71"/>
      <c r="G1132" s="109">
        <v>231.8</v>
      </c>
      <c r="H1132" s="110">
        <v>0</v>
      </c>
      <c r="I1132" s="111">
        <v>1</v>
      </c>
      <c r="J1132" s="110">
        <v>231.8</v>
      </c>
      <c r="K1132" s="111"/>
    </row>
    <row r="1133" spans="2:11">
      <c r="B1133" s="115" t="s">
        <v>4157</v>
      </c>
      <c r="C1133" s="115" t="s">
        <v>4194</v>
      </c>
      <c r="D1133" s="115" t="s">
        <v>4207</v>
      </c>
      <c r="E1133" s="115">
        <v>2</v>
      </c>
      <c r="F1133" s="71"/>
      <c r="G1133" s="109">
        <v>281.8</v>
      </c>
      <c r="H1133" s="110">
        <v>0</v>
      </c>
      <c r="I1133" s="111">
        <v>2</v>
      </c>
      <c r="J1133" s="110">
        <v>281.8</v>
      </c>
      <c r="K1133" s="111"/>
    </row>
    <row r="1134" spans="2:11">
      <c r="B1134" s="115" t="s">
        <v>4159</v>
      </c>
      <c r="C1134" s="115" t="s">
        <v>4196</v>
      </c>
      <c r="D1134" s="115" t="s">
        <v>1646</v>
      </c>
      <c r="E1134" s="115">
        <v>2</v>
      </c>
      <c r="F1134" s="71">
        <v>1</v>
      </c>
      <c r="G1134" s="109">
        <v>500</v>
      </c>
      <c r="H1134" s="110">
        <v>250</v>
      </c>
      <c r="I1134" s="111">
        <v>1</v>
      </c>
      <c r="J1134" s="110">
        <v>250</v>
      </c>
      <c r="K1134" s="111"/>
    </row>
    <row r="1135" spans="2:11">
      <c r="B1135" s="115" t="s">
        <v>4214</v>
      </c>
      <c r="C1135" s="115" t="s">
        <v>4280</v>
      </c>
      <c r="D1135" s="115" t="s">
        <v>3109</v>
      </c>
      <c r="E1135" s="115">
        <v>42</v>
      </c>
      <c r="F1135" s="71">
        <v>40</v>
      </c>
      <c r="G1135" s="109">
        <v>2089.5</v>
      </c>
      <c r="H1135" s="110">
        <v>1990</v>
      </c>
      <c r="I1135" s="111">
        <v>2</v>
      </c>
      <c r="J1135" s="110">
        <v>99.5</v>
      </c>
      <c r="K1135" s="111"/>
    </row>
    <row r="1136" spans="2:11">
      <c r="B1136" s="115" t="s">
        <v>4215</v>
      </c>
      <c r="C1136" s="115" t="s">
        <v>4281</v>
      </c>
      <c r="D1136" s="115" t="s">
        <v>1235</v>
      </c>
      <c r="E1136" s="115">
        <v>143</v>
      </c>
      <c r="F1136" s="71">
        <v>120</v>
      </c>
      <c r="G1136" s="109">
        <v>1751.75</v>
      </c>
      <c r="H1136" s="110">
        <v>1470</v>
      </c>
      <c r="I1136" s="111">
        <v>23</v>
      </c>
      <c r="J1136" s="110">
        <v>281.75</v>
      </c>
      <c r="K1136" s="111"/>
    </row>
    <row r="1137" spans="2:11">
      <c r="B1137" s="115" t="s">
        <v>4216</v>
      </c>
      <c r="C1137" s="115" t="s">
        <v>4282</v>
      </c>
      <c r="D1137" s="115" t="s">
        <v>4345</v>
      </c>
      <c r="E1137" s="115">
        <v>2</v>
      </c>
      <c r="F1137" s="71"/>
      <c r="G1137" s="109">
        <v>124</v>
      </c>
      <c r="H1137" s="110">
        <v>0</v>
      </c>
      <c r="I1137" s="111">
        <v>2</v>
      </c>
      <c r="J1137" s="110">
        <v>124</v>
      </c>
      <c r="K1137" s="111"/>
    </row>
    <row r="1138" spans="2:11">
      <c r="B1138" s="115" t="s">
        <v>4217</v>
      </c>
      <c r="C1138" s="115" t="s">
        <v>4283</v>
      </c>
      <c r="D1138" s="115" t="s">
        <v>1436</v>
      </c>
      <c r="E1138" s="115">
        <v>64</v>
      </c>
      <c r="F1138" s="71"/>
      <c r="G1138" s="109">
        <v>2368</v>
      </c>
      <c r="H1138" s="110">
        <v>0</v>
      </c>
      <c r="I1138" s="111">
        <v>64</v>
      </c>
      <c r="J1138" s="110">
        <v>2368</v>
      </c>
      <c r="K1138" s="111"/>
    </row>
    <row r="1139" spans="2:11">
      <c r="B1139" s="115" t="s">
        <v>4218</v>
      </c>
      <c r="C1139" s="115" t="s">
        <v>4284</v>
      </c>
      <c r="D1139" s="115" t="s">
        <v>4347</v>
      </c>
      <c r="E1139" s="115">
        <v>24</v>
      </c>
      <c r="F1139" s="71">
        <v>23</v>
      </c>
      <c r="G1139" s="109">
        <v>761.04</v>
      </c>
      <c r="H1139" s="110">
        <v>729.33</v>
      </c>
      <c r="I1139" s="111">
        <v>1</v>
      </c>
      <c r="J1139" s="110">
        <v>31.709999999999923</v>
      </c>
      <c r="K1139" s="111"/>
    </row>
    <row r="1140" spans="2:11">
      <c r="B1140" s="115" t="s">
        <v>4220</v>
      </c>
      <c r="C1140" s="115" t="s">
        <v>4286</v>
      </c>
      <c r="D1140" s="115" t="s">
        <v>4350</v>
      </c>
      <c r="E1140" s="115">
        <v>85</v>
      </c>
      <c r="F1140" s="71">
        <v>27</v>
      </c>
      <c r="G1140" s="109">
        <v>920.55</v>
      </c>
      <c r="H1140" s="110">
        <v>292.41000000000003</v>
      </c>
      <c r="I1140" s="111">
        <v>58</v>
      </c>
      <c r="J1140" s="110">
        <v>628.13999999999987</v>
      </c>
      <c r="K1140" s="111"/>
    </row>
    <row r="1141" spans="2:11">
      <c r="B1141" s="115" t="s">
        <v>4221</v>
      </c>
      <c r="C1141" s="115" t="s">
        <v>4287</v>
      </c>
      <c r="D1141" s="115" t="s">
        <v>4348</v>
      </c>
      <c r="E1141" s="115">
        <v>6</v>
      </c>
      <c r="F1141" s="71"/>
      <c r="G1141" s="109">
        <v>351.48</v>
      </c>
      <c r="H1141" s="110">
        <v>0</v>
      </c>
      <c r="I1141" s="111">
        <v>6</v>
      </c>
      <c r="J1141" s="110">
        <v>351.48</v>
      </c>
      <c r="K1141" s="111"/>
    </row>
    <row r="1142" spans="2:11">
      <c r="B1142" s="115" t="s">
        <v>4223</v>
      </c>
      <c r="C1142" s="115" t="s">
        <v>4288</v>
      </c>
      <c r="D1142" s="115" t="s">
        <v>4352</v>
      </c>
      <c r="E1142" s="115">
        <v>6</v>
      </c>
      <c r="F1142" s="71">
        <v>3</v>
      </c>
      <c r="G1142" s="109">
        <v>52.800000000000004</v>
      </c>
      <c r="H1142" s="110">
        <v>26.400000000000002</v>
      </c>
      <c r="I1142" s="111">
        <v>3</v>
      </c>
      <c r="J1142" s="110">
        <v>26.400000000000002</v>
      </c>
      <c r="K1142" s="111"/>
    </row>
    <row r="1143" spans="2:11">
      <c r="B1143" s="115" t="s">
        <v>4225</v>
      </c>
      <c r="C1143" s="115" t="s">
        <v>4290</v>
      </c>
      <c r="D1143" s="115" t="s">
        <v>1639</v>
      </c>
      <c r="E1143" s="115">
        <v>97</v>
      </c>
      <c r="F1143" s="71">
        <v>60</v>
      </c>
      <c r="G1143" s="109">
        <v>1115.5</v>
      </c>
      <c r="H1143" s="110">
        <v>690</v>
      </c>
      <c r="I1143" s="111">
        <v>37</v>
      </c>
      <c r="J1143" s="110">
        <v>425.5</v>
      </c>
      <c r="K1143" s="111"/>
    </row>
    <row r="1144" spans="2:11">
      <c r="B1144" s="115" t="s">
        <v>4227</v>
      </c>
      <c r="C1144" s="115" t="s">
        <v>4292</v>
      </c>
      <c r="D1144" s="115" t="s">
        <v>4353</v>
      </c>
      <c r="E1144" s="115">
        <v>45</v>
      </c>
      <c r="F1144" s="71"/>
      <c r="G1144" s="109">
        <v>318.60000000000002</v>
      </c>
      <c r="H1144" s="110">
        <v>0</v>
      </c>
      <c r="I1144" s="111">
        <v>45</v>
      </c>
      <c r="J1144" s="110">
        <v>318.60000000000002</v>
      </c>
      <c r="K1144" s="111"/>
    </row>
    <row r="1145" spans="2:11">
      <c r="B1145" s="115" t="s">
        <v>4230</v>
      </c>
      <c r="C1145" s="115" t="s">
        <v>4295</v>
      </c>
      <c r="D1145" s="115" t="s">
        <v>1635</v>
      </c>
      <c r="E1145" s="115">
        <v>60</v>
      </c>
      <c r="F1145" s="71">
        <v>25</v>
      </c>
      <c r="G1145" s="109">
        <v>709.8</v>
      </c>
      <c r="H1145" s="110">
        <v>295.75</v>
      </c>
      <c r="I1145" s="111">
        <v>35</v>
      </c>
      <c r="J1145" s="110">
        <v>414.04999999999995</v>
      </c>
      <c r="K1145" s="111"/>
    </row>
    <row r="1146" spans="2:11">
      <c r="B1146" s="115" t="s">
        <v>4232</v>
      </c>
      <c r="C1146" s="115" t="s">
        <v>4297</v>
      </c>
      <c r="D1146" s="115" t="s">
        <v>4349</v>
      </c>
      <c r="E1146" s="115">
        <v>55</v>
      </c>
      <c r="F1146" s="71">
        <v>16</v>
      </c>
      <c r="G1146" s="109">
        <v>889.35000000000014</v>
      </c>
      <c r="H1146" s="110">
        <v>258.72000000000003</v>
      </c>
      <c r="I1146" s="111">
        <v>39</v>
      </c>
      <c r="J1146" s="110">
        <v>630.63000000000011</v>
      </c>
      <c r="K1146" s="111"/>
    </row>
    <row r="1147" spans="2:11">
      <c r="B1147" s="115" t="s">
        <v>4233</v>
      </c>
      <c r="C1147" s="115" t="s">
        <v>4298</v>
      </c>
      <c r="D1147" s="115" t="s">
        <v>1635</v>
      </c>
      <c r="E1147" s="115">
        <v>72</v>
      </c>
      <c r="F1147" s="71">
        <v>67</v>
      </c>
      <c r="G1147" s="109">
        <v>851.76</v>
      </c>
      <c r="H1147" s="110">
        <v>792.61</v>
      </c>
      <c r="I1147" s="111">
        <v>5</v>
      </c>
      <c r="J1147" s="110">
        <v>59.149999999999977</v>
      </c>
      <c r="K1147" s="111"/>
    </row>
    <row r="1148" spans="2:11">
      <c r="B1148" s="115" t="s">
        <v>4234</v>
      </c>
      <c r="C1148" s="115" t="s">
        <v>4299</v>
      </c>
      <c r="D1148" s="115" t="s">
        <v>4728</v>
      </c>
      <c r="E1148" s="115">
        <v>11</v>
      </c>
      <c r="F1148" s="71"/>
      <c r="G1148" s="109">
        <v>103.18</v>
      </c>
      <c r="H1148" s="110">
        <v>0</v>
      </c>
      <c r="I1148" s="111">
        <v>11</v>
      </c>
      <c r="J1148" s="110">
        <v>103.18</v>
      </c>
      <c r="K1148" s="111"/>
    </row>
    <row r="1149" spans="2:11">
      <c r="B1149" s="115" t="s">
        <v>4237</v>
      </c>
      <c r="C1149" s="115" t="s">
        <v>4302</v>
      </c>
      <c r="D1149" s="115" t="s">
        <v>4356</v>
      </c>
      <c r="E1149" s="115">
        <v>14</v>
      </c>
      <c r="F1149" s="71"/>
      <c r="G1149" s="109">
        <v>421.96000000000004</v>
      </c>
      <c r="H1149" s="110">
        <v>0</v>
      </c>
      <c r="I1149" s="111">
        <v>14</v>
      </c>
      <c r="J1149" s="110">
        <v>421.96000000000004</v>
      </c>
      <c r="K1149" s="111"/>
    </row>
    <row r="1150" spans="2:11">
      <c r="B1150" s="115" t="s">
        <v>4238</v>
      </c>
      <c r="C1150" s="115" t="s">
        <v>4303</v>
      </c>
      <c r="D1150" s="115" t="s">
        <v>4357</v>
      </c>
      <c r="E1150" s="115">
        <v>1</v>
      </c>
      <c r="F1150" s="71"/>
      <c r="G1150" s="109">
        <v>165.95</v>
      </c>
      <c r="H1150" s="110">
        <v>0</v>
      </c>
      <c r="I1150" s="111">
        <v>1</v>
      </c>
      <c r="J1150" s="110">
        <v>165.95</v>
      </c>
      <c r="K1150" s="111"/>
    </row>
    <row r="1151" spans="2:11">
      <c r="B1151" s="115" t="s">
        <v>4239</v>
      </c>
      <c r="C1151" s="115" t="s">
        <v>4304</v>
      </c>
      <c r="D1151" s="115" t="s">
        <v>4358</v>
      </c>
      <c r="E1151" s="115">
        <v>4</v>
      </c>
      <c r="F1151" s="71"/>
      <c r="G1151" s="109">
        <v>115.56</v>
      </c>
      <c r="H1151" s="110">
        <v>0</v>
      </c>
      <c r="I1151" s="111">
        <v>4</v>
      </c>
      <c r="J1151" s="110">
        <v>115.56</v>
      </c>
      <c r="K1151" s="111"/>
    </row>
    <row r="1152" spans="2:11">
      <c r="B1152" s="115" t="s">
        <v>4240</v>
      </c>
      <c r="C1152" s="115" t="s">
        <v>4305</v>
      </c>
      <c r="D1152" s="115" t="s">
        <v>4359</v>
      </c>
      <c r="E1152" s="115">
        <v>55</v>
      </c>
      <c r="F1152" s="71">
        <v>46</v>
      </c>
      <c r="G1152" s="109">
        <v>1553.75</v>
      </c>
      <c r="H1152" s="110">
        <v>1299.5</v>
      </c>
      <c r="I1152" s="111">
        <v>9</v>
      </c>
      <c r="J1152" s="110">
        <v>254.25</v>
      </c>
      <c r="K1152" s="111"/>
    </row>
    <row r="1153" spans="2:11">
      <c r="B1153" s="115" t="s">
        <v>4241</v>
      </c>
      <c r="C1153" s="115" t="s">
        <v>4306</v>
      </c>
      <c r="D1153" s="115" t="s">
        <v>4360</v>
      </c>
      <c r="E1153" s="115">
        <v>112</v>
      </c>
      <c r="F1153" s="71">
        <v>41</v>
      </c>
      <c r="G1153" s="109">
        <v>3448.48</v>
      </c>
      <c r="H1153" s="110">
        <v>1262.3899999999999</v>
      </c>
      <c r="I1153" s="111">
        <v>71</v>
      </c>
      <c r="J1153" s="110">
        <v>2186.09</v>
      </c>
      <c r="K1153" s="111"/>
    </row>
    <row r="1154" spans="2:11">
      <c r="B1154" s="115" t="s">
        <v>4242</v>
      </c>
      <c r="C1154" s="115" t="s">
        <v>4307</v>
      </c>
      <c r="D1154" s="115" t="s">
        <v>4361</v>
      </c>
      <c r="E1154" s="115">
        <v>9</v>
      </c>
      <c r="F1154" s="71"/>
      <c r="G1154" s="109">
        <v>171.99</v>
      </c>
      <c r="H1154" s="110">
        <v>0</v>
      </c>
      <c r="I1154" s="111">
        <v>9</v>
      </c>
      <c r="J1154" s="110">
        <v>171.99</v>
      </c>
      <c r="K1154" s="111"/>
    </row>
    <row r="1155" spans="2:11">
      <c r="B1155" s="115" t="s">
        <v>4243</v>
      </c>
      <c r="C1155" s="115" t="s">
        <v>4308</v>
      </c>
      <c r="D1155" s="115" t="s">
        <v>4362</v>
      </c>
      <c r="E1155" s="115">
        <v>3</v>
      </c>
      <c r="F1155" s="71"/>
      <c r="G1155" s="109">
        <v>31.950000000000003</v>
      </c>
      <c r="H1155" s="110">
        <v>0</v>
      </c>
      <c r="I1155" s="111">
        <v>3</v>
      </c>
      <c r="J1155" s="110">
        <v>31.950000000000003</v>
      </c>
      <c r="K1155" s="111"/>
    </row>
    <row r="1156" spans="2:11">
      <c r="B1156" s="115" t="s">
        <v>4244</v>
      </c>
      <c r="C1156" s="115" t="s">
        <v>4309</v>
      </c>
      <c r="D1156" s="115" t="s">
        <v>4363</v>
      </c>
      <c r="E1156" s="115">
        <v>288</v>
      </c>
      <c r="F1156" s="71">
        <v>100</v>
      </c>
      <c r="G1156" s="109">
        <v>3168</v>
      </c>
      <c r="H1156" s="110">
        <v>1100</v>
      </c>
      <c r="I1156" s="111">
        <v>188</v>
      </c>
      <c r="J1156" s="110">
        <v>2068</v>
      </c>
      <c r="K1156" s="111"/>
    </row>
    <row r="1157" spans="2:11">
      <c r="B1157" s="115" t="s">
        <v>4245</v>
      </c>
      <c r="C1157" s="115" t="s">
        <v>4310</v>
      </c>
      <c r="D1157" s="115" t="s">
        <v>3096</v>
      </c>
      <c r="E1157" s="115">
        <v>40</v>
      </c>
      <c r="F1157" s="71"/>
      <c r="G1157" s="109">
        <v>1800</v>
      </c>
      <c r="H1157" s="110">
        <v>0</v>
      </c>
      <c r="I1157" s="111">
        <v>40</v>
      </c>
      <c r="J1157" s="110">
        <v>1800</v>
      </c>
      <c r="K1157" s="111"/>
    </row>
    <row r="1158" spans="2:11">
      <c r="B1158" s="115" t="s">
        <v>4246</v>
      </c>
      <c r="C1158" s="115" t="s">
        <v>4311</v>
      </c>
      <c r="D1158" s="115" t="s">
        <v>4361</v>
      </c>
      <c r="E1158" s="115">
        <v>3</v>
      </c>
      <c r="F1158" s="71"/>
      <c r="G1158" s="109">
        <v>57.33</v>
      </c>
      <c r="H1158" s="110">
        <v>0</v>
      </c>
      <c r="I1158" s="111">
        <v>3</v>
      </c>
      <c r="J1158" s="110">
        <v>57.33</v>
      </c>
      <c r="K1158" s="111"/>
    </row>
    <row r="1159" spans="2:11">
      <c r="B1159" s="115" t="s">
        <v>4247</v>
      </c>
      <c r="C1159" s="115" t="s">
        <v>4312</v>
      </c>
      <c r="D1159" s="115" t="s">
        <v>4362</v>
      </c>
      <c r="E1159" s="115">
        <v>4</v>
      </c>
      <c r="F1159" s="71">
        <v>2</v>
      </c>
      <c r="G1159" s="109">
        <v>42.6</v>
      </c>
      <c r="H1159" s="110">
        <v>21.3</v>
      </c>
      <c r="I1159" s="111">
        <v>2</v>
      </c>
      <c r="J1159" s="110">
        <v>21.3</v>
      </c>
      <c r="K1159" s="111"/>
    </row>
    <row r="1160" spans="2:11">
      <c r="B1160" s="115" t="s">
        <v>4248</v>
      </c>
      <c r="C1160" s="115" t="s">
        <v>4313</v>
      </c>
      <c r="D1160" s="115" t="s">
        <v>4361</v>
      </c>
      <c r="E1160" s="115">
        <v>13</v>
      </c>
      <c r="F1160" s="71"/>
      <c r="G1160" s="109">
        <v>248.43</v>
      </c>
      <c r="H1160" s="110">
        <v>0</v>
      </c>
      <c r="I1160" s="111">
        <v>13</v>
      </c>
      <c r="J1160" s="110">
        <v>248.43</v>
      </c>
      <c r="K1160" s="111"/>
    </row>
    <row r="1161" spans="2:11">
      <c r="B1161" s="115" t="s">
        <v>4249</v>
      </c>
      <c r="C1161" s="115" t="s">
        <v>4314</v>
      </c>
      <c r="D1161" s="115" t="s">
        <v>4362</v>
      </c>
      <c r="E1161" s="115">
        <v>11</v>
      </c>
      <c r="F1161" s="71"/>
      <c r="G1161" s="109">
        <v>117.15</v>
      </c>
      <c r="H1161" s="110">
        <v>0</v>
      </c>
      <c r="I1161" s="111">
        <v>11</v>
      </c>
      <c r="J1161" s="110">
        <v>117.15</v>
      </c>
      <c r="K1161" s="111"/>
    </row>
    <row r="1162" spans="2:11">
      <c r="B1162" s="115" t="s">
        <v>4250</v>
      </c>
      <c r="C1162" s="115" t="s">
        <v>4315</v>
      </c>
      <c r="D1162" s="115" t="s">
        <v>4361</v>
      </c>
      <c r="E1162" s="115">
        <v>11</v>
      </c>
      <c r="F1162" s="71"/>
      <c r="G1162" s="109">
        <v>210.20999999999998</v>
      </c>
      <c r="H1162" s="110">
        <v>0</v>
      </c>
      <c r="I1162" s="111">
        <v>11</v>
      </c>
      <c r="J1162" s="110">
        <v>210.20999999999998</v>
      </c>
      <c r="K1162" s="111"/>
    </row>
    <row r="1163" spans="2:11">
      <c r="B1163" s="115" t="s">
        <v>4251</v>
      </c>
      <c r="C1163" s="115" t="s">
        <v>4316</v>
      </c>
      <c r="D1163" s="115" t="s">
        <v>4362</v>
      </c>
      <c r="E1163" s="115">
        <v>10</v>
      </c>
      <c r="F1163" s="71"/>
      <c r="G1163" s="109">
        <v>106.5</v>
      </c>
      <c r="H1163" s="110">
        <v>0</v>
      </c>
      <c r="I1163" s="111">
        <v>10</v>
      </c>
      <c r="J1163" s="110">
        <v>106.5</v>
      </c>
      <c r="K1163" s="111"/>
    </row>
    <row r="1164" spans="2:11">
      <c r="B1164" s="115" t="s">
        <v>4252</v>
      </c>
      <c r="C1164" s="115" t="s">
        <v>4317</v>
      </c>
      <c r="D1164" s="115" t="s">
        <v>4361</v>
      </c>
      <c r="E1164" s="115">
        <v>9</v>
      </c>
      <c r="F1164" s="71"/>
      <c r="G1164" s="109">
        <v>171.99</v>
      </c>
      <c r="H1164" s="110">
        <v>0</v>
      </c>
      <c r="I1164" s="111">
        <v>9</v>
      </c>
      <c r="J1164" s="110">
        <v>171.99</v>
      </c>
      <c r="K1164" s="111"/>
    </row>
    <row r="1165" spans="2:11">
      <c r="B1165" s="115" t="s">
        <v>4253</v>
      </c>
      <c r="C1165" s="115" t="s">
        <v>4318</v>
      </c>
      <c r="D1165" s="115" t="s">
        <v>4362</v>
      </c>
      <c r="E1165" s="115">
        <v>9</v>
      </c>
      <c r="F1165" s="71"/>
      <c r="G1165" s="109">
        <v>95.850000000000009</v>
      </c>
      <c r="H1165" s="110">
        <v>0</v>
      </c>
      <c r="I1165" s="111">
        <v>9</v>
      </c>
      <c r="J1165" s="110">
        <v>95.850000000000009</v>
      </c>
      <c r="K1165" s="111"/>
    </row>
    <row r="1166" spans="2:11">
      <c r="B1166" s="115" t="s">
        <v>4254</v>
      </c>
      <c r="C1166" s="115" t="s">
        <v>4319</v>
      </c>
      <c r="D1166" s="115" t="s">
        <v>4361</v>
      </c>
      <c r="E1166" s="115">
        <v>19</v>
      </c>
      <c r="F1166" s="71"/>
      <c r="G1166" s="109">
        <v>363.09</v>
      </c>
      <c r="H1166" s="110">
        <v>0</v>
      </c>
      <c r="I1166" s="111">
        <v>19</v>
      </c>
      <c r="J1166" s="110">
        <v>363.09</v>
      </c>
      <c r="K1166" s="111"/>
    </row>
    <row r="1167" spans="2:11">
      <c r="B1167" s="115" t="s">
        <v>4255</v>
      </c>
      <c r="C1167" s="115" t="s">
        <v>4320</v>
      </c>
      <c r="D1167" s="115" t="s">
        <v>4362</v>
      </c>
      <c r="E1167" s="115">
        <v>13</v>
      </c>
      <c r="F1167" s="71"/>
      <c r="G1167" s="109">
        <v>138.45000000000002</v>
      </c>
      <c r="H1167" s="110">
        <v>0</v>
      </c>
      <c r="I1167" s="111">
        <v>13</v>
      </c>
      <c r="J1167" s="110">
        <v>138.45000000000002</v>
      </c>
      <c r="K1167" s="111"/>
    </row>
    <row r="1168" spans="2:11">
      <c r="B1168" s="115" t="s">
        <v>4256</v>
      </c>
      <c r="C1168" s="115" t="s">
        <v>4321</v>
      </c>
      <c r="D1168" s="115" t="s">
        <v>3634</v>
      </c>
      <c r="E1168" s="115">
        <v>5</v>
      </c>
      <c r="F1168" s="71"/>
      <c r="G1168" s="109">
        <v>390</v>
      </c>
      <c r="H1168" s="110">
        <v>0</v>
      </c>
      <c r="I1168" s="111">
        <v>5</v>
      </c>
      <c r="J1168" s="110">
        <v>390</v>
      </c>
      <c r="K1168" s="111"/>
    </row>
    <row r="1169" spans="2:11">
      <c r="B1169" s="115" t="s">
        <v>4258</v>
      </c>
      <c r="C1169" s="115" t="s">
        <v>4323</v>
      </c>
      <c r="D1169" s="115" t="s">
        <v>4364</v>
      </c>
      <c r="E1169" s="115">
        <v>48</v>
      </c>
      <c r="F1169" s="71">
        <v>18</v>
      </c>
      <c r="G1169" s="109">
        <v>4899.84</v>
      </c>
      <c r="H1169" s="110">
        <v>1837.44</v>
      </c>
      <c r="I1169" s="111">
        <v>30</v>
      </c>
      <c r="J1169" s="110">
        <v>3062.4</v>
      </c>
      <c r="K1169" s="111"/>
    </row>
    <row r="1170" spans="2:11">
      <c r="B1170" s="115" t="s">
        <v>4259</v>
      </c>
      <c r="C1170" s="115" t="s">
        <v>4324</v>
      </c>
      <c r="D1170" s="115" t="s">
        <v>4360</v>
      </c>
      <c r="E1170" s="115">
        <v>75</v>
      </c>
      <c r="F1170" s="71"/>
      <c r="G1170" s="109">
        <v>2309.25</v>
      </c>
      <c r="H1170" s="110">
        <v>0</v>
      </c>
      <c r="I1170" s="111">
        <v>75</v>
      </c>
      <c r="J1170" s="110">
        <v>2309.25</v>
      </c>
      <c r="K1170" s="111"/>
    </row>
    <row r="1171" spans="2:11">
      <c r="B1171" s="115" t="s">
        <v>4260</v>
      </c>
      <c r="C1171" s="115" t="s">
        <v>4325</v>
      </c>
      <c r="D1171" s="115" t="s">
        <v>4365</v>
      </c>
      <c r="E1171" s="115">
        <v>155</v>
      </c>
      <c r="F1171" s="71">
        <v>85</v>
      </c>
      <c r="G1171" s="109">
        <v>6021.75</v>
      </c>
      <c r="H1171" s="110">
        <v>3302.25</v>
      </c>
      <c r="I1171" s="111">
        <v>70</v>
      </c>
      <c r="J1171" s="110">
        <v>2719.5</v>
      </c>
      <c r="K1171" s="111"/>
    </row>
    <row r="1172" spans="2:11">
      <c r="B1172" s="115" t="s">
        <v>4261</v>
      </c>
      <c r="C1172" s="115" t="s">
        <v>4326</v>
      </c>
      <c r="D1172" s="115" t="s">
        <v>4366</v>
      </c>
      <c r="E1172" s="115">
        <v>1</v>
      </c>
      <c r="F1172" s="71"/>
      <c r="G1172" s="109">
        <v>9.91</v>
      </c>
      <c r="H1172" s="110">
        <v>0</v>
      </c>
      <c r="I1172" s="111">
        <v>1</v>
      </c>
      <c r="J1172" s="110">
        <v>9.91</v>
      </c>
      <c r="K1172" s="111"/>
    </row>
    <row r="1173" spans="2:11">
      <c r="B1173" s="115" t="s">
        <v>4264</v>
      </c>
      <c r="C1173" s="115" t="s">
        <v>4329</v>
      </c>
      <c r="D1173" s="115" t="s">
        <v>1395</v>
      </c>
      <c r="E1173" s="115">
        <v>20</v>
      </c>
      <c r="F1173" s="71"/>
      <c r="G1173" s="109">
        <v>150</v>
      </c>
      <c r="H1173" s="110">
        <v>0</v>
      </c>
      <c r="I1173" s="111">
        <v>20</v>
      </c>
      <c r="J1173" s="110">
        <v>150</v>
      </c>
      <c r="K1173" s="111"/>
    </row>
    <row r="1174" spans="2:11">
      <c r="B1174" s="115" t="s">
        <v>4266</v>
      </c>
      <c r="C1174" s="115" t="s">
        <v>4331</v>
      </c>
      <c r="D1174" s="115" t="s">
        <v>4368</v>
      </c>
      <c r="E1174" s="115">
        <v>14</v>
      </c>
      <c r="F1174" s="71">
        <v>2</v>
      </c>
      <c r="G1174" s="109">
        <v>77</v>
      </c>
      <c r="H1174" s="110">
        <v>11</v>
      </c>
      <c r="I1174" s="111">
        <v>12</v>
      </c>
      <c r="J1174" s="110">
        <v>66</v>
      </c>
      <c r="K1174" s="111"/>
    </row>
    <row r="1175" spans="2:11">
      <c r="B1175" s="115" t="s">
        <v>4269</v>
      </c>
      <c r="C1175" s="115" t="s">
        <v>4334</v>
      </c>
      <c r="D1175" s="115" t="s">
        <v>1639</v>
      </c>
      <c r="E1175" s="115">
        <v>29</v>
      </c>
      <c r="F1175" s="71"/>
      <c r="G1175" s="109">
        <v>333.5</v>
      </c>
      <c r="H1175" s="110">
        <v>0</v>
      </c>
      <c r="I1175" s="111">
        <v>29</v>
      </c>
      <c r="J1175" s="110">
        <v>333.5</v>
      </c>
      <c r="K1175" s="111"/>
    </row>
    <row r="1176" spans="2:11">
      <c r="B1176" s="115" t="s">
        <v>4269</v>
      </c>
      <c r="C1176" s="115" t="s">
        <v>4334</v>
      </c>
      <c r="D1176" s="115" t="s">
        <v>1639</v>
      </c>
      <c r="E1176" s="115">
        <v>14</v>
      </c>
      <c r="F1176" s="71"/>
      <c r="G1176" s="109">
        <v>161</v>
      </c>
      <c r="H1176" s="110">
        <v>0</v>
      </c>
      <c r="I1176" s="111">
        <v>14</v>
      </c>
      <c r="J1176" s="110">
        <v>161</v>
      </c>
      <c r="K1176" s="111"/>
    </row>
    <row r="1177" spans="2:11">
      <c r="B1177" s="115" t="s">
        <v>4270</v>
      </c>
      <c r="C1177" s="115" t="s">
        <v>4335</v>
      </c>
      <c r="D1177" s="115" t="s">
        <v>4370</v>
      </c>
      <c r="E1177" s="115">
        <v>1</v>
      </c>
      <c r="F1177" s="71"/>
      <c r="G1177" s="109">
        <v>57.97</v>
      </c>
      <c r="H1177" s="110">
        <v>0</v>
      </c>
      <c r="I1177" s="111">
        <v>1</v>
      </c>
      <c r="J1177" s="110">
        <v>57.97</v>
      </c>
      <c r="K1177" s="111"/>
    </row>
    <row r="1178" spans="2:11">
      <c r="B1178" s="115" t="s">
        <v>4271</v>
      </c>
      <c r="C1178" s="115" t="s">
        <v>4336</v>
      </c>
      <c r="D1178" s="115" t="s">
        <v>3256</v>
      </c>
      <c r="E1178" s="115">
        <v>3</v>
      </c>
      <c r="F1178" s="71"/>
      <c r="G1178" s="109">
        <v>174</v>
      </c>
      <c r="H1178" s="110">
        <v>0</v>
      </c>
      <c r="I1178" s="111">
        <v>3</v>
      </c>
      <c r="J1178" s="110">
        <v>174</v>
      </c>
      <c r="K1178" s="111"/>
    </row>
    <row r="1179" spans="2:11">
      <c r="B1179" s="115" t="s">
        <v>4272</v>
      </c>
      <c r="C1179" s="115" t="s">
        <v>4337</v>
      </c>
      <c r="D1179" s="115" t="s">
        <v>4371</v>
      </c>
      <c r="E1179" s="115">
        <v>1</v>
      </c>
      <c r="F1179" s="71"/>
      <c r="G1179" s="109">
        <v>525</v>
      </c>
      <c r="H1179" s="110">
        <v>0</v>
      </c>
      <c r="I1179" s="111">
        <v>1</v>
      </c>
      <c r="J1179" s="110">
        <v>525</v>
      </c>
      <c r="K1179" s="111"/>
    </row>
    <row r="1180" spans="2:11">
      <c r="B1180" s="115" t="s">
        <v>4273</v>
      </c>
      <c r="C1180" s="115" t="s">
        <v>4338</v>
      </c>
      <c r="D1180" s="115" t="s">
        <v>4372</v>
      </c>
      <c r="E1180" s="115">
        <v>1</v>
      </c>
      <c r="F1180" s="71"/>
      <c r="G1180" s="109">
        <v>11.9</v>
      </c>
      <c r="H1180" s="110">
        <v>0</v>
      </c>
      <c r="I1180" s="111">
        <v>1</v>
      </c>
      <c r="J1180" s="110">
        <v>11.9</v>
      </c>
      <c r="K1180" s="111"/>
    </row>
    <row r="1181" spans="2:11">
      <c r="B1181" s="115" t="s">
        <v>4275</v>
      </c>
      <c r="C1181" s="115" t="s">
        <v>4340</v>
      </c>
      <c r="D1181" s="115" t="s">
        <v>4374</v>
      </c>
      <c r="E1181" s="115">
        <v>6</v>
      </c>
      <c r="F1181" s="71"/>
      <c r="G1181" s="109">
        <v>251.28000000000003</v>
      </c>
      <c r="H1181" s="110">
        <v>0</v>
      </c>
      <c r="I1181" s="111">
        <v>6</v>
      </c>
      <c r="J1181" s="110">
        <v>251.28000000000003</v>
      </c>
      <c r="K1181" s="111"/>
    </row>
    <row r="1182" spans="2:11">
      <c r="B1182" s="115" t="s">
        <v>4277</v>
      </c>
      <c r="C1182" s="115" t="s">
        <v>4342</v>
      </c>
      <c r="D1182" s="115" t="s">
        <v>4376</v>
      </c>
      <c r="E1182" s="115">
        <v>3</v>
      </c>
      <c r="F1182" s="71"/>
      <c r="G1182" s="109">
        <v>121.5</v>
      </c>
      <c r="H1182" s="110">
        <v>0</v>
      </c>
      <c r="I1182" s="111">
        <v>3</v>
      </c>
      <c r="J1182" s="110">
        <v>121.5</v>
      </c>
      <c r="K1182" s="111"/>
    </row>
    <row r="1183" spans="2:11">
      <c r="B1183" s="115" t="s">
        <v>4378</v>
      </c>
      <c r="C1183" s="115" t="s">
        <v>4404</v>
      </c>
      <c r="D1183" s="115" t="s">
        <v>3647</v>
      </c>
      <c r="E1183" s="115">
        <v>54</v>
      </c>
      <c r="F1183" s="71"/>
      <c r="G1183" s="109">
        <v>1134</v>
      </c>
      <c r="H1183" s="110">
        <v>0</v>
      </c>
      <c r="I1183" s="111">
        <v>54</v>
      </c>
      <c r="J1183" s="110">
        <v>1134</v>
      </c>
      <c r="K1183" s="111"/>
    </row>
    <row r="1184" spans="2:11">
      <c r="B1184" s="115" t="s">
        <v>4379</v>
      </c>
      <c r="C1184" s="115" t="s">
        <v>4405</v>
      </c>
      <c r="D1184" s="115" t="s">
        <v>2459</v>
      </c>
      <c r="E1184" s="115">
        <v>12</v>
      </c>
      <c r="F1184" s="71">
        <v>11</v>
      </c>
      <c r="G1184" s="109">
        <v>363</v>
      </c>
      <c r="H1184" s="110">
        <v>332.75</v>
      </c>
      <c r="I1184" s="111">
        <v>1</v>
      </c>
      <c r="J1184" s="110">
        <v>30.25</v>
      </c>
      <c r="K1184" s="111"/>
    </row>
    <row r="1185" spans="2:11">
      <c r="B1185" s="115" t="s">
        <v>4381</v>
      </c>
      <c r="C1185" s="115" t="s">
        <v>4407</v>
      </c>
      <c r="D1185" s="115" t="s">
        <v>4431</v>
      </c>
      <c r="E1185" s="115">
        <v>327</v>
      </c>
      <c r="F1185" s="71">
        <v>326</v>
      </c>
      <c r="G1185" s="109">
        <v>41103.9</v>
      </c>
      <c r="H1185" s="110">
        <v>40978.200000000004</v>
      </c>
      <c r="I1185" s="111">
        <v>1</v>
      </c>
      <c r="J1185" s="110">
        <v>125.69999999999709</v>
      </c>
      <c r="K1185" s="111"/>
    </row>
    <row r="1186" spans="2:11">
      <c r="B1186" s="115" t="s">
        <v>4383</v>
      </c>
      <c r="C1186" s="115" t="s">
        <v>4409</v>
      </c>
      <c r="D1186" s="115" t="s">
        <v>4433</v>
      </c>
      <c r="E1186" s="115">
        <v>2</v>
      </c>
      <c r="F1186" s="71">
        <v>1</v>
      </c>
      <c r="G1186" s="109">
        <v>133.78</v>
      </c>
      <c r="H1186" s="110">
        <v>66.89</v>
      </c>
      <c r="I1186" s="111">
        <v>1</v>
      </c>
      <c r="J1186" s="110">
        <v>66.89</v>
      </c>
      <c r="K1186" s="111"/>
    </row>
    <row r="1187" spans="2:11">
      <c r="B1187" s="115" t="s">
        <v>4730</v>
      </c>
      <c r="C1187" s="115" t="s">
        <v>4735</v>
      </c>
      <c r="D1187" s="115" t="s">
        <v>4740</v>
      </c>
      <c r="E1187" s="115">
        <v>1</v>
      </c>
      <c r="F1187" s="71"/>
      <c r="G1187" s="109">
        <v>4.12</v>
      </c>
      <c r="H1187" s="110">
        <v>0</v>
      </c>
      <c r="I1187" s="111">
        <v>1</v>
      </c>
      <c r="J1187" s="110">
        <v>4.12</v>
      </c>
      <c r="K1187" s="111"/>
    </row>
    <row r="1188" spans="2:11">
      <c r="B1188" s="115" t="s">
        <v>4389</v>
      </c>
      <c r="C1188" s="115" t="s">
        <v>4415</v>
      </c>
      <c r="D1188" s="115" t="s">
        <v>4435</v>
      </c>
      <c r="E1188" s="115">
        <v>1</v>
      </c>
      <c r="F1188" s="71"/>
      <c r="G1188" s="109">
        <v>20</v>
      </c>
      <c r="H1188" s="110">
        <v>0</v>
      </c>
      <c r="I1188" s="111">
        <v>1</v>
      </c>
      <c r="J1188" s="110">
        <v>20</v>
      </c>
      <c r="K1188" s="111"/>
    </row>
    <row r="1189" spans="2:11" ht="30">
      <c r="B1189" s="115" t="s">
        <v>4391</v>
      </c>
      <c r="C1189" s="115" t="s">
        <v>4417</v>
      </c>
      <c r="D1189" s="115" t="s">
        <v>4437</v>
      </c>
      <c r="E1189" s="115">
        <v>4</v>
      </c>
      <c r="F1189" s="71"/>
      <c r="G1189" s="109">
        <v>142</v>
      </c>
      <c r="H1189" s="110">
        <v>0</v>
      </c>
      <c r="I1189" s="111">
        <v>4</v>
      </c>
      <c r="J1189" s="110">
        <v>142</v>
      </c>
      <c r="K1189" s="111"/>
    </row>
    <row r="1190" spans="2:11" ht="30">
      <c r="B1190" s="115" t="s">
        <v>4392</v>
      </c>
      <c r="C1190" s="115" t="s">
        <v>4418</v>
      </c>
      <c r="D1190" s="115" t="s">
        <v>1198</v>
      </c>
      <c r="E1190" s="115">
        <v>1</v>
      </c>
      <c r="F1190" s="71"/>
      <c r="G1190" s="109">
        <v>52.75</v>
      </c>
      <c r="H1190" s="110">
        <v>0</v>
      </c>
      <c r="I1190" s="111">
        <v>1</v>
      </c>
      <c r="J1190" s="110">
        <v>52.75</v>
      </c>
      <c r="K1190" s="111"/>
    </row>
    <row r="1191" spans="2:11">
      <c r="B1191" s="115" t="s">
        <v>4393</v>
      </c>
      <c r="C1191" s="115" t="s">
        <v>4419</v>
      </c>
      <c r="D1191" s="115" t="s">
        <v>3206</v>
      </c>
      <c r="E1191" s="115">
        <v>1</v>
      </c>
      <c r="F1191" s="71"/>
      <c r="G1191" s="109">
        <v>5.74</v>
      </c>
      <c r="H1191" s="110">
        <v>0</v>
      </c>
      <c r="I1191" s="111">
        <v>1</v>
      </c>
      <c r="J1191" s="110">
        <v>5.74</v>
      </c>
      <c r="K1191" s="111"/>
    </row>
    <row r="1192" spans="2:11">
      <c r="B1192" s="115" t="s">
        <v>4397</v>
      </c>
      <c r="C1192" s="115" t="s">
        <v>4423</v>
      </c>
      <c r="D1192" s="115" t="s">
        <v>3263</v>
      </c>
      <c r="E1192" s="115">
        <v>15</v>
      </c>
      <c r="F1192" s="71">
        <v>14</v>
      </c>
      <c r="G1192" s="109">
        <v>75</v>
      </c>
      <c r="H1192" s="110">
        <v>70</v>
      </c>
      <c r="I1192" s="111">
        <v>1</v>
      </c>
      <c r="J1192" s="110">
        <v>5</v>
      </c>
      <c r="K1192" s="111"/>
    </row>
    <row r="1193" spans="2:11">
      <c r="B1193" s="115" t="s">
        <v>4732</v>
      </c>
      <c r="C1193" s="115" t="s">
        <v>4737</v>
      </c>
      <c r="D1193" s="115" t="s">
        <v>4741</v>
      </c>
      <c r="E1193" s="115">
        <v>3</v>
      </c>
      <c r="F1193" s="71">
        <v>2</v>
      </c>
      <c r="G1193" s="109">
        <v>24.450000000000003</v>
      </c>
      <c r="H1193" s="110">
        <v>16.3</v>
      </c>
      <c r="I1193" s="111">
        <v>1</v>
      </c>
      <c r="J1193" s="110">
        <v>8.1500000000000021</v>
      </c>
      <c r="K1193" s="111"/>
    </row>
    <row r="1194" spans="2:11">
      <c r="B1194" s="115" t="s">
        <v>4398</v>
      </c>
      <c r="C1194" s="115" t="s">
        <v>4424</v>
      </c>
      <c r="D1194" s="115" t="s">
        <v>1637</v>
      </c>
      <c r="E1194" s="115">
        <v>6</v>
      </c>
      <c r="F1194" s="71"/>
      <c r="G1194" s="109">
        <v>0</v>
      </c>
      <c r="H1194" s="110">
        <v>0</v>
      </c>
      <c r="I1194" s="111">
        <v>6</v>
      </c>
      <c r="J1194" s="110">
        <v>0</v>
      </c>
      <c r="K1194" s="111"/>
    </row>
    <row r="1195" spans="2:11">
      <c r="B1195" s="115" t="s">
        <v>4402</v>
      </c>
      <c r="C1195" s="115" t="s">
        <v>4428</v>
      </c>
      <c r="D1195" s="115" t="s">
        <v>3269</v>
      </c>
      <c r="E1195" s="115">
        <v>212</v>
      </c>
      <c r="F1195" s="71">
        <v>102</v>
      </c>
      <c r="G1195" s="109">
        <v>5300</v>
      </c>
      <c r="H1195" s="110">
        <v>2550</v>
      </c>
      <c r="I1195" s="111">
        <v>110</v>
      </c>
      <c r="J1195" s="110">
        <v>2750</v>
      </c>
      <c r="K1195" s="111"/>
    </row>
    <row r="1196" spans="2:11">
      <c r="B1196" s="115" t="s">
        <v>4441</v>
      </c>
      <c r="C1196" s="115" t="s">
        <v>4481</v>
      </c>
      <c r="D1196" s="115" t="s">
        <v>4521</v>
      </c>
      <c r="E1196" s="115">
        <v>1</v>
      </c>
      <c r="F1196" s="71"/>
      <c r="G1196" s="109">
        <v>89.75</v>
      </c>
      <c r="H1196" s="110">
        <v>0</v>
      </c>
      <c r="I1196" s="111">
        <v>1</v>
      </c>
      <c r="J1196" s="110">
        <v>89.75</v>
      </c>
      <c r="K1196" s="111"/>
    </row>
    <row r="1197" spans="2:11">
      <c r="B1197" s="115" t="s">
        <v>4443</v>
      </c>
      <c r="C1197" s="115" t="s">
        <v>4483</v>
      </c>
      <c r="D1197" s="115" t="s">
        <v>4523</v>
      </c>
      <c r="E1197" s="115">
        <v>5</v>
      </c>
      <c r="F1197" s="71"/>
      <c r="G1197" s="109">
        <v>191.64999999999998</v>
      </c>
      <c r="H1197" s="110">
        <v>0</v>
      </c>
      <c r="I1197" s="111">
        <v>5</v>
      </c>
      <c r="J1197" s="110">
        <v>191.64999999999998</v>
      </c>
      <c r="K1197" s="111"/>
    </row>
    <row r="1198" spans="2:11">
      <c r="B1198" s="115" t="s">
        <v>4447</v>
      </c>
      <c r="C1198" s="115" t="s">
        <v>4487</v>
      </c>
      <c r="D1198" s="115" t="s">
        <v>4525</v>
      </c>
      <c r="E1198" s="115">
        <v>43</v>
      </c>
      <c r="F1198" s="71">
        <v>35</v>
      </c>
      <c r="G1198" s="109">
        <v>2306.52</v>
      </c>
      <c r="H1198" s="110">
        <v>1877.4</v>
      </c>
      <c r="I1198" s="111">
        <v>8</v>
      </c>
      <c r="J1198" s="110">
        <v>429.11999999999989</v>
      </c>
      <c r="K1198" s="111"/>
    </row>
    <row r="1199" spans="2:11">
      <c r="B1199" s="115" t="s">
        <v>4448</v>
      </c>
      <c r="C1199" s="115" t="s">
        <v>4488</v>
      </c>
      <c r="D1199" s="115" t="s">
        <v>4526</v>
      </c>
      <c r="E1199" s="115">
        <v>7</v>
      </c>
      <c r="F1199" s="71"/>
      <c r="G1199" s="109">
        <v>566.30000000000007</v>
      </c>
      <c r="H1199" s="110">
        <v>0</v>
      </c>
      <c r="I1199" s="111">
        <v>7</v>
      </c>
      <c r="J1199" s="110">
        <v>566.30000000000007</v>
      </c>
      <c r="K1199" s="111"/>
    </row>
    <row r="1200" spans="2:11">
      <c r="B1200" s="115" t="s">
        <v>4449</v>
      </c>
      <c r="C1200" s="115" t="s">
        <v>4489</v>
      </c>
      <c r="D1200" s="115" t="s">
        <v>1189</v>
      </c>
      <c r="E1200" s="115">
        <v>8</v>
      </c>
      <c r="F1200" s="71"/>
      <c r="G1200" s="109">
        <v>800</v>
      </c>
      <c r="H1200" s="110">
        <v>0</v>
      </c>
      <c r="I1200" s="111">
        <v>8</v>
      </c>
      <c r="J1200" s="110">
        <v>800</v>
      </c>
      <c r="K1200" s="111"/>
    </row>
    <row r="1201" spans="2:11">
      <c r="B1201" s="115" t="s">
        <v>4452</v>
      </c>
      <c r="C1201" s="115" t="s">
        <v>4492</v>
      </c>
      <c r="D1201" s="115" t="s">
        <v>3263</v>
      </c>
      <c r="E1201" s="115">
        <v>141</v>
      </c>
      <c r="F1201" s="71">
        <v>22</v>
      </c>
      <c r="G1201" s="109">
        <v>705</v>
      </c>
      <c r="H1201" s="110">
        <v>110</v>
      </c>
      <c r="I1201" s="111">
        <v>119</v>
      </c>
      <c r="J1201" s="110">
        <v>595</v>
      </c>
      <c r="K1201" s="111"/>
    </row>
    <row r="1202" spans="2:11">
      <c r="B1202" s="115" t="s">
        <v>4453</v>
      </c>
      <c r="C1202" s="115" t="s">
        <v>4493</v>
      </c>
      <c r="D1202" s="115" t="s">
        <v>4432</v>
      </c>
      <c r="E1202" s="115">
        <v>3</v>
      </c>
      <c r="F1202" s="71">
        <v>1</v>
      </c>
      <c r="G1202" s="109">
        <v>21</v>
      </c>
      <c r="H1202" s="110">
        <v>7</v>
      </c>
      <c r="I1202" s="111">
        <v>2</v>
      </c>
      <c r="J1202" s="110">
        <v>14</v>
      </c>
      <c r="K1202" s="111"/>
    </row>
    <row r="1203" spans="2:11">
      <c r="B1203" s="115" t="s">
        <v>4454</v>
      </c>
      <c r="C1203" s="115" t="s">
        <v>4494</v>
      </c>
      <c r="D1203" s="115" t="s">
        <v>3261</v>
      </c>
      <c r="E1203" s="115">
        <v>38</v>
      </c>
      <c r="F1203" s="71">
        <v>4</v>
      </c>
      <c r="G1203" s="109">
        <v>228</v>
      </c>
      <c r="H1203" s="110">
        <v>24</v>
      </c>
      <c r="I1203" s="111">
        <v>34</v>
      </c>
      <c r="J1203" s="110">
        <v>204</v>
      </c>
      <c r="K1203" s="111"/>
    </row>
    <row r="1204" spans="2:11">
      <c r="B1204" s="115" t="s">
        <v>4456</v>
      </c>
      <c r="C1204" s="115" t="s">
        <v>4496</v>
      </c>
      <c r="D1204" s="115" t="s">
        <v>1396</v>
      </c>
      <c r="E1204" s="115">
        <v>56</v>
      </c>
      <c r="F1204" s="71">
        <v>41</v>
      </c>
      <c r="G1204" s="109">
        <v>448</v>
      </c>
      <c r="H1204" s="110">
        <v>328</v>
      </c>
      <c r="I1204" s="111">
        <v>15</v>
      </c>
      <c r="J1204" s="110">
        <v>120</v>
      </c>
      <c r="K1204" s="111"/>
    </row>
    <row r="1205" spans="2:11">
      <c r="B1205" s="115" t="s">
        <v>4459</v>
      </c>
      <c r="C1205" s="115" t="s">
        <v>4499</v>
      </c>
      <c r="D1205" s="115" t="s">
        <v>1163</v>
      </c>
      <c r="E1205" s="115">
        <v>21</v>
      </c>
      <c r="F1205" s="71"/>
      <c r="G1205" s="109">
        <v>735</v>
      </c>
      <c r="H1205" s="110">
        <v>0</v>
      </c>
      <c r="I1205" s="111">
        <v>21</v>
      </c>
      <c r="J1205" s="110">
        <v>735</v>
      </c>
      <c r="K1205" s="111"/>
    </row>
    <row r="1206" spans="2:11">
      <c r="B1206" s="115" t="s">
        <v>4460</v>
      </c>
      <c r="C1206" s="115" t="s">
        <v>4500</v>
      </c>
      <c r="D1206" s="115" t="s">
        <v>1396</v>
      </c>
      <c r="E1206" s="115">
        <v>5</v>
      </c>
      <c r="F1206" s="71"/>
      <c r="G1206" s="109">
        <v>40</v>
      </c>
      <c r="H1206" s="110">
        <v>0</v>
      </c>
      <c r="I1206" s="111">
        <v>5</v>
      </c>
      <c r="J1206" s="110">
        <v>40</v>
      </c>
      <c r="K1206" s="111"/>
    </row>
    <row r="1207" spans="2:11">
      <c r="B1207" s="115" t="s">
        <v>4461</v>
      </c>
      <c r="C1207" s="115" t="s">
        <v>4501</v>
      </c>
      <c r="D1207" s="115" t="s">
        <v>4363</v>
      </c>
      <c r="E1207" s="115">
        <v>5</v>
      </c>
      <c r="F1207" s="71"/>
      <c r="G1207" s="109">
        <v>55</v>
      </c>
      <c r="H1207" s="110">
        <v>0</v>
      </c>
      <c r="I1207" s="111">
        <v>5</v>
      </c>
      <c r="J1207" s="110">
        <v>55</v>
      </c>
      <c r="K1207" s="111"/>
    </row>
    <row r="1208" spans="2:11">
      <c r="B1208" s="115" t="s">
        <v>4463</v>
      </c>
      <c r="C1208" s="115" t="s">
        <v>4503</v>
      </c>
      <c r="D1208" s="115" t="s">
        <v>4111</v>
      </c>
      <c r="E1208" s="115">
        <v>9</v>
      </c>
      <c r="F1208" s="71">
        <v>1</v>
      </c>
      <c r="G1208" s="109">
        <v>1170</v>
      </c>
      <c r="H1208" s="110">
        <v>130</v>
      </c>
      <c r="I1208" s="111">
        <v>8</v>
      </c>
      <c r="J1208" s="110">
        <v>1040</v>
      </c>
      <c r="K1208" s="111"/>
    </row>
    <row r="1209" spans="2:11">
      <c r="B1209" s="115" t="s">
        <v>4464</v>
      </c>
      <c r="C1209" s="115" t="s">
        <v>4504</v>
      </c>
      <c r="D1209" s="115" t="s">
        <v>4530</v>
      </c>
      <c r="E1209" s="115">
        <v>1</v>
      </c>
      <c r="F1209" s="71"/>
      <c r="G1209" s="109">
        <v>320</v>
      </c>
      <c r="H1209" s="110">
        <v>0</v>
      </c>
      <c r="I1209" s="111">
        <v>1</v>
      </c>
      <c r="J1209" s="110">
        <v>320</v>
      </c>
      <c r="K1209" s="111"/>
    </row>
    <row r="1210" spans="2:11">
      <c r="B1210" s="115" t="s">
        <v>4465</v>
      </c>
      <c r="C1210" s="115" t="s">
        <v>4505</v>
      </c>
      <c r="D1210" s="115" t="s">
        <v>1804</v>
      </c>
      <c r="E1210" s="115">
        <v>9</v>
      </c>
      <c r="F1210" s="71"/>
      <c r="G1210" s="109">
        <v>1260</v>
      </c>
      <c r="H1210" s="110">
        <v>0</v>
      </c>
      <c r="I1210" s="111">
        <v>9</v>
      </c>
      <c r="J1210" s="110">
        <v>1260</v>
      </c>
      <c r="K1210" s="111"/>
    </row>
    <row r="1211" spans="2:11">
      <c r="B1211" s="115" t="s">
        <v>4466</v>
      </c>
      <c r="C1211" s="115" t="s">
        <v>4506</v>
      </c>
      <c r="D1211" s="115" t="s">
        <v>1648</v>
      </c>
      <c r="E1211" s="115">
        <v>1</v>
      </c>
      <c r="F1211" s="71"/>
      <c r="G1211" s="109">
        <v>300</v>
      </c>
      <c r="H1211" s="110">
        <v>0</v>
      </c>
      <c r="I1211" s="111">
        <v>1</v>
      </c>
      <c r="J1211" s="110">
        <v>300</v>
      </c>
      <c r="K1211" s="111"/>
    </row>
    <row r="1212" spans="2:11">
      <c r="B1212" s="115" t="s">
        <v>4469</v>
      </c>
      <c r="C1212" s="115" t="s">
        <v>4509</v>
      </c>
      <c r="D1212" s="115" t="s">
        <v>4531</v>
      </c>
      <c r="E1212" s="115">
        <v>7</v>
      </c>
      <c r="F1212" s="71"/>
      <c r="G1212" s="109">
        <v>2326.31</v>
      </c>
      <c r="H1212" s="110">
        <v>0</v>
      </c>
      <c r="I1212" s="111">
        <v>7</v>
      </c>
      <c r="J1212" s="110">
        <v>2326.31</v>
      </c>
      <c r="K1212" s="111"/>
    </row>
    <row r="1213" spans="2:11">
      <c r="B1213" s="115" t="s">
        <v>4470</v>
      </c>
      <c r="C1213" s="115" t="s">
        <v>4510</v>
      </c>
      <c r="D1213" s="115" t="s">
        <v>783</v>
      </c>
      <c r="E1213" s="115">
        <v>2</v>
      </c>
      <c r="F1213" s="71"/>
      <c r="G1213" s="109">
        <v>66</v>
      </c>
      <c r="H1213" s="110">
        <v>0</v>
      </c>
      <c r="I1213" s="111">
        <v>2</v>
      </c>
      <c r="J1213" s="110">
        <v>66</v>
      </c>
      <c r="K1213" s="111"/>
    </row>
    <row r="1214" spans="2:11">
      <c r="B1214" s="115" t="s">
        <v>4471</v>
      </c>
      <c r="C1214" s="115" t="s">
        <v>4511</v>
      </c>
      <c r="D1214" s="115" t="s">
        <v>1822</v>
      </c>
      <c r="E1214" s="115">
        <v>6</v>
      </c>
      <c r="F1214" s="71">
        <v>5</v>
      </c>
      <c r="G1214" s="109">
        <v>90</v>
      </c>
      <c r="H1214" s="110">
        <v>75</v>
      </c>
      <c r="I1214" s="111">
        <v>1</v>
      </c>
      <c r="J1214" s="110">
        <v>15</v>
      </c>
      <c r="K1214" s="111"/>
    </row>
    <row r="1215" spans="2:11">
      <c r="B1215" s="115" t="s">
        <v>4472</v>
      </c>
      <c r="C1215" s="115" t="s">
        <v>4512</v>
      </c>
      <c r="D1215" s="115" t="s">
        <v>3647</v>
      </c>
      <c r="E1215" s="115">
        <v>9</v>
      </c>
      <c r="F1215" s="71"/>
      <c r="G1215" s="109">
        <v>189</v>
      </c>
      <c r="H1215" s="110">
        <v>0</v>
      </c>
      <c r="I1215" s="111">
        <v>9</v>
      </c>
      <c r="J1215" s="110">
        <v>189</v>
      </c>
      <c r="K1215" s="111"/>
    </row>
    <row r="1216" spans="2:11">
      <c r="B1216" s="115" t="s">
        <v>4473</v>
      </c>
      <c r="C1216" s="115" t="s">
        <v>4513</v>
      </c>
      <c r="D1216" s="115" t="s">
        <v>1814</v>
      </c>
      <c r="E1216" s="115">
        <v>5</v>
      </c>
      <c r="F1216" s="71"/>
      <c r="G1216" s="109">
        <v>160</v>
      </c>
      <c r="H1216" s="110">
        <v>0</v>
      </c>
      <c r="I1216" s="111">
        <v>5</v>
      </c>
      <c r="J1216" s="110">
        <v>160</v>
      </c>
      <c r="K1216" s="111"/>
    </row>
    <row r="1217" spans="2:11">
      <c r="B1217" s="115" t="s">
        <v>4474</v>
      </c>
      <c r="C1217" s="115" t="s">
        <v>4514</v>
      </c>
      <c r="D1217" s="115" t="s">
        <v>1821</v>
      </c>
      <c r="E1217" s="115">
        <v>1</v>
      </c>
      <c r="F1217" s="71"/>
      <c r="G1217" s="109">
        <v>18.75</v>
      </c>
      <c r="H1217" s="110">
        <v>0</v>
      </c>
      <c r="I1217" s="111">
        <v>1</v>
      </c>
      <c r="J1217" s="110">
        <v>18.75</v>
      </c>
      <c r="K1217" s="111"/>
    </row>
    <row r="1218" spans="2:11">
      <c r="B1218" s="115" t="s">
        <v>4475</v>
      </c>
      <c r="C1218" s="115" t="s">
        <v>4515</v>
      </c>
      <c r="D1218" s="115" t="s">
        <v>1192</v>
      </c>
      <c r="E1218" s="115">
        <v>21</v>
      </c>
      <c r="F1218" s="71">
        <v>19</v>
      </c>
      <c r="G1218" s="109">
        <v>2625</v>
      </c>
      <c r="H1218" s="110">
        <v>2375</v>
      </c>
      <c r="I1218" s="111">
        <v>2</v>
      </c>
      <c r="J1218" s="110">
        <v>250</v>
      </c>
      <c r="K1218" s="111"/>
    </row>
    <row r="1219" spans="2:11">
      <c r="B1219" s="115" t="s">
        <v>4476</v>
      </c>
      <c r="C1219" s="115" t="s">
        <v>4516</v>
      </c>
      <c r="D1219" s="115" t="s">
        <v>4532</v>
      </c>
      <c r="E1219" s="115">
        <v>1</v>
      </c>
      <c r="F1219" s="71"/>
      <c r="G1219" s="109">
        <v>290</v>
      </c>
      <c r="H1219" s="110">
        <v>0</v>
      </c>
      <c r="I1219" s="111">
        <v>1</v>
      </c>
      <c r="J1219" s="110">
        <v>290</v>
      </c>
      <c r="K1219" s="111"/>
    </row>
    <row r="1220" spans="2:11">
      <c r="B1220" s="115" t="s">
        <v>4477</v>
      </c>
      <c r="C1220" s="115" t="s">
        <v>4517</v>
      </c>
      <c r="D1220" s="115" t="s">
        <v>4523</v>
      </c>
      <c r="E1220" s="115">
        <v>1</v>
      </c>
      <c r="F1220" s="71"/>
      <c r="G1220" s="109">
        <v>38.33</v>
      </c>
      <c r="H1220" s="110">
        <v>0</v>
      </c>
      <c r="I1220" s="111">
        <v>1</v>
      </c>
      <c r="J1220" s="110">
        <v>38.33</v>
      </c>
      <c r="K1220" s="111"/>
    </row>
    <row r="1221" spans="2:11">
      <c r="B1221" s="115" t="s">
        <v>4478</v>
      </c>
      <c r="C1221" s="115" t="s">
        <v>4518</v>
      </c>
      <c r="D1221" s="115" t="s">
        <v>4533</v>
      </c>
      <c r="E1221" s="115">
        <v>1</v>
      </c>
      <c r="F1221" s="71"/>
      <c r="G1221" s="109">
        <v>22</v>
      </c>
      <c r="H1221" s="110">
        <v>0</v>
      </c>
      <c r="I1221" s="111">
        <v>1</v>
      </c>
      <c r="J1221" s="110">
        <v>22</v>
      </c>
      <c r="K1221" s="111"/>
    </row>
    <row r="1222" spans="2:11">
      <c r="B1222" s="115" t="s">
        <v>4479</v>
      </c>
      <c r="C1222" s="115" t="s">
        <v>4519</v>
      </c>
      <c r="D1222" s="115" t="s">
        <v>4201</v>
      </c>
      <c r="E1222" s="115">
        <v>8</v>
      </c>
      <c r="F1222" s="71"/>
      <c r="G1222" s="109">
        <v>333.36</v>
      </c>
      <c r="H1222" s="110">
        <v>0</v>
      </c>
      <c r="I1222" s="111">
        <v>8</v>
      </c>
      <c r="J1222" s="110">
        <v>333.36</v>
      </c>
      <c r="K1222" s="111"/>
    </row>
    <row r="1223" spans="2:11" ht="30">
      <c r="B1223" s="115" t="s">
        <v>4480</v>
      </c>
      <c r="C1223" s="115" t="s">
        <v>4520</v>
      </c>
      <c r="D1223" s="115" t="s">
        <v>3096</v>
      </c>
      <c r="E1223" s="115">
        <v>3</v>
      </c>
      <c r="F1223" s="71"/>
      <c r="G1223" s="109">
        <v>135</v>
      </c>
      <c r="H1223" s="110">
        <v>0</v>
      </c>
      <c r="I1223" s="111">
        <v>3</v>
      </c>
      <c r="J1223" s="110">
        <v>135</v>
      </c>
      <c r="K1223" s="111"/>
    </row>
    <row r="1224" spans="2:11" ht="30">
      <c r="B1224" s="115" t="s">
        <v>4534</v>
      </c>
      <c r="C1224" s="115" t="s">
        <v>4544</v>
      </c>
      <c r="D1224" s="115" t="s">
        <v>4554</v>
      </c>
      <c r="E1224" s="115">
        <v>8</v>
      </c>
      <c r="F1224" s="71">
        <v>3</v>
      </c>
      <c r="G1224" s="109">
        <v>672</v>
      </c>
      <c r="H1224" s="110">
        <v>252</v>
      </c>
      <c r="I1224" s="111">
        <v>5</v>
      </c>
      <c r="J1224" s="110">
        <v>420</v>
      </c>
      <c r="K1224" s="111"/>
    </row>
    <row r="1225" spans="2:11">
      <c r="B1225" s="115" t="s">
        <v>4539</v>
      </c>
      <c r="C1225" s="115" t="s">
        <v>4549</v>
      </c>
      <c r="D1225" s="115" t="s">
        <v>4556</v>
      </c>
      <c r="E1225" s="115">
        <v>11</v>
      </c>
      <c r="F1225" s="71">
        <v>6</v>
      </c>
      <c r="G1225" s="109">
        <v>1848</v>
      </c>
      <c r="H1225" s="110">
        <v>1008</v>
      </c>
      <c r="I1225" s="111">
        <v>5</v>
      </c>
      <c r="J1225" s="110">
        <v>840</v>
      </c>
      <c r="K1225" s="111"/>
    </row>
    <row r="1226" spans="2:11">
      <c r="B1226" s="115" t="s">
        <v>4558</v>
      </c>
      <c r="C1226" s="115" t="s">
        <v>4585</v>
      </c>
      <c r="D1226" s="115" t="s">
        <v>4432</v>
      </c>
      <c r="E1226" s="115">
        <v>10</v>
      </c>
      <c r="F1226" s="71">
        <v>7</v>
      </c>
      <c r="G1226" s="109">
        <v>70</v>
      </c>
      <c r="H1226" s="110">
        <v>49</v>
      </c>
      <c r="I1226" s="111">
        <v>3</v>
      </c>
      <c r="J1226" s="110">
        <v>21</v>
      </c>
      <c r="K1226" s="111"/>
    </row>
    <row r="1227" spans="2:11">
      <c r="B1227" s="115" t="s">
        <v>4559</v>
      </c>
      <c r="C1227" s="115" t="s">
        <v>4586</v>
      </c>
      <c r="D1227" s="115" t="s">
        <v>4746</v>
      </c>
      <c r="E1227" s="115">
        <v>24</v>
      </c>
      <c r="F1227" s="71">
        <v>15</v>
      </c>
      <c r="G1227" s="109">
        <v>72</v>
      </c>
      <c r="H1227" s="110">
        <v>45</v>
      </c>
      <c r="I1227" s="111">
        <v>9</v>
      </c>
      <c r="J1227" s="110">
        <v>27</v>
      </c>
      <c r="K1227" s="111"/>
    </row>
    <row r="1228" spans="2:11">
      <c r="B1228" s="115" t="s">
        <v>4561</v>
      </c>
      <c r="C1228" s="115" t="s">
        <v>4588</v>
      </c>
      <c r="D1228" s="115" t="s">
        <v>4748</v>
      </c>
      <c r="E1228" s="115">
        <v>6</v>
      </c>
      <c r="F1228" s="71">
        <v>0</v>
      </c>
      <c r="G1228" s="109">
        <v>24</v>
      </c>
      <c r="H1228" s="110">
        <v>0</v>
      </c>
      <c r="I1228" s="111">
        <v>6</v>
      </c>
      <c r="J1228" s="110">
        <v>24</v>
      </c>
      <c r="K1228" s="111"/>
    </row>
    <row r="1229" spans="2:11">
      <c r="B1229" s="115" t="s">
        <v>4562</v>
      </c>
      <c r="C1229" s="115" t="s">
        <v>4589</v>
      </c>
      <c r="D1229" s="115" t="s">
        <v>4749</v>
      </c>
      <c r="E1229" s="115">
        <v>1</v>
      </c>
      <c r="F1229" s="71">
        <v>0</v>
      </c>
      <c r="G1229" s="109">
        <v>2</v>
      </c>
      <c r="H1229" s="110">
        <v>0</v>
      </c>
      <c r="I1229" s="111">
        <v>1</v>
      </c>
      <c r="J1229" s="110">
        <v>2</v>
      </c>
      <c r="K1229" s="111"/>
    </row>
    <row r="1230" spans="2:11">
      <c r="B1230" s="115" t="s">
        <v>4563</v>
      </c>
      <c r="C1230" s="115" t="s">
        <v>4590</v>
      </c>
      <c r="D1230" s="115" t="s">
        <v>1396</v>
      </c>
      <c r="E1230" s="115">
        <v>1</v>
      </c>
      <c r="F1230" s="71">
        <v>0</v>
      </c>
      <c r="G1230" s="109">
        <v>8</v>
      </c>
      <c r="H1230" s="110">
        <v>0</v>
      </c>
      <c r="I1230" s="111">
        <v>1</v>
      </c>
      <c r="J1230" s="110">
        <v>8</v>
      </c>
      <c r="K1230" s="111"/>
    </row>
    <row r="1231" spans="2:11">
      <c r="B1231" s="115" t="s">
        <v>4564</v>
      </c>
      <c r="C1231" s="115" t="s">
        <v>4591</v>
      </c>
      <c r="D1231" s="115" t="s">
        <v>1396</v>
      </c>
      <c r="E1231" s="115">
        <v>3</v>
      </c>
      <c r="F1231" s="71">
        <v>0</v>
      </c>
      <c r="G1231" s="109">
        <v>24</v>
      </c>
      <c r="H1231" s="110">
        <v>0</v>
      </c>
      <c r="I1231" s="111">
        <v>3</v>
      </c>
      <c r="J1231" s="110">
        <v>24</v>
      </c>
      <c r="K1231" s="111"/>
    </row>
    <row r="1232" spans="2:11">
      <c r="B1232" s="115" t="s">
        <v>4565</v>
      </c>
      <c r="C1232" s="115" t="s">
        <v>4592</v>
      </c>
      <c r="D1232" s="115" t="s">
        <v>4432</v>
      </c>
      <c r="E1232" s="115">
        <v>26</v>
      </c>
      <c r="F1232" s="71">
        <v>25</v>
      </c>
      <c r="G1232" s="109">
        <v>182</v>
      </c>
      <c r="H1232" s="110">
        <v>175</v>
      </c>
      <c r="I1232" s="111">
        <v>1</v>
      </c>
      <c r="J1232" s="110">
        <v>7</v>
      </c>
      <c r="K1232" s="111"/>
    </row>
    <row r="1233" spans="2:11">
      <c r="B1233" s="115" t="s">
        <v>4567</v>
      </c>
      <c r="C1233" s="115" t="s">
        <v>4594</v>
      </c>
      <c r="D1233" s="115" t="s">
        <v>4533</v>
      </c>
      <c r="E1233" s="115">
        <v>2</v>
      </c>
      <c r="F1233" s="71">
        <v>0</v>
      </c>
      <c r="G1233" s="109">
        <v>44</v>
      </c>
      <c r="H1233" s="110">
        <v>0</v>
      </c>
      <c r="I1233" s="111">
        <v>2</v>
      </c>
      <c r="J1233" s="110">
        <v>44</v>
      </c>
      <c r="K1233" s="111"/>
    </row>
    <row r="1234" spans="2:11">
      <c r="B1234" s="115" t="s">
        <v>4568</v>
      </c>
      <c r="C1234" s="115" t="s">
        <v>4595</v>
      </c>
      <c r="D1234" s="115" t="s">
        <v>3646</v>
      </c>
      <c r="E1234" s="115">
        <v>10</v>
      </c>
      <c r="F1234" s="71">
        <v>7</v>
      </c>
      <c r="G1234" s="109">
        <v>180</v>
      </c>
      <c r="H1234" s="110">
        <v>126</v>
      </c>
      <c r="I1234" s="111">
        <v>3</v>
      </c>
      <c r="J1234" s="110">
        <v>54</v>
      </c>
      <c r="K1234" s="111"/>
    </row>
    <row r="1235" spans="2:11">
      <c r="B1235" s="115" t="s">
        <v>4570</v>
      </c>
      <c r="C1235" s="115" t="s">
        <v>4597</v>
      </c>
      <c r="D1235" s="115" t="s">
        <v>4750</v>
      </c>
      <c r="E1235" s="115">
        <v>6</v>
      </c>
      <c r="F1235" s="71">
        <v>2</v>
      </c>
      <c r="G1235" s="109">
        <v>78</v>
      </c>
      <c r="H1235" s="110">
        <v>26</v>
      </c>
      <c r="I1235" s="111">
        <v>4</v>
      </c>
      <c r="J1235" s="110">
        <v>52</v>
      </c>
      <c r="K1235" s="111"/>
    </row>
    <row r="1236" spans="2:11">
      <c r="B1236" s="115" t="s">
        <v>4571</v>
      </c>
      <c r="C1236" s="115" t="s">
        <v>4598</v>
      </c>
      <c r="D1236" s="115" t="s">
        <v>4432</v>
      </c>
      <c r="E1236" s="115">
        <v>1</v>
      </c>
      <c r="F1236" s="71">
        <v>0</v>
      </c>
      <c r="G1236" s="109">
        <v>7</v>
      </c>
      <c r="H1236" s="110">
        <v>0</v>
      </c>
      <c r="I1236" s="111">
        <v>1</v>
      </c>
      <c r="J1236" s="110">
        <v>7</v>
      </c>
      <c r="K1236" s="111"/>
    </row>
    <row r="1237" spans="2:11">
      <c r="B1237" s="115" t="s">
        <v>4578</v>
      </c>
      <c r="C1237" s="115" t="s">
        <v>4606</v>
      </c>
      <c r="D1237" s="115" t="s">
        <v>4753</v>
      </c>
      <c r="E1237" s="115">
        <v>2</v>
      </c>
      <c r="F1237" s="71">
        <v>1</v>
      </c>
      <c r="G1237" s="109">
        <v>112</v>
      </c>
      <c r="H1237" s="110">
        <v>56</v>
      </c>
      <c r="I1237" s="111">
        <v>1</v>
      </c>
      <c r="J1237" s="110">
        <v>56</v>
      </c>
      <c r="K1237" s="111"/>
    </row>
    <row r="1238" spans="2:11">
      <c r="B1238" s="141"/>
      <c r="C1238" s="141"/>
      <c r="D1238" s="141"/>
      <c r="E1238" s="143">
        <f>SUM(E174:E1237)</f>
        <v>49632</v>
      </c>
      <c r="F1238" s="143">
        <f t="shared" ref="F1238:J1238" si="0">SUM(F174:F1237)</f>
        <v>21528</v>
      </c>
      <c r="G1238" s="143">
        <f t="shared" si="0"/>
        <v>1041180.8599999994</v>
      </c>
      <c r="H1238" s="143">
        <f t="shared" si="0"/>
        <v>434643.20999999996</v>
      </c>
      <c r="I1238" s="143">
        <f t="shared" si="0"/>
        <v>28104</v>
      </c>
      <c r="J1238" s="143">
        <f t="shared" si="0"/>
        <v>609113.79</v>
      </c>
      <c r="K1238" s="142"/>
    </row>
  </sheetData>
  <pageMargins left="0.7" right="0.7" top="0.5" bottom="0.5" header="0.3" footer="0.3"/>
  <pageSetup paperSize="14" scale="75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PRINTING</vt:lpstr>
      <vt:lpstr>VB-3</vt:lpstr>
      <vt:lpstr>CONVIE-NOT FINAL</vt:lpstr>
      <vt:lpstr>VB-1</vt:lpstr>
      <vt:lpstr>PRINTING!Print_Area</vt:lpstr>
      <vt:lpstr>'VB-1'!Print_Area</vt:lpstr>
      <vt:lpstr>'VB-3'!Print_Area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ampcdt2</dc:creator>
  <cp:lastModifiedBy>Angelika Manucot</cp:lastModifiedBy>
  <cp:lastPrinted>2026-06-05T02:12:04Z</cp:lastPrinted>
  <dcterms:created xsi:type="dcterms:W3CDTF">2022-09-19T06:35:00Z</dcterms:created>
  <dcterms:modified xsi:type="dcterms:W3CDTF">2026-06-05T03:52:53Z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7B89EFFD48E1435BB2F96505029CE542_12</vt:lpwstr>
  </property>
  <property fmtid="{D5CDD505-2E9C-101B-9397-08002B2CF9AE}" pid="3" name="KSOProductBuildVer">
    <vt:lpwstr>1033-12.2.0.18607</vt:lpwstr>
  </property>
</Properties>
</file>