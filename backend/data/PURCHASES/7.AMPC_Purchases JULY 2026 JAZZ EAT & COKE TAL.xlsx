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ISSE\REPORTS\MONTHLY REPORT\PURCHASES\PURCHASES 2026\"/>
    </mc:Choice>
  </mc:AlternateContent>
  <xr:revisionPtr revIDLastSave="0" documentId="13_ncr:1_{9DAA96A2-9A7F-49EE-8487-58EBCF17167F}" xr6:coauthVersionLast="47" xr6:coauthVersionMax="47" xr10:uidLastSave="{00000000-0000-0000-0000-000000000000}"/>
  <bookViews>
    <workbookView xWindow="-120" yWindow="-120" windowWidth="29040" windowHeight="15840" activeTab="1" xr2:uid="{F1AA436E-7249-4B2D-9A6D-659C53B5EB71}"/>
  </bookViews>
  <sheets>
    <sheet name="RESTO" sheetId="1" r:id="rId1"/>
    <sheet name="COKE TALAVERA" sheetId="2" r:id="rId2"/>
  </sheets>
  <definedNames>
    <definedName name="_xlnm._FilterDatabase" localSheetId="1" hidden="1">'COKE TALAVERA'!$A$5:$R$29</definedName>
    <definedName name="_xlnm._FilterDatabase" localSheetId="0" hidden="1">RESTO!$A$4:$L$685</definedName>
    <definedName name="_xlnm.Print_Area" localSheetId="1">'COKE TALAVERA'!$B$43:$E$61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2" l="1"/>
  <c r="H24" i="2"/>
  <c r="H25" i="2"/>
  <c r="H26" i="2"/>
  <c r="H27" i="2"/>
  <c r="G27" i="2"/>
  <c r="G24" i="2"/>
  <c r="G23" i="2"/>
  <c r="H23" i="2" s="1"/>
  <c r="G22" i="2"/>
  <c r="H22" i="2" s="1"/>
  <c r="H17" i="2"/>
  <c r="H19" i="2"/>
  <c r="H20" i="2"/>
  <c r="G21" i="2"/>
  <c r="H21" i="2" s="1"/>
  <c r="G20" i="2"/>
  <c r="G19" i="2"/>
  <c r="G18" i="2"/>
  <c r="H18" i="2" s="1"/>
  <c r="G17" i="2"/>
  <c r="G16" i="2"/>
  <c r="H8" i="2"/>
  <c r="H11" i="2"/>
  <c r="H12" i="2"/>
  <c r="H14" i="2"/>
  <c r="H15" i="2"/>
  <c r="G14" i="2"/>
  <c r="G13" i="2"/>
  <c r="H13" i="2" s="1"/>
  <c r="G12" i="2"/>
  <c r="G11" i="2"/>
  <c r="G10" i="2"/>
  <c r="H10" i="2" s="1"/>
  <c r="G9" i="2"/>
  <c r="H9" i="2" s="1"/>
  <c r="G8" i="2"/>
  <c r="G7" i="2"/>
  <c r="H7" i="2" s="1"/>
  <c r="G6" i="2"/>
  <c r="H6" i="2" s="1"/>
  <c r="K6" i="2" s="1"/>
  <c r="H638" i="1" l="1"/>
  <c r="F628" i="1"/>
  <c r="H618" i="1"/>
  <c r="H617" i="1"/>
  <c r="H616" i="1"/>
  <c r="F595" i="1" l="1"/>
  <c r="H602" i="1"/>
  <c r="H576" i="1" l="1"/>
  <c r="F575" i="1"/>
  <c r="F561" i="1"/>
  <c r="F570" i="1"/>
  <c r="H567" i="1"/>
  <c r="H566" i="1"/>
  <c r="F556" i="1"/>
  <c r="F557" i="1"/>
  <c r="F555" i="1"/>
  <c r="H523" i="1"/>
  <c r="H466" i="1"/>
  <c r="H464" i="1"/>
  <c r="F450" i="1"/>
  <c r="H404" i="1" l="1"/>
  <c r="I404" i="1" s="1"/>
  <c r="L404" i="1" s="1"/>
  <c r="F399" i="1"/>
  <c r="I399" i="1" s="1"/>
  <c r="L399" i="1" s="1"/>
  <c r="F397" i="1"/>
  <c r="I397" i="1" s="1"/>
  <c r="L397" i="1" s="1"/>
  <c r="F396" i="1"/>
  <c r="I396" i="1" s="1"/>
  <c r="L396" i="1" s="1"/>
  <c r="F391" i="1"/>
  <c r="I392" i="1"/>
  <c r="L392" i="1" s="1"/>
  <c r="I393" i="1"/>
  <c r="L393" i="1" s="1"/>
  <c r="I394" i="1"/>
  <c r="L394" i="1" s="1"/>
  <c r="I395" i="1"/>
  <c r="L395" i="1" s="1"/>
  <c r="I398" i="1"/>
  <c r="L398" i="1" s="1"/>
  <c r="I400" i="1"/>
  <c r="L400" i="1" s="1"/>
  <c r="I401" i="1"/>
  <c r="L401" i="1" s="1"/>
  <c r="I402" i="1"/>
  <c r="L402" i="1" s="1"/>
  <c r="I403" i="1"/>
  <c r="L403" i="1" s="1"/>
  <c r="I387" i="1"/>
  <c r="L387" i="1" s="1"/>
  <c r="I388" i="1"/>
  <c r="L388" i="1" s="1"/>
  <c r="I389" i="1"/>
  <c r="L389" i="1" s="1"/>
  <c r="I390" i="1"/>
  <c r="L390" i="1" s="1"/>
  <c r="I405" i="1"/>
  <c r="L405" i="1" s="1"/>
  <c r="H439" i="1"/>
  <c r="H432" i="1"/>
  <c r="F422" i="1"/>
  <c r="F421" i="1"/>
  <c r="H409" i="1"/>
  <c r="F413" i="1"/>
  <c r="F406" i="1"/>
  <c r="I373" i="1"/>
  <c r="L373" i="1" s="1"/>
  <c r="I374" i="1"/>
  <c r="L374" i="1" s="1"/>
  <c r="F363" i="1"/>
  <c r="F359" i="1"/>
  <c r="H356" i="1"/>
  <c r="I345" i="1"/>
  <c r="I346" i="1"/>
  <c r="I347" i="1"/>
  <c r="I348" i="1"/>
  <c r="I349" i="1"/>
  <c r="I350" i="1"/>
  <c r="I351" i="1"/>
  <c r="I352" i="1"/>
  <c r="I353" i="1"/>
  <c r="I354" i="1"/>
  <c r="I355" i="1"/>
  <c r="H336" i="1"/>
  <c r="H335" i="1"/>
  <c r="F333" i="1"/>
  <c r="H321" i="1"/>
  <c r="H319" i="1"/>
  <c r="I312" i="1"/>
  <c r="I313" i="1"/>
  <c r="I314" i="1"/>
  <c r="I315" i="1"/>
  <c r="I316" i="1"/>
  <c r="I317" i="1"/>
  <c r="I318" i="1"/>
  <c r="I303" i="1"/>
  <c r="I304" i="1"/>
  <c r="I305" i="1"/>
  <c r="I306" i="1"/>
  <c r="I307" i="1"/>
  <c r="I290" i="1"/>
  <c r="I291" i="1"/>
  <c r="I292" i="1"/>
  <c r="I293" i="1"/>
  <c r="I294" i="1"/>
  <c r="I295" i="1"/>
  <c r="I296" i="1"/>
  <c r="F285" i="1"/>
  <c r="H277" i="1"/>
  <c r="F213" i="1"/>
  <c r="H268" i="1"/>
  <c r="F235" i="1"/>
  <c r="H234" i="1"/>
  <c r="F217" i="1"/>
  <c r="F215" i="1"/>
  <c r="F214" i="1"/>
  <c r="F198" i="1"/>
  <c r="H194" i="1"/>
  <c r="H189" i="1"/>
  <c r="H188" i="1"/>
  <c r="H187" i="1"/>
  <c r="H186" i="1"/>
  <c r="F177" i="1"/>
  <c r="F172" i="1"/>
  <c r="H169" i="1"/>
  <c r="I391" i="1" l="1"/>
  <c r="L391" i="1" s="1"/>
  <c r="H163" i="1"/>
  <c r="H162" i="1"/>
  <c r="H161" i="1"/>
  <c r="H160" i="1"/>
  <c r="F139" i="1"/>
  <c r="F134" i="1"/>
  <c r="F132" i="1"/>
  <c r="F126" i="1"/>
  <c r="F121" i="1"/>
  <c r="F118" i="1"/>
  <c r="F108" i="1"/>
  <c r="H84" i="1"/>
  <c r="I88" i="1"/>
  <c r="I89" i="1"/>
  <c r="I90" i="1"/>
  <c r="I91" i="1"/>
  <c r="I92" i="1"/>
  <c r="I93" i="1"/>
  <c r="I94" i="1"/>
  <c r="I95" i="1"/>
  <c r="I96" i="1"/>
  <c r="I62" i="1"/>
  <c r="I63" i="1"/>
  <c r="I64" i="1"/>
  <c r="I65" i="1"/>
  <c r="I66" i="1"/>
  <c r="I67" i="1"/>
  <c r="I68" i="1"/>
  <c r="I69" i="1"/>
  <c r="I70" i="1"/>
  <c r="I71" i="1"/>
  <c r="I72" i="1"/>
  <c r="F52" i="1" l="1"/>
  <c r="H47" i="1"/>
  <c r="F45" i="1"/>
  <c r="H44" i="1"/>
  <c r="H43" i="1"/>
  <c r="H42" i="1"/>
  <c r="F17" i="1"/>
  <c r="F8" i="1"/>
  <c r="I29" i="2"/>
  <c r="J29" i="2"/>
  <c r="K7" i="2"/>
  <c r="K8" i="2"/>
  <c r="K9" i="2"/>
  <c r="K10" i="2"/>
  <c r="K11" i="2"/>
  <c r="K12" i="2"/>
  <c r="K13" i="2"/>
  <c r="K14" i="2"/>
  <c r="K15" i="2"/>
  <c r="H16" i="2"/>
  <c r="H29" i="2" s="1"/>
  <c r="K17" i="2"/>
  <c r="K18" i="2"/>
  <c r="K19" i="2"/>
  <c r="K20" i="2"/>
  <c r="K21" i="2"/>
  <c r="K22" i="2"/>
  <c r="K23" i="2"/>
  <c r="K24" i="2"/>
  <c r="K25" i="2"/>
  <c r="K26" i="2"/>
  <c r="K27" i="2"/>
  <c r="K28" i="2"/>
  <c r="L680" i="1"/>
  <c r="I670" i="1"/>
  <c r="L670" i="1" s="1"/>
  <c r="I671" i="1"/>
  <c r="L671" i="1" s="1"/>
  <c r="I672" i="1"/>
  <c r="L672" i="1" s="1"/>
  <c r="I673" i="1"/>
  <c r="L673" i="1" s="1"/>
  <c r="I674" i="1"/>
  <c r="L674" i="1" s="1"/>
  <c r="K16" i="2" l="1"/>
  <c r="I640" i="1"/>
  <c r="L640" i="1" s="1"/>
  <c r="I641" i="1"/>
  <c r="L641" i="1" s="1"/>
  <c r="I642" i="1"/>
  <c r="L642" i="1" s="1"/>
  <c r="I643" i="1"/>
  <c r="L643" i="1" s="1"/>
  <c r="I644" i="1"/>
  <c r="L644" i="1" s="1"/>
  <c r="I645" i="1"/>
  <c r="L645" i="1" s="1"/>
  <c r="I646" i="1"/>
  <c r="L646" i="1" s="1"/>
  <c r="I647" i="1"/>
  <c r="L647" i="1" s="1"/>
  <c r="I648" i="1"/>
  <c r="L648" i="1" s="1"/>
  <c r="I649" i="1"/>
  <c r="L649" i="1" s="1"/>
  <c r="I650" i="1"/>
  <c r="L650" i="1" s="1"/>
  <c r="I651" i="1"/>
  <c r="L651" i="1" s="1"/>
  <c r="I652" i="1"/>
  <c r="L652" i="1" s="1"/>
  <c r="I653" i="1"/>
  <c r="L653" i="1" s="1"/>
  <c r="I654" i="1"/>
  <c r="L654" i="1" s="1"/>
  <c r="I655" i="1"/>
  <c r="L655" i="1" s="1"/>
  <c r="I656" i="1"/>
  <c r="L656" i="1" s="1"/>
  <c r="I657" i="1"/>
  <c r="L657" i="1" s="1"/>
  <c r="I658" i="1"/>
  <c r="L658" i="1" s="1"/>
  <c r="I659" i="1"/>
  <c r="L659" i="1" s="1"/>
  <c r="I660" i="1"/>
  <c r="L660" i="1" s="1"/>
  <c r="I661" i="1"/>
  <c r="L661" i="1" s="1"/>
  <c r="I662" i="1"/>
  <c r="L662" i="1" s="1"/>
  <c r="I621" i="1"/>
  <c r="I622" i="1"/>
  <c r="I623" i="1"/>
  <c r="I624" i="1"/>
  <c r="I625" i="1"/>
  <c r="I626" i="1"/>
  <c r="I627" i="1"/>
  <c r="I628" i="1"/>
  <c r="I629" i="1"/>
  <c r="I630" i="1"/>
  <c r="I631" i="1"/>
  <c r="I602" i="1"/>
  <c r="I603" i="1"/>
  <c r="I604" i="1"/>
  <c r="I605" i="1"/>
  <c r="I606" i="1"/>
  <c r="I607" i="1"/>
  <c r="I608" i="1"/>
  <c r="I609" i="1"/>
  <c r="I610" i="1"/>
  <c r="I611" i="1"/>
  <c r="I612" i="1"/>
  <c r="I594" i="1"/>
  <c r="I595" i="1"/>
  <c r="I596" i="1"/>
  <c r="I597" i="1"/>
  <c r="I598" i="1"/>
  <c r="I599" i="1"/>
  <c r="I600" i="1"/>
  <c r="I601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K29" i="2" l="1"/>
  <c r="K35" i="2" s="1"/>
  <c r="I223" i="1" l="1"/>
  <c r="I224" i="1"/>
  <c r="I225" i="1"/>
  <c r="I226" i="1"/>
  <c r="I227" i="1"/>
  <c r="I228" i="1"/>
  <c r="I229" i="1"/>
  <c r="I230" i="1"/>
  <c r="I231" i="1"/>
  <c r="I84" i="1" l="1"/>
  <c r="I85" i="1"/>
  <c r="I86" i="1"/>
  <c r="I87" i="1"/>
  <c r="I97" i="1"/>
  <c r="I50" i="1" l="1"/>
  <c r="I51" i="1"/>
  <c r="I52" i="1"/>
  <c r="I53" i="1"/>
  <c r="I54" i="1"/>
  <c r="I55" i="1"/>
  <c r="I56" i="1"/>
  <c r="I57" i="1"/>
  <c r="I58" i="1"/>
  <c r="I59" i="1"/>
  <c r="I60" i="1"/>
  <c r="I61" i="1"/>
  <c r="I32" i="1"/>
  <c r="L32" i="1" s="1"/>
  <c r="G1048545" i="2"/>
  <c r="I668" i="1"/>
  <c r="L668" i="1" s="1"/>
  <c r="L629" i="1"/>
  <c r="L630" i="1"/>
  <c r="L631" i="1"/>
  <c r="I632" i="1"/>
  <c r="L632" i="1" s="1"/>
  <c r="I633" i="1"/>
  <c r="L633" i="1" s="1"/>
  <c r="I634" i="1"/>
  <c r="L634" i="1" s="1"/>
  <c r="I635" i="1"/>
  <c r="L635" i="1" s="1"/>
  <c r="I636" i="1"/>
  <c r="L636" i="1" s="1"/>
  <c r="I637" i="1"/>
  <c r="L637" i="1" s="1"/>
  <c r="I638" i="1"/>
  <c r="L638" i="1" s="1"/>
  <c r="I639" i="1"/>
  <c r="L639" i="1" s="1"/>
  <c r="I663" i="1"/>
  <c r="L663" i="1" s="1"/>
  <c r="I664" i="1"/>
  <c r="L664" i="1" s="1"/>
  <c r="I665" i="1"/>
  <c r="L665" i="1" s="1"/>
  <c r="I666" i="1"/>
  <c r="L666" i="1" s="1"/>
  <c r="I667" i="1"/>
  <c r="L667" i="1" s="1"/>
  <c r="I669" i="1"/>
  <c r="L669" i="1" s="1"/>
  <c r="I423" i="1"/>
  <c r="I232" i="1" l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45" i="1" l="1"/>
  <c r="I29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1" i="1"/>
  <c r="I33" i="1"/>
  <c r="L33" i="1" s="1"/>
  <c r="I34" i="1"/>
  <c r="I35" i="1"/>
  <c r="I36" i="1"/>
  <c r="I37" i="1"/>
  <c r="I38" i="1"/>
  <c r="I39" i="1"/>
  <c r="I40" i="1"/>
  <c r="I41" i="1"/>
  <c r="I42" i="1"/>
  <c r="I43" i="1"/>
  <c r="I44" i="1"/>
  <c r="I46" i="1"/>
  <c r="I47" i="1"/>
  <c r="I48" i="1"/>
  <c r="I49" i="1"/>
  <c r="I73" i="1"/>
  <c r="I74" i="1"/>
  <c r="I75" i="1"/>
  <c r="I76" i="1"/>
  <c r="I77" i="1"/>
  <c r="I78" i="1"/>
  <c r="I79" i="1"/>
  <c r="I80" i="1"/>
  <c r="I81" i="1"/>
  <c r="I82" i="1"/>
  <c r="I83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L148" i="1" s="1"/>
  <c r="I149" i="1"/>
  <c r="L149" i="1" s="1"/>
  <c r="I150" i="1"/>
  <c r="L150" i="1" s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L156" i="1" s="1"/>
  <c r="I157" i="1"/>
  <c r="L157" i="1" s="1"/>
  <c r="I158" i="1"/>
  <c r="L158" i="1" s="1"/>
  <c r="I159" i="1"/>
  <c r="L159" i="1" s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7" i="1"/>
  <c r="I298" i="1"/>
  <c r="I299" i="1"/>
  <c r="I300" i="1"/>
  <c r="I301" i="1"/>
  <c r="I302" i="1"/>
  <c r="I308" i="1"/>
  <c r="I309" i="1"/>
  <c r="I310" i="1"/>
  <c r="I311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4" i="1"/>
  <c r="L424" i="1" s="1"/>
  <c r="I425" i="1"/>
  <c r="L425" i="1" s="1"/>
  <c r="I426" i="1"/>
  <c r="L426" i="1" s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L432" i="1" s="1"/>
  <c r="I433" i="1"/>
  <c r="L433" i="1" s="1"/>
  <c r="I434" i="1"/>
  <c r="L434" i="1" s="1"/>
  <c r="I435" i="1"/>
  <c r="L435" i="1" s="1"/>
  <c r="I436" i="1"/>
  <c r="L436" i="1" s="1"/>
  <c r="I437" i="1"/>
  <c r="L437" i="1" s="1"/>
  <c r="I438" i="1"/>
  <c r="L438" i="1" s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L444" i="1" s="1"/>
  <c r="I445" i="1"/>
  <c r="L445" i="1" s="1"/>
  <c r="I446" i="1"/>
  <c r="L446" i="1" s="1"/>
  <c r="I447" i="1"/>
  <c r="L447" i="1" s="1"/>
  <c r="I448" i="1"/>
  <c r="L448" i="1" s="1"/>
  <c r="I449" i="1"/>
  <c r="L449" i="1" s="1"/>
  <c r="I450" i="1"/>
  <c r="L450" i="1" s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L456" i="1" s="1"/>
  <c r="I457" i="1"/>
  <c r="L457" i="1" s="1"/>
  <c r="I458" i="1"/>
  <c r="I459" i="1"/>
  <c r="L459" i="1" s="1"/>
  <c r="L460" i="1"/>
  <c r="L461" i="1"/>
  <c r="L462" i="1"/>
  <c r="L463" i="1"/>
  <c r="L464" i="1"/>
  <c r="L465" i="1"/>
  <c r="L470" i="1"/>
  <c r="L471" i="1"/>
  <c r="L472" i="1"/>
  <c r="I473" i="1"/>
  <c r="L473" i="1" s="1"/>
  <c r="I474" i="1"/>
  <c r="L474" i="1" s="1"/>
  <c r="I475" i="1"/>
  <c r="L475" i="1" s="1"/>
  <c r="I476" i="1"/>
  <c r="L476" i="1" s="1"/>
  <c r="I477" i="1"/>
  <c r="L477" i="1" s="1"/>
  <c r="I478" i="1"/>
  <c r="L478" i="1" s="1"/>
  <c r="I479" i="1"/>
  <c r="L479" i="1" s="1"/>
  <c r="I480" i="1"/>
  <c r="L480" i="1" s="1"/>
  <c r="I481" i="1"/>
  <c r="L481" i="1" s="1"/>
  <c r="I482" i="1"/>
  <c r="L482" i="1" s="1"/>
  <c r="I483" i="1"/>
  <c r="L483" i="1" s="1"/>
  <c r="I484" i="1"/>
  <c r="L484" i="1" s="1"/>
  <c r="I485" i="1"/>
  <c r="L485" i="1" s="1"/>
  <c r="I486" i="1"/>
  <c r="L486" i="1" s="1"/>
  <c r="I487" i="1"/>
  <c r="L487" i="1" s="1"/>
  <c r="I488" i="1"/>
  <c r="L488" i="1" s="1"/>
  <c r="I489" i="1"/>
  <c r="L489" i="1" s="1"/>
  <c r="I490" i="1"/>
  <c r="L490" i="1" s="1"/>
  <c r="I491" i="1"/>
  <c r="L491" i="1" s="1"/>
  <c r="I492" i="1"/>
  <c r="L492" i="1" s="1"/>
  <c r="I493" i="1"/>
  <c r="L493" i="1" s="1"/>
  <c r="I494" i="1"/>
  <c r="L494" i="1" s="1"/>
  <c r="I495" i="1"/>
  <c r="L495" i="1" s="1"/>
  <c r="I496" i="1"/>
  <c r="L496" i="1" s="1"/>
  <c r="I497" i="1"/>
  <c r="L497" i="1" s="1"/>
  <c r="I498" i="1"/>
  <c r="L498" i="1" s="1"/>
  <c r="I499" i="1"/>
  <c r="L499" i="1" s="1"/>
  <c r="I500" i="1"/>
  <c r="L500" i="1" s="1"/>
  <c r="I501" i="1"/>
  <c r="L501" i="1" s="1"/>
  <c r="I502" i="1"/>
  <c r="L502" i="1" s="1"/>
  <c r="I503" i="1"/>
  <c r="L503" i="1" s="1"/>
  <c r="I504" i="1"/>
  <c r="L504" i="1" s="1"/>
  <c r="I505" i="1"/>
  <c r="L505" i="1" s="1"/>
  <c r="I506" i="1"/>
  <c r="L506" i="1" s="1"/>
  <c r="I507" i="1"/>
  <c r="L507" i="1" s="1"/>
  <c r="I508" i="1"/>
  <c r="L508" i="1" s="1"/>
  <c r="I509" i="1"/>
  <c r="L509" i="1" s="1"/>
  <c r="I510" i="1"/>
  <c r="L510" i="1" s="1"/>
  <c r="I511" i="1"/>
  <c r="L511" i="1" s="1"/>
  <c r="I512" i="1"/>
  <c r="L512" i="1" s="1"/>
  <c r="I513" i="1"/>
  <c r="L513" i="1" s="1"/>
  <c r="I514" i="1"/>
  <c r="L514" i="1" s="1"/>
  <c r="I515" i="1"/>
  <c r="L515" i="1" s="1"/>
  <c r="I516" i="1"/>
  <c r="L516" i="1" s="1"/>
  <c r="I517" i="1"/>
  <c r="L517" i="1" s="1"/>
  <c r="I518" i="1"/>
  <c r="L518" i="1" s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613" i="1"/>
  <c r="I614" i="1"/>
  <c r="I615" i="1"/>
  <c r="I616" i="1"/>
  <c r="I617" i="1"/>
  <c r="I618" i="1"/>
  <c r="I619" i="1"/>
  <c r="I620" i="1"/>
  <c r="I5" i="1"/>
  <c r="L295" i="1" l="1"/>
  <c r="L296" i="1"/>
  <c r="L12" i="1" l="1"/>
  <c r="K675" i="1"/>
  <c r="J675" i="1"/>
  <c r="G675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469" i="1"/>
  <c r="L468" i="1"/>
  <c r="L467" i="1"/>
  <c r="L466" i="1"/>
  <c r="L458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L9" i="1"/>
  <c r="L8" i="1"/>
  <c r="L7" i="1"/>
  <c r="L6" i="1"/>
  <c r="L5" i="1"/>
  <c r="L675" i="1" l="1"/>
  <c r="I675" i="1"/>
  <c r="L519" i="1"/>
  <c r="F675" i="1"/>
  <c r="L682" i="1" l="1"/>
</calcChain>
</file>

<file path=xl/sharedStrings.xml><?xml version="1.0" encoding="utf-8"?>
<sst xmlns="http://schemas.openxmlformats.org/spreadsheetml/2006/main" count="1442" uniqueCount="323">
  <si>
    <t>ASKI MULTIPURPOSE COOPERATIVE</t>
  </si>
  <si>
    <t>PURCHASES BOOK - JAZZ EAT RESTO</t>
  </si>
  <si>
    <t>DATE</t>
  </si>
  <si>
    <t>PARTICULARS</t>
  </si>
  <si>
    <t>CV No.</t>
  </si>
  <si>
    <t>OR No.</t>
  </si>
  <si>
    <t>DESCRIPTION</t>
  </si>
  <si>
    <t>QTY</t>
  </si>
  <si>
    <t>UNIT</t>
  </si>
  <si>
    <t xml:space="preserve"> UNIT PRICE </t>
  </si>
  <si>
    <t xml:space="preserve"> PURCHASES </t>
  </si>
  <si>
    <t xml:space="preserve"> PURCHASE DISCT. </t>
  </si>
  <si>
    <t xml:space="preserve"> PURCHASE RET. &amp; ALLOW </t>
  </si>
  <si>
    <t xml:space="preserve"> NET PURCHASES </t>
  </si>
  <si>
    <t>CRB RESTO</t>
  </si>
  <si>
    <t>CDB RESTO</t>
  </si>
  <si>
    <t>MARIA LUISA ORENA</t>
  </si>
  <si>
    <t>PURCHASES BOOK - COKE TALAVERA</t>
  </si>
  <si>
    <t>SUPPLIER'S NAME</t>
  </si>
  <si>
    <t>PRODUCT NAME</t>
  </si>
  <si>
    <t xml:space="preserve"> QTY </t>
  </si>
  <si>
    <t>PC/S</t>
  </si>
  <si>
    <t>CDB COKE TAL</t>
  </si>
  <si>
    <t xml:space="preserve">CANCELLED CV NO. </t>
  </si>
  <si>
    <t xml:space="preserve">FOR JV CV NO. </t>
  </si>
  <si>
    <t>PETCHAY</t>
  </si>
  <si>
    <t>MUSTASA</t>
  </si>
  <si>
    <t>BURO KANIN</t>
  </si>
  <si>
    <t>MANGGA</t>
  </si>
  <si>
    <t>KAMATIS</t>
  </si>
  <si>
    <t>PIPINO</t>
  </si>
  <si>
    <t>LETTUCE</t>
  </si>
  <si>
    <t>KALAMANSI</t>
  </si>
  <si>
    <t>SIBUYAS PUTI</t>
  </si>
  <si>
    <t>SINGKAMAS</t>
  </si>
  <si>
    <t>LUYA</t>
  </si>
  <si>
    <t>YOUNG CORN</t>
  </si>
  <si>
    <t>KAMOTE</t>
  </si>
  <si>
    <t>BEANS</t>
  </si>
  <si>
    <t>TALONG</t>
  </si>
  <si>
    <t>OKRA</t>
  </si>
  <si>
    <t>SIGARILYAS</t>
  </si>
  <si>
    <t>SITAW</t>
  </si>
  <si>
    <t>CHICHARON</t>
  </si>
  <si>
    <t>EGG</t>
  </si>
  <si>
    <t>SAYOTE</t>
  </si>
  <si>
    <t>KNORR RCEAM OF MUSHROOM SOUP MIX 70G</t>
  </si>
  <si>
    <t>PUTO PUTI</t>
  </si>
  <si>
    <t>PEANUT - LILET</t>
  </si>
  <si>
    <t>ALASKA EVAPORATED CREAM MILK</t>
  </si>
  <si>
    <t>GOLDEN SILK CANTON</t>
  </si>
  <si>
    <t>LECHE FLAN</t>
  </si>
  <si>
    <t>MICROWAVABLE RE1000 D</t>
  </si>
  <si>
    <t>SAUCE CUP 10OZ</t>
  </si>
  <si>
    <t>WOODEN FORK</t>
  </si>
  <si>
    <t>GOODLIFE VERMICELLI</t>
  </si>
  <si>
    <t>DM TOMATO SAUCE FILIPINO STYLE</t>
  </si>
  <si>
    <t>RENO LIVER SPREAD 80G</t>
  </si>
  <si>
    <t>COKE 1.5</t>
  </si>
  <si>
    <t>DM PINEAPPLE JUICE 220ML</t>
  </si>
  <si>
    <t>WINGS</t>
  </si>
  <si>
    <t>LIEMPO</t>
  </si>
  <si>
    <t>LAMAN BAKA</t>
  </si>
  <si>
    <t>PORK CHOP</t>
  </si>
  <si>
    <t>BANGUS</t>
  </si>
  <si>
    <t>NATIVE MANOK</t>
  </si>
  <si>
    <t>TILAPIA</t>
  </si>
  <si>
    <t>LUCILLE RICE</t>
  </si>
  <si>
    <t>BAYABAS</t>
  </si>
  <si>
    <t>MUSHROOM</t>
  </si>
  <si>
    <t>PATATAS</t>
  </si>
  <si>
    <t>CARROTS</t>
  </si>
  <si>
    <t>CELERY</t>
  </si>
  <si>
    <t>REPOLYO</t>
  </si>
  <si>
    <t>TALBOS NG KAMOTE</t>
  </si>
  <si>
    <t>NESTEA APPLE BLACK TEA 25G</t>
  </si>
  <si>
    <t>COCO MAMA FRESH GATA 200ML</t>
  </si>
  <si>
    <t>MAGGI MAGIC SARAP 8G</t>
  </si>
  <si>
    <t>KNORR CREAM OF MUSHROOM SOUP MIX 70G</t>
  </si>
  <si>
    <t>KNORR SHRIMP BROTH CUBE 10G</t>
  </si>
  <si>
    <t>KNORR PORK BROTH CUBE 10G</t>
  </si>
  <si>
    <t>KNORR CHICKEN BROTH CUBE 10G</t>
  </si>
  <si>
    <t>AJI-NO-MOTO UMAMI SEASONING 250G</t>
  </si>
  <si>
    <t>SILVER SWAN SOY SAUCE 1L</t>
  </si>
  <si>
    <t>LUISITA SUGAR WHITE 1/2</t>
  </si>
  <si>
    <t>NESTLE MILO 24G</t>
  </si>
  <si>
    <t>MICROWAVABLE RE1000 2D</t>
  </si>
  <si>
    <t>MICROWAVABLE RE750</t>
  </si>
  <si>
    <t>MICROWAVABLE RO250</t>
  </si>
  <si>
    <t>MICROWAVABLE 4OZ</t>
  </si>
  <si>
    <t>SAUCE CUP 30ML</t>
  </si>
  <si>
    <t>CASSAVA 1KG</t>
  </si>
  <si>
    <t>CDO SWEETHAM 250G</t>
  </si>
  <si>
    <t>GOODLIFE VERMICELLI 1KG</t>
  </si>
  <si>
    <t>SKINLESS MANI 1/4</t>
  </si>
  <si>
    <t>SUGAR BROWN 500G</t>
  </si>
  <si>
    <t>SUPER Q BIHON 454G</t>
  </si>
  <si>
    <t>SUPER Q PALABOK 454G</t>
  </si>
  <si>
    <t>UFC BANANA CATSUP 4KG</t>
  </si>
  <si>
    <t>WOODEN SPOON 25S</t>
  </si>
  <si>
    <t>MAMA SITAS KARE KARE PEANUT SAUCE MIX 57G</t>
  </si>
  <si>
    <t>MAMA SITAS ACHUETE POWDER 10G</t>
  </si>
  <si>
    <t>KNORR LIQUID SEASONING ORIGINAL 1L</t>
  </si>
  <si>
    <t>KNORR BEEF BROTH CUBE 10G</t>
  </si>
  <si>
    <t>KNORR SINIGANG SA SAMPALOK MIX 11G</t>
  </si>
  <si>
    <t>PALM OIL 1L</t>
  </si>
  <si>
    <t>MAGNOLIA QUEZO 160G</t>
  </si>
  <si>
    <t>LADYS CHOICE DRESSING 1L</t>
  </si>
  <si>
    <t>BREADPAN BUTTER 24G</t>
  </si>
  <si>
    <t>SAN MIG LIGHT 330ML</t>
  </si>
  <si>
    <t>NESTEA ICE TEA 19G</t>
  </si>
  <si>
    <t>WAMI FOODS BLACK PEPPER</t>
  </si>
  <si>
    <t>DM ORIGINALSTYLE TOMATO SAUCE 900G</t>
  </si>
  <si>
    <t>KNORR CRAB &amp; CORN SOUP 60G</t>
  </si>
  <si>
    <t>MINUTE MAID</t>
  </si>
  <si>
    <t>COKE SWAKTO</t>
  </si>
  <si>
    <t>KUTSINTA</t>
  </si>
  <si>
    <t>GOODLIFE VERMICELLI 13.2OZ</t>
  </si>
  <si>
    <t>SILI PANIGANG</t>
  </si>
  <si>
    <t>BELL PEPPER</t>
  </si>
  <si>
    <t>BAWANG</t>
  </si>
  <si>
    <t>CAULIFLOWER</t>
  </si>
  <si>
    <t>BROCOLLI</t>
  </si>
  <si>
    <t>PUSO NG SAGING</t>
  </si>
  <si>
    <t>SABA</t>
  </si>
  <si>
    <t>LEMON</t>
  </si>
  <si>
    <t xml:space="preserve">SIBUYAS </t>
  </si>
  <si>
    <t>LEEKS</t>
  </si>
  <si>
    <t>AMPALAYA</t>
  </si>
  <si>
    <t>ATAY BABOY</t>
  </si>
  <si>
    <t>PIGE</t>
  </si>
  <si>
    <t>BREAST</t>
  </si>
  <si>
    <t>HIPON</t>
  </si>
  <si>
    <t>GAR CLASSIC WHITE BREAD 600G</t>
  </si>
  <si>
    <t>HOME RECIPE - PEANUT BUTTER 560G</t>
  </si>
  <si>
    <t>MAMA SITAS BARBECUE MARINADE 150ML</t>
  </si>
  <si>
    <t>COCO MAMA FRESH GATA 400ML</t>
  </si>
  <si>
    <t>PEANUT BUTTER 560G</t>
  </si>
  <si>
    <t>PINYA</t>
  </si>
  <si>
    <t>WRAPPER</t>
  </si>
  <si>
    <t>CREAMDORY</t>
  </si>
  <si>
    <t>BONELESS BANGUS</t>
  </si>
  <si>
    <t>LOMO</t>
  </si>
  <si>
    <t>KASIM</t>
  </si>
  <si>
    <t>GROWERS GARLIC FLAVOR PEANUTS 80G</t>
  </si>
  <si>
    <t>SUGAR WHITE 1KG</t>
  </si>
  <si>
    <t>SAGO</t>
  </si>
  <si>
    <t>BUKO</t>
  </si>
  <si>
    <t>RENO LIVER SPREAD 230G</t>
  </si>
  <si>
    <t>BAKA LAMAN</t>
  </si>
  <si>
    <t>LEGS</t>
  </si>
  <si>
    <t>PETCHAY BAGUIO</t>
  </si>
  <si>
    <t>ALAMANG</t>
  </si>
  <si>
    <t>SILI TAIWAN</t>
  </si>
  <si>
    <t xml:space="preserve">SKINLESS MANI </t>
  </si>
  <si>
    <t>ULO NG SALMON</t>
  </si>
  <si>
    <t>PUSIT</t>
  </si>
  <si>
    <t>GINILING</t>
  </si>
  <si>
    <t>DM PINEAPPLE TIDBITS 115G</t>
  </si>
  <si>
    <t>AJI-NO-MOTO UMAMI SEASONING 500G</t>
  </si>
  <si>
    <t>EDEN CHEESE ORIGINAL 160G</t>
  </si>
  <si>
    <t>LADYS CHOICE REAL MAYONNAISE 3.5L</t>
  </si>
  <si>
    <t>ALLUMINUM TRAY RE255 W/ LID 1750ML</t>
  </si>
  <si>
    <t>ALLUMINUM TRAY RE255 W/ LID 2300ML</t>
  </si>
  <si>
    <t>DM SPAGHETTI SAUCE FILIPINO STYL E900G</t>
  </si>
  <si>
    <t>DM SPAGHETTI SAUCE SWEET STYL E900G</t>
  </si>
  <si>
    <t>DM TOMATO SAUCE 115G</t>
  </si>
  <si>
    <t>HAPIMI CANTON 250G</t>
  </si>
  <si>
    <t>KNORR SINIGANG SA GABI 22G</t>
  </si>
  <si>
    <t>TASTY PALAMIG LEMON ICED TEA 500G</t>
  </si>
  <si>
    <t>MAMA SITAS OYSTER SAUCE 4.2KG</t>
  </si>
  <si>
    <t>WHITE BREAD CLASSIC PAN DE PEDRITO 450G</t>
  </si>
  <si>
    <t>NESTLE ALL PURPOSE CREAM 250ML</t>
  </si>
  <si>
    <t>ALASKA EVAPORATED CREAMER 360ML</t>
  </si>
  <si>
    <t>MAMA SITAS OYSTER SAUCE 60G</t>
  </si>
  <si>
    <t>3Q BIHON</t>
  </si>
  <si>
    <t>CANTON</t>
  </si>
  <si>
    <t>MEKENI ZIPPY HOTDOG 1KG</t>
  </si>
  <si>
    <t>BRILLIANT CURRY POWDER 50G</t>
  </si>
  <si>
    <t>BRILLIANT SEA SALT 1KG</t>
  </si>
  <si>
    <t>BRILLIANT MONGGO CRACKED 250G</t>
  </si>
  <si>
    <t>SUKI CLING WRAP</t>
  </si>
  <si>
    <t>GABI</t>
  </si>
  <si>
    <t>DM PARTY COMBO PCK SWEET STYLE</t>
  </si>
  <si>
    <t>ALASKA EVAPORADA CREAMER 360ML</t>
  </si>
  <si>
    <t>ALASKA SWEETENED CONDENSED 377G BUY1TAKE1</t>
  </si>
  <si>
    <t>UFC PIECES &amp; STEMS MUSHROOM 400G</t>
  </si>
  <si>
    <t>GAR NEUBAKE WHEATEN BREAD 480G</t>
  </si>
  <si>
    <t>UFC GREEN PEAS 400G</t>
  </si>
  <si>
    <t>GAR NEUBAKE WHEATEN BREAD 560G</t>
  </si>
  <si>
    <t>DM SWEET STYLE SPAGHETTI SAUCE 900G</t>
  </si>
  <si>
    <t>WATERHOPE 330ML</t>
  </si>
  <si>
    <t>SINANDOMENG RICE</t>
  </si>
  <si>
    <t>DM TOMATO PASTE 150G</t>
  </si>
  <si>
    <t>RENO LIVER SPREAD 85G</t>
  </si>
  <si>
    <t>DM ORIGINAL STYLE TOMATO SAUCE 900G</t>
  </si>
  <si>
    <t>GAR CLASSIC WHITE BREAD 600G REGULAR SLICE</t>
  </si>
  <si>
    <t>ATAY MANOK</t>
  </si>
  <si>
    <t>USBONG</t>
  </si>
  <si>
    <t>PATA</t>
  </si>
  <si>
    <t>KINGS FINEST GLUTINOUS FLOUR 500G</t>
  </si>
  <si>
    <t>CALUMET BAKING POWDER 50G</t>
  </si>
  <si>
    <t>MINUTE MAID ORANGE</t>
  </si>
  <si>
    <t>UFC HAPI FIESTA VEGETABLE OIL 17KG</t>
  </si>
  <si>
    <t>ALASKA CLASSIC EVAPORATED FILLED MILK 370ML</t>
  </si>
  <si>
    <t>KNORR SINIGANG SA SAMPALOK MIX ORIG 22G</t>
  </si>
  <si>
    <t>KNORR SINIGANG NA MAY GABI 11G</t>
  </si>
  <si>
    <t>COWBELL CONDENSARAP 374G</t>
  </si>
  <si>
    <t>UFC PIECES &amp; STEMS MUSHROOMS 400 GRAMS</t>
  </si>
  <si>
    <t>NESTLE BLUE LEMONADE 200G</t>
  </si>
  <si>
    <t>SALMON</t>
  </si>
  <si>
    <t>BUTTERCUP</t>
  </si>
  <si>
    <t>BRILLIANT FLOUR REGULAR 500G</t>
  </si>
  <si>
    <t>MAGGI MAGIC SARAP 150G</t>
  </si>
  <si>
    <t>MOTHER'S BEST BBQ MARINADE 750ML</t>
  </si>
  <si>
    <t>MOTHER'S BEST BBQ MARINADE 350ML</t>
  </si>
  <si>
    <t>LEA &amp; PERRINS WORCESTERSHIRE SAUCE 150ML</t>
  </si>
  <si>
    <t>GOOD LIFE SESAME OIL 420ML</t>
  </si>
  <si>
    <t>HOBE SPECIAL BIHON 454G</t>
  </si>
  <si>
    <t>MAGNOLIA QUICKMELT 160G BUY1TAKE1</t>
  </si>
  <si>
    <t>FRY &amp; POP ONION GARLIC 200G</t>
  </si>
  <si>
    <t>DM SPAG SAVERS PACK SWEET STYLE B1T1</t>
  </si>
  <si>
    <t>BRILLIANT SUGAR BROWN 500G</t>
  </si>
  <si>
    <t>BRILLIANT SUGAR NOGNOG 500G</t>
  </si>
  <si>
    <t>HOBE PANCIT CANTON 454G</t>
  </si>
  <si>
    <t>MICROWAVABLE RE2500 5S</t>
  </si>
  <si>
    <t>GAR CLASSIC WHITE BREAD 400G</t>
  </si>
  <si>
    <t>MICROWAVABLE RE500</t>
  </si>
  <si>
    <t>SITSARO</t>
  </si>
  <si>
    <t>KABUTE</t>
  </si>
  <si>
    <t>TOKWA</t>
  </si>
  <si>
    <t>SUGAR WASH 250G</t>
  </si>
  <si>
    <t>LAKATAN</t>
  </si>
  <si>
    <t>MAGNUM VANILLA ALMOND 80ML</t>
  </si>
  <si>
    <t>SIBUYAS</t>
  </si>
  <si>
    <t>MANI</t>
  </si>
  <si>
    <t>RIBS</t>
  </si>
  <si>
    <t>BILAO #12</t>
  </si>
  <si>
    <t>DON FRANK PINOY PALAMIG LEMONADE 500G</t>
  </si>
  <si>
    <t>DON FRANK PINOY PALAMIG BUKO PANDAN 500G</t>
  </si>
  <si>
    <t>BRILLIANT CORNSTARCH 250G</t>
  </si>
  <si>
    <t xml:space="preserve">NESTEA LEMON CUCUMBER </t>
  </si>
  <si>
    <t>SUGAR WASH 500G</t>
  </si>
  <si>
    <t>SUGAR WASH 1KG</t>
  </si>
  <si>
    <t>STAR ANISE 10G</t>
  </si>
  <si>
    <t>MAGGI MAGIC SARAP 55G</t>
  </si>
  <si>
    <t>BREAD CRUMBS 1KG</t>
  </si>
  <si>
    <t>GOOD LIFE SESAME OIL 210ML</t>
  </si>
  <si>
    <t>AJINOMOTO 500G</t>
  </si>
  <si>
    <t>SUGAR WHITE 1/2</t>
  </si>
  <si>
    <t>SPOON FOR AND TISSUE SET</t>
  </si>
  <si>
    <t>FOIL TRAY</t>
  </si>
  <si>
    <t>GOLDEN SILK PANCIT CANTON</t>
  </si>
  <si>
    <t>PAMINTA</t>
  </si>
  <si>
    <t>DATU PUTI VINEGAR 1L</t>
  </si>
  <si>
    <t>LADYS CHOICE MAYONNAISE 3.5L</t>
  </si>
  <si>
    <t>FOIL TRAY RE370</t>
  </si>
  <si>
    <t>NATASHA RICE</t>
  </si>
  <si>
    <t>MAGNOLIA BUTTERCUP SALTED 200G</t>
  </si>
  <si>
    <t>HOBE BIHON 1KG</t>
  </si>
  <si>
    <t xml:space="preserve">PORK BELLY </t>
  </si>
  <si>
    <t>DM PASTA 700G+ITALIAN SAUGE 900G</t>
  </si>
  <si>
    <t>DM PASTA 700G+SWEET SAUGE 900G</t>
  </si>
  <si>
    <t>SUGAR WASH 1/2</t>
  </si>
  <si>
    <t>BUTTER CLASSIC 225</t>
  </si>
  <si>
    <t>CLARA OLE HICKORY SAUCE 225</t>
  </si>
  <si>
    <t>MAGGI MAGIC SARAP</t>
  </si>
  <si>
    <t>BLACK PEPPER POWDER 75G</t>
  </si>
  <si>
    <t>DAILY QUEZO CHEESE 430G</t>
  </si>
  <si>
    <t>PARSLEY</t>
  </si>
  <si>
    <t>LADYS CHOICE SALAD DRESSING 1L</t>
  </si>
  <si>
    <t>GARDENIA NEUBAKE WHEATEN BREAD 560G</t>
  </si>
  <si>
    <t>GARDENIA WHEAT BREAD 600G</t>
  </si>
  <si>
    <t>SWEET HAM 250G</t>
  </si>
  <si>
    <t>PUGO</t>
  </si>
  <si>
    <t>HOTDOG BIGSHOT VIRGINIA 1KG</t>
  </si>
  <si>
    <t>BULGOGI SAUCE 290G</t>
  </si>
  <si>
    <t>TENDER JUICY HOTDOG 1KG</t>
  </si>
  <si>
    <t>STING STRAWBERRY DRINK 290ML</t>
  </si>
  <si>
    <t>MV REAL MAYO 3.5L</t>
  </si>
  <si>
    <t>MICROWAVABLE 2D</t>
  </si>
  <si>
    <t>MINUTE MAID APPLE</t>
  </si>
  <si>
    <t>NESTLE CUCUMBER LEMONADE</t>
  </si>
  <si>
    <t>BOPIS</t>
  </si>
  <si>
    <t>SILVER SWAN PATIS  1L</t>
  </si>
  <si>
    <t>AJINOMOTO 250G</t>
  </si>
  <si>
    <t>VANILLA EXTRACT 20ML</t>
  </si>
  <si>
    <t>SUGAR WHITE 1/4</t>
  </si>
  <si>
    <t>KANGKONG</t>
  </si>
  <si>
    <t>MALINAW RICE</t>
  </si>
  <si>
    <t>MAHALINA RICE</t>
  </si>
  <si>
    <t>UFC BANANA CATSUP 1KG</t>
  </si>
  <si>
    <t>ROYAL SPAGHETTI 800G</t>
  </si>
  <si>
    <t>LABANOS</t>
  </si>
  <si>
    <t>LOMI</t>
  </si>
  <si>
    <t>ASIN</t>
  </si>
  <si>
    <t>UFC CANOLA OIL 1L</t>
  </si>
  <si>
    <t>BILAO #14</t>
  </si>
  <si>
    <t>FLOUR 1KG</t>
  </si>
  <si>
    <t>GOODLIFE VERMICELLI 500G</t>
  </si>
  <si>
    <t>PALM OIL 17L</t>
  </si>
  <si>
    <t>GOODLIFE SESAME OIL 210ML</t>
  </si>
  <si>
    <t>DARI CRÈME 200G</t>
  </si>
  <si>
    <t xml:space="preserve">PAPRIKA POWDER </t>
  </si>
  <si>
    <t>SESAME SEED 50G</t>
  </si>
  <si>
    <t>CHILI FLAKES 30G</t>
  </si>
  <si>
    <t>BERNADETTE GLORIA</t>
  </si>
  <si>
    <t>CA LIQUIDATION</t>
  </si>
  <si>
    <t>COCA COLA EUROPACIFIC ABOITIZ PHILIPPINES, INC.</t>
  </si>
  <si>
    <t>COKE MISMO 290ML - 3</t>
  </si>
  <si>
    <t>ROYAL 237ML</t>
  </si>
  <si>
    <t>SPRITE 237ML</t>
  </si>
  <si>
    <t>COKE KASALO 750ML</t>
  </si>
  <si>
    <t>COKE 237ML - 2</t>
  </si>
  <si>
    <t>COKE 1L - 2</t>
  </si>
  <si>
    <t>COKE SWAKTO 190ML - 3</t>
  </si>
  <si>
    <t>ROYAL SWAKTO 190ML - 3</t>
  </si>
  <si>
    <t>SPRITE SWAKTO 190ML - 3</t>
  </si>
  <si>
    <t>COKE IN CAN ZERO 320ML</t>
  </si>
  <si>
    <t>SPRITE 750ML</t>
  </si>
  <si>
    <t>ROYAL 750ML</t>
  </si>
  <si>
    <t>SPRITE MISMO 290ML - 3</t>
  </si>
  <si>
    <t>COKE 1.5L + 250ML FREE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</si>
</sst>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ndara"/>
      <family val="2"/>
    </font>
    <font>
      <sz val="11"/>
      <name val="Candara"/>
      <family val="2"/>
    </font>
    <font>
      <sz val="11"/>
      <color theme="1"/>
      <name val="Candara"/>
      <family val="2"/>
    </font>
    <font>
      <b/>
      <sz val="11"/>
      <color theme="1"/>
      <name val="Candara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rgb="FFFF0000"/>
      <name val="Candara"/>
      <family val="2"/>
    </font>
    <font>
      <sz val="11"/>
      <color rgb="FFFF0000"/>
      <name val="Candar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 applyAlignment="1">
      <alignment horizontal="left" vertical="center"/>
    </xf>
    <xf numFmtId="1" fontId="3" fillId="0" borderId="0" xfId="1" applyNumberFormat="1" applyFont="1" applyFill="1" applyAlignment="1">
      <alignment horizontal="center"/>
    </xf>
    <xf numFmtId="43" fontId="3" fillId="0" borderId="0" xfId="1" applyFont="1" applyFill="1" applyAlignment="1">
      <alignment horizontal="center"/>
    </xf>
    <xf numFmtId="43" fontId="3" fillId="0" borderId="0" xfId="1" applyFont="1" applyFill="1"/>
    <xf numFmtId="1" fontId="2" fillId="0" borderId="2" xfId="1" applyNumberFormat="1" applyFont="1" applyFill="1" applyBorder="1" applyAlignment="1">
      <alignment horizontal="center" vertical="center" wrapText="1"/>
    </xf>
    <xf numFmtId="43" fontId="3" fillId="0" borderId="2" xfId="1" applyFont="1" applyFill="1" applyBorder="1" applyAlignment="1">
      <alignment horizontal="center" vertical="center" wrapText="1"/>
    </xf>
    <xf numFmtId="43" fontId="2" fillId="0" borderId="2" xfId="1" applyFont="1" applyFill="1" applyBorder="1" applyAlignment="1">
      <alignment horizontal="center" vertical="center" wrapText="1"/>
    </xf>
    <xf numFmtId="43" fontId="2" fillId="0" borderId="3" xfId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3" fontId="4" fillId="0" borderId="5" xfId="1" applyFont="1" applyFill="1" applyBorder="1" applyAlignment="1">
      <alignment horizontal="center" vertical="center"/>
    </xf>
    <xf numFmtId="43" fontId="3" fillId="0" borderId="5" xfId="1" applyFont="1" applyFill="1" applyBorder="1"/>
    <xf numFmtId="43" fontId="3" fillId="0" borderId="5" xfId="1" applyFont="1" applyFill="1" applyBorder="1" applyAlignment="1">
      <alignment horizontal="center" vertical="center" wrapText="1"/>
    </xf>
    <xf numFmtId="43" fontId="3" fillId="0" borderId="6" xfId="1" applyFont="1" applyFill="1" applyBorder="1"/>
    <xf numFmtId="43" fontId="2" fillId="0" borderId="0" xfId="1" applyFont="1" applyFill="1" applyAlignment="1">
      <alignment horizontal="center" vertical="center"/>
    </xf>
    <xf numFmtId="43" fontId="3" fillId="0" borderId="0" xfId="1" applyFont="1" applyFill="1" applyAlignment="1">
      <alignment horizontal="center" vertical="center"/>
    </xf>
    <xf numFmtId="43" fontId="2" fillId="0" borderId="0" xfId="1" applyFont="1" applyFill="1" applyBorder="1" applyAlignment="1">
      <alignment vertical="center"/>
    </xf>
    <xf numFmtId="1" fontId="4" fillId="0" borderId="5" xfId="1" applyNumberFormat="1" applyFont="1" applyFill="1" applyBorder="1" applyAlignment="1">
      <alignment horizontal="center"/>
    </xf>
    <xf numFmtId="1" fontId="3" fillId="0" borderId="5" xfId="1" applyNumberFormat="1" applyFont="1" applyFill="1" applyBorder="1" applyAlignment="1">
      <alignment horizontal="center"/>
    </xf>
    <xf numFmtId="1" fontId="3" fillId="0" borderId="5" xfId="1" quotePrefix="1" applyNumberFormat="1" applyFont="1" applyFill="1" applyBorder="1" applyAlignment="1">
      <alignment horizontal="center"/>
    </xf>
    <xf numFmtId="1" fontId="3" fillId="0" borderId="7" xfId="1" applyNumberFormat="1" applyFont="1" applyFill="1" applyBorder="1" applyAlignment="1">
      <alignment horizontal="center"/>
    </xf>
    <xf numFmtId="43" fontId="3" fillId="0" borderId="7" xfId="1" applyFont="1" applyFill="1" applyBorder="1" applyAlignment="1">
      <alignment horizontal="center" vertical="center" wrapText="1"/>
    </xf>
    <xf numFmtId="43" fontId="2" fillId="0" borderId="0" xfId="1" applyFont="1" applyFill="1" applyBorder="1" applyAlignment="1">
      <alignment horizontal="center" vertical="center"/>
    </xf>
    <xf numFmtId="0" fontId="3" fillId="0" borderId="7" xfId="1" applyNumberFormat="1" applyFont="1" applyFill="1" applyBorder="1" applyAlignment="1">
      <alignment horizontal="left" vertical="center" wrapText="1"/>
    </xf>
    <xf numFmtId="43" fontId="3" fillId="0" borderId="0" xfId="1" applyFont="1" applyFill="1" applyBorder="1" applyAlignment="1">
      <alignment horizontal="center" vertical="center"/>
    </xf>
    <xf numFmtId="43" fontId="3" fillId="0" borderId="8" xfId="1" applyFont="1" applyFill="1" applyBorder="1" applyAlignment="1">
      <alignment horizontal="left" vertical="center"/>
    </xf>
    <xf numFmtId="43" fontId="3" fillId="0" borderId="9" xfId="1" applyFont="1" applyFill="1" applyBorder="1" applyAlignment="1">
      <alignment horizontal="left" vertical="center"/>
    </xf>
    <xf numFmtId="43" fontId="3" fillId="0" borderId="9" xfId="1" applyFont="1" applyFill="1" applyBorder="1" applyAlignment="1">
      <alignment horizontal="center"/>
    </xf>
    <xf numFmtId="0" fontId="3" fillId="0" borderId="9" xfId="1" applyNumberFormat="1" applyFont="1" applyFill="1" applyBorder="1" applyAlignment="1">
      <alignment horizontal="left"/>
    </xf>
    <xf numFmtId="43" fontId="3" fillId="0" borderId="10" xfId="1" applyFont="1" applyFill="1" applyBorder="1" applyAlignment="1">
      <alignment horizontal="center"/>
    </xf>
    <xf numFmtId="43" fontId="3" fillId="0" borderId="11" xfId="1" applyFont="1" applyFill="1" applyBorder="1" applyAlignment="1">
      <alignment horizontal="center"/>
    </xf>
    <xf numFmtId="43" fontId="3" fillId="0" borderId="12" xfId="1" applyFont="1" applyFill="1" applyBorder="1" applyAlignment="1">
      <alignment horizontal="center"/>
    </xf>
    <xf numFmtId="43" fontId="3" fillId="0" borderId="13" xfId="1" applyFont="1" applyFill="1" applyBorder="1" applyAlignment="1">
      <alignment horizontal="center"/>
    </xf>
    <xf numFmtId="43" fontId="3" fillId="0" borderId="0" xfId="1" applyFont="1" applyFill="1" applyBorder="1" applyAlignment="1">
      <alignment horizontal="left" vertical="center"/>
    </xf>
    <xf numFmtId="43" fontId="3" fillId="0" borderId="0" xfId="1" applyFont="1" applyFill="1" applyBorder="1" applyAlignment="1">
      <alignment horizontal="center"/>
    </xf>
    <xf numFmtId="0" fontId="3" fillId="0" borderId="0" xfId="1" applyNumberFormat="1" applyFont="1" applyFill="1" applyBorder="1" applyAlignment="1">
      <alignment horizontal="left"/>
    </xf>
    <xf numFmtId="43" fontId="3" fillId="0" borderId="0" xfId="1" applyFont="1" applyFill="1" applyBorder="1" applyAlignment="1">
      <alignment horizontal="left"/>
    </xf>
    <xf numFmtId="1" fontId="3" fillId="0" borderId="0" xfId="1" applyNumberFormat="1" applyFont="1" applyFill="1" applyBorder="1" applyAlignment="1">
      <alignment horizontal="center"/>
    </xf>
    <xf numFmtId="43" fontId="3" fillId="0" borderId="0" xfId="1" applyFont="1" applyFill="1" applyBorder="1"/>
    <xf numFmtId="0" fontId="4" fillId="0" borderId="0" xfId="0" applyFont="1" applyAlignment="1">
      <alignment horizontal="left" vertical="center"/>
    </xf>
    <xf numFmtId="1" fontId="4" fillId="0" borderId="0" xfId="1" applyNumberFormat="1" applyFont="1" applyFill="1" applyBorder="1" applyAlignment="1">
      <alignment horizontal="center"/>
    </xf>
    <xf numFmtId="43" fontId="4" fillId="0" borderId="0" xfId="1" applyFont="1" applyFill="1" applyBorder="1" applyAlignment="1">
      <alignment horizontal="center"/>
    </xf>
    <xf numFmtId="43" fontId="4" fillId="0" borderId="0" xfId="1" applyFont="1" applyFill="1" applyBorder="1"/>
    <xf numFmtId="1" fontId="4" fillId="0" borderId="0" xfId="1" applyNumberFormat="1" applyFont="1" applyFill="1" applyAlignment="1">
      <alignment horizontal="center"/>
    </xf>
    <xf numFmtId="43" fontId="4" fillId="0" borderId="0" xfId="1" applyFont="1" applyFill="1" applyAlignment="1">
      <alignment horizontal="center"/>
    </xf>
    <xf numFmtId="43" fontId="4" fillId="0" borderId="0" xfId="1" applyFont="1" applyFill="1"/>
    <xf numFmtId="0" fontId="4" fillId="0" borderId="0" xfId="1" applyNumberFormat="1" applyFont="1" applyFill="1" applyAlignment="1">
      <alignment horizontal="center"/>
    </xf>
    <xf numFmtId="0" fontId="4" fillId="0" borderId="0" xfId="1" applyNumberFormat="1" applyFont="1" applyFill="1" applyAlignment="1">
      <alignment horizontal="left"/>
    </xf>
    <xf numFmtId="43" fontId="4" fillId="0" borderId="5" xfId="1" applyFont="1" applyFill="1" applyBorder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43" fontId="3" fillId="0" borderId="0" xfId="1" applyFont="1" applyFill="1" applyAlignment="1">
      <alignment vertical="center"/>
    </xf>
    <xf numFmtId="43" fontId="4" fillId="0" borderId="0" xfId="1" applyFont="1" applyFill="1" applyAlignment="1">
      <alignment vertical="center"/>
    </xf>
    <xf numFmtId="0" fontId="4" fillId="0" borderId="0" xfId="0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3" fontId="5" fillId="0" borderId="0" xfId="1" applyFont="1" applyFill="1" applyAlignment="1">
      <alignment horizontal="center" vertical="center"/>
    </xf>
    <xf numFmtId="0" fontId="8" fillId="0" borderId="5" xfId="0" applyFont="1" applyBorder="1" applyAlignment="1">
      <alignment vertical="center" wrapText="1"/>
    </xf>
    <xf numFmtId="43" fontId="9" fillId="0" borderId="5" xfId="1" applyFont="1" applyFill="1" applyBorder="1" applyAlignment="1">
      <alignment vertical="center" wrapText="1"/>
    </xf>
    <xf numFmtId="43" fontId="7" fillId="0" borderId="5" xfId="1" applyFont="1" applyFill="1" applyBorder="1" applyAlignment="1">
      <alignment vertical="center"/>
    </xf>
    <xf numFmtId="43" fontId="8" fillId="0" borderId="5" xfId="1" applyFont="1" applyFill="1" applyBorder="1" applyAlignment="1">
      <alignment horizontal="center" vertical="center" wrapText="1"/>
    </xf>
    <xf numFmtId="1" fontId="3" fillId="0" borderId="0" xfId="1" applyNumberFormat="1" applyFont="1" applyFill="1" applyBorder="1" applyAlignment="1">
      <alignment horizontal="center" vertical="center"/>
    </xf>
    <xf numFmtId="43" fontId="3" fillId="0" borderId="0" xfId="1" applyFont="1" applyFill="1" applyBorder="1" applyAlignment="1">
      <alignment vertical="center"/>
    </xf>
    <xf numFmtId="4" fontId="3" fillId="0" borderId="0" xfId="1" applyNumberFormat="1" applyFont="1" applyFill="1" applyAlignment="1">
      <alignment vertical="center"/>
    </xf>
    <xf numFmtId="43" fontId="3" fillId="0" borderId="0" xfId="1" applyFont="1" applyFill="1" applyAlignment="1">
      <alignment horizontal="left" vertical="center"/>
    </xf>
    <xf numFmtId="43" fontId="4" fillId="2" borderId="0" xfId="1" applyFont="1" applyFill="1" applyAlignment="1">
      <alignment vertical="center"/>
    </xf>
    <xf numFmtId="14" fontId="4" fillId="0" borderId="0" xfId="0" applyNumberFormat="1" applyFont="1" applyAlignment="1">
      <alignment horizontal="center" vertical="center"/>
    </xf>
    <xf numFmtId="1" fontId="4" fillId="0" borderId="0" xfId="1" applyNumberFormat="1" applyFont="1" applyFill="1" applyAlignment="1">
      <alignment horizontal="center" vertical="center"/>
    </xf>
    <xf numFmtId="43" fontId="4" fillId="0" borderId="0" xfId="1" applyFont="1" applyFill="1" applyAlignment="1">
      <alignment horizontal="center" vertical="center"/>
    </xf>
    <xf numFmtId="4" fontId="4" fillId="0" borderId="0" xfId="1" applyNumberFormat="1" applyFont="1" applyFill="1" applyAlignment="1">
      <alignment vertical="center"/>
    </xf>
    <xf numFmtId="0" fontId="5" fillId="0" borderId="0" xfId="0" applyFont="1" applyAlignment="1">
      <alignment vertical="center"/>
    </xf>
    <xf numFmtId="1" fontId="4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left" vertical="center"/>
    </xf>
    <xf numFmtId="1" fontId="10" fillId="0" borderId="0" xfId="0" applyNumberFormat="1" applyFont="1" applyAlignment="1">
      <alignment horizontal="center" vertical="center"/>
    </xf>
    <xf numFmtId="43" fontId="4" fillId="0" borderId="0" xfId="1" applyFont="1" applyFill="1" applyAlignment="1">
      <alignment horizontal="left" vertical="center"/>
    </xf>
    <xf numFmtId="2" fontId="4" fillId="0" borderId="0" xfId="1" applyNumberFormat="1" applyFont="1" applyFill="1" applyAlignment="1">
      <alignment horizontal="center" vertical="center"/>
    </xf>
    <xf numFmtId="1" fontId="10" fillId="0" borderId="0" xfId="1" applyNumberFormat="1" applyFont="1" applyFill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43" fontId="5" fillId="0" borderId="0" xfId="1" applyFont="1" applyFill="1" applyAlignment="1">
      <alignment vertical="center"/>
    </xf>
    <xf numFmtId="1" fontId="5" fillId="0" borderId="0" xfId="1" applyNumberFormat="1" applyFont="1" applyFill="1" applyAlignment="1">
      <alignment horizontal="center" vertical="center"/>
    </xf>
    <xf numFmtId="43" fontId="5" fillId="0" borderId="0" xfId="0" applyNumberFormat="1" applyFont="1" applyAlignment="1">
      <alignment horizontal="left" vertical="center"/>
    </xf>
    <xf numFmtId="1" fontId="5" fillId="0" borderId="0" xfId="1" applyNumberFormat="1" applyFont="1" applyFill="1" applyAlignment="1">
      <alignment horizontal="left" vertical="center"/>
    </xf>
    <xf numFmtId="1" fontId="11" fillId="0" borderId="0" xfId="1" applyNumberFormat="1" applyFont="1" applyFill="1" applyAlignment="1">
      <alignment horizontal="center" vertical="center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4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left"/>
    </xf>
    <xf numFmtId="0" fontId="3" fillId="0" borderId="7" xfId="0" applyFont="1" applyBorder="1" applyAlignment="1">
      <alignment horizontal="center" vertical="center" wrapText="1"/>
    </xf>
    <xf numFmtId="43" fontId="3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4" fontId="4" fillId="0" borderId="0" xfId="0" applyNumberFormat="1" applyFont="1" applyAlignment="1">
      <alignment horizontal="center"/>
    </xf>
    <xf numFmtId="43" fontId="4" fillId="0" borderId="0" xfId="0" applyNumberFormat="1" applyFont="1"/>
    <xf numFmtId="0" fontId="7" fillId="0" borderId="5" xfId="0" applyFont="1" applyBorder="1" applyAlignment="1">
      <alignment vertical="center"/>
    </xf>
    <xf numFmtId="0" fontId="7" fillId="0" borderId="5" xfId="0" applyFont="1" applyBorder="1" applyAlignment="1">
      <alignment horizontal="center" vertical="center"/>
    </xf>
    <xf numFmtId="43" fontId="8" fillId="0" borderId="5" xfId="1" applyFont="1" applyFill="1" applyBorder="1" applyAlignment="1">
      <alignment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" fontId="6" fillId="0" borderId="2" xfId="1" applyNumberFormat="1" applyFont="1" applyFill="1" applyBorder="1" applyAlignment="1">
      <alignment horizontal="center" vertical="center" wrapText="1"/>
    </xf>
    <xf numFmtId="43" fontId="6" fillId="0" borderId="2" xfId="1" applyFont="1" applyFill="1" applyBorder="1" applyAlignment="1">
      <alignment horizontal="center" vertical="center" wrapText="1"/>
    </xf>
    <xf numFmtId="43" fontId="6" fillId="0" borderId="3" xfId="1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/>
    </xf>
    <xf numFmtId="43" fontId="7" fillId="0" borderId="6" xfId="1" applyFont="1" applyFill="1" applyBorder="1" applyAlignment="1">
      <alignment vertical="center"/>
    </xf>
    <xf numFmtId="14" fontId="3" fillId="0" borderId="8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vertical="center"/>
    </xf>
    <xf numFmtId="1" fontId="3" fillId="0" borderId="9" xfId="1" applyNumberFormat="1" applyFont="1" applyFill="1" applyBorder="1" applyAlignment="1">
      <alignment horizontal="center" vertical="center"/>
    </xf>
    <xf numFmtId="43" fontId="3" fillId="0" borderId="9" xfId="1" applyFont="1" applyFill="1" applyBorder="1" applyAlignment="1">
      <alignment horizontal="center" vertical="center"/>
    </xf>
    <xf numFmtId="43" fontId="3" fillId="0" borderId="9" xfId="1" applyFont="1" applyFill="1" applyBorder="1" applyAlignment="1">
      <alignment vertical="center"/>
    </xf>
    <xf numFmtId="165" fontId="3" fillId="0" borderId="0" xfId="1" applyNumberFormat="1" applyFont="1" applyFill="1" applyAlignment="1">
      <alignment horizontal="center" vertical="center"/>
    </xf>
    <xf numFmtId="165" fontId="6" fillId="0" borderId="2" xfId="1" applyNumberFormat="1" applyFont="1" applyFill="1" applyBorder="1" applyAlignment="1">
      <alignment horizontal="center" vertical="center" wrapText="1"/>
    </xf>
    <xf numFmtId="165" fontId="8" fillId="0" borderId="5" xfId="1" applyNumberFormat="1" applyFont="1" applyFill="1" applyBorder="1" applyAlignment="1">
      <alignment horizontal="center" vertical="center" wrapText="1"/>
    </xf>
    <xf numFmtId="165" fontId="3" fillId="0" borderId="9" xfId="1" applyNumberFormat="1" applyFont="1" applyFill="1" applyBorder="1" applyAlignment="1">
      <alignment horizontal="center" vertical="center"/>
    </xf>
    <xf numFmtId="165" fontId="3" fillId="0" borderId="0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Alignment="1">
      <alignment horizontal="center" vertical="center"/>
    </xf>
    <xf numFmtId="165" fontId="5" fillId="0" borderId="0" xfId="1" applyNumberFormat="1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C7AB9-C289-4792-A181-C01B5589273E}">
  <sheetPr>
    <tabColor rgb="FF0070C0"/>
    <pageSetUpPr fitToPage="1"/>
  </sheetPr>
  <dimension ref="A1:EF695"/>
  <sheetViews>
    <sheetView showGridLines="0" zoomScaleNormal="100" workbookViewId="0">
      <pane ySplit="4" topLeftCell="A640" activePane="bottomLeft" state="frozen"/>
      <selection activeCell="C27" sqref="C27"/>
      <selection pane="bottomLeft" activeCell="E680" sqref="E680"/>
    </sheetView>
  </sheetViews>
  <sheetFormatPr defaultColWidth="9.140625" defaultRowHeight="15" x14ac:dyDescent="0.25"/>
  <cols>
    <col min="1" max="1" width="12.85546875" style="104" customWidth="1"/>
    <col min="2" max="2" width="32" style="39" customWidth="1"/>
    <col min="3" max="3" width="11.28515625" style="43" customWidth="1"/>
    <col min="4" max="4" width="7.5703125" style="43" customWidth="1"/>
    <col min="5" max="5" width="57" style="102" bestFit="1" customWidth="1"/>
    <col min="6" max="6" width="13.140625" style="44" bestFit="1" customWidth="1"/>
    <col min="7" max="7" width="5.5703125" style="103" bestFit="1" customWidth="1"/>
    <col min="8" max="8" width="12.140625" style="44" bestFit="1" customWidth="1"/>
    <col min="9" max="9" width="13.140625" style="45" bestFit="1" customWidth="1"/>
    <col min="10" max="10" width="18.5703125" style="45" bestFit="1" customWidth="1"/>
    <col min="11" max="11" width="26" style="45" bestFit="1" customWidth="1"/>
    <col min="12" max="12" width="17.42578125" style="45" bestFit="1" customWidth="1"/>
    <col min="13" max="13" width="12.42578125" style="88" bestFit="1" customWidth="1"/>
    <col min="14" max="14" width="11.42578125" style="88" bestFit="1" customWidth="1"/>
    <col min="15" max="15" width="10.5703125" style="88" customWidth="1"/>
    <col min="16" max="16" width="9.140625" style="88"/>
    <col min="17" max="17" width="10.28515625" style="88" bestFit="1" customWidth="1"/>
    <col min="18" max="19" width="9.28515625" style="88" bestFit="1" customWidth="1"/>
    <col min="20" max="20" width="9.140625" style="88"/>
    <col min="21" max="21" width="9.28515625" style="88" bestFit="1" customWidth="1"/>
    <col min="22" max="22" width="10.140625" style="88" bestFit="1" customWidth="1"/>
    <col min="23" max="23" width="9.28515625" style="88" bestFit="1" customWidth="1"/>
    <col min="24" max="24" width="11.28515625" style="88" bestFit="1" customWidth="1"/>
    <col min="25" max="16384" width="9.140625" style="88"/>
  </cols>
  <sheetData>
    <row r="1" spans="1:13" x14ac:dyDescent="0.25">
      <c r="A1" s="84" t="s">
        <v>0</v>
      </c>
      <c r="B1" s="1"/>
      <c r="C1" s="2"/>
      <c r="D1" s="2"/>
      <c r="E1" s="85"/>
      <c r="F1" s="3"/>
      <c r="G1" s="86"/>
      <c r="H1" s="3"/>
      <c r="I1" s="4"/>
      <c r="J1" s="4"/>
      <c r="K1" s="4"/>
      <c r="L1" s="4"/>
      <c r="M1" s="87"/>
    </row>
    <row r="2" spans="1:13" x14ac:dyDescent="0.25">
      <c r="A2" s="84" t="s">
        <v>1</v>
      </c>
      <c r="B2" s="1"/>
      <c r="C2" s="2"/>
      <c r="D2" s="2"/>
      <c r="E2" s="85"/>
      <c r="F2" s="3"/>
      <c r="G2" s="86"/>
      <c r="H2" s="3"/>
      <c r="I2" s="4"/>
      <c r="J2" s="4"/>
      <c r="K2" s="4"/>
      <c r="L2" s="4"/>
      <c r="M2" s="87"/>
    </row>
    <row r="3" spans="1:13" ht="15.75" thickBot="1" x14ac:dyDescent="0.3">
      <c r="A3" s="84"/>
      <c r="B3" s="1"/>
      <c r="C3" s="2"/>
      <c r="D3" s="2"/>
      <c r="E3" s="85"/>
      <c r="F3" s="3"/>
      <c r="G3" s="86"/>
      <c r="H3" s="3"/>
      <c r="I3" s="4"/>
      <c r="J3" s="4"/>
      <c r="K3" s="4"/>
      <c r="L3" s="4"/>
      <c r="M3" s="87"/>
    </row>
    <row r="4" spans="1:13" s="9" customFormat="1" ht="24" customHeight="1" x14ac:dyDescent="0.25">
      <c r="A4" s="89" t="s">
        <v>2</v>
      </c>
      <c r="B4" s="90" t="s">
        <v>3</v>
      </c>
      <c r="C4" s="5" t="s">
        <v>4</v>
      </c>
      <c r="D4" s="5" t="s">
        <v>5</v>
      </c>
      <c r="E4" s="91" t="s">
        <v>6</v>
      </c>
      <c r="F4" s="6" t="s">
        <v>7</v>
      </c>
      <c r="G4" s="90" t="s">
        <v>8</v>
      </c>
      <c r="H4" s="7" t="s">
        <v>9</v>
      </c>
      <c r="I4" s="7" t="s">
        <v>10</v>
      </c>
      <c r="J4" s="7" t="s">
        <v>11</v>
      </c>
      <c r="K4" s="7" t="s">
        <v>12</v>
      </c>
      <c r="L4" s="8" t="s">
        <v>13</v>
      </c>
      <c r="M4" s="92"/>
    </row>
    <row r="5" spans="1:13" s="9" customFormat="1" ht="15.75" customHeight="1" x14ac:dyDescent="0.25">
      <c r="A5" s="93">
        <v>46209</v>
      </c>
      <c r="B5" s="94" t="s">
        <v>16</v>
      </c>
      <c r="C5" s="95">
        <v>6016</v>
      </c>
      <c r="D5" s="95"/>
      <c r="E5" s="94" t="s">
        <v>25</v>
      </c>
      <c r="F5" s="10">
        <v>2</v>
      </c>
      <c r="G5" s="95"/>
      <c r="H5" s="10">
        <v>60</v>
      </c>
      <c r="I5" s="11">
        <f>F5*H5</f>
        <v>120</v>
      </c>
      <c r="J5" s="12"/>
      <c r="K5" s="12"/>
      <c r="L5" s="13">
        <f t="shared" ref="L5:L69" si="0">I5-J5-K5</f>
        <v>120</v>
      </c>
      <c r="M5" s="14"/>
    </row>
    <row r="6" spans="1:13" s="9" customFormat="1" ht="15.75" customHeight="1" x14ac:dyDescent="0.25">
      <c r="A6" s="93">
        <v>46209</v>
      </c>
      <c r="B6" s="94" t="s">
        <v>16</v>
      </c>
      <c r="C6" s="95">
        <v>6016</v>
      </c>
      <c r="D6" s="95"/>
      <c r="E6" s="94" t="s">
        <v>26</v>
      </c>
      <c r="F6" s="10">
        <v>1</v>
      </c>
      <c r="G6" s="95"/>
      <c r="H6" s="10">
        <v>80</v>
      </c>
      <c r="I6" s="11">
        <f t="shared" ref="I6:I70" si="1">F6*H6</f>
        <v>80</v>
      </c>
      <c r="J6" s="12"/>
      <c r="K6" s="12"/>
      <c r="L6" s="13">
        <f t="shared" si="0"/>
        <v>80</v>
      </c>
      <c r="M6" s="14"/>
    </row>
    <row r="7" spans="1:13" s="9" customFormat="1" ht="15.75" customHeight="1" x14ac:dyDescent="0.25">
      <c r="A7" s="93">
        <v>46209</v>
      </c>
      <c r="B7" s="94" t="s">
        <v>16</v>
      </c>
      <c r="C7" s="95">
        <v>6016</v>
      </c>
      <c r="D7" s="95"/>
      <c r="E7" s="94" t="s">
        <v>27</v>
      </c>
      <c r="F7" s="10">
        <v>1</v>
      </c>
      <c r="G7" s="95"/>
      <c r="H7" s="10">
        <v>100</v>
      </c>
      <c r="I7" s="11">
        <f t="shared" si="1"/>
        <v>100</v>
      </c>
      <c r="J7" s="12"/>
      <c r="K7" s="12"/>
      <c r="L7" s="13">
        <f t="shared" si="0"/>
        <v>100</v>
      </c>
      <c r="M7" s="14"/>
    </row>
    <row r="8" spans="1:13" s="9" customFormat="1" ht="15.75" customHeight="1" x14ac:dyDescent="0.25">
      <c r="A8" s="93">
        <v>46209</v>
      </c>
      <c r="B8" s="94" t="s">
        <v>16</v>
      </c>
      <c r="C8" s="95">
        <v>6016</v>
      </c>
      <c r="D8" s="95"/>
      <c r="E8" s="94" t="s">
        <v>28</v>
      </c>
      <c r="F8" s="10">
        <f>80/100</f>
        <v>0.8</v>
      </c>
      <c r="G8" s="95"/>
      <c r="H8" s="10">
        <v>100</v>
      </c>
      <c r="I8" s="11">
        <f t="shared" si="1"/>
        <v>80</v>
      </c>
      <c r="J8" s="12"/>
      <c r="K8" s="12"/>
      <c r="L8" s="13">
        <f t="shared" si="0"/>
        <v>80</v>
      </c>
      <c r="M8" s="14"/>
    </row>
    <row r="9" spans="1:13" s="9" customFormat="1" ht="15.75" customHeight="1" x14ac:dyDescent="0.25">
      <c r="A9" s="93">
        <v>46209</v>
      </c>
      <c r="B9" s="94" t="s">
        <v>16</v>
      </c>
      <c r="C9" s="95">
        <v>6016</v>
      </c>
      <c r="D9" s="95"/>
      <c r="E9" s="94" t="s">
        <v>29</v>
      </c>
      <c r="F9" s="10">
        <v>3</v>
      </c>
      <c r="G9" s="95"/>
      <c r="H9" s="10">
        <v>50</v>
      </c>
      <c r="I9" s="11">
        <f t="shared" si="1"/>
        <v>150</v>
      </c>
      <c r="J9" s="12"/>
      <c r="K9" s="12"/>
      <c r="L9" s="13">
        <f t="shared" si="0"/>
        <v>150</v>
      </c>
      <c r="M9" s="14"/>
    </row>
    <row r="10" spans="1:13" s="9" customFormat="1" ht="15.75" customHeight="1" x14ac:dyDescent="0.25">
      <c r="A10" s="93">
        <v>46209</v>
      </c>
      <c r="B10" s="94" t="s">
        <v>16</v>
      </c>
      <c r="C10" s="95">
        <v>6016</v>
      </c>
      <c r="D10" s="95"/>
      <c r="E10" s="94" t="s">
        <v>30</v>
      </c>
      <c r="F10" s="10">
        <v>1</v>
      </c>
      <c r="G10" s="95"/>
      <c r="H10" s="10">
        <v>80</v>
      </c>
      <c r="I10" s="11">
        <f t="shared" si="1"/>
        <v>80</v>
      </c>
      <c r="J10" s="12"/>
      <c r="K10" s="12"/>
      <c r="L10" s="13">
        <f t="shared" si="0"/>
        <v>80</v>
      </c>
      <c r="M10" s="14"/>
    </row>
    <row r="11" spans="1:13" s="9" customFormat="1" ht="15.75" customHeight="1" x14ac:dyDescent="0.25">
      <c r="A11" s="93">
        <v>46209</v>
      </c>
      <c r="B11" s="94" t="s">
        <v>16</v>
      </c>
      <c r="C11" s="95">
        <v>6016</v>
      </c>
      <c r="D11" s="95"/>
      <c r="E11" s="94" t="s">
        <v>31</v>
      </c>
      <c r="F11" s="10">
        <v>0.5</v>
      </c>
      <c r="G11" s="95"/>
      <c r="H11" s="10">
        <v>200</v>
      </c>
      <c r="I11" s="11">
        <f t="shared" si="1"/>
        <v>100</v>
      </c>
      <c r="J11" s="12"/>
      <c r="K11" s="12"/>
      <c r="L11" s="13">
        <f t="shared" si="0"/>
        <v>100</v>
      </c>
      <c r="M11" s="14"/>
    </row>
    <row r="12" spans="1:13" s="9" customFormat="1" ht="15.75" customHeight="1" x14ac:dyDescent="0.25">
      <c r="A12" s="93">
        <v>46209</v>
      </c>
      <c r="B12" s="94" t="s">
        <v>16</v>
      </c>
      <c r="C12" s="95">
        <v>6016</v>
      </c>
      <c r="D12" s="95"/>
      <c r="E12" s="94" t="s">
        <v>32</v>
      </c>
      <c r="F12" s="10">
        <v>1</v>
      </c>
      <c r="G12" s="95"/>
      <c r="H12" s="10">
        <v>60</v>
      </c>
      <c r="I12" s="11">
        <f t="shared" si="1"/>
        <v>60</v>
      </c>
      <c r="J12" s="12"/>
      <c r="K12" s="12"/>
      <c r="L12" s="13">
        <f t="shared" si="0"/>
        <v>60</v>
      </c>
      <c r="M12" s="14"/>
    </row>
    <row r="13" spans="1:13" s="9" customFormat="1" ht="15.75" customHeight="1" x14ac:dyDescent="0.25">
      <c r="A13" s="93">
        <v>46209</v>
      </c>
      <c r="B13" s="94" t="s">
        <v>16</v>
      </c>
      <c r="C13" s="95">
        <v>6016</v>
      </c>
      <c r="D13" s="95"/>
      <c r="E13" s="94" t="s">
        <v>33</v>
      </c>
      <c r="F13" s="10">
        <v>10</v>
      </c>
      <c r="G13" s="95"/>
      <c r="H13" s="10">
        <v>56</v>
      </c>
      <c r="I13" s="11">
        <f t="shared" si="1"/>
        <v>560</v>
      </c>
      <c r="J13" s="12"/>
      <c r="K13" s="12"/>
      <c r="L13" s="13">
        <f t="shared" si="0"/>
        <v>560</v>
      </c>
      <c r="M13" s="14"/>
    </row>
    <row r="14" spans="1:13" s="9" customFormat="1" ht="15.75" customHeight="1" x14ac:dyDescent="0.25">
      <c r="A14" s="93">
        <v>46209</v>
      </c>
      <c r="B14" s="94" t="s">
        <v>16</v>
      </c>
      <c r="C14" s="95">
        <v>6016</v>
      </c>
      <c r="D14" s="95"/>
      <c r="E14" s="94" t="s">
        <v>34</v>
      </c>
      <c r="F14" s="10">
        <v>1</v>
      </c>
      <c r="G14" s="95"/>
      <c r="H14" s="10">
        <v>25</v>
      </c>
      <c r="I14" s="11">
        <f t="shared" si="1"/>
        <v>25</v>
      </c>
      <c r="J14" s="12"/>
      <c r="K14" s="12"/>
      <c r="L14" s="13">
        <f t="shared" si="0"/>
        <v>25</v>
      </c>
      <c r="M14" s="14"/>
    </row>
    <row r="15" spans="1:13" s="9" customFormat="1" ht="15.75" customHeight="1" x14ac:dyDescent="0.25">
      <c r="A15" s="93">
        <v>46209</v>
      </c>
      <c r="B15" s="94" t="s">
        <v>16</v>
      </c>
      <c r="C15" s="95">
        <v>6016</v>
      </c>
      <c r="D15" s="95"/>
      <c r="E15" s="94" t="s">
        <v>35</v>
      </c>
      <c r="F15" s="10">
        <v>0.5</v>
      </c>
      <c r="G15" s="95"/>
      <c r="H15" s="10">
        <v>120</v>
      </c>
      <c r="I15" s="11">
        <f t="shared" si="1"/>
        <v>60</v>
      </c>
      <c r="J15" s="12"/>
      <c r="K15" s="12"/>
      <c r="L15" s="13">
        <f t="shared" si="0"/>
        <v>60</v>
      </c>
      <c r="M15" s="14"/>
    </row>
    <row r="16" spans="1:13" s="9" customFormat="1" ht="15.75" customHeight="1" x14ac:dyDescent="0.25">
      <c r="A16" s="93">
        <v>46209</v>
      </c>
      <c r="B16" s="94" t="s">
        <v>16</v>
      </c>
      <c r="C16" s="95">
        <v>6016</v>
      </c>
      <c r="D16" s="95"/>
      <c r="E16" s="94" t="s">
        <v>36</v>
      </c>
      <c r="F16" s="10">
        <v>3</v>
      </c>
      <c r="G16" s="95"/>
      <c r="H16" s="10">
        <v>35</v>
      </c>
      <c r="I16" s="11">
        <f t="shared" si="1"/>
        <v>105</v>
      </c>
      <c r="J16" s="12"/>
      <c r="K16" s="12"/>
      <c r="L16" s="13">
        <f t="shared" si="0"/>
        <v>105</v>
      </c>
      <c r="M16" s="14"/>
    </row>
    <row r="17" spans="1:13" s="9" customFormat="1" ht="15.75" customHeight="1" x14ac:dyDescent="0.25">
      <c r="A17" s="93">
        <v>46209</v>
      </c>
      <c r="B17" s="94" t="s">
        <v>16</v>
      </c>
      <c r="C17" s="95">
        <v>6016</v>
      </c>
      <c r="D17" s="95"/>
      <c r="E17" s="94" t="s">
        <v>37</v>
      </c>
      <c r="F17" s="10">
        <f>33/65</f>
        <v>0.50769230769230766</v>
      </c>
      <c r="G17" s="95"/>
      <c r="H17" s="10">
        <v>65</v>
      </c>
      <c r="I17" s="11">
        <f t="shared" si="1"/>
        <v>33</v>
      </c>
      <c r="J17" s="12"/>
      <c r="K17" s="12"/>
      <c r="L17" s="13">
        <f t="shared" si="0"/>
        <v>33</v>
      </c>
      <c r="M17" s="15"/>
    </row>
    <row r="18" spans="1:13" s="9" customFormat="1" ht="15.75" customHeight="1" x14ac:dyDescent="0.25">
      <c r="A18" s="93">
        <v>46209</v>
      </c>
      <c r="B18" s="94" t="s">
        <v>16</v>
      </c>
      <c r="C18" s="95">
        <v>6016</v>
      </c>
      <c r="D18" s="95"/>
      <c r="E18" s="94" t="s">
        <v>38</v>
      </c>
      <c r="F18" s="10">
        <v>1</v>
      </c>
      <c r="G18" s="95"/>
      <c r="H18" s="10">
        <v>120</v>
      </c>
      <c r="I18" s="11">
        <f t="shared" si="1"/>
        <v>120</v>
      </c>
      <c r="J18" s="12"/>
      <c r="K18" s="12"/>
      <c r="L18" s="13">
        <f t="shared" si="0"/>
        <v>120</v>
      </c>
      <c r="M18" s="14"/>
    </row>
    <row r="19" spans="1:13" s="9" customFormat="1" ht="15.75" customHeight="1" x14ac:dyDescent="0.25">
      <c r="A19" s="93">
        <v>46209</v>
      </c>
      <c r="B19" s="94" t="s">
        <v>16</v>
      </c>
      <c r="C19" s="95">
        <v>6016</v>
      </c>
      <c r="D19" s="95"/>
      <c r="E19" s="94" t="s">
        <v>39</v>
      </c>
      <c r="F19" s="10">
        <v>3</v>
      </c>
      <c r="G19" s="95"/>
      <c r="H19" s="10">
        <v>60</v>
      </c>
      <c r="I19" s="11">
        <f t="shared" si="1"/>
        <v>180</v>
      </c>
      <c r="J19" s="12"/>
      <c r="K19" s="12"/>
      <c r="L19" s="13">
        <f t="shared" si="0"/>
        <v>180</v>
      </c>
      <c r="M19" s="14"/>
    </row>
    <row r="20" spans="1:13" s="9" customFormat="1" ht="15.75" customHeight="1" x14ac:dyDescent="0.25">
      <c r="A20" s="93">
        <v>46209</v>
      </c>
      <c r="B20" s="94" t="s">
        <v>16</v>
      </c>
      <c r="C20" s="95">
        <v>6016</v>
      </c>
      <c r="D20" s="95"/>
      <c r="E20" s="94" t="s">
        <v>40</v>
      </c>
      <c r="F20" s="10">
        <v>2</v>
      </c>
      <c r="G20" s="95"/>
      <c r="H20" s="10">
        <v>60</v>
      </c>
      <c r="I20" s="11">
        <f t="shared" si="1"/>
        <v>120</v>
      </c>
      <c r="J20" s="12"/>
      <c r="K20" s="12"/>
      <c r="L20" s="13">
        <f t="shared" si="0"/>
        <v>120</v>
      </c>
      <c r="M20" s="14"/>
    </row>
    <row r="21" spans="1:13" s="9" customFormat="1" ht="15.75" customHeight="1" x14ac:dyDescent="0.25">
      <c r="A21" s="93">
        <v>46209</v>
      </c>
      <c r="B21" s="94" t="s">
        <v>16</v>
      </c>
      <c r="C21" s="95">
        <v>6016</v>
      </c>
      <c r="D21" s="95"/>
      <c r="E21" s="94" t="s">
        <v>41</v>
      </c>
      <c r="F21" s="10">
        <v>0.5</v>
      </c>
      <c r="G21" s="95"/>
      <c r="H21" s="10">
        <v>180</v>
      </c>
      <c r="I21" s="11">
        <f t="shared" si="1"/>
        <v>90</v>
      </c>
      <c r="J21" s="12"/>
      <c r="K21" s="12"/>
      <c r="L21" s="13">
        <f t="shared" si="0"/>
        <v>90</v>
      </c>
      <c r="M21" s="14"/>
    </row>
    <row r="22" spans="1:13" s="9" customFormat="1" ht="15.75" customHeight="1" x14ac:dyDescent="0.25">
      <c r="A22" s="93">
        <v>46209</v>
      </c>
      <c r="B22" s="94" t="s">
        <v>16</v>
      </c>
      <c r="C22" s="95">
        <v>6016</v>
      </c>
      <c r="D22" s="95"/>
      <c r="E22" s="94" t="s">
        <v>42</v>
      </c>
      <c r="F22" s="10">
        <v>2</v>
      </c>
      <c r="G22" s="95"/>
      <c r="H22" s="10">
        <v>80</v>
      </c>
      <c r="I22" s="11">
        <f t="shared" si="1"/>
        <v>160</v>
      </c>
      <c r="J22" s="12"/>
      <c r="K22" s="12"/>
      <c r="L22" s="13">
        <f t="shared" si="0"/>
        <v>160</v>
      </c>
      <c r="M22" s="16"/>
    </row>
    <row r="23" spans="1:13" s="9" customFormat="1" ht="15.75" customHeight="1" x14ac:dyDescent="0.25">
      <c r="A23" s="93">
        <v>46209</v>
      </c>
      <c r="B23" s="94" t="s">
        <v>16</v>
      </c>
      <c r="C23" s="95">
        <v>6016</v>
      </c>
      <c r="D23" s="95"/>
      <c r="E23" s="94" t="s">
        <v>43</v>
      </c>
      <c r="F23" s="10">
        <v>10</v>
      </c>
      <c r="G23" s="95"/>
      <c r="H23" s="10">
        <v>12</v>
      </c>
      <c r="I23" s="11">
        <f t="shared" si="1"/>
        <v>120</v>
      </c>
      <c r="J23" s="12"/>
      <c r="K23" s="12"/>
      <c r="L23" s="13">
        <f t="shared" si="0"/>
        <v>120</v>
      </c>
      <c r="M23" s="16"/>
    </row>
    <row r="24" spans="1:13" s="9" customFormat="1" ht="15.75" customHeight="1" x14ac:dyDescent="0.25">
      <c r="A24" s="93">
        <v>46209</v>
      </c>
      <c r="B24" s="94" t="s">
        <v>16</v>
      </c>
      <c r="C24" s="95">
        <v>6016</v>
      </c>
      <c r="D24" s="95"/>
      <c r="E24" s="94" t="s">
        <v>44</v>
      </c>
      <c r="F24" s="10">
        <v>1</v>
      </c>
      <c r="G24" s="95"/>
      <c r="H24" s="10">
        <v>210</v>
      </c>
      <c r="I24" s="11">
        <f t="shared" si="1"/>
        <v>210</v>
      </c>
      <c r="J24" s="12"/>
      <c r="K24" s="12"/>
      <c r="L24" s="13">
        <f t="shared" si="0"/>
        <v>210</v>
      </c>
      <c r="M24" s="16"/>
    </row>
    <row r="25" spans="1:13" s="9" customFormat="1" ht="15.75" customHeight="1" x14ac:dyDescent="0.25">
      <c r="A25" s="93">
        <v>46209</v>
      </c>
      <c r="B25" s="94" t="s">
        <v>16</v>
      </c>
      <c r="C25" s="95">
        <v>6016</v>
      </c>
      <c r="D25" s="95"/>
      <c r="E25" s="94" t="s">
        <v>45</v>
      </c>
      <c r="F25" s="10">
        <v>2</v>
      </c>
      <c r="G25" s="95"/>
      <c r="H25" s="10">
        <v>50</v>
      </c>
      <c r="I25" s="11">
        <f t="shared" si="1"/>
        <v>100</v>
      </c>
      <c r="J25" s="12"/>
      <c r="K25" s="12"/>
      <c r="L25" s="13">
        <f t="shared" si="0"/>
        <v>100</v>
      </c>
      <c r="M25" s="14"/>
    </row>
    <row r="26" spans="1:13" s="9" customFormat="1" ht="15.75" customHeight="1" x14ac:dyDescent="0.25">
      <c r="A26" s="93">
        <v>46209</v>
      </c>
      <c r="B26" s="94" t="s">
        <v>16</v>
      </c>
      <c r="C26" s="95">
        <v>6016</v>
      </c>
      <c r="D26" s="95"/>
      <c r="E26" s="94" t="s">
        <v>46</v>
      </c>
      <c r="F26" s="10">
        <v>2</v>
      </c>
      <c r="G26" s="95"/>
      <c r="H26" s="10">
        <v>60</v>
      </c>
      <c r="I26" s="11">
        <f t="shared" si="1"/>
        <v>120</v>
      </c>
      <c r="J26" s="12"/>
      <c r="K26" s="12"/>
      <c r="L26" s="13">
        <f t="shared" si="0"/>
        <v>120</v>
      </c>
      <c r="M26" s="14"/>
    </row>
    <row r="27" spans="1:13" s="9" customFormat="1" ht="15.75" customHeight="1" x14ac:dyDescent="0.25">
      <c r="A27" s="93">
        <v>46209</v>
      </c>
      <c r="B27" s="94" t="s">
        <v>16</v>
      </c>
      <c r="C27" s="95">
        <v>6016</v>
      </c>
      <c r="D27" s="95"/>
      <c r="E27" s="94" t="s">
        <v>47</v>
      </c>
      <c r="F27" s="10">
        <v>30</v>
      </c>
      <c r="G27" s="95"/>
      <c r="H27" s="10">
        <v>7</v>
      </c>
      <c r="I27" s="11">
        <f t="shared" si="1"/>
        <v>210</v>
      </c>
      <c r="J27" s="12"/>
      <c r="K27" s="12"/>
      <c r="L27" s="13">
        <f t="shared" si="0"/>
        <v>210</v>
      </c>
      <c r="M27" s="14"/>
    </row>
    <row r="28" spans="1:13" s="9" customFormat="1" ht="15.75" customHeight="1" x14ac:dyDescent="0.25">
      <c r="A28" s="93">
        <v>46209</v>
      </c>
      <c r="B28" s="94" t="s">
        <v>16</v>
      </c>
      <c r="C28" s="95">
        <v>6016</v>
      </c>
      <c r="D28" s="95"/>
      <c r="E28" s="94" t="s">
        <v>48</v>
      </c>
      <c r="F28" s="10">
        <v>1</v>
      </c>
      <c r="G28" s="95"/>
      <c r="H28" s="10">
        <v>115</v>
      </c>
      <c r="I28" s="11">
        <f t="shared" si="1"/>
        <v>115</v>
      </c>
      <c r="J28" s="12"/>
      <c r="K28" s="12"/>
      <c r="L28" s="13">
        <f t="shared" si="0"/>
        <v>115</v>
      </c>
      <c r="M28" s="14"/>
    </row>
    <row r="29" spans="1:13" s="9" customFormat="1" ht="15.75" customHeight="1" x14ac:dyDescent="0.25">
      <c r="A29" s="93">
        <v>46209</v>
      </c>
      <c r="B29" s="94" t="s">
        <v>16</v>
      </c>
      <c r="C29" s="95">
        <v>6016</v>
      </c>
      <c r="D29" s="95"/>
      <c r="E29" s="94" t="s">
        <v>49</v>
      </c>
      <c r="F29" s="10">
        <v>3</v>
      </c>
      <c r="G29" s="95"/>
      <c r="H29" s="10">
        <v>57</v>
      </c>
      <c r="I29" s="11">
        <f t="shared" si="1"/>
        <v>171</v>
      </c>
      <c r="J29" s="12"/>
      <c r="K29" s="12"/>
      <c r="L29" s="13">
        <f t="shared" si="0"/>
        <v>171</v>
      </c>
      <c r="M29" s="14"/>
    </row>
    <row r="30" spans="1:13" s="9" customFormat="1" ht="15.75" customHeight="1" x14ac:dyDescent="0.25">
      <c r="A30" s="93">
        <v>46209</v>
      </c>
      <c r="B30" s="94" t="s">
        <v>16</v>
      </c>
      <c r="C30" s="95">
        <v>6016</v>
      </c>
      <c r="D30" s="95"/>
      <c r="E30" s="94" t="s">
        <v>50</v>
      </c>
      <c r="F30" s="10">
        <v>4</v>
      </c>
      <c r="G30" s="95"/>
      <c r="H30" s="10">
        <v>20</v>
      </c>
      <c r="I30" s="11">
        <f t="shared" si="1"/>
        <v>80</v>
      </c>
      <c r="J30" s="12"/>
      <c r="K30" s="12"/>
      <c r="L30" s="13">
        <f t="shared" si="0"/>
        <v>80</v>
      </c>
      <c r="M30" s="14"/>
    </row>
    <row r="31" spans="1:13" s="9" customFormat="1" ht="15.75" customHeight="1" x14ac:dyDescent="0.25">
      <c r="A31" s="93">
        <v>46209</v>
      </c>
      <c r="B31" s="94" t="s">
        <v>16</v>
      </c>
      <c r="C31" s="95">
        <v>6016</v>
      </c>
      <c r="D31" s="95"/>
      <c r="E31" s="48" t="s">
        <v>51</v>
      </c>
      <c r="F31" s="10">
        <v>2</v>
      </c>
      <c r="G31" s="95"/>
      <c r="H31" s="10">
        <v>110</v>
      </c>
      <c r="I31" s="11">
        <f t="shared" si="1"/>
        <v>220</v>
      </c>
      <c r="J31" s="12"/>
      <c r="K31" s="12"/>
      <c r="L31" s="13">
        <f t="shared" si="0"/>
        <v>220</v>
      </c>
      <c r="M31" s="14"/>
    </row>
    <row r="32" spans="1:13" s="9" customFormat="1" ht="15.75" customHeight="1" x14ac:dyDescent="0.25">
      <c r="A32" s="93">
        <v>46209</v>
      </c>
      <c r="B32" s="94" t="s">
        <v>16</v>
      </c>
      <c r="C32" s="95">
        <v>6016</v>
      </c>
      <c r="D32" s="95"/>
      <c r="E32" s="48" t="s">
        <v>52</v>
      </c>
      <c r="F32" s="10">
        <v>20</v>
      </c>
      <c r="G32" s="95"/>
      <c r="H32" s="10">
        <v>12</v>
      </c>
      <c r="I32" s="11">
        <f t="shared" si="1"/>
        <v>240</v>
      </c>
      <c r="J32" s="12"/>
      <c r="K32" s="12"/>
      <c r="L32" s="13">
        <f t="shared" si="0"/>
        <v>240</v>
      </c>
      <c r="M32" s="14"/>
    </row>
    <row r="33" spans="1:13" s="9" customFormat="1" ht="15.75" customHeight="1" x14ac:dyDescent="0.25">
      <c r="A33" s="93">
        <v>46209</v>
      </c>
      <c r="B33" s="94" t="s">
        <v>16</v>
      </c>
      <c r="C33" s="95">
        <v>6016</v>
      </c>
      <c r="D33" s="95"/>
      <c r="E33" s="48" t="s">
        <v>53</v>
      </c>
      <c r="F33" s="10">
        <v>1</v>
      </c>
      <c r="G33" s="95"/>
      <c r="H33" s="10">
        <v>45</v>
      </c>
      <c r="I33" s="11">
        <f t="shared" si="1"/>
        <v>45</v>
      </c>
      <c r="J33" s="12"/>
      <c r="K33" s="12"/>
      <c r="L33" s="13">
        <f t="shared" si="0"/>
        <v>45</v>
      </c>
      <c r="M33" s="14"/>
    </row>
    <row r="34" spans="1:13" s="9" customFormat="1" ht="15.75" customHeight="1" x14ac:dyDescent="0.25">
      <c r="A34" s="93">
        <v>46209</v>
      </c>
      <c r="B34" s="94" t="s">
        <v>16</v>
      </c>
      <c r="C34" s="95">
        <v>6016</v>
      </c>
      <c r="D34" s="95"/>
      <c r="E34" s="48" t="s">
        <v>54</v>
      </c>
      <c r="F34" s="10">
        <v>4</v>
      </c>
      <c r="G34" s="95"/>
      <c r="H34" s="10">
        <v>20</v>
      </c>
      <c r="I34" s="11">
        <f t="shared" si="1"/>
        <v>80</v>
      </c>
      <c r="J34" s="12"/>
      <c r="K34" s="12"/>
      <c r="L34" s="13">
        <f t="shared" si="0"/>
        <v>80</v>
      </c>
      <c r="M34" s="14"/>
    </row>
    <row r="35" spans="1:13" s="9" customFormat="1" ht="15.75" customHeight="1" x14ac:dyDescent="0.25">
      <c r="A35" s="93">
        <v>46209</v>
      </c>
      <c r="B35" s="94" t="s">
        <v>16</v>
      </c>
      <c r="C35" s="95">
        <v>6016</v>
      </c>
      <c r="D35" s="95"/>
      <c r="E35" s="48" t="s">
        <v>55</v>
      </c>
      <c r="F35" s="10">
        <v>1</v>
      </c>
      <c r="G35" s="95"/>
      <c r="H35" s="10">
        <v>278</v>
      </c>
      <c r="I35" s="11">
        <f t="shared" si="1"/>
        <v>278</v>
      </c>
      <c r="J35" s="12"/>
      <c r="K35" s="12"/>
      <c r="L35" s="13">
        <f t="shared" si="0"/>
        <v>278</v>
      </c>
      <c r="M35" s="14"/>
    </row>
    <row r="36" spans="1:13" s="9" customFormat="1" ht="15.75" customHeight="1" x14ac:dyDescent="0.25">
      <c r="A36" s="93">
        <v>46209</v>
      </c>
      <c r="B36" s="94" t="s">
        <v>16</v>
      </c>
      <c r="C36" s="95">
        <v>6016</v>
      </c>
      <c r="D36" s="95"/>
      <c r="E36" s="94" t="s">
        <v>56</v>
      </c>
      <c r="F36" s="10">
        <v>1</v>
      </c>
      <c r="G36" s="95"/>
      <c r="H36" s="10">
        <v>88</v>
      </c>
      <c r="I36" s="11">
        <f t="shared" si="1"/>
        <v>88</v>
      </c>
      <c r="J36" s="12"/>
      <c r="K36" s="12"/>
      <c r="L36" s="13">
        <f t="shared" si="0"/>
        <v>88</v>
      </c>
      <c r="M36" s="14"/>
    </row>
    <row r="37" spans="1:13" s="9" customFormat="1" ht="15.75" customHeight="1" x14ac:dyDescent="0.25">
      <c r="A37" s="93">
        <v>46209</v>
      </c>
      <c r="B37" s="94" t="s">
        <v>16</v>
      </c>
      <c r="C37" s="95">
        <v>6016</v>
      </c>
      <c r="D37" s="95"/>
      <c r="E37" s="94" t="s">
        <v>57</v>
      </c>
      <c r="F37" s="10">
        <v>3</v>
      </c>
      <c r="G37" s="95"/>
      <c r="H37" s="10">
        <v>32</v>
      </c>
      <c r="I37" s="11">
        <f t="shared" si="1"/>
        <v>96</v>
      </c>
      <c r="J37" s="12"/>
      <c r="K37" s="12"/>
      <c r="L37" s="13">
        <f t="shared" si="0"/>
        <v>96</v>
      </c>
      <c r="M37" s="14"/>
    </row>
    <row r="38" spans="1:13" s="9" customFormat="1" ht="15.75" customHeight="1" x14ac:dyDescent="0.25">
      <c r="A38" s="93">
        <v>46209</v>
      </c>
      <c r="B38" s="94" t="s">
        <v>16</v>
      </c>
      <c r="C38" s="95">
        <v>6016</v>
      </c>
      <c r="D38" s="95"/>
      <c r="E38" s="94" t="s">
        <v>58</v>
      </c>
      <c r="F38" s="10">
        <v>1</v>
      </c>
      <c r="G38" s="95"/>
      <c r="H38" s="10">
        <v>68</v>
      </c>
      <c r="I38" s="11">
        <f t="shared" si="1"/>
        <v>68</v>
      </c>
      <c r="J38" s="12"/>
      <c r="K38" s="12"/>
      <c r="L38" s="13">
        <f t="shared" si="0"/>
        <v>68</v>
      </c>
      <c r="M38" s="14"/>
    </row>
    <row r="39" spans="1:13" s="9" customFormat="1" ht="15.75" customHeight="1" x14ac:dyDescent="0.25">
      <c r="A39" s="93">
        <v>46209</v>
      </c>
      <c r="B39" s="94" t="s">
        <v>16</v>
      </c>
      <c r="C39" s="95">
        <v>6016</v>
      </c>
      <c r="D39" s="95"/>
      <c r="E39" s="94" t="s">
        <v>59</v>
      </c>
      <c r="F39" s="10">
        <v>1</v>
      </c>
      <c r="G39" s="95"/>
      <c r="H39" s="10">
        <v>32.5</v>
      </c>
      <c r="I39" s="11">
        <f t="shared" si="1"/>
        <v>32.5</v>
      </c>
      <c r="J39" s="12"/>
      <c r="K39" s="12"/>
      <c r="L39" s="13">
        <f t="shared" si="0"/>
        <v>32.5</v>
      </c>
      <c r="M39" s="14"/>
    </row>
    <row r="40" spans="1:13" s="9" customFormat="1" ht="15.75" customHeight="1" x14ac:dyDescent="0.25">
      <c r="A40" s="93">
        <v>46209</v>
      </c>
      <c r="B40" s="94" t="s">
        <v>16</v>
      </c>
      <c r="C40" s="95">
        <v>6016</v>
      </c>
      <c r="D40" s="95"/>
      <c r="E40" s="94" t="s">
        <v>60</v>
      </c>
      <c r="F40" s="12">
        <v>1</v>
      </c>
      <c r="G40" s="95"/>
      <c r="H40" s="12">
        <v>190</v>
      </c>
      <c r="I40" s="11">
        <f t="shared" si="1"/>
        <v>190</v>
      </c>
      <c r="J40" s="12"/>
      <c r="K40" s="12"/>
      <c r="L40" s="13">
        <f t="shared" si="0"/>
        <v>190</v>
      </c>
      <c r="M40" s="14"/>
    </row>
    <row r="41" spans="1:13" s="9" customFormat="1" ht="15.75" customHeight="1" x14ac:dyDescent="0.25">
      <c r="A41" s="93">
        <v>46209</v>
      </c>
      <c r="B41" s="94" t="s">
        <v>16</v>
      </c>
      <c r="C41" s="95">
        <v>6016</v>
      </c>
      <c r="D41" s="17"/>
      <c r="E41" s="94" t="s">
        <v>61</v>
      </c>
      <c r="F41" s="12">
        <v>10</v>
      </c>
      <c r="G41" s="95"/>
      <c r="H41" s="12">
        <v>330</v>
      </c>
      <c r="I41" s="11">
        <f t="shared" si="1"/>
        <v>3300</v>
      </c>
      <c r="J41" s="12"/>
      <c r="K41" s="12"/>
      <c r="L41" s="13">
        <f t="shared" si="0"/>
        <v>3300</v>
      </c>
      <c r="M41" s="14"/>
    </row>
    <row r="42" spans="1:13" s="9" customFormat="1" ht="15.75" customHeight="1" x14ac:dyDescent="0.25">
      <c r="A42" s="93">
        <v>46209</v>
      </c>
      <c r="B42" s="94" t="s">
        <v>16</v>
      </c>
      <c r="C42" s="95">
        <v>6016</v>
      </c>
      <c r="D42" s="17"/>
      <c r="E42" s="94" t="s">
        <v>62</v>
      </c>
      <c r="F42" s="12">
        <v>4</v>
      </c>
      <c r="G42" s="95"/>
      <c r="H42" s="12">
        <f>1700/4</f>
        <v>425</v>
      </c>
      <c r="I42" s="11">
        <f t="shared" si="1"/>
        <v>1700</v>
      </c>
      <c r="J42" s="12"/>
      <c r="K42" s="12"/>
      <c r="L42" s="13">
        <f t="shared" si="0"/>
        <v>1700</v>
      </c>
      <c r="M42" s="14"/>
    </row>
    <row r="43" spans="1:13" s="9" customFormat="1" ht="15.75" customHeight="1" x14ac:dyDescent="0.25">
      <c r="A43" s="93">
        <v>46209</v>
      </c>
      <c r="B43" s="94" t="s">
        <v>16</v>
      </c>
      <c r="C43" s="95">
        <v>6016</v>
      </c>
      <c r="D43" s="17"/>
      <c r="E43" s="94" t="s">
        <v>60</v>
      </c>
      <c r="F43" s="12">
        <v>3</v>
      </c>
      <c r="G43" s="95"/>
      <c r="H43" s="12">
        <f>555/3</f>
        <v>185</v>
      </c>
      <c r="I43" s="11">
        <f t="shared" si="1"/>
        <v>555</v>
      </c>
      <c r="J43" s="12"/>
      <c r="K43" s="12"/>
      <c r="L43" s="13">
        <f t="shared" si="0"/>
        <v>555</v>
      </c>
      <c r="M43" s="14"/>
    </row>
    <row r="44" spans="1:13" s="9" customFormat="1" ht="15.75" customHeight="1" x14ac:dyDescent="0.25">
      <c r="A44" s="93">
        <v>46209</v>
      </c>
      <c r="B44" s="94" t="s">
        <v>16</v>
      </c>
      <c r="C44" s="95">
        <v>6016</v>
      </c>
      <c r="D44" s="17"/>
      <c r="E44" s="94" t="s">
        <v>63</v>
      </c>
      <c r="F44" s="12">
        <v>4</v>
      </c>
      <c r="G44" s="95"/>
      <c r="H44" s="12">
        <f>1280/4</f>
        <v>320</v>
      </c>
      <c r="I44" s="11">
        <f t="shared" si="1"/>
        <v>1280</v>
      </c>
      <c r="J44" s="12"/>
      <c r="K44" s="12"/>
      <c r="L44" s="13">
        <f t="shared" si="0"/>
        <v>1280</v>
      </c>
      <c r="M44" s="14"/>
    </row>
    <row r="45" spans="1:13" s="9" customFormat="1" ht="15.75" customHeight="1" x14ac:dyDescent="0.25">
      <c r="A45" s="93">
        <v>46209</v>
      </c>
      <c r="B45" s="94" t="s">
        <v>16</v>
      </c>
      <c r="C45" s="95">
        <v>6016</v>
      </c>
      <c r="D45" s="17"/>
      <c r="E45" s="94" t="s">
        <v>64</v>
      </c>
      <c r="F45" s="12">
        <f>772/280</f>
        <v>2.7571428571428571</v>
      </c>
      <c r="G45" s="95"/>
      <c r="H45" s="12">
        <v>280</v>
      </c>
      <c r="I45" s="11">
        <f t="shared" si="1"/>
        <v>772</v>
      </c>
      <c r="J45" s="12"/>
      <c r="K45" s="12"/>
      <c r="L45" s="13">
        <f t="shared" si="0"/>
        <v>772</v>
      </c>
      <c r="M45" s="14"/>
    </row>
    <row r="46" spans="1:13" s="9" customFormat="1" ht="15.75" customHeight="1" x14ac:dyDescent="0.25">
      <c r="A46" s="93">
        <v>46209</v>
      </c>
      <c r="B46" s="94" t="s">
        <v>16</v>
      </c>
      <c r="C46" s="95">
        <v>6016</v>
      </c>
      <c r="D46" s="17"/>
      <c r="E46" s="94" t="s">
        <v>65</v>
      </c>
      <c r="F46" s="12">
        <v>4.2</v>
      </c>
      <c r="G46" s="95"/>
      <c r="H46" s="12">
        <v>250</v>
      </c>
      <c r="I46" s="11">
        <f t="shared" si="1"/>
        <v>1050</v>
      </c>
      <c r="J46" s="12"/>
      <c r="K46" s="12"/>
      <c r="L46" s="13">
        <f t="shared" si="0"/>
        <v>1050</v>
      </c>
      <c r="M46" s="14"/>
    </row>
    <row r="47" spans="1:13" s="9" customFormat="1" ht="15.75" customHeight="1" x14ac:dyDescent="0.25">
      <c r="A47" s="93">
        <v>46209</v>
      </c>
      <c r="B47" s="94" t="s">
        <v>16</v>
      </c>
      <c r="C47" s="95">
        <v>6016</v>
      </c>
      <c r="D47" s="17"/>
      <c r="E47" s="94" t="s">
        <v>66</v>
      </c>
      <c r="F47" s="12">
        <v>3.22</v>
      </c>
      <c r="G47" s="95"/>
      <c r="H47" s="12">
        <f>483/F47</f>
        <v>150</v>
      </c>
      <c r="I47" s="11">
        <f t="shared" si="1"/>
        <v>483.00000000000006</v>
      </c>
      <c r="J47" s="12"/>
      <c r="K47" s="12"/>
      <c r="L47" s="13">
        <f t="shared" si="0"/>
        <v>483.00000000000006</v>
      </c>
      <c r="M47" s="14"/>
    </row>
    <row r="48" spans="1:13" s="9" customFormat="1" ht="15.75" customHeight="1" x14ac:dyDescent="0.25">
      <c r="A48" s="93">
        <v>46212</v>
      </c>
      <c r="B48" s="94" t="s">
        <v>16</v>
      </c>
      <c r="C48" s="95">
        <v>6017</v>
      </c>
      <c r="D48" s="17"/>
      <c r="E48" s="94" t="s">
        <v>67</v>
      </c>
      <c r="F48" s="12">
        <v>15</v>
      </c>
      <c r="G48" s="95"/>
      <c r="H48" s="12">
        <v>62</v>
      </c>
      <c r="I48" s="11">
        <f t="shared" si="1"/>
        <v>930</v>
      </c>
      <c r="J48" s="12"/>
      <c r="K48" s="12"/>
      <c r="L48" s="13">
        <f t="shared" si="0"/>
        <v>930</v>
      </c>
      <c r="M48" s="14"/>
    </row>
    <row r="49" spans="1:13" s="9" customFormat="1" ht="15.75" customHeight="1" x14ac:dyDescent="0.25">
      <c r="A49" s="93">
        <v>46212</v>
      </c>
      <c r="B49" s="94" t="s">
        <v>16</v>
      </c>
      <c r="C49" s="95">
        <v>6017</v>
      </c>
      <c r="D49" s="17"/>
      <c r="E49" s="94" t="s">
        <v>42</v>
      </c>
      <c r="F49" s="12">
        <v>1</v>
      </c>
      <c r="G49" s="95"/>
      <c r="H49" s="12">
        <v>90</v>
      </c>
      <c r="I49" s="11">
        <f t="shared" si="1"/>
        <v>90</v>
      </c>
      <c r="J49" s="12"/>
      <c r="K49" s="12"/>
      <c r="L49" s="13">
        <f t="shared" si="0"/>
        <v>90</v>
      </c>
      <c r="M49" s="14"/>
    </row>
    <row r="50" spans="1:13" s="9" customFormat="1" ht="15.75" customHeight="1" x14ac:dyDescent="0.25">
      <c r="A50" s="93">
        <v>46212</v>
      </c>
      <c r="B50" s="94" t="s">
        <v>16</v>
      </c>
      <c r="C50" s="95">
        <v>6017</v>
      </c>
      <c r="D50" s="17"/>
      <c r="E50" s="94" t="s">
        <v>68</v>
      </c>
      <c r="F50" s="12">
        <v>0.5</v>
      </c>
      <c r="G50" s="95"/>
      <c r="H50" s="12">
        <v>120</v>
      </c>
      <c r="I50" s="11">
        <f t="shared" si="1"/>
        <v>60</v>
      </c>
      <c r="J50" s="12"/>
      <c r="K50" s="12"/>
      <c r="L50" s="13">
        <f t="shared" si="0"/>
        <v>60</v>
      </c>
      <c r="M50" s="14"/>
    </row>
    <row r="51" spans="1:13" s="9" customFormat="1" ht="15.75" customHeight="1" x14ac:dyDescent="0.25">
      <c r="A51" s="93">
        <v>46212</v>
      </c>
      <c r="B51" s="94" t="s">
        <v>16</v>
      </c>
      <c r="C51" s="95">
        <v>6017</v>
      </c>
      <c r="D51" s="17"/>
      <c r="E51" s="94" t="s">
        <v>69</v>
      </c>
      <c r="F51" s="12">
        <v>1</v>
      </c>
      <c r="G51" s="95"/>
      <c r="H51" s="12">
        <v>200</v>
      </c>
      <c r="I51" s="11">
        <f t="shared" si="1"/>
        <v>200</v>
      </c>
      <c r="J51" s="12"/>
      <c r="K51" s="12"/>
      <c r="L51" s="13">
        <f t="shared" si="0"/>
        <v>200</v>
      </c>
      <c r="M51" s="14"/>
    </row>
    <row r="52" spans="1:13" s="9" customFormat="1" ht="15.75" customHeight="1" x14ac:dyDescent="0.25">
      <c r="A52" s="93">
        <v>46212</v>
      </c>
      <c r="B52" s="94" t="s">
        <v>16</v>
      </c>
      <c r="C52" s="95">
        <v>6017</v>
      </c>
      <c r="D52" s="17"/>
      <c r="E52" s="94" t="s">
        <v>70</v>
      </c>
      <c r="F52" s="12">
        <f>48/95</f>
        <v>0.50526315789473686</v>
      </c>
      <c r="G52" s="95"/>
      <c r="H52" s="12">
        <v>95</v>
      </c>
      <c r="I52" s="11">
        <f t="shared" si="1"/>
        <v>48</v>
      </c>
      <c r="J52" s="12"/>
      <c r="K52" s="12"/>
      <c r="L52" s="13">
        <f t="shared" si="0"/>
        <v>48</v>
      </c>
      <c r="M52" s="14"/>
    </row>
    <row r="53" spans="1:13" s="9" customFormat="1" ht="15.75" customHeight="1" x14ac:dyDescent="0.25">
      <c r="A53" s="93">
        <v>46212</v>
      </c>
      <c r="B53" s="94" t="s">
        <v>16</v>
      </c>
      <c r="C53" s="95">
        <v>6017</v>
      </c>
      <c r="D53" s="17"/>
      <c r="E53" s="94" t="s">
        <v>71</v>
      </c>
      <c r="F53" s="12">
        <v>2</v>
      </c>
      <c r="G53" s="95"/>
      <c r="H53" s="12">
        <v>80</v>
      </c>
      <c r="I53" s="11">
        <f t="shared" si="1"/>
        <v>160</v>
      </c>
      <c r="J53" s="12"/>
      <c r="K53" s="12"/>
      <c r="L53" s="13">
        <f t="shared" si="0"/>
        <v>160</v>
      </c>
      <c r="M53" s="14"/>
    </row>
    <row r="54" spans="1:13" s="9" customFormat="1" ht="15.75" customHeight="1" x14ac:dyDescent="0.25">
      <c r="A54" s="93">
        <v>46212</v>
      </c>
      <c r="B54" s="94" t="s">
        <v>16</v>
      </c>
      <c r="C54" s="95">
        <v>6017</v>
      </c>
      <c r="D54" s="17"/>
      <c r="E54" s="96" t="s">
        <v>72</v>
      </c>
      <c r="F54" s="12">
        <v>0.5</v>
      </c>
      <c r="G54" s="95"/>
      <c r="H54" s="12">
        <v>120</v>
      </c>
      <c r="I54" s="11">
        <f t="shared" si="1"/>
        <v>60</v>
      </c>
      <c r="J54" s="12"/>
      <c r="K54" s="12"/>
      <c r="L54" s="13">
        <f t="shared" si="0"/>
        <v>60</v>
      </c>
      <c r="M54" s="14"/>
    </row>
    <row r="55" spans="1:13" s="9" customFormat="1" ht="15.75" customHeight="1" x14ac:dyDescent="0.25">
      <c r="A55" s="93">
        <v>46212</v>
      </c>
      <c r="B55" s="94" t="s">
        <v>16</v>
      </c>
      <c r="C55" s="95">
        <v>6017</v>
      </c>
      <c r="D55" s="17"/>
      <c r="E55" s="96" t="s">
        <v>73</v>
      </c>
      <c r="F55" s="12">
        <v>2</v>
      </c>
      <c r="G55" s="95"/>
      <c r="H55" s="12">
        <v>60</v>
      </c>
      <c r="I55" s="11">
        <f t="shared" si="1"/>
        <v>120</v>
      </c>
      <c r="J55" s="12"/>
      <c r="K55" s="12"/>
      <c r="L55" s="13">
        <f t="shared" si="0"/>
        <v>120</v>
      </c>
      <c r="M55" s="14"/>
    </row>
    <row r="56" spans="1:13" s="9" customFormat="1" ht="15.75" customHeight="1" x14ac:dyDescent="0.25">
      <c r="A56" s="93">
        <v>46212</v>
      </c>
      <c r="B56" s="94" t="s">
        <v>16</v>
      </c>
      <c r="C56" s="95">
        <v>6017</v>
      </c>
      <c r="D56" s="17"/>
      <c r="E56" s="96" t="s">
        <v>39</v>
      </c>
      <c r="F56" s="12">
        <v>1</v>
      </c>
      <c r="G56" s="95"/>
      <c r="H56" s="12">
        <v>70</v>
      </c>
      <c r="I56" s="11">
        <f t="shared" si="1"/>
        <v>70</v>
      </c>
      <c r="J56" s="12"/>
      <c r="K56" s="12"/>
      <c r="L56" s="13">
        <f t="shared" si="0"/>
        <v>70</v>
      </c>
      <c r="M56" s="14"/>
    </row>
    <row r="57" spans="1:13" s="9" customFormat="1" ht="15.75" customHeight="1" x14ac:dyDescent="0.25">
      <c r="A57" s="93">
        <v>46212</v>
      </c>
      <c r="B57" s="94" t="s">
        <v>16</v>
      </c>
      <c r="C57" s="95">
        <v>6017</v>
      </c>
      <c r="D57" s="17"/>
      <c r="E57" s="96" t="s">
        <v>74</v>
      </c>
      <c r="F57" s="12">
        <v>5</v>
      </c>
      <c r="G57" s="95"/>
      <c r="H57" s="12">
        <v>18</v>
      </c>
      <c r="I57" s="11">
        <f t="shared" si="1"/>
        <v>90</v>
      </c>
      <c r="J57" s="12"/>
      <c r="K57" s="12"/>
      <c r="L57" s="13">
        <f t="shared" si="0"/>
        <v>90</v>
      </c>
      <c r="M57" s="14"/>
    </row>
    <row r="58" spans="1:13" s="9" customFormat="1" ht="15.75" customHeight="1" x14ac:dyDescent="0.25">
      <c r="A58" s="93">
        <v>46212</v>
      </c>
      <c r="B58" s="94" t="s">
        <v>16</v>
      </c>
      <c r="C58" s="95">
        <v>6017</v>
      </c>
      <c r="D58" s="17"/>
      <c r="E58" s="96" t="s">
        <v>40</v>
      </c>
      <c r="F58" s="12">
        <v>1</v>
      </c>
      <c r="G58" s="95"/>
      <c r="H58" s="12">
        <v>50</v>
      </c>
      <c r="I58" s="11">
        <f t="shared" si="1"/>
        <v>50</v>
      </c>
      <c r="J58" s="12"/>
      <c r="K58" s="12"/>
      <c r="L58" s="13">
        <f t="shared" si="0"/>
        <v>50</v>
      </c>
      <c r="M58" s="14"/>
    </row>
    <row r="59" spans="1:13" s="9" customFormat="1" ht="15.75" customHeight="1" x14ac:dyDescent="0.25">
      <c r="A59" s="93">
        <v>46212</v>
      </c>
      <c r="B59" s="94" t="s">
        <v>16</v>
      </c>
      <c r="C59" s="95">
        <v>6017</v>
      </c>
      <c r="D59" s="17"/>
      <c r="E59" s="96" t="s">
        <v>41</v>
      </c>
      <c r="F59" s="12">
        <v>0.5</v>
      </c>
      <c r="G59" s="95"/>
      <c r="H59" s="12">
        <v>180</v>
      </c>
      <c r="I59" s="11">
        <f t="shared" si="1"/>
        <v>90</v>
      </c>
      <c r="J59" s="12"/>
      <c r="K59" s="12"/>
      <c r="L59" s="13">
        <f t="shared" si="0"/>
        <v>90</v>
      </c>
      <c r="M59" s="14"/>
    </row>
    <row r="60" spans="1:13" s="9" customFormat="1" ht="15.75" customHeight="1" x14ac:dyDescent="0.25">
      <c r="A60" s="93">
        <v>46212</v>
      </c>
      <c r="B60" s="94" t="s">
        <v>16</v>
      </c>
      <c r="C60" s="95">
        <v>6017</v>
      </c>
      <c r="D60" s="17"/>
      <c r="E60" s="96" t="s">
        <v>42</v>
      </c>
      <c r="F60" s="12">
        <v>1</v>
      </c>
      <c r="G60" s="95"/>
      <c r="H60" s="12">
        <v>90</v>
      </c>
      <c r="I60" s="11">
        <f t="shared" si="1"/>
        <v>90</v>
      </c>
      <c r="J60" s="12"/>
      <c r="K60" s="12"/>
      <c r="L60" s="13">
        <f t="shared" si="0"/>
        <v>90</v>
      </c>
      <c r="M60" s="14"/>
    </row>
    <row r="61" spans="1:13" s="9" customFormat="1" ht="15.75" customHeight="1" x14ac:dyDescent="0.25">
      <c r="A61" s="93">
        <v>46212</v>
      </c>
      <c r="B61" s="94" t="s">
        <v>16</v>
      </c>
      <c r="C61" s="95">
        <v>6017</v>
      </c>
      <c r="D61" s="17"/>
      <c r="E61" s="96" t="s">
        <v>27</v>
      </c>
      <c r="F61" s="12">
        <v>6</v>
      </c>
      <c r="G61" s="95"/>
      <c r="H61" s="12">
        <v>10</v>
      </c>
      <c r="I61" s="11">
        <f t="shared" si="1"/>
        <v>60</v>
      </c>
      <c r="J61" s="12"/>
      <c r="K61" s="12"/>
      <c r="L61" s="13">
        <f t="shared" si="0"/>
        <v>60</v>
      </c>
      <c r="M61" s="14"/>
    </row>
    <row r="62" spans="1:13" s="9" customFormat="1" ht="15.75" customHeight="1" x14ac:dyDescent="0.25">
      <c r="A62" s="93">
        <v>46212</v>
      </c>
      <c r="B62" s="94" t="s">
        <v>16</v>
      </c>
      <c r="C62" s="95">
        <v>6017</v>
      </c>
      <c r="D62" s="17"/>
      <c r="E62" s="96" t="s">
        <v>75</v>
      </c>
      <c r="F62" s="12">
        <v>2</v>
      </c>
      <c r="G62" s="95"/>
      <c r="H62" s="12">
        <v>21.5</v>
      </c>
      <c r="I62" s="11">
        <f t="shared" si="1"/>
        <v>43</v>
      </c>
      <c r="J62" s="12"/>
      <c r="K62" s="12"/>
      <c r="L62" s="13">
        <f t="shared" si="0"/>
        <v>43</v>
      </c>
      <c r="M62" s="14"/>
    </row>
    <row r="63" spans="1:13" s="9" customFormat="1" ht="15.75" customHeight="1" x14ac:dyDescent="0.25">
      <c r="A63" s="93">
        <v>46212</v>
      </c>
      <c r="B63" s="94" t="s">
        <v>16</v>
      </c>
      <c r="C63" s="95">
        <v>6017</v>
      </c>
      <c r="D63" s="18"/>
      <c r="E63" s="96" t="s">
        <v>76</v>
      </c>
      <c r="F63" s="12">
        <v>2</v>
      </c>
      <c r="G63" s="95"/>
      <c r="H63" s="12">
        <v>38</v>
      </c>
      <c r="I63" s="11">
        <f t="shared" si="1"/>
        <v>76</v>
      </c>
      <c r="J63" s="12"/>
      <c r="K63" s="12"/>
      <c r="L63" s="13">
        <f t="shared" si="0"/>
        <v>76</v>
      </c>
      <c r="M63" s="14"/>
    </row>
    <row r="64" spans="1:13" s="9" customFormat="1" ht="15.75" customHeight="1" x14ac:dyDescent="0.25">
      <c r="A64" s="93">
        <v>46212</v>
      </c>
      <c r="B64" s="94" t="s">
        <v>16</v>
      </c>
      <c r="C64" s="95">
        <v>6017</v>
      </c>
      <c r="D64" s="18"/>
      <c r="E64" s="96" t="s">
        <v>77</v>
      </c>
      <c r="F64" s="12">
        <v>16</v>
      </c>
      <c r="G64" s="95"/>
      <c r="H64" s="12">
        <v>5.5</v>
      </c>
      <c r="I64" s="11">
        <f t="shared" si="1"/>
        <v>88</v>
      </c>
      <c r="J64" s="12"/>
      <c r="K64" s="12"/>
      <c r="L64" s="13">
        <f t="shared" si="0"/>
        <v>88</v>
      </c>
      <c r="M64" s="14"/>
    </row>
    <row r="65" spans="1:13" s="9" customFormat="1" ht="15.75" customHeight="1" x14ac:dyDescent="0.25">
      <c r="A65" s="93">
        <v>46212</v>
      </c>
      <c r="B65" s="94" t="s">
        <v>16</v>
      </c>
      <c r="C65" s="95">
        <v>6017</v>
      </c>
      <c r="D65" s="18"/>
      <c r="E65" s="96" t="s">
        <v>78</v>
      </c>
      <c r="F65" s="12">
        <v>2</v>
      </c>
      <c r="G65" s="95"/>
      <c r="H65" s="12">
        <v>60</v>
      </c>
      <c r="I65" s="11">
        <f t="shared" si="1"/>
        <v>120</v>
      </c>
      <c r="J65" s="12"/>
      <c r="K65" s="12"/>
      <c r="L65" s="13">
        <f t="shared" si="0"/>
        <v>120</v>
      </c>
      <c r="M65" s="14"/>
    </row>
    <row r="66" spans="1:13" s="9" customFormat="1" ht="15.75" customHeight="1" x14ac:dyDescent="0.25">
      <c r="A66" s="93">
        <v>46212</v>
      </c>
      <c r="B66" s="94" t="s">
        <v>16</v>
      </c>
      <c r="C66" s="95">
        <v>6017</v>
      </c>
      <c r="D66" s="18"/>
      <c r="E66" s="96" t="s">
        <v>79</v>
      </c>
      <c r="F66" s="12">
        <v>12</v>
      </c>
      <c r="G66" s="95"/>
      <c r="H66" s="12">
        <v>7.25</v>
      </c>
      <c r="I66" s="11">
        <f t="shared" si="1"/>
        <v>87</v>
      </c>
      <c r="J66" s="12"/>
      <c r="K66" s="12"/>
      <c r="L66" s="13">
        <f t="shared" si="0"/>
        <v>87</v>
      </c>
      <c r="M66" s="14"/>
    </row>
    <row r="67" spans="1:13" s="9" customFormat="1" ht="15.75" customHeight="1" x14ac:dyDescent="0.25">
      <c r="A67" s="93">
        <v>46212</v>
      </c>
      <c r="B67" s="94" t="s">
        <v>16</v>
      </c>
      <c r="C67" s="95">
        <v>6017</v>
      </c>
      <c r="D67" s="18"/>
      <c r="E67" s="96" t="s">
        <v>80</v>
      </c>
      <c r="F67" s="12">
        <v>12</v>
      </c>
      <c r="G67" s="95"/>
      <c r="H67" s="12">
        <v>7.25</v>
      </c>
      <c r="I67" s="11">
        <f t="shared" si="1"/>
        <v>87</v>
      </c>
      <c r="J67" s="12"/>
      <c r="K67" s="12"/>
      <c r="L67" s="13">
        <f t="shared" si="0"/>
        <v>87</v>
      </c>
      <c r="M67" s="14"/>
    </row>
    <row r="68" spans="1:13" s="9" customFormat="1" ht="15.75" customHeight="1" x14ac:dyDescent="0.25">
      <c r="A68" s="93">
        <v>46212</v>
      </c>
      <c r="B68" s="94" t="s">
        <v>16</v>
      </c>
      <c r="C68" s="95">
        <v>6017</v>
      </c>
      <c r="D68" s="18"/>
      <c r="E68" s="96" t="s">
        <v>81</v>
      </c>
      <c r="F68" s="12">
        <v>12</v>
      </c>
      <c r="G68" s="95"/>
      <c r="H68" s="12">
        <v>7.25</v>
      </c>
      <c r="I68" s="11">
        <f t="shared" si="1"/>
        <v>87</v>
      </c>
      <c r="J68" s="12"/>
      <c r="K68" s="12"/>
      <c r="L68" s="13">
        <f t="shared" si="0"/>
        <v>87</v>
      </c>
      <c r="M68" s="14"/>
    </row>
    <row r="69" spans="1:13" s="9" customFormat="1" x14ac:dyDescent="0.25">
      <c r="A69" s="93">
        <v>46212</v>
      </c>
      <c r="B69" s="94" t="s">
        <v>16</v>
      </c>
      <c r="C69" s="95">
        <v>6017</v>
      </c>
      <c r="D69" s="18"/>
      <c r="E69" s="96" t="s">
        <v>82</v>
      </c>
      <c r="F69" s="12">
        <v>1</v>
      </c>
      <c r="G69" s="95"/>
      <c r="H69" s="12">
        <v>70</v>
      </c>
      <c r="I69" s="11">
        <f t="shared" si="1"/>
        <v>70</v>
      </c>
      <c r="J69" s="12"/>
      <c r="K69" s="12"/>
      <c r="L69" s="13">
        <f t="shared" si="0"/>
        <v>70</v>
      </c>
      <c r="M69" s="14"/>
    </row>
    <row r="70" spans="1:13" s="9" customFormat="1" ht="15.75" customHeight="1" x14ac:dyDescent="0.25">
      <c r="A70" s="93">
        <v>46212</v>
      </c>
      <c r="B70" s="94" t="s">
        <v>16</v>
      </c>
      <c r="C70" s="95">
        <v>6017</v>
      </c>
      <c r="D70" s="18"/>
      <c r="E70" s="96" t="s">
        <v>83</v>
      </c>
      <c r="F70" s="12">
        <v>1</v>
      </c>
      <c r="G70" s="95"/>
      <c r="H70" s="12">
        <v>61.25</v>
      </c>
      <c r="I70" s="11">
        <f t="shared" si="1"/>
        <v>61.25</v>
      </c>
      <c r="J70" s="12"/>
      <c r="K70" s="12"/>
      <c r="L70" s="13">
        <f t="shared" ref="L70:L126" si="2">I70-J70-K70</f>
        <v>61.25</v>
      </c>
      <c r="M70" s="14"/>
    </row>
    <row r="71" spans="1:13" s="9" customFormat="1" ht="15.75" customHeight="1" x14ac:dyDescent="0.25">
      <c r="A71" s="93">
        <v>46212</v>
      </c>
      <c r="B71" s="94" t="s">
        <v>16</v>
      </c>
      <c r="C71" s="95">
        <v>6017</v>
      </c>
      <c r="D71" s="18"/>
      <c r="E71" s="96" t="s">
        <v>84</v>
      </c>
      <c r="F71" s="12">
        <v>2</v>
      </c>
      <c r="G71" s="95"/>
      <c r="H71" s="12">
        <v>45</v>
      </c>
      <c r="I71" s="11">
        <f t="shared" ref="I71:I72" si="3">F71*H71</f>
        <v>90</v>
      </c>
      <c r="J71" s="12"/>
      <c r="K71" s="12"/>
      <c r="L71" s="13">
        <f t="shared" si="2"/>
        <v>90</v>
      </c>
      <c r="M71" s="14"/>
    </row>
    <row r="72" spans="1:13" s="9" customFormat="1" ht="15.75" customHeight="1" x14ac:dyDescent="0.25">
      <c r="A72" s="93">
        <v>46212</v>
      </c>
      <c r="B72" s="94" t="s">
        <v>16</v>
      </c>
      <c r="C72" s="95">
        <v>6017</v>
      </c>
      <c r="D72" s="18"/>
      <c r="E72" s="96" t="s">
        <v>85</v>
      </c>
      <c r="F72" s="12">
        <v>2</v>
      </c>
      <c r="G72" s="95"/>
      <c r="H72" s="12">
        <v>10</v>
      </c>
      <c r="I72" s="11">
        <f t="shared" si="3"/>
        <v>20</v>
      </c>
      <c r="J72" s="12"/>
      <c r="K72" s="12"/>
      <c r="L72" s="13">
        <f t="shared" si="2"/>
        <v>20</v>
      </c>
      <c r="M72" s="14"/>
    </row>
    <row r="73" spans="1:13" s="9" customFormat="1" ht="15.75" customHeight="1" x14ac:dyDescent="0.25">
      <c r="A73" s="93">
        <v>46212</v>
      </c>
      <c r="B73" s="94" t="s">
        <v>16</v>
      </c>
      <c r="C73" s="95">
        <v>6017</v>
      </c>
      <c r="D73" s="18"/>
      <c r="E73" s="96" t="s">
        <v>50</v>
      </c>
      <c r="F73" s="12">
        <v>5</v>
      </c>
      <c r="G73" s="95"/>
      <c r="H73" s="12">
        <v>37</v>
      </c>
      <c r="I73" s="11">
        <f t="shared" ref="I73:I127" si="4">F73*H73</f>
        <v>185</v>
      </c>
      <c r="J73" s="12"/>
      <c r="K73" s="12"/>
      <c r="L73" s="13">
        <f t="shared" si="2"/>
        <v>185</v>
      </c>
      <c r="M73" s="14"/>
    </row>
    <row r="74" spans="1:13" s="9" customFormat="1" ht="15.75" customHeight="1" x14ac:dyDescent="0.25">
      <c r="A74" s="93">
        <v>46212</v>
      </c>
      <c r="B74" s="94" t="s">
        <v>16</v>
      </c>
      <c r="C74" s="95">
        <v>6017</v>
      </c>
      <c r="D74" s="18"/>
      <c r="E74" s="96" t="s">
        <v>86</v>
      </c>
      <c r="F74" s="12">
        <v>16</v>
      </c>
      <c r="G74" s="95"/>
      <c r="H74" s="12">
        <v>69</v>
      </c>
      <c r="I74" s="11">
        <f t="shared" si="4"/>
        <v>1104</v>
      </c>
      <c r="J74" s="12"/>
      <c r="K74" s="12"/>
      <c r="L74" s="13">
        <f t="shared" si="2"/>
        <v>1104</v>
      </c>
      <c r="M74" s="14"/>
    </row>
    <row r="75" spans="1:13" s="9" customFormat="1" ht="15.75" customHeight="1" x14ac:dyDescent="0.25">
      <c r="A75" s="93">
        <v>46212</v>
      </c>
      <c r="B75" s="94" t="s">
        <v>16</v>
      </c>
      <c r="C75" s="95">
        <v>6017</v>
      </c>
      <c r="D75" s="18"/>
      <c r="E75" s="96" t="s">
        <v>87</v>
      </c>
      <c r="F75" s="12">
        <v>2</v>
      </c>
      <c r="G75" s="95"/>
      <c r="H75" s="12">
        <v>50</v>
      </c>
      <c r="I75" s="11">
        <f t="shared" si="4"/>
        <v>100</v>
      </c>
      <c r="J75" s="12"/>
      <c r="K75" s="12"/>
      <c r="L75" s="13">
        <f t="shared" si="2"/>
        <v>100</v>
      </c>
      <c r="M75" s="14"/>
    </row>
    <row r="76" spans="1:13" s="9" customFormat="1" ht="15.75" customHeight="1" x14ac:dyDescent="0.25">
      <c r="A76" s="93">
        <v>46212</v>
      </c>
      <c r="B76" s="94" t="s">
        <v>16</v>
      </c>
      <c r="C76" s="95">
        <v>6017</v>
      </c>
      <c r="D76" s="18"/>
      <c r="E76" s="96" t="s">
        <v>88</v>
      </c>
      <c r="F76" s="12">
        <v>1</v>
      </c>
      <c r="G76" s="95"/>
      <c r="H76" s="12">
        <v>32</v>
      </c>
      <c r="I76" s="11">
        <f t="shared" si="4"/>
        <v>32</v>
      </c>
      <c r="J76" s="12"/>
      <c r="K76" s="12"/>
      <c r="L76" s="13">
        <f t="shared" si="2"/>
        <v>32</v>
      </c>
      <c r="M76" s="14"/>
    </row>
    <row r="77" spans="1:13" s="9" customFormat="1" ht="15.75" customHeight="1" x14ac:dyDescent="0.25">
      <c r="A77" s="93">
        <v>46212</v>
      </c>
      <c r="B77" s="94" t="s">
        <v>16</v>
      </c>
      <c r="C77" s="95">
        <v>6017</v>
      </c>
      <c r="D77" s="18"/>
      <c r="E77" s="96" t="s">
        <v>89</v>
      </c>
      <c r="F77" s="12">
        <v>1</v>
      </c>
      <c r="G77" s="95"/>
      <c r="H77" s="12">
        <v>52</v>
      </c>
      <c r="I77" s="11">
        <f t="shared" si="4"/>
        <v>52</v>
      </c>
      <c r="J77" s="12"/>
      <c r="K77" s="12"/>
      <c r="L77" s="13">
        <f t="shared" si="2"/>
        <v>52</v>
      </c>
      <c r="M77" s="14"/>
    </row>
    <row r="78" spans="1:13" s="9" customFormat="1" ht="15.75" customHeight="1" x14ac:dyDescent="0.25">
      <c r="A78" s="93">
        <v>46212</v>
      </c>
      <c r="B78" s="94" t="s">
        <v>16</v>
      </c>
      <c r="C78" s="95">
        <v>6017</v>
      </c>
      <c r="D78" s="18"/>
      <c r="E78" s="96" t="s">
        <v>90</v>
      </c>
      <c r="F78" s="12">
        <v>1</v>
      </c>
      <c r="G78" s="95"/>
      <c r="H78" s="12">
        <v>38.5</v>
      </c>
      <c r="I78" s="11">
        <f t="shared" si="4"/>
        <v>38.5</v>
      </c>
      <c r="J78" s="12"/>
      <c r="K78" s="12"/>
      <c r="L78" s="13">
        <f t="shared" si="2"/>
        <v>38.5</v>
      </c>
      <c r="M78" s="14"/>
    </row>
    <row r="79" spans="1:13" s="9" customFormat="1" ht="15.75" customHeight="1" x14ac:dyDescent="0.25">
      <c r="A79" s="93">
        <v>46212</v>
      </c>
      <c r="B79" s="94" t="s">
        <v>16</v>
      </c>
      <c r="C79" s="95">
        <v>6017</v>
      </c>
      <c r="D79" s="18"/>
      <c r="E79" s="96" t="s">
        <v>91</v>
      </c>
      <c r="F79" s="12">
        <v>1</v>
      </c>
      <c r="G79" s="95"/>
      <c r="H79" s="12">
        <v>60</v>
      </c>
      <c r="I79" s="11">
        <f t="shared" si="4"/>
        <v>60</v>
      </c>
      <c r="J79" s="12"/>
      <c r="K79" s="12"/>
      <c r="L79" s="13">
        <f t="shared" si="2"/>
        <v>60</v>
      </c>
      <c r="M79" s="14"/>
    </row>
    <row r="80" spans="1:13" s="9" customFormat="1" ht="15.75" customHeight="1" x14ac:dyDescent="0.25">
      <c r="A80" s="93">
        <v>46212</v>
      </c>
      <c r="B80" s="94" t="s">
        <v>16</v>
      </c>
      <c r="C80" s="95">
        <v>6017</v>
      </c>
      <c r="D80" s="18"/>
      <c r="E80" s="96" t="s">
        <v>92</v>
      </c>
      <c r="F80" s="12">
        <v>2</v>
      </c>
      <c r="G80" s="95"/>
      <c r="H80" s="12">
        <v>61</v>
      </c>
      <c r="I80" s="11">
        <f t="shared" si="4"/>
        <v>122</v>
      </c>
      <c r="J80" s="12"/>
      <c r="K80" s="12"/>
      <c r="L80" s="13">
        <f t="shared" si="2"/>
        <v>122</v>
      </c>
      <c r="M80" s="14"/>
    </row>
    <row r="81" spans="1:13" s="9" customFormat="1" ht="15.75" customHeight="1" x14ac:dyDescent="0.25">
      <c r="A81" s="93">
        <v>46212</v>
      </c>
      <c r="B81" s="94" t="s">
        <v>16</v>
      </c>
      <c r="C81" s="95">
        <v>6017</v>
      </c>
      <c r="D81" s="18"/>
      <c r="E81" s="96" t="s">
        <v>93</v>
      </c>
      <c r="F81" s="12">
        <v>1</v>
      </c>
      <c r="G81" s="95"/>
      <c r="H81" s="12">
        <v>276</v>
      </c>
      <c r="I81" s="11">
        <f t="shared" si="4"/>
        <v>276</v>
      </c>
      <c r="J81" s="12"/>
      <c r="K81" s="12"/>
      <c r="L81" s="13">
        <f t="shared" si="2"/>
        <v>276</v>
      </c>
      <c r="M81" s="14"/>
    </row>
    <row r="82" spans="1:13" s="9" customFormat="1" ht="15.75" customHeight="1" x14ac:dyDescent="0.25">
      <c r="A82" s="93">
        <v>46212</v>
      </c>
      <c r="B82" s="94" t="s">
        <v>16</v>
      </c>
      <c r="C82" s="95">
        <v>6017</v>
      </c>
      <c r="D82" s="18"/>
      <c r="E82" s="96" t="s">
        <v>94</v>
      </c>
      <c r="F82" s="12">
        <v>1</v>
      </c>
      <c r="G82" s="95"/>
      <c r="H82" s="12">
        <v>30</v>
      </c>
      <c r="I82" s="11">
        <f t="shared" si="4"/>
        <v>30</v>
      </c>
      <c r="J82" s="12"/>
      <c r="K82" s="12"/>
      <c r="L82" s="13">
        <f t="shared" si="2"/>
        <v>30</v>
      </c>
      <c r="M82" s="14"/>
    </row>
    <row r="83" spans="1:13" s="9" customFormat="1" ht="15.75" customHeight="1" x14ac:dyDescent="0.25">
      <c r="A83" s="93">
        <v>46212</v>
      </c>
      <c r="B83" s="94" t="s">
        <v>16</v>
      </c>
      <c r="C83" s="95">
        <v>6017</v>
      </c>
      <c r="D83" s="18"/>
      <c r="E83" s="96" t="s">
        <v>95</v>
      </c>
      <c r="F83" s="12">
        <v>4</v>
      </c>
      <c r="G83" s="95"/>
      <c r="H83" s="12">
        <v>32</v>
      </c>
      <c r="I83" s="11">
        <f t="shared" si="4"/>
        <v>128</v>
      </c>
      <c r="J83" s="12"/>
      <c r="K83" s="12"/>
      <c r="L83" s="13">
        <f t="shared" si="2"/>
        <v>128</v>
      </c>
      <c r="M83" s="14"/>
    </row>
    <row r="84" spans="1:13" s="9" customFormat="1" ht="15.75" customHeight="1" x14ac:dyDescent="0.25">
      <c r="A84" s="93">
        <v>46212</v>
      </c>
      <c r="B84" s="94" t="s">
        <v>16</v>
      </c>
      <c r="C84" s="95">
        <v>6017</v>
      </c>
      <c r="D84" s="18"/>
      <c r="E84" s="96" t="s">
        <v>96</v>
      </c>
      <c r="F84" s="12">
        <v>12</v>
      </c>
      <c r="G84" s="95"/>
      <c r="H84" s="12">
        <f>580/12</f>
        <v>48.333333333333336</v>
      </c>
      <c r="I84" s="11">
        <f t="shared" si="4"/>
        <v>580</v>
      </c>
      <c r="J84" s="12"/>
      <c r="K84" s="12"/>
      <c r="L84" s="13">
        <f t="shared" si="2"/>
        <v>580</v>
      </c>
      <c r="M84" s="14"/>
    </row>
    <row r="85" spans="1:13" s="9" customFormat="1" ht="15.75" customHeight="1" x14ac:dyDescent="0.25">
      <c r="A85" s="93">
        <v>46212</v>
      </c>
      <c r="B85" s="94" t="s">
        <v>16</v>
      </c>
      <c r="C85" s="95">
        <v>6017</v>
      </c>
      <c r="D85" s="18"/>
      <c r="E85" s="96" t="s">
        <v>97</v>
      </c>
      <c r="F85" s="12">
        <v>2</v>
      </c>
      <c r="G85" s="95"/>
      <c r="H85" s="12">
        <v>45</v>
      </c>
      <c r="I85" s="11">
        <f t="shared" si="4"/>
        <v>90</v>
      </c>
      <c r="J85" s="12"/>
      <c r="K85" s="12"/>
      <c r="L85" s="13">
        <f t="shared" si="2"/>
        <v>90</v>
      </c>
      <c r="M85" s="14"/>
    </row>
    <row r="86" spans="1:13" s="9" customFormat="1" ht="15.75" customHeight="1" x14ac:dyDescent="0.25">
      <c r="A86" s="93">
        <v>46212</v>
      </c>
      <c r="B86" s="94" t="s">
        <v>16</v>
      </c>
      <c r="C86" s="95">
        <v>6017</v>
      </c>
      <c r="D86" s="18"/>
      <c r="E86" s="96" t="s">
        <v>98</v>
      </c>
      <c r="F86" s="12">
        <v>1</v>
      </c>
      <c r="G86" s="95"/>
      <c r="H86" s="12">
        <v>263.5</v>
      </c>
      <c r="I86" s="11">
        <f t="shared" si="4"/>
        <v>263.5</v>
      </c>
      <c r="J86" s="12"/>
      <c r="K86" s="12"/>
      <c r="L86" s="13">
        <f t="shared" si="2"/>
        <v>263.5</v>
      </c>
      <c r="M86" s="14"/>
    </row>
    <row r="87" spans="1:13" s="9" customFormat="1" ht="15.75" customHeight="1" x14ac:dyDescent="0.25">
      <c r="A87" s="93">
        <v>46212</v>
      </c>
      <c r="B87" s="94" t="s">
        <v>16</v>
      </c>
      <c r="C87" s="95">
        <v>6017</v>
      </c>
      <c r="D87" s="18"/>
      <c r="E87" s="96" t="s">
        <v>99</v>
      </c>
      <c r="F87" s="12">
        <v>10</v>
      </c>
      <c r="G87" s="95"/>
      <c r="H87" s="12">
        <v>20</v>
      </c>
      <c r="I87" s="11">
        <f t="shared" si="4"/>
        <v>200</v>
      </c>
      <c r="J87" s="12"/>
      <c r="K87" s="12"/>
      <c r="L87" s="13">
        <f t="shared" si="2"/>
        <v>200</v>
      </c>
      <c r="M87" s="14"/>
    </row>
    <row r="88" spans="1:13" s="9" customFormat="1" ht="15.75" customHeight="1" x14ac:dyDescent="0.25">
      <c r="A88" s="93">
        <v>46212</v>
      </c>
      <c r="B88" s="94" t="s">
        <v>16</v>
      </c>
      <c r="C88" s="95">
        <v>6017</v>
      </c>
      <c r="D88" s="18"/>
      <c r="E88" s="96" t="s">
        <v>100</v>
      </c>
      <c r="F88" s="12">
        <v>2</v>
      </c>
      <c r="G88" s="95"/>
      <c r="H88" s="12">
        <v>41.25</v>
      </c>
      <c r="I88" s="11">
        <f t="shared" si="4"/>
        <v>82.5</v>
      </c>
      <c r="J88" s="12"/>
      <c r="K88" s="12"/>
      <c r="L88" s="13">
        <f t="shared" si="2"/>
        <v>82.5</v>
      </c>
      <c r="M88" s="14"/>
    </row>
    <row r="89" spans="1:13" s="9" customFormat="1" ht="15.75" customHeight="1" x14ac:dyDescent="0.25">
      <c r="A89" s="93">
        <v>46212</v>
      </c>
      <c r="B89" s="94" t="s">
        <v>16</v>
      </c>
      <c r="C89" s="95">
        <v>6017</v>
      </c>
      <c r="D89" s="18"/>
      <c r="E89" s="96" t="s">
        <v>78</v>
      </c>
      <c r="F89" s="12">
        <v>2</v>
      </c>
      <c r="G89" s="95"/>
      <c r="H89" s="12">
        <v>60</v>
      </c>
      <c r="I89" s="11">
        <f t="shared" si="4"/>
        <v>120</v>
      </c>
      <c r="J89" s="12"/>
      <c r="K89" s="12"/>
      <c r="L89" s="13">
        <f t="shared" si="2"/>
        <v>120</v>
      </c>
      <c r="M89" s="14"/>
    </row>
    <row r="90" spans="1:13" s="9" customFormat="1" ht="15.75" customHeight="1" x14ac:dyDescent="0.25">
      <c r="A90" s="93">
        <v>46212</v>
      </c>
      <c r="B90" s="94" t="s">
        <v>16</v>
      </c>
      <c r="C90" s="95">
        <v>6017</v>
      </c>
      <c r="D90" s="18"/>
      <c r="E90" s="96" t="s">
        <v>101</v>
      </c>
      <c r="F90" s="12">
        <v>4</v>
      </c>
      <c r="G90" s="95"/>
      <c r="H90" s="12">
        <v>24</v>
      </c>
      <c r="I90" s="11">
        <f t="shared" si="4"/>
        <v>96</v>
      </c>
      <c r="J90" s="12"/>
      <c r="K90" s="12"/>
      <c r="L90" s="13">
        <f t="shared" si="2"/>
        <v>96</v>
      </c>
      <c r="M90" s="14"/>
    </row>
    <row r="91" spans="1:13" s="9" customFormat="1" ht="15.75" customHeight="1" x14ac:dyDescent="0.25">
      <c r="A91" s="93">
        <v>46212</v>
      </c>
      <c r="B91" s="94" t="s">
        <v>16</v>
      </c>
      <c r="C91" s="95">
        <v>6017</v>
      </c>
      <c r="D91" s="18"/>
      <c r="E91" s="96" t="s">
        <v>83</v>
      </c>
      <c r="F91" s="12">
        <v>1</v>
      </c>
      <c r="G91" s="95"/>
      <c r="H91" s="12">
        <v>61.25</v>
      </c>
      <c r="I91" s="11">
        <f t="shared" si="4"/>
        <v>61.25</v>
      </c>
      <c r="J91" s="12"/>
      <c r="K91" s="12"/>
      <c r="L91" s="13">
        <f t="shared" si="2"/>
        <v>61.25</v>
      </c>
      <c r="M91" s="14"/>
    </row>
    <row r="92" spans="1:13" s="9" customFormat="1" ht="15.75" customHeight="1" x14ac:dyDescent="0.25">
      <c r="A92" s="93">
        <v>46212</v>
      </c>
      <c r="B92" s="94" t="s">
        <v>16</v>
      </c>
      <c r="C92" s="95">
        <v>6017</v>
      </c>
      <c r="D92" s="18"/>
      <c r="E92" s="96" t="s">
        <v>102</v>
      </c>
      <c r="F92" s="12">
        <v>1</v>
      </c>
      <c r="G92" s="95"/>
      <c r="H92" s="12">
        <v>347.25</v>
      </c>
      <c r="I92" s="11">
        <f t="shared" si="4"/>
        <v>347.25</v>
      </c>
      <c r="J92" s="12"/>
      <c r="K92" s="12"/>
      <c r="L92" s="13">
        <f t="shared" si="2"/>
        <v>347.25</v>
      </c>
      <c r="M92" s="14"/>
    </row>
    <row r="93" spans="1:13" s="9" customFormat="1" ht="15.75" customHeight="1" x14ac:dyDescent="0.25">
      <c r="A93" s="93">
        <v>46212</v>
      </c>
      <c r="B93" s="94" t="s">
        <v>16</v>
      </c>
      <c r="C93" s="95">
        <v>6017</v>
      </c>
      <c r="D93" s="18"/>
      <c r="E93" s="96" t="s">
        <v>77</v>
      </c>
      <c r="F93" s="12">
        <v>16</v>
      </c>
      <c r="G93" s="95"/>
      <c r="H93" s="12">
        <v>5.5</v>
      </c>
      <c r="I93" s="11">
        <f t="shared" si="4"/>
        <v>88</v>
      </c>
      <c r="J93" s="12"/>
      <c r="K93" s="12"/>
      <c r="L93" s="13">
        <f t="shared" si="2"/>
        <v>88</v>
      </c>
      <c r="M93" s="14"/>
    </row>
    <row r="94" spans="1:13" s="9" customFormat="1" ht="15.75" customHeight="1" x14ac:dyDescent="0.25">
      <c r="A94" s="93">
        <v>46212</v>
      </c>
      <c r="B94" s="94" t="s">
        <v>16</v>
      </c>
      <c r="C94" s="95">
        <v>6017</v>
      </c>
      <c r="D94" s="18"/>
      <c r="E94" s="96" t="s">
        <v>103</v>
      </c>
      <c r="F94" s="12">
        <v>12</v>
      </c>
      <c r="G94" s="95"/>
      <c r="H94" s="12">
        <v>7.25</v>
      </c>
      <c r="I94" s="11">
        <f t="shared" si="4"/>
        <v>87</v>
      </c>
      <c r="J94" s="12"/>
      <c r="K94" s="12"/>
      <c r="L94" s="13">
        <f t="shared" si="2"/>
        <v>87</v>
      </c>
      <c r="M94" s="14"/>
    </row>
    <row r="95" spans="1:13" s="9" customFormat="1" ht="15.75" customHeight="1" x14ac:dyDescent="0.25">
      <c r="A95" s="93">
        <v>46212</v>
      </c>
      <c r="B95" s="94" t="s">
        <v>16</v>
      </c>
      <c r="C95" s="95">
        <v>6017</v>
      </c>
      <c r="D95" s="18"/>
      <c r="E95" s="96" t="s">
        <v>80</v>
      </c>
      <c r="F95" s="12">
        <v>12</v>
      </c>
      <c r="G95" s="95"/>
      <c r="H95" s="12">
        <v>7.25</v>
      </c>
      <c r="I95" s="11">
        <f t="shared" si="4"/>
        <v>87</v>
      </c>
      <c r="J95" s="12"/>
      <c r="K95" s="12"/>
      <c r="L95" s="13">
        <f t="shared" si="2"/>
        <v>87</v>
      </c>
      <c r="M95" s="14"/>
    </row>
    <row r="96" spans="1:13" s="9" customFormat="1" ht="15.75" customHeight="1" x14ac:dyDescent="0.25">
      <c r="A96" s="93">
        <v>46212</v>
      </c>
      <c r="B96" s="94" t="s">
        <v>16</v>
      </c>
      <c r="C96" s="95">
        <v>6017</v>
      </c>
      <c r="D96" s="18"/>
      <c r="E96" s="96" t="s">
        <v>104</v>
      </c>
      <c r="F96" s="12">
        <v>9</v>
      </c>
      <c r="G96" s="95"/>
      <c r="H96" s="12">
        <v>8.25</v>
      </c>
      <c r="I96" s="11">
        <f t="shared" si="4"/>
        <v>74.25</v>
      </c>
      <c r="J96" s="12"/>
      <c r="K96" s="12"/>
      <c r="L96" s="13">
        <f t="shared" si="2"/>
        <v>74.25</v>
      </c>
      <c r="M96" s="14"/>
    </row>
    <row r="97" spans="1:13" s="9" customFormat="1" ht="15.75" customHeight="1" x14ac:dyDescent="0.25">
      <c r="A97" s="93">
        <v>46212</v>
      </c>
      <c r="B97" s="94" t="s">
        <v>16</v>
      </c>
      <c r="C97" s="95">
        <v>6017</v>
      </c>
      <c r="D97" s="18"/>
      <c r="E97" s="96" t="s">
        <v>96</v>
      </c>
      <c r="F97" s="12">
        <v>10</v>
      </c>
      <c r="G97" s="95"/>
      <c r="H97" s="12">
        <v>42</v>
      </c>
      <c r="I97" s="11">
        <f t="shared" si="4"/>
        <v>420</v>
      </c>
      <c r="J97" s="12"/>
      <c r="K97" s="12"/>
      <c r="L97" s="13">
        <f t="shared" si="2"/>
        <v>420</v>
      </c>
      <c r="M97" s="14"/>
    </row>
    <row r="98" spans="1:13" s="9" customFormat="1" ht="15.75" customHeight="1" x14ac:dyDescent="0.25">
      <c r="A98" s="93">
        <v>46212</v>
      </c>
      <c r="B98" s="94" t="s">
        <v>16</v>
      </c>
      <c r="C98" s="95">
        <v>6017</v>
      </c>
      <c r="D98" s="18"/>
      <c r="E98" s="96" t="s">
        <v>105</v>
      </c>
      <c r="F98" s="12">
        <v>6</v>
      </c>
      <c r="G98" s="95"/>
      <c r="H98" s="12">
        <v>85</v>
      </c>
      <c r="I98" s="11">
        <f t="shared" si="4"/>
        <v>510</v>
      </c>
      <c r="J98" s="12"/>
      <c r="K98" s="12"/>
      <c r="L98" s="13">
        <f t="shared" si="2"/>
        <v>510</v>
      </c>
      <c r="M98" s="14"/>
    </row>
    <row r="99" spans="1:13" s="9" customFormat="1" ht="15.75" customHeight="1" x14ac:dyDescent="0.25">
      <c r="A99" s="93">
        <v>46212</v>
      </c>
      <c r="B99" s="94" t="s">
        <v>16</v>
      </c>
      <c r="C99" s="95">
        <v>6017</v>
      </c>
      <c r="D99" s="18"/>
      <c r="E99" s="96" t="s">
        <v>106</v>
      </c>
      <c r="F99" s="12">
        <v>2</v>
      </c>
      <c r="G99" s="95"/>
      <c r="H99" s="12">
        <v>39</v>
      </c>
      <c r="I99" s="11">
        <f t="shared" si="4"/>
        <v>78</v>
      </c>
      <c r="J99" s="12"/>
      <c r="K99" s="12"/>
      <c r="L99" s="13">
        <f t="shared" si="2"/>
        <v>78</v>
      </c>
      <c r="M99" s="14"/>
    </row>
    <row r="100" spans="1:13" s="9" customFormat="1" ht="15.75" customHeight="1" x14ac:dyDescent="0.25">
      <c r="A100" s="93">
        <v>46212</v>
      </c>
      <c r="B100" s="94" t="s">
        <v>16</v>
      </c>
      <c r="C100" s="95">
        <v>6017</v>
      </c>
      <c r="D100" s="18"/>
      <c r="E100" s="96" t="s">
        <v>107</v>
      </c>
      <c r="F100" s="12">
        <v>1</v>
      </c>
      <c r="G100" s="95"/>
      <c r="H100" s="12">
        <v>438.75</v>
      </c>
      <c r="I100" s="11">
        <f t="shared" si="4"/>
        <v>438.75</v>
      </c>
      <c r="J100" s="12"/>
      <c r="K100" s="12"/>
      <c r="L100" s="13">
        <f t="shared" si="2"/>
        <v>438.75</v>
      </c>
      <c r="M100" s="14"/>
    </row>
    <row r="101" spans="1:13" s="9" customFormat="1" ht="15.75" customHeight="1" x14ac:dyDescent="0.25">
      <c r="A101" s="93">
        <v>46212</v>
      </c>
      <c r="B101" s="94" t="s">
        <v>16</v>
      </c>
      <c r="C101" s="95">
        <v>6017</v>
      </c>
      <c r="D101" s="18"/>
      <c r="E101" s="96" t="s">
        <v>108</v>
      </c>
      <c r="F101" s="12">
        <v>26</v>
      </c>
      <c r="G101" s="95"/>
      <c r="H101" s="12">
        <v>7.95</v>
      </c>
      <c r="I101" s="11">
        <f t="shared" si="4"/>
        <v>206.70000000000002</v>
      </c>
      <c r="J101" s="12"/>
      <c r="K101" s="12"/>
      <c r="L101" s="13">
        <f t="shared" si="2"/>
        <v>206.70000000000002</v>
      </c>
      <c r="M101" s="14"/>
    </row>
    <row r="102" spans="1:13" s="9" customFormat="1" ht="15.75" customHeight="1" x14ac:dyDescent="0.25">
      <c r="A102" s="93">
        <v>46212</v>
      </c>
      <c r="B102" s="94" t="s">
        <v>16</v>
      </c>
      <c r="C102" s="95">
        <v>6017</v>
      </c>
      <c r="D102" s="18"/>
      <c r="E102" s="96" t="s">
        <v>109</v>
      </c>
      <c r="F102" s="12">
        <v>1</v>
      </c>
      <c r="G102" s="95"/>
      <c r="H102" s="12">
        <v>59.5</v>
      </c>
      <c r="I102" s="11">
        <f t="shared" si="4"/>
        <v>59.5</v>
      </c>
      <c r="J102" s="12"/>
      <c r="K102" s="12"/>
      <c r="L102" s="13">
        <f t="shared" si="2"/>
        <v>59.5</v>
      </c>
      <c r="M102" s="14"/>
    </row>
    <row r="103" spans="1:13" s="9" customFormat="1" ht="15.75" customHeight="1" x14ac:dyDescent="0.25">
      <c r="A103" s="93">
        <v>46212</v>
      </c>
      <c r="B103" s="94" t="s">
        <v>16</v>
      </c>
      <c r="C103" s="95">
        <v>6017</v>
      </c>
      <c r="D103" s="18"/>
      <c r="E103" s="96" t="s">
        <v>110</v>
      </c>
      <c r="F103" s="12">
        <v>2</v>
      </c>
      <c r="G103" s="95"/>
      <c r="H103" s="12">
        <v>28</v>
      </c>
      <c r="I103" s="11">
        <f t="shared" si="4"/>
        <v>56</v>
      </c>
      <c r="J103" s="12"/>
      <c r="K103" s="12"/>
      <c r="L103" s="13">
        <f t="shared" si="2"/>
        <v>56</v>
      </c>
      <c r="M103" s="14"/>
    </row>
    <row r="104" spans="1:13" s="9" customFormat="1" ht="15.75" customHeight="1" x14ac:dyDescent="0.25">
      <c r="A104" s="93">
        <v>46212</v>
      </c>
      <c r="B104" s="94" t="s">
        <v>16</v>
      </c>
      <c r="C104" s="95">
        <v>6017</v>
      </c>
      <c r="D104" s="18"/>
      <c r="E104" s="96" t="s">
        <v>111</v>
      </c>
      <c r="F104" s="12">
        <v>2</v>
      </c>
      <c r="G104" s="95"/>
      <c r="H104" s="12">
        <v>20.75</v>
      </c>
      <c r="I104" s="11">
        <f t="shared" si="4"/>
        <v>41.5</v>
      </c>
      <c r="J104" s="12"/>
      <c r="K104" s="12"/>
      <c r="L104" s="13">
        <f t="shared" si="2"/>
        <v>41.5</v>
      </c>
      <c r="M104" s="14"/>
    </row>
    <row r="105" spans="1:13" s="9" customFormat="1" ht="15.75" customHeight="1" x14ac:dyDescent="0.25">
      <c r="A105" s="93">
        <v>46212</v>
      </c>
      <c r="B105" s="94" t="s">
        <v>16</v>
      </c>
      <c r="C105" s="95">
        <v>6017</v>
      </c>
      <c r="D105" s="18"/>
      <c r="E105" s="96" t="s">
        <v>112</v>
      </c>
      <c r="F105" s="12">
        <v>1</v>
      </c>
      <c r="G105" s="95"/>
      <c r="H105" s="12">
        <v>103.75</v>
      </c>
      <c r="I105" s="11">
        <f t="shared" si="4"/>
        <v>103.75</v>
      </c>
      <c r="J105" s="12"/>
      <c r="K105" s="12"/>
      <c r="L105" s="13">
        <f t="shared" si="2"/>
        <v>103.75</v>
      </c>
      <c r="M105" s="14"/>
    </row>
    <row r="106" spans="1:13" s="9" customFormat="1" ht="15.75" customHeight="1" x14ac:dyDescent="0.25">
      <c r="A106" s="93">
        <v>46212</v>
      </c>
      <c r="B106" s="94" t="s">
        <v>16</v>
      </c>
      <c r="C106" s="95">
        <v>6017</v>
      </c>
      <c r="D106" s="18"/>
      <c r="E106" s="96" t="s">
        <v>113</v>
      </c>
      <c r="F106" s="12">
        <v>2</v>
      </c>
      <c r="G106" s="95"/>
      <c r="H106" s="12">
        <v>60</v>
      </c>
      <c r="I106" s="11">
        <f t="shared" si="4"/>
        <v>120</v>
      </c>
      <c r="J106" s="12"/>
      <c r="K106" s="12"/>
      <c r="L106" s="13">
        <f t="shared" si="2"/>
        <v>120</v>
      </c>
      <c r="M106" s="14"/>
    </row>
    <row r="107" spans="1:13" s="9" customFormat="1" ht="15.75" customHeight="1" x14ac:dyDescent="0.25">
      <c r="A107" s="93">
        <v>46212</v>
      </c>
      <c r="B107" s="94" t="s">
        <v>16</v>
      </c>
      <c r="C107" s="95">
        <v>6017</v>
      </c>
      <c r="D107" s="18"/>
      <c r="E107" s="96" t="s">
        <v>114</v>
      </c>
      <c r="F107" s="12">
        <v>60</v>
      </c>
      <c r="G107" s="95"/>
      <c r="H107" s="12">
        <v>8.8000000000000007</v>
      </c>
      <c r="I107" s="11">
        <f t="shared" si="4"/>
        <v>528</v>
      </c>
      <c r="J107" s="12"/>
      <c r="K107" s="12"/>
      <c r="L107" s="13">
        <f t="shared" si="2"/>
        <v>528</v>
      </c>
      <c r="M107" s="14"/>
    </row>
    <row r="108" spans="1:13" s="9" customFormat="1" ht="15.75" customHeight="1" x14ac:dyDescent="0.25">
      <c r="A108" s="93">
        <v>46212</v>
      </c>
      <c r="B108" s="94" t="s">
        <v>16</v>
      </c>
      <c r="C108" s="95">
        <v>6017</v>
      </c>
      <c r="D108" s="18"/>
      <c r="E108" s="96" t="s">
        <v>115</v>
      </c>
      <c r="F108" s="12">
        <f>13*12</f>
        <v>156</v>
      </c>
      <c r="G108" s="95"/>
      <c r="H108" s="12">
        <v>12</v>
      </c>
      <c r="I108" s="11">
        <f t="shared" si="4"/>
        <v>1872</v>
      </c>
      <c r="J108" s="12"/>
      <c r="K108" s="12"/>
      <c r="L108" s="13">
        <f t="shared" si="2"/>
        <v>1872</v>
      </c>
      <c r="M108" s="14"/>
    </row>
    <row r="109" spans="1:13" s="9" customFormat="1" ht="15.75" customHeight="1" x14ac:dyDescent="0.25">
      <c r="A109" s="93">
        <v>46212</v>
      </c>
      <c r="B109" s="94" t="s">
        <v>16</v>
      </c>
      <c r="C109" s="95">
        <v>6017</v>
      </c>
      <c r="D109" s="18"/>
      <c r="E109" s="96" t="s">
        <v>44</v>
      </c>
      <c r="F109" s="12">
        <v>2</v>
      </c>
      <c r="G109" s="95"/>
      <c r="H109" s="12">
        <v>240</v>
      </c>
      <c r="I109" s="11">
        <f t="shared" si="4"/>
        <v>480</v>
      </c>
      <c r="J109" s="12"/>
      <c r="K109" s="12"/>
      <c r="L109" s="13">
        <f t="shared" si="2"/>
        <v>480</v>
      </c>
      <c r="M109" s="14"/>
    </row>
    <row r="110" spans="1:13" s="9" customFormat="1" ht="15.75" customHeight="1" x14ac:dyDescent="0.25">
      <c r="A110" s="93">
        <v>46212</v>
      </c>
      <c r="B110" s="94" t="s">
        <v>16</v>
      </c>
      <c r="C110" s="95">
        <v>6017</v>
      </c>
      <c r="D110" s="18"/>
      <c r="E110" s="96" t="s">
        <v>116</v>
      </c>
      <c r="F110" s="12">
        <v>15</v>
      </c>
      <c r="G110" s="95"/>
      <c r="H110" s="12">
        <v>7</v>
      </c>
      <c r="I110" s="11">
        <f t="shared" si="4"/>
        <v>105</v>
      </c>
      <c r="J110" s="12"/>
      <c r="K110" s="12"/>
      <c r="L110" s="13">
        <f t="shared" si="2"/>
        <v>105</v>
      </c>
      <c r="M110" s="14"/>
    </row>
    <row r="111" spans="1:13" s="9" customFormat="1" ht="15.75" customHeight="1" x14ac:dyDescent="0.25">
      <c r="A111" s="93">
        <v>46212</v>
      </c>
      <c r="B111" s="94" t="s">
        <v>16</v>
      </c>
      <c r="C111" s="95">
        <v>6017</v>
      </c>
      <c r="D111" s="18"/>
      <c r="E111" s="96" t="s">
        <v>47</v>
      </c>
      <c r="F111" s="12">
        <v>15</v>
      </c>
      <c r="G111" s="95"/>
      <c r="H111" s="12">
        <v>7</v>
      </c>
      <c r="I111" s="11">
        <f t="shared" si="4"/>
        <v>105</v>
      </c>
      <c r="J111" s="12"/>
      <c r="K111" s="12"/>
      <c r="L111" s="13">
        <f t="shared" si="2"/>
        <v>105</v>
      </c>
      <c r="M111" s="14"/>
    </row>
    <row r="112" spans="1:13" s="9" customFormat="1" ht="15.75" customHeight="1" x14ac:dyDescent="0.25">
      <c r="A112" s="93">
        <v>46212</v>
      </c>
      <c r="B112" s="94" t="s">
        <v>16</v>
      </c>
      <c r="C112" s="95">
        <v>6017</v>
      </c>
      <c r="D112" s="19"/>
      <c r="E112" s="96" t="s">
        <v>117</v>
      </c>
      <c r="F112" s="12">
        <v>1</v>
      </c>
      <c r="G112" s="95"/>
      <c r="H112" s="12">
        <v>88</v>
      </c>
      <c r="I112" s="11">
        <f t="shared" si="4"/>
        <v>88</v>
      </c>
      <c r="J112" s="12"/>
      <c r="K112" s="12"/>
      <c r="L112" s="13">
        <f t="shared" si="2"/>
        <v>88</v>
      </c>
      <c r="M112" s="14"/>
    </row>
    <row r="113" spans="1:13" s="9" customFormat="1" ht="15.75" customHeight="1" x14ac:dyDescent="0.25">
      <c r="A113" s="93">
        <v>46212</v>
      </c>
      <c r="B113" s="94" t="s">
        <v>16</v>
      </c>
      <c r="C113" s="95">
        <v>6017</v>
      </c>
      <c r="D113" s="19"/>
      <c r="E113" s="96" t="s">
        <v>73</v>
      </c>
      <c r="F113" s="12">
        <v>2</v>
      </c>
      <c r="G113" s="95"/>
      <c r="H113" s="12">
        <v>60</v>
      </c>
      <c r="I113" s="11">
        <f t="shared" si="4"/>
        <v>120</v>
      </c>
      <c r="J113" s="12"/>
      <c r="K113" s="12"/>
      <c r="L113" s="13">
        <f t="shared" si="2"/>
        <v>120</v>
      </c>
      <c r="M113" s="14"/>
    </row>
    <row r="114" spans="1:13" s="9" customFormat="1" ht="15.75" customHeight="1" x14ac:dyDescent="0.25">
      <c r="A114" s="93">
        <v>46212</v>
      </c>
      <c r="B114" s="94" t="s">
        <v>16</v>
      </c>
      <c r="C114" s="95">
        <v>6017</v>
      </c>
      <c r="D114" s="19"/>
      <c r="E114" s="96" t="s">
        <v>118</v>
      </c>
      <c r="F114" s="12">
        <v>0.5</v>
      </c>
      <c r="G114" s="95"/>
      <c r="H114" s="12">
        <v>60</v>
      </c>
      <c r="I114" s="11">
        <f t="shared" si="4"/>
        <v>30</v>
      </c>
      <c r="J114" s="12"/>
      <c r="K114" s="12"/>
      <c r="L114" s="13">
        <f t="shared" si="2"/>
        <v>30</v>
      </c>
      <c r="M114" s="14"/>
    </row>
    <row r="115" spans="1:13" s="9" customFormat="1" ht="15.75" customHeight="1" x14ac:dyDescent="0.25">
      <c r="A115" s="93">
        <v>46212</v>
      </c>
      <c r="B115" s="94" t="s">
        <v>16</v>
      </c>
      <c r="C115" s="95">
        <v>6017</v>
      </c>
      <c r="D115" s="19"/>
      <c r="E115" s="96" t="s">
        <v>119</v>
      </c>
      <c r="F115" s="12">
        <v>0.5</v>
      </c>
      <c r="G115" s="95"/>
      <c r="H115" s="12">
        <v>160</v>
      </c>
      <c r="I115" s="11">
        <f t="shared" si="4"/>
        <v>80</v>
      </c>
      <c r="J115" s="12"/>
      <c r="K115" s="12"/>
      <c r="L115" s="13">
        <f t="shared" si="2"/>
        <v>80</v>
      </c>
      <c r="M115" s="14"/>
    </row>
    <row r="116" spans="1:13" s="9" customFormat="1" ht="15.75" customHeight="1" x14ac:dyDescent="0.25">
      <c r="A116" s="93">
        <v>46212</v>
      </c>
      <c r="B116" s="94" t="s">
        <v>16</v>
      </c>
      <c r="C116" s="95">
        <v>6017</v>
      </c>
      <c r="D116" s="19"/>
      <c r="E116" s="96" t="s">
        <v>45</v>
      </c>
      <c r="F116" s="12">
        <v>2</v>
      </c>
      <c r="G116" s="95"/>
      <c r="H116" s="12">
        <v>50</v>
      </c>
      <c r="I116" s="11">
        <f t="shared" si="4"/>
        <v>100</v>
      </c>
      <c r="J116" s="12"/>
      <c r="K116" s="12"/>
      <c r="L116" s="13">
        <f t="shared" si="2"/>
        <v>100</v>
      </c>
      <c r="M116" s="14"/>
    </row>
    <row r="117" spans="1:13" s="9" customFormat="1" ht="15.75" customHeight="1" x14ac:dyDescent="0.25">
      <c r="A117" s="93">
        <v>46212</v>
      </c>
      <c r="B117" s="94" t="s">
        <v>16</v>
      </c>
      <c r="C117" s="95">
        <v>6017</v>
      </c>
      <c r="D117" s="19"/>
      <c r="E117" s="96" t="s">
        <v>120</v>
      </c>
      <c r="F117" s="12">
        <v>3</v>
      </c>
      <c r="G117" s="95"/>
      <c r="H117" s="12">
        <v>120</v>
      </c>
      <c r="I117" s="11">
        <f t="shared" si="4"/>
        <v>360</v>
      </c>
      <c r="J117" s="12"/>
      <c r="K117" s="12"/>
      <c r="L117" s="13">
        <f t="shared" si="2"/>
        <v>360</v>
      </c>
      <c r="M117" s="14"/>
    </row>
    <row r="118" spans="1:13" s="9" customFormat="1" ht="15.75" customHeight="1" x14ac:dyDescent="0.25">
      <c r="A118" s="93">
        <v>46212</v>
      </c>
      <c r="B118" s="94" t="s">
        <v>16</v>
      </c>
      <c r="C118" s="95">
        <v>6017</v>
      </c>
      <c r="D118" s="19"/>
      <c r="E118" s="96" t="s">
        <v>121</v>
      </c>
      <c r="F118" s="12">
        <f>113/100</f>
        <v>1.1299999999999999</v>
      </c>
      <c r="G118" s="95"/>
      <c r="H118" s="12">
        <v>100</v>
      </c>
      <c r="I118" s="11">
        <f t="shared" si="4"/>
        <v>112.99999999999999</v>
      </c>
      <c r="J118" s="12"/>
      <c r="K118" s="12"/>
      <c r="L118" s="13">
        <f t="shared" si="2"/>
        <v>112.99999999999999</v>
      </c>
      <c r="M118" s="14"/>
    </row>
    <row r="119" spans="1:13" s="9" customFormat="1" ht="15.75" customHeight="1" x14ac:dyDescent="0.25">
      <c r="A119" s="93">
        <v>46212</v>
      </c>
      <c r="B119" s="94" t="s">
        <v>16</v>
      </c>
      <c r="C119" s="95">
        <v>6017</v>
      </c>
      <c r="D119" s="19"/>
      <c r="E119" s="96" t="s">
        <v>122</v>
      </c>
      <c r="F119" s="12">
        <v>1</v>
      </c>
      <c r="G119" s="95"/>
      <c r="H119" s="12">
        <v>120</v>
      </c>
      <c r="I119" s="11">
        <f t="shared" si="4"/>
        <v>120</v>
      </c>
      <c r="J119" s="12"/>
      <c r="K119" s="12"/>
      <c r="L119" s="13">
        <f t="shared" si="2"/>
        <v>120</v>
      </c>
      <c r="M119" s="14"/>
    </row>
    <row r="120" spans="1:13" s="9" customFormat="1" ht="15.75" customHeight="1" x14ac:dyDescent="0.25">
      <c r="A120" s="93">
        <v>46212</v>
      </c>
      <c r="B120" s="94" t="s">
        <v>16</v>
      </c>
      <c r="C120" s="95">
        <v>6017</v>
      </c>
      <c r="D120" s="19"/>
      <c r="E120" s="96" t="s">
        <v>71</v>
      </c>
      <c r="F120" s="12">
        <v>2</v>
      </c>
      <c r="G120" s="95"/>
      <c r="H120" s="12">
        <v>80</v>
      </c>
      <c r="I120" s="11">
        <f t="shared" si="4"/>
        <v>160</v>
      </c>
      <c r="J120" s="12"/>
      <c r="K120" s="12"/>
      <c r="L120" s="13">
        <f t="shared" si="2"/>
        <v>160</v>
      </c>
      <c r="M120" s="14"/>
    </row>
    <row r="121" spans="1:13" s="9" customFormat="1" ht="15.75" customHeight="1" x14ac:dyDescent="0.25">
      <c r="A121" s="93">
        <v>46212</v>
      </c>
      <c r="B121" s="94" t="s">
        <v>16</v>
      </c>
      <c r="C121" s="95">
        <v>6017</v>
      </c>
      <c r="D121" s="19"/>
      <c r="E121" s="96" t="s">
        <v>123</v>
      </c>
      <c r="F121" s="12">
        <f>56/50</f>
        <v>1.1200000000000001</v>
      </c>
      <c r="G121" s="95"/>
      <c r="H121" s="12">
        <v>50</v>
      </c>
      <c r="I121" s="11">
        <f t="shared" si="4"/>
        <v>56.000000000000007</v>
      </c>
      <c r="J121" s="12"/>
      <c r="K121" s="12"/>
      <c r="L121" s="13">
        <f t="shared" si="2"/>
        <v>56.000000000000007</v>
      </c>
      <c r="M121" s="14"/>
    </row>
    <row r="122" spans="1:13" s="9" customFormat="1" ht="15.75" customHeight="1" x14ac:dyDescent="0.25">
      <c r="A122" s="93">
        <v>46212</v>
      </c>
      <c r="B122" s="94" t="s">
        <v>16</v>
      </c>
      <c r="C122" s="95">
        <v>6017</v>
      </c>
      <c r="D122" s="18"/>
      <c r="E122" s="96" t="s">
        <v>25</v>
      </c>
      <c r="F122" s="12">
        <v>1</v>
      </c>
      <c r="G122" s="95"/>
      <c r="H122" s="12">
        <v>60</v>
      </c>
      <c r="I122" s="11">
        <f t="shared" si="4"/>
        <v>60</v>
      </c>
      <c r="J122" s="12"/>
      <c r="K122" s="12"/>
      <c r="L122" s="13">
        <f t="shared" si="2"/>
        <v>60</v>
      </c>
      <c r="M122" s="14"/>
    </row>
    <row r="123" spans="1:13" s="9" customFormat="1" ht="15.75" customHeight="1" x14ac:dyDescent="0.25">
      <c r="A123" s="93">
        <v>46212</v>
      </c>
      <c r="B123" s="94" t="s">
        <v>16</v>
      </c>
      <c r="C123" s="95">
        <v>6017</v>
      </c>
      <c r="D123" s="18"/>
      <c r="E123" s="96" t="s">
        <v>39</v>
      </c>
      <c r="F123" s="12">
        <v>1</v>
      </c>
      <c r="G123" s="95"/>
      <c r="H123" s="12">
        <v>60</v>
      </c>
      <c r="I123" s="11">
        <f t="shared" si="4"/>
        <v>60</v>
      </c>
      <c r="J123" s="12"/>
      <c r="K123" s="12"/>
      <c r="L123" s="13">
        <f t="shared" si="2"/>
        <v>60</v>
      </c>
      <c r="M123" s="14"/>
    </row>
    <row r="124" spans="1:13" s="9" customFormat="1" ht="15.75" customHeight="1" x14ac:dyDescent="0.25">
      <c r="A124" s="93">
        <v>46212</v>
      </c>
      <c r="B124" s="94" t="s">
        <v>16</v>
      </c>
      <c r="C124" s="95">
        <v>6017</v>
      </c>
      <c r="D124" s="18"/>
      <c r="E124" s="96" t="s">
        <v>27</v>
      </c>
      <c r="F124" s="12">
        <v>5</v>
      </c>
      <c r="G124" s="95"/>
      <c r="H124" s="12">
        <v>10</v>
      </c>
      <c r="I124" s="11">
        <f t="shared" si="4"/>
        <v>50</v>
      </c>
      <c r="J124" s="12"/>
      <c r="K124" s="12"/>
      <c r="L124" s="13">
        <f t="shared" si="2"/>
        <v>50</v>
      </c>
      <c r="M124" s="14"/>
    </row>
    <row r="125" spans="1:13" s="9" customFormat="1" ht="15.75" customHeight="1" x14ac:dyDescent="0.25">
      <c r="A125" s="93">
        <v>46212</v>
      </c>
      <c r="B125" s="94" t="s">
        <v>16</v>
      </c>
      <c r="C125" s="95">
        <v>6017</v>
      </c>
      <c r="D125" s="18"/>
      <c r="E125" s="96" t="s">
        <v>38</v>
      </c>
      <c r="F125" s="12">
        <v>3</v>
      </c>
      <c r="G125" s="95"/>
      <c r="H125" s="12">
        <v>100</v>
      </c>
      <c r="I125" s="11">
        <f t="shared" si="4"/>
        <v>300</v>
      </c>
      <c r="J125" s="12"/>
      <c r="K125" s="12"/>
      <c r="L125" s="13">
        <f t="shared" si="2"/>
        <v>300</v>
      </c>
      <c r="M125" s="14"/>
    </row>
    <row r="126" spans="1:13" s="9" customFormat="1" ht="15.75" customHeight="1" x14ac:dyDescent="0.25">
      <c r="A126" s="93">
        <v>46212</v>
      </c>
      <c r="B126" s="94" t="s">
        <v>16</v>
      </c>
      <c r="C126" s="95">
        <v>6017</v>
      </c>
      <c r="D126" s="18"/>
      <c r="E126" s="96" t="s">
        <v>73</v>
      </c>
      <c r="F126" s="12">
        <f>253/60</f>
        <v>4.2166666666666668</v>
      </c>
      <c r="G126" s="95"/>
      <c r="H126" s="12">
        <v>60</v>
      </c>
      <c r="I126" s="11">
        <f t="shared" si="4"/>
        <v>253</v>
      </c>
      <c r="J126" s="12"/>
      <c r="K126" s="12"/>
      <c r="L126" s="13">
        <f t="shared" si="2"/>
        <v>253</v>
      </c>
      <c r="M126" s="14"/>
    </row>
    <row r="127" spans="1:13" s="9" customFormat="1" ht="15.75" customHeight="1" x14ac:dyDescent="0.25">
      <c r="A127" s="93">
        <v>46212</v>
      </c>
      <c r="B127" s="94" t="s">
        <v>16</v>
      </c>
      <c r="C127" s="95">
        <v>6017</v>
      </c>
      <c r="D127" s="18"/>
      <c r="E127" s="96" t="s">
        <v>71</v>
      </c>
      <c r="F127" s="12">
        <v>3</v>
      </c>
      <c r="G127" s="95"/>
      <c r="H127" s="12">
        <v>80</v>
      </c>
      <c r="I127" s="11">
        <f t="shared" si="4"/>
        <v>240</v>
      </c>
      <c r="J127" s="12"/>
      <c r="K127" s="12"/>
      <c r="L127" s="13">
        <f t="shared" ref="L127:L184" si="5">I127-J127-K127</f>
        <v>240</v>
      </c>
      <c r="M127" s="14"/>
    </row>
    <row r="128" spans="1:13" s="9" customFormat="1" ht="15.75" customHeight="1" x14ac:dyDescent="0.25">
      <c r="A128" s="93">
        <v>46212</v>
      </c>
      <c r="B128" s="94" t="s">
        <v>16</v>
      </c>
      <c r="C128" s="95">
        <v>6017</v>
      </c>
      <c r="D128" s="18"/>
      <c r="E128" s="96" t="s">
        <v>32</v>
      </c>
      <c r="F128" s="12">
        <v>2</v>
      </c>
      <c r="G128" s="95"/>
      <c r="H128" s="12">
        <v>80</v>
      </c>
      <c r="I128" s="11">
        <f t="shared" ref="I128:I185" si="6">F128*H128</f>
        <v>160</v>
      </c>
      <c r="J128" s="12"/>
      <c r="K128" s="12"/>
      <c r="L128" s="13">
        <f t="shared" si="5"/>
        <v>160</v>
      </c>
      <c r="M128" s="14"/>
    </row>
    <row r="129" spans="1:13" s="9" customFormat="1" ht="15.75" customHeight="1" x14ac:dyDescent="0.25">
      <c r="A129" s="93">
        <v>46212</v>
      </c>
      <c r="B129" s="94" t="s">
        <v>16</v>
      </c>
      <c r="C129" s="95">
        <v>6017</v>
      </c>
      <c r="D129" s="18"/>
      <c r="E129" s="96" t="s">
        <v>72</v>
      </c>
      <c r="F129" s="12">
        <v>0.5</v>
      </c>
      <c r="G129" s="97"/>
      <c r="H129" s="12">
        <v>120</v>
      </c>
      <c r="I129" s="11">
        <f t="shared" si="6"/>
        <v>60</v>
      </c>
      <c r="J129" s="12"/>
      <c r="K129" s="12"/>
      <c r="L129" s="13">
        <f t="shared" si="5"/>
        <v>60</v>
      </c>
      <c r="M129" s="14"/>
    </row>
    <row r="130" spans="1:13" s="9" customFormat="1" ht="15.75" customHeight="1" x14ac:dyDescent="0.25">
      <c r="A130" s="93">
        <v>46212</v>
      </c>
      <c r="B130" s="94" t="s">
        <v>16</v>
      </c>
      <c r="C130" s="95">
        <v>6017</v>
      </c>
      <c r="D130" s="18"/>
      <c r="E130" s="96" t="s">
        <v>37</v>
      </c>
      <c r="F130" s="12">
        <v>3</v>
      </c>
      <c r="G130" s="97"/>
      <c r="H130" s="12">
        <v>60</v>
      </c>
      <c r="I130" s="11">
        <f t="shared" si="6"/>
        <v>180</v>
      </c>
      <c r="J130" s="12"/>
      <c r="K130" s="12"/>
      <c r="L130" s="13">
        <f t="shared" si="5"/>
        <v>180</v>
      </c>
      <c r="M130" s="14"/>
    </row>
    <row r="131" spans="1:13" s="9" customFormat="1" ht="15.75" customHeight="1" x14ac:dyDescent="0.25">
      <c r="A131" s="93">
        <v>46212</v>
      </c>
      <c r="B131" s="94" t="s">
        <v>16</v>
      </c>
      <c r="C131" s="95">
        <v>6017</v>
      </c>
      <c r="D131" s="18"/>
      <c r="E131" s="96" t="s">
        <v>124</v>
      </c>
      <c r="F131" s="12">
        <v>3</v>
      </c>
      <c r="G131" s="97"/>
      <c r="H131" s="12">
        <v>60</v>
      </c>
      <c r="I131" s="11">
        <f t="shared" si="6"/>
        <v>180</v>
      </c>
      <c r="J131" s="12"/>
      <c r="K131" s="12"/>
      <c r="L131" s="13">
        <f t="shared" si="5"/>
        <v>180</v>
      </c>
      <c r="M131" s="14"/>
    </row>
    <row r="132" spans="1:13" s="9" customFormat="1" ht="15.75" customHeight="1" x14ac:dyDescent="0.25">
      <c r="A132" s="93">
        <v>46212</v>
      </c>
      <c r="B132" s="94" t="s">
        <v>16</v>
      </c>
      <c r="C132" s="95">
        <v>6017</v>
      </c>
      <c r="D132" s="18"/>
      <c r="E132" s="96" t="s">
        <v>125</v>
      </c>
      <c r="F132" s="12">
        <f>118/200</f>
        <v>0.59</v>
      </c>
      <c r="G132" s="97"/>
      <c r="H132" s="12">
        <v>200</v>
      </c>
      <c r="I132" s="11">
        <f t="shared" si="6"/>
        <v>118</v>
      </c>
      <c r="J132" s="12"/>
      <c r="K132" s="12"/>
      <c r="L132" s="13">
        <f t="shared" si="5"/>
        <v>118</v>
      </c>
      <c r="M132" s="14"/>
    </row>
    <row r="133" spans="1:13" s="9" customFormat="1" ht="15.75" customHeight="1" x14ac:dyDescent="0.25">
      <c r="A133" s="93">
        <v>46212</v>
      </c>
      <c r="B133" s="94" t="s">
        <v>16</v>
      </c>
      <c r="C133" s="95">
        <v>6017</v>
      </c>
      <c r="D133" s="18"/>
      <c r="E133" s="96" t="s">
        <v>31</v>
      </c>
      <c r="F133" s="12">
        <v>2</v>
      </c>
      <c r="G133" s="97"/>
      <c r="H133" s="12">
        <v>200</v>
      </c>
      <c r="I133" s="11">
        <f t="shared" si="6"/>
        <v>400</v>
      </c>
      <c r="J133" s="12"/>
      <c r="K133" s="12"/>
      <c r="L133" s="13">
        <f t="shared" si="5"/>
        <v>400</v>
      </c>
      <c r="M133" s="14"/>
    </row>
    <row r="134" spans="1:13" s="9" customFormat="1" ht="15.75" customHeight="1" x14ac:dyDescent="0.25">
      <c r="A134" s="93">
        <v>46212</v>
      </c>
      <c r="B134" s="94" t="s">
        <v>16</v>
      </c>
      <c r="C134" s="95">
        <v>6017</v>
      </c>
      <c r="D134" s="18"/>
      <c r="E134" s="96" t="s">
        <v>30</v>
      </c>
      <c r="F134" s="12">
        <f>100/80</f>
        <v>1.25</v>
      </c>
      <c r="G134" s="97"/>
      <c r="H134" s="12">
        <v>80</v>
      </c>
      <c r="I134" s="11">
        <f t="shared" si="6"/>
        <v>100</v>
      </c>
      <c r="J134" s="12"/>
      <c r="K134" s="12"/>
      <c r="L134" s="13">
        <f t="shared" si="5"/>
        <v>100</v>
      </c>
      <c r="M134" s="14"/>
    </row>
    <row r="135" spans="1:13" s="9" customFormat="1" ht="15.75" customHeight="1" x14ac:dyDescent="0.25">
      <c r="A135" s="93">
        <v>46212</v>
      </c>
      <c r="B135" s="94" t="s">
        <v>16</v>
      </c>
      <c r="C135" s="95">
        <v>6017</v>
      </c>
      <c r="D135" s="18"/>
      <c r="E135" s="96" t="s">
        <v>126</v>
      </c>
      <c r="F135" s="12">
        <v>3</v>
      </c>
      <c r="G135" s="97"/>
      <c r="H135" s="12">
        <v>80</v>
      </c>
      <c r="I135" s="11">
        <f t="shared" si="6"/>
        <v>240</v>
      </c>
      <c r="J135" s="12"/>
      <c r="K135" s="12"/>
      <c r="L135" s="13">
        <f t="shared" si="5"/>
        <v>240</v>
      </c>
      <c r="M135" s="14"/>
    </row>
    <row r="136" spans="1:13" s="9" customFormat="1" ht="15.75" customHeight="1" x14ac:dyDescent="0.25">
      <c r="A136" s="93">
        <v>46212</v>
      </c>
      <c r="B136" s="94" t="s">
        <v>16</v>
      </c>
      <c r="C136" s="95">
        <v>6017</v>
      </c>
      <c r="D136" s="18"/>
      <c r="E136" s="96" t="s">
        <v>25</v>
      </c>
      <c r="F136" s="12">
        <v>2</v>
      </c>
      <c r="G136" s="97"/>
      <c r="H136" s="12">
        <v>60</v>
      </c>
      <c r="I136" s="11">
        <f t="shared" si="6"/>
        <v>120</v>
      </c>
      <c r="J136" s="12"/>
      <c r="K136" s="12"/>
      <c r="L136" s="13">
        <f t="shared" si="5"/>
        <v>120</v>
      </c>
      <c r="M136" s="14"/>
    </row>
    <row r="137" spans="1:13" s="9" customFormat="1" ht="15.75" customHeight="1" x14ac:dyDescent="0.25">
      <c r="A137" s="93">
        <v>46212</v>
      </c>
      <c r="B137" s="94" t="s">
        <v>16</v>
      </c>
      <c r="C137" s="95">
        <v>6017</v>
      </c>
      <c r="D137" s="18"/>
      <c r="E137" s="96" t="s">
        <v>42</v>
      </c>
      <c r="F137" s="12">
        <v>2</v>
      </c>
      <c r="G137" s="97"/>
      <c r="H137" s="12">
        <v>90</v>
      </c>
      <c r="I137" s="11">
        <f t="shared" si="6"/>
        <v>180</v>
      </c>
      <c r="J137" s="12"/>
      <c r="K137" s="12"/>
      <c r="L137" s="13">
        <f t="shared" si="5"/>
        <v>180</v>
      </c>
      <c r="M137" s="14"/>
    </row>
    <row r="138" spans="1:13" s="9" customFormat="1" ht="15.75" customHeight="1" x14ac:dyDescent="0.25">
      <c r="A138" s="93">
        <v>46212</v>
      </c>
      <c r="B138" s="94" t="s">
        <v>16</v>
      </c>
      <c r="C138" s="95">
        <v>6017</v>
      </c>
      <c r="D138" s="18"/>
      <c r="E138" s="96" t="s">
        <v>39</v>
      </c>
      <c r="F138" s="12">
        <v>2</v>
      </c>
      <c r="G138" s="97"/>
      <c r="H138" s="12">
        <v>70</v>
      </c>
      <c r="I138" s="11">
        <f t="shared" si="6"/>
        <v>140</v>
      </c>
      <c r="J138" s="12"/>
      <c r="K138" s="12"/>
      <c r="L138" s="13">
        <f t="shared" si="5"/>
        <v>140</v>
      </c>
      <c r="M138" s="14"/>
    </row>
    <row r="139" spans="1:13" s="9" customFormat="1" ht="15.75" customHeight="1" x14ac:dyDescent="0.25">
      <c r="A139" s="93">
        <v>46212</v>
      </c>
      <c r="B139" s="94" t="s">
        <v>16</v>
      </c>
      <c r="C139" s="95">
        <v>6017</v>
      </c>
      <c r="D139" s="18"/>
      <c r="E139" s="96" t="s">
        <v>123</v>
      </c>
      <c r="F139" s="12">
        <f>67/60</f>
        <v>1.1166666666666667</v>
      </c>
      <c r="G139" s="97"/>
      <c r="H139" s="12">
        <v>60</v>
      </c>
      <c r="I139" s="11">
        <f t="shared" si="6"/>
        <v>67</v>
      </c>
      <c r="J139" s="12"/>
      <c r="K139" s="12"/>
      <c r="L139" s="13">
        <f t="shared" si="5"/>
        <v>67</v>
      </c>
      <c r="M139" s="14"/>
    </row>
    <row r="140" spans="1:13" s="9" customFormat="1" ht="15.75" customHeight="1" x14ac:dyDescent="0.25">
      <c r="A140" s="93">
        <v>46212</v>
      </c>
      <c r="B140" s="94" t="s">
        <v>16</v>
      </c>
      <c r="C140" s="95">
        <v>6017</v>
      </c>
      <c r="D140" s="18"/>
      <c r="E140" s="96" t="s">
        <v>29</v>
      </c>
      <c r="F140" s="12">
        <v>1</v>
      </c>
      <c r="G140" s="97"/>
      <c r="H140" s="12">
        <v>70</v>
      </c>
      <c r="I140" s="11">
        <f t="shared" si="6"/>
        <v>70</v>
      </c>
      <c r="J140" s="12"/>
      <c r="K140" s="12"/>
      <c r="L140" s="13">
        <f t="shared" si="5"/>
        <v>70</v>
      </c>
      <c r="M140" s="14"/>
    </row>
    <row r="141" spans="1:13" s="9" customFormat="1" ht="15.75" customHeight="1" x14ac:dyDescent="0.25">
      <c r="A141" s="93">
        <v>46212</v>
      </c>
      <c r="B141" s="94" t="s">
        <v>16</v>
      </c>
      <c r="C141" s="95">
        <v>6017</v>
      </c>
      <c r="D141" s="18"/>
      <c r="E141" s="96" t="s">
        <v>127</v>
      </c>
      <c r="F141" s="12">
        <v>0.5</v>
      </c>
      <c r="G141" s="97"/>
      <c r="H141" s="12">
        <v>120</v>
      </c>
      <c r="I141" s="11">
        <f t="shared" si="6"/>
        <v>60</v>
      </c>
      <c r="J141" s="12"/>
      <c r="K141" s="12"/>
      <c r="L141" s="13">
        <f t="shared" si="5"/>
        <v>60</v>
      </c>
      <c r="M141" s="14"/>
    </row>
    <row r="142" spans="1:13" s="9" customFormat="1" ht="15.75" customHeight="1" x14ac:dyDescent="0.25">
      <c r="A142" s="93">
        <v>46212</v>
      </c>
      <c r="B142" s="94" t="s">
        <v>16</v>
      </c>
      <c r="C142" s="95">
        <v>6017</v>
      </c>
      <c r="D142" s="18"/>
      <c r="E142" s="96" t="s">
        <v>128</v>
      </c>
      <c r="F142" s="12">
        <v>2</v>
      </c>
      <c r="G142" s="97"/>
      <c r="H142" s="12">
        <v>70</v>
      </c>
      <c r="I142" s="11">
        <f t="shared" si="6"/>
        <v>140</v>
      </c>
      <c r="J142" s="12"/>
      <c r="K142" s="12"/>
      <c r="L142" s="13">
        <f t="shared" si="5"/>
        <v>140</v>
      </c>
      <c r="M142" s="14"/>
    </row>
    <row r="143" spans="1:13" s="9" customFormat="1" ht="15.75" customHeight="1" x14ac:dyDescent="0.25">
      <c r="A143" s="93">
        <v>46212</v>
      </c>
      <c r="B143" s="94" t="s">
        <v>16</v>
      </c>
      <c r="C143" s="95">
        <v>6017</v>
      </c>
      <c r="D143" s="18"/>
      <c r="E143" s="96" t="s">
        <v>129</v>
      </c>
      <c r="F143" s="12">
        <v>1</v>
      </c>
      <c r="G143" s="97"/>
      <c r="H143" s="12">
        <v>250</v>
      </c>
      <c r="I143" s="11">
        <f t="shared" si="6"/>
        <v>250</v>
      </c>
      <c r="J143" s="12"/>
      <c r="K143" s="12"/>
      <c r="L143" s="13">
        <f t="shared" si="5"/>
        <v>250</v>
      </c>
      <c r="M143" s="14"/>
    </row>
    <row r="144" spans="1:13" s="9" customFormat="1" ht="15.75" customHeight="1" x14ac:dyDescent="0.25">
      <c r="A144" s="93">
        <v>46212</v>
      </c>
      <c r="B144" s="94" t="s">
        <v>16</v>
      </c>
      <c r="C144" s="95">
        <v>6017</v>
      </c>
      <c r="D144" s="18"/>
      <c r="E144" s="96" t="s">
        <v>130</v>
      </c>
      <c r="F144" s="12">
        <v>2</v>
      </c>
      <c r="G144" s="97"/>
      <c r="H144" s="12">
        <v>320</v>
      </c>
      <c r="I144" s="11">
        <f t="shared" si="6"/>
        <v>640</v>
      </c>
      <c r="J144" s="12"/>
      <c r="K144" s="12"/>
      <c r="L144" s="13">
        <f t="shared" si="5"/>
        <v>640</v>
      </c>
      <c r="M144" s="14"/>
    </row>
    <row r="145" spans="1:13" s="9" customFormat="1" ht="15.75" customHeight="1" x14ac:dyDescent="0.25">
      <c r="A145" s="93">
        <v>46212</v>
      </c>
      <c r="B145" s="94" t="s">
        <v>16</v>
      </c>
      <c r="C145" s="95">
        <v>6017</v>
      </c>
      <c r="D145" s="18"/>
      <c r="E145" s="96" t="s">
        <v>131</v>
      </c>
      <c r="F145" s="12">
        <v>2</v>
      </c>
      <c r="G145" s="97"/>
      <c r="H145" s="12">
        <v>185</v>
      </c>
      <c r="I145" s="11">
        <f t="shared" si="6"/>
        <v>370</v>
      </c>
      <c r="J145" s="12"/>
      <c r="K145" s="12"/>
      <c r="L145" s="13">
        <f t="shared" si="5"/>
        <v>370</v>
      </c>
      <c r="M145" s="14"/>
    </row>
    <row r="146" spans="1:13" s="9" customFormat="1" ht="15.75" customHeight="1" x14ac:dyDescent="0.25">
      <c r="A146" s="93">
        <v>46212</v>
      </c>
      <c r="B146" s="94" t="s">
        <v>16</v>
      </c>
      <c r="C146" s="95">
        <v>6017</v>
      </c>
      <c r="D146" s="18"/>
      <c r="E146" s="96" t="s">
        <v>61</v>
      </c>
      <c r="F146" s="12">
        <v>10</v>
      </c>
      <c r="G146" s="97"/>
      <c r="H146" s="12">
        <v>330</v>
      </c>
      <c r="I146" s="11">
        <f t="shared" si="6"/>
        <v>3300</v>
      </c>
      <c r="J146" s="12"/>
      <c r="K146" s="12"/>
      <c r="L146" s="13">
        <f t="shared" si="5"/>
        <v>3300</v>
      </c>
      <c r="M146" s="14"/>
    </row>
    <row r="147" spans="1:13" s="9" customFormat="1" ht="15.75" customHeight="1" x14ac:dyDescent="0.25">
      <c r="A147" s="93">
        <v>46212</v>
      </c>
      <c r="B147" s="94" t="s">
        <v>16</v>
      </c>
      <c r="C147" s="95">
        <v>6017</v>
      </c>
      <c r="D147" s="18"/>
      <c r="E147" s="96" t="s">
        <v>132</v>
      </c>
      <c r="F147" s="12">
        <v>3</v>
      </c>
      <c r="G147" s="97"/>
      <c r="H147" s="12">
        <v>550</v>
      </c>
      <c r="I147" s="11">
        <f t="shared" si="6"/>
        <v>1650</v>
      </c>
      <c r="J147" s="12"/>
      <c r="K147" s="12"/>
      <c r="L147" s="13">
        <f t="shared" si="5"/>
        <v>1650</v>
      </c>
      <c r="M147" s="14"/>
    </row>
    <row r="148" spans="1:13" s="9" customFormat="1" ht="15.75" customHeight="1" x14ac:dyDescent="0.25">
      <c r="A148" s="93">
        <v>46212</v>
      </c>
      <c r="B148" s="94" t="s">
        <v>16</v>
      </c>
      <c r="C148" s="95">
        <v>6017</v>
      </c>
      <c r="D148" s="18"/>
      <c r="E148" s="96" t="s">
        <v>133</v>
      </c>
      <c r="F148" s="12">
        <v>1</v>
      </c>
      <c r="G148" s="97"/>
      <c r="H148" s="12">
        <v>94</v>
      </c>
      <c r="I148" s="11">
        <f t="shared" si="6"/>
        <v>94</v>
      </c>
      <c r="J148" s="12"/>
      <c r="K148" s="12"/>
      <c r="L148" s="13">
        <f t="shared" si="5"/>
        <v>94</v>
      </c>
      <c r="M148" s="14"/>
    </row>
    <row r="149" spans="1:13" s="9" customFormat="1" ht="15.75" customHeight="1" x14ac:dyDescent="0.25">
      <c r="A149" s="93">
        <v>46212</v>
      </c>
      <c r="B149" s="94" t="s">
        <v>16</v>
      </c>
      <c r="C149" s="95">
        <v>6017</v>
      </c>
      <c r="D149" s="18"/>
      <c r="E149" s="96" t="s">
        <v>82</v>
      </c>
      <c r="F149" s="12">
        <v>1</v>
      </c>
      <c r="G149" s="97"/>
      <c r="H149" s="12">
        <v>70</v>
      </c>
      <c r="I149" s="11">
        <f t="shared" si="6"/>
        <v>70</v>
      </c>
      <c r="J149" s="12"/>
      <c r="K149" s="12"/>
      <c r="L149" s="13">
        <f t="shared" si="5"/>
        <v>70</v>
      </c>
      <c r="M149" s="14"/>
    </row>
    <row r="150" spans="1:13" s="9" customFormat="1" ht="15.75" customHeight="1" x14ac:dyDescent="0.25">
      <c r="A150" s="93">
        <v>46212</v>
      </c>
      <c r="B150" s="94" t="s">
        <v>16</v>
      </c>
      <c r="C150" s="95">
        <v>6017</v>
      </c>
      <c r="D150" s="18"/>
      <c r="E150" s="96" t="s">
        <v>77</v>
      </c>
      <c r="F150" s="12">
        <v>16</v>
      </c>
      <c r="G150" s="97"/>
      <c r="H150" s="12">
        <v>5.5</v>
      </c>
      <c r="I150" s="11">
        <f t="shared" si="6"/>
        <v>88</v>
      </c>
      <c r="J150" s="12"/>
      <c r="K150" s="12"/>
      <c r="L150" s="13">
        <f t="shared" si="5"/>
        <v>88</v>
      </c>
      <c r="M150" s="14"/>
    </row>
    <row r="151" spans="1:13" s="9" customFormat="1" ht="15.75" customHeight="1" x14ac:dyDescent="0.25">
      <c r="A151" s="93">
        <v>46212</v>
      </c>
      <c r="B151" s="94" t="s">
        <v>16</v>
      </c>
      <c r="C151" s="95">
        <v>6017</v>
      </c>
      <c r="D151" s="18"/>
      <c r="E151" s="96" t="s">
        <v>101</v>
      </c>
      <c r="F151" s="12">
        <v>3</v>
      </c>
      <c r="G151" s="97"/>
      <c r="H151" s="12">
        <v>24</v>
      </c>
      <c r="I151" s="11">
        <f t="shared" si="6"/>
        <v>72</v>
      </c>
      <c r="J151" s="12"/>
      <c r="K151" s="12"/>
      <c r="L151" s="13">
        <f t="shared" si="5"/>
        <v>72</v>
      </c>
      <c r="M151" s="14"/>
    </row>
    <row r="152" spans="1:13" s="9" customFormat="1" ht="15.75" customHeight="1" x14ac:dyDescent="0.25">
      <c r="A152" s="93">
        <v>46212</v>
      </c>
      <c r="B152" s="94" t="s">
        <v>16</v>
      </c>
      <c r="C152" s="95">
        <v>6017</v>
      </c>
      <c r="D152" s="18"/>
      <c r="E152" s="96" t="s">
        <v>137</v>
      </c>
      <c r="F152" s="12">
        <v>2</v>
      </c>
      <c r="G152" s="97"/>
      <c r="H152" s="12">
        <v>152.75</v>
      </c>
      <c r="I152" s="11">
        <f t="shared" si="6"/>
        <v>305.5</v>
      </c>
      <c r="J152" s="12"/>
      <c r="K152" s="12"/>
      <c r="L152" s="13">
        <f t="shared" si="5"/>
        <v>305.5</v>
      </c>
      <c r="M152" s="14"/>
    </row>
    <row r="153" spans="1:13" s="9" customFormat="1" ht="15.75" customHeight="1" x14ac:dyDescent="0.25">
      <c r="A153" s="93">
        <v>46212</v>
      </c>
      <c r="B153" s="94" t="s">
        <v>16</v>
      </c>
      <c r="C153" s="95">
        <v>6017</v>
      </c>
      <c r="D153" s="18"/>
      <c r="E153" s="96" t="s">
        <v>135</v>
      </c>
      <c r="F153" s="12">
        <v>5</v>
      </c>
      <c r="G153" s="97"/>
      <c r="H153" s="12">
        <v>37.75</v>
      </c>
      <c r="I153" s="11">
        <f t="shared" si="6"/>
        <v>188.75</v>
      </c>
      <c r="J153" s="12"/>
      <c r="K153" s="12"/>
      <c r="L153" s="13">
        <f t="shared" si="5"/>
        <v>188.75</v>
      </c>
      <c r="M153" s="14"/>
    </row>
    <row r="154" spans="1:13" s="9" customFormat="1" ht="15.75" customHeight="1" x14ac:dyDescent="0.25">
      <c r="A154" s="93">
        <v>46212</v>
      </c>
      <c r="B154" s="94" t="s">
        <v>16</v>
      </c>
      <c r="C154" s="95">
        <v>6017</v>
      </c>
      <c r="D154" s="18"/>
      <c r="E154" s="96" t="s">
        <v>136</v>
      </c>
      <c r="F154" s="12">
        <v>2</v>
      </c>
      <c r="G154" s="97"/>
      <c r="H154" s="12">
        <v>76</v>
      </c>
      <c r="I154" s="11">
        <f t="shared" si="6"/>
        <v>152</v>
      </c>
      <c r="J154" s="12"/>
      <c r="K154" s="12"/>
      <c r="L154" s="13">
        <f t="shared" si="5"/>
        <v>152</v>
      </c>
      <c r="M154" s="14"/>
    </row>
    <row r="155" spans="1:13" s="9" customFormat="1" ht="15.75" customHeight="1" x14ac:dyDescent="0.25">
      <c r="A155" s="93">
        <v>46212</v>
      </c>
      <c r="B155" s="94" t="s">
        <v>16</v>
      </c>
      <c r="C155" s="95">
        <v>6017</v>
      </c>
      <c r="D155" s="18"/>
      <c r="E155" s="96" t="s">
        <v>138</v>
      </c>
      <c r="F155" s="12">
        <v>4</v>
      </c>
      <c r="G155" s="97"/>
      <c r="H155" s="12">
        <v>65</v>
      </c>
      <c r="I155" s="11">
        <f t="shared" si="6"/>
        <v>260</v>
      </c>
      <c r="J155" s="12"/>
      <c r="K155" s="12"/>
      <c r="L155" s="13">
        <f t="shared" si="5"/>
        <v>260</v>
      </c>
      <c r="M155" s="14"/>
    </row>
    <row r="156" spans="1:13" s="9" customFormat="1" ht="15.75" customHeight="1" x14ac:dyDescent="0.25">
      <c r="A156" s="93">
        <v>46212</v>
      </c>
      <c r="B156" s="94" t="s">
        <v>16</v>
      </c>
      <c r="C156" s="95">
        <v>6017</v>
      </c>
      <c r="D156" s="18"/>
      <c r="E156" s="96" t="s">
        <v>139</v>
      </c>
      <c r="F156" s="12">
        <v>2</v>
      </c>
      <c r="G156" s="97"/>
      <c r="H156" s="12">
        <v>35</v>
      </c>
      <c r="I156" s="11">
        <f t="shared" si="6"/>
        <v>70</v>
      </c>
      <c r="J156" s="12"/>
      <c r="K156" s="12"/>
      <c r="L156" s="13">
        <f t="shared" si="5"/>
        <v>70</v>
      </c>
      <c r="M156" s="14"/>
    </row>
    <row r="157" spans="1:13" s="9" customFormat="1" ht="15.75" customHeight="1" x14ac:dyDescent="0.25">
      <c r="A157" s="93">
        <v>46212</v>
      </c>
      <c r="B157" s="94" t="s">
        <v>16</v>
      </c>
      <c r="C157" s="95">
        <v>6017</v>
      </c>
      <c r="D157" s="18"/>
      <c r="E157" s="96" t="s">
        <v>47</v>
      </c>
      <c r="F157" s="12">
        <v>150</v>
      </c>
      <c r="G157" s="97"/>
      <c r="H157" s="12">
        <v>7</v>
      </c>
      <c r="I157" s="11">
        <f t="shared" si="6"/>
        <v>1050</v>
      </c>
      <c r="J157" s="12"/>
      <c r="K157" s="12"/>
      <c r="L157" s="13">
        <f t="shared" si="5"/>
        <v>1050</v>
      </c>
      <c r="M157" s="14"/>
    </row>
    <row r="158" spans="1:13" s="9" customFormat="1" ht="15.75" customHeight="1" x14ac:dyDescent="0.25">
      <c r="A158" s="93">
        <v>46212</v>
      </c>
      <c r="B158" s="94" t="s">
        <v>16</v>
      </c>
      <c r="C158" s="95">
        <v>6017</v>
      </c>
      <c r="D158" s="18"/>
      <c r="E158" s="96" t="s">
        <v>140</v>
      </c>
      <c r="F158" s="12">
        <v>1.1539999999999999</v>
      </c>
      <c r="G158" s="97"/>
      <c r="H158" s="12">
        <v>105</v>
      </c>
      <c r="I158" s="11">
        <f t="shared" si="6"/>
        <v>121.16999999999999</v>
      </c>
      <c r="J158" s="12"/>
      <c r="K158" s="12"/>
      <c r="L158" s="13">
        <f t="shared" si="5"/>
        <v>121.16999999999999</v>
      </c>
      <c r="M158" s="14"/>
    </row>
    <row r="159" spans="1:13" s="9" customFormat="1" ht="15.75" customHeight="1" x14ac:dyDescent="0.25">
      <c r="A159" s="93">
        <v>46212</v>
      </c>
      <c r="B159" s="94" t="s">
        <v>16</v>
      </c>
      <c r="C159" s="95">
        <v>6018</v>
      </c>
      <c r="D159" s="18"/>
      <c r="E159" s="96" t="s">
        <v>141</v>
      </c>
      <c r="F159" s="12">
        <v>5</v>
      </c>
      <c r="G159" s="97"/>
      <c r="H159" s="12">
        <v>150</v>
      </c>
      <c r="I159" s="11">
        <f t="shared" si="6"/>
        <v>750</v>
      </c>
      <c r="J159" s="12"/>
      <c r="K159" s="12"/>
      <c r="L159" s="13">
        <f t="shared" si="5"/>
        <v>750</v>
      </c>
      <c r="M159" s="14"/>
    </row>
    <row r="160" spans="1:13" s="9" customFormat="1" ht="15.75" customHeight="1" x14ac:dyDescent="0.25">
      <c r="A160" s="93">
        <v>46212</v>
      </c>
      <c r="B160" s="94" t="s">
        <v>16</v>
      </c>
      <c r="C160" s="95">
        <v>6018</v>
      </c>
      <c r="D160" s="18"/>
      <c r="E160" s="96" t="s">
        <v>131</v>
      </c>
      <c r="F160" s="12">
        <v>5</v>
      </c>
      <c r="G160" s="97"/>
      <c r="H160" s="12">
        <f>900/5</f>
        <v>180</v>
      </c>
      <c r="I160" s="11">
        <f t="shared" si="6"/>
        <v>900</v>
      </c>
      <c r="J160" s="12"/>
      <c r="K160" s="12"/>
      <c r="L160" s="13">
        <f t="shared" si="5"/>
        <v>900</v>
      </c>
      <c r="M160" s="14"/>
    </row>
    <row r="161" spans="1:13" s="9" customFormat="1" ht="15.75" customHeight="1" x14ac:dyDescent="0.25">
      <c r="A161" s="93">
        <v>46212</v>
      </c>
      <c r="B161" s="94" t="s">
        <v>16</v>
      </c>
      <c r="C161" s="95">
        <v>6018</v>
      </c>
      <c r="D161" s="18"/>
      <c r="E161" s="96" t="s">
        <v>142</v>
      </c>
      <c r="F161" s="12">
        <v>3</v>
      </c>
      <c r="G161" s="97"/>
      <c r="H161" s="12">
        <f>960/3</f>
        <v>320</v>
      </c>
      <c r="I161" s="11">
        <f t="shared" si="6"/>
        <v>960</v>
      </c>
      <c r="J161" s="12"/>
      <c r="K161" s="12"/>
      <c r="L161" s="13">
        <f t="shared" si="5"/>
        <v>960</v>
      </c>
      <c r="M161" s="14"/>
    </row>
    <row r="162" spans="1:13" s="9" customFormat="1" ht="15.75" customHeight="1" x14ac:dyDescent="0.25">
      <c r="A162" s="93">
        <v>46212</v>
      </c>
      <c r="B162" s="94" t="s">
        <v>16</v>
      </c>
      <c r="C162" s="95">
        <v>6018</v>
      </c>
      <c r="D162" s="18"/>
      <c r="E162" s="96" t="s">
        <v>60</v>
      </c>
      <c r="F162" s="12">
        <v>3</v>
      </c>
      <c r="G162" s="97"/>
      <c r="H162" s="12">
        <f>555/3</f>
        <v>185</v>
      </c>
      <c r="I162" s="11">
        <f t="shared" si="6"/>
        <v>555</v>
      </c>
      <c r="J162" s="12"/>
      <c r="K162" s="12"/>
      <c r="L162" s="13">
        <f t="shared" si="5"/>
        <v>555</v>
      </c>
      <c r="M162" s="14"/>
    </row>
    <row r="163" spans="1:13" s="9" customFormat="1" ht="15.75" customHeight="1" x14ac:dyDescent="0.25">
      <c r="A163" s="93">
        <v>46212</v>
      </c>
      <c r="B163" s="94" t="s">
        <v>16</v>
      </c>
      <c r="C163" s="95">
        <v>6018</v>
      </c>
      <c r="D163" s="18"/>
      <c r="E163" s="96" t="s">
        <v>143</v>
      </c>
      <c r="F163" s="12">
        <v>1.5</v>
      </c>
      <c r="G163" s="97"/>
      <c r="H163" s="12">
        <f>480/1.5</f>
        <v>320</v>
      </c>
      <c r="I163" s="11">
        <f t="shared" si="6"/>
        <v>480</v>
      </c>
      <c r="J163" s="12"/>
      <c r="K163" s="12"/>
      <c r="L163" s="13">
        <f t="shared" si="5"/>
        <v>480</v>
      </c>
      <c r="M163" s="14"/>
    </row>
    <row r="164" spans="1:13" s="9" customFormat="1" ht="15.75" customHeight="1" x14ac:dyDescent="0.25">
      <c r="A164" s="93">
        <v>46212</v>
      </c>
      <c r="B164" s="94" t="s">
        <v>16</v>
      </c>
      <c r="C164" s="95">
        <v>6018</v>
      </c>
      <c r="D164" s="18"/>
      <c r="E164" s="96" t="s">
        <v>144</v>
      </c>
      <c r="F164" s="12">
        <v>1</v>
      </c>
      <c r="G164" s="97"/>
      <c r="H164" s="12">
        <v>39.75</v>
      </c>
      <c r="I164" s="11">
        <f t="shared" si="6"/>
        <v>39.75</v>
      </c>
      <c r="J164" s="12"/>
      <c r="K164" s="12"/>
      <c r="L164" s="13">
        <f t="shared" si="5"/>
        <v>39.75</v>
      </c>
      <c r="M164" s="14"/>
    </row>
    <row r="165" spans="1:13" s="9" customFormat="1" ht="15.75" customHeight="1" x14ac:dyDescent="0.25">
      <c r="A165" s="93">
        <v>46212</v>
      </c>
      <c r="B165" s="94" t="s">
        <v>16</v>
      </c>
      <c r="C165" s="95">
        <v>6018</v>
      </c>
      <c r="D165" s="18"/>
      <c r="E165" s="96" t="s">
        <v>145</v>
      </c>
      <c r="F165" s="12">
        <v>1</v>
      </c>
      <c r="G165" s="97"/>
      <c r="H165" s="12">
        <v>68</v>
      </c>
      <c r="I165" s="11">
        <f t="shared" si="6"/>
        <v>68</v>
      </c>
      <c r="J165" s="12"/>
      <c r="K165" s="12"/>
      <c r="L165" s="13">
        <f t="shared" si="5"/>
        <v>68</v>
      </c>
      <c r="M165" s="14"/>
    </row>
    <row r="166" spans="1:13" s="9" customFormat="1" ht="15.75" customHeight="1" x14ac:dyDescent="0.25">
      <c r="A166" s="93">
        <v>46212</v>
      </c>
      <c r="B166" s="94" t="s">
        <v>16</v>
      </c>
      <c r="C166" s="95">
        <v>6018</v>
      </c>
      <c r="D166" s="18"/>
      <c r="E166" s="96" t="s">
        <v>105</v>
      </c>
      <c r="F166" s="12">
        <v>5</v>
      </c>
      <c r="G166" s="97"/>
      <c r="H166" s="12">
        <v>86</v>
      </c>
      <c r="I166" s="11">
        <f t="shared" si="6"/>
        <v>430</v>
      </c>
      <c r="J166" s="12"/>
      <c r="K166" s="12"/>
      <c r="L166" s="13">
        <f t="shared" si="5"/>
        <v>430</v>
      </c>
      <c r="M166" s="14"/>
    </row>
    <row r="167" spans="1:13" s="9" customFormat="1" ht="15.75" customHeight="1" x14ac:dyDescent="0.25">
      <c r="A167" s="93">
        <v>46212</v>
      </c>
      <c r="B167" s="94" t="s">
        <v>16</v>
      </c>
      <c r="C167" s="95">
        <v>6018</v>
      </c>
      <c r="D167" s="18"/>
      <c r="E167" s="96" t="s">
        <v>146</v>
      </c>
      <c r="F167" s="12">
        <v>1</v>
      </c>
      <c r="G167" s="97"/>
      <c r="H167" s="12">
        <v>95</v>
      </c>
      <c r="I167" s="11">
        <f t="shared" si="6"/>
        <v>95</v>
      </c>
      <c r="J167" s="12"/>
      <c r="K167" s="12"/>
      <c r="L167" s="13">
        <f t="shared" si="5"/>
        <v>95</v>
      </c>
      <c r="M167" s="14"/>
    </row>
    <row r="168" spans="1:13" s="9" customFormat="1" ht="15.75" customHeight="1" x14ac:dyDescent="0.25">
      <c r="A168" s="93">
        <v>46212</v>
      </c>
      <c r="B168" s="94" t="s">
        <v>16</v>
      </c>
      <c r="C168" s="95">
        <v>6018</v>
      </c>
      <c r="D168" s="18"/>
      <c r="E168" s="96" t="s">
        <v>146</v>
      </c>
      <c r="F168" s="12">
        <v>1</v>
      </c>
      <c r="G168" s="97"/>
      <c r="H168" s="12">
        <v>50</v>
      </c>
      <c r="I168" s="11">
        <f t="shared" si="6"/>
        <v>50</v>
      </c>
      <c r="J168" s="12"/>
      <c r="K168" s="12"/>
      <c r="L168" s="13">
        <f t="shared" si="5"/>
        <v>50</v>
      </c>
      <c r="M168" s="14"/>
    </row>
    <row r="169" spans="1:13" s="9" customFormat="1" ht="15.75" customHeight="1" x14ac:dyDescent="0.25">
      <c r="A169" s="93">
        <v>46212</v>
      </c>
      <c r="B169" s="94" t="s">
        <v>16</v>
      </c>
      <c r="C169" s="95">
        <v>6018</v>
      </c>
      <c r="D169" s="18"/>
      <c r="E169" s="96" t="s">
        <v>147</v>
      </c>
      <c r="F169" s="12">
        <v>4</v>
      </c>
      <c r="G169" s="97"/>
      <c r="H169" s="12">
        <f>180/4</f>
        <v>45</v>
      </c>
      <c r="I169" s="11">
        <f t="shared" si="6"/>
        <v>180</v>
      </c>
      <c r="J169" s="12"/>
      <c r="K169" s="12"/>
      <c r="L169" s="13">
        <f t="shared" si="5"/>
        <v>180</v>
      </c>
      <c r="M169" s="14"/>
    </row>
    <row r="170" spans="1:13" s="9" customFormat="1" ht="15.75" customHeight="1" x14ac:dyDescent="0.25">
      <c r="A170" s="93">
        <v>46212</v>
      </c>
      <c r="B170" s="94" t="s">
        <v>16</v>
      </c>
      <c r="C170" s="95">
        <v>6018</v>
      </c>
      <c r="D170" s="18"/>
      <c r="E170" s="96" t="s">
        <v>148</v>
      </c>
      <c r="F170" s="12">
        <v>1</v>
      </c>
      <c r="G170" s="97"/>
      <c r="H170" s="12">
        <v>66.5</v>
      </c>
      <c r="I170" s="11">
        <f t="shared" si="6"/>
        <v>66.5</v>
      </c>
      <c r="J170" s="12"/>
      <c r="K170" s="12"/>
      <c r="L170" s="13">
        <f t="shared" si="5"/>
        <v>66.5</v>
      </c>
      <c r="M170" s="14"/>
    </row>
    <row r="171" spans="1:13" s="9" customFormat="1" ht="15.75" customHeight="1" x14ac:dyDescent="0.25">
      <c r="A171" s="93">
        <v>46212</v>
      </c>
      <c r="B171" s="94" t="s">
        <v>16</v>
      </c>
      <c r="C171" s="95">
        <v>6018</v>
      </c>
      <c r="D171" s="18"/>
      <c r="E171" s="96" t="s">
        <v>136</v>
      </c>
      <c r="F171" s="12">
        <v>2</v>
      </c>
      <c r="G171" s="97"/>
      <c r="H171" s="12">
        <v>76</v>
      </c>
      <c r="I171" s="11">
        <f t="shared" si="6"/>
        <v>152</v>
      </c>
      <c r="J171" s="12"/>
      <c r="K171" s="12"/>
      <c r="L171" s="13">
        <f t="shared" si="5"/>
        <v>152</v>
      </c>
      <c r="M171" s="14"/>
    </row>
    <row r="172" spans="1:13" s="9" customFormat="1" ht="15.75" customHeight="1" x14ac:dyDescent="0.25">
      <c r="A172" s="93">
        <v>46212</v>
      </c>
      <c r="B172" s="94" t="s">
        <v>16</v>
      </c>
      <c r="C172" s="95">
        <v>6018</v>
      </c>
      <c r="D172" s="18"/>
      <c r="E172" s="96" t="s">
        <v>122</v>
      </c>
      <c r="F172" s="12">
        <f>138/100</f>
        <v>1.38</v>
      </c>
      <c r="G172" s="97"/>
      <c r="H172" s="12">
        <v>100</v>
      </c>
      <c r="I172" s="11">
        <f t="shared" si="6"/>
        <v>138</v>
      </c>
      <c r="J172" s="12"/>
      <c r="K172" s="12"/>
      <c r="L172" s="13">
        <f t="shared" si="5"/>
        <v>138</v>
      </c>
      <c r="M172" s="14"/>
    </row>
    <row r="173" spans="1:13" s="9" customFormat="1" ht="15.75" customHeight="1" x14ac:dyDescent="0.25">
      <c r="A173" s="93">
        <v>46212</v>
      </c>
      <c r="B173" s="94" t="s">
        <v>16</v>
      </c>
      <c r="C173" s="95">
        <v>6018</v>
      </c>
      <c r="D173" s="18"/>
      <c r="E173" s="96" t="s">
        <v>36</v>
      </c>
      <c r="F173" s="12">
        <v>2</v>
      </c>
      <c r="G173" s="97"/>
      <c r="H173" s="12">
        <v>35</v>
      </c>
      <c r="I173" s="11">
        <f t="shared" si="6"/>
        <v>70</v>
      </c>
      <c r="J173" s="12"/>
      <c r="K173" s="12"/>
      <c r="L173" s="13">
        <f t="shared" si="5"/>
        <v>70</v>
      </c>
      <c r="M173" s="14"/>
    </row>
    <row r="174" spans="1:13" s="9" customFormat="1" ht="15.75" customHeight="1" x14ac:dyDescent="0.25">
      <c r="A174" s="93">
        <v>46212</v>
      </c>
      <c r="B174" s="94" t="s">
        <v>16</v>
      </c>
      <c r="C174" s="95">
        <v>6018</v>
      </c>
      <c r="D174" s="18"/>
      <c r="E174" s="96" t="s">
        <v>45</v>
      </c>
      <c r="F174" s="12">
        <v>1</v>
      </c>
      <c r="G174" s="97"/>
      <c r="H174" s="12">
        <v>40</v>
      </c>
      <c r="I174" s="11">
        <f t="shared" si="6"/>
        <v>40</v>
      </c>
      <c r="J174" s="12"/>
      <c r="K174" s="12"/>
      <c r="L174" s="13">
        <f t="shared" si="5"/>
        <v>40</v>
      </c>
      <c r="M174" s="14"/>
    </row>
    <row r="175" spans="1:13" s="9" customFormat="1" ht="15.75" customHeight="1" x14ac:dyDescent="0.25">
      <c r="A175" s="93">
        <v>46212</v>
      </c>
      <c r="B175" s="94" t="s">
        <v>16</v>
      </c>
      <c r="C175" s="95">
        <v>6018</v>
      </c>
      <c r="D175" s="18"/>
      <c r="E175" s="96" t="s">
        <v>38</v>
      </c>
      <c r="F175" s="12">
        <v>1</v>
      </c>
      <c r="G175" s="97"/>
      <c r="H175" s="12">
        <v>100</v>
      </c>
      <c r="I175" s="11">
        <f t="shared" si="6"/>
        <v>100</v>
      </c>
      <c r="J175" s="12"/>
      <c r="K175" s="12"/>
      <c r="L175" s="13">
        <f t="shared" si="5"/>
        <v>100</v>
      </c>
      <c r="M175" s="14"/>
    </row>
    <row r="176" spans="1:13" s="9" customFormat="1" ht="15.75" customHeight="1" x14ac:dyDescent="0.25">
      <c r="A176" s="93">
        <v>46212</v>
      </c>
      <c r="B176" s="94" t="s">
        <v>16</v>
      </c>
      <c r="C176" s="95">
        <v>6018</v>
      </c>
      <c r="D176" s="18"/>
      <c r="E176" s="96" t="s">
        <v>34</v>
      </c>
      <c r="F176" s="12">
        <v>1</v>
      </c>
      <c r="G176" s="97"/>
      <c r="H176" s="12">
        <v>25</v>
      </c>
      <c r="I176" s="11">
        <f t="shared" si="6"/>
        <v>25</v>
      </c>
      <c r="J176" s="12"/>
      <c r="K176" s="12"/>
      <c r="L176" s="13">
        <f t="shared" si="5"/>
        <v>25</v>
      </c>
      <c r="M176" s="14"/>
    </row>
    <row r="177" spans="1:136" s="9" customFormat="1" ht="15.75" customHeight="1" x14ac:dyDescent="0.25">
      <c r="A177" s="93">
        <v>46212</v>
      </c>
      <c r="B177" s="94" t="s">
        <v>16</v>
      </c>
      <c r="C177" s="95">
        <v>6018</v>
      </c>
      <c r="D177" s="18"/>
      <c r="E177" s="96" t="s">
        <v>121</v>
      </c>
      <c r="F177" s="12">
        <f>101/90</f>
        <v>1.1222222222222222</v>
      </c>
      <c r="G177" s="97"/>
      <c r="H177" s="12">
        <v>90</v>
      </c>
      <c r="I177" s="11">
        <f t="shared" si="6"/>
        <v>101</v>
      </c>
      <c r="J177" s="12"/>
      <c r="K177" s="12"/>
      <c r="L177" s="13">
        <f t="shared" si="5"/>
        <v>101</v>
      </c>
      <c r="M177" s="14"/>
    </row>
    <row r="178" spans="1:136" s="9" customFormat="1" ht="15.75" customHeight="1" x14ac:dyDescent="0.25">
      <c r="A178" s="93">
        <v>46212</v>
      </c>
      <c r="B178" s="94" t="s">
        <v>16</v>
      </c>
      <c r="C178" s="95">
        <v>6018</v>
      </c>
      <c r="D178" s="18"/>
      <c r="E178" s="96" t="s">
        <v>71</v>
      </c>
      <c r="F178" s="12">
        <v>2</v>
      </c>
      <c r="G178" s="97"/>
      <c r="H178" s="12">
        <v>80</v>
      </c>
      <c r="I178" s="11">
        <f t="shared" si="6"/>
        <v>160</v>
      </c>
      <c r="J178" s="12"/>
      <c r="K178" s="12"/>
      <c r="L178" s="13">
        <f t="shared" si="5"/>
        <v>160</v>
      </c>
      <c r="M178" s="14"/>
    </row>
    <row r="179" spans="1:136" s="9" customFormat="1" ht="15.75" customHeight="1" x14ac:dyDescent="0.25">
      <c r="A179" s="93">
        <v>46212</v>
      </c>
      <c r="B179" s="94" t="s">
        <v>16</v>
      </c>
      <c r="C179" s="95">
        <v>6018</v>
      </c>
      <c r="D179" s="18"/>
      <c r="E179" s="96" t="s">
        <v>39</v>
      </c>
      <c r="F179" s="12">
        <v>3</v>
      </c>
      <c r="G179" s="97"/>
      <c r="H179" s="12">
        <v>60</v>
      </c>
      <c r="I179" s="11">
        <f t="shared" si="6"/>
        <v>180</v>
      </c>
      <c r="J179" s="12"/>
      <c r="K179" s="12"/>
      <c r="L179" s="13">
        <f t="shared" si="5"/>
        <v>180</v>
      </c>
      <c r="M179" s="14"/>
    </row>
    <row r="180" spans="1:136" s="9" customFormat="1" ht="15.75" customHeight="1" x14ac:dyDescent="0.25">
      <c r="A180" s="93">
        <v>46212</v>
      </c>
      <c r="B180" s="94" t="s">
        <v>16</v>
      </c>
      <c r="C180" s="95">
        <v>6018</v>
      </c>
      <c r="D180" s="18"/>
      <c r="E180" s="96" t="s">
        <v>70</v>
      </c>
      <c r="F180" s="12">
        <v>2</v>
      </c>
      <c r="G180" s="97"/>
      <c r="H180" s="12">
        <v>100</v>
      </c>
      <c r="I180" s="11">
        <f t="shared" si="6"/>
        <v>200</v>
      </c>
      <c r="J180" s="12"/>
      <c r="K180" s="12"/>
      <c r="L180" s="13">
        <f t="shared" si="5"/>
        <v>200</v>
      </c>
      <c r="M180" s="14"/>
    </row>
    <row r="181" spans="1:136" s="9" customFormat="1" ht="18.75" customHeight="1" x14ac:dyDescent="0.25">
      <c r="A181" s="93">
        <v>46212</v>
      </c>
      <c r="B181" s="94" t="s">
        <v>16</v>
      </c>
      <c r="C181" s="95">
        <v>6018</v>
      </c>
      <c r="D181" s="18"/>
      <c r="E181" s="96" t="s">
        <v>119</v>
      </c>
      <c r="F181" s="12">
        <v>0.5</v>
      </c>
      <c r="G181" s="97"/>
      <c r="H181" s="12">
        <v>160</v>
      </c>
      <c r="I181" s="11">
        <f t="shared" si="6"/>
        <v>80</v>
      </c>
      <c r="J181" s="12"/>
      <c r="K181" s="12"/>
      <c r="L181" s="13">
        <f t="shared" si="5"/>
        <v>80</v>
      </c>
      <c r="M181" s="14"/>
    </row>
    <row r="182" spans="1:136" s="98" customFormat="1" ht="15.75" customHeight="1" x14ac:dyDescent="0.25">
      <c r="A182" s="93">
        <v>46212</v>
      </c>
      <c r="B182" s="94" t="s">
        <v>16</v>
      </c>
      <c r="C182" s="95">
        <v>6018</v>
      </c>
      <c r="D182" s="20"/>
      <c r="E182" s="96" t="s">
        <v>42</v>
      </c>
      <c r="F182" s="21">
        <v>2</v>
      </c>
      <c r="G182" s="97"/>
      <c r="H182" s="12">
        <v>90</v>
      </c>
      <c r="I182" s="11">
        <f t="shared" si="6"/>
        <v>180</v>
      </c>
      <c r="J182" s="21"/>
      <c r="K182" s="21"/>
      <c r="L182" s="13">
        <f t="shared" si="5"/>
        <v>180</v>
      </c>
      <c r="M182" s="22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</row>
    <row r="183" spans="1:136" s="98" customFormat="1" ht="15.75" customHeight="1" x14ac:dyDescent="0.25">
      <c r="A183" s="93">
        <v>46212</v>
      </c>
      <c r="B183" s="94" t="s">
        <v>16</v>
      </c>
      <c r="C183" s="95">
        <v>6018</v>
      </c>
      <c r="D183" s="20"/>
      <c r="E183" s="99" t="s">
        <v>123</v>
      </c>
      <c r="F183" s="21">
        <v>2</v>
      </c>
      <c r="G183" s="97"/>
      <c r="H183" s="21">
        <v>80</v>
      </c>
      <c r="I183" s="11">
        <f t="shared" si="6"/>
        <v>160</v>
      </c>
      <c r="J183" s="21"/>
      <c r="K183" s="21"/>
      <c r="L183" s="13">
        <f t="shared" si="5"/>
        <v>160</v>
      </c>
      <c r="M183" s="22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</row>
    <row r="184" spans="1:136" s="98" customFormat="1" ht="15.75" customHeight="1" x14ac:dyDescent="0.25">
      <c r="A184" s="93">
        <v>46212</v>
      </c>
      <c r="B184" s="94" t="s">
        <v>16</v>
      </c>
      <c r="C184" s="95">
        <v>6018</v>
      </c>
      <c r="D184" s="20"/>
      <c r="E184" s="99" t="s">
        <v>25</v>
      </c>
      <c r="F184" s="21">
        <v>2</v>
      </c>
      <c r="G184" s="97"/>
      <c r="H184" s="21">
        <v>60</v>
      </c>
      <c r="I184" s="11">
        <f t="shared" si="6"/>
        <v>120</v>
      </c>
      <c r="J184" s="21"/>
      <c r="K184" s="21"/>
      <c r="L184" s="13">
        <f t="shared" si="5"/>
        <v>120</v>
      </c>
      <c r="M184" s="22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</row>
    <row r="185" spans="1:136" s="98" customFormat="1" ht="15.75" customHeight="1" x14ac:dyDescent="0.25">
      <c r="A185" s="93">
        <v>46212</v>
      </c>
      <c r="B185" s="94" t="s">
        <v>16</v>
      </c>
      <c r="C185" s="95">
        <v>6018</v>
      </c>
      <c r="D185" s="20"/>
      <c r="E185" s="99" t="s">
        <v>118</v>
      </c>
      <c r="F185" s="21">
        <v>0.5</v>
      </c>
      <c r="G185" s="97"/>
      <c r="H185" s="21">
        <v>50</v>
      </c>
      <c r="I185" s="11">
        <f t="shared" si="6"/>
        <v>25</v>
      </c>
      <c r="J185" s="21"/>
      <c r="K185" s="21"/>
      <c r="L185" s="13">
        <f t="shared" ref="L185:L245" si="7">I185-J185-K185</f>
        <v>25</v>
      </c>
      <c r="M185" s="22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</row>
    <row r="186" spans="1:136" s="98" customFormat="1" ht="15.75" customHeight="1" x14ac:dyDescent="0.25">
      <c r="A186" s="93">
        <v>46212</v>
      </c>
      <c r="B186" s="94" t="s">
        <v>16</v>
      </c>
      <c r="C186" s="95">
        <v>6018</v>
      </c>
      <c r="D186" s="20"/>
      <c r="E186" s="99" t="s">
        <v>60</v>
      </c>
      <c r="F186" s="21">
        <v>3</v>
      </c>
      <c r="G186" s="97"/>
      <c r="H186" s="21">
        <f>570/3</f>
        <v>190</v>
      </c>
      <c r="I186" s="11">
        <f t="shared" ref="I186:I246" si="8">F186*H186</f>
        <v>570</v>
      </c>
      <c r="J186" s="21"/>
      <c r="K186" s="21"/>
      <c r="L186" s="13">
        <f t="shared" si="7"/>
        <v>570</v>
      </c>
      <c r="M186" s="22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</row>
    <row r="187" spans="1:136" s="98" customFormat="1" ht="15.75" customHeight="1" x14ac:dyDescent="0.25">
      <c r="A187" s="93">
        <v>46212</v>
      </c>
      <c r="B187" s="94" t="s">
        <v>16</v>
      </c>
      <c r="C187" s="95">
        <v>6018</v>
      </c>
      <c r="D187" s="20"/>
      <c r="E187" s="99" t="s">
        <v>131</v>
      </c>
      <c r="F187" s="21">
        <v>5</v>
      </c>
      <c r="G187" s="97"/>
      <c r="H187" s="21">
        <f>925/F187</f>
        <v>185</v>
      </c>
      <c r="I187" s="11">
        <f t="shared" si="8"/>
        <v>925</v>
      </c>
      <c r="J187" s="21"/>
      <c r="K187" s="21"/>
      <c r="L187" s="13">
        <f t="shared" si="7"/>
        <v>925</v>
      </c>
      <c r="M187" s="22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</row>
    <row r="188" spans="1:136" s="98" customFormat="1" ht="15.75" customHeight="1" x14ac:dyDescent="0.25">
      <c r="A188" s="93">
        <v>46212</v>
      </c>
      <c r="B188" s="94" t="s">
        <v>16</v>
      </c>
      <c r="C188" s="95">
        <v>6018</v>
      </c>
      <c r="D188" s="20"/>
      <c r="E188" s="99" t="s">
        <v>149</v>
      </c>
      <c r="F188" s="21">
        <v>5</v>
      </c>
      <c r="G188" s="97"/>
      <c r="H188" s="21">
        <f>2125/F188</f>
        <v>425</v>
      </c>
      <c r="I188" s="11">
        <f t="shared" si="8"/>
        <v>2125</v>
      </c>
      <c r="J188" s="21"/>
      <c r="K188" s="21"/>
      <c r="L188" s="13">
        <f t="shared" si="7"/>
        <v>2125</v>
      </c>
      <c r="M188" s="22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</row>
    <row r="189" spans="1:136" s="98" customFormat="1" ht="15.75" customHeight="1" x14ac:dyDescent="0.25">
      <c r="A189" s="93">
        <v>46212</v>
      </c>
      <c r="B189" s="94" t="s">
        <v>16</v>
      </c>
      <c r="C189" s="95">
        <v>6018</v>
      </c>
      <c r="D189" s="20"/>
      <c r="E189" s="99" t="s">
        <v>150</v>
      </c>
      <c r="F189" s="21">
        <v>2</v>
      </c>
      <c r="G189" s="97"/>
      <c r="H189" s="21">
        <f>370/F189</f>
        <v>185</v>
      </c>
      <c r="I189" s="11">
        <f t="shared" si="8"/>
        <v>370</v>
      </c>
      <c r="J189" s="21"/>
      <c r="K189" s="21"/>
      <c r="L189" s="13">
        <f t="shared" si="7"/>
        <v>370</v>
      </c>
      <c r="M189" s="22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</row>
    <row r="190" spans="1:136" s="98" customFormat="1" ht="15.75" customHeight="1" x14ac:dyDescent="0.25">
      <c r="A190" s="93">
        <v>46212</v>
      </c>
      <c r="B190" s="94" t="s">
        <v>16</v>
      </c>
      <c r="C190" s="95">
        <v>6018</v>
      </c>
      <c r="D190" s="20"/>
      <c r="E190" s="99" t="s">
        <v>100</v>
      </c>
      <c r="F190" s="21">
        <v>1</v>
      </c>
      <c r="G190" s="97"/>
      <c r="H190" s="21">
        <v>41.25</v>
      </c>
      <c r="I190" s="11">
        <f t="shared" si="8"/>
        <v>41.25</v>
      </c>
      <c r="J190" s="21"/>
      <c r="K190" s="21"/>
      <c r="L190" s="13">
        <f t="shared" si="7"/>
        <v>41.25</v>
      </c>
      <c r="M190" s="22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</row>
    <row r="191" spans="1:136" s="98" customFormat="1" ht="15.75" customHeight="1" x14ac:dyDescent="0.25">
      <c r="A191" s="93">
        <v>46212</v>
      </c>
      <c r="B191" s="94" t="s">
        <v>16</v>
      </c>
      <c r="C191" s="95">
        <v>6018</v>
      </c>
      <c r="D191" s="20"/>
      <c r="E191" s="99" t="s">
        <v>76</v>
      </c>
      <c r="F191" s="21">
        <v>2</v>
      </c>
      <c r="G191" s="97"/>
      <c r="H191" s="21">
        <v>38</v>
      </c>
      <c r="I191" s="11">
        <f t="shared" si="8"/>
        <v>76</v>
      </c>
      <c r="J191" s="21"/>
      <c r="K191" s="21"/>
      <c r="L191" s="13">
        <f t="shared" si="7"/>
        <v>76</v>
      </c>
      <c r="M191" s="22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</row>
    <row r="192" spans="1:136" s="98" customFormat="1" ht="15.75" customHeight="1" x14ac:dyDescent="0.25">
      <c r="A192" s="93">
        <v>46212</v>
      </c>
      <c r="B192" s="94" t="s">
        <v>16</v>
      </c>
      <c r="C192" s="95">
        <v>6018</v>
      </c>
      <c r="D192" s="20"/>
      <c r="E192" s="99" t="s">
        <v>137</v>
      </c>
      <c r="F192" s="21">
        <v>2</v>
      </c>
      <c r="G192" s="97"/>
      <c r="H192" s="21">
        <v>72.25</v>
      </c>
      <c r="I192" s="11">
        <f t="shared" si="8"/>
        <v>144.5</v>
      </c>
      <c r="J192" s="21"/>
      <c r="K192" s="21"/>
      <c r="L192" s="13">
        <f t="shared" si="7"/>
        <v>144.5</v>
      </c>
      <c r="M192" s="22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</row>
    <row r="193" spans="1:136" s="98" customFormat="1" ht="15.75" customHeight="1" x14ac:dyDescent="0.25">
      <c r="A193" s="93">
        <v>46217</v>
      </c>
      <c r="B193" s="94" t="s">
        <v>16</v>
      </c>
      <c r="C193" s="95">
        <v>6019</v>
      </c>
      <c r="D193" s="20"/>
      <c r="E193" s="99" t="s">
        <v>129</v>
      </c>
      <c r="F193" s="21">
        <v>1</v>
      </c>
      <c r="G193" s="97"/>
      <c r="H193" s="21">
        <v>250</v>
      </c>
      <c r="I193" s="11">
        <f t="shared" si="8"/>
        <v>250</v>
      </c>
      <c r="J193" s="21"/>
      <c r="K193" s="21"/>
      <c r="L193" s="13">
        <f t="shared" si="7"/>
        <v>250</v>
      </c>
      <c r="M193" s="22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</row>
    <row r="194" spans="1:136" s="98" customFormat="1" ht="15.75" customHeight="1" x14ac:dyDescent="0.25">
      <c r="A194" s="93">
        <v>46217</v>
      </c>
      <c r="B194" s="94" t="s">
        <v>16</v>
      </c>
      <c r="C194" s="95">
        <v>6019</v>
      </c>
      <c r="D194" s="20"/>
      <c r="E194" s="99" t="s">
        <v>130</v>
      </c>
      <c r="F194" s="21">
        <v>4</v>
      </c>
      <c r="G194" s="97"/>
      <c r="H194" s="21">
        <f>1240/F194</f>
        <v>310</v>
      </c>
      <c r="I194" s="11">
        <f t="shared" si="8"/>
        <v>1240</v>
      </c>
      <c r="J194" s="21"/>
      <c r="K194" s="21"/>
      <c r="L194" s="13">
        <f t="shared" si="7"/>
        <v>1240</v>
      </c>
      <c r="M194" s="22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</row>
    <row r="195" spans="1:136" s="98" customFormat="1" ht="15.75" customHeight="1" x14ac:dyDescent="0.25">
      <c r="A195" s="93">
        <v>46217</v>
      </c>
      <c r="B195" s="94" t="s">
        <v>16</v>
      </c>
      <c r="C195" s="95">
        <v>6019</v>
      </c>
      <c r="D195" s="20"/>
      <c r="E195" s="99" t="s">
        <v>61</v>
      </c>
      <c r="F195" s="21">
        <v>3</v>
      </c>
      <c r="G195" s="97"/>
      <c r="H195" s="21">
        <v>320</v>
      </c>
      <c r="I195" s="11">
        <f t="shared" si="8"/>
        <v>960</v>
      </c>
      <c r="J195" s="21"/>
      <c r="K195" s="21"/>
      <c r="L195" s="13">
        <f t="shared" si="7"/>
        <v>960</v>
      </c>
      <c r="M195" s="22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</row>
    <row r="196" spans="1:136" s="98" customFormat="1" ht="15.75" customHeight="1" x14ac:dyDescent="0.25">
      <c r="A196" s="93">
        <v>46217</v>
      </c>
      <c r="B196" s="94" t="s">
        <v>16</v>
      </c>
      <c r="C196" s="95">
        <v>6019</v>
      </c>
      <c r="D196" s="20"/>
      <c r="E196" s="99" t="s">
        <v>60</v>
      </c>
      <c r="F196" s="21">
        <v>2</v>
      </c>
      <c r="G196" s="97"/>
      <c r="H196" s="21">
        <v>195</v>
      </c>
      <c r="I196" s="11">
        <f t="shared" si="8"/>
        <v>390</v>
      </c>
      <c r="J196" s="21"/>
      <c r="K196" s="21"/>
      <c r="L196" s="13">
        <f t="shared" si="7"/>
        <v>390</v>
      </c>
      <c r="M196" s="22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</row>
    <row r="197" spans="1:136" s="98" customFormat="1" ht="15.75" customHeight="1" x14ac:dyDescent="0.25">
      <c r="A197" s="93">
        <v>46217</v>
      </c>
      <c r="B197" s="94" t="s">
        <v>16</v>
      </c>
      <c r="C197" s="95">
        <v>6019</v>
      </c>
      <c r="D197" s="20"/>
      <c r="E197" s="99" t="s">
        <v>44</v>
      </c>
      <c r="F197" s="21">
        <v>2</v>
      </c>
      <c r="G197" s="97"/>
      <c r="H197" s="21">
        <v>220</v>
      </c>
      <c r="I197" s="11">
        <f t="shared" si="8"/>
        <v>440</v>
      </c>
      <c r="J197" s="21"/>
      <c r="K197" s="21"/>
      <c r="L197" s="13">
        <f t="shared" si="7"/>
        <v>440</v>
      </c>
      <c r="M197" s="22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</row>
    <row r="198" spans="1:136" s="98" customFormat="1" ht="15.75" customHeight="1" x14ac:dyDescent="0.25">
      <c r="A198" s="93">
        <v>46217</v>
      </c>
      <c r="B198" s="94" t="s">
        <v>16</v>
      </c>
      <c r="C198" s="95">
        <v>6019</v>
      </c>
      <c r="D198" s="20"/>
      <c r="E198" s="99" t="s">
        <v>151</v>
      </c>
      <c r="F198" s="21">
        <f>142/60</f>
        <v>2.3666666666666667</v>
      </c>
      <c r="G198" s="97"/>
      <c r="H198" s="21">
        <v>60</v>
      </c>
      <c r="I198" s="11">
        <f t="shared" si="8"/>
        <v>142</v>
      </c>
      <c r="J198" s="21"/>
      <c r="K198" s="21"/>
      <c r="L198" s="13">
        <f t="shared" si="7"/>
        <v>142</v>
      </c>
      <c r="M198" s="22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</row>
    <row r="199" spans="1:136" s="98" customFormat="1" ht="15.75" customHeight="1" x14ac:dyDescent="0.25">
      <c r="A199" s="93">
        <v>46217</v>
      </c>
      <c r="B199" s="94" t="s">
        <v>16</v>
      </c>
      <c r="C199" s="95">
        <v>6019</v>
      </c>
      <c r="D199" s="20"/>
      <c r="E199" s="99" t="s">
        <v>44</v>
      </c>
      <c r="F199" s="21">
        <v>1</v>
      </c>
      <c r="G199" s="97"/>
      <c r="H199" s="21">
        <v>220</v>
      </c>
      <c r="I199" s="11">
        <f t="shared" si="8"/>
        <v>220</v>
      </c>
      <c r="J199" s="21"/>
      <c r="K199" s="21"/>
      <c r="L199" s="13">
        <f t="shared" si="7"/>
        <v>220</v>
      </c>
      <c r="M199" s="22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</row>
    <row r="200" spans="1:136" s="98" customFormat="1" ht="15.75" customHeight="1" x14ac:dyDescent="0.25">
      <c r="A200" s="93">
        <v>46217</v>
      </c>
      <c r="B200" s="94" t="s">
        <v>16</v>
      </c>
      <c r="C200" s="95">
        <v>6019</v>
      </c>
      <c r="D200" s="20"/>
      <c r="E200" s="99" t="s">
        <v>43</v>
      </c>
      <c r="F200" s="21">
        <v>10</v>
      </c>
      <c r="G200" s="97"/>
      <c r="H200" s="21">
        <v>12</v>
      </c>
      <c r="I200" s="11">
        <f t="shared" si="8"/>
        <v>120</v>
      </c>
      <c r="J200" s="21"/>
      <c r="K200" s="21"/>
      <c r="L200" s="13">
        <f t="shared" si="7"/>
        <v>120</v>
      </c>
      <c r="M200" s="22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</row>
    <row r="201" spans="1:136" s="98" customFormat="1" ht="15.75" customHeight="1" x14ac:dyDescent="0.25">
      <c r="A201" s="93">
        <v>46217</v>
      </c>
      <c r="B201" s="94" t="s">
        <v>16</v>
      </c>
      <c r="C201" s="95">
        <v>6019</v>
      </c>
      <c r="D201" s="20"/>
      <c r="E201" s="99" t="s">
        <v>152</v>
      </c>
      <c r="F201" s="21">
        <v>2</v>
      </c>
      <c r="G201" s="97"/>
      <c r="H201" s="21">
        <v>100</v>
      </c>
      <c r="I201" s="11">
        <f t="shared" si="8"/>
        <v>200</v>
      </c>
      <c r="J201" s="21"/>
      <c r="K201" s="21"/>
      <c r="L201" s="13">
        <f t="shared" si="7"/>
        <v>200</v>
      </c>
      <c r="M201" s="22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</row>
    <row r="202" spans="1:136" s="98" customFormat="1" ht="15.75" customHeight="1" x14ac:dyDescent="0.25">
      <c r="A202" s="93">
        <v>46217</v>
      </c>
      <c r="B202" s="94" t="s">
        <v>16</v>
      </c>
      <c r="C202" s="95">
        <v>6019</v>
      </c>
      <c r="D202" s="20"/>
      <c r="E202" s="99" t="s">
        <v>70</v>
      </c>
      <c r="F202" s="21">
        <v>1</v>
      </c>
      <c r="G202" s="97"/>
      <c r="H202" s="21">
        <v>110</v>
      </c>
      <c r="I202" s="11">
        <f t="shared" si="8"/>
        <v>110</v>
      </c>
      <c r="J202" s="21"/>
      <c r="K202" s="21"/>
      <c r="L202" s="13">
        <f t="shared" si="7"/>
        <v>110</v>
      </c>
      <c r="M202" s="22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</row>
    <row r="203" spans="1:136" s="98" customFormat="1" ht="15.75" customHeight="1" x14ac:dyDescent="0.25">
      <c r="A203" s="93">
        <v>46217</v>
      </c>
      <c r="B203" s="94" t="s">
        <v>16</v>
      </c>
      <c r="C203" s="95">
        <v>6019</v>
      </c>
      <c r="D203" s="20"/>
      <c r="E203" s="99" t="s">
        <v>153</v>
      </c>
      <c r="F203" s="21">
        <v>0.5</v>
      </c>
      <c r="G203" s="97"/>
      <c r="H203" s="21">
        <v>120</v>
      </c>
      <c r="I203" s="11">
        <f t="shared" si="8"/>
        <v>60</v>
      </c>
      <c r="J203" s="21"/>
      <c r="K203" s="21"/>
      <c r="L203" s="13">
        <f t="shared" si="7"/>
        <v>60</v>
      </c>
      <c r="M203" s="22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</row>
    <row r="204" spans="1:136" s="98" customFormat="1" ht="15.75" customHeight="1" x14ac:dyDescent="0.25">
      <c r="A204" s="93">
        <v>46217</v>
      </c>
      <c r="B204" s="94" t="s">
        <v>16</v>
      </c>
      <c r="C204" s="95">
        <v>6019</v>
      </c>
      <c r="D204" s="20"/>
      <c r="E204" s="99" t="s">
        <v>42</v>
      </c>
      <c r="F204" s="21">
        <v>1</v>
      </c>
      <c r="G204" s="97"/>
      <c r="H204" s="21">
        <v>80</v>
      </c>
      <c r="I204" s="11">
        <f t="shared" si="8"/>
        <v>80</v>
      </c>
      <c r="J204" s="21"/>
      <c r="K204" s="21"/>
      <c r="L204" s="13">
        <f t="shared" si="7"/>
        <v>80</v>
      </c>
      <c r="M204" s="22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</row>
    <row r="205" spans="1:136" s="98" customFormat="1" ht="15.75" customHeight="1" x14ac:dyDescent="0.25">
      <c r="A205" s="93">
        <v>46217</v>
      </c>
      <c r="B205" s="94" t="s">
        <v>16</v>
      </c>
      <c r="C205" s="95">
        <v>6019</v>
      </c>
      <c r="D205" s="20"/>
      <c r="E205" s="99" t="s">
        <v>38</v>
      </c>
      <c r="F205" s="21">
        <v>2</v>
      </c>
      <c r="G205" s="97"/>
      <c r="H205" s="21">
        <v>100</v>
      </c>
      <c r="I205" s="11">
        <f t="shared" si="8"/>
        <v>200</v>
      </c>
      <c r="J205" s="21"/>
      <c r="K205" s="21"/>
      <c r="L205" s="13">
        <f t="shared" si="7"/>
        <v>200</v>
      </c>
      <c r="M205" s="22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</row>
    <row r="206" spans="1:136" s="98" customFormat="1" ht="15.75" customHeight="1" x14ac:dyDescent="0.25">
      <c r="A206" s="93">
        <v>46217</v>
      </c>
      <c r="B206" s="94" t="s">
        <v>16</v>
      </c>
      <c r="C206" s="95">
        <v>6019</v>
      </c>
      <c r="D206" s="20"/>
      <c r="E206" s="99" t="s">
        <v>71</v>
      </c>
      <c r="F206" s="21">
        <v>2</v>
      </c>
      <c r="G206" s="97"/>
      <c r="H206" s="21">
        <v>80</v>
      </c>
      <c r="I206" s="11">
        <f t="shared" si="8"/>
        <v>160</v>
      </c>
      <c r="J206" s="21"/>
      <c r="K206" s="21"/>
      <c r="L206" s="13">
        <f t="shared" si="7"/>
        <v>160</v>
      </c>
      <c r="M206" s="22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</row>
    <row r="207" spans="1:136" s="98" customFormat="1" ht="15.75" customHeight="1" x14ac:dyDescent="0.25">
      <c r="A207" s="93">
        <v>46217</v>
      </c>
      <c r="B207" s="94" t="s">
        <v>16</v>
      </c>
      <c r="C207" s="95">
        <v>6019</v>
      </c>
      <c r="D207" s="20"/>
      <c r="E207" s="99" t="s">
        <v>25</v>
      </c>
      <c r="F207" s="21">
        <v>1</v>
      </c>
      <c r="G207" s="97"/>
      <c r="H207" s="21">
        <v>60</v>
      </c>
      <c r="I207" s="11">
        <f t="shared" si="8"/>
        <v>60</v>
      </c>
      <c r="J207" s="21"/>
      <c r="K207" s="21"/>
      <c r="L207" s="13">
        <f t="shared" si="7"/>
        <v>60</v>
      </c>
      <c r="M207" s="22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  <c r="BH207" s="9"/>
      <c r="BI207" s="9"/>
      <c r="BJ207" s="9"/>
      <c r="BK207" s="9"/>
      <c r="BL207" s="9"/>
      <c r="BM207" s="9"/>
      <c r="BN207" s="9"/>
      <c r="BO207" s="9"/>
      <c r="BP207" s="9"/>
      <c r="BQ207" s="9"/>
      <c r="BR207" s="9"/>
      <c r="BS207" s="9"/>
      <c r="BT207" s="9"/>
      <c r="BU207" s="9"/>
      <c r="BV207" s="9"/>
      <c r="BW207" s="9"/>
      <c r="BX207" s="9"/>
      <c r="BY207" s="9"/>
      <c r="BZ207" s="9"/>
      <c r="CA207" s="9"/>
      <c r="CB207" s="9"/>
      <c r="CC207" s="9"/>
      <c r="CD207" s="9"/>
      <c r="CE207" s="9"/>
      <c r="CF207" s="9"/>
      <c r="CG207" s="9"/>
      <c r="CH207" s="9"/>
      <c r="CI207" s="9"/>
      <c r="CJ207" s="9"/>
      <c r="CK207" s="9"/>
      <c r="CL207" s="9"/>
      <c r="CM207" s="9"/>
      <c r="CN207" s="9"/>
      <c r="CO207" s="9"/>
      <c r="CP207" s="9"/>
      <c r="CQ207" s="9"/>
      <c r="CR207" s="9"/>
      <c r="CS207" s="9"/>
      <c r="CT207" s="9"/>
      <c r="CU207" s="9"/>
      <c r="CV207" s="9"/>
      <c r="CW207" s="9"/>
      <c r="CX207" s="9"/>
      <c r="CY207" s="9"/>
      <c r="CZ207" s="9"/>
      <c r="DA207" s="9"/>
      <c r="DB207" s="9"/>
      <c r="DC207" s="9"/>
      <c r="DD207" s="9"/>
      <c r="DE207" s="9"/>
      <c r="DF207" s="9"/>
      <c r="DG207" s="9"/>
      <c r="DH207" s="9"/>
      <c r="DI207" s="9"/>
      <c r="DJ207" s="9"/>
      <c r="DK207" s="9"/>
      <c r="DL207" s="9"/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/>
      <c r="DX207" s="9"/>
      <c r="DY207" s="9"/>
      <c r="DZ207" s="9"/>
      <c r="EA207" s="9"/>
      <c r="EB207" s="9"/>
      <c r="EC207" s="9"/>
      <c r="ED207" s="9"/>
      <c r="EE207" s="9"/>
      <c r="EF207" s="9"/>
    </row>
    <row r="208" spans="1:136" s="98" customFormat="1" ht="15.75" customHeight="1" x14ac:dyDescent="0.25">
      <c r="A208" s="93">
        <v>46217</v>
      </c>
      <c r="B208" s="94" t="s">
        <v>16</v>
      </c>
      <c r="C208" s="95">
        <v>6019</v>
      </c>
      <c r="D208" s="20"/>
      <c r="E208" s="99" t="s">
        <v>39</v>
      </c>
      <c r="F208" s="21">
        <v>2</v>
      </c>
      <c r="G208" s="97"/>
      <c r="H208" s="21">
        <v>60</v>
      </c>
      <c r="I208" s="11">
        <f t="shared" si="8"/>
        <v>120</v>
      </c>
      <c r="J208" s="21"/>
      <c r="K208" s="21"/>
      <c r="L208" s="13">
        <f t="shared" si="7"/>
        <v>120</v>
      </c>
      <c r="M208" s="22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</row>
    <row r="209" spans="1:136" s="98" customFormat="1" ht="15.75" customHeight="1" x14ac:dyDescent="0.25">
      <c r="A209" s="93">
        <v>46217</v>
      </c>
      <c r="B209" s="94" t="s">
        <v>16</v>
      </c>
      <c r="C209" s="95">
        <v>6019</v>
      </c>
      <c r="D209" s="20"/>
      <c r="E209" s="99" t="s">
        <v>119</v>
      </c>
      <c r="F209" s="21">
        <v>0.5</v>
      </c>
      <c r="G209" s="97"/>
      <c r="H209" s="21">
        <v>160</v>
      </c>
      <c r="I209" s="11">
        <f t="shared" si="8"/>
        <v>80</v>
      </c>
      <c r="J209" s="21"/>
      <c r="K209" s="21"/>
      <c r="L209" s="13">
        <f t="shared" si="7"/>
        <v>80</v>
      </c>
      <c r="M209" s="22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</row>
    <row r="210" spans="1:136" s="98" customFormat="1" ht="15.75" customHeight="1" x14ac:dyDescent="0.25">
      <c r="A210" s="93">
        <v>46217</v>
      </c>
      <c r="B210" s="94" t="s">
        <v>16</v>
      </c>
      <c r="C210" s="95">
        <v>6019</v>
      </c>
      <c r="D210" s="20"/>
      <c r="E210" s="99" t="s">
        <v>72</v>
      </c>
      <c r="F210" s="21">
        <v>0.5</v>
      </c>
      <c r="G210" s="97"/>
      <c r="H210" s="21">
        <v>120</v>
      </c>
      <c r="I210" s="11">
        <f t="shared" si="8"/>
        <v>60</v>
      </c>
      <c r="J210" s="21"/>
      <c r="K210" s="21"/>
      <c r="L210" s="13">
        <f t="shared" si="7"/>
        <v>60</v>
      </c>
      <c r="M210" s="22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</row>
    <row r="211" spans="1:136" s="98" customFormat="1" ht="15.75" customHeight="1" x14ac:dyDescent="0.25">
      <c r="A211" s="93">
        <v>46217</v>
      </c>
      <c r="B211" s="94" t="s">
        <v>16</v>
      </c>
      <c r="C211" s="95">
        <v>6019</v>
      </c>
      <c r="D211" s="20"/>
      <c r="E211" s="99" t="s">
        <v>154</v>
      </c>
      <c r="F211" s="21">
        <v>0.5</v>
      </c>
      <c r="G211" s="97"/>
      <c r="H211" s="21">
        <v>110</v>
      </c>
      <c r="I211" s="11">
        <f t="shared" si="8"/>
        <v>55</v>
      </c>
      <c r="J211" s="21"/>
      <c r="K211" s="21"/>
      <c r="L211" s="13">
        <f t="shared" si="7"/>
        <v>55</v>
      </c>
      <c r="M211" s="22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</row>
    <row r="212" spans="1:136" s="98" customFormat="1" ht="15.75" customHeight="1" x14ac:dyDescent="0.25">
      <c r="A212" s="93">
        <v>46217</v>
      </c>
      <c r="B212" s="94" t="s">
        <v>16</v>
      </c>
      <c r="C212" s="95">
        <v>6019</v>
      </c>
      <c r="D212" s="20"/>
      <c r="E212" s="99" t="s">
        <v>31</v>
      </c>
      <c r="F212" s="21">
        <v>1</v>
      </c>
      <c r="G212" s="97"/>
      <c r="H212" s="21">
        <v>20</v>
      </c>
      <c r="I212" s="11">
        <f t="shared" si="8"/>
        <v>20</v>
      </c>
      <c r="J212" s="21"/>
      <c r="K212" s="21"/>
      <c r="L212" s="13">
        <f t="shared" si="7"/>
        <v>20</v>
      </c>
      <c r="M212" s="22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</row>
    <row r="213" spans="1:136" s="98" customFormat="1" ht="15.75" customHeight="1" x14ac:dyDescent="0.25">
      <c r="A213" s="93">
        <v>46217</v>
      </c>
      <c r="B213" s="94" t="s">
        <v>16</v>
      </c>
      <c r="C213" s="95">
        <v>6019</v>
      </c>
      <c r="D213" s="20"/>
      <c r="E213" s="99" t="s">
        <v>73</v>
      </c>
      <c r="F213" s="21">
        <f>132/60</f>
        <v>2.2000000000000002</v>
      </c>
      <c r="G213" s="97"/>
      <c r="H213" s="21">
        <v>60</v>
      </c>
      <c r="I213" s="11">
        <f t="shared" si="8"/>
        <v>132</v>
      </c>
      <c r="J213" s="21"/>
      <c r="K213" s="21"/>
      <c r="L213" s="13">
        <f t="shared" si="7"/>
        <v>132</v>
      </c>
      <c r="M213" s="22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</row>
    <row r="214" spans="1:136" s="98" customFormat="1" ht="15.75" customHeight="1" x14ac:dyDescent="0.25">
      <c r="A214" s="93">
        <v>46217</v>
      </c>
      <c r="B214" s="94" t="s">
        <v>16</v>
      </c>
      <c r="C214" s="95">
        <v>6019</v>
      </c>
      <c r="D214" s="20"/>
      <c r="E214" s="99" t="s">
        <v>122</v>
      </c>
      <c r="F214" s="21">
        <f>89/80</f>
        <v>1.1125</v>
      </c>
      <c r="G214" s="97"/>
      <c r="H214" s="21">
        <v>80</v>
      </c>
      <c r="I214" s="11">
        <f t="shared" si="8"/>
        <v>89</v>
      </c>
      <c r="J214" s="21"/>
      <c r="K214" s="21"/>
      <c r="L214" s="13">
        <f t="shared" si="7"/>
        <v>89</v>
      </c>
      <c r="M214" s="22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</row>
    <row r="215" spans="1:136" s="98" customFormat="1" ht="15.75" customHeight="1" x14ac:dyDescent="0.25">
      <c r="A215" s="93">
        <v>46217</v>
      </c>
      <c r="B215" s="94" t="s">
        <v>16</v>
      </c>
      <c r="C215" s="95">
        <v>6019</v>
      </c>
      <c r="D215" s="20"/>
      <c r="E215" s="99" t="s">
        <v>121</v>
      </c>
      <c r="F215" s="21">
        <f>115/90</f>
        <v>1.2777777777777777</v>
      </c>
      <c r="G215" s="97"/>
      <c r="H215" s="21">
        <v>90</v>
      </c>
      <c r="I215" s="11">
        <f t="shared" si="8"/>
        <v>114.99999999999999</v>
      </c>
      <c r="J215" s="21"/>
      <c r="K215" s="21"/>
      <c r="L215" s="13">
        <f t="shared" si="7"/>
        <v>114.99999999999999</v>
      </c>
      <c r="M215" s="22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</row>
    <row r="216" spans="1:136" s="98" customFormat="1" ht="15.75" customHeight="1" x14ac:dyDescent="0.25">
      <c r="A216" s="93">
        <v>46217</v>
      </c>
      <c r="B216" s="94" t="s">
        <v>16</v>
      </c>
      <c r="C216" s="95">
        <v>6019</v>
      </c>
      <c r="D216" s="20"/>
      <c r="E216" s="99" t="s">
        <v>38</v>
      </c>
      <c r="F216" s="21">
        <v>3</v>
      </c>
      <c r="G216" s="97"/>
      <c r="H216" s="21">
        <v>80</v>
      </c>
      <c r="I216" s="11">
        <f t="shared" si="8"/>
        <v>240</v>
      </c>
      <c r="J216" s="21"/>
      <c r="K216" s="21"/>
      <c r="L216" s="13">
        <f t="shared" si="7"/>
        <v>240</v>
      </c>
      <c r="M216" s="22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</row>
    <row r="217" spans="1:136" s="98" customFormat="1" ht="15.75" customHeight="1" x14ac:dyDescent="0.25">
      <c r="A217" s="93">
        <v>46217</v>
      </c>
      <c r="B217" s="94" t="s">
        <v>16</v>
      </c>
      <c r="C217" s="95">
        <v>6019</v>
      </c>
      <c r="D217" s="20"/>
      <c r="E217" s="99" t="s">
        <v>71</v>
      </c>
      <c r="F217" s="21">
        <f>270/70</f>
        <v>3.8571428571428572</v>
      </c>
      <c r="G217" s="97"/>
      <c r="H217" s="21">
        <v>70</v>
      </c>
      <c r="I217" s="11">
        <f t="shared" si="8"/>
        <v>270</v>
      </c>
      <c r="J217" s="21"/>
      <c r="K217" s="21"/>
      <c r="L217" s="13">
        <f t="shared" si="7"/>
        <v>270</v>
      </c>
      <c r="M217" s="22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</row>
    <row r="218" spans="1:136" s="98" customFormat="1" ht="15.75" customHeight="1" x14ac:dyDescent="0.25">
      <c r="A218" s="93">
        <v>46217</v>
      </c>
      <c r="B218" s="94" t="s">
        <v>16</v>
      </c>
      <c r="C218" s="95">
        <v>6019</v>
      </c>
      <c r="D218" s="20"/>
      <c r="E218" s="99" t="s">
        <v>73</v>
      </c>
      <c r="F218" s="21">
        <v>3</v>
      </c>
      <c r="G218" s="97"/>
      <c r="H218" s="21">
        <v>50</v>
      </c>
      <c r="I218" s="11">
        <f t="shared" si="8"/>
        <v>150</v>
      </c>
      <c r="J218" s="21"/>
      <c r="K218" s="21"/>
      <c r="L218" s="13">
        <f t="shared" si="7"/>
        <v>150</v>
      </c>
      <c r="M218" s="22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</row>
    <row r="219" spans="1:136" s="98" customFormat="1" ht="15.75" customHeight="1" x14ac:dyDescent="0.25">
      <c r="A219" s="93">
        <v>46217</v>
      </c>
      <c r="B219" s="94" t="s">
        <v>16</v>
      </c>
      <c r="C219" s="95">
        <v>6019</v>
      </c>
      <c r="D219" s="20"/>
      <c r="E219" s="99" t="s">
        <v>45</v>
      </c>
      <c r="F219" s="21">
        <v>2</v>
      </c>
      <c r="G219" s="97"/>
      <c r="H219" s="21">
        <v>35</v>
      </c>
      <c r="I219" s="11">
        <f t="shared" si="8"/>
        <v>70</v>
      </c>
      <c r="J219" s="21"/>
      <c r="K219" s="21"/>
      <c r="L219" s="13">
        <f t="shared" si="7"/>
        <v>70</v>
      </c>
      <c r="M219" s="22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</row>
    <row r="220" spans="1:136" s="98" customFormat="1" ht="15.75" customHeight="1" x14ac:dyDescent="0.25">
      <c r="A220" s="93">
        <v>46217</v>
      </c>
      <c r="B220" s="94" t="s">
        <v>16</v>
      </c>
      <c r="C220" s="95">
        <v>6019</v>
      </c>
      <c r="D220" s="20"/>
      <c r="E220" s="99" t="s">
        <v>32</v>
      </c>
      <c r="F220" s="21">
        <v>2</v>
      </c>
      <c r="G220" s="97"/>
      <c r="H220" s="21">
        <v>90</v>
      </c>
      <c r="I220" s="11">
        <f t="shared" si="8"/>
        <v>180</v>
      </c>
      <c r="J220" s="21"/>
      <c r="K220" s="21"/>
      <c r="L220" s="13">
        <f t="shared" si="7"/>
        <v>180</v>
      </c>
      <c r="M220" s="22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</row>
    <row r="221" spans="1:136" s="98" customFormat="1" ht="15.75" customHeight="1" x14ac:dyDescent="0.25">
      <c r="A221" s="93">
        <v>46217</v>
      </c>
      <c r="B221" s="94" t="s">
        <v>16</v>
      </c>
      <c r="C221" s="95">
        <v>6019</v>
      </c>
      <c r="D221" s="20"/>
      <c r="E221" s="99" t="s">
        <v>127</v>
      </c>
      <c r="F221" s="21">
        <v>0.5</v>
      </c>
      <c r="G221" s="97"/>
      <c r="H221" s="21">
        <v>100</v>
      </c>
      <c r="I221" s="11">
        <f t="shared" si="8"/>
        <v>50</v>
      </c>
      <c r="J221" s="21"/>
      <c r="K221" s="21"/>
      <c r="L221" s="13">
        <f t="shared" si="7"/>
        <v>50</v>
      </c>
      <c r="M221" s="22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</row>
    <row r="222" spans="1:136" s="98" customFormat="1" ht="15.75" customHeight="1" x14ac:dyDescent="0.25">
      <c r="A222" s="93">
        <v>46217</v>
      </c>
      <c r="B222" s="94" t="s">
        <v>16</v>
      </c>
      <c r="C222" s="95">
        <v>6019</v>
      </c>
      <c r="D222" s="20"/>
      <c r="E222" s="99" t="s">
        <v>72</v>
      </c>
      <c r="F222" s="21">
        <v>0.5</v>
      </c>
      <c r="G222" s="97"/>
      <c r="H222" s="21">
        <v>80</v>
      </c>
      <c r="I222" s="11">
        <f t="shared" si="8"/>
        <v>40</v>
      </c>
      <c r="J222" s="21"/>
      <c r="K222" s="21"/>
      <c r="L222" s="13">
        <f t="shared" si="7"/>
        <v>40</v>
      </c>
      <c r="M222" s="22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</row>
    <row r="223" spans="1:136" s="98" customFormat="1" ht="15.75" customHeight="1" x14ac:dyDescent="0.25">
      <c r="A223" s="93">
        <v>46217</v>
      </c>
      <c r="B223" s="94" t="s">
        <v>16</v>
      </c>
      <c r="C223" s="95">
        <v>6019</v>
      </c>
      <c r="D223" s="20"/>
      <c r="E223" s="99" t="s">
        <v>34</v>
      </c>
      <c r="F223" s="21">
        <v>1</v>
      </c>
      <c r="G223" s="97"/>
      <c r="H223" s="21">
        <v>25</v>
      </c>
      <c r="I223" s="11">
        <f t="shared" si="8"/>
        <v>25</v>
      </c>
      <c r="J223" s="21"/>
      <c r="K223" s="21"/>
      <c r="L223" s="13">
        <f t="shared" si="7"/>
        <v>25</v>
      </c>
      <c r="M223" s="22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</row>
    <row r="224" spans="1:136" s="98" customFormat="1" ht="15.75" customHeight="1" x14ac:dyDescent="0.25">
      <c r="A224" s="93">
        <v>46217</v>
      </c>
      <c r="B224" s="94" t="s">
        <v>16</v>
      </c>
      <c r="C224" s="95">
        <v>6019</v>
      </c>
      <c r="D224" s="20"/>
      <c r="E224" s="99" t="s">
        <v>35</v>
      </c>
      <c r="F224" s="21">
        <v>0.5</v>
      </c>
      <c r="G224" s="97"/>
      <c r="H224" s="21">
        <v>110</v>
      </c>
      <c r="I224" s="11">
        <f t="shared" si="8"/>
        <v>55</v>
      </c>
      <c r="J224" s="21"/>
      <c r="K224" s="21"/>
      <c r="L224" s="13">
        <f t="shared" si="7"/>
        <v>55</v>
      </c>
      <c r="M224" s="22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/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</row>
    <row r="225" spans="1:136" s="98" customFormat="1" ht="15.75" customHeight="1" x14ac:dyDescent="0.25">
      <c r="A225" s="93">
        <v>46217</v>
      </c>
      <c r="B225" s="94" t="s">
        <v>16</v>
      </c>
      <c r="C225" s="95">
        <v>6019</v>
      </c>
      <c r="D225" s="20"/>
      <c r="E225" s="99" t="s">
        <v>40</v>
      </c>
      <c r="F225" s="21">
        <v>1</v>
      </c>
      <c r="G225" s="97"/>
      <c r="H225" s="21">
        <v>40</v>
      </c>
      <c r="I225" s="11">
        <f t="shared" si="8"/>
        <v>40</v>
      </c>
      <c r="J225" s="21"/>
      <c r="K225" s="21"/>
      <c r="L225" s="13">
        <f t="shared" si="7"/>
        <v>40</v>
      </c>
      <c r="M225" s="22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</row>
    <row r="226" spans="1:136" s="98" customFormat="1" ht="15.75" customHeight="1" x14ac:dyDescent="0.25">
      <c r="A226" s="93">
        <v>46217</v>
      </c>
      <c r="B226" s="94" t="s">
        <v>16</v>
      </c>
      <c r="C226" s="95">
        <v>6019</v>
      </c>
      <c r="D226" s="20"/>
      <c r="E226" s="99" t="s">
        <v>42</v>
      </c>
      <c r="F226" s="21">
        <v>2</v>
      </c>
      <c r="G226" s="97"/>
      <c r="H226" s="21">
        <v>35</v>
      </c>
      <c r="I226" s="11">
        <f t="shared" si="8"/>
        <v>70</v>
      </c>
      <c r="J226" s="21"/>
      <c r="K226" s="21"/>
      <c r="L226" s="13">
        <f t="shared" si="7"/>
        <v>70</v>
      </c>
      <c r="M226" s="22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</row>
    <row r="227" spans="1:136" s="98" customFormat="1" ht="15.75" customHeight="1" x14ac:dyDescent="0.25">
      <c r="A227" s="93">
        <v>46217</v>
      </c>
      <c r="B227" s="94" t="s">
        <v>16</v>
      </c>
      <c r="C227" s="95">
        <v>6019</v>
      </c>
      <c r="D227" s="20"/>
      <c r="E227" s="99" t="s">
        <v>37</v>
      </c>
      <c r="F227" s="21">
        <v>1</v>
      </c>
      <c r="G227" s="97"/>
      <c r="H227" s="21">
        <v>60</v>
      </c>
      <c r="I227" s="11">
        <f t="shared" si="8"/>
        <v>60</v>
      </c>
      <c r="J227" s="21"/>
      <c r="K227" s="21"/>
      <c r="L227" s="13">
        <f t="shared" si="7"/>
        <v>60</v>
      </c>
      <c r="M227" s="22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</row>
    <row r="228" spans="1:136" s="98" customFormat="1" ht="15.75" customHeight="1" x14ac:dyDescent="0.25">
      <c r="A228" s="93">
        <v>46217</v>
      </c>
      <c r="B228" s="94" t="s">
        <v>16</v>
      </c>
      <c r="C228" s="95">
        <v>6019</v>
      </c>
      <c r="D228" s="20"/>
      <c r="E228" s="99" t="s">
        <v>124</v>
      </c>
      <c r="F228" s="21">
        <v>1</v>
      </c>
      <c r="G228" s="97"/>
      <c r="H228" s="21">
        <v>50</v>
      </c>
      <c r="I228" s="11">
        <f t="shared" si="8"/>
        <v>50</v>
      </c>
      <c r="J228" s="21"/>
      <c r="K228" s="21"/>
      <c r="L228" s="13">
        <f t="shared" si="7"/>
        <v>50</v>
      </c>
      <c r="M228" s="22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</row>
    <row r="229" spans="1:136" s="98" customFormat="1" ht="15.75" customHeight="1" x14ac:dyDescent="0.25">
      <c r="A229" s="93">
        <v>46217</v>
      </c>
      <c r="B229" s="94" t="s">
        <v>16</v>
      </c>
      <c r="C229" s="95">
        <v>6019</v>
      </c>
      <c r="D229" s="20"/>
      <c r="E229" s="99" t="s">
        <v>30</v>
      </c>
      <c r="F229" s="21">
        <v>1</v>
      </c>
      <c r="G229" s="97"/>
      <c r="H229" s="21">
        <v>40</v>
      </c>
      <c r="I229" s="11">
        <f t="shared" si="8"/>
        <v>40</v>
      </c>
      <c r="J229" s="21"/>
      <c r="K229" s="21"/>
      <c r="L229" s="13">
        <f t="shared" si="7"/>
        <v>40</v>
      </c>
      <c r="M229" s="22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</row>
    <row r="230" spans="1:136" s="98" customFormat="1" ht="15.75" customHeight="1" x14ac:dyDescent="0.25">
      <c r="A230" s="93">
        <v>46217</v>
      </c>
      <c r="B230" s="94" t="s">
        <v>16</v>
      </c>
      <c r="C230" s="95">
        <v>6019</v>
      </c>
      <c r="D230" s="20"/>
      <c r="E230" s="99" t="s">
        <v>25</v>
      </c>
      <c r="F230" s="21">
        <v>1</v>
      </c>
      <c r="G230" s="97"/>
      <c r="H230" s="21">
        <v>50</v>
      </c>
      <c r="I230" s="11">
        <f t="shared" si="8"/>
        <v>50</v>
      </c>
      <c r="J230" s="21"/>
      <c r="K230" s="21"/>
      <c r="L230" s="13">
        <f t="shared" si="7"/>
        <v>50</v>
      </c>
      <c r="M230" s="22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</row>
    <row r="231" spans="1:136" s="98" customFormat="1" ht="15.75" customHeight="1" x14ac:dyDescent="0.25">
      <c r="A231" s="93">
        <v>46217</v>
      </c>
      <c r="B231" s="94" t="s">
        <v>16</v>
      </c>
      <c r="C231" s="95">
        <v>6019</v>
      </c>
      <c r="D231" s="20"/>
      <c r="E231" s="99" t="s">
        <v>43</v>
      </c>
      <c r="F231" s="21">
        <v>10</v>
      </c>
      <c r="G231" s="97"/>
      <c r="H231" s="21">
        <v>11</v>
      </c>
      <c r="I231" s="11">
        <f t="shared" si="8"/>
        <v>110</v>
      </c>
      <c r="J231" s="21"/>
      <c r="K231" s="21"/>
      <c r="L231" s="13">
        <f t="shared" si="7"/>
        <v>110</v>
      </c>
      <c r="M231" s="22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</row>
    <row r="232" spans="1:136" s="98" customFormat="1" ht="15.75" customHeight="1" x14ac:dyDescent="0.25">
      <c r="A232" s="93">
        <v>46217</v>
      </c>
      <c r="B232" s="94" t="s">
        <v>16</v>
      </c>
      <c r="C232" s="95">
        <v>6019</v>
      </c>
      <c r="D232" s="20"/>
      <c r="E232" s="99" t="s">
        <v>31</v>
      </c>
      <c r="F232" s="21">
        <v>2</v>
      </c>
      <c r="G232" s="97"/>
      <c r="H232" s="21">
        <v>40</v>
      </c>
      <c r="I232" s="11">
        <f t="shared" si="8"/>
        <v>80</v>
      </c>
      <c r="J232" s="21"/>
      <c r="K232" s="21"/>
      <c r="L232" s="13">
        <f t="shared" si="7"/>
        <v>80</v>
      </c>
      <c r="M232" s="22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</row>
    <row r="233" spans="1:136" s="98" customFormat="1" ht="15.75" customHeight="1" x14ac:dyDescent="0.25">
      <c r="A233" s="93">
        <v>46217</v>
      </c>
      <c r="B233" s="94" t="s">
        <v>16</v>
      </c>
      <c r="C233" s="95">
        <v>6019</v>
      </c>
      <c r="D233" s="20"/>
      <c r="E233" s="99" t="s">
        <v>29</v>
      </c>
      <c r="F233" s="21">
        <v>2</v>
      </c>
      <c r="G233" s="97"/>
      <c r="H233" s="21">
        <v>70</v>
      </c>
      <c r="I233" s="11">
        <f t="shared" si="8"/>
        <v>140</v>
      </c>
      <c r="J233" s="21"/>
      <c r="K233" s="21"/>
      <c r="L233" s="13">
        <f t="shared" si="7"/>
        <v>140</v>
      </c>
      <c r="M233" s="22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</row>
    <row r="234" spans="1:136" s="98" customFormat="1" ht="15.75" customHeight="1" x14ac:dyDescent="0.25">
      <c r="A234" s="93">
        <v>46217</v>
      </c>
      <c r="B234" s="94" t="s">
        <v>16</v>
      </c>
      <c r="C234" s="95">
        <v>6019</v>
      </c>
      <c r="D234" s="20"/>
      <c r="E234" s="99" t="s">
        <v>157</v>
      </c>
      <c r="F234" s="21">
        <v>1.75</v>
      </c>
      <c r="G234" s="97"/>
      <c r="H234" s="21">
        <f>525/1.75</f>
        <v>300</v>
      </c>
      <c r="I234" s="11">
        <f t="shared" si="8"/>
        <v>525</v>
      </c>
      <c r="J234" s="21"/>
      <c r="K234" s="21"/>
      <c r="L234" s="13">
        <f t="shared" si="7"/>
        <v>525</v>
      </c>
      <c r="M234" s="22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</row>
    <row r="235" spans="1:136" s="98" customFormat="1" ht="15.75" customHeight="1" x14ac:dyDescent="0.25">
      <c r="A235" s="93">
        <v>46217</v>
      </c>
      <c r="B235" s="94" t="s">
        <v>16</v>
      </c>
      <c r="C235" s="95">
        <v>6019</v>
      </c>
      <c r="D235" s="20"/>
      <c r="E235" s="99" t="s">
        <v>155</v>
      </c>
      <c r="F235" s="21">
        <f>561/180</f>
        <v>3.1166666666666667</v>
      </c>
      <c r="G235" s="97"/>
      <c r="H235" s="21">
        <v>180</v>
      </c>
      <c r="I235" s="11">
        <f t="shared" si="8"/>
        <v>561</v>
      </c>
      <c r="J235" s="21"/>
      <c r="K235" s="21"/>
      <c r="L235" s="13">
        <f t="shared" si="7"/>
        <v>561</v>
      </c>
      <c r="M235" s="22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/>
      <c r="CB235" s="9"/>
      <c r="CC235" s="9"/>
      <c r="CD235" s="9"/>
      <c r="CE235" s="9"/>
      <c r="CF235" s="9"/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/>
      <c r="CT235" s="9"/>
      <c r="CU235" s="9"/>
      <c r="CV235" s="9"/>
      <c r="CW235" s="9"/>
      <c r="CX235" s="9"/>
      <c r="CY235" s="9"/>
      <c r="CZ235" s="9"/>
      <c r="DA235" s="9"/>
      <c r="DB235" s="9"/>
      <c r="DC235" s="9"/>
      <c r="DD235" s="9"/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/>
      <c r="DR235" s="9"/>
      <c r="DS235" s="9"/>
      <c r="DT235" s="9"/>
      <c r="DU235" s="9"/>
      <c r="DV235" s="9"/>
      <c r="DW235" s="9"/>
      <c r="DX235" s="9"/>
      <c r="DY235" s="9"/>
      <c r="DZ235" s="9"/>
      <c r="EA235" s="9"/>
      <c r="EB235" s="9"/>
      <c r="EC235" s="9"/>
      <c r="ED235" s="9"/>
      <c r="EE235" s="9"/>
      <c r="EF235" s="9"/>
    </row>
    <row r="236" spans="1:136" s="98" customFormat="1" ht="15.75" customHeight="1" x14ac:dyDescent="0.25">
      <c r="A236" s="93">
        <v>46217</v>
      </c>
      <c r="B236" s="94" t="s">
        <v>16</v>
      </c>
      <c r="C236" s="95">
        <v>6019</v>
      </c>
      <c r="D236" s="20"/>
      <c r="E236" s="99" t="s">
        <v>156</v>
      </c>
      <c r="F236" s="21">
        <v>3</v>
      </c>
      <c r="G236" s="97"/>
      <c r="H236" s="21">
        <v>240</v>
      </c>
      <c r="I236" s="11">
        <f t="shared" si="8"/>
        <v>720</v>
      </c>
      <c r="J236" s="21"/>
      <c r="K236" s="21"/>
      <c r="L236" s="13">
        <f t="shared" si="7"/>
        <v>720</v>
      </c>
      <c r="M236" s="22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</row>
    <row r="237" spans="1:136" s="98" customFormat="1" ht="15.75" customHeight="1" x14ac:dyDescent="0.25">
      <c r="A237" s="93">
        <v>46217</v>
      </c>
      <c r="B237" s="94" t="s">
        <v>16</v>
      </c>
      <c r="C237" s="95">
        <v>6019</v>
      </c>
      <c r="D237" s="20"/>
      <c r="E237" s="99" t="s">
        <v>61</v>
      </c>
      <c r="F237" s="21">
        <v>10</v>
      </c>
      <c r="G237" s="97"/>
      <c r="H237" s="21">
        <v>320</v>
      </c>
      <c r="I237" s="11">
        <f t="shared" si="8"/>
        <v>3200</v>
      </c>
      <c r="J237" s="21"/>
      <c r="K237" s="21"/>
      <c r="L237" s="13">
        <f t="shared" si="7"/>
        <v>3200</v>
      </c>
      <c r="M237" s="22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</row>
    <row r="238" spans="1:136" s="98" customFormat="1" ht="15.75" customHeight="1" x14ac:dyDescent="0.25">
      <c r="A238" s="93">
        <v>46217</v>
      </c>
      <c r="B238" s="94" t="s">
        <v>16</v>
      </c>
      <c r="C238" s="95">
        <v>6019</v>
      </c>
      <c r="D238" s="20"/>
      <c r="E238" s="99" t="s">
        <v>131</v>
      </c>
      <c r="F238" s="21">
        <v>3</v>
      </c>
      <c r="G238" s="97"/>
      <c r="H238" s="21">
        <v>185</v>
      </c>
      <c r="I238" s="11">
        <f t="shared" si="8"/>
        <v>555</v>
      </c>
      <c r="J238" s="21"/>
      <c r="K238" s="21"/>
      <c r="L238" s="13">
        <f t="shared" si="7"/>
        <v>555</v>
      </c>
      <c r="M238" s="22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</row>
    <row r="239" spans="1:136" s="98" customFormat="1" ht="15.75" customHeight="1" x14ac:dyDescent="0.25">
      <c r="A239" s="93">
        <v>46217</v>
      </c>
      <c r="B239" s="94" t="s">
        <v>16</v>
      </c>
      <c r="C239" s="95">
        <v>6019</v>
      </c>
      <c r="D239" s="20"/>
      <c r="E239" s="99" t="s">
        <v>132</v>
      </c>
      <c r="F239" s="21">
        <v>2</v>
      </c>
      <c r="G239" s="97"/>
      <c r="H239" s="21">
        <v>500</v>
      </c>
      <c r="I239" s="11">
        <f t="shared" si="8"/>
        <v>1000</v>
      </c>
      <c r="J239" s="21"/>
      <c r="K239" s="21"/>
      <c r="L239" s="13">
        <f t="shared" si="7"/>
        <v>1000</v>
      </c>
      <c r="M239" s="22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</row>
    <row r="240" spans="1:136" s="98" customFormat="1" ht="15.75" customHeight="1" x14ac:dyDescent="0.25">
      <c r="A240" s="93">
        <v>46217</v>
      </c>
      <c r="B240" s="94" t="s">
        <v>16</v>
      </c>
      <c r="C240" s="95">
        <v>6019</v>
      </c>
      <c r="D240" s="20"/>
      <c r="E240" s="99" t="s">
        <v>157</v>
      </c>
      <c r="F240" s="21">
        <v>3</v>
      </c>
      <c r="G240" s="97"/>
      <c r="H240" s="21">
        <v>300</v>
      </c>
      <c r="I240" s="11">
        <f t="shared" si="8"/>
        <v>900</v>
      </c>
      <c r="J240" s="21"/>
      <c r="K240" s="21"/>
      <c r="L240" s="13">
        <f t="shared" si="7"/>
        <v>900</v>
      </c>
      <c r="M240" s="22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</row>
    <row r="241" spans="1:136" s="98" customFormat="1" ht="15.75" customHeight="1" x14ac:dyDescent="0.25">
      <c r="A241" s="93">
        <v>46217</v>
      </c>
      <c r="B241" s="94" t="s">
        <v>16</v>
      </c>
      <c r="C241" s="95">
        <v>6019</v>
      </c>
      <c r="D241" s="20"/>
      <c r="E241" s="99" t="s">
        <v>158</v>
      </c>
      <c r="F241" s="21">
        <v>4</v>
      </c>
      <c r="G241" s="97"/>
      <c r="H241" s="21">
        <v>18.5</v>
      </c>
      <c r="I241" s="11">
        <f t="shared" si="8"/>
        <v>74</v>
      </c>
      <c r="J241" s="21"/>
      <c r="K241" s="21"/>
      <c r="L241" s="13">
        <f t="shared" si="7"/>
        <v>74</v>
      </c>
      <c r="M241" s="22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</row>
    <row r="242" spans="1:136" s="98" customFormat="1" ht="15.75" customHeight="1" x14ac:dyDescent="0.25">
      <c r="A242" s="93">
        <v>46217</v>
      </c>
      <c r="B242" s="94" t="s">
        <v>16</v>
      </c>
      <c r="C242" s="95">
        <v>6019</v>
      </c>
      <c r="D242" s="20"/>
      <c r="E242" s="99" t="s">
        <v>159</v>
      </c>
      <c r="F242" s="21">
        <v>1</v>
      </c>
      <c r="G242" s="97"/>
      <c r="H242" s="21">
        <v>127.75</v>
      </c>
      <c r="I242" s="11">
        <f t="shared" si="8"/>
        <v>127.75</v>
      </c>
      <c r="J242" s="21"/>
      <c r="K242" s="21"/>
      <c r="L242" s="13">
        <f t="shared" si="7"/>
        <v>127.75</v>
      </c>
      <c r="M242" s="22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</row>
    <row r="243" spans="1:136" s="98" customFormat="1" ht="15.75" customHeight="1" x14ac:dyDescent="0.25">
      <c r="A243" s="93">
        <v>46217</v>
      </c>
      <c r="B243" s="94" t="s">
        <v>16</v>
      </c>
      <c r="C243" s="95">
        <v>6019</v>
      </c>
      <c r="D243" s="20"/>
      <c r="E243" s="99" t="s">
        <v>77</v>
      </c>
      <c r="F243" s="21">
        <v>32</v>
      </c>
      <c r="G243" s="97"/>
      <c r="H243" s="21">
        <v>5.5</v>
      </c>
      <c r="I243" s="11">
        <f t="shared" si="8"/>
        <v>176</v>
      </c>
      <c r="J243" s="21"/>
      <c r="K243" s="21"/>
      <c r="L243" s="13">
        <f t="shared" si="7"/>
        <v>176</v>
      </c>
      <c r="M243" s="22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</row>
    <row r="244" spans="1:136" s="98" customFormat="1" ht="15.75" customHeight="1" x14ac:dyDescent="0.25">
      <c r="A244" s="93">
        <v>46217</v>
      </c>
      <c r="B244" s="94" t="s">
        <v>16</v>
      </c>
      <c r="C244" s="95">
        <v>6019</v>
      </c>
      <c r="D244" s="20"/>
      <c r="E244" s="99" t="s">
        <v>160</v>
      </c>
      <c r="F244" s="21">
        <v>2</v>
      </c>
      <c r="G244" s="97"/>
      <c r="H244" s="21">
        <v>62</v>
      </c>
      <c r="I244" s="11">
        <f t="shared" si="8"/>
        <v>124</v>
      </c>
      <c r="J244" s="21"/>
      <c r="K244" s="21"/>
      <c r="L244" s="13">
        <f t="shared" si="7"/>
        <v>124</v>
      </c>
      <c r="M244" s="22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</row>
    <row r="245" spans="1:136" s="98" customFormat="1" ht="15.75" customHeight="1" x14ac:dyDescent="0.25">
      <c r="A245" s="93">
        <v>46217</v>
      </c>
      <c r="B245" s="94" t="s">
        <v>16</v>
      </c>
      <c r="C245" s="95">
        <v>6019</v>
      </c>
      <c r="D245" s="20"/>
      <c r="E245" s="99" t="s">
        <v>161</v>
      </c>
      <c r="F245" s="21">
        <v>1</v>
      </c>
      <c r="G245" s="97"/>
      <c r="H245" s="21">
        <v>1334.5</v>
      </c>
      <c r="I245" s="11">
        <f t="shared" si="8"/>
        <v>1334.5</v>
      </c>
      <c r="J245" s="21"/>
      <c r="K245" s="21"/>
      <c r="L245" s="13">
        <f t="shared" si="7"/>
        <v>1334.5</v>
      </c>
      <c r="M245" s="22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</row>
    <row r="246" spans="1:136" s="98" customFormat="1" ht="15.75" customHeight="1" x14ac:dyDescent="0.25">
      <c r="A246" s="93">
        <v>46217</v>
      </c>
      <c r="B246" s="94" t="s">
        <v>16</v>
      </c>
      <c r="C246" s="95">
        <v>6019</v>
      </c>
      <c r="D246" s="20"/>
      <c r="E246" s="99" t="s">
        <v>78</v>
      </c>
      <c r="F246" s="21">
        <v>3</v>
      </c>
      <c r="G246" s="97"/>
      <c r="H246" s="21">
        <v>60</v>
      </c>
      <c r="I246" s="11">
        <f t="shared" si="8"/>
        <v>180</v>
      </c>
      <c r="J246" s="21"/>
      <c r="K246" s="21"/>
      <c r="L246" s="13">
        <f t="shared" ref="L246:L309" si="9">I246-J246-K246</f>
        <v>180</v>
      </c>
      <c r="M246" s="22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</row>
    <row r="247" spans="1:136" s="98" customFormat="1" ht="15.75" customHeight="1" x14ac:dyDescent="0.25">
      <c r="A247" s="93">
        <v>46217</v>
      </c>
      <c r="B247" s="94" t="s">
        <v>16</v>
      </c>
      <c r="C247" s="95">
        <v>6019</v>
      </c>
      <c r="D247" s="20"/>
      <c r="E247" s="99" t="s">
        <v>134</v>
      </c>
      <c r="F247" s="21">
        <v>3</v>
      </c>
      <c r="G247" s="97"/>
      <c r="H247" s="21">
        <v>152.75</v>
      </c>
      <c r="I247" s="11">
        <f t="shared" ref="I247:I310" si="10">F247*H247</f>
        <v>458.25</v>
      </c>
      <c r="J247" s="21"/>
      <c r="K247" s="21"/>
      <c r="L247" s="13">
        <f t="shared" si="9"/>
        <v>458.25</v>
      </c>
      <c r="M247" s="22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</row>
    <row r="248" spans="1:136" s="98" customFormat="1" ht="15.75" customHeight="1" x14ac:dyDescent="0.25">
      <c r="A248" s="93">
        <v>46217</v>
      </c>
      <c r="B248" s="94" t="s">
        <v>16</v>
      </c>
      <c r="C248" s="95">
        <v>6019</v>
      </c>
      <c r="D248" s="20"/>
      <c r="E248" s="99" t="s">
        <v>162</v>
      </c>
      <c r="F248" s="21">
        <v>4</v>
      </c>
      <c r="G248" s="97"/>
      <c r="H248" s="21">
        <v>25</v>
      </c>
      <c r="I248" s="11">
        <f t="shared" si="10"/>
        <v>100</v>
      </c>
      <c r="J248" s="21"/>
      <c r="K248" s="21"/>
      <c r="L248" s="13">
        <f t="shared" si="9"/>
        <v>100</v>
      </c>
      <c r="M248" s="22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</row>
    <row r="249" spans="1:136" s="98" customFormat="1" ht="15.75" customHeight="1" x14ac:dyDescent="0.25">
      <c r="A249" s="93">
        <v>46217</v>
      </c>
      <c r="B249" s="94" t="s">
        <v>16</v>
      </c>
      <c r="C249" s="95">
        <v>6019</v>
      </c>
      <c r="D249" s="20"/>
      <c r="E249" s="99" t="s">
        <v>163</v>
      </c>
      <c r="F249" s="21">
        <v>4</v>
      </c>
      <c r="G249" s="97"/>
      <c r="H249" s="21">
        <v>30</v>
      </c>
      <c r="I249" s="11">
        <f t="shared" si="10"/>
        <v>120</v>
      </c>
      <c r="J249" s="21"/>
      <c r="K249" s="21"/>
      <c r="L249" s="13">
        <f t="shared" si="9"/>
        <v>120</v>
      </c>
      <c r="M249" s="22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</row>
    <row r="250" spans="1:136" s="98" customFormat="1" ht="15.75" customHeight="1" x14ac:dyDescent="0.25">
      <c r="A250" s="93">
        <v>46217</v>
      </c>
      <c r="B250" s="94" t="s">
        <v>16</v>
      </c>
      <c r="C250" s="95">
        <v>6019</v>
      </c>
      <c r="D250" s="20"/>
      <c r="E250" s="99" t="s">
        <v>164</v>
      </c>
      <c r="F250" s="21">
        <v>1</v>
      </c>
      <c r="G250" s="97"/>
      <c r="H250" s="21">
        <v>103</v>
      </c>
      <c r="I250" s="11">
        <f t="shared" si="10"/>
        <v>103</v>
      </c>
      <c r="J250" s="21"/>
      <c r="K250" s="21"/>
      <c r="L250" s="13">
        <f t="shared" si="9"/>
        <v>103</v>
      </c>
      <c r="M250" s="22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</row>
    <row r="251" spans="1:136" s="98" customFormat="1" ht="15.75" customHeight="1" x14ac:dyDescent="0.25">
      <c r="A251" s="93">
        <v>46217</v>
      </c>
      <c r="B251" s="94" t="s">
        <v>16</v>
      </c>
      <c r="C251" s="95">
        <v>6019</v>
      </c>
      <c r="D251" s="20"/>
      <c r="E251" s="99" t="s">
        <v>165</v>
      </c>
      <c r="F251" s="21">
        <v>1</v>
      </c>
      <c r="G251" s="97"/>
      <c r="H251" s="21">
        <v>103</v>
      </c>
      <c r="I251" s="11">
        <f t="shared" si="10"/>
        <v>103</v>
      </c>
      <c r="J251" s="21"/>
      <c r="K251" s="21"/>
      <c r="L251" s="13">
        <f t="shared" si="9"/>
        <v>103</v>
      </c>
      <c r="M251" s="22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</row>
    <row r="252" spans="1:136" s="98" customFormat="1" ht="15.75" customHeight="1" x14ac:dyDescent="0.25">
      <c r="A252" s="93">
        <v>46217</v>
      </c>
      <c r="B252" s="94" t="s">
        <v>16</v>
      </c>
      <c r="C252" s="95">
        <v>6019</v>
      </c>
      <c r="D252" s="20"/>
      <c r="E252" s="99" t="s">
        <v>166</v>
      </c>
      <c r="F252" s="21">
        <v>4</v>
      </c>
      <c r="G252" s="97"/>
      <c r="H252" s="21">
        <v>14</v>
      </c>
      <c r="I252" s="11">
        <f t="shared" si="10"/>
        <v>56</v>
      </c>
      <c r="J252" s="21"/>
      <c r="K252" s="21"/>
      <c r="L252" s="13">
        <f t="shared" si="9"/>
        <v>56</v>
      </c>
      <c r="M252" s="22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</row>
    <row r="253" spans="1:136" s="98" customFormat="1" ht="15.75" customHeight="1" x14ac:dyDescent="0.25">
      <c r="A253" s="93">
        <v>46217</v>
      </c>
      <c r="B253" s="94" t="s">
        <v>16</v>
      </c>
      <c r="C253" s="95">
        <v>6019</v>
      </c>
      <c r="D253" s="20"/>
      <c r="E253" s="99" t="s">
        <v>167</v>
      </c>
      <c r="F253" s="21">
        <v>6</v>
      </c>
      <c r="G253" s="97"/>
      <c r="H253" s="21">
        <v>45</v>
      </c>
      <c r="I253" s="11">
        <f t="shared" si="10"/>
        <v>270</v>
      </c>
      <c r="J253" s="21"/>
      <c r="K253" s="21"/>
      <c r="L253" s="13">
        <f t="shared" si="9"/>
        <v>270</v>
      </c>
      <c r="M253" s="22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/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</row>
    <row r="254" spans="1:136" s="98" customFormat="1" ht="15.75" customHeight="1" x14ac:dyDescent="0.25">
      <c r="A254" s="93">
        <v>46217</v>
      </c>
      <c r="B254" s="94" t="s">
        <v>16</v>
      </c>
      <c r="C254" s="95">
        <v>6019</v>
      </c>
      <c r="D254" s="20"/>
      <c r="E254" s="99" t="s">
        <v>168</v>
      </c>
      <c r="F254" s="21">
        <v>12</v>
      </c>
      <c r="G254" s="97"/>
      <c r="H254" s="21">
        <v>15.5</v>
      </c>
      <c r="I254" s="11">
        <f t="shared" si="10"/>
        <v>186</v>
      </c>
      <c r="J254" s="21"/>
      <c r="K254" s="21"/>
      <c r="L254" s="13">
        <f t="shared" si="9"/>
        <v>186</v>
      </c>
      <c r="M254" s="22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</row>
    <row r="255" spans="1:136" s="98" customFormat="1" ht="15.75" customHeight="1" x14ac:dyDescent="0.25">
      <c r="A255" s="93">
        <v>46217</v>
      </c>
      <c r="B255" s="94" t="s">
        <v>16</v>
      </c>
      <c r="C255" s="95">
        <v>6019</v>
      </c>
      <c r="D255" s="20"/>
      <c r="E255" s="99" t="s">
        <v>88</v>
      </c>
      <c r="F255" s="21">
        <v>1</v>
      </c>
      <c r="G255" s="97"/>
      <c r="H255" s="21">
        <v>30</v>
      </c>
      <c r="I255" s="11">
        <f t="shared" si="10"/>
        <v>30</v>
      </c>
      <c r="J255" s="21"/>
      <c r="K255" s="21"/>
      <c r="L255" s="13">
        <f t="shared" si="9"/>
        <v>30</v>
      </c>
      <c r="M255" s="22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</row>
    <row r="256" spans="1:136" s="98" customFormat="1" ht="15.75" customHeight="1" x14ac:dyDescent="0.25">
      <c r="A256" s="93">
        <v>46217</v>
      </c>
      <c r="B256" s="94" t="s">
        <v>16</v>
      </c>
      <c r="C256" s="95">
        <v>6019</v>
      </c>
      <c r="D256" s="20"/>
      <c r="E256" s="99" t="s">
        <v>95</v>
      </c>
      <c r="F256" s="21">
        <v>4</v>
      </c>
      <c r="G256" s="97"/>
      <c r="H256" s="21">
        <v>32</v>
      </c>
      <c r="I256" s="11">
        <f t="shared" si="10"/>
        <v>128</v>
      </c>
      <c r="J256" s="21"/>
      <c r="K256" s="21"/>
      <c r="L256" s="13">
        <f t="shared" si="9"/>
        <v>128</v>
      </c>
      <c r="M256" s="22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</row>
    <row r="257" spans="1:136" s="98" customFormat="1" ht="15.75" customHeight="1" x14ac:dyDescent="0.25">
      <c r="A257" s="93">
        <v>46217</v>
      </c>
      <c r="B257" s="94" t="s">
        <v>16</v>
      </c>
      <c r="C257" s="95">
        <v>6019</v>
      </c>
      <c r="D257" s="20"/>
      <c r="E257" s="99" t="s">
        <v>97</v>
      </c>
      <c r="F257" s="21">
        <v>4</v>
      </c>
      <c r="G257" s="97"/>
      <c r="H257" s="21">
        <v>45</v>
      </c>
      <c r="I257" s="11">
        <f t="shared" si="10"/>
        <v>180</v>
      </c>
      <c r="J257" s="21"/>
      <c r="K257" s="21"/>
      <c r="L257" s="13">
        <f t="shared" si="9"/>
        <v>180</v>
      </c>
      <c r="M257" s="22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</row>
    <row r="258" spans="1:136" s="98" customFormat="1" ht="15.75" customHeight="1" x14ac:dyDescent="0.25">
      <c r="A258" s="93">
        <v>46217</v>
      </c>
      <c r="B258" s="94" t="s">
        <v>16</v>
      </c>
      <c r="C258" s="95">
        <v>6019</v>
      </c>
      <c r="D258" s="20"/>
      <c r="E258" s="99" t="s">
        <v>169</v>
      </c>
      <c r="F258" s="21">
        <v>1</v>
      </c>
      <c r="G258" s="97"/>
      <c r="H258" s="21">
        <v>125</v>
      </c>
      <c r="I258" s="11">
        <f t="shared" si="10"/>
        <v>125</v>
      </c>
      <c r="J258" s="21"/>
      <c r="K258" s="21"/>
      <c r="L258" s="13">
        <f t="shared" si="9"/>
        <v>125</v>
      </c>
      <c r="M258" s="22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</row>
    <row r="259" spans="1:136" s="98" customFormat="1" ht="15.75" customHeight="1" x14ac:dyDescent="0.25">
      <c r="A259" s="93">
        <v>46217</v>
      </c>
      <c r="B259" s="94" t="s">
        <v>16</v>
      </c>
      <c r="C259" s="95">
        <v>6019</v>
      </c>
      <c r="D259" s="20"/>
      <c r="E259" s="99" t="s">
        <v>99</v>
      </c>
      <c r="F259" s="21">
        <v>6</v>
      </c>
      <c r="G259" s="97"/>
      <c r="H259" s="21">
        <v>20</v>
      </c>
      <c r="I259" s="11">
        <f t="shared" si="10"/>
        <v>120</v>
      </c>
      <c r="J259" s="21"/>
      <c r="K259" s="21"/>
      <c r="L259" s="13">
        <f t="shared" si="9"/>
        <v>120</v>
      </c>
      <c r="M259" s="22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</row>
    <row r="260" spans="1:136" s="98" customFormat="1" ht="15.75" customHeight="1" x14ac:dyDescent="0.25">
      <c r="A260" s="93">
        <v>46217</v>
      </c>
      <c r="B260" s="94" t="s">
        <v>16</v>
      </c>
      <c r="C260" s="95">
        <v>6019</v>
      </c>
      <c r="D260" s="20"/>
      <c r="E260" s="99" t="s">
        <v>170</v>
      </c>
      <c r="F260" s="21">
        <v>1</v>
      </c>
      <c r="G260" s="97"/>
      <c r="H260" s="21">
        <v>765</v>
      </c>
      <c r="I260" s="11">
        <f t="shared" si="10"/>
        <v>765</v>
      </c>
      <c r="J260" s="21"/>
      <c r="K260" s="21"/>
      <c r="L260" s="13">
        <f t="shared" si="9"/>
        <v>765</v>
      </c>
      <c r="M260" s="22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</row>
    <row r="261" spans="1:136" s="98" customFormat="1" ht="15.75" customHeight="1" x14ac:dyDescent="0.25">
      <c r="A261" s="93">
        <v>46217</v>
      </c>
      <c r="B261" s="94" t="s">
        <v>16</v>
      </c>
      <c r="C261" s="95">
        <v>6019</v>
      </c>
      <c r="D261" s="20"/>
      <c r="E261" s="99" t="s">
        <v>171</v>
      </c>
      <c r="F261" s="21">
        <v>12</v>
      </c>
      <c r="G261" s="97"/>
      <c r="H261" s="21">
        <v>39.75</v>
      </c>
      <c r="I261" s="11">
        <f t="shared" si="10"/>
        <v>477</v>
      </c>
      <c r="J261" s="21"/>
      <c r="K261" s="21"/>
      <c r="L261" s="13">
        <f t="shared" si="9"/>
        <v>477</v>
      </c>
      <c r="M261" s="22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</row>
    <row r="262" spans="1:136" s="98" customFormat="1" ht="15.75" customHeight="1" x14ac:dyDescent="0.25">
      <c r="A262" s="93">
        <v>46217</v>
      </c>
      <c r="B262" s="94" t="s">
        <v>16</v>
      </c>
      <c r="C262" s="95">
        <v>6019</v>
      </c>
      <c r="D262" s="20"/>
      <c r="E262" s="99" t="s">
        <v>172</v>
      </c>
      <c r="F262" s="21">
        <v>1</v>
      </c>
      <c r="G262" s="97"/>
      <c r="H262" s="21">
        <v>77.5</v>
      </c>
      <c r="I262" s="11">
        <f t="shared" si="10"/>
        <v>77.5</v>
      </c>
      <c r="J262" s="21"/>
      <c r="K262" s="21"/>
      <c r="L262" s="13">
        <f t="shared" si="9"/>
        <v>77.5</v>
      </c>
      <c r="M262" s="22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</row>
    <row r="263" spans="1:136" s="98" customFormat="1" ht="15.75" customHeight="1" x14ac:dyDescent="0.25">
      <c r="A263" s="93">
        <v>46217</v>
      </c>
      <c r="B263" s="94" t="s">
        <v>16</v>
      </c>
      <c r="C263" s="95">
        <v>6019</v>
      </c>
      <c r="D263" s="20"/>
      <c r="E263" s="99" t="s">
        <v>173</v>
      </c>
      <c r="F263" s="21">
        <v>1</v>
      </c>
      <c r="G263" s="97"/>
      <c r="H263" s="21">
        <v>41</v>
      </c>
      <c r="I263" s="11">
        <f t="shared" si="10"/>
        <v>41</v>
      </c>
      <c r="J263" s="21"/>
      <c r="K263" s="21"/>
      <c r="L263" s="13">
        <f t="shared" si="9"/>
        <v>41</v>
      </c>
      <c r="M263" s="22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</row>
    <row r="264" spans="1:136" s="98" customFormat="1" ht="15.75" customHeight="1" x14ac:dyDescent="0.25">
      <c r="A264" s="93">
        <v>46217</v>
      </c>
      <c r="B264" s="94" t="s">
        <v>16</v>
      </c>
      <c r="C264" s="95">
        <v>6019</v>
      </c>
      <c r="D264" s="20"/>
      <c r="E264" s="99" t="s">
        <v>101</v>
      </c>
      <c r="F264" s="21">
        <v>3</v>
      </c>
      <c r="G264" s="97"/>
      <c r="H264" s="21">
        <v>24</v>
      </c>
      <c r="I264" s="11">
        <f t="shared" si="10"/>
        <v>72</v>
      </c>
      <c r="J264" s="21"/>
      <c r="K264" s="21"/>
      <c r="L264" s="13">
        <f t="shared" si="9"/>
        <v>72</v>
      </c>
      <c r="M264" s="22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</row>
    <row r="265" spans="1:136" s="98" customFormat="1" ht="15.75" customHeight="1" x14ac:dyDescent="0.25">
      <c r="A265" s="93">
        <v>46217</v>
      </c>
      <c r="B265" s="94" t="s">
        <v>16</v>
      </c>
      <c r="C265" s="95">
        <v>6019</v>
      </c>
      <c r="D265" s="20"/>
      <c r="E265" s="99" t="s">
        <v>148</v>
      </c>
      <c r="F265" s="21">
        <v>3</v>
      </c>
      <c r="G265" s="97"/>
      <c r="H265" s="21">
        <v>34.5</v>
      </c>
      <c r="I265" s="11">
        <f t="shared" si="10"/>
        <v>103.5</v>
      </c>
      <c r="J265" s="21"/>
      <c r="K265" s="21"/>
      <c r="L265" s="13">
        <f t="shared" si="9"/>
        <v>103.5</v>
      </c>
      <c r="M265" s="22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</row>
    <row r="266" spans="1:136" s="98" customFormat="1" ht="15.75" customHeight="1" x14ac:dyDescent="0.25">
      <c r="A266" s="93">
        <v>46217</v>
      </c>
      <c r="B266" s="94" t="s">
        <v>16</v>
      </c>
      <c r="C266" s="95">
        <v>6019</v>
      </c>
      <c r="D266" s="20"/>
      <c r="E266" s="99" t="s">
        <v>174</v>
      </c>
      <c r="F266" s="21">
        <v>3</v>
      </c>
      <c r="G266" s="97"/>
      <c r="H266" s="21">
        <v>15.5</v>
      </c>
      <c r="I266" s="11">
        <f t="shared" si="10"/>
        <v>46.5</v>
      </c>
      <c r="J266" s="21"/>
      <c r="K266" s="21"/>
      <c r="L266" s="13">
        <f t="shared" si="9"/>
        <v>46.5</v>
      </c>
      <c r="M266" s="22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</row>
    <row r="267" spans="1:136" s="98" customFormat="1" ht="15.75" customHeight="1" x14ac:dyDescent="0.25">
      <c r="A267" s="93">
        <v>46217</v>
      </c>
      <c r="B267" s="94" t="s">
        <v>16</v>
      </c>
      <c r="C267" s="95">
        <v>6019</v>
      </c>
      <c r="D267" s="20"/>
      <c r="E267" s="99" t="s">
        <v>50</v>
      </c>
      <c r="F267" s="21">
        <v>10</v>
      </c>
      <c r="G267" s="97"/>
      <c r="H267" s="21">
        <v>48</v>
      </c>
      <c r="I267" s="11">
        <f t="shared" si="10"/>
        <v>480</v>
      </c>
      <c r="J267" s="21"/>
      <c r="K267" s="21"/>
      <c r="L267" s="13">
        <f t="shared" si="9"/>
        <v>480</v>
      </c>
      <c r="M267" s="22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</row>
    <row r="268" spans="1:136" s="98" customFormat="1" ht="15.75" customHeight="1" x14ac:dyDescent="0.25">
      <c r="A268" s="93">
        <v>46217</v>
      </c>
      <c r="B268" s="94" t="s">
        <v>16</v>
      </c>
      <c r="C268" s="95">
        <v>6019</v>
      </c>
      <c r="D268" s="20"/>
      <c r="E268" s="99" t="s">
        <v>175</v>
      </c>
      <c r="F268" s="21">
        <v>5</v>
      </c>
      <c r="G268" s="97"/>
      <c r="H268" s="21">
        <f>170/5</f>
        <v>34</v>
      </c>
      <c r="I268" s="11">
        <f t="shared" si="10"/>
        <v>170</v>
      </c>
      <c r="J268" s="21"/>
      <c r="K268" s="21"/>
      <c r="L268" s="13">
        <f t="shared" si="9"/>
        <v>170</v>
      </c>
      <c r="M268" s="22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</row>
    <row r="269" spans="1:136" s="98" customFormat="1" ht="15.75" customHeight="1" x14ac:dyDescent="0.25">
      <c r="A269" s="93">
        <v>46217</v>
      </c>
      <c r="B269" s="94" t="s">
        <v>16</v>
      </c>
      <c r="C269" s="95">
        <v>6019</v>
      </c>
      <c r="D269" s="20"/>
      <c r="E269" s="99" t="s">
        <v>176</v>
      </c>
      <c r="F269" s="21">
        <v>4</v>
      </c>
      <c r="G269" s="97"/>
      <c r="H269" s="21">
        <v>80</v>
      </c>
      <c r="I269" s="11">
        <f t="shared" si="10"/>
        <v>320</v>
      </c>
      <c r="J269" s="21"/>
      <c r="K269" s="21"/>
      <c r="L269" s="13">
        <f t="shared" si="9"/>
        <v>320</v>
      </c>
      <c r="M269" s="22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</row>
    <row r="270" spans="1:136" s="98" customFormat="1" ht="15.75" customHeight="1" x14ac:dyDescent="0.25">
      <c r="A270" s="93">
        <v>46217</v>
      </c>
      <c r="B270" s="94" t="s">
        <v>16</v>
      </c>
      <c r="C270" s="95">
        <v>6019</v>
      </c>
      <c r="D270" s="20"/>
      <c r="E270" s="99" t="s">
        <v>160</v>
      </c>
      <c r="F270" s="21">
        <v>2</v>
      </c>
      <c r="G270" s="97"/>
      <c r="H270" s="21">
        <v>62</v>
      </c>
      <c r="I270" s="11">
        <f t="shared" si="10"/>
        <v>124</v>
      </c>
      <c r="J270" s="21"/>
      <c r="K270" s="21"/>
      <c r="L270" s="13">
        <f t="shared" si="9"/>
        <v>124</v>
      </c>
      <c r="M270" s="22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</row>
    <row r="271" spans="1:136" s="98" customFormat="1" ht="15.75" customHeight="1" x14ac:dyDescent="0.25">
      <c r="A271" s="93">
        <v>46217</v>
      </c>
      <c r="B271" s="94" t="s">
        <v>16</v>
      </c>
      <c r="C271" s="95">
        <v>6019</v>
      </c>
      <c r="D271" s="20"/>
      <c r="E271" s="99" t="s">
        <v>177</v>
      </c>
      <c r="F271" s="21">
        <v>2</v>
      </c>
      <c r="G271" s="97"/>
      <c r="H271" s="21">
        <v>177.5</v>
      </c>
      <c r="I271" s="11">
        <f t="shared" si="10"/>
        <v>355</v>
      </c>
      <c r="J271" s="21"/>
      <c r="K271" s="21"/>
      <c r="L271" s="13">
        <f t="shared" si="9"/>
        <v>355</v>
      </c>
      <c r="M271" s="22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</row>
    <row r="272" spans="1:136" s="98" customFormat="1" ht="15.75" customHeight="1" x14ac:dyDescent="0.25">
      <c r="A272" s="93">
        <v>46217</v>
      </c>
      <c r="B272" s="94" t="s">
        <v>16</v>
      </c>
      <c r="C272" s="95">
        <v>6019</v>
      </c>
      <c r="D272" s="20"/>
      <c r="E272" s="99" t="s">
        <v>178</v>
      </c>
      <c r="F272" s="21">
        <v>1</v>
      </c>
      <c r="G272" s="97"/>
      <c r="H272" s="21">
        <v>24.75</v>
      </c>
      <c r="I272" s="11">
        <f t="shared" si="10"/>
        <v>24.75</v>
      </c>
      <c r="J272" s="21"/>
      <c r="K272" s="21"/>
      <c r="L272" s="13">
        <f t="shared" si="9"/>
        <v>24.75</v>
      </c>
      <c r="M272" s="22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  <c r="BU272" s="9"/>
      <c r="BV272" s="9"/>
      <c r="BW272" s="9"/>
      <c r="BX272" s="9"/>
      <c r="BY272" s="9"/>
      <c r="BZ272" s="9"/>
      <c r="CA272" s="9"/>
      <c r="CB272" s="9"/>
      <c r="CC272" s="9"/>
      <c r="CD272" s="9"/>
      <c r="CE272" s="9"/>
      <c r="CF272" s="9"/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/>
      <c r="CR272" s="9"/>
      <c r="CS272" s="9"/>
      <c r="CT272" s="9"/>
      <c r="CU272" s="9"/>
      <c r="CV272" s="9"/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/>
      <c r="DP272" s="9"/>
      <c r="DQ272" s="9"/>
      <c r="DR272" s="9"/>
      <c r="DS272" s="9"/>
      <c r="DT272" s="9"/>
      <c r="DU272" s="9"/>
      <c r="DV272" s="9"/>
      <c r="DW272" s="9"/>
      <c r="DX272" s="9"/>
      <c r="DY272" s="9"/>
      <c r="DZ272" s="9"/>
      <c r="EA272" s="9"/>
      <c r="EB272" s="9"/>
      <c r="EC272" s="9"/>
      <c r="ED272" s="9"/>
      <c r="EE272" s="9"/>
      <c r="EF272" s="9"/>
    </row>
    <row r="273" spans="1:136" s="98" customFormat="1" ht="15.75" customHeight="1" x14ac:dyDescent="0.25">
      <c r="A273" s="93">
        <v>46217</v>
      </c>
      <c r="B273" s="94" t="s">
        <v>16</v>
      </c>
      <c r="C273" s="95">
        <v>6019</v>
      </c>
      <c r="D273" s="20"/>
      <c r="E273" s="99" t="s">
        <v>179</v>
      </c>
      <c r="F273" s="21">
        <v>1</v>
      </c>
      <c r="G273" s="97"/>
      <c r="H273" s="21">
        <v>23.5</v>
      </c>
      <c r="I273" s="11">
        <f t="shared" si="10"/>
        <v>23.5</v>
      </c>
      <c r="J273" s="21"/>
      <c r="K273" s="21"/>
      <c r="L273" s="13">
        <f t="shared" si="9"/>
        <v>23.5</v>
      </c>
      <c r="M273" s="22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</row>
    <row r="274" spans="1:136" s="98" customFormat="1" ht="15.75" customHeight="1" x14ac:dyDescent="0.25">
      <c r="A274" s="93">
        <v>46217</v>
      </c>
      <c r="B274" s="94" t="s">
        <v>16</v>
      </c>
      <c r="C274" s="95">
        <v>6019</v>
      </c>
      <c r="D274" s="20"/>
      <c r="E274" s="99" t="s">
        <v>180</v>
      </c>
      <c r="F274" s="21">
        <v>6</v>
      </c>
      <c r="G274" s="97"/>
      <c r="H274" s="21">
        <v>28</v>
      </c>
      <c r="I274" s="11">
        <f t="shared" si="10"/>
        <v>168</v>
      </c>
      <c r="J274" s="21"/>
      <c r="K274" s="21"/>
      <c r="L274" s="13">
        <f t="shared" si="9"/>
        <v>168</v>
      </c>
      <c r="M274" s="22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</row>
    <row r="275" spans="1:136" s="98" customFormat="1" ht="15.75" customHeight="1" x14ac:dyDescent="0.25">
      <c r="A275" s="93">
        <v>46217</v>
      </c>
      <c r="B275" s="94" t="s">
        <v>16</v>
      </c>
      <c r="C275" s="95">
        <v>6019</v>
      </c>
      <c r="D275" s="20"/>
      <c r="E275" s="99" t="s">
        <v>44</v>
      </c>
      <c r="F275" s="21">
        <v>2</v>
      </c>
      <c r="G275" s="97"/>
      <c r="H275" s="21">
        <v>220</v>
      </c>
      <c r="I275" s="11">
        <f t="shared" si="10"/>
        <v>440</v>
      </c>
      <c r="J275" s="21"/>
      <c r="K275" s="21"/>
      <c r="L275" s="13">
        <f t="shared" si="9"/>
        <v>440</v>
      </c>
      <c r="M275" s="22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</row>
    <row r="276" spans="1:136" s="98" customFormat="1" ht="15.75" customHeight="1" x14ac:dyDescent="0.25">
      <c r="A276" s="93">
        <v>46217</v>
      </c>
      <c r="B276" s="94" t="s">
        <v>16</v>
      </c>
      <c r="C276" s="95">
        <v>6019</v>
      </c>
      <c r="D276" s="20"/>
      <c r="E276" s="99" t="s">
        <v>181</v>
      </c>
      <c r="F276" s="21">
        <v>1</v>
      </c>
      <c r="G276" s="97"/>
      <c r="H276" s="21">
        <v>285</v>
      </c>
      <c r="I276" s="11">
        <f t="shared" si="10"/>
        <v>285</v>
      </c>
      <c r="J276" s="21"/>
      <c r="K276" s="21"/>
      <c r="L276" s="13">
        <f t="shared" si="9"/>
        <v>285</v>
      </c>
      <c r="M276" s="22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</row>
    <row r="277" spans="1:136" s="98" customFormat="1" ht="15.75" customHeight="1" x14ac:dyDescent="0.25">
      <c r="A277" s="93">
        <v>46220</v>
      </c>
      <c r="B277" s="94" t="s">
        <v>16</v>
      </c>
      <c r="C277" s="95">
        <v>6020</v>
      </c>
      <c r="D277" s="20"/>
      <c r="E277" s="99" t="s">
        <v>62</v>
      </c>
      <c r="F277" s="21">
        <v>4</v>
      </c>
      <c r="G277" s="97"/>
      <c r="H277" s="21">
        <f>1700/4</f>
        <v>425</v>
      </c>
      <c r="I277" s="11">
        <f t="shared" si="10"/>
        <v>1700</v>
      </c>
      <c r="J277" s="21"/>
      <c r="K277" s="21"/>
      <c r="L277" s="13">
        <f t="shared" si="9"/>
        <v>1700</v>
      </c>
      <c r="M277" s="22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</row>
    <row r="278" spans="1:136" s="98" customFormat="1" ht="15.75" customHeight="1" x14ac:dyDescent="0.25">
      <c r="A278" s="93">
        <v>46220</v>
      </c>
      <c r="B278" s="94" t="s">
        <v>16</v>
      </c>
      <c r="C278" s="95">
        <v>6020</v>
      </c>
      <c r="D278" s="20"/>
      <c r="E278" s="99" t="s">
        <v>61</v>
      </c>
      <c r="F278" s="21">
        <v>2</v>
      </c>
      <c r="G278" s="97"/>
      <c r="H278" s="21">
        <v>320</v>
      </c>
      <c r="I278" s="11">
        <f t="shared" si="10"/>
        <v>640</v>
      </c>
      <c r="J278" s="21"/>
      <c r="K278" s="21"/>
      <c r="L278" s="13">
        <f t="shared" si="9"/>
        <v>640</v>
      </c>
      <c r="M278" s="22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</row>
    <row r="279" spans="1:136" s="98" customFormat="1" ht="15.75" customHeight="1" x14ac:dyDescent="0.25">
      <c r="A279" s="93">
        <v>46220</v>
      </c>
      <c r="B279" s="94" t="s">
        <v>16</v>
      </c>
      <c r="C279" s="95">
        <v>6020</v>
      </c>
      <c r="D279" s="20"/>
      <c r="E279" s="99" t="s">
        <v>150</v>
      </c>
      <c r="F279" s="21">
        <v>2</v>
      </c>
      <c r="G279" s="97"/>
      <c r="H279" s="21">
        <v>190</v>
      </c>
      <c r="I279" s="11">
        <f t="shared" si="10"/>
        <v>380</v>
      </c>
      <c r="J279" s="21"/>
      <c r="K279" s="21"/>
      <c r="L279" s="13">
        <f t="shared" si="9"/>
        <v>380</v>
      </c>
      <c r="M279" s="22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  <c r="DN279" s="9"/>
      <c r="DO279" s="9"/>
      <c r="DP279" s="9"/>
      <c r="DQ279" s="9"/>
      <c r="DR279" s="9"/>
      <c r="DS279" s="9"/>
      <c r="DT279" s="9"/>
      <c r="DU279" s="9"/>
      <c r="DV279" s="9"/>
      <c r="DW279" s="9"/>
      <c r="DX279" s="9"/>
      <c r="DY279" s="9"/>
      <c r="DZ279" s="9"/>
      <c r="EA279" s="9"/>
      <c r="EB279" s="9"/>
      <c r="EC279" s="9"/>
      <c r="ED279" s="9"/>
      <c r="EE279" s="9"/>
      <c r="EF279" s="9"/>
    </row>
    <row r="280" spans="1:136" s="98" customFormat="1" ht="15.75" customHeight="1" x14ac:dyDescent="0.25">
      <c r="A280" s="93">
        <v>46220</v>
      </c>
      <c r="B280" s="94" t="s">
        <v>16</v>
      </c>
      <c r="C280" s="95">
        <v>6020</v>
      </c>
      <c r="D280" s="20"/>
      <c r="E280" s="99" t="s">
        <v>25</v>
      </c>
      <c r="F280" s="21">
        <v>1</v>
      </c>
      <c r="G280" s="97"/>
      <c r="H280" s="21">
        <v>50</v>
      </c>
      <c r="I280" s="11">
        <f t="shared" si="10"/>
        <v>50</v>
      </c>
      <c r="J280" s="21"/>
      <c r="K280" s="21"/>
      <c r="L280" s="13">
        <f t="shared" si="9"/>
        <v>50</v>
      </c>
      <c r="M280" s="22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</row>
    <row r="281" spans="1:136" s="98" customFormat="1" ht="15.75" customHeight="1" x14ac:dyDescent="0.25">
      <c r="A281" s="93">
        <v>46220</v>
      </c>
      <c r="B281" s="94" t="s">
        <v>16</v>
      </c>
      <c r="C281" s="95">
        <v>6020</v>
      </c>
      <c r="D281" s="20"/>
      <c r="E281" s="99" t="s">
        <v>123</v>
      </c>
      <c r="F281" s="21">
        <v>1</v>
      </c>
      <c r="G281" s="97"/>
      <c r="H281" s="21">
        <v>70</v>
      </c>
      <c r="I281" s="11">
        <f t="shared" si="10"/>
        <v>70</v>
      </c>
      <c r="J281" s="21"/>
      <c r="K281" s="21"/>
      <c r="L281" s="13">
        <f t="shared" si="9"/>
        <v>70</v>
      </c>
      <c r="M281" s="22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/>
      <c r="DP281" s="9"/>
      <c r="DQ281" s="9"/>
      <c r="DR281" s="9"/>
      <c r="DS281" s="9"/>
      <c r="DT281" s="9"/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/>
      <c r="EF281" s="9"/>
    </row>
    <row r="282" spans="1:136" s="98" customFormat="1" ht="15.75" customHeight="1" x14ac:dyDescent="0.25">
      <c r="A282" s="93">
        <v>46220</v>
      </c>
      <c r="B282" s="94" t="s">
        <v>16</v>
      </c>
      <c r="C282" s="95">
        <v>6020</v>
      </c>
      <c r="D282" s="20"/>
      <c r="E282" s="99" t="s">
        <v>119</v>
      </c>
      <c r="F282" s="21">
        <v>0.5</v>
      </c>
      <c r="G282" s="97"/>
      <c r="H282" s="21">
        <v>120</v>
      </c>
      <c r="I282" s="11">
        <f t="shared" si="10"/>
        <v>60</v>
      </c>
      <c r="J282" s="21"/>
      <c r="K282" s="21"/>
      <c r="L282" s="13">
        <f t="shared" si="9"/>
        <v>60</v>
      </c>
      <c r="M282" s="22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</row>
    <row r="283" spans="1:136" s="98" customFormat="1" ht="15.75" customHeight="1" x14ac:dyDescent="0.25">
      <c r="A283" s="93">
        <v>46220</v>
      </c>
      <c r="B283" s="94" t="s">
        <v>16</v>
      </c>
      <c r="C283" s="95">
        <v>6020</v>
      </c>
      <c r="D283" s="20"/>
      <c r="E283" s="99" t="s">
        <v>42</v>
      </c>
      <c r="F283" s="21">
        <v>2</v>
      </c>
      <c r="G283" s="97"/>
      <c r="H283" s="21">
        <v>40</v>
      </c>
      <c r="I283" s="11">
        <f t="shared" si="10"/>
        <v>80</v>
      </c>
      <c r="J283" s="21"/>
      <c r="K283" s="21"/>
      <c r="L283" s="13">
        <f t="shared" si="9"/>
        <v>80</v>
      </c>
      <c r="M283" s="22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</row>
    <row r="284" spans="1:136" s="98" customFormat="1" ht="15.75" customHeight="1" x14ac:dyDescent="0.25">
      <c r="A284" s="93">
        <v>46220</v>
      </c>
      <c r="B284" s="94" t="s">
        <v>16</v>
      </c>
      <c r="C284" s="95">
        <v>6020</v>
      </c>
      <c r="D284" s="20"/>
      <c r="E284" s="99" t="s">
        <v>70</v>
      </c>
      <c r="F284" s="21">
        <v>1</v>
      </c>
      <c r="G284" s="97"/>
      <c r="H284" s="21">
        <v>110</v>
      </c>
      <c r="I284" s="11">
        <f t="shared" si="10"/>
        <v>110</v>
      </c>
      <c r="J284" s="21"/>
      <c r="K284" s="21"/>
      <c r="L284" s="13">
        <f t="shared" si="9"/>
        <v>110</v>
      </c>
      <c r="M284" s="22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</row>
    <row r="285" spans="1:136" s="98" customFormat="1" ht="15.75" customHeight="1" x14ac:dyDescent="0.25">
      <c r="A285" s="93">
        <v>46220</v>
      </c>
      <c r="B285" s="94" t="s">
        <v>16</v>
      </c>
      <c r="C285" s="95">
        <v>6020</v>
      </c>
      <c r="D285" s="20"/>
      <c r="E285" s="99" t="s">
        <v>31</v>
      </c>
      <c r="F285" s="21">
        <f>38/150</f>
        <v>0.25333333333333335</v>
      </c>
      <c r="G285" s="97"/>
      <c r="H285" s="21">
        <v>150</v>
      </c>
      <c r="I285" s="11">
        <f t="shared" si="10"/>
        <v>38</v>
      </c>
      <c r="J285" s="21"/>
      <c r="K285" s="21"/>
      <c r="L285" s="13">
        <f t="shared" si="9"/>
        <v>38</v>
      </c>
      <c r="M285" s="22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</row>
    <row r="286" spans="1:136" s="98" customFormat="1" ht="15.75" customHeight="1" x14ac:dyDescent="0.25">
      <c r="A286" s="93">
        <v>46220</v>
      </c>
      <c r="B286" s="94" t="s">
        <v>16</v>
      </c>
      <c r="C286" s="95">
        <v>6020</v>
      </c>
      <c r="D286" s="20"/>
      <c r="E286" s="99" t="s">
        <v>34</v>
      </c>
      <c r="F286" s="21">
        <v>1</v>
      </c>
      <c r="G286" s="97"/>
      <c r="H286" s="21">
        <v>30</v>
      </c>
      <c r="I286" s="11">
        <f t="shared" si="10"/>
        <v>30</v>
      </c>
      <c r="J286" s="21"/>
      <c r="K286" s="21"/>
      <c r="L286" s="13">
        <f t="shared" si="9"/>
        <v>30</v>
      </c>
      <c r="M286" s="22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</row>
    <row r="287" spans="1:136" s="98" customFormat="1" ht="15.75" customHeight="1" x14ac:dyDescent="0.25">
      <c r="A287" s="93">
        <v>46220</v>
      </c>
      <c r="B287" s="94" t="s">
        <v>16</v>
      </c>
      <c r="C287" s="95">
        <v>6020</v>
      </c>
      <c r="D287" s="20"/>
      <c r="E287" s="99" t="s">
        <v>182</v>
      </c>
      <c r="F287" s="21">
        <v>2</v>
      </c>
      <c r="G287" s="97"/>
      <c r="H287" s="21">
        <v>50</v>
      </c>
      <c r="I287" s="11">
        <f t="shared" si="10"/>
        <v>100</v>
      </c>
      <c r="J287" s="21"/>
      <c r="K287" s="21"/>
      <c r="L287" s="13">
        <f t="shared" si="9"/>
        <v>100</v>
      </c>
      <c r="M287" s="22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</row>
    <row r="288" spans="1:136" s="98" customFormat="1" ht="15.75" customHeight="1" x14ac:dyDescent="0.25">
      <c r="A288" s="93">
        <v>46220</v>
      </c>
      <c r="B288" s="94" t="s">
        <v>16</v>
      </c>
      <c r="C288" s="95">
        <v>6020</v>
      </c>
      <c r="D288" s="20"/>
      <c r="E288" s="99" t="s">
        <v>120</v>
      </c>
      <c r="F288" s="21">
        <v>3</v>
      </c>
      <c r="G288" s="97"/>
      <c r="H288" s="21">
        <v>120</v>
      </c>
      <c r="I288" s="11">
        <f t="shared" si="10"/>
        <v>360</v>
      </c>
      <c r="J288" s="21"/>
      <c r="K288" s="21"/>
      <c r="L288" s="13">
        <f t="shared" si="9"/>
        <v>360</v>
      </c>
      <c r="M288" s="22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</row>
    <row r="289" spans="1:136" s="98" customFormat="1" ht="15.75" customHeight="1" x14ac:dyDescent="0.25">
      <c r="A289" s="93">
        <v>46220</v>
      </c>
      <c r="B289" s="94" t="s">
        <v>16</v>
      </c>
      <c r="C289" s="95">
        <v>6020</v>
      </c>
      <c r="D289" s="20"/>
      <c r="E289" s="99" t="s">
        <v>118</v>
      </c>
      <c r="F289" s="21">
        <v>0.5</v>
      </c>
      <c r="G289" s="97"/>
      <c r="H289" s="21">
        <v>50</v>
      </c>
      <c r="I289" s="11">
        <f t="shared" si="10"/>
        <v>25</v>
      </c>
      <c r="J289" s="21"/>
      <c r="K289" s="21"/>
      <c r="L289" s="13">
        <f t="shared" si="9"/>
        <v>25</v>
      </c>
      <c r="M289" s="22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</row>
    <row r="290" spans="1:136" s="98" customFormat="1" ht="15.75" customHeight="1" x14ac:dyDescent="0.25">
      <c r="A290" s="93">
        <v>46220</v>
      </c>
      <c r="B290" s="94" t="s">
        <v>16</v>
      </c>
      <c r="C290" s="95">
        <v>6020</v>
      </c>
      <c r="D290" s="20"/>
      <c r="E290" s="99" t="s">
        <v>183</v>
      </c>
      <c r="F290" s="21">
        <v>4</v>
      </c>
      <c r="G290" s="97"/>
      <c r="H290" s="21">
        <v>161</v>
      </c>
      <c r="I290" s="11">
        <f t="shared" si="10"/>
        <v>644</v>
      </c>
      <c r="J290" s="21"/>
      <c r="K290" s="21"/>
      <c r="L290" s="13">
        <f t="shared" si="9"/>
        <v>644</v>
      </c>
      <c r="M290" s="22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/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/>
      <c r="ED290" s="9"/>
      <c r="EE290" s="9"/>
      <c r="EF290" s="9"/>
    </row>
    <row r="291" spans="1:136" s="98" customFormat="1" ht="15.75" customHeight="1" x14ac:dyDescent="0.25">
      <c r="A291" s="93">
        <v>46220</v>
      </c>
      <c r="B291" s="94" t="s">
        <v>16</v>
      </c>
      <c r="C291" s="95">
        <v>6020</v>
      </c>
      <c r="D291" s="20"/>
      <c r="E291" s="99" t="s">
        <v>184</v>
      </c>
      <c r="F291" s="21">
        <v>2</v>
      </c>
      <c r="G291" s="97"/>
      <c r="H291" s="21">
        <v>41</v>
      </c>
      <c r="I291" s="11">
        <f t="shared" si="10"/>
        <v>82</v>
      </c>
      <c r="J291" s="21"/>
      <c r="K291" s="21"/>
      <c r="L291" s="13">
        <f t="shared" si="9"/>
        <v>82</v>
      </c>
      <c r="M291" s="22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</row>
    <row r="292" spans="1:136" s="98" customFormat="1" ht="15.75" customHeight="1" x14ac:dyDescent="0.25">
      <c r="A292" s="93">
        <v>46220</v>
      </c>
      <c r="B292" s="94" t="s">
        <v>16</v>
      </c>
      <c r="C292" s="95">
        <v>6020</v>
      </c>
      <c r="D292" s="20"/>
      <c r="E292" s="99" t="s">
        <v>172</v>
      </c>
      <c r="F292" s="21">
        <v>2</v>
      </c>
      <c r="G292" s="97"/>
      <c r="H292" s="21">
        <v>77.5</v>
      </c>
      <c r="I292" s="11">
        <f t="shared" si="10"/>
        <v>155</v>
      </c>
      <c r="J292" s="21"/>
      <c r="K292" s="21"/>
      <c r="L292" s="13">
        <f t="shared" si="9"/>
        <v>155</v>
      </c>
      <c r="M292" s="22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</row>
    <row r="293" spans="1:136" s="98" customFormat="1" ht="15.75" customHeight="1" x14ac:dyDescent="0.25">
      <c r="A293" s="93">
        <v>46220</v>
      </c>
      <c r="B293" s="94" t="s">
        <v>16</v>
      </c>
      <c r="C293" s="95">
        <v>6020</v>
      </c>
      <c r="D293" s="20"/>
      <c r="E293" s="99" t="s">
        <v>185</v>
      </c>
      <c r="F293" s="21">
        <v>1</v>
      </c>
      <c r="G293" s="97"/>
      <c r="H293" s="21">
        <v>154.75</v>
      </c>
      <c r="I293" s="11">
        <f t="shared" si="10"/>
        <v>154.75</v>
      </c>
      <c r="J293" s="21"/>
      <c r="K293" s="21"/>
      <c r="L293" s="13">
        <f t="shared" si="9"/>
        <v>154.75</v>
      </c>
      <c r="M293" s="22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</row>
    <row r="294" spans="1:136" s="98" customFormat="1" ht="15.75" customHeight="1" x14ac:dyDescent="0.25">
      <c r="A294" s="93">
        <v>46220</v>
      </c>
      <c r="B294" s="94" t="s">
        <v>16</v>
      </c>
      <c r="C294" s="95">
        <v>6020</v>
      </c>
      <c r="D294" s="20"/>
      <c r="E294" s="99" t="s">
        <v>160</v>
      </c>
      <c r="F294" s="21">
        <v>3</v>
      </c>
      <c r="G294" s="97"/>
      <c r="H294" s="21">
        <v>62</v>
      </c>
      <c r="I294" s="11">
        <f t="shared" si="10"/>
        <v>186</v>
      </c>
      <c r="J294" s="21"/>
      <c r="K294" s="21"/>
      <c r="L294" s="13">
        <f t="shared" si="9"/>
        <v>186</v>
      </c>
      <c r="M294" s="22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</row>
    <row r="295" spans="1:136" s="98" customFormat="1" ht="15.75" customHeight="1" x14ac:dyDescent="0.25">
      <c r="A295" s="93">
        <v>46220</v>
      </c>
      <c r="B295" s="94" t="s">
        <v>16</v>
      </c>
      <c r="C295" s="95">
        <v>6020</v>
      </c>
      <c r="D295" s="20"/>
      <c r="E295" s="99" t="s">
        <v>103</v>
      </c>
      <c r="F295" s="21">
        <v>10</v>
      </c>
      <c r="G295" s="97"/>
      <c r="H295" s="21">
        <v>7.25</v>
      </c>
      <c r="I295" s="11">
        <f t="shared" si="10"/>
        <v>72.5</v>
      </c>
      <c r="J295" s="21"/>
      <c r="K295" s="21"/>
      <c r="L295" s="13">
        <f t="shared" si="9"/>
        <v>72.5</v>
      </c>
      <c r="M295" s="22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</row>
    <row r="296" spans="1:136" s="98" customFormat="1" ht="15.75" customHeight="1" x14ac:dyDescent="0.25">
      <c r="A296" s="93">
        <v>46220</v>
      </c>
      <c r="B296" s="94" t="s">
        <v>16</v>
      </c>
      <c r="C296" s="95">
        <v>6020</v>
      </c>
      <c r="D296" s="20"/>
      <c r="E296" s="99" t="s">
        <v>186</v>
      </c>
      <c r="F296" s="21">
        <v>2</v>
      </c>
      <c r="G296" s="97"/>
      <c r="H296" s="21">
        <v>59.25</v>
      </c>
      <c r="I296" s="11">
        <f t="shared" si="10"/>
        <v>118.5</v>
      </c>
      <c r="J296" s="21"/>
      <c r="K296" s="21"/>
      <c r="L296" s="13">
        <f t="shared" si="9"/>
        <v>118.5</v>
      </c>
      <c r="M296" s="22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</row>
    <row r="297" spans="1:136" s="98" customFormat="1" ht="15.75" customHeight="1" x14ac:dyDescent="0.25">
      <c r="A297" s="93">
        <v>46220</v>
      </c>
      <c r="B297" s="94" t="s">
        <v>16</v>
      </c>
      <c r="C297" s="95">
        <v>6020</v>
      </c>
      <c r="D297" s="20"/>
      <c r="E297" s="99" t="s">
        <v>78</v>
      </c>
      <c r="F297" s="21">
        <v>2</v>
      </c>
      <c r="G297" s="97"/>
      <c r="H297" s="21">
        <v>60</v>
      </c>
      <c r="I297" s="11">
        <f t="shared" si="10"/>
        <v>120</v>
      </c>
      <c r="J297" s="21"/>
      <c r="K297" s="21"/>
      <c r="L297" s="13">
        <f t="shared" si="9"/>
        <v>120</v>
      </c>
      <c r="M297" s="22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  <c r="BU297" s="9"/>
      <c r="BV297" s="9"/>
      <c r="BW297" s="9"/>
      <c r="BX297" s="9"/>
      <c r="BY297" s="9"/>
      <c r="BZ297" s="9"/>
      <c r="CA297" s="9"/>
      <c r="CB297" s="9"/>
      <c r="CC297" s="9"/>
      <c r="CD297" s="9"/>
      <c r="CE297" s="9"/>
      <c r="CF297" s="9"/>
      <c r="CG297" s="9"/>
      <c r="CH297" s="9"/>
      <c r="CI297" s="9"/>
      <c r="CJ297" s="9"/>
      <c r="CK297" s="9"/>
      <c r="CL297" s="9"/>
      <c r="CM297" s="9"/>
      <c r="CN297" s="9"/>
      <c r="CO297" s="9"/>
      <c r="CP297" s="9"/>
      <c r="CQ297" s="9"/>
      <c r="CR297" s="9"/>
      <c r="CS297" s="9"/>
      <c r="CT297" s="9"/>
      <c r="CU297" s="9"/>
      <c r="CV297" s="9"/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/>
      <c r="DH297" s="9"/>
      <c r="DI297" s="9"/>
      <c r="DJ297" s="9"/>
      <c r="DK297" s="9"/>
      <c r="DL297" s="9"/>
      <c r="DM297" s="9"/>
      <c r="DN297" s="9"/>
      <c r="DO297" s="9"/>
      <c r="DP297" s="9"/>
      <c r="DQ297" s="9"/>
      <c r="DR297" s="9"/>
      <c r="DS297" s="9"/>
      <c r="DT297" s="9"/>
      <c r="DU297" s="9"/>
      <c r="DV297" s="9"/>
      <c r="DW297" s="9"/>
      <c r="DX297" s="9"/>
      <c r="DY297" s="9"/>
      <c r="DZ297" s="9"/>
      <c r="EA297" s="9"/>
      <c r="EB297" s="9"/>
      <c r="EC297" s="9"/>
      <c r="ED297" s="9"/>
      <c r="EE297" s="9"/>
      <c r="EF297" s="9"/>
    </row>
    <row r="298" spans="1:136" s="98" customFormat="1" ht="15.75" customHeight="1" x14ac:dyDescent="0.25">
      <c r="A298" s="93">
        <v>46220</v>
      </c>
      <c r="B298" s="94" t="s">
        <v>16</v>
      </c>
      <c r="C298" s="95">
        <v>6020</v>
      </c>
      <c r="D298" s="20"/>
      <c r="E298" s="99" t="s">
        <v>87</v>
      </c>
      <c r="F298" s="21">
        <v>3</v>
      </c>
      <c r="G298" s="97"/>
      <c r="H298" s="21">
        <v>59</v>
      </c>
      <c r="I298" s="11">
        <f t="shared" si="10"/>
        <v>177</v>
      </c>
      <c r="J298" s="21"/>
      <c r="K298" s="21"/>
      <c r="L298" s="13">
        <f t="shared" si="9"/>
        <v>177</v>
      </c>
      <c r="M298" s="22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/>
      <c r="CB298" s="9"/>
      <c r="CC298" s="9"/>
      <c r="CD298" s="9"/>
      <c r="CE298" s="9"/>
      <c r="CF298" s="9"/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/>
      <c r="CR298" s="9"/>
      <c r="CS298" s="9"/>
      <c r="CT298" s="9"/>
      <c r="CU298" s="9"/>
      <c r="CV298" s="9"/>
      <c r="CW298" s="9"/>
      <c r="CX298" s="9"/>
      <c r="CY298" s="9"/>
      <c r="CZ298" s="9"/>
      <c r="DA298" s="9"/>
      <c r="DB298" s="9"/>
      <c r="DC298" s="9"/>
      <c r="DD298" s="9"/>
      <c r="DE298" s="9"/>
      <c r="DF298" s="9"/>
      <c r="DG298" s="9"/>
      <c r="DH298" s="9"/>
      <c r="DI298" s="9"/>
      <c r="DJ298" s="9"/>
      <c r="DK298" s="9"/>
      <c r="DL298" s="9"/>
      <c r="DM298" s="9"/>
      <c r="DN298" s="9"/>
      <c r="DO298" s="9"/>
      <c r="DP298" s="9"/>
      <c r="DQ298" s="9"/>
      <c r="DR298" s="9"/>
      <c r="DS298" s="9"/>
      <c r="DT298" s="9"/>
      <c r="DU298" s="9"/>
      <c r="DV298" s="9"/>
      <c r="DW298" s="9"/>
      <c r="DX298" s="9"/>
      <c r="DY298" s="9"/>
      <c r="DZ298" s="9"/>
      <c r="EA298" s="9"/>
      <c r="EB298" s="9"/>
      <c r="EC298" s="9"/>
      <c r="ED298" s="9"/>
      <c r="EE298" s="9"/>
      <c r="EF298" s="9"/>
    </row>
    <row r="299" spans="1:136" s="98" customFormat="1" ht="15.75" customHeight="1" x14ac:dyDescent="0.25">
      <c r="A299" s="93">
        <v>46220</v>
      </c>
      <c r="B299" s="94" t="s">
        <v>16</v>
      </c>
      <c r="C299" s="95">
        <v>6020</v>
      </c>
      <c r="D299" s="20"/>
      <c r="E299" s="99" t="s">
        <v>187</v>
      </c>
      <c r="F299" s="21">
        <v>1</v>
      </c>
      <c r="G299" s="100"/>
      <c r="H299" s="21">
        <v>90</v>
      </c>
      <c r="I299" s="11">
        <f t="shared" si="10"/>
        <v>90</v>
      </c>
      <c r="J299" s="21"/>
      <c r="K299" s="21"/>
      <c r="L299" s="13">
        <f t="shared" si="9"/>
        <v>90</v>
      </c>
      <c r="M299" s="22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</row>
    <row r="300" spans="1:136" s="98" customFormat="1" ht="15.75" customHeight="1" x14ac:dyDescent="0.25">
      <c r="A300" s="93">
        <v>46220</v>
      </c>
      <c r="B300" s="94" t="s">
        <v>16</v>
      </c>
      <c r="C300" s="95">
        <v>6020</v>
      </c>
      <c r="D300" s="20"/>
      <c r="E300" s="99" t="s">
        <v>188</v>
      </c>
      <c r="F300" s="21">
        <v>1</v>
      </c>
      <c r="G300" s="100"/>
      <c r="H300" s="21">
        <v>41.25</v>
      </c>
      <c r="I300" s="11">
        <f t="shared" si="10"/>
        <v>41.25</v>
      </c>
      <c r="J300" s="21"/>
      <c r="K300" s="21"/>
      <c r="L300" s="13">
        <f t="shared" si="9"/>
        <v>41.25</v>
      </c>
      <c r="M300" s="22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/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/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</row>
    <row r="301" spans="1:136" s="98" customFormat="1" ht="15.75" customHeight="1" x14ac:dyDescent="0.25">
      <c r="A301" s="93">
        <v>46220</v>
      </c>
      <c r="B301" s="94" t="s">
        <v>16</v>
      </c>
      <c r="C301" s="95">
        <v>6020</v>
      </c>
      <c r="D301" s="20"/>
      <c r="E301" s="99" t="s">
        <v>136</v>
      </c>
      <c r="F301" s="21">
        <v>1</v>
      </c>
      <c r="G301" s="100"/>
      <c r="H301" s="21">
        <v>79</v>
      </c>
      <c r="I301" s="11">
        <f t="shared" si="10"/>
        <v>79</v>
      </c>
      <c r="J301" s="21"/>
      <c r="K301" s="21"/>
      <c r="L301" s="13">
        <f t="shared" si="9"/>
        <v>79</v>
      </c>
      <c r="M301" s="22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</row>
    <row r="302" spans="1:136" s="98" customFormat="1" ht="15.75" customHeight="1" x14ac:dyDescent="0.25">
      <c r="A302" s="93">
        <v>46220</v>
      </c>
      <c r="B302" s="94" t="s">
        <v>16</v>
      </c>
      <c r="C302" s="95">
        <v>6020</v>
      </c>
      <c r="D302" s="20"/>
      <c r="E302" s="99" t="s">
        <v>189</v>
      </c>
      <c r="F302" s="21">
        <v>2</v>
      </c>
      <c r="G302" s="100"/>
      <c r="H302" s="21">
        <v>90</v>
      </c>
      <c r="I302" s="11">
        <f t="shared" si="10"/>
        <v>180</v>
      </c>
      <c r="J302" s="21"/>
      <c r="K302" s="21"/>
      <c r="L302" s="13">
        <f t="shared" si="9"/>
        <v>180</v>
      </c>
      <c r="M302" s="22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</row>
    <row r="303" spans="1:136" s="98" customFormat="1" ht="15.75" customHeight="1" x14ac:dyDescent="0.25">
      <c r="A303" s="93">
        <v>46220</v>
      </c>
      <c r="B303" s="94" t="s">
        <v>16</v>
      </c>
      <c r="C303" s="95">
        <v>6020</v>
      </c>
      <c r="D303" s="20"/>
      <c r="E303" s="99" t="s">
        <v>184</v>
      </c>
      <c r="F303" s="21">
        <v>2</v>
      </c>
      <c r="G303" s="100"/>
      <c r="H303" s="21">
        <v>41</v>
      </c>
      <c r="I303" s="11">
        <f t="shared" si="10"/>
        <v>82</v>
      </c>
      <c r="J303" s="21"/>
      <c r="K303" s="21"/>
      <c r="L303" s="13">
        <f t="shared" si="9"/>
        <v>82</v>
      </c>
      <c r="M303" s="22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</row>
    <row r="304" spans="1:136" s="98" customFormat="1" ht="15.75" customHeight="1" x14ac:dyDescent="0.25">
      <c r="A304" s="93">
        <v>46220</v>
      </c>
      <c r="B304" s="94" t="s">
        <v>16</v>
      </c>
      <c r="C304" s="95">
        <v>6020</v>
      </c>
      <c r="D304" s="20"/>
      <c r="E304" s="99" t="s">
        <v>160</v>
      </c>
      <c r="F304" s="21">
        <v>1</v>
      </c>
      <c r="G304" s="100"/>
      <c r="H304" s="21">
        <v>62</v>
      </c>
      <c r="I304" s="11">
        <f t="shared" si="10"/>
        <v>62</v>
      </c>
      <c r="J304" s="21"/>
      <c r="K304" s="21"/>
      <c r="L304" s="13">
        <f t="shared" si="9"/>
        <v>62</v>
      </c>
      <c r="M304" s="22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</row>
    <row r="305" spans="1:136" s="98" customFormat="1" ht="15.75" customHeight="1" x14ac:dyDescent="0.25">
      <c r="A305" s="93">
        <v>46220</v>
      </c>
      <c r="B305" s="94" t="s">
        <v>16</v>
      </c>
      <c r="C305" s="95">
        <v>6020</v>
      </c>
      <c r="D305" s="20"/>
      <c r="E305" s="99" t="s">
        <v>172</v>
      </c>
      <c r="F305" s="21">
        <v>2</v>
      </c>
      <c r="G305" s="100"/>
      <c r="H305" s="21">
        <v>77.5</v>
      </c>
      <c r="I305" s="11">
        <f t="shared" si="10"/>
        <v>155</v>
      </c>
      <c r="J305" s="21"/>
      <c r="K305" s="21"/>
      <c r="L305" s="13">
        <f t="shared" si="9"/>
        <v>155</v>
      </c>
      <c r="M305" s="22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</row>
    <row r="306" spans="1:136" s="98" customFormat="1" ht="15.75" customHeight="1" x14ac:dyDescent="0.25">
      <c r="A306" s="93">
        <v>46220</v>
      </c>
      <c r="B306" s="94" t="s">
        <v>16</v>
      </c>
      <c r="C306" s="95">
        <v>6020</v>
      </c>
      <c r="D306" s="20"/>
      <c r="E306" s="99" t="s">
        <v>101</v>
      </c>
      <c r="F306" s="21">
        <v>3</v>
      </c>
      <c r="G306" s="100"/>
      <c r="H306" s="21">
        <v>24</v>
      </c>
      <c r="I306" s="11">
        <f t="shared" si="10"/>
        <v>72</v>
      </c>
      <c r="J306" s="21"/>
      <c r="K306" s="21"/>
      <c r="L306" s="13">
        <f t="shared" si="9"/>
        <v>72</v>
      </c>
      <c r="M306" s="22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</row>
    <row r="307" spans="1:136" s="98" customFormat="1" ht="15.75" customHeight="1" x14ac:dyDescent="0.25">
      <c r="A307" s="93">
        <v>46220</v>
      </c>
      <c r="B307" s="94" t="s">
        <v>16</v>
      </c>
      <c r="C307" s="95">
        <v>6020</v>
      </c>
      <c r="D307" s="20"/>
      <c r="E307" s="99" t="s">
        <v>190</v>
      </c>
      <c r="F307" s="21">
        <v>2</v>
      </c>
      <c r="G307" s="100"/>
      <c r="H307" s="21">
        <v>109</v>
      </c>
      <c r="I307" s="11">
        <f t="shared" si="10"/>
        <v>218</v>
      </c>
      <c r="J307" s="21"/>
      <c r="K307" s="21"/>
      <c r="L307" s="13">
        <f t="shared" si="9"/>
        <v>218</v>
      </c>
      <c r="M307" s="22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</row>
    <row r="308" spans="1:136" s="98" customFormat="1" ht="15.75" customHeight="1" x14ac:dyDescent="0.25">
      <c r="A308" s="93">
        <v>46220</v>
      </c>
      <c r="B308" s="94" t="s">
        <v>16</v>
      </c>
      <c r="C308" s="95">
        <v>6020</v>
      </c>
      <c r="D308" s="20"/>
      <c r="E308" s="99" t="s">
        <v>136</v>
      </c>
      <c r="F308" s="21">
        <v>7</v>
      </c>
      <c r="G308" s="100"/>
      <c r="H308" s="21">
        <v>79</v>
      </c>
      <c r="I308" s="11">
        <f t="shared" si="10"/>
        <v>553</v>
      </c>
      <c r="J308" s="21"/>
      <c r="K308" s="21"/>
      <c r="L308" s="13">
        <f t="shared" si="9"/>
        <v>553</v>
      </c>
      <c r="M308" s="22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</row>
    <row r="309" spans="1:136" s="98" customFormat="1" ht="15.75" customHeight="1" x14ac:dyDescent="0.25">
      <c r="A309" s="93">
        <v>46220</v>
      </c>
      <c r="B309" s="94" t="s">
        <v>16</v>
      </c>
      <c r="C309" s="95">
        <v>6020</v>
      </c>
      <c r="D309" s="20"/>
      <c r="E309" s="99" t="s">
        <v>191</v>
      </c>
      <c r="F309" s="21">
        <v>40</v>
      </c>
      <c r="G309" s="100"/>
      <c r="H309" s="21">
        <v>7</v>
      </c>
      <c r="I309" s="11">
        <f t="shared" si="10"/>
        <v>280</v>
      </c>
      <c r="J309" s="21"/>
      <c r="K309" s="21"/>
      <c r="L309" s="13">
        <f t="shared" si="9"/>
        <v>280</v>
      </c>
      <c r="M309" s="22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</row>
    <row r="310" spans="1:136" s="98" customFormat="1" ht="15.75" customHeight="1" x14ac:dyDescent="0.25">
      <c r="A310" s="93">
        <v>46220</v>
      </c>
      <c r="B310" s="94" t="s">
        <v>16</v>
      </c>
      <c r="C310" s="95">
        <v>6020</v>
      </c>
      <c r="D310" s="20"/>
      <c r="E310" s="99" t="s">
        <v>67</v>
      </c>
      <c r="F310" s="21">
        <v>8</v>
      </c>
      <c r="G310" s="100"/>
      <c r="H310" s="21">
        <v>62</v>
      </c>
      <c r="I310" s="11">
        <f t="shared" si="10"/>
        <v>496</v>
      </c>
      <c r="J310" s="21"/>
      <c r="K310" s="21"/>
      <c r="L310" s="13">
        <f t="shared" ref="L310:L371" si="11">I310-J310-K310</f>
        <v>496</v>
      </c>
      <c r="M310" s="22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</row>
    <row r="311" spans="1:136" s="98" customFormat="1" ht="15.75" customHeight="1" x14ac:dyDescent="0.25">
      <c r="A311" s="93">
        <v>46220</v>
      </c>
      <c r="B311" s="94" t="s">
        <v>16</v>
      </c>
      <c r="C311" s="95">
        <v>6020</v>
      </c>
      <c r="D311" s="20"/>
      <c r="E311" s="99" t="s">
        <v>192</v>
      </c>
      <c r="F311" s="21">
        <v>2</v>
      </c>
      <c r="G311" s="100"/>
      <c r="H311" s="21">
        <v>56</v>
      </c>
      <c r="I311" s="11">
        <f t="shared" ref="I311:I374" si="12">F311*H311</f>
        <v>112</v>
      </c>
      <c r="J311" s="21"/>
      <c r="K311" s="21"/>
      <c r="L311" s="13">
        <f t="shared" si="11"/>
        <v>112</v>
      </c>
      <c r="M311" s="22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</row>
    <row r="312" spans="1:136" s="98" customFormat="1" ht="15.75" customHeight="1" x14ac:dyDescent="0.25">
      <c r="A312" s="93">
        <v>46223</v>
      </c>
      <c r="B312" s="94" t="s">
        <v>16</v>
      </c>
      <c r="C312" s="95">
        <v>6021</v>
      </c>
      <c r="D312" s="20"/>
      <c r="E312" s="99" t="s">
        <v>193</v>
      </c>
      <c r="F312" s="21">
        <v>2</v>
      </c>
      <c r="G312" s="100"/>
      <c r="H312" s="21">
        <v>36</v>
      </c>
      <c r="I312" s="11">
        <f t="shared" si="12"/>
        <v>72</v>
      </c>
      <c r="J312" s="21"/>
      <c r="K312" s="21"/>
      <c r="L312" s="13">
        <f t="shared" si="11"/>
        <v>72</v>
      </c>
      <c r="M312" s="22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/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</row>
    <row r="313" spans="1:136" s="98" customFormat="1" ht="15.75" customHeight="1" x14ac:dyDescent="0.25">
      <c r="A313" s="93">
        <v>46223</v>
      </c>
      <c r="B313" s="94" t="s">
        <v>16</v>
      </c>
      <c r="C313" s="95">
        <v>6021</v>
      </c>
      <c r="D313" s="20"/>
      <c r="E313" s="99" t="s">
        <v>194</v>
      </c>
      <c r="F313" s="21">
        <v>2</v>
      </c>
      <c r="G313" s="100"/>
      <c r="H313" s="21">
        <v>34.5</v>
      </c>
      <c r="I313" s="11">
        <f t="shared" si="12"/>
        <v>69</v>
      </c>
      <c r="J313" s="21"/>
      <c r="K313" s="21"/>
      <c r="L313" s="13">
        <f t="shared" si="11"/>
        <v>69</v>
      </c>
      <c r="M313" s="22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  <c r="BU313" s="9"/>
      <c r="BV313" s="9"/>
      <c r="BW313" s="9"/>
      <c r="BX313" s="9"/>
      <c r="BY313" s="9"/>
      <c r="BZ313" s="9"/>
      <c r="CA313" s="9"/>
      <c r="CB313" s="9"/>
      <c r="CC313" s="9"/>
      <c r="CD313" s="9"/>
      <c r="CE313" s="9"/>
      <c r="CF313" s="9"/>
      <c r="CG313" s="9"/>
      <c r="CH313" s="9"/>
      <c r="CI313" s="9"/>
      <c r="CJ313" s="9"/>
      <c r="CK313" s="9"/>
      <c r="CL313" s="9"/>
      <c r="CM313" s="9"/>
      <c r="CN313" s="9"/>
      <c r="CO313" s="9"/>
      <c r="CP313" s="9"/>
      <c r="CQ313" s="9"/>
      <c r="CR313" s="9"/>
      <c r="CS313" s="9"/>
      <c r="CT313" s="9"/>
      <c r="CU313" s="9"/>
      <c r="CV313" s="9"/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/>
      <c r="DJ313" s="9"/>
      <c r="DK313" s="9"/>
      <c r="DL313" s="9"/>
      <c r="DM313" s="9"/>
      <c r="DN313" s="9"/>
      <c r="DO313" s="9"/>
      <c r="DP313" s="9"/>
      <c r="DQ313" s="9"/>
      <c r="DR313" s="9"/>
      <c r="DS313" s="9"/>
      <c r="DT313" s="9"/>
      <c r="DU313" s="9"/>
      <c r="DV313" s="9"/>
      <c r="DW313" s="9"/>
      <c r="DX313" s="9"/>
      <c r="DY313" s="9"/>
      <c r="DZ313" s="9"/>
      <c r="EA313" s="9"/>
      <c r="EB313" s="9"/>
      <c r="EC313" s="9"/>
      <c r="ED313" s="9"/>
      <c r="EE313" s="9"/>
      <c r="EF313" s="9"/>
    </row>
    <row r="314" spans="1:136" s="98" customFormat="1" ht="15.75" customHeight="1" x14ac:dyDescent="0.25">
      <c r="A314" s="93">
        <v>46223</v>
      </c>
      <c r="B314" s="94" t="s">
        <v>16</v>
      </c>
      <c r="C314" s="95">
        <v>6021</v>
      </c>
      <c r="D314" s="20"/>
      <c r="E314" s="99" t="s">
        <v>158</v>
      </c>
      <c r="F314" s="21">
        <v>2</v>
      </c>
      <c r="G314" s="100"/>
      <c r="H314" s="21">
        <v>18.5</v>
      </c>
      <c r="I314" s="11">
        <f t="shared" si="12"/>
        <v>37</v>
      </c>
      <c r="J314" s="21"/>
      <c r="K314" s="21"/>
      <c r="L314" s="13">
        <f t="shared" si="11"/>
        <v>37</v>
      </c>
      <c r="M314" s="22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</row>
    <row r="315" spans="1:136" s="98" customFormat="1" ht="15.75" customHeight="1" x14ac:dyDescent="0.25">
      <c r="A315" s="93">
        <v>46223</v>
      </c>
      <c r="B315" s="94" t="s">
        <v>16</v>
      </c>
      <c r="C315" s="95">
        <v>6021</v>
      </c>
      <c r="D315" s="20"/>
      <c r="E315" s="99" t="s">
        <v>80</v>
      </c>
      <c r="F315" s="21">
        <v>12</v>
      </c>
      <c r="G315" s="100"/>
      <c r="H315" s="21">
        <v>7.25</v>
      </c>
      <c r="I315" s="11">
        <f t="shared" si="12"/>
        <v>87</v>
      </c>
      <c r="J315" s="21"/>
      <c r="K315" s="21"/>
      <c r="L315" s="13">
        <f t="shared" si="11"/>
        <v>87</v>
      </c>
      <c r="M315" s="22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</row>
    <row r="316" spans="1:136" s="98" customFormat="1" ht="15.75" customHeight="1" x14ac:dyDescent="0.25">
      <c r="A316" s="93">
        <v>46223</v>
      </c>
      <c r="B316" s="94" t="s">
        <v>16</v>
      </c>
      <c r="C316" s="95">
        <v>6021</v>
      </c>
      <c r="D316" s="20"/>
      <c r="E316" s="99" t="s">
        <v>84</v>
      </c>
      <c r="F316" s="21">
        <v>2</v>
      </c>
      <c r="G316" s="100"/>
      <c r="H316" s="21">
        <v>45</v>
      </c>
      <c r="I316" s="11">
        <f t="shared" si="12"/>
        <v>90</v>
      </c>
      <c r="J316" s="21"/>
      <c r="K316" s="21"/>
      <c r="L316" s="13">
        <f t="shared" si="11"/>
        <v>90</v>
      </c>
      <c r="M316" s="22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</row>
    <row r="317" spans="1:136" s="98" customFormat="1" ht="15.75" customHeight="1" x14ac:dyDescent="0.25">
      <c r="A317" s="93">
        <v>46223</v>
      </c>
      <c r="B317" s="94" t="s">
        <v>16</v>
      </c>
      <c r="C317" s="95">
        <v>6021</v>
      </c>
      <c r="D317" s="20"/>
      <c r="E317" s="99" t="s">
        <v>195</v>
      </c>
      <c r="F317" s="21">
        <v>1</v>
      </c>
      <c r="G317" s="100"/>
      <c r="H317" s="21">
        <v>103.75</v>
      </c>
      <c r="I317" s="11">
        <f t="shared" si="12"/>
        <v>103.75</v>
      </c>
      <c r="J317" s="21"/>
      <c r="K317" s="21"/>
      <c r="L317" s="13">
        <f t="shared" si="11"/>
        <v>103.75</v>
      </c>
      <c r="M317" s="22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</row>
    <row r="318" spans="1:136" s="98" customFormat="1" ht="15.75" customHeight="1" x14ac:dyDescent="0.25">
      <c r="A318" s="93">
        <v>46223</v>
      </c>
      <c r="B318" s="94" t="s">
        <v>16</v>
      </c>
      <c r="C318" s="95">
        <v>6021</v>
      </c>
      <c r="D318" s="20"/>
      <c r="E318" s="99" t="s">
        <v>196</v>
      </c>
      <c r="F318" s="21">
        <v>1</v>
      </c>
      <c r="G318" s="100"/>
      <c r="H318" s="21">
        <v>94</v>
      </c>
      <c r="I318" s="11">
        <f t="shared" si="12"/>
        <v>94</v>
      </c>
      <c r="J318" s="21"/>
      <c r="K318" s="21"/>
      <c r="L318" s="13">
        <f t="shared" si="11"/>
        <v>94</v>
      </c>
      <c r="M318" s="22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</row>
    <row r="319" spans="1:136" s="98" customFormat="1" ht="15.75" customHeight="1" x14ac:dyDescent="0.25">
      <c r="A319" s="93">
        <v>46223</v>
      </c>
      <c r="B319" s="94" t="s">
        <v>16</v>
      </c>
      <c r="C319" s="95">
        <v>6021</v>
      </c>
      <c r="D319" s="20"/>
      <c r="E319" s="99" t="s">
        <v>131</v>
      </c>
      <c r="F319" s="21">
        <v>4</v>
      </c>
      <c r="G319" s="100"/>
      <c r="H319" s="21">
        <f>780/4</f>
        <v>195</v>
      </c>
      <c r="I319" s="11">
        <f t="shared" si="12"/>
        <v>780</v>
      </c>
      <c r="J319" s="21"/>
      <c r="K319" s="21"/>
      <c r="L319" s="13">
        <f t="shared" si="11"/>
        <v>780</v>
      </c>
      <c r="M319" s="22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</row>
    <row r="320" spans="1:136" s="98" customFormat="1" ht="15.75" customHeight="1" x14ac:dyDescent="0.25">
      <c r="A320" s="93">
        <v>46223</v>
      </c>
      <c r="B320" s="94" t="s">
        <v>16</v>
      </c>
      <c r="C320" s="95">
        <v>6021</v>
      </c>
      <c r="D320" s="20"/>
      <c r="E320" s="99" t="s">
        <v>61</v>
      </c>
      <c r="F320" s="21">
        <v>2</v>
      </c>
      <c r="G320" s="100"/>
      <c r="H320" s="21">
        <v>320</v>
      </c>
      <c r="I320" s="11">
        <f t="shared" si="12"/>
        <v>640</v>
      </c>
      <c r="J320" s="21"/>
      <c r="K320" s="21"/>
      <c r="L320" s="13">
        <f t="shared" si="11"/>
        <v>640</v>
      </c>
      <c r="M320" s="22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/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</row>
    <row r="321" spans="1:136" s="98" customFormat="1" ht="15.75" customHeight="1" x14ac:dyDescent="0.25">
      <c r="A321" s="93">
        <v>46223</v>
      </c>
      <c r="B321" s="94" t="s">
        <v>16</v>
      </c>
      <c r="C321" s="95">
        <v>6021</v>
      </c>
      <c r="D321" s="20"/>
      <c r="E321" s="99" t="s">
        <v>60</v>
      </c>
      <c r="F321" s="21">
        <v>3</v>
      </c>
      <c r="G321" s="100"/>
      <c r="H321" s="21">
        <f>570/3</f>
        <v>190</v>
      </c>
      <c r="I321" s="11">
        <f t="shared" si="12"/>
        <v>570</v>
      </c>
      <c r="J321" s="21"/>
      <c r="K321" s="21"/>
      <c r="L321" s="13">
        <f t="shared" si="11"/>
        <v>570</v>
      </c>
      <c r="M321" s="22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</row>
    <row r="322" spans="1:136" s="98" customFormat="1" ht="15.75" customHeight="1" x14ac:dyDescent="0.25">
      <c r="A322" s="93">
        <v>46223</v>
      </c>
      <c r="B322" s="94" t="s">
        <v>16</v>
      </c>
      <c r="C322" s="95">
        <v>6021</v>
      </c>
      <c r="D322" s="20"/>
      <c r="E322" s="99" t="s">
        <v>197</v>
      </c>
      <c r="F322" s="21">
        <v>3</v>
      </c>
      <c r="G322" s="100"/>
      <c r="H322" s="21">
        <v>220</v>
      </c>
      <c r="I322" s="11">
        <f t="shared" si="12"/>
        <v>660</v>
      </c>
      <c r="J322" s="21"/>
      <c r="K322" s="21"/>
      <c r="L322" s="13">
        <f t="shared" si="11"/>
        <v>660</v>
      </c>
      <c r="M322" s="22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</row>
    <row r="323" spans="1:136" s="98" customFormat="1" ht="15.75" customHeight="1" x14ac:dyDescent="0.25">
      <c r="A323" s="93">
        <v>46225</v>
      </c>
      <c r="B323" s="94" t="s">
        <v>16</v>
      </c>
      <c r="C323" s="95">
        <v>6022</v>
      </c>
      <c r="D323" s="20"/>
      <c r="E323" s="99" t="s">
        <v>38</v>
      </c>
      <c r="F323" s="21">
        <v>2</v>
      </c>
      <c r="G323" s="100"/>
      <c r="H323" s="21">
        <v>90</v>
      </c>
      <c r="I323" s="11">
        <f t="shared" si="12"/>
        <v>180</v>
      </c>
      <c r="J323" s="21"/>
      <c r="K323" s="21"/>
      <c r="L323" s="13">
        <f t="shared" si="11"/>
        <v>180</v>
      </c>
      <c r="M323" s="22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</row>
    <row r="324" spans="1:136" s="98" customFormat="1" ht="15.75" customHeight="1" x14ac:dyDescent="0.25">
      <c r="A324" s="93">
        <v>46225</v>
      </c>
      <c r="B324" s="94" t="s">
        <v>16</v>
      </c>
      <c r="C324" s="95">
        <v>6022</v>
      </c>
      <c r="D324" s="20"/>
      <c r="E324" s="99" t="s">
        <v>71</v>
      </c>
      <c r="F324" s="21">
        <v>2</v>
      </c>
      <c r="G324" s="100"/>
      <c r="H324" s="21">
        <v>70</v>
      </c>
      <c r="I324" s="11">
        <f t="shared" si="12"/>
        <v>140</v>
      </c>
      <c r="J324" s="21"/>
      <c r="K324" s="21"/>
      <c r="L324" s="13">
        <f t="shared" si="11"/>
        <v>140</v>
      </c>
      <c r="M324" s="22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  <c r="BU324" s="9"/>
      <c r="BV324" s="9"/>
      <c r="BW324" s="9"/>
      <c r="BX324" s="9"/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/>
      <c r="CJ324" s="9"/>
      <c r="CK324" s="9"/>
      <c r="CL324" s="9"/>
      <c r="CM324" s="9"/>
      <c r="CN324" s="9"/>
      <c r="CO324" s="9"/>
      <c r="CP324" s="9"/>
      <c r="CQ324" s="9"/>
      <c r="CR324" s="9"/>
      <c r="CS324" s="9"/>
      <c r="CT324" s="9"/>
      <c r="CU324" s="9"/>
      <c r="CV324" s="9"/>
      <c r="CW324" s="9"/>
      <c r="CX324" s="9"/>
      <c r="CY324" s="9"/>
      <c r="CZ324" s="9"/>
      <c r="DA324" s="9"/>
      <c r="DB324" s="9"/>
      <c r="DC324" s="9"/>
      <c r="DD324" s="9"/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/>
      <c r="DR324" s="9"/>
      <c r="DS324" s="9"/>
      <c r="DT324" s="9"/>
      <c r="DU324" s="9"/>
      <c r="DV324" s="9"/>
      <c r="DW324" s="9"/>
      <c r="DX324" s="9"/>
      <c r="DY324" s="9"/>
      <c r="DZ324" s="9"/>
      <c r="EA324" s="9"/>
      <c r="EB324" s="9"/>
      <c r="EC324" s="9"/>
      <c r="ED324" s="9"/>
      <c r="EE324" s="9"/>
      <c r="EF324" s="9"/>
    </row>
    <row r="325" spans="1:136" s="98" customFormat="1" ht="15.75" customHeight="1" x14ac:dyDescent="0.25">
      <c r="A325" s="93">
        <v>46225</v>
      </c>
      <c r="B325" s="94" t="s">
        <v>16</v>
      </c>
      <c r="C325" s="95">
        <v>6022</v>
      </c>
      <c r="D325" s="20"/>
      <c r="E325" s="99" t="s">
        <v>26</v>
      </c>
      <c r="F325" s="21">
        <v>1</v>
      </c>
      <c r="G325" s="100"/>
      <c r="H325" s="21">
        <v>60</v>
      </c>
      <c r="I325" s="11">
        <f t="shared" si="12"/>
        <v>60</v>
      </c>
      <c r="J325" s="21"/>
      <c r="K325" s="21"/>
      <c r="L325" s="13">
        <f t="shared" si="11"/>
        <v>60</v>
      </c>
      <c r="M325" s="22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</row>
    <row r="326" spans="1:136" s="98" customFormat="1" ht="15.75" customHeight="1" x14ac:dyDescent="0.25">
      <c r="A326" s="93">
        <v>46225</v>
      </c>
      <c r="B326" s="94" t="s">
        <v>16</v>
      </c>
      <c r="C326" s="95">
        <v>6022</v>
      </c>
      <c r="D326" s="20"/>
      <c r="E326" s="99" t="s">
        <v>32</v>
      </c>
      <c r="F326" s="21">
        <v>1</v>
      </c>
      <c r="G326" s="100"/>
      <c r="H326" s="21">
        <v>80</v>
      </c>
      <c r="I326" s="11">
        <f t="shared" si="12"/>
        <v>80</v>
      </c>
      <c r="J326" s="21"/>
      <c r="K326" s="21"/>
      <c r="L326" s="13">
        <f t="shared" si="11"/>
        <v>80</v>
      </c>
      <c r="M326" s="22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</row>
    <row r="327" spans="1:136" s="98" customFormat="1" ht="15.75" customHeight="1" x14ac:dyDescent="0.25">
      <c r="A327" s="93">
        <v>46225</v>
      </c>
      <c r="B327" s="94" t="s">
        <v>16</v>
      </c>
      <c r="C327" s="95">
        <v>6022</v>
      </c>
      <c r="D327" s="20"/>
      <c r="E327" s="99" t="s">
        <v>126</v>
      </c>
      <c r="F327" s="21">
        <v>3</v>
      </c>
      <c r="G327" s="100"/>
      <c r="H327" s="21">
        <v>75</v>
      </c>
      <c r="I327" s="11">
        <f t="shared" si="12"/>
        <v>225</v>
      </c>
      <c r="J327" s="21"/>
      <c r="K327" s="21"/>
      <c r="L327" s="13">
        <f t="shared" si="11"/>
        <v>225</v>
      </c>
      <c r="M327" s="22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</row>
    <row r="328" spans="1:136" s="98" customFormat="1" ht="15.75" customHeight="1" x14ac:dyDescent="0.25">
      <c r="A328" s="93">
        <v>46225</v>
      </c>
      <c r="B328" s="94" t="s">
        <v>16</v>
      </c>
      <c r="C328" s="95">
        <v>6022</v>
      </c>
      <c r="D328" s="20"/>
      <c r="E328" s="99" t="s">
        <v>70</v>
      </c>
      <c r="F328" s="21">
        <v>1</v>
      </c>
      <c r="G328" s="100"/>
      <c r="H328" s="21">
        <v>110</v>
      </c>
      <c r="I328" s="11">
        <f t="shared" si="12"/>
        <v>110</v>
      </c>
      <c r="J328" s="21"/>
      <c r="K328" s="21"/>
      <c r="L328" s="13">
        <f t="shared" si="11"/>
        <v>110</v>
      </c>
      <c r="M328" s="22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</row>
    <row r="329" spans="1:136" s="98" customFormat="1" ht="15.75" customHeight="1" x14ac:dyDescent="0.25">
      <c r="A329" s="93">
        <v>46225</v>
      </c>
      <c r="B329" s="94" t="s">
        <v>16</v>
      </c>
      <c r="C329" s="95">
        <v>6022</v>
      </c>
      <c r="D329" s="20"/>
      <c r="E329" s="99" t="s">
        <v>198</v>
      </c>
      <c r="F329" s="21">
        <v>2</v>
      </c>
      <c r="G329" s="100"/>
      <c r="H329" s="21">
        <v>20</v>
      </c>
      <c r="I329" s="11">
        <f t="shared" si="12"/>
        <v>40</v>
      </c>
      <c r="J329" s="21"/>
      <c r="K329" s="21"/>
      <c r="L329" s="13">
        <f t="shared" si="11"/>
        <v>40</v>
      </c>
      <c r="M329" s="22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</row>
    <row r="330" spans="1:136" s="98" customFormat="1" ht="15.75" customHeight="1" x14ac:dyDescent="0.25">
      <c r="A330" s="93">
        <v>46225</v>
      </c>
      <c r="B330" s="94" t="s">
        <v>16</v>
      </c>
      <c r="C330" s="95">
        <v>6022</v>
      </c>
      <c r="D330" s="20"/>
      <c r="E330" s="99" t="s">
        <v>29</v>
      </c>
      <c r="F330" s="21">
        <v>2</v>
      </c>
      <c r="G330" s="100"/>
      <c r="H330" s="21">
        <v>60</v>
      </c>
      <c r="I330" s="11">
        <f t="shared" si="12"/>
        <v>120</v>
      </c>
      <c r="J330" s="21"/>
      <c r="K330" s="21"/>
      <c r="L330" s="13">
        <f t="shared" si="11"/>
        <v>120</v>
      </c>
      <c r="M330" s="22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</row>
    <row r="331" spans="1:136" s="98" customFormat="1" ht="15.75" customHeight="1" x14ac:dyDescent="0.25">
      <c r="A331" s="93">
        <v>46225</v>
      </c>
      <c r="B331" s="94" t="s">
        <v>16</v>
      </c>
      <c r="C331" s="95">
        <v>6022</v>
      </c>
      <c r="D331" s="20"/>
      <c r="E331" s="99" t="s">
        <v>45</v>
      </c>
      <c r="F331" s="21">
        <v>1</v>
      </c>
      <c r="G331" s="100"/>
      <c r="H331" s="21">
        <v>35</v>
      </c>
      <c r="I331" s="11">
        <f t="shared" si="12"/>
        <v>35</v>
      </c>
      <c r="J331" s="21"/>
      <c r="K331" s="21"/>
      <c r="L331" s="13">
        <f t="shared" si="11"/>
        <v>35</v>
      </c>
      <c r="M331" s="22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</row>
    <row r="332" spans="1:136" s="98" customFormat="1" ht="15.75" customHeight="1" x14ac:dyDescent="0.25">
      <c r="A332" s="93">
        <v>46225</v>
      </c>
      <c r="B332" s="94" t="s">
        <v>16</v>
      </c>
      <c r="C332" s="95">
        <v>6022</v>
      </c>
      <c r="D332" s="20"/>
      <c r="E332" s="99" t="s">
        <v>36</v>
      </c>
      <c r="F332" s="21">
        <v>2</v>
      </c>
      <c r="G332" s="100"/>
      <c r="H332" s="21">
        <v>30</v>
      </c>
      <c r="I332" s="11">
        <f t="shared" si="12"/>
        <v>60</v>
      </c>
      <c r="J332" s="21"/>
      <c r="K332" s="21"/>
      <c r="L332" s="13">
        <f t="shared" si="11"/>
        <v>60</v>
      </c>
      <c r="M332" s="22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</row>
    <row r="333" spans="1:136" s="98" customFormat="1" ht="15.75" customHeight="1" x14ac:dyDescent="0.25">
      <c r="A333" s="93">
        <v>46225</v>
      </c>
      <c r="B333" s="94" t="s">
        <v>16</v>
      </c>
      <c r="C333" s="95">
        <v>6022</v>
      </c>
      <c r="D333" s="20"/>
      <c r="E333" s="99" t="s">
        <v>122</v>
      </c>
      <c r="F333" s="21">
        <f>195/90</f>
        <v>2.1666666666666665</v>
      </c>
      <c r="G333" s="100"/>
      <c r="H333" s="21">
        <v>90</v>
      </c>
      <c r="I333" s="11">
        <f t="shared" si="12"/>
        <v>195</v>
      </c>
      <c r="J333" s="21"/>
      <c r="K333" s="21"/>
      <c r="L333" s="13">
        <f t="shared" si="11"/>
        <v>195</v>
      </c>
      <c r="M333" s="22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</row>
    <row r="334" spans="1:136" s="98" customFormat="1" ht="15.75" customHeight="1" x14ac:dyDescent="0.25">
      <c r="A334" s="93">
        <v>46225</v>
      </c>
      <c r="B334" s="94" t="s">
        <v>16</v>
      </c>
      <c r="C334" s="95">
        <v>6022</v>
      </c>
      <c r="D334" s="20"/>
      <c r="E334" s="99" t="s">
        <v>121</v>
      </c>
      <c r="F334" s="21">
        <v>1</v>
      </c>
      <c r="G334" s="100"/>
      <c r="H334" s="21">
        <v>80</v>
      </c>
      <c r="I334" s="11">
        <f t="shared" si="12"/>
        <v>80</v>
      </c>
      <c r="J334" s="21"/>
      <c r="K334" s="21"/>
      <c r="L334" s="13">
        <f t="shared" si="11"/>
        <v>80</v>
      </c>
      <c r="M334" s="22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</row>
    <row r="335" spans="1:136" s="98" customFormat="1" ht="15.75" customHeight="1" x14ac:dyDescent="0.25">
      <c r="A335" s="93">
        <v>46225</v>
      </c>
      <c r="B335" s="94" t="s">
        <v>16</v>
      </c>
      <c r="C335" s="95">
        <v>6022</v>
      </c>
      <c r="D335" s="20"/>
      <c r="E335" s="99" t="s">
        <v>199</v>
      </c>
      <c r="F335" s="21">
        <v>7.8</v>
      </c>
      <c r="G335" s="100"/>
      <c r="H335" s="21">
        <f>2184/7.8</f>
        <v>280</v>
      </c>
      <c r="I335" s="11">
        <f t="shared" si="12"/>
        <v>2184</v>
      </c>
      <c r="J335" s="21"/>
      <c r="K335" s="21"/>
      <c r="L335" s="13">
        <f t="shared" si="11"/>
        <v>2184</v>
      </c>
      <c r="M335" s="22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/>
      <c r="CB335" s="9"/>
      <c r="CC335" s="9"/>
      <c r="CD335" s="9"/>
      <c r="CE335" s="9"/>
      <c r="CF335" s="9"/>
      <c r="CG335" s="9"/>
      <c r="CH335" s="9"/>
      <c r="CI335" s="9"/>
      <c r="CJ335" s="9"/>
      <c r="CK335" s="9"/>
      <c r="CL335" s="9"/>
      <c r="CM335" s="9"/>
      <c r="CN335" s="9"/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/>
      <c r="CZ335" s="9"/>
      <c r="DA335" s="9"/>
      <c r="DB335" s="9"/>
      <c r="DC335" s="9"/>
      <c r="DD335" s="9"/>
      <c r="DE335" s="9"/>
      <c r="DF335" s="9"/>
      <c r="DG335" s="9"/>
      <c r="DH335" s="9"/>
      <c r="DI335" s="9"/>
      <c r="DJ335" s="9"/>
      <c r="DK335" s="9"/>
      <c r="DL335" s="9"/>
      <c r="DM335" s="9"/>
      <c r="DN335" s="9"/>
      <c r="DO335" s="9"/>
      <c r="DP335" s="9"/>
      <c r="DQ335" s="9"/>
      <c r="DR335" s="9"/>
      <c r="DS335" s="9"/>
      <c r="DT335" s="9"/>
      <c r="DU335" s="9"/>
      <c r="DV335" s="9"/>
      <c r="DW335" s="9"/>
      <c r="DX335" s="9"/>
      <c r="DY335" s="9"/>
      <c r="DZ335" s="9"/>
      <c r="EA335" s="9"/>
      <c r="EB335" s="9"/>
      <c r="EC335" s="9"/>
      <c r="ED335" s="9"/>
      <c r="EE335" s="9"/>
      <c r="EF335" s="9"/>
    </row>
    <row r="336" spans="1:136" s="98" customFormat="1" ht="15.75" customHeight="1" x14ac:dyDescent="0.25">
      <c r="A336" s="93">
        <v>46225</v>
      </c>
      <c r="B336" s="94" t="s">
        <v>16</v>
      </c>
      <c r="C336" s="95">
        <v>6022</v>
      </c>
      <c r="D336" s="20"/>
      <c r="E336" s="99" t="s">
        <v>156</v>
      </c>
      <c r="F336" s="21">
        <v>2</v>
      </c>
      <c r="G336" s="100"/>
      <c r="H336" s="21">
        <f>480/2</f>
        <v>240</v>
      </c>
      <c r="I336" s="11">
        <f t="shared" si="12"/>
        <v>480</v>
      </c>
      <c r="J336" s="21"/>
      <c r="K336" s="21"/>
      <c r="L336" s="13">
        <f t="shared" si="11"/>
        <v>480</v>
      </c>
      <c r="M336" s="22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</row>
    <row r="337" spans="1:136" s="98" customFormat="1" ht="15.75" customHeight="1" x14ac:dyDescent="0.25">
      <c r="A337" s="93">
        <v>46225</v>
      </c>
      <c r="B337" s="94" t="s">
        <v>16</v>
      </c>
      <c r="C337" s="95">
        <v>6022</v>
      </c>
      <c r="D337" s="20"/>
      <c r="E337" s="99" t="s">
        <v>66</v>
      </c>
      <c r="F337" s="21">
        <v>3</v>
      </c>
      <c r="G337" s="100"/>
      <c r="H337" s="21">
        <v>150</v>
      </c>
      <c r="I337" s="11">
        <f t="shared" si="12"/>
        <v>450</v>
      </c>
      <c r="J337" s="21"/>
      <c r="K337" s="21"/>
      <c r="L337" s="13">
        <f t="shared" si="11"/>
        <v>450</v>
      </c>
      <c r="M337" s="22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</row>
    <row r="338" spans="1:136" s="98" customFormat="1" ht="15.75" customHeight="1" x14ac:dyDescent="0.25">
      <c r="A338" s="93">
        <v>46225</v>
      </c>
      <c r="B338" s="94" t="s">
        <v>16</v>
      </c>
      <c r="C338" s="95">
        <v>6022</v>
      </c>
      <c r="D338" s="20"/>
      <c r="E338" s="99" t="s">
        <v>160</v>
      </c>
      <c r="F338" s="21">
        <v>1</v>
      </c>
      <c r="G338" s="100"/>
      <c r="H338" s="21">
        <v>62</v>
      </c>
      <c r="I338" s="11">
        <f t="shared" si="12"/>
        <v>62</v>
      </c>
      <c r="J338" s="21"/>
      <c r="K338" s="21"/>
      <c r="L338" s="13">
        <f t="shared" si="11"/>
        <v>62</v>
      </c>
      <c r="M338" s="22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</row>
    <row r="339" spans="1:136" s="98" customFormat="1" ht="15.75" customHeight="1" x14ac:dyDescent="0.25">
      <c r="A339" s="93">
        <v>46225</v>
      </c>
      <c r="B339" s="94" t="s">
        <v>16</v>
      </c>
      <c r="C339" s="95">
        <v>6022</v>
      </c>
      <c r="D339" s="20"/>
      <c r="E339" s="99" t="s">
        <v>200</v>
      </c>
      <c r="F339" s="21">
        <v>1</v>
      </c>
      <c r="G339" s="100"/>
      <c r="H339" s="21">
        <v>44.5</v>
      </c>
      <c r="I339" s="11">
        <f t="shared" si="12"/>
        <v>44.5</v>
      </c>
      <c r="J339" s="21"/>
      <c r="K339" s="21"/>
      <c r="L339" s="13">
        <f t="shared" si="11"/>
        <v>44.5</v>
      </c>
      <c r="M339" s="22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</row>
    <row r="340" spans="1:136" s="98" customFormat="1" ht="15.75" customHeight="1" x14ac:dyDescent="0.25">
      <c r="A340" s="93">
        <v>46225</v>
      </c>
      <c r="B340" s="94" t="s">
        <v>16</v>
      </c>
      <c r="C340" s="95">
        <v>6022</v>
      </c>
      <c r="D340" s="20"/>
      <c r="E340" s="99" t="s">
        <v>201</v>
      </c>
      <c r="F340" s="21">
        <v>1</v>
      </c>
      <c r="G340" s="100"/>
      <c r="H340" s="21">
        <v>24</v>
      </c>
      <c r="I340" s="11">
        <f t="shared" si="12"/>
        <v>24</v>
      </c>
      <c r="J340" s="21"/>
      <c r="K340" s="21"/>
      <c r="L340" s="13">
        <f t="shared" si="11"/>
        <v>24</v>
      </c>
      <c r="M340" s="22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</row>
    <row r="341" spans="1:136" s="98" customFormat="1" ht="15.75" customHeight="1" x14ac:dyDescent="0.25">
      <c r="A341" s="93">
        <v>46225</v>
      </c>
      <c r="B341" s="94" t="s">
        <v>16</v>
      </c>
      <c r="C341" s="95">
        <v>6022</v>
      </c>
      <c r="D341" s="20"/>
      <c r="E341" s="99" t="s">
        <v>147</v>
      </c>
      <c r="F341" s="21">
        <v>5</v>
      </c>
      <c r="G341" s="100"/>
      <c r="H341" s="21">
        <v>45</v>
      </c>
      <c r="I341" s="11">
        <f t="shared" si="12"/>
        <v>225</v>
      </c>
      <c r="J341" s="21"/>
      <c r="K341" s="21"/>
      <c r="L341" s="13">
        <f t="shared" si="11"/>
        <v>225</v>
      </c>
      <c r="M341" s="22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</row>
    <row r="342" spans="1:136" s="98" customFormat="1" ht="15.75" customHeight="1" x14ac:dyDescent="0.25">
      <c r="A342" s="93">
        <v>46225</v>
      </c>
      <c r="B342" s="94" t="s">
        <v>16</v>
      </c>
      <c r="C342" s="95">
        <v>6022</v>
      </c>
      <c r="D342" s="20"/>
      <c r="E342" s="99" t="s">
        <v>152</v>
      </c>
      <c r="F342" s="21">
        <v>2</v>
      </c>
      <c r="G342" s="100"/>
      <c r="H342" s="21">
        <v>80</v>
      </c>
      <c r="I342" s="11">
        <f t="shared" si="12"/>
        <v>160</v>
      </c>
      <c r="J342" s="21"/>
      <c r="K342" s="21"/>
      <c r="L342" s="13">
        <f t="shared" si="11"/>
        <v>160</v>
      </c>
      <c r="M342" s="22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</row>
    <row r="343" spans="1:136" s="98" customFormat="1" ht="15.75" customHeight="1" x14ac:dyDescent="0.25">
      <c r="A343" s="93">
        <v>46225</v>
      </c>
      <c r="B343" s="94" t="s">
        <v>16</v>
      </c>
      <c r="C343" s="95">
        <v>6022</v>
      </c>
      <c r="D343" s="20"/>
      <c r="E343" s="99" t="s">
        <v>44</v>
      </c>
      <c r="F343" s="21">
        <v>2</v>
      </c>
      <c r="G343" s="100"/>
      <c r="H343" s="21">
        <v>225</v>
      </c>
      <c r="I343" s="11">
        <f t="shared" si="12"/>
        <v>450</v>
      </c>
      <c r="J343" s="21"/>
      <c r="K343" s="21"/>
      <c r="L343" s="13">
        <f t="shared" si="11"/>
        <v>450</v>
      </c>
      <c r="M343" s="22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</row>
    <row r="344" spans="1:136" s="98" customFormat="1" ht="15.75" customHeight="1" x14ac:dyDescent="0.25">
      <c r="A344" s="93">
        <v>46225</v>
      </c>
      <c r="B344" s="94" t="s">
        <v>16</v>
      </c>
      <c r="C344" s="95">
        <v>6022</v>
      </c>
      <c r="D344" s="20"/>
      <c r="E344" s="99" t="s">
        <v>202</v>
      </c>
      <c r="F344" s="21">
        <v>10</v>
      </c>
      <c r="G344" s="100"/>
      <c r="H344" s="21">
        <v>9.5</v>
      </c>
      <c r="I344" s="11">
        <f t="shared" si="12"/>
        <v>95</v>
      </c>
      <c r="J344" s="21"/>
      <c r="K344" s="21"/>
      <c r="L344" s="13">
        <f t="shared" si="11"/>
        <v>95</v>
      </c>
      <c r="M344" s="22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</row>
    <row r="345" spans="1:136" s="98" customFormat="1" ht="15.75" customHeight="1" x14ac:dyDescent="0.25">
      <c r="A345" s="93">
        <v>46225</v>
      </c>
      <c r="B345" s="94" t="s">
        <v>16</v>
      </c>
      <c r="C345" s="95">
        <v>6022</v>
      </c>
      <c r="D345" s="20"/>
      <c r="E345" s="99" t="s">
        <v>84</v>
      </c>
      <c r="F345" s="21">
        <v>2</v>
      </c>
      <c r="G345" s="100"/>
      <c r="H345" s="21">
        <v>45</v>
      </c>
      <c r="I345" s="11">
        <f t="shared" si="12"/>
        <v>90</v>
      </c>
      <c r="J345" s="21"/>
      <c r="K345" s="21"/>
      <c r="L345" s="13">
        <f t="shared" si="11"/>
        <v>90</v>
      </c>
      <c r="M345" s="22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</row>
    <row r="346" spans="1:136" s="98" customFormat="1" ht="15.75" customHeight="1" x14ac:dyDescent="0.25">
      <c r="A346" s="93">
        <v>46225</v>
      </c>
      <c r="B346" s="94" t="s">
        <v>16</v>
      </c>
      <c r="C346" s="95">
        <v>6022</v>
      </c>
      <c r="D346" s="20"/>
      <c r="E346" s="99" t="s">
        <v>203</v>
      </c>
      <c r="F346" s="21">
        <v>1</v>
      </c>
      <c r="G346" s="100"/>
      <c r="H346" s="21">
        <v>1920.5</v>
      </c>
      <c r="I346" s="11">
        <f t="shared" si="12"/>
        <v>1920.5</v>
      </c>
      <c r="J346" s="21"/>
      <c r="K346" s="21"/>
      <c r="L346" s="13">
        <f t="shared" si="11"/>
        <v>1920.5</v>
      </c>
      <c r="M346" s="22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</row>
    <row r="347" spans="1:136" s="98" customFormat="1" ht="15.75" customHeight="1" x14ac:dyDescent="0.25">
      <c r="A347" s="93">
        <v>46225</v>
      </c>
      <c r="B347" s="94" t="s">
        <v>16</v>
      </c>
      <c r="C347" s="95">
        <v>6022</v>
      </c>
      <c r="D347" s="20"/>
      <c r="E347" s="99" t="s">
        <v>204</v>
      </c>
      <c r="F347" s="21">
        <v>3</v>
      </c>
      <c r="G347" s="100"/>
      <c r="H347" s="21">
        <v>67.5</v>
      </c>
      <c r="I347" s="11">
        <f t="shared" si="12"/>
        <v>202.5</v>
      </c>
      <c r="J347" s="21"/>
      <c r="K347" s="21"/>
      <c r="L347" s="13">
        <f t="shared" si="11"/>
        <v>202.5</v>
      </c>
      <c r="M347" s="22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</row>
    <row r="348" spans="1:136" s="98" customFormat="1" ht="15.75" customHeight="1" x14ac:dyDescent="0.25">
      <c r="A348" s="93">
        <v>46225</v>
      </c>
      <c r="B348" s="94" t="s">
        <v>16</v>
      </c>
      <c r="C348" s="95">
        <v>6022</v>
      </c>
      <c r="D348" s="20"/>
      <c r="E348" s="99" t="s">
        <v>205</v>
      </c>
      <c r="F348" s="21">
        <v>17</v>
      </c>
      <c r="G348" s="100"/>
      <c r="H348" s="21">
        <v>16.75</v>
      </c>
      <c r="I348" s="11">
        <f t="shared" si="12"/>
        <v>284.75</v>
      </c>
      <c r="J348" s="21"/>
      <c r="K348" s="21"/>
      <c r="L348" s="13">
        <f t="shared" si="11"/>
        <v>284.75</v>
      </c>
      <c r="M348" s="22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/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/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</row>
    <row r="349" spans="1:136" s="98" customFormat="1" ht="15.75" customHeight="1" x14ac:dyDescent="0.25">
      <c r="A349" s="93">
        <v>46225</v>
      </c>
      <c r="B349" s="94" t="s">
        <v>16</v>
      </c>
      <c r="C349" s="95">
        <v>6022</v>
      </c>
      <c r="D349" s="20"/>
      <c r="E349" s="99" t="s">
        <v>206</v>
      </c>
      <c r="F349" s="21">
        <v>10</v>
      </c>
      <c r="G349" s="100"/>
      <c r="H349" s="21">
        <v>8</v>
      </c>
      <c r="I349" s="11">
        <f t="shared" si="12"/>
        <v>80</v>
      </c>
      <c r="J349" s="21"/>
      <c r="K349" s="21"/>
      <c r="L349" s="13">
        <f t="shared" si="11"/>
        <v>80</v>
      </c>
      <c r="M349" s="22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</row>
    <row r="350" spans="1:136" s="98" customFormat="1" ht="15.75" customHeight="1" x14ac:dyDescent="0.25">
      <c r="A350" s="93">
        <v>46225</v>
      </c>
      <c r="B350" s="94" t="s">
        <v>16</v>
      </c>
      <c r="C350" s="95">
        <v>6022</v>
      </c>
      <c r="D350" s="20"/>
      <c r="E350" s="99" t="s">
        <v>78</v>
      </c>
      <c r="F350" s="21">
        <v>5</v>
      </c>
      <c r="G350" s="100"/>
      <c r="H350" s="21">
        <v>60</v>
      </c>
      <c r="I350" s="11">
        <f t="shared" si="12"/>
        <v>300</v>
      </c>
      <c r="J350" s="21"/>
      <c r="K350" s="21"/>
      <c r="L350" s="13">
        <f t="shared" si="11"/>
        <v>300</v>
      </c>
      <c r="M350" s="22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</row>
    <row r="351" spans="1:136" s="98" customFormat="1" ht="15.75" customHeight="1" x14ac:dyDescent="0.25">
      <c r="A351" s="93">
        <v>46225</v>
      </c>
      <c r="B351" s="94" t="s">
        <v>16</v>
      </c>
      <c r="C351" s="95">
        <v>6022</v>
      </c>
      <c r="D351" s="20"/>
      <c r="E351" s="99" t="s">
        <v>207</v>
      </c>
      <c r="F351" s="21">
        <v>1</v>
      </c>
      <c r="G351" s="100"/>
      <c r="H351" s="21">
        <v>48.25</v>
      </c>
      <c r="I351" s="11">
        <f t="shared" si="12"/>
        <v>48.25</v>
      </c>
      <c r="J351" s="21"/>
      <c r="K351" s="21"/>
      <c r="L351" s="13">
        <f t="shared" si="11"/>
        <v>48.25</v>
      </c>
      <c r="M351" s="22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</row>
    <row r="352" spans="1:136" s="98" customFormat="1" ht="15.75" customHeight="1" x14ac:dyDescent="0.25">
      <c r="A352" s="93">
        <v>46225</v>
      </c>
      <c r="B352" s="94" t="s">
        <v>16</v>
      </c>
      <c r="C352" s="95">
        <v>6022</v>
      </c>
      <c r="D352" s="20"/>
      <c r="E352" s="99" t="s">
        <v>172</v>
      </c>
      <c r="F352" s="21">
        <v>1</v>
      </c>
      <c r="G352" s="100"/>
      <c r="H352" s="21">
        <v>77.5</v>
      </c>
      <c r="I352" s="11">
        <f t="shared" si="12"/>
        <v>77.5</v>
      </c>
      <c r="J352" s="21"/>
      <c r="K352" s="21"/>
      <c r="L352" s="13">
        <f t="shared" si="11"/>
        <v>77.5</v>
      </c>
      <c r="M352" s="22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</row>
    <row r="353" spans="1:136" s="98" customFormat="1" ht="15.75" customHeight="1" x14ac:dyDescent="0.25">
      <c r="A353" s="93">
        <v>46225</v>
      </c>
      <c r="B353" s="94" t="s">
        <v>16</v>
      </c>
      <c r="C353" s="95">
        <v>6022</v>
      </c>
      <c r="D353" s="20"/>
      <c r="E353" s="99" t="s">
        <v>208</v>
      </c>
      <c r="F353" s="21">
        <v>1</v>
      </c>
      <c r="G353" s="100"/>
      <c r="H353" s="21">
        <v>59.25</v>
      </c>
      <c r="I353" s="11">
        <f t="shared" si="12"/>
        <v>59.25</v>
      </c>
      <c r="J353" s="21"/>
      <c r="K353" s="21"/>
      <c r="L353" s="13">
        <f t="shared" si="11"/>
        <v>59.25</v>
      </c>
      <c r="M353" s="22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</row>
    <row r="354" spans="1:136" s="98" customFormat="1" ht="15.75" customHeight="1" x14ac:dyDescent="0.25">
      <c r="A354" s="93">
        <v>46225</v>
      </c>
      <c r="B354" s="94" t="s">
        <v>16</v>
      </c>
      <c r="C354" s="95">
        <v>6022</v>
      </c>
      <c r="D354" s="20"/>
      <c r="E354" s="99" t="s">
        <v>101</v>
      </c>
      <c r="F354" s="21">
        <v>1</v>
      </c>
      <c r="G354" s="100"/>
      <c r="H354" s="21">
        <v>25.25</v>
      </c>
      <c r="I354" s="11">
        <f t="shared" si="12"/>
        <v>25.25</v>
      </c>
      <c r="J354" s="21"/>
      <c r="K354" s="21"/>
      <c r="L354" s="13">
        <f t="shared" si="11"/>
        <v>25.25</v>
      </c>
      <c r="M354" s="22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  <c r="BU354" s="9"/>
      <c r="BV354" s="9"/>
      <c r="BW354" s="9"/>
      <c r="BX354" s="9"/>
      <c r="BY354" s="9"/>
      <c r="BZ354" s="9"/>
      <c r="CA354" s="9"/>
      <c r="CB354" s="9"/>
      <c r="CC354" s="9"/>
      <c r="CD354" s="9"/>
      <c r="CE354" s="9"/>
      <c r="CF354" s="9"/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/>
      <c r="CR354" s="9"/>
      <c r="CS354" s="9"/>
      <c r="CT354" s="9"/>
      <c r="CU354" s="9"/>
      <c r="CV354" s="9"/>
      <c r="CW354" s="9"/>
      <c r="CX354" s="9"/>
      <c r="CY354" s="9"/>
      <c r="CZ354" s="9"/>
      <c r="DA354" s="9"/>
      <c r="DB354" s="9"/>
      <c r="DC354" s="9"/>
      <c r="DD354" s="9"/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/>
      <c r="DR354" s="9"/>
      <c r="DS354" s="9"/>
      <c r="DT354" s="9"/>
      <c r="DU354" s="9"/>
      <c r="DV354" s="9"/>
      <c r="DW354" s="9"/>
      <c r="DX354" s="9"/>
      <c r="DY354" s="9"/>
      <c r="DZ354" s="9"/>
      <c r="EA354" s="9"/>
      <c r="EB354" s="9"/>
      <c r="EC354" s="9"/>
      <c r="ED354" s="9"/>
      <c r="EE354" s="9"/>
      <c r="EF354" s="9"/>
    </row>
    <row r="355" spans="1:136" s="98" customFormat="1" ht="15.75" customHeight="1" x14ac:dyDescent="0.25">
      <c r="A355" s="93">
        <v>46225</v>
      </c>
      <c r="B355" s="94" t="s">
        <v>16</v>
      </c>
      <c r="C355" s="95">
        <v>6022</v>
      </c>
      <c r="D355" s="20"/>
      <c r="E355" s="99" t="s">
        <v>209</v>
      </c>
      <c r="F355" s="21">
        <v>1</v>
      </c>
      <c r="G355" s="100"/>
      <c r="H355" s="21">
        <v>233.5</v>
      </c>
      <c r="I355" s="11">
        <f t="shared" si="12"/>
        <v>233.5</v>
      </c>
      <c r="J355" s="21"/>
      <c r="K355" s="21"/>
      <c r="L355" s="13">
        <f t="shared" si="11"/>
        <v>233.5</v>
      </c>
      <c r="M355" s="22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</row>
    <row r="356" spans="1:136" s="98" customFormat="1" ht="15.75" customHeight="1" x14ac:dyDescent="0.25">
      <c r="A356" s="93">
        <v>46225</v>
      </c>
      <c r="B356" s="94" t="s">
        <v>16</v>
      </c>
      <c r="C356" s="95">
        <v>6022</v>
      </c>
      <c r="D356" s="20"/>
      <c r="E356" s="99" t="s">
        <v>150</v>
      </c>
      <c r="F356" s="21">
        <v>5</v>
      </c>
      <c r="G356" s="100"/>
      <c r="H356" s="21">
        <f>2050/10</f>
        <v>205</v>
      </c>
      <c r="I356" s="11">
        <f t="shared" si="12"/>
        <v>1025</v>
      </c>
      <c r="J356" s="21"/>
      <c r="K356" s="21"/>
      <c r="L356" s="13">
        <f t="shared" si="11"/>
        <v>1025</v>
      </c>
      <c r="M356" s="22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</row>
    <row r="357" spans="1:136" s="98" customFormat="1" ht="15.75" customHeight="1" x14ac:dyDescent="0.25">
      <c r="A357" s="93">
        <v>46225</v>
      </c>
      <c r="B357" s="94" t="s">
        <v>16</v>
      </c>
      <c r="C357" s="95">
        <v>6022</v>
      </c>
      <c r="D357" s="20"/>
      <c r="E357" s="99" t="s">
        <v>131</v>
      </c>
      <c r="F357" s="21">
        <v>5</v>
      </c>
      <c r="G357" s="100"/>
      <c r="H357" s="21">
        <v>205</v>
      </c>
      <c r="I357" s="11">
        <f t="shared" si="12"/>
        <v>1025</v>
      </c>
      <c r="J357" s="21"/>
      <c r="K357" s="21"/>
      <c r="L357" s="13">
        <f t="shared" si="11"/>
        <v>1025</v>
      </c>
      <c r="M357" s="22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</row>
    <row r="358" spans="1:136" s="98" customFormat="1" ht="15.75" customHeight="1" x14ac:dyDescent="0.25">
      <c r="A358" s="93">
        <v>46225</v>
      </c>
      <c r="B358" s="94" t="s">
        <v>16</v>
      </c>
      <c r="C358" s="95">
        <v>6022</v>
      </c>
      <c r="D358" s="20"/>
      <c r="E358" s="99" t="s">
        <v>61</v>
      </c>
      <c r="F358" s="21">
        <v>10</v>
      </c>
      <c r="G358" s="100"/>
      <c r="H358" s="21">
        <v>320</v>
      </c>
      <c r="I358" s="11">
        <f t="shared" si="12"/>
        <v>3200</v>
      </c>
      <c r="J358" s="21"/>
      <c r="K358" s="21"/>
      <c r="L358" s="13">
        <f t="shared" si="11"/>
        <v>3200</v>
      </c>
      <c r="M358" s="22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/>
      <c r="BY358" s="9"/>
      <c r="BZ358" s="9"/>
      <c r="CA358" s="9"/>
      <c r="CB358" s="9"/>
      <c r="CC358" s="9"/>
      <c r="CD358" s="9"/>
      <c r="CE358" s="9"/>
      <c r="CF358" s="9"/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/>
      <c r="CT358" s="9"/>
      <c r="CU358" s="9"/>
      <c r="CV358" s="9"/>
      <c r="CW358" s="9"/>
      <c r="CX358" s="9"/>
      <c r="CY358" s="9"/>
      <c r="CZ358" s="9"/>
      <c r="DA358" s="9"/>
      <c r="DB358" s="9"/>
      <c r="DC358" s="9"/>
      <c r="DD358" s="9"/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/>
      <c r="DP358" s="9"/>
      <c r="DQ358" s="9"/>
      <c r="DR358" s="9"/>
      <c r="DS358" s="9"/>
      <c r="DT358" s="9"/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/>
      <c r="EF358" s="9"/>
    </row>
    <row r="359" spans="1:136" s="98" customFormat="1" ht="15.75" customHeight="1" x14ac:dyDescent="0.25">
      <c r="A359" s="93">
        <v>46225</v>
      </c>
      <c r="B359" s="94" t="s">
        <v>16</v>
      </c>
      <c r="C359" s="95">
        <v>6022</v>
      </c>
      <c r="D359" s="20"/>
      <c r="E359" s="99" t="s">
        <v>66</v>
      </c>
      <c r="F359" s="21">
        <f>1025/150</f>
        <v>6.833333333333333</v>
      </c>
      <c r="G359" s="100"/>
      <c r="H359" s="21">
        <v>150</v>
      </c>
      <c r="I359" s="11">
        <f t="shared" si="12"/>
        <v>1025</v>
      </c>
      <c r="J359" s="21"/>
      <c r="K359" s="21"/>
      <c r="L359" s="13">
        <f t="shared" si="11"/>
        <v>1025</v>
      </c>
      <c r="M359" s="22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</row>
    <row r="360" spans="1:136" s="98" customFormat="1" ht="15.75" customHeight="1" x14ac:dyDescent="0.25">
      <c r="A360" s="93">
        <v>46225</v>
      </c>
      <c r="B360" s="94" t="s">
        <v>16</v>
      </c>
      <c r="C360" s="95">
        <v>6022</v>
      </c>
      <c r="D360" s="20"/>
      <c r="E360" s="99" t="s">
        <v>157</v>
      </c>
      <c r="F360" s="21">
        <v>1.5</v>
      </c>
      <c r="G360" s="100"/>
      <c r="H360" s="21">
        <v>300</v>
      </c>
      <c r="I360" s="11">
        <f t="shared" si="12"/>
        <v>450</v>
      </c>
      <c r="J360" s="21"/>
      <c r="K360" s="21"/>
      <c r="L360" s="13">
        <f t="shared" si="11"/>
        <v>450</v>
      </c>
      <c r="M360" s="22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</row>
    <row r="361" spans="1:136" s="98" customFormat="1" ht="15.75" customHeight="1" x14ac:dyDescent="0.25">
      <c r="A361" s="93">
        <v>46225</v>
      </c>
      <c r="B361" s="94" t="s">
        <v>16</v>
      </c>
      <c r="C361" s="95">
        <v>6022</v>
      </c>
      <c r="D361" s="20"/>
      <c r="E361" s="99" t="s">
        <v>132</v>
      </c>
      <c r="F361" s="21">
        <v>3</v>
      </c>
      <c r="G361" s="100"/>
      <c r="H361" s="21">
        <v>500</v>
      </c>
      <c r="I361" s="11">
        <f t="shared" si="12"/>
        <v>1500</v>
      </c>
      <c r="J361" s="21"/>
      <c r="K361" s="21"/>
      <c r="L361" s="13">
        <f t="shared" si="11"/>
        <v>1500</v>
      </c>
      <c r="M361" s="22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</row>
    <row r="362" spans="1:136" s="98" customFormat="1" ht="15.75" customHeight="1" x14ac:dyDescent="0.25">
      <c r="A362" s="93">
        <v>46225</v>
      </c>
      <c r="B362" s="94" t="s">
        <v>16</v>
      </c>
      <c r="C362" s="95">
        <v>6022</v>
      </c>
      <c r="D362" s="20"/>
      <c r="E362" s="99" t="s">
        <v>210</v>
      </c>
      <c r="F362" s="21">
        <v>4</v>
      </c>
      <c r="G362" s="100"/>
      <c r="H362" s="21">
        <v>190</v>
      </c>
      <c r="I362" s="11">
        <f t="shared" si="12"/>
        <v>760</v>
      </c>
      <c r="J362" s="21"/>
      <c r="K362" s="21"/>
      <c r="L362" s="13">
        <f t="shared" si="11"/>
        <v>760</v>
      </c>
      <c r="M362" s="22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/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/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</row>
    <row r="363" spans="1:136" s="98" customFormat="1" ht="15.75" customHeight="1" x14ac:dyDescent="0.25">
      <c r="A363" s="93">
        <v>46225</v>
      </c>
      <c r="B363" s="94" t="s">
        <v>16</v>
      </c>
      <c r="C363" s="95">
        <v>6022</v>
      </c>
      <c r="D363" s="20"/>
      <c r="E363" s="99" t="s">
        <v>64</v>
      </c>
      <c r="F363" s="21">
        <f>472/270</f>
        <v>1.7481481481481482</v>
      </c>
      <c r="G363" s="100"/>
      <c r="H363" s="21">
        <v>270</v>
      </c>
      <c r="I363" s="11">
        <f t="shared" si="12"/>
        <v>472</v>
      </c>
      <c r="J363" s="21"/>
      <c r="K363" s="21"/>
      <c r="L363" s="13">
        <f t="shared" si="11"/>
        <v>472</v>
      </c>
      <c r="M363" s="22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</row>
    <row r="364" spans="1:136" s="98" customFormat="1" ht="15.75" customHeight="1" x14ac:dyDescent="0.25">
      <c r="A364" s="93">
        <v>46225</v>
      </c>
      <c r="B364" s="94" t="s">
        <v>16</v>
      </c>
      <c r="C364" s="95">
        <v>6022</v>
      </c>
      <c r="D364" s="20"/>
      <c r="E364" s="99" t="s">
        <v>211</v>
      </c>
      <c r="F364" s="21">
        <v>4</v>
      </c>
      <c r="G364" s="100"/>
      <c r="H364" s="21">
        <v>53</v>
      </c>
      <c r="I364" s="11">
        <f t="shared" si="12"/>
        <v>212</v>
      </c>
      <c r="J364" s="21"/>
      <c r="K364" s="21"/>
      <c r="L364" s="13">
        <f t="shared" si="11"/>
        <v>212</v>
      </c>
      <c r="M364" s="22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</row>
    <row r="365" spans="1:136" s="98" customFormat="1" ht="15.75" customHeight="1" x14ac:dyDescent="0.25">
      <c r="A365" s="93">
        <v>46225</v>
      </c>
      <c r="B365" s="94" t="s">
        <v>16</v>
      </c>
      <c r="C365" s="95">
        <v>6022</v>
      </c>
      <c r="D365" s="20"/>
      <c r="E365" s="99" t="s">
        <v>98</v>
      </c>
      <c r="F365" s="21">
        <v>1</v>
      </c>
      <c r="G365" s="100"/>
      <c r="H365" s="21">
        <v>288.5</v>
      </c>
      <c r="I365" s="11">
        <f t="shared" si="12"/>
        <v>288.5</v>
      </c>
      <c r="J365" s="21"/>
      <c r="K365" s="21"/>
      <c r="L365" s="13">
        <f t="shared" si="11"/>
        <v>288.5</v>
      </c>
      <c r="M365" s="22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</row>
    <row r="366" spans="1:136" s="98" customFormat="1" ht="15.75" customHeight="1" x14ac:dyDescent="0.25">
      <c r="A366" s="93">
        <v>46225</v>
      </c>
      <c r="B366" s="94" t="s">
        <v>16</v>
      </c>
      <c r="C366" s="95">
        <v>6022</v>
      </c>
      <c r="D366" s="20"/>
      <c r="E366" s="99" t="s">
        <v>212</v>
      </c>
      <c r="F366" s="21">
        <v>5</v>
      </c>
      <c r="G366" s="100"/>
      <c r="H366" s="21">
        <v>31</v>
      </c>
      <c r="I366" s="11">
        <f t="shared" si="12"/>
        <v>155</v>
      </c>
      <c r="J366" s="21"/>
      <c r="K366" s="21"/>
      <c r="L366" s="13">
        <f t="shared" si="11"/>
        <v>155</v>
      </c>
      <c r="M366" s="22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</row>
    <row r="367" spans="1:136" s="98" customFormat="1" ht="15.75" customHeight="1" x14ac:dyDescent="0.25">
      <c r="A367" s="93">
        <v>46225</v>
      </c>
      <c r="B367" s="94" t="s">
        <v>16</v>
      </c>
      <c r="C367" s="95">
        <v>6022</v>
      </c>
      <c r="D367" s="20"/>
      <c r="E367" s="99" t="s">
        <v>213</v>
      </c>
      <c r="F367" s="21">
        <v>3</v>
      </c>
      <c r="G367" s="100"/>
      <c r="H367" s="21">
        <v>71.5</v>
      </c>
      <c r="I367" s="11">
        <f t="shared" si="12"/>
        <v>214.5</v>
      </c>
      <c r="J367" s="21"/>
      <c r="K367" s="21"/>
      <c r="L367" s="13">
        <f t="shared" si="11"/>
        <v>214.5</v>
      </c>
      <c r="M367" s="22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/>
      <c r="BZ367" s="9"/>
      <c r="CA367" s="9"/>
      <c r="CB367" s="9"/>
      <c r="CC367" s="9"/>
      <c r="CD367" s="9"/>
      <c r="CE367" s="9"/>
      <c r="CF367" s="9"/>
      <c r="CG367" s="9"/>
      <c r="CH367" s="9"/>
      <c r="CI367" s="9"/>
      <c r="CJ367" s="9"/>
      <c r="CK367" s="9"/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/>
      <c r="ED367" s="9"/>
      <c r="EE367" s="9"/>
      <c r="EF367" s="9"/>
    </row>
    <row r="368" spans="1:136" s="98" customFormat="1" ht="15.75" customHeight="1" x14ac:dyDescent="0.25">
      <c r="A368" s="93">
        <v>46225</v>
      </c>
      <c r="B368" s="94" t="s">
        <v>16</v>
      </c>
      <c r="C368" s="95">
        <v>6022</v>
      </c>
      <c r="D368" s="20"/>
      <c r="E368" s="99" t="s">
        <v>214</v>
      </c>
      <c r="F368" s="21">
        <v>1</v>
      </c>
      <c r="G368" s="100"/>
      <c r="H368" s="21">
        <v>150</v>
      </c>
      <c r="I368" s="11">
        <f t="shared" si="12"/>
        <v>150</v>
      </c>
      <c r="J368" s="21"/>
      <c r="K368" s="21"/>
      <c r="L368" s="13">
        <f t="shared" si="11"/>
        <v>150</v>
      </c>
      <c r="M368" s="22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</row>
    <row r="369" spans="1:136" s="98" customFormat="1" ht="15.75" customHeight="1" x14ac:dyDescent="0.25">
      <c r="A369" s="93">
        <v>46225</v>
      </c>
      <c r="B369" s="94" t="s">
        <v>16</v>
      </c>
      <c r="C369" s="95">
        <v>6022</v>
      </c>
      <c r="D369" s="20"/>
      <c r="E369" s="99" t="s">
        <v>215</v>
      </c>
      <c r="F369" s="21">
        <v>1</v>
      </c>
      <c r="G369" s="100"/>
      <c r="H369" s="21">
        <v>92</v>
      </c>
      <c r="I369" s="11">
        <f t="shared" si="12"/>
        <v>92</v>
      </c>
      <c r="J369" s="21"/>
      <c r="K369" s="21"/>
      <c r="L369" s="13">
        <f t="shared" si="11"/>
        <v>92</v>
      </c>
      <c r="M369" s="22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</row>
    <row r="370" spans="1:136" s="98" customFormat="1" ht="15.75" customHeight="1" x14ac:dyDescent="0.25">
      <c r="A370" s="93">
        <v>46225</v>
      </c>
      <c r="B370" s="94" t="s">
        <v>16</v>
      </c>
      <c r="C370" s="95">
        <v>6022</v>
      </c>
      <c r="D370" s="20"/>
      <c r="E370" s="99" t="s">
        <v>216</v>
      </c>
      <c r="F370" s="21">
        <v>2</v>
      </c>
      <c r="G370" s="100"/>
      <c r="H370" s="21">
        <v>147.5</v>
      </c>
      <c r="I370" s="11">
        <f t="shared" si="12"/>
        <v>295</v>
      </c>
      <c r="J370" s="21"/>
      <c r="K370" s="21"/>
      <c r="L370" s="13">
        <f t="shared" si="11"/>
        <v>295</v>
      </c>
      <c r="M370" s="22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</row>
    <row r="371" spans="1:136" s="98" customFormat="1" ht="15.75" customHeight="1" x14ac:dyDescent="0.25">
      <c r="A371" s="93">
        <v>46225</v>
      </c>
      <c r="B371" s="94" t="s">
        <v>16</v>
      </c>
      <c r="C371" s="95">
        <v>6022</v>
      </c>
      <c r="D371" s="20"/>
      <c r="E371" s="99" t="s">
        <v>217</v>
      </c>
      <c r="F371" s="21">
        <v>1</v>
      </c>
      <c r="G371" s="100"/>
      <c r="H371" s="21">
        <v>270</v>
      </c>
      <c r="I371" s="11">
        <f t="shared" si="12"/>
        <v>270</v>
      </c>
      <c r="J371" s="21"/>
      <c r="K371" s="21"/>
      <c r="L371" s="13">
        <f t="shared" si="11"/>
        <v>270</v>
      </c>
      <c r="M371" s="22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/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</row>
    <row r="372" spans="1:136" s="98" customFormat="1" ht="15.75" customHeight="1" x14ac:dyDescent="0.25">
      <c r="A372" s="93">
        <v>46225</v>
      </c>
      <c r="B372" s="94" t="s">
        <v>16</v>
      </c>
      <c r="C372" s="95">
        <v>6022</v>
      </c>
      <c r="D372" s="20"/>
      <c r="E372" s="99" t="s">
        <v>218</v>
      </c>
      <c r="F372" s="21">
        <v>3</v>
      </c>
      <c r="G372" s="100"/>
      <c r="H372" s="21">
        <v>106.5</v>
      </c>
      <c r="I372" s="11">
        <f t="shared" si="12"/>
        <v>319.5</v>
      </c>
      <c r="J372" s="21"/>
      <c r="K372" s="21"/>
      <c r="L372" s="13">
        <f t="shared" ref="L372:L537" si="13">I372-J372-K372</f>
        <v>319.5</v>
      </c>
      <c r="M372" s="22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</row>
    <row r="373" spans="1:136" s="98" customFormat="1" ht="15.75" customHeight="1" x14ac:dyDescent="0.25">
      <c r="A373" s="93">
        <v>46225</v>
      </c>
      <c r="B373" s="94" t="s">
        <v>16</v>
      </c>
      <c r="C373" s="95">
        <v>6022</v>
      </c>
      <c r="D373" s="20"/>
      <c r="E373" s="99" t="s">
        <v>224</v>
      </c>
      <c r="F373" s="21">
        <v>4</v>
      </c>
      <c r="G373" s="100"/>
      <c r="H373" s="21">
        <v>75</v>
      </c>
      <c r="I373" s="11">
        <f t="shared" si="12"/>
        <v>300</v>
      </c>
      <c r="J373" s="21"/>
      <c r="K373" s="21"/>
      <c r="L373" s="13">
        <f t="shared" si="13"/>
        <v>300</v>
      </c>
      <c r="M373" s="22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</row>
    <row r="374" spans="1:136" s="98" customFormat="1" ht="15.75" customHeight="1" x14ac:dyDescent="0.25">
      <c r="A374" s="93">
        <v>46225</v>
      </c>
      <c r="B374" s="94" t="s">
        <v>16</v>
      </c>
      <c r="C374" s="95">
        <v>6022</v>
      </c>
      <c r="D374" s="20"/>
      <c r="E374" s="99" t="s">
        <v>219</v>
      </c>
      <c r="F374" s="21">
        <v>1</v>
      </c>
      <c r="G374" s="100"/>
      <c r="H374" s="21">
        <v>90</v>
      </c>
      <c r="I374" s="11">
        <f t="shared" si="12"/>
        <v>90</v>
      </c>
      <c r="J374" s="21"/>
      <c r="K374" s="21"/>
      <c r="L374" s="13">
        <f t="shared" si="13"/>
        <v>90</v>
      </c>
      <c r="M374" s="22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</row>
    <row r="375" spans="1:136" s="98" customFormat="1" ht="15.75" customHeight="1" x14ac:dyDescent="0.25">
      <c r="A375" s="93">
        <v>46225</v>
      </c>
      <c r="B375" s="94" t="s">
        <v>16</v>
      </c>
      <c r="C375" s="95">
        <v>6022</v>
      </c>
      <c r="D375" s="20"/>
      <c r="E375" s="99" t="s">
        <v>220</v>
      </c>
      <c r="F375" s="21">
        <v>1</v>
      </c>
      <c r="G375" s="100"/>
      <c r="H375" s="21">
        <v>45</v>
      </c>
      <c r="I375" s="11">
        <f t="shared" ref="I375:I454" si="14">F375*H375</f>
        <v>45</v>
      </c>
      <c r="J375" s="21"/>
      <c r="K375" s="21"/>
      <c r="L375" s="13">
        <f t="shared" si="13"/>
        <v>45</v>
      </c>
      <c r="M375" s="22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</row>
    <row r="376" spans="1:136" s="98" customFormat="1" ht="15.75" customHeight="1" x14ac:dyDescent="0.25">
      <c r="A376" s="93">
        <v>46225</v>
      </c>
      <c r="B376" s="94" t="s">
        <v>16</v>
      </c>
      <c r="C376" s="95">
        <v>6022</v>
      </c>
      <c r="D376" s="20"/>
      <c r="E376" s="99" t="s">
        <v>221</v>
      </c>
      <c r="F376" s="21">
        <v>1</v>
      </c>
      <c r="G376" s="100"/>
      <c r="H376" s="21">
        <v>147.25</v>
      </c>
      <c r="I376" s="11">
        <f t="shared" si="14"/>
        <v>147.25</v>
      </c>
      <c r="J376" s="21"/>
      <c r="K376" s="21"/>
      <c r="L376" s="13">
        <f t="shared" si="13"/>
        <v>147.25</v>
      </c>
      <c r="M376" s="22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</row>
    <row r="377" spans="1:136" s="98" customFormat="1" ht="15.75" customHeight="1" x14ac:dyDescent="0.25">
      <c r="A377" s="93">
        <v>46225</v>
      </c>
      <c r="B377" s="94" t="s">
        <v>16</v>
      </c>
      <c r="C377" s="95">
        <v>6022</v>
      </c>
      <c r="D377" s="20"/>
      <c r="E377" s="99" t="s">
        <v>222</v>
      </c>
      <c r="F377" s="21">
        <v>2</v>
      </c>
      <c r="G377" s="100"/>
      <c r="H377" s="21">
        <v>31</v>
      </c>
      <c r="I377" s="11">
        <f t="shared" si="14"/>
        <v>62</v>
      </c>
      <c r="J377" s="21"/>
      <c r="K377" s="21"/>
      <c r="L377" s="13">
        <f t="shared" si="13"/>
        <v>62</v>
      </c>
      <c r="M377" s="22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</row>
    <row r="378" spans="1:136" s="98" customFormat="1" ht="15.75" customHeight="1" x14ac:dyDescent="0.25">
      <c r="A378" s="93">
        <v>46225</v>
      </c>
      <c r="B378" s="94" t="s">
        <v>16</v>
      </c>
      <c r="C378" s="95">
        <v>6022</v>
      </c>
      <c r="D378" s="20"/>
      <c r="E378" s="99" t="s">
        <v>223</v>
      </c>
      <c r="F378" s="21">
        <v>2</v>
      </c>
      <c r="G378" s="100"/>
      <c r="H378" s="21">
        <v>41</v>
      </c>
      <c r="I378" s="11">
        <f t="shared" si="14"/>
        <v>82</v>
      </c>
      <c r="J378" s="21"/>
      <c r="K378" s="21"/>
      <c r="L378" s="13">
        <f t="shared" si="13"/>
        <v>82</v>
      </c>
      <c r="M378" s="22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</row>
    <row r="379" spans="1:136" s="98" customFormat="1" ht="15.75" customHeight="1" x14ac:dyDescent="0.25">
      <c r="A379" s="93">
        <v>46225</v>
      </c>
      <c r="B379" s="94" t="s">
        <v>16</v>
      </c>
      <c r="C379" s="95">
        <v>6022</v>
      </c>
      <c r="D379" s="20"/>
      <c r="E379" s="99" t="s">
        <v>184</v>
      </c>
      <c r="F379" s="21">
        <v>4</v>
      </c>
      <c r="G379" s="100"/>
      <c r="H379" s="21">
        <v>41</v>
      </c>
      <c r="I379" s="11">
        <f t="shared" si="14"/>
        <v>164</v>
      </c>
      <c r="J379" s="21"/>
      <c r="K379" s="21"/>
      <c r="L379" s="13">
        <f t="shared" si="13"/>
        <v>164</v>
      </c>
      <c r="M379" s="22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</row>
    <row r="380" spans="1:136" s="98" customFormat="1" ht="15.75" customHeight="1" x14ac:dyDescent="0.25">
      <c r="A380" s="93">
        <v>46225</v>
      </c>
      <c r="B380" s="94" t="s">
        <v>16</v>
      </c>
      <c r="C380" s="95">
        <v>6022</v>
      </c>
      <c r="D380" s="20"/>
      <c r="E380" s="99" t="s">
        <v>80</v>
      </c>
      <c r="F380" s="21">
        <v>12</v>
      </c>
      <c r="G380" s="100"/>
      <c r="H380" s="21">
        <v>7.25</v>
      </c>
      <c r="I380" s="11">
        <f t="shared" si="14"/>
        <v>87</v>
      </c>
      <c r="J380" s="21"/>
      <c r="K380" s="21"/>
      <c r="L380" s="13">
        <f t="shared" si="13"/>
        <v>87</v>
      </c>
      <c r="M380" s="22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/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</row>
    <row r="381" spans="1:136" s="98" customFormat="1" ht="15.75" customHeight="1" x14ac:dyDescent="0.25">
      <c r="A381" s="93">
        <v>46225</v>
      </c>
      <c r="B381" s="94" t="s">
        <v>16</v>
      </c>
      <c r="C381" s="95">
        <v>6022</v>
      </c>
      <c r="D381" s="20"/>
      <c r="E381" s="99" t="s">
        <v>79</v>
      </c>
      <c r="F381" s="21">
        <v>12</v>
      </c>
      <c r="G381" s="100"/>
      <c r="H381" s="21">
        <v>7.25</v>
      </c>
      <c r="I381" s="11">
        <f t="shared" si="14"/>
        <v>87</v>
      </c>
      <c r="J381" s="21"/>
      <c r="K381" s="21"/>
      <c r="L381" s="13">
        <f t="shared" si="13"/>
        <v>87</v>
      </c>
      <c r="M381" s="22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</row>
    <row r="382" spans="1:136" s="98" customFormat="1" ht="15.75" customHeight="1" x14ac:dyDescent="0.25">
      <c r="A382" s="93">
        <v>46225</v>
      </c>
      <c r="B382" s="94" t="s">
        <v>16</v>
      </c>
      <c r="C382" s="95">
        <v>6022</v>
      </c>
      <c r="D382" s="20"/>
      <c r="E382" s="99" t="s">
        <v>84</v>
      </c>
      <c r="F382" s="21">
        <v>2</v>
      </c>
      <c r="G382" s="100"/>
      <c r="H382" s="21">
        <v>45</v>
      </c>
      <c r="I382" s="11">
        <f t="shared" si="14"/>
        <v>90</v>
      </c>
      <c r="J382" s="21"/>
      <c r="K382" s="21"/>
      <c r="L382" s="13">
        <f t="shared" si="13"/>
        <v>90</v>
      </c>
      <c r="M382" s="22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</row>
    <row r="383" spans="1:136" s="98" customFormat="1" ht="15.75" customHeight="1" x14ac:dyDescent="0.25">
      <c r="A383" s="93">
        <v>46225</v>
      </c>
      <c r="B383" s="94" t="s">
        <v>16</v>
      </c>
      <c r="C383" s="95">
        <v>6022</v>
      </c>
      <c r="D383" s="20"/>
      <c r="E383" s="99" t="s">
        <v>225</v>
      </c>
      <c r="F383" s="21">
        <v>1</v>
      </c>
      <c r="G383" s="100"/>
      <c r="H383" s="21">
        <v>99</v>
      </c>
      <c r="I383" s="11">
        <f t="shared" si="14"/>
        <v>99</v>
      </c>
      <c r="J383" s="21"/>
      <c r="K383" s="21"/>
      <c r="L383" s="13">
        <f t="shared" si="13"/>
        <v>99</v>
      </c>
      <c r="M383" s="22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</row>
    <row r="384" spans="1:136" s="98" customFormat="1" ht="15.75" customHeight="1" x14ac:dyDescent="0.25">
      <c r="A384" s="93">
        <v>46225</v>
      </c>
      <c r="B384" s="94" t="s">
        <v>16</v>
      </c>
      <c r="C384" s="95">
        <v>6022</v>
      </c>
      <c r="D384" s="20"/>
      <c r="E384" s="99" t="s">
        <v>100</v>
      </c>
      <c r="F384" s="21">
        <v>4</v>
      </c>
      <c r="G384" s="100"/>
      <c r="H384" s="21">
        <v>43.25</v>
      </c>
      <c r="I384" s="11">
        <f t="shared" si="14"/>
        <v>173</v>
      </c>
      <c r="J384" s="21"/>
      <c r="K384" s="21"/>
      <c r="L384" s="13">
        <f t="shared" si="13"/>
        <v>173</v>
      </c>
      <c r="M384" s="22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</row>
    <row r="385" spans="1:136" s="98" customFormat="1" ht="15.75" customHeight="1" x14ac:dyDescent="0.25">
      <c r="A385" s="93">
        <v>46225</v>
      </c>
      <c r="B385" s="94" t="s">
        <v>16</v>
      </c>
      <c r="C385" s="95">
        <v>6022</v>
      </c>
      <c r="D385" s="20"/>
      <c r="E385" s="99" t="s">
        <v>226</v>
      </c>
      <c r="F385" s="21">
        <v>1</v>
      </c>
      <c r="G385" s="100"/>
      <c r="H385" s="21">
        <v>65</v>
      </c>
      <c r="I385" s="11">
        <f t="shared" si="14"/>
        <v>65</v>
      </c>
      <c r="J385" s="21"/>
      <c r="K385" s="21"/>
      <c r="L385" s="13">
        <f t="shared" si="13"/>
        <v>65</v>
      </c>
      <c r="M385" s="22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</row>
    <row r="386" spans="1:136" s="98" customFormat="1" ht="15.75" customHeight="1" x14ac:dyDescent="0.25">
      <c r="A386" s="93">
        <v>46225</v>
      </c>
      <c r="B386" s="94" t="s">
        <v>16</v>
      </c>
      <c r="C386" s="95">
        <v>6022</v>
      </c>
      <c r="D386" s="20"/>
      <c r="E386" s="99" t="s">
        <v>227</v>
      </c>
      <c r="F386" s="21">
        <v>3</v>
      </c>
      <c r="G386" s="100"/>
      <c r="H386" s="21">
        <v>45</v>
      </c>
      <c r="I386" s="11">
        <f t="shared" si="14"/>
        <v>135</v>
      </c>
      <c r="J386" s="21"/>
      <c r="K386" s="21"/>
      <c r="L386" s="13">
        <f t="shared" si="13"/>
        <v>135</v>
      </c>
      <c r="M386" s="22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</row>
    <row r="387" spans="1:136" s="98" customFormat="1" ht="15.75" customHeight="1" x14ac:dyDescent="0.25">
      <c r="A387" s="93">
        <v>46225</v>
      </c>
      <c r="B387" s="94" t="s">
        <v>16</v>
      </c>
      <c r="C387" s="95">
        <v>6022</v>
      </c>
      <c r="D387" s="20"/>
      <c r="E387" s="99" t="s">
        <v>71</v>
      </c>
      <c r="F387" s="21">
        <v>4</v>
      </c>
      <c r="G387" s="100"/>
      <c r="H387" s="21">
        <v>80</v>
      </c>
      <c r="I387" s="11">
        <f t="shared" si="14"/>
        <v>320</v>
      </c>
      <c r="J387" s="21"/>
      <c r="K387" s="21"/>
      <c r="L387" s="13">
        <f t="shared" si="13"/>
        <v>320</v>
      </c>
      <c r="M387" s="22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</row>
    <row r="388" spans="1:136" s="98" customFormat="1" ht="15.75" customHeight="1" x14ac:dyDescent="0.25">
      <c r="A388" s="93">
        <v>46225</v>
      </c>
      <c r="B388" s="94" t="s">
        <v>16</v>
      </c>
      <c r="C388" s="95">
        <v>6022</v>
      </c>
      <c r="D388" s="20"/>
      <c r="E388" s="99" t="s">
        <v>73</v>
      </c>
      <c r="F388" s="21">
        <v>3</v>
      </c>
      <c r="G388" s="100"/>
      <c r="H388" s="21">
        <v>60</v>
      </c>
      <c r="I388" s="11">
        <f t="shared" si="14"/>
        <v>180</v>
      </c>
      <c r="J388" s="21"/>
      <c r="K388" s="21"/>
      <c r="L388" s="13">
        <f t="shared" si="13"/>
        <v>180</v>
      </c>
      <c r="M388" s="22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</row>
    <row r="389" spans="1:136" s="98" customFormat="1" ht="15.75" customHeight="1" x14ac:dyDescent="0.25">
      <c r="A389" s="93">
        <v>46225</v>
      </c>
      <c r="B389" s="94" t="s">
        <v>16</v>
      </c>
      <c r="C389" s="95">
        <v>6022</v>
      </c>
      <c r="D389" s="20"/>
      <c r="E389" s="99" t="s">
        <v>45</v>
      </c>
      <c r="F389" s="21">
        <v>3</v>
      </c>
      <c r="G389" s="100"/>
      <c r="H389" s="21">
        <v>40</v>
      </c>
      <c r="I389" s="11">
        <f t="shared" si="14"/>
        <v>120</v>
      </c>
      <c r="J389" s="21"/>
      <c r="K389" s="21"/>
      <c r="L389" s="13">
        <f t="shared" si="13"/>
        <v>120</v>
      </c>
      <c r="M389" s="22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</row>
    <row r="390" spans="1:136" s="98" customFormat="1" ht="15.75" customHeight="1" x14ac:dyDescent="0.25">
      <c r="A390" s="93">
        <v>46225</v>
      </c>
      <c r="B390" s="94" t="s">
        <v>16</v>
      </c>
      <c r="C390" s="95">
        <v>6022</v>
      </c>
      <c r="D390" s="20"/>
      <c r="E390" s="99" t="s">
        <v>39</v>
      </c>
      <c r="F390" s="21">
        <v>2</v>
      </c>
      <c r="G390" s="100"/>
      <c r="H390" s="21">
        <v>60</v>
      </c>
      <c r="I390" s="11">
        <f t="shared" si="14"/>
        <v>120</v>
      </c>
      <c r="J390" s="21"/>
      <c r="K390" s="21"/>
      <c r="L390" s="13">
        <f t="shared" si="13"/>
        <v>120</v>
      </c>
      <c r="M390" s="22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</row>
    <row r="391" spans="1:136" s="98" customFormat="1" ht="15.75" customHeight="1" x14ac:dyDescent="0.25">
      <c r="A391" s="93">
        <v>46225</v>
      </c>
      <c r="B391" s="94" t="s">
        <v>16</v>
      </c>
      <c r="C391" s="95">
        <v>6022</v>
      </c>
      <c r="D391" s="20"/>
      <c r="E391" s="99" t="s">
        <v>34</v>
      </c>
      <c r="F391" s="21">
        <f>80/35</f>
        <v>2.2857142857142856</v>
      </c>
      <c r="G391" s="100"/>
      <c r="H391" s="21">
        <v>35</v>
      </c>
      <c r="I391" s="11">
        <f t="shared" ref="I391:I404" si="15">F391*H391</f>
        <v>80</v>
      </c>
      <c r="J391" s="21"/>
      <c r="K391" s="21"/>
      <c r="L391" s="13">
        <f t="shared" ref="L391:L404" si="16">I391-J391-K391</f>
        <v>80</v>
      </c>
      <c r="M391" s="22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</row>
    <row r="392" spans="1:136" s="98" customFormat="1" ht="15.75" customHeight="1" x14ac:dyDescent="0.25">
      <c r="A392" s="93">
        <v>46225</v>
      </c>
      <c r="B392" s="94" t="s">
        <v>16</v>
      </c>
      <c r="C392" s="95">
        <v>6022</v>
      </c>
      <c r="D392" s="20"/>
      <c r="E392" s="99" t="s">
        <v>42</v>
      </c>
      <c r="F392" s="21">
        <v>1</v>
      </c>
      <c r="G392" s="100"/>
      <c r="H392" s="21">
        <v>60</v>
      </c>
      <c r="I392" s="11">
        <f t="shared" si="15"/>
        <v>60</v>
      </c>
      <c r="J392" s="21"/>
      <c r="K392" s="21"/>
      <c r="L392" s="13">
        <f t="shared" si="16"/>
        <v>60</v>
      </c>
      <c r="M392" s="22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</row>
    <row r="393" spans="1:136" s="98" customFormat="1" ht="15.75" customHeight="1" x14ac:dyDescent="0.25">
      <c r="A393" s="93">
        <v>46225</v>
      </c>
      <c r="B393" s="94" t="s">
        <v>16</v>
      </c>
      <c r="C393" s="95">
        <v>6022</v>
      </c>
      <c r="D393" s="20"/>
      <c r="E393" s="99" t="s">
        <v>25</v>
      </c>
      <c r="F393" s="21">
        <v>1</v>
      </c>
      <c r="G393" s="100"/>
      <c r="H393" s="21">
        <v>60</v>
      </c>
      <c r="I393" s="11">
        <f t="shared" si="15"/>
        <v>60</v>
      </c>
      <c r="J393" s="21"/>
      <c r="K393" s="21"/>
      <c r="L393" s="13">
        <f t="shared" si="16"/>
        <v>60</v>
      </c>
      <c r="M393" s="22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</row>
    <row r="394" spans="1:136" s="98" customFormat="1" ht="15.75" customHeight="1" x14ac:dyDescent="0.25">
      <c r="A394" s="93">
        <v>46225</v>
      </c>
      <c r="B394" s="94" t="s">
        <v>16</v>
      </c>
      <c r="C394" s="95">
        <v>6022</v>
      </c>
      <c r="D394" s="20"/>
      <c r="E394" s="99" t="s">
        <v>38</v>
      </c>
      <c r="F394" s="21">
        <v>3</v>
      </c>
      <c r="G394" s="100"/>
      <c r="H394" s="21">
        <v>100</v>
      </c>
      <c r="I394" s="11">
        <f t="shared" si="15"/>
        <v>300</v>
      </c>
      <c r="J394" s="21"/>
      <c r="K394" s="21"/>
      <c r="L394" s="13">
        <f t="shared" si="16"/>
        <v>300</v>
      </c>
      <c r="M394" s="22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</row>
    <row r="395" spans="1:136" s="98" customFormat="1" ht="15.75" customHeight="1" x14ac:dyDescent="0.25">
      <c r="A395" s="93">
        <v>46225</v>
      </c>
      <c r="B395" s="94" t="s">
        <v>16</v>
      </c>
      <c r="C395" s="95">
        <v>6022</v>
      </c>
      <c r="D395" s="20"/>
      <c r="E395" s="99" t="s">
        <v>40</v>
      </c>
      <c r="F395" s="21">
        <v>1</v>
      </c>
      <c r="G395" s="100"/>
      <c r="H395" s="21">
        <v>50</v>
      </c>
      <c r="I395" s="11">
        <f t="shared" si="15"/>
        <v>50</v>
      </c>
      <c r="J395" s="21"/>
      <c r="K395" s="21"/>
      <c r="L395" s="13">
        <f t="shared" si="16"/>
        <v>50</v>
      </c>
      <c r="M395" s="22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</row>
    <row r="396" spans="1:136" s="98" customFormat="1" ht="15.75" customHeight="1" x14ac:dyDescent="0.25">
      <c r="A396" s="93">
        <v>46225</v>
      </c>
      <c r="B396" s="94" t="s">
        <v>16</v>
      </c>
      <c r="C396" s="95">
        <v>6022</v>
      </c>
      <c r="D396" s="20"/>
      <c r="E396" s="99" t="s">
        <v>151</v>
      </c>
      <c r="F396" s="21">
        <f>65/60</f>
        <v>1.0833333333333333</v>
      </c>
      <c r="G396" s="100"/>
      <c r="H396" s="21">
        <v>60</v>
      </c>
      <c r="I396" s="11">
        <f t="shared" si="15"/>
        <v>65</v>
      </c>
      <c r="J396" s="21"/>
      <c r="K396" s="21"/>
      <c r="L396" s="13">
        <f t="shared" si="16"/>
        <v>65</v>
      </c>
      <c r="M396" s="22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</row>
    <row r="397" spans="1:136" s="98" customFormat="1" ht="15.75" customHeight="1" x14ac:dyDescent="0.25">
      <c r="A397" s="93">
        <v>46225</v>
      </c>
      <c r="B397" s="94" t="s">
        <v>16</v>
      </c>
      <c r="C397" s="95">
        <v>6022</v>
      </c>
      <c r="D397" s="20"/>
      <c r="E397" s="99" t="s">
        <v>123</v>
      </c>
      <c r="F397" s="21">
        <f>171/80</f>
        <v>2.1375000000000002</v>
      </c>
      <c r="G397" s="100"/>
      <c r="H397" s="21">
        <v>80</v>
      </c>
      <c r="I397" s="11">
        <f t="shared" si="15"/>
        <v>171</v>
      </c>
      <c r="J397" s="21"/>
      <c r="K397" s="21"/>
      <c r="L397" s="13">
        <f t="shared" si="16"/>
        <v>171</v>
      </c>
      <c r="M397" s="22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</row>
    <row r="398" spans="1:136" s="98" customFormat="1" ht="15.75" customHeight="1" x14ac:dyDescent="0.25">
      <c r="A398" s="93">
        <v>46225</v>
      </c>
      <c r="B398" s="94" t="s">
        <v>16</v>
      </c>
      <c r="C398" s="95">
        <v>6022</v>
      </c>
      <c r="D398" s="20"/>
      <c r="E398" s="99" t="s">
        <v>119</v>
      </c>
      <c r="F398" s="21">
        <v>0.5</v>
      </c>
      <c r="G398" s="100"/>
      <c r="H398" s="21">
        <v>150</v>
      </c>
      <c r="I398" s="11">
        <f t="shared" si="15"/>
        <v>75</v>
      </c>
      <c r="J398" s="21"/>
      <c r="K398" s="21"/>
      <c r="L398" s="13">
        <f t="shared" si="16"/>
        <v>75</v>
      </c>
      <c r="M398" s="22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</row>
    <row r="399" spans="1:136" s="98" customFormat="1" ht="15.75" customHeight="1" x14ac:dyDescent="0.25">
      <c r="A399" s="93">
        <v>46225</v>
      </c>
      <c r="B399" s="94" t="s">
        <v>16</v>
      </c>
      <c r="C399" s="95">
        <v>6022</v>
      </c>
      <c r="D399" s="20"/>
      <c r="E399" s="99" t="s">
        <v>128</v>
      </c>
      <c r="F399" s="21">
        <f>65/60</f>
        <v>1.0833333333333333</v>
      </c>
      <c r="G399" s="100"/>
      <c r="H399" s="21">
        <v>60</v>
      </c>
      <c r="I399" s="11">
        <f t="shared" si="15"/>
        <v>65</v>
      </c>
      <c r="J399" s="21"/>
      <c r="K399" s="21"/>
      <c r="L399" s="13">
        <f t="shared" si="16"/>
        <v>65</v>
      </c>
      <c r="M399" s="22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</row>
    <row r="400" spans="1:136" s="98" customFormat="1" ht="15.75" customHeight="1" x14ac:dyDescent="0.25">
      <c r="A400" s="93">
        <v>46225</v>
      </c>
      <c r="B400" s="94" t="s">
        <v>16</v>
      </c>
      <c r="C400" s="95">
        <v>6022</v>
      </c>
      <c r="D400" s="20"/>
      <c r="E400" s="99" t="s">
        <v>127</v>
      </c>
      <c r="F400" s="21">
        <v>0.5</v>
      </c>
      <c r="G400" s="100"/>
      <c r="H400" s="21">
        <v>120</v>
      </c>
      <c r="I400" s="11">
        <f t="shared" si="15"/>
        <v>60</v>
      </c>
      <c r="J400" s="21"/>
      <c r="K400" s="21"/>
      <c r="L400" s="13">
        <f t="shared" si="16"/>
        <v>60</v>
      </c>
      <c r="M400" s="22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</row>
    <row r="401" spans="1:136" s="98" customFormat="1" ht="15.75" customHeight="1" x14ac:dyDescent="0.25">
      <c r="A401" s="93">
        <v>46225</v>
      </c>
      <c r="B401" s="94" t="s">
        <v>16</v>
      </c>
      <c r="C401" s="95">
        <v>6022</v>
      </c>
      <c r="D401" s="20"/>
      <c r="E401" s="99" t="s">
        <v>72</v>
      </c>
      <c r="F401" s="21">
        <v>0.5</v>
      </c>
      <c r="G401" s="100"/>
      <c r="H401" s="21">
        <v>120</v>
      </c>
      <c r="I401" s="11">
        <f t="shared" si="15"/>
        <v>60</v>
      </c>
      <c r="J401" s="21"/>
      <c r="K401" s="21"/>
      <c r="L401" s="13">
        <f t="shared" si="16"/>
        <v>60</v>
      </c>
      <c r="M401" s="22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/>
      <c r="BY401" s="9"/>
      <c r="BZ401" s="9"/>
      <c r="CA401" s="9"/>
      <c r="CB401" s="9"/>
      <c r="CC401" s="9"/>
      <c r="CD401" s="9"/>
      <c r="CE401" s="9"/>
      <c r="CF401" s="9"/>
      <c r="CG401" s="9"/>
      <c r="CH401" s="9"/>
      <c r="CI401" s="9"/>
      <c r="CJ401" s="9"/>
      <c r="CK401" s="9"/>
      <c r="CL401" s="9"/>
      <c r="CM401" s="9"/>
      <c r="CN401" s="9"/>
      <c r="CO401" s="9"/>
      <c r="CP401" s="9"/>
      <c r="CQ401" s="9"/>
      <c r="CR401" s="9"/>
      <c r="CS401" s="9"/>
      <c r="CT401" s="9"/>
      <c r="CU401" s="9"/>
      <c r="CV401" s="9"/>
      <c r="CW401" s="9"/>
      <c r="CX401" s="9"/>
      <c r="CY401" s="9"/>
      <c r="CZ401" s="9"/>
      <c r="DA401" s="9"/>
      <c r="DB401" s="9"/>
      <c r="DC401" s="9"/>
      <c r="DD401" s="9"/>
      <c r="DE401" s="9"/>
      <c r="DF401" s="9"/>
      <c r="DG401" s="9"/>
      <c r="DH401" s="9"/>
      <c r="DI401" s="9"/>
      <c r="DJ401" s="9"/>
      <c r="DK401" s="9"/>
      <c r="DL401" s="9"/>
      <c r="DM401" s="9"/>
      <c r="DN401" s="9"/>
      <c r="DO401" s="9"/>
      <c r="DP401" s="9"/>
      <c r="DQ401" s="9"/>
      <c r="DR401" s="9"/>
      <c r="DS401" s="9"/>
      <c r="DT401" s="9"/>
      <c r="DU401" s="9"/>
      <c r="DV401" s="9"/>
      <c r="DW401" s="9"/>
      <c r="DX401" s="9"/>
      <c r="DY401" s="9"/>
      <c r="DZ401" s="9"/>
      <c r="EA401" s="9"/>
      <c r="EB401" s="9"/>
      <c r="EC401" s="9"/>
      <c r="ED401" s="9"/>
      <c r="EE401" s="9"/>
      <c r="EF401" s="9"/>
    </row>
    <row r="402" spans="1:136" s="98" customFormat="1" ht="15.75" customHeight="1" x14ac:dyDescent="0.25">
      <c r="A402" s="93">
        <v>46225</v>
      </c>
      <c r="B402" s="94" t="s">
        <v>16</v>
      </c>
      <c r="C402" s="95">
        <v>6022</v>
      </c>
      <c r="D402" s="20"/>
      <c r="E402" s="99" t="s">
        <v>32</v>
      </c>
      <c r="F402" s="21">
        <v>2</v>
      </c>
      <c r="G402" s="100"/>
      <c r="H402" s="21">
        <v>70</v>
      </c>
      <c r="I402" s="11">
        <f t="shared" si="15"/>
        <v>140</v>
      </c>
      <c r="J402" s="21"/>
      <c r="K402" s="21"/>
      <c r="L402" s="13">
        <f t="shared" si="16"/>
        <v>140</v>
      </c>
      <c r="M402" s="22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</row>
    <row r="403" spans="1:136" s="98" customFormat="1" ht="15.75" customHeight="1" x14ac:dyDescent="0.25">
      <c r="A403" s="93">
        <v>46225</v>
      </c>
      <c r="B403" s="94" t="s">
        <v>16</v>
      </c>
      <c r="C403" s="95">
        <v>6022</v>
      </c>
      <c r="D403" s="20"/>
      <c r="E403" s="99" t="s">
        <v>31</v>
      </c>
      <c r="F403" s="21">
        <v>3</v>
      </c>
      <c r="G403" s="100"/>
      <c r="H403" s="21">
        <v>40</v>
      </c>
      <c r="I403" s="11">
        <f t="shared" si="15"/>
        <v>120</v>
      </c>
      <c r="J403" s="21"/>
      <c r="K403" s="21"/>
      <c r="L403" s="13">
        <f t="shared" si="16"/>
        <v>120</v>
      </c>
      <c r="M403" s="22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</row>
    <row r="404" spans="1:136" s="98" customFormat="1" ht="15.75" customHeight="1" x14ac:dyDescent="0.25">
      <c r="A404" s="93">
        <v>46225</v>
      </c>
      <c r="B404" s="94" t="s">
        <v>16</v>
      </c>
      <c r="C404" s="95">
        <v>6022</v>
      </c>
      <c r="D404" s="20"/>
      <c r="E404" s="99" t="s">
        <v>124</v>
      </c>
      <c r="F404" s="21">
        <v>4</v>
      </c>
      <c r="G404" s="100"/>
      <c r="H404" s="21">
        <f>200/4</f>
        <v>50</v>
      </c>
      <c r="I404" s="11">
        <f t="shared" si="15"/>
        <v>200</v>
      </c>
      <c r="J404" s="21"/>
      <c r="K404" s="21"/>
      <c r="L404" s="13">
        <f t="shared" si="16"/>
        <v>200</v>
      </c>
      <c r="M404" s="22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</row>
    <row r="405" spans="1:136" s="98" customFormat="1" ht="15.75" customHeight="1" x14ac:dyDescent="0.25">
      <c r="A405" s="93">
        <v>46226</v>
      </c>
      <c r="B405" s="94" t="s">
        <v>16</v>
      </c>
      <c r="C405" s="95">
        <v>6023</v>
      </c>
      <c r="D405" s="20"/>
      <c r="E405" s="99" t="s">
        <v>37</v>
      </c>
      <c r="F405" s="21">
        <v>2</v>
      </c>
      <c r="G405" s="100"/>
      <c r="H405" s="21">
        <v>60</v>
      </c>
      <c r="I405" s="11">
        <f t="shared" si="14"/>
        <v>120</v>
      </c>
      <c r="J405" s="21"/>
      <c r="K405" s="21"/>
      <c r="L405" s="13">
        <f t="shared" si="13"/>
        <v>120</v>
      </c>
      <c r="M405" s="22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</row>
    <row r="406" spans="1:136" s="98" customFormat="1" ht="15.75" customHeight="1" x14ac:dyDescent="0.25">
      <c r="A406" s="93">
        <v>46226</v>
      </c>
      <c r="B406" s="94" t="s">
        <v>16</v>
      </c>
      <c r="C406" s="95">
        <v>6023</v>
      </c>
      <c r="D406" s="20"/>
      <c r="E406" s="99" t="s">
        <v>125</v>
      </c>
      <c r="F406" s="21">
        <f>100/180</f>
        <v>0.55555555555555558</v>
      </c>
      <c r="G406" s="100"/>
      <c r="H406" s="21">
        <v>180</v>
      </c>
      <c r="I406" s="11">
        <f t="shared" si="14"/>
        <v>100</v>
      </c>
      <c r="J406" s="21"/>
      <c r="K406" s="21"/>
      <c r="L406" s="13">
        <f t="shared" si="13"/>
        <v>100</v>
      </c>
      <c r="M406" s="22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</row>
    <row r="407" spans="1:136" s="98" customFormat="1" ht="15.75" customHeight="1" x14ac:dyDescent="0.25">
      <c r="A407" s="93">
        <v>46226</v>
      </c>
      <c r="B407" s="94" t="s">
        <v>16</v>
      </c>
      <c r="C407" s="95">
        <v>6023</v>
      </c>
      <c r="D407" s="20"/>
      <c r="E407" s="99" t="s">
        <v>35</v>
      </c>
      <c r="F407" s="21">
        <v>0.5</v>
      </c>
      <c r="G407" s="100"/>
      <c r="H407" s="21">
        <v>100</v>
      </c>
      <c r="I407" s="11">
        <f t="shared" si="14"/>
        <v>50</v>
      </c>
      <c r="J407" s="21"/>
      <c r="K407" s="21"/>
      <c r="L407" s="13">
        <f t="shared" si="13"/>
        <v>50</v>
      </c>
      <c r="M407" s="22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</row>
    <row r="408" spans="1:136" s="98" customFormat="1" ht="15.75" customHeight="1" x14ac:dyDescent="0.25">
      <c r="A408" s="93">
        <v>46226</v>
      </c>
      <c r="B408" s="94" t="s">
        <v>16</v>
      </c>
      <c r="C408" s="95">
        <v>6023</v>
      </c>
      <c r="D408" s="20"/>
      <c r="E408" s="99" t="s">
        <v>29</v>
      </c>
      <c r="F408" s="21">
        <v>3</v>
      </c>
      <c r="G408" s="100"/>
      <c r="H408" s="21">
        <v>70</v>
      </c>
      <c r="I408" s="11">
        <f t="shared" si="14"/>
        <v>210</v>
      </c>
      <c r="J408" s="21"/>
      <c r="K408" s="21"/>
      <c r="L408" s="13">
        <f t="shared" si="13"/>
        <v>210</v>
      </c>
      <c r="M408" s="22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</row>
    <row r="409" spans="1:136" s="98" customFormat="1" ht="15.75" customHeight="1" x14ac:dyDescent="0.25">
      <c r="A409" s="93">
        <v>46226</v>
      </c>
      <c r="B409" s="94" t="s">
        <v>16</v>
      </c>
      <c r="C409" s="95">
        <v>6023</v>
      </c>
      <c r="D409" s="20"/>
      <c r="E409" s="99" t="s">
        <v>33</v>
      </c>
      <c r="F409" s="21">
        <v>7.5</v>
      </c>
      <c r="G409" s="100"/>
      <c r="H409" s="21">
        <f>560/7.5</f>
        <v>74.666666666666671</v>
      </c>
      <c r="I409" s="11">
        <f t="shared" si="14"/>
        <v>560</v>
      </c>
      <c r="J409" s="21"/>
      <c r="K409" s="21"/>
      <c r="L409" s="13">
        <f t="shared" si="13"/>
        <v>560</v>
      </c>
      <c r="M409" s="22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  <c r="BU409" s="9"/>
      <c r="BV409" s="9"/>
      <c r="BW409" s="9"/>
      <c r="BX409" s="9"/>
      <c r="BY409" s="9"/>
      <c r="BZ409" s="9"/>
      <c r="CA409" s="9"/>
      <c r="CB409" s="9"/>
      <c r="CC409" s="9"/>
      <c r="CD409" s="9"/>
      <c r="CE409" s="9"/>
      <c r="CF409" s="9"/>
      <c r="CG409" s="9"/>
      <c r="CH409" s="9"/>
      <c r="CI409" s="9"/>
      <c r="CJ409" s="9"/>
      <c r="CK409" s="9"/>
      <c r="CL409" s="9"/>
      <c r="CM409" s="9"/>
      <c r="CN409" s="9"/>
      <c r="CO409" s="9"/>
      <c r="CP409" s="9"/>
      <c r="CQ409" s="9"/>
      <c r="CR409" s="9"/>
      <c r="CS409" s="9"/>
      <c r="CT409" s="9"/>
      <c r="CU409" s="9"/>
      <c r="CV409" s="9"/>
      <c r="CW409" s="9"/>
      <c r="CX409" s="9"/>
      <c r="CY409" s="9"/>
      <c r="CZ409" s="9"/>
      <c r="DA409" s="9"/>
      <c r="DB409" s="9"/>
      <c r="DC409" s="9"/>
      <c r="DD409" s="9"/>
      <c r="DE409" s="9"/>
      <c r="DF409" s="9"/>
      <c r="DG409" s="9"/>
      <c r="DH409" s="9"/>
      <c r="DI409" s="9"/>
      <c r="DJ409" s="9"/>
      <c r="DK409" s="9"/>
      <c r="DL409" s="9"/>
      <c r="DM409" s="9"/>
      <c r="DN409" s="9"/>
      <c r="DO409" s="9"/>
      <c r="DP409" s="9"/>
      <c r="DQ409" s="9"/>
      <c r="DR409" s="9"/>
      <c r="DS409" s="9"/>
      <c r="DT409" s="9"/>
      <c r="DU409" s="9"/>
      <c r="DV409" s="9"/>
      <c r="DW409" s="9"/>
      <c r="DX409" s="9"/>
      <c r="DY409" s="9"/>
      <c r="DZ409" s="9"/>
      <c r="EA409" s="9"/>
      <c r="EB409" s="9"/>
      <c r="EC409" s="9"/>
      <c r="ED409" s="9"/>
      <c r="EE409" s="9"/>
      <c r="EF409" s="9"/>
    </row>
    <row r="410" spans="1:136" s="98" customFormat="1" ht="15.75" customHeight="1" x14ac:dyDescent="0.25">
      <c r="A410" s="93">
        <v>46226</v>
      </c>
      <c r="B410" s="94" t="s">
        <v>16</v>
      </c>
      <c r="C410" s="95">
        <v>6023</v>
      </c>
      <c r="D410" s="20"/>
      <c r="E410" s="99" t="s">
        <v>30</v>
      </c>
      <c r="F410" s="21">
        <v>1</v>
      </c>
      <c r="G410" s="100"/>
      <c r="H410" s="21">
        <v>50</v>
      </c>
      <c r="I410" s="11">
        <f t="shared" si="14"/>
        <v>50</v>
      </c>
      <c r="J410" s="21"/>
      <c r="K410" s="21"/>
      <c r="L410" s="13">
        <f t="shared" si="13"/>
        <v>50</v>
      </c>
      <c r="M410" s="22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  <c r="BU410" s="9"/>
      <c r="BV410" s="9"/>
      <c r="BW410" s="9"/>
      <c r="BX410" s="9"/>
      <c r="BY410" s="9"/>
      <c r="BZ410" s="9"/>
      <c r="CA410" s="9"/>
      <c r="CB410" s="9"/>
      <c r="CC410" s="9"/>
      <c r="CD410" s="9"/>
      <c r="CE410" s="9"/>
      <c r="CF410" s="9"/>
      <c r="CG410" s="9"/>
      <c r="CH410" s="9"/>
      <c r="CI410" s="9"/>
      <c r="CJ410" s="9"/>
      <c r="CK410" s="9"/>
      <c r="CL410" s="9"/>
      <c r="CM410" s="9"/>
      <c r="CN410" s="9"/>
      <c r="CO410" s="9"/>
      <c r="CP410" s="9"/>
      <c r="CQ410" s="9"/>
      <c r="CR410" s="9"/>
      <c r="CS410" s="9"/>
      <c r="CT410" s="9"/>
      <c r="CU410" s="9"/>
      <c r="CV410" s="9"/>
      <c r="CW410" s="9"/>
      <c r="CX410" s="9"/>
      <c r="CY410" s="9"/>
      <c r="CZ410" s="9"/>
      <c r="DA410" s="9"/>
      <c r="DB410" s="9"/>
      <c r="DC410" s="9"/>
      <c r="DD410" s="9"/>
      <c r="DE410" s="9"/>
      <c r="DF410" s="9"/>
      <c r="DG410" s="9"/>
      <c r="DH410" s="9"/>
      <c r="DI410" s="9"/>
      <c r="DJ410" s="9"/>
      <c r="DK410" s="9"/>
      <c r="DL410" s="9"/>
      <c r="DM410" s="9"/>
      <c r="DN410" s="9"/>
      <c r="DO410" s="9"/>
      <c r="DP410" s="9"/>
      <c r="DQ410" s="9"/>
      <c r="DR410" s="9"/>
      <c r="DS410" s="9"/>
      <c r="DT410" s="9"/>
      <c r="DU410" s="9"/>
      <c r="DV410" s="9"/>
      <c r="DW410" s="9"/>
      <c r="DX410" s="9"/>
      <c r="DY410" s="9"/>
      <c r="DZ410" s="9"/>
      <c r="EA410" s="9"/>
      <c r="EB410" s="9"/>
      <c r="EC410" s="9"/>
      <c r="ED410" s="9"/>
      <c r="EE410" s="9"/>
      <c r="EF410" s="9"/>
    </row>
    <row r="411" spans="1:136" s="98" customFormat="1" ht="15.75" customHeight="1" x14ac:dyDescent="0.25">
      <c r="A411" s="93">
        <v>46226</v>
      </c>
      <c r="B411" s="94" t="s">
        <v>16</v>
      </c>
      <c r="C411" s="95">
        <v>6023</v>
      </c>
      <c r="D411" s="20"/>
      <c r="E411" s="99" t="s">
        <v>42</v>
      </c>
      <c r="F411" s="21">
        <v>1</v>
      </c>
      <c r="G411" s="100"/>
      <c r="H411" s="21">
        <v>40</v>
      </c>
      <c r="I411" s="11">
        <f t="shared" si="14"/>
        <v>40</v>
      </c>
      <c r="J411" s="21"/>
      <c r="K411" s="21"/>
      <c r="L411" s="13">
        <f t="shared" si="13"/>
        <v>40</v>
      </c>
      <c r="M411" s="22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  <c r="BU411" s="9"/>
      <c r="BV411" s="9"/>
      <c r="BW411" s="9"/>
      <c r="BX411" s="9"/>
      <c r="BY411" s="9"/>
      <c r="BZ411" s="9"/>
      <c r="CA411" s="9"/>
      <c r="CB411" s="9"/>
      <c r="CC411" s="9"/>
      <c r="CD411" s="9"/>
      <c r="CE411" s="9"/>
      <c r="CF411" s="9"/>
      <c r="CG411" s="9"/>
      <c r="CH411" s="9"/>
      <c r="CI411" s="9"/>
      <c r="CJ411" s="9"/>
      <c r="CK411" s="9"/>
      <c r="CL411" s="9"/>
      <c r="CM411" s="9"/>
      <c r="CN411" s="9"/>
      <c r="CO411" s="9"/>
      <c r="CP411" s="9"/>
      <c r="CQ411" s="9"/>
      <c r="CR411" s="9"/>
      <c r="CS411" s="9"/>
      <c r="CT411" s="9"/>
      <c r="CU411" s="9"/>
      <c r="CV411" s="9"/>
      <c r="CW411" s="9"/>
      <c r="CX411" s="9"/>
      <c r="CY411" s="9"/>
      <c r="CZ411" s="9"/>
      <c r="DA411" s="9"/>
      <c r="DB411" s="9"/>
      <c r="DC411" s="9"/>
      <c r="DD411" s="9"/>
      <c r="DE411" s="9"/>
      <c r="DF411" s="9"/>
      <c r="DG411" s="9"/>
      <c r="DH411" s="9"/>
      <c r="DI411" s="9"/>
      <c r="DJ411" s="9"/>
      <c r="DK411" s="9"/>
      <c r="DL411" s="9"/>
      <c r="DM411" s="9"/>
      <c r="DN411" s="9"/>
      <c r="DO411" s="9"/>
      <c r="DP411" s="9"/>
      <c r="DQ411" s="9"/>
      <c r="DR411" s="9"/>
      <c r="DS411" s="9"/>
      <c r="DT411" s="9"/>
      <c r="DU411" s="9"/>
      <c r="DV411" s="9"/>
      <c r="DW411" s="9"/>
      <c r="DX411" s="9"/>
      <c r="DY411" s="9"/>
      <c r="DZ411" s="9"/>
      <c r="EA411" s="9"/>
      <c r="EB411" s="9"/>
      <c r="EC411" s="9"/>
      <c r="ED411" s="9"/>
      <c r="EE411" s="9"/>
      <c r="EF411" s="9"/>
    </row>
    <row r="412" spans="1:136" s="98" customFormat="1" ht="15.75" customHeight="1" x14ac:dyDescent="0.25">
      <c r="A412" s="93">
        <v>46226</v>
      </c>
      <c r="B412" s="94" t="s">
        <v>16</v>
      </c>
      <c r="C412" s="95">
        <v>6023</v>
      </c>
      <c r="D412" s="20"/>
      <c r="E412" s="99" t="s">
        <v>39</v>
      </c>
      <c r="F412" s="21">
        <v>2</v>
      </c>
      <c r="G412" s="100"/>
      <c r="H412" s="21">
        <v>75</v>
      </c>
      <c r="I412" s="11">
        <f t="shared" si="14"/>
        <v>150</v>
      </c>
      <c r="J412" s="21"/>
      <c r="K412" s="21"/>
      <c r="L412" s="13">
        <f t="shared" si="13"/>
        <v>150</v>
      </c>
      <c r="M412" s="22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  <c r="BU412" s="9"/>
      <c r="BV412" s="9"/>
      <c r="BW412" s="9"/>
      <c r="BX412" s="9"/>
      <c r="BY412" s="9"/>
      <c r="BZ412" s="9"/>
      <c r="CA412" s="9"/>
      <c r="CB412" s="9"/>
      <c r="CC412" s="9"/>
      <c r="CD412" s="9"/>
      <c r="CE412" s="9"/>
      <c r="CF412" s="9"/>
      <c r="CG412" s="9"/>
      <c r="CH412" s="9"/>
      <c r="CI412" s="9"/>
      <c r="CJ412" s="9"/>
      <c r="CK412" s="9"/>
      <c r="CL412" s="9"/>
      <c r="CM412" s="9"/>
      <c r="CN412" s="9"/>
      <c r="CO412" s="9"/>
      <c r="CP412" s="9"/>
      <c r="CQ412" s="9"/>
      <c r="CR412" s="9"/>
      <c r="CS412" s="9"/>
      <c r="CT412" s="9"/>
      <c r="CU412" s="9"/>
      <c r="CV412" s="9"/>
      <c r="CW412" s="9"/>
      <c r="CX412" s="9"/>
      <c r="CY412" s="9"/>
      <c r="CZ412" s="9"/>
      <c r="DA412" s="9"/>
      <c r="DB412" s="9"/>
      <c r="DC412" s="9"/>
      <c r="DD412" s="9"/>
      <c r="DE412" s="9"/>
      <c r="DF412" s="9"/>
      <c r="DG412" s="9"/>
      <c r="DH412" s="9"/>
      <c r="DI412" s="9"/>
      <c r="DJ412" s="9"/>
      <c r="DK412" s="9"/>
      <c r="DL412" s="9"/>
      <c r="DM412" s="9"/>
      <c r="DN412" s="9"/>
      <c r="DO412" s="9"/>
      <c r="DP412" s="9"/>
      <c r="DQ412" s="9"/>
      <c r="DR412" s="9"/>
      <c r="DS412" s="9"/>
      <c r="DT412" s="9"/>
      <c r="DU412" s="9"/>
      <c r="DV412" s="9"/>
      <c r="DW412" s="9"/>
      <c r="DX412" s="9"/>
      <c r="DY412" s="9"/>
      <c r="DZ412" s="9"/>
      <c r="EA412" s="9"/>
      <c r="EB412" s="9"/>
      <c r="EC412" s="9"/>
      <c r="ED412" s="9"/>
      <c r="EE412" s="9"/>
      <c r="EF412" s="9"/>
    </row>
    <row r="413" spans="1:136" s="98" customFormat="1" ht="15.75" customHeight="1" x14ac:dyDescent="0.25">
      <c r="A413" s="93">
        <v>46226</v>
      </c>
      <c r="B413" s="94" t="s">
        <v>16</v>
      </c>
      <c r="C413" s="95">
        <v>6023</v>
      </c>
      <c r="D413" s="20"/>
      <c r="E413" s="99" t="s">
        <v>122</v>
      </c>
      <c r="F413" s="21">
        <f>205/90</f>
        <v>2.2777777777777777</v>
      </c>
      <c r="G413" s="100"/>
      <c r="H413" s="21">
        <v>90</v>
      </c>
      <c r="I413" s="11">
        <f t="shared" si="14"/>
        <v>205</v>
      </c>
      <c r="J413" s="21"/>
      <c r="K413" s="21"/>
      <c r="L413" s="13">
        <f t="shared" si="13"/>
        <v>205</v>
      </c>
      <c r="M413" s="22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  <c r="BU413" s="9"/>
      <c r="BV413" s="9"/>
      <c r="BW413" s="9"/>
      <c r="BX413" s="9"/>
      <c r="BY413" s="9"/>
      <c r="BZ413" s="9"/>
      <c r="CA413" s="9"/>
      <c r="CB413" s="9"/>
      <c r="CC413" s="9"/>
      <c r="CD413" s="9"/>
      <c r="CE413" s="9"/>
      <c r="CF413" s="9"/>
      <c r="CG413" s="9"/>
      <c r="CH413" s="9"/>
      <c r="CI413" s="9"/>
      <c r="CJ413" s="9"/>
      <c r="CK413" s="9"/>
      <c r="CL413" s="9"/>
      <c r="CM413" s="9"/>
      <c r="CN413" s="9"/>
      <c r="CO413" s="9"/>
      <c r="CP413" s="9"/>
      <c r="CQ413" s="9"/>
      <c r="CR413" s="9"/>
      <c r="CS413" s="9"/>
      <c r="CT413" s="9"/>
      <c r="CU413" s="9"/>
      <c r="CV413" s="9"/>
      <c r="CW413" s="9"/>
      <c r="CX413" s="9"/>
      <c r="CY413" s="9"/>
      <c r="CZ413" s="9"/>
      <c r="DA413" s="9"/>
      <c r="DB413" s="9"/>
      <c r="DC413" s="9"/>
      <c r="DD413" s="9"/>
      <c r="DE413" s="9"/>
      <c r="DF413" s="9"/>
      <c r="DG413" s="9"/>
      <c r="DH413" s="9"/>
      <c r="DI413" s="9"/>
      <c r="DJ413" s="9"/>
      <c r="DK413" s="9"/>
      <c r="DL413" s="9"/>
      <c r="DM413" s="9"/>
      <c r="DN413" s="9"/>
      <c r="DO413" s="9"/>
      <c r="DP413" s="9"/>
      <c r="DQ413" s="9"/>
      <c r="DR413" s="9"/>
      <c r="DS413" s="9"/>
      <c r="DT413" s="9"/>
      <c r="DU413" s="9"/>
      <c r="DV413" s="9"/>
      <c r="DW413" s="9"/>
      <c r="DX413" s="9"/>
      <c r="DY413" s="9"/>
      <c r="DZ413" s="9"/>
      <c r="EA413" s="9"/>
      <c r="EB413" s="9"/>
      <c r="EC413" s="9"/>
      <c r="ED413" s="9"/>
      <c r="EE413" s="9"/>
      <c r="EF413" s="9"/>
    </row>
    <row r="414" spans="1:136" s="98" customFormat="1" ht="15.75" customHeight="1" x14ac:dyDescent="0.25">
      <c r="A414" s="93">
        <v>46226</v>
      </c>
      <c r="B414" s="94" t="s">
        <v>16</v>
      </c>
      <c r="C414" s="95">
        <v>6023</v>
      </c>
      <c r="D414" s="20"/>
      <c r="E414" s="99" t="s">
        <v>228</v>
      </c>
      <c r="F414" s="21">
        <v>0.5</v>
      </c>
      <c r="G414" s="100"/>
      <c r="H414" s="21">
        <v>250</v>
      </c>
      <c r="I414" s="11">
        <f t="shared" si="14"/>
        <v>125</v>
      </c>
      <c r="J414" s="21"/>
      <c r="K414" s="21"/>
      <c r="L414" s="13">
        <f t="shared" si="13"/>
        <v>125</v>
      </c>
      <c r="M414" s="22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  <c r="BU414" s="9"/>
      <c r="BV414" s="9"/>
      <c r="BW414" s="9"/>
      <c r="BX414" s="9"/>
      <c r="BY414" s="9"/>
      <c r="BZ414" s="9"/>
      <c r="CA414" s="9"/>
      <c r="CB414" s="9"/>
      <c r="CC414" s="9"/>
      <c r="CD414" s="9"/>
      <c r="CE414" s="9"/>
      <c r="CF414" s="9"/>
      <c r="CG414" s="9"/>
      <c r="CH414" s="9"/>
      <c r="CI414" s="9"/>
      <c r="CJ414" s="9"/>
      <c r="CK414" s="9"/>
      <c r="CL414" s="9"/>
      <c r="CM414" s="9"/>
      <c r="CN414" s="9"/>
      <c r="CO414" s="9"/>
      <c r="CP414" s="9"/>
      <c r="CQ414" s="9"/>
      <c r="CR414" s="9"/>
      <c r="CS414" s="9"/>
      <c r="CT414" s="9"/>
      <c r="CU414" s="9"/>
      <c r="CV414" s="9"/>
      <c r="CW414" s="9"/>
      <c r="CX414" s="9"/>
      <c r="CY414" s="9"/>
      <c r="CZ414" s="9"/>
      <c r="DA414" s="9"/>
      <c r="DB414" s="9"/>
      <c r="DC414" s="9"/>
      <c r="DD414" s="9"/>
      <c r="DE414" s="9"/>
      <c r="DF414" s="9"/>
      <c r="DG414" s="9"/>
      <c r="DH414" s="9"/>
      <c r="DI414" s="9"/>
      <c r="DJ414" s="9"/>
      <c r="DK414" s="9"/>
      <c r="DL414" s="9"/>
      <c r="DM414" s="9"/>
      <c r="DN414" s="9"/>
      <c r="DO414" s="9"/>
      <c r="DP414" s="9"/>
      <c r="DQ414" s="9"/>
      <c r="DR414" s="9"/>
      <c r="DS414" s="9"/>
      <c r="DT414" s="9"/>
      <c r="DU414" s="9"/>
      <c r="DV414" s="9"/>
      <c r="DW414" s="9"/>
      <c r="DX414" s="9"/>
      <c r="DY414" s="9"/>
      <c r="DZ414" s="9"/>
      <c r="EA414" s="9"/>
      <c r="EB414" s="9"/>
      <c r="EC414" s="9"/>
      <c r="ED414" s="9"/>
      <c r="EE414" s="9"/>
      <c r="EF414" s="9"/>
    </row>
    <row r="415" spans="1:136" s="98" customFormat="1" ht="15.75" customHeight="1" x14ac:dyDescent="0.25">
      <c r="A415" s="93">
        <v>46226</v>
      </c>
      <c r="B415" s="94" t="s">
        <v>16</v>
      </c>
      <c r="C415" s="95">
        <v>6023</v>
      </c>
      <c r="D415" s="20"/>
      <c r="E415" s="99" t="s">
        <v>121</v>
      </c>
      <c r="F415" s="21">
        <v>1</v>
      </c>
      <c r="G415" s="100"/>
      <c r="H415" s="21">
        <v>80</v>
      </c>
      <c r="I415" s="11">
        <f t="shared" si="14"/>
        <v>80</v>
      </c>
      <c r="J415" s="21"/>
      <c r="K415" s="21"/>
      <c r="L415" s="13">
        <f t="shared" si="13"/>
        <v>80</v>
      </c>
      <c r="M415" s="22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  <c r="BU415" s="9"/>
      <c r="BV415" s="9"/>
      <c r="BW415" s="9"/>
      <c r="BX415" s="9"/>
      <c r="BY415" s="9"/>
      <c r="BZ415" s="9"/>
      <c r="CA415" s="9"/>
      <c r="CB415" s="9"/>
      <c r="CC415" s="9"/>
      <c r="CD415" s="9"/>
      <c r="CE415" s="9"/>
      <c r="CF415" s="9"/>
      <c r="CG415" s="9"/>
      <c r="CH415" s="9"/>
      <c r="CI415" s="9"/>
      <c r="CJ415" s="9"/>
      <c r="CK415" s="9"/>
      <c r="CL415" s="9"/>
      <c r="CM415" s="9"/>
      <c r="CN415" s="9"/>
      <c r="CO415" s="9"/>
      <c r="CP415" s="9"/>
      <c r="CQ415" s="9"/>
      <c r="CR415" s="9"/>
      <c r="CS415" s="9"/>
      <c r="CT415" s="9"/>
      <c r="CU415" s="9"/>
      <c r="CV415" s="9"/>
      <c r="CW415" s="9"/>
      <c r="CX415" s="9"/>
      <c r="CY415" s="9"/>
      <c r="CZ415" s="9"/>
      <c r="DA415" s="9"/>
      <c r="DB415" s="9"/>
      <c r="DC415" s="9"/>
      <c r="DD415" s="9"/>
      <c r="DE415" s="9"/>
      <c r="DF415" s="9"/>
      <c r="DG415" s="9"/>
      <c r="DH415" s="9"/>
      <c r="DI415" s="9"/>
      <c r="DJ415" s="9"/>
      <c r="DK415" s="9"/>
      <c r="DL415" s="9"/>
      <c r="DM415" s="9"/>
      <c r="DN415" s="9"/>
      <c r="DO415" s="9"/>
      <c r="DP415" s="9"/>
      <c r="DQ415" s="9"/>
      <c r="DR415" s="9"/>
      <c r="DS415" s="9"/>
      <c r="DT415" s="9"/>
      <c r="DU415" s="9"/>
      <c r="DV415" s="9"/>
      <c r="DW415" s="9"/>
      <c r="DX415" s="9"/>
      <c r="DY415" s="9"/>
      <c r="DZ415" s="9"/>
      <c r="EA415" s="9"/>
      <c r="EB415" s="9"/>
      <c r="EC415" s="9"/>
      <c r="ED415" s="9"/>
      <c r="EE415" s="9"/>
      <c r="EF415" s="9"/>
    </row>
    <row r="416" spans="1:136" s="98" customFormat="1" ht="15.75" customHeight="1" x14ac:dyDescent="0.25">
      <c r="A416" s="93">
        <v>46226</v>
      </c>
      <c r="B416" s="94" t="s">
        <v>16</v>
      </c>
      <c r="C416" s="95">
        <v>6023</v>
      </c>
      <c r="D416" s="20"/>
      <c r="E416" s="99" t="s">
        <v>68</v>
      </c>
      <c r="F416" s="21">
        <v>0.5</v>
      </c>
      <c r="G416" s="100"/>
      <c r="H416" s="21">
        <v>100</v>
      </c>
      <c r="I416" s="11">
        <f t="shared" si="14"/>
        <v>50</v>
      </c>
      <c r="J416" s="21"/>
      <c r="K416" s="21"/>
      <c r="L416" s="13">
        <f t="shared" si="13"/>
        <v>50</v>
      </c>
      <c r="M416" s="22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  <c r="BU416" s="9"/>
      <c r="BV416" s="9"/>
      <c r="BW416" s="9"/>
      <c r="BX416" s="9"/>
      <c r="BY416" s="9"/>
      <c r="BZ416" s="9"/>
      <c r="CA416" s="9"/>
      <c r="CB416" s="9"/>
      <c r="CC416" s="9"/>
      <c r="CD416" s="9"/>
      <c r="CE416" s="9"/>
      <c r="CF416" s="9"/>
      <c r="CG416" s="9"/>
      <c r="CH416" s="9"/>
      <c r="CI416" s="9"/>
      <c r="CJ416" s="9"/>
      <c r="CK416" s="9"/>
      <c r="CL416" s="9"/>
      <c r="CM416" s="9"/>
      <c r="CN416" s="9"/>
      <c r="CO416" s="9"/>
      <c r="CP416" s="9"/>
      <c r="CQ416" s="9"/>
      <c r="CR416" s="9"/>
      <c r="CS416" s="9"/>
      <c r="CT416" s="9"/>
      <c r="CU416" s="9"/>
      <c r="CV416" s="9"/>
      <c r="CW416" s="9"/>
      <c r="CX416" s="9"/>
      <c r="CY416" s="9"/>
      <c r="CZ416" s="9"/>
      <c r="DA416" s="9"/>
      <c r="DB416" s="9"/>
      <c r="DC416" s="9"/>
      <c r="DD416" s="9"/>
      <c r="DE416" s="9"/>
      <c r="DF416" s="9"/>
      <c r="DG416" s="9"/>
      <c r="DH416" s="9"/>
      <c r="DI416" s="9"/>
      <c r="DJ416" s="9"/>
      <c r="DK416" s="9"/>
      <c r="DL416" s="9"/>
      <c r="DM416" s="9"/>
      <c r="DN416" s="9"/>
      <c r="DO416" s="9"/>
      <c r="DP416" s="9"/>
      <c r="DQ416" s="9"/>
      <c r="DR416" s="9"/>
      <c r="DS416" s="9"/>
      <c r="DT416" s="9"/>
      <c r="DU416" s="9"/>
      <c r="DV416" s="9"/>
      <c r="DW416" s="9"/>
      <c r="DX416" s="9"/>
      <c r="DY416" s="9"/>
      <c r="DZ416" s="9"/>
      <c r="EA416" s="9"/>
      <c r="EB416" s="9"/>
      <c r="EC416" s="9"/>
      <c r="ED416" s="9"/>
      <c r="EE416" s="9"/>
      <c r="EF416" s="9"/>
    </row>
    <row r="417" spans="1:136" s="98" customFormat="1" ht="15.75" customHeight="1" x14ac:dyDescent="0.25">
      <c r="A417" s="93">
        <v>46226</v>
      </c>
      <c r="B417" s="94" t="s">
        <v>16</v>
      </c>
      <c r="C417" s="95">
        <v>6023</v>
      </c>
      <c r="D417" s="20"/>
      <c r="E417" s="99" t="s">
        <v>229</v>
      </c>
      <c r="F417" s="21">
        <v>0.5</v>
      </c>
      <c r="G417" s="100"/>
      <c r="H417" s="21">
        <v>200</v>
      </c>
      <c r="I417" s="11">
        <f t="shared" si="14"/>
        <v>100</v>
      </c>
      <c r="J417" s="21"/>
      <c r="K417" s="21"/>
      <c r="L417" s="13">
        <f t="shared" si="13"/>
        <v>100</v>
      </c>
      <c r="M417" s="22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  <c r="BU417" s="9"/>
      <c r="BV417" s="9"/>
      <c r="BW417" s="9"/>
      <c r="BX417" s="9"/>
      <c r="BY417" s="9"/>
      <c r="BZ417" s="9"/>
      <c r="CA417" s="9"/>
      <c r="CB417" s="9"/>
      <c r="CC417" s="9"/>
      <c r="CD417" s="9"/>
      <c r="CE417" s="9"/>
      <c r="CF417" s="9"/>
      <c r="CG417" s="9"/>
      <c r="CH417" s="9"/>
      <c r="CI417" s="9"/>
      <c r="CJ417" s="9"/>
      <c r="CK417" s="9"/>
      <c r="CL417" s="9"/>
      <c r="CM417" s="9"/>
      <c r="CN417" s="9"/>
      <c r="CO417" s="9"/>
      <c r="CP417" s="9"/>
      <c r="CQ417" s="9"/>
      <c r="CR417" s="9"/>
      <c r="CS417" s="9"/>
      <c r="CT417" s="9"/>
      <c r="CU417" s="9"/>
      <c r="CV417" s="9"/>
      <c r="CW417" s="9"/>
      <c r="CX417" s="9"/>
      <c r="CY417" s="9"/>
      <c r="CZ417" s="9"/>
      <c r="DA417" s="9"/>
      <c r="DB417" s="9"/>
      <c r="DC417" s="9"/>
      <c r="DD417" s="9"/>
      <c r="DE417" s="9"/>
      <c r="DF417" s="9"/>
      <c r="DG417" s="9"/>
      <c r="DH417" s="9"/>
      <c r="DI417" s="9"/>
      <c r="DJ417" s="9"/>
      <c r="DK417" s="9"/>
      <c r="DL417" s="9"/>
      <c r="DM417" s="9"/>
      <c r="DN417" s="9"/>
      <c r="DO417" s="9"/>
      <c r="DP417" s="9"/>
      <c r="DQ417" s="9"/>
      <c r="DR417" s="9"/>
      <c r="DS417" s="9"/>
      <c r="DT417" s="9"/>
      <c r="DU417" s="9"/>
      <c r="DV417" s="9"/>
      <c r="DW417" s="9"/>
      <c r="DX417" s="9"/>
      <c r="DY417" s="9"/>
      <c r="DZ417" s="9"/>
      <c r="EA417" s="9"/>
      <c r="EB417" s="9"/>
      <c r="EC417" s="9"/>
      <c r="ED417" s="9"/>
      <c r="EE417" s="9"/>
      <c r="EF417" s="9"/>
    </row>
    <row r="418" spans="1:136" s="98" customFormat="1" ht="15.75" customHeight="1" x14ac:dyDescent="0.25">
      <c r="A418" s="93">
        <v>46226</v>
      </c>
      <c r="B418" s="94" t="s">
        <v>16</v>
      </c>
      <c r="C418" s="95">
        <v>6023</v>
      </c>
      <c r="D418" s="20"/>
      <c r="E418" s="99" t="s">
        <v>73</v>
      </c>
      <c r="F418" s="21">
        <v>4</v>
      </c>
      <c r="G418" s="100"/>
      <c r="H418" s="21">
        <v>50</v>
      </c>
      <c r="I418" s="11">
        <f t="shared" si="14"/>
        <v>200</v>
      </c>
      <c r="J418" s="21"/>
      <c r="K418" s="21"/>
      <c r="L418" s="13">
        <f t="shared" si="13"/>
        <v>200</v>
      </c>
      <c r="M418" s="22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  <c r="BU418" s="9"/>
      <c r="BV418" s="9"/>
      <c r="BW418" s="9"/>
      <c r="BX418" s="9"/>
      <c r="BY418" s="9"/>
      <c r="BZ418" s="9"/>
      <c r="CA418" s="9"/>
      <c r="CB418" s="9"/>
      <c r="CC418" s="9"/>
      <c r="CD418" s="9"/>
      <c r="CE418" s="9"/>
      <c r="CF418" s="9"/>
      <c r="CG418" s="9"/>
      <c r="CH418" s="9"/>
      <c r="CI418" s="9"/>
      <c r="CJ418" s="9"/>
      <c r="CK418" s="9"/>
      <c r="CL418" s="9"/>
      <c r="CM418" s="9"/>
      <c r="CN418" s="9"/>
      <c r="CO418" s="9"/>
      <c r="CP418" s="9"/>
      <c r="CQ418" s="9"/>
      <c r="CR418" s="9"/>
      <c r="CS418" s="9"/>
      <c r="CT418" s="9"/>
      <c r="CU418" s="9"/>
      <c r="CV418" s="9"/>
      <c r="CW418" s="9"/>
      <c r="CX418" s="9"/>
      <c r="CY418" s="9"/>
      <c r="CZ418" s="9"/>
      <c r="DA418" s="9"/>
      <c r="DB418" s="9"/>
      <c r="DC418" s="9"/>
      <c r="DD418" s="9"/>
      <c r="DE418" s="9"/>
      <c r="DF418" s="9"/>
      <c r="DG418" s="9"/>
      <c r="DH418" s="9"/>
      <c r="DI418" s="9"/>
      <c r="DJ418" s="9"/>
      <c r="DK418" s="9"/>
      <c r="DL418" s="9"/>
      <c r="DM418" s="9"/>
      <c r="DN418" s="9"/>
      <c r="DO418" s="9"/>
      <c r="DP418" s="9"/>
      <c r="DQ418" s="9"/>
      <c r="DR418" s="9"/>
      <c r="DS418" s="9"/>
      <c r="DT418" s="9"/>
      <c r="DU418" s="9"/>
      <c r="DV418" s="9"/>
      <c r="DW418" s="9"/>
      <c r="DX418" s="9"/>
      <c r="DY418" s="9"/>
      <c r="DZ418" s="9"/>
      <c r="EA418" s="9"/>
      <c r="EB418" s="9"/>
      <c r="EC418" s="9"/>
      <c r="ED418" s="9"/>
      <c r="EE418" s="9"/>
      <c r="EF418" s="9"/>
    </row>
    <row r="419" spans="1:136" s="98" customFormat="1" ht="15.75" customHeight="1" x14ac:dyDescent="0.25">
      <c r="A419" s="93">
        <v>46226</v>
      </c>
      <c r="B419" s="94" t="s">
        <v>16</v>
      </c>
      <c r="C419" s="95">
        <v>6023</v>
      </c>
      <c r="D419" s="20"/>
      <c r="E419" s="99" t="s">
        <v>120</v>
      </c>
      <c r="F419" s="21">
        <v>4</v>
      </c>
      <c r="G419" s="100"/>
      <c r="H419" s="21">
        <v>120</v>
      </c>
      <c r="I419" s="11">
        <f t="shared" si="14"/>
        <v>480</v>
      </c>
      <c r="J419" s="21"/>
      <c r="K419" s="21"/>
      <c r="L419" s="13">
        <f t="shared" si="13"/>
        <v>480</v>
      </c>
      <c r="M419" s="22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  <c r="BU419" s="9"/>
      <c r="BV419" s="9"/>
      <c r="BW419" s="9"/>
      <c r="BX419" s="9"/>
      <c r="BY419" s="9"/>
      <c r="BZ419" s="9"/>
      <c r="CA419" s="9"/>
      <c r="CB419" s="9"/>
      <c r="CC419" s="9"/>
      <c r="CD419" s="9"/>
      <c r="CE419" s="9"/>
      <c r="CF419" s="9"/>
      <c r="CG419" s="9"/>
      <c r="CH419" s="9"/>
      <c r="CI419" s="9"/>
      <c r="CJ419" s="9"/>
      <c r="CK419" s="9"/>
      <c r="CL419" s="9"/>
      <c r="CM419" s="9"/>
      <c r="CN419" s="9"/>
      <c r="CO419" s="9"/>
      <c r="CP419" s="9"/>
      <c r="CQ419" s="9"/>
      <c r="CR419" s="9"/>
      <c r="CS419" s="9"/>
      <c r="CT419" s="9"/>
      <c r="CU419" s="9"/>
      <c r="CV419" s="9"/>
      <c r="CW419" s="9"/>
      <c r="CX419" s="9"/>
      <c r="CY419" s="9"/>
      <c r="CZ419" s="9"/>
      <c r="DA419" s="9"/>
      <c r="DB419" s="9"/>
      <c r="DC419" s="9"/>
      <c r="DD419" s="9"/>
      <c r="DE419" s="9"/>
      <c r="DF419" s="9"/>
      <c r="DG419" s="9"/>
      <c r="DH419" s="9"/>
      <c r="DI419" s="9"/>
      <c r="DJ419" s="9"/>
      <c r="DK419" s="9"/>
      <c r="DL419" s="9"/>
      <c r="DM419" s="9"/>
      <c r="DN419" s="9"/>
      <c r="DO419" s="9"/>
      <c r="DP419" s="9"/>
      <c r="DQ419" s="9"/>
      <c r="DR419" s="9"/>
      <c r="DS419" s="9"/>
      <c r="DT419" s="9"/>
      <c r="DU419" s="9"/>
      <c r="DV419" s="9"/>
      <c r="DW419" s="9"/>
      <c r="DX419" s="9"/>
      <c r="DY419" s="9"/>
      <c r="DZ419" s="9"/>
      <c r="EA419" s="9"/>
      <c r="EB419" s="9"/>
      <c r="EC419" s="9"/>
      <c r="ED419" s="9"/>
      <c r="EE419" s="9"/>
      <c r="EF419" s="9"/>
    </row>
    <row r="420" spans="1:136" s="98" customFormat="1" ht="15.75" customHeight="1" x14ac:dyDescent="0.25">
      <c r="A420" s="93">
        <v>46226</v>
      </c>
      <c r="B420" s="94" t="s">
        <v>16</v>
      </c>
      <c r="C420" s="95">
        <v>6023</v>
      </c>
      <c r="D420" s="20"/>
      <c r="E420" s="99" t="s">
        <v>25</v>
      </c>
      <c r="F420" s="21">
        <v>1</v>
      </c>
      <c r="G420" s="100"/>
      <c r="H420" s="21">
        <v>60</v>
      </c>
      <c r="I420" s="11">
        <f t="shared" si="14"/>
        <v>60</v>
      </c>
      <c r="J420" s="21"/>
      <c r="K420" s="21"/>
      <c r="L420" s="13">
        <f t="shared" si="13"/>
        <v>60</v>
      </c>
      <c r="M420" s="22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  <c r="BU420" s="9"/>
      <c r="BV420" s="9"/>
      <c r="BW420" s="9"/>
      <c r="BX420" s="9"/>
      <c r="BY420" s="9"/>
      <c r="BZ420" s="9"/>
      <c r="CA420" s="9"/>
      <c r="CB420" s="9"/>
      <c r="CC420" s="9"/>
      <c r="CD420" s="9"/>
      <c r="CE420" s="9"/>
      <c r="CF420" s="9"/>
      <c r="CG420" s="9"/>
      <c r="CH420" s="9"/>
      <c r="CI420" s="9"/>
      <c r="CJ420" s="9"/>
      <c r="CK420" s="9"/>
      <c r="CL420" s="9"/>
      <c r="CM420" s="9"/>
      <c r="CN420" s="9"/>
      <c r="CO420" s="9"/>
      <c r="CP420" s="9"/>
      <c r="CQ420" s="9"/>
      <c r="CR420" s="9"/>
      <c r="CS420" s="9"/>
      <c r="CT420" s="9"/>
      <c r="CU420" s="9"/>
      <c r="CV420" s="9"/>
      <c r="CW420" s="9"/>
      <c r="CX420" s="9"/>
      <c r="CY420" s="9"/>
      <c r="CZ420" s="9"/>
      <c r="DA420" s="9"/>
      <c r="DB420" s="9"/>
      <c r="DC420" s="9"/>
      <c r="DD420" s="9"/>
      <c r="DE420" s="9"/>
      <c r="DF420" s="9"/>
      <c r="DG420" s="9"/>
      <c r="DH420" s="9"/>
      <c r="DI420" s="9"/>
      <c r="DJ420" s="9"/>
      <c r="DK420" s="9"/>
      <c r="DL420" s="9"/>
      <c r="DM420" s="9"/>
      <c r="DN420" s="9"/>
      <c r="DO420" s="9"/>
      <c r="DP420" s="9"/>
      <c r="DQ420" s="9"/>
      <c r="DR420" s="9"/>
      <c r="DS420" s="9"/>
      <c r="DT420" s="9"/>
      <c r="DU420" s="9"/>
      <c r="DV420" s="9"/>
      <c r="DW420" s="9"/>
      <c r="DX420" s="9"/>
      <c r="DY420" s="9"/>
      <c r="DZ420" s="9"/>
      <c r="EA420" s="9"/>
      <c r="EB420" s="9"/>
      <c r="EC420" s="9"/>
      <c r="ED420" s="9"/>
      <c r="EE420" s="9"/>
      <c r="EF420" s="9"/>
    </row>
    <row r="421" spans="1:136" s="98" customFormat="1" ht="15.75" customHeight="1" x14ac:dyDescent="0.25">
      <c r="A421" s="93">
        <v>46226</v>
      </c>
      <c r="B421" s="94" t="s">
        <v>16</v>
      </c>
      <c r="C421" s="95">
        <v>6023</v>
      </c>
      <c r="D421" s="20"/>
      <c r="E421" s="99" t="s">
        <v>123</v>
      </c>
      <c r="F421" s="21">
        <f>111/80</f>
        <v>1.3875</v>
      </c>
      <c r="G421" s="100"/>
      <c r="H421" s="21">
        <v>80</v>
      </c>
      <c r="I421" s="11">
        <f t="shared" si="14"/>
        <v>111</v>
      </c>
      <c r="J421" s="21"/>
      <c r="K421" s="21"/>
      <c r="L421" s="13">
        <f t="shared" si="13"/>
        <v>111</v>
      </c>
      <c r="M421" s="22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  <c r="BU421" s="9"/>
      <c r="BV421" s="9"/>
      <c r="BW421" s="9"/>
      <c r="BX421" s="9"/>
      <c r="BY421" s="9"/>
      <c r="BZ421" s="9"/>
      <c r="CA421" s="9"/>
      <c r="CB421" s="9"/>
      <c r="CC421" s="9"/>
      <c r="CD421" s="9"/>
      <c r="CE421" s="9"/>
      <c r="CF421" s="9"/>
      <c r="CG421" s="9"/>
      <c r="CH421" s="9"/>
      <c r="CI421" s="9"/>
      <c r="CJ421" s="9"/>
      <c r="CK421" s="9"/>
      <c r="CL421" s="9"/>
      <c r="CM421" s="9"/>
      <c r="CN421" s="9"/>
      <c r="CO421" s="9"/>
      <c r="CP421" s="9"/>
      <c r="CQ421" s="9"/>
      <c r="CR421" s="9"/>
      <c r="CS421" s="9"/>
      <c r="CT421" s="9"/>
      <c r="CU421" s="9"/>
      <c r="CV421" s="9"/>
      <c r="CW421" s="9"/>
      <c r="CX421" s="9"/>
      <c r="CY421" s="9"/>
      <c r="CZ421" s="9"/>
      <c r="DA421" s="9"/>
      <c r="DB421" s="9"/>
      <c r="DC421" s="9"/>
      <c r="DD421" s="9"/>
      <c r="DE421" s="9"/>
      <c r="DF421" s="9"/>
      <c r="DG421" s="9"/>
      <c r="DH421" s="9"/>
      <c r="DI421" s="9"/>
      <c r="DJ421" s="9"/>
      <c r="DK421" s="9"/>
      <c r="DL421" s="9"/>
      <c r="DM421" s="9"/>
      <c r="DN421" s="9"/>
      <c r="DO421" s="9"/>
      <c r="DP421" s="9"/>
      <c r="DQ421" s="9"/>
      <c r="DR421" s="9"/>
      <c r="DS421" s="9"/>
      <c r="DT421" s="9"/>
      <c r="DU421" s="9"/>
      <c r="DV421" s="9"/>
      <c r="DW421" s="9"/>
      <c r="DX421" s="9"/>
      <c r="DY421" s="9"/>
      <c r="DZ421" s="9"/>
      <c r="EA421" s="9"/>
      <c r="EB421" s="9"/>
      <c r="EC421" s="9"/>
      <c r="ED421" s="9"/>
      <c r="EE421" s="9"/>
      <c r="EF421" s="9"/>
    </row>
    <row r="422" spans="1:136" s="98" customFormat="1" ht="15.75" customHeight="1" x14ac:dyDescent="0.25">
      <c r="A422" s="93">
        <v>46226</v>
      </c>
      <c r="B422" s="94" t="s">
        <v>16</v>
      </c>
      <c r="C422" s="95">
        <v>6023</v>
      </c>
      <c r="D422" s="20"/>
      <c r="E422" s="99" t="s">
        <v>34</v>
      </c>
      <c r="F422" s="21">
        <f>33/30</f>
        <v>1.1000000000000001</v>
      </c>
      <c r="G422" s="100"/>
      <c r="H422" s="21">
        <v>30</v>
      </c>
      <c r="I422" s="11">
        <f t="shared" si="14"/>
        <v>33</v>
      </c>
      <c r="J422" s="21"/>
      <c r="K422" s="21"/>
      <c r="L422" s="13">
        <f t="shared" si="13"/>
        <v>33</v>
      </c>
      <c r="M422" s="22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  <c r="BU422" s="9"/>
      <c r="BV422" s="9"/>
      <c r="BW422" s="9"/>
      <c r="BX422" s="9"/>
      <c r="BY422" s="9"/>
      <c r="BZ422" s="9"/>
      <c r="CA422" s="9"/>
      <c r="CB422" s="9"/>
      <c r="CC422" s="9"/>
      <c r="CD422" s="9"/>
      <c r="CE422" s="9"/>
      <c r="CF422" s="9"/>
      <c r="CG422" s="9"/>
      <c r="CH422" s="9"/>
      <c r="CI422" s="9"/>
      <c r="CJ422" s="9"/>
      <c r="CK422" s="9"/>
      <c r="CL422" s="9"/>
      <c r="CM422" s="9"/>
      <c r="CN422" s="9"/>
      <c r="CO422" s="9"/>
      <c r="CP422" s="9"/>
      <c r="CQ422" s="9"/>
      <c r="CR422" s="9"/>
      <c r="CS422" s="9"/>
      <c r="CT422" s="9"/>
      <c r="CU422" s="9"/>
      <c r="CV422" s="9"/>
      <c r="CW422" s="9"/>
      <c r="CX422" s="9"/>
      <c r="CY422" s="9"/>
      <c r="CZ422" s="9"/>
      <c r="DA422" s="9"/>
      <c r="DB422" s="9"/>
      <c r="DC422" s="9"/>
      <c r="DD422" s="9"/>
      <c r="DE422" s="9"/>
      <c r="DF422" s="9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</row>
    <row r="423" spans="1:136" s="98" customFormat="1" ht="15.75" customHeight="1" x14ac:dyDescent="0.25">
      <c r="A423" s="93">
        <v>46226</v>
      </c>
      <c r="B423" s="94" t="s">
        <v>16</v>
      </c>
      <c r="C423" s="95">
        <v>6023</v>
      </c>
      <c r="D423" s="20"/>
      <c r="E423" s="99" t="s">
        <v>71</v>
      </c>
      <c r="F423" s="21">
        <v>1</v>
      </c>
      <c r="G423" s="100"/>
      <c r="H423" s="21">
        <v>70</v>
      </c>
      <c r="I423" s="11">
        <f>F423*H423</f>
        <v>70</v>
      </c>
      <c r="J423" s="21"/>
      <c r="K423" s="21"/>
      <c r="L423" s="13">
        <f t="shared" si="13"/>
        <v>70</v>
      </c>
      <c r="M423" s="22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  <c r="BU423" s="9"/>
      <c r="BV423" s="9"/>
      <c r="BW423" s="9"/>
      <c r="BX423" s="9"/>
      <c r="BY423" s="9"/>
      <c r="BZ423" s="9"/>
      <c r="CA423" s="9"/>
      <c r="CB423" s="9"/>
      <c r="CC423" s="9"/>
      <c r="CD423" s="9"/>
      <c r="CE423" s="9"/>
      <c r="CF423" s="9"/>
      <c r="CG423" s="9"/>
      <c r="CH423" s="9"/>
      <c r="CI423" s="9"/>
      <c r="CJ423" s="9"/>
      <c r="CK423" s="9"/>
      <c r="CL423" s="9"/>
      <c r="CM423" s="9"/>
      <c r="CN423" s="9"/>
      <c r="CO423" s="9"/>
      <c r="CP423" s="9"/>
      <c r="CQ423" s="9"/>
      <c r="CR423" s="9"/>
      <c r="CS423" s="9"/>
      <c r="CT423" s="9"/>
      <c r="CU423" s="9"/>
      <c r="CV423" s="9"/>
      <c r="CW423" s="9"/>
      <c r="CX423" s="9"/>
      <c r="CY423" s="9"/>
      <c r="CZ423" s="9"/>
      <c r="DA423" s="9"/>
      <c r="DB423" s="9"/>
      <c r="DC423" s="9"/>
      <c r="DD423" s="9"/>
      <c r="DE423" s="9"/>
      <c r="DF423" s="9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</row>
    <row r="424" spans="1:136" s="98" customFormat="1" ht="15.75" customHeight="1" x14ac:dyDescent="0.25">
      <c r="A424" s="93">
        <v>46226</v>
      </c>
      <c r="B424" s="94" t="s">
        <v>16</v>
      </c>
      <c r="C424" s="95">
        <v>6023</v>
      </c>
      <c r="D424" s="20"/>
      <c r="E424" s="99" t="s">
        <v>151</v>
      </c>
      <c r="F424" s="21">
        <v>1</v>
      </c>
      <c r="G424" s="100"/>
      <c r="H424" s="21">
        <v>50</v>
      </c>
      <c r="I424" s="11">
        <f t="shared" si="14"/>
        <v>50</v>
      </c>
      <c r="J424" s="21"/>
      <c r="K424" s="21"/>
      <c r="L424" s="13">
        <f t="shared" ref="L424:L448" si="17">I424-J424-K424</f>
        <v>50</v>
      </c>
      <c r="M424" s="22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  <c r="BU424" s="9"/>
      <c r="BV424" s="9"/>
      <c r="BW424" s="9"/>
      <c r="BX424" s="9"/>
      <c r="BY424" s="9"/>
      <c r="BZ424" s="9"/>
      <c r="CA424" s="9"/>
      <c r="CB424" s="9"/>
      <c r="CC424" s="9"/>
      <c r="CD424" s="9"/>
      <c r="CE424" s="9"/>
      <c r="CF424" s="9"/>
      <c r="CG424" s="9"/>
      <c r="CH424" s="9"/>
      <c r="CI424" s="9"/>
      <c r="CJ424" s="9"/>
      <c r="CK424" s="9"/>
      <c r="CL424" s="9"/>
      <c r="CM424" s="9"/>
      <c r="CN424" s="9"/>
      <c r="CO424" s="9"/>
      <c r="CP424" s="9"/>
      <c r="CQ424" s="9"/>
      <c r="CR424" s="9"/>
      <c r="CS424" s="9"/>
      <c r="CT424" s="9"/>
      <c r="CU424" s="9"/>
      <c r="CV424" s="9"/>
      <c r="CW424" s="9"/>
      <c r="CX424" s="9"/>
      <c r="CY424" s="9"/>
      <c r="CZ424" s="9"/>
      <c r="DA424" s="9"/>
      <c r="DB424" s="9"/>
      <c r="DC424" s="9"/>
      <c r="DD424" s="9"/>
      <c r="DE424" s="9"/>
      <c r="DF424" s="9"/>
      <c r="DG424" s="9"/>
      <c r="DH424" s="9"/>
      <c r="DI424" s="9"/>
      <c r="DJ424" s="9"/>
      <c r="DK424" s="9"/>
      <c r="DL424" s="9"/>
      <c r="DM424" s="9"/>
      <c r="DN424" s="9"/>
      <c r="DO424" s="9"/>
      <c r="DP424" s="9"/>
      <c r="DQ424" s="9"/>
      <c r="DR424" s="9"/>
      <c r="DS424" s="9"/>
      <c r="DT424" s="9"/>
      <c r="DU424" s="9"/>
      <c r="DV424" s="9"/>
      <c r="DW424" s="9"/>
      <c r="DX424" s="9"/>
      <c r="DY424" s="9"/>
      <c r="DZ424" s="9"/>
      <c r="EA424" s="9"/>
      <c r="EB424" s="9"/>
      <c r="EC424" s="9"/>
      <c r="ED424" s="9"/>
      <c r="EE424" s="9"/>
      <c r="EF424" s="9"/>
    </row>
    <row r="425" spans="1:136" s="98" customFormat="1" ht="15.75" customHeight="1" x14ac:dyDescent="0.25">
      <c r="A425" s="93">
        <v>46226</v>
      </c>
      <c r="B425" s="94" t="s">
        <v>16</v>
      </c>
      <c r="C425" s="95">
        <v>6023</v>
      </c>
      <c r="D425" s="20"/>
      <c r="E425" s="99" t="s">
        <v>153</v>
      </c>
      <c r="F425" s="21">
        <v>0.25</v>
      </c>
      <c r="G425" s="100"/>
      <c r="H425" s="21">
        <v>100</v>
      </c>
      <c r="I425" s="11">
        <f t="shared" si="14"/>
        <v>25</v>
      </c>
      <c r="J425" s="21"/>
      <c r="K425" s="21"/>
      <c r="L425" s="13">
        <f t="shared" si="17"/>
        <v>25</v>
      </c>
      <c r="M425" s="22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  <c r="BU425" s="9"/>
      <c r="BV425" s="9"/>
      <c r="BW425" s="9"/>
      <c r="BX425" s="9"/>
      <c r="BY425" s="9"/>
      <c r="BZ425" s="9"/>
      <c r="CA425" s="9"/>
      <c r="CB425" s="9"/>
      <c r="CC425" s="9"/>
      <c r="CD425" s="9"/>
      <c r="CE425" s="9"/>
      <c r="CF425" s="9"/>
      <c r="CG425" s="9"/>
      <c r="CH425" s="9"/>
      <c r="CI425" s="9"/>
      <c r="CJ425" s="9"/>
      <c r="CK425" s="9"/>
      <c r="CL425" s="9"/>
      <c r="CM425" s="9"/>
      <c r="CN425" s="9"/>
      <c r="CO425" s="9"/>
      <c r="CP425" s="9"/>
      <c r="CQ425" s="9"/>
      <c r="CR425" s="9"/>
      <c r="CS425" s="9"/>
      <c r="CT425" s="9"/>
      <c r="CU425" s="9"/>
      <c r="CV425" s="9"/>
      <c r="CW425" s="9"/>
      <c r="CX425" s="9"/>
      <c r="CY425" s="9"/>
      <c r="CZ425" s="9"/>
      <c r="DA425" s="9"/>
      <c r="DB425" s="9"/>
      <c r="DC425" s="9"/>
      <c r="DD425" s="9"/>
      <c r="DE425" s="9"/>
      <c r="DF425" s="9"/>
      <c r="DG425" s="9"/>
      <c r="DH425" s="9"/>
      <c r="DI425" s="9"/>
      <c r="DJ425" s="9"/>
      <c r="DK425" s="9"/>
      <c r="DL425" s="9"/>
      <c r="DM425" s="9"/>
      <c r="DN425" s="9"/>
      <c r="DO425" s="9"/>
      <c r="DP425" s="9"/>
      <c r="DQ425" s="9"/>
      <c r="DR425" s="9"/>
      <c r="DS425" s="9"/>
      <c r="DT425" s="9"/>
      <c r="DU425" s="9"/>
      <c r="DV425" s="9"/>
      <c r="DW425" s="9"/>
      <c r="DX425" s="9"/>
      <c r="DY425" s="9"/>
      <c r="DZ425" s="9"/>
      <c r="EA425" s="9"/>
      <c r="EB425" s="9"/>
      <c r="EC425" s="9"/>
      <c r="ED425" s="9"/>
      <c r="EE425" s="9"/>
      <c r="EF425" s="9"/>
    </row>
    <row r="426" spans="1:136" s="98" customFormat="1" ht="15.75" customHeight="1" x14ac:dyDescent="0.25">
      <c r="A426" s="93">
        <v>46226</v>
      </c>
      <c r="B426" s="94" t="s">
        <v>16</v>
      </c>
      <c r="C426" s="95">
        <v>6023</v>
      </c>
      <c r="D426" s="20"/>
      <c r="E426" s="99" t="s">
        <v>38</v>
      </c>
      <c r="F426" s="21">
        <v>1</v>
      </c>
      <c r="G426" s="100"/>
      <c r="H426" s="21">
        <v>120</v>
      </c>
      <c r="I426" s="11">
        <f t="shared" si="14"/>
        <v>120</v>
      </c>
      <c r="J426" s="21"/>
      <c r="K426" s="21"/>
      <c r="L426" s="13">
        <f t="shared" si="17"/>
        <v>120</v>
      </c>
      <c r="M426" s="22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  <c r="BU426" s="9"/>
      <c r="BV426" s="9"/>
      <c r="BW426" s="9"/>
      <c r="BX426" s="9"/>
      <c r="BY426" s="9"/>
      <c r="BZ426" s="9"/>
      <c r="CA426" s="9"/>
      <c r="CB426" s="9"/>
      <c r="CC426" s="9"/>
      <c r="CD426" s="9"/>
      <c r="CE426" s="9"/>
      <c r="CF426" s="9"/>
      <c r="CG426" s="9"/>
      <c r="CH426" s="9"/>
      <c r="CI426" s="9"/>
      <c r="CJ426" s="9"/>
      <c r="CK426" s="9"/>
      <c r="CL426" s="9"/>
      <c r="CM426" s="9"/>
      <c r="CN426" s="9"/>
      <c r="CO426" s="9"/>
      <c r="CP426" s="9"/>
      <c r="CQ426" s="9"/>
      <c r="CR426" s="9"/>
      <c r="CS426" s="9"/>
      <c r="CT426" s="9"/>
      <c r="CU426" s="9"/>
      <c r="CV426" s="9"/>
      <c r="CW426" s="9"/>
      <c r="CX426" s="9"/>
      <c r="CY426" s="9"/>
      <c r="CZ426" s="9"/>
      <c r="DA426" s="9"/>
      <c r="DB426" s="9"/>
      <c r="DC426" s="9"/>
      <c r="DD426" s="9"/>
      <c r="DE426" s="9"/>
      <c r="DF426" s="9"/>
      <c r="DG426" s="9"/>
      <c r="DH426" s="9"/>
      <c r="DI426" s="9"/>
      <c r="DJ426" s="9"/>
      <c r="DK426" s="9"/>
      <c r="DL426" s="9"/>
      <c r="DM426" s="9"/>
      <c r="DN426" s="9"/>
      <c r="DO426" s="9"/>
      <c r="DP426" s="9"/>
      <c r="DQ426" s="9"/>
      <c r="DR426" s="9"/>
      <c r="DS426" s="9"/>
      <c r="DT426" s="9"/>
      <c r="DU426" s="9"/>
      <c r="DV426" s="9"/>
      <c r="DW426" s="9"/>
      <c r="DX426" s="9"/>
      <c r="DY426" s="9"/>
      <c r="DZ426" s="9"/>
      <c r="EA426" s="9"/>
      <c r="EB426" s="9"/>
      <c r="EC426" s="9"/>
      <c r="ED426" s="9"/>
      <c r="EE426" s="9"/>
      <c r="EF426" s="9"/>
    </row>
    <row r="427" spans="1:136" s="98" customFormat="1" ht="15.75" customHeight="1" x14ac:dyDescent="0.25">
      <c r="A427" s="93">
        <v>46226</v>
      </c>
      <c r="B427" s="94" t="s">
        <v>16</v>
      </c>
      <c r="C427" s="95">
        <v>6023</v>
      </c>
      <c r="D427" s="20"/>
      <c r="E427" s="99" t="s">
        <v>32</v>
      </c>
      <c r="F427" s="21">
        <v>1</v>
      </c>
      <c r="G427" s="100"/>
      <c r="H427" s="21">
        <v>80</v>
      </c>
      <c r="I427" s="11">
        <f t="shared" si="14"/>
        <v>80</v>
      </c>
      <c r="J427" s="21"/>
      <c r="K427" s="21"/>
      <c r="L427" s="13">
        <f t="shared" si="17"/>
        <v>80</v>
      </c>
      <c r="M427" s="22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  <c r="BU427" s="9"/>
      <c r="BV427" s="9"/>
      <c r="BW427" s="9"/>
      <c r="BX427" s="9"/>
      <c r="BY427" s="9"/>
      <c r="BZ427" s="9"/>
      <c r="CA427" s="9"/>
      <c r="CB427" s="9"/>
      <c r="CC427" s="9"/>
      <c r="CD427" s="9"/>
      <c r="CE427" s="9"/>
      <c r="CF427" s="9"/>
      <c r="CG427" s="9"/>
      <c r="CH427" s="9"/>
      <c r="CI427" s="9"/>
      <c r="CJ427" s="9"/>
      <c r="CK427" s="9"/>
      <c r="CL427" s="9"/>
      <c r="CM427" s="9"/>
      <c r="CN427" s="9"/>
      <c r="CO427" s="9"/>
      <c r="CP427" s="9"/>
      <c r="CQ427" s="9"/>
      <c r="CR427" s="9"/>
      <c r="CS427" s="9"/>
      <c r="CT427" s="9"/>
      <c r="CU427" s="9"/>
      <c r="CV427" s="9"/>
      <c r="CW427" s="9"/>
      <c r="CX427" s="9"/>
      <c r="CY427" s="9"/>
      <c r="CZ427" s="9"/>
      <c r="DA427" s="9"/>
      <c r="DB427" s="9"/>
      <c r="DC427" s="9"/>
      <c r="DD427" s="9"/>
      <c r="DE427" s="9"/>
      <c r="DF427" s="9"/>
      <c r="DG427" s="9"/>
      <c r="DH427" s="9"/>
      <c r="DI427" s="9"/>
      <c r="DJ427" s="9"/>
      <c r="DK427" s="9"/>
      <c r="DL427" s="9"/>
      <c r="DM427" s="9"/>
      <c r="DN427" s="9"/>
      <c r="DO427" s="9"/>
      <c r="DP427" s="9"/>
      <c r="DQ427" s="9"/>
      <c r="DR427" s="9"/>
      <c r="DS427" s="9"/>
      <c r="DT427" s="9"/>
      <c r="DU427" s="9"/>
      <c r="DV427" s="9"/>
      <c r="DW427" s="9"/>
      <c r="DX427" s="9"/>
      <c r="DY427" s="9"/>
      <c r="DZ427" s="9"/>
      <c r="EA427" s="9"/>
      <c r="EB427" s="9"/>
      <c r="EC427" s="9"/>
      <c r="ED427" s="9"/>
      <c r="EE427" s="9"/>
      <c r="EF427" s="9"/>
    </row>
    <row r="428" spans="1:136" s="98" customFormat="1" ht="15.75" customHeight="1" x14ac:dyDescent="0.25">
      <c r="A428" s="93">
        <v>46226</v>
      </c>
      <c r="B428" s="94" t="s">
        <v>16</v>
      </c>
      <c r="C428" s="95">
        <v>6023</v>
      </c>
      <c r="D428" s="20"/>
      <c r="E428" s="99" t="s">
        <v>230</v>
      </c>
      <c r="F428" s="21">
        <v>1</v>
      </c>
      <c r="G428" s="100"/>
      <c r="H428" s="21">
        <v>25</v>
      </c>
      <c r="I428" s="11">
        <f t="shared" si="14"/>
        <v>25</v>
      </c>
      <c r="J428" s="21"/>
      <c r="K428" s="21"/>
      <c r="L428" s="13">
        <f t="shared" si="17"/>
        <v>25</v>
      </c>
      <c r="M428" s="22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  <c r="BU428" s="9"/>
      <c r="BV428" s="9"/>
      <c r="BW428" s="9"/>
      <c r="BX428" s="9"/>
      <c r="BY428" s="9"/>
      <c r="BZ428" s="9"/>
      <c r="CA428" s="9"/>
      <c r="CB428" s="9"/>
      <c r="CC428" s="9"/>
      <c r="CD428" s="9"/>
      <c r="CE428" s="9"/>
      <c r="CF428" s="9"/>
      <c r="CG428" s="9"/>
      <c r="CH428" s="9"/>
      <c r="CI428" s="9"/>
      <c r="CJ428" s="9"/>
      <c r="CK428" s="9"/>
      <c r="CL428" s="9"/>
      <c r="CM428" s="9"/>
      <c r="CN428" s="9"/>
      <c r="CO428" s="9"/>
      <c r="CP428" s="9"/>
      <c r="CQ428" s="9"/>
      <c r="CR428" s="9"/>
      <c r="CS428" s="9"/>
      <c r="CT428" s="9"/>
      <c r="CU428" s="9"/>
      <c r="CV428" s="9"/>
      <c r="CW428" s="9"/>
      <c r="CX428" s="9"/>
      <c r="CY428" s="9"/>
      <c r="CZ428" s="9"/>
      <c r="DA428" s="9"/>
      <c r="DB428" s="9"/>
      <c r="DC428" s="9"/>
      <c r="DD428" s="9"/>
      <c r="DE428" s="9"/>
      <c r="DF428" s="9"/>
      <c r="DG428" s="9"/>
      <c r="DH428" s="9"/>
      <c r="DI428" s="9"/>
      <c r="DJ428" s="9"/>
      <c r="DK428" s="9"/>
      <c r="DL428" s="9"/>
      <c r="DM428" s="9"/>
      <c r="DN428" s="9"/>
      <c r="DO428" s="9"/>
      <c r="DP428" s="9"/>
      <c r="DQ428" s="9"/>
      <c r="DR428" s="9"/>
      <c r="DS428" s="9"/>
      <c r="DT428" s="9"/>
      <c r="DU428" s="9"/>
      <c r="DV428" s="9"/>
      <c r="DW428" s="9"/>
      <c r="DX428" s="9"/>
      <c r="DY428" s="9"/>
      <c r="DZ428" s="9"/>
      <c r="EA428" s="9"/>
      <c r="EB428" s="9"/>
      <c r="EC428" s="9"/>
      <c r="ED428" s="9"/>
      <c r="EE428" s="9"/>
      <c r="EF428" s="9"/>
    </row>
    <row r="429" spans="1:136" s="98" customFormat="1" ht="15.75" customHeight="1" x14ac:dyDescent="0.25">
      <c r="A429" s="93">
        <v>46226</v>
      </c>
      <c r="B429" s="94" t="s">
        <v>16</v>
      </c>
      <c r="C429" s="95">
        <v>6023</v>
      </c>
      <c r="D429" s="20"/>
      <c r="E429" s="99" t="s">
        <v>43</v>
      </c>
      <c r="F429" s="21">
        <v>10</v>
      </c>
      <c r="G429" s="100"/>
      <c r="H429" s="21">
        <v>11</v>
      </c>
      <c r="I429" s="11">
        <f t="shared" si="14"/>
        <v>110</v>
      </c>
      <c r="J429" s="21"/>
      <c r="K429" s="21"/>
      <c r="L429" s="13">
        <f t="shared" si="17"/>
        <v>110</v>
      </c>
      <c r="M429" s="22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  <c r="BU429" s="9"/>
      <c r="BV429" s="9"/>
      <c r="BW429" s="9"/>
      <c r="BX429" s="9"/>
      <c r="BY429" s="9"/>
      <c r="BZ429" s="9"/>
      <c r="CA429" s="9"/>
      <c r="CB429" s="9"/>
      <c r="CC429" s="9"/>
      <c r="CD429" s="9"/>
      <c r="CE429" s="9"/>
      <c r="CF429" s="9"/>
      <c r="CG429" s="9"/>
      <c r="CH429" s="9"/>
      <c r="CI429" s="9"/>
      <c r="CJ429" s="9"/>
      <c r="CK429" s="9"/>
      <c r="CL429" s="9"/>
      <c r="CM429" s="9"/>
      <c r="CN429" s="9"/>
      <c r="CO429" s="9"/>
      <c r="CP429" s="9"/>
      <c r="CQ429" s="9"/>
      <c r="CR429" s="9"/>
      <c r="CS429" s="9"/>
      <c r="CT429" s="9"/>
      <c r="CU429" s="9"/>
      <c r="CV429" s="9"/>
      <c r="CW429" s="9"/>
      <c r="CX429" s="9"/>
      <c r="CY429" s="9"/>
      <c r="CZ429" s="9"/>
      <c r="DA429" s="9"/>
      <c r="DB429" s="9"/>
      <c r="DC429" s="9"/>
      <c r="DD429" s="9"/>
      <c r="DE429" s="9"/>
      <c r="DF429" s="9"/>
      <c r="DG429" s="9"/>
      <c r="DH429" s="9"/>
      <c r="DI429" s="9"/>
      <c r="DJ429" s="9"/>
      <c r="DK429" s="9"/>
      <c r="DL429" s="9"/>
      <c r="DM429" s="9"/>
      <c r="DN429" s="9"/>
      <c r="DO429" s="9"/>
      <c r="DP429" s="9"/>
      <c r="DQ429" s="9"/>
      <c r="DR429" s="9"/>
      <c r="DS429" s="9"/>
      <c r="DT429" s="9"/>
      <c r="DU429" s="9"/>
      <c r="DV429" s="9"/>
      <c r="DW429" s="9"/>
      <c r="DX429" s="9"/>
      <c r="DY429" s="9"/>
      <c r="DZ429" s="9"/>
      <c r="EA429" s="9"/>
      <c r="EB429" s="9"/>
      <c r="EC429" s="9"/>
      <c r="ED429" s="9"/>
      <c r="EE429" s="9"/>
      <c r="EF429" s="9"/>
    </row>
    <row r="430" spans="1:136" s="98" customFormat="1" ht="15.75" customHeight="1" x14ac:dyDescent="0.25">
      <c r="A430" s="93">
        <v>46226</v>
      </c>
      <c r="B430" s="94" t="s">
        <v>16</v>
      </c>
      <c r="C430" s="95">
        <v>6023</v>
      </c>
      <c r="D430" s="20"/>
      <c r="E430" s="99" t="s">
        <v>41</v>
      </c>
      <c r="F430" s="21">
        <v>1</v>
      </c>
      <c r="G430" s="100"/>
      <c r="H430" s="21">
        <v>160</v>
      </c>
      <c r="I430" s="11">
        <f t="shared" si="14"/>
        <v>160</v>
      </c>
      <c r="J430" s="21"/>
      <c r="K430" s="21"/>
      <c r="L430" s="13">
        <f t="shared" si="17"/>
        <v>160</v>
      </c>
      <c r="M430" s="22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  <c r="BU430" s="9"/>
      <c r="BV430" s="9"/>
      <c r="BW430" s="9"/>
      <c r="BX430" s="9"/>
      <c r="BY430" s="9"/>
      <c r="BZ430" s="9"/>
      <c r="CA430" s="9"/>
      <c r="CB430" s="9"/>
      <c r="CC430" s="9"/>
      <c r="CD430" s="9"/>
      <c r="CE430" s="9"/>
      <c r="CF430" s="9"/>
      <c r="CG430" s="9"/>
      <c r="CH430" s="9"/>
      <c r="CI430" s="9"/>
      <c r="CJ430" s="9"/>
      <c r="CK430" s="9"/>
      <c r="CL430" s="9"/>
      <c r="CM430" s="9"/>
      <c r="CN430" s="9"/>
      <c r="CO430" s="9"/>
      <c r="CP430" s="9"/>
      <c r="CQ430" s="9"/>
      <c r="CR430" s="9"/>
      <c r="CS430" s="9"/>
      <c r="CT430" s="9"/>
      <c r="CU430" s="9"/>
      <c r="CV430" s="9"/>
      <c r="CW430" s="9"/>
      <c r="CX430" s="9"/>
      <c r="CY430" s="9"/>
      <c r="CZ430" s="9"/>
      <c r="DA430" s="9"/>
      <c r="DB430" s="9"/>
      <c r="DC430" s="9"/>
      <c r="DD430" s="9"/>
      <c r="DE430" s="9"/>
      <c r="DF430" s="9"/>
      <c r="DG430" s="9"/>
      <c r="DH430" s="9"/>
      <c r="DI430" s="9"/>
      <c r="DJ430" s="9"/>
      <c r="DK430" s="9"/>
      <c r="DL430" s="9"/>
      <c r="DM430" s="9"/>
      <c r="DN430" s="9"/>
      <c r="DO430" s="9"/>
      <c r="DP430" s="9"/>
      <c r="DQ430" s="9"/>
      <c r="DR430" s="9"/>
      <c r="DS430" s="9"/>
      <c r="DT430" s="9"/>
      <c r="DU430" s="9"/>
      <c r="DV430" s="9"/>
      <c r="DW430" s="9"/>
      <c r="DX430" s="9"/>
      <c r="DY430" s="9"/>
      <c r="DZ430" s="9"/>
      <c r="EA430" s="9"/>
      <c r="EB430" s="9"/>
      <c r="EC430" s="9"/>
      <c r="ED430" s="9"/>
      <c r="EE430" s="9"/>
      <c r="EF430" s="9"/>
    </row>
    <row r="431" spans="1:136" s="98" customFormat="1" ht="15.75" customHeight="1" x14ac:dyDescent="0.25">
      <c r="A431" s="93">
        <v>46226</v>
      </c>
      <c r="B431" s="94" t="s">
        <v>16</v>
      </c>
      <c r="C431" s="95">
        <v>6023</v>
      </c>
      <c r="D431" s="20"/>
      <c r="E431" s="99" t="s">
        <v>152</v>
      </c>
      <c r="F431" s="21">
        <v>2</v>
      </c>
      <c r="G431" s="100"/>
      <c r="H431" s="21">
        <v>80</v>
      </c>
      <c r="I431" s="11">
        <f t="shared" si="14"/>
        <v>160</v>
      </c>
      <c r="J431" s="21"/>
      <c r="K431" s="21"/>
      <c r="L431" s="13">
        <f t="shared" si="17"/>
        <v>160</v>
      </c>
      <c r="M431" s="22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  <c r="BU431" s="9"/>
      <c r="BV431" s="9"/>
      <c r="BW431" s="9"/>
      <c r="BX431" s="9"/>
      <c r="BY431" s="9"/>
      <c r="BZ431" s="9"/>
      <c r="CA431" s="9"/>
      <c r="CB431" s="9"/>
      <c r="CC431" s="9"/>
      <c r="CD431" s="9"/>
      <c r="CE431" s="9"/>
      <c r="CF431" s="9"/>
      <c r="CG431" s="9"/>
      <c r="CH431" s="9"/>
      <c r="CI431" s="9"/>
      <c r="CJ431" s="9"/>
      <c r="CK431" s="9"/>
      <c r="CL431" s="9"/>
      <c r="CM431" s="9"/>
      <c r="CN431" s="9"/>
      <c r="CO431" s="9"/>
      <c r="CP431" s="9"/>
      <c r="CQ431" s="9"/>
      <c r="CR431" s="9"/>
      <c r="CS431" s="9"/>
      <c r="CT431" s="9"/>
      <c r="CU431" s="9"/>
      <c r="CV431" s="9"/>
      <c r="CW431" s="9"/>
      <c r="CX431" s="9"/>
      <c r="CY431" s="9"/>
      <c r="CZ431" s="9"/>
      <c r="DA431" s="9"/>
      <c r="DB431" s="9"/>
      <c r="DC431" s="9"/>
      <c r="DD431" s="9"/>
      <c r="DE431" s="9"/>
      <c r="DF431" s="9"/>
      <c r="DG431" s="9"/>
      <c r="DH431" s="9"/>
      <c r="DI431" s="9"/>
      <c r="DJ431" s="9"/>
      <c r="DK431" s="9"/>
      <c r="DL431" s="9"/>
      <c r="DM431" s="9"/>
      <c r="DN431" s="9"/>
      <c r="DO431" s="9"/>
      <c r="DP431" s="9"/>
      <c r="DQ431" s="9"/>
      <c r="DR431" s="9"/>
      <c r="DS431" s="9"/>
      <c r="DT431" s="9"/>
      <c r="DU431" s="9"/>
      <c r="DV431" s="9"/>
      <c r="DW431" s="9"/>
      <c r="DX431" s="9"/>
      <c r="DY431" s="9"/>
      <c r="DZ431" s="9"/>
      <c r="EA431" s="9"/>
      <c r="EB431" s="9"/>
      <c r="EC431" s="9"/>
      <c r="ED431" s="9"/>
      <c r="EE431" s="9"/>
      <c r="EF431" s="9"/>
    </row>
    <row r="432" spans="1:136" s="98" customFormat="1" ht="15.75" customHeight="1" x14ac:dyDescent="0.25">
      <c r="A432" s="93">
        <v>46226</v>
      </c>
      <c r="B432" s="94" t="s">
        <v>16</v>
      </c>
      <c r="C432" s="95">
        <v>6023</v>
      </c>
      <c r="D432" s="20"/>
      <c r="E432" s="99" t="s">
        <v>61</v>
      </c>
      <c r="F432" s="21">
        <v>10</v>
      </c>
      <c r="G432" s="100"/>
      <c r="H432" s="21">
        <f>3200/10</f>
        <v>320</v>
      </c>
      <c r="I432" s="11">
        <f t="shared" si="14"/>
        <v>3200</v>
      </c>
      <c r="J432" s="21"/>
      <c r="K432" s="21"/>
      <c r="L432" s="13">
        <f t="shared" si="17"/>
        <v>3200</v>
      </c>
      <c r="M432" s="22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  <c r="BU432" s="9"/>
      <c r="BV432" s="9"/>
      <c r="BW432" s="9"/>
      <c r="BX432" s="9"/>
      <c r="BY432" s="9"/>
      <c r="BZ432" s="9"/>
      <c r="CA432" s="9"/>
      <c r="CB432" s="9"/>
      <c r="CC432" s="9"/>
      <c r="CD432" s="9"/>
      <c r="CE432" s="9"/>
      <c r="CF432" s="9"/>
      <c r="CG432" s="9"/>
      <c r="CH432" s="9"/>
      <c r="CI432" s="9"/>
      <c r="CJ432" s="9"/>
      <c r="CK432" s="9"/>
      <c r="CL432" s="9"/>
      <c r="CM432" s="9"/>
      <c r="CN432" s="9"/>
      <c r="CO432" s="9"/>
      <c r="CP432" s="9"/>
      <c r="CQ432" s="9"/>
      <c r="CR432" s="9"/>
      <c r="CS432" s="9"/>
      <c r="CT432" s="9"/>
      <c r="CU432" s="9"/>
      <c r="CV432" s="9"/>
      <c r="CW432" s="9"/>
      <c r="CX432" s="9"/>
      <c r="CY432" s="9"/>
      <c r="CZ432" s="9"/>
      <c r="DA432" s="9"/>
      <c r="DB432" s="9"/>
      <c r="DC432" s="9"/>
      <c r="DD432" s="9"/>
      <c r="DE432" s="9"/>
      <c r="DF432" s="9"/>
      <c r="DG432" s="9"/>
      <c r="DH432" s="9"/>
      <c r="DI432" s="9"/>
      <c r="DJ432" s="9"/>
      <c r="DK432" s="9"/>
      <c r="DL432" s="9"/>
      <c r="DM432" s="9"/>
      <c r="DN432" s="9"/>
      <c r="DO432" s="9"/>
      <c r="DP432" s="9"/>
      <c r="DQ432" s="9"/>
      <c r="DR432" s="9"/>
      <c r="DS432" s="9"/>
      <c r="DT432" s="9"/>
      <c r="DU432" s="9"/>
      <c r="DV432" s="9"/>
      <c r="DW432" s="9"/>
      <c r="DX432" s="9"/>
      <c r="DY432" s="9"/>
      <c r="DZ432" s="9"/>
      <c r="EA432" s="9"/>
      <c r="EB432" s="9"/>
      <c r="EC432" s="9"/>
      <c r="ED432" s="9"/>
      <c r="EE432" s="9"/>
      <c r="EF432" s="9"/>
    </row>
    <row r="433" spans="1:136" s="98" customFormat="1" ht="15.75" customHeight="1" x14ac:dyDescent="0.25">
      <c r="A433" s="93">
        <v>46226</v>
      </c>
      <c r="B433" s="94" t="s">
        <v>16</v>
      </c>
      <c r="C433" s="95">
        <v>6023</v>
      </c>
      <c r="D433" s="20"/>
      <c r="E433" s="99" t="s">
        <v>197</v>
      </c>
      <c r="F433" s="21">
        <v>3</v>
      </c>
      <c r="G433" s="100"/>
      <c r="H433" s="21">
        <v>230</v>
      </c>
      <c r="I433" s="11">
        <f t="shared" si="14"/>
        <v>690</v>
      </c>
      <c r="J433" s="21"/>
      <c r="K433" s="21"/>
      <c r="L433" s="13">
        <f t="shared" si="17"/>
        <v>690</v>
      </c>
      <c r="M433" s="22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  <c r="BU433" s="9"/>
      <c r="BV433" s="9"/>
      <c r="BW433" s="9"/>
      <c r="BX433" s="9"/>
      <c r="BY433" s="9"/>
      <c r="BZ433" s="9"/>
      <c r="CA433" s="9"/>
      <c r="CB433" s="9"/>
      <c r="CC433" s="9"/>
      <c r="CD433" s="9"/>
      <c r="CE433" s="9"/>
      <c r="CF433" s="9"/>
      <c r="CG433" s="9"/>
      <c r="CH433" s="9"/>
      <c r="CI433" s="9"/>
      <c r="CJ433" s="9"/>
      <c r="CK433" s="9"/>
      <c r="CL433" s="9"/>
      <c r="CM433" s="9"/>
      <c r="CN433" s="9"/>
      <c r="CO433" s="9"/>
      <c r="CP433" s="9"/>
      <c r="CQ433" s="9"/>
      <c r="CR433" s="9"/>
      <c r="CS433" s="9"/>
      <c r="CT433" s="9"/>
      <c r="CU433" s="9"/>
      <c r="CV433" s="9"/>
      <c r="CW433" s="9"/>
      <c r="CX433" s="9"/>
      <c r="CY433" s="9"/>
      <c r="CZ433" s="9"/>
      <c r="DA433" s="9"/>
      <c r="DB433" s="9"/>
      <c r="DC433" s="9"/>
      <c r="DD433" s="9"/>
      <c r="DE433" s="9"/>
      <c r="DF433" s="9"/>
      <c r="DG433" s="9"/>
      <c r="DH433" s="9"/>
      <c r="DI433" s="9"/>
      <c r="DJ433" s="9"/>
      <c r="DK433" s="9"/>
      <c r="DL433" s="9"/>
      <c r="DM433" s="9"/>
      <c r="DN433" s="9"/>
      <c r="DO433" s="9"/>
      <c r="DP433" s="9"/>
      <c r="DQ433" s="9"/>
      <c r="DR433" s="9"/>
      <c r="DS433" s="9"/>
      <c r="DT433" s="9"/>
      <c r="DU433" s="9"/>
      <c r="DV433" s="9"/>
      <c r="DW433" s="9"/>
      <c r="DX433" s="9"/>
      <c r="DY433" s="9"/>
      <c r="DZ433" s="9"/>
      <c r="EA433" s="9"/>
      <c r="EB433" s="9"/>
      <c r="EC433" s="9"/>
      <c r="ED433" s="9"/>
      <c r="EE433" s="9"/>
      <c r="EF433" s="9"/>
    </row>
    <row r="434" spans="1:136" s="98" customFormat="1" ht="15.75" customHeight="1" x14ac:dyDescent="0.25">
      <c r="A434" s="93">
        <v>46226</v>
      </c>
      <c r="B434" s="94" t="s">
        <v>16</v>
      </c>
      <c r="C434" s="95">
        <v>6023</v>
      </c>
      <c r="D434" s="20"/>
      <c r="E434" s="99" t="s">
        <v>84</v>
      </c>
      <c r="F434" s="21">
        <v>2</v>
      </c>
      <c r="G434" s="100"/>
      <c r="H434" s="21">
        <v>45</v>
      </c>
      <c r="I434" s="11">
        <f t="shared" si="14"/>
        <v>90</v>
      </c>
      <c r="J434" s="21"/>
      <c r="K434" s="21"/>
      <c r="L434" s="13">
        <f t="shared" si="17"/>
        <v>90</v>
      </c>
      <c r="M434" s="22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  <c r="BU434" s="9"/>
      <c r="BV434" s="9"/>
      <c r="BW434" s="9"/>
      <c r="BX434" s="9"/>
      <c r="BY434" s="9"/>
      <c r="BZ434" s="9"/>
      <c r="CA434" s="9"/>
      <c r="CB434" s="9"/>
      <c r="CC434" s="9"/>
      <c r="CD434" s="9"/>
      <c r="CE434" s="9"/>
      <c r="CF434" s="9"/>
      <c r="CG434" s="9"/>
      <c r="CH434" s="9"/>
      <c r="CI434" s="9"/>
      <c r="CJ434" s="9"/>
      <c r="CK434" s="9"/>
      <c r="CL434" s="9"/>
      <c r="CM434" s="9"/>
      <c r="CN434" s="9"/>
      <c r="CO434" s="9"/>
      <c r="CP434" s="9"/>
      <c r="CQ434" s="9"/>
      <c r="CR434" s="9"/>
      <c r="CS434" s="9"/>
      <c r="CT434" s="9"/>
      <c r="CU434" s="9"/>
      <c r="CV434" s="9"/>
      <c r="CW434" s="9"/>
      <c r="CX434" s="9"/>
      <c r="CY434" s="9"/>
      <c r="CZ434" s="9"/>
      <c r="DA434" s="9"/>
      <c r="DB434" s="9"/>
      <c r="DC434" s="9"/>
      <c r="DD434" s="9"/>
      <c r="DE434" s="9"/>
      <c r="DF434" s="9"/>
      <c r="DG434" s="9"/>
      <c r="DH434" s="9"/>
      <c r="DI434" s="9"/>
      <c r="DJ434" s="9"/>
      <c r="DK434" s="9"/>
      <c r="DL434" s="9"/>
      <c r="DM434" s="9"/>
      <c r="DN434" s="9"/>
      <c r="DO434" s="9"/>
      <c r="DP434" s="9"/>
      <c r="DQ434" s="9"/>
      <c r="DR434" s="9"/>
      <c r="DS434" s="9"/>
      <c r="DT434" s="9"/>
      <c r="DU434" s="9"/>
      <c r="DV434" s="9"/>
      <c r="DW434" s="9"/>
      <c r="DX434" s="9"/>
      <c r="DY434" s="9"/>
      <c r="DZ434" s="9"/>
      <c r="EA434" s="9"/>
      <c r="EB434" s="9"/>
      <c r="EC434" s="9"/>
      <c r="ED434" s="9"/>
      <c r="EE434" s="9"/>
      <c r="EF434" s="9"/>
    </row>
    <row r="435" spans="1:136" s="98" customFormat="1" ht="15.75" customHeight="1" x14ac:dyDescent="0.25">
      <c r="A435" s="93">
        <v>46226</v>
      </c>
      <c r="B435" s="94" t="s">
        <v>16</v>
      </c>
      <c r="C435" s="95">
        <v>6023</v>
      </c>
      <c r="D435" s="20"/>
      <c r="E435" s="99" t="s">
        <v>87</v>
      </c>
      <c r="F435" s="21">
        <v>50</v>
      </c>
      <c r="G435" s="100"/>
      <c r="H435" s="21">
        <v>4.75</v>
      </c>
      <c r="I435" s="11">
        <f t="shared" si="14"/>
        <v>237.5</v>
      </c>
      <c r="J435" s="21"/>
      <c r="K435" s="21"/>
      <c r="L435" s="13">
        <f t="shared" si="17"/>
        <v>237.5</v>
      </c>
      <c r="M435" s="22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  <c r="BU435" s="9"/>
      <c r="BV435" s="9"/>
      <c r="BW435" s="9"/>
      <c r="BX435" s="9"/>
      <c r="BY435" s="9"/>
      <c r="BZ435" s="9"/>
      <c r="CA435" s="9"/>
      <c r="CB435" s="9"/>
      <c r="CC435" s="9"/>
      <c r="CD435" s="9"/>
      <c r="CE435" s="9"/>
      <c r="CF435" s="9"/>
      <c r="CG435" s="9"/>
      <c r="CH435" s="9"/>
      <c r="CI435" s="9"/>
      <c r="CJ435" s="9"/>
      <c r="CK435" s="9"/>
      <c r="CL435" s="9"/>
      <c r="CM435" s="9"/>
      <c r="CN435" s="9"/>
      <c r="CO435" s="9"/>
      <c r="CP435" s="9"/>
      <c r="CQ435" s="9"/>
      <c r="CR435" s="9"/>
      <c r="CS435" s="9"/>
      <c r="CT435" s="9"/>
      <c r="CU435" s="9"/>
      <c r="CV435" s="9"/>
      <c r="CW435" s="9"/>
      <c r="CX435" s="9"/>
      <c r="CY435" s="9"/>
      <c r="CZ435" s="9"/>
      <c r="DA435" s="9"/>
      <c r="DB435" s="9"/>
      <c r="DC435" s="9"/>
      <c r="DD435" s="9"/>
      <c r="DE435" s="9"/>
      <c r="DF435" s="9"/>
      <c r="DG435" s="9"/>
      <c r="DH435" s="9"/>
      <c r="DI435" s="9"/>
      <c r="DJ435" s="9"/>
      <c r="DK435" s="9"/>
      <c r="DL435" s="9"/>
      <c r="DM435" s="9"/>
      <c r="DN435" s="9"/>
      <c r="DO435" s="9"/>
      <c r="DP435" s="9"/>
      <c r="DQ435" s="9"/>
      <c r="DR435" s="9"/>
      <c r="DS435" s="9"/>
      <c r="DT435" s="9"/>
      <c r="DU435" s="9"/>
      <c r="DV435" s="9"/>
      <c r="DW435" s="9"/>
      <c r="DX435" s="9"/>
      <c r="DY435" s="9"/>
      <c r="DZ435" s="9"/>
      <c r="EA435" s="9"/>
      <c r="EB435" s="9"/>
      <c r="EC435" s="9"/>
      <c r="ED435" s="9"/>
      <c r="EE435" s="9"/>
      <c r="EF435" s="9"/>
    </row>
    <row r="436" spans="1:136" s="98" customFormat="1" ht="15.75" customHeight="1" x14ac:dyDescent="0.25">
      <c r="A436" s="93">
        <v>46226</v>
      </c>
      <c r="B436" s="94" t="s">
        <v>16</v>
      </c>
      <c r="C436" s="95">
        <v>6023</v>
      </c>
      <c r="D436" s="20"/>
      <c r="E436" s="99" t="s">
        <v>139</v>
      </c>
      <c r="F436" s="21">
        <v>2</v>
      </c>
      <c r="G436" s="100"/>
      <c r="H436" s="21">
        <v>35</v>
      </c>
      <c r="I436" s="11">
        <f t="shared" si="14"/>
        <v>70</v>
      </c>
      <c r="J436" s="21"/>
      <c r="K436" s="21"/>
      <c r="L436" s="13">
        <f t="shared" si="17"/>
        <v>70</v>
      </c>
      <c r="M436" s="22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  <c r="BU436" s="9"/>
      <c r="BV436" s="9"/>
      <c r="BW436" s="9"/>
      <c r="BX436" s="9"/>
      <c r="BY436" s="9"/>
      <c r="BZ436" s="9"/>
      <c r="CA436" s="9"/>
      <c r="CB436" s="9"/>
      <c r="CC436" s="9"/>
      <c r="CD436" s="9"/>
      <c r="CE436" s="9"/>
      <c r="CF436" s="9"/>
      <c r="CG436" s="9"/>
      <c r="CH436" s="9"/>
      <c r="CI436" s="9"/>
      <c r="CJ436" s="9"/>
      <c r="CK436" s="9"/>
      <c r="CL436" s="9"/>
      <c r="CM436" s="9"/>
      <c r="CN436" s="9"/>
      <c r="CO436" s="9"/>
      <c r="CP436" s="9"/>
      <c r="CQ436" s="9"/>
      <c r="CR436" s="9"/>
      <c r="CS436" s="9"/>
      <c r="CT436" s="9"/>
      <c r="CU436" s="9"/>
      <c r="CV436" s="9"/>
      <c r="CW436" s="9"/>
      <c r="CX436" s="9"/>
      <c r="CY436" s="9"/>
      <c r="CZ436" s="9"/>
      <c r="DA436" s="9"/>
      <c r="DB436" s="9"/>
      <c r="DC436" s="9"/>
      <c r="DD436" s="9"/>
      <c r="DE436" s="9"/>
      <c r="DF436" s="9"/>
      <c r="DG436" s="9"/>
      <c r="DH436" s="9"/>
      <c r="DI436" s="9"/>
      <c r="DJ436" s="9"/>
      <c r="DK436" s="9"/>
      <c r="DL436" s="9"/>
      <c r="DM436" s="9"/>
      <c r="DN436" s="9"/>
      <c r="DO436" s="9"/>
      <c r="DP436" s="9"/>
      <c r="DQ436" s="9"/>
      <c r="DR436" s="9"/>
      <c r="DS436" s="9"/>
      <c r="DT436" s="9"/>
      <c r="DU436" s="9"/>
      <c r="DV436" s="9"/>
      <c r="DW436" s="9"/>
      <c r="DX436" s="9"/>
      <c r="DY436" s="9"/>
      <c r="DZ436" s="9"/>
      <c r="EA436" s="9"/>
      <c r="EB436" s="9"/>
      <c r="EC436" s="9"/>
      <c r="ED436" s="9"/>
      <c r="EE436" s="9"/>
      <c r="EF436" s="9"/>
    </row>
    <row r="437" spans="1:136" s="98" customFormat="1" ht="15.75" customHeight="1" x14ac:dyDescent="0.25">
      <c r="A437" s="93">
        <v>46226</v>
      </c>
      <c r="B437" s="94" t="s">
        <v>16</v>
      </c>
      <c r="C437" s="95">
        <v>6023</v>
      </c>
      <c r="D437" s="20"/>
      <c r="E437" s="99" t="s">
        <v>43</v>
      </c>
      <c r="F437" s="21">
        <v>4</v>
      </c>
      <c r="G437" s="100"/>
      <c r="H437" s="21">
        <v>16</v>
      </c>
      <c r="I437" s="11">
        <f t="shared" si="14"/>
        <v>64</v>
      </c>
      <c r="J437" s="21"/>
      <c r="K437" s="21"/>
      <c r="L437" s="13">
        <f t="shared" si="17"/>
        <v>64</v>
      </c>
      <c r="M437" s="22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  <c r="BU437" s="9"/>
      <c r="BV437" s="9"/>
      <c r="BW437" s="9"/>
      <c r="BX437" s="9"/>
      <c r="BY437" s="9"/>
      <c r="BZ437" s="9"/>
      <c r="CA437" s="9"/>
      <c r="CB437" s="9"/>
      <c r="CC437" s="9"/>
      <c r="CD437" s="9"/>
      <c r="CE437" s="9"/>
      <c r="CF437" s="9"/>
      <c r="CG437" s="9"/>
      <c r="CH437" s="9"/>
      <c r="CI437" s="9"/>
      <c r="CJ437" s="9"/>
      <c r="CK437" s="9"/>
      <c r="CL437" s="9"/>
      <c r="CM437" s="9"/>
      <c r="CN437" s="9"/>
      <c r="CO437" s="9"/>
      <c r="CP437" s="9"/>
      <c r="CQ437" s="9"/>
      <c r="CR437" s="9"/>
      <c r="CS437" s="9"/>
      <c r="CT437" s="9"/>
      <c r="CU437" s="9"/>
      <c r="CV437" s="9"/>
      <c r="CW437" s="9"/>
      <c r="CX437" s="9"/>
      <c r="CY437" s="9"/>
      <c r="CZ437" s="9"/>
      <c r="DA437" s="9"/>
      <c r="DB437" s="9"/>
      <c r="DC437" s="9"/>
      <c r="DD437" s="9"/>
      <c r="DE437" s="9"/>
      <c r="DF437" s="9"/>
      <c r="DG437" s="9"/>
      <c r="DH437" s="9"/>
      <c r="DI437" s="9"/>
      <c r="DJ437" s="9"/>
      <c r="DK437" s="9"/>
      <c r="DL437" s="9"/>
      <c r="DM437" s="9"/>
      <c r="DN437" s="9"/>
      <c r="DO437" s="9"/>
      <c r="DP437" s="9"/>
      <c r="DQ437" s="9"/>
      <c r="DR437" s="9"/>
      <c r="DS437" s="9"/>
      <c r="DT437" s="9"/>
      <c r="DU437" s="9"/>
      <c r="DV437" s="9"/>
      <c r="DW437" s="9"/>
      <c r="DX437" s="9"/>
      <c r="DY437" s="9"/>
      <c r="DZ437" s="9"/>
      <c r="EA437" s="9"/>
      <c r="EB437" s="9"/>
      <c r="EC437" s="9"/>
      <c r="ED437" s="9"/>
      <c r="EE437" s="9"/>
      <c r="EF437" s="9"/>
    </row>
    <row r="438" spans="1:136" s="98" customFormat="1" ht="15.75" customHeight="1" x14ac:dyDescent="0.25">
      <c r="A438" s="93">
        <v>46226</v>
      </c>
      <c r="B438" s="94" t="s">
        <v>16</v>
      </c>
      <c r="C438" s="95">
        <v>6023</v>
      </c>
      <c r="D438" s="20"/>
      <c r="E438" s="99" t="s">
        <v>231</v>
      </c>
      <c r="F438" s="21">
        <v>1</v>
      </c>
      <c r="G438" s="100"/>
      <c r="H438" s="21">
        <v>21</v>
      </c>
      <c r="I438" s="11">
        <f t="shared" si="14"/>
        <v>21</v>
      </c>
      <c r="J438" s="21"/>
      <c r="K438" s="21"/>
      <c r="L438" s="13">
        <f t="shared" si="17"/>
        <v>21</v>
      </c>
      <c r="M438" s="22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  <c r="BU438" s="9"/>
      <c r="BV438" s="9"/>
      <c r="BW438" s="9"/>
      <c r="BX438" s="9"/>
      <c r="BY438" s="9"/>
      <c r="BZ438" s="9"/>
      <c r="CA438" s="9"/>
      <c r="CB438" s="9"/>
      <c r="CC438" s="9"/>
      <c r="CD438" s="9"/>
      <c r="CE438" s="9"/>
      <c r="CF438" s="9"/>
      <c r="CG438" s="9"/>
      <c r="CH438" s="9"/>
      <c r="CI438" s="9"/>
      <c r="CJ438" s="9"/>
      <c r="CK438" s="9"/>
      <c r="CL438" s="9"/>
      <c r="CM438" s="9"/>
      <c r="CN438" s="9"/>
      <c r="CO438" s="9"/>
      <c r="CP438" s="9"/>
      <c r="CQ438" s="9"/>
      <c r="CR438" s="9"/>
      <c r="CS438" s="9"/>
      <c r="CT438" s="9"/>
      <c r="CU438" s="9"/>
      <c r="CV438" s="9"/>
      <c r="CW438" s="9"/>
      <c r="CX438" s="9"/>
      <c r="CY438" s="9"/>
      <c r="CZ438" s="9"/>
      <c r="DA438" s="9"/>
      <c r="DB438" s="9"/>
      <c r="DC438" s="9"/>
      <c r="DD438" s="9"/>
      <c r="DE438" s="9"/>
      <c r="DF438" s="9"/>
      <c r="DG438" s="9"/>
      <c r="DH438" s="9"/>
      <c r="DI438" s="9"/>
      <c r="DJ438" s="9"/>
      <c r="DK438" s="9"/>
      <c r="DL438" s="9"/>
      <c r="DM438" s="9"/>
      <c r="DN438" s="9"/>
      <c r="DO438" s="9"/>
      <c r="DP438" s="9"/>
      <c r="DQ438" s="9"/>
      <c r="DR438" s="9"/>
      <c r="DS438" s="9"/>
      <c r="DT438" s="9"/>
      <c r="DU438" s="9"/>
      <c r="DV438" s="9"/>
      <c r="DW438" s="9"/>
      <c r="DX438" s="9"/>
      <c r="DY438" s="9"/>
      <c r="DZ438" s="9"/>
      <c r="EA438" s="9"/>
      <c r="EB438" s="9"/>
      <c r="EC438" s="9"/>
      <c r="ED438" s="9"/>
      <c r="EE438" s="9"/>
      <c r="EF438" s="9"/>
    </row>
    <row r="439" spans="1:136" s="98" customFormat="1" ht="15.75" customHeight="1" x14ac:dyDescent="0.25">
      <c r="A439" s="93">
        <v>46226</v>
      </c>
      <c r="B439" s="94" t="s">
        <v>16</v>
      </c>
      <c r="C439" s="95">
        <v>6023</v>
      </c>
      <c r="D439" s="20"/>
      <c r="E439" s="99" t="s">
        <v>124</v>
      </c>
      <c r="F439" s="21">
        <v>12</v>
      </c>
      <c r="G439" s="100"/>
      <c r="H439" s="21">
        <f>100/12</f>
        <v>8.3333333333333339</v>
      </c>
      <c r="I439" s="11">
        <f t="shared" si="14"/>
        <v>100</v>
      </c>
      <c r="J439" s="21"/>
      <c r="K439" s="21"/>
      <c r="L439" s="13">
        <f t="shared" si="17"/>
        <v>100</v>
      </c>
      <c r="M439" s="22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  <c r="BU439" s="9"/>
      <c r="BV439" s="9"/>
      <c r="BW439" s="9"/>
      <c r="BX439" s="9"/>
      <c r="BY439" s="9"/>
      <c r="BZ439" s="9"/>
      <c r="CA439" s="9"/>
      <c r="CB439" s="9"/>
      <c r="CC439" s="9"/>
      <c r="CD439" s="9"/>
      <c r="CE439" s="9"/>
      <c r="CF439" s="9"/>
      <c r="CG439" s="9"/>
      <c r="CH439" s="9"/>
      <c r="CI439" s="9"/>
      <c r="CJ439" s="9"/>
      <c r="CK439" s="9"/>
      <c r="CL439" s="9"/>
      <c r="CM439" s="9"/>
      <c r="CN439" s="9"/>
      <c r="CO439" s="9"/>
      <c r="CP439" s="9"/>
      <c r="CQ439" s="9"/>
      <c r="CR439" s="9"/>
      <c r="CS439" s="9"/>
      <c r="CT439" s="9"/>
      <c r="CU439" s="9"/>
      <c r="CV439" s="9"/>
      <c r="CW439" s="9"/>
      <c r="CX439" s="9"/>
      <c r="CY439" s="9"/>
      <c r="CZ439" s="9"/>
      <c r="DA439" s="9"/>
      <c r="DB439" s="9"/>
      <c r="DC439" s="9"/>
      <c r="DD439" s="9"/>
      <c r="DE439" s="9"/>
      <c r="DF439" s="9"/>
      <c r="DG439" s="9"/>
      <c r="DH439" s="9"/>
      <c r="DI439" s="9"/>
      <c r="DJ439" s="9"/>
      <c r="DK439" s="9"/>
      <c r="DL439" s="9"/>
      <c r="DM439" s="9"/>
      <c r="DN439" s="9"/>
      <c r="DO439" s="9"/>
      <c r="DP439" s="9"/>
      <c r="DQ439" s="9"/>
      <c r="DR439" s="9"/>
      <c r="DS439" s="9"/>
      <c r="DT439" s="9"/>
      <c r="DU439" s="9"/>
      <c r="DV439" s="9"/>
      <c r="DW439" s="9"/>
      <c r="DX439" s="9"/>
      <c r="DY439" s="9"/>
      <c r="DZ439" s="9"/>
      <c r="EA439" s="9"/>
      <c r="EB439" s="9"/>
      <c r="EC439" s="9"/>
      <c r="ED439" s="9"/>
      <c r="EE439" s="9"/>
      <c r="EF439" s="9"/>
    </row>
    <row r="440" spans="1:136" s="98" customFormat="1" ht="15.75" customHeight="1" x14ac:dyDescent="0.25">
      <c r="A440" s="93">
        <v>46226</v>
      </c>
      <c r="B440" s="94" t="s">
        <v>16</v>
      </c>
      <c r="C440" s="95">
        <v>6023</v>
      </c>
      <c r="D440" s="20"/>
      <c r="E440" s="99" t="s">
        <v>124</v>
      </c>
      <c r="F440" s="21">
        <v>1</v>
      </c>
      <c r="G440" s="100"/>
      <c r="H440" s="21">
        <v>90</v>
      </c>
      <c r="I440" s="11">
        <f t="shared" si="14"/>
        <v>90</v>
      </c>
      <c r="J440" s="21"/>
      <c r="K440" s="21"/>
      <c r="L440" s="13">
        <f t="shared" si="17"/>
        <v>90</v>
      </c>
      <c r="M440" s="22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  <c r="BU440" s="9"/>
      <c r="BV440" s="9"/>
      <c r="BW440" s="9"/>
      <c r="BX440" s="9"/>
      <c r="BY440" s="9"/>
      <c r="BZ440" s="9"/>
      <c r="CA440" s="9"/>
      <c r="CB440" s="9"/>
      <c r="CC440" s="9"/>
      <c r="CD440" s="9"/>
      <c r="CE440" s="9"/>
      <c r="CF440" s="9"/>
      <c r="CG440" s="9"/>
      <c r="CH440" s="9"/>
      <c r="CI440" s="9"/>
      <c r="CJ440" s="9"/>
      <c r="CK440" s="9"/>
      <c r="CL440" s="9"/>
      <c r="CM440" s="9"/>
      <c r="CN440" s="9"/>
      <c r="CO440" s="9"/>
      <c r="CP440" s="9"/>
      <c r="CQ440" s="9"/>
      <c r="CR440" s="9"/>
      <c r="CS440" s="9"/>
      <c r="CT440" s="9"/>
      <c r="CU440" s="9"/>
      <c r="CV440" s="9"/>
      <c r="CW440" s="9"/>
      <c r="CX440" s="9"/>
      <c r="CY440" s="9"/>
      <c r="CZ440" s="9"/>
      <c r="DA440" s="9"/>
      <c r="DB440" s="9"/>
      <c r="DC440" s="9"/>
      <c r="DD440" s="9"/>
      <c r="DE440" s="9"/>
      <c r="DF440" s="9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</row>
    <row r="441" spans="1:136" s="98" customFormat="1" ht="15.75" customHeight="1" x14ac:dyDescent="0.25">
      <c r="A441" s="93">
        <v>46226</v>
      </c>
      <c r="B441" s="94" t="s">
        <v>16</v>
      </c>
      <c r="C441" s="95">
        <v>6023</v>
      </c>
      <c r="D441" s="20"/>
      <c r="E441" s="99" t="s">
        <v>138</v>
      </c>
      <c r="F441" s="21">
        <v>2</v>
      </c>
      <c r="G441" s="100"/>
      <c r="H441" s="21">
        <v>75</v>
      </c>
      <c r="I441" s="11">
        <f t="shared" si="14"/>
        <v>150</v>
      </c>
      <c r="J441" s="21"/>
      <c r="K441" s="21"/>
      <c r="L441" s="13">
        <f t="shared" si="17"/>
        <v>150</v>
      </c>
      <c r="M441" s="22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  <c r="BU441" s="9"/>
      <c r="BV441" s="9"/>
      <c r="BW441" s="9"/>
      <c r="BX441" s="9"/>
      <c r="BY441" s="9"/>
      <c r="BZ441" s="9"/>
      <c r="CA441" s="9"/>
      <c r="CB441" s="9"/>
      <c r="CC441" s="9"/>
      <c r="CD441" s="9"/>
      <c r="CE441" s="9"/>
      <c r="CF441" s="9"/>
      <c r="CG441" s="9"/>
      <c r="CH441" s="9"/>
      <c r="CI441" s="9"/>
      <c r="CJ441" s="9"/>
      <c r="CK441" s="9"/>
      <c r="CL441" s="9"/>
      <c r="CM441" s="9"/>
      <c r="CN441" s="9"/>
      <c r="CO441" s="9"/>
      <c r="CP441" s="9"/>
      <c r="CQ441" s="9"/>
      <c r="CR441" s="9"/>
      <c r="CS441" s="9"/>
      <c r="CT441" s="9"/>
      <c r="CU441" s="9"/>
      <c r="CV441" s="9"/>
      <c r="CW441" s="9"/>
      <c r="CX441" s="9"/>
      <c r="CY441" s="9"/>
      <c r="CZ441" s="9"/>
      <c r="DA441" s="9"/>
      <c r="DB441" s="9"/>
      <c r="DC441" s="9"/>
      <c r="DD441" s="9"/>
      <c r="DE441" s="9"/>
      <c r="DF441" s="9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</row>
    <row r="442" spans="1:136" s="98" customFormat="1" ht="15.75" customHeight="1" x14ac:dyDescent="0.25">
      <c r="A442" s="93">
        <v>46226</v>
      </c>
      <c r="B442" s="94" t="s">
        <v>16</v>
      </c>
      <c r="C442" s="95">
        <v>6023</v>
      </c>
      <c r="D442" s="20"/>
      <c r="E442" s="99" t="s">
        <v>232</v>
      </c>
      <c r="F442" s="21">
        <v>1</v>
      </c>
      <c r="G442" s="100"/>
      <c r="H442" s="21">
        <v>440</v>
      </c>
      <c r="I442" s="11">
        <f t="shared" si="14"/>
        <v>440</v>
      </c>
      <c r="J442" s="21"/>
      <c r="K442" s="21"/>
      <c r="L442" s="13">
        <f t="shared" si="17"/>
        <v>440</v>
      </c>
      <c r="M442" s="22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  <c r="BU442" s="9"/>
      <c r="BV442" s="9"/>
      <c r="BW442" s="9"/>
      <c r="BX442" s="9"/>
      <c r="BY442" s="9"/>
      <c r="BZ442" s="9"/>
      <c r="CA442" s="9"/>
      <c r="CB442" s="9"/>
      <c r="CC442" s="9"/>
      <c r="CD442" s="9"/>
      <c r="CE442" s="9"/>
      <c r="CF442" s="9"/>
      <c r="CG442" s="9"/>
      <c r="CH442" s="9"/>
      <c r="CI442" s="9"/>
      <c r="CJ442" s="9"/>
      <c r="CK442" s="9"/>
      <c r="CL442" s="9"/>
      <c r="CM442" s="9"/>
      <c r="CN442" s="9"/>
      <c r="CO442" s="9"/>
      <c r="CP442" s="9"/>
      <c r="CQ442" s="9"/>
      <c r="CR442" s="9"/>
      <c r="CS442" s="9"/>
      <c r="CT442" s="9"/>
      <c r="CU442" s="9"/>
      <c r="CV442" s="9"/>
      <c r="CW442" s="9"/>
      <c r="CX442" s="9"/>
      <c r="CY442" s="9"/>
      <c r="CZ442" s="9"/>
      <c r="DA442" s="9"/>
      <c r="DB442" s="9"/>
      <c r="DC442" s="9"/>
      <c r="DD442" s="9"/>
      <c r="DE442" s="9"/>
      <c r="DF442" s="9"/>
      <c r="DG442" s="9"/>
      <c r="DH442" s="9"/>
      <c r="DI442" s="9"/>
      <c r="DJ442" s="9"/>
      <c r="DK442" s="9"/>
      <c r="DL442" s="9"/>
      <c r="DM442" s="9"/>
      <c r="DN442" s="9"/>
      <c r="DO442" s="9"/>
      <c r="DP442" s="9"/>
      <c r="DQ442" s="9"/>
      <c r="DR442" s="9"/>
      <c r="DS442" s="9"/>
      <c r="DT442" s="9"/>
      <c r="DU442" s="9"/>
      <c r="DV442" s="9"/>
      <c r="DW442" s="9"/>
      <c r="DX442" s="9"/>
      <c r="DY442" s="9"/>
      <c r="DZ442" s="9"/>
      <c r="EA442" s="9"/>
      <c r="EB442" s="9"/>
      <c r="EC442" s="9"/>
      <c r="ED442" s="9"/>
      <c r="EE442" s="9"/>
      <c r="EF442" s="9"/>
    </row>
    <row r="443" spans="1:136" s="98" customFormat="1" ht="15.75" customHeight="1" x14ac:dyDescent="0.25">
      <c r="A443" s="93">
        <v>46226</v>
      </c>
      <c r="B443" s="94" t="s">
        <v>16</v>
      </c>
      <c r="C443" s="95">
        <v>6023</v>
      </c>
      <c r="D443" s="20"/>
      <c r="E443" s="99" t="s">
        <v>139</v>
      </c>
      <c r="F443" s="21">
        <v>2</v>
      </c>
      <c r="G443" s="100"/>
      <c r="H443" s="21">
        <v>35</v>
      </c>
      <c r="I443" s="11">
        <f t="shared" si="14"/>
        <v>70</v>
      </c>
      <c r="J443" s="21"/>
      <c r="K443" s="21"/>
      <c r="L443" s="13">
        <f t="shared" si="17"/>
        <v>70</v>
      </c>
      <c r="M443" s="22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  <c r="BU443" s="9"/>
      <c r="BV443" s="9"/>
      <c r="BW443" s="9"/>
      <c r="BX443" s="9"/>
      <c r="BY443" s="9"/>
      <c r="BZ443" s="9"/>
      <c r="CA443" s="9"/>
      <c r="CB443" s="9"/>
      <c r="CC443" s="9"/>
      <c r="CD443" s="9"/>
      <c r="CE443" s="9"/>
      <c r="CF443" s="9"/>
      <c r="CG443" s="9"/>
      <c r="CH443" s="9"/>
      <c r="CI443" s="9"/>
      <c r="CJ443" s="9"/>
      <c r="CK443" s="9"/>
      <c r="CL443" s="9"/>
      <c r="CM443" s="9"/>
      <c r="CN443" s="9"/>
      <c r="CO443" s="9"/>
      <c r="CP443" s="9"/>
      <c r="CQ443" s="9"/>
      <c r="CR443" s="9"/>
      <c r="CS443" s="9"/>
      <c r="CT443" s="9"/>
      <c r="CU443" s="9"/>
      <c r="CV443" s="9"/>
      <c r="CW443" s="9"/>
      <c r="CX443" s="9"/>
      <c r="CY443" s="9"/>
      <c r="CZ443" s="9"/>
      <c r="DA443" s="9"/>
      <c r="DB443" s="9"/>
      <c r="DC443" s="9"/>
      <c r="DD443" s="9"/>
      <c r="DE443" s="9"/>
      <c r="DF443" s="9"/>
      <c r="DG443" s="9"/>
      <c r="DH443" s="9"/>
      <c r="DI443" s="9"/>
      <c r="DJ443" s="9"/>
      <c r="DK443" s="9"/>
      <c r="DL443" s="9"/>
      <c r="DM443" s="9"/>
      <c r="DN443" s="9"/>
      <c r="DO443" s="9"/>
      <c r="DP443" s="9"/>
      <c r="DQ443" s="9"/>
      <c r="DR443" s="9"/>
      <c r="DS443" s="9"/>
      <c r="DT443" s="9"/>
      <c r="DU443" s="9"/>
      <c r="DV443" s="9"/>
      <c r="DW443" s="9"/>
      <c r="DX443" s="9"/>
      <c r="DY443" s="9"/>
      <c r="DZ443" s="9"/>
      <c r="EA443" s="9"/>
      <c r="EB443" s="9"/>
      <c r="EC443" s="9"/>
      <c r="ED443" s="9"/>
      <c r="EE443" s="9"/>
      <c r="EF443" s="9"/>
    </row>
    <row r="444" spans="1:136" s="98" customFormat="1" ht="15.75" customHeight="1" x14ac:dyDescent="0.25">
      <c r="A444" s="93">
        <v>46226</v>
      </c>
      <c r="B444" s="94" t="s">
        <v>16</v>
      </c>
      <c r="C444" s="95">
        <v>6023</v>
      </c>
      <c r="D444" s="20"/>
      <c r="E444" s="99" t="s">
        <v>233</v>
      </c>
      <c r="F444" s="21">
        <v>1</v>
      </c>
      <c r="G444" s="100"/>
      <c r="H444" s="21">
        <v>80</v>
      </c>
      <c r="I444" s="11">
        <f t="shared" si="14"/>
        <v>80</v>
      </c>
      <c r="J444" s="21"/>
      <c r="K444" s="21"/>
      <c r="L444" s="13">
        <f t="shared" si="17"/>
        <v>80</v>
      </c>
      <c r="M444" s="22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  <c r="BU444" s="9"/>
      <c r="BV444" s="9"/>
      <c r="BW444" s="9"/>
      <c r="BX444" s="9"/>
      <c r="BY444" s="9"/>
      <c r="BZ444" s="9"/>
      <c r="CA444" s="9"/>
      <c r="CB444" s="9"/>
      <c r="CC444" s="9"/>
      <c r="CD444" s="9"/>
      <c r="CE444" s="9"/>
      <c r="CF444" s="9"/>
      <c r="CG444" s="9"/>
      <c r="CH444" s="9"/>
      <c r="CI444" s="9"/>
      <c r="CJ444" s="9"/>
      <c r="CK444" s="9"/>
      <c r="CL444" s="9"/>
      <c r="CM444" s="9"/>
      <c r="CN444" s="9"/>
      <c r="CO444" s="9"/>
      <c r="CP444" s="9"/>
      <c r="CQ444" s="9"/>
      <c r="CR444" s="9"/>
      <c r="CS444" s="9"/>
      <c r="CT444" s="9"/>
      <c r="CU444" s="9"/>
      <c r="CV444" s="9"/>
      <c r="CW444" s="9"/>
      <c r="CX444" s="9"/>
      <c r="CY444" s="9"/>
      <c r="CZ444" s="9"/>
      <c r="DA444" s="9"/>
      <c r="DB444" s="9"/>
      <c r="DC444" s="9"/>
      <c r="DD444" s="9"/>
      <c r="DE444" s="9"/>
      <c r="DF444" s="9"/>
      <c r="DG444" s="9"/>
      <c r="DH444" s="9"/>
      <c r="DI444" s="9"/>
      <c r="DJ444" s="9"/>
      <c r="DK444" s="9"/>
      <c r="DL444" s="9"/>
      <c r="DM444" s="9"/>
      <c r="DN444" s="9"/>
      <c r="DO444" s="9"/>
      <c r="DP444" s="9"/>
      <c r="DQ444" s="9"/>
      <c r="DR444" s="9"/>
      <c r="DS444" s="9"/>
      <c r="DT444" s="9"/>
      <c r="DU444" s="9"/>
      <c r="DV444" s="9"/>
      <c r="DW444" s="9"/>
      <c r="DX444" s="9"/>
      <c r="DY444" s="9"/>
      <c r="DZ444" s="9"/>
      <c r="EA444" s="9"/>
      <c r="EB444" s="9"/>
      <c r="EC444" s="9"/>
      <c r="ED444" s="9"/>
      <c r="EE444" s="9"/>
      <c r="EF444" s="9"/>
    </row>
    <row r="445" spans="1:136" s="98" customFormat="1" ht="15.75" customHeight="1" x14ac:dyDescent="0.25">
      <c r="A445" s="93">
        <v>46231</v>
      </c>
      <c r="B445" s="94" t="s">
        <v>16</v>
      </c>
      <c r="C445" s="95">
        <v>6024</v>
      </c>
      <c r="D445" s="20"/>
      <c r="E445" s="99" t="s">
        <v>39</v>
      </c>
      <c r="F445" s="21">
        <v>4</v>
      </c>
      <c r="G445" s="100"/>
      <c r="H445" s="21">
        <v>65</v>
      </c>
      <c r="I445" s="11">
        <f t="shared" si="14"/>
        <v>260</v>
      </c>
      <c r="J445" s="21"/>
      <c r="K445" s="21"/>
      <c r="L445" s="13">
        <f t="shared" si="17"/>
        <v>260</v>
      </c>
      <c r="M445" s="22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  <c r="BU445" s="9"/>
      <c r="BV445" s="9"/>
      <c r="BW445" s="9"/>
      <c r="BX445" s="9"/>
      <c r="BY445" s="9"/>
      <c r="BZ445" s="9"/>
      <c r="CA445" s="9"/>
      <c r="CB445" s="9"/>
      <c r="CC445" s="9"/>
      <c r="CD445" s="9"/>
      <c r="CE445" s="9"/>
      <c r="CF445" s="9"/>
      <c r="CG445" s="9"/>
      <c r="CH445" s="9"/>
      <c r="CI445" s="9"/>
      <c r="CJ445" s="9"/>
      <c r="CK445" s="9"/>
      <c r="CL445" s="9"/>
      <c r="CM445" s="9"/>
      <c r="CN445" s="9"/>
      <c r="CO445" s="9"/>
      <c r="CP445" s="9"/>
      <c r="CQ445" s="9"/>
      <c r="CR445" s="9"/>
      <c r="CS445" s="9"/>
      <c r="CT445" s="9"/>
      <c r="CU445" s="9"/>
      <c r="CV445" s="9"/>
      <c r="CW445" s="9"/>
      <c r="CX445" s="9"/>
      <c r="CY445" s="9"/>
      <c r="CZ445" s="9"/>
      <c r="DA445" s="9"/>
      <c r="DB445" s="9"/>
      <c r="DC445" s="9"/>
      <c r="DD445" s="9"/>
      <c r="DE445" s="9"/>
      <c r="DF445" s="9"/>
      <c r="DG445" s="9"/>
      <c r="DH445" s="9"/>
      <c r="DI445" s="9"/>
      <c r="DJ445" s="9"/>
      <c r="DK445" s="9"/>
      <c r="DL445" s="9"/>
      <c r="DM445" s="9"/>
      <c r="DN445" s="9"/>
      <c r="DO445" s="9"/>
      <c r="DP445" s="9"/>
      <c r="DQ445" s="9"/>
      <c r="DR445" s="9"/>
      <c r="DS445" s="9"/>
      <c r="DT445" s="9"/>
      <c r="DU445" s="9"/>
      <c r="DV445" s="9"/>
      <c r="DW445" s="9"/>
      <c r="DX445" s="9"/>
      <c r="DY445" s="9"/>
      <c r="DZ445" s="9"/>
      <c r="EA445" s="9"/>
      <c r="EB445" s="9"/>
      <c r="EC445" s="9"/>
      <c r="ED445" s="9"/>
      <c r="EE445" s="9"/>
      <c r="EF445" s="9"/>
    </row>
    <row r="446" spans="1:136" s="98" customFormat="1" ht="15.75" customHeight="1" x14ac:dyDescent="0.25">
      <c r="A446" s="93">
        <v>46231</v>
      </c>
      <c r="B446" s="94" t="s">
        <v>16</v>
      </c>
      <c r="C446" s="95">
        <v>6024</v>
      </c>
      <c r="D446" s="20"/>
      <c r="E446" s="99" t="s">
        <v>40</v>
      </c>
      <c r="F446" s="21">
        <v>3</v>
      </c>
      <c r="G446" s="100"/>
      <c r="H446" s="21">
        <v>40</v>
      </c>
      <c r="I446" s="11">
        <f t="shared" si="14"/>
        <v>120</v>
      </c>
      <c r="J446" s="21"/>
      <c r="K446" s="21"/>
      <c r="L446" s="13">
        <f t="shared" si="17"/>
        <v>120</v>
      </c>
      <c r="M446" s="22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  <c r="BU446" s="9"/>
      <c r="BV446" s="9"/>
      <c r="BW446" s="9"/>
      <c r="BX446" s="9"/>
      <c r="BY446" s="9"/>
      <c r="BZ446" s="9"/>
      <c r="CA446" s="9"/>
      <c r="CB446" s="9"/>
      <c r="CC446" s="9"/>
      <c r="CD446" s="9"/>
      <c r="CE446" s="9"/>
      <c r="CF446" s="9"/>
      <c r="CG446" s="9"/>
      <c r="CH446" s="9"/>
      <c r="CI446" s="9"/>
      <c r="CJ446" s="9"/>
      <c r="CK446" s="9"/>
      <c r="CL446" s="9"/>
      <c r="CM446" s="9"/>
      <c r="CN446" s="9"/>
      <c r="CO446" s="9"/>
      <c r="CP446" s="9"/>
      <c r="CQ446" s="9"/>
      <c r="CR446" s="9"/>
      <c r="CS446" s="9"/>
      <c r="CT446" s="9"/>
      <c r="CU446" s="9"/>
      <c r="CV446" s="9"/>
      <c r="CW446" s="9"/>
      <c r="CX446" s="9"/>
      <c r="CY446" s="9"/>
      <c r="CZ446" s="9"/>
      <c r="DA446" s="9"/>
      <c r="DB446" s="9"/>
      <c r="DC446" s="9"/>
      <c r="DD446" s="9"/>
      <c r="DE446" s="9"/>
      <c r="DF446" s="9"/>
      <c r="DG446" s="9"/>
      <c r="DH446" s="9"/>
      <c r="DI446" s="9"/>
      <c r="DJ446" s="9"/>
      <c r="DK446" s="9"/>
      <c r="DL446" s="9"/>
      <c r="DM446" s="9"/>
      <c r="DN446" s="9"/>
      <c r="DO446" s="9"/>
      <c r="DP446" s="9"/>
      <c r="DQ446" s="9"/>
      <c r="DR446" s="9"/>
      <c r="DS446" s="9"/>
      <c r="DT446" s="9"/>
      <c r="DU446" s="9"/>
      <c r="DV446" s="9"/>
      <c r="DW446" s="9"/>
      <c r="DX446" s="9"/>
      <c r="DY446" s="9"/>
      <c r="DZ446" s="9"/>
      <c r="EA446" s="9"/>
      <c r="EB446" s="9"/>
      <c r="EC446" s="9"/>
      <c r="ED446" s="9"/>
      <c r="EE446" s="9"/>
      <c r="EF446" s="9"/>
    </row>
    <row r="447" spans="1:136" s="98" customFormat="1" ht="15.75" customHeight="1" x14ac:dyDescent="0.25">
      <c r="A447" s="93">
        <v>46231</v>
      </c>
      <c r="B447" s="94" t="s">
        <v>16</v>
      </c>
      <c r="C447" s="95">
        <v>6024</v>
      </c>
      <c r="D447" s="20"/>
      <c r="E447" s="23" t="s">
        <v>118</v>
      </c>
      <c r="F447" s="21">
        <v>1</v>
      </c>
      <c r="G447" s="100"/>
      <c r="H447" s="21">
        <v>60</v>
      </c>
      <c r="I447" s="11">
        <f t="shared" si="14"/>
        <v>60</v>
      </c>
      <c r="J447" s="21"/>
      <c r="K447" s="21"/>
      <c r="L447" s="13">
        <f t="shared" si="17"/>
        <v>60</v>
      </c>
      <c r="M447" s="22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  <c r="BU447" s="9"/>
      <c r="BV447" s="9"/>
      <c r="BW447" s="9"/>
      <c r="BX447" s="9"/>
      <c r="BY447" s="9"/>
      <c r="BZ447" s="9"/>
      <c r="CA447" s="9"/>
      <c r="CB447" s="9"/>
      <c r="CC447" s="9"/>
      <c r="CD447" s="9"/>
      <c r="CE447" s="9"/>
      <c r="CF447" s="9"/>
      <c r="CG447" s="9"/>
      <c r="CH447" s="9"/>
      <c r="CI447" s="9"/>
      <c r="CJ447" s="9"/>
      <c r="CK447" s="9"/>
      <c r="CL447" s="9"/>
      <c r="CM447" s="9"/>
      <c r="CN447" s="9"/>
      <c r="CO447" s="9"/>
      <c r="CP447" s="9"/>
      <c r="CQ447" s="9"/>
      <c r="CR447" s="9"/>
      <c r="CS447" s="9"/>
      <c r="CT447" s="9"/>
      <c r="CU447" s="9"/>
      <c r="CV447" s="9"/>
      <c r="CW447" s="9"/>
      <c r="CX447" s="9"/>
      <c r="CY447" s="9"/>
      <c r="CZ447" s="9"/>
      <c r="DA447" s="9"/>
      <c r="DB447" s="9"/>
      <c r="DC447" s="9"/>
      <c r="DD447" s="9"/>
      <c r="DE447" s="9"/>
      <c r="DF447" s="9"/>
      <c r="DG447" s="9"/>
      <c r="DH447" s="9"/>
      <c r="DI447" s="9"/>
      <c r="DJ447" s="9"/>
      <c r="DK447" s="9"/>
      <c r="DL447" s="9"/>
      <c r="DM447" s="9"/>
      <c r="DN447" s="9"/>
      <c r="DO447" s="9"/>
      <c r="DP447" s="9"/>
      <c r="DQ447" s="9"/>
      <c r="DR447" s="9"/>
      <c r="DS447" s="9"/>
      <c r="DT447" s="9"/>
      <c r="DU447" s="9"/>
      <c r="DV447" s="9"/>
      <c r="DW447" s="9"/>
      <c r="DX447" s="9"/>
      <c r="DY447" s="9"/>
      <c r="DZ447" s="9"/>
      <c r="EA447" s="9"/>
      <c r="EB447" s="9"/>
      <c r="EC447" s="9"/>
      <c r="ED447" s="9"/>
      <c r="EE447" s="9"/>
      <c r="EF447" s="9"/>
    </row>
    <row r="448" spans="1:136" s="98" customFormat="1" ht="15.75" customHeight="1" x14ac:dyDescent="0.25">
      <c r="A448" s="93">
        <v>46231</v>
      </c>
      <c r="B448" s="94" t="s">
        <v>16</v>
      </c>
      <c r="C448" s="95">
        <v>6024</v>
      </c>
      <c r="D448" s="20"/>
      <c r="E448" s="23" t="s">
        <v>119</v>
      </c>
      <c r="F448" s="21">
        <v>0.5</v>
      </c>
      <c r="G448" s="100"/>
      <c r="H448" s="21">
        <v>160</v>
      </c>
      <c r="I448" s="11">
        <f t="shared" si="14"/>
        <v>80</v>
      </c>
      <c r="J448" s="21"/>
      <c r="K448" s="21"/>
      <c r="L448" s="13">
        <f t="shared" si="17"/>
        <v>80</v>
      </c>
      <c r="M448" s="22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  <c r="BU448" s="9"/>
      <c r="BV448" s="9"/>
      <c r="BW448" s="9"/>
      <c r="BX448" s="9"/>
      <c r="BY448" s="9"/>
      <c r="BZ448" s="9"/>
      <c r="CA448" s="9"/>
      <c r="CB448" s="9"/>
      <c r="CC448" s="9"/>
      <c r="CD448" s="9"/>
      <c r="CE448" s="9"/>
      <c r="CF448" s="9"/>
      <c r="CG448" s="9"/>
      <c r="CH448" s="9"/>
      <c r="CI448" s="9"/>
      <c r="CJ448" s="9"/>
      <c r="CK448" s="9"/>
      <c r="CL448" s="9"/>
      <c r="CM448" s="9"/>
      <c r="CN448" s="9"/>
      <c r="CO448" s="9"/>
      <c r="CP448" s="9"/>
      <c r="CQ448" s="9"/>
      <c r="CR448" s="9"/>
      <c r="CS448" s="9"/>
      <c r="CT448" s="9"/>
      <c r="CU448" s="9"/>
      <c r="CV448" s="9"/>
      <c r="CW448" s="9"/>
      <c r="CX448" s="9"/>
      <c r="CY448" s="9"/>
      <c r="CZ448" s="9"/>
      <c r="DA448" s="9"/>
      <c r="DB448" s="9"/>
      <c r="DC448" s="9"/>
      <c r="DD448" s="9"/>
      <c r="DE448" s="9"/>
      <c r="DF448" s="9"/>
      <c r="DG448" s="9"/>
      <c r="DH448" s="9"/>
      <c r="DI448" s="9"/>
      <c r="DJ448" s="9"/>
      <c r="DK448" s="9"/>
      <c r="DL448" s="9"/>
      <c r="DM448" s="9"/>
      <c r="DN448" s="9"/>
      <c r="DO448" s="9"/>
      <c r="DP448" s="9"/>
      <c r="DQ448" s="9"/>
      <c r="DR448" s="9"/>
      <c r="DS448" s="9"/>
      <c r="DT448" s="9"/>
      <c r="DU448" s="9"/>
      <c r="DV448" s="9"/>
      <c r="DW448" s="9"/>
      <c r="DX448" s="9"/>
      <c r="DY448" s="9"/>
      <c r="DZ448" s="9"/>
      <c r="EA448" s="9"/>
      <c r="EB448" s="9"/>
      <c r="EC448" s="9"/>
      <c r="ED448" s="9"/>
      <c r="EE448" s="9"/>
      <c r="EF448" s="9"/>
    </row>
    <row r="449" spans="1:136" s="98" customFormat="1" ht="15.75" customHeight="1" x14ac:dyDescent="0.25">
      <c r="A449" s="93">
        <v>46231</v>
      </c>
      <c r="B449" s="94" t="s">
        <v>16</v>
      </c>
      <c r="C449" s="95">
        <v>6024</v>
      </c>
      <c r="D449" s="20"/>
      <c r="E449" s="23" t="s">
        <v>234</v>
      </c>
      <c r="F449" s="21">
        <v>2</v>
      </c>
      <c r="G449" s="100"/>
      <c r="H449" s="21">
        <v>80</v>
      </c>
      <c r="I449" s="11">
        <f t="shared" si="14"/>
        <v>160</v>
      </c>
      <c r="J449" s="21"/>
      <c r="K449" s="21"/>
      <c r="L449" s="13">
        <f t="shared" ref="L449:L457" si="18">I449-J449-K449</f>
        <v>160</v>
      </c>
      <c r="M449" s="22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  <c r="BU449" s="9"/>
      <c r="BV449" s="9"/>
      <c r="BW449" s="9"/>
      <c r="BX449" s="9"/>
      <c r="BY449" s="9"/>
      <c r="BZ449" s="9"/>
      <c r="CA449" s="9"/>
      <c r="CB449" s="9"/>
      <c r="CC449" s="9"/>
      <c r="CD449" s="9"/>
      <c r="CE449" s="9"/>
      <c r="CF449" s="9"/>
      <c r="CG449" s="9"/>
      <c r="CH449" s="9"/>
      <c r="CI449" s="9"/>
      <c r="CJ449" s="9"/>
      <c r="CK449" s="9"/>
      <c r="CL449" s="9"/>
      <c r="CM449" s="9"/>
      <c r="CN449" s="9"/>
      <c r="CO449" s="9"/>
      <c r="CP449" s="9"/>
      <c r="CQ449" s="9"/>
      <c r="CR449" s="9"/>
      <c r="CS449" s="9"/>
      <c r="CT449" s="9"/>
      <c r="CU449" s="9"/>
      <c r="CV449" s="9"/>
      <c r="CW449" s="9"/>
      <c r="CX449" s="9"/>
      <c r="CY449" s="9"/>
      <c r="CZ449" s="9"/>
      <c r="DA449" s="9"/>
      <c r="DB449" s="9"/>
      <c r="DC449" s="9"/>
      <c r="DD449" s="9"/>
      <c r="DE449" s="9"/>
      <c r="DF449" s="9"/>
      <c r="DG449" s="9"/>
      <c r="DH449" s="9"/>
      <c r="DI449" s="9"/>
      <c r="DJ449" s="9"/>
      <c r="DK449" s="9"/>
      <c r="DL449" s="9"/>
      <c r="DM449" s="9"/>
      <c r="DN449" s="9"/>
      <c r="DO449" s="9"/>
      <c r="DP449" s="9"/>
      <c r="DQ449" s="9"/>
      <c r="DR449" s="9"/>
      <c r="DS449" s="9"/>
      <c r="DT449" s="9"/>
      <c r="DU449" s="9"/>
      <c r="DV449" s="9"/>
      <c r="DW449" s="9"/>
      <c r="DX449" s="9"/>
      <c r="DY449" s="9"/>
      <c r="DZ449" s="9"/>
      <c r="EA449" s="9"/>
      <c r="EB449" s="9"/>
      <c r="EC449" s="9"/>
      <c r="ED449" s="9"/>
      <c r="EE449" s="9"/>
      <c r="EF449" s="9"/>
    </row>
    <row r="450" spans="1:136" s="98" customFormat="1" ht="15.75" customHeight="1" x14ac:dyDescent="0.25">
      <c r="A450" s="93">
        <v>46231</v>
      </c>
      <c r="B450" s="94" t="s">
        <v>16</v>
      </c>
      <c r="C450" s="95">
        <v>6024</v>
      </c>
      <c r="D450" s="20"/>
      <c r="E450" s="23" t="s">
        <v>34</v>
      </c>
      <c r="F450" s="21">
        <f>33/30</f>
        <v>1.1000000000000001</v>
      </c>
      <c r="G450" s="100"/>
      <c r="H450" s="21">
        <v>30</v>
      </c>
      <c r="I450" s="11">
        <f t="shared" si="14"/>
        <v>33</v>
      </c>
      <c r="J450" s="21"/>
      <c r="K450" s="21"/>
      <c r="L450" s="13">
        <f t="shared" si="18"/>
        <v>33</v>
      </c>
      <c r="M450" s="22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  <c r="BU450" s="9"/>
      <c r="BV450" s="9"/>
      <c r="BW450" s="9"/>
      <c r="BX450" s="9"/>
      <c r="BY450" s="9"/>
      <c r="BZ450" s="9"/>
      <c r="CA450" s="9"/>
      <c r="CB450" s="9"/>
      <c r="CC450" s="9"/>
      <c r="CD450" s="9"/>
      <c r="CE450" s="9"/>
      <c r="CF450" s="9"/>
      <c r="CG450" s="9"/>
      <c r="CH450" s="9"/>
      <c r="CI450" s="9"/>
      <c r="CJ450" s="9"/>
      <c r="CK450" s="9"/>
      <c r="CL450" s="9"/>
      <c r="CM450" s="9"/>
      <c r="CN450" s="9"/>
      <c r="CO450" s="9"/>
      <c r="CP450" s="9"/>
      <c r="CQ450" s="9"/>
      <c r="CR450" s="9"/>
      <c r="CS450" s="9"/>
      <c r="CT450" s="9"/>
      <c r="CU450" s="9"/>
      <c r="CV450" s="9"/>
      <c r="CW450" s="9"/>
      <c r="CX450" s="9"/>
      <c r="CY450" s="9"/>
      <c r="CZ450" s="9"/>
      <c r="DA450" s="9"/>
      <c r="DB450" s="9"/>
      <c r="DC450" s="9"/>
      <c r="DD450" s="9"/>
      <c r="DE450" s="9"/>
      <c r="DF450" s="9"/>
      <c r="DG450" s="9"/>
      <c r="DH450" s="9"/>
      <c r="DI450" s="9"/>
      <c r="DJ450" s="9"/>
      <c r="DK450" s="9"/>
      <c r="DL450" s="9"/>
      <c r="DM450" s="9"/>
      <c r="DN450" s="9"/>
      <c r="DO450" s="9"/>
      <c r="DP450" s="9"/>
      <c r="DQ450" s="9"/>
      <c r="DR450" s="9"/>
      <c r="DS450" s="9"/>
      <c r="DT450" s="9"/>
      <c r="DU450" s="9"/>
      <c r="DV450" s="9"/>
      <c r="DW450" s="9"/>
      <c r="DX450" s="9"/>
      <c r="DY450" s="9"/>
      <c r="DZ450" s="9"/>
      <c r="EA450" s="9"/>
      <c r="EB450" s="9"/>
      <c r="EC450" s="9"/>
      <c r="ED450" s="9"/>
      <c r="EE450" s="9"/>
      <c r="EF450" s="9"/>
    </row>
    <row r="451" spans="1:136" s="98" customFormat="1" ht="15.75" customHeight="1" x14ac:dyDescent="0.25">
      <c r="A451" s="93">
        <v>46231</v>
      </c>
      <c r="B451" s="94" t="s">
        <v>16</v>
      </c>
      <c r="C451" s="95">
        <v>6024</v>
      </c>
      <c r="D451" s="20"/>
      <c r="E451" s="23" t="s">
        <v>38</v>
      </c>
      <c r="F451" s="21">
        <v>1</v>
      </c>
      <c r="G451" s="100"/>
      <c r="H451" s="21">
        <v>120</v>
      </c>
      <c r="I451" s="11">
        <f t="shared" si="14"/>
        <v>120</v>
      </c>
      <c r="J451" s="21"/>
      <c r="K451" s="21"/>
      <c r="L451" s="13">
        <f t="shared" si="18"/>
        <v>120</v>
      </c>
      <c r="M451" s="22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  <c r="BU451" s="9"/>
      <c r="BV451" s="9"/>
      <c r="BW451" s="9"/>
      <c r="BX451" s="9"/>
      <c r="BY451" s="9"/>
      <c r="BZ451" s="9"/>
      <c r="CA451" s="9"/>
      <c r="CB451" s="9"/>
      <c r="CC451" s="9"/>
      <c r="CD451" s="9"/>
      <c r="CE451" s="9"/>
      <c r="CF451" s="9"/>
      <c r="CG451" s="9"/>
      <c r="CH451" s="9"/>
      <c r="CI451" s="9"/>
      <c r="CJ451" s="9"/>
      <c r="CK451" s="9"/>
      <c r="CL451" s="9"/>
      <c r="CM451" s="9"/>
      <c r="CN451" s="9"/>
      <c r="CO451" s="9"/>
      <c r="CP451" s="9"/>
      <c r="CQ451" s="9"/>
      <c r="CR451" s="9"/>
      <c r="CS451" s="9"/>
      <c r="CT451" s="9"/>
      <c r="CU451" s="9"/>
      <c r="CV451" s="9"/>
      <c r="CW451" s="9"/>
      <c r="CX451" s="9"/>
      <c r="CY451" s="9"/>
      <c r="CZ451" s="9"/>
      <c r="DA451" s="9"/>
      <c r="DB451" s="9"/>
      <c r="DC451" s="9"/>
      <c r="DD451" s="9"/>
      <c r="DE451" s="9"/>
      <c r="DF451" s="9"/>
      <c r="DG451" s="9"/>
      <c r="DH451" s="9"/>
      <c r="DI451" s="9"/>
      <c r="DJ451" s="9"/>
      <c r="DK451" s="9"/>
      <c r="DL451" s="9"/>
      <c r="DM451" s="9"/>
      <c r="DN451" s="9"/>
      <c r="DO451" s="9"/>
      <c r="DP451" s="9"/>
      <c r="DQ451" s="9"/>
      <c r="DR451" s="9"/>
      <c r="DS451" s="9"/>
      <c r="DT451" s="9"/>
      <c r="DU451" s="9"/>
      <c r="DV451" s="9"/>
      <c r="DW451" s="9"/>
      <c r="DX451" s="9"/>
      <c r="DY451" s="9"/>
      <c r="DZ451" s="9"/>
      <c r="EA451" s="9"/>
      <c r="EB451" s="9"/>
      <c r="EC451" s="9"/>
      <c r="ED451" s="9"/>
      <c r="EE451" s="9"/>
      <c r="EF451" s="9"/>
    </row>
    <row r="452" spans="1:136" s="98" customFormat="1" ht="15.75" customHeight="1" x14ac:dyDescent="0.25">
      <c r="A452" s="93">
        <v>46231</v>
      </c>
      <c r="B452" s="94" t="s">
        <v>16</v>
      </c>
      <c r="C452" s="95">
        <v>6024</v>
      </c>
      <c r="D452" s="20"/>
      <c r="E452" s="23" t="s">
        <v>71</v>
      </c>
      <c r="F452" s="21">
        <v>1</v>
      </c>
      <c r="G452" s="100"/>
      <c r="H452" s="21">
        <v>70</v>
      </c>
      <c r="I452" s="11">
        <f t="shared" si="14"/>
        <v>70</v>
      </c>
      <c r="J452" s="21"/>
      <c r="K452" s="21"/>
      <c r="L452" s="13">
        <f t="shared" si="18"/>
        <v>70</v>
      </c>
      <c r="M452" s="22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  <c r="BU452" s="9"/>
      <c r="BV452" s="9"/>
      <c r="BW452" s="9"/>
      <c r="BX452" s="9"/>
      <c r="BY452" s="9"/>
      <c r="BZ452" s="9"/>
      <c r="CA452" s="9"/>
      <c r="CB452" s="9"/>
      <c r="CC452" s="9"/>
      <c r="CD452" s="9"/>
      <c r="CE452" s="9"/>
      <c r="CF452" s="9"/>
      <c r="CG452" s="9"/>
      <c r="CH452" s="9"/>
      <c r="CI452" s="9"/>
      <c r="CJ452" s="9"/>
      <c r="CK452" s="9"/>
      <c r="CL452" s="9"/>
      <c r="CM452" s="9"/>
      <c r="CN452" s="9"/>
      <c r="CO452" s="9"/>
      <c r="CP452" s="9"/>
      <c r="CQ452" s="9"/>
      <c r="CR452" s="9"/>
      <c r="CS452" s="9"/>
      <c r="CT452" s="9"/>
      <c r="CU452" s="9"/>
      <c r="CV452" s="9"/>
      <c r="CW452" s="9"/>
      <c r="CX452" s="9"/>
      <c r="CY452" s="9"/>
      <c r="CZ452" s="9"/>
      <c r="DA452" s="9"/>
      <c r="DB452" s="9"/>
      <c r="DC452" s="9"/>
      <c r="DD452" s="9"/>
      <c r="DE452" s="9"/>
      <c r="DF452" s="9"/>
      <c r="DG452" s="9"/>
      <c r="DH452" s="9"/>
      <c r="DI452" s="9"/>
      <c r="DJ452" s="9"/>
      <c r="DK452" s="9"/>
      <c r="DL452" s="9"/>
      <c r="DM452" s="9"/>
      <c r="DN452" s="9"/>
      <c r="DO452" s="9"/>
      <c r="DP452" s="9"/>
      <c r="DQ452" s="9"/>
      <c r="DR452" s="9"/>
      <c r="DS452" s="9"/>
      <c r="DT452" s="9"/>
      <c r="DU452" s="9"/>
      <c r="DV452" s="9"/>
      <c r="DW452" s="9"/>
      <c r="DX452" s="9"/>
      <c r="DY452" s="9"/>
      <c r="DZ452" s="9"/>
      <c r="EA452" s="9"/>
      <c r="EB452" s="9"/>
      <c r="EC452" s="9"/>
      <c r="ED452" s="9"/>
      <c r="EE452" s="9"/>
      <c r="EF452" s="9"/>
    </row>
    <row r="453" spans="1:136" s="98" customFormat="1" ht="15.75" customHeight="1" x14ac:dyDescent="0.25">
      <c r="A453" s="93">
        <v>46231</v>
      </c>
      <c r="B453" s="94" t="s">
        <v>16</v>
      </c>
      <c r="C453" s="95">
        <v>6024</v>
      </c>
      <c r="D453" s="20"/>
      <c r="E453" s="23" t="s">
        <v>37</v>
      </c>
      <c r="F453" s="21">
        <v>1</v>
      </c>
      <c r="G453" s="100"/>
      <c r="H453" s="21">
        <v>65</v>
      </c>
      <c r="I453" s="11">
        <f t="shared" si="14"/>
        <v>65</v>
      </c>
      <c r="J453" s="21"/>
      <c r="K453" s="21"/>
      <c r="L453" s="13">
        <f t="shared" si="18"/>
        <v>65</v>
      </c>
      <c r="M453" s="22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  <c r="BU453" s="9"/>
      <c r="BV453" s="9"/>
      <c r="BW453" s="9"/>
      <c r="BX453" s="9"/>
      <c r="BY453" s="9"/>
      <c r="BZ453" s="9"/>
      <c r="CA453" s="9"/>
      <c r="CB453" s="9"/>
      <c r="CC453" s="9"/>
      <c r="CD453" s="9"/>
      <c r="CE453" s="9"/>
      <c r="CF453" s="9"/>
      <c r="CG453" s="9"/>
      <c r="CH453" s="9"/>
      <c r="CI453" s="9"/>
      <c r="CJ453" s="9"/>
      <c r="CK453" s="9"/>
      <c r="CL453" s="9"/>
      <c r="CM453" s="9"/>
      <c r="CN453" s="9"/>
      <c r="CO453" s="9"/>
      <c r="CP453" s="9"/>
      <c r="CQ453" s="9"/>
      <c r="CR453" s="9"/>
      <c r="CS453" s="9"/>
      <c r="CT453" s="9"/>
      <c r="CU453" s="9"/>
      <c r="CV453" s="9"/>
      <c r="CW453" s="9"/>
      <c r="CX453" s="9"/>
      <c r="CY453" s="9"/>
      <c r="CZ453" s="9"/>
      <c r="DA453" s="9"/>
      <c r="DB453" s="9"/>
      <c r="DC453" s="9"/>
      <c r="DD453" s="9"/>
      <c r="DE453" s="9"/>
      <c r="DF453" s="9"/>
      <c r="DG453" s="9"/>
      <c r="DH453" s="9"/>
      <c r="DI453" s="9"/>
      <c r="DJ453" s="9"/>
      <c r="DK453" s="9"/>
      <c r="DL453" s="9"/>
      <c r="DM453" s="9"/>
      <c r="DN453" s="9"/>
      <c r="DO453" s="9"/>
      <c r="DP453" s="9"/>
      <c r="DQ453" s="9"/>
      <c r="DR453" s="9"/>
      <c r="DS453" s="9"/>
      <c r="DT453" s="9"/>
      <c r="DU453" s="9"/>
      <c r="DV453" s="9"/>
      <c r="DW453" s="9"/>
      <c r="DX453" s="9"/>
      <c r="DY453" s="9"/>
      <c r="DZ453" s="9"/>
      <c r="EA453" s="9"/>
      <c r="EB453" s="9"/>
      <c r="EC453" s="9"/>
      <c r="ED453" s="9"/>
      <c r="EE453" s="9"/>
      <c r="EF453" s="9"/>
    </row>
    <row r="454" spans="1:136" s="98" customFormat="1" ht="15.75" customHeight="1" x14ac:dyDescent="0.25">
      <c r="A454" s="93">
        <v>46231</v>
      </c>
      <c r="B454" s="94" t="s">
        <v>16</v>
      </c>
      <c r="C454" s="95">
        <v>6024</v>
      </c>
      <c r="D454" s="20"/>
      <c r="E454" s="23" t="s">
        <v>45</v>
      </c>
      <c r="F454" s="21">
        <v>1</v>
      </c>
      <c r="G454" s="100"/>
      <c r="H454" s="21">
        <v>40</v>
      </c>
      <c r="I454" s="11">
        <f t="shared" si="14"/>
        <v>40</v>
      </c>
      <c r="J454" s="21"/>
      <c r="K454" s="21"/>
      <c r="L454" s="13">
        <f t="shared" si="18"/>
        <v>40</v>
      </c>
      <c r="M454" s="22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  <c r="BU454" s="9"/>
      <c r="BV454" s="9"/>
      <c r="BW454" s="9"/>
      <c r="BX454" s="9"/>
      <c r="BY454" s="9"/>
      <c r="BZ454" s="9"/>
      <c r="CA454" s="9"/>
      <c r="CB454" s="9"/>
      <c r="CC454" s="9"/>
      <c r="CD454" s="9"/>
      <c r="CE454" s="9"/>
      <c r="CF454" s="9"/>
      <c r="CG454" s="9"/>
      <c r="CH454" s="9"/>
      <c r="CI454" s="9"/>
      <c r="CJ454" s="9"/>
      <c r="CK454" s="9"/>
      <c r="CL454" s="9"/>
      <c r="CM454" s="9"/>
      <c r="CN454" s="9"/>
      <c r="CO454" s="9"/>
      <c r="CP454" s="9"/>
      <c r="CQ454" s="9"/>
      <c r="CR454" s="9"/>
      <c r="CS454" s="9"/>
      <c r="CT454" s="9"/>
      <c r="CU454" s="9"/>
      <c r="CV454" s="9"/>
      <c r="CW454" s="9"/>
      <c r="CX454" s="9"/>
      <c r="CY454" s="9"/>
      <c r="CZ454" s="9"/>
      <c r="DA454" s="9"/>
      <c r="DB454" s="9"/>
      <c r="DC454" s="9"/>
      <c r="DD454" s="9"/>
      <c r="DE454" s="9"/>
      <c r="DF454" s="9"/>
      <c r="DG454" s="9"/>
      <c r="DH454" s="9"/>
      <c r="DI454" s="9"/>
      <c r="DJ454" s="9"/>
      <c r="DK454" s="9"/>
      <c r="DL454" s="9"/>
      <c r="DM454" s="9"/>
      <c r="DN454" s="9"/>
      <c r="DO454" s="9"/>
      <c r="DP454" s="9"/>
      <c r="DQ454" s="9"/>
      <c r="DR454" s="9"/>
      <c r="DS454" s="9"/>
      <c r="DT454" s="9"/>
      <c r="DU454" s="9"/>
      <c r="DV454" s="9"/>
      <c r="DW454" s="9"/>
      <c r="DX454" s="9"/>
      <c r="DY454" s="9"/>
      <c r="DZ454" s="9"/>
      <c r="EA454" s="9"/>
      <c r="EB454" s="9"/>
      <c r="EC454" s="9"/>
      <c r="ED454" s="9"/>
      <c r="EE454" s="9"/>
      <c r="EF454" s="9"/>
    </row>
    <row r="455" spans="1:136" s="98" customFormat="1" ht="15.75" customHeight="1" x14ac:dyDescent="0.25">
      <c r="A455" s="93">
        <v>46231</v>
      </c>
      <c r="B455" s="94" t="s">
        <v>16</v>
      </c>
      <c r="C455" s="95">
        <v>6024</v>
      </c>
      <c r="D455" s="20"/>
      <c r="E455" s="23" t="s">
        <v>29</v>
      </c>
      <c r="F455" s="21">
        <v>4</v>
      </c>
      <c r="G455" s="100"/>
      <c r="H455" s="21">
        <v>80</v>
      </c>
      <c r="I455" s="11">
        <f t="shared" ref="I455:I518" si="19">F455*H455</f>
        <v>320</v>
      </c>
      <c r="J455" s="21"/>
      <c r="K455" s="21"/>
      <c r="L455" s="13">
        <f t="shared" si="18"/>
        <v>320</v>
      </c>
      <c r="M455" s="22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  <c r="BU455" s="9"/>
      <c r="BV455" s="9"/>
      <c r="BW455" s="9"/>
      <c r="BX455" s="9"/>
      <c r="BY455" s="9"/>
      <c r="BZ455" s="9"/>
      <c r="CA455" s="9"/>
      <c r="CB455" s="9"/>
      <c r="CC455" s="9"/>
      <c r="CD455" s="9"/>
      <c r="CE455" s="9"/>
      <c r="CF455" s="9"/>
      <c r="CG455" s="9"/>
      <c r="CH455" s="9"/>
      <c r="CI455" s="9"/>
      <c r="CJ455" s="9"/>
      <c r="CK455" s="9"/>
      <c r="CL455" s="9"/>
      <c r="CM455" s="9"/>
      <c r="CN455" s="9"/>
      <c r="CO455" s="9"/>
      <c r="CP455" s="9"/>
      <c r="CQ455" s="9"/>
      <c r="CR455" s="9"/>
      <c r="CS455" s="9"/>
      <c r="CT455" s="9"/>
      <c r="CU455" s="9"/>
      <c r="CV455" s="9"/>
      <c r="CW455" s="9"/>
      <c r="CX455" s="9"/>
      <c r="CY455" s="9"/>
      <c r="CZ455" s="9"/>
      <c r="DA455" s="9"/>
      <c r="DB455" s="9"/>
      <c r="DC455" s="9"/>
      <c r="DD455" s="9"/>
      <c r="DE455" s="9"/>
      <c r="DF455" s="9"/>
      <c r="DG455" s="9"/>
      <c r="DH455" s="9"/>
      <c r="DI455" s="9"/>
      <c r="DJ455" s="9"/>
      <c r="DK455" s="9"/>
      <c r="DL455" s="9"/>
      <c r="DM455" s="9"/>
      <c r="DN455" s="9"/>
      <c r="DO455" s="9"/>
      <c r="DP455" s="9"/>
      <c r="DQ455" s="9"/>
      <c r="DR455" s="9"/>
      <c r="DS455" s="9"/>
      <c r="DT455" s="9"/>
      <c r="DU455" s="9"/>
      <c r="DV455" s="9"/>
      <c r="DW455" s="9"/>
      <c r="DX455" s="9"/>
      <c r="DY455" s="9"/>
      <c r="DZ455" s="9"/>
      <c r="EA455" s="9"/>
      <c r="EB455" s="9"/>
      <c r="EC455" s="9"/>
      <c r="ED455" s="9"/>
      <c r="EE455" s="9"/>
      <c r="EF455" s="9"/>
    </row>
    <row r="456" spans="1:136" s="98" customFormat="1" ht="15.75" customHeight="1" x14ac:dyDescent="0.25">
      <c r="A456" s="93">
        <v>46231</v>
      </c>
      <c r="B456" s="94" t="s">
        <v>16</v>
      </c>
      <c r="C456" s="95">
        <v>6024</v>
      </c>
      <c r="D456" s="20"/>
      <c r="E456" s="23" t="s">
        <v>30</v>
      </c>
      <c r="F456" s="21">
        <v>1</v>
      </c>
      <c r="G456" s="100"/>
      <c r="H456" s="21">
        <v>40</v>
      </c>
      <c r="I456" s="11">
        <f t="shared" si="19"/>
        <v>40</v>
      </c>
      <c r="J456" s="21"/>
      <c r="K456" s="21"/>
      <c r="L456" s="13">
        <f t="shared" si="18"/>
        <v>40</v>
      </c>
      <c r="M456" s="22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  <c r="BU456" s="9"/>
      <c r="BV456" s="9"/>
      <c r="BW456" s="9"/>
      <c r="BX456" s="9"/>
      <c r="BY456" s="9"/>
      <c r="BZ456" s="9"/>
      <c r="CA456" s="9"/>
      <c r="CB456" s="9"/>
      <c r="CC456" s="9"/>
      <c r="CD456" s="9"/>
      <c r="CE456" s="9"/>
      <c r="CF456" s="9"/>
      <c r="CG456" s="9"/>
      <c r="CH456" s="9"/>
      <c r="CI456" s="9"/>
      <c r="CJ456" s="9"/>
      <c r="CK456" s="9"/>
      <c r="CL456" s="9"/>
      <c r="CM456" s="9"/>
      <c r="CN456" s="9"/>
      <c r="CO456" s="9"/>
      <c r="CP456" s="9"/>
      <c r="CQ456" s="9"/>
      <c r="CR456" s="9"/>
      <c r="CS456" s="9"/>
      <c r="CT456" s="9"/>
      <c r="CU456" s="9"/>
      <c r="CV456" s="9"/>
      <c r="CW456" s="9"/>
      <c r="CX456" s="9"/>
      <c r="CY456" s="9"/>
      <c r="CZ456" s="9"/>
      <c r="DA456" s="9"/>
      <c r="DB456" s="9"/>
      <c r="DC456" s="9"/>
      <c r="DD456" s="9"/>
      <c r="DE456" s="9"/>
      <c r="DF456" s="9"/>
      <c r="DG456" s="9"/>
      <c r="DH456" s="9"/>
      <c r="DI456" s="9"/>
      <c r="DJ456" s="9"/>
      <c r="DK456" s="9"/>
      <c r="DL456" s="9"/>
      <c r="DM456" s="9"/>
      <c r="DN456" s="9"/>
      <c r="DO456" s="9"/>
      <c r="DP456" s="9"/>
      <c r="DQ456" s="9"/>
      <c r="DR456" s="9"/>
      <c r="DS456" s="9"/>
      <c r="DT456" s="9"/>
      <c r="DU456" s="9"/>
      <c r="DV456" s="9"/>
      <c r="DW456" s="9"/>
      <c r="DX456" s="9"/>
      <c r="DY456" s="9"/>
      <c r="DZ456" s="9"/>
      <c r="EA456" s="9"/>
      <c r="EB456" s="9"/>
      <c r="EC456" s="9"/>
      <c r="ED456" s="9"/>
      <c r="EE456" s="9"/>
      <c r="EF456" s="9"/>
    </row>
    <row r="457" spans="1:136" s="98" customFormat="1" ht="15.75" customHeight="1" x14ac:dyDescent="0.25">
      <c r="A457" s="93">
        <v>46231</v>
      </c>
      <c r="B457" s="94" t="s">
        <v>16</v>
      </c>
      <c r="C457" s="95">
        <v>6024</v>
      </c>
      <c r="D457" s="20"/>
      <c r="E457" s="23" t="s">
        <v>182</v>
      </c>
      <c r="F457" s="21">
        <v>3</v>
      </c>
      <c r="G457" s="100"/>
      <c r="H457" s="21">
        <v>55</v>
      </c>
      <c r="I457" s="11">
        <f t="shared" si="19"/>
        <v>165</v>
      </c>
      <c r="J457" s="21"/>
      <c r="K457" s="21"/>
      <c r="L457" s="13">
        <f t="shared" si="18"/>
        <v>165</v>
      </c>
      <c r="M457" s="22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  <c r="BU457" s="9"/>
      <c r="BV457" s="9"/>
      <c r="BW457" s="9"/>
      <c r="BX457" s="9"/>
      <c r="BY457" s="9"/>
      <c r="BZ457" s="9"/>
      <c r="CA457" s="9"/>
      <c r="CB457" s="9"/>
      <c r="CC457" s="9"/>
      <c r="CD457" s="9"/>
      <c r="CE457" s="9"/>
      <c r="CF457" s="9"/>
      <c r="CG457" s="9"/>
      <c r="CH457" s="9"/>
      <c r="CI457" s="9"/>
      <c r="CJ457" s="9"/>
      <c r="CK457" s="9"/>
      <c r="CL457" s="9"/>
      <c r="CM457" s="9"/>
      <c r="CN457" s="9"/>
      <c r="CO457" s="9"/>
      <c r="CP457" s="9"/>
      <c r="CQ457" s="9"/>
      <c r="CR457" s="9"/>
      <c r="CS457" s="9"/>
      <c r="CT457" s="9"/>
      <c r="CU457" s="9"/>
      <c r="CV457" s="9"/>
      <c r="CW457" s="9"/>
      <c r="CX457" s="9"/>
      <c r="CY457" s="9"/>
      <c r="CZ457" s="9"/>
      <c r="DA457" s="9"/>
      <c r="DB457" s="9"/>
      <c r="DC457" s="9"/>
      <c r="DD457" s="9"/>
      <c r="DE457" s="9"/>
      <c r="DF457" s="9"/>
      <c r="DG457" s="9"/>
      <c r="DH457" s="9"/>
      <c r="DI457" s="9"/>
      <c r="DJ457" s="9"/>
      <c r="DK457" s="9"/>
      <c r="DL457" s="9"/>
      <c r="DM457" s="9"/>
      <c r="DN457" s="9"/>
      <c r="DO457" s="9"/>
      <c r="DP457" s="9"/>
      <c r="DQ457" s="9"/>
      <c r="DR457" s="9"/>
      <c r="DS457" s="9"/>
      <c r="DT457" s="9"/>
      <c r="DU457" s="9"/>
      <c r="DV457" s="9"/>
      <c r="DW457" s="9"/>
      <c r="DX457" s="9"/>
      <c r="DY457" s="9"/>
      <c r="DZ457" s="9"/>
      <c r="EA457" s="9"/>
      <c r="EB457" s="9"/>
      <c r="EC457" s="9"/>
      <c r="ED457" s="9"/>
      <c r="EE457" s="9"/>
      <c r="EF457" s="9"/>
    </row>
    <row r="458" spans="1:136" s="98" customFormat="1" ht="15.75" customHeight="1" x14ac:dyDescent="0.25">
      <c r="A458" s="93">
        <v>46231</v>
      </c>
      <c r="B458" s="94" t="s">
        <v>16</v>
      </c>
      <c r="C458" s="95">
        <v>6024</v>
      </c>
      <c r="D458" s="20"/>
      <c r="E458" s="99" t="s">
        <v>42</v>
      </c>
      <c r="F458" s="21">
        <v>3</v>
      </c>
      <c r="G458" s="100"/>
      <c r="H458" s="21">
        <v>65</v>
      </c>
      <c r="I458" s="11">
        <f t="shared" si="19"/>
        <v>195</v>
      </c>
      <c r="J458" s="21"/>
      <c r="K458" s="21"/>
      <c r="L458" s="13">
        <f t="shared" si="13"/>
        <v>195</v>
      </c>
      <c r="M458" s="22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  <c r="BU458" s="9"/>
      <c r="BV458" s="9"/>
      <c r="BW458" s="9"/>
      <c r="BX458" s="9"/>
      <c r="BY458" s="9"/>
      <c r="BZ458" s="9"/>
      <c r="CA458" s="9"/>
      <c r="CB458" s="9"/>
      <c r="CC458" s="9"/>
      <c r="CD458" s="9"/>
      <c r="CE458" s="9"/>
      <c r="CF458" s="9"/>
      <c r="CG458" s="9"/>
      <c r="CH458" s="9"/>
      <c r="CI458" s="9"/>
      <c r="CJ458" s="9"/>
      <c r="CK458" s="9"/>
      <c r="CL458" s="9"/>
      <c r="CM458" s="9"/>
      <c r="CN458" s="9"/>
      <c r="CO458" s="9"/>
      <c r="CP458" s="9"/>
      <c r="CQ458" s="9"/>
      <c r="CR458" s="9"/>
      <c r="CS458" s="9"/>
      <c r="CT458" s="9"/>
      <c r="CU458" s="9"/>
      <c r="CV458" s="9"/>
      <c r="CW458" s="9"/>
      <c r="CX458" s="9"/>
      <c r="CY458" s="9"/>
      <c r="CZ458" s="9"/>
      <c r="DA458" s="9"/>
      <c r="DB458" s="9"/>
      <c r="DC458" s="9"/>
      <c r="DD458" s="9"/>
      <c r="DE458" s="9"/>
      <c r="DF458" s="9"/>
      <c r="DG458" s="9"/>
      <c r="DH458" s="9"/>
      <c r="DI458" s="9"/>
      <c r="DJ458" s="9"/>
      <c r="DK458" s="9"/>
      <c r="DL458" s="9"/>
      <c r="DM458" s="9"/>
      <c r="DN458" s="9"/>
      <c r="DO458" s="9"/>
      <c r="DP458" s="9"/>
      <c r="DQ458" s="9"/>
      <c r="DR458" s="9"/>
      <c r="DS458" s="9"/>
      <c r="DT458" s="9"/>
      <c r="DU458" s="9"/>
      <c r="DV458" s="9"/>
      <c r="DW458" s="9"/>
      <c r="DX458" s="9"/>
      <c r="DY458" s="9"/>
      <c r="DZ458" s="9"/>
      <c r="EA458" s="9"/>
      <c r="EB458" s="9"/>
      <c r="EC458" s="9"/>
      <c r="ED458" s="9"/>
      <c r="EE458" s="9"/>
      <c r="EF458" s="9"/>
    </row>
    <row r="459" spans="1:136" s="98" customFormat="1" ht="15.75" customHeight="1" x14ac:dyDescent="0.25">
      <c r="A459" s="93">
        <v>46231</v>
      </c>
      <c r="B459" s="94" t="s">
        <v>16</v>
      </c>
      <c r="C459" s="95">
        <v>6024</v>
      </c>
      <c r="D459" s="20"/>
      <c r="E459" s="99" t="s">
        <v>26</v>
      </c>
      <c r="F459" s="21">
        <v>3</v>
      </c>
      <c r="G459" s="100"/>
      <c r="H459" s="21">
        <v>60</v>
      </c>
      <c r="I459" s="11">
        <f t="shared" si="19"/>
        <v>180</v>
      </c>
      <c r="J459" s="21"/>
      <c r="K459" s="21"/>
      <c r="L459" s="13">
        <f t="shared" ref="L459:L465" si="20">I459-J459-K459</f>
        <v>180</v>
      </c>
      <c r="M459" s="22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  <c r="BU459" s="9"/>
      <c r="BV459" s="9"/>
      <c r="BW459" s="9"/>
      <c r="BX459" s="9"/>
      <c r="BY459" s="9"/>
      <c r="BZ459" s="9"/>
      <c r="CA459" s="9"/>
      <c r="CB459" s="9"/>
      <c r="CC459" s="9"/>
      <c r="CD459" s="9"/>
      <c r="CE459" s="9"/>
      <c r="CF459" s="9"/>
      <c r="CG459" s="9"/>
      <c r="CH459" s="9"/>
      <c r="CI459" s="9"/>
      <c r="CJ459" s="9"/>
      <c r="CK459" s="9"/>
      <c r="CL459" s="9"/>
      <c r="CM459" s="9"/>
      <c r="CN459" s="9"/>
      <c r="CO459" s="9"/>
      <c r="CP459" s="9"/>
      <c r="CQ459" s="9"/>
      <c r="CR459" s="9"/>
      <c r="CS459" s="9"/>
      <c r="CT459" s="9"/>
      <c r="CU459" s="9"/>
      <c r="CV459" s="9"/>
      <c r="CW459" s="9"/>
      <c r="CX459" s="9"/>
      <c r="CY459" s="9"/>
      <c r="CZ459" s="9"/>
      <c r="DA459" s="9"/>
      <c r="DB459" s="9"/>
      <c r="DC459" s="9"/>
      <c r="DD459" s="9"/>
      <c r="DE459" s="9"/>
      <c r="DF459" s="9"/>
      <c r="DG459" s="9"/>
      <c r="DH459" s="9"/>
      <c r="DI459" s="9"/>
      <c r="DJ459" s="9"/>
      <c r="DK459" s="9"/>
      <c r="DL459" s="9"/>
      <c r="DM459" s="9"/>
      <c r="DN459" s="9"/>
      <c r="DO459" s="9"/>
      <c r="DP459" s="9"/>
      <c r="DQ459" s="9"/>
      <c r="DR459" s="9"/>
      <c r="DS459" s="9"/>
      <c r="DT459" s="9"/>
      <c r="DU459" s="9"/>
      <c r="DV459" s="9"/>
      <c r="DW459" s="9"/>
      <c r="DX459" s="9"/>
      <c r="DY459" s="9"/>
      <c r="DZ459" s="9"/>
      <c r="EA459" s="9"/>
      <c r="EB459" s="9"/>
      <c r="EC459" s="9"/>
      <c r="ED459" s="9"/>
      <c r="EE459" s="9"/>
      <c r="EF459" s="9"/>
    </row>
    <row r="460" spans="1:136" s="98" customFormat="1" ht="15.75" customHeight="1" x14ac:dyDescent="0.25">
      <c r="A460" s="93">
        <v>46231</v>
      </c>
      <c r="B460" s="94" t="s">
        <v>16</v>
      </c>
      <c r="C460" s="95">
        <v>6024</v>
      </c>
      <c r="D460" s="20"/>
      <c r="E460" s="99" t="s">
        <v>235</v>
      </c>
      <c r="F460" s="21">
        <v>1</v>
      </c>
      <c r="G460" s="100"/>
      <c r="H460" s="21">
        <v>105</v>
      </c>
      <c r="I460" s="11">
        <f t="shared" si="19"/>
        <v>105</v>
      </c>
      <c r="J460" s="21"/>
      <c r="K460" s="21"/>
      <c r="L460" s="13">
        <f t="shared" si="20"/>
        <v>105</v>
      </c>
      <c r="M460" s="22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  <c r="BU460" s="9"/>
      <c r="BV460" s="9"/>
      <c r="BW460" s="9"/>
      <c r="BX460" s="9"/>
      <c r="BY460" s="9"/>
      <c r="BZ460" s="9"/>
      <c r="CA460" s="9"/>
      <c r="CB460" s="9"/>
      <c r="CC460" s="9"/>
      <c r="CD460" s="9"/>
      <c r="CE460" s="9"/>
      <c r="CF460" s="9"/>
      <c r="CG460" s="9"/>
      <c r="CH460" s="9"/>
      <c r="CI460" s="9"/>
      <c r="CJ460" s="9"/>
      <c r="CK460" s="9"/>
      <c r="CL460" s="9"/>
      <c r="CM460" s="9"/>
      <c r="CN460" s="9"/>
      <c r="CO460" s="9"/>
      <c r="CP460" s="9"/>
      <c r="CQ460" s="9"/>
      <c r="CR460" s="9"/>
      <c r="CS460" s="9"/>
      <c r="CT460" s="9"/>
      <c r="CU460" s="9"/>
      <c r="CV460" s="9"/>
      <c r="CW460" s="9"/>
      <c r="CX460" s="9"/>
      <c r="CY460" s="9"/>
      <c r="CZ460" s="9"/>
      <c r="DA460" s="9"/>
      <c r="DB460" s="9"/>
      <c r="DC460" s="9"/>
      <c r="DD460" s="9"/>
      <c r="DE460" s="9"/>
      <c r="DF460" s="9"/>
      <c r="DG460" s="9"/>
      <c r="DH460" s="9"/>
      <c r="DI460" s="9"/>
      <c r="DJ460" s="9"/>
      <c r="DK460" s="9"/>
      <c r="DL460" s="9"/>
      <c r="DM460" s="9"/>
      <c r="DN460" s="9"/>
      <c r="DO460" s="9"/>
      <c r="DP460" s="9"/>
      <c r="DQ460" s="9"/>
      <c r="DR460" s="9"/>
      <c r="DS460" s="9"/>
      <c r="DT460" s="9"/>
      <c r="DU460" s="9"/>
      <c r="DV460" s="9"/>
      <c r="DW460" s="9"/>
      <c r="DX460" s="9"/>
      <c r="DY460" s="9"/>
      <c r="DZ460" s="9"/>
      <c r="EA460" s="9"/>
      <c r="EB460" s="9"/>
      <c r="EC460" s="9"/>
      <c r="ED460" s="9"/>
      <c r="EE460" s="9"/>
      <c r="EF460" s="9"/>
    </row>
    <row r="461" spans="1:136" s="98" customFormat="1" ht="15.75" customHeight="1" x14ac:dyDescent="0.25">
      <c r="A461" s="93">
        <v>46231</v>
      </c>
      <c r="B461" s="94" t="s">
        <v>16</v>
      </c>
      <c r="C461" s="95">
        <v>6024</v>
      </c>
      <c r="D461" s="20"/>
      <c r="E461" s="99" t="s">
        <v>31</v>
      </c>
      <c r="F461" s="21">
        <v>4</v>
      </c>
      <c r="G461" s="100"/>
      <c r="H461" s="21">
        <v>40</v>
      </c>
      <c r="I461" s="11">
        <f t="shared" si="19"/>
        <v>160</v>
      </c>
      <c r="J461" s="21"/>
      <c r="K461" s="21"/>
      <c r="L461" s="13">
        <f t="shared" si="20"/>
        <v>160</v>
      </c>
      <c r="M461" s="22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  <c r="BU461" s="9"/>
      <c r="BV461" s="9"/>
      <c r="BW461" s="9"/>
      <c r="BX461" s="9"/>
      <c r="BY461" s="9"/>
      <c r="BZ461" s="9"/>
      <c r="CA461" s="9"/>
      <c r="CB461" s="9"/>
      <c r="CC461" s="9"/>
      <c r="CD461" s="9"/>
      <c r="CE461" s="9"/>
      <c r="CF461" s="9"/>
      <c r="CG461" s="9"/>
      <c r="CH461" s="9"/>
      <c r="CI461" s="9"/>
      <c r="CJ461" s="9"/>
      <c r="CK461" s="9"/>
      <c r="CL461" s="9"/>
      <c r="CM461" s="9"/>
      <c r="CN461" s="9"/>
      <c r="CO461" s="9"/>
      <c r="CP461" s="9"/>
      <c r="CQ461" s="9"/>
      <c r="CR461" s="9"/>
      <c r="CS461" s="9"/>
      <c r="CT461" s="9"/>
      <c r="CU461" s="9"/>
      <c r="CV461" s="9"/>
      <c r="CW461" s="9"/>
      <c r="CX461" s="9"/>
      <c r="CY461" s="9"/>
      <c r="CZ461" s="9"/>
      <c r="DA461" s="9"/>
      <c r="DB461" s="9"/>
      <c r="DC461" s="9"/>
      <c r="DD461" s="9"/>
      <c r="DE461" s="9"/>
      <c r="DF461" s="9"/>
      <c r="DG461" s="9"/>
      <c r="DH461" s="9"/>
      <c r="DI461" s="9"/>
      <c r="DJ461" s="9"/>
      <c r="DK461" s="9"/>
      <c r="DL461" s="9"/>
      <c r="DM461" s="9"/>
      <c r="DN461" s="9"/>
      <c r="DO461" s="9"/>
      <c r="DP461" s="9"/>
      <c r="DQ461" s="9"/>
      <c r="DR461" s="9"/>
      <c r="DS461" s="9"/>
      <c r="DT461" s="9"/>
      <c r="DU461" s="9"/>
      <c r="DV461" s="9"/>
      <c r="DW461" s="9"/>
      <c r="DX461" s="9"/>
      <c r="DY461" s="9"/>
      <c r="DZ461" s="9"/>
      <c r="EA461" s="9"/>
      <c r="EB461" s="9"/>
      <c r="EC461" s="9"/>
      <c r="ED461" s="9"/>
      <c r="EE461" s="9"/>
      <c r="EF461" s="9"/>
    </row>
    <row r="462" spans="1:136" s="98" customFormat="1" ht="15.75" customHeight="1" x14ac:dyDescent="0.25">
      <c r="A462" s="93">
        <v>46231</v>
      </c>
      <c r="B462" s="94" t="s">
        <v>16</v>
      </c>
      <c r="C462" s="95">
        <v>6024</v>
      </c>
      <c r="D462" s="20"/>
      <c r="E462" s="99" t="s">
        <v>139</v>
      </c>
      <c r="F462" s="21">
        <v>2</v>
      </c>
      <c r="G462" s="100"/>
      <c r="H462" s="21">
        <v>35</v>
      </c>
      <c r="I462" s="11">
        <f t="shared" si="19"/>
        <v>70</v>
      </c>
      <c r="J462" s="21"/>
      <c r="K462" s="21"/>
      <c r="L462" s="13">
        <f t="shared" si="20"/>
        <v>70</v>
      </c>
      <c r="M462" s="22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  <c r="BU462" s="9"/>
      <c r="BV462" s="9"/>
      <c r="BW462" s="9"/>
      <c r="BX462" s="9"/>
      <c r="BY462" s="9"/>
      <c r="BZ462" s="9"/>
      <c r="CA462" s="9"/>
      <c r="CB462" s="9"/>
      <c r="CC462" s="9"/>
      <c r="CD462" s="9"/>
      <c r="CE462" s="9"/>
      <c r="CF462" s="9"/>
      <c r="CG462" s="9"/>
      <c r="CH462" s="9"/>
      <c r="CI462" s="9"/>
      <c r="CJ462" s="9"/>
      <c r="CK462" s="9"/>
      <c r="CL462" s="9"/>
      <c r="CM462" s="9"/>
      <c r="CN462" s="9"/>
      <c r="CO462" s="9"/>
      <c r="CP462" s="9"/>
      <c r="CQ462" s="9"/>
      <c r="CR462" s="9"/>
      <c r="CS462" s="9"/>
      <c r="CT462" s="9"/>
      <c r="CU462" s="9"/>
      <c r="CV462" s="9"/>
      <c r="CW462" s="9"/>
      <c r="CX462" s="9"/>
      <c r="CY462" s="9"/>
      <c r="CZ462" s="9"/>
      <c r="DA462" s="9"/>
      <c r="DB462" s="9"/>
      <c r="DC462" s="9"/>
      <c r="DD462" s="9"/>
      <c r="DE462" s="9"/>
      <c r="DF462" s="9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</row>
    <row r="463" spans="1:136" s="98" customFormat="1" ht="15.75" customHeight="1" x14ac:dyDescent="0.25">
      <c r="A463" s="93">
        <v>46231</v>
      </c>
      <c r="B463" s="94" t="s">
        <v>16</v>
      </c>
      <c r="C463" s="95">
        <v>6024</v>
      </c>
      <c r="D463" s="20"/>
      <c r="E463" s="99" t="s">
        <v>66</v>
      </c>
      <c r="F463" s="21">
        <v>4</v>
      </c>
      <c r="G463" s="100"/>
      <c r="H463" s="21">
        <v>150</v>
      </c>
      <c r="I463" s="11">
        <f t="shared" si="19"/>
        <v>600</v>
      </c>
      <c r="J463" s="21"/>
      <c r="K463" s="21"/>
      <c r="L463" s="13">
        <f t="shared" si="20"/>
        <v>600</v>
      </c>
      <c r="M463" s="22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  <c r="BU463" s="9"/>
      <c r="BV463" s="9"/>
      <c r="BW463" s="9"/>
      <c r="BX463" s="9"/>
      <c r="BY463" s="9"/>
      <c r="BZ463" s="9"/>
      <c r="CA463" s="9"/>
      <c r="CB463" s="9"/>
      <c r="CC463" s="9"/>
      <c r="CD463" s="9"/>
      <c r="CE463" s="9"/>
      <c r="CF463" s="9"/>
      <c r="CG463" s="9"/>
      <c r="CH463" s="9"/>
      <c r="CI463" s="9"/>
      <c r="CJ463" s="9"/>
      <c r="CK463" s="9"/>
      <c r="CL463" s="9"/>
      <c r="CM463" s="9"/>
      <c r="CN463" s="9"/>
      <c r="CO463" s="9"/>
      <c r="CP463" s="9"/>
      <c r="CQ463" s="9"/>
      <c r="CR463" s="9"/>
      <c r="CS463" s="9"/>
      <c r="CT463" s="9"/>
      <c r="CU463" s="9"/>
      <c r="CV463" s="9"/>
      <c r="CW463" s="9"/>
      <c r="CX463" s="9"/>
      <c r="CY463" s="9"/>
      <c r="CZ463" s="9"/>
      <c r="DA463" s="9"/>
      <c r="DB463" s="9"/>
      <c r="DC463" s="9"/>
      <c r="DD463" s="9"/>
      <c r="DE463" s="9"/>
      <c r="DF463" s="9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</row>
    <row r="464" spans="1:136" s="98" customFormat="1" ht="15.75" customHeight="1" x14ac:dyDescent="0.25">
      <c r="A464" s="93">
        <v>46231</v>
      </c>
      <c r="B464" s="94" t="s">
        <v>16</v>
      </c>
      <c r="C464" s="95">
        <v>6024</v>
      </c>
      <c r="D464" s="20"/>
      <c r="E464" s="99" t="s">
        <v>150</v>
      </c>
      <c r="F464" s="21">
        <v>5</v>
      </c>
      <c r="G464" s="100"/>
      <c r="H464" s="21">
        <f>1845/9</f>
        <v>205</v>
      </c>
      <c r="I464" s="11">
        <f t="shared" si="19"/>
        <v>1025</v>
      </c>
      <c r="J464" s="21"/>
      <c r="K464" s="21"/>
      <c r="L464" s="13">
        <f t="shared" si="20"/>
        <v>1025</v>
      </c>
      <c r="M464" s="22"/>
      <c r="N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  <c r="BU464" s="9"/>
      <c r="BV464" s="9"/>
      <c r="BW464" s="9"/>
      <c r="BX464" s="9"/>
      <c r="BY464" s="9"/>
      <c r="BZ464" s="9"/>
      <c r="CA464" s="9"/>
      <c r="CB464" s="9"/>
      <c r="CC464" s="9"/>
      <c r="CD464" s="9"/>
      <c r="CE464" s="9"/>
      <c r="CF464" s="9"/>
      <c r="CG464" s="9"/>
      <c r="CH464" s="9"/>
      <c r="CI464" s="9"/>
      <c r="CJ464" s="9"/>
      <c r="CK464" s="9"/>
      <c r="CL464" s="9"/>
      <c r="CM464" s="9"/>
      <c r="CN464" s="9"/>
      <c r="CO464" s="9"/>
      <c r="CP464" s="9"/>
      <c r="CQ464" s="9"/>
      <c r="CR464" s="9"/>
      <c r="CS464" s="9"/>
      <c r="CT464" s="9"/>
      <c r="CU464" s="9"/>
      <c r="CV464" s="9"/>
      <c r="CW464" s="9"/>
      <c r="CX464" s="9"/>
      <c r="CY464" s="9"/>
      <c r="CZ464" s="9"/>
      <c r="DA464" s="9"/>
      <c r="DB464" s="9"/>
      <c r="DC464" s="9"/>
      <c r="DD464" s="9"/>
      <c r="DE464" s="9"/>
      <c r="DF464" s="9"/>
      <c r="DG464" s="9"/>
      <c r="DH464" s="9"/>
      <c r="DI464" s="9"/>
      <c r="DJ464" s="9"/>
      <c r="DK464" s="9"/>
      <c r="DL464" s="9"/>
      <c r="DM464" s="9"/>
      <c r="DN464" s="9"/>
      <c r="DO464" s="9"/>
      <c r="DP464" s="9"/>
      <c r="DQ464" s="9"/>
      <c r="DR464" s="9"/>
      <c r="DS464" s="9"/>
      <c r="DT464" s="9"/>
      <c r="DU464" s="9"/>
      <c r="DV464" s="9"/>
      <c r="DW464" s="9"/>
      <c r="DX464" s="9"/>
      <c r="DY464" s="9"/>
      <c r="DZ464" s="9"/>
      <c r="EA464" s="9"/>
      <c r="EB464" s="9"/>
      <c r="EC464" s="9"/>
      <c r="ED464" s="9"/>
      <c r="EE464" s="9"/>
      <c r="EF464" s="9"/>
    </row>
    <row r="465" spans="1:136" s="98" customFormat="1" ht="15.75" customHeight="1" x14ac:dyDescent="0.25">
      <c r="A465" s="93">
        <v>46231</v>
      </c>
      <c r="B465" s="94" t="s">
        <v>16</v>
      </c>
      <c r="C465" s="95">
        <v>6024</v>
      </c>
      <c r="D465" s="20"/>
      <c r="E465" s="99" t="s">
        <v>131</v>
      </c>
      <c r="F465" s="21">
        <v>4</v>
      </c>
      <c r="G465" s="100"/>
      <c r="H465" s="21">
        <v>205</v>
      </c>
      <c r="I465" s="11">
        <f t="shared" si="19"/>
        <v>820</v>
      </c>
      <c r="J465" s="21"/>
      <c r="K465" s="21"/>
      <c r="L465" s="13">
        <f t="shared" si="20"/>
        <v>820</v>
      </c>
      <c r="M465" s="22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  <c r="BU465" s="9"/>
      <c r="BV465" s="9"/>
      <c r="BW465" s="9"/>
      <c r="BX465" s="9"/>
      <c r="BY465" s="9"/>
      <c r="BZ465" s="9"/>
      <c r="CA465" s="9"/>
      <c r="CB465" s="9"/>
      <c r="CC465" s="9"/>
      <c r="CD465" s="9"/>
      <c r="CE465" s="9"/>
      <c r="CF465" s="9"/>
      <c r="CG465" s="9"/>
      <c r="CH465" s="9"/>
      <c r="CI465" s="9"/>
      <c r="CJ465" s="9"/>
      <c r="CK465" s="9"/>
      <c r="CL465" s="9"/>
      <c r="CM465" s="9"/>
      <c r="CN465" s="9"/>
      <c r="CO465" s="9"/>
      <c r="CP465" s="9"/>
      <c r="CQ465" s="9"/>
      <c r="CR465" s="9"/>
      <c r="CS465" s="9"/>
      <c r="CT465" s="9"/>
      <c r="CU465" s="9"/>
      <c r="CV465" s="9"/>
      <c r="CW465" s="9"/>
      <c r="CX465" s="9"/>
      <c r="CY465" s="9"/>
      <c r="CZ465" s="9"/>
      <c r="DA465" s="9"/>
      <c r="DB465" s="9"/>
      <c r="DC465" s="9"/>
      <c r="DD465" s="9"/>
      <c r="DE465" s="9"/>
      <c r="DF465" s="9"/>
      <c r="DG465" s="9"/>
      <c r="DH465" s="9"/>
      <c r="DI465" s="9"/>
      <c r="DJ465" s="9"/>
      <c r="DK465" s="9"/>
      <c r="DL465" s="9"/>
      <c r="DM465" s="9"/>
      <c r="DN465" s="9"/>
      <c r="DO465" s="9"/>
      <c r="DP465" s="9"/>
      <c r="DQ465" s="9"/>
      <c r="DR465" s="9"/>
      <c r="DS465" s="9"/>
      <c r="DT465" s="9"/>
      <c r="DU465" s="9"/>
      <c r="DV465" s="9"/>
      <c r="DW465" s="9"/>
      <c r="DX465" s="9"/>
      <c r="DY465" s="9"/>
      <c r="DZ465" s="9"/>
      <c r="EA465" s="9"/>
      <c r="EB465" s="9"/>
      <c r="EC465" s="9"/>
      <c r="ED465" s="9"/>
      <c r="EE465" s="9"/>
      <c r="EF465" s="9"/>
    </row>
    <row r="466" spans="1:136" s="98" customFormat="1" ht="15.75" customHeight="1" x14ac:dyDescent="0.25">
      <c r="A466" s="93">
        <v>46231</v>
      </c>
      <c r="B466" s="94" t="s">
        <v>16</v>
      </c>
      <c r="C466" s="95">
        <v>6024</v>
      </c>
      <c r="D466" s="20"/>
      <c r="E466" s="99" t="s">
        <v>62</v>
      </c>
      <c r="F466" s="21">
        <v>5</v>
      </c>
      <c r="G466" s="100"/>
      <c r="H466" s="21">
        <f>2125/5</f>
        <v>425</v>
      </c>
      <c r="I466" s="11">
        <f t="shared" si="19"/>
        <v>2125</v>
      </c>
      <c r="J466" s="21"/>
      <c r="K466" s="21"/>
      <c r="L466" s="13">
        <f t="shared" si="13"/>
        <v>2125</v>
      </c>
      <c r="M466" s="22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  <c r="BU466" s="9"/>
      <c r="BV466" s="9"/>
      <c r="BW466" s="9"/>
      <c r="BX466" s="9"/>
      <c r="BY466" s="9"/>
      <c r="BZ466" s="9"/>
      <c r="CA466" s="9"/>
      <c r="CB466" s="9"/>
      <c r="CC466" s="9"/>
      <c r="CD466" s="9"/>
      <c r="CE466" s="9"/>
      <c r="CF466" s="9"/>
      <c r="CG466" s="9"/>
      <c r="CH466" s="9"/>
      <c r="CI466" s="9"/>
      <c r="CJ466" s="9"/>
      <c r="CK466" s="9"/>
      <c r="CL466" s="9"/>
      <c r="CM466" s="9"/>
      <c r="CN466" s="9"/>
      <c r="CO466" s="9"/>
      <c r="CP466" s="9"/>
      <c r="CQ466" s="9"/>
      <c r="CR466" s="9"/>
      <c r="CS466" s="9"/>
      <c r="CT466" s="9"/>
      <c r="CU466" s="9"/>
      <c r="CV466" s="9"/>
      <c r="CW466" s="9"/>
      <c r="CX466" s="9"/>
      <c r="CY466" s="9"/>
      <c r="CZ466" s="9"/>
      <c r="DA466" s="9"/>
      <c r="DB466" s="9"/>
      <c r="DC466" s="9"/>
      <c r="DD466" s="9"/>
      <c r="DE466" s="9"/>
      <c r="DF466" s="9"/>
      <c r="DG466" s="9"/>
      <c r="DH466" s="9"/>
      <c r="DI466" s="9"/>
      <c r="DJ466" s="9"/>
      <c r="DK466" s="9"/>
      <c r="DL466" s="9"/>
      <c r="DM466" s="9"/>
      <c r="DN466" s="9"/>
      <c r="DO466" s="9"/>
      <c r="DP466" s="9"/>
      <c r="DQ466" s="9"/>
      <c r="DR466" s="9"/>
      <c r="DS466" s="9"/>
      <c r="DT466" s="9"/>
      <c r="DU466" s="9"/>
      <c r="DV466" s="9"/>
      <c r="DW466" s="9"/>
      <c r="DX466" s="9"/>
      <c r="DY466" s="9"/>
      <c r="DZ466" s="9"/>
      <c r="EA466" s="9"/>
      <c r="EB466" s="9"/>
      <c r="EC466" s="9"/>
      <c r="ED466" s="9"/>
      <c r="EE466" s="9"/>
      <c r="EF466" s="9"/>
    </row>
    <row r="467" spans="1:136" s="98" customFormat="1" ht="15.75" customHeight="1" x14ac:dyDescent="0.25">
      <c r="A467" s="93">
        <v>46231</v>
      </c>
      <c r="B467" s="94" t="s">
        <v>16</v>
      </c>
      <c r="C467" s="95">
        <v>6024</v>
      </c>
      <c r="D467" s="20"/>
      <c r="E467" s="99" t="s">
        <v>236</v>
      </c>
      <c r="F467" s="21">
        <v>2</v>
      </c>
      <c r="G467" s="100"/>
      <c r="H467" s="21">
        <v>270</v>
      </c>
      <c r="I467" s="11">
        <f t="shared" si="19"/>
        <v>540</v>
      </c>
      <c r="J467" s="21"/>
      <c r="K467" s="21"/>
      <c r="L467" s="13">
        <f t="shared" si="13"/>
        <v>540</v>
      </c>
      <c r="M467" s="22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  <c r="BU467" s="9"/>
      <c r="BV467" s="9"/>
      <c r="BW467" s="9"/>
      <c r="BX467" s="9"/>
      <c r="BY467" s="9"/>
      <c r="BZ467" s="9"/>
      <c r="CA467" s="9"/>
      <c r="CB467" s="9"/>
      <c r="CC467" s="9"/>
      <c r="CD467" s="9"/>
      <c r="CE467" s="9"/>
      <c r="CF467" s="9"/>
      <c r="CG467" s="9"/>
      <c r="CH467" s="9"/>
      <c r="CI467" s="9"/>
      <c r="CJ467" s="9"/>
      <c r="CK467" s="9"/>
      <c r="CL467" s="9"/>
      <c r="CM467" s="9"/>
      <c r="CN467" s="9"/>
      <c r="CO467" s="9"/>
      <c r="CP467" s="9"/>
      <c r="CQ467" s="9"/>
      <c r="CR467" s="9"/>
      <c r="CS467" s="9"/>
      <c r="CT467" s="9"/>
      <c r="CU467" s="9"/>
      <c r="CV467" s="9"/>
      <c r="CW467" s="9"/>
      <c r="CX467" s="9"/>
      <c r="CY467" s="9"/>
      <c r="CZ467" s="9"/>
      <c r="DA467" s="9"/>
      <c r="DB467" s="9"/>
      <c r="DC467" s="9"/>
      <c r="DD467" s="9"/>
      <c r="DE467" s="9"/>
      <c r="DF467" s="9"/>
      <c r="DG467" s="9"/>
      <c r="DH467" s="9"/>
      <c r="DI467" s="9"/>
      <c r="DJ467" s="9"/>
      <c r="DK467" s="9"/>
      <c r="DL467" s="9"/>
      <c r="DM467" s="9"/>
      <c r="DN467" s="9"/>
      <c r="DO467" s="9"/>
      <c r="DP467" s="9"/>
      <c r="DQ467" s="9"/>
      <c r="DR467" s="9"/>
      <c r="DS467" s="9"/>
      <c r="DT467" s="9"/>
      <c r="DU467" s="9"/>
      <c r="DV467" s="9"/>
      <c r="DW467" s="9"/>
      <c r="DX467" s="9"/>
      <c r="DY467" s="9"/>
      <c r="DZ467" s="9"/>
      <c r="EA467" s="9"/>
      <c r="EB467" s="9"/>
      <c r="EC467" s="9"/>
      <c r="ED467" s="9"/>
      <c r="EE467" s="9"/>
      <c r="EF467" s="9"/>
    </row>
    <row r="468" spans="1:136" s="98" customFormat="1" ht="15.75" customHeight="1" x14ac:dyDescent="0.25">
      <c r="A468" s="93">
        <v>46231</v>
      </c>
      <c r="B468" s="94" t="s">
        <v>16</v>
      </c>
      <c r="C468" s="95">
        <v>6024</v>
      </c>
      <c r="D468" s="20"/>
      <c r="E468" s="99" t="s">
        <v>61</v>
      </c>
      <c r="F468" s="21">
        <v>2</v>
      </c>
      <c r="G468" s="100"/>
      <c r="H468" s="21">
        <v>320</v>
      </c>
      <c r="I468" s="11">
        <f t="shared" si="19"/>
        <v>640</v>
      </c>
      <c r="J468" s="21"/>
      <c r="K468" s="21"/>
      <c r="L468" s="13">
        <f t="shared" si="13"/>
        <v>640</v>
      </c>
      <c r="M468" s="22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  <c r="BU468" s="9"/>
      <c r="BV468" s="9"/>
      <c r="BW468" s="9"/>
      <c r="BX468" s="9"/>
      <c r="BY468" s="9"/>
      <c r="BZ468" s="9"/>
      <c r="CA468" s="9"/>
      <c r="CB468" s="9"/>
      <c r="CC468" s="9"/>
      <c r="CD468" s="9"/>
      <c r="CE468" s="9"/>
      <c r="CF468" s="9"/>
      <c r="CG468" s="9"/>
      <c r="CH468" s="9"/>
      <c r="CI468" s="9"/>
      <c r="CJ468" s="9"/>
      <c r="CK468" s="9"/>
      <c r="CL468" s="9"/>
      <c r="CM468" s="9"/>
      <c r="CN468" s="9"/>
      <c r="CO468" s="9"/>
      <c r="CP468" s="9"/>
      <c r="CQ468" s="9"/>
      <c r="CR468" s="9"/>
      <c r="CS468" s="9"/>
      <c r="CT468" s="9"/>
      <c r="CU468" s="9"/>
      <c r="CV468" s="9"/>
      <c r="CW468" s="9"/>
      <c r="CX468" s="9"/>
      <c r="CY468" s="9"/>
      <c r="CZ468" s="9"/>
      <c r="DA468" s="9"/>
      <c r="DB468" s="9"/>
      <c r="DC468" s="9"/>
      <c r="DD468" s="9"/>
      <c r="DE468" s="9"/>
      <c r="DF468" s="9"/>
      <c r="DG468" s="9"/>
      <c r="DH468" s="9"/>
      <c r="DI468" s="9"/>
      <c r="DJ468" s="9"/>
      <c r="DK468" s="9"/>
      <c r="DL468" s="9"/>
      <c r="DM468" s="9"/>
      <c r="DN468" s="9"/>
      <c r="DO468" s="9"/>
      <c r="DP468" s="9"/>
      <c r="DQ468" s="9"/>
      <c r="DR468" s="9"/>
      <c r="DS468" s="9"/>
      <c r="DT468" s="9"/>
      <c r="DU468" s="9"/>
      <c r="DV468" s="9"/>
      <c r="DW468" s="9"/>
      <c r="DX468" s="9"/>
      <c r="DY468" s="9"/>
      <c r="DZ468" s="9"/>
      <c r="EA468" s="9"/>
      <c r="EB468" s="9"/>
      <c r="EC468" s="9"/>
      <c r="ED468" s="9"/>
      <c r="EE468" s="9"/>
      <c r="EF468" s="9"/>
    </row>
    <row r="469" spans="1:136" s="98" customFormat="1" ht="15.75" customHeight="1" x14ac:dyDescent="0.25">
      <c r="A469" s="93">
        <v>46231</v>
      </c>
      <c r="B469" s="94" t="s">
        <v>16</v>
      </c>
      <c r="C469" s="95">
        <v>6024</v>
      </c>
      <c r="D469" s="20"/>
      <c r="E469" s="99" t="s">
        <v>237</v>
      </c>
      <c r="F469" s="21">
        <v>10</v>
      </c>
      <c r="G469" s="100"/>
      <c r="H469" s="21">
        <v>15</v>
      </c>
      <c r="I469" s="11">
        <f t="shared" si="19"/>
        <v>150</v>
      </c>
      <c r="J469" s="21"/>
      <c r="K469" s="21"/>
      <c r="L469" s="13">
        <f t="shared" si="13"/>
        <v>150</v>
      </c>
      <c r="M469" s="22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  <c r="BU469" s="9"/>
      <c r="BV469" s="9"/>
      <c r="BW469" s="9"/>
      <c r="BX469" s="9"/>
      <c r="BY469" s="9"/>
      <c r="BZ469" s="9"/>
      <c r="CA469" s="9"/>
      <c r="CB469" s="9"/>
      <c r="CC469" s="9"/>
      <c r="CD469" s="9"/>
      <c r="CE469" s="9"/>
      <c r="CF469" s="9"/>
      <c r="CG469" s="9"/>
      <c r="CH469" s="9"/>
      <c r="CI469" s="9"/>
      <c r="CJ469" s="9"/>
      <c r="CK469" s="9"/>
      <c r="CL469" s="9"/>
      <c r="CM469" s="9"/>
      <c r="CN469" s="9"/>
      <c r="CO469" s="9"/>
      <c r="CP469" s="9"/>
      <c r="CQ469" s="9"/>
      <c r="CR469" s="9"/>
      <c r="CS469" s="9"/>
      <c r="CT469" s="9"/>
      <c r="CU469" s="9"/>
      <c r="CV469" s="9"/>
      <c r="CW469" s="9"/>
      <c r="CX469" s="9"/>
      <c r="CY469" s="9"/>
      <c r="CZ469" s="9"/>
      <c r="DA469" s="9"/>
      <c r="DB469" s="9"/>
      <c r="DC469" s="9"/>
      <c r="DD469" s="9"/>
      <c r="DE469" s="9"/>
      <c r="DF469" s="9"/>
      <c r="DG469" s="9"/>
      <c r="DH469" s="9"/>
      <c r="DI469" s="9"/>
      <c r="DJ469" s="9"/>
      <c r="DK469" s="9"/>
      <c r="DL469" s="9"/>
      <c r="DM469" s="9"/>
      <c r="DN469" s="9"/>
      <c r="DO469" s="9"/>
      <c r="DP469" s="9"/>
      <c r="DQ469" s="9"/>
      <c r="DR469" s="9"/>
      <c r="DS469" s="9"/>
      <c r="DT469" s="9"/>
      <c r="DU469" s="9"/>
      <c r="DV469" s="9"/>
      <c r="DW469" s="9"/>
      <c r="DX469" s="9"/>
      <c r="DY469" s="9"/>
      <c r="DZ469" s="9"/>
      <c r="EA469" s="9"/>
      <c r="EB469" s="9"/>
      <c r="EC469" s="9"/>
      <c r="ED469" s="9"/>
      <c r="EE469" s="9"/>
      <c r="EF469" s="9"/>
    </row>
    <row r="470" spans="1:136" s="98" customFormat="1" ht="15.75" customHeight="1" x14ac:dyDescent="0.25">
      <c r="A470" s="93">
        <v>46231</v>
      </c>
      <c r="B470" s="94" t="s">
        <v>16</v>
      </c>
      <c r="C470" s="95">
        <v>6024</v>
      </c>
      <c r="D470" s="20"/>
      <c r="E470" s="99" t="s">
        <v>238</v>
      </c>
      <c r="F470" s="21">
        <v>1</v>
      </c>
      <c r="G470" s="100"/>
      <c r="H470" s="21">
        <v>110</v>
      </c>
      <c r="I470" s="11">
        <f t="shared" si="19"/>
        <v>110</v>
      </c>
      <c r="J470" s="21"/>
      <c r="K470" s="21"/>
      <c r="L470" s="13">
        <f t="shared" ref="L470:L488" si="21">I470-J470-K470</f>
        <v>110</v>
      </c>
      <c r="M470" s="22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  <c r="BU470" s="9"/>
      <c r="BV470" s="9"/>
      <c r="BW470" s="9"/>
      <c r="BX470" s="9"/>
      <c r="BY470" s="9"/>
      <c r="BZ470" s="9"/>
      <c r="CA470" s="9"/>
      <c r="CB470" s="9"/>
      <c r="CC470" s="9"/>
      <c r="CD470" s="9"/>
      <c r="CE470" s="9"/>
      <c r="CF470" s="9"/>
      <c r="CG470" s="9"/>
      <c r="CH470" s="9"/>
      <c r="CI470" s="9"/>
      <c r="CJ470" s="9"/>
      <c r="CK470" s="9"/>
      <c r="CL470" s="9"/>
      <c r="CM470" s="9"/>
      <c r="CN470" s="9"/>
      <c r="CO470" s="9"/>
      <c r="CP470" s="9"/>
      <c r="CQ470" s="9"/>
      <c r="CR470" s="9"/>
      <c r="CS470" s="9"/>
      <c r="CT470" s="9"/>
      <c r="CU470" s="9"/>
      <c r="CV470" s="9"/>
      <c r="CW470" s="9"/>
      <c r="CX470" s="9"/>
      <c r="CY470" s="9"/>
      <c r="CZ470" s="9"/>
      <c r="DA470" s="9"/>
      <c r="DB470" s="9"/>
      <c r="DC470" s="9"/>
      <c r="DD470" s="9"/>
      <c r="DE470" s="9"/>
      <c r="DF470" s="9"/>
      <c r="DG470" s="9"/>
      <c r="DH470" s="9"/>
      <c r="DI470" s="9"/>
      <c r="DJ470" s="9"/>
      <c r="DK470" s="9"/>
      <c r="DL470" s="9"/>
      <c r="DM470" s="9"/>
      <c r="DN470" s="9"/>
      <c r="DO470" s="9"/>
      <c r="DP470" s="9"/>
      <c r="DQ470" s="9"/>
      <c r="DR470" s="9"/>
      <c r="DS470" s="9"/>
      <c r="DT470" s="9"/>
      <c r="DU470" s="9"/>
      <c r="DV470" s="9"/>
      <c r="DW470" s="9"/>
      <c r="DX470" s="9"/>
      <c r="DY470" s="9"/>
      <c r="DZ470" s="9"/>
      <c r="EA470" s="9"/>
      <c r="EB470" s="9"/>
      <c r="EC470" s="9"/>
      <c r="ED470" s="9"/>
      <c r="EE470" s="9"/>
      <c r="EF470" s="9"/>
    </row>
    <row r="471" spans="1:136" s="98" customFormat="1" ht="15.75" customHeight="1" x14ac:dyDescent="0.25">
      <c r="A471" s="93">
        <v>46231</v>
      </c>
      <c r="B471" s="94" t="s">
        <v>16</v>
      </c>
      <c r="C471" s="95">
        <v>6024</v>
      </c>
      <c r="D471" s="20"/>
      <c r="E471" s="99" t="s">
        <v>239</v>
      </c>
      <c r="F471" s="21">
        <v>1</v>
      </c>
      <c r="G471" s="100"/>
      <c r="H471" s="21">
        <v>90</v>
      </c>
      <c r="I471" s="11">
        <f t="shared" si="19"/>
        <v>90</v>
      </c>
      <c r="J471" s="21"/>
      <c r="K471" s="21"/>
      <c r="L471" s="13">
        <f t="shared" si="21"/>
        <v>90</v>
      </c>
      <c r="M471" s="22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  <c r="BU471" s="9"/>
      <c r="BV471" s="9"/>
      <c r="BW471" s="9"/>
      <c r="BX471" s="9"/>
      <c r="BY471" s="9"/>
      <c r="BZ471" s="9"/>
      <c r="CA471" s="9"/>
      <c r="CB471" s="9"/>
      <c r="CC471" s="9"/>
      <c r="CD471" s="9"/>
      <c r="CE471" s="9"/>
      <c r="CF471" s="9"/>
      <c r="CG471" s="9"/>
      <c r="CH471" s="9"/>
      <c r="CI471" s="9"/>
      <c r="CJ471" s="9"/>
      <c r="CK471" s="9"/>
      <c r="CL471" s="9"/>
      <c r="CM471" s="9"/>
      <c r="CN471" s="9"/>
      <c r="CO471" s="9"/>
      <c r="CP471" s="9"/>
      <c r="CQ471" s="9"/>
      <c r="CR471" s="9"/>
      <c r="CS471" s="9"/>
      <c r="CT471" s="9"/>
      <c r="CU471" s="9"/>
      <c r="CV471" s="9"/>
      <c r="CW471" s="9"/>
      <c r="CX471" s="9"/>
      <c r="CY471" s="9"/>
      <c r="CZ471" s="9"/>
      <c r="DA471" s="9"/>
      <c r="DB471" s="9"/>
      <c r="DC471" s="9"/>
      <c r="DD471" s="9"/>
      <c r="DE471" s="9"/>
      <c r="DF471" s="9"/>
      <c r="DG471" s="9"/>
      <c r="DH471" s="9"/>
      <c r="DI471" s="9"/>
      <c r="DJ471" s="9"/>
      <c r="DK471" s="9"/>
      <c r="DL471" s="9"/>
      <c r="DM471" s="9"/>
      <c r="DN471" s="9"/>
      <c r="DO471" s="9"/>
      <c r="DP471" s="9"/>
      <c r="DQ471" s="9"/>
      <c r="DR471" s="9"/>
      <c r="DS471" s="9"/>
      <c r="DT471" s="9"/>
      <c r="DU471" s="9"/>
      <c r="DV471" s="9"/>
      <c r="DW471" s="9"/>
      <c r="DX471" s="9"/>
      <c r="DY471" s="9"/>
      <c r="DZ471" s="9"/>
      <c r="EA471" s="9"/>
      <c r="EB471" s="9"/>
      <c r="EC471" s="9"/>
      <c r="ED471" s="9"/>
      <c r="EE471" s="9"/>
      <c r="EF471" s="9"/>
    </row>
    <row r="472" spans="1:136" s="98" customFormat="1" ht="15.75" customHeight="1" x14ac:dyDescent="0.25">
      <c r="A472" s="93">
        <v>46231</v>
      </c>
      <c r="B472" s="94" t="s">
        <v>16</v>
      </c>
      <c r="C472" s="95">
        <v>6024</v>
      </c>
      <c r="D472" s="20"/>
      <c r="E472" s="99" t="s">
        <v>240</v>
      </c>
      <c r="F472" s="21">
        <v>10</v>
      </c>
      <c r="G472" s="100"/>
      <c r="H472" s="21">
        <v>18</v>
      </c>
      <c r="I472" s="11">
        <f t="shared" si="19"/>
        <v>180</v>
      </c>
      <c r="J472" s="21"/>
      <c r="K472" s="21"/>
      <c r="L472" s="13">
        <f t="shared" si="21"/>
        <v>180</v>
      </c>
      <c r="M472" s="22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  <c r="BU472" s="9"/>
      <c r="BV472" s="9"/>
      <c r="BW472" s="9"/>
      <c r="BX472" s="9"/>
      <c r="BY472" s="9"/>
      <c r="BZ472" s="9"/>
      <c r="CA472" s="9"/>
      <c r="CB472" s="9"/>
      <c r="CC472" s="9"/>
      <c r="CD472" s="9"/>
      <c r="CE472" s="9"/>
      <c r="CF472" s="9"/>
      <c r="CG472" s="9"/>
      <c r="CH472" s="9"/>
      <c r="CI472" s="9"/>
      <c r="CJ472" s="9"/>
      <c r="CK472" s="9"/>
      <c r="CL472" s="9"/>
      <c r="CM472" s="9"/>
      <c r="CN472" s="9"/>
      <c r="CO472" s="9"/>
      <c r="CP472" s="9"/>
      <c r="CQ472" s="9"/>
      <c r="CR472" s="9"/>
      <c r="CS472" s="9"/>
      <c r="CT472" s="9"/>
      <c r="CU472" s="9"/>
      <c r="CV472" s="9"/>
      <c r="CW472" s="9"/>
      <c r="CX472" s="9"/>
      <c r="CY472" s="9"/>
      <c r="CZ472" s="9"/>
      <c r="DA472" s="9"/>
      <c r="DB472" s="9"/>
      <c r="DC472" s="9"/>
      <c r="DD472" s="9"/>
      <c r="DE472" s="9"/>
      <c r="DF472" s="9"/>
      <c r="DG472" s="9"/>
      <c r="DH472" s="9"/>
      <c r="DI472" s="9"/>
      <c r="DJ472" s="9"/>
      <c r="DK472" s="9"/>
      <c r="DL472" s="9"/>
      <c r="DM472" s="9"/>
      <c r="DN472" s="9"/>
      <c r="DO472" s="9"/>
      <c r="DP472" s="9"/>
      <c r="DQ472" s="9"/>
      <c r="DR472" s="9"/>
      <c r="DS472" s="9"/>
      <c r="DT472" s="9"/>
      <c r="DU472" s="9"/>
      <c r="DV472" s="9"/>
      <c r="DW472" s="9"/>
      <c r="DX472" s="9"/>
      <c r="DY472" s="9"/>
      <c r="DZ472" s="9"/>
      <c r="EA472" s="9"/>
      <c r="EB472" s="9"/>
      <c r="EC472" s="9"/>
      <c r="ED472" s="9"/>
      <c r="EE472" s="9"/>
      <c r="EF472" s="9"/>
    </row>
    <row r="473" spans="1:136" s="98" customFormat="1" ht="15.75" customHeight="1" x14ac:dyDescent="0.25">
      <c r="A473" s="93">
        <v>46231</v>
      </c>
      <c r="B473" s="94" t="s">
        <v>16</v>
      </c>
      <c r="C473" s="95">
        <v>6024</v>
      </c>
      <c r="D473" s="20"/>
      <c r="E473" s="99" t="s">
        <v>140</v>
      </c>
      <c r="F473" s="21">
        <v>10</v>
      </c>
      <c r="G473" s="100"/>
      <c r="H473" s="21">
        <v>105</v>
      </c>
      <c r="I473" s="11">
        <f t="shared" si="19"/>
        <v>1050</v>
      </c>
      <c r="J473" s="21"/>
      <c r="K473" s="21"/>
      <c r="L473" s="13">
        <f t="shared" si="21"/>
        <v>1050</v>
      </c>
      <c r="M473" s="22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  <c r="BU473" s="9"/>
      <c r="BV473" s="9"/>
      <c r="BW473" s="9"/>
      <c r="BX473" s="9"/>
      <c r="BY473" s="9"/>
      <c r="BZ473" s="9"/>
      <c r="CA473" s="9"/>
      <c r="CB473" s="9"/>
      <c r="CC473" s="9"/>
      <c r="CD473" s="9"/>
      <c r="CE473" s="9"/>
      <c r="CF473" s="9"/>
      <c r="CG473" s="9"/>
      <c r="CH473" s="9"/>
      <c r="CI473" s="9"/>
      <c r="CJ473" s="9"/>
      <c r="CK473" s="9"/>
      <c r="CL473" s="9"/>
      <c r="CM473" s="9"/>
      <c r="CN473" s="9"/>
      <c r="CO473" s="9"/>
      <c r="CP473" s="9"/>
      <c r="CQ473" s="9"/>
      <c r="CR473" s="9"/>
      <c r="CS473" s="9"/>
      <c r="CT473" s="9"/>
      <c r="CU473" s="9"/>
      <c r="CV473" s="9"/>
      <c r="CW473" s="9"/>
      <c r="CX473" s="9"/>
      <c r="CY473" s="9"/>
      <c r="CZ473" s="9"/>
      <c r="DA473" s="9"/>
      <c r="DB473" s="9"/>
      <c r="DC473" s="9"/>
      <c r="DD473" s="9"/>
      <c r="DE473" s="9"/>
      <c r="DF473" s="9"/>
      <c r="DG473" s="9"/>
      <c r="DH473" s="9"/>
      <c r="DI473" s="9"/>
      <c r="DJ473" s="9"/>
      <c r="DK473" s="9"/>
      <c r="DL473" s="9"/>
      <c r="DM473" s="9"/>
      <c r="DN473" s="9"/>
      <c r="DO473" s="9"/>
      <c r="DP473" s="9"/>
      <c r="DQ473" s="9"/>
      <c r="DR473" s="9"/>
      <c r="DS473" s="9"/>
      <c r="DT473" s="9"/>
      <c r="DU473" s="9"/>
      <c r="DV473" s="9"/>
      <c r="DW473" s="9"/>
      <c r="DX473" s="9"/>
      <c r="DY473" s="9"/>
      <c r="DZ473" s="9"/>
      <c r="EA473" s="9"/>
      <c r="EB473" s="9"/>
      <c r="EC473" s="9"/>
      <c r="ED473" s="9"/>
      <c r="EE473" s="9"/>
      <c r="EF473" s="9"/>
    </row>
    <row r="474" spans="1:136" s="98" customFormat="1" ht="15.75" customHeight="1" x14ac:dyDescent="0.25">
      <c r="A474" s="93">
        <v>46231</v>
      </c>
      <c r="B474" s="94" t="s">
        <v>16</v>
      </c>
      <c r="C474" s="95">
        <v>6024</v>
      </c>
      <c r="D474" s="20"/>
      <c r="E474" s="99" t="s">
        <v>241</v>
      </c>
      <c r="F474" s="21">
        <v>6</v>
      </c>
      <c r="G474" s="100"/>
      <c r="H474" s="21">
        <v>22.5</v>
      </c>
      <c r="I474" s="11">
        <f t="shared" si="19"/>
        <v>135</v>
      </c>
      <c r="J474" s="21"/>
      <c r="K474" s="21"/>
      <c r="L474" s="13">
        <f t="shared" si="21"/>
        <v>135</v>
      </c>
      <c r="M474" s="22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  <c r="BU474" s="9"/>
      <c r="BV474" s="9"/>
      <c r="BW474" s="9"/>
      <c r="BX474" s="9"/>
      <c r="BY474" s="9"/>
      <c r="BZ474" s="9"/>
      <c r="CA474" s="9"/>
      <c r="CB474" s="9"/>
      <c r="CC474" s="9"/>
      <c r="CD474" s="9"/>
      <c r="CE474" s="9"/>
      <c r="CF474" s="9"/>
      <c r="CG474" s="9"/>
      <c r="CH474" s="9"/>
      <c r="CI474" s="9"/>
      <c r="CJ474" s="9"/>
      <c r="CK474" s="9"/>
      <c r="CL474" s="9"/>
      <c r="CM474" s="9"/>
      <c r="CN474" s="9"/>
      <c r="CO474" s="9"/>
      <c r="CP474" s="9"/>
      <c r="CQ474" s="9"/>
      <c r="CR474" s="9"/>
      <c r="CS474" s="9"/>
      <c r="CT474" s="9"/>
      <c r="CU474" s="9"/>
      <c r="CV474" s="9"/>
      <c r="CW474" s="9"/>
      <c r="CX474" s="9"/>
      <c r="CY474" s="9"/>
      <c r="CZ474" s="9"/>
      <c r="DA474" s="9"/>
      <c r="DB474" s="9"/>
      <c r="DC474" s="9"/>
      <c r="DD474" s="9"/>
      <c r="DE474" s="9"/>
      <c r="DF474" s="9"/>
      <c r="DG474" s="9"/>
      <c r="DH474" s="9"/>
      <c r="DI474" s="9"/>
      <c r="DJ474" s="9"/>
      <c r="DK474" s="9"/>
      <c r="DL474" s="9"/>
      <c r="DM474" s="9"/>
      <c r="DN474" s="9"/>
      <c r="DO474" s="9"/>
      <c r="DP474" s="9"/>
      <c r="DQ474" s="9"/>
      <c r="DR474" s="9"/>
      <c r="DS474" s="9"/>
      <c r="DT474" s="9"/>
      <c r="DU474" s="9"/>
      <c r="DV474" s="9"/>
      <c r="DW474" s="9"/>
      <c r="DX474" s="9"/>
      <c r="DY474" s="9"/>
      <c r="DZ474" s="9"/>
      <c r="EA474" s="9"/>
      <c r="EB474" s="9"/>
      <c r="EC474" s="9"/>
      <c r="ED474" s="9"/>
      <c r="EE474" s="9"/>
      <c r="EF474" s="9"/>
    </row>
    <row r="475" spans="1:136" s="98" customFormat="1" ht="15.75" customHeight="1" x14ac:dyDescent="0.25">
      <c r="A475" s="93">
        <v>46231</v>
      </c>
      <c r="B475" s="94" t="s">
        <v>16</v>
      </c>
      <c r="C475" s="95">
        <v>6024</v>
      </c>
      <c r="D475" s="20"/>
      <c r="E475" s="99" t="s">
        <v>243</v>
      </c>
      <c r="F475" s="21">
        <v>2</v>
      </c>
      <c r="G475" s="100"/>
      <c r="H475" s="21">
        <v>75</v>
      </c>
      <c r="I475" s="11">
        <f t="shared" si="19"/>
        <v>150</v>
      </c>
      <c r="J475" s="21"/>
      <c r="K475" s="21"/>
      <c r="L475" s="13">
        <f t="shared" si="21"/>
        <v>150</v>
      </c>
      <c r="M475" s="22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  <c r="BU475" s="9"/>
      <c r="BV475" s="9"/>
      <c r="BW475" s="9"/>
      <c r="BX475" s="9"/>
      <c r="BY475" s="9"/>
      <c r="BZ475" s="9"/>
      <c r="CA475" s="9"/>
      <c r="CB475" s="9"/>
      <c r="CC475" s="9"/>
      <c r="CD475" s="9"/>
      <c r="CE475" s="9"/>
      <c r="CF475" s="9"/>
      <c r="CG475" s="9"/>
      <c r="CH475" s="9"/>
      <c r="CI475" s="9"/>
      <c r="CJ475" s="9"/>
      <c r="CK475" s="9"/>
      <c r="CL475" s="9"/>
      <c r="CM475" s="9"/>
      <c r="CN475" s="9"/>
      <c r="CO475" s="9"/>
      <c r="CP475" s="9"/>
      <c r="CQ475" s="9"/>
      <c r="CR475" s="9"/>
      <c r="CS475" s="9"/>
      <c r="CT475" s="9"/>
      <c r="CU475" s="9"/>
      <c r="CV475" s="9"/>
      <c r="CW475" s="9"/>
      <c r="CX475" s="9"/>
      <c r="CY475" s="9"/>
      <c r="CZ475" s="9"/>
      <c r="DA475" s="9"/>
      <c r="DB475" s="9"/>
      <c r="DC475" s="9"/>
      <c r="DD475" s="9"/>
      <c r="DE475" s="9"/>
      <c r="DF475" s="9"/>
      <c r="DG475" s="9"/>
      <c r="DH475" s="9"/>
      <c r="DI475" s="9"/>
      <c r="DJ475" s="9"/>
      <c r="DK475" s="9"/>
      <c r="DL475" s="9"/>
      <c r="DM475" s="9"/>
      <c r="DN475" s="9"/>
      <c r="DO475" s="9"/>
      <c r="DP475" s="9"/>
      <c r="DQ475" s="9"/>
      <c r="DR475" s="9"/>
      <c r="DS475" s="9"/>
      <c r="DT475" s="9"/>
      <c r="DU475" s="9"/>
      <c r="DV475" s="9"/>
      <c r="DW475" s="9"/>
      <c r="DX475" s="9"/>
      <c r="DY475" s="9"/>
      <c r="DZ475" s="9"/>
      <c r="EA475" s="9"/>
      <c r="EB475" s="9"/>
      <c r="EC475" s="9"/>
      <c r="ED475" s="9"/>
      <c r="EE475" s="9"/>
      <c r="EF475" s="9"/>
    </row>
    <row r="476" spans="1:136" s="98" customFormat="1" ht="15.75" customHeight="1" x14ac:dyDescent="0.25">
      <c r="A476" s="93">
        <v>46231</v>
      </c>
      <c r="B476" s="94" t="s">
        <v>16</v>
      </c>
      <c r="C476" s="95">
        <v>6024</v>
      </c>
      <c r="D476" s="20"/>
      <c r="E476" s="99" t="s">
        <v>244</v>
      </c>
      <c r="F476" s="21">
        <v>1</v>
      </c>
      <c r="G476" s="100"/>
      <c r="H476" s="21">
        <v>36.5</v>
      </c>
      <c r="I476" s="11">
        <f t="shared" si="19"/>
        <v>36.5</v>
      </c>
      <c r="J476" s="21"/>
      <c r="K476" s="21"/>
      <c r="L476" s="13">
        <f t="shared" si="21"/>
        <v>36.5</v>
      </c>
      <c r="M476" s="22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  <c r="BU476" s="9"/>
      <c r="BV476" s="9"/>
      <c r="BW476" s="9"/>
      <c r="BX476" s="9"/>
      <c r="BY476" s="9"/>
      <c r="BZ476" s="9"/>
      <c r="CA476" s="9"/>
      <c r="CB476" s="9"/>
      <c r="CC476" s="9"/>
      <c r="CD476" s="9"/>
      <c r="CE476" s="9"/>
      <c r="CF476" s="9"/>
      <c r="CG476" s="9"/>
      <c r="CH476" s="9"/>
      <c r="CI476" s="9"/>
      <c r="CJ476" s="9"/>
      <c r="CK476" s="9"/>
      <c r="CL476" s="9"/>
      <c r="CM476" s="9"/>
      <c r="CN476" s="9"/>
      <c r="CO476" s="9"/>
      <c r="CP476" s="9"/>
      <c r="CQ476" s="9"/>
      <c r="CR476" s="9"/>
      <c r="CS476" s="9"/>
      <c r="CT476" s="9"/>
      <c r="CU476" s="9"/>
      <c r="CV476" s="9"/>
      <c r="CW476" s="9"/>
      <c r="CX476" s="9"/>
      <c r="CY476" s="9"/>
      <c r="CZ476" s="9"/>
      <c r="DA476" s="9"/>
      <c r="DB476" s="9"/>
      <c r="DC476" s="9"/>
      <c r="DD476" s="9"/>
      <c r="DE476" s="9"/>
      <c r="DF476" s="9"/>
      <c r="DG476" s="9"/>
      <c r="DH476" s="9"/>
      <c r="DI476" s="9"/>
      <c r="DJ476" s="9"/>
      <c r="DK476" s="9"/>
      <c r="DL476" s="9"/>
      <c r="DM476" s="9"/>
      <c r="DN476" s="9"/>
      <c r="DO476" s="9"/>
      <c r="DP476" s="9"/>
      <c r="DQ476" s="9"/>
      <c r="DR476" s="9"/>
      <c r="DS476" s="9"/>
      <c r="DT476" s="9"/>
      <c r="DU476" s="9"/>
      <c r="DV476" s="9"/>
      <c r="DW476" s="9"/>
      <c r="DX476" s="9"/>
      <c r="DY476" s="9"/>
      <c r="DZ476" s="9"/>
      <c r="EA476" s="9"/>
      <c r="EB476" s="9"/>
      <c r="EC476" s="9"/>
      <c r="ED476" s="9"/>
      <c r="EE476" s="9"/>
      <c r="EF476" s="9"/>
    </row>
    <row r="477" spans="1:136" s="98" customFormat="1" ht="15.75" customHeight="1" x14ac:dyDescent="0.25">
      <c r="A477" s="93">
        <v>46231</v>
      </c>
      <c r="B477" s="94" t="s">
        <v>16</v>
      </c>
      <c r="C477" s="95">
        <v>6024</v>
      </c>
      <c r="D477" s="20"/>
      <c r="E477" s="99" t="s">
        <v>245</v>
      </c>
      <c r="F477" s="21">
        <v>2</v>
      </c>
      <c r="G477" s="100"/>
      <c r="H477" s="21">
        <v>32.5</v>
      </c>
      <c r="I477" s="11">
        <f t="shared" si="19"/>
        <v>65</v>
      </c>
      <c r="J477" s="21"/>
      <c r="K477" s="21"/>
      <c r="L477" s="13">
        <f t="shared" si="21"/>
        <v>65</v>
      </c>
      <c r="M477" s="22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  <c r="BU477" s="9"/>
      <c r="BV477" s="9"/>
      <c r="BW477" s="9"/>
      <c r="BX477" s="9"/>
      <c r="BY477" s="9"/>
      <c r="BZ477" s="9"/>
      <c r="CA477" s="9"/>
      <c r="CB477" s="9"/>
      <c r="CC477" s="9"/>
      <c r="CD477" s="9"/>
      <c r="CE477" s="9"/>
      <c r="CF477" s="9"/>
      <c r="CG477" s="9"/>
      <c r="CH477" s="9"/>
      <c r="CI477" s="9"/>
      <c r="CJ477" s="9"/>
      <c r="CK477" s="9"/>
      <c r="CL477" s="9"/>
      <c r="CM477" s="9"/>
      <c r="CN477" s="9"/>
      <c r="CO477" s="9"/>
      <c r="CP477" s="9"/>
      <c r="CQ477" s="9"/>
      <c r="CR477" s="9"/>
      <c r="CS477" s="9"/>
      <c r="CT477" s="9"/>
      <c r="CU477" s="9"/>
      <c r="CV477" s="9"/>
      <c r="CW477" s="9"/>
      <c r="CX477" s="9"/>
      <c r="CY477" s="9"/>
      <c r="CZ477" s="9"/>
      <c r="DA477" s="9"/>
      <c r="DB477" s="9"/>
      <c r="DC477" s="9"/>
      <c r="DD477" s="9"/>
      <c r="DE477" s="9"/>
      <c r="DF477" s="9"/>
      <c r="DG477" s="9"/>
      <c r="DH477" s="9"/>
      <c r="DI477" s="9"/>
      <c r="DJ477" s="9"/>
      <c r="DK477" s="9"/>
      <c r="DL477" s="9"/>
      <c r="DM477" s="9"/>
      <c r="DN477" s="9"/>
      <c r="DO477" s="9"/>
      <c r="DP477" s="9"/>
      <c r="DQ477" s="9"/>
      <c r="DR477" s="9"/>
      <c r="DS477" s="9"/>
      <c r="DT477" s="9"/>
      <c r="DU477" s="9"/>
      <c r="DV477" s="9"/>
      <c r="DW477" s="9"/>
      <c r="DX477" s="9"/>
      <c r="DY477" s="9"/>
      <c r="DZ477" s="9"/>
      <c r="EA477" s="9"/>
      <c r="EB477" s="9"/>
      <c r="EC477" s="9"/>
      <c r="ED477" s="9"/>
      <c r="EE477" s="9"/>
      <c r="EF477" s="9"/>
    </row>
    <row r="478" spans="1:136" s="98" customFormat="1" ht="15.75" customHeight="1" x14ac:dyDescent="0.25">
      <c r="A478" s="93">
        <v>46231</v>
      </c>
      <c r="B478" s="94" t="s">
        <v>16</v>
      </c>
      <c r="C478" s="95">
        <v>6024</v>
      </c>
      <c r="D478" s="20"/>
      <c r="E478" s="99" t="s">
        <v>246</v>
      </c>
      <c r="F478" s="21">
        <v>1</v>
      </c>
      <c r="G478" s="100"/>
      <c r="H478" s="21">
        <v>155</v>
      </c>
      <c r="I478" s="11">
        <f t="shared" si="19"/>
        <v>155</v>
      </c>
      <c r="J478" s="21"/>
      <c r="K478" s="21"/>
      <c r="L478" s="13">
        <f t="shared" si="21"/>
        <v>155</v>
      </c>
      <c r="M478" s="22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  <c r="BU478" s="9"/>
      <c r="BV478" s="9"/>
      <c r="BW478" s="9"/>
      <c r="BX478" s="9"/>
      <c r="BY478" s="9"/>
      <c r="BZ478" s="9"/>
      <c r="CA478" s="9"/>
      <c r="CB478" s="9"/>
      <c r="CC478" s="9"/>
      <c r="CD478" s="9"/>
      <c r="CE478" s="9"/>
      <c r="CF478" s="9"/>
      <c r="CG478" s="9"/>
      <c r="CH478" s="9"/>
      <c r="CI478" s="9"/>
      <c r="CJ478" s="9"/>
      <c r="CK478" s="9"/>
      <c r="CL478" s="9"/>
      <c r="CM478" s="9"/>
      <c r="CN478" s="9"/>
      <c r="CO478" s="9"/>
      <c r="CP478" s="9"/>
      <c r="CQ478" s="9"/>
      <c r="CR478" s="9"/>
      <c r="CS478" s="9"/>
      <c r="CT478" s="9"/>
      <c r="CU478" s="9"/>
      <c r="CV478" s="9"/>
      <c r="CW478" s="9"/>
      <c r="CX478" s="9"/>
      <c r="CY478" s="9"/>
      <c r="CZ478" s="9"/>
      <c r="DA478" s="9"/>
      <c r="DB478" s="9"/>
      <c r="DC478" s="9"/>
      <c r="DD478" s="9"/>
      <c r="DE478" s="9"/>
      <c r="DF478" s="9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</row>
    <row r="479" spans="1:136" s="98" customFormat="1" ht="15.75" customHeight="1" x14ac:dyDescent="0.25">
      <c r="A479" s="93">
        <v>46231</v>
      </c>
      <c r="B479" s="94" t="s">
        <v>16</v>
      </c>
      <c r="C479" s="95">
        <v>6024</v>
      </c>
      <c r="D479" s="20"/>
      <c r="E479" s="99" t="s">
        <v>247</v>
      </c>
      <c r="F479" s="21">
        <v>1</v>
      </c>
      <c r="G479" s="100"/>
      <c r="H479" s="21">
        <v>158.5</v>
      </c>
      <c r="I479" s="11">
        <f t="shared" si="19"/>
        <v>158.5</v>
      </c>
      <c r="J479" s="21"/>
      <c r="K479" s="21"/>
      <c r="L479" s="13">
        <f t="shared" si="21"/>
        <v>158.5</v>
      </c>
      <c r="M479" s="22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  <c r="BU479" s="9"/>
      <c r="BV479" s="9"/>
      <c r="BW479" s="9"/>
      <c r="BX479" s="9"/>
      <c r="BY479" s="9"/>
      <c r="BZ479" s="9"/>
      <c r="CA479" s="9"/>
      <c r="CB479" s="9"/>
      <c r="CC479" s="9"/>
      <c r="CD479" s="9"/>
      <c r="CE479" s="9"/>
      <c r="CF479" s="9"/>
      <c r="CG479" s="9"/>
      <c r="CH479" s="9"/>
      <c r="CI479" s="9"/>
      <c r="CJ479" s="9"/>
      <c r="CK479" s="9"/>
      <c r="CL479" s="9"/>
      <c r="CM479" s="9"/>
      <c r="CN479" s="9"/>
      <c r="CO479" s="9"/>
      <c r="CP479" s="9"/>
      <c r="CQ479" s="9"/>
      <c r="CR479" s="9"/>
      <c r="CS479" s="9"/>
      <c r="CT479" s="9"/>
      <c r="CU479" s="9"/>
      <c r="CV479" s="9"/>
      <c r="CW479" s="9"/>
      <c r="CX479" s="9"/>
      <c r="CY479" s="9"/>
      <c r="CZ479" s="9"/>
      <c r="DA479" s="9"/>
      <c r="DB479" s="9"/>
      <c r="DC479" s="9"/>
      <c r="DD479" s="9"/>
      <c r="DE479" s="9"/>
      <c r="DF479" s="9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</row>
    <row r="480" spans="1:136" s="98" customFormat="1" ht="15.75" customHeight="1" x14ac:dyDescent="0.25">
      <c r="A480" s="93">
        <v>46231</v>
      </c>
      <c r="B480" s="94" t="s">
        <v>16</v>
      </c>
      <c r="C480" s="95">
        <v>6024</v>
      </c>
      <c r="D480" s="20"/>
      <c r="E480" s="99" t="s">
        <v>248</v>
      </c>
      <c r="F480" s="21">
        <v>1</v>
      </c>
      <c r="G480" s="100"/>
      <c r="H480" s="21">
        <v>127.75</v>
      </c>
      <c r="I480" s="11">
        <f t="shared" si="19"/>
        <v>127.75</v>
      </c>
      <c r="J480" s="21"/>
      <c r="K480" s="21"/>
      <c r="L480" s="13">
        <f t="shared" si="21"/>
        <v>127.75</v>
      </c>
      <c r="M480" s="22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  <c r="BU480" s="9"/>
      <c r="BV480" s="9"/>
      <c r="BW480" s="9"/>
      <c r="BX480" s="9"/>
      <c r="BY480" s="9"/>
      <c r="BZ480" s="9"/>
      <c r="CA480" s="9"/>
      <c r="CB480" s="9"/>
      <c r="CC480" s="9"/>
      <c r="CD480" s="9"/>
      <c r="CE480" s="9"/>
      <c r="CF480" s="9"/>
      <c r="CG480" s="9"/>
      <c r="CH480" s="9"/>
      <c r="CI480" s="9"/>
      <c r="CJ480" s="9"/>
      <c r="CK480" s="9"/>
      <c r="CL480" s="9"/>
      <c r="CM480" s="9"/>
      <c r="CN480" s="9"/>
      <c r="CO480" s="9"/>
      <c r="CP480" s="9"/>
      <c r="CQ480" s="9"/>
      <c r="CR480" s="9"/>
      <c r="CS480" s="9"/>
      <c r="CT480" s="9"/>
      <c r="CU480" s="9"/>
      <c r="CV480" s="9"/>
      <c r="CW480" s="9"/>
      <c r="CX480" s="9"/>
      <c r="CY480" s="9"/>
      <c r="CZ480" s="9"/>
      <c r="DA480" s="9"/>
      <c r="DB480" s="9"/>
      <c r="DC480" s="9"/>
      <c r="DD480" s="9"/>
      <c r="DE480" s="9"/>
      <c r="DF480" s="9"/>
      <c r="DG480" s="9"/>
      <c r="DH480" s="9"/>
      <c r="DI480" s="9"/>
      <c r="DJ480" s="9"/>
      <c r="DK480" s="9"/>
      <c r="DL480" s="9"/>
      <c r="DM480" s="9"/>
      <c r="DN480" s="9"/>
      <c r="DO480" s="9"/>
      <c r="DP480" s="9"/>
      <c r="DQ480" s="9"/>
      <c r="DR480" s="9"/>
      <c r="DS480" s="9"/>
      <c r="DT480" s="9"/>
      <c r="DU480" s="9"/>
      <c r="DV480" s="9"/>
      <c r="DW480" s="9"/>
      <c r="DX480" s="9"/>
      <c r="DY480" s="9"/>
      <c r="DZ480" s="9"/>
      <c r="EA480" s="9"/>
      <c r="EB480" s="9"/>
      <c r="EC480" s="9"/>
      <c r="ED480" s="9"/>
      <c r="EE480" s="9"/>
      <c r="EF480" s="9"/>
    </row>
    <row r="481" spans="1:136" s="98" customFormat="1" ht="15.75" customHeight="1" x14ac:dyDescent="0.25">
      <c r="A481" s="93">
        <v>46231</v>
      </c>
      <c r="B481" s="94" t="s">
        <v>16</v>
      </c>
      <c r="C481" s="95">
        <v>6024</v>
      </c>
      <c r="D481" s="20"/>
      <c r="E481" s="99" t="s">
        <v>170</v>
      </c>
      <c r="F481" s="21">
        <v>1</v>
      </c>
      <c r="G481" s="100"/>
      <c r="H481" s="21">
        <v>874</v>
      </c>
      <c r="I481" s="11">
        <f t="shared" si="19"/>
        <v>874</v>
      </c>
      <c r="J481" s="21"/>
      <c r="K481" s="21"/>
      <c r="L481" s="13">
        <f t="shared" si="21"/>
        <v>874</v>
      </c>
      <c r="M481" s="22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  <c r="BU481" s="9"/>
      <c r="BV481" s="9"/>
      <c r="BW481" s="9"/>
      <c r="BX481" s="9"/>
      <c r="BY481" s="9"/>
      <c r="BZ481" s="9"/>
      <c r="CA481" s="9"/>
      <c r="CB481" s="9"/>
      <c r="CC481" s="9"/>
      <c r="CD481" s="9"/>
      <c r="CE481" s="9"/>
      <c r="CF481" s="9"/>
      <c r="CG481" s="9"/>
      <c r="CH481" s="9"/>
      <c r="CI481" s="9"/>
      <c r="CJ481" s="9"/>
      <c r="CK481" s="9"/>
      <c r="CL481" s="9"/>
      <c r="CM481" s="9"/>
      <c r="CN481" s="9"/>
      <c r="CO481" s="9"/>
      <c r="CP481" s="9"/>
      <c r="CQ481" s="9"/>
      <c r="CR481" s="9"/>
      <c r="CS481" s="9"/>
      <c r="CT481" s="9"/>
      <c r="CU481" s="9"/>
      <c r="CV481" s="9"/>
      <c r="CW481" s="9"/>
      <c r="CX481" s="9"/>
      <c r="CY481" s="9"/>
      <c r="CZ481" s="9"/>
      <c r="DA481" s="9"/>
      <c r="DB481" s="9"/>
      <c r="DC481" s="9"/>
      <c r="DD481" s="9"/>
      <c r="DE481" s="9"/>
      <c r="DF481" s="9"/>
      <c r="DG481" s="9"/>
      <c r="DH481" s="9"/>
      <c r="DI481" s="9"/>
      <c r="DJ481" s="9"/>
      <c r="DK481" s="9"/>
      <c r="DL481" s="9"/>
      <c r="DM481" s="9"/>
      <c r="DN481" s="9"/>
      <c r="DO481" s="9"/>
      <c r="DP481" s="9"/>
      <c r="DQ481" s="9"/>
      <c r="DR481" s="9"/>
      <c r="DS481" s="9"/>
      <c r="DT481" s="9"/>
      <c r="DU481" s="9"/>
      <c r="DV481" s="9"/>
      <c r="DW481" s="9"/>
      <c r="DX481" s="9"/>
      <c r="DY481" s="9"/>
      <c r="DZ481" s="9"/>
      <c r="EA481" s="9"/>
      <c r="EB481" s="9"/>
      <c r="EC481" s="9"/>
      <c r="ED481" s="9"/>
      <c r="EE481" s="9"/>
      <c r="EF481" s="9"/>
    </row>
    <row r="482" spans="1:136" s="98" customFormat="1" ht="15.75" customHeight="1" x14ac:dyDescent="0.25">
      <c r="A482" s="93">
        <v>46231</v>
      </c>
      <c r="B482" s="94" t="s">
        <v>16</v>
      </c>
      <c r="C482" s="95">
        <v>6024</v>
      </c>
      <c r="D482" s="20"/>
      <c r="E482" s="99" t="s">
        <v>249</v>
      </c>
      <c r="F482" s="21">
        <v>4</v>
      </c>
      <c r="G482" s="100"/>
      <c r="H482" s="21">
        <v>45</v>
      </c>
      <c r="I482" s="11">
        <f t="shared" si="19"/>
        <v>180</v>
      </c>
      <c r="J482" s="21"/>
      <c r="K482" s="21"/>
      <c r="L482" s="13">
        <f t="shared" si="21"/>
        <v>180</v>
      </c>
      <c r="M482" s="22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  <c r="BU482" s="9"/>
      <c r="BV482" s="9"/>
      <c r="BW482" s="9"/>
      <c r="BX482" s="9"/>
      <c r="BY482" s="9"/>
      <c r="BZ482" s="9"/>
      <c r="CA482" s="9"/>
      <c r="CB482" s="9"/>
      <c r="CC482" s="9"/>
      <c r="CD482" s="9"/>
      <c r="CE482" s="9"/>
      <c r="CF482" s="9"/>
      <c r="CG482" s="9"/>
      <c r="CH482" s="9"/>
      <c r="CI482" s="9"/>
      <c r="CJ482" s="9"/>
      <c r="CK482" s="9"/>
      <c r="CL482" s="9"/>
      <c r="CM482" s="9"/>
      <c r="CN482" s="9"/>
      <c r="CO482" s="9"/>
      <c r="CP482" s="9"/>
      <c r="CQ482" s="9"/>
      <c r="CR482" s="9"/>
      <c r="CS482" s="9"/>
      <c r="CT482" s="9"/>
      <c r="CU482" s="9"/>
      <c r="CV482" s="9"/>
      <c r="CW482" s="9"/>
      <c r="CX482" s="9"/>
      <c r="CY482" s="9"/>
      <c r="CZ482" s="9"/>
      <c r="DA482" s="9"/>
      <c r="DB482" s="9"/>
      <c r="DC482" s="9"/>
      <c r="DD482" s="9"/>
      <c r="DE482" s="9"/>
      <c r="DF482" s="9"/>
      <c r="DG482" s="9"/>
      <c r="DH482" s="9"/>
      <c r="DI482" s="9"/>
      <c r="DJ482" s="9"/>
      <c r="DK482" s="9"/>
      <c r="DL482" s="9"/>
      <c r="DM482" s="9"/>
      <c r="DN482" s="9"/>
      <c r="DO482" s="9"/>
      <c r="DP482" s="9"/>
      <c r="DQ482" s="9"/>
      <c r="DR482" s="9"/>
      <c r="DS482" s="9"/>
      <c r="DT482" s="9"/>
      <c r="DU482" s="9"/>
      <c r="DV482" s="9"/>
      <c r="DW482" s="9"/>
      <c r="DX482" s="9"/>
      <c r="DY482" s="9"/>
      <c r="DZ482" s="9"/>
      <c r="EA482" s="9"/>
      <c r="EB482" s="9"/>
      <c r="EC482" s="9"/>
      <c r="ED482" s="9"/>
      <c r="EE482" s="9"/>
      <c r="EF482" s="9"/>
    </row>
    <row r="483" spans="1:136" s="98" customFormat="1" ht="15.75" customHeight="1" x14ac:dyDescent="0.25">
      <c r="A483" s="93">
        <v>46231</v>
      </c>
      <c r="B483" s="94" t="s">
        <v>16</v>
      </c>
      <c r="C483" s="95">
        <v>6024</v>
      </c>
      <c r="D483" s="20"/>
      <c r="E483" s="99" t="s">
        <v>250</v>
      </c>
      <c r="F483" s="21">
        <v>50</v>
      </c>
      <c r="G483" s="100"/>
      <c r="H483" s="21">
        <v>3.5</v>
      </c>
      <c r="I483" s="11">
        <f t="shared" si="19"/>
        <v>175</v>
      </c>
      <c r="J483" s="21"/>
      <c r="K483" s="21"/>
      <c r="L483" s="13">
        <f t="shared" si="21"/>
        <v>175</v>
      </c>
      <c r="M483" s="22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  <c r="BU483" s="9"/>
      <c r="BV483" s="9"/>
      <c r="BW483" s="9"/>
      <c r="BX483" s="9"/>
      <c r="BY483" s="9"/>
      <c r="BZ483" s="9"/>
      <c r="CA483" s="9"/>
      <c r="CB483" s="9"/>
      <c r="CC483" s="9"/>
      <c r="CD483" s="9"/>
      <c r="CE483" s="9"/>
      <c r="CF483" s="9"/>
      <c r="CG483" s="9"/>
      <c r="CH483" s="9"/>
      <c r="CI483" s="9"/>
      <c r="CJ483" s="9"/>
      <c r="CK483" s="9"/>
      <c r="CL483" s="9"/>
      <c r="CM483" s="9"/>
      <c r="CN483" s="9"/>
      <c r="CO483" s="9"/>
      <c r="CP483" s="9"/>
      <c r="CQ483" s="9"/>
      <c r="CR483" s="9"/>
      <c r="CS483" s="9"/>
      <c r="CT483" s="9"/>
      <c r="CU483" s="9"/>
      <c r="CV483" s="9"/>
      <c r="CW483" s="9"/>
      <c r="CX483" s="9"/>
      <c r="CY483" s="9"/>
      <c r="CZ483" s="9"/>
      <c r="DA483" s="9"/>
      <c r="DB483" s="9"/>
      <c r="DC483" s="9"/>
      <c r="DD483" s="9"/>
      <c r="DE483" s="9"/>
      <c r="DF483" s="9"/>
      <c r="DG483" s="9"/>
      <c r="DH483" s="9"/>
      <c r="DI483" s="9"/>
      <c r="DJ483" s="9"/>
      <c r="DK483" s="9"/>
      <c r="DL483" s="9"/>
      <c r="DM483" s="9"/>
      <c r="DN483" s="9"/>
      <c r="DO483" s="9"/>
      <c r="DP483" s="9"/>
      <c r="DQ483" s="9"/>
      <c r="DR483" s="9"/>
      <c r="DS483" s="9"/>
      <c r="DT483" s="9"/>
      <c r="DU483" s="9"/>
      <c r="DV483" s="9"/>
      <c r="DW483" s="9"/>
      <c r="DX483" s="9"/>
      <c r="DY483" s="9"/>
      <c r="DZ483" s="9"/>
      <c r="EA483" s="9"/>
      <c r="EB483" s="9"/>
      <c r="EC483" s="9"/>
      <c r="ED483" s="9"/>
      <c r="EE483" s="9"/>
      <c r="EF483" s="9"/>
    </row>
    <row r="484" spans="1:136" s="98" customFormat="1" ht="15.75" customHeight="1" x14ac:dyDescent="0.25">
      <c r="A484" s="93">
        <v>46231</v>
      </c>
      <c r="B484" s="94" t="s">
        <v>16</v>
      </c>
      <c r="C484" s="95">
        <v>6024</v>
      </c>
      <c r="D484" s="20"/>
      <c r="E484" s="99" t="s">
        <v>251</v>
      </c>
      <c r="F484" s="21">
        <v>4</v>
      </c>
      <c r="G484" s="100"/>
      <c r="H484" s="21">
        <v>56</v>
      </c>
      <c r="I484" s="11">
        <f t="shared" si="19"/>
        <v>224</v>
      </c>
      <c r="J484" s="21"/>
      <c r="K484" s="21"/>
      <c r="L484" s="13">
        <f t="shared" si="21"/>
        <v>224</v>
      </c>
      <c r="M484" s="22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  <c r="BU484" s="9"/>
      <c r="BV484" s="9"/>
      <c r="BW484" s="9"/>
      <c r="BX484" s="9"/>
      <c r="BY484" s="9"/>
      <c r="BZ484" s="9"/>
      <c r="CA484" s="9"/>
      <c r="CB484" s="9"/>
      <c r="CC484" s="9"/>
      <c r="CD484" s="9"/>
      <c r="CE484" s="9"/>
      <c r="CF484" s="9"/>
      <c r="CG484" s="9"/>
      <c r="CH484" s="9"/>
      <c r="CI484" s="9"/>
      <c r="CJ484" s="9"/>
      <c r="CK484" s="9"/>
      <c r="CL484" s="9"/>
      <c r="CM484" s="9"/>
      <c r="CN484" s="9"/>
      <c r="CO484" s="9"/>
      <c r="CP484" s="9"/>
      <c r="CQ484" s="9"/>
      <c r="CR484" s="9"/>
      <c r="CS484" s="9"/>
      <c r="CT484" s="9"/>
      <c r="CU484" s="9"/>
      <c r="CV484" s="9"/>
      <c r="CW484" s="9"/>
      <c r="CX484" s="9"/>
      <c r="CY484" s="9"/>
      <c r="CZ484" s="9"/>
      <c r="DA484" s="9"/>
      <c r="DB484" s="9"/>
      <c r="DC484" s="9"/>
      <c r="DD484" s="9"/>
      <c r="DE484" s="9"/>
      <c r="DF484" s="9"/>
      <c r="DG484" s="9"/>
      <c r="DH484" s="9"/>
      <c r="DI484" s="9"/>
      <c r="DJ484" s="9"/>
      <c r="DK484" s="9"/>
      <c r="DL484" s="9"/>
      <c r="DM484" s="9"/>
      <c r="DN484" s="9"/>
      <c r="DO484" s="9"/>
      <c r="DP484" s="9"/>
      <c r="DQ484" s="9"/>
      <c r="DR484" s="9"/>
      <c r="DS484" s="9"/>
      <c r="DT484" s="9"/>
      <c r="DU484" s="9"/>
      <c r="DV484" s="9"/>
      <c r="DW484" s="9"/>
      <c r="DX484" s="9"/>
      <c r="DY484" s="9"/>
      <c r="DZ484" s="9"/>
      <c r="EA484" s="9"/>
      <c r="EB484" s="9"/>
      <c r="EC484" s="9"/>
      <c r="ED484" s="9"/>
      <c r="EE484" s="9"/>
      <c r="EF484" s="9"/>
    </row>
    <row r="485" spans="1:136" s="98" customFormat="1" ht="15.75" customHeight="1" x14ac:dyDescent="0.25">
      <c r="A485" s="93">
        <v>46231</v>
      </c>
      <c r="B485" s="94" t="s">
        <v>16</v>
      </c>
      <c r="C485" s="95">
        <v>6024</v>
      </c>
      <c r="D485" s="20"/>
      <c r="E485" s="99" t="s">
        <v>252</v>
      </c>
      <c r="F485" s="21">
        <v>5</v>
      </c>
      <c r="G485" s="100"/>
      <c r="H485" s="21">
        <v>37</v>
      </c>
      <c r="I485" s="11">
        <f t="shared" si="19"/>
        <v>185</v>
      </c>
      <c r="J485" s="21"/>
      <c r="K485" s="21"/>
      <c r="L485" s="13">
        <f t="shared" si="21"/>
        <v>185</v>
      </c>
      <c r="M485" s="22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  <c r="BU485" s="9"/>
      <c r="BV485" s="9"/>
      <c r="BW485" s="9"/>
      <c r="BX485" s="9"/>
      <c r="BY485" s="9"/>
      <c r="BZ485" s="9"/>
      <c r="CA485" s="9"/>
      <c r="CB485" s="9"/>
      <c r="CC485" s="9"/>
      <c r="CD485" s="9"/>
      <c r="CE485" s="9"/>
      <c r="CF485" s="9"/>
      <c r="CG485" s="9"/>
      <c r="CH485" s="9"/>
      <c r="CI485" s="9"/>
      <c r="CJ485" s="9"/>
      <c r="CK485" s="9"/>
      <c r="CL485" s="9"/>
      <c r="CM485" s="9"/>
      <c r="CN485" s="9"/>
      <c r="CO485" s="9"/>
      <c r="CP485" s="9"/>
      <c r="CQ485" s="9"/>
      <c r="CR485" s="9"/>
      <c r="CS485" s="9"/>
      <c r="CT485" s="9"/>
      <c r="CU485" s="9"/>
      <c r="CV485" s="9"/>
      <c r="CW485" s="9"/>
      <c r="CX485" s="9"/>
      <c r="CY485" s="9"/>
      <c r="CZ485" s="9"/>
      <c r="DA485" s="9"/>
      <c r="DB485" s="9"/>
      <c r="DC485" s="9"/>
      <c r="DD485" s="9"/>
      <c r="DE485" s="9"/>
      <c r="DF485" s="9"/>
      <c r="DG485" s="9"/>
      <c r="DH485" s="9"/>
      <c r="DI485" s="9"/>
      <c r="DJ485" s="9"/>
      <c r="DK485" s="9"/>
      <c r="DL485" s="9"/>
      <c r="DM485" s="9"/>
      <c r="DN485" s="9"/>
      <c r="DO485" s="9"/>
      <c r="DP485" s="9"/>
      <c r="DQ485" s="9"/>
      <c r="DR485" s="9"/>
      <c r="DS485" s="9"/>
      <c r="DT485" s="9"/>
      <c r="DU485" s="9"/>
      <c r="DV485" s="9"/>
      <c r="DW485" s="9"/>
      <c r="DX485" s="9"/>
      <c r="DY485" s="9"/>
      <c r="DZ485" s="9"/>
      <c r="EA485" s="9"/>
      <c r="EB485" s="9"/>
      <c r="EC485" s="9"/>
      <c r="ED485" s="9"/>
      <c r="EE485" s="9"/>
      <c r="EF485" s="9"/>
    </row>
    <row r="486" spans="1:136" s="98" customFormat="1" ht="15.75" customHeight="1" x14ac:dyDescent="0.25">
      <c r="A486" s="93">
        <v>46231</v>
      </c>
      <c r="B486" s="94" t="s">
        <v>16</v>
      </c>
      <c r="C486" s="95">
        <v>6024</v>
      </c>
      <c r="D486" s="20"/>
      <c r="E486" s="99" t="s">
        <v>115</v>
      </c>
      <c r="F486" s="21">
        <v>12</v>
      </c>
      <c r="G486" s="100"/>
      <c r="H486" s="21">
        <v>12</v>
      </c>
      <c r="I486" s="11">
        <f t="shared" si="19"/>
        <v>144</v>
      </c>
      <c r="J486" s="21"/>
      <c r="K486" s="21"/>
      <c r="L486" s="13">
        <f t="shared" si="21"/>
        <v>144</v>
      </c>
      <c r="M486" s="22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  <c r="BU486" s="9"/>
      <c r="BV486" s="9"/>
      <c r="BW486" s="9"/>
      <c r="BX486" s="9"/>
      <c r="BY486" s="9"/>
      <c r="BZ486" s="9"/>
      <c r="CA486" s="9"/>
      <c r="CB486" s="9"/>
      <c r="CC486" s="9"/>
      <c r="CD486" s="9"/>
      <c r="CE486" s="9"/>
      <c r="CF486" s="9"/>
      <c r="CG486" s="9"/>
      <c r="CH486" s="9"/>
      <c r="CI486" s="9"/>
      <c r="CJ486" s="9"/>
      <c r="CK486" s="9"/>
      <c r="CL486" s="9"/>
      <c r="CM486" s="9"/>
      <c r="CN486" s="9"/>
      <c r="CO486" s="9"/>
      <c r="CP486" s="9"/>
      <c r="CQ486" s="9"/>
      <c r="CR486" s="9"/>
      <c r="CS486" s="9"/>
      <c r="CT486" s="9"/>
      <c r="CU486" s="9"/>
      <c r="CV486" s="9"/>
      <c r="CW486" s="9"/>
      <c r="CX486" s="9"/>
      <c r="CY486" s="9"/>
      <c r="CZ486" s="9"/>
      <c r="DA486" s="9"/>
      <c r="DB486" s="9"/>
      <c r="DC486" s="9"/>
      <c r="DD486" s="9"/>
      <c r="DE486" s="9"/>
      <c r="DF486" s="9"/>
      <c r="DG486" s="9"/>
      <c r="DH486" s="9"/>
      <c r="DI486" s="9"/>
      <c r="DJ486" s="9"/>
      <c r="DK486" s="9"/>
      <c r="DL486" s="9"/>
      <c r="DM486" s="9"/>
      <c r="DN486" s="9"/>
      <c r="DO486" s="9"/>
      <c r="DP486" s="9"/>
      <c r="DQ486" s="9"/>
      <c r="DR486" s="9"/>
      <c r="DS486" s="9"/>
      <c r="DT486" s="9"/>
      <c r="DU486" s="9"/>
      <c r="DV486" s="9"/>
      <c r="DW486" s="9"/>
      <c r="DX486" s="9"/>
      <c r="DY486" s="9"/>
      <c r="DZ486" s="9"/>
      <c r="EA486" s="9"/>
      <c r="EB486" s="9"/>
      <c r="EC486" s="9"/>
      <c r="ED486" s="9"/>
      <c r="EE486" s="9"/>
      <c r="EF486" s="9"/>
    </row>
    <row r="487" spans="1:136" s="98" customFormat="1" ht="15.75" customHeight="1" x14ac:dyDescent="0.25">
      <c r="A487" s="93">
        <v>46231</v>
      </c>
      <c r="B487" s="94" t="s">
        <v>16</v>
      </c>
      <c r="C487" s="95">
        <v>6024</v>
      </c>
      <c r="D487" s="20"/>
      <c r="E487" s="99" t="s">
        <v>115</v>
      </c>
      <c r="F487" s="21">
        <v>3</v>
      </c>
      <c r="G487" s="100"/>
      <c r="H487" s="21">
        <v>14</v>
      </c>
      <c r="I487" s="11">
        <f t="shared" si="19"/>
        <v>42</v>
      </c>
      <c r="J487" s="21"/>
      <c r="K487" s="21"/>
      <c r="L487" s="13">
        <f t="shared" si="21"/>
        <v>42</v>
      </c>
      <c r="M487" s="22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  <c r="BU487" s="9"/>
      <c r="BV487" s="9"/>
      <c r="BW487" s="9"/>
      <c r="BX487" s="9"/>
      <c r="BY487" s="9"/>
      <c r="BZ487" s="9"/>
      <c r="CA487" s="9"/>
      <c r="CB487" s="9"/>
      <c r="CC487" s="9"/>
      <c r="CD487" s="9"/>
      <c r="CE487" s="9"/>
      <c r="CF487" s="9"/>
      <c r="CG487" s="9"/>
      <c r="CH487" s="9"/>
      <c r="CI487" s="9"/>
      <c r="CJ487" s="9"/>
      <c r="CK487" s="9"/>
      <c r="CL487" s="9"/>
      <c r="CM487" s="9"/>
      <c r="CN487" s="9"/>
      <c r="CO487" s="9"/>
      <c r="CP487" s="9"/>
      <c r="CQ487" s="9"/>
      <c r="CR487" s="9"/>
      <c r="CS487" s="9"/>
      <c r="CT487" s="9"/>
      <c r="CU487" s="9"/>
      <c r="CV487" s="9"/>
      <c r="CW487" s="9"/>
      <c r="CX487" s="9"/>
      <c r="CY487" s="9"/>
      <c r="CZ487" s="9"/>
      <c r="DA487" s="9"/>
      <c r="DB487" s="9"/>
      <c r="DC487" s="9"/>
      <c r="DD487" s="9"/>
      <c r="DE487" s="9"/>
      <c r="DF487" s="9"/>
      <c r="DG487" s="9"/>
      <c r="DH487" s="9"/>
      <c r="DI487" s="9"/>
      <c r="DJ487" s="9"/>
      <c r="DK487" s="9"/>
      <c r="DL487" s="9"/>
      <c r="DM487" s="9"/>
      <c r="DN487" s="9"/>
      <c r="DO487" s="9"/>
      <c r="DP487" s="9"/>
      <c r="DQ487" s="9"/>
      <c r="DR487" s="9"/>
      <c r="DS487" s="9"/>
      <c r="DT487" s="9"/>
      <c r="DU487" s="9"/>
      <c r="DV487" s="9"/>
      <c r="DW487" s="9"/>
      <c r="DX487" s="9"/>
      <c r="DY487" s="9"/>
      <c r="DZ487" s="9"/>
      <c r="EA487" s="9"/>
      <c r="EB487" s="9"/>
      <c r="EC487" s="9"/>
      <c r="ED487" s="9"/>
      <c r="EE487" s="9"/>
      <c r="EF487" s="9"/>
    </row>
    <row r="488" spans="1:136" s="98" customFormat="1" ht="15.75" customHeight="1" x14ac:dyDescent="0.25">
      <c r="A488" s="93">
        <v>46231</v>
      </c>
      <c r="B488" s="94" t="s">
        <v>16</v>
      </c>
      <c r="C488" s="95">
        <v>6024</v>
      </c>
      <c r="D488" s="20"/>
      <c r="E488" s="99" t="s">
        <v>209</v>
      </c>
      <c r="F488" s="21">
        <v>1</v>
      </c>
      <c r="G488" s="100"/>
      <c r="H488" s="21">
        <v>233.5</v>
      </c>
      <c r="I488" s="11">
        <f t="shared" si="19"/>
        <v>233.5</v>
      </c>
      <c r="J488" s="21"/>
      <c r="K488" s="21"/>
      <c r="L488" s="13">
        <f t="shared" si="21"/>
        <v>233.5</v>
      </c>
      <c r="M488" s="22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  <c r="BU488" s="9"/>
      <c r="BV488" s="9"/>
      <c r="BW488" s="9"/>
      <c r="BX488" s="9"/>
      <c r="BY488" s="9"/>
      <c r="BZ488" s="9"/>
      <c r="CA488" s="9"/>
      <c r="CB488" s="9"/>
      <c r="CC488" s="9"/>
      <c r="CD488" s="9"/>
      <c r="CE488" s="9"/>
      <c r="CF488" s="9"/>
      <c r="CG488" s="9"/>
      <c r="CH488" s="9"/>
      <c r="CI488" s="9"/>
      <c r="CJ488" s="9"/>
      <c r="CK488" s="9"/>
      <c r="CL488" s="9"/>
      <c r="CM488" s="9"/>
      <c r="CN488" s="9"/>
      <c r="CO488" s="9"/>
      <c r="CP488" s="9"/>
      <c r="CQ488" s="9"/>
      <c r="CR488" s="9"/>
      <c r="CS488" s="9"/>
      <c r="CT488" s="9"/>
      <c r="CU488" s="9"/>
      <c r="CV488" s="9"/>
      <c r="CW488" s="9"/>
      <c r="CX488" s="9"/>
      <c r="CY488" s="9"/>
      <c r="CZ488" s="9"/>
      <c r="DA488" s="9"/>
      <c r="DB488" s="9"/>
      <c r="DC488" s="9"/>
      <c r="DD488" s="9"/>
      <c r="DE488" s="9"/>
      <c r="DF488" s="9"/>
      <c r="DG488" s="9"/>
      <c r="DH488" s="9"/>
      <c r="DI488" s="9"/>
      <c r="DJ488" s="9"/>
      <c r="DK488" s="9"/>
      <c r="DL488" s="9"/>
      <c r="DM488" s="9"/>
      <c r="DN488" s="9"/>
      <c r="DO488" s="9"/>
      <c r="DP488" s="9"/>
      <c r="DQ488" s="9"/>
      <c r="DR488" s="9"/>
      <c r="DS488" s="9"/>
      <c r="DT488" s="9"/>
      <c r="DU488" s="9"/>
      <c r="DV488" s="9"/>
      <c r="DW488" s="9"/>
      <c r="DX488" s="9"/>
      <c r="DY488" s="9"/>
      <c r="DZ488" s="9"/>
      <c r="EA488" s="9"/>
      <c r="EB488" s="9"/>
      <c r="EC488" s="9"/>
      <c r="ED488" s="9"/>
      <c r="EE488" s="9"/>
      <c r="EF488" s="9"/>
    </row>
    <row r="489" spans="1:136" s="98" customFormat="1" ht="15.75" customHeight="1" x14ac:dyDescent="0.25">
      <c r="A489" s="93">
        <v>46231</v>
      </c>
      <c r="B489" s="94" t="s">
        <v>16</v>
      </c>
      <c r="C489" s="95">
        <v>6024</v>
      </c>
      <c r="D489" s="20"/>
      <c r="E489" s="99" t="s">
        <v>253</v>
      </c>
      <c r="F489" s="21">
        <v>1</v>
      </c>
      <c r="G489" s="100"/>
      <c r="H489" s="21">
        <v>100</v>
      </c>
      <c r="I489" s="11">
        <f t="shared" si="19"/>
        <v>100</v>
      </c>
      <c r="J489" s="21"/>
      <c r="K489" s="21"/>
      <c r="L489" s="13">
        <f t="shared" ref="L489:L513" si="22">I489-J489-K489</f>
        <v>100</v>
      </c>
      <c r="M489" s="22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  <c r="BU489" s="9"/>
      <c r="BV489" s="9"/>
      <c r="BW489" s="9"/>
      <c r="BX489" s="9"/>
      <c r="BY489" s="9"/>
      <c r="BZ489" s="9"/>
      <c r="CA489" s="9"/>
      <c r="CB489" s="9"/>
      <c r="CC489" s="9"/>
      <c r="CD489" s="9"/>
      <c r="CE489" s="9"/>
      <c r="CF489" s="9"/>
      <c r="CG489" s="9"/>
      <c r="CH489" s="9"/>
      <c r="CI489" s="9"/>
      <c r="CJ489" s="9"/>
      <c r="CK489" s="9"/>
      <c r="CL489" s="9"/>
      <c r="CM489" s="9"/>
      <c r="CN489" s="9"/>
      <c r="CO489" s="9"/>
      <c r="CP489" s="9"/>
      <c r="CQ489" s="9"/>
      <c r="CR489" s="9"/>
      <c r="CS489" s="9"/>
      <c r="CT489" s="9"/>
      <c r="CU489" s="9"/>
      <c r="CV489" s="9"/>
      <c r="CW489" s="9"/>
      <c r="CX489" s="9"/>
      <c r="CY489" s="9"/>
      <c r="CZ489" s="9"/>
      <c r="DA489" s="9"/>
      <c r="DB489" s="9"/>
      <c r="DC489" s="9"/>
      <c r="DD489" s="9"/>
      <c r="DE489" s="9"/>
      <c r="DF489" s="9"/>
      <c r="DG489" s="9"/>
      <c r="DH489" s="9"/>
      <c r="DI489" s="9"/>
      <c r="DJ489" s="9"/>
      <c r="DK489" s="9"/>
      <c r="DL489" s="9"/>
      <c r="DM489" s="9"/>
      <c r="DN489" s="9"/>
      <c r="DO489" s="9"/>
      <c r="DP489" s="9"/>
      <c r="DQ489" s="9"/>
      <c r="DR489" s="9"/>
      <c r="DS489" s="9"/>
      <c r="DT489" s="9"/>
      <c r="DU489" s="9"/>
      <c r="DV489" s="9"/>
      <c r="DW489" s="9"/>
      <c r="DX489" s="9"/>
      <c r="DY489" s="9"/>
      <c r="DZ489" s="9"/>
      <c r="EA489" s="9"/>
      <c r="EB489" s="9"/>
      <c r="EC489" s="9"/>
      <c r="ED489" s="9"/>
      <c r="EE489" s="9"/>
      <c r="EF489" s="9"/>
    </row>
    <row r="490" spans="1:136" s="98" customFormat="1" ht="15.75" customHeight="1" x14ac:dyDescent="0.25">
      <c r="A490" s="93">
        <v>46231</v>
      </c>
      <c r="B490" s="94" t="s">
        <v>16</v>
      </c>
      <c r="C490" s="95">
        <v>6024</v>
      </c>
      <c r="D490" s="20"/>
      <c r="E490" s="99" t="s">
        <v>191</v>
      </c>
      <c r="F490" s="21">
        <v>65</v>
      </c>
      <c r="G490" s="100"/>
      <c r="H490" s="21">
        <v>7</v>
      </c>
      <c r="I490" s="11">
        <f t="shared" si="19"/>
        <v>455</v>
      </c>
      <c r="J490" s="21"/>
      <c r="K490" s="21"/>
      <c r="L490" s="13">
        <f t="shared" si="22"/>
        <v>455</v>
      </c>
      <c r="M490" s="22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  <c r="BU490" s="9"/>
      <c r="BV490" s="9"/>
      <c r="BW490" s="9"/>
      <c r="BX490" s="9"/>
      <c r="BY490" s="9"/>
      <c r="BZ490" s="9"/>
      <c r="CA490" s="9"/>
      <c r="CB490" s="9"/>
      <c r="CC490" s="9"/>
      <c r="CD490" s="9"/>
      <c r="CE490" s="9"/>
      <c r="CF490" s="9"/>
      <c r="CG490" s="9"/>
      <c r="CH490" s="9"/>
      <c r="CI490" s="9"/>
      <c r="CJ490" s="9"/>
      <c r="CK490" s="9"/>
      <c r="CL490" s="9"/>
      <c r="CM490" s="9"/>
      <c r="CN490" s="9"/>
      <c r="CO490" s="9"/>
      <c r="CP490" s="9"/>
      <c r="CQ490" s="9"/>
      <c r="CR490" s="9"/>
      <c r="CS490" s="9"/>
      <c r="CT490" s="9"/>
      <c r="CU490" s="9"/>
      <c r="CV490" s="9"/>
      <c r="CW490" s="9"/>
      <c r="CX490" s="9"/>
      <c r="CY490" s="9"/>
      <c r="CZ490" s="9"/>
      <c r="DA490" s="9"/>
      <c r="DB490" s="9"/>
      <c r="DC490" s="9"/>
      <c r="DD490" s="9"/>
      <c r="DE490" s="9"/>
      <c r="DF490" s="9"/>
      <c r="DG490" s="9"/>
      <c r="DH490" s="9"/>
      <c r="DI490" s="9"/>
      <c r="DJ490" s="9"/>
      <c r="DK490" s="9"/>
      <c r="DL490" s="9"/>
      <c r="DM490" s="9"/>
      <c r="DN490" s="9"/>
      <c r="DO490" s="9"/>
      <c r="DP490" s="9"/>
      <c r="DQ490" s="9"/>
      <c r="DR490" s="9"/>
      <c r="DS490" s="9"/>
      <c r="DT490" s="9"/>
      <c r="DU490" s="9"/>
      <c r="DV490" s="9"/>
      <c r="DW490" s="9"/>
      <c r="DX490" s="9"/>
      <c r="DY490" s="9"/>
      <c r="DZ490" s="9"/>
      <c r="EA490" s="9"/>
      <c r="EB490" s="9"/>
      <c r="EC490" s="9"/>
      <c r="ED490" s="9"/>
      <c r="EE490" s="9"/>
      <c r="EF490" s="9"/>
    </row>
    <row r="491" spans="1:136" s="98" customFormat="1" ht="15.75" customHeight="1" x14ac:dyDescent="0.25">
      <c r="A491" s="93">
        <v>46231</v>
      </c>
      <c r="B491" s="94" t="s">
        <v>16</v>
      </c>
      <c r="C491" s="95">
        <v>6024</v>
      </c>
      <c r="D491" s="20"/>
      <c r="E491" s="99" t="s">
        <v>83</v>
      </c>
      <c r="F491" s="21">
        <v>2</v>
      </c>
      <c r="G491" s="100"/>
      <c r="H491" s="21">
        <v>61.25</v>
      </c>
      <c r="I491" s="11">
        <f t="shared" si="19"/>
        <v>122.5</v>
      </c>
      <c r="J491" s="21"/>
      <c r="K491" s="21"/>
      <c r="L491" s="13">
        <f t="shared" si="22"/>
        <v>122.5</v>
      </c>
      <c r="M491" s="22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  <c r="BU491" s="9"/>
      <c r="BV491" s="9"/>
      <c r="BW491" s="9"/>
      <c r="BX491" s="9"/>
      <c r="BY491" s="9"/>
      <c r="BZ491" s="9"/>
      <c r="CA491" s="9"/>
      <c r="CB491" s="9"/>
      <c r="CC491" s="9"/>
      <c r="CD491" s="9"/>
      <c r="CE491" s="9"/>
      <c r="CF491" s="9"/>
      <c r="CG491" s="9"/>
      <c r="CH491" s="9"/>
      <c r="CI491" s="9"/>
      <c r="CJ491" s="9"/>
      <c r="CK491" s="9"/>
      <c r="CL491" s="9"/>
      <c r="CM491" s="9"/>
      <c r="CN491" s="9"/>
      <c r="CO491" s="9"/>
      <c r="CP491" s="9"/>
      <c r="CQ491" s="9"/>
      <c r="CR491" s="9"/>
      <c r="CS491" s="9"/>
      <c r="CT491" s="9"/>
      <c r="CU491" s="9"/>
      <c r="CV491" s="9"/>
      <c r="CW491" s="9"/>
      <c r="CX491" s="9"/>
      <c r="CY491" s="9"/>
      <c r="CZ491" s="9"/>
      <c r="DA491" s="9"/>
      <c r="DB491" s="9"/>
      <c r="DC491" s="9"/>
      <c r="DD491" s="9"/>
      <c r="DE491" s="9"/>
      <c r="DF491" s="9"/>
      <c r="DG491" s="9"/>
      <c r="DH491" s="9"/>
      <c r="DI491" s="9"/>
      <c r="DJ491" s="9"/>
      <c r="DK491" s="9"/>
      <c r="DL491" s="9"/>
      <c r="DM491" s="9"/>
      <c r="DN491" s="9"/>
      <c r="DO491" s="9"/>
      <c r="DP491" s="9"/>
      <c r="DQ491" s="9"/>
      <c r="DR491" s="9"/>
      <c r="DS491" s="9"/>
      <c r="DT491" s="9"/>
      <c r="DU491" s="9"/>
      <c r="DV491" s="9"/>
      <c r="DW491" s="9"/>
      <c r="DX491" s="9"/>
      <c r="DY491" s="9"/>
      <c r="DZ491" s="9"/>
      <c r="EA491" s="9"/>
      <c r="EB491" s="9"/>
      <c r="EC491" s="9"/>
      <c r="ED491" s="9"/>
      <c r="EE491" s="9"/>
      <c r="EF491" s="9"/>
    </row>
    <row r="492" spans="1:136" s="98" customFormat="1" ht="15.75" customHeight="1" x14ac:dyDescent="0.25">
      <c r="A492" s="93">
        <v>46231</v>
      </c>
      <c r="B492" s="94" t="s">
        <v>16</v>
      </c>
      <c r="C492" s="95">
        <v>6024</v>
      </c>
      <c r="D492" s="20"/>
      <c r="E492" s="99" t="s">
        <v>254</v>
      </c>
      <c r="F492" s="21">
        <v>2</v>
      </c>
      <c r="G492" s="100"/>
      <c r="H492" s="21">
        <v>48.75</v>
      </c>
      <c r="I492" s="11">
        <f t="shared" si="19"/>
        <v>97.5</v>
      </c>
      <c r="J492" s="21"/>
      <c r="K492" s="21"/>
      <c r="L492" s="13">
        <f t="shared" si="22"/>
        <v>97.5</v>
      </c>
      <c r="M492" s="22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  <c r="BU492" s="9"/>
      <c r="BV492" s="9"/>
      <c r="BW492" s="9"/>
      <c r="BX492" s="9"/>
      <c r="BY492" s="9"/>
      <c r="BZ492" s="9"/>
      <c r="CA492" s="9"/>
      <c r="CB492" s="9"/>
      <c r="CC492" s="9"/>
      <c r="CD492" s="9"/>
      <c r="CE492" s="9"/>
      <c r="CF492" s="9"/>
      <c r="CG492" s="9"/>
      <c r="CH492" s="9"/>
      <c r="CI492" s="9"/>
      <c r="CJ492" s="9"/>
      <c r="CK492" s="9"/>
      <c r="CL492" s="9"/>
      <c r="CM492" s="9"/>
      <c r="CN492" s="9"/>
      <c r="CO492" s="9"/>
      <c r="CP492" s="9"/>
      <c r="CQ492" s="9"/>
      <c r="CR492" s="9"/>
      <c r="CS492" s="9"/>
      <c r="CT492" s="9"/>
      <c r="CU492" s="9"/>
      <c r="CV492" s="9"/>
      <c r="CW492" s="9"/>
      <c r="CX492" s="9"/>
      <c r="CY492" s="9"/>
      <c r="CZ492" s="9"/>
      <c r="DA492" s="9"/>
      <c r="DB492" s="9"/>
      <c r="DC492" s="9"/>
      <c r="DD492" s="9"/>
      <c r="DE492" s="9"/>
      <c r="DF492" s="9"/>
      <c r="DG492" s="9"/>
      <c r="DH492" s="9"/>
      <c r="DI492" s="9"/>
      <c r="DJ492" s="9"/>
      <c r="DK492" s="9"/>
      <c r="DL492" s="9"/>
      <c r="DM492" s="9"/>
      <c r="DN492" s="9"/>
      <c r="DO492" s="9"/>
      <c r="DP492" s="9"/>
      <c r="DQ492" s="9"/>
      <c r="DR492" s="9"/>
      <c r="DS492" s="9"/>
      <c r="DT492" s="9"/>
      <c r="DU492" s="9"/>
      <c r="DV492" s="9"/>
      <c r="DW492" s="9"/>
      <c r="DX492" s="9"/>
      <c r="DY492" s="9"/>
      <c r="DZ492" s="9"/>
      <c r="EA492" s="9"/>
      <c r="EB492" s="9"/>
      <c r="EC492" s="9"/>
      <c r="ED492" s="9"/>
      <c r="EE492" s="9"/>
      <c r="EF492" s="9"/>
    </row>
    <row r="493" spans="1:136" s="98" customFormat="1" ht="15.75" customHeight="1" x14ac:dyDescent="0.25">
      <c r="A493" s="93">
        <v>46231</v>
      </c>
      <c r="B493" s="94" t="s">
        <v>16</v>
      </c>
      <c r="C493" s="95">
        <v>6024</v>
      </c>
      <c r="D493" s="20"/>
      <c r="E493" s="99" t="s">
        <v>255</v>
      </c>
      <c r="F493" s="21">
        <v>1</v>
      </c>
      <c r="G493" s="100"/>
      <c r="H493" s="21">
        <v>1334.5</v>
      </c>
      <c r="I493" s="11">
        <f t="shared" si="19"/>
        <v>1334.5</v>
      </c>
      <c r="J493" s="21"/>
      <c r="K493" s="21"/>
      <c r="L493" s="13">
        <f t="shared" si="22"/>
        <v>1334.5</v>
      </c>
      <c r="M493" s="22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  <c r="BU493" s="9"/>
      <c r="BV493" s="9"/>
      <c r="BW493" s="9"/>
      <c r="BX493" s="9"/>
      <c r="BY493" s="9"/>
      <c r="BZ493" s="9"/>
      <c r="CA493" s="9"/>
      <c r="CB493" s="9"/>
      <c r="CC493" s="9"/>
      <c r="CD493" s="9"/>
      <c r="CE493" s="9"/>
      <c r="CF493" s="9"/>
      <c r="CG493" s="9"/>
      <c r="CH493" s="9"/>
      <c r="CI493" s="9"/>
      <c r="CJ493" s="9"/>
      <c r="CK493" s="9"/>
      <c r="CL493" s="9"/>
      <c r="CM493" s="9"/>
      <c r="CN493" s="9"/>
      <c r="CO493" s="9"/>
      <c r="CP493" s="9"/>
      <c r="CQ493" s="9"/>
      <c r="CR493" s="9"/>
      <c r="CS493" s="9"/>
      <c r="CT493" s="9"/>
      <c r="CU493" s="9"/>
      <c r="CV493" s="9"/>
      <c r="CW493" s="9"/>
      <c r="CX493" s="9"/>
      <c r="CY493" s="9"/>
      <c r="CZ493" s="9"/>
      <c r="DA493" s="9"/>
      <c r="DB493" s="9"/>
      <c r="DC493" s="9"/>
      <c r="DD493" s="9"/>
      <c r="DE493" s="9"/>
      <c r="DF493" s="9"/>
      <c r="DG493" s="9"/>
      <c r="DH493" s="9"/>
      <c r="DI493" s="9"/>
      <c r="DJ493" s="9"/>
      <c r="DK493" s="9"/>
      <c r="DL493" s="9"/>
      <c r="DM493" s="9"/>
      <c r="DN493" s="9"/>
      <c r="DO493" s="9"/>
      <c r="DP493" s="9"/>
      <c r="DQ493" s="9"/>
      <c r="DR493" s="9"/>
      <c r="DS493" s="9"/>
      <c r="DT493" s="9"/>
      <c r="DU493" s="9"/>
      <c r="DV493" s="9"/>
      <c r="DW493" s="9"/>
      <c r="DX493" s="9"/>
      <c r="DY493" s="9"/>
      <c r="DZ493" s="9"/>
      <c r="EA493" s="9"/>
      <c r="EB493" s="9"/>
      <c r="EC493" s="9"/>
      <c r="ED493" s="9"/>
      <c r="EE493" s="9"/>
      <c r="EF493" s="9"/>
    </row>
    <row r="494" spans="1:136" s="98" customFormat="1" ht="15.75" customHeight="1" x14ac:dyDescent="0.25">
      <c r="A494" s="93">
        <v>46231</v>
      </c>
      <c r="B494" s="94" t="s">
        <v>16</v>
      </c>
      <c r="C494" s="95">
        <v>6024</v>
      </c>
      <c r="D494" s="20"/>
      <c r="E494" s="99" t="s">
        <v>256</v>
      </c>
      <c r="F494" s="21">
        <v>2</v>
      </c>
      <c r="G494" s="100"/>
      <c r="H494" s="21">
        <v>55</v>
      </c>
      <c r="I494" s="11">
        <f t="shared" si="19"/>
        <v>110</v>
      </c>
      <c r="J494" s="21"/>
      <c r="K494" s="21"/>
      <c r="L494" s="13">
        <f t="shared" si="22"/>
        <v>110</v>
      </c>
      <c r="M494" s="22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  <c r="BU494" s="9"/>
      <c r="BV494" s="9"/>
      <c r="BW494" s="9"/>
      <c r="BX494" s="9"/>
      <c r="BY494" s="9"/>
      <c r="BZ494" s="9"/>
      <c r="CA494" s="9"/>
      <c r="CB494" s="9"/>
      <c r="CC494" s="9"/>
      <c r="CD494" s="9"/>
      <c r="CE494" s="9"/>
      <c r="CF494" s="9"/>
      <c r="CG494" s="9"/>
      <c r="CH494" s="9"/>
      <c r="CI494" s="9"/>
      <c r="CJ494" s="9"/>
      <c r="CK494" s="9"/>
      <c r="CL494" s="9"/>
      <c r="CM494" s="9"/>
      <c r="CN494" s="9"/>
      <c r="CO494" s="9"/>
      <c r="CP494" s="9"/>
      <c r="CQ494" s="9"/>
      <c r="CR494" s="9"/>
      <c r="CS494" s="9"/>
      <c r="CT494" s="9"/>
      <c r="CU494" s="9"/>
      <c r="CV494" s="9"/>
      <c r="CW494" s="9"/>
      <c r="CX494" s="9"/>
      <c r="CY494" s="9"/>
      <c r="CZ494" s="9"/>
      <c r="DA494" s="9"/>
      <c r="DB494" s="9"/>
      <c r="DC494" s="9"/>
      <c r="DD494" s="9"/>
      <c r="DE494" s="9"/>
      <c r="DF494" s="9"/>
      <c r="DG494" s="9"/>
      <c r="DH494" s="9"/>
      <c r="DI494" s="9"/>
      <c r="DJ494" s="9"/>
      <c r="DK494" s="9"/>
      <c r="DL494" s="9"/>
      <c r="DM494" s="9"/>
      <c r="DN494" s="9"/>
      <c r="DO494" s="9"/>
      <c r="DP494" s="9"/>
      <c r="DQ494" s="9"/>
      <c r="DR494" s="9"/>
      <c r="DS494" s="9"/>
      <c r="DT494" s="9"/>
      <c r="DU494" s="9"/>
      <c r="DV494" s="9"/>
      <c r="DW494" s="9"/>
      <c r="DX494" s="9"/>
      <c r="DY494" s="9"/>
      <c r="DZ494" s="9"/>
      <c r="EA494" s="9"/>
      <c r="EB494" s="9"/>
      <c r="EC494" s="9"/>
      <c r="ED494" s="9"/>
      <c r="EE494" s="9"/>
      <c r="EF494" s="9"/>
    </row>
    <row r="495" spans="1:136" s="98" customFormat="1" ht="15.75" customHeight="1" x14ac:dyDescent="0.25">
      <c r="A495" s="93">
        <v>46231</v>
      </c>
      <c r="B495" s="94" t="s">
        <v>16</v>
      </c>
      <c r="C495" s="95">
        <v>6024</v>
      </c>
      <c r="D495" s="20"/>
      <c r="E495" s="99" t="s">
        <v>67</v>
      </c>
      <c r="F495" s="21">
        <v>18</v>
      </c>
      <c r="G495" s="100"/>
      <c r="H495" s="21">
        <v>62</v>
      </c>
      <c r="I495" s="11">
        <f t="shared" si="19"/>
        <v>1116</v>
      </c>
      <c r="J495" s="21"/>
      <c r="K495" s="21"/>
      <c r="L495" s="13">
        <f t="shared" si="22"/>
        <v>1116</v>
      </c>
      <c r="M495" s="22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  <c r="BU495" s="9"/>
      <c r="BV495" s="9"/>
      <c r="BW495" s="9"/>
      <c r="BX495" s="9"/>
      <c r="BY495" s="9"/>
      <c r="BZ495" s="9"/>
      <c r="CA495" s="9"/>
      <c r="CB495" s="9"/>
      <c r="CC495" s="9"/>
      <c r="CD495" s="9"/>
      <c r="CE495" s="9"/>
      <c r="CF495" s="9"/>
      <c r="CG495" s="9"/>
      <c r="CH495" s="9"/>
      <c r="CI495" s="9"/>
      <c r="CJ495" s="9"/>
      <c r="CK495" s="9"/>
      <c r="CL495" s="9"/>
      <c r="CM495" s="9"/>
      <c r="CN495" s="9"/>
      <c r="CO495" s="9"/>
      <c r="CP495" s="9"/>
      <c r="CQ495" s="9"/>
      <c r="CR495" s="9"/>
      <c r="CS495" s="9"/>
      <c r="CT495" s="9"/>
      <c r="CU495" s="9"/>
      <c r="CV495" s="9"/>
      <c r="CW495" s="9"/>
      <c r="CX495" s="9"/>
      <c r="CY495" s="9"/>
      <c r="CZ495" s="9"/>
      <c r="DA495" s="9"/>
      <c r="DB495" s="9"/>
      <c r="DC495" s="9"/>
      <c r="DD495" s="9"/>
      <c r="DE495" s="9"/>
      <c r="DF495" s="9"/>
      <c r="DG495" s="9"/>
      <c r="DH495" s="9"/>
      <c r="DI495" s="9"/>
      <c r="DJ495" s="9"/>
      <c r="DK495" s="9"/>
      <c r="DL495" s="9"/>
      <c r="DM495" s="9"/>
      <c r="DN495" s="9"/>
      <c r="DO495" s="9"/>
      <c r="DP495" s="9"/>
      <c r="DQ495" s="9"/>
      <c r="DR495" s="9"/>
      <c r="DS495" s="9"/>
      <c r="DT495" s="9"/>
      <c r="DU495" s="9"/>
      <c r="DV495" s="9"/>
      <c r="DW495" s="9"/>
      <c r="DX495" s="9"/>
      <c r="DY495" s="9"/>
      <c r="DZ495" s="9"/>
      <c r="EA495" s="9"/>
      <c r="EB495" s="9"/>
      <c r="EC495" s="9"/>
      <c r="ED495" s="9"/>
      <c r="EE495" s="9"/>
      <c r="EF495" s="9"/>
    </row>
    <row r="496" spans="1:136" s="98" customFormat="1" ht="15.75" customHeight="1" x14ac:dyDescent="0.25">
      <c r="A496" s="93">
        <v>46231</v>
      </c>
      <c r="B496" s="94" t="s">
        <v>16</v>
      </c>
      <c r="C496" s="95">
        <v>6024</v>
      </c>
      <c r="D496" s="20"/>
      <c r="E496" s="99" t="s">
        <v>257</v>
      </c>
      <c r="F496" s="21">
        <v>13</v>
      </c>
      <c r="G496" s="100"/>
      <c r="H496" s="21">
        <v>63</v>
      </c>
      <c r="I496" s="11">
        <f t="shared" si="19"/>
        <v>819</v>
      </c>
      <c r="J496" s="21"/>
      <c r="K496" s="21"/>
      <c r="L496" s="13">
        <f t="shared" si="22"/>
        <v>819</v>
      </c>
      <c r="M496" s="22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  <c r="BU496" s="9"/>
      <c r="BV496" s="9"/>
      <c r="BW496" s="9"/>
      <c r="BX496" s="9"/>
      <c r="BY496" s="9"/>
      <c r="BZ496" s="9"/>
      <c r="CA496" s="9"/>
      <c r="CB496" s="9"/>
      <c r="CC496" s="9"/>
      <c r="CD496" s="9"/>
      <c r="CE496" s="9"/>
      <c r="CF496" s="9"/>
      <c r="CG496" s="9"/>
      <c r="CH496" s="9"/>
      <c r="CI496" s="9"/>
      <c r="CJ496" s="9"/>
      <c r="CK496" s="9"/>
      <c r="CL496" s="9"/>
      <c r="CM496" s="9"/>
      <c r="CN496" s="9"/>
      <c r="CO496" s="9"/>
      <c r="CP496" s="9"/>
      <c r="CQ496" s="9"/>
      <c r="CR496" s="9"/>
      <c r="CS496" s="9"/>
      <c r="CT496" s="9"/>
      <c r="CU496" s="9"/>
      <c r="CV496" s="9"/>
      <c r="CW496" s="9"/>
      <c r="CX496" s="9"/>
      <c r="CY496" s="9"/>
      <c r="CZ496" s="9"/>
      <c r="DA496" s="9"/>
      <c r="DB496" s="9"/>
      <c r="DC496" s="9"/>
      <c r="DD496" s="9"/>
      <c r="DE496" s="9"/>
      <c r="DF496" s="9"/>
      <c r="DG496" s="9"/>
      <c r="DH496" s="9"/>
      <c r="DI496" s="9"/>
      <c r="DJ496" s="9"/>
      <c r="DK496" s="9"/>
      <c r="DL496" s="9"/>
      <c r="DM496" s="9"/>
      <c r="DN496" s="9"/>
      <c r="DO496" s="9"/>
      <c r="DP496" s="9"/>
      <c r="DQ496" s="9"/>
      <c r="DR496" s="9"/>
      <c r="DS496" s="9"/>
      <c r="DT496" s="9"/>
      <c r="DU496" s="9"/>
      <c r="DV496" s="9"/>
      <c r="DW496" s="9"/>
      <c r="DX496" s="9"/>
      <c r="DY496" s="9"/>
      <c r="DZ496" s="9"/>
      <c r="EA496" s="9"/>
      <c r="EB496" s="9"/>
      <c r="EC496" s="9"/>
      <c r="ED496" s="9"/>
      <c r="EE496" s="9"/>
      <c r="EF496" s="9"/>
    </row>
    <row r="497" spans="1:136" s="98" customFormat="1" ht="15.75" customHeight="1" x14ac:dyDescent="0.25">
      <c r="A497" s="93">
        <v>46234</v>
      </c>
      <c r="B497" s="94" t="s">
        <v>16</v>
      </c>
      <c r="C497" s="95">
        <v>6025</v>
      </c>
      <c r="D497" s="20"/>
      <c r="E497" s="99" t="s">
        <v>258</v>
      </c>
      <c r="F497" s="21">
        <v>2</v>
      </c>
      <c r="G497" s="100"/>
      <c r="H497" s="21">
        <v>49</v>
      </c>
      <c r="I497" s="11">
        <f t="shared" si="19"/>
        <v>98</v>
      </c>
      <c r="J497" s="21"/>
      <c r="K497" s="21"/>
      <c r="L497" s="13">
        <f t="shared" si="22"/>
        <v>98</v>
      </c>
      <c r="M497" s="22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  <c r="BU497" s="9"/>
      <c r="BV497" s="9"/>
      <c r="BW497" s="9"/>
      <c r="BX497" s="9"/>
      <c r="BY497" s="9"/>
      <c r="BZ497" s="9"/>
      <c r="CA497" s="9"/>
      <c r="CB497" s="9"/>
      <c r="CC497" s="9"/>
      <c r="CD497" s="9"/>
      <c r="CE497" s="9"/>
      <c r="CF497" s="9"/>
      <c r="CG497" s="9"/>
      <c r="CH497" s="9"/>
      <c r="CI497" s="9"/>
      <c r="CJ497" s="9"/>
      <c r="CK497" s="9"/>
      <c r="CL497" s="9"/>
      <c r="CM497" s="9"/>
      <c r="CN497" s="9"/>
      <c r="CO497" s="9"/>
      <c r="CP497" s="9"/>
      <c r="CQ497" s="9"/>
      <c r="CR497" s="9"/>
      <c r="CS497" s="9"/>
      <c r="CT497" s="9"/>
      <c r="CU497" s="9"/>
      <c r="CV497" s="9"/>
      <c r="CW497" s="9"/>
      <c r="CX497" s="9"/>
      <c r="CY497" s="9"/>
      <c r="CZ497" s="9"/>
      <c r="DA497" s="9"/>
      <c r="DB497" s="9"/>
      <c r="DC497" s="9"/>
      <c r="DD497" s="9"/>
      <c r="DE497" s="9"/>
      <c r="DF497" s="9"/>
      <c r="DG497" s="9"/>
      <c r="DH497" s="9"/>
      <c r="DI497" s="9"/>
      <c r="DJ497" s="9"/>
      <c r="DK497" s="9"/>
      <c r="DL497" s="9"/>
      <c r="DM497" s="9"/>
      <c r="DN497" s="9"/>
      <c r="DO497" s="9"/>
      <c r="DP497" s="9"/>
      <c r="DQ497" s="9"/>
      <c r="DR497" s="9"/>
      <c r="DS497" s="9"/>
      <c r="DT497" s="9"/>
      <c r="DU497" s="9"/>
      <c r="DV497" s="9"/>
      <c r="DW497" s="9"/>
      <c r="DX497" s="9"/>
      <c r="DY497" s="9"/>
      <c r="DZ497" s="9"/>
      <c r="EA497" s="9"/>
      <c r="EB497" s="9"/>
      <c r="EC497" s="9"/>
      <c r="ED497" s="9"/>
      <c r="EE497" s="9"/>
      <c r="EF497" s="9"/>
    </row>
    <row r="498" spans="1:136" s="98" customFormat="1" ht="15.75" customHeight="1" x14ac:dyDescent="0.25">
      <c r="A498" s="93">
        <v>46234</v>
      </c>
      <c r="B498" s="94" t="s">
        <v>16</v>
      </c>
      <c r="C498" s="95">
        <v>6025</v>
      </c>
      <c r="D498" s="20"/>
      <c r="E498" s="99" t="s">
        <v>102</v>
      </c>
      <c r="F498" s="21">
        <v>1</v>
      </c>
      <c r="G498" s="100"/>
      <c r="H498" s="21">
        <v>355.5</v>
      </c>
      <c r="I498" s="11">
        <f t="shared" si="19"/>
        <v>355.5</v>
      </c>
      <c r="J498" s="21"/>
      <c r="K498" s="21"/>
      <c r="L498" s="13">
        <f t="shared" si="22"/>
        <v>355.5</v>
      </c>
      <c r="M498" s="22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  <c r="BU498" s="9"/>
      <c r="BV498" s="9"/>
      <c r="BW498" s="9"/>
      <c r="BX498" s="9"/>
      <c r="BY498" s="9"/>
      <c r="BZ498" s="9"/>
      <c r="CA498" s="9"/>
      <c r="CB498" s="9"/>
      <c r="CC498" s="9"/>
      <c r="CD498" s="9"/>
      <c r="CE498" s="9"/>
      <c r="CF498" s="9"/>
      <c r="CG498" s="9"/>
      <c r="CH498" s="9"/>
      <c r="CI498" s="9"/>
      <c r="CJ498" s="9"/>
      <c r="CK498" s="9"/>
      <c r="CL498" s="9"/>
      <c r="CM498" s="9"/>
      <c r="CN498" s="9"/>
      <c r="CO498" s="9"/>
      <c r="CP498" s="9"/>
      <c r="CQ498" s="9"/>
      <c r="CR498" s="9"/>
      <c r="CS498" s="9"/>
      <c r="CT498" s="9"/>
      <c r="CU498" s="9"/>
      <c r="CV498" s="9"/>
      <c r="CW498" s="9"/>
      <c r="CX498" s="9"/>
      <c r="CY498" s="9"/>
      <c r="CZ498" s="9"/>
      <c r="DA498" s="9"/>
      <c r="DB498" s="9"/>
      <c r="DC498" s="9"/>
      <c r="DD498" s="9"/>
      <c r="DE498" s="9"/>
      <c r="DF498" s="9"/>
      <c r="DG498" s="9"/>
      <c r="DH498" s="9"/>
      <c r="DI498" s="9"/>
      <c r="DJ498" s="9"/>
      <c r="DK498" s="9"/>
      <c r="DL498" s="9"/>
      <c r="DM498" s="9"/>
      <c r="DN498" s="9"/>
      <c r="DO498" s="9"/>
      <c r="DP498" s="9"/>
      <c r="DQ498" s="9"/>
      <c r="DR498" s="9"/>
      <c r="DS498" s="9"/>
      <c r="DT498" s="9"/>
      <c r="DU498" s="9"/>
      <c r="DV498" s="9"/>
      <c r="DW498" s="9"/>
      <c r="DX498" s="9"/>
      <c r="DY498" s="9"/>
      <c r="DZ498" s="9"/>
      <c r="EA498" s="9"/>
      <c r="EB498" s="9"/>
      <c r="EC498" s="9"/>
      <c r="ED498" s="9"/>
      <c r="EE498" s="9"/>
      <c r="EF498" s="9"/>
    </row>
    <row r="499" spans="1:136" s="98" customFormat="1" ht="15.75" customHeight="1" x14ac:dyDescent="0.25">
      <c r="A499" s="93">
        <v>46234</v>
      </c>
      <c r="B499" s="94" t="s">
        <v>16</v>
      </c>
      <c r="C499" s="95">
        <v>6025</v>
      </c>
      <c r="D499" s="20"/>
      <c r="E499" s="99" t="s">
        <v>259</v>
      </c>
      <c r="F499" s="21">
        <v>4</v>
      </c>
      <c r="G499" s="100"/>
      <c r="H499" s="21">
        <v>87.25</v>
      </c>
      <c r="I499" s="11">
        <f t="shared" si="19"/>
        <v>349</v>
      </c>
      <c r="J499" s="21"/>
      <c r="K499" s="21"/>
      <c r="L499" s="13">
        <f t="shared" si="22"/>
        <v>349</v>
      </c>
      <c r="M499" s="22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  <c r="BU499" s="9"/>
      <c r="BV499" s="9"/>
      <c r="BW499" s="9"/>
      <c r="BX499" s="9"/>
      <c r="BY499" s="9"/>
      <c r="BZ499" s="9"/>
      <c r="CA499" s="9"/>
      <c r="CB499" s="9"/>
      <c r="CC499" s="9"/>
      <c r="CD499" s="9"/>
      <c r="CE499" s="9"/>
      <c r="CF499" s="9"/>
      <c r="CG499" s="9"/>
      <c r="CH499" s="9"/>
      <c r="CI499" s="9"/>
      <c r="CJ499" s="9"/>
      <c r="CK499" s="9"/>
      <c r="CL499" s="9"/>
      <c r="CM499" s="9"/>
      <c r="CN499" s="9"/>
      <c r="CO499" s="9"/>
      <c r="CP499" s="9"/>
      <c r="CQ499" s="9"/>
      <c r="CR499" s="9"/>
      <c r="CS499" s="9"/>
      <c r="CT499" s="9"/>
      <c r="CU499" s="9"/>
      <c r="CV499" s="9"/>
      <c r="CW499" s="9"/>
      <c r="CX499" s="9"/>
      <c r="CY499" s="9"/>
      <c r="CZ499" s="9"/>
      <c r="DA499" s="9"/>
      <c r="DB499" s="9"/>
      <c r="DC499" s="9"/>
      <c r="DD499" s="9"/>
      <c r="DE499" s="9"/>
      <c r="DF499" s="9"/>
      <c r="DG499" s="9"/>
      <c r="DH499" s="9"/>
      <c r="DI499" s="9"/>
      <c r="DJ499" s="9"/>
      <c r="DK499" s="9"/>
      <c r="DL499" s="9"/>
      <c r="DM499" s="9"/>
      <c r="DN499" s="9"/>
      <c r="DO499" s="9"/>
      <c r="DP499" s="9"/>
      <c r="DQ499" s="9"/>
      <c r="DR499" s="9"/>
      <c r="DS499" s="9"/>
      <c r="DT499" s="9"/>
      <c r="DU499" s="9"/>
      <c r="DV499" s="9"/>
      <c r="DW499" s="9"/>
      <c r="DX499" s="9"/>
      <c r="DY499" s="9"/>
      <c r="DZ499" s="9"/>
      <c r="EA499" s="9"/>
      <c r="EB499" s="9"/>
      <c r="EC499" s="9"/>
      <c r="ED499" s="9"/>
      <c r="EE499" s="9"/>
      <c r="EF499" s="9"/>
    </row>
    <row r="500" spans="1:136" s="98" customFormat="1" ht="15.75" customHeight="1" x14ac:dyDescent="0.25">
      <c r="A500" s="93">
        <v>46234</v>
      </c>
      <c r="B500" s="94" t="s">
        <v>16</v>
      </c>
      <c r="C500" s="95">
        <v>6025</v>
      </c>
      <c r="D500" s="20"/>
      <c r="E500" s="99" t="s">
        <v>260</v>
      </c>
      <c r="F500" s="21">
        <v>4.258</v>
      </c>
      <c r="G500" s="100"/>
      <c r="H500" s="21">
        <v>295</v>
      </c>
      <c r="I500" s="11">
        <f t="shared" si="19"/>
        <v>1256.1099999999999</v>
      </c>
      <c r="J500" s="21"/>
      <c r="K500" s="21"/>
      <c r="L500" s="13">
        <f t="shared" si="22"/>
        <v>1256.1099999999999</v>
      </c>
      <c r="M500" s="22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  <c r="BU500" s="9"/>
      <c r="BV500" s="9"/>
      <c r="BW500" s="9"/>
      <c r="BX500" s="9"/>
      <c r="BY500" s="9"/>
      <c r="BZ500" s="9"/>
      <c r="CA500" s="9"/>
      <c r="CB500" s="9"/>
      <c r="CC500" s="9"/>
      <c r="CD500" s="9"/>
      <c r="CE500" s="9"/>
      <c r="CF500" s="9"/>
      <c r="CG500" s="9"/>
      <c r="CH500" s="9"/>
      <c r="CI500" s="9"/>
      <c r="CJ500" s="9"/>
      <c r="CK500" s="9"/>
      <c r="CL500" s="9"/>
      <c r="CM500" s="9"/>
      <c r="CN500" s="9"/>
      <c r="CO500" s="9"/>
      <c r="CP500" s="9"/>
      <c r="CQ500" s="9"/>
      <c r="CR500" s="9"/>
      <c r="CS500" s="9"/>
      <c r="CT500" s="9"/>
      <c r="CU500" s="9"/>
      <c r="CV500" s="9"/>
      <c r="CW500" s="9"/>
      <c r="CX500" s="9"/>
      <c r="CY500" s="9"/>
      <c r="CZ500" s="9"/>
      <c r="DA500" s="9"/>
      <c r="DB500" s="9"/>
      <c r="DC500" s="9"/>
      <c r="DD500" s="9"/>
      <c r="DE500" s="9"/>
      <c r="DF500" s="9"/>
      <c r="DG500" s="9"/>
      <c r="DH500" s="9"/>
      <c r="DI500" s="9"/>
      <c r="DJ500" s="9"/>
      <c r="DK500" s="9"/>
      <c r="DL500" s="9"/>
      <c r="DM500" s="9"/>
      <c r="DN500" s="9"/>
      <c r="DO500" s="9"/>
      <c r="DP500" s="9"/>
      <c r="DQ500" s="9"/>
      <c r="DR500" s="9"/>
      <c r="DS500" s="9"/>
      <c r="DT500" s="9"/>
      <c r="DU500" s="9"/>
      <c r="DV500" s="9"/>
      <c r="DW500" s="9"/>
      <c r="DX500" s="9"/>
      <c r="DY500" s="9"/>
      <c r="DZ500" s="9"/>
      <c r="EA500" s="9"/>
      <c r="EB500" s="9"/>
      <c r="EC500" s="9"/>
      <c r="ED500" s="9"/>
      <c r="EE500" s="9"/>
      <c r="EF500" s="9"/>
    </row>
    <row r="501" spans="1:136" s="98" customFormat="1" ht="15.75" customHeight="1" x14ac:dyDescent="0.25">
      <c r="A501" s="93">
        <v>46234</v>
      </c>
      <c r="B501" s="94" t="s">
        <v>16</v>
      </c>
      <c r="C501" s="95">
        <v>6025</v>
      </c>
      <c r="D501" s="20"/>
      <c r="E501" s="99" t="s">
        <v>260</v>
      </c>
      <c r="F501" s="21">
        <v>4.09</v>
      </c>
      <c r="G501" s="100"/>
      <c r="H501" s="21">
        <v>295</v>
      </c>
      <c r="I501" s="11">
        <f t="shared" si="19"/>
        <v>1206.55</v>
      </c>
      <c r="J501" s="21"/>
      <c r="K501" s="21"/>
      <c r="L501" s="13">
        <f t="shared" si="22"/>
        <v>1206.55</v>
      </c>
      <c r="M501" s="22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  <c r="BU501" s="9"/>
      <c r="BV501" s="9"/>
      <c r="BW501" s="9"/>
      <c r="BX501" s="9"/>
      <c r="BY501" s="9"/>
      <c r="BZ501" s="9"/>
      <c r="CA501" s="9"/>
      <c r="CB501" s="9"/>
      <c r="CC501" s="9"/>
      <c r="CD501" s="9"/>
      <c r="CE501" s="9"/>
      <c r="CF501" s="9"/>
      <c r="CG501" s="9"/>
      <c r="CH501" s="9"/>
      <c r="CI501" s="9"/>
      <c r="CJ501" s="9"/>
      <c r="CK501" s="9"/>
      <c r="CL501" s="9"/>
      <c r="CM501" s="9"/>
      <c r="CN501" s="9"/>
      <c r="CO501" s="9"/>
      <c r="CP501" s="9"/>
      <c r="CQ501" s="9"/>
      <c r="CR501" s="9"/>
      <c r="CS501" s="9"/>
      <c r="CT501" s="9"/>
      <c r="CU501" s="9"/>
      <c r="CV501" s="9"/>
      <c r="CW501" s="9"/>
      <c r="CX501" s="9"/>
      <c r="CY501" s="9"/>
      <c r="CZ501" s="9"/>
      <c r="DA501" s="9"/>
      <c r="DB501" s="9"/>
      <c r="DC501" s="9"/>
      <c r="DD501" s="9"/>
      <c r="DE501" s="9"/>
      <c r="DF501" s="9"/>
      <c r="DG501" s="9"/>
      <c r="DH501" s="9"/>
      <c r="DI501" s="9"/>
      <c r="DJ501" s="9"/>
      <c r="DK501" s="9"/>
      <c r="DL501" s="9"/>
      <c r="DM501" s="9"/>
      <c r="DN501" s="9"/>
      <c r="DO501" s="9"/>
      <c r="DP501" s="9"/>
      <c r="DQ501" s="9"/>
      <c r="DR501" s="9"/>
      <c r="DS501" s="9"/>
      <c r="DT501" s="9"/>
      <c r="DU501" s="9"/>
      <c r="DV501" s="9"/>
      <c r="DW501" s="9"/>
      <c r="DX501" s="9"/>
      <c r="DY501" s="9"/>
      <c r="DZ501" s="9"/>
      <c r="EA501" s="9"/>
      <c r="EB501" s="9"/>
      <c r="EC501" s="9"/>
      <c r="ED501" s="9"/>
      <c r="EE501" s="9"/>
      <c r="EF501" s="9"/>
    </row>
    <row r="502" spans="1:136" s="98" customFormat="1" ht="15.75" customHeight="1" x14ac:dyDescent="0.25">
      <c r="A502" s="93">
        <v>46234</v>
      </c>
      <c r="B502" s="94" t="s">
        <v>16</v>
      </c>
      <c r="C502" s="95">
        <v>6025</v>
      </c>
      <c r="D502" s="20"/>
      <c r="E502" s="99" t="s">
        <v>261</v>
      </c>
      <c r="F502" s="21">
        <v>3</v>
      </c>
      <c r="G502" s="100"/>
      <c r="H502" s="21">
        <v>157</v>
      </c>
      <c r="I502" s="11">
        <f t="shared" si="19"/>
        <v>471</v>
      </c>
      <c r="J502" s="21"/>
      <c r="K502" s="21"/>
      <c r="L502" s="13">
        <f t="shared" si="22"/>
        <v>471</v>
      </c>
      <c r="M502" s="22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  <c r="BU502" s="9"/>
      <c r="BV502" s="9"/>
      <c r="BW502" s="9"/>
      <c r="BX502" s="9"/>
      <c r="BY502" s="9"/>
      <c r="BZ502" s="9"/>
      <c r="CA502" s="9"/>
      <c r="CB502" s="9"/>
      <c r="CC502" s="9"/>
      <c r="CD502" s="9"/>
      <c r="CE502" s="9"/>
      <c r="CF502" s="9"/>
      <c r="CG502" s="9"/>
      <c r="CH502" s="9"/>
      <c r="CI502" s="9"/>
      <c r="CJ502" s="9"/>
      <c r="CK502" s="9"/>
      <c r="CL502" s="9"/>
      <c r="CM502" s="9"/>
      <c r="CN502" s="9"/>
      <c r="CO502" s="9"/>
      <c r="CP502" s="9"/>
      <c r="CQ502" s="9"/>
      <c r="CR502" s="9"/>
      <c r="CS502" s="9"/>
      <c r="CT502" s="9"/>
      <c r="CU502" s="9"/>
      <c r="CV502" s="9"/>
      <c r="CW502" s="9"/>
      <c r="CX502" s="9"/>
      <c r="CY502" s="9"/>
      <c r="CZ502" s="9"/>
      <c r="DA502" s="9"/>
      <c r="DB502" s="9"/>
      <c r="DC502" s="9"/>
      <c r="DD502" s="9"/>
      <c r="DE502" s="9"/>
      <c r="DF502" s="9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</row>
    <row r="503" spans="1:136" s="98" customFormat="1" ht="15.75" customHeight="1" x14ac:dyDescent="0.25">
      <c r="A503" s="93">
        <v>46234</v>
      </c>
      <c r="B503" s="94" t="s">
        <v>16</v>
      </c>
      <c r="C503" s="95">
        <v>6025</v>
      </c>
      <c r="D503" s="20"/>
      <c r="E503" s="99" t="s">
        <v>262</v>
      </c>
      <c r="F503" s="21">
        <v>3</v>
      </c>
      <c r="G503" s="100"/>
      <c r="H503" s="21">
        <v>147.25</v>
      </c>
      <c r="I503" s="11">
        <f t="shared" si="19"/>
        <v>441.75</v>
      </c>
      <c r="J503" s="21"/>
      <c r="K503" s="21"/>
      <c r="L503" s="13">
        <f t="shared" si="22"/>
        <v>441.75</v>
      </c>
      <c r="M503" s="22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  <c r="BU503" s="9"/>
      <c r="BV503" s="9"/>
      <c r="BW503" s="9"/>
      <c r="BX503" s="9"/>
      <c r="BY503" s="9"/>
      <c r="BZ503" s="9"/>
      <c r="CA503" s="9"/>
      <c r="CB503" s="9"/>
      <c r="CC503" s="9"/>
      <c r="CD503" s="9"/>
      <c r="CE503" s="9"/>
      <c r="CF503" s="9"/>
      <c r="CG503" s="9"/>
      <c r="CH503" s="9"/>
      <c r="CI503" s="9"/>
      <c r="CJ503" s="9"/>
      <c r="CK503" s="9"/>
      <c r="CL503" s="9"/>
      <c r="CM503" s="9"/>
      <c r="CN503" s="9"/>
      <c r="CO503" s="9"/>
      <c r="CP503" s="9"/>
      <c r="CQ503" s="9"/>
      <c r="CR503" s="9"/>
      <c r="CS503" s="9"/>
      <c r="CT503" s="9"/>
      <c r="CU503" s="9"/>
      <c r="CV503" s="9"/>
      <c r="CW503" s="9"/>
      <c r="CX503" s="9"/>
      <c r="CY503" s="9"/>
      <c r="CZ503" s="9"/>
      <c r="DA503" s="9"/>
      <c r="DB503" s="9"/>
      <c r="DC503" s="9"/>
      <c r="DD503" s="9"/>
      <c r="DE503" s="9"/>
      <c r="DF503" s="9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</row>
    <row r="504" spans="1:136" s="98" customFormat="1" ht="15.75" customHeight="1" x14ac:dyDescent="0.25">
      <c r="A504" s="93">
        <v>46234</v>
      </c>
      <c r="B504" s="94" t="s">
        <v>16</v>
      </c>
      <c r="C504" s="95">
        <v>6025</v>
      </c>
      <c r="D504" s="20"/>
      <c r="E504" s="99" t="s">
        <v>263</v>
      </c>
      <c r="F504" s="21">
        <v>4</v>
      </c>
      <c r="G504" s="100"/>
      <c r="H504" s="21">
        <v>40</v>
      </c>
      <c r="I504" s="11">
        <f t="shared" si="19"/>
        <v>160</v>
      </c>
      <c r="J504" s="21"/>
      <c r="K504" s="21"/>
      <c r="L504" s="13">
        <f t="shared" si="22"/>
        <v>160</v>
      </c>
      <c r="M504" s="22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  <c r="BU504" s="9"/>
      <c r="BV504" s="9"/>
      <c r="BW504" s="9"/>
      <c r="BX504" s="9"/>
      <c r="BY504" s="9"/>
      <c r="BZ504" s="9"/>
      <c r="CA504" s="9"/>
      <c r="CB504" s="9"/>
      <c r="CC504" s="9"/>
      <c r="CD504" s="9"/>
      <c r="CE504" s="9"/>
      <c r="CF504" s="9"/>
      <c r="CG504" s="9"/>
      <c r="CH504" s="9"/>
      <c r="CI504" s="9"/>
      <c r="CJ504" s="9"/>
      <c r="CK504" s="9"/>
      <c r="CL504" s="9"/>
      <c r="CM504" s="9"/>
      <c r="CN504" s="9"/>
      <c r="CO504" s="9"/>
      <c r="CP504" s="9"/>
      <c r="CQ504" s="9"/>
      <c r="CR504" s="9"/>
      <c r="CS504" s="9"/>
      <c r="CT504" s="9"/>
      <c r="CU504" s="9"/>
      <c r="CV504" s="9"/>
      <c r="CW504" s="9"/>
      <c r="CX504" s="9"/>
      <c r="CY504" s="9"/>
      <c r="CZ504" s="9"/>
      <c r="DA504" s="9"/>
      <c r="DB504" s="9"/>
      <c r="DC504" s="9"/>
      <c r="DD504" s="9"/>
      <c r="DE504" s="9"/>
      <c r="DF504" s="9"/>
      <c r="DG504" s="9"/>
      <c r="DH504" s="9"/>
      <c r="DI504" s="9"/>
      <c r="DJ504" s="9"/>
      <c r="DK504" s="9"/>
      <c r="DL504" s="9"/>
      <c r="DM504" s="9"/>
      <c r="DN504" s="9"/>
      <c r="DO504" s="9"/>
      <c r="DP504" s="9"/>
      <c r="DQ504" s="9"/>
      <c r="DR504" s="9"/>
      <c r="DS504" s="9"/>
      <c r="DT504" s="9"/>
      <c r="DU504" s="9"/>
      <c r="DV504" s="9"/>
      <c r="DW504" s="9"/>
      <c r="DX504" s="9"/>
      <c r="DY504" s="9"/>
      <c r="DZ504" s="9"/>
      <c r="EA504" s="9"/>
      <c r="EB504" s="9"/>
      <c r="EC504" s="9"/>
      <c r="ED504" s="9"/>
      <c r="EE504" s="9"/>
      <c r="EF504" s="9"/>
    </row>
    <row r="505" spans="1:136" s="98" customFormat="1" ht="15.75" customHeight="1" x14ac:dyDescent="0.25">
      <c r="A505" s="93">
        <v>46234</v>
      </c>
      <c r="B505" s="94" t="s">
        <v>16</v>
      </c>
      <c r="C505" s="95">
        <v>6025</v>
      </c>
      <c r="D505" s="20"/>
      <c r="E505" s="99" t="s">
        <v>264</v>
      </c>
      <c r="F505" s="21">
        <v>2</v>
      </c>
      <c r="G505" s="100"/>
      <c r="H505" s="21">
        <v>65</v>
      </c>
      <c r="I505" s="11">
        <f t="shared" si="19"/>
        <v>130</v>
      </c>
      <c r="J505" s="21"/>
      <c r="K505" s="21"/>
      <c r="L505" s="13">
        <f t="shared" si="22"/>
        <v>130</v>
      </c>
      <c r="M505" s="22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  <c r="BU505" s="9"/>
      <c r="BV505" s="9"/>
      <c r="BW505" s="9"/>
      <c r="BX505" s="9"/>
      <c r="BY505" s="9"/>
      <c r="BZ505" s="9"/>
      <c r="CA505" s="9"/>
      <c r="CB505" s="9"/>
      <c r="CC505" s="9"/>
      <c r="CD505" s="9"/>
      <c r="CE505" s="9"/>
      <c r="CF505" s="9"/>
      <c r="CG505" s="9"/>
      <c r="CH505" s="9"/>
      <c r="CI505" s="9"/>
      <c r="CJ505" s="9"/>
      <c r="CK505" s="9"/>
      <c r="CL505" s="9"/>
      <c r="CM505" s="9"/>
      <c r="CN505" s="9"/>
      <c r="CO505" s="9"/>
      <c r="CP505" s="9"/>
      <c r="CQ505" s="9"/>
      <c r="CR505" s="9"/>
      <c r="CS505" s="9"/>
      <c r="CT505" s="9"/>
      <c r="CU505" s="9"/>
      <c r="CV505" s="9"/>
      <c r="CW505" s="9"/>
      <c r="CX505" s="9"/>
      <c r="CY505" s="9"/>
      <c r="CZ505" s="9"/>
      <c r="DA505" s="9"/>
      <c r="DB505" s="9"/>
      <c r="DC505" s="9"/>
      <c r="DD505" s="9"/>
      <c r="DE505" s="9"/>
      <c r="DF505" s="9"/>
      <c r="DG505" s="9"/>
      <c r="DH505" s="9"/>
      <c r="DI505" s="9"/>
      <c r="DJ505" s="9"/>
      <c r="DK505" s="9"/>
      <c r="DL505" s="9"/>
      <c r="DM505" s="9"/>
      <c r="DN505" s="9"/>
      <c r="DO505" s="9"/>
      <c r="DP505" s="9"/>
      <c r="DQ505" s="9"/>
      <c r="DR505" s="9"/>
      <c r="DS505" s="9"/>
      <c r="DT505" s="9"/>
      <c r="DU505" s="9"/>
      <c r="DV505" s="9"/>
      <c r="DW505" s="9"/>
      <c r="DX505" s="9"/>
      <c r="DY505" s="9"/>
      <c r="DZ505" s="9"/>
      <c r="EA505" s="9"/>
      <c r="EB505" s="9"/>
      <c r="EC505" s="9"/>
      <c r="ED505" s="9"/>
      <c r="EE505" s="9"/>
      <c r="EF505" s="9"/>
    </row>
    <row r="506" spans="1:136" s="98" customFormat="1" ht="15.75" customHeight="1" x14ac:dyDescent="0.25">
      <c r="A506" s="93">
        <v>46234</v>
      </c>
      <c r="B506" s="94" t="s">
        <v>16</v>
      </c>
      <c r="C506" s="95">
        <v>6025</v>
      </c>
      <c r="D506" s="20"/>
      <c r="E506" s="99" t="s">
        <v>265</v>
      </c>
      <c r="F506" s="21">
        <v>2</v>
      </c>
      <c r="G506" s="100"/>
      <c r="H506" s="21">
        <v>56.25</v>
      </c>
      <c r="I506" s="11">
        <f t="shared" si="19"/>
        <v>112.5</v>
      </c>
      <c r="J506" s="21"/>
      <c r="K506" s="21"/>
      <c r="L506" s="13">
        <f t="shared" si="22"/>
        <v>112.5</v>
      </c>
      <c r="M506" s="22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  <c r="BU506" s="9"/>
      <c r="BV506" s="9"/>
      <c r="BW506" s="9"/>
      <c r="BX506" s="9"/>
      <c r="BY506" s="9"/>
      <c r="BZ506" s="9"/>
      <c r="CA506" s="9"/>
      <c r="CB506" s="9"/>
      <c r="CC506" s="9"/>
      <c r="CD506" s="9"/>
      <c r="CE506" s="9"/>
      <c r="CF506" s="9"/>
      <c r="CG506" s="9"/>
      <c r="CH506" s="9"/>
      <c r="CI506" s="9"/>
      <c r="CJ506" s="9"/>
      <c r="CK506" s="9"/>
      <c r="CL506" s="9"/>
      <c r="CM506" s="9"/>
      <c r="CN506" s="9"/>
      <c r="CO506" s="9"/>
      <c r="CP506" s="9"/>
      <c r="CQ506" s="9"/>
      <c r="CR506" s="9"/>
      <c r="CS506" s="9"/>
      <c r="CT506" s="9"/>
      <c r="CU506" s="9"/>
      <c r="CV506" s="9"/>
      <c r="CW506" s="9"/>
      <c r="CX506" s="9"/>
      <c r="CY506" s="9"/>
      <c r="CZ506" s="9"/>
      <c r="DA506" s="9"/>
      <c r="DB506" s="9"/>
      <c r="DC506" s="9"/>
      <c r="DD506" s="9"/>
      <c r="DE506" s="9"/>
      <c r="DF506" s="9"/>
      <c r="DG506" s="9"/>
      <c r="DH506" s="9"/>
      <c r="DI506" s="9"/>
      <c r="DJ506" s="9"/>
      <c r="DK506" s="9"/>
      <c r="DL506" s="9"/>
      <c r="DM506" s="9"/>
      <c r="DN506" s="9"/>
      <c r="DO506" s="9"/>
      <c r="DP506" s="9"/>
      <c r="DQ506" s="9"/>
      <c r="DR506" s="9"/>
      <c r="DS506" s="9"/>
      <c r="DT506" s="9"/>
      <c r="DU506" s="9"/>
      <c r="DV506" s="9"/>
      <c r="DW506" s="9"/>
      <c r="DX506" s="9"/>
      <c r="DY506" s="9"/>
      <c r="DZ506" s="9"/>
      <c r="EA506" s="9"/>
      <c r="EB506" s="9"/>
      <c r="EC506" s="9"/>
      <c r="ED506" s="9"/>
      <c r="EE506" s="9"/>
      <c r="EF506" s="9"/>
    </row>
    <row r="507" spans="1:136" s="98" customFormat="1" ht="15.75" customHeight="1" x14ac:dyDescent="0.25">
      <c r="A507" s="93">
        <v>46234</v>
      </c>
      <c r="B507" s="94" t="s">
        <v>16</v>
      </c>
      <c r="C507" s="95">
        <v>6025</v>
      </c>
      <c r="D507" s="20"/>
      <c r="E507" s="99" t="s">
        <v>266</v>
      </c>
      <c r="F507" s="21">
        <v>2</v>
      </c>
      <c r="G507" s="100"/>
      <c r="H507" s="21">
        <v>67.5</v>
      </c>
      <c r="I507" s="11">
        <f t="shared" si="19"/>
        <v>135</v>
      </c>
      <c r="J507" s="21"/>
      <c r="K507" s="21"/>
      <c r="L507" s="13">
        <f t="shared" si="22"/>
        <v>135</v>
      </c>
      <c r="M507" s="22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  <c r="BU507" s="9"/>
      <c r="BV507" s="9"/>
      <c r="BW507" s="9"/>
      <c r="BX507" s="9"/>
      <c r="BY507" s="9"/>
      <c r="BZ507" s="9"/>
      <c r="CA507" s="9"/>
      <c r="CB507" s="9"/>
      <c r="CC507" s="9"/>
      <c r="CD507" s="9"/>
      <c r="CE507" s="9"/>
      <c r="CF507" s="9"/>
      <c r="CG507" s="9"/>
      <c r="CH507" s="9"/>
      <c r="CI507" s="9"/>
      <c r="CJ507" s="9"/>
      <c r="CK507" s="9"/>
      <c r="CL507" s="9"/>
      <c r="CM507" s="9"/>
      <c r="CN507" s="9"/>
      <c r="CO507" s="9"/>
      <c r="CP507" s="9"/>
      <c r="CQ507" s="9"/>
      <c r="CR507" s="9"/>
      <c r="CS507" s="9"/>
      <c r="CT507" s="9"/>
      <c r="CU507" s="9"/>
      <c r="CV507" s="9"/>
      <c r="CW507" s="9"/>
      <c r="CX507" s="9"/>
      <c r="CY507" s="9"/>
      <c r="CZ507" s="9"/>
      <c r="DA507" s="9"/>
      <c r="DB507" s="9"/>
      <c r="DC507" s="9"/>
      <c r="DD507" s="9"/>
      <c r="DE507" s="9"/>
      <c r="DF507" s="9"/>
      <c r="DG507" s="9"/>
      <c r="DH507" s="9"/>
      <c r="DI507" s="9"/>
      <c r="DJ507" s="9"/>
      <c r="DK507" s="9"/>
      <c r="DL507" s="9"/>
      <c r="DM507" s="9"/>
      <c r="DN507" s="9"/>
      <c r="DO507" s="9"/>
      <c r="DP507" s="9"/>
      <c r="DQ507" s="9"/>
      <c r="DR507" s="9"/>
      <c r="DS507" s="9"/>
      <c r="DT507" s="9"/>
      <c r="DU507" s="9"/>
      <c r="DV507" s="9"/>
      <c r="DW507" s="9"/>
      <c r="DX507" s="9"/>
      <c r="DY507" s="9"/>
      <c r="DZ507" s="9"/>
      <c r="EA507" s="9"/>
      <c r="EB507" s="9"/>
      <c r="EC507" s="9"/>
      <c r="ED507" s="9"/>
      <c r="EE507" s="9"/>
      <c r="EF507" s="9"/>
    </row>
    <row r="508" spans="1:136" s="98" customFormat="1" ht="15.75" customHeight="1" x14ac:dyDescent="0.25">
      <c r="A508" s="93">
        <v>46234</v>
      </c>
      <c r="B508" s="94" t="s">
        <v>16</v>
      </c>
      <c r="C508" s="95">
        <v>6025</v>
      </c>
      <c r="D508" s="20"/>
      <c r="E508" s="99" t="s">
        <v>267</v>
      </c>
      <c r="F508" s="21">
        <v>1</v>
      </c>
      <c r="G508" s="100"/>
      <c r="H508" s="21">
        <v>52</v>
      </c>
      <c r="I508" s="11">
        <f t="shared" si="19"/>
        <v>52</v>
      </c>
      <c r="J508" s="21"/>
      <c r="K508" s="21"/>
      <c r="L508" s="13">
        <f t="shared" si="22"/>
        <v>52</v>
      </c>
      <c r="M508" s="22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  <c r="BU508" s="9"/>
      <c r="BV508" s="9"/>
      <c r="BW508" s="9"/>
      <c r="BX508" s="9"/>
      <c r="BY508" s="9"/>
      <c r="BZ508" s="9"/>
      <c r="CA508" s="9"/>
      <c r="CB508" s="9"/>
      <c r="CC508" s="9"/>
      <c r="CD508" s="9"/>
      <c r="CE508" s="9"/>
      <c r="CF508" s="9"/>
      <c r="CG508" s="9"/>
      <c r="CH508" s="9"/>
      <c r="CI508" s="9"/>
      <c r="CJ508" s="9"/>
      <c r="CK508" s="9"/>
      <c r="CL508" s="9"/>
      <c r="CM508" s="9"/>
      <c r="CN508" s="9"/>
      <c r="CO508" s="9"/>
      <c r="CP508" s="9"/>
      <c r="CQ508" s="9"/>
      <c r="CR508" s="9"/>
      <c r="CS508" s="9"/>
      <c r="CT508" s="9"/>
      <c r="CU508" s="9"/>
      <c r="CV508" s="9"/>
      <c r="CW508" s="9"/>
      <c r="CX508" s="9"/>
      <c r="CY508" s="9"/>
      <c r="CZ508" s="9"/>
      <c r="DA508" s="9"/>
      <c r="DB508" s="9"/>
      <c r="DC508" s="9"/>
      <c r="DD508" s="9"/>
      <c r="DE508" s="9"/>
      <c r="DF508" s="9"/>
      <c r="DG508" s="9"/>
      <c r="DH508" s="9"/>
      <c r="DI508" s="9"/>
      <c r="DJ508" s="9"/>
      <c r="DK508" s="9"/>
      <c r="DL508" s="9"/>
      <c r="DM508" s="9"/>
      <c r="DN508" s="9"/>
      <c r="DO508" s="9"/>
      <c r="DP508" s="9"/>
      <c r="DQ508" s="9"/>
      <c r="DR508" s="9"/>
      <c r="DS508" s="9"/>
      <c r="DT508" s="9"/>
      <c r="DU508" s="9"/>
      <c r="DV508" s="9"/>
      <c r="DW508" s="9"/>
      <c r="DX508" s="9"/>
      <c r="DY508" s="9"/>
      <c r="DZ508" s="9"/>
      <c r="EA508" s="9"/>
      <c r="EB508" s="9"/>
      <c r="EC508" s="9"/>
      <c r="ED508" s="9"/>
      <c r="EE508" s="9"/>
      <c r="EF508" s="9"/>
    </row>
    <row r="509" spans="1:136" s="98" customFormat="1" ht="15.75" customHeight="1" x14ac:dyDescent="0.25">
      <c r="A509" s="93">
        <v>46234</v>
      </c>
      <c r="B509" s="94" t="s">
        <v>16</v>
      </c>
      <c r="C509" s="95">
        <v>6025</v>
      </c>
      <c r="D509" s="20"/>
      <c r="E509" s="99" t="s">
        <v>268</v>
      </c>
      <c r="F509" s="21">
        <v>1</v>
      </c>
      <c r="G509" s="100"/>
      <c r="H509" s="21">
        <v>117</v>
      </c>
      <c r="I509" s="11">
        <f t="shared" si="19"/>
        <v>117</v>
      </c>
      <c r="J509" s="21"/>
      <c r="K509" s="21"/>
      <c r="L509" s="13">
        <f t="shared" si="22"/>
        <v>117</v>
      </c>
      <c r="M509" s="22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  <c r="BU509" s="9"/>
      <c r="BV509" s="9"/>
      <c r="BW509" s="9"/>
      <c r="BX509" s="9"/>
      <c r="BY509" s="9"/>
      <c r="BZ509" s="9"/>
      <c r="CA509" s="9"/>
      <c r="CB509" s="9"/>
      <c r="CC509" s="9"/>
      <c r="CD509" s="9"/>
      <c r="CE509" s="9"/>
      <c r="CF509" s="9"/>
      <c r="CG509" s="9"/>
      <c r="CH509" s="9"/>
      <c r="CI509" s="9"/>
      <c r="CJ509" s="9"/>
      <c r="CK509" s="9"/>
      <c r="CL509" s="9"/>
      <c r="CM509" s="9"/>
      <c r="CN509" s="9"/>
      <c r="CO509" s="9"/>
      <c r="CP509" s="9"/>
      <c r="CQ509" s="9"/>
      <c r="CR509" s="9"/>
      <c r="CS509" s="9"/>
      <c r="CT509" s="9"/>
      <c r="CU509" s="9"/>
      <c r="CV509" s="9"/>
      <c r="CW509" s="9"/>
      <c r="CX509" s="9"/>
      <c r="CY509" s="9"/>
      <c r="CZ509" s="9"/>
      <c r="DA509" s="9"/>
      <c r="DB509" s="9"/>
      <c r="DC509" s="9"/>
      <c r="DD509" s="9"/>
      <c r="DE509" s="9"/>
      <c r="DF509" s="9"/>
      <c r="DG509" s="9"/>
      <c r="DH509" s="9"/>
      <c r="DI509" s="9"/>
      <c r="DJ509" s="9"/>
      <c r="DK509" s="9"/>
      <c r="DL509" s="9"/>
      <c r="DM509" s="9"/>
      <c r="DN509" s="9"/>
      <c r="DO509" s="9"/>
      <c r="DP509" s="9"/>
      <c r="DQ509" s="9"/>
      <c r="DR509" s="9"/>
      <c r="DS509" s="9"/>
      <c r="DT509" s="9"/>
      <c r="DU509" s="9"/>
      <c r="DV509" s="9"/>
      <c r="DW509" s="9"/>
      <c r="DX509" s="9"/>
      <c r="DY509" s="9"/>
      <c r="DZ509" s="9"/>
      <c r="EA509" s="9"/>
      <c r="EB509" s="9"/>
      <c r="EC509" s="9"/>
      <c r="ED509" s="9"/>
      <c r="EE509" s="9"/>
      <c r="EF509" s="9"/>
    </row>
    <row r="510" spans="1:136" s="98" customFormat="1" ht="15.75" customHeight="1" x14ac:dyDescent="0.25">
      <c r="A510" s="93">
        <v>46234</v>
      </c>
      <c r="B510" s="94" t="s">
        <v>16</v>
      </c>
      <c r="C510" s="95">
        <v>6025</v>
      </c>
      <c r="D510" s="20"/>
      <c r="E510" s="99" t="s">
        <v>269</v>
      </c>
      <c r="F510" s="21">
        <v>4.5999999999999999E-2</v>
      </c>
      <c r="G510" s="100"/>
      <c r="H510" s="21">
        <v>599</v>
      </c>
      <c r="I510" s="11">
        <f t="shared" si="19"/>
        <v>27.553999999999998</v>
      </c>
      <c r="J510" s="21"/>
      <c r="K510" s="21"/>
      <c r="L510" s="13">
        <f t="shared" si="22"/>
        <v>27.553999999999998</v>
      </c>
      <c r="M510" s="22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  <c r="BU510" s="9"/>
      <c r="BV510" s="9"/>
      <c r="BW510" s="9"/>
      <c r="BX510" s="9"/>
      <c r="BY510" s="9"/>
      <c r="BZ510" s="9"/>
      <c r="CA510" s="9"/>
      <c r="CB510" s="9"/>
      <c r="CC510" s="9"/>
      <c r="CD510" s="9"/>
      <c r="CE510" s="9"/>
      <c r="CF510" s="9"/>
      <c r="CG510" s="9"/>
      <c r="CH510" s="9"/>
      <c r="CI510" s="9"/>
      <c r="CJ510" s="9"/>
      <c r="CK510" s="9"/>
      <c r="CL510" s="9"/>
      <c r="CM510" s="9"/>
      <c r="CN510" s="9"/>
      <c r="CO510" s="9"/>
      <c r="CP510" s="9"/>
      <c r="CQ510" s="9"/>
      <c r="CR510" s="9"/>
      <c r="CS510" s="9"/>
      <c r="CT510" s="9"/>
      <c r="CU510" s="9"/>
      <c r="CV510" s="9"/>
      <c r="CW510" s="9"/>
      <c r="CX510" s="9"/>
      <c r="CY510" s="9"/>
      <c r="CZ510" s="9"/>
      <c r="DA510" s="9"/>
      <c r="DB510" s="9"/>
      <c r="DC510" s="9"/>
      <c r="DD510" s="9"/>
      <c r="DE510" s="9"/>
      <c r="DF510" s="9"/>
      <c r="DG510" s="9"/>
      <c r="DH510" s="9"/>
      <c r="DI510" s="9"/>
      <c r="DJ510" s="9"/>
      <c r="DK510" s="9"/>
      <c r="DL510" s="9"/>
      <c r="DM510" s="9"/>
      <c r="DN510" s="9"/>
      <c r="DO510" s="9"/>
      <c r="DP510" s="9"/>
      <c r="DQ510" s="9"/>
      <c r="DR510" s="9"/>
      <c r="DS510" s="9"/>
      <c r="DT510" s="9"/>
      <c r="DU510" s="9"/>
      <c r="DV510" s="9"/>
      <c r="DW510" s="9"/>
      <c r="DX510" s="9"/>
      <c r="DY510" s="9"/>
      <c r="DZ510" s="9"/>
      <c r="EA510" s="9"/>
      <c r="EB510" s="9"/>
      <c r="EC510" s="9"/>
      <c r="ED510" s="9"/>
      <c r="EE510" s="9"/>
      <c r="EF510" s="9"/>
    </row>
    <row r="511" spans="1:136" s="98" customFormat="1" ht="15.75" customHeight="1" x14ac:dyDescent="0.25">
      <c r="A511" s="93">
        <v>46234</v>
      </c>
      <c r="B511" s="94" t="s">
        <v>16</v>
      </c>
      <c r="C511" s="95">
        <v>6025</v>
      </c>
      <c r="D511" s="20"/>
      <c r="E511" s="99" t="s">
        <v>266</v>
      </c>
      <c r="F511" s="21">
        <v>1</v>
      </c>
      <c r="G511" s="100"/>
      <c r="H511" s="21">
        <v>75</v>
      </c>
      <c r="I511" s="11">
        <f t="shared" si="19"/>
        <v>75</v>
      </c>
      <c r="J511" s="21"/>
      <c r="K511" s="21"/>
      <c r="L511" s="13">
        <f t="shared" si="22"/>
        <v>75</v>
      </c>
      <c r="M511" s="22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  <c r="BU511" s="9"/>
      <c r="BV511" s="9"/>
      <c r="BW511" s="9"/>
      <c r="BX511" s="9"/>
      <c r="BY511" s="9"/>
      <c r="BZ511" s="9"/>
      <c r="CA511" s="9"/>
      <c r="CB511" s="9"/>
      <c r="CC511" s="9"/>
      <c r="CD511" s="9"/>
      <c r="CE511" s="9"/>
      <c r="CF511" s="9"/>
      <c r="CG511" s="9"/>
      <c r="CH511" s="9"/>
      <c r="CI511" s="9"/>
      <c r="CJ511" s="9"/>
      <c r="CK511" s="9"/>
      <c r="CL511" s="9"/>
      <c r="CM511" s="9"/>
      <c r="CN511" s="9"/>
      <c r="CO511" s="9"/>
      <c r="CP511" s="9"/>
      <c r="CQ511" s="9"/>
      <c r="CR511" s="9"/>
      <c r="CS511" s="9"/>
      <c r="CT511" s="9"/>
      <c r="CU511" s="9"/>
      <c r="CV511" s="9"/>
      <c r="CW511" s="9"/>
      <c r="CX511" s="9"/>
      <c r="CY511" s="9"/>
      <c r="CZ511" s="9"/>
      <c r="DA511" s="9"/>
      <c r="DB511" s="9"/>
      <c r="DC511" s="9"/>
      <c r="DD511" s="9"/>
      <c r="DE511" s="9"/>
      <c r="DF511" s="9"/>
      <c r="DG511" s="9"/>
      <c r="DH511" s="9"/>
      <c r="DI511" s="9"/>
      <c r="DJ511" s="9"/>
      <c r="DK511" s="9"/>
      <c r="DL511" s="9"/>
      <c r="DM511" s="9"/>
      <c r="DN511" s="9"/>
      <c r="DO511" s="9"/>
      <c r="DP511" s="9"/>
      <c r="DQ511" s="9"/>
      <c r="DR511" s="9"/>
      <c r="DS511" s="9"/>
      <c r="DT511" s="9"/>
      <c r="DU511" s="9"/>
      <c r="DV511" s="9"/>
      <c r="DW511" s="9"/>
      <c r="DX511" s="9"/>
      <c r="DY511" s="9"/>
      <c r="DZ511" s="9"/>
      <c r="EA511" s="9"/>
      <c r="EB511" s="9"/>
      <c r="EC511" s="9"/>
      <c r="ED511" s="9"/>
      <c r="EE511" s="9"/>
      <c r="EF511" s="9"/>
    </row>
    <row r="512" spans="1:136" s="98" customFormat="1" ht="15.75" customHeight="1" x14ac:dyDescent="0.25">
      <c r="A512" s="93">
        <v>46234</v>
      </c>
      <c r="B512" s="94" t="s">
        <v>16</v>
      </c>
      <c r="C512" s="95">
        <v>6025</v>
      </c>
      <c r="D512" s="20"/>
      <c r="E512" s="99" t="s">
        <v>204</v>
      </c>
      <c r="F512" s="21">
        <v>1</v>
      </c>
      <c r="G512" s="100"/>
      <c r="H512" s="21">
        <v>57.25</v>
      </c>
      <c r="I512" s="11">
        <f t="shared" si="19"/>
        <v>57.25</v>
      </c>
      <c r="J512" s="21"/>
      <c r="K512" s="21"/>
      <c r="L512" s="13">
        <f t="shared" si="22"/>
        <v>57.25</v>
      </c>
      <c r="M512" s="22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  <c r="BU512" s="9"/>
      <c r="BV512" s="9"/>
      <c r="BW512" s="9"/>
      <c r="BX512" s="9"/>
      <c r="BY512" s="9"/>
      <c r="BZ512" s="9"/>
      <c r="CA512" s="9"/>
      <c r="CB512" s="9"/>
      <c r="CC512" s="9"/>
      <c r="CD512" s="9"/>
      <c r="CE512" s="9"/>
      <c r="CF512" s="9"/>
      <c r="CG512" s="9"/>
      <c r="CH512" s="9"/>
      <c r="CI512" s="9"/>
      <c r="CJ512" s="9"/>
      <c r="CK512" s="9"/>
      <c r="CL512" s="9"/>
      <c r="CM512" s="9"/>
      <c r="CN512" s="9"/>
      <c r="CO512" s="9"/>
      <c r="CP512" s="9"/>
      <c r="CQ512" s="9"/>
      <c r="CR512" s="9"/>
      <c r="CS512" s="9"/>
      <c r="CT512" s="9"/>
      <c r="CU512" s="9"/>
      <c r="CV512" s="9"/>
      <c r="CW512" s="9"/>
      <c r="CX512" s="9"/>
      <c r="CY512" s="9"/>
      <c r="CZ512" s="9"/>
      <c r="DA512" s="9"/>
      <c r="DB512" s="9"/>
      <c r="DC512" s="9"/>
      <c r="DD512" s="9"/>
      <c r="DE512" s="9"/>
      <c r="DF512" s="9"/>
      <c r="DG512" s="9"/>
      <c r="DH512" s="9"/>
      <c r="DI512" s="9"/>
      <c r="DJ512" s="9"/>
      <c r="DK512" s="9"/>
      <c r="DL512" s="9"/>
      <c r="DM512" s="9"/>
      <c r="DN512" s="9"/>
      <c r="DO512" s="9"/>
      <c r="DP512" s="9"/>
      <c r="DQ512" s="9"/>
      <c r="DR512" s="9"/>
      <c r="DS512" s="9"/>
      <c r="DT512" s="9"/>
      <c r="DU512" s="9"/>
      <c r="DV512" s="9"/>
      <c r="DW512" s="9"/>
      <c r="DX512" s="9"/>
      <c r="DY512" s="9"/>
      <c r="DZ512" s="9"/>
      <c r="EA512" s="9"/>
      <c r="EB512" s="9"/>
      <c r="EC512" s="9"/>
      <c r="ED512" s="9"/>
      <c r="EE512" s="9"/>
      <c r="EF512" s="9"/>
    </row>
    <row r="513" spans="1:136" s="98" customFormat="1" ht="15.75" customHeight="1" x14ac:dyDescent="0.25">
      <c r="A513" s="93">
        <v>46234</v>
      </c>
      <c r="B513" s="94" t="s">
        <v>16</v>
      </c>
      <c r="C513" s="95">
        <v>6025</v>
      </c>
      <c r="D513" s="20"/>
      <c r="E513" s="99" t="s">
        <v>270</v>
      </c>
      <c r="F513" s="21">
        <v>1</v>
      </c>
      <c r="G513" s="100"/>
      <c r="H513" s="21">
        <v>468</v>
      </c>
      <c r="I513" s="11">
        <f t="shared" si="19"/>
        <v>468</v>
      </c>
      <c r="J513" s="21"/>
      <c r="K513" s="21"/>
      <c r="L513" s="13">
        <f t="shared" si="22"/>
        <v>468</v>
      </c>
      <c r="M513" s="22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  <c r="BU513" s="9"/>
      <c r="BV513" s="9"/>
      <c r="BW513" s="9"/>
      <c r="BX513" s="9"/>
      <c r="BY513" s="9"/>
      <c r="BZ513" s="9"/>
      <c r="CA513" s="9"/>
      <c r="CB513" s="9"/>
      <c r="CC513" s="9"/>
      <c r="CD513" s="9"/>
      <c r="CE513" s="9"/>
      <c r="CF513" s="9"/>
      <c r="CG513" s="9"/>
      <c r="CH513" s="9"/>
      <c r="CI513" s="9"/>
      <c r="CJ513" s="9"/>
      <c r="CK513" s="9"/>
      <c r="CL513" s="9"/>
      <c r="CM513" s="9"/>
      <c r="CN513" s="9"/>
      <c r="CO513" s="9"/>
      <c r="CP513" s="9"/>
      <c r="CQ513" s="9"/>
      <c r="CR513" s="9"/>
      <c r="CS513" s="9"/>
      <c r="CT513" s="9"/>
      <c r="CU513" s="9"/>
      <c r="CV513" s="9"/>
      <c r="CW513" s="9"/>
      <c r="CX513" s="9"/>
      <c r="CY513" s="9"/>
      <c r="CZ513" s="9"/>
      <c r="DA513" s="9"/>
      <c r="DB513" s="9"/>
      <c r="DC513" s="9"/>
      <c r="DD513" s="9"/>
      <c r="DE513" s="9"/>
      <c r="DF513" s="9"/>
      <c r="DG513" s="9"/>
      <c r="DH513" s="9"/>
      <c r="DI513" s="9"/>
      <c r="DJ513" s="9"/>
      <c r="DK513" s="9"/>
      <c r="DL513" s="9"/>
      <c r="DM513" s="9"/>
      <c r="DN513" s="9"/>
      <c r="DO513" s="9"/>
      <c r="DP513" s="9"/>
      <c r="DQ513" s="9"/>
      <c r="DR513" s="9"/>
      <c r="DS513" s="9"/>
      <c r="DT513" s="9"/>
      <c r="DU513" s="9"/>
      <c r="DV513" s="9"/>
      <c r="DW513" s="9"/>
      <c r="DX513" s="9"/>
      <c r="DY513" s="9"/>
      <c r="DZ513" s="9"/>
      <c r="EA513" s="9"/>
      <c r="EB513" s="9"/>
      <c r="EC513" s="9"/>
      <c r="ED513" s="9"/>
      <c r="EE513" s="9"/>
      <c r="EF513" s="9"/>
    </row>
    <row r="514" spans="1:136" s="98" customFormat="1" ht="15.75" customHeight="1" x14ac:dyDescent="0.25">
      <c r="A514" s="93">
        <v>46234</v>
      </c>
      <c r="B514" s="94" t="s">
        <v>16</v>
      </c>
      <c r="C514" s="95">
        <v>6025</v>
      </c>
      <c r="D514" s="20"/>
      <c r="E514" s="99" t="s">
        <v>271</v>
      </c>
      <c r="F514" s="21">
        <v>4</v>
      </c>
      <c r="G514" s="100"/>
      <c r="H514" s="21">
        <v>90</v>
      </c>
      <c r="I514" s="11">
        <f t="shared" si="19"/>
        <v>360</v>
      </c>
      <c r="J514" s="21"/>
      <c r="K514" s="21"/>
      <c r="L514" s="13">
        <f t="shared" ref="L514:L518" si="23">I514-J514-K514</f>
        <v>360</v>
      </c>
      <c r="M514" s="22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  <c r="BU514" s="9"/>
      <c r="BV514" s="9"/>
      <c r="BW514" s="9"/>
      <c r="BX514" s="9"/>
      <c r="BY514" s="9"/>
      <c r="BZ514" s="9"/>
      <c r="CA514" s="9"/>
      <c r="CB514" s="9"/>
      <c r="CC514" s="9"/>
      <c r="CD514" s="9"/>
      <c r="CE514" s="9"/>
      <c r="CF514" s="9"/>
      <c r="CG514" s="9"/>
      <c r="CH514" s="9"/>
      <c r="CI514" s="9"/>
      <c r="CJ514" s="9"/>
      <c r="CK514" s="9"/>
      <c r="CL514" s="9"/>
      <c r="CM514" s="9"/>
      <c r="CN514" s="9"/>
      <c r="CO514" s="9"/>
      <c r="CP514" s="9"/>
      <c r="CQ514" s="9"/>
      <c r="CR514" s="9"/>
      <c r="CS514" s="9"/>
      <c r="CT514" s="9"/>
      <c r="CU514" s="9"/>
      <c r="CV514" s="9"/>
      <c r="CW514" s="9"/>
      <c r="CX514" s="9"/>
      <c r="CY514" s="9"/>
      <c r="CZ514" s="9"/>
      <c r="DA514" s="9"/>
      <c r="DB514" s="9"/>
      <c r="DC514" s="9"/>
      <c r="DD514" s="9"/>
      <c r="DE514" s="9"/>
      <c r="DF514" s="9"/>
      <c r="DG514" s="9"/>
      <c r="DH514" s="9"/>
      <c r="DI514" s="9"/>
      <c r="DJ514" s="9"/>
      <c r="DK514" s="9"/>
      <c r="DL514" s="9"/>
      <c r="DM514" s="9"/>
      <c r="DN514" s="9"/>
      <c r="DO514" s="9"/>
      <c r="DP514" s="9"/>
      <c r="DQ514" s="9"/>
      <c r="DR514" s="9"/>
      <c r="DS514" s="9"/>
      <c r="DT514" s="9"/>
      <c r="DU514" s="9"/>
      <c r="DV514" s="9"/>
      <c r="DW514" s="9"/>
      <c r="DX514" s="9"/>
      <c r="DY514" s="9"/>
      <c r="DZ514" s="9"/>
      <c r="EA514" s="9"/>
      <c r="EB514" s="9"/>
      <c r="EC514" s="9"/>
      <c r="ED514" s="9"/>
      <c r="EE514" s="9"/>
      <c r="EF514" s="9"/>
    </row>
    <row r="515" spans="1:136" s="98" customFormat="1" ht="15.75" customHeight="1" x14ac:dyDescent="0.25">
      <c r="A515" s="93">
        <v>46234</v>
      </c>
      <c r="B515" s="94" t="s">
        <v>16</v>
      </c>
      <c r="C515" s="95">
        <v>6025</v>
      </c>
      <c r="D515" s="20"/>
      <c r="E515" s="99" t="s">
        <v>272</v>
      </c>
      <c r="F515" s="21">
        <v>2</v>
      </c>
      <c r="G515" s="100"/>
      <c r="H515" s="21">
        <v>110</v>
      </c>
      <c r="I515" s="11">
        <f t="shared" si="19"/>
        <v>220</v>
      </c>
      <c r="J515" s="21"/>
      <c r="K515" s="21"/>
      <c r="L515" s="13">
        <f t="shared" si="23"/>
        <v>220</v>
      </c>
      <c r="M515" s="22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  <c r="BU515" s="9"/>
      <c r="BV515" s="9"/>
      <c r="BW515" s="9"/>
      <c r="BX515" s="9"/>
      <c r="BY515" s="9"/>
      <c r="BZ515" s="9"/>
      <c r="CA515" s="9"/>
      <c r="CB515" s="9"/>
      <c r="CC515" s="9"/>
      <c r="CD515" s="9"/>
      <c r="CE515" s="9"/>
      <c r="CF515" s="9"/>
      <c r="CG515" s="9"/>
      <c r="CH515" s="9"/>
      <c r="CI515" s="9"/>
      <c r="CJ515" s="9"/>
      <c r="CK515" s="9"/>
      <c r="CL515" s="9"/>
      <c r="CM515" s="9"/>
      <c r="CN515" s="9"/>
      <c r="CO515" s="9"/>
      <c r="CP515" s="9"/>
      <c r="CQ515" s="9"/>
      <c r="CR515" s="9"/>
      <c r="CS515" s="9"/>
      <c r="CT515" s="9"/>
      <c r="CU515" s="9"/>
      <c r="CV515" s="9"/>
      <c r="CW515" s="9"/>
      <c r="CX515" s="9"/>
      <c r="CY515" s="9"/>
      <c r="CZ515" s="9"/>
      <c r="DA515" s="9"/>
      <c r="DB515" s="9"/>
      <c r="DC515" s="9"/>
      <c r="DD515" s="9"/>
      <c r="DE515" s="9"/>
      <c r="DF515" s="9"/>
      <c r="DG515" s="9"/>
      <c r="DH515" s="9"/>
      <c r="DI515" s="9"/>
      <c r="DJ515" s="9"/>
      <c r="DK515" s="9"/>
      <c r="DL515" s="9"/>
      <c r="DM515" s="9"/>
      <c r="DN515" s="9"/>
      <c r="DO515" s="9"/>
      <c r="DP515" s="9"/>
      <c r="DQ515" s="9"/>
      <c r="DR515" s="9"/>
      <c r="DS515" s="9"/>
      <c r="DT515" s="9"/>
      <c r="DU515" s="9"/>
      <c r="DV515" s="9"/>
      <c r="DW515" s="9"/>
      <c r="DX515" s="9"/>
      <c r="DY515" s="9"/>
      <c r="DZ515" s="9"/>
      <c r="EA515" s="9"/>
      <c r="EB515" s="9"/>
      <c r="EC515" s="9"/>
      <c r="ED515" s="9"/>
      <c r="EE515" s="9"/>
      <c r="EF515" s="9"/>
    </row>
    <row r="516" spans="1:136" s="98" customFormat="1" ht="15.75" customHeight="1" x14ac:dyDescent="0.25">
      <c r="A516" s="93">
        <v>46234</v>
      </c>
      <c r="B516" s="94" t="s">
        <v>16</v>
      </c>
      <c r="C516" s="95">
        <v>6025</v>
      </c>
      <c r="D516" s="20"/>
      <c r="E516" s="99" t="s">
        <v>273</v>
      </c>
      <c r="F516" s="21">
        <v>2</v>
      </c>
      <c r="G516" s="100"/>
      <c r="H516" s="21">
        <v>82.5</v>
      </c>
      <c r="I516" s="11">
        <f t="shared" si="19"/>
        <v>165</v>
      </c>
      <c r="J516" s="21"/>
      <c r="K516" s="21"/>
      <c r="L516" s="13">
        <f t="shared" si="23"/>
        <v>165</v>
      </c>
      <c r="M516" s="22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  <c r="BU516" s="9"/>
      <c r="BV516" s="9"/>
      <c r="BW516" s="9"/>
      <c r="BX516" s="9"/>
      <c r="BY516" s="9"/>
      <c r="BZ516" s="9"/>
      <c r="CA516" s="9"/>
      <c r="CB516" s="9"/>
      <c r="CC516" s="9"/>
      <c r="CD516" s="9"/>
      <c r="CE516" s="9"/>
      <c r="CF516" s="9"/>
      <c r="CG516" s="9"/>
      <c r="CH516" s="9"/>
      <c r="CI516" s="9"/>
      <c r="CJ516" s="9"/>
      <c r="CK516" s="9"/>
      <c r="CL516" s="9"/>
      <c r="CM516" s="9"/>
      <c r="CN516" s="9"/>
      <c r="CO516" s="9"/>
      <c r="CP516" s="9"/>
      <c r="CQ516" s="9"/>
      <c r="CR516" s="9"/>
      <c r="CS516" s="9"/>
      <c r="CT516" s="9"/>
      <c r="CU516" s="9"/>
      <c r="CV516" s="9"/>
      <c r="CW516" s="9"/>
      <c r="CX516" s="9"/>
      <c r="CY516" s="9"/>
      <c r="CZ516" s="9"/>
      <c r="DA516" s="9"/>
      <c r="DB516" s="9"/>
      <c r="DC516" s="9"/>
      <c r="DD516" s="9"/>
      <c r="DE516" s="9"/>
      <c r="DF516" s="9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</row>
    <row r="517" spans="1:136" s="98" customFormat="1" ht="15.75" customHeight="1" x14ac:dyDescent="0.25">
      <c r="A517" s="93">
        <v>46234</v>
      </c>
      <c r="B517" s="94" t="s">
        <v>16</v>
      </c>
      <c r="C517" s="95">
        <v>6025</v>
      </c>
      <c r="D517" s="20"/>
      <c r="E517" s="99" t="s">
        <v>274</v>
      </c>
      <c r="F517" s="21">
        <v>1</v>
      </c>
      <c r="G517" s="100"/>
      <c r="H517" s="21">
        <v>180</v>
      </c>
      <c r="I517" s="11">
        <f t="shared" si="19"/>
        <v>180</v>
      </c>
      <c r="J517" s="21"/>
      <c r="K517" s="21"/>
      <c r="L517" s="13">
        <f t="shared" si="23"/>
        <v>180</v>
      </c>
      <c r="M517" s="22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  <c r="BU517" s="9"/>
      <c r="BV517" s="9"/>
      <c r="BW517" s="9"/>
      <c r="BX517" s="9"/>
      <c r="BY517" s="9"/>
      <c r="BZ517" s="9"/>
      <c r="CA517" s="9"/>
      <c r="CB517" s="9"/>
      <c r="CC517" s="9"/>
      <c r="CD517" s="9"/>
      <c r="CE517" s="9"/>
      <c r="CF517" s="9"/>
      <c r="CG517" s="9"/>
      <c r="CH517" s="9"/>
      <c r="CI517" s="9"/>
      <c r="CJ517" s="9"/>
      <c r="CK517" s="9"/>
      <c r="CL517" s="9"/>
      <c r="CM517" s="9"/>
      <c r="CN517" s="9"/>
      <c r="CO517" s="9"/>
      <c r="CP517" s="9"/>
      <c r="CQ517" s="9"/>
      <c r="CR517" s="9"/>
      <c r="CS517" s="9"/>
      <c r="CT517" s="9"/>
      <c r="CU517" s="9"/>
      <c r="CV517" s="9"/>
      <c r="CW517" s="9"/>
      <c r="CX517" s="9"/>
      <c r="CY517" s="9"/>
      <c r="CZ517" s="9"/>
      <c r="DA517" s="9"/>
      <c r="DB517" s="9"/>
      <c r="DC517" s="9"/>
      <c r="DD517" s="9"/>
      <c r="DE517" s="9"/>
      <c r="DF517" s="9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</row>
    <row r="518" spans="1:136" s="98" customFormat="1" ht="15.75" customHeight="1" x14ac:dyDescent="0.25">
      <c r="A518" s="93">
        <v>46234</v>
      </c>
      <c r="B518" s="94" t="s">
        <v>16</v>
      </c>
      <c r="C518" s="95">
        <v>6025</v>
      </c>
      <c r="D518" s="20"/>
      <c r="E518" s="99" t="s">
        <v>97</v>
      </c>
      <c r="F518" s="21">
        <v>2</v>
      </c>
      <c r="G518" s="100"/>
      <c r="H518" s="21">
        <v>48</v>
      </c>
      <c r="I518" s="11">
        <f t="shared" si="19"/>
        <v>96</v>
      </c>
      <c r="J518" s="21"/>
      <c r="K518" s="21"/>
      <c r="L518" s="13">
        <f t="shared" si="23"/>
        <v>96</v>
      </c>
      <c r="M518" s="22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  <c r="BU518" s="9"/>
      <c r="BV518" s="9"/>
      <c r="BW518" s="9"/>
      <c r="BX518" s="9"/>
      <c r="BY518" s="9"/>
      <c r="BZ518" s="9"/>
      <c r="CA518" s="9"/>
      <c r="CB518" s="9"/>
      <c r="CC518" s="9"/>
      <c r="CD518" s="9"/>
      <c r="CE518" s="9"/>
      <c r="CF518" s="9"/>
      <c r="CG518" s="9"/>
      <c r="CH518" s="9"/>
      <c r="CI518" s="9"/>
      <c r="CJ518" s="9"/>
      <c r="CK518" s="9"/>
      <c r="CL518" s="9"/>
      <c r="CM518" s="9"/>
      <c r="CN518" s="9"/>
      <c r="CO518" s="9"/>
      <c r="CP518" s="9"/>
      <c r="CQ518" s="9"/>
      <c r="CR518" s="9"/>
      <c r="CS518" s="9"/>
      <c r="CT518" s="9"/>
      <c r="CU518" s="9"/>
      <c r="CV518" s="9"/>
      <c r="CW518" s="9"/>
      <c r="CX518" s="9"/>
      <c r="CY518" s="9"/>
      <c r="CZ518" s="9"/>
      <c r="DA518" s="9"/>
      <c r="DB518" s="9"/>
      <c r="DC518" s="9"/>
      <c r="DD518" s="9"/>
      <c r="DE518" s="9"/>
      <c r="DF518" s="9"/>
      <c r="DG518" s="9"/>
      <c r="DH518" s="9"/>
      <c r="DI518" s="9"/>
      <c r="DJ518" s="9"/>
      <c r="DK518" s="9"/>
      <c r="DL518" s="9"/>
      <c r="DM518" s="9"/>
      <c r="DN518" s="9"/>
      <c r="DO518" s="9"/>
      <c r="DP518" s="9"/>
      <c r="DQ518" s="9"/>
      <c r="DR518" s="9"/>
      <c r="DS518" s="9"/>
      <c r="DT518" s="9"/>
      <c r="DU518" s="9"/>
      <c r="DV518" s="9"/>
      <c r="DW518" s="9"/>
      <c r="DX518" s="9"/>
      <c r="DY518" s="9"/>
      <c r="DZ518" s="9"/>
      <c r="EA518" s="9"/>
      <c r="EB518" s="9"/>
      <c r="EC518" s="9"/>
      <c r="ED518" s="9"/>
      <c r="EE518" s="9"/>
      <c r="EF518" s="9"/>
    </row>
    <row r="519" spans="1:136" s="98" customFormat="1" ht="15.75" customHeight="1" x14ac:dyDescent="0.25">
      <c r="A519" s="93">
        <v>46234</v>
      </c>
      <c r="B519" s="94" t="s">
        <v>16</v>
      </c>
      <c r="C519" s="95">
        <v>6025</v>
      </c>
      <c r="D519" s="20"/>
      <c r="E519" s="99" t="s">
        <v>140</v>
      </c>
      <c r="F519" s="21">
        <v>5</v>
      </c>
      <c r="G519" s="100"/>
      <c r="H519" s="21">
        <v>104.75</v>
      </c>
      <c r="I519" s="11">
        <f t="shared" ref="I519:I582" si="24">F519*H519</f>
        <v>523.75</v>
      </c>
      <c r="J519" s="21"/>
      <c r="K519" s="21"/>
      <c r="L519" s="13">
        <f t="shared" si="13"/>
        <v>523.75</v>
      </c>
      <c r="M519" s="22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  <c r="BU519" s="9"/>
      <c r="BV519" s="9"/>
      <c r="BW519" s="9"/>
      <c r="BX519" s="9"/>
      <c r="BY519" s="9"/>
      <c r="BZ519" s="9"/>
      <c r="CA519" s="9"/>
      <c r="CB519" s="9"/>
      <c r="CC519" s="9"/>
      <c r="CD519" s="9"/>
      <c r="CE519" s="9"/>
      <c r="CF519" s="9"/>
      <c r="CG519" s="9"/>
      <c r="CH519" s="9"/>
      <c r="CI519" s="9"/>
      <c r="CJ519" s="9"/>
      <c r="CK519" s="9"/>
      <c r="CL519" s="9"/>
      <c r="CM519" s="9"/>
      <c r="CN519" s="9"/>
      <c r="CO519" s="9"/>
      <c r="CP519" s="9"/>
      <c r="CQ519" s="9"/>
      <c r="CR519" s="9"/>
      <c r="CS519" s="9"/>
      <c r="CT519" s="9"/>
      <c r="CU519" s="9"/>
      <c r="CV519" s="9"/>
      <c r="CW519" s="9"/>
      <c r="CX519" s="9"/>
      <c r="CY519" s="9"/>
      <c r="CZ519" s="9"/>
      <c r="DA519" s="9"/>
      <c r="DB519" s="9"/>
      <c r="DC519" s="9"/>
      <c r="DD519" s="9"/>
      <c r="DE519" s="9"/>
      <c r="DF519" s="9"/>
      <c r="DG519" s="9"/>
      <c r="DH519" s="9"/>
      <c r="DI519" s="9"/>
      <c r="DJ519" s="9"/>
      <c r="DK519" s="9"/>
      <c r="DL519" s="9"/>
      <c r="DM519" s="9"/>
      <c r="DN519" s="9"/>
      <c r="DO519" s="9"/>
      <c r="DP519" s="9"/>
      <c r="DQ519" s="9"/>
      <c r="DR519" s="9"/>
      <c r="DS519" s="9"/>
      <c r="DT519" s="9"/>
      <c r="DU519" s="9"/>
      <c r="DV519" s="9"/>
      <c r="DW519" s="9"/>
      <c r="DX519" s="9"/>
      <c r="DY519" s="9"/>
      <c r="DZ519" s="9"/>
      <c r="EA519" s="9"/>
      <c r="EB519" s="9"/>
      <c r="EC519" s="9"/>
      <c r="ED519" s="9"/>
      <c r="EE519" s="9"/>
      <c r="EF519" s="9"/>
    </row>
    <row r="520" spans="1:136" s="98" customFormat="1" ht="15.75" customHeight="1" x14ac:dyDescent="0.25">
      <c r="A520" s="93">
        <v>46234</v>
      </c>
      <c r="B520" s="94" t="s">
        <v>16</v>
      </c>
      <c r="C520" s="95">
        <v>6025</v>
      </c>
      <c r="D520" s="20"/>
      <c r="E520" s="99" t="s">
        <v>275</v>
      </c>
      <c r="F520" s="21">
        <v>1</v>
      </c>
      <c r="G520" s="100"/>
      <c r="H520" s="21">
        <v>165</v>
      </c>
      <c r="I520" s="11">
        <f t="shared" si="24"/>
        <v>165</v>
      </c>
      <c r="J520" s="21"/>
      <c r="K520" s="21"/>
      <c r="L520" s="13">
        <f t="shared" si="13"/>
        <v>165</v>
      </c>
      <c r="M520" s="22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  <c r="BU520" s="9"/>
      <c r="BV520" s="9"/>
      <c r="BW520" s="9"/>
      <c r="BX520" s="9"/>
      <c r="BY520" s="9"/>
      <c r="BZ520" s="9"/>
      <c r="CA520" s="9"/>
      <c r="CB520" s="9"/>
      <c r="CC520" s="9"/>
      <c r="CD520" s="9"/>
      <c r="CE520" s="9"/>
      <c r="CF520" s="9"/>
      <c r="CG520" s="9"/>
      <c r="CH520" s="9"/>
      <c r="CI520" s="9"/>
      <c r="CJ520" s="9"/>
      <c r="CK520" s="9"/>
      <c r="CL520" s="9"/>
      <c r="CM520" s="9"/>
      <c r="CN520" s="9"/>
      <c r="CO520" s="9"/>
      <c r="CP520" s="9"/>
      <c r="CQ520" s="9"/>
      <c r="CR520" s="9"/>
      <c r="CS520" s="9"/>
      <c r="CT520" s="9"/>
      <c r="CU520" s="9"/>
      <c r="CV520" s="9"/>
      <c r="CW520" s="9"/>
      <c r="CX520" s="9"/>
      <c r="CY520" s="9"/>
      <c r="CZ520" s="9"/>
      <c r="DA520" s="9"/>
      <c r="DB520" s="9"/>
      <c r="DC520" s="9"/>
      <c r="DD520" s="9"/>
      <c r="DE520" s="9"/>
      <c r="DF520" s="9"/>
      <c r="DG520" s="9"/>
      <c r="DH520" s="9"/>
      <c r="DI520" s="9"/>
      <c r="DJ520" s="9"/>
      <c r="DK520" s="9"/>
      <c r="DL520" s="9"/>
      <c r="DM520" s="9"/>
      <c r="DN520" s="9"/>
      <c r="DO520" s="9"/>
      <c r="DP520" s="9"/>
      <c r="DQ520" s="9"/>
      <c r="DR520" s="9"/>
      <c r="DS520" s="9"/>
      <c r="DT520" s="9"/>
      <c r="DU520" s="9"/>
      <c r="DV520" s="9"/>
      <c r="DW520" s="9"/>
      <c r="DX520" s="9"/>
      <c r="DY520" s="9"/>
      <c r="DZ520" s="9"/>
      <c r="EA520" s="9"/>
      <c r="EB520" s="9"/>
      <c r="EC520" s="9"/>
      <c r="ED520" s="9"/>
      <c r="EE520" s="9"/>
      <c r="EF520" s="9"/>
    </row>
    <row r="521" spans="1:136" s="98" customFormat="1" ht="15.75" customHeight="1" x14ac:dyDescent="0.25">
      <c r="A521" s="93">
        <v>46234</v>
      </c>
      <c r="B521" s="94" t="s">
        <v>16</v>
      </c>
      <c r="C521" s="95">
        <v>6025</v>
      </c>
      <c r="D521" s="20"/>
      <c r="E521" s="99" t="s">
        <v>140</v>
      </c>
      <c r="F521" s="21">
        <v>1</v>
      </c>
      <c r="G521" s="21"/>
      <c r="H521" s="21">
        <v>104.75</v>
      </c>
      <c r="I521" s="11">
        <f t="shared" si="24"/>
        <v>104.75</v>
      </c>
      <c r="J521" s="21"/>
      <c r="K521" s="21"/>
      <c r="L521" s="13">
        <f t="shared" si="13"/>
        <v>104.75</v>
      </c>
      <c r="M521" s="22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  <c r="BU521" s="9"/>
      <c r="BV521" s="9"/>
      <c r="BW521" s="9"/>
      <c r="BX521" s="9"/>
      <c r="BY521" s="9"/>
      <c r="BZ521" s="9"/>
      <c r="CA521" s="9"/>
      <c r="CB521" s="9"/>
      <c r="CC521" s="9"/>
      <c r="CD521" s="9"/>
      <c r="CE521" s="9"/>
      <c r="CF521" s="9"/>
      <c r="CG521" s="9"/>
      <c r="CH521" s="9"/>
      <c r="CI521" s="9"/>
      <c r="CJ521" s="9"/>
      <c r="CK521" s="9"/>
      <c r="CL521" s="9"/>
      <c r="CM521" s="9"/>
      <c r="CN521" s="9"/>
      <c r="CO521" s="9"/>
      <c r="CP521" s="9"/>
      <c r="CQ521" s="9"/>
      <c r="CR521" s="9"/>
      <c r="CS521" s="9"/>
      <c r="CT521" s="9"/>
      <c r="CU521" s="9"/>
      <c r="CV521" s="9"/>
      <c r="CW521" s="9"/>
      <c r="CX521" s="9"/>
      <c r="CY521" s="9"/>
      <c r="CZ521" s="9"/>
      <c r="DA521" s="9"/>
      <c r="DB521" s="9"/>
      <c r="DC521" s="9"/>
      <c r="DD521" s="9"/>
      <c r="DE521" s="9"/>
      <c r="DF521" s="9"/>
      <c r="DG521" s="9"/>
      <c r="DH521" s="9"/>
      <c r="DI521" s="9"/>
      <c r="DJ521" s="9"/>
      <c r="DK521" s="9"/>
      <c r="DL521" s="9"/>
      <c r="DM521" s="9"/>
      <c r="DN521" s="9"/>
      <c r="DO521" s="9"/>
      <c r="DP521" s="9"/>
      <c r="DQ521" s="9"/>
      <c r="DR521" s="9"/>
      <c r="DS521" s="9"/>
      <c r="DT521" s="9"/>
      <c r="DU521" s="9"/>
      <c r="DV521" s="9"/>
      <c r="DW521" s="9"/>
      <c r="DX521" s="9"/>
      <c r="DY521" s="9"/>
      <c r="DZ521" s="9"/>
      <c r="EA521" s="9"/>
      <c r="EB521" s="9"/>
      <c r="EC521" s="9"/>
      <c r="ED521" s="9"/>
      <c r="EE521" s="9"/>
      <c r="EF521" s="9"/>
    </row>
    <row r="522" spans="1:136" s="98" customFormat="1" ht="15.75" customHeight="1" x14ac:dyDescent="0.25">
      <c r="A522" s="93">
        <v>46234</v>
      </c>
      <c r="B522" s="94" t="s">
        <v>16</v>
      </c>
      <c r="C522" s="95">
        <v>6025</v>
      </c>
      <c r="D522" s="20"/>
      <c r="E522" s="99" t="s">
        <v>64</v>
      </c>
      <c r="F522" s="21">
        <v>0.8</v>
      </c>
      <c r="G522" s="100"/>
      <c r="H522" s="21">
        <v>270</v>
      </c>
      <c r="I522" s="11">
        <f t="shared" si="24"/>
        <v>216</v>
      </c>
      <c r="J522" s="21"/>
      <c r="K522" s="21"/>
      <c r="L522" s="13">
        <f t="shared" si="13"/>
        <v>216</v>
      </c>
      <c r="M522" s="22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  <c r="BU522" s="9"/>
      <c r="BV522" s="9"/>
      <c r="BW522" s="9"/>
      <c r="BX522" s="9"/>
      <c r="BY522" s="9"/>
      <c r="BZ522" s="9"/>
      <c r="CA522" s="9"/>
      <c r="CB522" s="9"/>
      <c r="CC522" s="9"/>
      <c r="CD522" s="9"/>
      <c r="CE522" s="9"/>
      <c r="CF522" s="9"/>
      <c r="CG522" s="9"/>
      <c r="CH522" s="9"/>
      <c r="CI522" s="9"/>
      <c r="CJ522" s="9"/>
      <c r="CK522" s="9"/>
      <c r="CL522" s="9"/>
      <c r="CM522" s="9"/>
      <c r="CN522" s="9"/>
      <c r="CO522" s="9"/>
      <c r="CP522" s="9"/>
      <c r="CQ522" s="9"/>
      <c r="CR522" s="9"/>
      <c r="CS522" s="9"/>
      <c r="CT522" s="9"/>
      <c r="CU522" s="9"/>
      <c r="CV522" s="9"/>
      <c r="CW522" s="9"/>
      <c r="CX522" s="9"/>
      <c r="CY522" s="9"/>
      <c r="CZ522" s="9"/>
      <c r="DA522" s="9"/>
      <c r="DB522" s="9"/>
      <c r="DC522" s="9"/>
      <c r="DD522" s="9"/>
      <c r="DE522" s="9"/>
      <c r="DF522" s="9"/>
      <c r="DG522" s="9"/>
      <c r="DH522" s="9"/>
      <c r="DI522" s="9"/>
      <c r="DJ522" s="9"/>
      <c r="DK522" s="9"/>
      <c r="DL522" s="9"/>
      <c r="DM522" s="9"/>
      <c r="DN522" s="9"/>
      <c r="DO522" s="9"/>
      <c r="DP522" s="9"/>
      <c r="DQ522" s="9"/>
      <c r="DR522" s="9"/>
      <c r="DS522" s="9"/>
      <c r="DT522" s="9"/>
      <c r="DU522" s="9"/>
      <c r="DV522" s="9"/>
      <c r="DW522" s="9"/>
      <c r="DX522" s="9"/>
      <c r="DY522" s="9"/>
      <c r="DZ522" s="9"/>
      <c r="EA522" s="9"/>
      <c r="EB522" s="9"/>
      <c r="EC522" s="9"/>
      <c r="ED522" s="9"/>
      <c r="EE522" s="9"/>
      <c r="EF522" s="9"/>
    </row>
    <row r="523" spans="1:136" s="98" customFormat="1" ht="15.75" customHeight="1" x14ac:dyDescent="0.25">
      <c r="A523" s="93">
        <v>46234</v>
      </c>
      <c r="B523" s="94" t="s">
        <v>16</v>
      </c>
      <c r="C523" s="95">
        <v>6025</v>
      </c>
      <c r="D523" s="20"/>
      <c r="E523" s="99" t="s">
        <v>131</v>
      </c>
      <c r="F523" s="21">
        <v>5</v>
      </c>
      <c r="G523" s="100"/>
      <c r="H523" s="21">
        <f>1025/5</f>
        <v>205</v>
      </c>
      <c r="I523" s="11">
        <f t="shared" si="24"/>
        <v>1025</v>
      </c>
      <c r="J523" s="21"/>
      <c r="K523" s="21"/>
      <c r="L523" s="13">
        <f t="shared" si="13"/>
        <v>1025</v>
      </c>
      <c r="M523" s="22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  <c r="BU523" s="9"/>
      <c r="BV523" s="9"/>
      <c r="BW523" s="9"/>
      <c r="BX523" s="9"/>
      <c r="BY523" s="9"/>
      <c r="BZ523" s="9"/>
      <c r="CA523" s="9"/>
      <c r="CB523" s="9"/>
      <c r="CC523" s="9"/>
      <c r="CD523" s="9"/>
      <c r="CE523" s="9"/>
      <c r="CF523" s="9"/>
      <c r="CG523" s="9"/>
      <c r="CH523" s="9"/>
      <c r="CI523" s="9"/>
      <c r="CJ523" s="9"/>
      <c r="CK523" s="9"/>
      <c r="CL523" s="9"/>
      <c r="CM523" s="9"/>
      <c r="CN523" s="9"/>
      <c r="CO523" s="9"/>
      <c r="CP523" s="9"/>
      <c r="CQ523" s="9"/>
      <c r="CR523" s="9"/>
      <c r="CS523" s="9"/>
      <c r="CT523" s="9"/>
      <c r="CU523" s="9"/>
      <c r="CV523" s="9"/>
      <c r="CW523" s="9"/>
      <c r="CX523" s="9"/>
      <c r="CY523" s="9"/>
      <c r="CZ523" s="9"/>
      <c r="DA523" s="9"/>
      <c r="DB523" s="9"/>
      <c r="DC523" s="9"/>
      <c r="DD523" s="9"/>
      <c r="DE523" s="9"/>
      <c r="DF523" s="9"/>
      <c r="DG523" s="9"/>
      <c r="DH523" s="9"/>
      <c r="DI523" s="9"/>
      <c r="DJ523" s="9"/>
      <c r="DK523" s="9"/>
      <c r="DL523" s="9"/>
      <c r="DM523" s="9"/>
      <c r="DN523" s="9"/>
      <c r="DO523" s="9"/>
      <c r="DP523" s="9"/>
      <c r="DQ523" s="9"/>
      <c r="DR523" s="9"/>
      <c r="DS523" s="9"/>
      <c r="DT523" s="9"/>
      <c r="DU523" s="9"/>
      <c r="DV523" s="9"/>
      <c r="DW523" s="9"/>
      <c r="DX523" s="9"/>
      <c r="DY523" s="9"/>
      <c r="DZ523" s="9"/>
      <c r="EA523" s="9"/>
      <c r="EB523" s="9"/>
      <c r="EC523" s="9"/>
      <c r="ED523" s="9"/>
      <c r="EE523" s="9"/>
      <c r="EF523" s="9"/>
    </row>
    <row r="524" spans="1:136" s="98" customFormat="1" ht="15.75" customHeight="1" x14ac:dyDescent="0.25">
      <c r="A524" s="93">
        <v>46234</v>
      </c>
      <c r="B524" s="94" t="s">
        <v>16</v>
      </c>
      <c r="C524" s="95">
        <v>6025</v>
      </c>
      <c r="D524" s="20"/>
      <c r="E524" s="99" t="s">
        <v>61</v>
      </c>
      <c r="F524" s="21">
        <v>3</v>
      </c>
      <c r="G524" s="100"/>
      <c r="H524" s="21">
        <v>300</v>
      </c>
      <c r="I524" s="11">
        <f t="shared" si="24"/>
        <v>900</v>
      </c>
      <c r="J524" s="21"/>
      <c r="K524" s="21"/>
      <c r="L524" s="13">
        <f t="shared" si="13"/>
        <v>900</v>
      </c>
      <c r="M524" s="22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  <c r="BU524" s="9"/>
      <c r="BV524" s="9"/>
      <c r="BW524" s="9"/>
      <c r="BX524" s="9"/>
      <c r="BY524" s="9"/>
      <c r="BZ524" s="9"/>
      <c r="CA524" s="9"/>
      <c r="CB524" s="9"/>
      <c r="CC524" s="9"/>
      <c r="CD524" s="9"/>
      <c r="CE524" s="9"/>
      <c r="CF524" s="9"/>
      <c r="CG524" s="9"/>
      <c r="CH524" s="9"/>
      <c r="CI524" s="9"/>
      <c r="CJ524" s="9"/>
      <c r="CK524" s="9"/>
      <c r="CL524" s="9"/>
      <c r="CM524" s="9"/>
      <c r="CN524" s="9"/>
      <c r="CO524" s="9"/>
      <c r="CP524" s="9"/>
      <c r="CQ524" s="9"/>
      <c r="CR524" s="9"/>
      <c r="CS524" s="9"/>
      <c r="CT524" s="9"/>
      <c r="CU524" s="9"/>
      <c r="CV524" s="9"/>
      <c r="CW524" s="9"/>
      <c r="CX524" s="9"/>
      <c r="CY524" s="9"/>
      <c r="CZ524" s="9"/>
      <c r="DA524" s="9"/>
      <c r="DB524" s="9"/>
      <c r="DC524" s="9"/>
      <c r="DD524" s="9"/>
      <c r="DE524" s="9"/>
      <c r="DF524" s="9"/>
      <c r="DG524" s="9"/>
      <c r="DH524" s="9"/>
      <c r="DI524" s="9"/>
      <c r="DJ524" s="9"/>
      <c r="DK524" s="9"/>
      <c r="DL524" s="9"/>
      <c r="DM524" s="9"/>
      <c r="DN524" s="9"/>
      <c r="DO524" s="9"/>
      <c r="DP524" s="9"/>
      <c r="DQ524" s="9"/>
      <c r="DR524" s="9"/>
      <c r="DS524" s="9"/>
      <c r="DT524" s="9"/>
      <c r="DU524" s="9"/>
      <c r="DV524" s="9"/>
      <c r="DW524" s="9"/>
      <c r="DX524" s="9"/>
      <c r="DY524" s="9"/>
      <c r="DZ524" s="9"/>
      <c r="EA524" s="9"/>
      <c r="EB524" s="9"/>
      <c r="EC524" s="9"/>
      <c r="ED524" s="9"/>
      <c r="EE524" s="9"/>
      <c r="EF524" s="9"/>
    </row>
    <row r="525" spans="1:136" s="98" customFormat="1" ht="15.75" customHeight="1" x14ac:dyDescent="0.25">
      <c r="A525" s="93">
        <v>46234</v>
      </c>
      <c r="B525" s="94" t="s">
        <v>16</v>
      </c>
      <c r="C525" s="95">
        <v>6025</v>
      </c>
      <c r="D525" s="20"/>
      <c r="E525" s="99" t="s">
        <v>157</v>
      </c>
      <c r="F525" s="21">
        <v>2</v>
      </c>
      <c r="G525" s="100"/>
      <c r="H525" s="21">
        <v>300</v>
      </c>
      <c r="I525" s="11">
        <f t="shared" si="24"/>
        <v>600</v>
      </c>
      <c r="J525" s="21"/>
      <c r="K525" s="21"/>
      <c r="L525" s="13">
        <f t="shared" si="13"/>
        <v>600</v>
      </c>
      <c r="M525" s="22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  <c r="BU525" s="9"/>
      <c r="BV525" s="9"/>
      <c r="BW525" s="9"/>
      <c r="BX525" s="9"/>
      <c r="BY525" s="9"/>
      <c r="BZ525" s="9"/>
      <c r="CA525" s="9"/>
      <c r="CB525" s="9"/>
      <c r="CC525" s="9"/>
      <c r="CD525" s="9"/>
      <c r="CE525" s="9"/>
      <c r="CF525" s="9"/>
      <c r="CG525" s="9"/>
      <c r="CH525" s="9"/>
      <c r="CI525" s="9"/>
      <c r="CJ525" s="9"/>
      <c r="CK525" s="9"/>
      <c r="CL525" s="9"/>
      <c r="CM525" s="9"/>
      <c r="CN525" s="9"/>
      <c r="CO525" s="9"/>
      <c r="CP525" s="9"/>
      <c r="CQ525" s="9"/>
      <c r="CR525" s="9"/>
      <c r="CS525" s="9"/>
      <c r="CT525" s="9"/>
      <c r="CU525" s="9"/>
      <c r="CV525" s="9"/>
      <c r="CW525" s="9"/>
      <c r="CX525" s="9"/>
      <c r="CY525" s="9"/>
      <c r="CZ525" s="9"/>
      <c r="DA525" s="9"/>
      <c r="DB525" s="9"/>
      <c r="DC525" s="9"/>
      <c r="DD525" s="9"/>
      <c r="DE525" s="9"/>
      <c r="DF525" s="9"/>
      <c r="DG525" s="9"/>
      <c r="DH525" s="9"/>
      <c r="DI525" s="9"/>
      <c r="DJ525" s="9"/>
      <c r="DK525" s="9"/>
      <c r="DL525" s="9"/>
      <c r="DM525" s="9"/>
      <c r="DN525" s="9"/>
      <c r="DO525" s="9"/>
      <c r="DP525" s="9"/>
      <c r="DQ525" s="9"/>
      <c r="DR525" s="9"/>
      <c r="DS525" s="9"/>
      <c r="DT525" s="9"/>
      <c r="DU525" s="9"/>
      <c r="DV525" s="9"/>
      <c r="DW525" s="9"/>
      <c r="DX525" s="9"/>
      <c r="DY525" s="9"/>
      <c r="DZ525" s="9"/>
      <c r="EA525" s="9"/>
      <c r="EB525" s="9"/>
      <c r="EC525" s="9"/>
      <c r="ED525" s="9"/>
      <c r="EE525" s="9"/>
      <c r="EF525" s="9"/>
    </row>
    <row r="526" spans="1:136" s="98" customFormat="1" ht="15.75" customHeight="1" x14ac:dyDescent="0.25">
      <c r="A526" s="93">
        <v>46234</v>
      </c>
      <c r="B526" s="94" t="s">
        <v>16</v>
      </c>
      <c r="C526" s="95">
        <v>6025</v>
      </c>
      <c r="D526" s="20"/>
      <c r="E526" s="99" t="s">
        <v>150</v>
      </c>
      <c r="F526" s="21">
        <v>3</v>
      </c>
      <c r="G526" s="100"/>
      <c r="H526" s="21">
        <v>200</v>
      </c>
      <c r="I526" s="11">
        <f t="shared" si="24"/>
        <v>600</v>
      </c>
      <c r="J526" s="21"/>
      <c r="K526" s="21"/>
      <c r="L526" s="13">
        <f t="shared" si="13"/>
        <v>600</v>
      </c>
      <c r="M526" s="22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  <c r="BU526" s="9"/>
      <c r="BV526" s="9"/>
      <c r="BW526" s="9"/>
      <c r="BX526" s="9"/>
      <c r="BY526" s="9"/>
      <c r="BZ526" s="9"/>
      <c r="CA526" s="9"/>
      <c r="CB526" s="9"/>
      <c r="CC526" s="9"/>
      <c r="CD526" s="9"/>
      <c r="CE526" s="9"/>
      <c r="CF526" s="9"/>
      <c r="CG526" s="9"/>
      <c r="CH526" s="9"/>
      <c r="CI526" s="9"/>
      <c r="CJ526" s="9"/>
      <c r="CK526" s="9"/>
      <c r="CL526" s="9"/>
      <c r="CM526" s="9"/>
      <c r="CN526" s="9"/>
      <c r="CO526" s="9"/>
      <c r="CP526" s="9"/>
      <c r="CQ526" s="9"/>
      <c r="CR526" s="9"/>
      <c r="CS526" s="9"/>
      <c r="CT526" s="9"/>
      <c r="CU526" s="9"/>
      <c r="CV526" s="9"/>
      <c r="CW526" s="9"/>
      <c r="CX526" s="9"/>
      <c r="CY526" s="9"/>
      <c r="CZ526" s="9"/>
      <c r="DA526" s="9"/>
      <c r="DB526" s="9"/>
      <c r="DC526" s="9"/>
      <c r="DD526" s="9"/>
      <c r="DE526" s="9"/>
      <c r="DF526" s="9"/>
      <c r="DG526" s="9"/>
      <c r="DH526" s="9"/>
      <c r="DI526" s="9"/>
      <c r="DJ526" s="9"/>
      <c r="DK526" s="9"/>
      <c r="DL526" s="9"/>
      <c r="DM526" s="9"/>
      <c r="DN526" s="9"/>
      <c r="DO526" s="9"/>
      <c r="DP526" s="9"/>
      <c r="DQ526" s="9"/>
      <c r="DR526" s="9"/>
      <c r="DS526" s="9"/>
      <c r="DT526" s="9"/>
      <c r="DU526" s="9"/>
      <c r="DV526" s="9"/>
      <c r="DW526" s="9"/>
      <c r="DX526" s="9"/>
      <c r="DY526" s="9"/>
      <c r="DZ526" s="9"/>
      <c r="EA526" s="9"/>
      <c r="EB526" s="9"/>
      <c r="EC526" s="9"/>
      <c r="ED526" s="9"/>
      <c r="EE526" s="9"/>
      <c r="EF526" s="9"/>
    </row>
    <row r="527" spans="1:136" s="98" customFormat="1" ht="15.75" customHeight="1" x14ac:dyDescent="0.25">
      <c r="A527" s="93">
        <v>46234</v>
      </c>
      <c r="B527" s="94" t="s">
        <v>16</v>
      </c>
      <c r="C527" s="95">
        <v>6025</v>
      </c>
      <c r="D527" s="20"/>
      <c r="E527" s="99" t="s">
        <v>276</v>
      </c>
      <c r="F527" s="21">
        <v>1</v>
      </c>
      <c r="G527" s="100"/>
      <c r="H527" s="21">
        <v>145</v>
      </c>
      <c r="I527" s="11">
        <f t="shared" si="24"/>
        <v>145</v>
      </c>
      <c r="J527" s="21"/>
      <c r="K527" s="21"/>
      <c r="L527" s="13">
        <f t="shared" si="13"/>
        <v>145</v>
      </c>
      <c r="M527" s="22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  <c r="BU527" s="9"/>
      <c r="BV527" s="9"/>
      <c r="BW527" s="9"/>
      <c r="BX527" s="9"/>
      <c r="BY527" s="9"/>
      <c r="BZ527" s="9"/>
      <c r="CA527" s="9"/>
      <c r="CB527" s="9"/>
      <c r="CC527" s="9"/>
      <c r="CD527" s="9"/>
      <c r="CE527" s="9"/>
      <c r="CF527" s="9"/>
      <c r="CG527" s="9"/>
      <c r="CH527" s="9"/>
      <c r="CI527" s="9"/>
      <c r="CJ527" s="9"/>
      <c r="CK527" s="9"/>
      <c r="CL527" s="9"/>
      <c r="CM527" s="9"/>
      <c r="CN527" s="9"/>
      <c r="CO527" s="9"/>
      <c r="CP527" s="9"/>
      <c r="CQ527" s="9"/>
      <c r="CR527" s="9"/>
      <c r="CS527" s="9"/>
      <c r="CT527" s="9"/>
      <c r="CU527" s="9"/>
      <c r="CV527" s="9"/>
      <c r="CW527" s="9"/>
      <c r="CX527" s="9"/>
      <c r="CY527" s="9"/>
      <c r="CZ527" s="9"/>
      <c r="DA527" s="9"/>
      <c r="DB527" s="9"/>
      <c r="DC527" s="9"/>
      <c r="DD527" s="9"/>
      <c r="DE527" s="9"/>
      <c r="DF527" s="9"/>
      <c r="DG527" s="9"/>
      <c r="DH527" s="9"/>
      <c r="DI527" s="9"/>
      <c r="DJ527" s="9"/>
      <c r="DK527" s="9"/>
      <c r="DL527" s="9"/>
      <c r="DM527" s="9"/>
      <c r="DN527" s="9"/>
      <c r="DO527" s="9"/>
      <c r="DP527" s="9"/>
      <c r="DQ527" s="9"/>
      <c r="DR527" s="9"/>
      <c r="DS527" s="9"/>
      <c r="DT527" s="9"/>
      <c r="DU527" s="9"/>
      <c r="DV527" s="9"/>
      <c r="DW527" s="9"/>
      <c r="DX527" s="9"/>
      <c r="DY527" s="9"/>
      <c r="DZ527" s="9"/>
      <c r="EA527" s="9"/>
      <c r="EB527" s="9"/>
      <c r="EC527" s="9"/>
      <c r="ED527" s="9"/>
      <c r="EE527" s="9"/>
      <c r="EF527" s="9"/>
    </row>
    <row r="528" spans="1:136" s="98" customFormat="1" ht="15.75" customHeight="1" x14ac:dyDescent="0.25">
      <c r="A528" s="93">
        <v>46234</v>
      </c>
      <c r="B528" s="94" t="s">
        <v>16</v>
      </c>
      <c r="C528" s="95">
        <v>6025</v>
      </c>
      <c r="D528" s="20"/>
      <c r="E528" s="99" t="s">
        <v>256</v>
      </c>
      <c r="F528" s="21">
        <v>8</v>
      </c>
      <c r="G528" s="100"/>
      <c r="H528" s="21">
        <v>55</v>
      </c>
      <c r="I528" s="11">
        <f t="shared" si="24"/>
        <v>440</v>
      </c>
      <c r="J528" s="21"/>
      <c r="K528" s="21"/>
      <c r="L528" s="13">
        <f t="shared" si="13"/>
        <v>440</v>
      </c>
      <c r="M528" s="22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  <c r="BU528" s="9"/>
      <c r="BV528" s="9"/>
      <c r="BW528" s="9"/>
      <c r="BX528" s="9"/>
      <c r="BY528" s="9"/>
      <c r="BZ528" s="9"/>
      <c r="CA528" s="9"/>
      <c r="CB528" s="9"/>
      <c r="CC528" s="9"/>
      <c r="CD528" s="9"/>
      <c r="CE528" s="9"/>
      <c r="CF528" s="9"/>
      <c r="CG528" s="9"/>
      <c r="CH528" s="9"/>
      <c r="CI528" s="9"/>
      <c r="CJ528" s="9"/>
      <c r="CK528" s="9"/>
      <c r="CL528" s="9"/>
      <c r="CM528" s="9"/>
      <c r="CN528" s="9"/>
      <c r="CO528" s="9"/>
      <c r="CP528" s="9"/>
      <c r="CQ528" s="9"/>
      <c r="CR528" s="9"/>
      <c r="CS528" s="9"/>
      <c r="CT528" s="9"/>
      <c r="CU528" s="9"/>
      <c r="CV528" s="9"/>
      <c r="CW528" s="9"/>
      <c r="CX528" s="9"/>
      <c r="CY528" s="9"/>
      <c r="CZ528" s="9"/>
      <c r="DA528" s="9"/>
      <c r="DB528" s="9"/>
      <c r="DC528" s="9"/>
      <c r="DD528" s="9"/>
      <c r="DE528" s="9"/>
      <c r="DF528" s="9"/>
      <c r="DG528" s="9"/>
      <c r="DH528" s="9"/>
      <c r="DI528" s="9"/>
      <c r="DJ528" s="9"/>
      <c r="DK528" s="9"/>
      <c r="DL528" s="9"/>
      <c r="DM528" s="9"/>
      <c r="DN528" s="9"/>
      <c r="DO528" s="9"/>
      <c r="DP528" s="9"/>
      <c r="DQ528" s="9"/>
      <c r="DR528" s="9"/>
      <c r="DS528" s="9"/>
      <c r="DT528" s="9"/>
      <c r="DU528" s="9"/>
      <c r="DV528" s="9"/>
      <c r="DW528" s="9"/>
      <c r="DX528" s="9"/>
      <c r="DY528" s="9"/>
      <c r="DZ528" s="9"/>
      <c r="EA528" s="9"/>
      <c r="EB528" s="9"/>
      <c r="EC528" s="9"/>
      <c r="ED528" s="9"/>
      <c r="EE528" s="9"/>
      <c r="EF528" s="9"/>
    </row>
    <row r="529" spans="1:136" s="98" customFormat="1" ht="15.75" customHeight="1" x14ac:dyDescent="0.25">
      <c r="A529" s="93">
        <v>46234</v>
      </c>
      <c r="B529" s="94" t="s">
        <v>16</v>
      </c>
      <c r="C529" s="95">
        <v>6025</v>
      </c>
      <c r="D529" s="20"/>
      <c r="E529" s="99" t="s">
        <v>172</v>
      </c>
      <c r="F529" s="21">
        <v>2</v>
      </c>
      <c r="G529" s="100"/>
      <c r="H529" s="21">
        <v>77.5</v>
      </c>
      <c r="I529" s="11">
        <f t="shared" si="24"/>
        <v>155</v>
      </c>
      <c r="J529" s="21"/>
      <c r="K529" s="21"/>
      <c r="L529" s="13">
        <f t="shared" si="13"/>
        <v>155</v>
      </c>
      <c r="M529" s="22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  <c r="BU529" s="9"/>
      <c r="BV529" s="9"/>
      <c r="BW529" s="9"/>
      <c r="BX529" s="9"/>
      <c r="BY529" s="9"/>
      <c r="BZ529" s="9"/>
      <c r="CA529" s="9"/>
      <c r="CB529" s="9"/>
      <c r="CC529" s="9"/>
      <c r="CD529" s="9"/>
      <c r="CE529" s="9"/>
      <c r="CF529" s="9"/>
      <c r="CG529" s="9"/>
      <c r="CH529" s="9"/>
      <c r="CI529" s="9"/>
      <c r="CJ529" s="9"/>
      <c r="CK529" s="9"/>
      <c r="CL529" s="9"/>
      <c r="CM529" s="9"/>
      <c r="CN529" s="9"/>
      <c r="CO529" s="9"/>
      <c r="CP529" s="9"/>
      <c r="CQ529" s="9"/>
      <c r="CR529" s="9"/>
      <c r="CS529" s="9"/>
      <c r="CT529" s="9"/>
      <c r="CU529" s="9"/>
      <c r="CV529" s="9"/>
      <c r="CW529" s="9"/>
      <c r="CX529" s="9"/>
      <c r="CY529" s="9"/>
      <c r="CZ529" s="9"/>
      <c r="DA529" s="9"/>
      <c r="DB529" s="9"/>
      <c r="DC529" s="9"/>
      <c r="DD529" s="9"/>
      <c r="DE529" s="9"/>
      <c r="DF529" s="9"/>
      <c r="DG529" s="9"/>
      <c r="DH529" s="9"/>
      <c r="DI529" s="9"/>
      <c r="DJ529" s="9"/>
      <c r="DK529" s="9"/>
      <c r="DL529" s="9"/>
      <c r="DM529" s="9"/>
      <c r="DN529" s="9"/>
      <c r="DO529" s="9"/>
      <c r="DP529" s="9"/>
      <c r="DQ529" s="9"/>
      <c r="DR529" s="9"/>
      <c r="DS529" s="9"/>
      <c r="DT529" s="9"/>
      <c r="DU529" s="9"/>
      <c r="DV529" s="9"/>
      <c r="DW529" s="9"/>
      <c r="DX529" s="9"/>
      <c r="DY529" s="9"/>
      <c r="DZ529" s="9"/>
      <c r="EA529" s="9"/>
      <c r="EB529" s="9"/>
      <c r="EC529" s="9"/>
      <c r="ED529" s="9"/>
      <c r="EE529" s="9"/>
      <c r="EF529" s="9"/>
    </row>
    <row r="530" spans="1:136" s="98" customFormat="1" ht="15.75" customHeight="1" x14ac:dyDescent="0.25">
      <c r="A530" s="93">
        <v>46234</v>
      </c>
      <c r="B530" s="94" t="s">
        <v>16</v>
      </c>
      <c r="C530" s="95">
        <v>6025</v>
      </c>
      <c r="D530" s="20"/>
      <c r="E530" s="99" t="s">
        <v>78</v>
      </c>
      <c r="F530" s="21">
        <v>2</v>
      </c>
      <c r="G530" s="100"/>
      <c r="H530" s="21">
        <v>60</v>
      </c>
      <c r="I530" s="11">
        <f t="shared" si="24"/>
        <v>120</v>
      </c>
      <c r="J530" s="21"/>
      <c r="K530" s="21"/>
      <c r="L530" s="13">
        <f t="shared" si="13"/>
        <v>120</v>
      </c>
      <c r="M530" s="22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  <c r="BU530" s="9"/>
      <c r="BV530" s="9"/>
      <c r="BW530" s="9"/>
      <c r="BX530" s="9"/>
      <c r="BY530" s="9"/>
      <c r="BZ530" s="9"/>
      <c r="CA530" s="9"/>
      <c r="CB530" s="9"/>
      <c r="CC530" s="9"/>
      <c r="CD530" s="9"/>
      <c r="CE530" s="9"/>
      <c r="CF530" s="9"/>
      <c r="CG530" s="9"/>
      <c r="CH530" s="9"/>
      <c r="CI530" s="9"/>
      <c r="CJ530" s="9"/>
      <c r="CK530" s="9"/>
      <c r="CL530" s="9"/>
      <c r="CM530" s="9"/>
      <c r="CN530" s="9"/>
      <c r="CO530" s="9"/>
      <c r="CP530" s="9"/>
      <c r="CQ530" s="9"/>
      <c r="CR530" s="9"/>
      <c r="CS530" s="9"/>
      <c r="CT530" s="9"/>
      <c r="CU530" s="9"/>
      <c r="CV530" s="9"/>
      <c r="CW530" s="9"/>
      <c r="CX530" s="9"/>
      <c r="CY530" s="9"/>
      <c r="CZ530" s="9"/>
      <c r="DA530" s="9"/>
      <c r="DB530" s="9"/>
      <c r="DC530" s="9"/>
      <c r="DD530" s="9"/>
      <c r="DE530" s="9"/>
      <c r="DF530" s="9"/>
      <c r="DG530" s="9"/>
      <c r="DH530" s="9"/>
      <c r="DI530" s="9"/>
      <c r="DJ530" s="9"/>
      <c r="DK530" s="9"/>
      <c r="DL530" s="9"/>
      <c r="DM530" s="9"/>
      <c r="DN530" s="9"/>
      <c r="DO530" s="9"/>
      <c r="DP530" s="9"/>
      <c r="DQ530" s="9"/>
      <c r="DR530" s="9"/>
      <c r="DS530" s="9"/>
      <c r="DT530" s="9"/>
      <c r="DU530" s="9"/>
      <c r="DV530" s="9"/>
      <c r="DW530" s="9"/>
      <c r="DX530" s="9"/>
      <c r="DY530" s="9"/>
      <c r="DZ530" s="9"/>
      <c r="EA530" s="9"/>
      <c r="EB530" s="9"/>
      <c r="EC530" s="9"/>
      <c r="ED530" s="9"/>
      <c r="EE530" s="9"/>
      <c r="EF530" s="9"/>
    </row>
    <row r="531" spans="1:136" s="98" customFormat="1" ht="15.75" customHeight="1" x14ac:dyDescent="0.25">
      <c r="A531" s="93">
        <v>46234</v>
      </c>
      <c r="B531" s="94" t="s">
        <v>16</v>
      </c>
      <c r="C531" s="95">
        <v>6025</v>
      </c>
      <c r="D531" s="20"/>
      <c r="E531" s="99" t="s">
        <v>277</v>
      </c>
      <c r="F531" s="21">
        <v>1</v>
      </c>
      <c r="G531" s="100"/>
      <c r="H531" s="21">
        <v>198</v>
      </c>
      <c r="I531" s="11">
        <f t="shared" si="24"/>
        <v>198</v>
      </c>
      <c r="J531" s="21"/>
      <c r="K531" s="21"/>
      <c r="L531" s="13">
        <f t="shared" si="13"/>
        <v>198</v>
      </c>
      <c r="M531" s="22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  <c r="BU531" s="9"/>
      <c r="BV531" s="9"/>
      <c r="BW531" s="9"/>
      <c r="BX531" s="9"/>
      <c r="BY531" s="9"/>
      <c r="BZ531" s="9"/>
      <c r="CA531" s="9"/>
      <c r="CB531" s="9"/>
      <c r="CC531" s="9"/>
      <c r="CD531" s="9"/>
      <c r="CE531" s="9"/>
      <c r="CF531" s="9"/>
      <c r="CG531" s="9"/>
      <c r="CH531" s="9"/>
      <c r="CI531" s="9"/>
      <c r="CJ531" s="9"/>
      <c r="CK531" s="9"/>
      <c r="CL531" s="9"/>
      <c r="CM531" s="9"/>
      <c r="CN531" s="9"/>
      <c r="CO531" s="9"/>
      <c r="CP531" s="9"/>
      <c r="CQ531" s="9"/>
      <c r="CR531" s="9"/>
      <c r="CS531" s="9"/>
      <c r="CT531" s="9"/>
      <c r="CU531" s="9"/>
      <c r="CV531" s="9"/>
      <c r="CW531" s="9"/>
      <c r="CX531" s="9"/>
      <c r="CY531" s="9"/>
      <c r="CZ531" s="9"/>
      <c r="DA531" s="9"/>
      <c r="DB531" s="9"/>
      <c r="DC531" s="9"/>
      <c r="DD531" s="9"/>
      <c r="DE531" s="9"/>
      <c r="DF531" s="9"/>
      <c r="DG531" s="9"/>
      <c r="DH531" s="9"/>
      <c r="DI531" s="9"/>
      <c r="DJ531" s="9"/>
      <c r="DK531" s="9"/>
      <c r="DL531" s="9"/>
      <c r="DM531" s="9"/>
      <c r="DN531" s="9"/>
      <c r="DO531" s="9"/>
      <c r="DP531" s="9"/>
      <c r="DQ531" s="9"/>
      <c r="DR531" s="9"/>
      <c r="DS531" s="9"/>
      <c r="DT531" s="9"/>
      <c r="DU531" s="9"/>
      <c r="DV531" s="9"/>
      <c r="DW531" s="9"/>
      <c r="DX531" s="9"/>
      <c r="DY531" s="9"/>
      <c r="DZ531" s="9"/>
      <c r="EA531" s="9"/>
      <c r="EB531" s="9"/>
      <c r="EC531" s="9"/>
      <c r="ED531" s="9"/>
      <c r="EE531" s="9"/>
      <c r="EF531" s="9"/>
    </row>
    <row r="532" spans="1:136" s="98" customFormat="1" ht="15.75" customHeight="1" x14ac:dyDescent="0.25">
      <c r="A532" s="93">
        <v>46234</v>
      </c>
      <c r="B532" s="94" t="s">
        <v>16</v>
      </c>
      <c r="C532" s="95">
        <v>6025</v>
      </c>
      <c r="D532" s="20"/>
      <c r="E532" s="99" t="s">
        <v>160</v>
      </c>
      <c r="F532" s="21">
        <v>2</v>
      </c>
      <c r="G532" s="100"/>
      <c r="H532" s="21">
        <v>62</v>
      </c>
      <c r="I532" s="11">
        <f t="shared" si="24"/>
        <v>124</v>
      </c>
      <c r="J532" s="21"/>
      <c r="K532" s="21"/>
      <c r="L532" s="13">
        <f t="shared" si="13"/>
        <v>124</v>
      </c>
      <c r="M532" s="22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  <c r="BU532" s="9"/>
      <c r="BV532" s="9"/>
      <c r="BW532" s="9"/>
      <c r="BX532" s="9"/>
      <c r="BY532" s="9"/>
      <c r="BZ532" s="9"/>
      <c r="CA532" s="9"/>
      <c r="CB532" s="9"/>
      <c r="CC532" s="9"/>
      <c r="CD532" s="9"/>
      <c r="CE532" s="9"/>
      <c r="CF532" s="9"/>
      <c r="CG532" s="9"/>
      <c r="CH532" s="9"/>
      <c r="CI532" s="9"/>
      <c r="CJ532" s="9"/>
      <c r="CK532" s="9"/>
      <c r="CL532" s="9"/>
      <c r="CM532" s="9"/>
      <c r="CN532" s="9"/>
      <c r="CO532" s="9"/>
      <c r="CP532" s="9"/>
      <c r="CQ532" s="9"/>
      <c r="CR532" s="9"/>
      <c r="CS532" s="9"/>
      <c r="CT532" s="9"/>
      <c r="CU532" s="9"/>
      <c r="CV532" s="9"/>
      <c r="CW532" s="9"/>
      <c r="CX532" s="9"/>
      <c r="CY532" s="9"/>
      <c r="CZ532" s="9"/>
      <c r="DA532" s="9"/>
      <c r="DB532" s="9"/>
      <c r="DC532" s="9"/>
      <c r="DD532" s="9"/>
      <c r="DE532" s="9"/>
      <c r="DF532" s="9"/>
      <c r="DG532" s="9"/>
      <c r="DH532" s="9"/>
      <c r="DI532" s="9"/>
      <c r="DJ532" s="9"/>
      <c r="DK532" s="9"/>
      <c r="DL532" s="9"/>
      <c r="DM532" s="9"/>
      <c r="DN532" s="9"/>
      <c r="DO532" s="9"/>
      <c r="DP532" s="9"/>
      <c r="DQ532" s="9"/>
      <c r="DR532" s="9"/>
      <c r="DS532" s="9"/>
      <c r="DT532" s="9"/>
      <c r="DU532" s="9"/>
      <c r="DV532" s="9"/>
      <c r="DW532" s="9"/>
      <c r="DX532" s="9"/>
      <c r="DY532" s="9"/>
      <c r="DZ532" s="9"/>
      <c r="EA532" s="9"/>
      <c r="EB532" s="9"/>
      <c r="EC532" s="9"/>
      <c r="ED532" s="9"/>
      <c r="EE532" s="9"/>
      <c r="EF532" s="9"/>
    </row>
    <row r="533" spans="1:136" s="98" customFormat="1" ht="15.75" customHeight="1" x14ac:dyDescent="0.25">
      <c r="A533" s="93">
        <v>46234</v>
      </c>
      <c r="B533" s="94" t="s">
        <v>16</v>
      </c>
      <c r="C533" s="95">
        <v>6025</v>
      </c>
      <c r="D533" s="20"/>
      <c r="E533" s="99" t="s">
        <v>78</v>
      </c>
      <c r="F533" s="21">
        <v>3</v>
      </c>
      <c r="G533" s="100"/>
      <c r="H533" s="21">
        <v>60</v>
      </c>
      <c r="I533" s="11">
        <f t="shared" si="24"/>
        <v>180</v>
      </c>
      <c r="J533" s="21"/>
      <c r="K533" s="21"/>
      <c r="L533" s="13">
        <f t="shared" si="13"/>
        <v>180</v>
      </c>
      <c r="M533" s="22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  <c r="BU533" s="9"/>
      <c r="BV533" s="9"/>
      <c r="BW533" s="9"/>
      <c r="BX533" s="9"/>
      <c r="BY533" s="9"/>
      <c r="BZ533" s="9"/>
      <c r="CA533" s="9"/>
      <c r="CB533" s="9"/>
      <c r="CC533" s="9"/>
      <c r="CD533" s="9"/>
      <c r="CE533" s="9"/>
      <c r="CF533" s="9"/>
      <c r="CG533" s="9"/>
      <c r="CH533" s="9"/>
      <c r="CI533" s="9"/>
      <c r="CJ533" s="9"/>
      <c r="CK533" s="9"/>
      <c r="CL533" s="9"/>
      <c r="CM533" s="9"/>
      <c r="CN533" s="9"/>
      <c r="CO533" s="9"/>
      <c r="CP533" s="9"/>
      <c r="CQ533" s="9"/>
      <c r="CR533" s="9"/>
      <c r="CS533" s="9"/>
      <c r="CT533" s="9"/>
      <c r="CU533" s="9"/>
      <c r="CV533" s="9"/>
      <c r="CW533" s="9"/>
      <c r="CX533" s="9"/>
      <c r="CY533" s="9"/>
      <c r="CZ533" s="9"/>
      <c r="DA533" s="9"/>
      <c r="DB533" s="9"/>
      <c r="DC533" s="9"/>
      <c r="DD533" s="9"/>
      <c r="DE533" s="9"/>
      <c r="DF533" s="9"/>
      <c r="DG533" s="9"/>
      <c r="DH533" s="9"/>
      <c r="DI533" s="9"/>
      <c r="DJ533" s="9"/>
      <c r="DK533" s="9"/>
      <c r="DL533" s="9"/>
      <c r="DM533" s="9"/>
      <c r="DN533" s="9"/>
      <c r="DO533" s="9"/>
      <c r="DP533" s="9"/>
      <c r="DQ533" s="9"/>
      <c r="DR533" s="9"/>
      <c r="DS533" s="9"/>
      <c r="DT533" s="9"/>
      <c r="DU533" s="9"/>
      <c r="DV533" s="9"/>
      <c r="DW533" s="9"/>
      <c r="DX533" s="9"/>
      <c r="DY533" s="9"/>
      <c r="DZ533" s="9"/>
      <c r="EA533" s="9"/>
      <c r="EB533" s="9"/>
      <c r="EC533" s="9"/>
      <c r="ED533" s="9"/>
      <c r="EE533" s="9"/>
      <c r="EF533" s="9"/>
    </row>
    <row r="534" spans="1:136" s="98" customFormat="1" ht="15.75" customHeight="1" x14ac:dyDescent="0.25">
      <c r="A534" s="93">
        <v>46234</v>
      </c>
      <c r="B534" s="94" t="s">
        <v>16</v>
      </c>
      <c r="C534" s="95">
        <v>6025</v>
      </c>
      <c r="D534" s="20"/>
      <c r="E534" s="99" t="s">
        <v>278</v>
      </c>
      <c r="F534" s="21">
        <v>50</v>
      </c>
      <c r="G534" s="100"/>
      <c r="H534" s="21">
        <v>16.75</v>
      </c>
      <c r="I534" s="11">
        <f t="shared" si="24"/>
        <v>837.5</v>
      </c>
      <c r="J534" s="21"/>
      <c r="K534" s="21"/>
      <c r="L534" s="13">
        <f t="shared" si="13"/>
        <v>837.5</v>
      </c>
      <c r="M534" s="22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  <c r="BU534" s="9"/>
      <c r="BV534" s="9"/>
      <c r="BW534" s="9"/>
      <c r="BX534" s="9"/>
      <c r="BY534" s="9"/>
      <c r="BZ534" s="9"/>
      <c r="CA534" s="9"/>
      <c r="CB534" s="9"/>
      <c r="CC534" s="9"/>
      <c r="CD534" s="9"/>
      <c r="CE534" s="9"/>
      <c r="CF534" s="9"/>
      <c r="CG534" s="9"/>
      <c r="CH534" s="9"/>
      <c r="CI534" s="9"/>
      <c r="CJ534" s="9"/>
      <c r="CK534" s="9"/>
      <c r="CL534" s="9"/>
      <c r="CM534" s="9"/>
      <c r="CN534" s="9"/>
      <c r="CO534" s="9"/>
      <c r="CP534" s="9"/>
      <c r="CQ534" s="9"/>
      <c r="CR534" s="9"/>
      <c r="CS534" s="9"/>
      <c r="CT534" s="9"/>
      <c r="CU534" s="9"/>
      <c r="CV534" s="9"/>
      <c r="CW534" s="9"/>
      <c r="CX534" s="9"/>
      <c r="CY534" s="9"/>
      <c r="CZ534" s="9"/>
      <c r="DA534" s="9"/>
      <c r="DB534" s="9"/>
      <c r="DC534" s="9"/>
      <c r="DD534" s="9"/>
      <c r="DE534" s="9"/>
      <c r="DF534" s="9"/>
      <c r="DG534" s="9"/>
      <c r="DH534" s="9"/>
      <c r="DI534" s="9"/>
      <c r="DJ534" s="9"/>
      <c r="DK534" s="9"/>
      <c r="DL534" s="9"/>
      <c r="DM534" s="9"/>
      <c r="DN534" s="9"/>
      <c r="DO534" s="9"/>
      <c r="DP534" s="9"/>
      <c r="DQ534" s="9"/>
      <c r="DR534" s="9"/>
      <c r="DS534" s="9"/>
      <c r="DT534" s="9"/>
      <c r="DU534" s="9"/>
      <c r="DV534" s="9"/>
      <c r="DW534" s="9"/>
      <c r="DX534" s="9"/>
      <c r="DY534" s="9"/>
      <c r="DZ534" s="9"/>
      <c r="EA534" s="9"/>
      <c r="EB534" s="9"/>
      <c r="EC534" s="9"/>
      <c r="ED534" s="9"/>
      <c r="EE534" s="9"/>
      <c r="EF534" s="9"/>
    </row>
    <row r="535" spans="1:136" s="98" customFormat="1" ht="15.75" customHeight="1" x14ac:dyDescent="0.25">
      <c r="A535" s="93">
        <v>46234</v>
      </c>
      <c r="B535" s="94" t="s">
        <v>16</v>
      </c>
      <c r="C535" s="95">
        <v>6025</v>
      </c>
      <c r="D535" s="20"/>
      <c r="E535" s="99" t="s">
        <v>171</v>
      </c>
      <c r="F535" s="21">
        <v>6</v>
      </c>
      <c r="G535" s="100"/>
      <c r="H535" s="21">
        <v>39.75</v>
      </c>
      <c r="I535" s="11">
        <f t="shared" si="24"/>
        <v>238.5</v>
      </c>
      <c r="J535" s="21"/>
      <c r="K535" s="21"/>
      <c r="L535" s="13">
        <f t="shared" si="13"/>
        <v>238.5</v>
      </c>
      <c r="M535" s="22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  <c r="BU535" s="9"/>
      <c r="BV535" s="9"/>
      <c r="BW535" s="9"/>
      <c r="BX535" s="9"/>
      <c r="BY535" s="9"/>
      <c r="BZ535" s="9"/>
      <c r="CA535" s="9"/>
      <c r="CB535" s="9"/>
      <c r="CC535" s="9"/>
      <c r="CD535" s="9"/>
      <c r="CE535" s="9"/>
      <c r="CF535" s="9"/>
      <c r="CG535" s="9"/>
      <c r="CH535" s="9"/>
      <c r="CI535" s="9"/>
      <c r="CJ535" s="9"/>
      <c r="CK535" s="9"/>
      <c r="CL535" s="9"/>
      <c r="CM535" s="9"/>
      <c r="CN535" s="9"/>
      <c r="CO535" s="9"/>
      <c r="CP535" s="9"/>
      <c r="CQ535" s="9"/>
      <c r="CR535" s="9"/>
      <c r="CS535" s="9"/>
      <c r="CT535" s="9"/>
      <c r="CU535" s="9"/>
      <c r="CV535" s="9"/>
      <c r="CW535" s="9"/>
      <c r="CX535" s="9"/>
      <c r="CY535" s="9"/>
      <c r="CZ535" s="9"/>
      <c r="DA535" s="9"/>
      <c r="DB535" s="9"/>
      <c r="DC535" s="9"/>
      <c r="DD535" s="9"/>
      <c r="DE535" s="9"/>
      <c r="DF535" s="9"/>
      <c r="DG535" s="9"/>
      <c r="DH535" s="9"/>
      <c r="DI535" s="9"/>
      <c r="DJ535" s="9"/>
      <c r="DK535" s="9"/>
      <c r="DL535" s="9"/>
      <c r="DM535" s="9"/>
      <c r="DN535" s="9"/>
      <c r="DO535" s="9"/>
      <c r="DP535" s="9"/>
      <c r="DQ535" s="9"/>
      <c r="DR535" s="9"/>
      <c r="DS535" s="9"/>
      <c r="DT535" s="9"/>
      <c r="DU535" s="9"/>
      <c r="DV535" s="9"/>
      <c r="DW535" s="9"/>
      <c r="DX535" s="9"/>
      <c r="DY535" s="9"/>
      <c r="DZ535" s="9"/>
      <c r="EA535" s="9"/>
      <c r="EB535" s="9"/>
      <c r="EC535" s="9"/>
      <c r="ED535" s="9"/>
      <c r="EE535" s="9"/>
      <c r="EF535" s="9"/>
    </row>
    <row r="536" spans="1:136" s="98" customFormat="1" ht="15.75" customHeight="1" x14ac:dyDescent="0.25">
      <c r="A536" s="93">
        <v>46234</v>
      </c>
      <c r="B536" s="94" t="s">
        <v>16</v>
      </c>
      <c r="C536" s="95">
        <v>6025</v>
      </c>
      <c r="D536" s="20"/>
      <c r="E536" s="99" t="s">
        <v>279</v>
      </c>
      <c r="F536" s="21">
        <v>1</v>
      </c>
      <c r="G536" s="100"/>
      <c r="H536" s="21">
        <v>925</v>
      </c>
      <c r="I536" s="11">
        <f t="shared" si="24"/>
        <v>925</v>
      </c>
      <c r="J536" s="21"/>
      <c r="K536" s="21"/>
      <c r="L536" s="13">
        <f t="shared" si="13"/>
        <v>925</v>
      </c>
      <c r="M536" s="22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  <c r="BU536" s="9"/>
      <c r="BV536" s="9"/>
      <c r="BW536" s="9"/>
      <c r="BX536" s="9"/>
      <c r="BY536" s="9"/>
      <c r="BZ536" s="9"/>
      <c r="CA536" s="9"/>
      <c r="CB536" s="9"/>
      <c r="CC536" s="9"/>
      <c r="CD536" s="9"/>
      <c r="CE536" s="9"/>
      <c r="CF536" s="9"/>
      <c r="CG536" s="9"/>
      <c r="CH536" s="9"/>
      <c r="CI536" s="9"/>
      <c r="CJ536" s="9"/>
      <c r="CK536" s="9"/>
      <c r="CL536" s="9"/>
      <c r="CM536" s="9"/>
      <c r="CN536" s="9"/>
      <c r="CO536" s="9"/>
      <c r="CP536" s="9"/>
      <c r="CQ536" s="9"/>
      <c r="CR536" s="9"/>
      <c r="CS536" s="9"/>
      <c r="CT536" s="9"/>
      <c r="CU536" s="9"/>
      <c r="CV536" s="9"/>
      <c r="CW536" s="9"/>
      <c r="CX536" s="9"/>
      <c r="CY536" s="9"/>
      <c r="CZ536" s="9"/>
      <c r="DA536" s="9"/>
      <c r="DB536" s="9"/>
      <c r="DC536" s="9"/>
      <c r="DD536" s="9"/>
      <c r="DE536" s="9"/>
      <c r="DF536" s="9"/>
      <c r="DG536" s="9"/>
      <c r="DH536" s="9"/>
      <c r="DI536" s="9"/>
      <c r="DJ536" s="9"/>
      <c r="DK536" s="9"/>
      <c r="DL536" s="9"/>
      <c r="DM536" s="9"/>
      <c r="DN536" s="9"/>
      <c r="DO536" s="9"/>
      <c r="DP536" s="9"/>
      <c r="DQ536" s="9"/>
      <c r="DR536" s="9"/>
      <c r="DS536" s="9"/>
      <c r="DT536" s="9"/>
      <c r="DU536" s="9"/>
      <c r="DV536" s="9"/>
      <c r="DW536" s="9"/>
      <c r="DX536" s="9"/>
      <c r="DY536" s="9"/>
      <c r="DZ536" s="9"/>
      <c r="EA536" s="9"/>
      <c r="EB536" s="9"/>
      <c r="EC536" s="9"/>
      <c r="ED536" s="9"/>
      <c r="EE536" s="9"/>
      <c r="EF536" s="9"/>
    </row>
    <row r="537" spans="1:136" s="98" customFormat="1" ht="15.75" customHeight="1" x14ac:dyDescent="0.25">
      <c r="A537" s="93">
        <v>46234</v>
      </c>
      <c r="B537" s="94" t="s">
        <v>16</v>
      </c>
      <c r="C537" s="95">
        <v>6025</v>
      </c>
      <c r="D537" s="20"/>
      <c r="E537" s="99" t="s">
        <v>80</v>
      </c>
      <c r="F537" s="21">
        <v>12</v>
      </c>
      <c r="G537" s="100"/>
      <c r="H537" s="21">
        <v>7.25</v>
      </c>
      <c r="I537" s="11">
        <f t="shared" si="24"/>
        <v>87</v>
      </c>
      <c r="J537" s="21"/>
      <c r="K537" s="21"/>
      <c r="L537" s="13">
        <f t="shared" si="13"/>
        <v>87</v>
      </c>
      <c r="M537" s="22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  <c r="BU537" s="9"/>
      <c r="BV537" s="9"/>
      <c r="BW537" s="9"/>
      <c r="BX537" s="9"/>
      <c r="BY537" s="9"/>
      <c r="BZ537" s="9"/>
      <c r="CA537" s="9"/>
      <c r="CB537" s="9"/>
      <c r="CC537" s="9"/>
      <c r="CD537" s="9"/>
      <c r="CE537" s="9"/>
      <c r="CF537" s="9"/>
      <c r="CG537" s="9"/>
      <c r="CH537" s="9"/>
      <c r="CI537" s="9"/>
      <c r="CJ537" s="9"/>
      <c r="CK537" s="9"/>
      <c r="CL537" s="9"/>
      <c r="CM537" s="9"/>
      <c r="CN537" s="9"/>
      <c r="CO537" s="9"/>
      <c r="CP537" s="9"/>
      <c r="CQ537" s="9"/>
      <c r="CR537" s="9"/>
      <c r="CS537" s="9"/>
      <c r="CT537" s="9"/>
      <c r="CU537" s="9"/>
      <c r="CV537" s="9"/>
      <c r="CW537" s="9"/>
      <c r="CX537" s="9"/>
      <c r="CY537" s="9"/>
      <c r="CZ537" s="9"/>
      <c r="DA537" s="9"/>
      <c r="DB537" s="9"/>
      <c r="DC537" s="9"/>
      <c r="DD537" s="9"/>
      <c r="DE537" s="9"/>
      <c r="DF537" s="9"/>
      <c r="DG537" s="9"/>
      <c r="DH537" s="9"/>
      <c r="DI537" s="9"/>
      <c r="DJ537" s="9"/>
      <c r="DK537" s="9"/>
      <c r="DL537" s="9"/>
      <c r="DM537" s="9"/>
      <c r="DN537" s="9"/>
      <c r="DO537" s="9"/>
      <c r="DP537" s="9"/>
      <c r="DQ537" s="9"/>
      <c r="DR537" s="9"/>
      <c r="DS537" s="9"/>
      <c r="DT537" s="9"/>
      <c r="DU537" s="9"/>
      <c r="DV537" s="9"/>
      <c r="DW537" s="9"/>
      <c r="DX537" s="9"/>
      <c r="DY537" s="9"/>
      <c r="DZ537" s="9"/>
      <c r="EA537" s="9"/>
      <c r="EB537" s="9"/>
      <c r="EC537" s="9"/>
      <c r="ED537" s="9"/>
      <c r="EE537" s="9"/>
      <c r="EF537" s="9"/>
    </row>
    <row r="538" spans="1:136" s="98" customFormat="1" ht="15.75" customHeight="1" x14ac:dyDescent="0.25">
      <c r="A538" s="93">
        <v>46234</v>
      </c>
      <c r="B538" s="94" t="s">
        <v>16</v>
      </c>
      <c r="C538" s="95">
        <v>6025</v>
      </c>
      <c r="D538" s="20"/>
      <c r="E538" s="99" t="s">
        <v>79</v>
      </c>
      <c r="F538" s="21">
        <v>12</v>
      </c>
      <c r="G538" s="100"/>
      <c r="H538" s="21">
        <v>7.25</v>
      </c>
      <c r="I538" s="11">
        <f t="shared" si="24"/>
        <v>87</v>
      </c>
      <c r="J538" s="21"/>
      <c r="K538" s="21"/>
      <c r="L538" s="13">
        <f t="shared" ref="L538:L599" si="25">I538-J538-K538</f>
        <v>87</v>
      </c>
      <c r="M538" s="22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  <c r="BU538" s="9"/>
      <c r="BV538" s="9"/>
      <c r="BW538" s="9"/>
      <c r="BX538" s="9"/>
      <c r="BY538" s="9"/>
      <c r="BZ538" s="9"/>
      <c r="CA538" s="9"/>
      <c r="CB538" s="9"/>
      <c r="CC538" s="9"/>
      <c r="CD538" s="9"/>
      <c r="CE538" s="9"/>
      <c r="CF538" s="9"/>
      <c r="CG538" s="9"/>
      <c r="CH538" s="9"/>
      <c r="CI538" s="9"/>
      <c r="CJ538" s="9"/>
      <c r="CK538" s="9"/>
      <c r="CL538" s="9"/>
      <c r="CM538" s="9"/>
      <c r="CN538" s="9"/>
      <c r="CO538" s="9"/>
      <c r="CP538" s="9"/>
      <c r="CQ538" s="9"/>
      <c r="CR538" s="9"/>
      <c r="CS538" s="9"/>
      <c r="CT538" s="9"/>
      <c r="CU538" s="9"/>
      <c r="CV538" s="9"/>
      <c r="CW538" s="9"/>
      <c r="CX538" s="9"/>
      <c r="CY538" s="9"/>
      <c r="CZ538" s="9"/>
      <c r="DA538" s="9"/>
      <c r="DB538" s="9"/>
      <c r="DC538" s="9"/>
      <c r="DD538" s="9"/>
      <c r="DE538" s="9"/>
      <c r="DF538" s="9"/>
      <c r="DG538" s="9"/>
      <c r="DH538" s="9"/>
      <c r="DI538" s="9"/>
      <c r="DJ538" s="9"/>
      <c r="DK538" s="9"/>
      <c r="DL538" s="9"/>
      <c r="DM538" s="9"/>
      <c r="DN538" s="9"/>
      <c r="DO538" s="9"/>
      <c r="DP538" s="9"/>
      <c r="DQ538" s="9"/>
      <c r="DR538" s="9"/>
      <c r="DS538" s="9"/>
      <c r="DT538" s="9"/>
      <c r="DU538" s="9"/>
      <c r="DV538" s="9"/>
      <c r="DW538" s="9"/>
      <c r="DX538" s="9"/>
      <c r="DY538" s="9"/>
      <c r="DZ538" s="9"/>
      <c r="EA538" s="9"/>
      <c r="EB538" s="9"/>
      <c r="EC538" s="9"/>
      <c r="ED538" s="9"/>
      <c r="EE538" s="9"/>
      <c r="EF538" s="9"/>
    </row>
    <row r="539" spans="1:136" s="98" customFormat="1" ht="15.75" customHeight="1" x14ac:dyDescent="0.25">
      <c r="A539" s="93">
        <v>46234</v>
      </c>
      <c r="B539" s="94" t="s">
        <v>16</v>
      </c>
      <c r="C539" s="95">
        <v>6025</v>
      </c>
      <c r="D539" s="20"/>
      <c r="E539" s="99" t="s">
        <v>101</v>
      </c>
      <c r="F539" s="21">
        <v>4</v>
      </c>
      <c r="G539" s="100"/>
      <c r="H539" s="21">
        <v>25.25</v>
      </c>
      <c r="I539" s="11">
        <f t="shared" si="24"/>
        <v>101</v>
      </c>
      <c r="J539" s="21"/>
      <c r="K539" s="21"/>
      <c r="L539" s="13">
        <f t="shared" si="25"/>
        <v>101</v>
      </c>
      <c r="M539" s="22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  <c r="BU539" s="9"/>
      <c r="BV539" s="9"/>
      <c r="BW539" s="9"/>
      <c r="BX539" s="9"/>
      <c r="BY539" s="9"/>
      <c r="BZ539" s="9"/>
      <c r="CA539" s="9"/>
      <c r="CB539" s="9"/>
      <c r="CC539" s="9"/>
      <c r="CD539" s="9"/>
      <c r="CE539" s="9"/>
      <c r="CF539" s="9"/>
      <c r="CG539" s="9"/>
      <c r="CH539" s="9"/>
      <c r="CI539" s="9"/>
      <c r="CJ539" s="9"/>
      <c r="CK539" s="9"/>
      <c r="CL539" s="9"/>
      <c r="CM539" s="9"/>
      <c r="CN539" s="9"/>
      <c r="CO539" s="9"/>
      <c r="CP539" s="9"/>
      <c r="CQ539" s="9"/>
      <c r="CR539" s="9"/>
      <c r="CS539" s="9"/>
      <c r="CT539" s="9"/>
      <c r="CU539" s="9"/>
      <c r="CV539" s="9"/>
      <c r="CW539" s="9"/>
      <c r="CX539" s="9"/>
      <c r="CY539" s="9"/>
      <c r="CZ539" s="9"/>
      <c r="DA539" s="9"/>
      <c r="DB539" s="9"/>
      <c r="DC539" s="9"/>
      <c r="DD539" s="9"/>
      <c r="DE539" s="9"/>
      <c r="DF539" s="9"/>
      <c r="DG539" s="9"/>
      <c r="DH539" s="9"/>
      <c r="DI539" s="9"/>
      <c r="DJ539" s="9"/>
      <c r="DK539" s="9"/>
      <c r="DL539" s="9"/>
      <c r="DM539" s="9"/>
      <c r="DN539" s="9"/>
      <c r="DO539" s="9"/>
      <c r="DP539" s="9"/>
      <c r="DQ539" s="9"/>
      <c r="DR539" s="9"/>
      <c r="DS539" s="9"/>
      <c r="DT539" s="9"/>
      <c r="DU539" s="9"/>
      <c r="DV539" s="9"/>
      <c r="DW539" s="9"/>
      <c r="DX539" s="9"/>
      <c r="DY539" s="9"/>
      <c r="DZ539" s="9"/>
      <c r="EA539" s="9"/>
      <c r="EB539" s="9"/>
      <c r="EC539" s="9"/>
      <c r="ED539" s="9"/>
      <c r="EE539" s="9"/>
      <c r="EF539" s="9"/>
    </row>
    <row r="540" spans="1:136" s="98" customFormat="1" ht="15.75" customHeight="1" x14ac:dyDescent="0.25">
      <c r="A540" s="93">
        <v>46234</v>
      </c>
      <c r="B540" s="94" t="s">
        <v>16</v>
      </c>
      <c r="C540" s="95">
        <v>6025</v>
      </c>
      <c r="D540" s="20"/>
      <c r="E540" s="99" t="s">
        <v>81</v>
      </c>
      <c r="F540" s="21">
        <v>12</v>
      </c>
      <c r="G540" s="100"/>
      <c r="H540" s="21">
        <v>7.25</v>
      </c>
      <c r="I540" s="11">
        <f t="shared" si="24"/>
        <v>87</v>
      </c>
      <c r="J540" s="21"/>
      <c r="K540" s="21"/>
      <c r="L540" s="13">
        <f t="shared" si="25"/>
        <v>87</v>
      </c>
      <c r="M540" s="22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  <c r="BU540" s="9"/>
      <c r="BV540" s="9"/>
      <c r="BW540" s="9"/>
      <c r="BX540" s="9"/>
      <c r="BY540" s="9"/>
      <c r="BZ540" s="9"/>
      <c r="CA540" s="9"/>
      <c r="CB540" s="9"/>
      <c r="CC540" s="9"/>
      <c r="CD540" s="9"/>
      <c r="CE540" s="9"/>
      <c r="CF540" s="9"/>
      <c r="CG540" s="9"/>
      <c r="CH540" s="9"/>
      <c r="CI540" s="9"/>
      <c r="CJ540" s="9"/>
      <c r="CK540" s="9"/>
      <c r="CL540" s="9"/>
      <c r="CM540" s="9"/>
      <c r="CN540" s="9"/>
      <c r="CO540" s="9"/>
      <c r="CP540" s="9"/>
      <c r="CQ540" s="9"/>
      <c r="CR540" s="9"/>
      <c r="CS540" s="9"/>
      <c r="CT540" s="9"/>
      <c r="CU540" s="9"/>
      <c r="CV540" s="9"/>
      <c r="CW540" s="9"/>
      <c r="CX540" s="9"/>
      <c r="CY540" s="9"/>
      <c r="CZ540" s="9"/>
      <c r="DA540" s="9"/>
      <c r="DB540" s="9"/>
      <c r="DC540" s="9"/>
      <c r="DD540" s="9"/>
      <c r="DE540" s="9"/>
      <c r="DF540" s="9"/>
      <c r="DG540" s="9"/>
      <c r="DH540" s="9"/>
      <c r="DI540" s="9"/>
      <c r="DJ540" s="9"/>
      <c r="DK540" s="9"/>
      <c r="DL540" s="9"/>
      <c r="DM540" s="9"/>
      <c r="DN540" s="9"/>
      <c r="DO540" s="9"/>
      <c r="DP540" s="9"/>
      <c r="DQ540" s="9"/>
      <c r="DR540" s="9"/>
      <c r="DS540" s="9"/>
      <c r="DT540" s="9"/>
      <c r="DU540" s="9"/>
      <c r="DV540" s="9"/>
      <c r="DW540" s="9"/>
      <c r="DX540" s="9"/>
      <c r="DY540" s="9"/>
      <c r="DZ540" s="9"/>
      <c r="EA540" s="9"/>
      <c r="EB540" s="9"/>
      <c r="EC540" s="9"/>
      <c r="ED540" s="9"/>
      <c r="EE540" s="9"/>
      <c r="EF540" s="9"/>
    </row>
    <row r="541" spans="1:136" s="98" customFormat="1" ht="15.75" customHeight="1" x14ac:dyDescent="0.25">
      <c r="A541" s="93">
        <v>46234</v>
      </c>
      <c r="B541" s="94" t="s">
        <v>16</v>
      </c>
      <c r="C541" s="95">
        <v>6025</v>
      </c>
      <c r="D541" s="20"/>
      <c r="E541" s="99" t="s">
        <v>183</v>
      </c>
      <c r="F541" s="21">
        <v>1</v>
      </c>
      <c r="G541" s="100"/>
      <c r="H541" s="21">
        <v>161</v>
      </c>
      <c r="I541" s="11">
        <f t="shared" si="24"/>
        <v>161</v>
      </c>
      <c r="J541" s="21"/>
      <c r="K541" s="21"/>
      <c r="L541" s="13">
        <f t="shared" si="25"/>
        <v>161</v>
      </c>
      <c r="M541" s="22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  <c r="BU541" s="9"/>
      <c r="BV541" s="9"/>
      <c r="BW541" s="9"/>
      <c r="BX541" s="9"/>
      <c r="BY541" s="9"/>
      <c r="BZ541" s="9"/>
      <c r="CA541" s="9"/>
      <c r="CB541" s="9"/>
      <c r="CC541" s="9"/>
      <c r="CD541" s="9"/>
      <c r="CE541" s="9"/>
      <c r="CF541" s="9"/>
      <c r="CG541" s="9"/>
      <c r="CH541" s="9"/>
      <c r="CI541" s="9"/>
      <c r="CJ541" s="9"/>
      <c r="CK541" s="9"/>
      <c r="CL541" s="9"/>
      <c r="CM541" s="9"/>
      <c r="CN541" s="9"/>
      <c r="CO541" s="9"/>
      <c r="CP541" s="9"/>
      <c r="CQ541" s="9"/>
      <c r="CR541" s="9"/>
      <c r="CS541" s="9"/>
      <c r="CT541" s="9"/>
      <c r="CU541" s="9"/>
      <c r="CV541" s="9"/>
      <c r="CW541" s="9"/>
      <c r="CX541" s="9"/>
      <c r="CY541" s="9"/>
      <c r="CZ541" s="9"/>
      <c r="DA541" s="9"/>
      <c r="DB541" s="9"/>
      <c r="DC541" s="9"/>
      <c r="DD541" s="9"/>
      <c r="DE541" s="9"/>
      <c r="DF541" s="9"/>
      <c r="DG541" s="9"/>
      <c r="DH541" s="9"/>
      <c r="DI541" s="9"/>
      <c r="DJ541" s="9"/>
      <c r="DK541" s="9"/>
      <c r="DL541" s="9"/>
      <c r="DM541" s="9"/>
      <c r="DN541" s="9"/>
      <c r="DO541" s="9"/>
      <c r="DP541" s="9"/>
      <c r="DQ541" s="9"/>
      <c r="DR541" s="9"/>
      <c r="DS541" s="9"/>
      <c r="DT541" s="9"/>
      <c r="DU541" s="9"/>
      <c r="DV541" s="9"/>
      <c r="DW541" s="9"/>
      <c r="DX541" s="9"/>
      <c r="DY541" s="9"/>
      <c r="DZ541" s="9"/>
      <c r="EA541" s="9"/>
      <c r="EB541" s="9"/>
      <c r="EC541" s="9"/>
      <c r="ED541" s="9"/>
      <c r="EE541" s="9"/>
      <c r="EF541" s="9"/>
    </row>
    <row r="542" spans="1:136" s="98" customFormat="1" ht="15.75" customHeight="1" x14ac:dyDescent="0.25">
      <c r="A542" s="93">
        <v>46234</v>
      </c>
      <c r="B542" s="94" t="s">
        <v>16</v>
      </c>
      <c r="C542" s="95">
        <v>6025</v>
      </c>
      <c r="D542" s="20"/>
      <c r="E542" s="99" t="s">
        <v>280</v>
      </c>
      <c r="F542" s="21">
        <v>50</v>
      </c>
      <c r="G542" s="100"/>
      <c r="H542" s="21">
        <v>9.25</v>
      </c>
      <c r="I542" s="11">
        <f t="shared" si="24"/>
        <v>462.5</v>
      </c>
      <c r="J542" s="21"/>
      <c r="K542" s="21"/>
      <c r="L542" s="13">
        <f t="shared" si="25"/>
        <v>462.5</v>
      </c>
      <c r="M542" s="22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  <c r="BU542" s="9"/>
      <c r="BV542" s="9"/>
      <c r="BW542" s="9"/>
      <c r="BX542" s="9"/>
      <c r="BY542" s="9"/>
      <c r="BZ542" s="9"/>
      <c r="CA542" s="9"/>
      <c r="CB542" s="9"/>
      <c r="CC542" s="9"/>
      <c r="CD542" s="9"/>
      <c r="CE542" s="9"/>
      <c r="CF542" s="9"/>
      <c r="CG542" s="9"/>
      <c r="CH542" s="9"/>
      <c r="CI542" s="9"/>
      <c r="CJ542" s="9"/>
      <c r="CK542" s="9"/>
      <c r="CL542" s="9"/>
      <c r="CM542" s="9"/>
      <c r="CN542" s="9"/>
      <c r="CO542" s="9"/>
      <c r="CP542" s="9"/>
      <c r="CQ542" s="9"/>
      <c r="CR542" s="9"/>
      <c r="CS542" s="9"/>
      <c r="CT542" s="9"/>
      <c r="CU542" s="9"/>
      <c r="CV542" s="9"/>
      <c r="CW542" s="9"/>
      <c r="CX542" s="9"/>
      <c r="CY542" s="9"/>
      <c r="CZ542" s="9"/>
      <c r="DA542" s="9"/>
      <c r="DB542" s="9"/>
      <c r="DC542" s="9"/>
      <c r="DD542" s="9"/>
      <c r="DE542" s="9"/>
      <c r="DF542" s="9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</row>
    <row r="543" spans="1:136" s="98" customFormat="1" ht="15.75" customHeight="1" x14ac:dyDescent="0.25">
      <c r="A543" s="93">
        <v>46234</v>
      </c>
      <c r="B543" s="94" t="s">
        <v>16</v>
      </c>
      <c r="C543" s="95">
        <v>6025</v>
      </c>
      <c r="D543" s="20"/>
      <c r="E543" s="99" t="s">
        <v>281</v>
      </c>
      <c r="F543" s="21">
        <v>100</v>
      </c>
      <c r="G543" s="100"/>
      <c r="H543" s="21">
        <v>9.5</v>
      </c>
      <c r="I543" s="11">
        <f t="shared" si="24"/>
        <v>950</v>
      </c>
      <c r="J543" s="21"/>
      <c r="K543" s="21"/>
      <c r="L543" s="13">
        <f t="shared" si="25"/>
        <v>950</v>
      </c>
      <c r="M543" s="22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  <c r="BU543" s="9"/>
      <c r="BV543" s="9"/>
      <c r="BW543" s="9"/>
      <c r="BX543" s="9"/>
      <c r="BY543" s="9"/>
      <c r="BZ543" s="9"/>
      <c r="CA543" s="9"/>
      <c r="CB543" s="9"/>
      <c r="CC543" s="9"/>
      <c r="CD543" s="9"/>
      <c r="CE543" s="9"/>
      <c r="CF543" s="9"/>
      <c r="CG543" s="9"/>
      <c r="CH543" s="9"/>
      <c r="CI543" s="9"/>
      <c r="CJ543" s="9"/>
      <c r="CK543" s="9"/>
      <c r="CL543" s="9"/>
      <c r="CM543" s="9"/>
      <c r="CN543" s="9"/>
      <c r="CO543" s="9"/>
      <c r="CP543" s="9"/>
      <c r="CQ543" s="9"/>
      <c r="CR543" s="9"/>
      <c r="CS543" s="9"/>
      <c r="CT543" s="9"/>
      <c r="CU543" s="9"/>
      <c r="CV543" s="9"/>
      <c r="CW543" s="9"/>
      <c r="CX543" s="9"/>
      <c r="CY543" s="9"/>
      <c r="CZ543" s="9"/>
      <c r="DA543" s="9"/>
      <c r="DB543" s="9"/>
      <c r="DC543" s="9"/>
      <c r="DD543" s="9"/>
      <c r="DE543" s="9"/>
      <c r="DF543" s="9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</row>
    <row r="544" spans="1:136" s="98" customFormat="1" ht="15.75" customHeight="1" x14ac:dyDescent="0.25">
      <c r="A544" s="93">
        <v>46234</v>
      </c>
      <c r="B544" s="94" t="s">
        <v>16</v>
      </c>
      <c r="C544" s="95">
        <v>6025</v>
      </c>
      <c r="D544" s="20"/>
      <c r="E544" s="99" t="s">
        <v>172</v>
      </c>
      <c r="F544" s="21">
        <v>4</v>
      </c>
      <c r="G544" s="100"/>
      <c r="H544" s="21">
        <v>77.5</v>
      </c>
      <c r="I544" s="11">
        <f t="shared" si="24"/>
        <v>310</v>
      </c>
      <c r="J544" s="21"/>
      <c r="K544" s="21"/>
      <c r="L544" s="13">
        <f t="shared" si="25"/>
        <v>310</v>
      </c>
      <c r="M544" s="22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  <c r="BU544" s="9"/>
      <c r="BV544" s="9"/>
      <c r="BW544" s="9"/>
      <c r="BX544" s="9"/>
      <c r="BY544" s="9"/>
      <c r="BZ544" s="9"/>
      <c r="CA544" s="9"/>
      <c r="CB544" s="9"/>
      <c r="CC544" s="9"/>
      <c r="CD544" s="9"/>
      <c r="CE544" s="9"/>
      <c r="CF544" s="9"/>
      <c r="CG544" s="9"/>
      <c r="CH544" s="9"/>
      <c r="CI544" s="9"/>
      <c r="CJ544" s="9"/>
      <c r="CK544" s="9"/>
      <c r="CL544" s="9"/>
      <c r="CM544" s="9"/>
      <c r="CN544" s="9"/>
      <c r="CO544" s="9"/>
      <c r="CP544" s="9"/>
      <c r="CQ544" s="9"/>
      <c r="CR544" s="9"/>
      <c r="CS544" s="9"/>
      <c r="CT544" s="9"/>
      <c r="CU544" s="9"/>
      <c r="CV544" s="9"/>
      <c r="CW544" s="9"/>
      <c r="CX544" s="9"/>
      <c r="CY544" s="9"/>
      <c r="CZ544" s="9"/>
      <c r="DA544" s="9"/>
      <c r="DB544" s="9"/>
      <c r="DC544" s="9"/>
      <c r="DD544" s="9"/>
      <c r="DE544" s="9"/>
      <c r="DF544" s="9"/>
      <c r="DG544" s="9"/>
      <c r="DH544" s="9"/>
      <c r="DI544" s="9"/>
      <c r="DJ544" s="9"/>
      <c r="DK544" s="9"/>
      <c r="DL544" s="9"/>
      <c r="DM544" s="9"/>
      <c r="DN544" s="9"/>
      <c r="DO544" s="9"/>
      <c r="DP544" s="9"/>
      <c r="DQ544" s="9"/>
      <c r="DR544" s="9"/>
      <c r="DS544" s="9"/>
      <c r="DT544" s="9"/>
      <c r="DU544" s="9"/>
      <c r="DV544" s="9"/>
      <c r="DW544" s="9"/>
      <c r="DX544" s="9"/>
      <c r="DY544" s="9"/>
      <c r="DZ544" s="9"/>
      <c r="EA544" s="9"/>
      <c r="EB544" s="9"/>
      <c r="EC544" s="9"/>
      <c r="ED544" s="9"/>
      <c r="EE544" s="9"/>
      <c r="EF544" s="9"/>
    </row>
    <row r="545" spans="1:136" s="98" customFormat="1" ht="15.75" customHeight="1" x14ac:dyDescent="0.25">
      <c r="A545" s="93">
        <v>46234</v>
      </c>
      <c r="B545" s="94" t="s">
        <v>16</v>
      </c>
      <c r="C545" s="95">
        <v>6025</v>
      </c>
      <c r="D545" s="20"/>
      <c r="E545" s="99" t="s">
        <v>204</v>
      </c>
      <c r="F545" s="21">
        <v>4</v>
      </c>
      <c r="G545" s="100"/>
      <c r="H545" s="21">
        <v>67.5</v>
      </c>
      <c r="I545" s="11">
        <f t="shared" si="24"/>
        <v>270</v>
      </c>
      <c r="J545" s="21"/>
      <c r="K545" s="21"/>
      <c r="L545" s="13">
        <f t="shared" si="25"/>
        <v>270</v>
      </c>
      <c r="M545" s="22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  <c r="BU545" s="9"/>
      <c r="BV545" s="9"/>
      <c r="BW545" s="9"/>
      <c r="BX545" s="9"/>
      <c r="BY545" s="9"/>
      <c r="BZ545" s="9"/>
      <c r="CA545" s="9"/>
      <c r="CB545" s="9"/>
      <c r="CC545" s="9"/>
      <c r="CD545" s="9"/>
      <c r="CE545" s="9"/>
      <c r="CF545" s="9"/>
      <c r="CG545" s="9"/>
      <c r="CH545" s="9"/>
      <c r="CI545" s="9"/>
      <c r="CJ545" s="9"/>
      <c r="CK545" s="9"/>
      <c r="CL545" s="9"/>
      <c r="CM545" s="9"/>
      <c r="CN545" s="9"/>
      <c r="CO545" s="9"/>
      <c r="CP545" s="9"/>
      <c r="CQ545" s="9"/>
      <c r="CR545" s="9"/>
      <c r="CS545" s="9"/>
      <c r="CT545" s="9"/>
      <c r="CU545" s="9"/>
      <c r="CV545" s="9"/>
      <c r="CW545" s="9"/>
      <c r="CX545" s="9"/>
      <c r="CY545" s="9"/>
      <c r="CZ545" s="9"/>
      <c r="DA545" s="9"/>
      <c r="DB545" s="9"/>
      <c r="DC545" s="9"/>
      <c r="DD545" s="9"/>
      <c r="DE545" s="9"/>
      <c r="DF545" s="9"/>
      <c r="DG545" s="9"/>
      <c r="DH545" s="9"/>
      <c r="DI545" s="9"/>
      <c r="DJ545" s="9"/>
      <c r="DK545" s="9"/>
      <c r="DL545" s="9"/>
      <c r="DM545" s="9"/>
      <c r="DN545" s="9"/>
      <c r="DO545" s="9"/>
      <c r="DP545" s="9"/>
      <c r="DQ545" s="9"/>
      <c r="DR545" s="9"/>
      <c r="DS545" s="9"/>
      <c r="DT545" s="9"/>
      <c r="DU545" s="9"/>
      <c r="DV545" s="9"/>
      <c r="DW545" s="9"/>
      <c r="DX545" s="9"/>
      <c r="DY545" s="9"/>
      <c r="DZ545" s="9"/>
      <c r="EA545" s="9"/>
      <c r="EB545" s="9"/>
      <c r="EC545" s="9"/>
      <c r="ED545" s="9"/>
      <c r="EE545" s="9"/>
      <c r="EF545" s="9"/>
    </row>
    <row r="546" spans="1:136" s="98" customFormat="1" ht="15.75" customHeight="1" x14ac:dyDescent="0.25">
      <c r="A546" s="93">
        <v>46234</v>
      </c>
      <c r="B546" s="94" t="s">
        <v>16</v>
      </c>
      <c r="C546" s="95">
        <v>6025</v>
      </c>
      <c r="D546" s="20"/>
      <c r="E546" s="99" t="s">
        <v>185</v>
      </c>
      <c r="F546" s="21">
        <v>1</v>
      </c>
      <c r="G546" s="100"/>
      <c r="H546" s="21">
        <v>154.75</v>
      </c>
      <c r="I546" s="11">
        <f t="shared" si="24"/>
        <v>154.75</v>
      </c>
      <c r="J546" s="21"/>
      <c r="K546" s="21"/>
      <c r="L546" s="13">
        <f t="shared" si="25"/>
        <v>154.75</v>
      </c>
      <c r="M546" s="22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  <c r="BU546" s="9"/>
      <c r="BV546" s="9"/>
      <c r="BW546" s="9"/>
      <c r="BX546" s="9"/>
      <c r="BY546" s="9"/>
      <c r="BZ546" s="9"/>
      <c r="CA546" s="9"/>
      <c r="CB546" s="9"/>
      <c r="CC546" s="9"/>
      <c r="CD546" s="9"/>
      <c r="CE546" s="9"/>
      <c r="CF546" s="9"/>
      <c r="CG546" s="9"/>
      <c r="CH546" s="9"/>
      <c r="CI546" s="9"/>
      <c r="CJ546" s="9"/>
      <c r="CK546" s="9"/>
      <c r="CL546" s="9"/>
      <c r="CM546" s="9"/>
      <c r="CN546" s="9"/>
      <c r="CO546" s="9"/>
      <c r="CP546" s="9"/>
      <c r="CQ546" s="9"/>
      <c r="CR546" s="9"/>
      <c r="CS546" s="9"/>
      <c r="CT546" s="9"/>
      <c r="CU546" s="9"/>
      <c r="CV546" s="9"/>
      <c r="CW546" s="9"/>
      <c r="CX546" s="9"/>
      <c r="CY546" s="9"/>
      <c r="CZ546" s="9"/>
      <c r="DA546" s="9"/>
      <c r="DB546" s="9"/>
      <c r="DC546" s="9"/>
      <c r="DD546" s="9"/>
      <c r="DE546" s="9"/>
      <c r="DF546" s="9"/>
      <c r="DG546" s="9"/>
      <c r="DH546" s="9"/>
      <c r="DI546" s="9"/>
      <c r="DJ546" s="9"/>
      <c r="DK546" s="9"/>
      <c r="DL546" s="9"/>
      <c r="DM546" s="9"/>
      <c r="DN546" s="9"/>
      <c r="DO546" s="9"/>
      <c r="DP546" s="9"/>
      <c r="DQ546" s="9"/>
      <c r="DR546" s="9"/>
      <c r="DS546" s="9"/>
      <c r="DT546" s="9"/>
      <c r="DU546" s="9"/>
      <c r="DV546" s="9"/>
      <c r="DW546" s="9"/>
      <c r="DX546" s="9"/>
      <c r="DY546" s="9"/>
      <c r="DZ546" s="9"/>
      <c r="EA546" s="9"/>
      <c r="EB546" s="9"/>
      <c r="EC546" s="9"/>
      <c r="ED546" s="9"/>
      <c r="EE546" s="9"/>
      <c r="EF546" s="9"/>
    </row>
    <row r="547" spans="1:136" s="98" customFormat="1" ht="15.75" customHeight="1" x14ac:dyDescent="0.25">
      <c r="A547" s="93">
        <v>46234</v>
      </c>
      <c r="B547" s="94" t="s">
        <v>16</v>
      </c>
      <c r="C547" s="95">
        <v>6025</v>
      </c>
      <c r="D547" s="20"/>
      <c r="E547" s="99" t="s">
        <v>78</v>
      </c>
      <c r="F547" s="21">
        <v>4</v>
      </c>
      <c r="G547" s="100"/>
      <c r="H547" s="21">
        <v>60</v>
      </c>
      <c r="I547" s="11">
        <f t="shared" si="24"/>
        <v>240</v>
      </c>
      <c r="J547" s="21"/>
      <c r="K547" s="21"/>
      <c r="L547" s="13">
        <f t="shared" si="25"/>
        <v>240</v>
      </c>
      <c r="M547" s="22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  <c r="BU547" s="9"/>
      <c r="BV547" s="9"/>
      <c r="BW547" s="9"/>
      <c r="BX547" s="9"/>
      <c r="BY547" s="9"/>
      <c r="BZ547" s="9"/>
      <c r="CA547" s="9"/>
      <c r="CB547" s="9"/>
      <c r="CC547" s="9"/>
      <c r="CD547" s="9"/>
      <c r="CE547" s="9"/>
      <c r="CF547" s="9"/>
      <c r="CG547" s="9"/>
      <c r="CH547" s="9"/>
      <c r="CI547" s="9"/>
      <c r="CJ547" s="9"/>
      <c r="CK547" s="9"/>
      <c r="CL547" s="9"/>
      <c r="CM547" s="9"/>
      <c r="CN547" s="9"/>
      <c r="CO547" s="9"/>
      <c r="CP547" s="9"/>
      <c r="CQ547" s="9"/>
      <c r="CR547" s="9"/>
      <c r="CS547" s="9"/>
      <c r="CT547" s="9"/>
      <c r="CU547" s="9"/>
      <c r="CV547" s="9"/>
      <c r="CW547" s="9"/>
      <c r="CX547" s="9"/>
      <c r="CY547" s="9"/>
      <c r="CZ547" s="9"/>
      <c r="DA547" s="9"/>
      <c r="DB547" s="9"/>
      <c r="DC547" s="9"/>
      <c r="DD547" s="9"/>
      <c r="DE547" s="9"/>
      <c r="DF547" s="9"/>
      <c r="DG547" s="9"/>
      <c r="DH547" s="9"/>
      <c r="DI547" s="9"/>
      <c r="DJ547" s="9"/>
      <c r="DK547" s="9"/>
      <c r="DL547" s="9"/>
      <c r="DM547" s="9"/>
      <c r="DN547" s="9"/>
      <c r="DO547" s="9"/>
      <c r="DP547" s="9"/>
      <c r="DQ547" s="9"/>
      <c r="DR547" s="9"/>
      <c r="DS547" s="9"/>
      <c r="DT547" s="9"/>
      <c r="DU547" s="9"/>
      <c r="DV547" s="9"/>
      <c r="DW547" s="9"/>
      <c r="DX547" s="9"/>
      <c r="DY547" s="9"/>
      <c r="DZ547" s="9"/>
      <c r="EA547" s="9"/>
      <c r="EB547" s="9"/>
      <c r="EC547" s="9"/>
      <c r="ED547" s="9"/>
      <c r="EE547" s="9"/>
      <c r="EF547" s="9"/>
    </row>
    <row r="548" spans="1:136" s="98" customFormat="1" ht="15.75" customHeight="1" x14ac:dyDescent="0.25">
      <c r="A548" s="93">
        <v>46234</v>
      </c>
      <c r="B548" s="94" t="s">
        <v>16</v>
      </c>
      <c r="C548" s="95">
        <v>6025</v>
      </c>
      <c r="D548" s="20"/>
      <c r="E548" s="99" t="s">
        <v>34</v>
      </c>
      <c r="F548" s="21">
        <v>2</v>
      </c>
      <c r="G548" s="100"/>
      <c r="H548" s="21">
        <v>30</v>
      </c>
      <c r="I548" s="11">
        <f t="shared" si="24"/>
        <v>60</v>
      </c>
      <c r="J548" s="21"/>
      <c r="K548" s="21"/>
      <c r="L548" s="13">
        <f t="shared" si="25"/>
        <v>60</v>
      </c>
      <c r="M548" s="22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  <c r="BU548" s="9"/>
      <c r="BV548" s="9"/>
      <c r="BW548" s="9"/>
      <c r="BX548" s="9"/>
      <c r="BY548" s="9"/>
      <c r="BZ548" s="9"/>
      <c r="CA548" s="9"/>
      <c r="CB548" s="9"/>
      <c r="CC548" s="9"/>
      <c r="CD548" s="9"/>
      <c r="CE548" s="9"/>
      <c r="CF548" s="9"/>
      <c r="CG548" s="9"/>
      <c r="CH548" s="9"/>
      <c r="CI548" s="9"/>
      <c r="CJ548" s="9"/>
      <c r="CK548" s="9"/>
      <c r="CL548" s="9"/>
      <c r="CM548" s="9"/>
      <c r="CN548" s="9"/>
      <c r="CO548" s="9"/>
      <c r="CP548" s="9"/>
      <c r="CQ548" s="9"/>
      <c r="CR548" s="9"/>
      <c r="CS548" s="9"/>
      <c r="CT548" s="9"/>
      <c r="CU548" s="9"/>
      <c r="CV548" s="9"/>
      <c r="CW548" s="9"/>
      <c r="CX548" s="9"/>
      <c r="CY548" s="9"/>
      <c r="CZ548" s="9"/>
      <c r="DA548" s="9"/>
      <c r="DB548" s="9"/>
      <c r="DC548" s="9"/>
      <c r="DD548" s="9"/>
      <c r="DE548" s="9"/>
      <c r="DF548" s="9"/>
      <c r="DG548" s="9"/>
      <c r="DH548" s="9"/>
      <c r="DI548" s="9"/>
      <c r="DJ548" s="9"/>
      <c r="DK548" s="9"/>
      <c r="DL548" s="9"/>
      <c r="DM548" s="9"/>
      <c r="DN548" s="9"/>
      <c r="DO548" s="9"/>
      <c r="DP548" s="9"/>
      <c r="DQ548" s="9"/>
      <c r="DR548" s="9"/>
      <c r="DS548" s="9"/>
      <c r="DT548" s="9"/>
      <c r="DU548" s="9"/>
      <c r="DV548" s="9"/>
      <c r="DW548" s="9"/>
      <c r="DX548" s="9"/>
      <c r="DY548" s="9"/>
      <c r="DZ548" s="9"/>
      <c r="EA548" s="9"/>
      <c r="EB548" s="9"/>
      <c r="EC548" s="9"/>
      <c r="ED548" s="9"/>
      <c r="EE548" s="9"/>
      <c r="EF548" s="9"/>
    </row>
    <row r="549" spans="1:136" s="98" customFormat="1" ht="15.75" customHeight="1" x14ac:dyDescent="0.25">
      <c r="A549" s="93">
        <v>46234</v>
      </c>
      <c r="B549" s="94" t="s">
        <v>16</v>
      </c>
      <c r="C549" s="95">
        <v>6025</v>
      </c>
      <c r="D549" s="20"/>
      <c r="E549" s="99" t="s">
        <v>30</v>
      </c>
      <c r="F549" s="21">
        <v>4</v>
      </c>
      <c r="G549" s="100"/>
      <c r="H549" s="21">
        <v>40</v>
      </c>
      <c r="I549" s="11">
        <f t="shared" si="24"/>
        <v>160</v>
      </c>
      <c r="J549" s="21"/>
      <c r="K549" s="21"/>
      <c r="L549" s="13">
        <f t="shared" si="25"/>
        <v>160</v>
      </c>
      <c r="M549" s="22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  <c r="BU549" s="9"/>
      <c r="BV549" s="9"/>
      <c r="BW549" s="9"/>
      <c r="BX549" s="9"/>
      <c r="BY549" s="9"/>
      <c r="BZ549" s="9"/>
      <c r="CA549" s="9"/>
      <c r="CB549" s="9"/>
      <c r="CC549" s="9"/>
      <c r="CD549" s="9"/>
      <c r="CE549" s="9"/>
      <c r="CF549" s="9"/>
      <c r="CG549" s="9"/>
      <c r="CH549" s="9"/>
      <c r="CI549" s="9"/>
      <c r="CJ549" s="9"/>
      <c r="CK549" s="9"/>
      <c r="CL549" s="9"/>
      <c r="CM549" s="9"/>
      <c r="CN549" s="9"/>
      <c r="CO549" s="9"/>
      <c r="CP549" s="9"/>
      <c r="CQ549" s="9"/>
      <c r="CR549" s="9"/>
      <c r="CS549" s="9"/>
      <c r="CT549" s="9"/>
      <c r="CU549" s="9"/>
      <c r="CV549" s="9"/>
      <c r="CW549" s="9"/>
      <c r="CX549" s="9"/>
      <c r="CY549" s="9"/>
      <c r="CZ549" s="9"/>
      <c r="DA549" s="9"/>
      <c r="DB549" s="9"/>
      <c r="DC549" s="9"/>
      <c r="DD549" s="9"/>
      <c r="DE549" s="9"/>
      <c r="DF549" s="9"/>
      <c r="DG549" s="9"/>
      <c r="DH549" s="9"/>
      <c r="DI549" s="9"/>
      <c r="DJ549" s="9"/>
      <c r="DK549" s="9"/>
      <c r="DL549" s="9"/>
      <c r="DM549" s="9"/>
      <c r="DN549" s="9"/>
      <c r="DO549" s="9"/>
      <c r="DP549" s="9"/>
      <c r="DQ549" s="9"/>
      <c r="DR549" s="9"/>
      <c r="DS549" s="9"/>
      <c r="DT549" s="9"/>
      <c r="DU549" s="9"/>
      <c r="DV549" s="9"/>
      <c r="DW549" s="9"/>
      <c r="DX549" s="9"/>
      <c r="DY549" s="9"/>
      <c r="DZ549" s="9"/>
      <c r="EA549" s="9"/>
      <c r="EB549" s="9"/>
      <c r="EC549" s="9"/>
      <c r="ED549" s="9"/>
      <c r="EE549" s="9"/>
      <c r="EF549" s="9"/>
    </row>
    <row r="550" spans="1:136" s="98" customFormat="1" ht="15.75" customHeight="1" x14ac:dyDescent="0.25">
      <c r="A550" s="93">
        <v>46234</v>
      </c>
      <c r="B550" s="94" t="s">
        <v>16</v>
      </c>
      <c r="C550" s="95">
        <v>6025</v>
      </c>
      <c r="D550" s="20"/>
      <c r="E550" s="99" t="s">
        <v>31</v>
      </c>
      <c r="F550" s="21">
        <v>1</v>
      </c>
      <c r="G550" s="100"/>
      <c r="H550" s="21">
        <v>100</v>
      </c>
      <c r="I550" s="11">
        <f t="shared" si="24"/>
        <v>100</v>
      </c>
      <c r="J550" s="21"/>
      <c r="K550" s="21"/>
      <c r="L550" s="13">
        <f t="shared" si="25"/>
        <v>100</v>
      </c>
      <c r="M550" s="22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  <c r="BU550" s="9"/>
      <c r="BV550" s="9"/>
      <c r="BW550" s="9"/>
      <c r="BX550" s="9"/>
      <c r="BY550" s="9"/>
      <c r="BZ550" s="9"/>
      <c r="CA550" s="9"/>
      <c r="CB550" s="9"/>
      <c r="CC550" s="9"/>
      <c r="CD550" s="9"/>
      <c r="CE550" s="9"/>
      <c r="CF550" s="9"/>
      <c r="CG550" s="9"/>
      <c r="CH550" s="9"/>
      <c r="CI550" s="9"/>
      <c r="CJ550" s="9"/>
      <c r="CK550" s="9"/>
      <c r="CL550" s="9"/>
      <c r="CM550" s="9"/>
      <c r="CN550" s="9"/>
      <c r="CO550" s="9"/>
      <c r="CP550" s="9"/>
      <c r="CQ550" s="9"/>
      <c r="CR550" s="9"/>
      <c r="CS550" s="9"/>
      <c r="CT550" s="9"/>
      <c r="CU550" s="9"/>
      <c r="CV550" s="9"/>
      <c r="CW550" s="9"/>
      <c r="CX550" s="9"/>
      <c r="CY550" s="9"/>
      <c r="CZ550" s="9"/>
      <c r="DA550" s="9"/>
      <c r="DB550" s="9"/>
      <c r="DC550" s="9"/>
      <c r="DD550" s="9"/>
      <c r="DE550" s="9"/>
      <c r="DF550" s="9"/>
      <c r="DG550" s="9"/>
      <c r="DH550" s="9"/>
      <c r="DI550" s="9"/>
      <c r="DJ550" s="9"/>
      <c r="DK550" s="9"/>
      <c r="DL550" s="9"/>
      <c r="DM550" s="9"/>
      <c r="DN550" s="9"/>
      <c r="DO550" s="9"/>
      <c r="DP550" s="9"/>
      <c r="DQ550" s="9"/>
      <c r="DR550" s="9"/>
      <c r="DS550" s="9"/>
      <c r="DT550" s="9"/>
      <c r="DU550" s="9"/>
      <c r="DV550" s="9"/>
      <c r="DW550" s="9"/>
      <c r="DX550" s="9"/>
      <c r="DY550" s="9"/>
      <c r="DZ550" s="9"/>
      <c r="EA550" s="9"/>
      <c r="EB550" s="9"/>
      <c r="EC550" s="9"/>
      <c r="ED550" s="9"/>
      <c r="EE550" s="9"/>
      <c r="EF550" s="9"/>
    </row>
    <row r="551" spans="1:136" s="98" customFormat="1" ht="15.75" customHeight="1" x14ac:dyDescent="0.25">
      <c r="A551" s="93">
        <v>46234</v>
      </c>
      <c r="B551" s="94" t="s">
        <v>16</v>
      </c>
      <c r="C551" s="95">
        <v>6025</v>
      </c>
      <c r="D551" s="20"/>
      <c r="E551" s="99" t="s">
        <v>45</v>
      </c>
      <c r="F551" s="21">
        <v>2</v>
      </c>
      <c r="G551" s="100"/>
      <c r="H551" s="21">
        <v>40</v>
      </c>
      <c r="I551" s="11">
        <f t="shared" si="24"/>
        <v>80</v>
      </c>
      <c r="J551" s="21"/>
      <c r="K551" s="21"/>
      <c r="L551" s="13">
        <f t="shared" si="25"/>
        <v>80</v>
      </c>
      <c r="M551" s="22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  <c r="BU551" s="9"/>
      <c r="BV551" s="9"/>
      <c r="BW551" s="9"/>
      <c r="BX551" s="9"/>
      <c r="BY551" s="9"/>
      <c r="BZ551" s="9"/>
      <c r="CA551" s="9"/>
      <c r="CB551" s="9"/>
      <c r="CC551" s="9"/>
      <c r="CD551" s="9"/>
      <c r="CE551" s="9"/>
      <c r="CF551" s="9"/>
      <c r="CG551" s="9"/>
      <c r="CH551" s="9"/>
      <c r="CI551" s="9"/>
      <c r="CJ551" s="9"/>
      <c r="CK551" s="9"/>
      <c r="CL551" s="9"/>
      <c r="CM551" s="9"/>
      <c r="CN551" s="9"/>
      <c r="CO551" s="9"/>
      <c r="CP551" s="9"/>
      <c r="CQ551" s="9"/>
      <c r="CR551" s="9"/>
      <c r="CS551" s="9"/>
      <c r="CT551" s="9"/>
      <c r="CU551" s="9"/>
      <c r="CV551" s="9"/>
      <c r="CW551" s="9"/>
      <c r="CX551" s="9"/>
      <c r="CY551" s="9"/>
      <c r="CZ551" s="9"/>
      <c r="DA551" s="9"/>
      <c r="DB551" s="9"/>
      <c r="DC551" s="9"/>
      <c r="DD551" s="9"/>
      <c r="DE551" s="9"/>
      <c r="DF551" s="9"/>
      <c r="DG551" s="9"/>
      <c r="DH551" s="9"/>
      <c r="DI551" s="9"/>
      <c r="DJ551" s="9"/>
      <c r="DK551" s="9"/>
      <c r="DL551" s="9"/>
      <c r="DM551" s="9"/>
      <c r="DN551" s="9"/>
      <c r="DO551" s="9"/>
      <c r="DP551" s="9"/>
      <c r="DQ551" s="9"/>
      <c r="DR551" s="9"/>
      <c r="DS551" s="9"/>
      <c r="DT551" s="9"/>
      <c r="DU551" s="9"/>
      <c r="DV551" s="9"/>
      <c r="DW551" s="9"/>
      <c r="DX551" s="9"/>
      <c r="DY551" s="9"/>
      <c r="DZ551" s="9"/>
      <c r="EA551" s="9"/>
      <c r="EB551" s="9"/>
      <c r="EC551" s="9"/>
      <c r="ED551" s="9"/>
      <c r="EE551" s="9"/>
      <c r="EF551" s="9"/>
    </row>
    <row r="552" spans="1:136" s="98" customFormat="1" ht="15.75" customHeight="1" x14ac:dyDescent="0.25">
      <c r="A552" s="93">
        <v>46234</v>
      </c>
      <c r="B552" s="94" t="s">
        <v>16</v>
      </c>
      <c r="C552" s="95">
        <v>6025</v>
      </c>
      <c r="D552" s="20"/>
      <c r="E552" s="99" t="s">
        <v>71</v>
      </c>
      <c r="F552" s="21">
        <v>2</v>
      </c>
      <c r="G552" s="100"/>
      <c r="H552" s="21">
        <v>60</v>
      </c>
      <c r="I552" s="11">
        <f t="shared" si="24"/>
        <v>120</v>
      </c>
      <c r="J552" s="21"/>
      <c r="K552" s="21"/>
      <c r="L552" s="13">
        <f t="shared" si="25"/>
        <v>120</v>
      </c>
      <c r="M552" s="22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  <c r="BU552" s="9"/>
      <c r="BV552" s="9"/>
      <c r="BW552" s="9"/>
      <c r="BX552" s="9"/>
      <c r="BY552" s="9"/>
      <c r="BZ552" s="9"/>
      <c r="CA552" s="9"/>
      <c r="CB552" s="9"/>
      <c r="CC552" s="9"/>
      <c r="CD552" s="9"/>
      <c r="CE552" s="9"/>
      <c r="CF552" s="9"/>
      <c r="CG552" s="9"/>
      <c r="CH552" s="9"/>
      <c r="CI552" s="9"/>
      <c r="CJ552" s="9"/>
      <c r="CK552" s="9"/>
      <c r="CL552" s="9"/>
      <c r="CM552" s="9"/>
      <c r="CN552" s="9"/>
      <c r="CO552" s="9"/>
      <c r="CP552" s="9"/>
      <c r="CQ552" s="9"/>
      <c r="CR552" s="9"/>
      <c r="CS552" s="9"/>
      <c r="CT552" s="9"/>
      <c r="CU552" s="9"/>
      <c r="CV552" s="9"/>
      <c r="CW552" s="9"/>
      <c r="CX552" s="9"/>
      <c r="CY552" s="9"/>
      <c r="CZ552" s="9"/>
      <c r="DA552" s="9"/>
      <c r="DB552" s="9"/>
      <c r="DC552" s="9"/>
      <c r="DD552" s="9"/>
      <c r="DE552" s="9"/>
      <c r="DF552" s="9"/>
      <c r="DG552" s="9"/>
      <c r="DH552" s="9"/>
      <c r="DI552" s="9"/>
      <c r="DJ552" s="9"/>
      <c r="DK552" s="9"/>
      <c r="DL552" s="9"/>
      <c r="DM552" s="9"/>
      <c r="DN552" s="9"/>
      <c r="DO552" s="9"/>
      <c r="DP552" s="9"/>
      <c r="DQ552" s="9"/>
      <c r="DR552" s="9"/>
      <c r="DS552" s="9"/>
      <c r="DT552" s="9"/>
      <c r="DU552" s="9"/>
      <c r="DV552" s="9"/>
      <c r="DW552" s="9"/>
      <c r="DX552" s="9"/>
      <c r="DY552" s="9"/>
      <c r="DZ552" s="9"/>
      <c r="EA552" s="9"/>
      <c r="EB552" s="9"/>
      <c r="EC552" s="9"/>
      <c r="ED552" s="9"/>
      <c r="EE552" s="9"/>
      <c r="EF552" s="9"/>
    </row>
    <row r="553" spans="1:136" s="98" customFormat="1" ht="15.75" customHeight="1" x14ac:dyDescent="0.25">
      <c r="A553" s="93">
        <v>46234</v>
      </c>
      <c r="B553" s="94" t="s">
        <v>16</v>
      </c>
      <c r="C553" s="95">
        <v>6025</v>
      </c>
      <c r="D553" s="20"/>
      <c r="E553" s="99" t="s">
        <v>38</v>
      </c>
      <c r="F553" s="21">
        <v>1</v>
      </c>
      <c r="G553" s="100"/>
      <c r="H553" s="21">
        <v>80</v>
      </c>
      <c r="I553" s="11">
        <f t="shared" si="24"/>
        <v>80</v>
      </c>
      <c r="J553" s="21"/>
      <c r="K553" s="21"/>
      <c r="L553" s="13">
        <f t="shared" si="25"/>
        <v>80</v>
      </c>
      <c r="M553" s="24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  <c r="BU553" s="9"/>
      <c r="BV553" s="9"/>
      <c r="BW553" s="9"/>
      <c r="BX553" s="9"/>
      <c r="BY553" s="9"/>
      <c r="BZ553" s="9"/>
      <c r="CA553" s="9"/>
      <c r="CB553" s="9"/>
      <c r="CC553" s="9"/>
      <c r="CD553" s="9"/>
      <c r="CE553" s="9"/>
      <c r="CF553" s="9"/>
      <c r="CG553" s="9"/>
      <c r="CH553" s="9"/>
      <c r="CI553" s="9"/>
      <c r="CJ553" s="9"/>
      <c r="CK553" s="9"/>
      <c r="CL553" s="9"/>
      <c r="CM553" s="9"/>
      <c r="CN553" s="9"/>
      <c r="CO553" s="9"/>
      <c r="CP553" s="9"/>
      <c r="CQ553" s="9"/>
      <c r="CR553" s="9"/>
      <c r="CS553" s="9"/>
      <c r="CT553" s="9"/>
      <c r="CU553" s="9"/>
      <c r="CV553" s="9"/>
      <c r="CW553" s="9"/>
      <c r="CX553" s="9"/>
      <c r="CY553" s="9"/>
      <c r="CZ553" s="9"/>
      <c r="DA553" s="9"/>
      <c r="DB553" s="9"/>
      <c r="DC553" s="9"/>
      <c r="DD553" s="9"/>
      <c r="DE553" s="9"/>
      <c r="DF553" s="9"/>
      <c r="DG553" s="9"/>
      <c r="DH553" s="9"/>
      <c r="DI553" s="9"/>
      <c r="DJ553" s="9"/>
      <c r="DK553" s="9"/>
      <c r="DL553" s="9"/>
      <c r="DM553" s="9"/>
      <c r="DN553" s="9"/>
      <c r="DO553" s="9"/>
      <c r="DP553" s="9"/>
      <c r="DQ553" s="9"/>
      <c r="DR553" s="9"/>
      <c r="DS553" s="9"/>
      <c r="DT553" s="9"/>
      <c r="DU553" s="9"/>
      <c r="DV553" s="9"/>
      <c r="DW553" s="9"/>
      <c r="DX553" s="9"/>
      <c r="DY553" s="9"/>
      <c r="DZ553" s="9"/>
      <c r="EA553" s="9"/>
      <c r="EB553" s="9"/>
      <c r="EC553" s="9"/>
      <c r="ED553" s="9"/>
      <c r="EE553" s="9"/>
      <c r="EF553" s="9"/>
    </row>
    <row r="554" spans="1:136" s="98" customFormat="1" ht="15.75" customHeight="1" x14ac:dyDescent="0.25">
      <c r="A554" s="93">
        <v>46234</v>
      </c>
      <c r="B554" s="94" t="s">
        <v>16</v>
      </c>
      <c r="C554" s="95">
        <v>6025</v>
      </c>
      <c r="D554" s="20"/>
      <c r="E554" s="99" t="s">
        <v>73</v>
      </c>
      <c r="F554" s="21">
        <v>3</v>
      </c>
      <c r="G554" s="100"/>
      <c r="H554" s="21">
        <v>40</v>
      </c>
      <c r="I554" s="11">
        <f t="shared" si="24"/>
        <v>120</v>
      </c>
      <c r="J554" s="21"/>
      <c r="K554" s="21"/>
      <c r="L554" s="13">
        <f t="shared" si="25"/>
        <v>120</v>
      </c>
      <c r="M554" s="24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  <c r="BU554" s="9"/>
      <c r="BV554" s="9"/>
      <c r="BW554" s="9"/>
      <c r="BX554" s="9"/>
      <c r="BY554" s="9"/>
      <c r="BZ554" s="9"/>
      <c r="CA554" s="9"/>
      <c r="CB554" s="9"/>
      <c r="CC554" s="9"/>
      <c r="CD554" s="9"/>
      <c r="CE554" s="9"/>
      <c r="CF554" s="9"/>
      <c r="CG554" s="9"/>
      <c r="CH554" s="9"/>
      <c r="CI554" s="9"/>
      <c r="CJ554" s="9"/>
      <c r="CK554" s="9"/>
      <c r="CL554" s="9"/>
      <c r="CM554" s="9"/>
      <c r="CN554" s="9"/>
      <c r="CO554" s="9"/>
      <c r="CP554" s="9"/>
      <c r="CQ554" s="9"/>
      <c r="CR554" s="9"/>
      <c r="CS554" s="9"/>
      <c r="CT554" s="9"/>
      <c r="CU554" s="9"/>
      <c r="CV554" s="9"/>
      <c r="CW554" s="9"/>
      <c r="CX554" s="9"/>
      <c r="CY554" s="9"/>
      <c r="CZ554" s="9"/>
      <c r="DA554" s="9"/>
      <c r="DB554" s="9"/>
      <c r="DC554" s="9"/>
      <c r="DD554" s="9"/>
      <c r="DE554" s="9"/>
      <c r="DF554" s="9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</row>
    <row r="555" spans="1:136" s="98" customFormat="1" ht="15.75" customHeight="1" x14ac:dyDescent="0.25">
      <c r="A555" s="93">
        <v>46234</v>
      </c>
      <c r="B555" s="94" t="s">
        <v>16</v>
      </c>
      <c r="C555" s="95">
        <v>6025</v>
      </c>
      <c r="D555" s="20"/>
      <c r="E555" s="99" t="s">
        <v>122</v>
      </c>
      <c r="F555" s="21">
        <f>140/90</f>
        <v>1.5555555555555556</v>
      </c>
      <c r="G555" s="100"/>
      <c r="H555" s="21">
        <v>90</v>
      </c>
      <c r="I555" s="11">
        <f t="shared" si="24"/>
        <v>140</v>
      </c>
      <c r="J555" s="21"/>
      <c r="K555" s="21"/>
      <c r="L555" s="13">
        <f t="shared" si="25"/>
        <v>140</v>
      </c>
      <c r="M555" s="24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  <c r="BU555" s="9"/>
      <c r="BV555" s="9"/>
      <c r="BW555" s="9"/>
      <c r="BX555" s="9"/>
      <c r="BY555" s="9"/>
      <c r="BZ555" s="9"/>
      <c r="CA555" s="9"/>
      <c r="CB555" s="9"/>
      <c r="CC555" s="9"/>
      <c r="CD555" s="9"/>
      <c r="CE555" s="9"/>
      <c r="CF555" s="9"/>
      <c r="CG555" s="9"/>
      <c r="CH555" s="9"/>
      <c r="CI555" s="9"/>
      <c r="CJ555" s="9"/>
      <c r="CK555" s="9"/>
      <c r="CL555" s="9"/>
      <c r="CM555" s="9"/>
      <c r="CN555" s="9"/>
      <c r="CO555" s="9"/>
      <c r="CP555" s="9"/>
      <c r="CQ555" s="9"/>
      <c r="CR555" s="9"/>
      <c r="CS555" s="9"/>
      <c r="CT555" s="9"/>
      <c r="CU555" s="9"/>
      <c r="CV555" s="9"/>
      <c r="CW555" s="9"/>
      <c r="CX555" s="9"/>
      <c r="CY555" s="9"/>
      <c r="CZ555" s="9"/>
      <c r="DA555" s="9"/>
      <c r="DB555" s="9"/>
      <c r="DC555" s="9"/>
      <c r="DD555" s="9"/>
      <c r="DE555" s="9"/>
      <c r="DF555" s="9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</row>
    <row r="556" spans="1:136" s="98" customFormat="1" ht="15.75" customHeight="1" x14ac:dyDescent="0.25">
      <c r="A556" s="93">
        <v>46234</v>
      </c>
      <c r="B556" s="94" t="s">
        <v>16</v>
      </c>
      <c r="C556" s="95">
        <v>6025</v>
      </c>
      <c r="D556" s="20"/>
      <c r="E556" s="99" t="s">
        <v>121</v>
      </c>
      <c r="F556" s="21">
        <f>89/80</f>
        <v>1.1125</v>
      </c>
      <c r="G556" s="100"/>
      <c r="H556" s="21">
        <v>80</v>
      </c>
      <c r="I556" s="11">
        <f t="shared" si="24"/>
        <v>89</v>
      </c>
      <c r="J556" s="21"/>
      <c r="K556" s="21"/>
      <c r="L556" s="13">
        <f t="shared" si="25"/>
        <v>89</v>
      </c>
      <c r="M556" s="24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  <c r="BU556" s="9"/>
      <c r="BV556" s="9"/>
      <c r="BW556" s="9"/>
      <c r="BX556" s="9"/>
      <c r="BY556" s="9"/>
      <c r="BZ556" s="9"/>
      <c r="CA556" s="9"/>
      <c r="CB556" s="9"/>
      <c r="CC556" s="9"/>
      <c r="CD556" s="9"/>
      <c r="CE556" s="9"/>
      <c r="CF556" s="9"/>
      <c r="CG556" s="9"/>
      <c r="CH556" s="9"/>
      <c r="CI556" s="9"/>
      <c r="CJ556" s="9"/>
      <c r="CK556" s="9"/>
      <c r="CL556" s="9"/>
      <c r="CM556" s="9"/>
      <c r="CN556" s="9"/>
      <c r="CO556" s="9"/>
      <c r="CP556" s="9"/>
      <c r="CQ556" s="9"/>
      <c r="CR556" s="9"/>
      <c r="CS556" s="9"/>
      <c r="CT556" s="9"/>
      <c r="CU556" s="9"/>
      <c r="CV556" s="9"/>
      <c r="CW556" s="9"/>
      <c r="CX556" s="9"/>
      <c r="CY556" s="9"/>
      <c r="CZ556" s="9"/>
      <c r="DA556" s="9"/>
      <c r="DB556" s="9"/>
      <c r="DC556" s="9"/>
      <c r="DD556" s="9"/>
      <c r="DE556" s="9"/>
      <c r="DF556" s="9"/>
      <c r="DG556" s="9"/>
      <c r="DH556" s="9"/>
      <c r="DI556" s="9"/>
      <c r="DJ556" s="9"/>
      <c r="DK556" s="9"/>
      <c r="DL556" s="9"/>
      <c r="DM556" s="9"/>
      <c r="DN556" s="9"/>
      <c r="DO556" s="9"/>
      <c r="DP556" s="9"/>
      <c r="DQ556" s="9"/>
      <c r="DR556" s="9"/>
      <c r="DS556" s="9"/>
      <c r="DT556" s="9"/>
      <c r="DU556" s="9"/>
      <c r="DV556" s="9"/>
      <c r="DW556" s="9"/>
      <c r="DX556" s="9"/>
      <c r="DY556" s="9"/>
      <c r="DZ556" s="9"/>
      <c r="EA556" s="9"/>
      <c r="EB556" s="9"/>
      <c r="EC556" s="9"/>
      <c r="ED556" s="9"/>
      <c r="EE556" s="9"/>
      <c r="EF556" s="9"/>
    </row>
    <row r="557" spans="1:136" s="98" customFormat="1" ht="15.75" customHeight="1" x14ac:dyDescent="0.25">
      <c r="A557" s="93">
        <v>46234</v>
      </c>
      <c r="B557" s="94" t="s">
        <v>16</v>
      </c>
      <c r="C557" s="95">
        <v>6025</v>
      </c>
      <c r="D557" s="20"/>
      <c r="E557" s="99" t="s">
        <v>125</v>
      </c>
      <c r="F557" s="21">
        <f>69/120</f>
        <v>0.57499999999999996</v>
      </c>
      <c r="G557" s="100"/>
      <c r="H557" s="21">
        <v>120</v>
      </c>
      <c r="I557" s="11">
        <f t="shared" si="24"/>
        <v>69</v>
      </c>
      <c r="J557" s="21"/>
      <c r="K557" s="21"/>
      <c r="L557" s="13">
        <f t="shared" si="25"/>
        <v>69</v>
      </c>
      <c r="M557" s="24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  <c r="BU557" s="9"/>
      <c r="BV557" s="9"/>
      <c r="BW557" s="9"/>
      <c r="BX557" s="9"/>
      <c r="BY557" s="9"/>
      <c r="BZ557" s="9"/>
      <c r="CA557" s="9"/>
      <c r="CB557" s="9"/>
      <c r="CC557" s="9"/>
      <c r="CD557" s="9"/>
      <c r="CE557" s="9"/>
      <c r="CF557" s="9"/>
      <c r="CG557" s="9"/>
      <c r="CH557" s="9"/>
      <c r="CI557" s="9"/>
      <c r="CJ557" s="9"/>
      <c r="CK557" s="9"/>
      <c r="CL557" s="9"/>
      <c r="CM557" s="9"/>
      <c r="CN557" s="9"/>
      <c r="CO557" s="9"/>
      <c r="CP557" s="9"/>
      <c r="CQ557" s="9"/>
      <c r="CR557" s="9"/>
      <c r="CS557" s="9"/>
      <c r="CT557" s="9"/>
      <c r="CU557" s="9"/>
      <c r="CV557" s="9"/>
      <c r="CW557" s="9"/>
      <c r="CX557" s="9"/>
      <c r="CY557" s="9"/>
      <c r="CZ557" s="9"/>
      <c r="DA557" s="9"/>
      <c r="DB557" s="9"/>
      <c r="DC557" s="9"/>
      <c r="DD557" s="9"/>
      <c r="DE557" s="9"/>
      <c r="DF557" s="9"/>
      <c r="DG557" s="9"/>
      <c r="DH557" s="9"/>
      <c r="DI557" s="9"/>
      <c r="DJ557" s="9"/>
      <c r="DK557" s="9"/>
      <c r="DL557" s="9"/>
      <c r="DM557" s="9"/>
      <c r="DN557" s="9"/>
      <c r="DO557" s="9"/>
      <c r="DP557" s="9"/>
      <c r="DQ557" s="9"/>
      <c r="DR557" s="9"/>
      <c r="DS557" s="9"/>
      <c r="DT557" s="9"/>
      <c r="DU557" s="9"/>
      <c r="DV557" s="9"/>
      <c r="DW557" s="9"/>
      <c r="DX557" s="9"/>
      <c r="DY557" s="9"/>
      <c r="DZ557" s="9"/>
      <c r="EA557" s="9"/>
      <c r="EB557" s="9"/>
      <c r="EC557" s="9"/>
      <c r="ED557" s="9"/>
      <c r="EE557" s="9"/>
      <c r="EF557" s="9"/>
    </row>
    <row r="558" spans="1:136" s="98" customFormat="1" ht="15.75" customHeight="1" x14ac:dyDescent="0.25">
      <c r="A558" s="93">
        <v>46234</v>
      </c>
      <c r="B558" s="94" t="s">
        <v>16</v>
      </c>
      <c r="C558" s="95">
        <v>6025</v>
      </c>
      <c r="D558" s="20"/>
      <c r="E558" s="99" t="s">
        <v>124</v>
      </c>
      <c r="F558" s="21">
        <v>2</v>
      </c>
      <c r="G558" s="100"/>
      <c r="H558" s="21">
        <v>60</v>
      </c>
      <c r="I558" s="11">
        <f t="shared" si="24"/>
        <v>120</v>
      </c>
      <c r="J558" s="21"/>
      <c r="K558" s="21"/>
      <c r="L558" s="13">
        <f t="shared" si="25"/>
        <v>120</v>
      </c>
      <c r="M558" s="24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  <c r="BU558" s="9"/>
      <c r="BV558" s="9"/>
      <c r="BW558" s="9"/>
      <c r="BX558" s="9"/>
      <c r="BY558" s="9"/>
      <c r="BZ558" s="9"/>
      <c r="CA558" s="9"/>
      <c r="CB558" s="9"/>
      <c r="CC558" s="9"/>
      <c r="CD558" s="9"/>
      <c r="CE558" s="9"/>
      <c r="CF558" s="9"/>
      <c r="CG558" s="9"/>
      <c r="CH558" s="9"/>
      <c r="CI558" s="9"/>
      <c r="CJ558" s="9"/>
      <c r="CK558" s="9"/>
      <c r="CL558" s="9"/>
      <c r="CM558" s="9"/>
      <c r="CN558" s="9"/>
      <c r="CO558" s="9"/>
      <c r="CP558" s="9"/>
      <c r="CQ558" s="9"/>
      <c r="CR558" s="9"/>
      <c r="CS558" s="9"/>
      <c r="CT558" s="9"/>
      <c r="CU558" s="9"/>
      <c r="CV558" s="9"/>
      <c r="CW558" s="9"/>
      <c r="CX558" s="9"/>
      <c r="CY558" s="9"/>
      <c r="CZ558" s="9"/>
      <c r="DA558" s="9"/>
      <c r="DB558" s="9"/>
      <c r="DC558" s="9"/>
      <c r="DD558" s="9"/>
      <c r="DE558" s="9"/>
      <c r="DF558" s="9"/>
      <c r="DG558" s="9"/>
      <c r="DH558" s="9"/>
      <c r="DI558" s="9"/>
      <c r="DJ558" s="9"/>
      <c r="DK558" s="9"/>
      <c r="DL558" s="9"/>
      <c r="DM558" s="9"/>
      <c r="DN558" s="9"/>
      <c r="DO558" s="9"/>
      <c r="DP558" s="9"/>
      <c r="DQ558" s="9"/>
      <c r="DR558" s="9"/>
      <c r="DS558" s="9"/>
      <c r="DT558" s="9"/>
      <c r="DU558" s="9"/>
      <c r="DV558" s="9"/>
      <c r="DW558" s="9"/>
      <c r="DX558" s="9"/>
      <c r="DY558" s="9"/>
      <c r="DZ558" s="9"/>
      <c r="EA558" s="9"/>
      <c r="EB558" s="9"/>
      <c r="EC558" s="9"/>
      <c r="ED558" s="9"/>
      <c r="EE558" s="9"/>
      <c r="EF558" s="9"/>
    </row>
    <row r="559" spans="1:136" s="98" customFormat="1" ht="15.75" customHeight="1" x14ac:dyDescent="0.25">
      <c r="A559" s="93">
        <v>46234</v>
      </c>
      <c r="B559" s="94" t="s">
        <v>16</v>
      </c>
      <c r="C559" s="95">
        <v>6025</v>
      </c>
      <c r="D559" s="20"/>
      <c r="E559" s="99" t="s">
        <v>39</v>
      </c>
      <c r="F559" s="21">
        <v>2</v>
      </c>
      <c r="G559" s="100"/>
      <c r="H559" s="21">
        <v>60</v>
      </c>
      <c r="I559" s="11">
        <f t="shared" si="24"/>
        <v>120</v>
      </c>
      <c r="J559" s="21"/>
      <c r="K559" s="21"/>
      <c r="L559" s="13">
        <f t="shared" si="25"/>
        <v>120</v>
      </c>
      <c r="M559" s="24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  <c r="BU559" s="9"/>
      <c r="BV559" s="9"/>
      <c r="BW559" s="9"/>
      <c r="BX559" s="9"/>
      <c r="BY559" s="9"/>
      <c r="BZ559" s="9"/>
      <c r="CA559" s="9"/>
      <c r="CB559" s="9"/>
      <c r="CC559" s="9"/>
      <c r="CD559" s="9"/>
      <c r="CE559" s="9"/>
      <c r="CF559" s="9"/>
      <c r="CG559" s="9"/>
      <c r="CH559" s="9"/>
      <c r="CI559" s="9"/>
      <c r="CJ559" s="9"/>
      <c r="CK559" s="9"/>
      <c r="CL559" s="9"/>
      <c r="CM559" s="9"/>
      <c r="CN559" s="9"/>
      <c r="CO559" s="9"/>
      <c r="CP559" s="9"/>
      <c r="CQ559" s="9"/>
      <c r="CR559" s="9"/>
      <c r="CS559" s="9"/>
      <c r="CT559" s="9"/>
      <c r="CU559" s="9"/>
      <c r="CV559" s="9"/>
      <c r="CW559" s="9"/>
      <c r="CX559" s="9"/>
      <c r="CY559" s="9"/>
      <c r="CZ559" s="9"/>
      <c r="DA559" s="9"/>
      <c r="DB559" s="9"/>
      <c r="DC559" s="9"/>
      <c r="DD559" s="9"/>
      <c r="DE559" s="9"/>
      <c r="DF559" s="9"/>
      <c r="DG559" s="9"/>
      <c r="DH559" s="9"/>
      <c r="DI559" s="9"/>
      <c r="DJ559" s="9"/>
      <c r="DK559" s="9"/>
      <c r="DL559" s="9"/>
      <c r="DM559" s="9"/>
      <c r="DN559" s="9"/>
      <c r="DO559" s="9"/>
      <c r="DP559" s="9"/>
      <c r="DQ559" s="9"/>
      <c r="DR559" s="9"/>
      <c r="DS559" s="9"/>
      <c r="DT559" s="9"/>
      <c r="DU559" s="9"/>
      <c r="DV559" s="9"/>
      <c r="DW559" s="9"/>
      <c r="DX559" s="9"/>
      <c r="DY559" s="9"/>
      <c r="DZ559" s="9"/>
      <c r="EA559" s="9"/>
      <c r="EB559" s="9"/>
      <c r="EC559" s="9"/>
      <c r="ED559" s="9"/>
      <c r="EE559" s="9"/>
      <c r="EF559" s="9"/>
    </row>
    <row r="560" spans="1:136" s="98" customFormat="1" ht="15.75" customHeight="1" x14ac:dyDescent="0.25">
      <c r="A560" s="93">
        <v>46234</v>
      </c>
      <c r="B560" s="94" t="s">
        <v>16</v>
      </c>
      <c r="C560" s="95">
        <v>6025</v>
      </c>
      <c r="D560" s="20"/>
      <c r="E560" s="99" t="s">
        <v>44</v>
      </c>
      <c r="F560" s="21">
        <v>5</v>
      </c>
      <c r="G560" s="100"/>
      <c r="H560" s="21">
        <v>225</v>
      </c>
      <c r="I560" s="11">
        <f t="shared" si="24"/>
        <v>1125</v>
      </c>
      <c r="J560" s="21"/>
      <c r="K560" s="21"/>
      <c r="L560" s="13">
        <f t="shared" si="25"/>
        <v>1125</v>
      </c>
      <c r="M560" s="24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  <c r="BU560" s="9"/>
      <c r="BV560" s="9"/>
      <c r="BW560" s="9"/>
      <c r="BX560" s="9"/>
      <c r="BY560" s="9"/>
      <c r="BZ560" s="9"/>
      <c r="CA560" s="9"/>
      <c r="CB560" s="9"/>
      <c r="CC560" s="9"/>
      <c r="CD560" s="9"/>
      <c r="CE560" s="9"/>
      <c r="CF560" s="9"/>
      <c r="CG560" s="9"/>
      <c r="CH560" s="9"/>
      <c r="CI560" s="9"/>
      <c r="CJ560" s="9"/>
      <c r="CK560" s="9"/>
      <c r="CL560" s="9"/>
      <c r="CM560" s="9"/>
      <c r="CN560" s="9"/>
      <c r="CO560" s="9"/>
      <c r="CP560" s="9"/>
      <c r="CQ560" s="9"/>
      <c r="CR560" s="9"/>
      <c r="CS560" s="9"/>
      <c r="CT560" s="9"/>
      <c r="CU560" s="9"/>
      <c r="CV560" s="9"/>
      <c r="CW560" s="9"/>
      <c r="CX560" s="9"/>
      <c r="CY560" s="9"/>
      <c r="CZ560" s="9"/>
      <c r="DA560" s="9"/>
      <c r="DB560" s="9"/>
      <c r="DC560" s="9"/>
      <c r="DD560" s="9"/>
      <c r="DE560" s="9"/>
      <c r="DF560" s="9"/>
      <c r="DG560" s="9"/>
      <c r="DH560" s="9"/>
      <c r="DI560" s="9"/>
      <c r="DJ560" s="9"/>
      <c r="DK560" s="9"/>
      <c r="DL560" s="9"/>
      <c r="DM560" s="9"/>
      <c r="DN560" s="9"/>
      <c r="DO560" s="9"/>
      <c r="DP560" s="9"/>
      <c r="DQ560" s="9"/>
      <c r="DR560" s="9"/>
      <c r="DS560" s="9"/>
      <c r="DT560" s="9"/>
      <c r="DU560" s="9"/>
      <c r="DV560" s="9"/>
      <c r="DW560" s="9"/>
      <c r="DX560" s="9"/>
      <c r="DY560" s="9"/>
      <c r="DZ560" s="9"/>
      <c r="EA560" s="9"/>
      <c r="EB560" s="9"/>
      <c r="EC560" s="9"/>
      <c r="ED560" s="9"/>
      <c r="EE560" s="9"/>
      <c r="EF560" s="9"/>
    </row>
    <row r="561" spans="1:136" s="98" customFormat="1" ht="15.75" customHeight="1" x14ac:dyDescent="0.25">
      <c r="A561" s="93">
        <v>46234</v>
      </c>
      <c r="B561" s="94" t="s">
        <v>16</v>
      </c>
      <c r="C561" s="95">
        <v>6026</v>
      </c>
      <c r="D561" s="20"/>
      <c r="E561" s="99" t="s">
        <v>140</v>
      </c>
      <c r="F561" s="21">
        <f>113.93/105</f>
        <v>1.085047619047619</v>
      </c>
      <c r="G561" s="100"/>
      <c r="H561" s="21">
        <v>105</v>
      </c>
      <c r="I561" s="11">
        <f t="shared" si="24"/>
        <v>113.92999999999999</v>
      </c>
      <c r="J561" s="21"/>
      <c r="K561" s="21"/>
      <c r="L561" s="13">
        <f t="shared" si="25"/>
        <v>113.92999999999999</v>
      </c>
      <c r="M561" s="24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  <c r="BU561" s="9"/>
      <c r="BV561" s="9"/>
      <c r="BW561" s="9"/>
      <c r="BX561" s="9"/>
      <c r="BY561" s="9"/>
      <c r="BZ561" s="9"/>
      <c r="CA561" s="9"/>
      <c r="CB561" s="9"/>
      <c r="CC561" s="9"/>
      <c r="CD561" s="9"/>
      <c r="CE561" s="9"/>
      <c r="CF561" s="9"/>
      <c r="CG561" s="9"/>
      <c r="CH561" s="9"/>
      <c r="CI561" s="9"/>
      <c r="CJ561" s="9"/>
      <c r="CK561" s="9"/>
      <c r="CL561" s="9"/>
      <c r="CM561" s="9"/>
      <c r="CN561" s="9"/>
      <c r="CO561" s="9"/>
      <c r="CP561" s="9"/>
      <c r="CQ561" s="9"/>
      <c r="CR561" s="9"/>
      <c r="CS561" s="9"/>
      <c r="CT561" s="9"/>
      <c r="CU561" s="9"/>
      <c r="CV561" s="9"/>
      <c r="CW561" s="9"/>
      <c r="CX561" s="9"/>
      <c r="CY561" s="9"/>
      <c r="CZ561" s="9"/>
      <c r="DA561" s="9"/>
      <c r="DB561" s="9"/>
      <c r="DC561" s="9"/>
      <c r="DD561" s="9"/>
      <c r="DE561" s="9"/>
      <c r="DF561" s="9"/>
      <c r="DG561" s="9"/>
      <c r="DH561" s="9"/>
      <c r="DI561" s="9"/>
      <c r="DJ561" s="9"/>
      <c r="DK561" s="9"/>
      <c r="DL561" s="9"/>
      <c r="DM561" s="9"/>
      <c r="DN561" s="9"/>
      <c r="DO561" s="9"/>
      <c r="DP561" s="9"/>
      <c r="DQ561" s="9"/>
      <c r="DR561" s="9"/>
      <c r="DS561" s="9"/>
      <c r="DT561" s="9"/>
      <c r="DU561" s="9"/>
      <c r="DV561" s="9"/>
      <c r="DW561" s="9"/>
      <c r="DX561" s="9"/>
      <c r="DY561" s="9"/>
      <c r="DZ561" s="9"/>
      <c r="EA561" s="9"/>
      <c r="EB561" s="9"/>
      <c r="EC561" s="9"/>
      <c r="ED561" s="9"/>
      <c r="EE561" s="9"/>
      <c r="EF561" s="9"/>
    </row>
    <row r="562" spans="1:136" s="98" customFormat="1" ht="15.75" customHeight="1" x14ac:dyDescent="0.25">
      <c r="A562" s="93">
        <v>46234</v>
      </c>
      <c r="B562" s="94" t="s">
        <v>16</v>
      </c>
      <c r="C562" s="95">
        <v>6026</v>
      </c>
      <c r="D562" s="20"/>
      <c r="E562" s="99" t="s">
        <v>140</v>
      </c>
      <c r="F562" s="21">
        <v>1.0249999999999999</v>
      </c>
      <c r="G562" s="100"/>
      <c r="H562" s="21">
        <v>105</v>
      </c>
      <c r="I562" s="11">
        <f t="shared" si="24"/>
        <v>107.62499999999999</v>
      </c>
      <c r="J562" s="21"/>
      <c r="K562" s="21"/>
      <c r="L562" s="13">
        <f t="shared" si="25"/>
        <v>107.62499999999999</v>
      </c>
      <c r="M562" s="24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  <c r="BU562" s="9"/>
      <c r="BV562" s="9"/>
      <c r="BW562" s="9"/>
      <c r="BX562" s="9"/>
      <c r="BY562" s="9"/>
      <c r="BZ562" s="9"/>
      <c r="CA562" s="9"/>
      <c r="CB562" s="9"/>
      <c r="CC562" s="9"/>
      <c r="CD562" s="9"/>
      <c r="CE562" s="9"/>
      <c r="CF562" s="9"/>
      <c r="CG562" s="9"/>
      <c r="CH562" s="9"/>
      <c r="CI562" s="9"/>
      <c r="CJ562" s="9"/>
      <c r="CK562" s="9"/>
      <c r="CL562" s="9"/>
      <c r="CM562" s="9"/>
      <c r="CN562" s="9"/>
      <c r="CO562" s="9"/>
      <c r="CP562" s="9"/>
      <c r="CQ562" s="9"/>
      <c r="CR562" s="9"/>
      <c r="CS562" s="9"/>
      <c r="CT562" s="9"/>
      <c r="CU562" s="9"/>
      <c r="CV562" s="9"/>
      <c r="CW562" s="9"/>
      <c r="CX562" s="9"/>
      <c r="CY562" s="9"/>
      <c r="CZ562" s="9"/>
      <c r="DA562" s="9"/>
      <c r="DB562" s="9"/>
      <c r="DC562" s="9"/>
      <c r="DD562" s="9"/>
      <c r="DE562" s="9"/>
      <c r="DF562" s="9"/>
      <c r="DG562" s="9"/>
      <c r="DH562" s="9"/>
      <c r="DI562" s="9"/>
      <c r="DJ562" s="9"/>
      <c r="DK562" s="9"/>
      <c r="DL562" s="9"/>
      <c r="DM562" s="9"/>
      <c r="DN562" s="9"/>
      <c r="DO562" s="9"/>
      <c r="DP562" s="9"/>
      <c r="DQ562" s="9"/>
      <c r="DR562" s="9"/>
      <c r="DS562" s="9"/>
      <c r="DT562" s="9"/>
      <c r="DU562" s="9"/>
      <c r="DV562" s="9"/>
      <c r="DW562" s="9"/>
      <c r="DX562" s="9"/>
      <c r="DY562" s="9"/>
      <c r="DZ562" s="9"/>
      <c r="EA562" s="9"/>
      <c r="EB562" s="9"/>
      <c r="EC562" s="9"/>
      <c r="ED562" s="9"/>
      <c r="EE562" s="9"/>
      <c r="EF562" s="9"/>
    </row>
    <row r="563" spans="1:136" s="98" customFormat="1" ht="15.75" customHeight="1" x14ac:dyDescent="0.25">
      <c r="A563" s="93">
        <v>46234</v>
      </c>
      <c r="B563" s="94" t="s">
        <v>16</v>
      </c>
      <c r="C563" s="95">
        <v>6026</v>
      </c>
      <c r="D563" s="20"/>
      <c r="E563" s="99" t="s">
        <v>100</v>
      </c>
      <c r="F563" s="21">
        <v>2</v>
      </c>
      <c r="G563" s="100"/>
      <c r="H563" s="21">
        <v>43.25</v>
      </c>
      <c r="I563" s="11">
        <f t="shared" si="24"/>
        <v>86.5</v>
      </c>
      <c r="J563" s="21"/>
      <c r="K563" s="21"/>
      <c r="L563" s="13">
        <f t="shared" si="25"/>
        <v>86.5</v>
      </c>
      <c r="M563" s="24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  <c r="BU563" s="9"/>
      <c r="BV563" s="9"/>
      <c r="BW563" s="9"/>
      <c r="BX563" s="9"/>
      <c r="BY563" s="9"/>
      <c r="BZ563" s="9"/>
      <c r="CA563" s="9"/>
      <c r="CB563" s="9"/>
      <c r="CC563" s="9"/>
      <c r="CD563" s="9"/>
      <c r="CE563" s="9"/>
      <c r="CF563" s="9"/>
      <c r="CG563" s="9"/>
      <c r="CH563" s="9"/>
      <c r="CI563" s="9"/>
      <c r="CJ563" s="9"/>
      <c r="CK563" s="9"/>
      <c r="CL563" s="9"/>
      <c r="CM563" s="9"/>
      <c r="CN563" s="9"/>
      <c r="CO563" s="9"/>
      <c r="CP563" s="9"/>
      <c r="CQ563" s="9"/>
      <c r="CR563" s="9"/>
      <c r="CS563" s="9"/>
      <c r="CT563" s="9"/>
      <c r="CU563" s="9"/>
      <c r="CV563" s="9"/>
      <c r="CW563" s="9"/>
      <c r="CX563" s="9"/>
      <c r="CY563" s="9"/>
      <c r="CZ563" s="9"/>
      <c r="DA563" s="9"/>
      <c r="DB563" s="9"/>
      <c r="DC563" s="9"/>
      <c r="DD563" s="9"/>
      <c r="DE563" s="9"/>
      <c r="DF563" s="9"/>
      <c r="DG563" s="9"/>
      <c r="DH563" s="9"/>
      <c r="DI563" s="9"/>
      <c r="DJ563" s="9"/>
      <c r="DK563" s="9"/>
      <c r="DL563" s="9"/>
      <c r="DM563" s="9"/>
      <c r="DN563" s="9"/>
      <c r="DO563" s="9"/>
      <c r="DP563" s="9"/>
      <c r="DQ563" s="9"/>
      <c r="DR563" s="9"/>
      <c r="DS563" s="9"/>
      <c r="DT563" s="9"/>
      <c r="DU563" s="9"/>
      <c r="DV563" s="9"/>
      <c r="DW563" s="9"/>
      <c r="DX563" s="9"/>
      <c r="DY563" s="9"/>
      <c r="DZ563" s="9"/>
      <c r="EA563" s="9"/>
      <c r="EB563" s="9"/>
      <c r="EC563" s="9"/>
      <c r="ED563" s="9"/>
      <c r="EE563" s="9"/>
      <c r="EF563" s="9"/>
    </row>
    <row r="564" spans="1:136" s="98" customFormat="1" ht="15.75" customHeight="1" x14ac:dyDescent="0.25">
      <c r="A564" s="93">
        <v>46234</v>
      </c>
      <c r="B564" s="94" t="s">
        <v>16</v>
      </c>
      <c r="C564" s="95">
        <v>6026</v>
      </c>
      <c r="D564" s="20"/>
      <c r="E564" s="99" t="s">
        <v>136</v>
      </c>
      <c r="F564" s="21">
        <v>2</v>
      </c>
      <c r="G564" s="100"/>
      <c r="H564" s="21">
        <v>79</v>
      </c>
      <c r="I564" s="11">
        <f t="shared" si="24"/>
        <v>158</v>
      </c>
      <c r="J564" s="21"/>
      <c r="K564" s="21"/>
      <c r="L564" s="13">
        <f t="shared" si="25"/>
        <v>158</v>
      </c>
      <c r="M564" s="24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  <c r="BU564" s="9"/>
      <c r="BV564" s="9"/>
      <c r="BW564" s="9"/>
      <c r="BX564" s="9"/>
      <c r="BY564" s="9"/>
      <c r="BZ564" s="9"/>
      <c r="CA564" s="9"/>
      <c r="CB564" s="9"/>
      <c r="CC564" s="9"/>
      <c r="CD564" s="9"/>
      <c r="CE564" s="9"/>
      <c r="CF564" s="9"/>
      <c r="CG564" s="9"/>
      <c r="CH564" s="9"/>
      <c r="CI564" s="9"/>
      <c r="CJ564" s="9"/>
      <c r="CK564" s="9"/>
      <c r="CL564" s="9"/>
      <c r="CM564" s="9"/>
      <c r="CN564" s="9"/>
      <c r="CO564" s="9"/>
      <c r="CP564" s="9"/>
      <c r="CQ564" s="9"/>
      <c r="CR564" s="9"/>
      <c r="CS564" s="9"/>
      <c r="CT564" s="9"/>
      <c r="CU564" s="9"/>
      <c r="CV564" s="9"/>
      <c r="CW564" s="9"/>
      <c r="CX564" s="9"/>
      <c r="CY564" s="9"/>
      <c r="CZ564" s="9"/>
      <c r="DA564" s="9"/>
      <c r="DB564" s="9"/>
      <c r="DC564" s="9"/>
      <c r="DD564" s="9"/>
      <c r="DE564" s="9"/>
      <c r="DF564" s="9"/>
      <c r="DG564" s="9"/>
      <c r="DH564" s="9"/>
      <c r="DI564" s="9"/>
      <c r="DJ564" s="9"/>
      <c r="DK564" s="9"/>
      <c r="DL564" s="9"/>
      <c r="DM564" s="9"/>
      <c r="DN564" s="9"/>
      <c r="DO564" s="9"/>
      <c r="DP564" s="9"/>
      <c r="DQ564" s="9"/>
      <c r="DR564" s="9"/>
      <c r="DS564" s="9"/>
      <c r="DT564" s="9"/>
      <c r="DU564" s="9"/>
      <c r="DV564" s="9"/>
      <c r="DW564" s="9"/>
      <c r="DX564" s="9"/>
      <c r="DY564" s="9"/>
      <c r="DZ564" s="9"/>
      <c r="EA564" s="9"/>
      <c r="EB564" s="9"/>
      <c r="EC564" s="9"/>
      <c r="ED564" s="9"/>
      <c r="EE564" s="9"/>
      <c r="EF564" s="9"/>
    </row>
    <row r="565" spans="1:136" s="98" customFormat="1" ht="15.75" customHeight="1" x14ac:dyDescent="0.25">
      <c r="A565" s="93">
        <v>46234</v>
      </c>
      <c r="B565" s="94" t="s">
        <v>16</v>
      </c>
      <c r="C565" s="95">
        <v>6026</v>
      </c>
      <c r="D565" s="20"/>
      <c r="E565" s="99" t="s">
        <v>135</v>
      </c>
      <c r="F565" s="21">
        <v>4</v>
      </c>
      <c r="G565" s="100"/>
      <c r="H565" s="21">
        <v>37.75</v>
      </c>
      <c r="I565" s="11">
        <f t="shared" si="24"/>
        <v>151</v>
      </c>
      <c r="J565" s="21"/>
      <c r="K565" s="21"/>
      <c r="L565" s="13">
        <f t="shared" si="25"/>
        <v>151</v>
      </c>
      <c r="M565" s="24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  <c r="BU565" s="9"/>
      <c r="BV565" s="9"/>
      <c r="BW565" s="9"/>
      <c r="BX565" s="9"/>
      <c r="BY565" s="9"/>
      <c r="BZ565" s="9"/>
      <c r="CA565" s="9"/>
      <c r="CB565" s="9"/>
      <c r="CC565" s="9"/>
      <c r="CD565" s="9"/>
      <c r="CE565" s="9"/>
      <c r="CF565" s="9"/>
      <c r="CG565" s="9"/>
      <c r="CH565" s="9"/>
      <c r="CI565" s="9"/>
      <c r="CJ565" s="9"/>
      <c r="CK565" s="9"/>
      <c r="CL565" s="9"/>
      <c r="CM565" s="9"/>
      <c r="CN565" s="9"/>
      <c r="CO565" s="9"/>
      <c r="CP565" s="9"/>
      <c r="CQ565" s="9"/>
      <c r="CR565" s="9"/>
      <c r="CS565" s="9"/>
      <c r="CT565" s="9"/>
      <c r="CU565" s="9"/>
      <c r="CV565" s="9"/>
      <c r="CW565" s="9"/>
      <c r="CX565" s="9"/>
      <c r="CY565" s="9"/>
      <c r="CZ565" s="9"/>
      <c r="DA565" s="9"/>
      <c r="DB565" s="9"/>
      <c r="DC565" s="9"/>
      <c r="DD565" s="9"/>
      <c r="DE565" s="9"/>
      <c r="DF565" s="9"/>
      <c r="DG565" s="9"/>
      <c r="DH565" s="9"/>
      <c r="DI565" s="9"/>
      <c r="DJ565" s="9"/>
      <c r="DK565" s="9"/>
      <c r="DL565" s="9"/>
      <c r="DM565" s="9"/>
      <c r="DN565" s="9"/>
      <c r="DO565" s="9"/>
      <c r="DP565" s="9"/>
      <c r="DQ565" s="9"/>
      <c r="DR565" s="9"/>
      <c r="DS565" s="9"/>
      <c r="DT565" s="9"/>
      <c r="DU565" s="9"/>
      <c r="DV565" s="9"/>
      <c r="DW565" s="9"/>
      <c r="DX565" s="9"/>
      <c r="DY565" s="9"/>
      <c r="DZ565" s="9"/>
      <c r="EA565" s="9"/>
      <c r="EB565" s="9"/>
      <c r="EC565" s="9"/>
      <c r="ED565" s="9"/>
      <c r="EE565" s="9"/>
      <c r="EF565" s="9"/>
    </row>
    <row r="566" spans="1:136" s="98" customFormat="1" ht="15.75" customHeight="1" x14ac:dyDescent="0.25">
      <c r="A566" s="93">
        <v>46234</v>
      </c>
      <c r="B566" s="94" t="s">
        <v>16</v>
      </c>
      <c r="C566" s="95">
        <v>6026</v>
      </c>
      <c r="D566" s="20"/>
      <c r="E566" s="99" t="s">
        <v>282</v>
      </c>
      <c r="F566" s="21">
        <v>3</v>
      </c>
      <c r="G566" s="100"/>
      <c r="H566" s="21">
        <f>700/3</f>
        <v>233.33333333333334</v>
      </c>
      <c r="I566" s="11">
        <f t="shared" si="24"/>
        <v>700</v>
      </c>
      <c r="J566" s="21"/>
      <c r="K566" s="21"/>
      <c r="L566" s="13">
        <f t="shared" si="25"/>
        <v>700</v>
      </c>
      <c r="M566" s="24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  <c r="BU566" s="9"/>
      <c r="BV566" s="9"/>
      <c r="BW566" s="9"/>
      <c r="BX566" s="9"/>
      <c r="BY566" s="9"/>
      <c r="BZ566" s="9"/>
      <c r="CA566" s="9"/>
      <c r="CB566" s="9"/>
      <c r="CC566" s="9"/>
      <c r="CD566" s="9"/>
      <c r="CE566" s="9"/>
      <c r="CF566" s="9"/>
      <c r="CG566" s="9"/>
      <c r="CH566" s="9"/>
      <c r="CI566" s="9"/>
      <c r="CJ566" s="9"/>
      <c r="CK566" s="9"/>
      <c r="CL566" s="9"/>
      <c r="CM566" s="9"/>
      <c r="CN566" s="9"/>
      <c r="CO566" s="9"/>
      <c r="CP566" s="9"/>
      <c r="CQ566" s="9"/>
      <c r="CR566" s="9"/>
      <c r="CS566" s="9"/>
      <c r="CT566" s="9"/>
      <c r="CU566" s="9"/>
      <c r="CV566" s="9"/>
      <c r="CW566" s="9"/>
      <c r="CX566" s="9"/>
      <c r="CY566" s="9"/>
      <c r="CZ566" s="9"/>
      <c r="DA566" s="9"/>
      <c r="DB566" s="9"/>
      <c r="DC566" s="9"/>
      <c r="DD566" s="9"/>
      <c r="DE566" s="9"/>
      <c r="DF566" s="9"/>
      <c r="DG566" s="9"/>
      <c r="DH566" s="9"/>
      <c r="DI566" s="9"/>
      <c r="DJ566" s="9"/>
      <c r="DK566" s="9"/>
      <c r="DL566" s="9"/>
      <c r="DM566" s="9"/>
      <c r="DN566" s="9"/>
      <c r="DO566" s="9"/>
      <c r="DP566" s="9"/>
      <c r="DQ566" s="9"/>
      <c r="DR566" s="9"/>
      <c r="DS566" s="9"/>
      <c r="DT566" s="9"/>
      <c r="DU566" s="9"/>
      <c r="DV566" s="9"/>
      <c r="DW566" s="9"/>
      <c r="DX566" s="9"/>
      <c r="DY566" s="9"/>
      <c r="DZ566" s="9"/>
      <c r="EA566" s="9"/>
      <c r="EB566" s="9"/>
      <c r="EC566" s="9"/>
      <c r="ED566" s="9"/>
      <c r="EE566" s="9"/>
      <c r="EF566" s="9"/>
    </row>
    <row r="567" spans="1:136" s="98" customFormat="1" ht="15.75" customHeight="1" x14ac:dyDescent="0.25">
      <c r="A567" s="93">
        <v>46234</v>
      </c>
      <c r="B567" s="94" t="s">
        <v>16</v>
      </c>
      <c r="C567" s="95">
        <v>6026</v>
      </c>
      <c r="D567" s="20"/>
      <c r="E567" s="99" t="s">
        <v>61</v>
      </c>
      <c r="F567" s="21">
        <v>10</v>
      </c>
      <c r="G567" s="100"/>
      <c r="H567" s="21">
        <f>3100/10</f>
        <v>310</v>
      </c>
      <c r="I567" s="11">
        <f t="shared" si="24"/>
        <v>3100</v>
      </c>
      <c r="J567" s="21"/>
      <c r="K567" s="21"/>
      <c r="L567" s="13">
        <f t="shared" si="25"/>
        <v>3100</v>
      </c>
      <c r="M567" s="24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  <c r="BU567" s="9"/>
      <c r="BV567" s="9"/>
      <c r="BW567" s="9"/>
      <c r="BX567" s="9"/>
      <c r="BY567" s="9"/>
      <c r="BZ567" s="9"/>
      <c r="CA567" s="9"/>
      <c r="CB567" s="9"/>
      <c r="CC567" s="9"/>
      <c r="CD567" s="9"/>
      <c r="CE567" s="9"/>
      <c r="CF567" s="9"/>
      <c r="CG567" s="9"/>
      <c r="CH567" s="9"/>
      <c r="CI567" s="9"/>
      <c r="CJ567" s="9"/>
      <c r="CK567" s="9"/>
      <c r="CL567" s="9"/>
      <c r="CM567" s="9"/>
      <c r="CN567" s="9"/>
      <c r="CO567" s="9"/>
      <c r="CP567" s="9"/>
      <c r="CQ567" s="9"/>
      <c r="CR567" s="9"/>
      <c r="CS567" s="9"/>
      <c r="CT567" s="9"/>
      <c r="CU567" s="9"/>
      <c r="CV567" s="9"/>
      <c r="CW567" s="9"/>
      <c r="CX567" s="9"/>
      <c r="CY567" s="9"/>
      <c r="CZ567" s="9"/>
      <c r="DA567" s="9"/>
      <c r="DB567" s="9"/>
      <c r="DC567" s="9"/>
      <c r="DD567" s="9"/>
      <c r="DE567" s="9"/>
      <c r="DF567" s="9"/>
      <c r="DG567" s="9"/>
      <c r="DH567" s="9"/>
      <c r="DI567" s="9"/>
      <c r="DJ567" s="9"/>
      <c r="DK567" s="9"/>
      <c r="DL567" s="9"/>
      <c r="DM567" s="9"/>
      <c r="DN567" s="9"/>
      <c r="DO567" s="9"/>
      <c r="DP567" s="9"/>
      <c r="DQ567" s="9"/>
      <c r="DR567" s="9"/>
      <c r="DS567" s="9"/>
      <c r="DT567" s="9"/>
      <c r="DU567" s="9"/>
      <c r="DV567" s="9"/>
      <c r="DW567" s="9"/>
      <c r="DX567" s="9"/>
      <c r="DY567" s="9"/>
      <c r="DZ567" s="9"/>
      <c r="EA567" s="9"/>
      <c r="EB567" s="9"/>
      <c r="EC567" s="9"/>
      <c r="ED567" s="9"/>
      <c r="EE567" s="9"/>
      <c r="EF567" s="9"/>
    </row>
    <row r="568" spans="1:136" s="98" customFormat="1" ht="15.75" customHeight="1" x14ac:dyDescent="0.25">
      <c r="A568" s="93">
        <v>46234</v>
      </c>
      <c r="B568" s="94" t="s">
        <v>16</v>
      </c>
      <c r="C568" s="95">
        <v>6026</v>
      </c>
      <c r="D568" s="20"/>
      <c r="E568" s="99" t="s">
        <v>63</v>
      </c>
      <c r="F568" s="21">
        <v>2</v>
      </c>
      <c r="G568" s="100"/>
      <c r="H568" s="21">
        <v>290</v>
      </c>
      <c r="I568" s="11">
        <f t="shared" si="24"/>
        <v>580</v>
      </c>
      <c r="J568" s="21"/>
      <c r="K568" s="21"/>
      <c r="L568" s="13">
        <f t="shared" si="25"/>
        <v>580</v>
      </c>
      <c r="M568" s="24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  <c r="BU568" s="9"/>
      <c r="BV568" s="9"/>
      <c r="BW568" s="9"/>
      <c r="BX568" s="9"/>
      <c r="BY568" s="9"/>
      <c r="BZ568" s="9"/>
      <c r="CA568" s="9"/>
      <c r="CB568" s="9"/>
      <c r="CC568" s="9"/>
      <c r="CD568" s="9"/>
      <c r="CE568" s="9"/>
      <c r="CF568" s="9"/>
      <c r="CG568" s="9"/>
      <c r="CH568" s="9"/>
      <c r="CI568" s="9"/>
      <c r="CJ568" s="9"/>
      <c r="CK568" s="9"/>
      <c r="CL568" s="9"/>
      <c r="CM568" s="9"/>
      <c r="CN568" s="9"/>
      <c r="CO568" s="9"/>
      <c r="CP568" s="9"/>
      <c r="CQ568" s="9"/>
      <c r="CR568" s="9"/>
      <c r="CS568" s="9"/>
      <c r="CT568" s="9"/>
      <c r="CU568" s="9"/>
      <c r="CV568" s="9"/>
      <c r="CW568" s="9"/>
      <c r="CX568" s="9"/>
      <c r="CY568" s="9"/>
      <c r="CZ568" s="9"/>
      <c r="DA568" s="9"/>
      <c r="DB568" s="9"/>
      <c r="DC568" s="9"/>
      <c r="DD568" s="9"/>
      <c r="DE568" s="9"/>
      <c r="DF568" s="9"/>
      <c r="DG568" s="9"/>
      <c r="DH568" s="9"/>
      <c r="DI568" s="9"/>
      <c r="DJ568" s="9"/>
      <c r="DK568" s="9"/>
      <c r="DL568" s="9"/>
      <c r="DM568" s="9"/>
      <c r="DN568" s="9"/>
      <c r="DO568" s="9"/>
      <c r="DP568" s="9"/>
      <c r="DQ568" s="9"/>
      <c r="DR568" s="9"/>
      <c r="DS568" s="9"/>
      <c r="DT568" s="9"/>
      <c r="DU568" s="9"/>
      <c r="DV568" s="9"/>
      <c r="DW568" s="9"/>
      <c r="DX568" s="9"/>
      <c r="DY568" s="9"/>
      <c r="DZ568" s="9"/>
      <c r="EA568" s="9"/>
      <c r="EB568" s="9"/>
      <c r="EC568" s="9"/>
      <c r="ED568" s="9"/>
      <c r="EE568" s="9"/>
      <c r="EF568" s="9"/>
    </row>
    <row r="569" spans="1:136" s="98" customFormat="1" ht="15.75" customHeight="1" x14ac:dyDescent="0.25">
      <c r="A569" s="93">
        <v>46234</v>
      </c>
      <c r="B569" s="94" t="s">
        <v>16</v>
      </c>
      <c r="C569" s="95">
        <v>6026</v>
      </c>
      <c r="D569" s="20"/>
      <c r="E569" s="99" t="s">
        <v>25</v>
      </c>
      <c r="F569" s="21">
        <v>2</v>
      </c>
      <c r="G569" s="100"/>
      <c r="H569" s="21">
        <v>60</v>
      </c>
      <c r="I569" s="11">
        <f t="shared" si="24"/>
        <v>120</v>
      </c>
      <c r="J569" s="21"/>
      <c r="K569" s="21"/>
      <c r="L569" s="13">
        <f t="shared" si="25"/>
        <v>120</v>
      </c>
      <c r="M569" s="24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  <c r="BU569" s="9"/>
      <c r="BV569" s="9"/>
      <c r="BW569" s="9"/>
      <c r="BX569" s="9"/>
      <c r="BY569" s="9"/>
      <c r="BZ569" s="9"/>
      <c r="CA569" s="9"/>
      <c r="CB569" s="9"/>
      <c r="CC569" s="9"/>
      <c r="CD569" s="9"/>
      <c r="CE569" s="9"/>
      <c r="CF569" s="9"/>
      <c r="CG569" s="9"/>
      <c r="CH569" s="9"/>
      <c r="CI569" s="9"/>
      <c r="CJ569" s="9"/>
      <c r="CK569" s="9"/>
      <c r="CL569" s="9"/>
      <c r="CM569" s="9"/>
      <c r="CN569" s="9"/>
      <c r="CO569" s="9"/>
      <c r="CP569" s="9"/>
      <c r="CQ569" s="9"/>
      <c r="CR569" s="9"/>
      <c r="CS569" s="9"/>
      <c r="CT569" s="9"/>
      <c r="CU569" s="9"/>
      <c r="CV569" s="9"/>
      <c r="CW569" s="9"/>
      <c r="CX569" s="9"/>
      <c r="CY569" s="9"/>
      <c r="CZ569" s="9"/>
      <c r="DA569" s="9"/>
      <c r="DB569" s="9"/>
      <c r="DC569" s="9"/>
      <c r="DD569" s="9"/>
      <c r="DE569" s="9"/>
      <c r="DF569" s="9"/>
      <c r="DG569" s="9"/>
      <c r="DH569" s="9"/>
      <c r="DI569" s="9"/>
      <c r="DJ569" s="9"/>
      <c r="DK569" s="9"/>
      <c r="DL569" s="9"/>
      <c r="DM569" s="9"/>
      <c r="DN569" s="9"/>
      <c r="DO569" s="9"/>
      <c r="DP569" s="9"/>
      <c r="DQ569" s="9"/>
      <c r="DR569" s="9"/>
      <c r="DS569" s="9"/>
      <c r="DT569" s="9"/>
      <c r="DU569" s="9"/>
      <c r="DV569" s="9"/>
      <c r="DW569" s="9"/>
      <c r="DX569" s="9"/>
      <c r="DY569" s="9"/>
      <c r="DZ569" s="9"/>
      <c r="EA569" s="9"/>
      <c r="EB569" s="9"/>
      <c r="EC569" s="9"/>
      <c r="ED569" s="9"/>
      <c r="EE569" s="9"/>
      <c r="EF569" s="9"/>
    </row>
    <row r="570" spans="1:136" s="98" customFormat="1" ht="15.75" customHeight="1" x14ac:dyDescent="0.25">
      <c r="A570" s="93">
        <v>46234</v>
      </c>
      <c r="B570" s="94" t="s">
        <v>16</v>
      </c>
      <c r="C570" s="95">
        <v>6026</v>
      </c>
      <c r="D570" s="20"/>
      <c r="E570" s="99" t="s">
        <v>123</v>
      </c>
      <c r="F570" s="21">
        <f>130/60</f>
        <v>2.1666666666666665</v>
      </c>
      <c r="G570" s="100"/>
      <c r="H570" s="21">
        <v>60</v>
      </c>
      <c r="I570" s="11">
        <f t="shared" si="24"/>
        <v>130</v>
      </c>
      <c r="J570" s="21"/>
      <c r="K570" s="21"/>
      <c r="L570" s="13">
        <f t="shared" si="25"/>
        <v>130</v>
      </c>
      <c r="M570" s="24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  <c r="BU570" s="9"/>
      <c r="BV570" s="9"/>
      <c r="BW570" s="9"/>
      <c r="BX570" s="9"/>
      <c r="BY570" s="9"/>
      <c r="BZ570" s="9"/>
      <c r="CA570" s="9"/>
      <c r="CB570" s="9"/>
      <c r="CC570" s="9"/>
      <c r="CD570" s="9"/>
      <c r="CE570" s="9"/>
      <c r="CF570" s="9"/>
      <c r="CG570" s="9"/>
      <c r="CH570" s="9"/>
      <c r="CI570" s="9"/>
      <c r="CJ570" s="9"/>
      <c r="CK570" s="9"/>
      <c r="CL570" s="9"/>
      <c r="CM570" s="9"/>
      <c r="CN570" s="9"/>
      <c r="CO570" s="9"/>
      <c r="CP570" s="9"/>
      <c r="CQ570" s="9"/>
      <c r="CR570" s="9"/>
      <c r="CS570" s="9"/>
      <c r="CT570" s="9"/>
      <c r="CU570" s="9"/>
      <c r="CV570" s="9"/>
      <c r="CW570" s="9"/>
      <c r="CX570" s="9"/>
      <c r="CY570" s="9"/>
      <c r="CZ570" s="9"/>
      <c r="DA570" s="9"/>
      <c r="DB570" s="9"/>
      <c r="DC570" s="9"/>
      <c r="DD570" s="9"/>
      <c r="DE570" s="9"/>
      <c r="DF570" s="9"/>
      <c r="DG570" s="9"/>
      <c r="DH570" s="9"/>
      <c r="DI570" s="9"/>
      <c r="DJ570" s="9"/>
      <c r="DK570" s="9"/>
      <c r="DL570" s="9"/>
      <c r="DM570" s="9"/>
      <c r="DN570" s="9"/>
      <c r="DO570" s="9"/>
      <c r="DP570" s="9"/>
      <c r="DQ570" s="9"/>
      <c r="DR570" s="9"/>
      <c r="DS570" s="9"/>
      <c r="DT570" s="9"/>
      <c r="DU570" s="9"/>
      <c r="DV570" s="9"/>
      <c r="DW570" s="9"/>
      <c r="DX570" s="9"/>
      <c r="DY570" s="9"/>
      <c r="DZ570" s="9"/>
      <c r="EA570" s="9"/>
      <c r="EB570" s="9"/>
      <c r="EC570" s="9"/>
      <c r="ED570" s="9"/>
      <c r="EE570" s="9"/>
      <c r="EF570" s="9"/>
    </row>
    <row r="571" spans="1:136" s="98" customFormat="1" ht="15.75" customHeight="1" x14ac:dyDescent="0.25">
      <c r="A571" s="93">
        <v>46234</v>
      </c>
      <c r="B571" s="94" t="s">
        <v>16</v>
      </c>
      <c r="C571" s="95">
        <v>6026</v>
      </c>
      <c r="D571" s="20"/>
      <c r="E571" s="99" t="s">
        <v>70</v>
      </c>
      <c r="F571" s="21">
        <v>1</v>
      </c>
      <c r="G571" s="100"/>
      <c r="H571" s="21">
        <v>90</v>
      </c>
      <c r="I571" s="11">
        <f t="shared" si="24"/>
        <v>90</v>
      </c>
      <c r="J571" s="21"/>
      <c r="K571" s="21"/>
      <c r="L571" s="13">
        <f t="shared" si="25"/>
        <v>90</v>
      </c>
      <c r="M571" s="24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  <c r="BU571" s="9"/>
      <c r="BV571" s="9"/>
      <c r="BW571" s="9"/>
      <c r="BX571" s="9"/>
      <c r="BY571" s="9"/>
      <c r="BZ571" s="9"/>
      <c r="CA571" s="9"/>
      <c r="CB571" s="9"/>
      <c r="CC571" s="9"/>
      <c r="CD571" s="9"/>
      <c r="CE571" s="9"/>
      <c r="CF571" s="9"/>
      <c r="CG571" s="9"/>
      <c r="CH571" s="9"/>
      <c r="CI571" s="9"/>
      <c r="CJ571" s="9"/>
      <c r="CK571" s="9"/>
      <c r="CL571" s="9"/>
      <c r="CM571" s="9"/>
      <c r="CN571" s="9"/>
      <c r="CO571" s="9"/>
      <c r="CP571" s="9"/>
      <c r="CQ571" s="9"/>
      <c r="CR571" s="9"/>
      <c r="CS571" s="9"/>
      <c r="CT571" s="9"/>
      <c r="CU571" s="9"/>
      <c r="CV571" s="9"/>
      <c r="CW571" s="9"/>
      <c r="CX571" s="9"/>
      <c r="CY571" s="9"/>
      <c r="CZ571" s="9"/>
      <c r="DA571" s="9"/>
      <c r="DB571" s="9"/>
      <c r="DC571" s="9"/>
      <c r="DD571" s="9"/>
      <c r="DE571" s="9"/>
      <c r="DF571" s="9"/>
      <c r="DG571" s="9"/>
      <c r="DH571" s="9"/>
      <c r="DI571" s="9"/>
      <c r="DJ571" s="9"/>
      <c r="DK571" s="9"/>
      <c r="DL571" s="9"/>
      <c r="DM571" s="9"/>
      <c r="DN571" s="9"/>
      <c r="DO571" s="9"/>
      <c r="DP571" s="9"/>
      <c r="DQ571" s="9"/>
      <c r="DR571" s="9"/>
      <c r="DS571" s="9"/>
      <c r="DT571" s="9"/>
      <c r="DU571" s="9"/>
      <c r="DV571" s="9"/>
      <c r="DW571" s="9"/>
      <c r="DX571" s="9"/>
      <c r="DY571" s="9"/>
      <c r="DZ571" s="9"/>
      <c r="EA571" s="9"/>
      <c r="EB571" s="9"/>
      <c r="EC571" s="9"/>
      <c r="ED571" s="9"/>
      <c r="EE571" s="9"/>
      <c r="EF571" s="9"/>
    </row>
    <row r="572" spans="1:136" s="98" customFormat="1" ht="15.75" customHeight="1" x14ac:dyDescent="0.25">
      <c r="A572" s="93">
        <v>46234</v>
      </c>
      <c r="B572" s="94" t="s">
        <v>16</v>
      </c>
      <c r="C572" s="95">
        <v>6026</v>
      </c>
      <c r="D572" s="20"/>
      <c r="E572" s="99" t="s">
        <v>182</v>
      </c>
      <c r="F572" s="21">
        <v>1</v>
      </c>
      <c r="G572" s="100"/>
      <c r="H572" s="21">
        <v>60</v>
      </c>
      <c r="I572" s="11">
        <f t="shared" si="24"/>
        <v>60</v>
      </c>
      <c r="J572" s="21"/>
      <c r="K572" s="21"/>
      <c r="L572" s="13">
        <f t="shared" si="25"/>
        <v>60</v>
      </c>
      <c r="M572" s="24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  <c r="BU572" s="9"/>
      <c r="BV572" s="9"/>
      <c r="BW572" s="9"/>
      <c r="BX572" s="9"/>
      <c r="BY572" s="9"/>
      <c r="BZ572" s="9"/>
      <c r="CA572" s="9"/>
      <c r="CB572" s="9"/>
      <c r="CC572" s="9"/>
      <c r="CD572" s="9"/>
      <c r="CE572" s="9"/>
      <c r="CF572" s="9"/>
      <c r="CG572" s="9"/>
      <c r="CH572" s="9"/>
      <c r="CI572" s="9"/>
      <c r="CJ572" s="9"/>
      <c r="CK572" s="9"/>
      <c r="CL572" s="9"/>
      <c r="CM572" s="9"/>
      <c r="CN572" s="9"/>
      <c r="CO572" s="9"/>
      <c r="CP572" s="9"/>
      <c r="CQ572" s="9"/>
      <c r="CR572" s="9"/>
      <c r="CS572" s="9"/>
      <c r="CT572" s="9"/>
      <c r="CU572" s="9"/>
      <c r="CV572" s="9"/>
      <c r="CW572" s="9"/>
      <c r="CX572" s="9"/>
      <c r="CY572" s="9"/>
      <c r="CZ572" s="9"/>
      <c r="DA572" s="9"/>
      <c r="DB572" s="9"/>
      <c r="DC572" s="9"/>
      <c r="DD572" s="9"/>
      <c r="DE572" s="9"/>
      <c r="DF572" s="9"/>
      <c r="DG572" s="9"/>
      <c r="DH572" s="9"/>
      <c r="DI572" s="9"/>
      <c r="DJ572" s="9"/>
      <c r="DK572" s="9"/>
      <c r="DL572" s="9"/>
      <c r="DM572" s="9"/>
      <c r="DN572" s="9"/>
      <c r="DO572" s="9"/>
      <c r="DP572" s="9"/>
      <c r="DQ572" s="9"/>
      <c r="DR572" s="9"/>
      <c r="DS572" s="9"/>
      <c r="DT572" s="9"/>
      <c r="DU572" s="9"/>
      <c r="DV572" s="9"/>
      <c r="DW572" s="9"/>
      <c r="DX572" s="9"/>
      <c r="DY572" s="9"/>
      <c r="DZ572" s="9"/>
      <c r="EA572" s="9"/>
      <c r="EB572" s="9"/>
      <c r="EC572" s="9"/>
      <c r="ED572" s="9"/>
      <c r="EE572" s="9"/>
      <c r="EF572" s="9"/>
    </row>
    <row r="573" spans="1:136" s="98" customFormat="1" ht="15.75" customHeight="1" x14ac:dyDescent="0.25">
      <c r="A573" s="93">
        <v>46234</v>
      </c>
      <c r="B573" s="94" t="s">
        <v>16</v>
      </c>
      <c r="C573" s="95">
        <v>6026</v>
      </c>
      <c r="D573" s="20"/>
      <c r="E573" s="99" t="s">
        <v>42</v>
      </c>
      <c r="F573" s="21">
        <v>1</v>
      </c>
      <c r="G573" s="100"/>
      <c r="H573" s="21">
        <v>60</v>
      </c>
      <c r="I573" s="11">
        <f t="shared" si="24"/>
        <v>60</v>
      </c>
      <c r="J573" s="21"/>
      <c r="K573" s="21"/>
      <c r="L573" s="13">
        <f t="shared" si="25"/>
        <v>60</v>
      </c>
      <c r="M573" s="24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  <c r="BU573" s="9"/>
      <c r="BV573" s="9"/>
      <c r="BW573" s="9"/>
      <c r="BX573" s="9"/>
      <c r="BY573" s="9"/>
      <c r="BZ573" s="9"/>
      <c r="CA573" s="9"/>
      <c r="CB573" s="9"/>
      <c r="CC573" s="9"/>
      <c r="CD573" s="9"/>
      <c r="CE573" s="9"/>
      <c r="CF573" s="9"/>
      <c r="CG573" s="9"/>
      <c r="CH573" s="9"/>
      <c r="CI573" s="9"/>
      <c r="CJ573" s="9"/>
      <c r="CK573" s="9"/>
      <c r="CL573" s="9"/>
      <c r="CM573" s="9"/>
      <c r="CN573" s="9"/>
      <c r="CO573" s="9"/>
      <c r="CP573" s="9"/>
      <c r="CQ573" s="9"/>
      <c r="CR573" s="9"/>
      <c r="CS573" s="9"/>
      <c r="CT573" s="9"/>
      <c r="CU573" s="9"/>
      <c r="CV573" s="9"/>
      <c r="CW573" s="9"/>
      <c r="CX573" s="9"/>
      <c r="CY573" s="9"/>
      <c r="CZ573" s="9"/>
      <c r="DA573" s="9"/>
      <c r="DB573" s="9"/>
      <c r="DC573" s="9"/>
      <c r="DD573" s="9"/>
      <c r="DE573" s="9"/>
      <c r="DF573" s="9"/>
      <c r="DG573" s="9"/>
      <c r="DH573" s="9"/>
      <c r="DI573" s="9"/>
      <c r="DJ573" s="9"/>
      <c r="DK573" s="9"/>
      <c r="DL573" s="9"/>
      <c r="DM573" s="9"/>
      <c r="DN573" s="9"/>
      <c r="DO573" s="9"/>
      <c r="DP573" s="9"/>
      <c r="DQ573" s="9"/>
      <c r="DR573" s="9"/>
      <c r="DS573" s="9"/>
      <c r="DT573" s="9"/>
      <c r="DU573" s="9"/>
      <c r="DV573" s="9"/>
      <c r="DW573" s="9"/>
      <c r="DX573" s="9"/>
      <c r="DY573" s="9"/>
      <c r="DZ573" s="9"/>
      <c r="EA573" s="9"/>
      <c r="EB573" s="9"/>
      <c r="EC573" s="9"/>
      <c r="ED573" s="9"/>
      <c r="EE573" s="9"/>
      <c r="EF573" s="9"/>
    </row>
    <row r="574" spans="1:136" s="98" customFormat="1" ht="15.75" customHeight="1" x14ac:dyDescent="0.25">
      <c r="A574" s="93">
        <v>46234</v>
      </c>
      <c r="B574" s="94" t="s">
        <v>16</v>
      </c>
      <c r="C574" s="95">
        <v>6027</v>
      </c>
      <c r="D574" s="20"/>
      <c r="E574" s="99" t="s">
        <v>132</v>
      </c>
      <c r="F574" s="21">
        <v>2</v>
      </c>
      <c r="G574" s="100"/>
      <c r="H574" s="21">
        <v>500</v>
      </c>
      <c r="I574" s="11">
        <f t="shared" si="24"/>
        <v>1000</v>
      </c>
      <c r="J574" s="21"/>
      <c r="K574" s="21"/>
      <c r="L574" s="13">
        <f t="shared" si="25"/>
        <v>1000</v>
      </c>
      <c r="M574" s="24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  <c r="BU574" s="9"/>
      <c r="BV574" s="9"/>
      <c r="BW574" s="9"/>
      <c r="BX574" s="9"/>
      <c r="BY574" s="9"/>
      <c r="BZ574" s="9"/>
      <c r="CA574" s="9"/>
      <c r="CB574" s="9"/>
      <c r="CC574" s="9"/>
      <c r="CD574" s="9"/>
      <c r="CE574" s="9"/>
      <c r="CF574" s="9"/>
      <c r="CG574" s="9"/>
      <c r="CH574" s="9"/>
      <c r="CI574" s="9"/>
      <c r="CJ574" s="9"/>
      <c r="CK574" s="9"/>
      <c r="CL574" s="9"/>
      <c r="CM574" s="9"/>
      <c r="CN574" s="9"/>
      <c r="CO574" s="9"/>
      <c r="CP574" s="9"/>
      <c r="CQ574" s="9"/>
      <c r="CR574" s="9"/>
      <c r="CS574" s="9"/>
      <c r="CT574" s="9"/>
      <c r="CU574" s="9"/>
      <c r="CV574" s="9"/>
      <c r="CW574" s="9"/>
      <c r="CX574" s="9"/>
      <c r="CY574" s="9"/>
      <c r="CZ574" s="9"/>
      <c r="DA574" s="9"/>
      <c r="DB574" s="9"/>
      <c r="DC574" s="9"/>
      <c r="DD574" s="9"/>
      <c r="DE574" s="9"/>
      <c r="DF574" s="9"/>
      <c r="DG574" s="9"/>
      <c r="DH574" s="9"/>
      <c r="DI574" s="9"/>
      <c r="DJ574" s="9"/>
      <c r="DK574" s="9"/>
      <c r="DL574" s="9"/>
      <c r="DM574" s="9"/>
      <c r="DN574" s="9"/>
      <c r="DO574" s="9"/>
      <c r="DP574" s="9"/>
      <c r="DQ574" s="9"/>
      <c r="DR574" s="9"/>
      <c r="DS574" s="9"/>
      <c r="DT574" s="9"/>
      <c r="DU574" s="9"/>
      <c r="DV574" s="9"/>
      <c r="DW574" s="9"/>
      <c r="DX574" s="9"/>
      <c r="DY574" s="9"/>
      <c r="DZ574" s="9"/>
      <c r="EA574" s="9"/>
      <c r="EB574" s="9"/>
      <c r="EC574" s="9"/>
      <c r="ED574" s="9"/>
      <c r="EE574" s="9"/>
      <c r="EF574" s="9"/>
    </row>
    <row r="575" spans="1:136" s="98" customFormat="1" ht="15.75" customHeight="1" x14ac:dyDescent="0.25">
      <c r="A575" s="93">
        <v>46234</v>
      </c>
      <c r="B575" s="94" t="s">
        <v>16</v>
      </c>
      <c r="C575" s="95">
        <v>6027</v>
      </c>
      <c r="D575" s="20"/>
      <c r="E575" s="99" t="s">
        <v>210</v>
      </c>
      <c r="F575" s="21">
        <f>617/190</f>
        <v>3.2473684210526317</v>
      </c>
      <c r="G575" s="100"/>
      <c r="H575" s="21">
        <v>190</v>
      </c>
      <c r="I575" s="11">
        <f t="shared" si="24"/>
        <v>617</v>
      </c>
      <c r="J575" s="21"/>
      <c r="K575" s="21"/>
      <c r="L575" s="13">
        <f t="shared" si="25"/>
        <v>617</v>
      </c>
      <c r="M575" s="24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  <c r="BU575" s="9"/>
      <c r="BV575" s="9"/>
      <c r="BW575" s="9"/>
      <c r="BX575" s="9"/>
      <c r="BY575" s="9"/>
      <c r="BZ575" s="9"/>
      <c r="CA575" s="9"/>
      <c r="CB575" s="9"/>
      <c r="CC575" s="9"/>
      <c r="CD575" s="9"/>
      <c r="CE575" s="9"/>
      <c r="CF575" s="9"/>
      <c r="CG575" s="9"/>
      <c r="CH575" s="9"/>
      <c r="CI575" s="9"/>
      <c r="CJ575" s="9"/>
      <c r="CK575" s="9"/>
      <c r="CL575" s="9"/>
      <c r="CM575" s="9"/>
      <c r="CN575" s="9"/>
      <c r="CO575" s="9"/>
      <c r="CP575" s="9"/>
      <c r="CQ575" s="9"/>
      <c r="CR575" s="9"/>
      <c r="CS575" s="9"/>
      <c r="CT575" s="9"/>
      <c r="CU575" s="9"/>
      <c r="CV575" s="9"/>
      <c r="CW575" s="9"/>
      <c r="CX575" s="9"/>
      <c r="CY575" s="9"/>
      <c r="CZ575" s="9"/>
      <c r="DA575" s="9"/>
      <c r="DB575" s="9"/>
      <c r="DC575" s="9"/>
      <c r="DD575" s="9"/>
      <c r="DE575" s="9"/>
      <c r="DF575" s="9"/>
      <c r="DG575" s="9"/>
      <c r="DH575" s="9"/>
      <c r="DI575" s="9"/>
      <c r="DJ575" s="9"/>
      <c r="DK575" s="9"/>
      <c r="DL575" s="9"/>
      <c r="DM575" s="9"/>
      <c r="DN575" s="9"/>
      <c r="DO575" s="9"/>
      <c r="DP575" s="9"/>
      <c r="DQ575" s="9"/>
      <c r="DR575" s="9"/>
      <c r="DS575" s="9"/>
      <c r="DT575" s="9"/>
      <c r="DU575" s="9"/>
      <c r="DV575" s="9"/>
      <c r="DW575" s="9"/>
      <c r="DX575" s="9"/>
      <c r="DY575" s="9"/>
      <c r="DZ575" s="9"/>
      <c r="EA575" s="9"/>
      <c r="EB575" s="9"/>
      <c r="EC575" s="9"/>
      <c r="ED575" s="9"/>
      <c r="EE575" s="9"/>
      <c r="EF575" s="9"/>
    </row>
    <row r="576" spans="1:136" s="98" customFormat="1" ht="15.75" customHeight="1" x14ac:dyDescent="0.25">
      <c r="A576" s="93">
        <v>46234</v>
      </c>
      <c r="B576" s="94" t="s">
        <v>16</v>
      </c>
      <c r="C576" s="95">
        <v>6027</v>
      </c>
      <c r="D576" s="20"/>
      <c r="E576" s="99" t="s">
        <v>283</v>
      </c>
      <c r="F576" s="21">
        <v>2.75</v>
      </c>
      <c r="G576" s="100"/>
      <c r="H576" s="21">
        <f>440/2.75</f>
        <v>160</v>
      </c>
      <c r="I576" s="11">
        <f t="shared" si="24"/>
        <v>440</v>
      </c>
      <c r="J576" s="21"/>
      <c r="K576" s="21"/>
      <c r="L576" s="13">
        <f t="shared" si="25"/>
        <v>440</v>
      </c>
      <c r="M576" s="24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  <c r="BU576" s="9"/>
      <c r="BV576" s="9"/>
      <c r="BW576" s="9"/>
      <c r="BX576" s="9"/>
      <c r="BY576" s="9"/>
      <c r="BZ576" s="9"/>
      <c r="CA576" s="9"/>
      <c r="CB576" s="9"/>
      <c r="CC576" s="9"/>
      <c r="CD576" s="9"/>
      <c r="CE576" s="9"/>
      <c r="CF576" s="9"/>
      <c r="CG576" s="9"/>
      <c r="CH576" s="9"/>
      <c r="CI576" s="9"/>
      <c r="CJ576" s="9"/>
      <c r="CK576" s="9"/>
      <c r="CL576" s="9"/>
      <c r="CM576" s="9"/>
      <c r="CN576" s="9"/>
      <c r="CO576" s="9"/>
      <c r="CP576" s="9"/>
      <c r="CQ576" s="9"/>
      <c r="CR576" s="9"/>
      <c r="CS576" s="9"/>
      <c r="CT576" s="9"/>
      <c r="CU576" s="9"/>
      <c r="CV576" s="9"/>
      <c r="CW576" s="9"/>
      <c r="CX576" s="9"/>
      <c r="CY576" s="9"/>
      <c r="CZ576" s="9"/>
      <c r="DA576" s="9"/>
      <c r="DB576" s="9"/>
      <c r="DC576" s="9"/>
      <c r="DD576" s="9"/>
      <c r="DE576" s="9"/>
      <c r="DF576" s="9"/>
      <c r="DG576" s="9"/>
      <c r="DH576" s="9"/>
      <c r="DI576" s="9"/>
      <c r="DJ576" s="9"/>
      <c r="DK576" s="9"/>
      <c r="DL576" s="9"/>
      <c r="DM576" s="9"/>
      <c r="DN576" s="9"/>
      <c r="DO576" s="9"/>
      <c r="DP576" s="9"/>
      <c r="DQ576" s="9"/>
      <c r="DR576" s="9"/>
      <c r="DS576" s="9"/>
      <c r="DT576" s="9"/>
      <c r="DU576" s="9"/>
      <c r="DV576" s="9"/>
      <c r="DW576" s="9"/>
      <c r="DX576" s="9"/>
      <c r="DY576" s="9"/>
      <c r="DZ576" s="9"/>
      <c r="EA576" s="9"/>
      <c r="EB576" s="9"/>
      <c r="EC576" s="9"/>
      <c r="ED576" s="9"/>
      <c r="EE576" s="9"/>
      <c r="EF576" s="9"/>
    </row>
    <row r="577" spans="1:136" s="98" customFormat="1" ht="15.75" customHeight="1" x14ac:dyDescent="0.25">
      <c r="A577" s="93">
        <v>46234</v>
      </c>
      <c r="B577" s="94" t="s">
        <v>16</v>
      </c>
      <c r="C577" s="95">
        <v>6027</v>
      </c>
      <c r="D577" s="20"/>
      <c r="E577" s="99" t="s">
        <v>236</v>
      </c>
      <c r="F577" s="21">
        <v>2</v>
      </c>
      <c r="G577" s="100"/>
      <c r="H577" s="21">
        <v>270</v>
      </c>
      <c r="I577" s="11">
        <f t="shared" si="24"/>
        <v>540</v>
      </c>
      <c r="J577" s="21"/>
      <c r="K577" s="21"/>
      <c r="L577" s="13">
        <f t="shared" si="25"/>
        <v>540</v>
      </c>
      <c r="M577" s="24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  <c r="BU577" s="9"/>
      <c r="BV577" s="9"/>
      <c r="BW577" s="9"/>
      <c r="BX577" s="9"/>
      <c r="BY577" s="9"/>
      <c r="BZ577" s="9"/>
      <c r="CA577" s="9"/>
      <c r="CB577" s="9"/>
      <c r="CC577" s="9"/>
      <c r="CD577" s="9"/>
      <c r="CE577" s="9"/>
      <c r="CF577" s="9"/>
      <c r="CG577" s="9"/>
      <c r="CH577" s="9"/>
      <c r="CI577" s="9"/>
      <c r="CJ577" s="9"/>
      <c r="CK577" s="9"/>
      <c r="CL577" s="9"/>
      <c r="CM577" s="9"/>
      <c r="CN577" s="9"/>
      <c r="CO577" s="9"/>
      <c r="CP577" s="9"/>
      <c r="CQ577" s="9"/>
      <c r="CR577" s="9"/>
      <c r="CS577" s="9"/>
      <c r="CT577" s="9"/>
      <c r="CU577" s="9"/>
      <c r="CV577" s="9"/>
      <c r="CW577" s="9"/>
      <c r="CX577" s="9"/>
      <c r="CY577" s="9"/>
      <c r="CZ577" s="9"/>
      <c r="DA577" s="9"/>
      <c r="DB577" s="9"/>
      <c r="DC577" s="9"/>
      <c r="DD577" s="9"/>
      <c r="DE577" s="9"/>
      <c r="DF577" s="9"/>
      <c r="DG577" s="9"/>
      <c r="DH577" s="9"/>
      <c r="DI577" s="9"/>
      <c r="DJ577" s="9"/>
      <c r="DK577" s="9"/>
      <c r="DL577" s="9"/>
      <c r="DM577" s="9"/>
      <c r="DN577" s="9"/>
      <c r="DO577" s="9"/>
      <c r="DP577" s="9"/>
      <c r="DQ577" s="9"/>
      <c r="DR577" s="9"/>
      <c r="DS577" s="9"/>
      <c r="DT577" s="9"/>
      <c r="DU577" s="9"/>
      <c r="DV577" s="9"/>
      <c r="DW577" s="9"/>
      <c r="DX577" s="9"/>
      <c r="DY577" s="9"/>
      <c r="DZ577" s="9"/>
      <c r="EA577" s="9"/>
      <c r="EB577" s="9"/>
      <c r="EC577" s="9"/>
      <c r="ED577" s="9"/>
      <c r="EE577" s="9"/>
      <c r="EF577" s="9"/>
    </row>
    <row r="578" spans="1:136" s="98" customFormat="1" ht="15.75" customHeight="1" x14ac:dyDescent="0.25">
      <c r="A578" s="93">
        <v>46234</v>
      </c>
      <c r="B578" s="94" t="s">
        <v>16</v>
      </c>
      <c r="C578" s="95">
        <v>6027</v>
      </c>
      <c r="D578" s="20"/>
      <c r="E578" s="99" t="s">
        <v>284</v>
      </c>
      <c r="F578" s="21">
        <v>1</v>
      </c>
      <c r="G578" s="100"/>
      <c r="H578" s="21">
        <v>72.75</v>
      </c>
      <c r="I578" s="11">
        <f t="shared" si="24"/>
        <v>72.75</v>
      </c>
      <c r="J578" s="21"/>
      <c r="K578" s="21"/>
      <c r="L578" s="13">
        <f t="shared" si="25"/>
        <v>72.75</v>
      </c>
      <c r="M578" s="24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  <c r="BU578" s="9"/>
      <c r="BV578" s="9"/>
      <c r="BW578" s="9"/>
      <c r="BX578" s="9"/>
      <c r="BY578" s="9"/>
      <c r="BZ578" s="9"/>
      <c r="CA578" s="9"/>
      <c r="CB578" s="9"/>
      <c r="CC578" s="9"/>
      <c r="CD578" s="9"/>
      <c r="CE578" s="9"/>
      <c r="CF578" s="9"/>
      <c r="CG578" s="9"/>
      <c r="CH578" s="9"/>
      <c r="CI578" s="9"/>
      <c r="CJ578" s="9"/>
      <c r="CK578" s="9"/>
      <c r="CL578" s="9"/>
      <c r="CM578" s="9"/>
      <c r="CN578" s="9"/>
      <c r="CO578" s="9"/>
      <c r="CP578" s="9"/>
      <c r="CQ578" s="9"/>
      <c r="CR578" s="9"/>
      <c r="CS578" s="9"/>
      <c r="CT578" s="9"/>
      <c r="CU578" s="9"/>
      <c r="CV578" s="9"/>
      <c r="CW578" s="9"/>
      <c r="CX578" s="9"/>
      <c r="CY578" s="9"/>
      <c r="CZ578" s="9"/>
      <c r="DA578" s="9"/>
      <c r="DB578" s="9"/>
      <c r="DC578" s="9"/>
      <c r="DD578" s="9"/>
      <c r="DE578" s="9"/>
      <c r="DF578" s="9"/>
      <c r="DG578" s="9"/>
      <c r="DH578" s="9"/>
      <c r="DI578" s="9"/>
      <c r="DJ578" s="9"/>
      <c r="DK578" s="9"/>
      <c r="DL578" s="9"/>
      <c r="DM578" s="9"/>
      <c r="DN578" s="9"/>
      <c r="DO578" s="9"/>
      <c r="DP578" s="9"/>
      <c r="DQ578" s="9"/>
      <c r="DR578" s="9"/>
      <c r="DS578" s="9"/>
      <c r="DT578" s="9"/>
      <c r="DU578" s="9"/>
      <c r="DV578" s="9"/>
      <c r="DW578" s="9"/>
      <c r="DX578" s="9"/>
      <c r="DY578" s="9"/>
      <c r="DZ578" s="9"/>
      <c r="EA578" s="9"/>
      <c r="EB578" s="9"/>
      <c r="EC578" s="9"/>
      <c r="ED578" s="9"/>
      <c r="EE578" s="9"/>
      <c r="EF578" s="9"/>
    </row>
    <row r="579" spans="1:136" s="98" customFormat="1" ht="15.75" customHeight="1" x14ac:dyDescent="0.25">
      <c r="A579" s="93">
        <v>46234</v>
      </c>
      <c r="B579" s="94" t="s">
        <v>16</v>
      </c>
      <c r="C579" s="95">
        <v>6027</v>
      </c>
      <c r="D579" s="20"/>
      <c r="E579" s="99" t="s">
        <v>81</v>
      </c>
      <c r="F579" s="21">
        <v>12</v>
      </c>
      <c r="G579" s="100"/>
      <c r="H579" s="21">
        <v>7.25</v>
      </c>
      <c r="I579" s="11">
        <f t="shared" si="24"/>
        <v>87</v>
      </c>
      <c r="J579" s="21"/>
      <c r="K579" s="21"/>
      <c r="L579" s="13">
        <f t="shared" si="25"/>
        <v>87</v>
      </c>
      <c r="M579" s="24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  <c r="BU579" s="9"/>
      <c r="BV579" s="9"/>
      <c r="BW579" s="9"/>
      <c r="BX579" s="9"/>
      <c r="BY579" s="9"/>
      <c r="BZ579" s="9"/>
      <c r="CA579" s="9"/>
      <c r="CB579" s="9"/>
      <c r="CC579" s="9"/>
      <c r="CD579" s="9"/>
      <c r="CE579" s="9"/>
      <c r="CF579" s="9"/>
      <c r="CG579" s="9"/>
      <c r="CH579" s="9"/>
      <c r="CI579" s="9"/>
      <c r="CJ579" s="9"/>
      <c r="CK579" s="9"/>
      <c r="CL579" s="9"/>
      <c r="CM579" s="9"/>
      <c r="CN579" s="9"/>
      <c r="CO579" s="9"/>
      <c r="CP579" s="9"/>
      <c r="CQ579" s="9"/>
      <c r="CR579" s="9"/>
      <c r="CS579" s="9"/>
      <c r="CT579" s="9"/>
      <c r="CU579" s="9"/>
      <c r="CV579" s="9"/>
      <c r="CW579" s="9"/>
      <c r="CX579" s="9"/>
      <c r="CY579" s="9"/>
      <c r="CZ579" s="9"/>
      <c r="DA579" s="9"/>
      <c r="DB579" s="9"/>
      <c r="DC579" s="9"/>
      <c r="DD579" s="9"/>
      <c r="DE579" s="9"/>
      <c r="DF579" s="9"/>
      <c r="DG579" s="9"/>
      <c r="DH579" s="9"/>
      <c r="DI579" s="9"/>
      <c r="DJ579" s="9"/>
      <c r="DK579" s="9"/>
      <c r="DL579" s="9"/>
      <c r="DM579" s="9"/>
      <c r="DN579" s="9"/>
      <c r="DO579" s="9"/>
      <c r="DP579" s="9"/>
      <c r="DQ579" s="9"/>
      <c r="DR579" s="9"/>
      <c r="DS579" s="9"/>
      <c r="DT579" s="9"/>
      <c r="DU579" s="9"/>
      <c r="DV579" s="9"/>
      <c r="DW579" s="9"/>
      <c r="DX579" s="9"/>
      <c r="DY579" s="9"/>
      <c r="DZ579" s="9"/>
      <c r="EA579" s="9"/>
      <c r="EB579" s="9"/>
      <c r="EC579" s="9"/>
      <c r="ED579" s="9"/>
      <c r="EE579" s="9"/>
      <c r="EF579" s="9"/>
    </row>
    <row r="580" spans="1:136" s="98" customFormat="1" ht="15.75" customHeight="1" x14ac:dyDescent="0.25">
      <c r="A580" s="93">
        <v>46234</v>
      </c>
      <c r="B580" s="94" t="s">
        <v>16</v>
      </c>
      <c r="C580" s="95">
        <v>6027</v>
      </c>
      <c r="D580" s="20"/>
      <c r="E580" s="99" t="s">
        <v>80</v>
      </c>
      <c r="F580" s="21">
        <v>12</v>
      </c>
      <c r="G580" s="100"/>
      <c r="H580" s="21">
        <v>7.25</v>
      </c>
      <c r="I580" s="11">
        <f t="shared" si="24"/>
        <v>87</v>
      </c>
      <c r="J580" s="21"/>
      <c r="K580" s="21"/>
      <c r="L580" s="13">
        <f t="shared" si="25"/>
        <v>87</v>
      </c>
      <c r="M580" s="24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  <c r="BU580" s="9"/>
      <c r="BV580" s="9"/>
      <c r="BW580" s="9"/>
      <c r="BX580" s="9"/>
      <c r="BY580" s="9"/>
      <c r="BZ580" s="9"/>
      <c r="CA580" s="9"/>
      <c r="CB580" s="9"/>
      <c r="CC580" s="9"/>
      <c r="CD580" s="9"/>
      <c r="CE580" s="9"/>
      <c r="CF580" s="9"/>
      <c r="CG580" s="9"/>
      <c r="CH580" s="9"/>
      <c r="CI580" s="9"/>
      <c r="CJ580" s="9"/>
      <c r="CK580" s="9"/>
      <c r="CL580" s="9"/>
      <c r="CM580" s="9"/>
      <c r="CN580" s="9"/>
      <c r="CO580" s="9"/>
      <c r="CP580" s="9"/>
      <c r="CQ580" s="9"/>
      <c r="CR580" s="9"/>
      <c r="CS580" s="9"/>
      <c r="CT580" s="9"/>
      <c r="CU580" s="9"/>
      <c r="CV580" s="9"/>
      <c r="CW580" s="9"/>
      <c r="CX580" s="9"/>
      <c r="CY580" s="9"/>
      <c r="CZ580" s="9"/>
      <c r="DA580" s="9"/>
      <c r="DB580" s="9"/>
      <c r="DC580" s="9"/>
      <c r="DD580" s="9"/>
      <c r="DE580" s="9"/>
      <c r="DF580" s="9"/>
      <c r="DG580" s="9"/>
      <c r="DH580" s="9"/>
      <c r="DI580" s="9"/>
      <c r="DJ580" s="9"/>
      <c r="DK580" s="9"/>
      <c r="DL580" s="9"/>
      <c r="DM580" s="9"/>
      <c r="DN580" s="9"/>
      <c r="DO580" s="9"/>
      <c r="DP580" s="9"/>
      <c r="DQ580" s="9"/>
      <c r="DR580" s="9"/>
      <c r="DS580" s="9"/>
      <c r="DT580" s="9"/>
      <c r="DU580" s="9"/>
      <c r="DV580" s="9"/>
      <c r="DW580" s="9"/>
      <c r="DX580" s="9"/>
      <c r="DY580" s="9"/>
      <c r="DZ580" s="9"/>
      <c r="EA580" s="9"/>
      <c r="EB580" s="9"/>
      <c r="EC580" s="9"/>
      <c r="ED580" s="9"/>
      <c r="EE580" s="9"/>
      <c r="EF580" s="9"/>
    </row>
    <row r="581" spans="1:136" s="98" customFormat="1" ht="15.75" customHeight="1" x14ac:dyDescent="0.25">
      <c r="A581" s="93">
        <v>46234</v>
      </c>
      <c r="B581" s="94" t="s">
        <v>16</v>
      </c>
      <c r="C581" s="95">
        <v>6027</v>
      </c>
      <c r="D581" s="20"/>
      <c r="E581" s="99" t="s">
        <v>206</v>
      </c>
      <c r="F581" s="21">
        <v>12</v>
      </c>
      <c r="G581" s="100"/>
      <c r="H581" s="21">
        <v>8</v>
      </c>
      <c r="I581" s="11">
        <f t="shared" si="24"/>
        <v>96</v>
      </c>
      <c r="J581" s="21"/>
      <c r="K581" s="21"/>
      <c r="L581" s="13">
        <f t="shared" si="25"/>
        <v>96</v>
      </c>
      <c r="M581" s="24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  <c r="BU581" s="9"/>
      <c r="BV581" s="9"/>
      <c r="BW581" s="9"/>
      <c r="BX581" s="9"/>
      <c r="BY581" s="9"/>
      <c r="BZ581" s="9"/>
      <c r="CA581" s="9"/>
      <c r="CB581" s="9"/>
      <c r="CC581" s="9"/>
      <c r="CD581" s="9"/>
      <c r="CE581" s="9"/>
      <c r="CF581" s="9"/>
      <c r="CG581" s="9"/>
      <c r="CH581" s="9"/>
      <c r="CI581" s="9"/>
      <c r="CJ581" s="9"/>
      <c r="CK581" s="9"/>
      <c r="CL581" s="9"/>
      <c r="CM581" s="9"/>
      <c r="CN581" s="9"/>
      <c r="CO581" s="9"/>
      <c r="CP581" s="9"/>
      <c r="CQ581" s="9"/>
      <c r="CR581" s="9"/>
      <c r="CS581" s="9"/>
      <c r="CT581" s="9"/>
      <c r="CU581" s="9"/>
      <c r="CV581" s="9"/>
      <c r="CW581" s="9"/>
      <c r="CX581" s="9"/>
      <c r="CY581" s="9"/>
      <c r="CZ581" s="9"/>
      <c r="DA581" s="9"/>
      <c r="DB581" s="9"/>
      <c r="DC581" s="9"/>
      <c r="DD581" s="9"/>
      <c r="DE581" s="9"/>
      <c r="DF581" s="9"/>
      <c r="DG581" s="9"/>
      <c r="DH581" s="9"/>
      <c r="DI581" s="9"/>
      <c r="DJ581" s="9"/>
      <c r="DK581" s="9"/>
      <c r="DL581" s="9"/>
      <c r="DM581" s="9"/>
      <c r="DN581" s="9"/>
      <c r="DO581" s="9"/>
      <c r="DP581" s="9"/>
      <c r="DQ581" s="9"/>
      <c r="DR581" s="9"/>
      <c r="DS581" s="9"/>
      <c r="DT581" s="9"/>
      <c r="DU581" s="9"/>
      <c r="DV581" s="9"/>
      <c r="DW581" s="9"/>
      <c r="DX581" s="9"/>
      <c r="DY581" s="9"/>
      <c r="DZ581" s="9"/>
      <c r="EA581" s="9"/>
      <c r="EB581" s="9"/>
      <c r="EC581" s="9"/>
      <c r="ED581" s="9"/>
      <c r="EE581" s="9"/>
      <c r="EF581" s="9"/>
    </row>
    <row r="582" spans="1:136" s="98" customFormat="1" ht="15.75" customHeight="1" x14ac:dyDescent="0.25">
      <c r="A582" s="93">
        <v>46234</v>
      </c>
      <c r="B582" s="94" t="s">
        <v>16</v>
      </c>
      <c r="C582" s="95">
        <v>6027</v>
      </c>
      <c r="D582" s="20"/>
      <c r="E582" s="99" t="s">
        <v>285</v>
      </c>
      <c r="F582" s="21">
        <v>1</v>
      </c>
      <c r="G582" s="100"/>
      <c r="H582" s="21">
        <v>70</v>
      </c>
      <c r="I582" s="11">
        <f t="shared" si="24"/>
        <v>70</v>
      </c>
      <c r="J582" s="21"/>
      <c r="K582" s="21"/>
      <c r="L582" s="13">
        <f t="shared" si="25"/>
        <v>70</v>
      </c>
      <c r="M582" s="24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  <c r="BU582" s="9"/>
      <c r="BV582" s="9"/>
      <c r="BW582" s="9"/>
      <c r="BX582" s="9"/>
      <c r="BY582" s="9"/>
      <c r="BZ582" s="9"/>
      <c r="CA582" s="9"/>
      <c r="CB582" s="9"/>
      <c r="CC582" s="9"/>
      <c r="CD582" s="9"/>
      <c r="CE582" s="9"/>
      <c r="CF582" s="9"/>
      <c r="CG582" s="9"/>
      <c r="CH582" s="9"/>
      <c r="CI582" s="9"/>
      <c r="CJ582" s="9"/>
      <c r="CK582" s="9"/>
      <c r="CL582" s="9"/>
      <c r="CM582" s="9"/>
      <c r="CN582" s="9"/>
      <c r="CO582" s="9"/>
      <c r="CP582" s="9"/>
      <c r="CQ582" s="9"/>
      <c r="CR582" s="9"/>
      <c r="CS582" s="9"/>
      <c r="CT582" s="9"/>
      <c r="CU582" s="9"/>
      <c r="CV582" s="9"/>
      <c r="CW582" s="9"/>
      <c r="CX582" s="9"/>
      <c r="CY582" s="9"/>
      <c r="CZ582" s="9"/>
      <c r="DA582" s="9"/>
      <c r="DB582" s="9"/>
      <c r="DC582" s="9"/>
      <c r="DD582" s="9"/>
      <c r="DE582" s="9"/>
      <c r="DF582" s="9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</row>
    <row r="583" spans="1:136" s="98" customFormat="1" ht="15.75" customHeight="1" x14ac:dyDescent="0.25">
      <c r="A583" s="93">
        <v>46234</v>
      </c>
      <c r="B583" s="94" t="s">
        <v>16</v>
      </c>
      <c r="C583" s="95">
        <v>6027</v>
      </c>
      <c r="D583" s="20"/>
      <c r="E583" s="99" t="s">
        <v>76</v>
      </c>
      <c r="F583" s="21">
        <v>3</v>
      </c>
      <c r="G583" s="100"/>
      <c r="H583" s="21">
        <v>38</v>
      </c>
      <c r="I583" s="11">
        <f t="shared" ref="I583:I631" si="26">F583*H583</f>
        <v>114</v>
      </c>
      <c r="J583" s="21"/>
      <c r="K583" s="21"/>
      <c r="L583" s="13">
        <f t="shared" si="25"/>
        <v>114</v>
      </c>
      <c r="M583" s="24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  <c r="BU583" s="9"/>
      <c r="BV583" s="9"/>
      <c r="BW583" s="9"/>
      <c r="BX583" s="9"/>
      <c r="BY583" s="9"/>
      <c r="BZ583" s="9"/>
      <c r="CA583" s="9"/>
      <c r="CB583" s="9"/>
      <c r="CC583" s="9"/>
      <c r="CD583" s="9"/>
      <c r="CE583" s="9"/>
      <c r="CF583" s="9"/>
      <c r="CG583" s="9"/>
      <c r="CH583" s="9"/>
      <c r="CI583" s="9"/>
      <c r="CJ583" s="9"/>
      <c r="CK583" s="9"/>
      <c r="CL583" s="9"/>
      <c r="CM583" s="9"/>
      <c r="CN583" s="9"/>
      <c r="CO583" s="9"/>
      <c r="CP583" s="9"/>
      <c r="CQ583" s="9"/>
      <c r="CR583" s="9"/>
      <c r="CS583" s="9"/>
      <c r="CT583" s="9"/>
      <c r="CU583" s="9"/>
      <c r="CV583" s="9"/>
      <c r="CW583" s="9"/>
      <c r="CX583" s="9"/>
      <c r="CY583" s="9"/>
      <c r="CZ583" s="9"/>
      <c r="DA583" s="9"/>
      <c r="DB583" s="9"/>
      <c r="DC583" s="9"/>
      <c r="DD583" s="9"/>
      <c r="DE583" s="9"/>
      <c r="DF583" s="9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</row>
    <row r="584" spans="1:136" s="98" customFormat="1" ht="15.75" customHeight="1" x14ac:dyDescent="0.25">
      <c r="A584" s="93">
        <v>46234</v>
      </c>
      <c r="B584" s="94" t="s">
        <v>16</v>
      </c>
      <c r="C584" s="95">
        <v>6027</v>
      </c>
      <c r="D584" s="20"/>
      <c r="E584" s="99" t="s">
        <v>286</v>
      </c>
      <c r="F584" s="21">
        <v>1</v>
      </c>
      <c r="G584" s="100"/>
      <c r="H584" s="21">
        <v>48</v>
      </c>
      <c r="I584" s="11">
        <f t="shared" si="26"/>
        <v>48</v>
      </c>
      <c r="J584" s="21"/>
      <c r="K584" s="21"/>
      <c r="L584" s="13">
        <f t="shared" si="25"/>
        <v>48</v>
      </c>
      <c r="M584" s="24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  <c r="BU584" s="9"/>
      <c r="BV584" s="9"/>
      <c r="BW584" s="9"/>
      <c r="BX584" s="9"/>
      <c r="BY584" s="9"/>
      <c r="BZ584" s="9"/>
      <c r="CA584" s="9"/>
      <c r="CB584" s="9"/>
      <c r="CC584" s="9"/>
      <c r="CD584" s="9"/>
      <c r="CE584" s="9"/>
      <c r="CF584" s="9"/>
      <c r="CG584" s="9"/>
      <c r="CH584" s="9"/>
      <c r="CI584" s="9"/>
      <c r="CJ584" s="9"/>
      <c r="CK584" s="9"/>
      <c r="CL584" s="9"/>
      <c r="CM584" s="9"/>
      <c r="CN584" s="9"/>
      <c r="CO584" s="9"/>
      <c r="CP584" s="9"/>
      <c r="CQ584" s="9"/>
      <c r="CR584" s="9"/>
      <c r="CS584" s="9"/>
      <c r="CT584" s="9"/>
      <c r="CU584" s="9"/>
      <c r="CV584" s="9"/>
      <c r="CW584" s="9"/>
      <c r="CX584" s="9"/>
      <c r="CY584" s="9"/>
      <c r="CZ584" s="9"/>
      <c r="DA584" s="9"/>
      <c r="DB584" s="9"/>
      <c r="DC584" s="9"/>
      <c r="DD584" s="9"/>
      <c r="DE584" s="9"/>
      <c r="DF584" s="9"/>
      <c r="DG584" s="9"/>
      <c r="DH584" s="9"/>
      <c r="DI584" s="9"/>
      <c r="DJ584" s="9"/>
      <c r="DK584" s="9"/>
      <c r="DL584" s="9"/>
      <c r="DM584" s="9"/>
      <c r="DN584" s="9"/>
      <c r="DO584" s="9"/>
      <c r="DP584" s="9"/>
      <c r="DQ584" s="9"/>
      <c r="DR584" s="9"/>
      <c r="DS584" s="9"/>
      <c r="DT584" s="9"/>
      <c r="DU584" s="9"/>
      <c r="DV584" s="9"/>
      <c r="DW584" s="9"/>
      <c r="DX584" s="9"/>
      <c r="DY584" s="9"/>
      <c r="DZ584" s="9"/>
      <c r="EA584" s="9"/>
      <c r="EB584" s="9"/>
      <c r="EC584" s="9"/>
      <c r="ED584" s="9"/>
      <c r="EE584" s="9"/>
      <c r="EF584" s="9"/>
    </row>
    <row r="585" spans="1:136" s="98" customFormat="1" ht="15.75" customHeight="1" x14ac:dyDescent="0.25">
      <c r="A585" s="93">
        <v>46234</v>
      </c>
      <c r="B585" s="94" t="s">
        <v>16</v>
      </c>
      <c r="C585" s="95">
        <v>6027</v>
      </c>
      <c r="D585" s="20"/>
      <c r="E585" s="99" t="s">
        <v>100</v>
      </c>
      <c r="F585" s="21">
        <v>3</v>
      </c>
      <c r="G585" s="100"/>
      <c r="H585" s="21">
        <v>43.25</v>
      </c>
      <c r="I585" s="11">
        <f t="shared" si="26"/>
        <v>129.75</v>
      </c>
      <c r="J585" s="21"/>
      <c r="K585" s="21"/>
      <c r="L585" s="13">
        <f t="shared" si="25"/>
        <v>129.75</v>
      </c>
      <c r="M585" s="24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  <c r="BU585" s="9"/>
      <c r="BV585" s="9"/>
      <c r="BW585" s="9"/>
      <c r="BX585" s="9"/>
      <c r="BY585" s="9"/>
      <c r="BZ585" s="9"/>
      <c r="CA585" s="9"/>
      <c r="CB585" s="9"/>
      <c r="CC585" s="9"/>
      <c r="CD585" s="9"/>
      <c r="CE585" s="9"/>
      <c r="CF585" s="9"/>
      <c r="CG585" s="9"/>
      <c r="CH585" s="9"/>
      <c r="CI585" s="9"/>
      <c r="CJ585" s="9"/>
      <c r="CK585" s="9"/>
      <c r="CL585" s="9"/>
      <c r="CM585" s="9"/>
      <c r="CN585" s="9"/>
      <c r="CO585" s="9"/>
      <c r="CP585" s="9"/>
      <c r="CQ585" s="9"/>
      <c r="CR585" s="9"/>
      <c r="CS585" s="9"/>
      <c r="CT585" s="9"/>
      <c r="CU585" s="9"/>
      <c r="CV585" s="9"/>
      <c r="CW585" s="9"/>
      <c r="CX585" s="9"/>
      <c r="CY585" s="9"/>
      <c r="CZ585" s="9"/>
      <c r="DA585" s="9"/>
      <c r="DB585" s="9"/>
      <c r="DC585" s="9"/>
      <c r="DD585" s="9"/>
      <c r="DE585" s="9"/>
      <c r="DF585" s="9"/>
      <c r="DG585" s="9"/>
      <c r="DH585" s="9"/>
      <c r="DI585" s="9"/>
      <c r="DJ585" s="9"/>
      <c r="DK585" s="9"/>
      <c r="DL585" s="9"/>
      <c r="DM585" s="9"/>
      <c r="DN585" s="9"/>
      <c r="DO585" s="9"/>
      <c r="DP585" s="9"/>
      <c r="DQ585" s="9"/>
      <c r="DR585" s="9"/>
      <c r="DS585" s="9"/>
      <c r="DT585" s="9"/>
      <c r="DU585" s="9"/>
      <c r="DV585" s="9"/>
      <c r="DW585" s="9"/>
      <c r="DX585" s="9"/>
      <c r="DY585" s="9"/>
      <c r="DZ585" s="9"/>
      <c r="EA585" s="9"/>
      <c r="EB585" s="9"/>
      <c r="EC585" s="9"/>
      <c r="ED585" s="9"/>
      <c r="EE585" s="9"/>
      <c r="EF585" s="9"/>
    </row>
    <row r="586" spans="1:136" s="98" customFormat="1" ht="15.75" customHeight="1" x14ac:dyDescent="0.25">
      <c r="A586" s="93">
        <v>46234</v>
      </c>
      <c r="B586" s="94" t="s">
        <v>16</v>
      </c>
      <c r="C586" s="95">
        <v>6027</v>
      </c>
      <c r="D586" s="20"/>
      <c r="E586" s="99" t="s">
        <v>136</v>
      </c>
      <c r="F586" s="21">
        <v>2</v>
      </c>
      <c r="G586" s="100"/>
      <c r="H586" s="21">
        <v>79</v>
      </c>
      <c r="I586" s="11">
        <f t="shared" si="26"/>
        <v>158</v>
      </c>
      <c r="J586" s="21"/>
      <c r="K586" s="21"/>
      <c r="L586" s="13">
        <f t="shared" si="25"/>
        <v>158</v>
      </c>
      <c r="M586" s="24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  <c r="BU586" s="9"/>
      <c r="BV586" s="9"/>
      <c r="BW586" s="9"/>
      <c r="BX586" s="9"/>
      <c r="BY586" s="9"/>
      <c r="BZ586" s="9"/>
      <c r="CA586" s="9"/>
      <c r="CB586" s="9"/>
      <c r="CC586" s="9"/>
      <c r="CD586" s="9"/>
      <c r="CE586" s="9"/>
      <c r="CF586" s="9"/>
      <c r="CG586" s="9"/>
      <c r="CH586" s="9"/>
      <c r="CI586" s="9"/>
      <c r="CJ586" s="9"/>
      <c r="CK586" s="9"/>
      <c r="CL586" s="9"/>
      <c r="CM586" s="9"/>
      <c r="CN586" s="9"/>
      <c r="CO586" s="9"/>
      <c r="CP586" s="9"/>
      <c r="CQ586" s="9"/>
      <c r="CR586" s="9"/>
      <c r="CS586" s="9"/>
      <c r="CT586" s="9"/>
      <c r="CU586" s="9"/>
      <c r="CV586" s="9"/>
      <c r="CW586" s="9"/>
      <c r="CX586" s="9"/>
      <c r="CY586" s="9"/>
      <c r="CZ586" s="9"/>
      <c r="DA586" s="9"/>
      <c r="DB586" s="9"/>
      <c r="DC586" s="9"/>
      <c r="DD586" s="9"/>
      <c r="DE586" s="9"/>
      <c r="DF586" s="9"/>
      <c r="DG586" s="9"/>
      <c r="DH586" s="9"/>
      <c r="DI586" s="9"/>
      <c r="DJ586" s="9"/>
      <c r="DK586" s="9"/>
      <c r="DL586" s="9"/>
      <c r="DM586" s="9"/>
      <c r="DN586" s="9"/>
      <c r="DO586" s="9"/>
      <c r="DP586" s="9"/>
      <c r="DQ586" s="9"/>
      <c r="DR586" s="9"/>
      <c r="DS586" s="9"/>
      <c r="DT586" s="9"/>
      <c r="DU586" s="9"/>
      <c r="DV586" s="9"/>
      <c r="DW586" s="9"/>
      <c r="DX586" s="9"/>
      <c r="DY586" s="9"/>
      <c r="DZ586" s="9"/>
      <c r="EA586" s="9"/>
      <c r="EB586" s="9"/>
      <c r="EC586" s="9"/>
      <c r="ED586" s="9"/>
      <c r="EE586" s="9"/>
      <c r="EF586" s="9"/>
    </row>
    <row r="587" spans="1:136" s="98" customFormat="1" ht="15.75" customHeight="1" x14ac:dyDescent="0.25">
      <c r="A587" s="93">
        <v>46234</v>
      </c>
      <c r="B587" s="94" t="s">
        <v>16</v>
      </c>
      <c r="C587" s="95">
        <v>6027</v>
      </c>
      <c r="D587" s="20"/>
      <c r="E587" s="99" t="s">
        <v>204</v>
      </c>
      <c r="F587" s="21">
        <v>2</v>
      </c>
      <c r="G587" s="100"/>
      <c r="H587" s="21">
        <v>67.5</v>
      </c>
      <c r="I587" s="11">
        <f t="shared" si="26"/>
        <v>135</v>
      </c>
      <c r="J587" s="21"/>
      <c r="K587" s="21"/>
      <c r="L587" s="13">
        <f t="shared" si="25"/>
        <v>135</v>
      </c>
      <c r="M587" s="24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  <c r="BU587" s="9"/>
      <c r="BV587" s="9"/>
      <c r="BW587" s="9"/>
      <c r="BX587" s="9"/>
      <c r="BY587" s="9"/>
      <c r="BZ587" s="9"/>
      <c r="CA587" s="9"/>
      <c r="CB587" s="9"/>
      <c r="CC587" s="9"/>
      <c r="CD587" s="9"/>
      <c r="CE587" s="9"/>
      <c r="CF587" s="9"/>
      <c r="CG587" s="9"/>
      <c r="CH587" s="9"/>
      <c r="CI587" s="9"/>
      <c r="CJ587" s="9"/>
      <c r="CK587" s="9"/>
      <c r="CL587" s="9"/>
      <c r="CM587" s="9"/>
      <c r="CN587" s="9"/>
      <c r="CO587" s="9"/>
      <c r="CP587" s="9"/>
      <c r="CQ587" s="9"/>
      <c r="CR587" s="9"/>
      <c r="CS587" s="9"/>
      <c r="CT587" s="9"/>
      <c r="CU587" s="9"/>
      <c r="CV587" s="9"/>
      <c r="CW587" s="9"/>
      <c r="CX587" s="9"/>
      <c r="CY587" s="9"/>
      <c r="CZ587" s="9"/>
      <c r="DA587" s="9"/>
      <c r="DB587" s="9"/>
      <c r="DC587" s="9"/>
      <c r="DD587" s="9"/>
      <c r="DE587" s="9"/>
      <c r="DF587" s="9"/>
      <c r="DG587" s="9"/>
      <c r="DH587" s="9"/>
      <c r="DI587" s="9"/>
      <c r="DJ587" s="9"/>
      <c r="DK587" s="9"/>
      <c r="DL587" s="9"/>
      <c r="DM587" s="9"/>
      <c r="DN587" s="9"/>
      <c r="DO587" s="9"/>
      <c r="DP587" s="9"/>
      <c r="DQ587" s="9"/>
      <c r="DR587" s="9"/>
      <c r="DS587" s="9"/>
      <c r="DT587" s="9"/>
      <c r="DU587" s="9"/>
      <c r="DV587" s="9"/>
      <c r="DW587" s="9"/>
      <c r="DX587" s="9"/>
      <c r="DY587" s="9"/>
      <c r="DZ587" s="9"/>
      <c r="EA587" s="9"/>
      <c r="EB587" s="9"/>
      <c r="EC587" s="9"/>
      <c r="ED587" s="9"/>
      <c r="EE587" s="9"/>
      <c r="EF587" s="9"/>
    </row>
    <row r="588" spans="1:136" s="98" customFormat="1" ht="15.75" customHeight="1" x14ac:dyDescent="0.25">
      <c r="A588" s="93">
        <v>46234</v>
      </c>
      <c r="B588" s="94" t="s">
        <v>16</v>
      </c>
      <c r="C588" s="95">
        <v>6027</v>
      </c>
      <c r="D588" s="20"/>
      <c r="E588" s="99" t="s">
        <v>207</v>
      </c>
      <c r="F588" s="21">
        <v>1</v>
      </c>
      <c r="G588" s="100"/>
      <c r="H588" s="21">
        <v>48.25</v>
      </c>
      <c r="I588" s="11">
        <f t="shared" si="26"/>
        <v>48.25</v>
      </c>
      <c r="J588" s="21"/>
      <c r="K588" s="21"/>
      <c r="L588" s="13">
        <f t="shared" si="25"/>
        <v>48.25</v>
      </c>
      <c r="M588" s="24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  <c r="BU588" s="9"/>
      <c r="BV588" s="9"/>
      <c r="BW588" s="9"/>
      <c r="BX588" s="9"/>
      <c r="BY588" s="9"/>
      <c r="BZ588" s="9"/>
      <c r="CA588" s="9"/>
      <c r="CB588" s="9"/>
      <c r="CC588" s="9"/>
      <c r="CD588" s="9"/>
      <c r="CE588" s="9"/>
      <c r="CF588" s="9"/>
      <c r="CG588" s="9"/>
      <c r="CH588" s="9"/>
      <c r="CI588" s="9"/>
      <c r="CJ588" s="9"/>
      <c r="CK588" s="9"/>
      <c r="CL588" s="9"/>
      <c r="CM588" s="9"/>
      <c r="CN588" s="9"/>
      <c r="CO588" s="9"/>
      <c r="CP588" s="9"/>
      <c r="CQ588" s="9"/>
      <c r="CR588" s="9"/>
      <c r="CS588" s="9"/>
      <c r="CT588" s="9"/>
      <c r="CU588" s="9"/>
      <c r="CV588" s="9"/>
      <c r="CW588" s="9"/>
      <c r="CX588" s="9"/>
      <c r="CY588" s="9"/>
      <c r="CZ588" s="9"/>
      <c r="DA588" s="9"/>
      <c r="DB588" s="9"/>
      <c r="DC588" s="9"/>
      <c r="DD588" s="9"/>
      <c r="DE588" s="9"/>
      <c r="DF588" s="9"/>
      <c r="DG588" s="9"/>
      <c r="DH588" s="9"/>
      <c r="DI588" s="9"/>
      <c r="DJ588" s="9"/>
      <c r="DK588" s="9"/>
      <c r="DL588" s="9"/>
      <c r="DM588" s="9"/>
      <c r="DN588" s="9"/>
      <c r="DO588" s="9"/>
      <c r="DP588" s="9"/>
      <c r="DQ588" s="9"/>
      <c r="DR588" s="9"/>
      <c r="DS588" s="9"/>
      <c r="DT588" s="9"/>
      <c r="DU588" s="9"/>
      <c r="DV588" s="9"/>
      <c r="DW588" s="9"/>
      <c r="DX588" s="9"/>
      <c r="DY588" s="9"/>
      <c r="DZ588" s="9"/>
      <c r="EA588" s="9"/>
      <c r="EB588" s="9"/>
      <c r="EC588" s="9"/>
      <c r="ED588" s="9"/>
      <c r="EE588" s="9"/>
      <c r="EF588" s="9"/>
    </row>
    <row r="589" spans="1:136" s="98" customFormat="1" ht="15.75" customHeight="1" x14ac:dyDescent="0.25">
      <c r="A589" s="93">
        <v>46234</v>
      </c>
      <c r="B589" s="94" t="s">
        <v>16</v>
      </c>
      <c r="C589" s="95">
        <v>6027</v>
      </c>
      <c r="D589" s="20"/>
      <c r="E589" s="99" t="s">
        <v>287</v>
      </c>
      <c r="F589" s="21">
        <v>1</v>
      </c>
      <c r="G589" s="100"/>
      <c r="H589" s="21">
        <v>22</v>
      </c>
      <c r="I589" s="11">
        <f t="shared" si="26"/>
        <v>22</v>
      </c>
      <c r="J589" s="21"/>
      <c r="K589" s="21"/>
      <c r="L589" s="13">
        <f t="shared" si="25"/>
        <v>22</v>
      </c>
      <c r="M589" s="24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  <c r="BU589" s="9"/>
      <c r="BV589" s="9"/>
      <c r="BW589" s="9"/>
      <c r="BX589" s="9"/>
      <c r="BY589" s="9"/>
      <c r="BZ589" s="9"/>
      <c r="CA589" s="9"/>
      <c r="CB589" s="9"/>
      <c r="CC589" s="9"/>
      <c r="CD589" s="9"/>
      <c r="CE589" s="9"/>
      <c r="CF589" s="9"/>
      <c r="CG589" s="9"/>
      <c r="CH589" s="9"/>
      <c r="CI589" s="9"/>
      <c r="CJ589" s="9"/>
      <c r="CK589" s="9"/>
      <c r="CL589" s="9"/>
      <c r="CM589" s="9"/>
      <c r="CN589" s="9"/>
      <c r="CO589" s="9"/>
      <c r="CP589" s="9"/>
      <c r="CQ589" s="9"/>
      <c r="CR589" s="9"/>
      <c r="CS589" s="9"/>
      <c r="CT589" s="9"/>
      <c r="CU589" s="9"/>
      <c r="CV589" s="9"/>
      <c r="CW589" s="9"/>
      <c r="CX589" s="9"/>
      <c r="CY589" s="9"/>
      <c r="CZ589" s="9"/>
      <c r="DA589" s="9"/>
      <c r="DB589" s="9"/>
      <c r="DC589" s="9"/>
      <c r="DD589" s="9"/>
      <c r="DE589" s="9"/>
      <c r="DF589" s="9"/>
      <c r="DG589" s="9"/>
      <c r="DH589" s="9"/>
      <c r="DI589" s="9"/>
      <c r="DJ589" s="9"/>
      <c r="DK589" s="9"/>
      <c r="DL589" s="9"/>
      <c r="DM589" s="9"/>
      <c r="DN589" s="9"/>
      <c r="DO589" s="9"/>
      <c r="DP589" s="9"/>
      <c r="DQ589" s="9"/>
      <c r="DR589" s="9"/>
      <c r="DS589" s="9"/>
      <c r="DT589" s="9"/>
      <c r="DU589" s="9"/>
      <c r="DV589" s="9"/>
      <c r="DW589" s="9"/>
      <c r="DX589" s="9"/>
      <c r="DY589" s="9"/>
      <c r="DZ589" s="9"/>
      <c r="EA589" s="9"/>
      <c r="EB589" s="9"/>
      <c r="EC589" s="9"/>
      <c r="ED589" s="9"/>
      <c r="EE589" s="9"/>
      <c r="EF589" s="9"/>
    </row>
    <row r="590" spans="1:136" s="98" customFormat="1" ht="15.75" customHeight="1" x14ac:dyDescent="0.25">
      <c r="A590" s="93">
        <v>46234</v>
      </c>
      <c r="B590" s="94" t="s">
        <v>16</v>
      </c>
      <c r="C590" s="95">
        <v>6027</v>
      </c>
      <c r="D590" s="20"/>
      <c r="E590" s="99" t="s">
        <v>137</v>
      </c>
      <c r="F590" s="21">
        <v>1</v>
      </c>
      <c r="G590" s="100"/>
      <c r="H590" s="21">
        <v>152.75</v>
      </c>
      <c r="I590" s="11">
        <f t="shared" si="26"/>
        <v>152.75</v>
      </c>
      <c r="J590" s="21"/>
      <c r="K590" s="21"/>
      <c r="L590" s="13">
        <f t="shared" si="25"/>
        <v>152.75</v>
      </c>
      <c r="M590" s="24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  <c r="BU590" s="9"/>
      <c r="BV590" s="9"/>
      <c r="BW590" s="9"/>
      <c r="BX590" s="9"/>
      <c r="BY590" s="9"/>
      <c r="BZ590" s="9"/>
      <c r="CA590" s="9"/>
      <c r="CB590" s="9"/>
      <c r="CC590" s="9"/>
      <c r="CD590" s="9"/>
      <c r="CE590" s="9"/>
      <c r="CF590" s="9"/>
      <c r="CG590" s="9"/>
      <c r="CH590" s="9"/>
      <c r="CI590" s="9"/>
      <c r="CJ590" s="9"/>
      <c r="CK590" s="9"/>
      <c r="CL590" s="9"/>
      <c r="CM590" s="9"/>
      <c r="CN590" s="9"/>
      <c r="CO590" s="9"/>
      <c r="CP590" s="9"/>
      <c r="CQ590" s="9"/>
      <c r="CR590" s="9"/>
      <c r="CS590" s="9"/>
      <c r="CT590" s="9"/>
      <c r="CU590" s="9"/>
      <c r="CV590" s="9"/>
      <c r="CW590" s="9"/>
      <c r="CX590" s="9"/>
      <c r="CY590" s="9"/>
      <c r="CZ590" s="9"/>
      <c r="DA590" s="9"/>
      <c r="DB590" s="9"/>
      <c r="DC590" s="9"/>
      <c r="DD590" s="9"/>
      <c r="DE590" s="9"/>
      <c r="DF590" s="9"/>
      <c r="DG590" s="9"/>
      <c r="DH590" s="9"/>
      <c r="DI590" s="9"/>
      <c r="DJ590" s="9"/>
      <c r="DK590" s="9"/>
      <c r="DL590" s="9"/>
      <c r="DM590" s="9"/>
      <c r="DN590" s="9"/>
      <c r="DO590" s="9"/>
      <c r="DP590" s="9"/>
      <c r="DQ590" s="9"/>
      <c r="DR590" s="9"/>
      <c r="DS590" s="9"/>
      <c r="DT590" s="9"/>
      <c r="DU590" s="9"/>
      <c r="DV590" s="9"/>
      <c r="DW590" s="9"/>
      <c r="DX590" s="9"/>
      <c r="DY590" s="9"/>
      <c r="DZ590" s="9"/>
      <c r="EA590" s="9"/>
      <c r="EB590" s="9"/>
      <c r="EC590" s="9"/>
      <c r="ED590" s="9"/>
      <c r="EE590" s="9"/>
      <c r="EF590" s="9"/>
    </row>
    <row r="591" spans="1:136" s="98" customFormat="1" ht="15.75" customHeight="1" x14ac:dyDescent="0.25">
      <c r="A591" s="93">
        <v>46234</v>
      </c>
      <c r="B591" s="94" t="s">
        <v>16</v>
      </c>
      <c r="C591" s="95">
        <v>6027</v>
      </c>
      <c r="D591" s="20"/>
      <c r="E591" s="99" t="s">
        <v>38</v>
      </c>
      <c r="F591" s="21">
        <v>3</v>
      </c>
      <c r="G591" s="100"/>
      <c r="H591" s="21">
        <v>80</v>
      </c>
      <c r="I591" s="11">
        <f t="shared" si="26"/>
        <v>240</v>
      </c>
      <c r="J591" s="21"/>
      <c r="K591" s="21"/>
      <c r="L591" s="13">
        <f t="shared" si="25"/>
        <v>240</v>
      </c>
      <c r="M591" s="24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  <c r="BU591" s="9"/>
      <c r="BV591" s="9"/>
      <c r="BW591" s="9"/>
      <c r="BX591" s="9"/>
      <c r="BY591" s="9"/>
      <c r="BZ591" s="9"/>
      <c r="CA591" s="9"/>
      <c r="CB591" s="9"/>
      <c r="CC591" s="9"/>
      <c r="CD591" s="9"/>
      <c r="CE591" s="9"/>
      <c r="CF591" s="9"/>
      <c r="CG591" s="9"/>
      <c r="CH591" s="9"/>
      <c r="CI591" s="9"/>
      <c r="CJ591" s="9"/>
      <c r="CK591" s="9"/>
      <c r="CL591" s="9"/>
      <c r="CM591" s="9"/>
      <c r="CN591" s="9"/>
      <c r="CO591" s="9"/>
      <c r="CP591" s="9"/>
      <c r="CQ591" s="9"/>
      <c r="CR591" s="9"/>
      <c r="CS591" s="9"/>
      <c r="CT591" s="9"/>
      <c r="CU591" s="9"/>
      <c r="CV591" s="9"/>
      <c r="CW591" s="9"/>
      <c r="CX591" s="9"/>
      <c r="CY591" s="9"/>
      <c r="CZ591" s="9"/>
      <c r="DA591" s="9"/>
      <c r="DB591" s="9"/>
      <c r="DC591" s="9"/>
      <c r="DD591" s="9"/>
      <c r="DE591" s="9"/>
      <c r="DF591" s="9"/>
      <c r="DG591" s="9"/>
      <c r="DH591" s="9"/>
      <c r="DI591" s="9"/>
      <c r="DJ591" s="9"/>
      <c r="DK591" s="9"/>
      <c r="DL591" s="9"/>
      <c r="DM591" s="9"/>
      <c r="DN591" s="9"/>
      <c r="DO591" s="9"/>
      <c r="DP591" s="9"/>
      <c r="DQ591" s="9"/>
      <c r="DR591" s="9"/>
      <c r="DS591" s="9"/>
      <c r="DT591" s="9"/>
      <c r="DU591" s="9"/>
      <c r="DV591" s="9"/>
      <c r="DW591" s="9"/>
      <c r="DX591" s="9"/>
      <c r="DY591" s="9"/>
      <c r="DZ591" s="9"/>
      <c r="EA591" s="9"/>
      <c r="EB591" s="9"/>
      <c r="EC591" s="9"/>
      <c r="ED591" s="9"/>
      <c r="EE591" s="9"/>
      <c r="EF591" s="9"/>
    </row>
    <row r="592" spans="1:136" s="98" customFormat="1" ht="15.75" customHeight="1" x14ac:dyDescent="0.25">
      <c r="A592" s="93">
        <v>46234</v>
      </c>
      <c r="B592" s="94" t="s">
        <v>16</v>
      </c>
      <c r="C592" s="95">
        <v>6027</v>
      </c>
      <c r="D592" s="20"/>
      <c r="E592" s="99" t="s">
        <v>73</v>
      </c>
      <c r="F592" s="21">
        <v>5</v>
      </c>
      <c r="G592" s="100"/>
      <c r="H592" s="21">
        <v>45</v>
      </c>
      <c r="I592" s="11">
        <f t="shared" si="26"/>
        <v>225</v>
      </c>
      <c r="J592" s="21"/>
      <c r="K592" s="21"/>
      <c r="L592" s="13">
        <f t="shared" si="25"/>
        <v>225</v>
      </c>
      <c r="M592" s="24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  <c r="BU592" s="9"/>
      <c r="BV592" s="9"/>
      <c r="BW592" s="9"/>
      <c r="BX592" s="9"/>
      <c r="BY592" s="9"/>
      <c r="BZ592" s="9"/>
      <c r="CA592" s="9"/>
      <c r="CB592" s="9"/>
      <c r="CC592" s="9"/>
      <c r="CD592" s="9"/>
      <c r="CE592" s="9"/>
      <c r="CF592" s="9"/>
      <c r="CG592" s="9"/>
      <c r="CH592" s="9"/>
      <c r="CI592" s="9"/>
      <c r="CJ592" s="9"/>
      <c r="CK592" s="9"/>
      <c r="CL592" s="9"/>
      <c r="CM592" s="9"/>
      <c r="CN592" s="9"/>
      <c r="CO592" s="9"/>
      <c r="CP592" s="9"/>
      <c r="CQ592" s="9"/>
      <c r="CR592" s="9"/>
      <c r="CS592" s="9"/>
      <c r="CT592" s="9"/>
      <c r="CU592" s="9"/>
      <c r="CV592" s="9"/>
      <c r="CW592" s="9"/>
      <c r="CX592" s="9"/>
      <c r="CY592" s="9"/>
      <c r="CZ592" s="9"/>
      <c r="DA592" s="9"/>
      <c r="DB592" s="9"/>
      <c r="DC592" s="9"/>
      <c r="DD592" s="9"/>
      <c r="DE592" s="9"/>
      <c r="DF592" s="9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</row>
    <row r="593" spans="1:136" s="98" customFormat="1" ht="15.75" customHeight="1" x14ac:dyDescent="0.25">
      <c r="A593" s="93">
        <v>46234</v>
      </c>
      <c r="B593" s="94" t="s">
        <v>16</v>
      </c>
      <c r="C593" s="95">
        <v>6027</v>
      </c>
      <c r="D593" s="20"/>
      <c r="E593" s="99" t="s">
        <v>71</v>
      </c>
      <c r="F593" s="21">
        <v>4</v>
      </c>
      <c r="G593" s="100"/>
      <c r="H593" s="21">
        <v>80</v>
      </c>
      <c r="I593" s="11">
        <f t="shared" si="26"/>
        <v>320</v>
      </c>
      <c r="J593" s="21"/>
      <c r="K593" s="21"/>
      <c r="L593" s="13">
        <f t="shared" si="25"/>
        <v>320</v>
      </c>
      <c r="M593" s="24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  <c r="BU593" s="9"/>
      <c r="BV593" s="9"/>
      <c r="BW593" s="9"/>
      <c r="BX593" s="9"/>
      <c r="BY593" s="9"/>
      <c r="BZ593" s="9"/>
      <c r="CA593" s="9"/>
      <c r="CB593" s="9"/>
      <c r="CC593" s="9"/>
      <c r="CD593" s="9"/>
      <c r="CE593" s="9"/>
      <c r="CF593" s="9"/>
      <c r="CG593" s="9"/>
      <c r="CH593" s="9"/>
      <c r="CI593" s="9"/>
      <c r="CJ593" s="9"/>
      <c r="CK593" s="9"/>
      <c r="CL593" s="9"/>
      <c r="CM593" s="9"/>
      <c r="CN593" s="9"/>
      <c r="CO593" s="9"/>
      <c r="CP593" s="9"/>
      <c r="CQ593" s="9"/>
      <c r="CR593" s="9"/>
      <c r="CS593" s="9"/>
      <c r="CT593" s="9"/>
      <c r="CU593" s="9"/>
      <c r="CV593" s="9"/>
      <c r="CW593" s="9"/>
      <c r="CX593" s="9"/>
      <c r="CY593" s="9"/>
      <c r="CZ593" s="9"/>
      <c r="DA593" s="9"/>
      <c r="DB593" s="9"/>
      <c r="DC593" s="9"/>
      <c r="DD593" s="9"/>
      <c r="DE593" s="9"/>
      <c r="DF593" s="9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</row>
    <row r="594" spans="1:136" s="98" customFormat="1" ht="15.75" customHeight="1" x14ac:dyDescent="0.25">
      <c r="A594" s="93">
        <v>46234</v>
      </c>
      <c r="B594" s="94" t="s">
        <v>16</v>
      </c>
      <c r="C594" s="95">
        <v>6027</v>
      </c>
      <c r="D594" s="20"/>
      <c r="E594" s="99" t="s">
        <v>45</v>
      </c>
      <c r="F594" s="21">
        <v>3</v>
      </c>
      <c r="G594" s="100"/>
      <c r="H594" s="21">
        <v>35</v>
      </c>
      <c r="I594" s="11">
        <f t="shared" si="26"/>
        <v>105</v>
      </c>
      <c r="J594" s="21"/>
      <c r="K594" s="21"/>
      <c r="L594" s="13">
        <f t="shared" si="25"/>
        <v>105</v>
      </c>
      <c r="M594" s="24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  <c r="BU594" s="9"/>
      <c r="BV594" s="9"/>
      <c r="BW594" s="9"/>
      <c r="BX594" s="9"/>
      <c r="BY594" s="9"/>
      <c r="BZ594" s="9"/>
      <c r="CA594" s="9"/>
      <c r="CB594" s="9"/>
      <c r="CC594" s="9"/>
      <c r="CD594" s="9"/>
      <c r="CE594" s="9"/>
      <c r="CF594" s="9"/>
      <c r="CG594" s="9"/>
      <c r="CH594" s="9"/>
      <c r="CI594" s="9"/>
      <c r="CJ594" s="9"/>
      <c r="CK594" s="9"/>
      <c r="CL594" s="9"/>
      <c r="CM594" s="9"/>
      <c r="CN594" s="9"/>
      <c r="CO594" s="9"/>
      <c r="CP594" s="9"/>
      <c r="CQ594" s="9"/>
      <c r="CR594" s="9"/>
      <c r="CS594" s="9"/>
      <c r="CT594" s="9"/>
      <c r="CU594" s="9"/>
      <c r="CV594" s="9"/>
      <c r="CW594" s="9"/>
      <c r="CX594" s="9"/>
      <c r="CY594" s="9"/>
      <c r="CZ594" s="9"/>
      <c r="DA594" s="9"/>
      <c r="DB594" s="9"/>
      <c r="DC594" s="9"/>
      <c r="DD594" s="9"/>
      <c r="DE594" s="9"/>
      <c r="DF594" s="9"/>
      <c r="DG594" s="9"/>
      <c r="DH594" s="9"/>
      <c r="DI594" s="9"/>
      <c r="DJ594" s="9"/>
      <c r="DK594" s="9"/>
      <c r="DL594" s="9"/>
      <c r="DM594" s="9"/>
      <c r="DN594" s="9"/>
      <c r="DO594" s="9"/>
      <c r="DP594" s="9"/>
      <c r="DQ594" s="9"/>
      <c r="DR594" s="9"/>
      <c r="DS594" s="9"/>
      <c r="DT594" s="9"/>
      <c r="DU594" s="9"/>
      <c r="DV594" s="9"/>
      <c r="DW594" s="9"/>
      <c r="DX594" s="9"/>
      <c r="DY594" s="9"/>
      <c r="DZ594" s="9"/>
      <c r="EA594" s="9"/>
      <c r="EB594" s="9"/>
      <c r="EC594" s="9"/>
      <c r="ED594" s="9"/>
      <c r="EE594" s="9"/>
      <c r="EF594" s="9"/>
    </row>
    <row r="595" spans="1:136" s="98" customFormat="1" ht="15.75" customHeight="1" x14ac:dyDescent="0.25">
      <c r="A595" s="93">
        <v>46234</v>
      </c>
      <c r="B595" s="94" t="s">
        <v>16</v>
      </c>
      <c r="C595" s="95">
        <v>6027</v>
      </c>
      <c r="D595" s="20"/>
      <c r="E595" s="99" t="s">
        <v>122</v>
      </c>
      <c r="F595" s="21">
        <f>174/80</f>
        <v>2.1749999999999998</v>
      </c>
      <c r="G595" s="100"/>
      <c r="H595" s="21">
        <v>80</v>
      </c>
      <c r="I595" s="11">
        <f t="shared" si="26"/>
        <v>174</v>
      </c>
      <c r="J595" s="21"/>
      <c r="K595" s="21"/>
      <c r="L595" s="13">
        <f t="shared" si="25"/>
        <v>174</v>
      </c>
      <c r="M595" s="24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  <c r="BU595" s="9"/>
      <c r="BV595" s="9"/>
      <c r="BW595" s="9"/>
      <c r="BX595" s="9"/>
      <c r="BY595" s="9"/>
      <c r="BZ595" s="9"/>
      <c r="CA595" s="9"/>
      <c r="CB595" s="9"/>
      <c r="CC595" s="9"/>
      <c r="CD595" s="9"/>
      <c r="CE595" s="9"/>
      <c r="CF595" s="9"/>
      <c r="CG595" s="9"/>
      <c r="CH595" s="9"/>
      <c r="CI595" s="9"/>
      <c r="CJ595" s="9"/>
      <c r="CK595" s="9"/>
      <c r="CL595" s="9"/>
      <c r="CM595" s="9"/>
      <c r="CN595" s="9"/>
      <c r="CO595" s="9"/>
      <c r="CP595" s="9"/>
      <c r="CQ595" s="9"/>
      <c r="CR595" s="9"/>
      <c r="CS595" s="9"/>
      <c r="CT595" s="9"/>
      <c r="CU595" s="9"/>
      <c r="CV595" s="9"/>
      <c r="CW595" s="9"/>
      <c r="CX595" s="9"/>
      <c r="CY595" s="9"/>
      <c r="CZ595" s="9"/>
      <c r="DA595" s="9"/>
      <c r="DB595" s="9"/>
      <c r="DC595" s="9"/>
      <c r="DD595" s="9"/>
      <c r="DE595" s="9"/>
      <c r="DF595" s="9"/>
      <c r="DG595" s="9"/>
      <c r="DH595" s="9"/>
      <c r="DI595" s="9"/>
      <c r="DJ595" s="9"/>
      <c r="DK595" s="9"/>
      <c r="DL595" s="9"/>
      <c r="DM595" s="9"/>
      <c r="DN595" s="9"/>
      <c r="DO595" s="9"/>
      <c r="DP595" s="9"/>
      <c r="DQ595" s="9"/>
      <c r="DR595" s="9"/>
      <c r="DS595" s="9"/>
      <c r="DT595" s="9"/>
      <c r="DU595" s="9"/>
      <c r="DV595" s="9"/>
      <c r="DW595" s="9"/>
      <c r="DX595" s="9"/>
      <c r="DY595" s="9"/>
      <c r="DZ595" s="9"/>
      <c r="EA595" s="9"/>
      <c r="EB595" s="9"/>
      <c r="EC595" s="9"/>
      <c r="ED595" s="9"/>
      <c r="EE595" s="9"/>
      <c r="EF595" s="9"/>
    </row>
    <row r="596" spans="1:136" s="98" customFormat="1" ht="15.75" customHeight="1" x14ac:dyDescent="0.25">
      <c r="A596" s="93">
        <v>46234</v>
      </c>
      <c r="B596" s="94" t="s">
        <v>16</v>
      </c>
      <c r="C596" s="95">
        <v>6027</v>
      </c>
      <c r="D596" s="20"/>
      <c r="E596" s="99" t="s">
        <v>121</v>
      </c>
      <c r="F596" s="21">
        <v>2</v>
      </c>
      <c r="G596" s="100"/>
      <c r="H596" s="21">
        <v>80</v>
      </c>
      <c r="I596" s="11">
        <f t="shared" si="26"/>
        <v>160</v>
      </c>
      <c r="J596" s="21"/>
      <c r="K596" s="21"/>
      <c r="L596" s="13">
        <f t="shared" si="25"/>
        <v>160</v>
      </c>
      <c r="M596" s="24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  <c r="BU596" s="9"/>
      <c r="BV596" s="9"/>
      <c r="BW596" s="9"/>
      <c r="BX596" s="9"/>
      <c r="BY596" s="9"/>
      <c r="BZ596" s="9"/>
      <c r="CA596" s="9"/>
      <c r="CB596" s="9"/>
      <c r="CC596" s="9"/>
      <c r="CD596" s="9"/>
      <c r="CE596" s="9"/>
      <c r="CF596" s="9"/>
      <c r="CG596" s="9"/>
      <c r="CH596" s="9"/>
      <c r="CI596" s="9"/>
      <c r="CJ596" s="9"/>
      <c r="CK596" s="9"/>
      <c r="CL596" s="9"/>
      <c r="CM596" s="9"/>
      <c r="CN596" s="9"/>
      <c r="CO596" s="9"/>
      <c r="CP596" s="9"/>
      <c r="CQ596" s="9"/>
      <c r="CR596" s="9"/>
      <c r="CS596" s="9"/>
      <c r="CT596" s="9"/>
      <c r="CU596" s="9"/>
      <c r="CV596" s="9"/>
      <c r="CW596" s="9"/>
      <c r="CX596" s="9"/>
      <c r="CY596" s="9"/>
      <c r="CZ596" s="9"/>
      <c r="DA596" s="9"/>
      <c r="DB596" s="9"/>
      <c r="DC596" s="9"/>
      <c r="DD596" s="9"/>
      <c r="DE596" s="9"/>
      <c r="DF596" s="9"/>
      <c r="DG596" s="9"/>
      <c r="DH596" s="9"/>
      <c r="DI596" s="9"/>
      <c r="DJ596" s="9"/>
      <c r="DK596" s="9"/>
      <c r="DL596" s="9"/>
      <c r="DM596" s="9"/>
      <c r="DN596" s="9"/>
      <c r="DO596" s="9"/>
      <c r="DP596" s="9"/>
      <c r="DQ596" s="9"/>
      <c r="DR596" s="9"/>
      <c r="DS596" s="9"/>
      <c r="DT596" s="9"/>
      <c r="DU596" s="9"/>
      <c r="DV596" s="9"/>
      <c r="DW596" s="9"/>
      <c r="DX596" s="9"/>
      <c r="DY596" s="9"/>
      <c r="DZ596" s="9"/>
      <c r="EA596" s="9"/>
      <c r="EB596" s="9"/>
      <c r="EC596" s="9"/>
      <c r="ED596" s="9"/>
      <c r="EE596" s="9"/>
      <c r="EF596" s="9"/>
    </row>
    <row r="597" spans="1:136" s="98" customFormat="1" ht="15.75" customHeight="1" x14ac:dyDescent="0.25">
      <c r="A597" s="93">
        <v>46234</v>
      </c>
      <c r="B597" s="94" t="s">
        <v>16</v>
      </c>
      <c r="C597" s="95">
        <v>6027</v>
      </c>
      <c r="D597" s="20"/>
      <c r="E597" s="99" t="s">
        <v>228</v>
      </c>
      <c r="F597" s="21">
        <v>0.5</v>
      </c>
      <c r="G597" s="100"/>
      <c r="H597" s="21">
        <v>250</v>
      </c>
      <c r="I597" s="11">
        <f t="shared" si="26"/>
        <v>125</v>
      </c>
      <c r="J597" s="21"/>
      <c r="K597" s="21"/>
      <c r="L597" s="13">
        <f t="shared" si="25"/>
        <v>125</v>
      </c>
      <c r="M597" s="24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  <c r="BU597" s="9"/>
      <c r="BV597" s="9"/>
      <c r="BW597" s="9"/>
      <c r="BX597" s="9"/>
      <c r="BY597" s="9"/>
      <c r="BZ597" s="9"/>
      <c r="CA597" s="9"/>
      <c r="CB597" s="9"/>
      <c r="CC597" s="9"/>
      <c r="CD597" s="9"/>
      <c r="CE597" s="9"/>
      <c r="CF597" s="9"/>
      <c r="CG597" s="9"/>
      <c r="CH597" s="9"/>
      <c r="CI597" s="9"/>
      <c r="CJ597" s="9"/>
      <c r="CK597" s="9"/>
      <c r="CL597" s="9"/>
      <c r="CM597" s="9"/>
      <c r="CN597" s="9"/>
      <c r="CO597" s="9"/>
      <c r="CP597" s="9"/>
      <c r="CQ597" s="9"/>
      <c r="CR597" s="9"/>
      <c r="CS597" s="9"/>
      <c r="CT597" s="9"/>
      <c r="CU597" s="9"/>
      <c r="CV597" s="9"/>
      <c r="CW597" s="9"/>
      <c r="CX597" s="9"/>
      <c r="CY597" s="9"/>
      <c r="CZ597" s="9"/>
      <c r="DA597" s="9"/>
      <c r="DB597" s="9"/>
      <c r="DC597" s="9"/>
      <c r="DD597" s="9"/>
      <c r="DE597" s="9"/>
      <c r="DF597" s="9"/>
      <c r="DG597" s="9"/>
      <c r="DH597" s="9"/>
      <c r="DI597" s="9"/>
      <c r="DJ597" s="9"/>
      <c r="DK597" s="9"/>
      <c r="DL597" s="9"/>
      <c r="DM597" s="9"/>
      <c r="DN597" s="9"/>
      <c r="DO597" s="9"/>
      <c r="DP597" s="9"/>
      <c r="DQ597" s="9"/>
      <c r="DR597" s="9"/>
      <c r="DS597" s="9"/>
      <c r="DT597" s="9"/>
      <c r="DU597" s="9"/>
      <c r="DV597" s="9"/>
      <c r="DW597" s="9"/>
      <c r="DX597" s="9"/>
      <c r="DY597" s="9"/>
      <c r="DZ597" s="9"/>
      <c r="EA597" s="9"/>
      <c r="EB597" s="9"/>
      <c r="EC597" s="9"/>
      <c r="ED597" s="9"/>
      <c r="EE597" s="9"/>
      <c r="EF597" s="9"/>
    </row>
    <row r="598" spans="1:136" s="98" customFormat="1" ht="15.75" customHeight="1" x14ac:dyDescent="0.25">
      <c r="A598" s="93">
        <v>46234</v>
      </c>
      <c r="B598" s="94" t="s">
        <v>16</v>
      </c>
      <c r="C598" s="95">
        <v>6027</v>
      </c>
      <c r="D598" s="20"/>
      <c r="E598" s="99" t="s">
        <v>119</v>
      </c>
      <c r="F598" s="21">
        <v>0.5</v>
      </c>
      <c r="G598" s="100"/>
      <c r="H598" s="21">
        <v>160</v>
      </c>
      <c r="I598" s="11">
        <f t="shared" si="26"/>
        <v>80</v>
      </c>
      <c r="J598" s="21"/>
      <c r="K598" s="21"/>
      <c r="L598" s="13">
        <f t="shared" si="25"/>
        <v>80</v>
      </c>
      <c r="M598" s="24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  <c r="BU598" s="9"/>
      <c r="BV598" s="9"/>
      <c r="BW598" s="9"/>
      <c r="BX598" s="9"/>
      <c r="BY598" s="9"/>
      <c r="BZ598" s="9"/>
      <c r="CA598" s="9"/>
      <c r="CB598" s="9"/>
      <c r="CC598" s="9"/>
      <c r="CD598" s="9"/>
      <c r="CE598" s="9"/>
      <c r="CF598" s="9"/>
      <c r="CG598" s="9"/>
      <c r="CH598" s="9"/>
      <c r="CI598" s="9"/>
      <c r="CJ598" s="9"/>
      <c r="CK598" s="9"/>
      <c r="CL598" s="9"/>
      <c r="CM598" s="9"/>
      <c r="CN598" s="9"/>
      <c r="CO598" s="9"/>
      <c r="CP598" s="9"/>
      <c r="CQ598" s="9"/>
      <c r="CR598" s="9"/>
      <c r="CS598" s="9"/>
      <c r="CT598" s="9"/>
      <c r="CU598" s="9"/>
      <c r="CV598" s="9"/>
      <c r="CW598" s="9"/>
      <c r="CX598" s="9"/>
      <c r="CY598" s="9"/>
      <c r="CZ598" s="9"/>
      <c r="DA598" s="9"/>
      <c r="DB598" s="9"/>
      <c r="DC598" s="9"/>
      <c r="DD598" s="9"/>
      <c r="DE598" s="9"/>
      <c r="DF598" s="9"/>
      <c r="DG598" s="9"/>
      <c r="DH598" s="9"/>
      <c r="DI598" s="9"/>
      <c r="DJ598" s="9"/>
      <c r="DK598" s="9"/>
      <c r="DL598" s="9"/>
      <c r="DM598" s="9"/>
      <c r="DN598" s="9"/>
      <c r="DO598" s="9"/>
      <c r="DP598" s="9"/>
      <c r="DQ598" s="9"/>
      <c r="DR598" s="9"/>
      <c r="DS598" s="9"/>
      <c r="DT598" s="9"/>
      <c r="DU598" s="9"/>
      <c r="DV598" s="9"/>
      <c r="DW598" s="9"/>
      <c r="DX598" s="9"/>
      <c r="DY598" s="9"/>
      <c r="DZ598" s="9"/>
      <c r="EA598" s="9"/>
      <c r="EB598" s="9"/>
      <c r="EC598" s="9"/>
      <c r="ED598" s="9"/>
      <c r="EE598" s="9"/>
      <c r="EF598" s="9"/>
    </row>
    <row r="599" spans="1:136" s="98" customFormat="1" ht="15.75" customHeight="1" x14ac:dyDescent="0.25">
      <c r="A599" s="93">
        <v>46234</v>
      </c>
      <c r="B599" s="94" t="s">
        <v>16</v>
      </c>
      <c r="C599" s="95">
        <v>6027</v>
      </c>
      <c r="D599" s="20"/>
      <c r="E599" s="99" t="s">
        <v>72</v>
      </c>
      <c r="F599" s="21">
        <v>0.5</v>
      </c>
      <c r="G599" s="100"/>
      <c r="H599" s="21">
        <v>120</v>
      </c>
      <c r="I599" s="11">
        <f t="shared" si="26"/>
        <v>60</v>
      </c>
      <c r="J599" s="21"/>
      <c r="K599" s="21"/>
      <c r="L599" s="13">
        <f t="shared" si="25"/>
        <v>60</v>
      </c>
      <c r="M599" s="24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  <c r="BU599" s="9"/>
      <c r="BV599" s="9"/>
      <c r="BW599" s="9"/>
      <c r="BX599" s="9"/>
      <c r="BY599" s="9"/>
      <c r="BZ599" s="9"/>
      <c r="CA599" s="9"/>
      <c r="CB599" s="9"/>
      <c r="CC599" s="9"/>
      <c r="CD599" s="9"/>
      <c r="CE599" s="9"/>
      <c r="CF599" s="9"/>
      <c r="CG599" s="9"/>
      <c r="CH599" s="9"/>
      <c r="CI599" s="9"/>
      <c r="CJ599" s="9"/>
      <c r="CK599" s="9"/>
      <c r="CL599" s="9"/>
      <c r="CM599" s="9"/>
      <c r="CN599" s="9"/>
      <c r="CO599" s="9"/>
      <c r="CP599" s="9"/>
      <c r="CQ599" s="9"/>
      <c r="CR599" s="9"/>
      <c r="CS599" s="9"/>
      <c r="CT599" s="9"/>
      <c r="CU599" s="9"/>
      <c r="CV599" s="9"/>
      <c r="CW599" s="9"/>
      <c r="CX599" s="9"/>
      <c r="CY599" s="9"/>
      <c r="CZ599" s="9"/>
      <c r="DA599" s="9"/>
      <c r="DB599" s="9"/>
      <c r="DC599" s="9"/>
      <c r="DD599" s="9"/>
      <c r="DE599" s="9"/>
      <c r="DF599" s="9"/>
      <c r="DG599" s="9"/>
      <c r="DH599" s="9"/>
      <c r="DI599" s="9"/>
      <c r="DJ599" s="9"/>
      <c r="DK599" s="9"/>
      <c r="DL599" s="9"/>
      <c r="DM599" s="9"/>
      <c r="DN599" s="9"/>
      <c r="DO599" s="9"/>
      <c r="DP599" s="9"/>
      <c r="DQ599" s="9"/>
      <c r="DR599" s="9"/>
      <c r="DS599" s="9"/>
      <c r="DT599" s="9"/>
      <c r="DU599" s="9"/>
      <c r="DV599" s="9"/>
      <c r="DW599" s="9"/>
      <c r="DX599" s="9"/>
      <c r="DY599" s="9"/>
      <c r="DZ599" s="9"/>
      <c r="EA599" s="9"/>
      <c r="EB599" s="9"/>
      <c r="EC599" s="9"/>
      <c r="ED599" s="9"/>
      <c r="EE599" s="9"/>
      <c r="EF599" s="9"/>
    </row>
    <row r="600" spans="1:136" s="98" customFormat="1" ht="15.75" customHeight="1" x14ac:dyDescent="0.25">
      <c r="A600" s="93">
        <v>46234</v>
      </c>
      <c r="B600" s="94" t="s">
        <v>16</v>
      </c>
      <c r="C600" s="95">
        <v>6027</v>
      </c>
      <c r="D600" s="20"/>
      <c r="E600" s="99" t="s">
        <v>32</v>
      </c>
      <c r="F600" s="21">
        <v>2</v>
      </c>
      <c r="G600" s="100"/>
      <c r="H600" s="21">
        <v>70</v>
      </c>
      <c r="I600" s="11">
        <f t="shared" si="26"/>
        <v>140</v>
      </c>
      <c r="J600" s="21"/>
      <c r="K600" s="21"/>
      <c r="L600" s="13">
        <f t="shared" ref="L600:L628" si="27">I600-J600-K600</f>
        <v>140</v>
      </c>
      <c r="M600" s="24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  <c r="BU600" s="9"/>
      <c r="BV600" s="9"/>
      <c r="BW600" s="9"/>
      <c r="BX600" s="9"/>
      <c r="BY600" s="9"/>
      <c r="BZ600" s="9"/>
      <c r="CA600" s="9"/>
      <c r="CB600" s="9"/>
      <c r="CC600" s="9"/>
      <c r="CD600" s="9"/>
      <c r="CE600" s="9"/>
      <c r="CF600" s="9"/>
      <c r="CG600" s="9"/>
      <c r="CH600" s="9"/>
      <c r="CI600" s="9"/>
      <c r="CJ600" s="9"/>
      <c r="CK600" s="9"/>
      <c r="CL600" s="9"/>
      <c r="CM600" s="9"/>
      <c r="CN600" s="9"/>
      <c r="CO600" s="9"/>
      <c r="CP600" s="9"/>
      <c r="CQ600" s="9"/>
      <c r="CR600" s="9"/>
      <c r="CS600" s="9"/>
      <c r="CT600" s="9"/>
      <c r="CU600" s="9"/>
      <c r="CV600" s="9"/>
      <c r="CW600" s="9"/>
      <c r="CX600" s="9"/>
      <c r="CY600" s="9"/>
      <c r="CZ600" s="9"/>
      <c r="DA600" s="9"/>
      <c r="DB600" s="9"/>
      <c r="DC600" s="9"/>
      <c r="DD600" s="9"/>
      <c r="DE600" s="9"/>
      <c r="DF600" s="9"/>
      <c r="DG600" s="9"/>
      <c r="DH600" s="9"/>
      <c r="DI600" s="9"/>
      <c r="DJ600" s="9"/>
      <c r="DK600" s="9"/>
      <c r="DL600" s="9"/>
      <c r="DM600" s="9"/>
      <c r="DN600" s="9"/>
      <c r="DO600" s="9"/>
      <c r="DP600" s="9"/>
      <c r="DQ600" s="9"/>
      <c r="DR600" s="9"/>
      <c r="DS600" s="9"/>
      <c r="DT600" s="9"/>
      <c r="DU600" s="9"/>
      <c r="DV600" s="9"/>
      <c r="DW600" s="9"/>
      <c r="DX600" s="9"/>
      <c r="DY600" s="9"/>
      <c r="DZ600" s="9"/>
      <c r="EA600" s="9"/>
      <c r="EB600" s="9"/>
      <c r="EC600" s="9"/>
      <c r="ED600" s="9"/>
      <c r="EE600" s="9"/>
      <c r="EF600" s="9"/>
    </row>
    <row r="601" spans="1:136" s="98" customFormat="1" ht="15.75" customHeight="1" x14ac:dyDescent="0.25">
      <c r="A601" s="93">
        <v>46234</v>
      </c>
      <c r="B601" s="94" t="s">
        <v>16</v>
      </c>
      <c r="C601" s="95">
        <v>6027</v>
      </c>
      <c r="D601" s="20"/>
      <c r="E601" s="99" t="s">
        <v>128</v>
      </c>
      <c r="F601" s="21">
        <v>1</v>
      </c>
      <c r="G601" s="100"/>
      <c r="H601" s="21">
        <v>60</v>
      </c>
      <c r="I601" s="11">
        <f t="shared" si="26"/>
        <v>60</v>
      </c>
      <c r="J601" s="21"/>
      <c r="K601" s="21"/>
      <c r="L601" s="13">
        <f t="shared" si="27"/>
        <v>60</v>
      </c>
      <c r="M601" s="24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  <c r="BU601" s="9"/>
      <c r="BV601" s="9"/>
      <c r="BW601" s="9"/>
      <c r="BX601" s="9"/>
      <c r="BY601" s="9"/>
      <c r="BZ601" s="9"/>
      <c r="CA601" s="9"/>
      <c r="CB601" s="9"/>
      <c r="CC601" s="9"/>
      <c r="CD601" s="9"/>
      <c r="CE601" s="9"/>
      <c r="CF601" s="9"/>
      <c r="CG601" s="9"/>
      <c r="CH601" s="9"/>
      <c r="CI601" s="9"/>
      <c r="CJ601" s="9"/>
      <c r="CK601" s="9"/>
      <c r="CL601" s="9"/>
      <c r="CM601" s="9"/>
      <c r="CN601" s="9"/>
      <c r="CO601" s="9"/>
      <c r="CP601" s="9"/>
      <c r="CQ601" s="9"/>
      <c r="CR601" s="9"/>
      <c r="CS601" s="9"/>
      <c r="CT601" s="9"/>
      <c r="CU601" s="9"/>
      <c r="CV601" s="9"/>
      <c r="CW601" s="9"/>
      <c r="CX601" s="9"/>
      <c r="CY601" s="9"/>
      <c r="CZ601" s="9"/>
      <c r="DA601" s="9"/>
      <c r="DB601" s="9"/>
      <c r="DC601" s="9"/>
      <c r="DD601" s="9"/>
      <c r="DE601" s="9"/>
      <c r="DF601" s="9"/>
      <c r="DG601" s="9"/>
      <c r="DH601" s="9"/>
      <c r="DI601" s="9"/>
      <c r="DJ601" s="9"/>
      <c r="DK601" s="9"/>
      <c r="DL601" s="9"/>
      <c r="DM601" s="9"/>
      <c r="DN601" s="9"/>
      <c r="DO601" s="9"/>
      <c r="DP601" s="9"/>
      <c r="DQ601" s="9"/>
      <c r="DR601" s="9"/>
      <c r="DS601" s="9"/>
      <c r="DT601" s="9"/>
      <c r="DU601" s="9"/>
      <c r="DV601" s="9"/>
      <c r="DW601" s="9"/>
      <c r="DX601" s="9"/>
      <c r="DY601" s="9"/>
      <c r="DZ601" s="9"/>
      <c r="EA601" s="9"/>
      <c r="EB601" s="9"/>
      <c r="EC601" s="9"/>
      <c r="ED601" s="9"/>
      <c r="EE601" s="9"/>
      <c r="EF601" s="9"/>
    </row>
    <row r="602" spans="1:136" s="98" customFormat="1" ht="15.75" customHeight="1" x14ac:dyDescent="0.25">
      <c r="A602" s="93">
        <v>46234</v>
      </c>
      <c r="B602" s="94" t="s">
        <v>16</v>
      </c>
      <c r="C602" s="95">
        <v>6027</v>
      </c>
      <c r="D602" s="20"/>
      <c r="E602" s="99" t="s">
        <v>33</v>
      </c>
      <c r="F602" s="21">
        <v>8</v>
      </c>
      <c r="G602" s="100"/>
      <c r="H602" s="21">
        <f>550/8</f>
        <v>68.75</v>
      </c>
      <c r="I602" s="11">
        <f t="shared" si="26"/>
        <v>550</v>
      </c>
      <c r="J602" s="21"/>
      <c r="K602" s="21"/>
      <c r="L602" s="13">
        <f t="shared" si="27"/>
        <v>550</v>
      </c>
      <c r="M602" s="24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  <c r="BU602" s="9"/>
      <c r="BV602" s="9"/>
      <c r="BW602" s="9"/>
      <c r="BX602" s="9"/>
      <c r="BY602" s="9"/>
      <c r="BZ602" s="9"/>
      <c r="CA602" s="9"/>
      <c r="CB602" s="9"/>
      <c r="CC602" s="9"/>
      <c r="CD602" s="9"/>
      <c r="CE602" s="9"/>
      <c r="CF602" s="9"/>
      <c r="CG602" s="9"/>
      <c r="CH602" s="9"/>
      <c r="CI602" s="9"/>
      <c r="CJ602" s="9"/>
      <c r="CK602" s="9"/>
      <c r="CL602" s="9"/>
      <c r="CM602" s="9"/>
      <c r="CN602" s="9"/>
      <c r="CO602" s="9"/>
      <c r="CP602" s="9"/>
      <c r="CQ602" s="9"/>
      <c r="CR602" s="9"/>
      <c r="CS602" s="9"/>
      <c r="CT602" s="9"/>
      <c r="CU602" s="9"/>
      <c r="CV602" s="9"/>
      <c r="CW602" s="9"/>
      <c r="CX602" s="9"/>
      <c r="CY602" s="9"/>
      <c r="CZ602" s="9"/>
      <c r="DA602" s="9"/>
      <c r="DB602" s="9"/>
      <c r="DC602" s="9"/>
      <c r="DD602" s="9"/>
      <c r="DE602" s="9"/>
      <c r="DF602" s="9"/>
      <c r="DG602" s="9"/>
      <c r="DH602" s="9"/>
      <c r="DI602" s="9"/>
      <c r="DJ602" s="9"/>
      <c r="DK602" s="9"/>
      <c r="DL602" s="9"/>
      <c r="DM602" s="9"/>
      <c r="DN602" s="9"/>
      <c r="DO602" s="9"/>
      <c r="DP602" s="9"/>
      <c r="DQ602" s="9"/>
      <c r="DR602" s="9"/>
      <c r="DS602" s="9"/>
      <c r="DT602" s="9"/>
      <c r="DU602" s="9"/>
      <c r="DV602" s="9"/>
      <c r="DW602" s="9"/>
      <c r="DX602" s="9"/>
      <c r="DY602" s="9"/>
      <c r="DZ602" s="9"/>
      <c r="EA602" s="9"/>
      <c r="EB602" s="9"/>
      <c r="EC602" s="9"/>
      <c r="ED602" s="9"/>
      <c r="EE602" s="9"/>
      <c r="EF602" s="9"/>
    </row>
    <row r="603" spans="1:136" s="98" customFormat="1" ht="15.75" customHeight="1" x14ac:dyDescent="0.25">
      <c r="A603" s="93">
        <v>46234</v>
      </c>
      <c r="B603" s="94" t="s">
        <v>16</v>
      </c>
      <c r="C603" s="95">
        <v>6027</v>
      </c>
      <c r="D603" s="20"/>
      <c r="E603" s="99" t="s">
        <v>182</v>
      </c>
      <c r="F603" s="21">
        <v>2</v>
      </c>
      <c r="G603" s="100"/>
      <c r="H603" s="21">
        <v>60</v>
      </c>
      <c r="I603" s="11">
        <f t="shared" si="26"/>
        <v>120</v>
      </c>
      <c r="J603" s="21"/>
      <c r="K603" s="21"/>
      <c r="L603" s="13">
        <f t="shared" si="27"/>
        <v>120</v>
      </c>
      <c r="M603" s="24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  <c r="BU603" s="9"/>
      <c r="BV603" s="9"/>
      <c r="BW603" s="9"/>
      <c r="BX603" s="9"/>
      <c r="BY603" s="9"/>
      <c r="BZ603" s="9"/>
      <c r="CA603" s="9"/>
      <c r="CB603" s="9"/>
      <c r="CC603" s="9"/>
      <c r="CD603" s="9"/>
      <c r="CE603" s="9"/>
      <c r="CF603" s="9"/>
      <c r="CG603" s="9"/>
      <c r="CH603" s="9"/>
      <c r="CI603" s="9"/>
      <c r="CJ603" s="9"/>
      <c r="CK603" s="9"/>
      <c r="CL603" s="9"/>
      <c r="CM603" s="9"/>
      <c r="CN603" s="9"/>
      <c r="CO603" s="9"/>
      <c r="CP603" s="9"/>
      <c r="CQ603" s="9"/>
      <c r="CR603" s="9"/>
      <c r="CS603" s="9"/>
      <c r="CT603" s="9"/>
      <c r="CU603" s="9"/>
      <c r="CV603" s="9"/>
      <c r="CW603" s="9"/>
      <c r="CX603" s="9"/>
      <c r="CY603" s="9"/>
      <c r="CZ603" s="9"/>
      <c r="DA603" s="9"/>
      <c r="DB603" s="9"/>
      <c r="DC603" s="9"/>
      <c r="DD603" s="9"/>
      <c r="DE603" s="9"/>
      <c r="DF603" s="9"/>
      <c r="DG603" s="9"/>
      <c r="DH603" s="9"/>
      <c r="DI603" s="9"/>
      <c r="DJ603" s="9"/>
      <c r="DK603" s="9"/>
      <c r="DL603" s="9"/>
      <c r="DM603" s="9"/>
      <c r="DN603" s="9"/>
      <c r="DO603" s="9"/>
      <c r="DP603" s="9"/>
      <c r="DQ603" s="9"/>
      <c r="DR603" s="9"/>
      <c r="DS603" s="9"/>
      <c r="DT603" s="9"/>
      <c r="DU603" s="9"/>
      <c r="DV603" s="9"/>
      <c r="DW603" s="9"/>
      <c r="DX603" s="9"/>
      <c r="DY603" s="9"/>
      <c r="DZ603" s="9"/>
      <c r="EA603" s="9"/>
      <c r="EB603" s="9"/>
      <c r="EC603" s="9"/>
      <c r="ED603" s="9"/>
      <c r="EE603" s="9"/>
      <c r="EF603" s="9"/>
    </row>
    <row r="604" spans="1:136" s="98" customFormat="1" ht="15.75" customHeight="1" x14ac:dyDescent="0.25">
      <c r="A604" s="93">
        <v>46234</v>
      </c>
      <c r="B604" s="94" t="s">
        <v>16</v>
      </c>
      <c r="C604" s="95">
        <v>6027</v>
      </c>
      <c r="D604" s="20"/>
      <c r="E604" s="99" t="s">
        <v>288</v>
      </c>
      <c r="F604" s="21">
        <v>2</v>
      </c>
      <c r="G604" s="100"/>
      <c r="H604" s="21">
        <v>10</v>
      </c>
      <c r="I604" s="11">
        <f t="shared" si="26"/>
        <v>20</v>
      </c>
      <c r="J604" s="21"/>
      <c r="K604" s="21"/>
      <c r="L604" s="13">
        <f t="shared" si="27"/>
        <v>20</v>
      </c>
      <c r="M604" s="24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  <c r="BU604" s="9"/>
      <c r="BV604" s="9"/>
      <c r="BW604" s="9"/>
      <c r="BX604" s="9"/>
      <c r="BY604" s="9"/>
      <c r="BZ604" s="9"/>
      <c r="CA604" s="9"/>
      <c r="CB604" s="9"/>
      <c r="CC604" s="9"/>
      <c r="CD604" s="9"/>
      <c r="CE604" s="9"/>
      <c r="CF604" s="9"/>
      <c r="CG604" s="9"/>
      <c r="CH604" s="9"/>
      <c r="CI604" s="9"/>
      <c r="CJ604" s="9"/>
      <c r="CK604" s="9"/>
      <c r="CL604" s="9"/>
      <c r="CM604" s="9"/>
      <c r="CN604" s="9"/>
      <c r="CO604" s="9"/>
      <c r="CP604" s="9"/>
      <c r="CQ604" s="9"/>
      <c r="CR604" s="9"/>
      <c r="CS604" s="9"/>
      <c r="CT604" s="9"/>
      <c r="CU604" s="9"/>
      <c r="CV604" s="9"/>
      <c r="CW604" s="9"/>
      <c r="CX604" s="9"/>
      <c r="CY604" s="9"/>
      <c r="CZ604" s="9"/>
      <c r="DA604" s="9"/>
      <c r="DB604" s="9"/>
      <c r="DC604" s="9"/>
      <c r="DD604" s="9"/>
      <c r="DE604" s="9"/>
      <c r="DF604" s="9"/>
      <c r="DG604" s="9"/>
      <c r="DH604" s="9"/>
      <c r="DI604" s="9"/>
      <c r="DJ604" s="9"/>
      <c r="DK604" s="9"/>
      <c r="DL604" s="9"/>
      <c r="DM604" s="9"/>
      <c r="DN604" s="9"/>
      <c r="DO604" s="9"/>
      <c r="DP604" s="9"/>
      <c r="DQ604" s="9"/>
      <c r="DR604" s="9"/>
      <c r="DS604" s="9"/>
      <c r="DT604" s="9"/>
      <c r="DU604" s="9"/>
      <c r="DV604" s="9"/>
      <c r="DW604" s="9"/>
      <c r="DX604" s="9"/>
      <c r="DY604" s="9"/>
      <c r="DZ604" s="9"/>
      <c r="EA604" s="9"/>
      <c r="EB604" s="9"/>
      <c r="EC604" s="9"/>
      <c r="ED604" s="9"/>
      <c r="EE604" s="9"/>
      <c r="EF604" s="9"/>
    </row>
    <row r="605" spans="1:136" s="98" customFormat="1" ht="15.75" customHeight="1" x14ac:dyDescent="0.25">
      <c r="A605" s="93">
        <v>46234</v>
      </c>
      <c r="B605" s="94" t="s">
        <v>16</v>
      </c>
      <c r="C605" s="95">
        <v>6027</v>
      </c>
      <c r="D605" s="20"/>
      <c r="E605" s="99" t="s">
        <v>39</v>
      </c>
      <c r="F605" s="21">
        <v>2</v>
      </c>
      <c r="G605" s="100"/>
      <c r="H605" s="21">
        <v>60</v>
      </c>
      <c r="I605" s="11">
        <f t="shared" si="26"/>
        <v>120</v>
      </c>
      <c r="J605" s="21"/>
      <c r="K605" s="21"/>
      <c r="L605" s="13">
        <f t="shared" si="27"/>
        <v>120</v>
      </c>
      <c r="M605" s="24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  <c r="BU605" s="9"/>
      <c r="BV605" s="9"/>
      <c r="BW605" s="9"/>
      <c r="BX605" s="9"/>
      <c r="BY605" s="9"/>
      <c r="BZ605" s="9"/>
      <c r="CA605" s="9"/>
      <c r="CB605" s="9"/>
      <c r="CC605" s="9"/>
      <c r="CD605" s="9"/>
      <c r="CE605" s="9"/>
      <c r="CF605" s="9"/>
      <c r="CG605" s="9"/>
      <c r="CH605" s="9"/>
      <c r="CI605" s="9"/>
      <c r="CJ605" s="9"/>
      <c r="CK605" s="9"/>
      <c r="CL605" s="9"/>
      <c r="CM605" s="9"/>
      <c r="CN605" s="9"/>
      <c r="CO605" s="9"/>
      <c r="CP605" s="9"/>
      <c r="CQ605" s="9"/>
      <c r="CR605" s="9"/>
      <c r="CS605" s="9"/>
      <c r="CT605" s="9"/>
      <c r="CU605" s="9"/>
      <c r="CV605" s="9"/>
      <c r="CW605" s="9"/>
      <c r="CX605" s="9"/>
      <c r="CY605" s="9"/>
      <c r="CZ605" s="9"/>
      <c r="DA605" s="9"/>
      <c r="DB605" s="9"/>
      <c r="DC605" s="9"/>
      <c r="DD605" s="9"/>
      <c r="DE605" s="9"/>
      <c r="DF605" s="9"/>
      <c r="DG605" s="9"/>
      <c r="DH605" s="9"/>
      <c r="DI605" s="9"/>
      <c r="DJ605" s="9"/>
      <c r="DK605" s="9"/>
      <c r="DL605" s="9"/>
      <c r="DM605" s="9"/>
      <c r="DN605" s="9"/>
      <c r="DO605" s="9"/>
      <c r="DP605" s="9"/>
      <c r="DQ605" s="9"/>
      <c r="DR605" s="9"/>
      <c r="DS605" s="9"/>
      <c r="DT605" s="9"/>
      <c r="DU605" s="9"/>
      <c r="DV605" s="9"/>
      <c r="DW605" s="9"/>
      <c r="DX605" s="9"/>
      <c r="DY605" s="9"/>
      <c r="DZ605" s="9"/>
      <c r="EA605" s="9"/>
      <c r="EB605" s="9"/>
      <c r="EC605" s="9"/>
      <c r="ED605" s="9"/>
      <c r="EE605" s="9"/>
      <c r="EF605" s="9"/>
    </row>
    <row r="606" spans="1:136" s="98" customFormat="1" ht="15.75" customHeight="1" x14ac:dyDescent="0.25">
      <c r="A606" s="93">
        <v>46234</v>
      </c>
      <c r="B606" s="94" t="s">
        <v>16</v>
      </c>
      <c r="C606" s="95">
        <v>6027</v>
      </c>
      <c r="D606" s="20"/>
      <c r="E606" s="99" t="s">
        <v>234</v>
      </c>
      <c r="F606" s="21">
        <v>2</v>
      </c>
      <c r="G606" s="100"/>
      <c r="H606" s="21">
        <v>80</v>
      </c>
      <c r="I606" s="11">
        <f t="shared" si="26"/>
        <v>160</v>
      </c>
      <c r="J606" s="21"/>
      <c r="K606" s="21"/>
      <c r="L606" s="13">
        <f t="shared" si="27"/>
        <v>160</v>
      </c>
      <c r="M606" s="24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  <c r="BU606" s="9"/>
      <c r="BV606" s="9"/>
      <c r="BW606" s="9"/>
      <c r="BX606" s="9"/>
      <c r="BY606" s="9"/>
      <c r="BZ606" s="9"/>
      <c r="CA606" s="9"/>
      <c r="CB606" s="9"/>
      <c r="CC606" s="9"/>
      <c r="CD606" s="9"/>
      <c r="CE606" s="9"/>
      <c r="CF606" s="9"/>
      <c r="CG606" s="9"/>
      <c r="CH606" s="9"/>
      <c r="CI606" s="9"/>
      <c r="CJ606" s="9"/>
      <c r="CK606" s="9"/>
      <c r="CL606" s="9"/>
      <c r="CM606" s="9"/>
      <c r="CN606" s="9"/>
      <c r="CO606" s="9"/>
      <c r="CP606" s="9"/>
      <c r="CQ606" s="9"/>
      <c r="CR606" s="9"/>
      <c r="CS606" s="9"/>
      <c r="CT606" s="9"/>
      <c r="CU606" s="9"/>
      <c r="CV606" s="9"/>
      <c r="CW606" s="9"/>
      <c r="CX606" s="9"/>
      <c r="CY606" s="9"/>
      <c r="CZ606" s="9"/>
      <c r="DA606" s="9"/>
      <c r="DB606" s="9"/>
      <c r="DC606" s="9"/>
      <c r="DD606" s="9"/>
      <c r="DE606" s="9"/>
      <c r="DF606" s="9"/>
      <c r="DG606" s="9"/>
      <c r="DH606" s="9"/>
      <c r="DI606" s="9"/>
      <c r="DJ606" s="9"/>
      <c r="DK606" s="9"/>
      <c r="DL606" s="9"/>
      <c r="DM606" s="9"/>
      <c r="DN606" s="9"/>
      <c r="DO606" s="9"/>
      <c r="DP606" s="9"/>
      <c r="DQ606" s="9"/>
      <c r="DR606" s="9"/>
      <c r="DS606" s="9"/>
      <c r="DT606" s="9"/>
      <c r="DU606" s="9"/>
      <c r="DV606" s="9"/>
      <c r="DW606" s="9"/>
      <c r="DX606" s="9"/>
      <c r="DY606" s="9"/>
      <c r="DZ606" s="9"/>
      <c r="EA606" s="9"/>
      <c r="EB606" s="9"/>
      <c r="EC606" s="9"/>
      <c r="ED606" s="9"/>
      <c r="EE606" s="9"/>
      <c r="EF606" s="9"/>
    </row>
    <row r="607" spans="1:136" s="98" customFormat="1" ht="15.75" customHeight="1" x14ac:dyDescent="0.25">
      <c r="A607" s="93">
        <v>46234</v>
      </c>
      <c r="B607" s="94" t="s">
        <v>16</v>
      </c>
      <c r="C607" s="95">
        <v>6027</v>
      </c>
      <c r="D607" s="20"/>
      <c r="E607" s="99" t="s">
        <v>36</v>
      </c>
      <c r="F607" s="21">
        <v>4</v>
      </c>
      <c r="G607" s="100"/>
      <c r="H607" s="21">
        <v>35</v>
      </c>
      <c r="I607" s="11">
        <f t="shared" si="26"/>
        <v>140</v>
      </c>
      <c r="J607" s="21"/>
      <c r="K607" s="21"/>
      <c r="L607" s="13">
        <f t="shared" si="27"/>
        <v>140</v>
      </c>
      <c r="M607" s="24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  <c r="BU607" s="9"/>
      <c r="BV607" s="9"/>
      <c r="BW607" s="9"/>
      <c r="BX607" s="9"/>
      <c r="BY607" s="9"/>
      <c r="BZ607" s="9"/>
      <c r="CA607" s="9"/>
      <c r="CB607" s="9"/>
      <c r="CC607" s="9"/>
      <c r="CD607" s="9"/>
      <c r="CE607" s="9"/>
      <c r="CF607" s="9"/>
      <c r="CG607" s="9"/>
      <c r="CH607" s="9"/>
      <c r="CI607" s="9"/>
      <c r="CJ607" s="9"/>
      <c r="CK607" s="9"/>
      <c r="CL607" s="9"/>
      <c r="CM607" s="9"/>
      <c r="CN607" s="9"/>
      <c r="CO607" s="9"/>
      <c r="CP607" s="9"/>
      <c r="CQ607" s="9"/>
      <c r="CR607" s="9"/>
      <c r="CS607" s="9"/>
      <c r="CT607" s="9"/>
      <c r="CU607" s="9"/>
      <c r="CV607" s="9"/>
      <c r="CW607" s="9"/>
      <c r="CX607" s="9"/>
      <c r="CY607" s="9"/>
      <c r="CZ607" s="9"/>
      <c r="DA607" s="9"/>
      <c r="DB607" s="9"/>
      <c r="DC607" s="9"/>
      <c r="DD607" s="9"/>
      <c r="DE607" s="9"/>
      <c r="DF607" s="9"/>
      <c r="DG607" s="9"/>
      <c r="DH607" s="9"/>
      <c r="DI607" s="9"/>
      <c r="DJ607" s="9"/>
      <c r="DK607" s="9"/>
      <c r="DL607" s="9"/>
      <c r="DM607" s="9"/>
      <c r="DN607" s="9"/>
      <c r="DO607" s="9"/>
      <c r="DP607" s="9"/>
      <c r="DQ607" s="9"/>
      <c r="DR607" s="9"/>
      <c r="DS607" s="9"/>
      <c r="DT607" s="9"/>
      <c r="DU607" s="9"/>
      <c r="DV607" s="9"/>
      <c r="DW607" s="9"/>
      <c r="DX607" s="9"/>
      <c r="DY607" s="9"/>
      <c r="DZ607" s="9"/>
      <c r="EA607" s="9"/>
      <c r="EB607" s="9"/>
      <c r="EC607" s="9"/>
      <c r="ED607" s="9"/>
      <c r="EE607" s="9"/>
      <c r="EF607" s="9"/>
    </row>
    <row r="608" spans="1:136" s="98" customFormat="1" ht="15.75" customHeight="1" x14ac:dyDescent="0.25">
      <c r="A608" s="93">
        <v>46234</v>
      </c>
      <c r="B608" s="94" t="s">
        <v>16</v>
      </c>
      <c r="C608" s="95">
        <v>6027</v>
      </c>
      <c r="D608" s="20"/>
      <c r="E608" s="99" t="s">
        <v>151</v>
      </c>
      <c r="F608" s="21">
        <v>2</v>
      </c>
      <c r="G608" s="100"/>
      <c r="H608" s="21">
        <v>40</v>
      </c>
      <c r="I608" s="11">
        <f t="shared" si="26"/>
        <v>80</v>
      </c>
      <c r="J608" s="21"/>
      <c r="K608" s="21"/>
      <c r="L608" s="13">
        <f t="shared" si="27"/>
        <v>80</v>
      </c>
      <c r="M608" s="24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  <c r="BU608" s="9"/>
      <c r="BV608" s="9"/>
      <c r="BW608" s="9"/>
      <c r="BX608" s="9"/>
      <c r="BY608" s="9"/>
      <c r="BZ608" s="9"/>
      <c r="CA608" s="9"/>
      <c r="CB608" s="9"/>
      <c r="CC608" s="9"/>
      <c r="CD608" s="9"/>
      <c r="CE608" s="9"/>
      <c r="CF608" s="9"/>
      <c r="CG608" s="9"/>
      <c r="CH608" s="9"/>
      <c r="CI608" s="9"/>
      <c r="CJ608" s="9"/>
      <c r="CK608" s="9"/>
      <c r="CL608" s="9"/>
      <c r="CM608" s="9"/>
      <c r="CN608" s="9"/>
      <c r="CO608" s="9"/>
      <c r="CP608" s="9"/>
      <c r="CQ608" s="9"/>
      <c r="CR608" s="9"/>
      <c r="CS608" s="9"/>
      <c r="CT608" s="9"/>
      <c r="CU608" s="9"/>
      <c r="CV608" s="9"/>
      <c r="CW608" s="9"/>
      <c r="CX608" s="9"/>
      <c r="CY608" s="9"/>
      <c r="CZ608" s="9"/>
      <c r="DA608" s="9"/>
      <c r="DB608" s="9"/>
      <c r="DC608" s="9"/>
      <c r="DD608" s="9"/>
      <c r="DE608" s="9"/>
      <c r="DF608" s="9"/>
      <c r="DG608" s="9"/>
      <c r="DH608" s="9"/>
      <c r="DI608" s="9"/>
      <c r="DJ608" s="9"/>
      <c r="DK608" s="9"/>
      <c r="DL608" s="9"/>
      <c r="DM608" s="9"/>
      <c r="DN608" s="9"/>
      <c r="DO608" s="9"/>
      <c r="DP608" s="9"/>
      <c r="DQ608" s="9"/>
      <c r="DR608" s="9"/>
      <c r="DS608" s="9"/>
      <c r="DT608" s="9"/>
      <c r="DU608" s="9"/>
      <c r="DV608" s="9"/>
      <c r="DW608" s="9"/>
      <c r="DX608" s="9"/>
      <c r="DY608" s="9"/>
      <c r="DZ608" s="9"/>
      <c r="EA608" s="9"/>
      <c r="EB608" s="9"/>
      <c r="EC608" s="9"/>
      <c r="ED608" s="9"/>
      <c r="EE608" s="9"/>
      <c r="EF608" s="9"/>
    </row>
    <row r="609" spans="1:136" s="98" customFormat="1" ht="15.75" customHeight="1" x14ac:dyDescent="0.25">
      <c r="A609" s="93">
        <v>46234</v>
      </c>
      <c r="B609" s="94" t="s">
        <v>16</v>
      </c>
      <c r="C609" s="95">
        <v>6028</v>
      </c>
      <c r="D609" s="20"/>
      <c r="E609" s="99" t="s">
        <v>67</v>
      </c>
      <c r="F609" s="21">
        <v>5</v>
      </c>
      <c r="G609" s="100"/>
      <c r="H609" s="21">
        <v>55</v>
      </c>
      <c r="I609" s="11">
        <f t="shared" si="26"/>
        <v>275</v>
      </c>
      <c r="J609" s="21"/>
      <c r="K609" s="21"/>
      <c r="L609" s="13">
        <f t="shared" si="27"/>
        <v>275</v>
      </c>
      <c r="M609" s="24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  <c r="BU609" s="9"/>
      <c r="BV609" s="9"/>
      <c r="BW609" s="9"/>
      <c r="BX609" s="9"/>
      <c r="BY609" s="9"/>
      <c r="BZ609" s="9"/>
      <c r="CA609" s="9"/>
      <c r="CB609" s="9"/>
      <c r="CC609" s="9"/>
      <c r="CD609" s="9"/>
      <c r="CE609" s="9"/>
      <c r="CF609" s="9"/>
      <c r="CG609" s="9"/>
      <c r="CH609" s="9"/>
      <c r="CI609" s="9"/>
      <c r="CJ609" s="9"/>
      <c r="CK609" s="9"/>
      <c r="CL609" s="9"/>
      <c r="CM609" s="9"/>
      <c r="CN609" s="9"/>
      <c r="CO609" s="9"/>
      <c r="CP609" s="9"/>
      <c r="CQ609" s="9"/>
      <c r="CR609" s="9"/>
      <c r="CS609" s="9"/>
      <c r="CT609" s="9"/>
      <c r="CU609" s="9"/>
      <c r="CV609" s="9"/>
      <c r="CW609" s="9"/>
      <c r="CX609" s="9"/>
      <c r="CY609" s="9"/>
      <c r="CZ609" s="9"/>
      <c r="DA609" s="9"/>
      <c r="DB609" s="9"/>
      <c r="DC609" s="9"/>
      <c r="DD609" s="9"/>
      <c r="DE609" s="9"/>
      <c r="DF609" s="9"/>
      <c r="DG609" s="9"/>
      <c r="DH609" s="9"/>
      <c r="DI609" s="9"/>
      <c r="DJ609" s="9"/>
      <c r="DK609" s="9"/>
      <c r="DL609" s="9"/>
      <c r="DM609" s="9"/>
      <c r="DN609" s="9"/>
      <c r="DO609" s="9"/>
      <c r="DP609" s="9"/>
      <c r="DQ609" s="9"/>
      <c r="DR609" s="9"/>
      <c r="DS609" s="9"/>
      <c r="DT609" s="9"/>
      <c r="DU609" s="9"/>
      <c r="DV609" s="9"/>
      <c r="DW609" s="9"/>
      <c r="DX609" s="9"/>
      <c r="DY609" s="9"/>
      <c r="DZ609" s="9"/>
      <c r="EA609" s="9"/>
      <c r="EB609" s="9"/>
      <c r="EC609" s="9"/>
      <c r="ED609" s="9"/>
      <c r="EE609" s="9"/>
      <c r="EF609" s="9"/>
    </row>
    <row r="610" spans="1:136" s="98" customFormat="1" ht="15.75" customHeight="1" x14ac:dyDescent="0.25">
      <c r="A610" s="93">
        <v>46234</v>
      </c>
      <c r="B610" s="94" t="s">
        <v>16</v>
      </c>
      <c r="C610" s="95">
        <v>6028</v>
      </c>
      <c r="D610" s="20"/>
      <c r="E610" s="99" t="s">
        <v>289</v>
      </c>
      <c r="F610" s="21">
        <v>7</v>
      </c>
      <c r="G610" s="100"/>
      <c r="H610" s="21">
        <v>57</v>
      </c>
      <c r="I610" s="11">
        <f t="shared" si="26"/>
        <v>399</v>
      </c>
      <c r="J610" s="21"/>
      <c r="K610" s="21"/>
      <c r="L610" s="13">
        <f t="shared" si="27"/>
        <v>399</v>
      </c>
      <c r="M610" s="24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  <c r="BU610" s="9"/>
      <c r="BV610" s="9"/>
      <c r="BW610" s="9"/>
      <c r="BX610" s="9"/>
      <c r="BY610" s="9"/>
      <c r="BZ610" s="9"/>
      <c r="CA610" s="9"/>
      <c r="CB610" s="9"/>
      <c r="CC610" s="9"/>
      <c r="CD610" s="9"/>
      <c r="CE610" s="9"/>
      <c r="CF610" s="9"/>
      <c r="CG610" s="9"/>
      <c r="CH610" s="9"/>
      <c r="CI610" s="9"/>
      <c r="CJ610" s="9"/>
      <c r="CK610" s="9"/>
      <c r="CL610" s="9"/>
      <c r="CM610" s="9"/>
      <c r="CN610" s="9"/>
      <c r="CO610" s="9"/>
      <c r="CP610" s="9"/>
      <c r="CQ610" s="9"/>
      <c r="CR610" s="9"/>
      <c r="CS610" s="9"/>
      <c r="CT610" s="9"/>
      <c r="CU610" s="9"/>
      <c r="CV610" s="9"/>
      <c r="CW610" s="9"/>
      <c r="CX610" s="9"/>
      <c r="CY610" s="9"/>
      <c r="CZ610" s="9"/>
      <c r="DA610" s="9"/>
      <c r="DB610" s="9"/>
      <c r="DC610" s="9"/>
      <c r="DD610" s="9"/>
      <c r="DE610" s="9"/>
      <c r="DF610" s="9"/>
      <c r="DG610" s="9"/>
      <c r="DH610" s="9"/>
      <c r="DI610" s="9"/>
      <c r="DJ610" s="9"/>
      <c r="DK610" s="9"/>
      <c r="DL610" s="9"/>
      <c r="DM610" s="9"/>
      <c r="DN610" s="9"/>
      <c r="DO610" s="9"/>
      <c r="DP610" s="9"/>
      <c r="DQ610" s="9"/>
      <c r="DR610" s="9"/>
      <c r="DS610" s="9"/>
      <c r="DT610" s="9"/>
      <c r="DU610" s="9"/>
      <c r="DV610" s="9"/>
      <c r="DW610" s="9"/>
      <c r="DX610" s="9"/>
      <c r="DY610" s="9"/>
      <c r="DZ610" s="9"/>
      <c r="EA610" s="9"/>
      <c r="EB610" s="9"/>
      <c r="EC610" s="9"/>
      <c r="ED610" s="9"/>
      <c r="EE610" s="9"/>
      <c r="EF610" s="9"/>
    </row>
    <row r="611" spans="1:136" s="98" customFormat="1" ht="15.75" customHeight="1" x14ac:dyDescent="0.25">
      <c r="A611" s="93">
        <v>46234</v>
      </c>
      <c r="B611" s="94" t="s">
        <v>16</v>
      </c>
      <c r="C611" s="95">
        <v>6028</v>
      </c>
      <c r="D611" s="20"/>
      <c r="E611" s="99" t="s">
        <v>290</v>
      </c>
      <c r="F611" s="21">
        <v>6</v>
      </c>
      <c r="G611" s="100"/>
      <c r="H611" s="21">
        <v>59</v>
      </c>
      <c r="I611" s="11">
        <f t="shared" si="26"/>
        <v>354</v>
      </c>
      <c r="J611" s="21"/>
      <c r="K611" s="21"/>
      <c r="L611" s="13">
        <f t="shared" si="27"/>
        <v>354</v>
      </c>
      <c r="M611" s="24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  <c r="BU611" s="9"/>
      <c r="BV611" s="9"/>
      <c r="BW611" s="9"/>
      <c r="BX611" s="9"/>
      <c r="BY611" s="9"/>
      <c r="BZ611" s="9"/>
      <c r="CA611" s="9"/>
      <c r="CB611" s="9"/>
      <c r="CC611" s="9"/>
      <c r="CD611" s="9"/>
      <c r="CE611" s="9"/>
      <c r="CF611" s="9"/>
      <c r="CG611" s="9"/>
      <c r="CH611" s="9"/>
      <c r="CI611" s="9"/>
      <c r="CJ611" s="9"/>
      <c r="CK611" s="9"/>
      <c r="CL611" s="9"/>
      <c r="CM611" s="9"/>
      <c r="CN611" s="9"/>
      <c r="CO611" s="9"/>
      <c r="CP611" s="9"/>
      <c r="CQ611" s="9"/>
      <c r="CR611" s="9"/>
      <c r="CS611" s="9"/>
      <c r="CT611" s="9"/>
      <c r="CU611" s="9"/>
      <c r="CV611" s="9"/>
      <c r="CW611" s="9"/>
      <c r="CX611" s="9"/>
      <c r="CY611" s="9"/>
      <c r="CZ611" s="9"/>
      <c r="DA611" s="9"/>
      <c r="DB611" s="9"/>
      <c r="DC611" s="9"/>
      <c r="DD611" s="9"/>
      <c r="DE611" s="9"/>
      <c r="DF611" s="9"/>
      <c r="DG611" s="9"/>
      <c r="DH611" s="9"/>
      <c r="DI611" s="9"/>
      <c r="DJ611" s="9"/>
      <c r="DK611" s="9"/>
      <c r="DL611" s="9"/>
      <c r="DM611" s="9"/>
      <c r="DN611" s="9"/>
      <c r="DO611" s="9"/>
      <c r="DP611" s="9"/>
      <c r="DQ611" s="9"/>
      <c r="DR611" s="9"/>
      <c r="DS611" s="9"/>
      <c r="DT611" s="9"/>
      <c r="DU611" s="9"/>
      <c r="DV611" s="9"/>
      <c r="DW611" s="9"/>
      <c r="DX611" s="9"/>
      <c r="DY611" s="9"/>
      <c r="DZ611" s="9"/>
      <c r="EA611" s="9"/>
      <c r="EB611" s="9"/>
      <c r="EC611" s="9"/>
      <c r="ED611" s="9"/>
      <c r="EE611" s="9"/>
      <c r="EF611" s="9"/>
    </row>
    <row r="612" spans="1:136" s="98" customFormat="1" ht="15.75" customHeight="1" x14ac:dyDescent="0.25">
      <c r="A612" s="93">
        <v>46234</v>
      </c>
      <c r="B612" s="94" t="s">
        <v>16</v>
      </c>
      <c r="C612" s="95">
        <v>6028</v>
      </c>
      <c r="D612" s="20"/>
      <c r="E612" s="99" t="s">
        <v>257</v>
      </c>
      <c r="F612" s="21">
        <v>12</v>
      </c>
      <c r="G612" s="100"/>
      <c r="H612" s="21">
        <v>63</v>
      </c>
      <c r="I612" s="11">
        <f t="shared" si="26"/>
        <v>756</v>
      </c>
      <c r="J612" s="21"/>
      <c r="K612" s="21"/>
      <c r="L612" s="13">
        <f t="shared" si="27"/>
        <v>756</v>
      </c>
      <c r="M612" s="24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  <c r="BU612" s="9"/>
      <c r="BV612" s="9"/>
      <c r="BW612" s="9"/>
      <c r="BX612" s="9"/>
      <c r="BY612" s="9"/>
      <c r="BZ612" s="9"/>
      <c r="CA612" s="9"/>
      <c r="CB612" s="9"/>
      <c r="CC612" s="9"/>
      <c r="CD612" s="9"/>
      <c r="CE612" s="9"/>
      <c r="CF612" s="9"/>
      <c r="CG612" s="9"/>
      <c r="CH612" s="9"/>
      <c r="CI612" s="9"/>
      <c r="CJ612" s="9"/>
      <c r="CK612" s="9"/>
      <c r="CL612" s="9"/>
      <c r="CM612" s="9"/>
      <c r="CN612" s="9"/>
      <c r="CO612" s="9"/>
      <c r="CP612" s="9"/>
      <c r="CQ612" s="9"/>
      <c r="CR612" s="9"/>
      <c r="CS612" s="9"/>
      <c r="CT612" s="9"/>
      <c r="CU612" s="9"/>
      <c r="CV612" s="9"/>
      <c r="CW612" s="9"/>
      <c r="CX612" s="9"/>
      <c r="CY612" s="9"/>
      <c r="CZ612" s="9"/>
      <c r="DA612" s="9"/>
      <c r="DB612" s="9"/>
      <c r="DC612" s="9"/>
      <c r="DD612" s="9"/>
      <c r="DE612" s="9"/>
      <c r="DF612" s="9"/>
      <c r="DG612" s="9"/>
      <c r="DH612" s="9"/>
      <c r="DI612" s="9"/>
      <c r="DJ612" s="9"/>
      <c r="DK612" s="9"/>
      <c r="DL612" s="9"/>
      <c r="DM612" s="9"/>
      <c r="DN612" s="9"/>
      <c r="DO612" s="9"/>
      <c r="DP612" s="9"/>
      <c r="DQ612" s="9"/>
      <c r="DR612" s="9"/>
      <c r="DS612" s="9"/>
      <c r="DT612" s="9"/>
      <c r="DU612" s="9"/>
      <c r="DV612" s="9"/>
      <c r="DW612" s="9"/>
      <c r="DX612" s="9"/>
      <c r="DY612" s="9"/>
      <c r="DZ612" s="9"/>
      <c r="EA612" s="9"/>
      <c r="EB612" s="9"/>
      <c r="EC612" s="9"/>
      <c r="ED612" s="9"/>
      <c r="EE612" s="9"/>
      <c r="EF612" s="9"/>
    </row>
    <row r="613" spans="1:136" s="98" customFormat="1" ht="15.75" customHeight="1" x14ac:dyDescent="0.25">
      <c r="A613" s="93">
        <v>46234</v>
      </c>
      <c r="B613" s="94" t="s">
        <v>16</v>
      </c>
      <c r="C613" s="95">
        <v>6028</v>
      </c>
      <c r="D613" s="20"/>
      <c r="E613" s="99" t="s">
        <v>291</v>
      </c>
      <c r="F613" s="21">
        <v>1</v>
      </c>
      <c r="G613" s="100"/>
      <c r="H613" s="21">
        <v>80</v>
      </c>
      <c r="I613" s="11">
        <f t="shared" si="26"/>
        <v>80</v>
      </c>
      <c r="J613" s="21"/>
      <c r="K613" s="21"/>
      <c r="L613" s="13">
        <f t="shared" si="27"/>
        <v>80</v>
      </c>
      <c r="M613" s="24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  <c r="BU613" s="9"/>
      <c r="BV613" s="9"/>
      <c r="BW613" s="9"/>
      <c r="BX613" s="9"/>
      <c r="BY613" s="9"/>
      <c r="BZ613" s="9"/>
      <c r="CA613" s="9"/>
      <c r="CB613" s="9"/>
      <c r="CC613" s="9"/>
      <c r="CD613" s="9"/>
      <c r="CE613" s="9"/>
      <c r="CF613" s="9"/>
      <c r="CG613" s="9"/>
      <c r="CH613" s="9"/>
      <c r="CI613" s="9"/>
      <c r="CJ613" s="9"/>
      <c r="CK613" s="9"/>
      <c r="CL613" s="9"/>
      <c r="CM613" s="9"/>
      <c r="CN613" s="9"/>
      <c r="CO613" s="9"/>
      <c r="CP613" s="9"/>
      <c r="CQ613" s="9"/>
      <c r="CR613" s="9"/>
      <c r="CS613" s="9"/>
      <c r="CT613" s="9"/>
      <c r="CU613" s="9"/>
      <c r="CV613" s="9"/>
      <c r="CW613" s="9"/>
      <c r="CX613" s="9"/>
      <c r="CY613" s="9"/>
      <c r="CZ613" s="9"/>
      <c r="DA613" s="9"/>
      <c r="DB613" s="9"/>
      <c r="DC613" s="9"/>
      <c r="DD613" s="9"/>
      <c r="DE613" s="9"/>
      <c r="DF613" s="9"/>
      <c r="DG613" s="9"/>
      <c r="DH613" s="9"/>
      <c r="DI613" s="9"/>
      <c r="DJ613" s="9"/>
      <c r="DK613" s="9"/>
      <c r="DL613" s="9"/>
      <c r="DM613" s="9"/>
      <c r="DN613" s="9"/>
      <c r="DO613" s="9"/>
      <c r="DP613" s="9"/>
      <c r="DQ613" s="9"/>
      <c r="DR613" s="9"/>
      <c r="DS613" s="9"/>
      <c r="DT613" s="9"/>
      <c r="DU613" s="9"/>
      <c r="DV613" s="9"/>
      <c r="DW613" s="9"/>
      <c r="DX613" s="9"/>
      <c r="DY613" s="9"/>
      <c r="DZ613" s="9"/>
      <c r="EA613" s="9"/>
      <c r="EB613" s="9"/>
      <c r="EC613" s="9"/>
      <c r="ED613" s="9"/>
      <c r="EE613" s="9"/>
      <c r="EF613" s="9"/>
    </row>
    <row r="614" spans="1:136" s="98" customFormat="1" ht="15.75" customHeight="1" x14ac:dyDescent="0.25">
      <c r="A614" s="93">
        <v>46234</v>
      </c>
      <c r="B614" s="94" t="s">
        <v>16</v>
      </c>
      <c r="C614" s="95">
        <v>6028</v>
      </c>
      <c r="D614" s="20"/>
      <c r="E614" s="99" t="s">
        <v>160</v>
      </c>
      <c r="F614" s="21">
        <v>1</v>
      </c>
      <c r="G614" s="100"/>
      <c r="H614" s="21">
        <v>56.5</v>
      </c>
      <c r="I614" s="11">
        <f t="shared" si="26"/>
        <v>56.5</v>
      </c>
      <c r="J614" s="21"/>
      <c r="K614" s="21"/>
      <c r="L614" s="13">
        <f t="shared" si="27"/>
        <v>56.5</v>
      </c>
      <c r="M614" s="24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  <c r="BU614" s="9"/>
      <c r="BV614" s="9"/>
      <c r="BW614" s="9"/>
      <c r="BX614" s="9"/>
      <c r="BY614" s="9"/>
      <c r="BZ614" s="9"/>
      <c r="CA614" s="9"/>
      <c r="CB614" s="9"/>
      <c r="CC614" s="9"/>
      <c r="CD614" s="9"/>
      <c r="CE614" s="9"/>
      <c r="CF614" s="9"/>
      <c r="CG614" s="9"/>
      <c r="CH614" s="9"/>
      <c r="CI614" s="9"/>
      <c r="CJ614" s="9"/>
      <c r="CK614" s="9"/>
      <c r="CL614" s="9"/>
      <c r="CM614" s="9"/>
      <c r="CN614" s="9"/>
      <c r="CO614" s="9"/>
      <c r="CP614" s="9"/>
      <c r="CQ614" s="9"/>
      <c r="CR614" s="9"/>
      <c r="CS614" s="9"/>
      <c r="CT614" s="9"/>
      <c r="CU614" s="9"/>
      <c r="CV614" s="9"/>
      <c r="CW614" s="9"/>
      <c r="CX614" s="9"/>
      <c r="CY614" s="9"/>
      <c r="CZ614" s="9"/>
      <c r="DA614" s="9"/>
      <c r="DB614" s="9"/>
      <c r="DC614" s="9"/>
      <c r="DD614" s="9"/>
      <c r="DE614" s="9"/>
      <c r="DF614" s="9"/>
      <c r="DG614" s="9"/>
      <c r="DH614" s="9"/>
      <c r="DI614" s="9"/>
      <c r="DJ614" s="9"/>
      <c r="DK614" s="9"/>
      <c r="DL614" s="9"/>
      <c r="DM614" s="9"/>
      <c r="DN614" s="9"/>
      <c r="DO614" s="9"/>
      <c r="DP614" s="9"/>
      <c r="DQ614" s="9"/>
      <c r="DR614" s="9"/>
      <c r="DS614" s="9"/>
      <c r="DT614" s="9"/>
      <c r="DU614" s="9"/>
      <c r="DV614" s="9"/>
      <c r="DW614" s="9"/>
      <c r="DX614" s="9"/>
      <c r="DY614" s="9"/>
      <c r="DZ614" s="9"/>
      <c r="EA614" s="9"/>
      <c r="EB614" s="9"/>
      <c r="EC614" s="9"/>
      <c r="ED614" s="9"/>
      <c r="EE614" s="9"/>
      <c r="EF614" s="9"/>
    </row>
    <row r="615" spans="1:136" s="98" customFormat="1" ht="15.75" customHeight="1" x14ac:dyDescent="0.25">
      <c r="A615" s="93">
        <v>46234</v>
      </c>
      <c r="B615" s="94" t="s">
        <v>16</v>
      </c>
      <c r="C615" s="95">
        <v>6028</v>
      </c>
      <c r="D615" s="20"/>
      <c r="E615" s="99" t="s">
        <v>292</v>
      </c>
      <c r="F615" s="21">
        <v>1</v>
      </c>
      <c r="G615" s="100"/>
      <c r="H615" s="21">
        <v>138</v>
      </c>
      <c r="I615" s="11">
        <f t="shared" si="26"/>
        <v>138</v>
      </c>
      <c r="J615" s="21"/>
      <c r="K615" s="21"/>
      <c r="L615" s="13">
        <f t="shared" si="27"/>
        <v>138</v>
      </c>
      <c r="M615" s="24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  <c r="BU615" s="9"/>
      <c r="BV615" s="9"/>
      <c r="BW615" s="9"/>
      <c r="BX615" s="9"/>
      <c r="BY615" s="9"/>
      <c r="BZ615" s="9"/>
      <c r="CA615" s="9"/>
      <c r="CB615" s="9"/>
      <c r="CC615" s="9"/>
      <c r="CD615" s="9"/>
      <c r="CE615" s="9"/>
      <c r="CF615" s="9"/>
      <c r="CG615" s="9"/>
      <c r="CH615" s="9"/>
      <c r="CI615" s="9"/>
      <c r="CJ615" s="9"/>
      <c r="CK615" s="9"/>
      <c r="CL615" s="9"/>
      <c r="CM615" s="9"/>
      <c r="CN615" s="9"/>
      <c r="CO615" s="9"/>
      <c r="CP615" s="9"/>
      <c r="CQ615" s="9"/>
      <c r="CR615" s="9"/>
      <c r="CS615" s="9"/>
      <c r="CT615" s="9"/>
      <c r="CU615" s="9"/>
      <c r="CV615" s="9"/>
      <c r="CW615" s="9"/>
      <c r="CX615" s="9"/>
      <c r="CY615" s="9"/>
      <c r="CZ615" s="9"/>
      <c r="DA615" s="9"/>
      <c r="DB615" s="9"/>
      <c r="DC615" s="9"/>
      <c r="DD615" s="9"/>
      <c r="DE615" s="9"/>
      <c r="DF615" s="9"/>
      <c r="DG615" s="9"/>
      <c r="DH615" s="9"/>
      <c r="DI615" s="9"/>
      <c r="DJ615" s="9"/>
      <c r="DK615" s="9"/>
      <c r="DL615" s="9"/>
      <c r="DM615" s="9"/>
      <c r="DN615" s="9"/>
      <c r="DO615" s="9"/>
      <c r="DP615" s="9"/>
      <c r="DQ615" s="9"/>
      <c r="DR615" s="9"/>
      <c r="DS615" s="9"/>
      <c r="DT615" s="9"/>
      <c r="DU615" s="9"/>
      <c r="DV615" s="9"/>
      <c r="DW615" s="9"/>
      <c r="DX615" s="9"/>
      <c r="DY615" s="9"/>
      <c r="DZ615" s="9"/>
      <c r="EA615" s="9"/>
      <c r="EB615" s="9"/>
      <c r="EC615" s="9"/>
      <c r="ED615" s="9"/>
      <c r="EE615" s="9"/>
      <c r="EF615" s="9"/>
    </row>
    <row r="616" spans="1:136" s="98" customFormat="1" ht="15.75" customHeight="1" x14ac:dyDescent="0.25">
      <c r="A616" s="93">
        <v>46234</v>
      </c>
      <c r="B616" s="94" t="s">
        <v>16</v>
      </c>
      <c r="C616" s="95">
        <v>6028</v>
      </c>
      <c r="D616" s="20"/>
      <c r="E616" s="99" t="s">
        <v>61</v>
      </c>
      <c r="F616" s="21">
        <v>5</v>
      </c>
      <c r="G616" s="100"/>
      <c r="H616" s="21">
        <f>1550/5</f>
        <v>310</v>
      </c>
      <c r="I616" s="11">
        <f t="shared" si="26"/>
        <v>1550</v>
      </c>
      <c r="J616" s="21"/>
      <c r="K616" s="21"/>
      <c r="L616" s="13">
        <f t="shared" si="27"/>
        <v>1550</v>
      </c>
      <c r="M616" s="24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  <c r="BU616" s="9"/>
      <c r="BV616" s="9"/>
      <c r="BW616" s="9"/>
      <c r="BX616" s="9"/>
      <c r="BY616" s="9"/>
      <c r="BZ616" s="9"/>
      <c r="CA616" s="9"/>
      <c r="CB616" s="9"/>
      <c r="CC616" s="9"/>
      <c r="CD616" s="9"/>
      <c r="CE616" s="9"/>
      <c r="CF616" s="9"/>
      <c r="CG616" s="9"/>
      <c r="CH616" s="9"/>
      <c r="CI616" s="9"/>
      <c r="CJ616" s="9"/>
      <c r="CK616" s="9"/>
      <c r="CL616" s="9"/>
      <c r="CM616" s="9"/>
      <c r="CN616" s="9"/>
      <c r="CO616" s="9"/>
      <c r="CP616" s="9"/>
      <c r="CQ616" s="9"/>
      <c r="CR616" s="9"/>
      <c r="CS616" s="9"/>
      <c r="CT616" s="9"/>
      <c r="CU616" s="9"/>
      <c r="CV616" s="9"/>
      <c r="CW616" s="9"/>
      <c r="CX616" s="9"/>
      <c r="CY616" s="9"/>
      <c r="CZ616" s="9"/>
      <c r="DA616" s="9"/>
      <c r="DB616" s="9"/>
      <c r="DC616" s="9"/>
      <c r="DD616" s="9"/>
      <c r="DE616" s="9"/>
      <c r="DF616" s="9"/>
      <c r="DG616" s="9"/>
      <c r="DH616" s="9"/>
      <c r="DI616" s="9"/>
      <c r="DJ616" s="9"/>
      <c r="DK616" s="9"/>
      <c r="DL616" s="9"/>
      <c r="DM616" s="9"/>
      <c r="DN616" s="9"/>
      <c r="DO616" s="9"/>
      <c r="DP616" s="9"/>
      <c r="DQ616" s="9"/>
      <c r="DR616" s="9"/>
      <c r="DS616" s="9"/>
      <c r="DT616" s="9"/>
      <c r="DU616" s="9"/>
      <c r="DV616" s="9"/>
      <c r="DW616" s="9"/>
      <c r="DX616" s="9"/>
      <c r="DY616" s="9"/>
      <c r="DZ616" s="9"/>
      <c r="EA616" s="9"/>
      <c r="EB616" s="9"/>
      <c r="EC616" s="9"/>
      <c r="ED616" s="9"/>
      <c r="EE616" s="9"/>
      <c r="EF616" s="9"/>
    </row>
    <row r="617" spans="1:136" s="98" customFormat="1" ht="15.75" customHeight="1" x14ac:dyDescent="0.25">
      <c r="A617" s="93">
        <v>46234</v>
      </c>
      <c r="B617" s="94" t="s">
        <v>16</v>
      </c>
      <c r="C617" s="95">
        <v>6028</v>
      </c>
      <c r="D617" s="20"/>
      <c r="E617" s="99" t="s">
        <v>131</v>
      </c>
      <c r="F617" s="21">
        <v>4</v>
      </c>
      <c r="G617" s="100"/>
      <c r="H617" s="21">
        <f>760/4</f>
        <v>190</v>
      </c>
      <c r="I617" s="11">
        <f t="shared" si="26"/>
        <v>760</v>
      </c>
      <c r="J617" s="21"/>
      <c r="K617" s="21"/>
      <c r="L617" s="13">
        <f t="shared" si="27"/>
        <v>760</v>
      </c>
      <c r="M617" s="24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  <c r="BU617" s="9"/>
      <c r="BV617" s="9"/>
      <c r="BW617" s="9"/>
      <c r="BX617" s="9"/>
      <c r="BY617" s="9"/>
      <c r="BZ617" s="9"/>
      <c r="CA617" s="9"/>
      <c r="CB617" s="9"/>
      <c r="CC617" s="9"/>
      <c r="CD617" s="9"/>
      <c r="CE617" s="9"/>
      <c r="CF617" s="9"/>
      <c r="CG617" s="9"/>
      <c r="CH617" s="9"/>
      <c r="CI617" s="9"/>
      <c r="CJ617" s="9"/>
      <c r="CK617" s="9"/>
      <c r="CL617" s="9"/>
      <c r="CM617" s="9"/>
      <c r="CN617" s="9"/>
      <c r="CO617" s="9"/>
      <c r="CP617" s="9"/>
      <c r="CQ617" s="9"/>
      <c r="CR617" s="9"/>
      <c r="CS617" s="9"/>
      <c r="CT617" s="9"/>
      <c r="CU617" s="9"/>
      <c r="CV617" s="9"/>
      <c r="CW617" s="9"/>
      <c r="CX617" s="9"/>
      <c r="CY617" s="9"/>
      <c r="CZ617" s="9"/>
      <c r="DA617" s="9"/>
      <c r="DB617" s="9"/>
      <c r="DC617" s="9"/>
      <c r="DD617" s="9"/>
      <c r="DE617" s="9"/>
      <c r="DF617" s="9"/>
      <c r="DG617" s="9"/>
      <c r="DH617" s="9"/>
      <c r="DI617" s="9"/>
      <c r="DJ617" s="9"/>
      <c r="DK617" s="9"/>
      <c r="DL617" s="9"/>
      <c r="DM617" s="9"/>
      <c r="DN617" s="9"/>
      <c r="DO617" s="9"/>
      <c r="DP617" s="9"/>
      <c r="DQ617" s="9"/>
      <c r="DR617" s="9"/>
      <c r="DS617" s="9"/>
      <c r="DT617" s="9"/>
      <c r="DU617" s="9"/>
      <c r="DV617" s="9"/>
      <c r="DW617" s="9"/>
      <c r="DX617" s="9"/>
      <c r="DY617" s="9"/>
      <c r="DZ617" s="9"/>
      <c r="EA617" s="9"/>
      <c r="EB617" s="9"/>
      <c r="EC617" s="9"/>
      <c r="ED617" s="9"/>
      <c r="EE617" s="9"/>
      <c r="EF617" s="9"/>
    </row>
    <row r="618" spans="1:136" s="98" customFormat="1" ht="15.75" customHeight="1" x14ac:dyDescent="0.25">
      <c r="A618" s="93">
        <v>46234</v>
      </c>
      <c r="B618" s="94" t="s">
        <v>16</v>
      </c>
      <c r="C618" s="95">
        <v>6028</v>
      </c>
      <c r="D618" s="20"/>
      <c r="E618" s="99" t="s">
        <v>156</v>
      </c>
      <c r="F618" s="21">
        <v>3</v>
      </c>
      <c r="G618" s="100"/>
      <c r="H618" s="21">
        <f>720/3</f>
        <v>240</v>
      </c>
      <c r="I618" s="11">
        <f t="shared" si="26"/>
        <v>720</v>
      </c>
      <c r="J618" s="21"/>
      <c r="K618" s="21"/>
      <c r="L618" s="13">
        <f t="shared" si="27"/>
        <v>720</v>
      </c>
      <c r="M618" s="24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  <c r="BU618" s="9"/>
      <c r="BV618" s="9"/>
      <c r="BW618" s="9"/>
      <c r="BX618" s="9"/>
      <c r="BY618" s="9"/>
      <c r="BZ618" s="9"/>
      <c r="CA618" s="9"/>
      <c r="CB618" s="9"/>
      <c r="CC618" s="9"/>
      <c r="CD618" s="9"/>
      <c r="CE618" s="9"/>
      <c r="CF618" s="9"/>
      <c r="CG618" s="9"/>
      <c r="CH618" s="9"/>
      <c r="CI618" s="9"/>
      <c r="CJ618" s="9"/>
      <c r="CK618" s="9"/>
      <c r="CL618" s="9"/>
      <c r="CM618" s="9"/>
      <c r="CN618" s="9"/>
      <c r="CO618" s="9"/>
      <c r="CP618" s="9"/>
      <c r="CQ618" s="9"/>
      <c r="CR618" s="9"/>
      <c r="CS618" s="9"/>
      <c r="CT618" s="9"/>
      <c r="CU618" s="9"/>
      <c r="CV618" s="9"/>
      <c r="CW618" s="9"/>
      <c r="CX618" s="9"/>
      <c r="CY618" s="9"/>
      <c r="CZ618" s="9"/>
      <c r="DA618" s="9"/>
      <c r="DB618" s="9"/>
      <c r="DC618" s="9"/>
      <c r="DD618" s="9"/>
      <c r="DE618" s="9"/>
      <c r="DF618" s="9"/>
      <c r="DG618" s="9"/>
      <c r="DH618" s="9"/>
      <c r="DI618" s="9"/>
      <c r="DJ618" s="9"/>
      <c r="DK618" s="9"/>
      <c r="DL618" s="9"/>
      <c r="DM618" s="9"/>
      <c r="DN618" s="9"/>
      <c r="DO618" s="9"/>
      <c r="DP618" s="9"/>
      <c r="DQ618" s="9"/>
      <c r="DR618" s="9"/>
      <c r="DS618" s="9"/>
      <c r="DT618" s="9"/>
      <c r="DU618" s="9"/>
      <c r="DV618" s="9"/>
      <c r="DW618" s="9"/>
      <c r="DX618" s="9"/>
      <c r="DY618" s="9"/>
      <c r="DZ618" s="9"/>
      <c r="EA618" s="9"/>
      <c r="EB618" s="9"/>
      <c r="EC618" s="9"/>
      <c r="ED618" s="9"/>
      <c r="EE618" s="9"/>
      <c r="EF618" s="9"/>
    </row>
    <row r="619" spans="1:136" s="98" customFormat="1" ht="15.75" customHeight="1" x14ac:dyDescent="0.25">
      <c r="A619" s="93">
        <v>46234</v>
      </c>
      <c r="B619" s="94" t="s">
        <v>16</v>
      </c>
      <c r="C619" s="95">
        <v>6028</v>
      </c>
      <c r="D619" s="20"/>
      <c r="E619" s="99" t="s">
        <v>66</v>
      </c>
      <c r="F619" s="21">
        <v>2</v>
      </c>
      <c r="G619" s="100"/>
      <c r="H619" s="21">
        <v>150</v>
      </c>
      <c r="I619" s="11">
        <f t="shared" si="26"/>
        <v>300</v>
      </c>
      <c r="J619" s="21"/>
      <c r="K619" s="21"/>
      <c r="L619" s="13">
        <f t="shared" si="27"/>
        <v>300</v>
      </c>
      <c r="M619" s="24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  <c r="BU619" s="9"/>
      <c r="BV619" s="9"/>
      <c r="BW619" s="9"/>
      <c r="BX619" s="9"/>
      <c r="BY619" s="9"/>
      <c r="BZ619" s="9"/>
      <c r="CA619" s="9"/>
      <c r="CB619" s="9"/>
      <c r="CC619" s="9"/>
      <c r="CD619" s="9"/>
      <c r="CE619" s="9"/>
      <c r="CF619" s="9"/>
      <c r="CG619" s="9"/>
      <c r="CH619" s="9"/>
      <c r="CI619" s="9"/>
      <c r="CJ619" s="9"/>
      <c r="CK619" s="9"/>
      <c r="CL619" s="9"/>
      <c r="CM619" s="9"/>
      <c r="CN619" s="9"/>
      <c r="CO619" s="9"/>
      <c r="CP619" s="9"/>
      <c r="CQ619" s="9"/>
      <c r="CR619" s="9"/>
      <c r="CS619" s="9"/>
      <c r="CT619" s="9"/>
      <c r="CU619" s="9"/>
      <c r="CV619" s="9"/>
      <c r="CW619" s="9"/>
      <c r="CX619" s="9"/>
      <c r="CY619" s="9"/>
      <c r="CZ619" s="9"/>
      <c r="DA619" s="9"/>
      <c r="DB619" s="9"/>
      <c r="DC619" s="9"/>
      <c r="DD619" s="9"/>
      <c r="DE619" s="9"/>
      <c r="DF619" s="9"/>
      <c r="DG619" s="9"/>
      <c r="DH619" s="9"/>
      <c r="DI619" s="9"/>
      <c r="DJ619" s="9"/>
      <c r="DK619" s="9"/>
      <c r="DL619" s="9"/>
      <c r="DM619" s="9"/>
      <c r="DN619" s="9"/>
      <c r="DO619" s="9"/>
      <c r="DP619" s="9"/>
      <c r="DQ619" s="9"/>
      <c r="DR619" s="9"/>
      <c r="DS619" s="9"/>
      <c r="DT619" s="9"/>
      <c r="DU619" s="9"/>
      <c r="DV619" s="9"/>
      <c r="DW619" s="9"/>
      <c r="DX619" s="9"/>
      <c r="DY619" s="9"/>
      <c r="DZ619" s="9"/>
      <c r="EA619" s="9"/>
      <c r="EB619" s="9"/>
      <c r="EC619" s="9"/>
      <c r="ED619" s="9"/>
      <c r="EE619" s="9"/>
      <c r="EF619" s="9"/>
    </row>
    <row r="620" spans="1:136" s="98" customFormat="1" ht="15.75" customHeight="1" x14ac:dyDescent="0.25">
      <c r="A620" s="93">
        <v>46234</v>
      </c>
      <c r="B620" s="94" t="s">
        <v>16</v>
      </c>
      <c r="C620" s="95">
        <v>6028</v>
      </c>
      <c r="D620" s="20"/>
      <c r="E620" s="99" t="s">
        <v>120</v>
      </c>
      <c r="F620" s="21">
        <v>4</v>
      </c>
      <c r="G620" s="100"/>
      <c r="H620" s="21">
        <v>120</v>
      </c>
      <c r="I620" s="11">
        <f t="shared" si="26"/>
        <v>480</v>
      </c>
      <c r="J620" s="21"/>
      <c r="K620" s="21"/>
      <c r="L620" s="13">
        <f t="shared" si="27"/>
        <v>480</v>
      </c>
      <c r="M620" s="24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  <c r="BU620" s="9"/>
      <c r="BV620" s="9"/>
      <c r="BW620" s="9"/>
      <c r="BX620" s="9"/>
      <c r="BY620" s="9"/>
      <c r="BZ620" s="9"/>
      <c r="CA620" s="9"/>
      <c r="CB620" s="9"/>
      <c r="CC620" s="9"/>
      <c r="CD620" s="9"/>
      <c r="CE620" s="9"/>
      <c r="CF620" s="9"/>
      <c r="CG620" s="9"/>
      <c r="CH620" s="9"/>
      <c r="CI620" s="9"/>
      <c r="CJ620" s="9"/>
      <c r="CK620" s="9"/>
      <c r="CL620" s="9"/>
      <c r="CM620" s="9"/>
      <c r="CN620" s="9"/>
      <c r="CO620" s="9"/>
      <c r="CP620" s="9"/>
      <c r="CQ620" s="9"/>
      <c r="CR620" s="9"/>
      <c r="CS620" s="9"/>
      <c r="CT620" s="9"/>
      <c r="CU620" s="9"/>
      <c r="CV620" s="9"/>
      <c r="CW620" s="9"/>
      <c r="CX620" s="9"/>
      <c r="CY620" s="9"/>
      <c r="CZ620" s="9"/>
      <c r="DA620" s="9"/>
      <c r="DB620" s="9"/>
      <c r="DC620" s="9"/>
      <c r="DD620" s="9"/>
      <c r="DE620" s="9"/>
      <c r="DF620" s="9"/>
      <c r="DG620" s="9"/>
      <c r="DH620" s="9"/>
      <c r="DI620" s="9"/>
      <c r="DJ620" s="9"/>
      <c r="DK620" s="9"/>
      <c r="DL620" s="9"/>
      <c r="DM620" s="9"/>
      <c r="DN620" s="9"/>
      <c r="DO620" s="9"/>
      <c r="DP620" s="9"/>
      <c r="DQ620" s="9"/>
      <c r="DR620" s="9"/>
      <c r="DS620" s="9"/>
      <c r="DT620" s="9"/>
      <c r="DU620" s="9"/>
      <c r="DV620" s="9"/>
      <c r="DW620" s="9"/>
      <c r="DX620" s="9"/>
      <c r="DY620" s="9"/>
      <c r="DZ620" s="9"/>
      <c r="EA620" s="9"/>
      <c r="EB620" s="9"/>
      <c r="EC620" s="9"/>
      <c r="ED620" s="9"/>
      <c r="EE620" s="9"/>
      <c r="EF620" s="9"/>
    </row>
    <row r="621" spans="1:136" s="98" customFormat="1" ht="15.75" customHeight="1" x14ac:dyDescent="0.25">
      <c r="A621" s="93">
        <v>46234</v>
      </c>
      <c r="B621" s="94" t="s">
        <v>16</v>
      </c>
      <c r="C621" s="95">
        <v>6028</v>
      </c>
      <c r="D621" s="20"/>
      <c r="E621" s="99" t="s">
        <v>32</v>
      </c>
      <c r="F621" s="21">
        <v>2</v>
      </c>
      <c r="G621" s="100"/>
      <c r="H621" s="21">
        <v>70</v>
      </c>
      <c r="I621" s="11">
        <f t="shared" si="26"/>
        <v>140</v>
      </c>
      <c r="J621" s="21"/>
      <c r="K621" s="21"/>
      <c r="L621" s="13">
        <f t="shared" si="27"/>
        <v>140</v>
      </c>
      <c r="M621" s="24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  <c r="BU621" s="9"/>
      <c r="BV621" s="9"/>
      <c r="BW621" s="9"/>
      <c r="BX621" s="9"/>
      <c r="BY621" s="9"/>
      <c r="BZ621" s="9"/>
      <c r="CA621" s="9"/>
      <c r="CB621" s="9"/>
      <c r="CC621" s="9"/>
      <c r="CD621" s="9"/>
      <c r="CE621" s="9"/>
      <c r="CF621" s="9"/>
      <c r="CG621" s="9"/>
      <c r="CH621" s="9"/>
      <c r="CI621" s="9"/>
      <c r="CJ621" s="9"/>
      <c r="CK621" s="9"/>
      <c r="CL621" s="9"/>
      <c r="CM621" s="9"/>
      <c r="CN621" s="9"/>
      <c r="CO621" s="9"/>
      <c r="CP621" s="9"/>
      <c r="CQ621" s="9"/>
      <c r="CR621" s="9"/>
      <c r="CS621" s="9"/>
      <c r="CT621" s="9"/>
      <c r="CU621" s="9"/>
      <c r="CV621" s="9"/>
      <c r="CW621" s="9"/>
      <c r="CX621" s="9"/>
      <c r="CY621" s="9"/>
      <c r="CZ621" s="9"/>
      <c r="DA621" s="9"/>
      <c r="DB621" s="9"/>
      <c r="DC621" s="9"/>
      <c r="DD621" s="9"/>
      <c r="DE621" s="9"/>
      <c r="DF621" s="9"/>
      <c r="DG621" s="9"/>
      <c r="DH621" s="9"/>
      <c r="DI621" s="9"/>
      <c r="DJ621" s="9"/>
      <c r="DK621" s="9"/>
      <c r="DL621" s="9"/>
      <c r="DM621" s="9"/>
      <c r="DN621" s="9"/>
      <c r="DO621" s="9"/>
      <c r="DP621" s="9"/>
      <c r="DQ621" s="9"/>
      <c r="DR621" s="9"/>
      <c r="DS621" s="9"/>
      <c r="DT621" s="9"/>
      <c r="DU621" s="9"/>
      <c r="DV621" s="9"/>
      <c r="DW621" s="9"/>
      <c r="DX621" s="9"/>
      <c r="DY621" s="9"/>
      <c r="DZ621" s="9"/>
      <c r="EA621" s="9"/>
      <c r="EB621" s="9"/>
      <c r="EC621" s="9"/>
      <c r="ED621" s="9"/>
      <c r="EE621" s="9"/>
      <c r="EF621" s="9"/>
    </row>
    <row r="622" spans="1:136" s="98" customFormat="1" ht="15.75" customHeight="1" x14ac:dyDescent="0.25">
      <c r="A622" s="93">
        <v>46234</v>
      </c>
      <c r="B622" s="94" t="s">
        <v>16</v>
      </c>
      <c r="C622" s="95">
        <v>6028</v>
      </c>
      <c r="D622" s="20"/>
      <c r="E622" s="99" t="s">
        <v>29</v>
      </c>
      <c r="F622" s="21">
        <v>1</v>
      </c>
      <c r="G622" s="100"/>
      <c r="H622" s="21">
        <v>60</v>
      </c>
      <c r="I622" s="11">
        <f t="shared" si="26"/>
        <v>60</v>
      </c>
      <c r="J622" s="21"/>
      <c r="K622" s="21"/>
      <c r="L622" s="13">
        <f t="shared" si="27"/>
        <v>60</v>
      </c>
      <c r="M622" s="24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  <c r="BU622" s="9"/>
      <c r="BV622" s="9"/>
      <c r="BW622" s="9"/>
      <c r="BX622" s="9"/>
      <c r="BY622" s="9"/>
      <c r="BZ622" s="9"/>
      <c r="CA622" s="9"/>
      <c r="CB622" s="9"/>
      <c r="CC622" s="9"/>
      <c r="CD622" s="9"/>
      <c r="CE622" s="9"/>
      <c r="CF622" s="9"/>
      <c r="CG622" s="9"/>
      <c r="CH622" s="9"/>
      <c r="CI622" s="9"/>
      <c r="CJ622" s="9"/>
      <c r="CK622" s="9"/>
      <c r="CL622" s="9"/>
      <c r="CM622" s="9"/>
      <c r="CN622" s="9"/>
      <c r="CO622" s="9"/>
      <c r="CP622" s="9"/>
      <c r="CQ622" s="9"/>
      <c r="CR622" s="9"/>
      <c r="CS622" s="9"/>
      <c r="CT622" s="9"/>
      <c r="CU622" s="9"/>
      <c r="CV622" s="9"/>
      <c r="CW622" s="9"/>
      <c r="CX622" s="9"/>
      <c r="CY622" s="9"/>
      <c r="CZ622" s="9"/>
      <c r="DA622" s="9"/>
      <c r="DB622" s="9"/>
      <c r="DC622" s="9"/>
      <c r="DD622" s="9"/>
      <c r="DE622" s="9"/>
      <c r="DF622" s="9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</row>
    <row r="623" spans="1:136" s="98" customFormat="1" ht="15.75" customHeight="1" x14ac:dyDescent="0.25">
      <c r="A623" s="93">
        <v>46234</v>
      </c>
      <c r="B623" s="94" t="s">
        <v>16</v>
      </c>
      <c r="C623" s="95">
        <v>6028</v>
      </c>
      <c r="D623" s="20"/>
      <c r="E623" s="99" t="s">
        <v>37</v>
      </c>
      <c r="F623" s="21">
        <v>1</v>
      </c>
      <c r="G623" s="100"/>
      <c r="H623" s="21">
        <v>75</v>
      </c>
      <c r="I623" s="11">
        <f t="shared" si="26"/>
        <v>75</v>
      </c>
      <c r="J623" s="21"/>
      <c r="K623" s="21"/>
      <c r="L623" s="13">
        <f t="shared" si="27"/>
        <v>75</v>
      </c>
      <c r="M623" s="24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  <c r="BU623" s="9"/>
      <c r="BV623" s="9"/>
      <c r="BW623" s="9"/>
      <c r="BX623" s="9"/>
      <c r="BY623" s="9"/>
      <c r="BZ623" s="9"/>
      <c r="CA623" s="9"/>
      <c r="CB623" s="9"/>
      <c r="CC623" s="9"/>
      <c r="CD623" s="9"/>
      <c r="CE623" s="9"/>
      <c r="CF623" s="9"/>
      <c r="CG623" s="9"/>
      <c r="CH623" s="9"/>
      <c r="CI623" s="9"/>
      <c r="CJ623" s="9"/>
      <c r="CK623" s="9"/>
      <c r="CL623" s="9"/>
      <c r="CM623" s="9"/>
      <c r="CN623" s="9"/>
      <c r="CO623" s="9"/>
      <c r="CP623" s="9"/>
      <c r="CQ623" s="9"/>
      <c r="CR623" s="9"/>
      <c r="CS623" s="9"/>
      <c r="CT623" s="9"/>
      <c r="CU623" s="9"/>
      <c r="CV623" s="9"/>
      <c r="CW623" s="9"/>
      <c r="CX623" s="9"/>
      <c r="CY623" s="9"/>
      <c r="CZ623" s="9"/>
      <c r="DA623" s="9"/>
      <c r="DB623" s="9"/>
      <c r="DC623" s="9"/>
      <c r="DD623" s="9"/>
      <c r="DE623" s="9"/>
      <c r="DF623" s="9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</row>
    <row r="624" spans="1:136" s="98" customFormat="1" ht="15.75" customHeight="1" x14ac:dyDescent="0.25">
      <c r="A624" s="93">
        <v>46234</v>
      </c>
      <c r="B624" s="94" t="s">
        <v>16</v>
      </c>
      <c r="C624" s="95">
        <v>6028</v>
      </c>
      <c r="D624" s="20"/>
      <c r="E624" s="99" t="s">
        <v>124</v>
      </c>
      <c r="F624" s="21">
        <v>2</v>
      </c>
      <c r="G624" s="100"/>
      <c r="H624" s="21">
        <v>60</v>
      </c>
      <c r="I624" s="11">
        <f t="shared" si="26"/>
        <v>120</v>
      </c>
      <c r="J624" s="21"/>
      <c r="K624" s="21"/>
      <c r="L624" s="13">
        <f t="shared" si="27"/>
        <v>120</v>
      </c>
      <c r="M624" s="24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  <c r="BU624" s="9"/>
      <c r="BV624" s="9"/>
      <c r="BW624" s="9"/>
      <c r="BX624" s="9"/>
      <c r="BY624" s="9"/>
      <c r="BZ624" s="9"/>
      <c r="CA624" s="9"/>
      <c r="CB624" s="9"/>
      <c r="CC624" s="9"/>
      <c r="CD624" s="9"/>
      <c r="CE624" s="9"/>
      <c r="CF624" s="9"/>
      <c r="CG624" s="9"/>
      <c r="CH624" s="9"/>
      <c r="CI624" s="9"/>
      <c r="CJ624" s="9"/>
      <c r="CK624" s="9"/>
      <c r="CL624" s="9"/>
      <c r="CM624" s="9"/>
      <c r="CN624" s="9"/>
      <c r="CO624" s="9"/>
      <c r="CP624" s="9"/>
      <c r="CQ624" s="9"/>
      <c r="CR624" s="9"/>
      <c r="CS624" s="9"/>
      <c r="CT624" s="9"/>
      <c r="CU624" s="9"/>
      <c r="CV624" s="9"/>
      <c r="CW624" s="9"/>
      <c r="CX624" s="9"/>
      <c r="CY624" s="9"/>
      <c r="CZ624" s="9"/>
      <c r="DA624" s="9"/>
      <c r="DB624" s="9"/>
      <c r="DC624" s="9"/>
      <c r="DD624" s="9"/>
      <c r="DE624" s="9"/>
      <c r="DF624" s="9"/>
      <c r="DG624" s="9"/>
      <c r="DH624" s="9"/>
      <c r="DI624" s="9"/>
      <c r="DJ624" s="9"/>
      <c r="DK624" s="9"/>
      <c r="DL624" s="9"/>
      <c r="DM624" s="9"/>
      <c r="DN624" s="9"/>
      <c r="DO624" s="9"/>
      <c r="DP624" s="9"/>
      <c r="DQ624" s="9"/>
      <c r="DR624" s="9"/>
      <c r="DS624" s="9"/>
      <c r="DT624" s="9"/>
      <c r="DU624" s="9"/>
      <c r="DV624" s="9"/>
      <c r="DW624" s="9"/>
      <c r="DX624" s="9"/>
      <c r="DY624" s="9"/>
      <c r="DZ624" s="9"/>
      <c r="EA624" s="9"/>
      <c r="EB624" s="9"/>
      <c r="EC624" s="9"/>
      <c r="ED624" s="9"/>
      <c r="EE624" s="9"/>
      <c r="EF624" s="9"/>
    </row>
    <row r="625" spans="1:136" s="98" customFormat="1" ht="15.75" customHeight="1" x14ac:dyDescent="0.25">
      <c r="A625" s="93">
        <v>46234</v>
      </c>
      <c r="B625" s="94" t="s">
        <v>16</v>
      </c>
      <c r="C625" s="95">
        <v>6028</v>
      </c>
      <c r="D625" s="20"/>
      <c r="E625" s="99" t="s">
        <v>127</v>
      </c>
      <c r="F625" s="21">
        <v>0.5</v>
      </c>
      <c r="G625" s="100"/>
      <c r="H625" s="21">
        <v>120</v>
      </c>
      <c r="I625" s="11">
        <f t="shared" si="26"/>
        <v>60</v>
      </c>
      <c r="J625" s="21"/>
      <c r="K625" s="21"/>
      <c r="L625" s="13">
        <f t="shared" si="27"/>
        <v>60</v>
      </c>
      <c r="M625" s="24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  <c r="BU625" s="9"/>
      <c r="BV625" s="9"/>
      <c r="BW625" s="9"/>
      <c r="BX625" s="9"/>
      <c r="BY625" s="9"/>
      <c r="BZ625" s="9"/>
      <c r="CA625" s="9"/>
      <c r="CB625" s="9"/>
      <c r="CC625" s="9"/>
      <c r="CD625" s="9"/>
      <c r="CE625" s="9"/>
      <c r="CF625" s="9"/>
      <c r="CG625" s="9"/>
      <c r="CH625" s="9"/>
      <c r="CI625" s="9"/>
      <c r="CJ625" s="9"/>
      <c r="CK625" s="9"/>
      <c r="CL625" s="9"/>
      <c r="CM625" s="9"/>
      <c r="CN625" s="9"/>
      <c r="CO625" s="9"/>
      <c r="CP625" s="9"/>
      <c r="CQ625" s="9"/>
      <c r="CR625" s="9"/>
      <c r="CS625" s="9"/>
      <c r="CT625" s="9"/>
      <c r="CU625" s="9"/>
      <c r="CV625" s="9"/>
      <c r="CW625" s="9"/>
      <c r="CX625" s="9"/>
      <c r="CY625" s="9"/>
      <c r="CZ625" s="9"/>
      <c r="DA625" s="9"/>
      <c r="DB625" s="9"/>
      <c r="DC625" s="9"/>
      <c r="DD625" s="9"/>
      <c r="DE625" s="9"/>
      <c r="DF625" s="9"/>
      <c r="DG625" s="9"/>
      <c r="DH625" s="9"/>
      <c r="DI625" s="9"/>
      <c r="DJ625" s="9"/>
      <c r="DK625" s="9"/>
      <c r="DL625" s="9"/>
      <c r="DM625" s="9"/>
      <c r="DN625" s="9"/>
      <c r="DO625" s="9"/>
      <c r="DP625" s="9"/>
      <c r="DQ625" s="9"/>
      <c r="DR625" s="9"/>
      <c r="DS625" s="9"/>
      <c r="DT625" s="9"/>
      <c r="DU625" s="9"/>
      <c r="DV625" s="9"/>
      <c r="DW625" s="9"/>
      <c r="DX625" s="9"/>
      <c r="DY625" s="9"/>
      <c r="DZ625" s="9"/>
      <c r="EA625" s="9"/>
      <c r="EB625" s="9"/>
      <c r="EC625" s="9"/>
      <c r="ED625" s="9"/>
      <c r="EE625" s="9"/>
      <c r="EF625" s="9"/>
    </row>
    <row r="626" spans="1:136" s="98" customFormat="1" ht="15.75" customHeight="1" x14ac:dyDescent="0.25">
      <c r="A626" s="93">
        <v>46234</v>
      </c>
      <c r="B626" s="94" t="s">
        <v>16</v>
      </c>
      <c r="C626" s="95">
        <v>6028</v>
      </c>
      <c r="D626" s="20"/>
      <c r="E626" s="99" t="s">
        <v>71</v>
      </c>
      <c r="F626" s="21">
        <v>2</v>
      </c>
      <c r="G626" s="100"/>
      <c r="H626" s="21">
        <v>70</v>
      </c>
      <c r="I626" s="11">
        <f t="shared" si="26"/>
        <v>140</v>
      </c>
      <c r="J626" s="21"/>
      <c r="K626" s="21"/>
      <c r="L626" s="13">
        <f t="shared" si="27"/>
        <v>140</v>
      </c>
      <c r="M626" s="24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  <c r="BU626" s="9"/>
      <c r="BV626" s="9"/>
      <c r="BW626" s="9"/>
      <c r="BX626" s="9"/>
      <c r="BY626" s="9"/>
      <c r="BZ626" s="9"/>
      <c r="CA626" s="9"/>
      <c r="CB626" s="9"/>
      <c r="CC626" s="9"/>
      <c r="CD626" s="9"/>
      <c r="CE626" s="9"/>
      <c r="CF626" s="9"/>
      <c r="CG626" s="9"/>
      <c r="CH626" s="9"/>
      <c r="CI626" s="9"/>
      <c r="CJ626" s="9"/>
      <c r="CK626" s="9"/>
      <c r="CL626" s="9"/>
      <c r="CM626" s="9"/>
      <c r="CN626" s="9"/>
      <c r="CO626" s="9"/>
      <c r="CP626" s="9"/>
      <c r="CQ626" s="9"/>
      <c r="CR626" s="9"/>
      <c r="CS626" s="9"/>
      <c r="CT626" s="9"/>
      <c r="CU626" s="9"/>
      <c r="CV626" s="9"/>
      <c r="CW626" s="9"/>
      <c r="CX626" s="9"/>
      <c r="CY626" s="9"/>
      <c r="CZ626" s="9"/>
      <c r="DA626" s="9"/>
      <c r="DB626" s="9"/>
      <c r="DC626" s="9"/>
      <c r="DD626" s="9"/>
      <c r="DE626" s="9"/>
      <c r="DF626" s="9"/>
      <c r="DG626" s="9"/>
      <c r="DH626" s="9"/>
      <c r="DI626" s="9"/>
      <c r="DJ626" s="9"/>
      <c r="DK626" s="9"/>
      <c r="DL626" s="9"/>
      <c r="DM626" s="9"/>
      <c r="DN626" s="9"/>
      <c r="DO626" s="9"/>
      <c r="DP626" s="9"/>
      <c r="DQ626" s="9"/>
      <c r="DR626" s="9"/>
      <c r="DS626" s="9"/>
      <c r="DT626" s="9"/>
      <c r="DU626" s="9"/>
      <c r="DV626" s="9"/>
      <c r="DW626" s="9"/>
      <c r="DX626" s="9"/>
      <c r="DY626" s="9"/>
      <c r="DZ626" s="9"/>
      <c r="EA626" s="9"/>
      <c r="EB626" s="9"/>
      <c r="EC626" s="9"/>
      <c r="ED626" s="9"/>
      <c r="EE626" s="9"/>
      <c r="EF626" s="9"/>
    </row>
    <row r="627" spans="1:136" s="98" customFormat="1" ht="15.75" customHeight="1" x14ac:dyDescent="0.25">
      <c r="A627" s="93">
        <v>46234</v>
      </c>
      <c r="B627" s="94" t="s">
        <v>16</v>
      </c>
      <c r="C627" s="95">
        <v>6028</v>
      </c>
      <c r="D627" s="20"/>
      <c r="E627" s="99" t="s">
        <v>118</v>
      </c>
      <c r="F627" s="21">
        <v>0.5</v>
      </c>
      <c r="G627" s="100"/>
      <c r="H627" s="21">
        <v>60</v>
      </c>
      <c r="I627" s="11">
        <f t="shared" si="26"/>
        <v>30</v>
      </c>
      <c r="J627" s="21"/>
      <c r="K627" s="21"/>
      <c r="L627" s="13">
        <f t="shared" si="27"/>
        <v>30</v>
      </c>
      <c r="M627" s="24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  <c r="BU627" s="9"/>
      <c r="BV627" s="9"/>
      <c r="BW627" s="9"/>
      <c r="BX627" s="9"/>
      <c r="BY627" s="9"/>
      <c r="BZ627" s="9"/>
      <c r="CA627" s="9"/>
      <c r="CB627" s="9"/>
      <c r="CC627" s="9"/>
      <c r="CD627" s="9"/>
      <c r="CE627" s="9"/>
      <c r="CF627" s="9"/>
      <c r="CG627" s="9"/>
      <c r="CH627" s="9"/>
      <c r="CI627" s="9"/>
      <c r="CJ627" s="9"/>
      <c r="CK627" s="9"/>
      <c r="CL627" s="9"/>
      <c r="CM627" s="9"/>
      <c r="CN627" s="9"/>
      <c r="CO627" s="9"/>
      <c r="CP627" s="9"/>
      <c r="CQ627" s="9"/>
      <c r="CR627" s="9"/>
      <c r="CS627" s="9"/>
      <c r="CT627" s="9"/>
      <c r="CU627" s="9"/>
      <c r="CV627" s="9"/>
      <c r="CW627" s="9"/>
      <c r="CX627" s="9"/>
      <c r="CY627" s="9"/>
      <c r="CZ627" s="9"/>
      <c r="DA627" s="9"/>
      <c r="DB627" s="9"/>
      <c r="DC627" s="9"/>
      <c r="DD627" s="9"/>
      <c r="DE627" s="9"/>
      <c r="DF627" s="9"/>
      <c r="DG627" s="9"/>
      <c r="DH627" s="9"/>
      <c r="DI627" s="9"/>
      <c r="DJ627" s="9"/>
      <c r="DK627" s="9"/>
      <c r="DL627" s="9"/>
      <c r="DM627" s="9"/>
      <c r="DN627" s="9"/>
      <c r="DO627" s="9"/>
      <c r="DP627" s="9"/>
      <c r="DQ627" s="9"/>
      <c r="DR627" s="9"/>
      <c r="DS627" s="9"/>
      <c r="DT627" s="9"/>
      <c r="DU627" s="9"/>
      <c r="DV627" s="9"/>
      <c r="DW627" s="9"/>
      <c r="DX627" s="9"/>
      <c r="DY627" s="9"/>
      <c r="DZ627" s="9"/>
      <c r="EA627" s="9"/>
      <c r="EB627" s="9"/>
      <c r="EC627" s="9"/>
      <c r="ED627" s="9"/>
      <c r="EE627" s="9"/>
      <c r="EF627" s="9"/>
    </row>
    <row r="628" spans="1:136" s="98" customFormat="1" ht="15.75" customHeight="1" x14ac:dyDescent="0.25">
      <c r="A628" s="93">
        <v>46234</v>
      </c>
      <c r="B628" s="94" t="s">
        <v>16</v>
      </c>
      <c r="C628" s="95">
        <v>6028</v>
      </c>
      <c r="D628" s="20"/>
      <c r="E628" s="99" t="s">
        <v>293</v>
      </c>
      <c r="F628" s="21">
        <f>35/60</f>
        <v>0.58333333333333337</v>
      </c>
      <c r="G628" s="100"/>
      <c r="H628" s="21">
        <v>60</v>
      </c>
      <c r="I628" s="11">
        <f t="shared" si="26"/>
        <v>35</v>
      </c>
      <c r="J628" s="21"/>
      <c r="K628" s="21"/>
      <c r="L628" s="13">
        <f t="shared" si="27"/>
        <v>35</v>
      </c>
      <c r="M628" s="24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  <c r="BU628" s="9"/>
      <c r="BV628" s="9"/>
      <c r="BW628" s="9"/>
      <c r="BX628" s="9"/>
      <c r="BY628" s="9"/>
      <c r="BZ628" s="9"/>
      <c r="CA628" s="9"/>
      <c r="CB628" s="9"/>
      <c r="CC628" s="9"/>
      <c r="CD628" s="9"/>
      <c r="CE628" s="9"/>
      <c r="CF628" s="9"/>
      <c r="CG628" s="9"/>
      <c r="CH628" s="9"/>
      <c r="CI628" s="9"/>
      <c r="CJ628" s="9"/>
      <c r="CK628" s="9"/>
      <c r="CL628" s="9"/>
      <c r="CM628" s="9"/>
      <c r="CN628" s="9"/>
      <c r="CO628" s="9"/>
      <c r="CP628" s="9"/>
      <c r="CQ628" s="9"/>
      <c r="CR628" s="9"/>
      <c r="CS628" s="9"/>
      <c r="CT628" s="9"/>
      <c r="CU628" s="9"/>
      <c r="CV628" s="9"/>
      <c r="CW628" s="9"/>
      <c r="CX628" s="9"/>
      <c r="CY628" s="9"/>
      <c r="CZ628" s="9"/>
      <c r="DA628" s="9"/>
      <c r="DB628" s="9"/>
      <c r="DC628" s="9"/>
      <c r="DD628" s="9"/>
      <c r="DE628" s="9"/>
      <c r="DF628" s="9"/>
      <c r="DG628" s="9"/>
      <c r="DH628" s="9"/>
      <c r="DI628" s="9"/>
      <c r="DJ628" s="9"/>
      <c r="DK628" s="9"/>
      <c r="DL628" s="9"/>
      <c r="DM628" s="9"/>
      <c r="DN628" s="9"/>
      <c r="DO628" s="9"/>
      <c r="DP628" s="9"/>
      <c r="DQ628" s="9"/>
      <c r="DR628" s="9"/>
      <c r="DS628" s="9"/>
      <c r="DT628" s="9"/>
      <c r="DU628" s="9"/>
      <c r="DV628" s="9"/>
      <c r="DW628" s="9"/>
      <c r="DX628" s="9"/>
      <c r="DY628" s="9"/>
      <c r="DZ628" s="9"/>
      <c r="EA628" s="9"/>
      <c r="EB628" s="9"/>
      <c r="EC628" s="9"/>
      <c r="ED628" s="9"/>
      <c r="EE628" s="9"/>
      <c r="EF628" s="9"/>
    </row>
    <row r="629" spans="1:136" s="98" customFormat="1" ht="15.75" customHeight="1" x14ac:dyDescent="0.25">
      <c r="A629" s="93">
        <v>46234</v>
      </c>
      <c r="B629" s="94" t="s">
        <v>16</v>
      </c>
      <c r="C629" s="95">
        <v>6028</v>
      </c>
      <c r="D629" s="20"/>
      <c r="E629" s="99" t="s">
        <v>139</v>
      </c>
      <c r="F629" s="21">
        <v>1</v>
      </c>
      <c r="G629" s="100"/>
      <c r="H629" s="21">
        <v>40</v>
      </c>
      <c r="I629" s="11">
        <f t="shared" si="26"/>
        <v>40</v>
      </c>
      <c r="J629" s="21"/>
      <c r="K629" s="21"/>
      <c r="L629" s="13">
        <f t="shared" ref="L629:L669" si="28">I629-J629-K629</f>
        <v>40</v>
      </c>
      <c r="M629" s="24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  <c r="BU629" s="9"/>
      <c r="BV629" s="9"/>
      <c r="BW629" s="9"/>
      <c r="BX629" s="9"/>
      <c r="BY629" s="9"/>
      <c r="BZ629" s="9"/>
      <c r="CA629" s="9"/>
      <c r="CB629" s="9"/>
      <c r="CC629" s="9"/>
      <c r="CD629" s="9"/>
      <c r="CE629" s="9"/>
      <c r="CF629" s="9"/>
      <c r="CG629" s="9"/>
      <c r="CH629" s="9"/>
      <c r="CI629" s="9"/>
      <c r="CJ629" s="9"/>
      <c r="CK629" s="9"/>
      <c r="CL629" s="9"/>
      <c r="CM629" s="9"/>
      <c r="CN629" s="9"/>
      <c r="CO629" s="9"/>
      <c r="CP629" s="9"/>
      <c r="CQ629" s="9"/>
      <c r="CR629" s="9"/>
      <c r="CS629" s="9"/>
      <c r="CT629" s="9"/>
      <c r="CU629" s="9"/>
      <c r="CV629" s="9"/>
      <c r="CW629" s="9"/>
      <c r="CX629" s="9"/>
      <c r="CY629" s="9"/>
      <c r="CZ629" s="9"/>
      <c r="DA629" s="9"/>
      <c r="DB629" s="9"/>
      <c r="DC629" s="9"/>
      <c r="DD629" s="9"/>
      <c r="DE629" s="9"/>
      <c r="DF629" s="9"/>
      <c r="DG629" s="9"/>
      <c r="DH629" s="9"/>
      <c r="DI629" s="9"/>
      <c r="DJ629" s="9"/>
      <c r="DK629" s="9"/>
      <c r="DL629" s="9"/>
      <c r="DM629" s="9"/>
      <c r="DN629" s="9"/>
      <c r="DO629" s="9"/>
      <c r="DP629" s="9"/>
      <c r="DQ629" s="9"/>
      <c r="DR629" s="9"/>
      <c r="DS629" s="9"/>
      <c r="DT629" s="9"/>
      <c r="DU629" s="9"/>
      <c r="DV629" s="9"/>
      <c r="DW629" s="9"/>
      <c r="DX629" s="9"/>
      <c r="DY629" s="9"/>
      <c r="DZ629" s="9"/>
      <c r="EA629" s="9"/>
      <c r="EB629" s="9"/>
      <c r="EC629" s="9"/>
      <c r="ED629" s="9"/>
      <c r="EE629" s="9"/>
      <c r="EF629" s="9"/>
    </row>
    <row r="630" spans="1:136" s="98" customFormat="1" ht="15.75" customHeight="1" x14ac:dyDescent="0.25">
      <c r="A630" s="93">
        <v>46234</v>
      </c>
      <c r="B630" s="94" t="s">
        <v>16</v>
      </c>
      <c r="C630" s="95">
        <v>6028</v>
      </c>
      <c r="D630" s="20"/>
      <c r="E630" s="99" t="s">
        <v>294</v>
      </c>
      <c r="F630" s="21">
        <v>4</v>
      </c>
      <c r="G630" s="100"/>
      <c r="H630" s="21">
        <v>12</v>
      </c>
      <c r="I630" s="11">
        <f t="shared" si="26"/>
        <v>48</v>
      </c>
      <c r="J630" s="21"/>
      <c r="K630" s="21"/>
      <c r="L630" s="13">
        <f t="shared" si="28"/>
        <v>48</v>
      </c>
      <c r="M630" s="24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  <c r="BU630" s="9"/>
      <c r="BV630" s="9"/>
      <c r="BW630" s="9"/>
      <c r="BX630" s="9"/>
      <c r="BY630" s="9"/>
      <c r="BZ630" s="9"/>
      <c r="CA630" s="9"/>
      <c r="CB630" s="9"/>
      <c r="CC630" s="9"/>
      <c r="CD630" s="9"/>
      <c r="CE630" s="9"/>
      <c r="CF630" s="9"/>
      <c r="CG630" s="9"/>
      <c r="CH630" s="9"/>
      <c r="CI630" s="9"/>
      <c r="CJ630" s="9"/>
      <c r="CK630" s="9"/>
      <c r="CL630" s="9"/>
      <c r="CM630" s="9"/>
      <c r="CN630" s="9"/>
      <c r="CO630" s="9"/>
      <c r="CP630" s="9"/>
      <c r="CQ630" s="9"/>
      <c r="CR630" s="9"/>
      <c r="CS630" s="9"/>
      <c r="CT630" s="9"/>
      <c r="CU630" s="9"/>
      <c r="CV630" s="9"/>
      <c r="CW630" s="9"/>
      <c r="CX630" s="9"/>
      <c r="CY630" s="9"/>
      <c r="CZ630" s="9"/>
      <c r="DA630" s="9"/>
      <c r="DB630" s="9"/>
      <c r="DC630" s="9"/>
      <c r="DD630" s="9"/>
      <c r="DE630" s="9"/>
      <c r="DF630" s="9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</row>
    <row r="631" spans="1:136" s="98" customFormat="1" ht="15.75" customHeight="1" x14ac:dyDescent="0.25">
      <c r="A631" s="93">
        <v>46234</v>
      </c>
      <c r="B631" s="94" t="s">
        <v>16</v>
      </c>
      <c r="C631" s="95">
        <v>6028</v>
      </c>
      <c r="D631" s="20"/>
      <c r="E631" s="99" t="s">
        <v>43</v>
      </c>
      <c r="F631" s="21">
        <v>10</v>
      </c>
      <c r="G631" s="100"/>
      <c r="H631" s="21">
        <v>12</v>
      </c>
      <c r="I631" s="11">
        <f t="shared" si="26"/>
        <v>120</v>
      </c>
      <c r="J631" s="21"/>
      <c r="K631" s="21"/>
      <c r="L631" s="13">
        <f t="shared" si="28"/>
        <v>120</v>
      </c>
      <c r="M631" s="24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  <c r="BU631" s="9"/>
      <c r="BV631" s="9"/>
      <c r="BW631" s="9"/>
      <c r="BX631" s="9"/>
      <c r="BY631" s="9"/>
      <c r="BZ631" s="9"/>
      <c r="CA631" s="9"/>
      <c r="CB631" s="9"/>
      <c r="CC631" s="9"/>
      <c r="CD631" s="9"/>
      <c r="CE631" s="9"/>
      <c r="CF631" s="9"/>
      <c r="CG631" s="9"/>
      <c r="CH631" s="9"/>
      <c r="CI631" s="9"/>
      <c r="CJ631" s="9"/>
      <c r="CK631" s="9"/>
      <c r="CL631" s="9"/>
      <c r="CM631" s="9"/>
      <c r="CN631" s="9"/>
      <c r="CO631" s="9"/>
      <c r="CP631" s="9"/>
      <c r="CQ631" s="9"/>
      <c r="CR631" s="9"/>
      <c r="CS631" s="9"/>
      <c r="CT631" s="9"/>
      <c r="CU631" s="9"/>
      <c r="CV631" s="9"/>
      <c r="CW631" s="9"/>
      <c r="CX631" s="9"/>
      <c r="CY631" s="9"/>
      <c r="CZ631" s="9"/>
      <c r="DA631" s="9"/>
      <c r="DB631" s="9"/>
      <c r="DC631" s="9"/>
      <c r="DD631" s="9"/>
      <c r="DE631" s="9"/>
      <c r="DF631" s="9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</row>
    <row r="632" spans="1:136" s="98" customFormat="1" ht="15.75" customHeight="1" x14ac:dyDescent="0.25">
      <c r="A632" s="93">
        <v>46234</v>
      </c>
      <c r="B632" s="94" t="s">
        <v>16</v>
      </c>
      <c r="C632" s="95">
        <v>6028</v>
      </c>
      <c r="D632" s="20"/>
      <c r="E632" s="99" t="s">
        <v>295</v>
      </c>
      <c r="F632" s="21">
        <v>1</v>
      </c>
      <c r="G632" s="100"/>
      <c r="H632" s="21">
        <v>50</v>
      </c>
      <c r="I632" s="11">
        <f t="shared" ref="I632:I669" si="29">F632*H632</f>
        <v>50</v>
      </c>
      <c r="J632" s="21"/>
      <c r="K632" s="21"/>
      <c r="L632" s="13">
        <f t="shared" si="28"/>
        <v>50</v>
      </c>
      <c r="M632" s="24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  <c r="BU632" s="9"/>
      <c r="BV632" s="9"/>
      <c r="BW632" s="9"/>
      <c r="BX632" s="9"/>
      <c r="BY632" s="9"/>
      <c r="BZ632" s="9"/>
      <c r="CA632" s="9"/>
      <c r="CB632" s="9"/>
      <c r="CC632" s="9"/>
      <c r="CD632" s="9"/>
      <c r="CE632" s="9"/>
      <c r="CF632" s="9"/>
      <c r="CG632" s="9"/>
      <c r="CH632" s="9"/>
      <c r="CI632" s="9"/>
      <c r="CJ632" s="9"/>
      <c r="CK632" s="9"/>
      <c r="CL632" s="9"/>
      <c r="CM632" s="9"/>
      <c r="CN632" s="9"/>
      <c r="CO632" s="9"/>
      <c r="CP632" s="9"/>
      <c r="CQ632" s="9"/>
      <c r="CR632" s="9"/>
      <c r="CS632" s="9"/>
      <c r="CT632" s="9"/>
      <c r="CU632" s="9"/>
      <c r="CV632" s="9"/>
      <c r="CW632" s="9"/>
      <c r="CX632" s="9"/>
      <c r="CY632" s="9"/>
      <c r="CZ632" s="9"/>
      <c r="DA632" s="9"/>
      <c r="DB632" s="9"/>
      <c r="DC632" s="9"/>
      <c r="DD632" s="9"/>
      <c r="DE632" s="9"/>
      <c r="DF632" s="9"/>
      <c r="DG632" s="9"/>
      <c r="DH632" s="9"/>
      <c r="DI632" s="9"/>
      <c r="DJ632" s="9"/>
      <c r="DK632" s="9"/>
      <c r="DL632" s="9"/>
      <c r="DM632" s="9"/>
      <c r="DN632" s="9"/>
      <c r="DO632" s="9"/>
      <c r="DP632" s="9"/>
      <c r="DQ632" s="9"/>
      <c r="DR632" s="9"/>
      <c r="DS632" s="9"/>
      <c r="DT632" s="9"/>
      <c r="DU632" s="9"/>
      <c r="DV632" s="9"/>
      <c r="DW632" s="9"/>
      <c r="DX632" s="9"/>
      <c r="DY632" s="9"/>
      <c r="DZ632" s="9"/>
      <c r="EA632" s="9"/>
      <c r="EB632" s="9"/>
      <c r="EC632" s="9"/>
      <c r="ED632" s="9"/>
      <c r="EE632" s="9"/>
      <c r="EF632" s="9"/>
    </row>
    <row r="633" spans="1:136" s="98" customFormat="1" ht="15.75" customHeight="1" x14ac:dyDescent="0.25">
      <c r="A633" s="93">
        <v>46234</v>
      </c>
      <c r="B633" s="94" t="s">
        <v>16</v>
      </c>
      <c r="C633" s="95">
        <v>6028</v>
      </c>
      <c r="D633" s="20"/>
      <c r="E633" s="99" t="s">
        <v>246</v>
      </c>
      <c r="F633" s="21">
        <v>1</v>
      </c>
      <c r="G633" s="100"/>
      <c r="H633" s="21">
        <v>105</v>
      </c>
      <c r="I633" s="11">
        <f t="shared" si="29"/>
        <v>105</v>
      </c>
      <c r="J633" s="21"/>
      <c r="K633" s="21"/>
      <c r="L633" s="13">
        <f t="shared" si="28"/>
        <v>105</v>
      </c>
      <c r="M633" s="24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  <c r="BU633" s="9"/>
      <c r="BV633" s="9"/>
      <c r="BW633" s="9"/>
      <c r="BX633" s="9"/>
      <c r="BY633" s="9"/>
      <c r="BZ633" s="9"/>
      <c r="CA633" s="9"/>
      <c r="CB633" s="9"/>
      <c r="CC633" s="9"/>
      <c r="CD633" s="9"/>
      <c r="CE633" s="9"/>
      <c r="CF633" s="9"/>
      <c r="CG633" s="9"/>
      <c r="CH633" s="9"/>
      <c r="CI633" s="9"/>
      <c r="CJ633" s="9"/>
      <c r="CK633" s="9"/>
      <c r="CL633" s="9"/>
      <c r="CM633" s="9"/>
      <c r="CN633" s="9"/>
      <c r="CO633" s="9"/>
      <c r="CP633" s="9"/>
      <c r="CQ633" s="9"/>
      <c r="CR633" s="9"/>
      <c r="CS633" s="9"/>
      <c r="CT633" s="9"/>
      <c r="CU633" s="9"/>
      <c r="CV633" s="9"/>
      <c r="CW633" s="9"/>
      <c r="CX633" s="9"/>
      <c r="CY633" s="9"/>
      <c r="CZ633" s="9"/>
      <c r="DA633" s="9"/>
      <c r="DB633" s="9"/>
      <c r="DC633" s="9"/>
      <c r="DD633" s="9"/>
      <c r="DE633" s="9"/>
      <c r="DF633" s="9"/>
      <c r="DG633" s="9"/>
      <c r="DH633" s="9"/>
      <c r="DI633" s="9"/>
      <c r="DJ633" s="9"/>
      <c r="DK633" s="9"/>
      <c r="DL633" s="9"/>
      <c r="DM633" s="9"/>
      <c r="DN633" s="9"/>
      <c r="DO633" s="9"/>
      <c r="DP633" s="9"/>
      <c r="DQ633" s="9"/>
      <c r="DR633" s="9"/>
      <c r="DS633" s="9"/>
      <c r="DT633" s="9"/>
      <c r="DU633" s="9"/>
      <c r="DV633" s="9"/>
      <c r="DW633" s="9"/>
      <c r="DX633" s="9"/>
      <c r="DY633" s="9"/>
      <c r="DZ633" s="9"/>
      <c r="EA633" s="9"/>
      <c r="EB633" s="9"/>
      <c r="EC633" s="9"/>
      <c r="ED633" s="9"/>
      <c r="EE633" s="9"/>
      <c r="EF633" s="9"/>
    </row>
    <row r="634" spans="1:136" s="98" customFormat="1" ht="15.75" customHeight="1" x14ac:dyDescent="0.25">
      <c r="A634" s="93">
        <v>46234</v>
      </c>
      <c r="B634" s="94" t="s">
        <v>16</v>
      </c>
      <c r="C634" s="95">
        <v>6028</v>
      </c>
      <c r="D634" s="20"/>
      <c r="E634" s="99" t="s">
        <v>42</v>
      </c>
      <c r="F634" s="21">
        <v>1</v>
      </c>
      <c r="G634" s="100"/>
      <c r="H634" s="21">
        <v>70</v>
      </c>
      <c r="I634" s="11">
        <f t="shared" si="29"/>
        <v>70</v>
      </c>
      <c r="J634" s="21"/>
      <c r="K634" s="21"/>
      <c r="L634" s="13">
        <f t="shared" si="28"/>
        <v>70</v>
      </c>
      <c r="M634" s="24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  <c r="BU634" s="9"/>
      <c r="BV634" s="9"/>
      <c r="BW634" s="9"/>
      <c r="BX634" s="9"/>
      <c r="BY634" s="9"/>
      <c r="BZ634" s="9"/>
      <c r="CA634" s="9"/>
      <c r="CB634" s="9"/>
      <c r="CC634" s="9"/>
      <c r="CD634" s="9"/>
      <c r="CE634" s="9"/>
      <c r="CF634" s="9"/>
      <c r="CG634" s="9"/>
      <c r="CH634" s="9"/>
      <c r="CI634" s="9"/>
      <c r="CJ634" s="9"/>
      <c r="CK634" s="9"/>
      <c r="CL634" s="9"/>
      <c r="CM634" s="9"/>
      <c r="CN634" s="9"/>
      <c r="CO634" s="9"/>
      <c r="CP634" s="9"/>
      <c r="CQ634" s="9"/>
      <c r="CR634" s="9"/>
      <c r="CS634" s="9"/>
      <c r="CT634" s="9"/>
      <c r="CU634" s="9"/>
      <c r="CV634" s="9"/>
      <c r="CW634" s="9"/>
      <c r="CX634" s="9"/>
      <c r="CY634" s="9"/>
      <c r="CZ634" s="9"/>
      <c r="DA634" s="9"/>
      <c r="DB634" s="9"/>
      <c r="DC634" s="9"/>
      <c r="DD634" s="9"/>
      <c r="DE634" s="9"/>
      <c r="DF634" s="9"/>
      <c r="DG634" s="9"/>
      <c r="DH634" s="9"/>
      <c r="DI634" s="9"/>
      <c r="DJ634" s="9"/>
      <c r="DK634" s="9"/>
      <c r="DL634" s="9"/>
      <c r="DM634" s="9"/>
      <c r="DN634" s="9"/>
      <c r="DO634" s="9"/>
      <c r="DP634" s="9"/>
      <c r="DQ634" s="9"/>
      <c r="DR634" s="9"/>
      <c r="DS634" s="9"/>
      <c r="DT634" s="9"/>
      <c r="DU634" s="9"/>
      <c r="DV634" s="9"/>
      <c r="DW634" s="9"/>
      <c r="DX634" s="9"/>
      <c r="DY634" s="9"/>
      <c r="DZ634" s="9"/>
      <c r="EA634" s="9"/>
      <c r="EB634" s="9"/>
      <c r="EC634" s="9"/>
      <c r="ED634" s="9"/>
      <c r="EE634" s="9"/>
      <c r="EF634" s="9"/>
    </row>
    <row r="635" spans="1:136" s="98" customFormat="1" ht="15.75" customHeight="1" x14ac:dyDescent="0.25">
      <c r="A635" s="93">
        <v>46234</v>
      </c>
      <c r="B635" s="94" t="s">
        <v>16</v>
      </c>
      <c r="C635" s="95">
        <v>6028</v>
      </c>
      <c r="D635" s="20"/>
      <c r="E635" s="99" t="s">
        <v>25</v>
      </c>
      <c r="F635" s="21">
        <v>2</v>
      </c>
      <c r="G635" s="100"/>
      <c r="H635" s="21">
        <v>60</v>
      </c>
      <c r="I635" s="11">
        <f t="shared" si="29"/>
        <v>120</v>
      </c>
      <c r="J635" s="21"/>
      <c r="K635" s="21"/>
      <c r="L635" s="13">
        <f t="shared" si="28"/>
        <v>120</v>
      </c>
      <c r="M635" s="24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  <c r="BU635" s="9"/>
      <c r="BV635" s="9"/>
      <c r="BW635" s="9"/>
      <c r="BX635" s="9"/>
      <c r="BY635" s="9"/>
      <c r="BZ635" s="9"/>
      <c r="CA635" s="9"/>
      <c r="CB635" s="9"/>
      <c r="CC635" s="9"/>
      <c r="CD635" s="9"/>
      <c r="CE635" s="9"/>
      <c r="CF635" s="9"/>
      <c r="CG635" s="9"/>
      <c r="CH635" s="9"/>
      <c r="CI635" s="9"/>
      <c r="CJ635" s="9"/>
      <c r="CK635" s="9"/>
      <c r="CL635" s="9"/>
      <c r="CM635" s="9"/>
      <c r="CN635" s="9"/>
      <c r="CO635" s="9"/>
      <c r="CP635" s="9"/>
      <c r="CQ635" s="9"/>
      <c r="CR635" s="9"/>
      <c r="CS635" s="9"/>
      <c r="CT635" s="9"/>
      <c r="CU635" s="9"/>
      <c r="CV635" s="9"/>
      <c r="CW635" s="9"/>
      <c r="CX635" s="9"/>
      <c r="CY635" s="9"/>
      <c r="CZ635" s="9"/>
      <c r="DA635" s="9"/>
      <c r="DB635" s="9"/>
      <c r="DC635" s="9"/>
      <c r="DD635" s="9"/>
      <c r="DE635" s="9"/>
      <c r="DF635" s="9"/>
      <c r="DG635" s="9"/>
      <c r="DH635" s="9"/>
      <c r="DI635" s="9"/>
      <c r="DJ635" s="9"/>
      <c r="DK635" s="9"/>
      <c r="DL635" s="9"/>
      <c r="DM635" s="9"/>
      <c r="DN635" s="9"/>
      <c r="DO635" s="9"/>
      <c r="DP635" s="9"/>
      <c r="DQ635" s="9"/>
      <c r="DR635" s="9"/>
      <c r="DS635" s="9"/>
      <c r="DT635" s="9"/>
      <c r="DU635" s="9"/>
      <c r="DV635" s="9"/>
      <c r="DW635" s="9"/>
      <c r="DX635" s="9"/>
      <c r="DY635" s="9"/>
      <c r="DZ635" s="9"/>
      <c r="EA635" s="9"/>
      <c r="EB635" s="9"/>
      <c r="EC635" s="9"/>
      <c r="ED635" s="9"/>
      <c r="EE635" s="9"/>
      <c r="EF635" s="9"/>
    </row>
    <row r="636" spans="1:136" s="98" customFormat="1" ht="15.75" customHeight="1" x14ac:dyDescent="0.25">
      <c r="A636" s="93">
        <v>46234</v>
      </c>
      <c r="B636" s="94" t="s">
        <v>16</v>
      </c>
      <c r="C636" s="95">
        <v>6028</v>
      </c>
      <c r="D636" s="20"/>
      <c r="E636" s="99" t="s">
        <v>38</v>
      </c>
      <c r="F636" s="21">
        <v>2</v>
      </c>
      <c r="G636" s="100"/>
      <c r="H636" s="21">
        <v>80</v>
      </c>
      <c r="I636" s="11">
        <f t="shared" si="29"/>
        <v>160</v>
      </c>
      <c r="J636" s="21"/>
      <c r="K636" s="21"/>
      <c r="L636" s="13">
        <f t="shared" si="28"/>
        <v>160</v>
      </c>
      <c r="M636" s="24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  <c r="BU636" s="9"/>
      <c r="BV636" s="9"/>
      <c r="BW636" s="9"/>
      <c r="BX636" s="9"/>
      <c r="BY636" s="9"/>
      <c r="BZ636" s="9"/>
      <c r="CA636" s="9"/>
      <c r="CB636" s="9"/>
      <c r="CC636" s="9"/>
      <c r="CD636" s="9"/>
      <c r="CE636" s="9"/>
      <c r="CF636" s="9"/>
      <c r="CG636" s="9"/>
      <c r="CH636" s="9"/>
      <c r="CI636" s="9"/>
      <c r="CJ636" s="9"/>
      <c r="CK636" s="9"/>
      <c r="CL636" s="9"/>
      <c r="CM636" s="9"/>
      <c r="CN636" s="9"/>
      <c r="CO636" s="9"/>
      <c r="CP636" s="9"/>
      <c r="CQ636" s="9"/>
      <c r="CR636" s="9"/>
      <c r="CS636" s="9"/>
      <c r="CT636" s="9"/>
      <c r="CU636" s="9"/>
      <c r="CV636" s="9"/>
      <c r="CW636" s="9"/>
      <c r="CX636" s="9"/>
      <c r="CY636" s="9"/>
      <c r="CZ636" s="9"/>
      <c r="DA636" s="9"/>
      <c r="DB636" s="9"/>
      <c r="DC636" s="9"/>
      <c r="DD636" s="9"/>
      <c r="DE636" s="9"/>
      <c r="DF636" s="9"/>
      <c r="DG636" s="9"/>
      <c r="DH636" s="9"/>
      <c r="DI636" s="9"/>
      <c r="DJ636" s="9"/>
      <c r="DK636" s="9"/>
      <c r="DL636" s="9"/>
      <c r="DM636" s="9"/>
      <c r="DN636" s="9"/>
      <c r="DO636" s="9"/>
      <c r="DP636" s="9"/>
      <c r="DQ636" s="9"/>
      <c r="DR636" s="9"/>
      <c r="DS636" s="9"/>
      <c r="DT636" s="9"/>
      <c r="DU636" s="9"/>
      <c r="DV636" s="9"/>
      <c r="DW636" s="9"/>
      <c r="DX636" s="9"/>
      <c r="DY636" s="9"/>
      <c r="DZ636" s="9"/>
      <c r="EA636" s="9"/>
      <c r="EB636" s="9"/>
      <c r="EC636" s="9"/>
      <c r="ED636" s="9"/>
      <c r="EE636" s="9"/>
      <c r="EF636" s="9"/>
    </row>
    <row r="637" spans="1:136" s="98" customFormat="1" ht="15.75" customHeight="1" x14ac:dyDescent="0.25">
      <c r="A637" s="93">
        <v>46234</v>
      </c>
      <c r="B637" s="94" t="s">
        <v>16</v>
      </c>
      <c r="C637" s="95">
        <v>6028</v>
      </c>
      <c r="D637" s="20"/>
      <c r="E637" s="99" t="s">
        <v>153</v>
      </c>
      <c r="F637" s="21">
        <v>0.25</v>
      </c>
      <c r="G637" s="100"/>
      <c r="H637" s="21">
        <v>100</v>
      </c>
      <c r="I637" s="11">
        <f t="shared" si="29"/>
        <v>25</v>
      </c>
      <c r="J637" s="21"/>
      <c r="K637" s="21"/>
      <c r="L637" s="13">
        <f t="shared" si="28"/>
        <v>25</v>
      </c>
      <c r="M637" s="24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  <c r="BU637" s="9"/>
      <c r="BV637" s="9"/>
      <c r="BW637" s="9"/>
      <c r="BX637" s="9"/>
      <c r="BY637" s="9"/>
      <c r="BZ637" s="9"/>
      <c r="CA637" s="9"/>
      <c r="CB637" s="9"/>
      <c r="CC637" s="9"/>
      <c r="CD637" s="9"/>
      <c r="CE637" s="9"/>
      <c r="CF637" s="9"/>
      <c r="CG637" s="9"/>
      <c r="CH637" s="9"/>
      <c r="CI637" s="9"/>
      <c r="CJ637" s="9"/>
      <c r="CK637" s="9"/>
      <c r="CL637" s="9"/>
      <c r="CM637" s="9"/>
      <c r="CN637" s="9"/>
      <c r="CO637" s="9"/>
      <c r="CP637" s="9"/>
      <c r="CQ637" s="9"/>
      <c r="CR637" s="9"/>
      <c r="CS637" s="9"/>
      <c r="CT637" s="9"/>
      <c r="CU637" s="9"/>
      <c r="CV637" s="9"/>
      <c r="CW637" s="9"/>
      <c r="CX637" s="9"/>
      <c r="CY637" s="9"/>
      <c r="CZ637" s="9"/>
      <c r="DA637" s="9"/>
      <c r="DB637" s="9"/>
      <c r="DC637" s="9"/>
      <c r="DD637" s="9"/>
      <c r="DE637" s="9"/>
      <c r="DF637" s="9"/>
      <c r="DG637" s="9"/>
      <c r="DH637" s="9"/>
      <c r="DI637" s="9"/>
      <c r="DJ637" s="9"/>
      <c r="DK637" s="9"/>
      <c r="DL637" s="9"/>
      <c r="DM637" s="9"/>
      <c r="DN637" s="9"/>
      <c r="DO637" s="9"/>
      <c r="DP637" s="9"/>
      <c r="DQ637" s="9"/>
      <c r="DR637" s="9"/>
      <c r="DS637" s="9"/>
      <c r="DT637" s="9"/>
      <c r="DU637" s="9"/>
      <c r="DV637" s="9"/>
      <c r="DW637" s="9"/>
      <c r="DX637" s="9"/>
      <c r="DY637" s="9"/>
      <c r="DZ637" s="9"/>
      <c r="EA637" s="9"/>
      <c r="EB637" s="9"/>
      <c r="EC637" s="9"/>
      <c r="ED637" s="9"/>
      <c r="EE637" s="9"/>
      <c r="EF637" s="9"/>
    </row>
    <row r="638" spans="1:136" s="98" customFormat="1" ht="15.75" customHeight="1" x14ac:dyDescent="0.25">
      <c r="A638" s="93">
        <v>46234</v>
      </c>
      <c r="B638" s="94" t="s">
        <v>16</v>
      </c>
      <c r="C638" s="95">
        <v>6028</v>
      </c>
      <c r="D638" s="20"/>
      <c r="E638" s="99" t="s">
        <v>33</v>
      </c>
      <c r="F638" s="21">
        <v>8</v>
      </c>
      <c r="G638" s="100"/>
      <c r="H638" s="21">
        <f>550/8</f>
        <v>68.75</v>
      </c>
      <c r="I638" s="11">
        <f t="shared" si="29"/>
        <v>550</v>
      </c>
      <c r="J638" s="21"/>
      <c r="K638" s="21"/>
      <c r="L638" s="13">
        <f t="shared" si="28"/>
        <v>550</v>
      </c>
      <c r="M638" s="24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  <c r="BU638" s="9"/>
      <c r="BV638" s="9"/>
      <c r="BW638" s="9"/>
      <c r="BX638" s="9"/>
      <c r="BY638" s="9"/>
      <c r="BZ638" s="9"/>
      <c r="CA638" s="9"/>
      <c r="CB638" s="9"/>
      <c r="CC638" s="9"/>
      <c r="CD638" s="9"/>
      <c r="CE638" s="9"/>
      <c r="CF638" s="9"/>
      <c r="CG638" s="9"/>
      <c r="CH638" s="9"/>
      <c r="CI638" s="9"/>
      <c r="CJ638" s="9"/>
      <c r="CK638" s="9"/>
      <c r="CL638" s="9"/>
      <c r="CM638" s="9"/>
      <c r="CN638" s="9"/>
      <c r="CO638" s="9"/>
      <c r="CP638" s="9"/>
      <c r="CQ638" s="9"/>
      <c r="CR638" s="9"/>
      <c r="CS638" s="9"/>
      <c r="CT638" s="9"/>
      <c r="CU638" s="9"/>
      <c r="CV638" s="9"/>
      <c r="CW638" s="9"/>
      <c r="CX638" s="9"/>
      <c r="CY638" s="9"/>
      <c r="CZ638" s="9"/>
      <c r="DA638" s="9"/>
      <c r="DB638" s="9"/>
      <c r="DC638" s="9"/>
      <c r="DD638" s="9"/>
      <c r="DE638" s="9"/>
      <c r="DF638" s="9"/>
      <c r="DG638" s="9"/>
      <c r="DH638" s="9"/>
      <c r="DI638" s="9"/>
      <c r="DJ638" s="9"/>
      <c r="DK638" s="9"/>
      <c r="DL638" s="9"/>
      <c r="DM638" s="9"/>
      <c r="DN638" s="9"/>
      <c r="DO638" s="9"/>
      <c r="DP638" s="9"/>
      <c r="DQ638" s="9"/>
      <c r="DR638" s="9"/>
      <c r="DS638" s="9"/>
      <c r="DT638" s="9"/>
      <c r="DU638" s="9"/>
      <c r="DV638" s="9"/>
      <c r="DW638" s="9"/>
      <c r="DX638" s="9"/>
      <c r="DY638" s="9"/>
      <c r="DZ638" s="9"/>
      <c r="EA638" s="9"/>
      <c r="EB638" s="9"/>
      <c r="EC638" s="9"/>
      <c r="ED638" s="9"/>
      <c r="EE638" s="9"/>
      <c r="EF638" s="9"/>
    </row>
    <row r="639" spans="1:136" s="98" customFormat="1" ht="15.75" customHeight="1" x14ac:dyDescent="0.25">
      <c r="A639" s="93">
        <v>46234</v>
      </c>
      <c r="B639" s="94" t="s">
        <v>16</v>
      </c>
      <c r="C639" s="95">
        <v>6028</v>
      </c>
      <c r="D639" s="20"/>
      <c r="E639" s="99" t="s">
        <v>124</v>
      </c>
      <c r="F639" s="21">
        <v>2</v>
      </c>
      <c r="G639" s="100"/>
      <c r="H639" s="21">
        <v>60</v>
      </c>
      <c r="I639" s="11">
        <f t="shared" si="29"/>
        <v>120</v>
      </c>
      <c r="J639" s="21"/>
      <c r="K639" s="21"/>
      <c r="L639" s="13">
        <f t="shared" si="28"/>
        <v>120</v>
      </c>
      <c r="M639" s="24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  <c r="BU639" s="9"/>
      <c r="BV639" s="9"/>
      <c r="BW639" s="9"/>
      <c r="BX639" s="9"/>
      <c r="BY639" s="9"/>
      <c r="BZ639" s="9"/>
      <c r="CA639" s="9"/>
      <c r="CB639" s="9"/>
      <c r="CC639" s="9"/>
      <c r="CD639" s="9"/>
      <c r="CE639" s="9"/>
      <c r="CF639" s="9"/>
      <c r="CG639" s="9"/>
      <c r="CH639" s="9"/>
      <c r="CI639" s="9"/>
      <c r="CJ639" s="9"/>
      <c r="CK639" s="9"/>
      <c r="CL639" s="9"/>
      <c r="CM639" s="9"/>
      <c r="CN639" s="9"/>
      <c r="CO639" s="9"/>
      <c r="CP639" s="9"/>
      <c r="CQ639" s="9"/>
      <c r="CR639" s="9"/>
      <c r="CS639" s="9"/>
      <c r="CT639" s="9"/>
      <c r="CU639" s="9"/>
      <c r="CV639" s="9"/>
      <c r="CW639" s="9"/>
      <c r="CX639" s="9"/>
      <c r="CY639" s="9"/>
      <c r="CZ639" s="9"/>
      <c r="DA639" s="9"/>
      <c r="DB639" s="9"/>
      <c r="DC639" s="9"/>
      <c r="DD639" s="9"/>
      <c r="DE639" s="9"/>
      <c r="DF639" s="9"/>
      <c r="DG639" s="9"/>
      <c r="DH639" s="9"/>
      <c r="DI639" s="9"/>
      <c r="DJ639" s="9"/>
      <c r="DK639" s="9"/>
      <c r="DL639" s="9"/>
      <c r="DM639" s="9"/>
      <c r="DN639" s="9"/>
      <c r="DO639" s="9"/>
      <c r="DP639" s="9"/>
      <c r="DQ639" s="9"/>
      <c r="DR639" s="9"/>
      <c r="DS639" s="9"/>
      <c r="DT639" s="9"/>
      <c r="DU639" s="9"/>
      <c r="DV639" s="9"/>
      <c r="DW639" s="9"/>
      <c r="DX639" s="9"/>
      <c r="DY639" s="9"/>
      <c r="DZ639" s="9"/>
      <c r="EA639" s="9"/>
      <c r="EB639" s="9"/>
      <c r="EC639" s="9"/>
      <c r="ED639" s="9"/>
      <c r="EE639" s="9"/>
      <c r="EF639" s="9"/>
    </row>
    <row r="640" spans="1:136" s="98" customFormat="1" ht="15.75" customHeight="1" x14ac:dyDescent="0.25">
      <c r="A640" s="93">
        <v>46234</v>
      </c>
      <c r="B640" s="94" t="s">
        <v>16</v>
      </c>
      <c r="C640" s="95">
        <v>6028</v>
      </c>
      <c r="D640" s="20"/>
      <c r="E640" s="99" t="s">
        <v>47</v>
      </c>
      <c r="F640" s="21">
        <v>30</v>
      </c>
      <c r="G640" s="100"/>
      <c r="H640" s="21">
        <v>7</v>
      </c>
      <c r="I640" s="11">
        <f t="shared" ref="I640:I662" si="30">F640*H640</f>
        <v>210</v>
      </c>
      <c r="J640" s="21"/>
      <c r="K640" s="21"/>
      <c r="L640" s="13">
        <f t="shared" ref="L640:L662" si="31">I640-J640-K640</f>
        <v>210</v>
      </c>
      <c r="M640" s="24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  <c r="BU640" s="9"/>
      <c r="BV640" s="9"/>
      <c r="BW640" s="9"/>
      <c r="BX640" s="9"/>
      <c r="BY640" s="9"/>
      <c r="BZ640" s="9"/>
      <c r="CA640" s="9"/>
      <c r="CB640" s="9"/>
      <c r="CC640" s="9"/>
      <c r="CD640" s="9"/>
      <c r="CE640" s="9"/>
      <c r="CF640" s="9"/>
      <c r="CG640" s="9"/>
      <c r="CH640" s="9"/>
      <c r="CI640" s="9"/>
      <c r="CJ640" s="9"/>
      <c r="CK640" s="9"/>
      <c r="CL640" s="9"/>
      <c r="CM640" s="9"/>
      <c r="CN640" s="9"/>
      <c r="CO640" s="9"/>
      <c r="CP640" s="9"/>
      <c r="CQ640" s="9"/>
      <c r="CR640" s="9"/>
      <c r="CS640" s="9"/>
      <c r="CT640" s="9"/>
      <c r="CU640" s="9"/>
      <c r="CV640" s="9"/>
      <c r="CW640" s="9"/>
      <c r="CX640" s="9"/>
      <c r="CY640" s="9"/>
      <c r="CZ640" s="9"/>
      <c r="DA640" s="9"/>
      <c r="DB640" s="9"/>
      <c r="DC640" s="9"/>
      <c r="DD640" s="9"/>
      <c r="DE640" s="9"/>
      <c r="DF640" s="9"/>
      <c r="DG640" s="9"/>
      <c r="DH640" s="9"/>
      <c r="DI640" s="9"/>
      <c r="DJ640" s="9"/>
      <c r="DK640" s="9"/>
      <c r="DL640" s="9"/>
      <c r="DM640" s="9"/>
      <c r="DN640" s="9"/>
      <c r="DO640" s="9"/>
      <c r="DP640" s="9"/>
      <c r="DQ640" s="9"/>
      <c r="DR640" s="9"/>
      <c r="DS640" s="9"/>
      <c r="DT640" s="9"/>
      <c r="DU640" s="9"/>
      <c r="DV640" s="9"/>
      <c r="DW640" s="9"/>
      <c r="DX640" s="9"/>
      <c r="DY640" s="9"/>
      <c r="DZ640" s="9"/>
      <c r="EA640" s="9"/>
      <c r="EB640" s="9"/>
      <c r="EC640" s="9"/>
      <c r="ED640" s="9"/>
      <c r="EE640" s="9"/>
      <c r="EF640" s="9"/>
    </row>
    <row r="641" spans="1:136" s="98" customFormat="1" ht="15.75" customHeight="1" x14ac:dyDescent="0.25">
      <c r="A641" s="93">
        <v>46234</v>
      </c>
      <c r="B641" s="94" t="s">
        <v>16</v>
      </c>
      <c r="C641" s="95">
        <v>6028</v>
      </c>
      <c r="D641" s="20"/>
      <c r="E641" s="99" t="s">
        <v>195</v>
      </c>
      <c r="F641" s="21">
        <v>1</v>
      </c>
      <c r="G641" s="100"/>
      <c r="H641" s="21">
        <v>103.75</v>
      </c>
      <c r="I641" s="11">
        <f t="shared" si="30"/>
        <v>103.75</v>
      </c>
      <c r="J641" s="21"/>
      <c r="K641" s="21"/>
      <c r="L641" s="13">
        <f t="shared" si="31"/>
        <v>103.75</v>
      </c>
      <c r="M641" s="24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  <c r="BU641" s="9"/>
      <c r="BV641" s="9"/>
      <c r="BW641" s="9"/>
      <c r="BX641" s="9"/>
      <c r="BY641" s="9"/>
      <c r="BZ641" s="9"/>
      <c r="CA641" s="9"/>
      <c r="CB641" s="9"/>
      <c r="CC641" s="9"/>
      <c r="CD641" s="9"/>
      <c r="CE641" s="9"/>
      <c r="CF641" s="9"/>
      <c r="CG641" s="9"/>
      <c r="CH641" s="9"/>
      <c r="CI641" s="9"/>
      <c r="CJ641" s="9"/>
      <c r="CK641" s="9"/>
      <c r="CL641" s="9"/>
      <c r="CM641" s="9"/>
      <c r="CN641" s="9"/>
      <c r="CO641" s="9"/>
      <c r="CP641" s="9"/>
      <c r="CQ641" s="9"/>
      <c r="CR641" s="9"/>
      <c r="CS641" s="9"/>
      <c r="CT641" s="9"/>
      <c r="CU641" s="9"/>
      <c r="CV641" s="9"/>
      <c r="CW641" s="9"/>
      <c r="CX641" s="9"/>
      <c r="CY641" s="9"/>
      <c r="CZ641" s="9"/>
      <c r="DA641" s="9"/>
      <c r="DB641" s="9"/>
      <c r="DC641" s="9"/>
      <c r="DD641" s="9"/>
      <c r="DE641" s="9"/>
      <c r="DF641" s="9"/>
      <c r="DG641" s="9"/>
      <c r="DH641" s="9"/>
      <c r="DI641" s="9"/>
      <c r="DJ641" s="9"/>
      <c r="DK641" s="9"/>
      <c r="DL641" s="9"/>
      <c r="DM641" s="9"/>
      <c r="DN641" s="9"/>
      <c r="DO641" s="9"/>
      <c r="DP641" s="9"/>
      <c r="DQ641" s="9"/>
      <c r="DR641" s="9"/>
      <c r="DS641" s="9"/>
      <c r="DT641" s="9"/>
      <c r="DU641" s="9"/>
      <c r="DV641" s="9"/>
      <c r="DW641" s="9"/>
      <c r="DX641" s="9"/>
      <c r="DY641" s="9"/>
      <c r="DZ641" s="9"/>
      <c r="EA641" s="9"/>
      <c r="EB641" s="9"/>
      <c r="EC641" s="9"/>
      <c r="ED641" s="9"/>
      <c r="EE641" s="9"/>
      <c r="EF641" s="9"/>
    </row>
    <row r="642" spans="1:136" s="98" customFormat="1" ht="15.75" customHeight="1" x14ac:dyDescent="0.25">
      <c r="A642" s="93">
        <v>46234</v>
      </c>
      <c r="B642" s="94" t="s">
        <v>16</v>
      </c>
      <c r="C642" s="95">
        <v>6028</v>
      </c>
      <c r="D642" s="20"/>
      <c r="E642" s="99" t="s">
        <v>158</v>
      </c>
      <c r="F642" s="21">
        <v>3</v>
      </c>
      <c r="G642" s="100"/>
      <c r="H642" s="21">
        <v>18.5</v>
      </c>
      <c r="I642" s="11">
        <f t="shared" si="30"/>
        <v>55.5</v>
      </c>
      <c r="J642" s="21"/>
      <c r="K642" s="21"/>
      <c r="L642" s="13">
        <f t="shared" si="31"/>
        <v>55.5</v>
      </c>
      <c r="M642" s="24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  <c r="BU642" s="9"/>
      <c r="BV642" s="9"/>
      <c r="BW642" s="9"/>
      <c r="BX642" s="9"/>
      <c r="BY642" s="9"/>
      <c r="BZ642" s="9"/>
      <c r="CA642" s="9"/>
      <c r="CB642" s="9"/>
      <c r="CC642" s="9"/>
      <c r="CD642" s="9"/>
      <c r="CE642" s="9"/>
      <c r="CF642" s="9"/>
      <c r="CG642" s="9"/>
      <c r="CH642" s="9"/>
      <c r="CI642" s="9"/>
      <c r="CJ642" s="9"/>
      <c r="CK642" s="9"/>
      <c r="CL642" s="9"/>
      <c r="CM642" s="9"/>
      <c r="CN642" s="9"/>
      <c r="CO642" s="9"/>
      <c r="CP642" s="9"/>
      <c r="CQ642" s="9"/>
      <c r="CR642" s="9"/>
      <c r="CS642" s="9"/>
      <c r="CT642" s="9"/>
      <c r="CU642" s="9"/>
      <c r="CV642" s="9"/>
      <c r="CW642" s="9"/>
      <c r="CX642" s="9"/>
      <c r="CY642" s="9"/>
      <c r="CZ642" s="9"/>
      <c r="DA642" s="9"/>
      <c r="DB642" s="9"/>
      <c r="DC642" s="9"/>
      <c r="DD642" s="9"/>
      <c r="DE642" s="9"/>
      <c r="DF642" s="9"/>
      <c r="DG642" s="9"/>
      <c r="DH642" s="9"/>
      <c r="DI642" s="9"/>
      <c r="DJ642" s="9"/>
      <c r="DK642" s="9"/>
      <c r="DL642" s="9"/>
      <c r="DM642" s="9"/>
      <c r="DN642" s="9"/>
      <c r="DO642" s="9"/>
      <c r="DP642" s="9"/>
      <c r="DQ642" s="9"/>
      <c r="DR642" s="9"/>
      <c r="DS642" s="9"/>
      <c r="DT642" s="9"/>
      <c r="DU642" s="9"/>
      <c r="DV642" s="9"/>
      <c r="DW642" s="9"/>
      <c r="DX642" s="9"/>
      <c r="DY642" s="9"/>
      <c r="DZ642" s="9"/>
      <c r="EA642" s="9"/>
      <c r="EB642" s="9"/>
      <c r="EC642" s="9"/>
      <c r="ED642" s="9"/>
      <c r="EE642" s="9"/>
      <c r="EF642" s="9"/>
    </row>
    <row r="643" spans="1:136" s="98" customFormat="1" ht="15.75" customHeight="1" x14ac:dyDescent="0.25">
      <c r="A643" s="93">
        <v>46234</v>
      </c>
      <c r="B643" s="94" t="s">
        <v>16</v>
      </c>
      <c r="C643" s="95">
        <v>6028</v>
      </c>
      <c r="D643" s="20"/>
      <c r="E643" s="99" t="s">
        <v>148</v>
      </c>
      <c r="F643" s="21">
        <v>2</v>
      </c>
      <c r="G643" s="100"/>
      <c r="H643" s="21">
        <v>66.5</v>
      </c>
      <c r="I643" s="11">
        <f t="shared" si="30"/>
        <v>133</v>
      </c>
      <c r="J643" s="21"/>
      <c r="K643" s="21"/>
      <c r="L643" s="13">
        <f t="shared" si="31"/>
        <v>133</v>
      </c>
      <c r="M643" s="24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  <c r="BU643" s="9"/>
      <c r="BV643" s="9"/>
      <c r="BW643" s="9"/>
      <c r="BX643" s="9"/>
      <c r="BY643" s="9"/>
      <c r="BZ643" s="9"/>
      <c r="CA643" s="9"/>
      <c r="CB643" s="9"/>
      <c r="CC643" s="9"/>
      <c r="CD643" s="9"/>
      <c r="CE643" s="9"/>
      <c r="CF643" s="9"/>
      <c r="CG643" s="9"/>
      <c r="CH643" s="9"/>
      <c r="CI643" s="9"/>
      <c r="CJ643" s="9"/>
      <c r="CK643" s="9"/>
      <c r="CL643" s="9"/>
      <c r="CM643" s="9"/>
      <c r="CN643" s="9"/>
      <c r="CO643" s="9"/>
      <c r="CP643" s="9"/>
      <c r="CQ643" s="9"/>
      <c r="CR643" s="9"/>
      <c r="CS643" s="9"/>
      <c r="CT643" s="9"/>
      <c r="CU643" s="9"/>
      <c r="CV643" s="9"/>
      <c r="CW643" s="9"/>
      <c r="CX643" s="9"/>
      <c r="CY643" s="9"/>
      <c r="CZ643" s="9"/>
      <c r="DA643" s="9"/>
      <c r="DB643" s="9"/>
      <c r="DC643" s="9"/>
      <c r="DD643" s="9"/>
      <c r="DE643" s="9"/>
      <c r="DF643" s="9"/>
      <c r="DG643" s="9"/>
      <c r="DH643" s="9"/>
      <c r="DI643" s="9"/>
      <c r="DJ643" s="9"/>
      <c r="DK643" s="9"/>
      <c r="DL643" s="9"/>
      <c r="DM643" s="9"/>
      <c r="DN643" s="9"/>
      <c r="DO643" s="9"/>
      <c r="DP643" s="9"/>
      <c r="DQ643" s="9"/>
      <c r="DR643" s="9"/>
      <c r="DS643" s="9"/>
      <c r="DT643" s="9"/>
      <c r="DU643" s="9"/>
      <c r="DV643" s="9"/>
      <c r="DW643" s="9"/>
      <c r="DX643" s="9"/>
      <c r="DY643" s="9"/>
      <c r="DZ643" s="9"/>
      <c r="EA643" s="9"/>
      <c r="EB643" s="9"/>
      <c r="EC643" s="9"/>
      <c r="ED643" s="9"/>
      <c r="EE643" s="9"/>
      <c r="EF643" s="9"/>
    </row>
    <row r="644" spans="1:136" s="98" customFormat="1" ht="15.75" customHeight="1" x14ac:dyDescent="0.25">
      <c r="A644" s="93">
        <v>46234</v>
      </c>
      <c r="B644" s="94" t="s">
        <v>16</v>
      </c>
      <c r="C644" s="95">
        <v>6028</v>
      </c>
      <c r="D644" s="20"/>
      <c r="E644" s="99" t="s">
        <v>193</v>
      </c>
      <c r="F644" s="21">
        <v>1</v>
      </c>
      <c r="G644" s="100"/>
      <c r="H644" s="21">
        <v>36</v>
      </c>
      <c r="I644" s="11">
        <f t="shared" si="30"/>
        <v>36</v>
      </c>
      <c r="J644" s="21"/>
      <c r="K644" s="21"/>
      <c r="L644" s="13">
        <f t="shared" si="31"/>
        <v>36</v>
      </c>
      <c r="M644" s="24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  <c r="BU644" s="9"/>
      <c r="BV644" s="9"/>
      <c r="BW644" s="9"/>
      <c r="BX644" s="9"/>
      <c r="BY644" s="9"/>
      <c r="BZ644" s="9"/>
      <c r="CA644" s="9"/>
      <c r="CB644" s="9"/>
      <c r="CC644" s="9"/>
      <c r="CD644" s="9"/>
      <c r="CE644" s="9"/>
      <c r="CF644" s="9"/>
      <c r="CG644" s="9"/>
      <c r="CH644" s="9"/>
      <c r="CI644" s="9"/>
      <c r="CJ644" s="9"/>
      <c r="CK644" s="9"/>
      <c r="CL644" s="9"/>
      <c r="CM644" s="9"/>
      <c r="CN644" s="9"/>
      <c r="CO644" s="9"/>
      <c r="CP644" s="9"/>
      <c r="CQ644" s="9"/>
      <c r="CR644" s="9"/>
      <c r="CS644" s="9"/>
      <c r="CT644" s="9"/>
      <c r="CU644" s="9"/>
      <c r="CV644" s="9"/>
      <c r="CW644" s="9"/>
      <c r="CX644" s="9"/>
      <c r="CY644" s="9"/>
      <c r="CZ644" s="9"/>
      <c r="DA644" s="9"/>
      <c r="DB644" s="9"/>
      <c r="DC644" s="9"/>
      <c r="DD644" s="9"/>
      <c r="DE644" s="9"/>
      <c r="DF644" s="9"/>
      <c r="DG644" s="9"/>
      <c r="DH644" s="9"/>
      <c r="DI644" s="9"/>
      <c r="DJ644" s="9"/>
      <c r="DK644" s="9"/>
      <c r="DL644" s="9"/>
      <c r="DM644" s="9"/>
      <c r="DN644" s="9"/>
      <c r="DO644" s="9"/>
      <c r="DP644" s="9"/>
      <c r="DQ644" s="9"/>
      <c r="DR644" s="9"/>
      <c r="DS644" s="9"/>
      <c r="DT644" s="9"/>
      <c r="DU644" s="9"/>
      <c r="DV644" s="9"/>
      <c r="DW644" s="9"/>
      <c r="DX644" s="9"/>
      <c r="DY644" s="9"/>
      <c r="DZ644" s="9"/>
      <c r="EA644" s="9"/>
      <c r="EB644" s="9"/>
      <c r="EC644" s="9"/>
      <c r="ED644" s="9"/>
      <c r="EE644" s="9"/>
      <c r="EF644" s="9"/>
    </row>
    <row r="645" spans="1:136" s="98" customFormat="1" ht="15.75" customHeight="1" x14ac:dyDescent="0.25">
      <c r="A645" s="93">
        <v>46234</v>
      </c>
      <c r="B645" s="94" t="s">
        <v>16</v>
      </c>
      <c r="C645" s="95">
        <v>6028</v>
      </c>
      <c r="D645" s="20"/>
      <c r="E645" s="99" t="s">
        <v>191</v>
      </c>
      <c r="F645" s="21">
        <v>50</v>
      </c>
      <c r="G645" s="100"/>
      <c r="H645" s="21">
        <v>7</v>
      </c>
      <c r="I645" s="11">
        <f t="shared" si="30"/>
        <v>350</v>
      </c>
      <c r="J645" s="21"/>
      <c r="K645" s="21"/>
      <c r="L645" s="13">
        <f t="shared" si="31"/>
        <v>350</v>
      </c>
      <c r="M645" s="24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  <c r="BU645" s="9"/>
      <c r="BV645" s="9"/>
      <c r="BW645" s="9"/>
      <c r="BX645" s="9"/>
      <c r="BY645" s="9"/>
      <c r="BZ645" s="9"/>
      <c r="CA645" s="9"/>
      <c r="CB645" s="9"/>
      <c r="CC645" s="9"/>
      <c r="CD645" s="9"/>
      <c r="CE645" s="9"/>
      <c r="CF645" s="9"/>
      <c r="CG645" s="9"/>
      <c r="CH645" s="9"/>
      <c r="CI645" s="9"/>
      <c r="CJ645" s="9"/>
      <c r="CK645" s="9"/>
      <c r="CL645" s="9"/>
      <c r="CM645" s="9"/>
      <c r="CN645" s="9"/>
      <c r="CO645" s="9"/>
      <c r="CP645" s="9"/>
      <c r="CQ645" s="9"/>
      <c r="CR645" s="9"/>
      <c r="CS645" s="9"/>
      <c r="CT645" s="9"/>
      <c r="CU645" s="9"/>
      <c r="CV645" s="9"/>
      <c r="CW645" s="9"/>
      <c r="CX645" s="9"/>
      <c r="CY645" s="9"/>
      <c r="CZ645" s="9"/>
      <c r="DA645" s="9"/>
      <c r="DB645" s="9"/>
      <c r="DC645" s="9"/>
      <c r="DD645" s="9"/>
      <c r="DE645" s="9"/>
      <c r="DF645" s="9"/>
      <c r="DG645" s="9"/>
      <c r="DH645" s="9"/>
      <c r="DI645" s="9"/>
      <c r="DJ645" s="9"/>
      <c r="DK645" s="9"/>
      <c r="DL645" s="9"/>
      <c r="DM645" s="9"/>
      <c r="DN645" s="9"/>
      <c r="DO645" s="9"/>
      <c r="DP645" s="9"/>
      <c r="DQ645" s="9"/>
      <c r="DR645" s="9"/>
      <c r="DS645" s="9"/>
      <c r="DT645" s="9"/>
      <c r="DU645" s="9"/>
      <c r="DV645" s="9"/>
      <c r="DW645" s="9"/>
      <c r="DX645" s="9"/>
      <c r="DY645" s="9"/>
      <c r="DZ645" s="9"/>
      <c r="EA645" s="9"/>
      <c r="EB645" s="9"/>
      <c r="EC645" s="9"/>
      <c r="ED645" s="9"/>
      <c r="EE645" s="9"/>
      <c r="EF645" s="9"/>
    </row>
    <row r="646" spans="1:136" s="98" customFormat="1" ht="15.75" customHeight="1" x14ac:dyDescent="0.25">
      <c r="A646" s="93">
        <v>46234</v>
      </c>
      <c r="B646" s="94" t="s">
        <v>16</v>
      </c>
      <c r="C646" s="95">
        <v>6028</v>
      </c>
      <c r="D646" s="20"/>
      <c r="E646" s="99" t="s">
        <v>80</v>
      </c>
      <c r="F646" s="21">
        <v>12</v>
      </c>
      <c r="G646" s="100"/>
      <c r="H646" s="21">
        <v>7.25</v>
      </c>
      <c r="I646" s="11">
        <f t="shared" si="30"/>
        <v>87</v>
      </c>
      <c r="J646" s="21"/>
      <c r="K646" s="21"/>
      <c r="L646" s="13">
        <f t="shared" si="31"/>
        <v>87</v>
      </c>
      <c r="M646" s="24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  <c r="BU646" s="9"/>
      <c r="BV646" s="9"/>
      <c r="BW646" s="9"/>
      <c r="BX646" s="9"/>
      <c r="BY646" s="9"/>
      <c r="BZ646" s="9"/>
      <c r="CA646" s="9"/>
      <c r="CB646" s="9"/>
      <c r="CC646" s="9"/>
      <c r="CD646" s="9"/>
      <c r="CE646" s="9"/>
      <c r="CF646" s="9"/>
      <c r="CG646" s="9"/>
      <c r="CH646" s="9"/>
      <c r="CI646" s="9"/>
      <c r="CJ646" s="9"/>
      <c r="CK646" s="9"/>
      <c r="CL646" s="9"/>
      <c r="CM646" s="9"/>
      <c r="CN646" s="9"/>
      <c r="CO646" s="9"/>
      <c r="CP646" s="9"/>
      <c r="CQ646" s="9"/>
      <c r="CR646" s="9"/>
      <c r="CS646" s="9"/>
      <c r="CT646" s="9"/>
      <c r="CU646" s="9"/>
      <c r="CV646" s="9"/>
      <c r="CW646" s="9"/>
      <c r="CX646" s="9"/>
      <c r="CY646" s="9"/>
      <c r="CZ646" s="9"/>
      <c r="DA646" s="9"/>
      <c r="DB646" s="9"/>
      <c r="DC646" s="9"/>
      <c r="DD646" s="9"/>
      <c r="DE646" s="9"/>
      <c r="DF646" s="9"/>
      <c r="DG646" s="9"/>
      <c r="DH646" s="9"/>
      <c r="DI646" s="9"/>
      <c r="DJ646" s="9"/>
      <c r="DK646" s="9"/>
      <c r="DL646" s="9"/>
      <c r="DM646" s="9"/>
      <c r="DN646" s="9"/>
      <c r="DO646" s="9"/>
      <c r="DP646" s="9"/>
      <c r="DQ646" s="9"/>
      <c r="DR646" s="9"/>
      <c r="DS646" s="9"/>
      <c r="DT646" s="9"/>
      <c r="DU646" s="9"/>
      <c r="DV646" s="9"/>
      <c r="DW646" s="9"/>
      <c r="DX646" s="9"/>
      <c r="DY646" s="9"/>
      <c r="DZ646" s="9"/>
      <c r="EA646" s="9"/>
      <c r="EB646" s="9"/>
      <c r="EC646" s="9"/>
      <c r="ED646" s="9"/>
      <c r="EE646" s="9"/>
      <c r="EF646" s="9"/>
    </row>
    <row r="647" spans="1:136" s="98" customFormat="1" ht="15.75" customHeight="1" x14ac:dyDescent="0.25">
      <c r="A647" s="93">
        <v>46234</v>
      </c>
      <c r="B647" s="94" t="s">
        <v>16</v>
      </c>
      <c r="C647" s="95">
        <v>6028</v>
      </c>
      <c r="D647" s="20"/>
      <c r="E647" s="99" t="s">
        <v>79</v>
      </c>
      <c r="F647" s="21">
        <v>12</v>
      </c>
      <c r="G647" s="100"/>
      <c r="H647" s="21">
        <v>7.25</v>
      </c>
      <c r="I647" s="11">
        <f t="shared" si="30"/>
        <v>87</v>
      </c>
      <c r="J647" s="21"/>
      <c r="K647" s="21"/>
      <c r="L647" s="13">
        <f t="shared" si="31"/>
        <v>87</v>
      </c>
      <c r="M647" s="24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  <c r="BU647" s="9"/>
      <c r="BV647" s="9"/>
      <c r="BW647" s="9"/>
      <c r="BX647" s="9"/>
      <c r="BY647" s="9"/>
      <c r="BZ647" s="9"/>
      <c r="CA647" s="9"/>
      <c r="CB647" s="9"/>
      <c r="CC647" s="9"/>
      <c r="CD647" s="9"/>
      <c r="CE647" s="9"/>
      <c r="CF647" s="9"/>
      <c r="CG647" s="9"/>
      <c r="CH647" s="9"/>
      <c r="CI647" s="9"/>
      <c r="CJ647" s="9"/>
      <c r="CK647" s="9"/>
      <c r="CL647" s="9"/>
      <c r="CM647" s="9"/>
      <c r="CN647" s="9"/>
      <c r="CO647" s="9"/>
      <c r="CP647" s="9"/>
      <c r="CQ647" s="9"/>
      <c r="CR647" s="9"/>
      <c r="CS647" s="9"/>
      <c r="CT647" s="9"/>
      <c r="CU647" s="9"/>
      <c r="CV647" s="9"/>
      <c r="CW647" s="9"/>
      <c r="CX647" s="9"/>
      <c r="CY647" s="9"/>
      <c r="CZ647" s="9"/>
      <c r="DA647" s="9"/>
      <c r="DB647" s="9"/>
      <c r="DC647" s="9"/>
      <c r="DD647" s="9"/>
      <c r="DE647" s="9"/>
      <c r="DF647" s="9"/>
      <c r="DG647" s="9"/>
      <c r="DH647" s="9"/>
      <c r="DI647" s="9"/>
      <c r="DJ647" s="9"/>
      <c r="DK647" s="9"/>
      <c r="DL647" s="9"/>
      <c r="DM647" s="9"/>
      <c r="DN647" s="9"/>
      <c r="DO647" s="9"/>
      <c r="DP647" s="9"/>
      <c r="DQ647" s="9"/>
      <c r="DR647" s="9"/>
      <c r="DS647" s="9"/>
      <c r="DT647" s="9"/>
      <c r="DU647" s="9"/>
      <c r="DV647" s="9"/>
      <c r="DW647" s="9"/>
      <c r="DX647" s="9"/>
      <c r="DY647" s="9"/>
      <c r="DZ647" s="9"/>
      <c r="EA647" s="9"/>
      <c r="EB647" s="9"/>
      <c r="EC647" s="9"/>
      <c r="ED647" s="9"/>
      <c r="EE647" s="9"/>
      <c r="EF647" s="9"/>
    </row>
    <row r="648" spans="1:136" s="98" customFormat="1" ht="15.75" customHeight="1" x14ac:dyDescent="0.25">
      <c r="A648" s="93">
        <v>46234</v>
      </c>
      <c r="B648" s="94" t="s">
        <v>16</v>
      </c>
      <c r="C648" s="95">
        <v>6028</v>
      </c>
      <c r="D648" s="20"/>
      <c r="E648" s="99" t="s">
        <v>296</v>
      </c>
      <c r="F648" s="21">
        <v>1</v>
      </c>
      <c r="G648" s="100"/>
      <c r="H648" s="21">
        <v>171.5</v>
      </c>
      <c r="I648" s="11">
        <f t="shared" si="30"/>
        <v>171.5</v>
      </c>
      <c r="J648" s="21"/>
      <c r="K648" s="21"/>
      <c r="L648" s="13">
        <f t="shared" si="31"/>
        <v>171.5</v>
      </c>
      <c r="M648" s="24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  <c r="BU648" s="9"/>
      <c r="BV648" s="9"/>
      <c r="BW648" s="9"/>
      <c r="BX648" s="9"/>
      <c r="BY648" s="9"/>
      <c r="BZ648" s="9"/>
      <c r="CA648" s="9"/>
      <c r="CB648" s="9"/>
      <c r="CC648" s="9"/>
      <c r="CD648" s="9"/>
      <c r="CE648" s="9"/>
      <c r="CF648" s="9"/>
      <c r="CG648" s="9"/>
      <c r="CH648" s="9"/>
      <c r="CI648" s="9"/>
      <c r="CJ648" s="9"/>
      <c r="CK648" s="9"/>
      <c r="CL648" s="9"/>
      <c r="CM648" s="9"/>
      <c r="CN648" s="9"/>
      <c r="CO648" s="9"/>
      <c r="CP648" s="9"/>
      <c r="CQ648" s="9"/>
      <c r="CR648" s="9"/>
      <c r="CS648" s="9"/>
      <c r="CT648" s="9"/>
      <c r="CU648" s="9"/>
      <c r="CV648" s="9"/>
      <c r="CW648" s="9"/>
      <c r="CX648" s="9"/>
      <c r="CY648" s="9"/>
      <c r="CZ648" s="9"/>
      <c r="DA648" s="9"/>
      <c r="DB648" s="9"/>
      <c r="DC648" s="9"/>
      <c r="DD648" s="9"/>
      <c r="DE648" s="9"/>
      <c r="DF648" s="9"/>
      <c r="DG648" s="9"/>
      <c r="DH648" s="9"/>
      <c r="DI648" s="9"/>
      <c r="DJ648" s="9"/>
      <c r="DK648" s="9"/>
      <c r="DL648" s="9"/>
      <c r="DM648" s="9"/>
      <c r="DN648" s="9"/>
      <c r="DO648" s="9"/>
      <c r="DP648" s="9"/>
      <c r="DQ648" s="9"/>
      <c r="DR648" s="9"/>
      <c r="DS648" s="9"/>
      <c r="DT648" s="9"/>
      <c r="DU648" s="9"/>
      <c r="DV648" s="9"/>
      <c r="DW648" s="9"/>
      <c r="DX648" s="9"/>
      <c r="DY648" s="9"/>
      <c r="DZ648" s="9"/>
      <c r="EA648" s="9"/>
      <c r="EB648" s="9"/>
      <c r="EC648" s="9"/>
      <c r="ED648" s="9"/>
      <c r="EE648" s="9"/>
      <c r="EF648" s="9"/>
    </row>
    <row r="649" spans="1:136" s="98" customFormat="1" ht="15.75" customHeight="1" x14ac:dyDescent="0.25">
      <c r="A649" s="93">
        <v>46234</v>
      </c>
      <c r="B649" s="94" t="s">
        <v>16</v>
      </c>
      <c r="C649" s="95">
        <v>6028</v>
      </c>
      <c r="D649" s="20"/>
      <c r="E649" s="99" t="s">
        <v>81</v>
      </c>
      <c r="F649" s="21">
        <v>12</v>
      </c>
      <c r="G649" s="100"/>
      <c r="H649" s="21">
        <v>7.25</v>
      </c>
      <c r="I649" s="11">
        <f t="shared" si="30"/>
        <v>87</v>
      </c>
      <c r="J649" s="21"/>
      <c r="K649" s="21"/>
      <c r="L649" s="13">
        <f t="shared" si="31"/>
        <v>87</v>
      </c>
      <c r="M649" s="24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  <c r="BU649" s="9"/>
      <c r="BV649" s="9"/>
      <c r="BW649" s="9"/>
      <c r="BX649" s="9"/>
      <c r="BY649" s="9"/>
      <c r="BZ649" s="9"/>
      <c r="CA649" s="9"/>
      <c r="CB649" s="9"/>
      <c r="CC649" s="9"/>
      <c r="CD649" s="9"/>
      <c r="CE649" s="9"/>
      <c r="CF649" s="9"/>
      <c r="CG649" s="9"/>
      <c r="CH649" s="9"/>
      <c r="CI649" s="9"/>
      <c r="CJ649" s="9"/>
      <c r="CK649" s="9"/>
      <c r="CL649" s="9"/>
      <c r="CM649" s="9"/>
      <c r="CN649" s="9"/>
      <c r="CO649" s="9"/>
      <c r="CP649" s="9"/>
      <c r="CQ649" s="9"/>
      <c r="CR649" s="9"/>
      <c r="CS649" s="9"/>
      <c r="CT649" s="9"/>
      <c r="CU649" s="9"/>
      <c r="CV649" s="9"/>
      <c r="CW649" s="9"/>
      <c r="CX649" s="9"/>
      <c r="CY649" s="9"/>
      <c r="CZ649" s="9"/>
      <c r="DA649" s="9"/>
      <c r="DB649" s="9"/>
      <c r="DC649" s="9"/>
      <c r="DD649" s="9"/>
      <c r="DE649" s="9"/>
      <c r="DF649" s="9"/>
      <c r="DG649" s="9"/>
      <c r="DH649" s="9"/>
      <c r="DI649" s="9"/>
      <c r="DJ649" s="9"/>
      <c r="DK649" s="9"/>
      <c r="DL649" s="9"/>
      <c r="DM649" s="9"/>
      <c r="DN649" s="9"/>
      <c r="DO649" s="9"/>
      <c r="DP649" s="9"/>
      <c r="DQ649" s="9"/>
      <c r="DR649" s="9"/>
      <c r="DS649" s="9"/>
      <c r="DT649" s="9"/>
      <c r="DU649" s="9"/>
      <c r="DV649" s="9"/>
      <c r="DW649" s="9"/>
      <c r="DX649" s="9"/>
      <c r="DY649" s="9"/>
      <c r="DZ649" s="9"/>
      <c r="EA649" s="9"/>
      <c r="EB649" s="9"/>
      <c r="EC649" s="9"/>
      <c r="ED649" s="9"/>
      <c r="EE649" s="9"/>
      <c r="EF649" s="9"/>
    </row>
    <row r="650" spans="1:136" s="98" customFormat="1" ht="15.75" customHeight="1" x14ac:dyDescent="0.25">
      <c r="A650" s="93">
        <v>46234</v>
      </c>
      <c r="B650" s="94" t="s">
        <v>16</v>
      </c>
      <c r="C650" s="95">
        <v>6028</v>
      </c>
      <c r="D650" s="20"/>
      <c r="E650" s="99" t="s">
        <v>101</v>
      </c>
      <c r="F650" s="21">
        <v>4</v>
      </c>
      <c r="G650" s="100"/>
      <c r="H650" s="21">
        <v>25.25</v>
      </c>
      <c r="I650" s="11">
        <f t="shared" si="30"/>
        <v>101</v>
      </c>
      <c r="J650" s="21"/>
      <c r="K650" s="21"/>
      <c r="L650" s="13">
        <f t="shared" si="31"/>
        <v>101</v>
      </c>
      <c r="M650" s="24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  <c r="BU650" s="9"/>
      <c r="BV650" s="9"/>
      <c r="BW650" s="9"/>
      <c r="BX650" s="9"/>
      <c r="BY650" s="9"/>
      <c r="BZ650" s="9"/>
      <c r="CA650" s="9"/>
      <c r="CB650" s="9"/>
      <c r="CC650" s="9"/>
      <c r="CD650" s="9"/>
      <c r="CE650" s="9"/>
      <c r="CF650" s="9"/>
      <c r="CG650" s="9"/>
      <c r="CH650" s="9"/>
      <c r="CI650" s="9"/>
      <c r="CJ650" s="9"/>
      <c r="CK650" s="9"/>
      <c r="CL650" s="9"/>
      <c r="CM650" s="9"/>
      <c r="CN650" s="9"/>
      <c r="CO650" s="9"/>
      <c r="CP650" s="9"/>
      <c r="CQ650" s="9"/>
      <c r="CR650" s="9"/>
      <c r="CS650" s="9"/>
      <c r="CT650" s="9"/>
      <c r="CU650" s="9"/>
      <c r="CV650" s="9"/>
      <c r="CW650" s="9"/>
      <c r="CX650" s="9"/>
      <c r="CY650" s="9"/>
      <c r="CZ650" s="9"/>
      <c r="DA650" s="9"/>
      <c r="DB650" s="9"/>
      <c r="DC650" s="9"/>
      <c r="DD650" s="9"/>
      <c r="DE650" s="9"/>
      <c r="DF650" s="9"/>
      <c r="DG650" s="9"/>
      <c r="DH650" s="9"/>
      <c r="DI650" s="9"/>
      <c r="DJ650" s="9"/>
      <c r="DK650" s="9"/>
      <c r="DL650" s="9"/>
      <c r="DM650" s="9"/>
      <c r="DN650" s="9"/>
      <c r="DO650" s="9"/>
      <c r="DP650" s="9"/>
      <c r="DQ650" s="9"/>
      <c r="DR650" s="9"/>
      <c r="DS650" s="9"/>
      <c r="DT650" s="9"/>
      <c r="DU650" s="9"/>
      <c r="DV650" s="9"/>
      <c r="DW650" s="9"/>
      <c r="DX650" s="9"/>
      <c r="DY650" s="9"/>
      <c r="DZ650" s="9"/>
      <c r="EA650" s="9"/>
      <c r="EB650" s="9"/>
      <c r="EC650" s="9"/>
      <c r="ED650" s="9"/>
      <c r="EE650" s="9"/>
      <c r="EF650" s="9"/>
    </row>
    <row r="651" spans="1:136" s="98" customFormat="1" ht="15.75" customHeight="1" x14ac:dyDescent="0.25">
      <c r="A651" s="93">
        <v>46234</v>
      </c>
      <c r="B651" s="94" t="s">
        <v>16</v>
      </c>
      <c r="C651" s="95">
        <v>6028</v>
      </c>
      <c r="D651" s="20"/>
      <c r="E651" s="99" t="s">
        <v>170</v>
      </c>
      <c r="F651" s="21">
        <v>1</v>
      </c>
      <c r="G651" s="100"/>
      <c r="H651" s="21">
        <v>874</v>
      </c>
      <c r="I651" s="11">
        <f t="shared" si="30"/>
        <v>874</v>
      </c>
      <c r="J651" s="21"/>
      <c r="K651" s="21"/>
      <c r="L651" s="13">
        <f t="shared" si="31"/>
        <v>874</v>
      </c>
      <c r="M651" s="24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  <c r="BU651" s="9"/>
      <c r="BV651" s="9"/>
      <c r="BW651" s="9"/>
      <c r="BX651" s="9"/>
      <c r="BY651" s="9"/>
      <c r="BZ651" s="9"/>
      <c r="CA651" s="9"/>
      <c r="CB651" s="9"/>
      <c r="CC651" s="9"/>
      <c r="CD651" s="9"/>
      <c r="CE651" s="9"/>
      <c r="CF651" s="9"/>
      <c r="CG651" s="9"/>
      <c r="CH651" s="9"/>
      <c r="CI651" s="9"/>
      <c r="CJ651" s="9"/>
      <c r="CK651" s="9"/>
      <c r="CL651" s="9"/>
      <c r="CM651" s="9"/>
      <c r="CN651" s="9"/>
      <c r="CO651" s="9"/>
      <c r="CP651" s="9"/>
      <c r="CQ651" s="9"/>
      <c r="CR651" s="9"/>
      <c r="CS651" s="9"/>
      <c r="CT651" s="9"/>
      <c r="CU651" s="9"/>
      <c r="CV651" s="9"/>
      <c r="CW651" s="9"/>
      <c r="CX651" s="9"/>
      <c r="CY651" s="9"/>
      <c r="CZ651" s="9"/>
      <c r="DA651" s="9"/>
      <c r="DB651" s="9"/>
      <c r="DC651" s="9"/>
      <c r="DD651" s="9"/>
      <c r="DE651" s="9"/>
      <c r="DF651" s="9"/>
      <c r="DG651" s="9"/>
      <c r="DH651" s="9"/>
      <c r="DI651" s="9"/>
      <c r="DJ651" s="9"/>
      <c r="DK651" s="9"/>
      <c r="DL651" s="9"/>
      <c r="DM651" s="9"/>
      <c r="DN651" s="9"/>
      <c r="DO651" s="9"/>
      <c r="DP651" s="9"/>
      <c r="DQ651" s="9"/>
      <c r="DR651" s="9"/>
      <c r="DS651" s="9"/>
      <c r="DT651" s="9"/>
      <c r="DU651" s="9"/>
      <c r="DV651" s="9"/>
      <c r="DW651" s="9"/>
      <c r="DX651" s="9"/>
      <c r="DY651" s="9"/>
      <c r="DZ651" s="9"/>
      <c r="EA651" s="9"/>
      <c r="EB651" s="9"/>
      <c r="EC651" s="9"/>
      <c r="ED651" s="9"/>
      <c r="EE651" s="9"/>
      <c r="EF651" s="9"/>
    </row>
    <row r="652" spans="1:136" s="98" customFormat="1" ht="15.75" customHeight="1" x14ac:dyDescent="0.25">
      <c r="A652" s="93">
        <v>46234</v>
      </c>
      <c r="B652" s="94" t="s">
        <v>16</v>
      </c>
      <c r="C652" s="95">
        <v>6028</v>
      </c>
      <c r="D652" s="20"/>
      <c r="E652" s="99" t="s">
        <v>133</v>
      </c>
      <c r="F652" s="21">
        <v>1</v>
      </c>
      <c r="G652" s="100"/>
      <c r="H652" s="21">
        <v>94</v>
      </c>
      <c r="I652" s="11">
        <f t="shared" si="30"/>
        <v>94</v>
      </c>
      <c r="J652" s="21"/>
      <c r="K652" s="21"/>
      <c r="L652" s="13">
        <f t="shared" si="31"/>
        <v>94</v>
      </c>
      <c r="M652" s="24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  <c r="BU652" s="9"/>
      <c r="BV652" s="9"/>
      <c r="BW652" s="9"/>
      <c r="BX652" s="9"/>
      <c r="BY652" s="9"/>
      <c r="BZ652" s="9"/>
      <c r="CA652" s="9"/>
      <c r="CB652" s="9"/>
      <c r="CC652" s="9"/>
      <c r="CD652" s="9"/>
      <c r="CE652" s="9"/>
      <c r="CF652" s="9"/>
      <c r="CG652" s="9"/>
      <c r="CH652" s="9"/>
      <c r="CI652" s="9"/>
      <c r="CJ652" s="9"/>
      <c r="CK652" s="9"/>
      <c r="CL652" s="9"/>
      <c r="CM652" s="9"/>
      <c r="CN652" s="9"/>
      <c r="CO652" s="9"/>
      <c r="CP652" s="9"/>
      <c r="CQ652" s="9"/>
      <c r="CR652" s="9"/>
      <c r="CS652" s="9"/>
      <c r="CT652" s="9"/>
      <c r="CU652" s="9"/>
      <c r="CV652" s="9"/>
      <c r="CW652" s="9"/>
      <c r="CX652" s="9"/>
      <c r="CY652" s="9"/>
      <c r="CZ652" s="9"/>
      <c r="DA652" s="9"/>
      <c r="DB652" s="9"/>
      <c r="DC652" s="9"/>
      <c r="DD652" s="9"/>
      <c r="DE652" s="9"/>
      <c r="DF652" s="9"/>
      <c r="DG652" s="9"/>
      <c r="DH652" s="9"/>
      <c r="DI652" s="9"/>
      <c r="DJ652" s="9"/>
      <c r="DK652" s="9"/>
      <c r="DL652" s="9"/>
      <c r="DM652" s="9"/>
      <c r="DN652" s="9"/>
      <c r="DO652" s="9"/>
      <c r="DP652" s="9"/>
      <c r="DQ652" s="9"/>
      <c r="DR652" s="9"/>
      <c r="DS652" s="9"/>
      <c r="DT652" s="9"/>
      <c r="DU652" s="9"/>
      <c r="DV652" s="9"/>
      <c r="DW652" s="9"/>
      <c r="DX652" s="9"/>
      <c r="DY652" s="9"/>
      <c r="DZ652" s="9"/>
      <c r="EA652" s="9"/>
      <c r="EB652" s="9"/>
      <c r="EC652" s="9"/>
      <c r="ED652" s="9"/>
      <c r="EE652" s="9"/>
      <c r="EF652" s="9"/>
    </row>
    <row r="653" spans="1:136" s="98" customFormat="1" ht="15.75" customHeight="1" x14ac:dyDescent="0.25">
      <c r="A653" s="93">
        <v>46234</v>
      </c>
      <c r="B653" s="94" t="s">
        <v>16</v>
      </c>
      <c r="C653" s="95">
        <v>6028</v>
      </c>
      <c r="D653" s="20"/>
      <c r="E653" s="99" t="s">
        <v>250</v>
      </c>
      <c r="F653" s="21">
        <v>50</v>
      </c>
      <c r="G653" s="100"/>
      <c r="H653" s="21">
        <v>3.5</v>
      </c>
      <c r="I653" s="11">
        <f t="shared" si="30"/>
        <v>175</v>
      </c>
      <c r="J653" s="21"/>
      <c r="K653" s="21"/>
      <c r="L653" s="13">
        <f t="shared" si="31"/>
        <v>175</v>
      </c>
      <c r="M653" s="24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  <c r="BU653" s="9"/>
      <c r="BV653" s="9"/>
      <c r="BW653" s="9"/>
      <c r="BX653" s="9"/>
      <c r="BY653" s="9"/>
      <c r="BZ653" s="9"/>
      <c r="CA653" s="9"/>
      <c r="CB653" s="9"/>
      <c r="CC653" s="9"/>
      <c r="CD653" s="9"/>
      <c r="CE653" s="9"/>
      <c r="CF653" s="9"/>
      <c r="CG653" s="9"/>
      <c r="CH653" s="9"/>
      <c r="CI653" s="9"/>
      <c r="CJ653" s="9"/>
      <c r="CK653" s="9"/>
      <c r="CL653" s="9"/>
      <c r="CM653" s="9"/>
      <c r="CN653" s="9"/>
      <c r="CO653" s="9"/>
      <c r="CP653" s="9"/>
      <c r="CQ653" s="9"/>
      <c r="CR653" s="9"/>
      <c r="CS653" s="9"/>
      <c r="CT653" s="9"/>
      <c r="CU653" s="9"/>
      <c r="CV653" s="9"/>
      <c r="CW653" s="9"/>
      <c r="CX653" s="9"/>
      <c r="CY653" s="9"/>
      <c r="CZ653" s="9"/>
      <c r="DA653" s="9"/>
      <c r="DB653" s="9"/>
      <c r="DC653" s="9"/>
      <c r="DD653" s="9"/>
      <c r="DE653" s="9"/>
      <c r="DF653" s="9"/>
      <c r="DG653" s="9"/>
      <c r="DH653" s="9"/>
      <c r="DI653" s="9"/>
      <c r="DJ653" s="9"/>
      <c r="DK653" s="9"/>
      <c r="DL653" s="9"/>
      <c r="DM653" s="9"/>
      <c r="DN653" s="9"/>
      <c r="DO653" s="9"/>
      <c r="DP653" s="9"/>
      <c r="DQ653" s="9"/>
      <c r="DR653" s="9"/>
      <c r="DS653" s="9"/>
      <c r="DT653" s="9"/>
      <c r="DU653" s="9"/>
      <c r="DV653" s="9"/>
      <c r="DW653" s="9"/>
      <c r="DX653" s="9"/>
      <c r="DY653" s="9"/>
      <c r="DZ653" s="9"/>
      <c r="EA653" s="9"/>
      <c r="EB653" s="9"/>
      <c r="EC653" s="9"/>
      <c r="ED653" s="9"/>
      <c r="EE653" s="9"/>
      <c r="EF653" s="9"/>
    </row>
    <row r="654" spans="1:136" s="98" customFormat="1" ht="15.75" customHeight="1" x14ac:dyDescent="0.25">
      <c r="A654" s="93">
        <v>46234</v>
      </c>
      <c r="B654" s="94" t="s">
        <v>16</v>
      </c>
      <c r="C654" s="95">
        <v>6028</v>
      </c>
      <c r="D654" s="20"/>
      <c r="E654" s="99" t="s">
        <v>87</v>
      </c>
      <c r="F654" s="21">
        <v>50</v>
      </c>
      <c r="G654" s="100"/>
      <c r="H654" s="21">
        <v>4.75</v>
      </c>
      <c r="I654" s="11">
        <f t="shared" si="30"/>
        <v>237.5</v>
      </c>
      <c r="J654" s="21"/>
      <c r="K654" s="21"/>
      <c r="L654" s="13">
        <f t="shared" si="31"/>
        <v>237.5</v>
      </c>
      <c r="M654" s="24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  <c r="BU654" s="9"/>
      <c r="BV654" s="9"/>
      <c r="BW654" s="9"/>
      <c r="BX654" s="9"/>
      <c r="BY654" s="9"/>
      <c r="BZ654" s="9"/>
      <c r="CA654" s="9"/>
      <c r="CB654" s="9"/>
      <c r="CC654" s="9"/>
      <c r="CD654" s="9"/>
      <c r="CE654" s="9"/>
      <c r="CF654" s="9"/>
      <c r="CG654" s="9"/>
      <c r="CH654" s="9"/>
      <c r="CI654" s="9"/>
      <c r="CJ654" s="9"/>
      <c r="CK654" s="9"/>
      <c r="CL654" s="9"/>
      <c r="CM654" s="9"/>
      <c r="CN654" s="9"/>
      <c r="CO654" s="9"/>
      <c r="CP654" s="9"/>
      <c r="CQ654" s="9"/>
      <c r="CR654" s="9"/>
      <c r="CS654" s="9"/>
      <c r="CT654" s="9"/>
      <c r="CU654" s="9"/>
      <c r="CV654" s="9"/>
      <c r="CW654" s="9"/>
      <c r="CX654" s="9"/>
      <c r="CY654" s="9"/>
      <c r="CZ654" s="9"/>
      <c r="DA654" s="9"/>
      <c r="DB654" s="9"/>
      <c r="DC654" s="9"/>
      <c r="DD654" s="9"/>
      <c r="DE654" s="9"/>
      <c r="DF654" s="9"/>
      <c r="DG654" s="9"/>
      <c r="DH654" s="9"/>
      <c r="DI654" s="9"/>
      <c r="DJ654" s="9"/>
      <c r="DK654" s="9"/>
      <c r="DL654" s="9"/>
      <c r="DM654" s="9"/>
      <c r="DN654" s="9"/>
      <c r="DO654" s="9"/>
      <c r="DP654" s="9"/>
      <c r="DQ654" s="9"/>
      <c r="DR654" s="9"/>
      <c r="DS654" s="9"/>
      <c r="DT654" s="9"/>
      <c r="DU654" s="9"/>
      <c r="DV654" s="9"/>
      <c r="DW654" s="9"/>
      <c r="DX654" s="9"/>
      <c r="DY654" s="9"/>
      <c r="DZ654" s="9"/>
      <c r="EA654" s="9"/>
      <c r="EB654" s="9"/>
      <c r="EC654" s="9"/>
      <c r="ED654" s="9"/>
      <c r="EE654" s="9"/>
      <c r="EF654" s="9"/>
    </row>
    <row r="655" spans="1:136" s="98" customFormat="1" ht="15.75" customHeight="1" x14ac:dyDescent="0.25">
      <c r="A655" s="93">
        <v>46234</v>
      </c>
      <c r="B655" s="94" t="s">
        <v>16</v>
      </c>
      <c r="C655" s="95">
        <v>6028</v>
      </c>
      <c r="D655" s="20"/>
      <c r="E655" s="99" t="s">
        <v>137</v>
      </c>
      <c r="F655" s="21">
        <v>1</v>
      </c>
      <c r="G655" s="100"/>
      <c r="H655" s="21">
        <v>152.75</v>
      </c>
      <c r="I655" s="11">
        <f t="shared" si="30"/>
        <v>152.75</v>
      </c>
      <c r="J655" s="21"/>
      <c r="K655" s="21"/>
      <c r="L655" s="13">
        <f t="shared" si="31"/>
        <v>152.75</v>
      </c>
      <c r="M655" s="24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  <c r="BU655" s="9"/>
      <c r="BV655" s="9"/>
      <c r="BW655" s="9"/>
      <c r="BX655" s="9"/>
      <c r="BY655" s="9"/>
      <c r="BZ655" s="9"/>
      <c r="CA655" s="9"/>
      <c r="CB655" s="9"/>
      <c r="CC655" s="9"/>
      <c r="CD655" s="9"/>
      <c r="CE655" s="9"/>
      <c r="CF655" s="9"/>
      <c r="CG655" s="9"/>
      <c r="CH655" s="9"/>
      <c r="CI655" s="9"/>
      <c r="CJ655" s="9"/>
      <c r="CK655" s="9"/>
      <c r="CL655" s="9"/>
      <c r="CM655" s="9"/>
      <c r="CN655" s="9"/>
      <c r="CO655" s="9"/>
      <c r="CP655" s="9"/>
      <c r="CQ655" s="9"/>
      <c r="CR655" s="9"/>
      <c r="CS655" s="9"/>
      <c r="CT655" s="9"/>
      <c r="CU655" s="9"/>
      <c r="CV655" s="9"/>
      <c r="CW655" s="9"/>
      <c r="CX655" s="9"/>
      <c r="CY655" s="9"/>
      <c r="CZ655" s="9"/>
      <c r="DA655" s="9"/>
      <c r="DB655" s="9"/>
      <c r="DC655" s="9"/>
      <c r="DD655" s="9"/>
      <c r="DE655" s="9"/>
      <c r="DF655" s="9"/>
      <c r="DG655" s="9"/>
      <c r="DH655" s="9"/>
      <c r="DI655" s="9"/>
      <c r="DJ655" s="9"/>
      <c r="DK655" s="9"/>
      <c r="DL655" s="9"/>
      <c r="DM655" s="9"/>
      <c r="DN655" s="9"/>
      <c r="DO655" s="9"/>
      <c r="DP655" s="9"/>
      <c r="DQ655" s="9"/>
      <c r="DR655" s="9"/>
      <c r="DS655" s="9"/>
      <c r="DT655" s="9"/>
      <c r="DU655" s="9"/>
      <c r="DV655" s="9"/>
      <c r="DW655" s="9"/>
      <c r="DX655" s="9"/>
      <c r="DY655" s="9"/>
      <c r="DZ655" s="9"/>
      <c r="EA655" s="9"/>
      <c r="EB655" s="9"/>
      <c r="EC655" s="9"/>
      <c r="ED655" s="9"/>
      <c r="EE655" s="9"/>
      <c r="EF655" s="9"/>
    </row>
    <row r="656" spans="1:136" s="98" customFormat="1" ht="15.75" customHeight="1" x14ac:dyDescent="0.25">
      <c r="A656" s="93">
        <v>46234</v>
      </c>
      <c r="B656" s="94" t="s">
        <v>16</v>
      </c>
      <c r="C656" s="95">
        <v>6028</v>
      </c>
      <c r="D656" s="20"/>
      <c r="E656" s="99" t="s">
        <v>237</v>
      </c>
      <c r="F656" s="21">
        <v>10</v>
      </c>
      <c r="G656" s="100"/>
      <c r="H656" s="21">
        <v>23</v>
      </c>
      <c r="I656" s="11">
        <f t="shared" si="30"/>
        <v>230</v>
      </c>
      <c r="J656" s="21"/>
      <c r="K656" s="21"/>
      <c r="L656" s="13">
        <f t="shared" si="31"/>
        <v>230</v>
      </c>
      <c r="M656" s="24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  <c r="BU656" s="9"/>
      <c r="BV656" s="9"/>
      <c r="BW656" s="9"/>
      <c r="BX656" s="9"/>
      <c r="BY656" s="9"/>
      <c r="BZ656" s="9"/>
      <c r="CA656" s="9"/>
      <c r="CB656" s="9"/>
      <c r="CC656" s="9"/>
      <c r="CD656" s="9"/>
      <c r="CE656" s="9"/>
      <c r="CF656" s="9"/>
      <c r="CG656" s="9"/>
      <c r="CH656" s="9"/>
      <c r="CI656" s="9"/>
      <c r="CJ656" s="9"/>
      <c r="CK656" s="9"/>
      <c r="CL656" s="9"/>
      <c r="CM656" s="9"/>
      <c r="CN656" s="9"/>
      <c r="CO656" s="9"/>
      <c r="CP656" s="9"/>
      <c r="CQ656" s="9"/>
      <c r="CR656" s="9"/>
      <c r="CS656" s="9"/>
      <c r="CT656" s="9"/>
      <c r="CU656" s="9"/>
      <c r="CV656" s="9"/>
      <c r="CW656" s="9"/>
      <c r="CX656" s="9"/>
      <c r="CY656" s="9"/>
      <c r="CZ656" s="9"/>
      <c r="DA656" s="9"/>
      <c r="DB656" s="9"/>
      <c r="DC656" s="9"/>
      <c r="DD656" s="9"/>
      <c r="DE656" s="9"/>
      <c r="DF656" s="9"/>
      <c r="DG656" s="9"/>
      <c r="DH656" s="9"/>
      <c r="DI656" s="9"/>
      <c r="DJ656" s="9"/>
      <c r="DK656" s="9"/>
      <c r="DL656" s="9"/>
      <c r="DM656" s="9"/>
      <c r="DN656" s="9"/>
      <c r="DO656" s="9"/>
      <c r="DP656" s="9"/>
      <c r="DQ656" s="9"/>
      <c r="DR656" s="9"/>
      <c r="DS656" s="9"/>
      <c r="DT656" s="9"/>
      <c r="DU656" s="9"/>
      <c r="DV656" s="9"/>
      <c r="DW656" s="9"/>
      <c r="DX656" s="9"/>
      <c r="DY656" s="9"/>
      <c r="DZ656" s="9"/>
      <c r="EA656" s="9"/>
      <c r="EB656" s="9"/>
      <c r="EC656" s="9"/>
      <c r="ED656" s="9"/>
      <c r="EE656" s="9"/>
      <c r="EF656" s="9"/>
    </row>
    <row r="657" spans="1:136" s="98" customFormat="1" ht="15.75" customHeight="1" x14ac:dyDescent="0.25">
      <c r="A657" s="93">
        <v>46234</v>
      </c>
      <c r="B657" s="94" t="s">
        <v>16</v>
      </c>
      <c r="C657" s="95">
        <v>6028</v>
      </c>
      <c r="D657" s="20"/>
      <c r="E657" s="99" t="s">
        <v>297</v>
      </c>
      <c r="F657" s="21">
        <v>10</v>
      </c>
      <c r="G657" s="100"/>
      <c r="H657" s="21">
        <v>25</v>
      </c>
      <c r="I657" s="11">
        <f t="shared" si="30"/>
        <v>250</v>
      </c>
      <c r="J657" s="21"/>
      <c r="K657" s="21"/>
      <c r="L657" s="13">
        <f t="shared" si="31"/>
        <v>250</v>
      </c>
      <c r="M657" s="24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  <c r="BU657" s="9"/>
      <c r="BV657" s="9"/>
      <c r="BW657" s="9"/>
      <c r="BX657" s="9"/>
      <c r="BY657" s="9"/>
      <c r="BZ657" s="9"/>
      <c r="CA657" s="9"/>
      <c r="CB657" s="9"/>
      <c r="CC657" s="9"/>
      <c r="CD657" s="9"/>
      <c r="CE657" s="9"/>
      <c r="CF657" s="9"/>
      <c r="CG657" s="9"/>
      <c r="CH657" s="9"/>
      <c r="CI657" s="9"/>
      <c r="CJ657" s="9"/>
      <c r="CK657" s="9"/>
      <c r="CL657" s="9"/>
      <c r="CM657" s="9"/>
      <c r="CN657" s="9"/>
      <c r="CO657" s="9"/>
      <c r="CP657" s="9"/>
      <c r="CQ657" s="9"/>
      <c r="CR657" s="9"/>
      <c r="CS657" s="9"/>
      <c r="CT657" s="9"/>
      <c r="CU657" s="9"/>
      <c r="CV657" s="9"/>
      <c r="CW657" s="9"/>
      <c r="CX657" s="9"/>
      <c r="CY657" s="9"/>
      <c r="CZ657" s="9"/>
      <c r="DA657" s="9"/>
      <c r="DB657" s="9"/>
      <c r="DC657" s="9"/>
      <c r="DD657" s="9"/>
      <c r="DE657" s="9"/>
      <c r="DF657" s="9"/>
      <c r="DG657" s="9"/>
      <c r="DH657" s="9"/>
      <c r="DI657" s="9"/>
      <c r="DJ657" s="9"/>
      <c r="DK657" s="9"/>
      <c r="DL657" s="9"/>
      <c r="DM657" s="9"/>
      <c r="DN657" s="9"/>
      <c r="DO657" s="9"/>
      <c r="DP657" s="9"/>
      <c r="DQ657" s="9"/>
      <c r="DR657" s="9"/>
      <c r="DS657" s="9"/>
      <c r="DT657" s="9"/>
      <c r="DU657" s="9"/>
      <c r="DV657" s="9"/>
      <c r="DW657" s="9"/>
      <c r="DX657" s="9"/>
      <c r="DY657" s="9"/>
      <c r="DZ657" s="9"/>
      <c r="EA657" s="9"/>
      <c r="EB657" s="9"/>
      <c r="EC657" s="9"/>
      <c r="ED657" s="9"/>
      <c r="EE657" s="9"/>
      <c r="EF657" s="9"/>
    </row>
    <row r="658" spans="1:136" s="98" customFormat="1" ht="15.75" customHeight="1" x14ac:dyDescent="0.25">
      <c r="A658" s="93">
        <v>46234</v>
      </c>
      <c r="B658" s="94" t="s">
        <v>16</v>
      </c>
      <c r="C658" s="95">
        <v>6028</v>
      </c>
      <c r="D658" s="20"/>
      <c r="E658" s="99" t="s">
        <v>298</v>
      </c>
      <c r="F658" s="21">
        <v>1</v>
      </c>
      <c r="G658" s="100"/>
      <c r="H658" s="21">
        <v>40</v>
      </c>
      <c r="I658" s="11">
        <f t="shared" si="30"/>
        <v>40</v>
      </c>
      <c r="J658" s="21"/>
      <c r="K658" s="21"/>
      <c r="L658" s="13">
        <f t="shared" si="31"/>
        <v>40</v>
      </c>
      <c r="M658" s="24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  <c r="BU658" s="9"/>
      <c r="BV658" s="9"/>
      <c r="BW658" s="9"/>
      <c r="BX658" s="9"/>
      <c r="BY658" s="9"/>
      <c r="BZ658" s="9"/>
      <c r="CA658" s="9"/>
      <c r="CB658" s="9"/>
      <c r="CC658" s="9"/>
      <c r="CD658" s="9"/>
      <c r="CE658" s="9"/>
      <c r="CF658" s="9"/>
      <c r="CG658" s="9"/>
      <c r="CH658" s="9"/>
      <c r="CI658" s="9"/>
      <c r="CJ658" s="9"/>
      <c r="CK658" s="9"/>
      <c r="CL658" s="9"/>
      <c r="CM658" s="9"/>
      <c r="CN658" s="9"/>
      <c r="CO658" s="9"/>
      <c r="CP658" s="9"/>
      <c r="CQ658" s="9"/>
      <c r="CR658" s="9"/>
      <c r="CS658" s="9"/>
      <c r="CT658" s="9"/>
      <c r="CU658" s="9"/>
      <c r="CV658" s="9"/>
      <c r="CW658" s="9"/>
      <c r="CX658" s="9"/>
      <c r="CY658" s="9"/>
      <c r="CZ658" s="9"/>
      <c r="DA658" s="9"/>
      <c r="DB658" s="9"/>
      <c r="DC658" s="9"/>
      <c r="DD658" s="9"/>
      <c r="DE658" s="9"/>
      <c r="DF658" s="9"/>
      <c r="DG658" s="9"/>
      <c r="DH658" s="9"/>
      <c r="DI658" s="9"/>
      <c r="DJ658" s="9"/>
      <c r="DK658" s="9"/>
      <c r="DL658" s="9"/>
      <c r="DM658" s="9"/>
      <c r="DN658" s="9"/>
      <c r="DO658" s="9"/>
      <c r="DP658" s="9"/>
      <c r="DQ658" s="9"/>
      <c r="DR658" s="9"/>
      <c r="DS658" s="9"/>
      <c r="DT658" s="9"/>
      <c r="DU658" s="9"/>
      <c r="DV658" s="9"/>
      <c r="DW658" s="9"/>
      <c r="DX658" s="9"/>
      <c r="DY658" s="9"/>
      <c r="DZ658" s="9"/>
      <c r="EA658" s="9"/>
      <c r="EB658" s="9"/>
      <c r="EC658" s="9"/>
      <c r="ED658" s="9"/>
      <c r="EE658" s="9"/>
      <c r="EF658" s="9"/>
    </row>
    <row r="659" spans="1:136" s="98" customFormat="1" ht="15.75" customHeight="1" x14ac:dyDescent="0.25">
      <c r="A659" s="93">
        <v>46234</v>
      </c>
      <c r="B659" s="94" t="s">
        <v>16</v>
      </c>
      <c r="C659" s="95">
        <v>6028</v>
      </c>
      <c r="D659" s="20"/>
      <c r="E659" s="99" t="s">
        <v>299</v>
      </c>
      <c r="F659" s="21">
        <v>1</v>
      </c>
      <c r="G659" s="100"/>
      <c r="H659" s="21">
        <v>148</v>
      </c>
      <c r="I659" s="11">
        <f t="shared" si="30"/>
        <v>148</v>
      </c>
      <c r="J659" s="21"/>
      <c r="K659" s="21"/>
      <c r="L659" s="13">
        <f t="shared" si="31"/>
        <v>148</v>
      </c>
      <c r="M659" s="24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  <c r="BU659" s="9"/>
      <c r="BV659" s="9"/>
      <c r="BW659" s="9"/>
      <c r="BX659" s="9"/>
      <c r="BY659" s="9"/>
      <c r="BZ659" s="9"/>
      <c r="CA659" s="9"/>
      <c r="CB659" s="9"/>
      <c r="CC659" s="9"/>
      <c r="CD659" s="9"/>
      <c r="CE659" s="9"/>
      <c r="CF659" s="9"/>
      <c r="CG659" s="9"/>
      <c r="CH659" s="9"/>
      <c r="CI659" s="9"/>
      <c r="CJ659" s="9"/>
      <c r="CK659" s="9"/>
      <c r="CL659" s="9"/>
      <c r="CM659" s="9"/>
      <c r="CN659" s="9"/>
      <c r="CO659" s="9"/>
      <c r="CP659" s="9"/>
      <c r="CQ659" s="9"/>
      <c r="CR659" s="9"/>
      <c r="CS659" s="9"/>
      <c r="CT659" s="9"/>
      <c r="CU659" s="9"/>
      <c r="CV659" s="9"/>
      <c r="CW659" s="9"/>
      <c r="CX659" s="9"/>
      <c r="CY659" s="9"/>
      <c r="CZ659" s="9"/>
      <c r="DA659" s="9"/>
      <c r="DB659" s="9"/>
      <c r="DC659" s="9"/>
      <c r="DD659" s="9"/>
      <c r="DE659" s="9"/>
      <c r="DF659" s="9"/>
      <c r="DG659" s="9"/>
      <c r="DH659" s="9"/>
      <c r="DI659" s="9"/>
      <c r="DJ659" s="9"/>
      <c r="DK659" s="9"/>
      <c r="DL659" s="9"/>
      <c r="DM659" s="9"/>
      <c r="DN659" s="9"/>
      <c r="DO659" s="9"/>
      <c r="DP659" s="9"/>
      <c r="DQ659" s="9"/>
      <c r="DR659" s="9"/>
      <c r="DS659" s="9"/>
      <c r="DT659" s="9"/>
      <c r="DU659" s="9"/>
      <c r="DV659" s="9"/>
      <c r="DW659" s="9"/>
      <c r="DX659" s="9"/>
      <c r="DY659" s="9"/>
      <c r="DZ659" s="9"/>
      <c r="EA659" s="9"/>
      <c r="EB659" s="9"/>
      <c r="EC659" s="9"/>
      <c r="ED659" s="9"/>
      <c r="EE659" s="9"/>
      <c r="EF659" s="9"/>
    </row>
    <row r="660" spans="1:136" s="98" customFormat="1" ht="15.75" customHeight="1" x14ac:dyDescent="0.25">
      <c r="A660" s="93">
        <v>46234</v>
      </c>
      <c r="B660" s="94" t="s">
        <v>16</v>
      </c>
      <c r="C660" s="95">
        <v>6028</v>
      </c>
      <c r="D660" s="20"/>
      <c r="E660" s="99" t="s">
        <v>167</v>
      </c>
      <c r="F660" s="21">
        <v>4</v>
      </c>
      <c r="G660" s="100"/>
      <c r="H660" s="21">
        <v>45</v>
      </c>
      <c r="I660" s="11">
        <f t="shared" si="30"/>
        <v>180</v>
      </c>
      <c r="J660" s="21"/>
      <c r="K660" s="21"/>
      <c r="L660" s="13">
        <f t="shared" si="31"/>
        <v>180</v>
      </c>
      <c r="M660" s="24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  <c r="BU660" s="9"/>
      <c r="BV660" s="9"/>
      <c r="BW660" s="9"/>
      <c r="BX660" s="9"/>
      <c r="BY660" s="9"/>
      <c r="BZ660" s="9"/>
      <c r="CA660" s="9"/>
      <c r="CB660" s="9"/>
      <c r="CC660" s="9"/>
      <c r="CD660" s="9"/>
      <c r="CE660" s="9"/>
      <c r="CF660" s="9"/>
      <c r="CG660" s="9"/>
      <c r="CH660" s="9"/>
      <c r="CI660" s="9"/>
      <c r="CJ660" s="9"/>
      <c r="CK660" s="9"/>
      <c r="CL660" s="9"/>
      <c r="CM660" s="9"/>
      <c r="CN660" s="9"/>
      <c r="CO660" s="9"/>
      <c r="CP660" s="9"/>
      <c r="CQ660" s="9"/>
      <c r="CR660" s="9"/>
      <c r="CS660" s="9"/>
      <c r="CT660" s="9"/>
      <c r="CU660" s="9"/>
      <c r="CV660" s="9"/>
      <c r="CW660" s="9"/>
      <c r="CX660" s="9"/>
      <c r="CY660" s="9"/>
      <c r="CZ660" s="9"/>
      <c r="DA660" s="9"/>
      <c r="DB660" s="9"/>
      <c r="DC660" s="9"/>
      <c r="DD660" s="9"/>
      <c r="DE660" s="9"/>
      <c r="DF660" s="9"/>
      <c r="DG660" s="9"/>
      <c r="DH660" s="9"/>
      <c r="DI660" s="9"/>
      <c r="DJ660" s="9"/>
      <c r="DK660" s="9"/>
      <c r="DL660" s="9"/>
      <c r="DM660" s="9"/>
      <c r="DN660" s="9"/>
      <c r="DO660" s="9"/>
      <c r="DP660" s="9"/>
      <c r="DQ660" s="9"/>
      <c r="DR660" s="9"/>
      <c r="DS660" s="9"/>
      <c r="DT660" s="9"/>
      <c r="DU660" s="9"/>
      <c r="DV660" s="9"/>
      <c r="DW660" s="9"/>
      <c r="DX660" s="9"/>
      <c r="DY660" s="9"/>
      <c r="DZ660" s="9"/>
      <c r="EA660" s="9"/>
      <c r="EB660" s="9"/>
      <c r="EC660" s="9"/>
      <c r="ED660" s="9"/>
      <c r="EE660" s="9"/>
      <c r="EF660" s="9"/>
    </row>
    <row r="661" spans="1:136" s="98" customFormat="1" ht="15.75" customHeight="1" x14ac:dyDescent="0.25">
      <c r="A661" s="93">
        <v>46234</v>
      </c>
      <c r="B661" s="94" t="s">
        <v>16</v>
      </c>
      <c r="C661" s="95">
        <v>6028</v>
      </c>
      <c r="D661" s="20"/>
      <c r="E661" s="99" t="s">
        <v>78</v>
      </c>
      <c r="F661" s="21">
        <v>3</v>
      </c>
      <c r="G661" s="100"/>
      <c r="H661" s="21">
        <v>55</v>
      </c>
      <c r="I661" s="11">
        <f t="shared" si="30"/>
        <v>165</v>
      </c>
      <c r="J661" s="21"/>
      <c r="K661" s="21"/>
      <c r="L661" s="13">
        <f t="shared" si="31"/>
        <v>165</v>
      </c>
      <c r="M661" s="24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  <c r="BU661" s="9"/>
      <c r="BV661" s="9"/>
      <c r="BW661" s="9"/>
      <c r="BX661" s="9"/>
      <c r="BY661" s="9"/>
      <c r="BZ661" s="9"/>
      <c r="CA661" s="9"/>
      <c r="CB661" s="9"/>
      <c r="CC661" s="9"/>
      <c r="CD661" s="9"/>
      <c r="CE661" s="9"/>
      <c r="CF661" s="9"/>
      <c r="CG661" s="9"/>
      <c r="CH661" s="9"/>
      <c r="CI661" s="9"/>
      <c r="CJ661" s="9"/>
      <c r="CK661" s="9"/>
      <c r="CL661" s="9"/>
      <c r="CM661" s="9"/>
      <c r="CN661" s="9"/>
      <c r="CO661" s="9"/>
      <c r="CP661" s="9"/>
      <c r="CQ661" s="9"/>
      <c r="CR661" s="9"/>
      <c r="CS661" s="9"/>
      <c r="CT661" s="9"/>
      <c r="CU661" s="9"/>
      <c r="CV661" s="9"/>
      <c r="CW661" s="9"/>
      <c r="CX661" s="9"/>
      <c r="CY661" s="9"/>
      <c r="CZ661" s="9"/>
      <c r="DA661" s="9"/>
      <c r="DB661" s="9"/>
      <c r="DC661" s="9"/>
      <c r="DD661" s="9"/>
      <c r="DE661" s="9"/>
      <c r="DF661" s="9"/>
      <c r="DG661" s="9"/>
      <c r="DH661" s="9"/>
      <c r="DI661" s="9"/>
      <c r="DJ661" s="9"/>
      <c r="DK661" s="9"/>
      <c r="DL661" s="9"/>
      <c r="DM661" s="9"/>
      <c r="DN661" s="9"/>
      <c r="DO661" s="9"/>
      <c r="DP661" s="9"/>
      <c r="DQ661" s="9"/>
      <c r="DR661" s="9"/>
      <c r="DS661" s="9"/>
      <c r="DT661" s="9"/>
      <c r="DU661" s="9"/>
      <c r="DV661" s="9"/>
      <c r="DW661" s="9"/>
      <c r="DX661" s="9"/>
      <c r="DY661" s="9"/>
      <c r="DZ661" s="9"/>
      <c r="EA661" s="9"/>
      <c r="EB661" s="9"/>
      <c r="EC661" s="9"/>
      <c r="ED661" s="9"/>
      <c r="EE661" s="9"/>
      <c r="EF661" s="9"/>
    </row>
    <row r="662" spans="1:136" s="98" customFormat="1" ht="15.75" customHeight="1" x14ac:dyDescent="0.25">
      <c r="A662" s="93">
        <v>46234</v>
      </c>
      <c r="B662" s="94" t="s">
        <v>16</v>
      </c>
      <c r="C662" s="95">
        <v>6028</v>
      </c>
      <c r="D662" s="20"/>
      <c r="E662" s="99" t="s">
        <v>300</v>
      </c>
      <c r="F662" s="21">
        <v>1</v>
      </c>
      <c r="G662" s="100"/>
      <c r="H662" s="21">
        <v>1380</v>
      </c>
      <c r="I662" s="11">
        <f t="shared" si="30"/>
        <v>1380</v>
      </c>
      <c r="J662" s="21"/>
      <c r="K662" s="21"/>
      <c r="L662" s="13">
        <f t="shared" si="31"/>
        <v>1380</v>
      </c>
      <c r="M662" s="24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  <c r="BU662" s="9"/>
      <c r="BV662" s="9"/>
      <c r="BW662" s="9"/>
      <c r="BX662" s="9"/>
      <c r="BY662" s="9"/>
      <c r="BZ662" s="9"/>
      <c r="CA662" s="9"/>
      <c r="CB662" s="9"/>
      <c r="CC662" s="9"/>
      <c r="CD662" s="9"/>
      <c r="CE662" s="9"/>
      <c r="CF662" s="9"/>
      <c r="CG662" s="9"/>
      <c r="CH662" s="9"/>
      <c r="CI662" s="9"/>
      <c r="CJ662" s="9"/>
      <c r="CK662" s="9"/>
      <c r="CL662" s="9"/>
      <c r="CM662" s="9"/>
      <c r="CN662" s="9"/>
      <c r="CO662" s="9"/>
      <c r="CP662" s="9"/>
      <c r="CQ662" s="9"/>
      <c r="CR662" s="9"/>
      <c r="CS662" s="9"/>
      <c r="CT662" s="9"/>
      <c r="CU662" s="9"/>
      <c r="CV662" s="9"/>
      <c r="CW662" s="9"/>
      <c r="CX662" s="9"/>
      <c r="CY662" s="9"/>
      <c r="CZ662" s="9"/>
      <c r="DA662" s="9"/>
      <c r="DB662" s="9"/>
      <c r="DC662" s="9"/>
      <c r="DD662" s="9"/>
      <c r="DE662" s="9"/>
      <c r="DF662" s="9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</row>
    <row r="663" spans="1:136" s="98" customFormat="1" ht="15.75" customHeight="1" x14ac:dyDescent="0.25">
      <c r="A663" s="93">
        <v>46234</v>
      </c>
      <c r="B663" s="94" t="s">
        <v>16</v>
      </c>
      <c r="C663" s="95">
        <v>6028</v>
      </c>
      <c r="D663" s="20"/>
      <c r="E663" s="99" t="s">
        <v>95</v>
      </c>
      <c r="F663" s="21">
        <v>4</v>
      </c>
      <c r="G663" s="100"/>
      <c r="H663" s="21">
        <v>32</v>
      </c>
      <c r="I663" s="11">
        <f t="shared" si="29"/>
        <v>128</v>
      </c>
      <c r="J663" s="21"/>
      <c r="K663" s="21"/>
      <c r="L663" s="13">
        <f t="shared" si="28"/>
        <v>128</v>
      </c>
      <c r="M663" s="24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  <c r="BU663" s="9"/>
      <c r="BV663" s="9"/>
      <c r="BW663" s="9"/>
      <c r="BX663" s="9"/>
      <c r="BY663" s="9"/>
      <c r="BZ663" s="9"/>
      <c r="CA663" s="9"/>
      <c r="CB663" s="9"/>
      <c r="CC663" s="9"/>
      <c r="CD663" s="9"/>
      <c r="CE663" s="9"/>
      <c r="CF663" s="9"/>
      <c r="CG663" s="9"/>
      <c r="CH663" s="9"/>
      <c r="CI663" s="9"/>
      <c r="CJ663" s="9"/>
      <c r="CK663" s="9"/>
      <c r="CL663" s="9"/>
      <c r="CM663" s="9"/>
      <c r="CN663" s="9"/>
      <c r="CO663" s="9"/>
      <c r="CP663" s="9"/>
      <c r="CQ663" s="9"/>
      <c r="CR663" s="9"/>
      <c r="CS663" s="9"/>
      <c r="CT663" s="9"/>
      <c r="CU663" s="9"/>
      <c r="CV663" s="9"/>
      <c r="CW663" s="9"/>
      <c r="CX663" s="9"/>
      <c r="CY663" s="9"/>
      <c r="CZ663" s="9"/>
      <c r="DA663" s="9"/>
      <c r="DB663" s="9"/>
      <c r="DC663" s="9"/>
      <c r="DD663" s="9"/>
      <c r="DE663" s="9"/>
      <c r="DF663" s="9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</row>
    <row r="664" spans="1:136" s="98" customFormat="1" ht="15.75" customHeight="1" x14ac:dyDescent="0.25">
      <c r="A664" s="93">
        <v>46234</v>
      </c>
      <c r="B664" s="94" t="s">
        <v>16</v>
      </c>
      <c r="C664" s="95">
        <v>6028</v>
      </c>
      <c r="D664" s="20"/>
      <c r="E664" s="99" t="s">
        <v>242</v>
      </c>
      <c r="F664" s="21">
        <v>2</v>
      </c>
      <c r="G664" s="100"/>
      <c r="H664" s="21">
        <v>34</v>
      </c>
      <c r="I664" s="11">
        <f t="shared" si="29"/>
        <v>68</v>
      </c>
      <c r="J664" s="21"/>
      <c r="K664" s="21"/>
      <c r="L664" s="13">
        <f t="shared" si="28"/>
        <v>68</v>
      </c>
      <c r="M664" s="24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  <c r="BU664" s="9"/>
      <c r="BV664" s="9"/>
      <c r="BW664" s="9"/>
      <c r="BX664" s="9"/>
      <c r="BY664" s="9"/>
      <c r="BZ664" s="9"/>
      <c r="CA664" s="9"/>
      <c r="CB664" s="9"/>
      <c r="CC664" s="9"/>
      <c r="CD664" s="9"/>
      <c r="CE664" s="9"/>
      <c r="CF664" s="9"/>
      <c r="CG664" s="9"/>
      <c r="CH664" s="9"/>
      <c r="CI664" s="9"/>
      <c r="CJ664" s="9"/>
      <c r="CK664" s="9"/>
      <c r="CL664" s="9"/>
      <c r="CM664" s="9"/>
      <c r="CN664" s="9"/>
      <c r="CO664" s="9"/>
      <c r="CP664" s="9"/>
      <c r="CQ664" s="9"/>
      <c r="CR664" s="9"/>
      <c r="CS664" s="9"/>
      <c r="CT664" s="9"/>
      <c r="CU664" s="9"/>
      <c r="CV664" s="9"/>
      <c r="CW664" s="9"/>
      <c r="CX664" s="9"/>
      <c r="CY664" s="9"/>
      <c r="CZ664" s="9"/>
      <c r="DA664" s="9"/>
      <c r="DB664" s="9"/>
      <c r="DC664" s="9"/>
      <c r="DD664" s="9"/>
      <c r="DE664" s="9"/>
      <c r="DF664" s="9"/>
      <c r="DG664" s="9"/>
      <c r="DH664" s="9"/>
      <c r="DI664" s="9"/>
      <c r="DJ664" s="9"/>
      <c r="DK664" s="9"/>
      <c r="DL664" s="9"/>
      <c r="DM664" s="9"/>
      <c r="DN664" s="9"/>
      <c r="DO664" s="9"/>
      <c r="DP664" s="9"/>
      <c r="DQ664" s="9"/>
      <c r="DR664" s="9"/>
      <c r="DS664" s="9"/>
      <c r="DT664" s="9"/>
      <c r="DU664" s="9"/>
      <c r="DV664" s="9"/>
      <c r="DW664" s="9"/>
      <c r="DX664" s="9"/>
      <c r="DY664" s="9"/>
      <c r="DZ664" s="9"/>
      <c r="EA664" s="9"/>
      <c r="EB664" s="9"/>
      <c r="EC664" s="9"/>
      <c r="ED664" s="9"/>
      <c r="EE664" s="9"/>
      <c r="EF664" s="9"/>
    </row>
    <row r="665" spans="1:136" s="98" customFormat="1" ht="15.75" customHeight="1" x14ac:dyDescent="0.25">
      <c r="A665" s="93">
        <v>46234</v>
      </c>
      <c r="B665" s="94" t="s">
        <v>16</v>
      </c>
      <c r="C665" s="95">
        <v>6028</v>
      </c>
      <c r="D665" s="20"/>
      <c r="E665" s="99" t="s">
        <v>44</v>
      </c>
      <c r="F665" s="21">
        <v>5</v>
      </c>
      <c r="G665" s="100"/>
      <c r="H665" s="21">
        <v>225</v>
      </c>
      <c r="I665" s="11">
        <f t="shared" si="29"/>
        <v>1125</v>
      </c>
      <c r="J665" s="21"/>
      <c r="K665" s="21"/>
      <c r="L665" s="13">
        <f t="shared" si="28"/>
        <v>1125</v>
      </c>
      <c r="M665" s="24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  <c r="BU665" s="9"/>
      <c r="BV665" s="9"/>
      <c r="BW665" s="9"/>
      <c r="BX665" s="9"/>
      <c r="BY665" s="9"/>
      <c r="BZ665" s="9"/>
      <c r="CA665" s="9"/>
      <c r="CB665" s="9"/>
      <c r="CC665" s="9"/>
      <c r="CD665" s="9"/>
      <c r="CE665" s="9"/>
      <c r="CF665" s="9"/>
      <c r="CG665" s="9"/>
      <c r="CH665" s="9"/>
      <c r="CI665" s="9"/>
      <c r="CJ665" s="9"/>
      <c r="CK665" s="9"/>
      <c r="CL665" s="9"/>
      <c r="CM665" s="9"/>
      <c r="CN665" s="9"/>
      <c r="CO665" s="9"/>
      <c r="CP665" s="9"/>
      <c r="CQ665" s="9"/>
      <c r="CR665" s="9"/>
      <c r="CS665" s="9"/>
      <c r="CT665" s="9"/>
      <c r="CU665" s="9"/>
      <c r="CV665" s="9"/>
      <c r="CW665" s="9"/>
      <c r="CX665" s="9"/>
      <c r="CY665" s="9"/>
      <c r="CZ665" s="9"/>
      <c r="DA665" s="9"/>
      <c r="DB665" s="9"/>
      <c r="DC665" s="9"/>
      <c r="DD665" s="9"/>
      <c r="DE665" s="9"/>
      <c r="DF665" s="9"/>
      <c r="DG665" s="9"/>
      <c r="DH665" s="9"/>
      <c r="DI665" s="9"/>
      <c r="DJ665" s="9"/>
      <c r="DK665" s="9"/>
      <c r="DL665" s="9"/>
      <c r="DM665" s="9"/>
      <c r="DN665" s="9"/>
      <c r="DO665" s="9"/>
      <c r="DP665" s="9"/>
      <c r="DQ665" s="9"/>
      <c r="DR665" s="9"/>
      <c r="DS665" s="9"/>
      <c r="DT665" s="9"/>
      <c r="DU665" s="9"/>
      <c r="DV665" s="9"/>
      <c r="DW665" s="9"/>
      <c r="DX665" s="9"/>
      <c r="DY665" s="9"/>
      <c r="DZ665" s="9"/>
      <c r="EA665" s="9"/>
      <c r="EB665" s="9"/>
      <c r="EC665" s="9"/>
      <c r="ED665" s="9"/>
      <c r="EE665" s="9"/>
      <c r="EF665" s="9"/>
    </row>
    <row r="666" spans="1:136" s="98" customFormat="1" ht="15.75" customHeight="1" x14ac:dyDescent="0.25">
      <c r="A666" s="93">
        <v>46234</v>
      </c>
      <c r="B666" s="94" t="s">
        <v>16</v>
      </c>
      <c r="C666" s="95">
        <v>6028</v>
      </c>
      <c r="D666" s="20"/>
      <c r="E666" s="99" t="s">
        <v>139</v>
      </c>
      <c r="F666" s="21">
        <v>2</v>
      </c>
      <c r="G666" s="100"/>
      <c r="H666" s="21">
        <v>35</v>
      </c>
      <c r="I666" s="11">
        <f t="shared" si="29"/>
        <v>70</v>
      </c>
      <c r="J666" s="21"/>
      <c r="K666" s="21"/>
      <c r="L666" s="13">
        <f t="shared" si="28"/>
        <v>70</v>
      </c>
      <c r="M666" s="24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  <c r="BU666" s="9"/>
      <c r="BV666" s="9"/>
      <c r="BW666" s="9"/>
      <c r="BX666" s="9"/>
      <c r="BY666" s="9"/>
      <c r="BZ666" s="9"/>
      <c r="CA666" s="9"/>
      <c r="CB666" s="9"/>
      <c r="CC666" s="9"/>
      <c r="CD666" s="9"/>
      <c r="CE666" s="9"/>
      <c r="CF666" s="9"/>
      <c r="CG666" s="9"/>
      <c r="CH666" s="9"/>
      <c r="CI666" s="9"/>
      <c r="CJ666" s="9"/>
      <c r="CK666" s="9"/>
      <c r="CL666" s="9"/>
      <c r="CM666" s="9"/>
      <c r="CN666" s="9"/>
      <c r="CO666" s="9"/>
      <c r="CP666" s="9"/>
      <c r="CQ666" s="9"/>
      <c r="CR666" s="9"/>
      <c r="CS666" s="9"/>
      <c r="CT666" s="9"/>
      <c r="CU666" s="9"/>
      <c r="CV666" s="9"/>
      <c r="CW666" s="9"/>
      <c r="CX666" s="9"/>
      <c r="CY666" s="9"/>
      <c r="CZ666" s="9"/>
      <c r="DA666" s="9"/>
      <c r="DB666" s="9"/>
      <c r="DC666" s="9"/>
      <c r="DD666" s="9"/>
      <c r="DE666" s="9"/>
      <c r="DF666" s="9"/>
      <c r="DG666" s="9"/>
      <c r="DH666" s="9"/>
      <c r="DI666" s="9"/>
      <c r="DJ666" s="9"/>
      <c r="DK666" s="9"/>
      <c r="DL666" s="9"/>
      <c r="DM666" s="9"/>
      <c r="DN666" s="9"/>
      <c r="DO666" s="9"/>
      <c r="DP666" s="9"/>
      <c r="DQ666" s="9"/>
      <c r="DR666" s="9"/>
      <c r="DS666" s="9"/>
      <c r="DT666" s="9"/>
      <c r="DU666" s="9"/>
      <c r="DV666" s="9"/>
      <c r="DW666" s="9"/>
      <c r="DX666" s="9"/>
      <c r="DY666" s="9"/>
      <c r="DZ666" s="9"/>
      <c r="EA666" s="9"/>
      <c r="EB666" s="9"/>
      <c r="EC666" s="9"/>
      <c r="ED666" s="9"/>
      <c r="EE666" s="9"/>
      <c r="EF666" s="9"/>
    </row>
    <row r="667" spans="1:136" s="98" customFormat="1" ht="15.75" customHeight="1" x14ac:dyDescent="0.25">
      <c r="A667" s="93">
        <v>46234</v>
      </c>
      <c r="B667" s="94" t="s">
        <v>16</v>
      </c>
      <c r="C667" s="95">
        <v>6028</v>
      </c>
      <c r="D667" s="20"/>
      <c r="E667" s="99" t="s">
        <v>157</v>
      </c>
      <c r="F667" s="21">
        <v>1.03</v>
      </c>
      <c r="G667" s="100"/>
      <c r="H667" s="21">
        <v>262</v>
      </c>
      <c r="I667" s="11">
        <f t="shared" si="29"/>
        <v>269.86</v>
      </c>
      <c r="J667" s="21"/>
      <c r="K667" s="21"/>
      <c r="L667" s="13">
        <f t="shared" si="28"/>
        <v>269.86</v>
      </c>
      <c r="M667" s="24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  <c r="BU667" s="9"/>
      <c r="BV667" s="9"/>
      <c r="BW667" s="9"/>
      <c r="BX667" s="9"/>
      <c r="BY667" s="9"/>
      <c r="BZ667" s="9"/>
      <c r="CA667" s="9"/>
      <c r="CB667" s="9"/>
      <c r="CC667" s="9"/>
      <c r="CD667" s="9"/>
      <c r="CE667" s="9"/>
      <c r="CF667" s="9"/>
      <c r="CG667" s="9"/>
      <c r="CH667" s="9"/>
      <c r="CI667" s="9"/>
      <c r="CJ667" s="9"/>
      <c r="CK667" s="9"/>
      <c r="CL667" s="9"/>
      <c r="CM667" s="9"/>
      <c r="CN667" s="9"/>
      <c r="CO667" s="9"/>
      <c r="CP667" s="9"/>
      <c r="CQ667" s="9"/>
      <c r="CR667" s="9"/>
      <c r="CS667" s="9"/>
      <c r="CT667" s="9"/>
      <c r="CU667" s="9"/>
      <c r="CV667" s="9"/>
      <c r="CW667" s="9"/>
      <c r="CX667" s="9"/>
      <c r="CY667" s="9"/>
      <c r="CZ667" s="9"/>
      <c r="DA667" s="9"/>
      <c r="DB667" s="9"/>
      <c r="DC667" s="9"/>
      <c r="DD667" s="9"/>
      <c r="DE667" s="9"/>
      <c r="DF667" s="9"/>
      <c r="DG667" s="9"/>
      <c r="DH667" s="9"/>
      <c r="DI667" s="9"/>
      <c r="DJ667" s="9"/>
      <c r="DK667" s="9"/>
      <c r="DL667" s="9"/>
      <c r="DM667" s="9"/>
      <c r="DN667" s="9"/>
      <c r="DO667" s="9"/>
      <c r="DP667" s="9"/>
      <c r="DQ667" s="9"/>
      <c r="DR667" s="9"/>
      <c r="DS667" s="9"/>
      <c r="DT667" s="9"/>
      <c r="DU667" s="9"/>
      <c r="DV667" s="9"/>
      <c r="DW667" s="9"/>
      <c r="DX667" s="9"/>
      <c r="DY667" s="9"/>
      <c r="DZ667" s="9"/>
      <c r="EA667" s="9"/>
      <c r="EB667" s="9"/>
      <c r="EC667" s="9"/>
      <c r="ED667" s="9"/>
      <c r="EE667" s="9"/>
      <c r="EF667" s="9"/>
    </row>
    <row r="668" spans="1:136" s="98" customFormat="1" ht="15.75" customHeight="1" x14ac:dyDescent="0.25">
      <c r="A668" s="93">
        <v>46234</v>
      </c>
      <c r="B668" s="94" t="s">
        <v>16</v>
      </c>
      <c r="C668" s="95">
        <v>6028</v>
      </c>
      <c r="D668" s="20"/>
      <c r="E668" s="99" t="s">
        <v>60</v>
      </c>
      <c r="F668" s="21">
        <v>1.694</v>
      </c>
      <c r="G668" s="100"/>
      <c r="H668" s="21">
        <v>198</v>
      </c>
      <c r="I668" s="11">
        <f t="shared" si="29"/>
        <v>335.41199999999998</v>
      </c>
      <c r="J668" s="21"/>
      <c r="K668" s="21"/>
      <c r="L668" s="13">
        <f t="shared" si="28"/>
        <v>335.41199999999998</v>
      </c>
      <c r="M668" s="24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  <c r="BU668" s="9"/>
      <c r="BV668" s="9"/>
      <c r="BW668" s="9"/>
      <c r="BX668" s="9"/>
      <c r="BY668" s="9"/>
      <c r="BZ668" s="9"/>
      <c r="CA668" s="9"/>
      <c r="CB668" s="9"/>
      <c r="CC668" s="9"/>
      <c r="CD668" s="9"/>
      <c r="CE668" s="9"/>
      <c r="CF668" s="9"/>
      <c r="CG668" s="9"/>
      <c r="CH668" s="9"/>
      <c r="CI668" s="9"/>
      <c r="CJ668" s="9"/>
      <c r="CK668" s="9"/>
      <c r="CL668" s="9"/>
      <c r="CM668" s="9"/>
      <c r="CN668" s="9"/>
      <c r="CO668" s="9"/>
      <c r="CP668" s="9"/>
      <c r="CQ668" s="9"/>
      <c r="CR668" s="9"/>
      <c r="CS668" s="9"/>
      <c r="CT668" s="9"/>
      <c r="CU668" s="9"/>
      <c r="CV668" s="9"/>
      <c r="CW668" s="9"/>
      <c r="CX668" s="9"/>
      <c r="CY668" s="9"/>
      <c r="CZ668" s="9"/>
      <c r="DA668" s="9"/>
      <c r="DB668" s="9"/>
      <c r="DC668" s="9"/>
      <c r="DD668" s="9"/>
      <c r="DE668" s="9"/>
      <c r="DF668" s="9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</row>
    <row r="669" spans="1:136" s="98" customFormat="1" ht="15.75" customHeight="1" x14ac:dyDescent="0.25">
      <c r="A669" s="93">
        <v>46234</v>
      </c>
      <c r="B669" s="94" t="s">
        <v>16</v>
      </c>
      <c r="C669" s="95">
        <v>6028</v>
      </c>
      <c r="D669" s="20"/>
      <c r="E669" s="99" t="s">
        <v>301</v>
      </c>
      <c r="F669" s="21">
        <v>1</v>
      </c>
      <c r="G669" s="100"/>
      <c r="H669" s="21">
        <v>158.5</v>
      </c>
      <c r="I669" s="11">
        <f t="shared" si="29"/>
        <v>158.5</v>
      </c>
      <c r="J669" s="21"/>
      <c r="K669" s="21"/>
      <c r="L669" s="13">
        <f t="shared" si="28"/>
        <v>158.5</v>
      </c>
      <c r="M669" s="24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  <c r="BU669" s="9"/>
      <c r="BV669" s="9"/>
      <c r="BW669" s="9"/>
      <c r="BX669" s="9"/>
      <c r="BY669" s="9"/>
      <c r="BZ669" s="9"/>
      <c r="CA669" s="9"/>
      <c r="CB669" s="9"/>
      <c r="CC669" s="9"/>
      <c r="CD669" s="9"/>
      <c r="CE669" s="9"/>
      <c r="CF669" s="9"/>
      <c r="CG669" s="9"/>
      <c r="CH669" s="9"/>
      <c r="CI669" s="9"/>
      <c r="CJ669" s="9"/>
      <c r="CK669" s="9"/>
      <c r="CL669" s="9"/>
      <c r="CM669" s="9"/>
      <c r="CN669" s="9"/>
      <c r="CO669" s="9"/>
      <c r="CP669" s="9"/>
      <c r="CQ669" s="9"/>
      <c r="CR669" s="9"/>
      <c r="CS669" s="9"/>
      <c r="CT669" s="9"/>
      <c r="CU669" s="9"/>
      <c r="CV669" s="9"/>
      <c r="CW669" s="9"/>
      <c r="CX669" s="9"/>
      <c r="CY669" s="9"/>
      <c r="CZ669" s="9"/>
      <c r="DA669" s="9"/>
      <c r="DB669" s="9"/>
      <c r="DC669" s="9"/>
      <c r="DD669" s="9"/>
      <c r="DE669" s="9"/>
      <c r="DF669" s="9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</row>
    <row r="670" spans="1:136" s="98" customFormat="1" ht="15.75" customHeight="1" x14ac:dyDescent="0.25">
      <c r="A670" s="93">
        <v>46234</v>
      </c>
      <c r="B670" s="94" t="s">
        <v>16</v>
      </c>
      <c r="C670" s="95">
        <v>6028</v>
      </c>
      <c r="D670" s="20"/>
      <c r="E670" s="99" t="s">
        <v>302</v>
      </c>
      <c r="F670" s="21">
        <v>1</v>
      </c>
      <c r="G670" s="100"/>
      <c r="H670" s="21">
        <v>57</v>
      </c>
      <c r="I670" s="11">
        <f t="shared" ref="I670:I674" si="32">F670*H670</f>
        <v>57</v>
      </c>
      <c r="J670" s="21"/>
      <c r="K670" s="21"/>
      <c r="L670" s="13">
        <f t="shared" ref="L670:L674" si="33">I670-J670-K670</f>
        <v>57</v>
      </c>
      <c r="M670" s="24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  <c r="BU670" s="9"/>
      <c r="BV670" s="9"/>
      <c r="BW670" s="9"/>
      <c r="BX670" s="9"/>
      <c r="BY670" s="9"/>
      <c r="BZ670" s="9"/>
      <c r="CA670" s="9"/>
      <c r="CB670" s="9"/>
      <c r="CC670" s="9"/>
      <c r="CD670" s="9"/>
      <c r="CE670" s="9"/>
      <c r="CF670" s="9"/>
      <c r="CG670" s="9"/>
      <c r="CH670" s="9"/>
      <c r="CI670" s="9"/>
      <c r="CJ670" s="9"/>
      <c r="CK670" s="9"/>
      <c r="CL670" s="9"/>
      <c r="CM670" s="9"/>
      <c r="CN670" s="9"/>
      <c r="CO670" s="9"/>
      <c r="CP670" s="9"/>
      <c r="CQ670" s="9"/>
      <c r="CR670" s="9"/>
      <c r="CS670" s="9"/>
      <c r="CT670" s="9"/>
      <c r="CU670" s="9"/>
      <c r="CV670" s="9"/>
      <c r="CW670" s="9"/>
      <c r="CX670" s="9"/>
      <c r="CY670" s="9"/>
      <c r="CZ670" s="9"/>
      <c r="DA670" s="9"/>
      <c r="DB670" s="9"/>
      <c r="DC670" s="9"/>
      <c r="DD670" s="9"/>
      <c r="DE670" s="9"/>
      <c r="DF670" s="9"/>
      <c r="DG670" s="9"/>
      <c r="DH670" s="9"/>
      <c r="DI670" s="9"/>
      <c r="DJ670" s="9"/>
      <c r="DK670" s="9"/>
      <c r="DL670" s="9"/>
      <c r="DM670" s="9"/>
      <c r="DN670" s="9"/>
      <c r="DO670" s="9"/>
      <c r="DP670" s="9"/>
      <c r="DQ670" s="9"/>
      <c r="DR670" s="9"/>
      <c r="DS670" s="9"/>
      <c r="DT670" s="9"/>
      <c r="DU670" s="9"/>
      <c r="DV670" s="9"/>
      <c r="DW670" s="9"/>
      <c r="DX670" s="9"/>
      <c r="DY670" s="9"/>
      <c r="DZ670" s="9"/>
      <c r="EA670" s="9"/>
      <c r="EB670" s="9"/>
      <c r="EC670" s="9"/>
      <c r="ED670" s="9"/>
      <c r="EE670" s="9"/>
      <c r="EF670" s="9"/>
    </row>
    <row r="671" spans="1:136" s="98" customFormat="1" ht="15.75" customHeight="1" x14ac:dyDescent="0.25">
      <c r="A671" s="93">
        <v>46234</v>
      </c>
      <c r="B671" s="94" t="s">
        <v>16</v>
      </c>
      <c r="C671" s="95">
        <v>6028</v>
      </c>
      <c r="D671" s="20"/>
      <c r="E671" s="99" t="s">
        <v>303</v>
      </c>
      <c r="F671" s="21">
        <v>1</v>
      </c>
      <c r="G671" s="100"/>
      <c r="H671" s="21">
        <v>29.5</v>
      </c>
      <c r="I671" s="11">
        <f t="shared" si="32"/>
        <v>29.5</v>
      </c>
      <c r="J671" s="21"/>
      <c r="K671" s="21"/>
      <c r="L671" s="13">
        <f t="shared" si="33"/>
        <v>29.5</v>
      </c>
      <c r="M671" s="24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  <c r="BU671" s="9"/>
      <c r="BV671" s="9"/>
      <c r="BW671" s="9"/>
      <c r="BX671" s="9"/>
      <c r="BY671" s="9"/>
      <c r="BZ671" s="9"/>
      <c r="CA671" s="9"/>
      <c r="CB671" s="9"/>
      <c r="CC671" s="9"/>
      <c r="CD671" s="9"/>
      <c r="CE671" s="9"/>
      <c r="CF671" s="9"/>
      <c r="CG671" s="9"/>
      <c r="CH671" s="9"/>
      <c r="CI671" s="9"/>
      <c r="CJ671" s="9"/>
      <c r="CK671" s="9"/>
      <c r="CL671" s="9"/>
      <c r="CM671" s="9"/>
      <c r="CN671" s="9"/>
      <c r="CO671" s="9"/>
      <c r="CP671" s="9"/>
      <c r="CQ671" s="9"/>
      <c r="CR671" s="9"/>
      <c r="CS671" s="9"/>
      <c r="CT671" s="9"/>
      <c r="CU671" s="9"/>
      <c r="CV671" s="9"/>
      <c r="CW671" s="9"/>
      <c r="CX671" s="9"/>
      <c r="CY671" s="9"/>
      <c r="CZ671" s="9"/>
      <c r="DA671" s="9"/>
      <c r="DB671" s="9"/>
      <c r="DC671" s="9"/>
      <c r="DD671" s="9"/>
      <c r="DE671" s="9"/>
      <c r="DF671" s="9"/>
      <c r="DG671" s="9"/>
      <c r="DH671" s="9"/>
      <c r="DI671" s="9"/>
      <c r="DJ671" s="9"/>
      <c r="DK671" s="9"/>
      <c r="DL671" s="9"/>
      <c r="DM671" s="9"/>
      <c r="DN671" s="9"/>
      <c r="DO671" s="9"/>
      <c r="DP671" s="9"/>
      <c r="DQ671" s="9"/>
      <c r="DR671" s="9"/>
      <c r="DS671" s="9"/>
      <c r="DT671" s="9"/>
      <c r="DU671" s="9"/>
      <c r="DV671" s="9"/>
      <c r="DW671" s="9"/>
      <c r="DX671" s="9"/>
      <c r="DY671" s="9"/>
      <c r="DZ671" s="9"/>
      <c r="EA671" s="9"/>
      <c r="EB671" s="9"/>
      <c r="EC671" s="9"/>
      <c r="ED671" s="9"/>
      <c r="EE671" s="9"/>
      <c r="EF671" s="9"/>
    </row>
    <row r="672" spans="1:136" s="98" customFormat="1" ht="15.75" customHeight="1" x14ac:dyDescent="0.25">
      <c r="A672" s="93">
        <v>46234</v>
      </c>
      <c r="B672" s="94" t="s">
        <v>16</v>
      </c>
      <c r="C672" s="95">
        <v>6028</v>
      </c>
      <c r="D672" s="20"/>
      <c r="E672" s="99" t="s">
        <v>304</v>
      </c>
      <c r="F672" s="21">
        <v>1</v>
      </c>
      <c r="G672" s="100"/>
      <c r="H672" s="21">
        <v>16.5</v>
      </c>
      <c r="I672" s="11">
        <f t="shared" si="32"/>
        <v>16.5</v>
      </c>
      <c r="J672" s="21"/>
      <c r="K672" s="21"/>
      <c r="L672" s="13">
        <f t="shared" si="33"/>
        <v>16.5</v>
      </c>
      <c r="M672" s="24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  <c r="BU672" s="9"/>
      <c r="BV672" s="9"/>
      <c r="BW672" s="9"/>
      <c r="BX672" s="9"/>
      <c r="BY672" s="9"/>
      <c r="BZ672" s="9"/>
      <c r="CA672" s="9"/>
      <c r="CB672" s="9"/>
      <c r="CC672" s="9"/>
      <c r="CD672" s="9"/>
      <c r="CE672" s="9"/>
      <c r="CF672" s="9"/>
      <c r="CG672" s="9"/>
      <c r="CH672" s="9"/>
      <c r="CI672" s="9"/>
      <c r="CJ672" s="9"/>
      <c r="CK672" s="9"/>
      <c r="CL672" s="9"/>
      <c r="CM672" s="9"/>
      <c r="CN672" s="9"/>
      <c r="CO672" s="9"/>
      <c r="CP672" s="9"/>
      <c r="CQ672" s="9"/>
      <c r="CR672" s="9"/>
      <c r="CS672" s="9"/>
      <c r="CT672" s="9"/>
      <c r="CU672" s="9"/>
      <c r="CV672" s="9"/>
      <c r="CW672" s="9"/>
      <c r="CX672" s="9"/>
      <c r="CY672" s="9"/>
      <c r="CZ672" s="9"/>
      <c r="DA672" s="9"/>
      <c r="DB672" s="9"/>
      <c r="DC672" s="9"/>
      <c r="DD672" s="9"/>
      <c r="DE672" s="9"/>
      <c r="DF672" s="9"/>
      <c r="DG672" s="9"/>
      <c r="DH672" s="9"/>
      <c r="DI672" s="9"/>
      <c r="DJ672" s="9"/>
      <c r="DK672" s="9"/>
      <c r="DL672" s="9"/>
      <c r="DM672" s="9"/>
      <c r="DN672" s="9"/>
      <c r="DO672" s="9"/>
      <c r="DP672" s="9"/>
      <c r="DQ672" s="9"/>
      <c r="DR672" s="9"/>
      <c r="DS672" s="9"/>
      <c r="DT672" s="9"/>
      <c r="DU672" s="9"/>
      <c r="DV672" s="9"/>
      <c r="DW672" s="9"/>
      <c r="DX672" s="9"/>
      <c r="DY672" s="9"/>
      <c r="DZ672" s="9"/>
      <c r="EA672" s="9"/>
      <c r="EB672" s="9"/>
      <c r="EC672" s="9"/>
      <c r="ED672" s="9"/>
      <c r="EE672" s="9"/>
      <c r="EF672" s="9"/>
    </row>
    <row r="673" spans="1:136" s="98" customFormat="1" ht="15.75" customHeight="1" x14ac:dyDescent="0.25">
      <c r="A673" s="93">
        <v>46234</v>
      </c>
      <c r="B673" s="94" t="s">
        <v>16</v>
      </c>
      <c r="C673" s="95">
        <v>6028</v>
      </c>
      <c r="D673" s="20"/>
      <c r="E673" s="99" t="s">
        <v>305</v>
      </c>
      <c r="F673" s="21">
        <v>2</v>
      </c>
      <c r="G673" s="100"/>
      <c r="H673" s="21">
        <v>47.5</v>
      </c>
      <c r="I673" s="11">
        <f t="shared" si="32"/>
        <v>95</v>
      </c>
      <c r="J673" s="21"/>
      <c r="K673" s="21"/>
      <c r="L673" s="13">
        <f t="shared" si="33"/>
        <v>95</v>
      </c>
      <c r="M673" s="24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  <c r="BU673" s="9"/>
      <c r="BV673" s="9"/>
      <c r="BW673" s="9"/>
      <c r="BX673" s="9"/>
      <c r="BY673" s="9"/>
      <c r="BZ673" s="9"/>
      <c r="CA673" s="9"/>
      <c r="CB673" s="9"/>
      <c r="CC673" s="9"/>
      <c r="CD673" s="9"/>
      <c r="CE673" s="9"/>
      <c r="CF673" s="9"/>
      <c r="CG673" s="9"/>
      <c r="CH673" s="9"/>
      <c r="CI673" s="9"/>
      <c r="CJ673" s="9"/>
      <c r="CK673" s="9"/>
      <c r="CL673" s="9"/>
      <c r="CM673" s="9"/>
      <c r="CN673" s="9"/>
      <c r="CO673" s="9"/>
      <c r="CP673" s="9"/>
      <c r="CQ673" s="9"/>
      <c r="CR673" s="9"/>
      <c r="CS673" s="9"/>
      <c r="CT673" s="9"/>
      <c r="CU673" s="9"/>
      <c r="CV673" s="9"/>
      <c r="CW673" s="9"/>
      <c r="CX673" s="9"/>
      <c r="CY673" s="9"/>
      <c r="CZ673" s="9"/>
      <c r="DA673" s="9"/>
      <c r="DB673" s="9"/>
      <c r="DC673" s="9"/>
      <c r="DD673" s="9"/>
      <c r="DE673" s="9"/>
      <c r="DF673" s="9"/>
      <c r="DG673" s="9"/>
      <c r="DH673" s="9"/>
      <c r="DI673" s="9"/>
      <c r="DJ673" s="9"/>
      <c r="DK673" s="9"/>
      <c r="DL673" s="9"/>
      <c r="DM673" s="9"/>
      <c r="DN673" s="9"/>
      <c r="DO673" s="9"/>
      <c r="DP673" s="9"/>
      <c r="DQ673" s="9"/>
      <c r="DR673" s="9"/>
      <c r="DS673" s="9"/>
      <c r="DT673" s="9"/>
      <c r="DU673" s="9"/>
      <c r="DV673" s="9"/>
      <c r="DW673" s="9"/>
      <c r="DX673" s="9"/>
      <c r="DY673" s="9"/>
      <c r="DZ673" s="9"/>
      <c r="EA673" s="9"/>
      <c r="EB673" s="9"/>
      <c r="EC673" s="9"/>
      <c r="ED673" s="9"/>
      <c r="EE673" s="9"/>
      <c r="EF673" s="9"/>
    </row>
    <row r="674" spans="1:136" s="98" customFormat="1" ht="15.75" customHeight="1" thickBot="1" x14ac:dyDescent="0.3">
      <c r="A674" s="93">
        <v>46213</v>
      </c>
      <c r="B674" s="94" t="s">
        <v>306</v>
      </c>
      <c r="C674" s="95"/>
      <c r="D674" s="20">
        <v>7218</v>
      </c>
      <c r="E674" s="99" t="s">
        <v>307</v>
      </c>
      <c r="F674" s="21">
        <v>1</v>
      </c>
      <c r="G674" s="100"/>
      <c r="H674" s="21">
        <v>16675.21</v>
      </c>
      <c r="I674" s="11">
        <f t="shared" si="32"/>
        <v>16675.21</v>
      </c>
      <c r="J674" s="21"/>
      <c r="K674" s="21"/>
      <c r="L674" s="13">
        <f t="shared" si="33"/>
        <v>16675.21</v>
      </c>
      <c r="M674" s="24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  <c r="BU674" s="9"/>
      <c r="BV674" s="9"/>
      <c r="BW674" s="9"/>
      <c r="BX674" s="9"/>
      <c r="BY674" s="9"/>
      <c r="BZ674" s="9"/>
      <c r="CA674" s="9"/>
      <c r="CB674" s="9"/>
      <c r="CC674" s="9"/>
      <c r="CD674" s="9"/>
      <c r="CE674" s="9"/>
      <c r="CF674" s="9"/>
      <c r="CG674" s="9"/>
      <c r="CH674" s="9"/>
      <c r="CI674" s="9"/>
      <c r="CJ674" s="9"/>
      <c r="CK674" s="9"/>
      <c r="CL674" s="9"/>
      <c r="CM674" s="9"/>
      <c r="CN674" s="9"/>
      <c r="CO674" s="9"/>
      <c r="CP674" s="9"/>
      <c r="CQ674" s="9"/>
      <c r="CR674" s="9"/>
      <c r="CS674" s="9"/>
      <c r="CT674" s="9"/>
      <c r="CU674" s="9"/>
      <c r="CV674" s="9"/>
      <c r="CW674" s="9"/>
      <c r="CX674" s="9"/>
      <c r="CY674" s="9"/>
      <c r="CZ674" s="9"/>
      <c r="DA674" s="9"/>
      <c r="DB674" s="9"/>
      <c r="DC674" s="9"/>
      <c r="DD674" s="9"/>
      <c r="DE674" s="9"/>
      <c r="DF674" s="9"/>
      <c r="DG674" s="9"/>
      <c r="DH674" s="9"/>
      <c r="DI674" s="9"/>
      <c r="DJ674" s="9"/>
      <c r="DK674" s="9"/>
      <c r="DL674" s="9"/>
      <c r="DM674" s="9"/>
      <c r="DN674" s="9"/>
      <c r="DO674" s="9"/>
      <c r="DP674" s="9"/>
      <c r="DQ674" s="9"/>
      <c r="DR674" s="9"/>
      <c r="DS674" s="9"/>
      <c r="DT674" s="9"/>
      <c r="DU674" s="9"/>
      <c r="DV674" s="9"/>
      <c r="DW674" s="9"/>
      <c r="DX674" s="9"/>
      <c r="DY674" s="9"/>
      <c r="DZ674" s="9"/>
      <c r="EA674" s="9"/>
      <c r="EB674" s="9"/>
      <c r="EC674" s="9"/>
      <c r="ED674" s="9"/>
      <c r="EE674" s="9"/>
      <c r="EF674" s="9"/>
    </row>
    <row r="675" spans="1:136" ht="15.75" thickBot="1" x14ac:dyDescent="0.3">
      <c r="A675" s="25"/>
      <c r="B675" s="26"/>
      <c r="C675" s="27"/>
      <c r="D675" s="27"/>
      <c r="E675" s="28"/>
      <c r="F675" s="27">
        <f>SUM(F5:F674)</f>
        <v>2990.7560752093914</v>
      </c>
      <c r="G675" s="27">
        <f>SUM(G5:G674)</f>
        <v>0</v>
      </c>
      <c r="H675" s="29"/>
      <c r="I675" s="30">
        <f>SUM(I5:I674)</f>
        <v>196649.62099999996</v>
      </c>
      <c r="J675" s="31">
        <f>SUM(J5:J674)</f>
        <v>0</v>
      </c>
      <c r="K675" s="27">
        <f>SUM(K5:K674)</f>
        <v>0</v>
      </c>
      <c r="L675" s="32">
        <f>SUM(L5:L674)</f>
        <v>196649.62099999996</v>
      </c>
      <c r="M675" s="87"/>
    </row>
    <row r="676" spans="1:136" x14ac:dyDescent="0.25">
      <c r="A676" s="33"/>
      <c r="B676" s="33"/>
      <c r="C676" s="34"/>
      <c r="D676" s="34"/>
      <c r="E676" s="35"/>
      <c r="F676" s="34"/>
      <c r="G676" s="34"/>
      <c r="H676" s="34"/>
      <c r="I676" s="34"/>
      <c r="J676" s="34"/>
      <c r="K676" s="36" t="s">
        <v>23</v>
      </c>
      <c r="L676" s="34"/>
      <c r="M676" s="87"/>
    </row>
    <row r="677" spans="1:136" x14ac:dyDescent="0.25">
      <c r="A677" s="33"/>
      <c r="B677" s="33"/>
      <c r="C677" s="34"/>
      <c r="D677" s="34"/>
      <c r="E677" s="35"/>
      <c r="F677" s="34"/>
      <c r="G677" s="34"/>
      <c r="H677" s="34"/>
      <c r="I677" s="34"/>
      <c r="J677" s="34"/>
      <c r="K677" s="36" t="s">
        <v>24</v>
      </c>
      <c r="L677" s="34"/>
      <c r="M677" s="87"/>
    </row>
    <row r="678" spans="1:136" x14ac:dyDescent="0.25">
      <c r="A678" s="33"/>
      <c r="B678" s="33"/>
      <c r="C678" s="34"/>
      <c r="D678" s="34"/>
      <c r="E678" s="35"/>
      <c r="F678" s="34"/>
      <c r="G678" s="34"/>
      <c r="H678" s="34"/>
      <c r="I678" s="34"/>
      <c r="J678" s="34"/>
      <c r="K678" s="36" t="s">
        <v>14</v>
      </c>
      <c r="L678" s="34">
        <v>16675.21</v>
      </c>
      <c r="M678" s="87"/>
      <c r="N678" s="34"/>
    </row>
    <row r="679" spans="1:136" x14ac:dyDescent="0.25">
      <c r="A679" s="1"/>
      <c r="B679" s="1"/>
      <c r="C679" s="37"/>
      <c r="D679" s="37"/>
      <c r="E679" s="85"/>
      <c r="F679" s="34"/>
      <c r="G679" s="86"/>
      <c r="H679" s="34"/>
      <c r="I679" s="38"/>
      <c r="J679" s="38"/>
      <c r="K679" s="36" t="s">
        <v>15</v>
      </c>
      <c r="L679" s="4">
        <v>179974.41</v>
      </c>
      <c r="M679" s="101"/>
      <c r="N679" s="34"/>
    </row>
    <row r="680" spans="1:136" x14ac:dyDescent="0.25">
      <c r="A680" s="1"/>
      <c r="B680" s="1"/>
      <c r="C680" s="37"/>
      <c r="D680" s="37"/>
      <c r="E680" s="85"/>
      <c r="F680" s="34"/>
      <c r="G680" s="86"/>
      <c r="H680" s="34"/>
      <c r="I680" s="38"/>
      <c r="J680" s="38"/>
      <c r="K680" s="38"/>
      <c r="L680" s="38">
        <f>L679+L678-L676-L677</f>
        <v>196649.62</v>
      </c>
      <c r="M680" s="87"/>
    </row>
    <row r="681" spans="1:136" x14ac:dyDescent="0.25">
      <c r="A681" s="39"/>
      <c r="C681" s="40"/>
      <c r="D681" s="40"/>
      <c r="F681" s="41"/>
      <c r="H681" s="41"/>
      <c r="I681" s="42"/>
      <c r="J681" s="42"/>
      <c r="K681" s="42"/>
      <c r="L681" s="42"/>
    </row>
    <row r="682" spans="1:136" x14ac:dyDescent="0.25">
      <c r="L682" s="45">
        <f>L680-L675</f>
        <v>-9.9999996018595994E-4</v>
      </c>
      <c r="M682" s="105"/>
      <c r="N682" s="105"/>
    </row>
    <row r="683" spans="1:136" x14ac:dyDescent="0.25">
      <c r="M683" s="105"/>
      <c r="N683" s="105"/>
    </row>
    <row r="684" spans="1:136" x14ac:dyDescent="0.25">
      <c r="C684" s="102"/>
      <c r="D684" s="46"/>
      <c r="G684" s="45"/>
      <c r="H684" s="45"/>
      <c r="L684" s="44"/>
    </row>
    <row r="685" spans="1:136" x14ac:dyDescent="0.25">
      <c r="C685" s="102"/>
      <c r="D685" s="46"/>
      <c r="G685" s="45"/>
      <c r="H685" s="45"/>
      <c r="L685" s="44"/>
    </row>
    <row r="686" spans="1:136" x14ac:dyDescent="0.25">
      <c r="C686" s="102"/>
      <c r="D686" s="46"/>
      <c r="E686" s="47"/>
      <c r="G686" s="45"/>
      <c r="H686" s="45"/>
    </row>
    <row r="687" spans="1:136" x14ac:dyDescent="0.25">
      <c r="C687" s="102"/>
      <c r="D687" s="46"/>
      <c r="E687" s="47"/>
      <c r="G687" s="45"/>
      <c r="H687" s="45"/>
    </row>
    <row r="688" spans="1:136" x14ac:dyDescent="0.25">
      <c r="C688" s="102"/>
      <c r="D688" s="46"/>
      <c r="G688" s="45"/>
      <c r="H688" s="45"/>
    </row>
    <row r="689" spans="3:8" x14ac:dyDescent="0.25">
      <c r="C689" s="102"/>
      <c r="D689" s="46"/>
      <c r="G689" s="45"/>
      <c r="H689" s="45"/>
    </row>
    <row r="690" spans="3:8" x14ac:dyDescent="0.25">
      <c r="C690" s="102"/>
      <c r="D690" s="46"/>
      <c r="G690" s="45"/>
      <c r="H690" s="45"/>
    </row>
    <row r="691" spans="3:8" x14ac:dyDescent="0.25">
      <c r="C691" s="102"/>
      <c r="D691" s="46"/>
      <c r="G691" s="45"/>
      <c r="H691" s="45"/>
    </row>
    <row r="692" spans="3:8" x14ac:dyDescent="0.25">
      <c r="C692" s="102"/>
      <c r="D692" s="46"/>
      <c r="E692" s="47"/>
      <c r="G692" s="45"/>
      <c r="H692" s="45"/>
    </row>
    <row r="693" spans="3:8" x14ac:dyDescent="0.25">
      <c r="C693" s="102"/>
      <c r="D693" s="46"/>
      <c r="E693" s="47"/>
      <c r="G693" s="45"/>
      <c r="H693" s="45"/>
    </row>
    <row r="694" spans="3:8" x14ac:dyDescent="0.25">
      <c r="C694" s="102"/>
      <c r="D694" s="46"/>
      <c r="G694" s="45"/>
      <c r="H694" s="45"/>
    </row>
    <row r="695" spans="3:8" x14ac:dyDescent="0.25">
      <c r="C695" s="102"/>
      <c r="D695" s="46"/>
      <c r="G695" s="45"/>
      <c r="H695" s="45"/>
    </row>
  </sheetData>
  <pageMargins left="0.7" right="0.7" top="0.75" bottom="0.75" header="0.3" footer="0.3"/>
  <pageSetup scale="10" orientation="landscape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23BDD-AA8C-4CFC-8C70-497E2F96A8C8}">
  <sheetPr>
    <tabColor rgb="FF0070C0"/>
    <pageSetUpPr fitToPage="1"/>
  </sheetPr>
  <dimension ref="A1:R1048545"/>
  <sheetViews>
    <sheetView showGridLines="0" tabSelected="1" zoomScaleNormal="100" workbookViewId="0">
      <pane ySplit="5" topLeftCell="A9" activePane="bottomLeft" state="frozen"/>
      <selection activeCell="C27" sqref="C27"/>
      <selection pane="bottomLeft" activeCell="G34" sqref="G34"/>
    </sheetView>
  </sheetViews>
  <sheetFormatPr defaultColWidth="9.140625" defaultRowHeight="15" x14ac:dyDescent="0.25"/>
  <cols>
    <col min="1" max="1" width="12.5703125" style="67" customWidth="1"/>
    <col min="2" max="2" width="23.140625" style="54" customWidth="1"/>
    <col min="3" max="3" width="10.7109375" style="68" customWidth="1"/>
    <col min="4" max="4" width="38.7109375" style="54" customWidth="1"/>
    <col min="5" max="5" width="19" style="126" customWidth="1"/>
    <col min="6" max="6" width="9.5703125" style="69" customWidth="1"/>
    <col min="7" max="7" width="11.7109375" style="53" bestFit="1" customWidth="1"/>
    <col min="8" max="8" width="17.7109375" style="53" customWidth="1"/>
    <col min="9" max="9" width="17" style="53" customWidth="1"/>
    <col min="10" max="10" width="29.28515625" style="53" bestFit="1" customWidth="1"/>
    <col min="11" max="11" width="16.42578125" style="53" bestFit="1" customWidth="1"/>
    <col min="12" max="12" width="20.140625" style="53" customWidth="1"/>
    <col min="13" max="13" width="16.7109375" style="53" customWidth="1"/>
    <col min="14" max="14" width="13.28515625" style="53" bestFit="1" customWidth="1"/>
    <col min="15" max="15" width="9.140625" style="53"/>
    <col min="16" max="16" width="12.140625" style="53" bestFit="1" customWidth="1"/>
    <col min="17" max="17" width="9.85546875" style="53" bestFit="1" customWidth="1"/>
    <col min="18" max="18" width="9.140625" style="53"/>
    <col min="19" max="16384" width="9.140625" style="54"/>
  </cols>
  <sheetData>
    <row r="1" spans="1:18" x14ac:dyDescent="0.25">
      <c r="A1" s="49" t="s">
        <v>0</v>
      </c>
      <c r="B1" s="50"/>
      <c r="C1" s="51"/>
      <c r="D1" s="50"/>
      <c r="E1" s="121"/>
      <c r="F1" s="15"/>
      <c r="G1" s="52"/>
      <c r="H1" s="52"/>
      <c r="I1" s="52"/>
      <c r="J1" s="52"/>
      <c r="K1" s="52"/>
    </row>
    <row r="2" spans="1:18" x14ac:dyDescent="0.25">
      <c r="A2" s="49" t="s">
        <v>17</v>
      </c>
      <c r="B2" s="50"/>
      <c r="C2" s="51"/>
      <c r="D2" s="50"/>
      <c r="E2" s="121"/>
      <c r="F2" s="15"/>
      <c r="G2" s="52"/>
      <c r="H2" s="52"/>
      <c r="I2" s="52"/>
      <c r="J2" s="52"/>
      <c r="K2" s="52"/>
    </row>
    <row r="3" spans="1:18" x14ac:dyDescent="0.25">
      <c r="A3" s="49"/>
      <c r="B3" s="1"/>
      <c r="C3" s="55"/>
      <c r="D3" s="50"/>
      <c r="E3" s="121"/>
      <c r="F3" s="15"/>
      <c r="G3" s="52"/>
      <c r="H3" s="52"/>
      <c r="I3" s="52"/>
      <c r="J3" s="52"/>
      <c r="K3" s="52"/>
    </row>
    <row r="4" spans="1:18" ht="6" customHeight="1" thickBot="1" x14ac:dyDescent="0.3">
      <c r="A4" s="56"/>
      <c r="B4" s="50"/>
      <c r="C4" s="51"/>
      <c r="D4" s="50"/>
      <c r="E4" s="121"/>
      <c r="F4" s="15"/>
      <c r="G4" s="52"/>
      <c r="H4" s="52"/>
      <c r="I4" s="52"/>
      <c r="J4" s="52"/>
      <c r="K4" s="52"/>
    </row>
    <row r="5" spans="1:18" s="9" customFormat="1" ht="30" customHeight="1" x14ac:dyDescent="0.25">
      <c r="A5" s="109" t="s">
        <v>2</v>
      </c>
      <c r="B5" s="110" t="s">
        <v>18</v>
      </c>
      <c r="C5" s="111" t="s">
        <v>4</v>
      </c>
      <c r="D5" s="110" t="s">
        <v>19</v>
      </c>
      <c r="E5" s="122" t="s">
        <v>20</v>
      </c>
      <c r="F5" s="112" t="s">
        <v>8</v>
      </c>
      <c r="G5" s="112" t="s">
        <v>9</v>
      </c>
      <c r="H5" s="112" t="s">
        <v>10</v>
      </c>
      <c r="I5" s="112" t="s">
        <v>11</v>
      </c>
      <c r="J5" s="112" t="s">
        <v>12</v>
      </c>
      <c r="K5" s="113" t="s">
        <v>13</v>
      </c>
      <c r="L5" s="57"/>
      <c r="M5" s="57"/>
      <c r="N5" s="57"/>
      <c r="O5" s="57"/>
      <c r="P5" s="57"/>
      <c r="Q5" s="57"/>
      <c r="R5" s="57"/>
    </row>
    <row r="6" spans="1:18" x14ac:dyDescent="0.25">
      <c r="A6" s="114">
        <v>46234</v>
      </c>
      <c r="B6" s="106" t="s">
        <v>308</v>
      </c>
      <c r="C6" s="107">
        <v>3014</v>
      </c>
      <c r="D6" s="58" t="s">
        <v>312</v>
      </c>
      <c r="E6" s="123">
        <v>7200</v>
      </c>
      <c r="F6" s="61" t="s">
        <v>21</v>
      </c>
      <c r="G6" s="59">
        <f>160800/7200</f>
        <v>22.333333333333332</v>
      </c>
      <c r="H6" s="60">
        <f t="shared" ref="H6:H28" si="0">E6*G6</f>
        <v>160800</v>
      </c>
      <c r="I6" s="58"/>
      <c r="J6" s="108"/>
      <c r="K6" s="115">
        <f>+H6-I6-J6</f>
        <v>160800</v>
      </c>
    </row>
    <row r="7" spans="1:18" x14ac:dyDescent="0.25">
      <c r="A7" s="114">
        <v>46234</v>
      </c>
      <c r="B7" s="106" t="s">
        <v>308</v>
      </c>
      <c r="C7" s="107">
        <v>3014</v>
      </c>
      <c r="D7" s="58" t="s">
        <v>313</v>
      </c>
      <c r="E7" s="123">
        <v>26880</v>
      </c>
      <c r="F7" s="61" t="s">
        <v>21</v>
      </c>
      <c r="G7" s="59">
        <f>216160/E7</f>
        <v>8.0416666666666661</v>
      </c>
      <c r="H7" s="60">
        <f t="shared" si="0"/>
        <v>216159.99999999997</v>
      </c>
      <c r="I7" s="58"/>
      <c r="J7" s="108"/>
      <c r="K7" s="115">
        <f t="shared" ref="K7:K28" si="1">+H7-I7-J7</f>
        <v>216159.99999999997</v>
      </c>
    </row>
    <row r="8" spans="1:18" x14ac:dyDescent="0.25">
      <c r="A8" s="114">
        <v>46234</v>
      </c>
      <c r="B8" s="106" t="s">
        <v>308</v>
      </c>
      <c r="C8" s="107">
        <v>3014</v>
      </c>
      <c r="D8" s="58" t="s">
        <v>309</v>
      </c>
      <c r="E8" s="123">
        <v>3072</v>
      </c>
      <c r="F8" s="61" t="s">
        <v>21</v>
      </c>
      <c r="G8" s="59">
        <f>48896/3072</f>
        <v>15.916666666666666</v>
      </c>
      <c r="H8" s="60">
        <f t="shared" si="0"/>
        <v>48896</v>
      </c>
      <c r="I8" s="58"/>
      <c r="J8" s="108"/>
      <c r="K8" s="115">
        <f t="shared" si="1"/>
        <v>48896</v>
      </c>
    </row>
    <row r="9" spans="1:18" x14ac:dyDescent="0.25">
      <c r="A9" s="114">
        <v>46234</v>
      </c>
      <c r="B9" s="106" t="s">
        <v>308</v>
      </c>
      <c r="C9" s="107">
        <v>3014</v>
      </c>
      <c r="D9" s="58" t="s">
        <v>310</v>
      </c>
      <c r="E9" s="123">
        <v>2688</v>
      </c>
      <c r="F9" s="61" t="s">
        <v>21</v>
      </c>
      <c r="G9" s="59">
        <f>21616/2688</f>
        <v>8.0416666666666661</v>
      </c>
      <c r="H9" s="60">
        <f t="shared" si="0"/>
        <v>21616</v>
      </c>
      <c r="I9" s="58"/>
      <c r="J9" s="108"/>
      <c r="K9" s="115">
        <f t="shared" si="1"/>
        <v>21616</v>
      </c>
    </row>
    <row r="10" spans="1:18" x14ac:dyDescent="0.25">
      <c r="A10" s="114">
        <v>46234</v>
      </c>
      <c r="B10" s="106" t="s">
        <v>308</v>
      </c>
      <c r="C10" s="107">
        <v>3014</v>
      </c>
      <c r="D10" s="58" t="s">
        <v>311</v>
      </c>
      <c r="E10" s="123">
        <v>1344</v>
      </c>
      <c r="F10" s="61" t="s">
        <v>21</v>
      </c>
      <c r="G10" s="59">
        <f>21616/2688</f>
        <v>8.0416666666666661</v>
      </c>
      <c r="H10" s="60">
        <f t="shared" si="0"/>
        <v>10808</v>
      </c>
      <c r="I10" s="58"/>
      <c r="J10" s="108"/>
      <c r="K10" s="115">
        <f t="shared" si="1"/>
        <v>10808</v>
      </c>
    </row>
    <row r="11" spans="1:18" x14ac:dyDescent="0.25">
      <c r="A11" s="114">
        <v>46234</v>
      </c>
      <c r="B11" s="106" t="s">
        <v>308</v>
      </c>
      <c r="C11" s="107">
        <v>3014</v>
      </c>
      <c r="D11" s="58" t="s">
        <v>314</v>
      </c>
      <c r="E11" s="123">
        <v>120</v>
      </c>
      <c r="F11" s="61" t="s">
        <v>21</v>
      </c>
      <c r="G11" s="59">
        <f>4380/120</f>
        <v>36.5</v>
      </c>
      <c r="H11" s="60">
        <f t="shared" si="0"/>
        <v>4380</v>
      </c>
      <c r="I11" s="58"/>
      <c r="J11" s="108"/>
      <c r="K11" s="115">
        <f t="shared" si="1"/>
        <v>4380</v>
      </c>
    </row>
    <row r="12" spans="1:18" x14ac:dyDescent="0.25">
      <c r="A12" s="114">
        <v>46234</v>
      </c>
      <c r="B12" s="106" t="s">
        <v>308</v>
      </c>
      <c r="C12" s="107">
        <v>3014</v>
      </c>
      <c r="D12" s="58" t="s">
        <v>315</v>
      </c>
      <c r="E12" s="123">
        <v>3636</v>
      </c>
      <c r="F12" s="61" t="s">
        <v>21</v>
      </c>
      <c r="G12" s="59">
        <f>42117/3636</f>
        <v>11.583333333333334</v>
      </c>
      <c r="H12" s="60">
        <f t="shared" si="0"/>
        <v>42117</v>
      </c>
      <c r="I12" s="58"/>
      <c r="J12" s="108"/>
      <c r="K12" s="115">
        <f t="shared" si="1"/>
        <v>42117</v>
      </c>
    </row>
    <row r="13" spans="1:18" x14ac:dyDescent="0.25">
      <c r="A13" s="114">
        <v>46234</v>
      </c>
      <c r="B13" s="106" t="s">
        <v>308</v>
      </c>
      <c r="C13" s="107">
        <v>3014</v>
      </c>
      <c r="D13" s="58" t="s">
        <v>316</v>
      </c>
      <c r="E13" s="123">
        <v>600</v>
      </c>
      <c r="F13" s="61" t="s">
        <v>21</v>
      </c>
      <c r="G13" s="59">
        <f t="shared" ref="G13:G14" si="2">42117/3636</f>
        <v>11.583333333333334</v>
      </c>
      <c r="H13" s="60">
        <f t="shared" si="0"/>
        <v>6950</v>
      </c>
      <c r="I13" s="58"/>
      <c r="J13" s="108"/>
      <c r="K13" s="115">
        <f t="shared" si="1"/>
        <v>6950</v>
      </c>
    </row>
    <row r="14" spans="1:18" x14ac:dyDescent="0.25">
      <c r="A14" s="114">
        <v>46234</v>
      </c>
      <c r="B14" s="106" t="s">
        <v>308</v>
      </c>
      <c r="C14" s="107">
        <v>3014</v>
      </c>
      <c r="D14" s="58" t="s">
        <v>317</v>
      </c>
      <c r="E14" s="123">
        <v>600</v>
      </c>
      <c r="F14" s="61" t="s">
        <v>21</v>
      </c>
      <c r="G14" s="59">
        <f t="shared" si="2"/>
        <v>11.583333333333334</v>
      </c>
      <c r="H14" s="60">
        <f t="shared" si="0"/>
        <v>6950</v>
      </c>
      <c r="I14" s="58"/>
      <c r="J14" s="108"/>
      <c r="K14" s="115">
        <f t="shared" si="1"/>
        <v>6950</v>
      </c>
    </row>
    <row r="15" spans="1:18" x14ac:dyDescent="0.25">
      <c r="A15" s="114">
        <v>46234</v>
      </c>
      <c r="B15" s="106" t="s">
        <v>308</v>
      </c>
      <c r="C15" s="107">
        <v>3014</v>
      </c>
      <c r="D15" s="58" t="s">
        <v>318</v>
      </c>
      <c r="E15" s="123">
        <v>240</v>
      </c>
      <c r="F15" s="61" t="s">
        <v>21</v>
      </c>
      <c r="G15" s="59">
        <v>32</v>
      </c>
      <c r="H15" s="60">
        <f t="shared" si="0"/>
        <v>7680</v>
      </c>
      <c r="I15" s="58"/>
      <c r="J15" s="108"/>
      <c r="K15" s="115">
        <f t="shared" si="1"/>
        <v>7680</v>
      </c>
    </row>
    <row r="16" spans="1:18" x14ac:dyDescent="0.25">
      <c r="A16" s="114">
        <v>46234</v>
      </c>
      <c r="B16" s="106" t="s">
        <v>308</v>
      </c>
      <c r="C16" s="107">
        <v>3014</v>
      </c>
      <c r="D16" s="58" t="s">
        <v>312</v>
      </c>
      <c r="E16" s="123">
        <v>7200</v>
      </c>
      <c r="F16" s="61" t="s">
        <v>21</v>
      </c>
      <c r="G16" s="59">
        <f>160800/7200</f>
        <v>22.333333333333332</v>
      </c>
      <c r="H16" s="60">
        <f t="shared" si="0"/>
        <v>160800</v>
      </c>
      <c r="I16" s="58"/>
      <c r="J16" s="108"/>
      <c r="K16" s="115">
        <f t="shared" si="1"/>
        <v>160800</v>
      </c>
    </row>
    <row r="17" spans="1:11" x14ac:dyDescent="0.25">
      <c r="A17" s="114">
        <v>46234</v>
      </c>
      <c r="B17" s="106" t="s">
        <v>308</v>
      </c>
      <c r="C17" s="107">
        <v>3014</v>
      </c>
      <c r="D17" s="58" t="s">
        <v>319</v>
      </c>
      <c r="E17" s="123">
        <v>360</v>
      </c>
      <c r="F17" s="61" t="s">
        <v>21</v>
      </c>
      <c r="G17" s="59">
        <f t="shared" ref="G17:G18" si="3">160800/7200</f>
        <v>22.333333333333332</v>
      </c>
      <c r="H17" s="60">
        <f t="shared" si="0"/>
        <v>8040</v>
      </c>
      <c r="I17" s="58"/>
      <c r="J17" s="108"/>
      <c r="K17" s="115">
        <f t="shared" si="1"/>
        <v>8040</v>
      </c>
    </row>
    <row r="18" spans="1:11" x14ac:dyDescent="0.25">
      <c r="A18" s="114">
        <v>46234</v>
      </c>
      <c r="B18" s="106" t="s">
        <v>308</v>
      </c>
      <c r="C18" s="107">
        <v>3014</v>
      </c>
      <c r="D18" s="58" t="s">
        <v>320</v>
      </c>
      <c r="E18" s="123">
        <v>1440</v>
      </c>
      <c r="F18" s="61" t="s">
        <v>21</v>
      </c>
      <c r="G18" s="59">
        <f t="shared" si="3"/>
        <v>22.333333333333332</v>
      </c>
      <c r="H18" s="60">
        <f t="shared" si="0"/>
        <v>32160</v>
      </c>
      <c r="I18" s="58"/>
      <c r="J18" s="108"/>
      <c r="K18" s="115">
        <f t="shared" si="1"/>
        <v>32160</v>
      </c>
    </row>
    <row r="19" spans="1:11" x14ac:dyDescent="0.25">
      <c r="A19" s="114">
        <v>46234</v>
      </c>
      <c r="B19" s="106" t="s">
        <v>308</v>
      </c>
      <c r="C19" s="107">
        <v>3014</v>
      </c>
      <c r="D19" s="58" t="s">
        <v>310</v>
      </c>
      <c r="E19" s="123">
        <v>4032</v>
      </c>
      <c r="F19" s="61" t="s">
        <v>21</v>
      </c>
      <c r="G19" s="59">
        <f>21616/2688</f>
        <v>8.0416666666666661</v>
      </c>
      <c r="H19" s="60">
        <f t="shared" si="0"/>
        <v>32423.999999999996</v>
      </c>
      <c r="I19" s="58"/>
      <c r="J19" s="108"/>
      <c r="K19" s="115">
        <f t="shared" si="1"/>
        <v>32423.999999999996</v>
      </c>
    </row>
    <row r="20" spans="1:11" x14ac:dyDescent="0.25">
      <c r="A20" s="114">
        <v>46234</v>
      </c>
      <c r="B20" s="106" t="s">
        <v>308</v>
      </c>
      <c r="C20" s="107">
        <v>3014</v>
      </c>
      <c r="D20" s="58" t="s">
        <v>321</v>
      </c>
      <c r="E20" s="123">
        <v>3072</v>
      </c>
      <c r="F20" s="61" t="s">
        <v>21</v>
      </c>
      <c r="G20" s="59">
        <f t="shared" ref="G20:G21" si="4">48896/3072</f>
        <v>15.916666666666666</v>
      </c>
      <c r="H20" s="60">
        <f t="shared" si="0"/>
        <v>48896</v>
      </c>
      <c r="I20" s="58"/>
      <c r="J20" s="108"/>
      <c r="K20" s="115">
        <f t="shared" si="1"/>
        <v>48896</v>
      </c>
    </row>
    <row r="21" spans="1:11" x14ac:dyDescent="0.25">
      <c r="A21" s="114">
        <v>46234</v>
      </c>
      <c r="B21" s="106" t="s">
        <v>308</v>
      </c>
      <c r="C21" s="107">
        <v>3014</v>
      </c>
      <c r="D21" s="58" t="s">
        <v>309</v>
      </c>
      <c r="E21" s="123">
        <v>12288</v>
      </c>
      <c r="F21" s="61" t="s">
        <v>21</v>
      </c>
      <c r="G21" s="59">
        <f t="shared" si="4"/>
        <v>15.916666666666666</v>
      </c>
      <c r="H21" s="60">
        <f t="shared" si="0"/>
        <v>195584</v>
      </c>
      <c r="I21" s="58"/>
      <c r="J21" s="108"/>
      <c r="K21" s="115">
        <f t="shared" si="1"/>
        <v>195584</v>
      </c>
    </row>
    <row r="22" spans="1:11" x14ac:dyDescent="0.25">
      <c r="A22" s="114">
        <v>46234</v>
      </c>
      <c r="B22" s="106" t="s">
        <v>308</v>
      </c>
      <c r="C22" s="107">
        <v>3014</v>
      </c>
      <c r="D22" s="58" t="s">
        <v>322</v>
      </c>
      <c r="E22" s="123">
        <v>3600</v>
      </c>
      <c r="F22" s="61" t="s">
        <v>21</v>
      </c>
      <c r="G22" s="59">
        <f>216600/3600</f>
        <v>60.166666666666664</v>
      </c>
      <c r="H22" s="60">
        <f t="shared" si="0"/>
        <v>216600</v>
      </c>
      <c r="I22" s="58"/>
      <c r="J22" s="108"/>
      <c r="K22" s="115">
        <f t="shared" si="1"/>
        <v>216600</v>
      </c>
    </row>
    <row r="23" spans="1:11" x14ac:dyDescent="0.25">
      <c r="A23" s="114">
        <v>46234</v>
      </c>
      <c r="B23" s="106" t="s">
        <v>308</v>
      </c>
      <c r="C23" s="107">
        <v>3014</v>
      </c>
      <c r="D23" s="58" t="s">
        <v>319</v>
      </c>
      <c r="E23" s="123">
        <v>360</v>
      </c>
      <c r="F23" s="61" t="s">
        <v>21</v>
      </c>
      <c r="G23" s="59">
        <f t="shared" ref="G23:G24" si="5">160800/7200</f>
        <v>22.333333333333332</v>
      </c>
      <c r="H23" s="60">
        <f t="shared" si="0"/>
        <v>8040</v>
      </c>
      <c r="I23" s="58"/>
      <c r="J23" s="108"/>
      <c r="K23" s="115">
        <f t="shared" si="1"/>
        <v>8040</v>
      </c>
    </row>
    <row r="24" spans="1:11" x14ac:dyDescent="0.25">
      <c r="A24" s="114">
        <v>46234</v>
      </c>
      <c r="B24" s="106" t="s">
        <v>308</v>
      </c>
      <c r="C24" s="107">
        <v>3014</v>
      </c>
      <c r="D24" s="58" t="s">
        <v>320</v>
      </c>
      <c r="E24" s="123">
        <v>360</v>
      </c>
      <c r="F24" s="61" t="s">
        <v>21</v>
      </c>
      <c r="G24" s="59">
        <f t="shared" si="5"/>
        <v>22.333333333333332</v>
      </c>
      <c r="H24" s="60">
        <f t="shared" si="0"/>
        <v>8040</v>
      </c>
      <c r="I24" s="58"/>
      <c r="J24" s="108"/>
      <c r="K24" s="115">
        <f t="shared" si="1"/>
        <v>8040</v>
      </c>
    </row>
    <row r="25" spans="1:11" x14ac:dyDescent="0.25">
      <c r="A25" s="114">
        <v>46234</v>
      </c>
      <c r="B25" s="106" t="s">
        <v>308</v>
      </c>
      <c r="C25" s="107">
        <v>3014</v>
      </c>
      <c r="D25" s="58" t="s">
        <v>310</v>
      </c>
      <c r="E25" s="123">
        <v>1344</v>
      </c>
      <c r="F25" s="61" t="s">
        <v>21</v>
      </c>
      <c r="G25" s="59">
        <v>8.0416666666666661</v>
      </c>
      <c r="H25" s="60">
        <f t="shared" si="0"/>
        <v>10808</v>
      </c>
      <c r="I25" s="58"/>
      <c r="J25" s="108"/>
      <c r="K25" s="115">
        <f t="shared" si="1"/>
        <v>10808</v>
      </c>
    </row>
    <row r="26" spans="1:11" x14ac:dyDescent="0.25">
      <c r="A26" s="114">
        <v>46234</v>
      </c>
      <c r="B26" s="106" t="s">
        <v>308</v>
      </c>
      <c r="C26" s="107">
        <v>3014</v>
      </c>
      <c r="D26" s="58" t="s">
        <v>311</v>
      </c>
      <c r="E26" s="123">
        <v>1344</v>
      </c>
      <c r="F26" s="61" t="s">
        <v>21</v>
      </c>
      <c r="G26" s="59">
        <v>8.0416666666666661</v>
      </c>
      <c r="H26" s="60">
        <f t="shared" si="0"/>
        <v>10808</v>
      </c>
      <c r="I26" s="58"/>
      <c r="J26" s="108"/>
      <c r="K26" s="115">
        <f t="shared" si="1"/>
        <v>10808</v>
      </c>
    </row>
    <row r="27" spans="1:11" x14ac:dyDescent="0.25">
      <c r="A27" s="114">
        <v>46234</v>
      </c>
      <c r="B27" s="106" t="s">
        <v>308</v>
      </c>
      <c r="C27" s="107">
        <v>3014</v>
      </c>
      <c r="D27" s="58" t="s">
        <v>309</v>
      </c>
      <c r="E27" s="123">
        <v>6144</v>
      </c>
      <c r="F27" s="61" t="s">
        <v>21</v>
      </c>
      <c r="G27" s="59">
        <f t="shared" ref="G27" si="6">48896/3072</f>
        <v>15.916666666666666</v>
      </c>
      <c r="H27" s="60">
        <f t="shared" si="0"/>
        <v>97792</v>
      </c>
      <c r="I27" s="58"/>
      <c r="J27" s="108"/>
      <c r="K27" s="115">
        <f t="shared" si="1"/>
        <v>97792</v>
      </c>
    </row>
    <row r="28" spans="1:11" ht="15.75" thickBot="1" x14ac:dyDescent="0.3">
      <c r="A28" s="114">
        <v>46234</v>
      </c>
      <c r="B28" s="106" t="s">
        <v>308</v>
      </c>
      <c r="C28" s="107">
        <v>3014</v>
      </c>
      <c r="D28" s="58" t="s">
        <v>313</v>
      </c>
      <c r="E28" s="123">
        <v>4032</v>
      </c>
      <c r="F28" s="61" t="s">
        <v>21</v>
      </c>
      <c r="G28" s="59">
        <v>8.0416666666666661</v>
      </c>
      <c r="H28" s="60">
        <f t="shared" si="0"/>
        <v>32423.999999999996</v>
      </c>
      <c r="I28" s="58"/>
      <c r="J28" s="108"/>
      <c r="K28" s="115">
        <f t="shared" si="1"/>
        <v>32423.999999999996</v>
      </c>
    </row>
    <row r="29" spans="1:11" ht="15.75" thickBot="1" x14ac:dyDescent="0.3">
      <c r="A29" s="116"/>
      <c r="B29" s="117"/>
      <c r="C29" s="118"/>
      <c r="D29" s="117"/>
      <c r="E29" s="124"/>
      <c r="F29" s="119"/>
      <c r="G29" s="120"/>
      <c r="H29" s="120">
        <f>SUM(H6:H28)</f>
        <v>1388773</v>
      </c>
      <c r="I29" s="120">
        <f>SUM(I6:I28)</f>
        <v>0</v>
      </c>
      <c r="J29" s="120">
        <f>SUM(J6:J28)</f>
        <v>0</v>
      </c>
      <c r="K29" s="120">
        <f>SUM(K6:K28)</f>
        <v>1388773</v>
      </c>
    </row>
    <row r="30" spans="1:11" x14ac:dyDescent="0.25">
      <c r="A30" s="56"/>
      <c r="B30" s="50"/>
      <c r="C30" s="62"/>
      <c r="D30" s="50"/>
      <c r="E30" s="125"/>
      <c r="F30" s="15"/>
      <c r="G30" s="63"/>
      <c r="H30" s="52"/>
      <c r="I30" s="63"/>
      <c r="J30" s="33"/>
      <c r="K30" s="63"/>
    </row>
    <row r="31" spans="1:11" x14ac:dyDescent="0.25">
      <c r="A31" s="56"/>
      <c r="B31" s="50"/>
      <c r="C31" s="62"/>
      <c r="D31" s="50"/>
      <c r="E31" s="125"/>
      <c r="F31" s="15"/>
      <c r="G31" s="63"/>
      <c r="H31" s="63"/>
      <c r="I31" s="63"/>
      <c r="J31" s="33"/>
      <c r="K31" s="63"/>
    </row>
    <row r="32" spans="1:11" x14ac:dyDescent="0.25">
      <c r="A32" s="56"/>
      <c r="B32" s="50"/>
      <c r="C32" s="51"/>
      <c r="D32" s="50"/>
      <c r="E32" s="121"/>
      <c r="F32" s="15"/>
      <c r="G32" s="52"/>
      <c r="H32" s="52"/>
      <c r="I32" s="50"/>
      <c r="J32" s="33"/>
      <c r="K32" s="64"/>
    </row>
    <row r="33" spans="1:11" x14ac:dyDescent="0.25">
      <c r="A33" s="56"/>
      <c r="B33" s="50"/>
      <c r="C33" s="51"/>
      <c r="D33" s="50"/>
      <c r="E33" s="121"/>
      <c r="F33" s="15"/>
      <c r="G33" s="52"/>
      <c r="H33" s="52"/>
      <c r="I33" s="52"/>
      <c r="J33" s="65" t="s">
        <v>22</v>
      </c>
      <c r="K33" s="66">
        <v>1388773</v>
      </c>
    </row>
    <row r="34" spans="1:11" x14ac:dyDescent="0.25">
      <c r="A34" s="56"/>
      <c r="B34" s="50"/>
      <c r="C34" s="51"/>
      <c r="D34" s="50"/>
      <c r="E34" s="121"/>
      <c r="F34" s="15"/>
      <c r="G34" s="52"/>
      <c r="H34" s="52"/>
      <c r="I34" s="52"/>
      <c r="J34" s="52"/>
      <c r="K34" s="64"/>
    </row>
    <row r="35" spans="1:11" x14ac:dyDescent="0.25">
      <c r="A35" s="56"/>
      <c r="B35" s="50"/>
      <c r="C35" s="51"/>
      <c r="D35" s="50"/>
      <c r="E35" s="121"/>
      <c r="F35" s="15"/>
      <c r="G35" s="52"/>
      <c r="H35" s="52"/>
      <c r="I35" s="52"/>
      <c r="J35" s="52"/>
      <c r="K35" s="64">
        <f>K33-K29</f>
        <v>0</v>
      </c>
    </row>
    <row r="36" spans="1:11" x14ac:dyDescent="0.25">
      <c r="A36" s="56"/>
      <c r="B36" s="50"/>
      <c r="C36" s="51"/>
      <c r="D36" s="50"/>
      <c r="E36" s="121"/>
      <c r="F36" s="15"/>
      <c r="G36" s="52"/>
      <c r="H36" s="52"/>
      <c r="I36" s="52"/>
      <c r="J36" s="52"/>
      <c r="K36" s="64"/>
    </row>
    <row r="37" spans="1:11" x14ac:dyDescent="0.25">
      <c r="A37" s="56"/>
      <c r="B37" s="50"/>
      <c r="C37" s="51"/>
      <c r="D37" s="50"/>
      <c r="E37" s="121"/>
      <c r="F37" s="15"/>
      <c r="G37" s="52"/>
      <c r="H37" s="52"/>
      <c r="I37" s="52"/>
      <c r="J37" s="52"/>
      <c r="K37" s="64"/>
    </row>
    <row r="38" spans="1:11" x14ac:dyDescent="0.25">
      <c r="A38" s="56"/>
      <c r="B38" s="50"/>
      <c r="C38" s="51"/>
      <c r="D38" s="50"/>
      <c r="E38" s="121"/>
      <c r="F38" s="15"/>
      <c r="G38" s="52"/>
      <c r="H38" s="52"/>
      <c r="I38" s="52"/>
      <c r="J38" s="52"/>
      <c r="K38" s="64"/>
    </row>
    <row r="39" spans="1:11" x14ac:dyDescent="0.25">
      <c r="A39" s="56"/>
      <c r="B39" s="50"/>
      <c r="C39" s="51"/>
      <c r="D39" s="50"/>
      <c r="E39" s="121"/>
      <c r="F39" s="15"/>
      <c r="G39" s="52"/>
      <c r="H39" s="52"/>
      <c r="I39" s="52"/>
      <c r="J39" s="52"/>
      <c r="K39" s="64"/>
    </row>
    <row r="40" spans="1:11" x14ac:dyDescent="0.25">
      <c r="A40" s="56"/>
      <c r="B40" s="50"/>
      <c r="C40" s="51"/>
      <c r="D40" s="50"/>
      <c r="E40" s="121"/>
      <c r="F40" s="15"/>
      <c r="G40" s="52"/>
      <c r="H40" s="52"/>
      <c r="I40" s="52"/>
      <c r="J40" s="52"/>
      <c r="K40" s="64"/>
    </row>
    <row r="41" spans="1:11" x14ac:dyDescent="0.25">
      <c r="A41" s="56"/>
      <c r="B41" s="50"/>
      <c r="C41" s="51"/>
      <c r="D41" s="50"/>
      <c r="E41" s="121"/>
      <c r="F41" s="15"/>
      <c r="G41" s="52"/>
      <c r="H41" s="52"/>
      <c r="I41" s="52"/>
      <c r="J41" s="52"/>
      <c r="K41" s="64"/>
    </row>
    <row r="42" spans="1:11" x14ac:dyDescent="0.25">
      <c r="K42" s="70"/>
    </row>
    <row r="43" spans="1:11" x14ac:dyDescent="0.25">
      <c r="K43" s="70"/>
    </row>
    <row r="45" spans="1:11" s="53" customFormat="1" x14ac:dyDescent="0.25">
      <c r="A45" s="67"/>
      <c r="B45" s="71"/>
      <c r="C45" s="72"/>
      <c r="E45" s="126"/>
      <c r="F45" s="69"/>
    </row>
    <row r="46" spans="1:11" s="53" customFormat="1" x14ac:dyDescent="0.25">
      <c r="A46" s="67"/>
      <c r="B46" s="73"/>
      <c r="C46" s="74"/>
      <c r="E46" s="126"/>
      <c r="F46" s="69"/>
    </row>
    <row r="47" spans="1:11" s="53" customFormat="1" x14ac:dyDescent="0.25">
      <c r="A47" s="67"/>
      <c r="B47" s="39"/>
      <c r="C47" s="72"/>
      <c r="E47" s="126"/>
      <c r="F47" s="69"/>
      <c r="G47" s="75"/>
      <c r="H47" s="76"/>
    </row>
    <row r="48" spans="1:11" s="53" customFormat="1" x14ac:dyDescent="0.25">
      <c r="A48" s="67"/>
      <c r="B48" s="77"/>
      <c r="C48" s="78"/>
      <c r="D48" s="79"/>
      <c r="E48" s="126"/>
      <c r="F48" s="69"/>
      <c r="G48" s="75"/>
      <c r="H48" s="76"/>
    </row>
    <row r="49" spans="1:11" s="53" customFormat="1" x14ac:dyDescent="0.25">
      <c r="A49" s="67"/>
      <c r="B49" s="39"/>
      <c r="C49" s="80"/>
      <c r="D49" s="81"/>
      <c r="E49" s="127"/>
      <c r="F49" s="69"/>
      <c r="G49" s="75"/>
      <c r="H49" s="76"/>
    </row>
    <row r="50" spans="1:11" s="53" customFormat="1" x14ac:dyDescent="0.25">
      <c r="A50" s="67"/>
      <c r="B50" s="54"/>
      <c r="C50" s="72"/>
      <c r="D50" s="79"/>
      <c r="E50" s="126"/>
      <c r="F50" s="69"/>
      <c r="G50" s="69"/>
      <c r="H50" s="69"/>
    </row>
    <row r="51" spans="1:11" s="53" customFormat="1" x14ac:dyDescent="0.25">
      <c r="A51" s="67"/>
      <c r="B51" s="82"/>
      <c r="C51" s="68"/>
      <c r="E51" s="126"/>
      <c r="F51" s="69"/>
      <c r="G51" s="69"/>
      <c r="H51" s="69"/>
    </row>
    <row r="52" spans="1:11" s="53" customFormat="1" x14ac:dyDescent="0.25">
      <c r="A52" s="67"/>
      <c r="B52" s="82"/>
      <c r="C52" s="68"/>
      <c r="E52" s="126"/>
      <c r="F52" s="69"/>
    </row>
    <row r="53" spans="1:11" s="53" customFormat="1" x14ac:dyDescent="0.25">
      <c r="A53" s="67"/>
      <c r="B53" s="71"/>
      <c r="C53" s="68"/>
      <c r="E53" s="126"/>
      <c r="F53" s="69"/>
      <c r="G53" s="75"/>
      <c r="H53" s="76"/>
    </row>
    <row r="54" spans="1:11" s="53" customFormat="1" x14ac:dyDescent="0.25">
      <c r="A54" s="67"/>
      <c r="B54" s="77"/>
      <c r="C54" s="68"/>
      <c r="E54" s="126"/>
      <c r="F54" s="69"/>
    </row>
    <row r="55" spans="1:11" s="53" customFormat="1" x14ac:dyDescent="0.25">
      <c r="A55" s="67"/>
      <c r="B55" s="68"/>
      <c r="C55" s="68"/>
      <c r="E55" s="126"/>
      <c r="F55" s="69"/>
    </row>
    <row r="56" spans="1:11" s="53" customFormat="1" x14ac:dyDescent="0.25">
      <c r="A56" s="67"/>
      <c r="B56" s="68"/>
      <c r="C56" s="78"/>
      <c r="E56" s="126"/>
      <c r="F56" s="69"/>
    </row>
    <row r="57" spans="1:11" s="53" customFormat="1" x14ac:dyDescent="0.25">
      <c r="A57" s="67"/>
      <c r="B57" s="68"/>
      <c r="C57" s="83"/>
      <c r="E57" s="126"/>
      <c r="F57" s="69"/>
    </row>
    <row r="58" spans="1:11" s="53" customFormat="1" x14ac:dyDescent="0.25">
      <c r="A58" s="67"/>
      <c r="B58" s="68"/>
      <c r="C58" s="68"/>
      <c r="D58" s="79"/>
      <c r="E58" s="126"/>
      <c r="F58" s="69"/>
    </row>
    <row r="59" spans="1:11" s="53" customFormat="1" x14ac:dyDescent="0.25">
      <c r="A59" s="67"/>
      <c r="B59" s="68"/>
      <c r="C59" s="68"/>
      <c r="E59" s="126"/>
      <c r="F59" s="69"/>
    </row>
    <row r="60" spans="1:11" s="53" customFormat="1" x14ac:dyDescent="0.25">
      <c r="A60" s="67"/>
      <c r="B60" s="82"/>
      <c r="C60" s="68"/>
      <c r="E60" s="126"/>
      <c r="F60" s="69"/>
      <c r="K60" s="69"/>
    </row>
    <row r="1048545" spans="6:7" x14ac:dyDescent="0.25">
      <c r="F1048545" s="61" t="s">
        <v>21</v>
      </c>
      <c r="G1048545" s="59">
        <f>40200/1800</f>
        <v>22.333333333333332</v>
      </c>
    </row>
  </sheetData>
  <pageMargins left="0.7" right="0.7" top="0.75" bottom="0.75" header="0.3" footer="0.3"/>
  <pageSetup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RESTO</vt:lpstr>
      <vt:lpstr>COKE TALAVERA</vt:lpstr>
      <vt:lpstr>'COKE TALAVERA'!Print_Area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AMPC-Nerissa Duldulao</cp:lastModifiedBy>
  <cp:lastPrinted>2026-06-26T02:17:22Z</cp:lastPrinted>
  <dcterms:created xsi:type="dcterms:W3CDTF">2026-04-16T03:25:48Z</dcterms:created>
  <dcterms:modified xsi:type="dcterms:W3CDTF">2026-08-05T07:55:43Z</dcterms:modified>
</cp:coreProperties>
</file>